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3" tabRatio="1000"/>
  </bookViews>
  <sheets>
    <sheet r:id="rId1" name="_TGK_HIDDEN" sheetId="1" state="veryHidden"/>
    <sheet r:id="rId2" name="cad" sheetId="2"/>
    <sheet r:id="rId3" name="PIL" sheetId="3"/>
    <sheet r:id="rId4" name="ALLOC" sheetId="4"/>
    <sheet r:id="rId5" name="Socle" sheetId="5" state="hidden"/>
    <sheet r:id="rId6" name="Campagne" sheetId="6" state="hidden"/>
    <sheet r:id="rId7" name="Moteur" sheetId="7" state="hidden"/>
    <sheet r:id="rId8" name="Compta" sheetId="8" state="hidden"/>
    <sheet r:id="rId9" name="PNL" sheetId="9" state="hidden"/>
    <sheet r:id="rId10" name="Allocation" sheetId="10" state="hidden"/>
    <sheet r:id="rId11" name="_CALC_MOTEUR" sheetId="11" state="hidden"/>
    <sheet r:id="rId12" name="_CALC_PNL" sheetId="12" state="hidden"/>
    <sheet r:id="rId13" name="_CALC_ALLOC" sheetId="13" state="hidden"/>
  </sheets>
  <definedNames>
    <definedName name="ALLOC_BRAND_CAMP" isReadOnly="false">ALLOC!$C$8</definedName>
    <definedName name="ALLOC_CAMP_CLASS" isReadOnly="false">ALLOC!$C$9</definedName>
    <definedName name="ALLOC_GRP_BRAND" isReadOnly="false">ALLOC!$C$6</definedName>
    <definedName name="ALLOC_GRP_MARQUE" isReadOnly="false">ALLOC!$C$7</definedName>
    <definedName name="BUD_REF_CAP" isReadOnly="false">PIL!$K$15:$K$28</definedName>
    <definedName name="HYP_ACQ_BUD_V01" isReadOnly="false">cad!$C$23</definedName>
    <definedName name="HYP_ACQ_BUD_V02" isReadOnly="false">cad!$D$23</definedName>
    <definedName name="HYP_ACQ_BUD_V03" isReadOnly="false">cad!$E$23</definedName>
    <definedName name="HYP_BRAND_BUD_V01" isReadOnly="false">cad!$C$24</definedName>
    <definedName name="HYP_BRAND_BUD_V02" isReadOnly="false">cad!$D$24</definedName>
    <definedName name="HYP_BRAND_BUD_V03" isReadOnly="false">cad!$E$24</definedName>
    <definedName name="HYP_CAP_RETENU" isReadOnly="false">PIL!$J$15:$J$28</definedName>
    <definedName name="HYP_CONV_ADM_V01" isReadOnly="false">cad!$C$27</definedName>
    <definedName name="HYP_CONV_ADM_V02" isReadOnly="false">cad!$D$27</definedName>
    <definedName name="HYP_CONV_ADM_V03" isReadOnly="false">cad!$E$27</definedName>
    <definedName name="HYP_CONV_LEAD_V01" isReadOnly="false">cad!$C$26</definedName>
    <definedName name="HYP_CONV_LEAD_V02" isReadOnly="false">cad!$D$26</definedName>
    <definedName name="HYP_CONV_LEAD_V03" isReadOnly="false">cad!$E$26</definedName>
    <definedName name="HYP_FEE_V01" isReadOnly="false">cad!$C$39</definedName>
    <definedName name="HYP_FEE_V02" isReadOnly="false">cad!$D$39</definedName>
    <definedName name="HYP_FEE_V03" isReadOnly="false">cad!$E$39</definedName>
    <definedName name="HYP_FTE_PERM_V01" isReadOnly="false">cad!$C$34</definedName>
    <definedName name="HYP_FTE_PERM_V02" isReadOnly="false">cad!$D$34</definedName>
    <definedName name="HYP_FTE_PERM_V03" isReadOnly="false">cad!$E$34</definedName>
    <definedName name="HYP_INFL_EXT_V01" isReadOnly="false">cad!$C$32</definedName>
    <definedName name="HYP_INFL_EXT_V02" isReadOnly="false">cad!$D$32</definedName>
    <definedName name="HYP_INFL_EXT_V03" isReadOnly="false">cad!$E$32</definedName>
    <definedName name="HYP_PASSAGE_V01" isReadOnly="false">cad!$C$28</definedName>
    <definedName name="HYP_PASSAGE_V02" isReadOnly="false">cad!$D$28</definedName>
    <definedName name="HYP_PASSAGE_V03" isReadOnly="false">cad!$E$28</definedName>
    <definedName name="HYP_PRICE_COEF_IPAC" isReadOnly="false">cad!$J$14</definedName>
    <definedName name="HYP_PRICE_COEF_ISCOM" isReadOnly="false">cad!$J$13</definedName>
    <definedName name="HYP_PRICE_COEF_MBWAY" isReadOnly="false">cad!$J$12</definedName>
    <definedName name="HYP_PRICE_COEF_PIGIER" isReadOnly="false">cad!$J$15</definedName>
    <definedName name="HYP_PRICE_COEF_TUNON" isReadOnly="false">cad!$J$16</definedName>
    <definedName name="HYP_PRICE_V01" isReadOnly="false">cad!$C$25</definedName>
    <definedName name="HYP_PRICE_V02" isReadOnly="false">cad!$D$25</definedName>
    <definedName name="HYP_PRICE_V03" isReadOnly="false">cad!$E$25</definedName>
    <definedName name="HYP_PRODUCTIVITY_V01" isReadOnly="false">cad!$C$35</definedName>
    <definedName name="HYP_PRODUCTIVITY_V02" isReadOnly="false">cad!$D$35</definedName>
    <definedName name="HYP_PRODUCTIVITY_V03" isReadOnly="false">cad!$E$35</definedName>
    <definedName name="HYP_SALARY_V01" isReadOnly="false">cad!$C$33</definedName>
    <definedName name="HYP_SALARY_V02" isReadOnly="false">cad!$D$33</definedName>
    <definedName name="HYP_SALARY_V03" isReadOnly="false">cad!$E$33</definedName>
    <definedName name="HYP_STRUCT_COST_V01" isReadOnly="false">cad!$C$36</definedName>
    <definedName name="HYP_STRUCT_COST_V02" isReadOnly="false">cad!$D$36</definedName>
    <definedName name="HYP_STRUCT_COST_V03" isReadOnly="false">cad!$E$36</definedName>
    <definedName name="SCENARIO_ACTIF" isReadOnly="false">cad!$C$5</definedName>
    <definedName name="SCENARIO_CODE" isReadOnly="false">cad!$P$1</definedName>
    <definedName name="TEC_EBITDA" isReadOnly="false">cad!$F$6</definedName>
    <definedName name="TEC_PL" isReadOnly="false">cad!$F$5</definedName>
  </definedNames>
  <calcPr calcId="0" iterateCount="100" iterateDelta="0.001"/>
</workbook>
</file>

<file path=xl/sharedStrings.xml><?xml version="1.0" encoding="utf-8"?>
<sst xmlns="http://schemas.openxmlformats.org/spreadsheetml/2006/main" count="354" uniqueCount="354">
  <si>
    <t>Template00</t>
  </si>
  <si>
    <t>Template01</t>
  </si>
  <si>
    <t>Template02</t>
  </si>
  <si>
    <t>Template03</t>
  </si>
  <si>
    <t>Template04</t>
  </si>
  <si>
    <t>Template05</t>
  </si>
  <si>
    <t>Template06</t>
  </si>
  <si>
    <t>Template08</t>
  </si>
  <si>
    <t>Template09</t>
  </si>
  <si>
    <t>V02</t>
  </si>
  <si>
    <t>POSTE DE COMMANDE CFO  —  Cadrage CA &amp; EBITDA 2027</t>
  </si>
  <si>
    <t>Scenario actif :</t>
  </si>
  <si>
    <t>Optimiste</t>
  </si>
  <si>
    <t>Croissance CA cible :</t>
  </si>
  <si>
    <t>Marge EBITDA cible :</t>
  </si>
  <si>
    <t>Reconciliation  —  Reference  ·  Cible  ·  Construit (scenario actif)</t>
  </si>
  <si>
    <t>Coeff prix par marque (decision)</t>
  </si>
  <si>
    <t>Indicateur</t>
  </si>
  <si>
    <t>Reference</t>
  </si>
  <si>
    <t>Cible</t>
  </si>
  <si>
    <t>Construit</t>
  </si>
  <si>
    <t>Ecart</t>
  </si>
  <si>
    <t>Ecart %</t>
  </si>
  <si>
    <t>Marque</t>
  </si>
  <si>
    <t>Coeff prix</t>
  </si>
  <si>
    <t>2026</t>
  </si>
  <si>
    <t>Chiffre d'affaires</t>
  </si>
  <si>
    <t>MBway</t>
  </si>
  <si>
    <t>EBITDA</t>
  </si>
  <si>
    <t>ISCOM</t>
  </si>
  <si>
    <t>Marge EBITDA %</t>
  </si>
  <si>
    <t>Ipac Bachelor Factory</t>
  </si>
  <si>
    <t>Effectif</t>
  </si>
  <si>
    <t>Pigier</t>
  </si>
  <si>
    <t>Tunon</t>
  </si>
  <si>
    <t>Leviers de CROISSANCE / REVENUS</t>
  </si>
  <si>
    <t>Paramètre</t>
  </si>
  <si>
    <t>Cadrage</t>
  </si>
  <si>
    <t>Prudent</t>
  </si>
  <si>
    <t>ACTIF (scenario)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</si>
  <si>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</si>
  <si>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</si>
  <si>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</si>
  <si>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</si>
  <si>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</si>
  <si>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</si>
  <si>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Leviers de COUTS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</si>
  <si>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</si>
  <si>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</si>
  <si>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</si>
  <si>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</si>
  <si>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</si>
  <si>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Constante  —  frais de dossier (decision)</t>
  </si>
  <si>
    <t>Frais de dossier par nouvel inscrit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</si>
  <si>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</si>
  <si>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</si>
  <si>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</si>
  <si>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</si>
  <si>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</si>
  <si>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</si>
  <si>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à masquer</t>
  </si>
  <si>
    <t>Campus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</si>
  <si>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</si>
  <si>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</si>
  <si>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</si>
  <si>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</si>
  <si>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</si>
  <si>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</si>
  <si>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</si>
  <si>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</si>
  <si>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</si>
  <si>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Entity</t>
  </si>
  <si>
    <t>CAP_EFF (live)</t>
  </si>
  <si>
    <t>CAP_MOM (live)</t>
  </si>
  <si>
    <t>CAP_POT (live)</t>
  </si>
  <si>
    <t>MBWAY_PAR</t>
  </si>
  <si>
    <t>Paris</t>
  </si>
  <si>
    <t>MBWAY_LYO</t>
  </si>
  <si>
    <t>Lyon</t>
  </si>
  <si>
    <t>MBWAY_NAN</t>
  </si>
  <si>
    <t>Nantes</t>
  </si>
  <si>
    <t>MBWAY_BOR</t>
  </si>
  <si>
    <t>Bordeaux</t>
  </si>
  <si>
    <t>ISCOM_PAR</t>
  </si>
  <si>
    <t>ISCOM_LIL</t>
  </si>
  <si>
    <t>Lille</t>
  </si>
  <si>
    <t>ISCOM_TLS</t>
  </si>
  <si>
    <t>Toulouse</t>
  </si>
  <si>
    <t>IPAC_NAN</t>
  </si>
  <si>
    <t>Ipac</t>
  </si>
  <si>
    <t>IPAC_REN</t>
  </si>
  <si>
    <t>Rennes</t>
  </si>
  <si>
    <t>IPAC_MTP</t>
  </si>
  <si>
    <t>Montpellier</t>
  </si>
  <si>
    <t>PIGIER_LYO</t>
  </si>
  <si>
    <t>PIGIER_BOR</t>
  </si>
  <si>
    <t>TUNON_PAR</t>
  </si>
  <si>
    <t>TUNON_LYO</t>
  </si>
  <si>
    <t>2 ·  Synthese par campus  (resultats budget, live)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</si>
  <si>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</si>
  <si>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</si>
  <si>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</si>
  <si>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</si>
  <si>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</si>
  <si>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</si>
  <si>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</si>
  <si>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Sous-total campus</t>
  </si>
  <si>
    <t>Siege / holding (GRP)</t>
  </si>
  <si>
    <t>GROUPE 2027 V01</t>
  </si>
  <si>
    <t>VOL_EFF</t>
  </si>
  <si>
    <t>3 · ALLOCATION &amp; RENTABILITE  —  cout complet du groupe a la classe</t>
  </si>
  <si>
    <t>REV_CA</t>
  </si>
  <si>
    <t>Cles d'allocation (saisie)</t>
  </si>
  <si>
    <t>Clé d’allocation siège administratif → marque</t>
  </si>
  <si>
    <t>Clé d’allocation Campus → Classe</t>
  </si>
  <si>
    <t>Clé d’allocation Marque → Campus</t>
  </si>
  <si>
    <t>Clé d’allocation Pub de marque → marque</t>
  </si>
  <si>
    <t>Maille fine — deplie campus/classe avec les [+]</t>
  </si>
  <si>
    <t>Marque ▸ Campus ▸ Classe</t>
  </si>
  <si>
    <t>CA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</si>
  <si>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</si>
  <si>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</si>
  <si>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</si>
  <si>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</si>
  <si>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</si>
  <si>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</si>
  <si>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</si>
  <si>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</si>
  <si>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</si>
  <si>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</si>
  <si>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</si>
  <si>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</si>
  <si>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</si>
  <si>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</si>
  <si>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</si>
  <si>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</si>
  <si>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</si>
  <si>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</si>
  <si>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</si>
  <si>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</si>
  <si>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</si>
  <si>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</si>
  <si>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</si>
  <si>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</si>
  <si>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</si>
  <si>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</si>
  <si>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</si>
  <si>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</si>
  <si>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</si>
  <si>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</si>
  <si>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</si>
  <si>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</si>
  <si>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</si>
  <si>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</si>
  <si>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</si>
  <si>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</si>
  <si>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</si>
  <si>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</si>
  <si>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</si>
  <si>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</si>
  <si>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</si>
  <si>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</si>
  <si>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</si>
  <si>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</si>
  <si>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</si>
  <si>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</si>
  <si>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</si>
  <si>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</si>
  <si>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</si>
  <si>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</si>
  <si>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</si>
  <si>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</si>
  <si>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VOL_CAND</t>
  </si>
  <si>
    <t>VOL_ADMIS</t>
  </si>
  <si>
    <t>VOL_NEW</t>
  </si>
  <si>
    <t>VOL_REINS</t>
  </si>
  <si>
    <t>VOL_EFF_INF</t>
  </si>
  <si>
    <t>VOL_CLASS</t>
  </si>
  <si>
    <t>REV_STUD</t>
  </si>
  <si>
    <t>REV_FRAIS_INS</t>
  </si>
  <si>
    <t>VOL_LEAD_ORG</t>
  </si>
  <si>
    <t>VOL_LEAD_PAY</t>
  </si>
  <si>
    <t>DEPENSE_ACQ</t>
  </si>
  <si>
    <t>DEPENSE_MARQUE</t>
  </si>
  <si>
    <t>TX_PASSAGE</t>
  </si>
  <si>
    <t>TX_LEAD_CAND</t>
  </si>
  <si>
    <t>TX_CAND_ADMIS</t>
  </si>
  <si>
    <t>TX_YIELD_ADMIS_INSC</t>
  </si>
  <si>
    <t>VOL_LEAD_TOTAL</t>
  </si>
  <si>
    <t>PART_ORG</t>
  </si>
  <si>
    <t>CPL</t>
  </si>
  <si>
    <t>2027BUD_V1</t>
  </si>
  <si>
    <t>12</t>
  </si>
  <si>
    <t>BAC_MGT</t>
  </si>
  <si>
    <t>B1</t>
  </si>
  <si>
    <t>INIT</t>
  </si>
  <si>
    <t>B2</t>
  </si>
  <si>
    <t>ALT</t>
  </si>
  <si>
    <t>B3</t>
  </si>
  <si>
    <t>MAS_MGT</t>
  </si>
  <si>
    <t>M1</t>
  </si>
  <si>
    <t>M2</t>
  </si>
  <si>
    <t>BAC_COM</t>
  </si>
  <si>
    <t>MAS_COM</t>
  </si>
  <si>
    <t>BAC_CCE</t>
  </si>
  <si>
    <t>BTS_GES</t>
  </si>
  <si>
    <t>BTS1</t>
  </si>
  <si>
    <t>BTS2</t>
  </si>
  <si>
    <t>BAC_RH</t>
  </si>
  <si>
    <t>BAC_TOU</t>
  </si>
  <si>
    <t>2025</t>
  </si>
  <si>
    <t>2024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</si>
  <si>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</si>
  <si>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</si>
  <si>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</si>
  <si>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</si>
  <si>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</si>
  <si>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</si>
  <si>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</si>
  <si>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</si>
  <si>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</si>
  <si>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VERSION</t>
  </si>
  <si>
    <t>MARQUE</t>
  </si>
  <si>
    <t>NOUVEAUX</t>
  </si>
  <si>
    <t>EFFECTIF</t>
  </si>
  <si>
    <t>PRIX</t>
  </si>
  <si>
    <t>NOUVEAUX (live)</t>
  </si>
  <si>
    <t>EFFECTIF (live)</t>
  </si>
  <si>
    <t>PRIX (live)</t>
  </si>
  <si>
    <t>🟢 CA (live)</t>
  </si>
  <si>
    <t>Δ CA vs Tagetik</t>
  </si>
  <si>
    <t>V01</t>
  </si>
  <si>
    <t>MBWAY</t>
  </si>
  <si>
    <t>2027</t>
  </si>
  <si>
    <t>V03</t>
  </si>
  <si>
    <t>IPAC</t>
  </si>
  <si>
    <t>PIGIER</t>
  </si>
  <si>
    <t>TUNON</t>
  </si>
  <si>
    <t>Account</t>
  </si>
  <si>
    <t>Scenario</t>
  </si>
  <si>
    <t>Period</t>
  </si>
  <si>
    <t>Amount</t>
  </si>
  <si>
    <t>7062</t>
  </si>
  <si>
    <t>706</t>
  </si>
  <si>
    <t>708</t>
  </si>
  <si>
    <t>621</t>
  </si>
  <si>
    <t>604</t>
  </si>
  <si>
    <t>6063</t>
  </si>
  <si>
    <t>6231</t>
  </si>
  <si>
    <t>6411</t>
  </si>
  <si>
    <t>6413</t>
  </si>
  <si>
    <t>GRP</t>
  </si>
  <si>
    <t>6414</t>
  </si>
  <si>
    <t>645</t>
  </si>
  <si>
    <t>613</t>
  </si>
  <si>
    <t>615</t>
  </si>
  <si>
    <t>616</t>
  </si>
  <si>
    <t>6226</t>
  </si>
  <si>
    <t>6236</t>
  </si>
  <si>
    <t>625</t>
  </si>
  <si>
    <t>626</t>
  </si>
  <si>
    <t>6281</t>
  </si>
  <si>
    <t>6331</t>
  </si>
  <si>
    <t>63511</t>
  </si>
  <si>
    <t>6333</t>
  </si>
  <si>
    <t>6811</t>
  </si>
  <si>
    <t>TEC_PL</t>
  </si>
  <si>
    <t>TEC_EBITDA</t>
  </si>
  <si>
    <t>ACCOUNT</t>
  </si>
  <si>
    <t>PERIOD</t>
  </si>
  <si>
    <t>AMOUNT</t>
  </si>
  <si>
    <t>🟢 AMOUNT (live)</t>
  </si>
  <si>
    <t>Δ vs Tagetik</t>
  </si>
  <si>
    <t>ACT</t>
  </si>
  <si>
    <t/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</si>
  <si>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</si>
  <si>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</si>
  <si>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</si>
  <si>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</si>
  <si>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</si>
  <si>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</si>
  <si>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</si>
  <si>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</si>
  <si>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</si>
  <si>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COST_VAC (live)</t>
  </si>
  <si>
    <t>COST_HOLDING (live)</t>
  </si>
  <si>
    <t>🟢 MARGE (live)</t>
  </si>
  <si>
    <t>COST_MARQUE (live)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</si>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</sst>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478" formatCode="_(* #,##0.00_);_(* \(#,##0.00\);_(* &quot;-&quot;??_);_(@_)"/>
    <numFmt numFmtId="1480" formatCode="0.0%"/>
    <numFmt numFmtId="1481" formatCode="_-* #,##0.0\ [$€-40C]_-;\-* #,##0.0\ [$€-40C]_-;_-* &quot;-&quot;??\ [$€-40C]_-;_-@_-"/>
    <numFmt numFmtId="1482" formatCode="_-* #,##0_-;\-* #,##0_-;_-* &quot;-&quot;??_-;_-@_-"/>
    <numFmt numFmtId="1483" formatCode="_(* #,##0.0_);_(* \(#,##0.0\);_(* &quot;-&quot;??_);_(@_)"/>
    <numFmt numFmtId="1488" formatCode="#\ ##0\ &quot;EUR&quot;"/>
    <numFmt numFmtId="1506" formatCode="#\ ##0"/>
    <numFmt numFmtId="1514" formatCode="#,##0&quot; €&quot;;\-#,##0&quot; €&quot;;&quot;–&quot;"/>
    <numFmt numFmtId="1515" formatCode="#,##0;\-#,##0;&quot;–&quot;"/>
    <numFmt numFmtId="1516" formatCode="0.0%;\-0.0%;&quot;–&quot;"/>
    <numFmt numFmtId="1522" formatCode="&quot;▲ &quot;#,##0&quot; €&quot;;&quot;▼ &quot;#,##0&quot; €&quot;;&quot;–&quot;"/>
    <numFmt numFmtId="1523" formatCode="&quot;▲ &quot;0.0%;&quot;▼ &quot;0.0%;&quot;–&quot;"/>
    <numFmt numFmtId="1524" formatCode="&quot;▲ &quot;0.0&quot; pt&quot;;&quot;▼ &quot;0.0&quot; pt&quot;;&quot;–&quot;"/>
    <numFmt numFmtId="1527" formatCode="&quot;▲ &quot;#,##0;&quot;▼ &quot;#,##0;&quot;–&quot;"/>
  </numFmts>
  <fonts count="45">
    <font>
      <b val="0"/>
      <i val="0"/>
      <sz val="11"/>
      <color theme="1"/>
      <name val="Aptos Narrow"/>
      <scheme val="minor"/>
    </font>
    <font>
      <b val="0"/>
      <i/>
      <sz val="11"/>
      <color theme="1"/>
      <name val="Aptos Narrow"/>
      <scheme val="minor"/>
    </font>
    <font>
      <b/>
      <i val="0"/>
      <sz val="11"/>
      <color theme="1"/>
      <name val="Aptos Narrow"/>
      <scheme val="minor"/>
    </font>
    <font>
      <b/>
      <i val="0"/>
      <sz val="10"/>
      <color rgb="FF15406E"/>
      <name val="Aptos Narrow"/>
    </font>
    <font>
      <b/>
      <i val="0"/>
      <sz val="11"/>
      <color rgb="FF1F3864"/>
      <name val="Aptos Narrow"/>
    </font>
    <font>
      <b/>
      <i val="0"/>
      <sz val="11"/>
      <color rgb="FF2E86DE"/>
      <name val="Aptos Narrow"/>
    </font>
    <font>
      <b/>
      <i val="0"/>
      <sz val="9"/>
      <color rgb="FF375623"/>
      <name val="Aptos Narrow"/>
    </font>
    <font>
      <b val="0"/>
      <i val="0"/>
      <sz val="9"/>
      <color rgb="FF3B3B3B"/>
      <name val="Aptos Narrow"/>
    </font>
    <font>
      <b/>
      <i val="0"/>
      <sz val="16"/>
      <color rgb="FF0F5FB0"/>
      <name val="Aptos Narrow"/>
    </font>
    <font>
      <b/>
      <i val="0"/>
      <sz val="17"/>
      <color rgb="FF0F5FB0"/>
      <name val="Aptos Narrow"/>
    </font>
    <font>
      <b/>
      <i val="0"/>
      <sz val="11"/>
      <color auto="1"/>
      <name val="Arial"/>
    </font>
    <font>
      <b/>
      <i val="0"/>
      <sz val="12"/>
      <color rgb="FF1F3864"/>
      <name val="Aptos Narrow"/>
    </font>
    <font>
      <b/>
      <i val="0"/>
      <sz val="8"/>
      <color rgb="FFFFFFFF"/>
      <name val="Aptos Narrow"/>
    </font>
    <font>
      <b val="0"/>
      <i val="0"/>
      <sz val="9"/>
      <color rgb="FF333333"/>
      <name val="Aptos Narrow"/>
    </font>
    <font>
      <b/>
      <i val="0"/>
      <sz val="15"/>
      <color rgb="FFB8860B"/>
      <name val="Aptos Narrow"/>
    </font>
    <font>
      <b/>
      <i val="0"/>
      <sz val="11"/>
      <color rgb="FFB8860B"/>
      <name val="Aptos Narrow"/>
    </font>
    <font>
      <b/>
      <i val="0"/>
      <sz val="9"/>
      <color rgb="FFFFFFFF"/>
      <name val="Aptos Narrow"/>
    </font>
    <font>
      <b/>
      <i val="0"/>
      <sz val="9"/>
      <color rgb="FF15406E"/>
      <name val="Aptos Narrow"/>
    </font>
    <font>
      <b/>
      <i val="0"/>
      <sz val="9"/>
      <color rgb="FF333333"/>
      <name val="Aptos Narrow"/>
    </font>
    <font>
      <b val="0"/>
      <i val="0"/>
      <sz val="9"/>
      <color rgb="FF555555"/>
      <name val="Aptos Narrow"/>
    </font>
    <font>
      <b/>
      <i val="0"/>
      <sz val="11"/>
      <color rgb="FFFFFFFF"/>
      <name val="Aptos Narrow"/>
    </font>
    <font>
      <b/>
      <i val="0"/>
      <sz val="11"/>
      <color rgb="FF843C0C"/>
      <name val="Aptos Narrow"/>
    </font>
    <font>
      <b/>
      <i val="0"/>
      <sz val="11"/>
      <color rgb="FF15406E"/>
      <name val="Aptos Narrow"/>
    </font>
    <font>
      <b/>
      <i val="0"/>
      <sz val="10"/>
      <color rgb="FF1F3864"/>
      <name val="Aptos Narrow"/>
    </font>
    <font>
      <b/>
      <i val="0"/>
      <sz val="12"/>
      <color rgb="FF1B5FA6"/>
      <name val="Aptos Narrow"/>
    </font>
    <font>
      <b/>
      <i val="0"/>
      <sz val="16"/>
      <color rgb="FF2E75B6"/>
      <name val="Aptos Narrow"/>
    </font>
    <font>
      <b/>
      <i val="0"/>
      <sz val="16"/>
      <color rgb="FF548235"/>
      <name val="Aptos Narrow"/>
    </font>
    <font>
      <b/>
      <i val="0"/>
      <sz val="16"/>
      <color rgb="FF1F3864"/>
      <name val="Aptos Narrow"/>
    </font>
    <font>
      <b/>
      <i val="0"/>
      <sz val="16"/>
      <color rgb="FF3B3B3B"/>
      <name val="Aptos Narrow"/>
    </font>
    <font>
      <b val="0"/>
      <i val="0"/>
      <sz val="11"/>
      <color theme="0"/>
      <name val="Aptos Narrow"/>
      <scheme val="minor"/>
    </font>
    <font>
      <b val="0"/>
      <i val="0"/>
      <sz val="11"/>
      <color rgb="FF3B3B3B"/>
      <name val="Arial"/>
    </font>
    <font>
      <b val="0"/>
      <i val="0"/>
      <sz val="11"/>
      <color rgb="FFB8860B"/>
      <name val="Arial"/>
    </font>
    <font>
      <b/>
      <i val="0"/>
      <sz val="11"/>
      <color rgb="FF0F5FB0"/>
      <name val="Arial"/>
    </font>
    <font>
      <b/>
      <i val="0"/>
      <sz val="11"/>
      <color rgb="FF1B5FA6"/>
      <name val="Arial"/>
    </font>
    <font>
      <b/>
      <i val="0"/>
      <sz val="11"/>
      <color rgb="FF1F3864"/>
      <name val="Arial"/>
    </font>
    <font>
      <b/>
      <i val="0"/>
      <sz val="10"/>
      <color rgb="FF1F3864"/>
      <name val="Arial"/>
    </font>
    <font>
      <b/>
      <i val="0"/>
      <sz val="10"/>
      <color rgb="FF15406E"/>
      <name val="Arial"/>
    </font>
    <font>
      <b/>
      <i val="0"/>
      <sz val="9"/>
      <color rgb="FF1F3864"/>
      <name val="Arial"/>
    </font>
    <font>
      <b/>
      <i val="0"/>
      <sz val="15"/>
      <color rgb="FF0F5FB0"/>
      <name val="Arial"/>
    </font>
    <font>
      <b val="0"/>
      <i val="0"/>
      <sz val="11"/>
      <color rgb="FF1B5FA6"/>
      <name val="Arial"/>
    </font>
    <font>
      <b val="0"/>
      <i val="0"/>
      <sz val="11"/>
      <color rgb="FF1F3864"/>
      <name val="Arial"/>
    </font>
    <font>
      <b val="0"/>
      <i val="0"/>
      <sz val="11"/>
      <color rgb="FFBFBFBF"/>
      <name val="Arial"/>
    </font>
    <font>
      <b/>
      <i val="0"/>
      <sz val="11"/>
      <color rgb="FF2E7D42"/>
      <name val="Arial"/>
    </font>
    <font>
      <b val="0"/>
      <i val="0"/>
      <sz val="11"/>
      <color rgb="FF2E7D42"/>
      <name val="Arial"/>
    </font>
    <font>
      <b val="0"/>
      <i val="0"/>
      <sz val="10"/>
      <color rgb="FF3B3B3B"/>
      <name val="Aptos Narrow"/>
    </font>
  </fonts>
  <fills count="22">
    <fill>
      <patternFill patternType="none"/>
    </fill>
    <fill>
      <patternFill patternType="gray125"/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EAF3FC"/>
      </patternFill>
    </fill>
    <fill>
      <patternFill patternType="solid">
        <fgColor rgb="FF4A90D9"/>
      </patternFill>
    </fill>
    <fill>
      <patternFill patternType="solid">
        <fgColor rgb="FFFBEFD0"/>
      </patternFill>
    </fill>
    <fill>
      <patternFill patternType="solid">
        <fgColor rgb="FFFBF3DE"/>
      </patternFill>
    </fill>
    <fill>
      <patternFill patternType="solid">
        <fgColor rgb="FFEAF7EF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CEDE3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CEEF1"/>
      </patternFill>
    </fill>
    <fill>
      <patternFill patternType="solid">
        <fgColor rgb="FFFFFFCC"/>
      </patternFill>
    </fill>
  </fills>
  <borders count="15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3">
    <xf numFmtId="0" fontId="0" fillId="0" borderId="1"/>
    <xf numFmtId="1478" fontId="0" fillId="0" borderId="1" applyFont="0" applyFill="0" applyBorder="0" applyAlignment="0" applyProtection="0"/>
    <xf numFmtId="9" fontId="0" fillId="0" borderId="1" applyFont="0" applyFill="0" applyBorder="0" applyAlignment="0" applyProtection="0"/>
  </cellStyleXfs>
  <cellXfs count="135">
    <xf numFmtId="0" fontId="0" fillId="0" borderId="1" xfId="0"/>
    <xf numFmtId="0" fontId="8" fillId="2" borderId="4" xfId="0">
      <alignment horizontal="centerContinuous" vertical="center"/>
    </xf>
    <xf numFmtId="0" fontId="0" fillId="0" borderId="1" xfId="0" quotePrefix="1"/>
    <xf numFmtId="0" fontId="23" fillId="0" borderId="1" xfId="0">
      <alignment horizontal="center" vertical="center"/>
    </xf>
    <xf numFmtId="0" fontId="24" fillId="21" borderId="8" xfId="0">
      <alignment horizontal="center" vertical="center" wrapText="1"/>
      <protection locked="0"/>
    </xf>
    <xf numFmtId="0" fontId="2" fillId="0" borderId="1" xfId="0" quotePrefix="1"/>
    <xf numFmtId="1516" fontId="33" fillId="21" borderId="14" xfId="0">
      <alignment horizontal="center" vertical="center"/>
      <protection locked="0"/>
    </xf>
    <xf numFmtId="0" fontId="23" fillId="0" borderId="1" xfId="0">
      <alignment horizontal="right" vertical="center"/>
    </xf>
    <xf numFmtId="0" fontId="4" fillId="5" borderId="1" xfId="0">
      <alignment vertical="center"/>
    </xf>
    <xf numFmtId="0" fontId="4" fillId="8" borderId="1" xfId="0">
      <alignment horizontal="centerContinuous" vertical="center"/>
    </xf>
    <xf numFmtId="0" fontId="0" fillId="0" borderId="1" xfId="0">
      <alignment horizontal="centerContinuous" vertical="bottom"/>
    </xf>
    <xf numFmtId="0" fontId="3" fillId="2" borderId="2" xfId="0">
      <alignment horizontal="center" vertical="center" wrapText="1"/>
    </xf>
    <xf numFmtId="0" fontId="3" fillId="4" borderId="2" xfId="0">
      <alignment horizontal="center" vertical="center" wrapText="1"/>
    </xf>
    <xf numFmtId="0" fontId="3" fillId="3" borderId="2" xfId="0">
      <alignment horizontal="center" vertical="center" wrapText="1"/>
    </xf>
    <xf numFmtId="0" fontId="44" fillId="8" borderId="5" xfId="0" quotePrefix="1">
      <alignment horizontal="left" vertical="center" wrapText="1"/>
    </xf>
    <xf numFmtId="1514" fontId="30" fillId="0" borderId="3" xfId="0">
      <alignment horizontal="right" vertical="center"/>
    </xf>
    <xf numFmtId="1514" fontId="31" fillId="0" borderId="3" xfId="0">
      <alignment horizontal="right" vertical="center"/>
    </xf>
    <xf numFmtId="1514" fontId="32" fillId="0" borderId="3" xfId="0">
      <alignment horizontal="right" vertical="center"/>
    </xf>
    <xf numFmtId="1522" fontId="30" fillId="0" borderId="3" xfId="0">
      <alignment horizontal="right" vertical="center"/>
    </xf>
    <xf numFmtId="1523" fontId="30" fillId="0" borderId="3" xfId="0">
      <alignment horizontal="right" vertical="center"/>
    </xf>
    <xf numFmtId="0" fontId="7" fillId="18" borderId="2" xfId="0" quotePrefix="1">
      <alignment horizontal="left" vertical="center" wrapText="1"/>
    </xf>
    <xf numFmtId="2" fontId="33" fillId="21" borderId="14" xfId="0">
      <alignment horizontal="center" vertical="center"/>
      <protection locked="0"/>
    </xf>
    <xf numFmtId="1516" fontId="30" fillId="0" borderId="3" xfId="0">
      <alignment horizontal="right" vertical="center"/>
    </xf>
    <xf numFmtId="1516" fontId="31" fillId="0" borderId="3" xfId="0">
      <alignment horizontal="right" vertical="center"/>
    </xf>
    <xf numFmtId="1516" fontId="32" fillId="0" borderId="3" xfId="0">
      <alignment horizontal="right" vertical="center"/>
    </xf>
    <xf numFmtId="1524" fontId="30" fillId="0" borderId="3" xfId="0">
      <alignment horizontal="right" vertical="center"/>
    </xf>
    <xf numFmtId="0" fontId="0" fillId="0" borderId="3" xfId="0"/>
    <xf numFmtId="0" fontId="7" fillId="7" borderId="2" xfId="0" quotePrefix="1">
      <alignment horizontal="left" vertical="center" wrapText="1"/>
    </xf>
    <xf numFmtId="1515" fontId="32" fillId="0" borderId="3" xfId="0">
      <alignment horizontal="right" vertical="center"/>
    </xf>
    <xf numFmtId="1527" fontId="30" fillId="0" borderId="3" xfId="0">
      <alignment horizontal="right" vertical="center"/>
    </xf>
    <xf numFmtId="0" fontId="5" fillId="5" borderId="1" xfId="0">
      <alignment vertical="center"/>
    </xf>
    <xf numFmtId="0" fontId="35" fillId="2" borderId="3" xfId="0">
      <alignment horizontal="center" vertical="center"/>
    </xf>
    <xf numFmtId="0" fontId="6" fillId="6" borderId="3" xfId="0">
      <alignment horizontal="center" vertical="center" wrapText="1"/>
    </xf>
    <xf numFmtId="0" fontId="7" fillId="8" borderId="5" xfId="0" quotePrefix="1">
      <alignment horizontal="left" vertical="center" wrapText="1"/>
    </xf>
    <xf numFmtId="1516" fontId="34" fillId="12" borderId="3" xfId="0">
      <alignment horizontal="center" vertical="center"/>
    </xf>
    <xf numFmtId="1480" fontId="0" fillId="0" borderId="1" xfId="2"/>
    <xf numFmtId="1480" fontId="0" fillId="0" borderId="1" xfId="0" quotePrefix="1"/>
    <xf numFmtId="0" fontId="5" fillId="5" borderId="1" xfId="0" quotePrefix="1">
      <alignment vertical="center"/>
    </xf>
    <xf numFmtId="0" fontId="7" fillId="12" borderId="6" xfId="0" quotePrefix="1">
      <alignment horizontal="left" vertical="center"/>
    </xf>
    <xf numFmtId="0" fontId="32" fillId="2" borderId="1" xfId="0">
      <alignment horizontal="left" vertical="center"/>
    </xf>
    <xf numFmtId="1514" fontId="33" fillId="21" borderId="14" xfId="0">
      <alignment horizontal="center" vertical="center"/>
      <protection locked="0"/>
    </xf>
    <xf numFmtId="1514" fontId="34" fillId="12" borderId="3" xfId="0">
      <alignment horizontal="center" vertical="center"/>
    </xf>
    <xf numFmtId="1481" fontId="0" fillId="0" borderId="1" xfId="0"/>
    <xf numFmtId="1482" fontId="0" fillId="0" borderId="1" xfId="1"/>
    <xf numFmtId="0" fontId="9" fillId="2" borderId="4" xfId="0">
      <alignment vertical="center"/>
    </xf>
    <xf numFmtId="0" fontId="0" fillId="0" borderId="4" xfId="0"/>
    <xf numFmtId="0" fontId="37" fillId="3" borderId="1" xfId="0">
      <alignment horizontal="centerContinuous" vertical="center" wrapText="1"/>
    </xf>
    <xf numFmtId="0" fontId="0" fillId="3" borderId="1" xfId="0">
      <alignment horizontal="centerContinuous" vertical="bottom"/>
    </xf>
    <xf numFmtId="0" fontId="37" fillId="4" borderId="1" xfId="0">
      <alignment horizontal="centerContinuous" vertical="center" wrapText="1"/>
    </xf>
    <xf numFmtId="0" fontId="0" fillId="4" borderId="1" xfId="0">
      <alignment horizontal="centerContinuous" vertical="bottom"/>
    </xf>
    <xf numFmtId="0" fontId="37" fillId="2" borderId="1" xfId="0">
      <alignment horizontal="centerContinuous" vertical="center" wrapText="1"/>
    </xf>
    <xf numFmtId="0" fontId="0" fillId="2" borderId="1" xfId="0">
      <alignment horizontal="centerContinuous" vertical="bottom"/>
    </xf>
    <xf numFmtId="0" fontId="37" fillId="20" borderId="1" xfId="0">
      <alignment horizontal="centerContinuous" vertical="center" wrapText="1"/>
    </xf>
    <xf numFmtId="0" fontId="0" fillId="20" borderId="1" xfId="0">
      <alignment horizontal="centerContinuous" vertical="bottom"/>
    </xf>
    <xf numFmtId="0" fontId="37" fillId="10" borderId="1" xfId="0">
      <alignment horizontal="centerContinuous" vertical="center" wrapText="1"/>
    </xf>
    <xf numFmtId="0" fontId="0" fillId="10" borderId="1" xfId="0">
      <alignment horizontal="centerContinuous" vertical="bottom"/>
    </xf>
    <xf numFmtId="0" fontId="0" fillId="0" borderId="1" xfId="0"/>
    <xf numFmtId="1514" fontId="38" fillId="0" borderId="1" xfId="0">
      <alignment horizontal="centerContinuous" vertical="center"/>
    </xf>
    <xf numFmtId="1516" fontId="38" fillId="0" borderId="1" xfId="0">
      <alignment horizontal="centerContinuous" vertical="center"/>
    </xf>
    <xf numFmtId="1515" fontId="38" fillId="0" borderId="1" xfId="0">
      <alignment horizontal="centerContinuous" vertical="center"/>
    </xf>
    <xf numFmtId="1488" fontId="25" fillId="7" borderId="12" xfId="0">
      <alignment horizontal="centerContinuous" vertical="center" wrapText="1"/>
    </xf>
    <xf numFmtId="1488" fontId="25" fillId="7" borderId="1" xfId="0">
      <alignment horizontal="centerContinuous" vertical="center" wrapText="1"/>
    </xf>
    <xf numFmtId="1488" fontId="25" fillId="7" borderId="13" xfId="0">
      <alignment horizontal="centerContinuous" vertical="center" wrapText="1"/>
    </xf>
    <xf numFmtId="1488" fontId="26" fillId="7" borderId="12" xfId="0">
      <alignment horizontal="centerContinuous" vertical="center" wrapText="1"/>
    </xf>
    <xf numFmtId="1488" fontId="26" fillId="7" borderId="1" xfId="0">
      <alignment horizontal="centerContinuous" vertical="center" wrapText="1"/>
    </xf>
    <xf numFmtId="1488" fontId="26" fillId="7" borderId="13" xfId="0">
      <alignment horizontal="centerContinuous" vertical="center" wrapText="1"/>
    </xf>
    <xf numFmtId="1480" fontId="27" fillId="7" borderId="12" xfId="0">
      <alignment horizontal="centerContinuous" vertical="center" wrapText="1"/>
    </xf>
    <xf numFmtId="1480" fontId="27" fillId="7" borderId="1" xfId="0">
      <alignment horizontal="centerContinuous" vertical="center" wrapText="1"/>
    </xf>
    <xf numFmtId="1480" fontId="27" fillId="7" borderId="13" xfId="0">
      <alignment horizontal="centerContinuous" vertical="center" wrapText="1"/>
    </xf>
    <xf numFmtId="1506" fontId="28" fillId="7" borderId="12" xfId="0">
      <alignment horizontal="centerContinuous" vertical="center" wrapText="1"/>
    </xf>
    <xf numFmtId="1506" fontId="28" fillId="7" borderId="1" xfId="0">
      <alignment horizontal="centerContinuous" vertical="center" wrapText="1"/>
    </xf>
    <xf numFmtId="1506" fontId="28" fillId="7" borderId="13" xfId="0">
      <alignment horizontal="centerContinuous" vertical="center" wrapText="1"/>
    </xf>
    <xf numFmtId="1488" fontId="25" fillId="7" borderId="9" xfId="0">
      <alignment horizontal="centerContinuous" vertical="center" wrapText="1"/>
    </xf>
    <xf numFmtId="1488" fontId="25" fillId="7" borderId="10" xfId="0">
      <alignment horizontal="centerContinuous" vertical="center" wrapText="1"/>
    </xf>
    <xf numFmtId="1488" fontId="25" fillId="7" borderId="11" xfId="0">
      <alignment horizontal="centerContinuous" vertical="center" wrapText="1"/>
    </xf>
    <xf numFmtId="1488" fontId="26" fillId="7" borderId="9" xfId="0">
      <alignment vertical="center" wrapText="1"/>
    </xf>
    <xf numFmtId="1488" fontId="26" fillId="7" borderId="10" xfId="0">
      <alignment vertical="center" wrapText="1"/>
    </xf>
    <xf numFmtId="1488" fontId="26" fillId="7" borderId="11" xfId="0">
      <alignment vertical="center" wrapText="1"/>
    </xf>
    <xf numFmtId="1480" fontId="27" fillId="7" borderId="9" xfId="0">
      <alignment vertical="center" wrapText="1"/>
    </xf>
    <xf numFmtId="1480" fontId="27" fillId="7" borderId="10" xfId="0">
      <alignment vertical="center" wrapText="1"/>
    </xf>
    <xf numFmtId="1480" fontId="27" fillId="7" borderId="11" xfId="0">
      <alignment vertical="center" wrapText="1"/>
    </xf>
    <xf numFmtId="1506" fontId="28" fillId="7" borderId="9" xfId="0">
      <alignment vertical="center" wrapText="1"/>
    </xf>
    <xf numFmtId="1506" fontId="28" fillId="7" borderId="10" xfId="0">
      <alignment vertical="center" wrapText="1"/>
    </xf>
    <xf numFmtId="1506" fontId="28" fillId="7" borderId="11" xfId="0">
      <alignment vertical="center" wrapText="1"/>
    </xf>
    <xf numFmtId="1478" fontId="10" fillId="0" borderId="1" xfId="1">
      <alignment vertical="center"/>
    </xf>
    <xf numFmtId="1483" fontId="0" fillId="0" borderId="1" xfId="1"/>
    <xf numFmtId="0" fontId="11" fillId="8" borderId="1" xfId="0">
      <alignment vertical="center"/>
    </xf>
    <xf numFmtId="0" fontId="11" fillId="8" borderId="1" xfId="0">
      <alignment horizontal="left" vertical="center" indent="1"/>
    </xf>
    <xf numFmtId="1478" fontId="29" fillId="0" borderId="1" xfId="1"/>
    <xf numFmtId="0" fontId="12" fillId="9" borderId="3" xfId="0">
      <alignment horizontal="center" vertical="center"/>
    </xf>
    <xf numFmtId="0" fontId="36" fillId="2" borderId="3" xfId="0" quotePrefix="1">
      <alignment horizontal="center" vertical="center" wrapText="1"/>
    </xf>
    <xf numFmtId="0" fontId="3" fillId="10" borderId="2" xfId="0" quotePrefix="1">
      <alignment horizontal="center" vertical="center" wrapText="1"/>
    </xf>
    <xf numFmtId="0" fontId="3" fillId="4" borderId="2" xfId="0" quotePrefix="1">
      <alignment horizontal="center" vertical="center" wrapText="1"/>
    </xf>
    <xf numFmtId="1478" fontId="29" fillId="0" borderId="1" xfId="0" quotePrefix="1"/>
    <xf numFmtId="0" fontId="13" fillId="0" borderId="3" xfId="0">
      <alignment horizontal="left" vertical="center"/>
    </xf>
    <xf numFmtId="2" fontId="30" fillId="0" borderId="3" xfId="0">
      <alignment horizontal="right" vertical="center"/>
    </xf>
    <xf numFmtId="1515" fontId="39" fillId="21" borderId="3" xfId="0">
      <alignment horizontal="center" vertical="center"/>
      <protection locked="0"/>
    </xf>
    <xf numFmtId="1514" fontId="40" fillId="0" borderId="3" xfId="0">
      <alignment horizontal="right" vertical="center"/>
    </xf>
    <xf numFmtId="0" fontId="41" fillId="0" borderId="3" xfId="0">
      <alignment horizontal="left" vertical="center"/>
    </xf>
    <xf numFmtId="1483" fontId="0" fillId="0" borderId="1" xfId="1" quotePrefix="1"/>
    <xf numFmtId="0" fontId="13" fillId="0" borderId="3" xfId="0" quotePrefix="1">
      <alignment horizontal="left" vertical="center"/>
    </xf>
    <xf numFmtId="0" fontId="11" fillId="5" borderId="1" xfId="0">
      <alignment vertical="center"/>
    </xf>
    <xf numFmtId="1515" fontId="30" fillId="0" borderId="3" xfId="0">
      <alignment horizontal="right" vertical="center"/>
    </xf>
    <xf numFmtId="0" fontId="4" fillId="8" borderId="2" xfId="0">
      <alignment horizontal="left" vertical="center"/>
    </xf>
    <xf numFmtId="0" fontId="0" fillId="8" borderId="2" xfId="0"/>
    <xf numFmtId="1515" fontId="34" fillId="0" borderId="3" xfId="0">
      <alignment horizontal="right" vertical="center"/>
    </xf>
    <xf numFmtId="1514" fontId="34" fillId="0" borderId="3" xfId="0">
      <alignment horizontal="right" vertical="center"/>
    </xf>
    <xf numFmtId="1516" fontId="34" fillId="0" borderId="3" xfId="0">
      <alignment horizontal="right" vertical="center"/>
    </xf>
    <xf numFmtId="0" fontId="21" fillId="17" borderId="2" xfId="0">
      <alignment horizontal="left" vertical="center"/>
    </xf>
    <xf numFmtId="0" fontId="0" fillId="17" borderId="2" xfId="0"/>
    <xf numFmtId="1515" fontId="34" fillId="17" borderId="3" xfId="0">
      <alignment horizontal="right" vertical="center"/>
    </xf>
    <xf numFmtId="1514" fontId="34" fillId="17" borderId="3" xfId="0">
      <alignment horizontal="right" vertical="center"/>
    </xf>
    <xf numFmtId="1516" fontId="34" fillId="17" borderId="3" xfId="0">
      <alignment horizontal="right" vertical="center"/>
    </xf>
    <xf numFmtId="0" fontId="22" fillId="2" borderId="2" xfId="0">
      <alignment horizontal="left" vertical="center"/>
    </xf>
    <xf numFmtId="0" fontId="0" fillId="2" borderId="2" xfId="0"/>
    <xf numFmtId="1478" fontId="0" fillId="0" borderId="1" xfId="1"/>
    <xf numFmtId="0" fontId="14" fillId="11" borderId="1" xfId="0">
      <alignment horizontal="left" vertical="bottom"/>
    </xf>
    <xf numFmtId="0" fontId="14" fillId="11" borderId="1" xfId="0">
      <alignment horizontal="centerContinuous" vertical="bottom"/>
    </xf>
    <xf numFmtId="0" fontId="14" fillId="11" borderId="1" xfId="0"/>
    <xf numFmtId="0" fontId="15" fillId="0" borderId="1" xfId="0"/>
    <xf numFmtId="0" fontId="34" fillId="0" borderId="1" xfId="0">
      <alignment horizontal="left" vertical="center"/>
    </xf>
    <xf numFmtId="49" fontId="33" fillId="21" borderId="14" xfId="0">
      <alignment horizontal="center" vertical="center" wrapText="1"/>
      <protection locked="0"/>
    </xf>
    <xf numFmtId="49" fontId="33" fillId="21" borderId="14" xfId="0">
      <alignment horizontal="center" vertical="center" wrapText="1"/>
      <protection locked="0"/>
    </xf>
    <xf numFmtId="0" fontId="16" fillId="13" borderId="7" xfId="0">
      <alignment horizontal="center" vertical="center" wrapText="1"/>
    </xf>
    <xf numFmtId="0" fontId="17" fillId="3" borderId="7" xfId="0">
      <alignment horizontal="left" vertical="center"/>
    </xf>
    <xf numFmtId="1514" fontId="42" fillId="0" borderId="3" xfId="0">
      <alignment horizontal="right" vertical="center"/>
    </xf>
    <xf numFmtId="0" fontId="18" fillId="14" borderId="7" xfId="0">
      <alignment horizontal="left" vertical="center"/>
    </xf>
    <xf numFmtId="0" fontId="19" fillId="7" borderId="7" xfId="0">
      <alignment horizontal="left" vertical="center"/>
    </xf>
    <xf numFmtId="1514" fontId="43" fillId="0" borderId="3" xfId="0">
      <alignment horizontal="right" vertical="center"/>
    </xf>
    <xf numFmtId="0" fontId="17" fillId="4" borderId="7" xfId="0">
      <alignment horizontal="left" vertical="center"/>
    </xf>
    <xf numFmtId="0" fontId="17" fillId="10" borderId="7" xfId="0">
      <alignment horizontal="left" vertical="center"/>
    </xf>
    <xf numFmtId="0" fontId="17" fillId="15" borderId="7" xfId="0">
      <alignment horizontal="left" vertical="center"/>
    </xf>
    <xf numFmtId="0" fontId="17" fillId="16" borderId="7" xfId="0">
      <alignment horizontal="left" vertical="center"/>
    </xf>
    <xf numFmtId="0" fontId="20" fillId="13" borderId="7" xfId="0"/>
    <xf numFmtId="0" fontId="1" fillId="0" borderId="1" xfId="0" quotePrefix="1"/>
  </cellXfs>
  <cellStyles count="4">
    <cellStyle name="Normal" xfId="0" builtinId="0"/>
    <cellStyle name="Milliers" xfId="1"/>
    <cellStyle name="Milliers 2" xfId="1"/>
    <cellStyle name="Pourcentage" xfId="2"/>
  </cellStyles>
  <dxfs count="2">
    <dxf>
      <font>
        <b/>
        <color rgb="FF2E7D42"/>
      </font>
    </dxf>
    <dxf>
      <font>
        <b/>
        <color rgb="FFC0392B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045462-69A8-29C3-6EF7-18BE603399B8}" mc:Ignorable="x14ac xr xr2 xr3">
  <dimension ref="A1:AB32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t="s">
        <v>0</v>
      </c>
      <c r="B1">
        <f>cad!A65546</f>
        <v>0</v>
      </c>
    </row>
    <row r="2" ht="14.25" customHeight="1">
      <c r="A2" t="s">
        <v>1</v>
      </c>
      <c r="B2">
        <f>Socle!A65536</f>
        <v>0</v>
      </c>
    </row>
    <row r="3" ht="14.25" customHeight="1">
      <c r="A3" t="s">
        <v>2</v>
      </c>
      <c r="B3">
        <f>Campagne!A65536</f>
        <v>0</v>
      </c>
    </row>
    <row r="4" ht="14.25" customHeight="1">
      <c r="A4" t="s">
        <v>3</v>
      </c>
      <c r="B4">
        <f>Moteur!A65536</f>
        <v>0</v>
      </c>
    </row>
    <row r="5" ht="14.25" customHeight="1">
      <c r="A5" t="s">
        <v>4</v>
      </c>
      <c r="B5">
        <f>Compta!A65536</f>
        <v>0</v>
      </c>
    </row>
    <row r="6" ht="14.25" customHeight="1">
      <c r="A6" t="s">
        <v>5</v>
      </c>
      <c r="B6">
        <f>PNL!A65536</f>
        <v>0</v>
      </c>
    </row>
    <row r="7" ht="14.25" customHeight="1">
      <c r="A7" t="s">
        <v>6</v>
      </c>
      <c r="B7">
        <f>PIL!A65538</f>
        <v>0</v>
      </c>
    </row>
    <row r="9" ht="14.25" customHeight="1">
      <c r="A9" t="s">
        <v>7</v>
      </c>
      <c r="B9">
        <f>Allocation!A65536</f>
        <v>0</v>
      </c>
    </row>
    <row r="10" ht="14.25" customHeight="1">
      <c r="A10" t="s">
        <v>8</v>
      </c>
      <c r="B10">
        <f>ALLOC!B65537</f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8C56B88-2D77-1768-6AB7-E5BD73111168}" mc:Ignorable="x14ac xr xr2 xr3">
  <dimension ref="A1:U69"/>
  <sheetViews>
    <sheetView showGridLines="0" topLeftCell="A1" zoomScale="90" workbookViewId="0">
      <selection activeCell="B5" sqref="B5"/>
    </sheetView>
  </sheetViews>
  <sheetFormatPr defaultRowHeight="14.25" defaultColWidth="9.140625" customHeight="1"/>
  <cols>
    <col min="1" max="1" width="2.57421875" customWidth="1"/>
    <col min="2" max="2" width="45.421875" customWidth="1"/>
    <col min="3" max="3" width="17.421875" customWidth="1"/>
    <col min="5" max="5" width="23.00390625" customWidth="1"/>
    <col min="7" max="7" width="19.8515625" customWidth="1"/>
    <col min="8" max="8" width="1.8515625" customWidth="1"/>
    <col min="9" max="9" width="15.57421875" customWidth="1"/>
    <col min="10" max="10" width="15.8515625" customWidth="1"/>
  </cols>
  <sheetData>
    <row r="1" ht="14.25" customHeight="1">
      <c r="P1" t="str">
        <f>IF(cad!$C$5="Optimiste","V02",IF(cad!$C$5="Prudent","V03","V01"))</f>
        <v>V02</v>
      </c>
    </row>
    <row r="2" ht="21.75" customHeight="1">
      <c r="B2" s="1" t="s">
        <v>10</v>
      </c>
      <c r="C2" s="1"/>
      <c r="D2" s="1"/>
      <c r="E2" s="1"/>
      <c r="F2" s="1"/>
      <c r="G2" s="1"/>
      <c r="H2" s="1"/>
    </row>
    <row r="3" ht="15" customHeight="1"/>
    <row r="4" ht="15" customHeight="1">
      <c r="K4" s="2"/>
    </row>
    <row r="5" ht="16.5" customHeight="1">
      <c r="B5" s="3" t="s">
        <v>11</v>
      </c>
      <c r="C5" s="4" t="s">
        <v>12</v>
      </c>
      <c r="E5" s="5" t="s">
        <v>13</v>
      </c>
      <c r="F5" s="6">
        <v>0.05</v>
      </c>
      <c r="J5" s="2"/>
    </row>
    <row r="6" ht="14.25" customHeight="1">
      <c r="B6" s="7"/>
      <c r="E6" s="5" t="s">
        <v>14</v>
      </c>
      <c r="F6" s="6">
        <v>0.15</v>
      </c>
    </row>
    <row r="8" ht="14.25" customHeight="1">
      <c r="B8" s="8" t="s">
        <v>15</v>
      </c>
      <c r="C8" s="8"/>
      <c r="D8" s="8"/>
      <c r="E8" s="8"/>
      <c r="F8" s="8"/>
      <c r="G8" s="8"/>
      <c r="I8" s="9" t="s">
        <v>16</v>
      </c>
      <c r="J8" s="10"/>
    </row>
    <row r="10" ht="14.25" customHeight="1">
      <c r="B10" s="11" t="s">
        <v>17</v>
      </c>
      <c r="C10" s="12" t="s">
        <v>18</v>
      </c>
      <c r="D10" s="12" t="s">
        <v>19</v>
      </c>
      <c r="E10" s="12" t="s">
        <v>20</v>
      </c>
      <c r="F10" s="12" t="s">
        <v>21</v>
      </c>
      <c r="G10" s="12" t="s">
        <v>22</v>
      </c>
      <c r="I10" s="11" t="s">
        <v>23</v>
      </c>
      <c r="J10" s="13" t="s">
        <v>24</v>
      </c>
    </row>
    <row r="11" ht="15.75" customHeight="1" hidden="1">
      <c r="C11" s="2" t="s">
        <v>25</v>
      </c>
    </row>
    <row r="12" ht="15" customHeight="1">
      <c r="B12" s="14" t="s">
        <v>26</v>
      </c>
      <c r="C12" s="15">
        <v>22544725</v>
      </c>
      <c r="D12" s="16">
        <f>C12*(1+cad!$F$5)</f>
        <v>23671961.25</v>
      </c>
      <c r="E12" s="17" t="e">
        <f>_xlfn.SUMIFS(Moteur!$R$1:$R$175,Moteur!$B$1:$B$175,cad!$P$1)</f>
        <v>#VALUE!</v>
      </c>
      <c r="F12" s="18" t="e">
        <f t="shared" si="0" ref="F12:F14">E12-D12</f>
        <v>#VALUE!</v>
      </c>
      <c r="G12" s="19">
        <f t="shared" si="1" ref="G12:G13">_xlfn.IFERROR(E12/D12-1,0)</f>
        <v>0</v>
      </c>
      <c r="I12" s="20" t="s">
        <v>27</v>
      </c>
      <c r="J12" s="21">
        <v>1.2</v>
      </c>
    </row>
    <row r="13" ht="15" customHeight="1">
      <c r="B13" s="14" t="s">
        <v>28</v>
      </c>
      <c r="C13" s="15">
        <v>3291530</v>
      </c>
      <c r="D13" s="16">
        <f>D12*cad!$F$6</f>
        <v>3550794.1875</v>
      </c>
      <c r="E13" s="17" t="e">
        <f>_xlfn.SUMIFS(_CALC_PNL!$T$1:$T$1347,_CALC_PNL!$D$1:$D$1347,cad!$P$1,_CALC_PNL!$C$1:$C$1347,"2027")</f>
        <v>#VALUE!</v>
      </c>
      <c r="F13" s="18" t="e">
        <f t="shared" si="0"/>
        <v>#VALUE!</v>
      </c>
      <c r="G13" s="19">
        <f t="shared" si="1"/>
        <v>0</v>
      </c>
      <c r="I13" s="20" t="s">
        <v>29</v>
      </c>
      <c r="J13" s="21">
        <v>1.15</v>
      </c>
    </row>
    <row r="14" ht="15" customHeight="1">
      <c r="B14" s="14" t="s">
        <v>30</v>
      </c>
      <c r="C14" s="22">
        <f t="shared" si="2" ref="C14:E14">_xlfn.IFERROR(C13/C12,0)</f>
        <v>0.146000006653441</v>
      </c>
      <c r="D14" s="23">
        <f>cad!$F$6</f>
        <v>0.15</v>
      </c>
      <c r="E14" s="24">
        <f t="shared" si="2"/>
        <v>0</v>
      </c>
      <c r="F14" s="25">
        <f t="shared" si="0"/>
        <v>-0.15</v>
      </c>
      <c r="G14" s="26"/>
      <c r="I14" s="27" t="s">
        <v>31</v>
      </c>
      <c r="J14" s="21">
        <v>0.95</v>
      </c>
    </row>
    <row r="15" ht="15" customHeight="1">
      <c r="B15" s="14" t="s">
        <v>32</v>
      </c>
      <c r="C15" s="15">
        <v>3036</v>
      </c>
      <c r="D15" s="26"/>
      <c r="E15" s="28" t="e">
        <f>_xlfn.SUMIFS(Moteur!$P$1:$P$175,Moteur!$B$1:$B$175,cad!$P$1)</f>
        <v>#VALUE!</v>
      </c>
      <c r="F15" s="29" t="e">
        <f>E15-#REF!</f>
        <v>#VALUE!</v>
      </c>
      <c r="G15" s="19">
        <f>_xlfn.IFERROR(E15/#REF!-1,0)</f>
        <v>0</v>
      </c>
      <c r="I15" s="20" t="s">
        <v>33</v>
      </c>
      <c r="J15" s="21">
        <v>0.9</v>
      </c>
    </row>
    <row r="16" ht="15" customHeight="1">
      <c r="I16" s="27" t="s">
        <v>34</v>
      </c>
      <c r="J16" s="21">
        <v>1.05</v>
      </c>
    </row>
    <row r="17" ht="14.25" customHeight="1">
      <c r="B17" s="2"/>
    </row>
    <row r="19" ht="14.25" customHeight="1">
      <c r="B19" s="30" t="s">
        <v>35</v>
      </c>
    </row>
    <row r="21" ht="24" customHeight="1">
      <c r="B21" s="11" t="s">
        <v>36</v>
      </c>
      <c r="C21" s="31" t="str">
        <f t="shared" si="3" ref="C21:E21">C22</f>
        <v>Cadrage</v>
      </c>
      <c r="D21" s="31" t="str">
        <f t="shared" si="3"/>
        <v>Optimiste</v>
      </c>
      <c r="E21" s="31" t="str">
        <f t="shared" si="3"/>
        <v>Prudent</v>
      </c>
      <c r="F21" s="32" t="s">
        <v>39</v>
      </c>
    </row>
    <row r="22" ht="15.75" customHeight="1" hidden="1">
      <c r="C22" s="2" t="s">
        <v>37</v>
      </c>
      <c r="D22" s="2" t="s">
        <v>12</v>
      </c>
      <c r="E22" s="2" t="s">
        <v>38</v>
      </c>
    </row>
    <row r="23" ht="15" customHeight="1">
      <c r="B23" s="33" t="s">
        <v>40</v>
      </c>
      <c r="C23" s="6">
        <v>0.08</v>
      </c>
      <c r="D23" s="6">
        <v>0.15</v>
      </c>
      <c r="E23" s="6">
        <v>-0.05</v>
      </c>
      <c r="F23" s="34" t="e">
        <v>#N/A</v>
      </c>
    </row>
    <row r="24" ht="15" customHeight="1">
      <c r="B24" s="33" t="s">
        <v>41</v>
      </c>
      <c r="C24" s="6">
        <v>0.1</v>
      </c>
      <c r="D24" s="6">
        <v>0.2</v>
      </c>
      <c r="E24" s="6">
        <v>-0.05</v>
      </c>
      <c r="F24" s="34" t="e">
        <v>#N/A</v>
      </c>
    </row>
    <row r="25" ht="15" customHeight="1">
      <c r="B25" s="33" t="s">
        <v>42</v>
      </c>
      <c r="C25" s="6">
        <v>0.02</v>
      </c>
      <c r="D25" s="6">
        <v>0.035</v>
      </c>
      <c r="E25" s="6">
        <v>0.02</v>
      </c>
      <c r="F25" s="34" t="e">
        <v>#N/A</v>
      </c>
    </row>
    <row r="26" ht="15" customHeight="1">
      <c r="B26" s="33" t="s">
        <v>43</v>
      </c>
      <c r="C26" s="6">
        <v>0.01</v>
      </c>
      <c r="D26" s="6">
        <v>0.03</v>
      </c>
      <c r="E26" s="6">
        <v>-0.01</v>
      </c>
      <c r="F26" s="34" t="e">
        <v>#N/A</v>
      </c>
    </row>
    <row r="27" ht="15" customHeight="1">
      <c r="B27" s="33" t="s">
        <v>44</v>
      </c>
      <c r="C27" s="6">
        <v>0.01</v>
      </c>
      <c r="D27" s="6">
        <v>0.025</v>
      </c>
      <c r="E27" s="6">
        <v>-0.01</v>
      </c>
      <c r="F27" s="34" t="e">
        <v>#N/A</v>
      </c>
    </row>
    <row r="28" ht="15" customHeight="1">
      <c r="B28" s="33" t="s">
        <v>45</v>
      </c>
      <c r="C28" s="6">
        <v>0.005</v>
      </c>
      <c r="D28" s="6">
        <v>0.015</v>
      </c>
      <c r="E28" s="6">
        <v>-0.01</v>
      </c>
      <c r="F28" s="34" t="e">
        <v>#N/A</v>
      </c>
    </row>
    <row r="29" ht="14.25" customHeight="1">
      <c r="A29" s="35"/>
      <c r="B29" s="36"/>
      <c r="C29" s="35"/>
      <c r="D29" s="35"/>
      <c r="E29" s="35"/>
    </row>
    <row r="30" ht="15.75" customHeight="1">
      <c r="B30" s="37" t="s">
        <v>46</v>
      </c>
      <c r="C30" s="35"/>
      <c r="D30" s="35"/>
      <c r="E30" s="35"/>
    </row>
    <row r="31" ht="14.25" customHeight="1">
      <c r="A31" s="35"/>
      <c r="B31" s="36"/>
      <c r="C31" s="35"/>
      <c r="D31" s="35"/>
      <c r="E31" s="35"/>
    </row>
    <row r="32" ht="15" customHeight="1">
      <c r="B32" s="38" t="s">
        <v>47</v>
      </c>
      <c r="C32" s="6">
        <v>0.02</v>
      </c>
      <c r="D32" s="6">
        <v>0.015</v>
      </c>
      <c r="E32" s="6">
        <v>0.03</v>
      </c>
      <c r="F32" s="34">
        <f>INDEX(C32:E32,MATCH(cad!$C$5,$C$22:$E$22,0))</f>
        <v>0.015</v>
      </c>
    </row>
    <row r="33" ht="15" customHeight="1">
      <c r="B33" s="38" t="s">
        <v>48</v>
      </c>
      <c r="C33" s="6">
        <v>0.025</v>
      </c>
      <c r="D33" s="6">
        <v>0.02</v>
      </c>
      <c r="E33" s="6">
        <v>0.03</v>
      </c>
      <c r="F33" s="34">
        <f>INDEX(C33:E33,MATCH(cad!$C$5,$C$22:$E$22,0))</f>
        <v>0.02</v>
      </c>
    </row>
    <row r="34" ht="15" customHeight="1">
      <c r="B34" s="38" t="s">
        <v>49</v>
      </c>
      <c r="C34" s="6">
        <v>0.04</v>
      </c>
      <c r="D34" s="6">
        <v>0.03</v>
      </c>
      <c r="E34" s="6">
        <v>0.05</v>
      </c>
      <c r="F34" s="34">
        <f>INDEX(C34:E34,MATCH(cad!$C$5,$C$22:$E$22,0))</f>
        <v>0.03</v>
      </c>
    </row>
    <row r="35" ht="15" customHeight="1">
      <c r="B35" s="38" t="s">
        <v>50</v>
      </c>
      <c r="C35" s="6">
        <v>0.01</v>
      </c>
      <c r="D35" s="6">
        <v>0.03</v>
      </c>
      <c r="E35" s="6"/>
      <c r="F35" s="34">
        <f>INDEX(C35:E35,MATCH(cad!$C$5,$C$22:$E$22,0))</f>
        <v>0.03</v>
      </c>
    </row>
    <row r="36" ht="15" customHeight="1">
      <c r="B36" s="38" t="s">
        <v>51</v>
      </c>
      <c r="C36" s="6"/>
      <c r="D36" s="6">
        <v>-0.03</v>
      </c>
      <c r="E36" s="6">
        <v>0.04</v>
      </c>
      <c r="F36" s="34">
        <f>INDEX(C36:E36,MATCH(cad!$C$5,$C$22:$E$22,0))</f>
        <v>-0.03</v>
      </c>
    </row>
    <row r="37" ht="14.25" customHeight="1">
      <c r="A37" s="35"/>
      <c r="B37" s="35"/>
      <c r="C37" s="35"/>
      <c r="D37" s="35"/>
      <c r="E37" s="35"/>
    </row>
    <row r="38" ht="14.25" customHeight="1">
      <c r="B38" s="39" t="s">
        <v>52</v>
      </c>
    </row>
    <row r="39" ht="15" customHeight="1">
      <c r="B39" s="27" t="s">
        <v>53</v>
      </c>
      <c r="C39" s="40">
        <v>90</v>
      </c>
      <c r="D39" s="40">
        <v>90</v>
      </c>
      <c r="E39" s="40">
        <v>90</v>
      </c>
      <c r="F39" s="41">
        <f>INDEX(C39:E39,MATCH(cad!$C$5,$C$22:$E$22,0))</f>
        <v>90</v>
      </c>
    </row>
    <row r="40" ht="14.25" customHeight="1">
      <c r="B40" s="2"/>
      <c r="C40" s="42"/>
      <c r="D40" s="42"/>
      <c r="E40" s="42"/>
    </row>
    <row r="57" ht="14.25" customHeight="1">
      <c r="H57" s="2"/>
    </row>
    <row r="58" ht="14.25" customHeight="1">
      <c r="G58" s="2"/>
      <c r="H58" s="43"/>
    </row>
    <row r="59" ht="14.25" customHeight="1">
      <c r="G59" s="2"/>
      <c r="H59" s="43"/>
    </row>
    <row r="60" ht="14.25" customHeight="1" hidden="1">
      <c r="H60" s="2"/>
    </row>
    <row r="61" ht="14.25" customHeight="1">
      <c r="G61" s="2"/>
      <c r="H61" s="43"/>
    </row>
    <row r="67" ht="14.25" customHeight="1" hidden="1">
      <c r="H67" s="2"/>
    </row>
    <row r="68" ht="14.25" customHeight="1">
      <c r="G68" s="2"/>
    </row>
    <row r="69" ht="14.25" customHeight="1">
      <c r="G69" s="2"/>
    </row>
  </sheetData>
  <sheetProtection sheet="1" sort="1" autoFilter="0" objects="1"/>
  <conditionalFormatting sqref="F12:G15">
    <cfRule type="cellIs" dxfId="0" priority="1" operator="greaterThan" text="null">
      <formula>0</formula>
    </cfRule>
  </conditionalFormatting>
  <conditionalFormatting sqref="F12:G15">
    <cfRule type="cellIs" dxfId="1" priority="2" operator="lessThan" text="null">
      <formula>0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4B49977-6EC7-DA08-2FC1-089EB87CD74F}" mc:Ignorable="x14ac xr xr2 xr3">
  <dimension ref="A1:X62"/>
  <sheetViews>
    <sheetView showGridLines="0" topLeftCell="A1" workbookViewId="0">
      <selection activeCell="U13" sqref="U13:W14"/>
    </sheetView>
  </sheetViews>
  <sheetFormatPr defaultRowHeight="14.25" defaultColWidth="9.140625" customHeight="1"/>
  <cols>
    <col min="1" max="1" width="10.7109375" customWidth="1"/>
    <col min="2" max="6" width="12.57421875" customWidth="1"/>
    <col min="7" max="7" style="85" width="12.57421875" customWidth="1"/>
    <col min="8" max="9" style="35" width="12.57421875" customWidth="1"/>
    <col min="10" max="11" style="115" width="12.57421875" customWidth="1"/>
    <col min="12" max="12" style="115" width="12.57421875" hidden="1" customWidth="1"/>
    <col min="13" max="13" style="115" width="12.57421875" customWidth="1"/>
    <col min="14" max="15" style="85" width="12.57421875" customWidth="1"/>
    <col min="16" max="19" width="12.57421875" customWidth="1"/>
    <col min="21" max="21" width="11.8515625" customWidth="1"/>
    <col min="22" max="22" width="13.00390625" customWidth="1"/>
    <col min="23" max="23" width="12.00390625" customWidth="1"/>
  </cols>
  <sheetData>
    <row r="2" ht="15" customHeight="1">
      <c r="B2" s="44" t="s">
        <v>54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3" ht="14.25" customHeight="1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</row>
    <row r="4" ht="15" customHeight="1"/>
    <row r="6" ht="26.25" customHeight="1">
      <c r="B6" s="46" t="s">
        <v>55</v>
      </c>
      <c r="C6" s="47"/>
      <c r="D6" s="48" t="s">
        <v>56</v>
      </c>
      <c r="E6" s="49"/>
      <c r="F6" s="50" t="s">
        <v>57</v>
      </c>
      <c r="G6" s="51"/>
      <c r="H6" s="52" t="s">
        <v>32</v>
      </c>
      <c r="I6" s="53"/>
      <c r="J6" s="54" t="s">
        <v>58</v>
      </c>
      <c r="K6" s="55"/>
      <c r="L6" s="56"/>
      <c r="M6" s="56"/>
      <c r="N6" s="56"/>
      <c r="O6" s="56"/>
      <c r="U6" s="2"/>
      <c r="V6" s="2"/>
    </row>
    <row r="7" ht="30" customHeight="1">
      <c r="B7" s="57" t="e">
        <f t="shared" si="0" ref="B7:F7">E49</f>
        <v>#VALUE!</v>
      </c>
      <c r="C7" s="10"/>
      <c r="D7" s="57" t="e">
        <f>H49</f>
        <v>#VALUE!</v>
      </c>
      <c r="E7" s="10"/>
      <c r="F7" s="58">
        <f t="shared" si="0"/>
        <v>0</v>
      </c>
      <c r="G7" s="10"/>
      <c r="H7" s="59" t="e">
        <f>D49</f>
        <v>#VALUE!</v>
      </c>
      <c r="I7" s="10"/>
      <c r="J7" s="58">
        <f>_xlfn.IFERROR(E49/cad!$C$12-1,0)</f>
        <v>0</v>
      </c>
      <c r="K7" s="10"/>
      <c r="L7" s="56"/>
      <c r="M7" s="56"/>
      <c r="N7" s="56"/>
      <c r="O7" s="56"/>
    </row>
    <row r="8" ht="14.25" customHeight="1">
      <c r="B8" s="60"/>
      <c r="C8" s="61"/>
      <c r="D8" s="61"/>
      <c r="E8" s="61"/>
      <c r="F8" s="61"/>
      <c r="G8" s="62"/>
      <c r="H8" s="63"/>
      <c r="I8" s="64"/>
      <c r="J8" s="65"/>
      <c r="K8" s="66"/>
      <c r="L8" s="67"/>
      <c r="M8" s="68"/>
      <c r="N8" s="69"/>
      <c r="O8" s="70"/>
      <c r="P8" s="71"/>
      <c r="Q8" s="69"/>
      <c r="R8" s="70"/>
      <c r="S8" s="71"/>
    </row>
    <row r="9" ht="14.25" customHeight="1">
      <c r="B9" s="72"/>
      <c r="C9" s="73"/>
      <c r="D9" s="73"/>
      <c r="E9" s="73"/>
      <c r="F9" s="73"/>
      <c r="G9" s="74"/>
      <c r="H9" s="75"/>
      <c r="I9" s="76"/>
      <c r="J9" s="77"/>
      <c r="K9" s="78"/>
      <c r="L9" s="79"/>
      <c r="M9" s="80"/>
      <c r="N9" s="81"/>
      <c r="O9" s="82"/>
      <c r="P9" s="83"/>
      <c r="Q9" s="81"/>
      <c r="R9" s="82"/>
      <c r="S9" s="83"/>
    </row>
    <row r="10" ht="14.25" customHeight="1">
      <c r="J10" s="84"/>
      <c r="K10" s="84"/>
      <c r="L10" s="84"/>
      <c r="N10" s="85"/>
      <c r="O10" s="85"/>
      <c r="P10" s="85"/>
    </row>
    <row r="11" ht="14.25" customHeight="1">
      <c r="J11" s="84"/>
      <c r="K11" s="84"/>
      <c r="L11" s="84"/>
    </row>
    <row r="12" ht="15.75" customHeight="1">
      <c r="B12" s="86" t="s">
        <v>59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7"/>
    </row>
    <row r="13" ht="14.25" customHeight="1">
      <c r="L13" s="88"/>
      <c r="U13" t="s">
        <v>60</v>
      </c>
      <c r="V13" t="s">
        <v>60</v>
      </c>
      <c r="W13" t="s">
        <v>60</v>
      </c>
    </row>
    <row r="14" ht="27" customHeight="1">
      <c r="A14" s="89" t="s">
        <v>61</v>
      </c>
      <c r="B14" s="89" t="s">
        <v>23</v>
      </c>
      <c r="C14" s="89" t="s">
        <v>62</v>
      </c>
      <c r="D14" s="90" t="s">
        <v>63</v>
      </c>
      <c r="E14" s="90" t="s">
        <v>64</v>
      </c>
      <c r="F14" s="90" t="s">
        <v>65</v>
      </c>
      <c r="G14" s="90" t="s">
        <v>66</v>
      </c>
      <c r="H14" s="90" t="s">
        <v>67</v>
      </c>
      <c r="I14" s="91" t="s">
        <v>68</v>
      </c>
      <c r="J14" s="90" t="s">
        <v>69</v>
      </c>
      <c r="K14" s="92" t="s">
        <v>70</v>
      </c>
      <c r="L14" s="93" t="s">
        <v>71</v>
      </c>
      <c r="U14" t="s">
        <v>72</v>
      </c>
      <c r="V14" t="s">
        <v>73</v>
      </c>
      <c r="W14" t="s">
        <v>74</v>
      </c>
    </row>
    <row r="15" ht="15" customHeight="1">
      <c r="A15" s="94" t="s">
        <v>75</v>
      </c>
      <c r="B15" s="94" t="s">
        <v>27</v>
      </c>
      <c r="C15" s="94" t="s">
        <v>76</v>
      </c>
      <c r="D15" s="15">
        <v>1475.012479769</v>
      </c>
      <c r="E15" s="22">
        <v>0.110736368</v>
      </c>
      <c r="F15" s="22">
        <v>0.021756763</v>
      </c>
      <c r="G15" s="95">
        <v>0.814980797</v>
      </c>
      <c r="H15" s="95">
        <v>1.059705386</v>
      </c>
      <c r="I15" s="95">
        <v>0.864730651</v>
      </c>
      <c r="J15" s="96">
        <v>1</v>
      </c>
      <c r="K15" s="97">
        <v>68291</v>
      </c>
      <c r="L15" s="98" t="s">
        <v>75</v>
      </c>
      <c r="O15" s="99"/>
    </row>
    <row r="16" ht="15" customHeight="1">
      <c r="A16" s="94" t="s">
        <v>77</v>
      </c>
      <c r="B16" s="94" t="s">
        <v>27</v>
      </c>
      <c r="C16" s="100" t="s">
        <v>78</v>
      </c>
      <c r="D16" s="15">
        <v>1101.595038605</v>
      </c>
      <c r="E16" s="22">
        <v>0.118871725</v>
      </c>
      <c r="F16" s="22">
        <v>0.016735257</v>
      </c>
      <c r="G16" s="95">
        <v>1.091242067</v>
      </c>
      <c r="H16" s="95">
        <v>1.137557694</v>
      </c>
      <c r="I16" s="95">
        <v>1.124197873</v>
      </c>
      <c r="J16" s="96">
        <v>1</v>
      </c>
      <c r="K16" s="97">
        <v>41783</v>
      </c>
      <c r="L16" s="88" t="s">
        <v>77</v>
      </c>
    </row>
    <row r="17" ht="15" customHeight="1">
      <c r="A17" s="94" t="s">
        <v>79</v>
      </c>
      <c r="B17" s="94" t="s">
        <v>27</v>
      </c>
      <c r="C17" s="94" t="s">
        <v>80</v>
      </c>
      <c r="D17" s="15">
        <v>963.56901165</v>
      </c>
      <c r="E17" s="22">
        <v>0.123795404</v>
      </c>
      <c r="F17" s="22">
        <v>0.014610109</v>
      </c>
      <c r="G17" s="95">
        <v>1.247556566</v>
      </c>
      <c r="H17" s="95">
        <v>1.18467544</v>
      </c>
      <c r="I17" s="95">
        <v>1.28772067</v>
      </c>
      <c r="J17" s="96">
        <v>1</v>
      </c>
      <c r="K17" s="97">
        <v>31533</v>
      </c>
      <c r="L17" s="88" t="s">
        <v>79</v>
      </c>
    </row>
    <row r="18" ht="15" customHeight="1">
      <c r="A18" s="94" t="s">
        <v>81</v>
      </c>
      <c r="B18" s="94" t="s">
        <v>27</v>
      </c>
      <c r="C18" s="94" t="s">
        <v>82</v>
      </c>
      <c r="D18" s="15">
        <v>889.585343433</v>
      </c>
      <c r="E18" s="22">
        <v>0.12609457</v>
      </c>
      <c r="F18" s="22">
        <v>0.01405213</v>
      </c>
      <c r="G18" s="95">
        <v>1.351311435</v>
      </c>
      <c r="H18" s="95">
        <v>1.206677603</v>
      </c>
      <c r="I18" s="95">
        <v>1.338853192</v>
      </c>
      <c r="J18" s="96">
        <v>1</v>
      </c>
      <c r="K18" s="97">
        <v>24923</v>
      </c>
      <c r="L18" s="88" t="s">
        <v>81</v>
      </c>
    </row>
    <row r="19" ht="15" customHeight="1">
      <c r="A19" s="94" t="s">
        <v>83</v>
      </c>
      <c r="B19" s="94" t="s">
        <v>29</v>
      </c>
      <c r="C19" s="94" t="s">
        <v>76</v>
      </c>
      <c r="D19" s="15">
        <v>1540.321235494</v>
      </c>
      <c r="E19" s="22">
        <v>0.077744807</v>
      </c>
      <c r="F19" s="22">
        <v>0.020902665</v>
      </c>
      <c r="G19" s="95">
        <v>0.780426069</v>
      </c>
      <c r="H19" s="95">
        <v>0.743988554</v>
      </c>
      <c r="I19" s="95">
        <v>0.900064193</v>
      </c>
      <c r="J19" s="96">
        <v>1</v>
      </c>
      <c r="K19" s="97">
        <v>60800</v>
      </c>
      <c r="L19" s="88" t="s">
        <v>83</v>
      </c>
    </row>
    <row r="20" ht="15" customHeight="1">
      <c r="A20" s="94" t="s">
        <v>84</v>
      </c>
      <c r="B20" s="94" t="s">
        <v>29</v>
      </c>
      <c r="C20" s="94" t="s">
        <v>85</v>
      </c>
      <c r="D20" s="15">
        <v>978.582537356</v>
      </c>
      <c r="E20" s="22">
        <v>0.081545064</v>
      </c>
      <c r="F20" s="22">
        <v>0.014363413</v>
      </c>
      <c r="G20" s="95">
        <v>1.22841641</v>
      </c>
      <c r="H20" s="95">
        <v>0.780355586</v>
      </c>
      <c r="I20" s="95">
        <v>1.309837671</v>
      </c>
      <c r="J20" s="96">
        <v>1</v>
      </c>
      <c r="K20" s="97">
        <v>25220</v>
      </c>
      <c r="L20" s="88" t="s">
        <v>84</v>
      </c>
    </row>
    <row r="21" ht="15" customHeight="1">
      <c r="A21" s="94" t="s">
        <v>86</v>
      </c>
      <c r="B21" s="94" t="s">
        <v>29</v>
      </c>
      <c r="C21" s="94" t="s">
        <v>87</v>
      </c>
      <c r="D21" s="15">
        <v>919.034906823</v>
      </c>
      <c r="E21" s="22">
        <v>0.082116788</v>
      </c>
      <c r="F21" s="22">
        <v>0.013564662</v>
      </c>
      <c r="G21" s="95">
        <v>1.308009999</v>
      </c>
      <c r="H21" s="95">
        <v>0.785826769</v>
      </c>
      <c r="I21" s="95">
        <v>1.386967037</v>
      </c>
      <c r="J21" s="96">
        <v>1</v>
      </c>
      <c r="K21" s="97">
        <v>22083</v>
      </c>
      <c r="L21" s="88" t="s">
        <v>86</v>
      </c>
    </row>
    <row r="22" ht="15" customHeight="1">
      <c r="A22" s="94" t="s">
        <v>88</v>
      </c>
      <c r="B22" s="94" t="s">
        <v>89</v>
      </c>
      <c r="C22" s="94" t="s">
        <v>80</v>
      </c>
      <c r="D22" s="15">
        <v>1216.282964718</v>
      </c>
      <c r="E22" s="22">
        <v>0.137884872</v>
      </c>
      <c r="F22" s="22">
        <v>0.021343795</v>
      </c>
      <c r="G22" s="95">
        <v>0.988344721</v>
      </c>
      <c r="H22" s="95">
        <v>1.319506356</v>
      </c>
      <c r="I22" s="95">
        <v>0.88146178</v>
      </c>
      <c r="J22" s="96">
        <v>1</v>
      </c>
      <c r="K22" s="97">
        <v>21760</v>
      </c>
      <c r="L22" s="88" t="s">
        <v>88</v>
      </c>
    </row>
    <row r="23" ht="15" customHeight="1">
      <c r="A23" s="94" t="s">
        <v>90</v>
      </c>
      <c r="B23" s="94" t="s">
        <v>89</v>
      </c>
      <c r="C23" s="94" t="s">
        <v>91</v>
      </c>
      <c r="D23" s="15">
        <v>1040.548379667</v>
      </c>
      <c r="E23" s="22">
        <v>0.144781144</v>
      </c>
      <c r="F23" s="22">
        <v>0.019104458</v>
      </c>
      <c r="G23" s="95">
        <v>1.155262812</v>
      </c>
      <c r="H23" s="95">
        <v>1.385501084</v>
      </c>
      <c r="I23" s="95">
        <v>0.984782708</v>
      </c>
      <c r="J23" s="96">
        <v>1</v>
      </c>
      <c r="K23" s="97">
        <v>14933</v>
      </c>
      <c r="L23" s="88" t="s">
        <v>90</v>
      </c>
    </row>
    <row r="24" ht="15" customHeight="1">
      <c r="A24" s="94" t="s">
        <v>92</v>
      </c>
      <c r="B24" s="94" t="s">
        <v>89</v>
      </c>
      <c r="C24" s="94" t="s">
        <v>93</v>
      </c>
      <c r="D24" s="15">
        <v>1033.975700607</v>
      </c>
      <c r="E24" s="22">
        <v>0.144781144</v>
      </c>
      <c r="F24" s="22">
        <v>0.019417898</v>
      </c>
      <c r="G24" s="95">
        <v>1.162606477</v>
      </c>
      <c r="H24" s="95">
        <v>1.385501084</v>
      </c>
      <c r="I24" s="95">
        <v>0.968886558</v>
      </c>
      <c r="J24" s="96">
        <v>1</v>
      </c>
      <c r="K24" s="97">
        <v>15178</v>
      </c>
      <c r="L24" s="88" t="s">
        <v>92</v>
      </c>
    </row>
    <row r="25" ht="15" customHeight="1">
      <c r="A25" s="94" t="s">
        <v>94</v>
      </c>
      <c r="B25" s="94" t="s">
        <v>33</v>
      </c>
      <c r="C25" s="94" t="s">
        <v>78</v>
      </c>
      <c r="D25" s="15">
        <v>1704.963778272</v>
      </c>
      <c r="E25" s="22">
        <v>0.085003455</v>
      </c>
      <c r="F25" s="22">
        <v>0.029279527</v>
      </c>
      <c r="G25" s="95">
        <v>0.705062983</v>
      </c>
      <c r="H25" s="95">
        <v>0.813451087</v>
      </c>
      <c r="I25" s="95">
        <v>0.64255614</v>
      </c>
      <c r="J25" s="96">
        <v>1</v>
      </c>
      <c r="K25" s="97">
        <v>36612</v>
      </c>
      <c r="L25" s="88" t="s">
        <v>94</v>
      </c>
    </row>
    <row r="26" ht="15" customHeight="1">
      <c r="A26" s="94" t="s">
        <v>95</v>
      </c>
      <c r="B26" s="94" t="s">
        <v>33</v>
      </c>
      <c r="C26" s="94" t="s">
        <v>82</v>
      </c>
      <c r="D26" s="15">
        <v>1368.076078259</v>
      </c>
      <c r="E26" s="22">
        <v>0.087533156</v>
      </c>
      <c r="F26" s="22">
        <v>0.024360438</v>
      </c>
      <c r="G26" s="95">
        <v>0.878684209</v>
      </c>
      <c r="H26" s="95">
        <v>0.837659375</v>
      </c>
      <c r="I26" s="95">
        <v>0.772307126</v>
      </c>
      <c r="J26" s="96">
        <v>1</v>
      </c>
      <c r="K26" s="97">
        <v>21968</v>
      </c>
      <c r="L26" s="88" t="s">
        <v>95</v>
      </c>
    </row>
    <row r="27" ht="15" customHeight="1">
      <c r="A27" s="94" t="s">
        <v>96</v>
      </c>
      <c r="B27" s="94" t="s">
        <v>34</v>
      </c>
      <c r="C27" s="94" t="s">
        <v>76</v>
      </c>
      <c r="D27" s="15">
        <v>2192.892750688</v>
      </c>
      <c r="E27" s="22">
        <v>0.069518716</v>
      </c>
      <c r="F27" s="22">
        <v>0.027841458</v>
      </c>
      <c r="G27" s="95">
        <v>0.548183146</v>
      </c>
      <c r="H27" s="95">
        <v>0.665267962</v>
      </c>
      <c r="I27" s="95">
        <v>0.675745507</v>
      </c>
      <c r="J27" s="96">
        <v>1</v>
      </c>
      <c r="K27" s="97">
        <v>30240</v>
      </c>
      <c r="L27" s="88" t="s">
        <v>96</v>
      </c>
      <c r="O27" s="56"/>
    </row>
    <row r="28" ht="15" customHeight="1">
      <c r="A28" s="94" t="s">
        <v>97</v>
      </c>
      <c r="B28" s="94" t="s">
        <v>34</v>
      </c>
      <c r="C28" s="94" t="s">
        <v>78</v>
      </c>
      <c r="D28" s="15">
        <v>1624.66125095</v>
      </c>
      <c r="E28" s="22">
        <v>0.072555205</v>
      </c>
      <c r="F28" s="22">
        <v>0.021828498</v>
      </c>
      <c r="G28" s="95">
        <v>0.739912302</v>
      </c>
      <c r="H28" s="95">
        <v>0.694326014</v>
      </c>
      <c r="I28" s="95">
        <v>0.861888887</v>
      </c>
      <c r="J28" s="96">
        <v>1</v>
      </c>
      <c r="K28" s="97">
        <v>18850</v>
      </c>
      <c r="L28" s="88" t="s">
        <v>97</v>
      </c>
      <c r="O28" s="56"/>
    </row>
    <row r="29" ht="14.25" customHeight="1">
      <c r="L29" s="88"/>
      <c r="O29" s="56"/>
    </row>
    <row r="30" ht="15.75" customHeight="1">
      <c r="B30" s="101" t="s">
        <v>98</v>
      </c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</row>
    <row r="31" ht="14.25" customHeight="1">
      <c r="O31" s="56"/>
    </row>
    <row r="32" ht="14.25" customHeight="1">
      <c r="A32" s="89" t="s">
        <v>61</v>
      </c>
      <c r="B32" s="89" t="s">
        <v>23</v>
      </c>
      <c r="C32" s="89" t="s">
        <v>62</v>
      </c>
      <c r="D32" s="12" t="s">
        <v>32</v>
      </c>
      <c r="E32" s="12" t="s">
        <v>55</v>
      </c>
      <c r="F32" s="12" t="s">
        <v>99</v>
      </c>
      <c r="G32" s="12" t="s">
        <v>100</v>
      </c>
      <c r="H32" s="12" t="s">
        <v>101</v>
      </c>
      <c r="I32" s="12" t="s">
        <v>102</v>
      </c>
      <c r="J32" s="12" t="s">
        <v>103</v>
      </c>
      <c r="K32" s="12" t="s">
        <v>104</v>
      </c>
      <c r="L32" s="12" t="s">
        <v>105</v>
      </c>
      <c r="O32" s="56"/>
    </row>
    <row r="33" ht="14.25" customHeight="1">
      <c r="A33" s="94" t="s">
        <v>75</v>
      </c>
      <c r="B33" s="94" t="s">
        <v>27</v>
      </c>
      <c r="C33" s="94" t="s">
        <v>76</v>
      </c>
      <c r="D33" s="102" t="e">
        <f>_xlfn.SUMIFS(Moteur!$P$1:$P$175,Moteur!$D$1:$D$175,$A33,Moteur!$B$1:$B$175,cad!$P$1)</f>
        <v>#VALUE!</v>
      </c>
      <c r="E33" s="17" t="e">
        <f>_xlfn.SUMIFS(Moteur!$R$1:$R$175,Moteur!$D$1:$D$175,$A33,Moteur!$B$1:$B$175,cad!$P$1)</f>
        <v>#VALUE!</v>
      </c>
      <c r="F33" s="15">
        <f t="shared" si="1" ref="F33:F49">_xlfn.IFERROR(E33/D33,0)</f>
        <v>0</v>
      </c>
      <c r="G33" s="22">
        <f t="shared" si="2" ref="G33:G46">_xlfn.IFERROR(E33/SUM($E$33:$E$46),0)</f>
        <v>0</v>
      </c>
      <c r="H33" s="17" t="e">
        <f>_xlfn.SUMIFS(_CALC_PNL!$T$1:$T$1347,_CALC_PNL!$A$1:$A$1347,$A33,_CALC_PNL!$D$1:$D$1347,cad!$P$1,_CALC_PNL!$C$1:$C$1347,"2027")</f>
        <v>#VALUE!</v>
      </c>
      <c r="I33" s="22">
        <f t="shared" si="3" ref="I33:I49">_xlfn.IFERROR(H33/E33,0)</f>
        <v>0</v>
      </c>
      <c r="J33" s="15">
        <f t="shared" si="4" ref="J33:J49">_xlfn.IFERROR(H33/D33,0)</f>
        <v>0</v>
      </c>
      <c r="K33" s="15">
        <f>_xlfn.SUMIFS(PIL!$K$15:$K$28,PIL!$A$15:$A$28,$A33)*_xlfn.SUMIFS(PIL!$J$15:$J$28,PIL!$A$15:$A$28,$A33)*(SUM(PIL!$K$15:$K$28)/SUMPRODUCT(PIL!$K$15:$K$28,PIL!$J$15:$J$28))</f>
        <v>68291</v>
      </c>
      <c r="L33" s="15">
        <f>_xlfn.SUMIFS(PIL!$D$15:$D$28,PIL!$A$15:$A$28,$A33)</f>
        <v>1475.012479769</v>
      </c>
      <c r="O33" s="56"/>
    </row>
    <row r="34" ht="14.25" customHeight="1">
      <c r="A34" s="94" t="s">
        <v>77</v>
      </c>
      <c r="B34" s="94" t="s">
        <v>27</v>
      </c>
      <c r="C34" s="94" t="s">
        <v>78</v>
      </c>
      <c r="D34" s="102" t="e">
        <f>_xlfn.SUMIFS(Moteur!$P$1:$P$175,Moteur!$D$1:$D$175,$A34,Moteur!$B$1:$B$175,cad!$P$1)</f>
        <v>#VALUE!</v>
      </c>
      <c r="E34" s="17" t="e">
        <f>_xlfn.SUMIFS(Moteur!$R$1:$R$175,Moteur!$D$1:$D$175,$A34,Moteur!$B$1:$B$175,cad!$P$1)</f>
        <v>#VALUE!</v>
      </c>
      <c r="F34" s="15">
        <f t="shared" si="1"/>
        <v>0</v>
      </c>
      <c r="G34" s="22">
        <f t="shared" si="2"/>
        <v>0</v>
      </c>
      <c r="H34" s="17" t="e">
        <f>_xlfn.SUMIFS(_CALC_PNL!$T$1:$T$1347,_CALC_PNL!$A$1:$A$1347,$A34,_CALC_PNL!$D$1:$D$1347,cad!$P$1,_CALC_PNL!$C$1:$C$1347,"2027")</f>
        <v>#VALUE!</v>
      </c>
      <c r="I34" s="22">
        <f t="shared" si="3"/>
        <v>0</v>
      </c>
      <c r="J34" s="15">
        <f t="shared" si="4"/>
        <v>0</v>
      </c>
      <c r="K34" s="15">
        <f>_xlfn.SUMIFS(PIL!$K$15:$K$28,PIL!$A$15:$A$28,$A34)*_xlfn.SUMIFS(PIL!$J$15:$J$28,PIL!$A$15:$A$28,$A34)*(SUM(PIL!$K$15:$K$28)/SUMPRODUCT(PIL!$K$15:$K$28,PIL!$J$15:$J$28))</f>
        <v>41783</v>
      </c>
      <c r="L34" s="15">
        <f>_xlfn.SUMIFS(PIL!$D$15:$D$28,PIL!$A$15:$A$28,$A34)</f>
        <v>1101.595038605</v>
      </c>
      <c r="O34" s="56"/>
    </row>
    <row r="35" ht="14.25" customHeight="1">
      <c r="A35" s="94" t="s">
        <v>79</v>
      </c>
      <c r="B35" s="94" t="s">
        <v>27</v>
      </c>
      <c r="C35" s="94" t="s">
        <v>80</v>
      </c>
      <c r="D35" s="102" t="e">
        <f>_xlfn.SUMIFS(Moteur!$P$1:$P$175,Moteur!$D$1:$D$175,$A35,Moteur!$B$1:$B$175,cad!$P$1)</f>
        <v>#VALUE!</v>
      </c>
      <c r="E35" s="17" t="e">
        <f>_xlfn.SUMIFS(Moteur!$R$1:$R$175,Moteur!$D$1:$D$175,$A35,Moteur!$B$1:$B$175,cad!$P$1)</f>
        <v>#VALUE!</v>
      </c>
      <c r="F35" s="15">
        <f t="shared" si="1"/>
        <v>0</v>
      </c>
      <c r="G35" s="22">
        <f t="shared" si="2"/>
        <v>0</v>
      </c>
      <c r="H35" s="17" t="e">
        <f>_xlfn.SUMIFS(_CALC_PNL!$T$1:$T$1347,_CALC_PNL!$A$1:$A$1347,$A35,_CALC_PNL!$D$1:$D$1347,cad!$P$1,_CALC_PNL!$C$1:$C$1347,"2027")</f>
        <v>#VALUE!</v>
      </c>
      <c r="I35" s="22">
        <f t="shared" si="3"/>
        <v>0</v>
      </c>
      <c r="J35" s="15">
        <f t="shared" si="4"/>
        <v>0</v>
      </c>
      <c r="K35" s="15">
        <f>_xlfn.SUMIFS(PIL!$K$15:$K$28,PIL!$A$15:$A$28,$A35)*_xlfn.SUMIFS(PIL!$J$15:$J$28,PIL!$A$15:$A$28,$A35)*(SUM(PIL!$K$15:$K$28)/SUMPRODUCT(PIL!$K$15:$K$28,PIL!$J$15:$J$28))</f>
        <v>31533</v>
      </c>
      <c r="L35" s="15">
        <f>_xlfn.SUMIFS(PIL!$D$15:$D$28,PIL!$A$15:$A$28,$A35)</f>
        <v>963.56901165</v>
      </c>
      <c r="O35" s="56"/>
    </row>
    <row r="36" ht="14.25" customHeight="1">
      <c r="A36" s="94" t="s">
        <v>81</v>
      </c>
      <c r="B36" s="94" t="s">
        <v>27</v>
      </c>
      <c r="C36" s="94" t="s">
        <v>82</v>
      </c>
      <c r="D36" s="102" t="e">
        <f>_xlfn.SUMIFS(Moteur!$P$1:$P$175,Moteur!$D$1:$D$175,$A36,Moteur!$B$1:$B$175,cad!$P$1)</f>
        <v>#VALUE!</v>
      </c>
      <c r="E36" s="17" t="e">
        <f>_xlfn.SUMIFS(Moteur!$R$1:$R$175,Moteur!$D$1:$D$175,$A36,Moteur!$B$1:$B$175,cad!$P$1)</f>
        <v>#VALUE!</v>
      </c>
      <c r="F36" s="15">
        <f t="shared" si="1"/>
        <v>0</v>
      </c>
      <c r="G36" s="22">
        <f t="shared" si="2"/>
        <v>0</v>
      </c>
      <c r="H36" s="17" t="e">
        <f>_xlfn.SUMIFS(_CALC_PNL!$T$1:$T$1347,_CALC_PNL!$A$1:$A$1347,$A36,_CALC_PNL!$D$1:$D$1347,cad!$P$1,_CALC_PNL!$C$1:$C$1347,"2027")</f>
        <v>#VALUE!</v>
      </c>
      <c r="I36" s="22">
        <f t="shared" si="3"/>
        <v>0</v>
      </c>
      <c r="J36" s="15">
        <f t="shared" si="4"/>
        <v>0</v>
      </c>
      <c r="K36" s="15">
        <f>_xlfn.SUMIFS(PIL!$K$15:$K$28,PIL!$A$15:$A$28,$A36)*_xlfn.SUMIFS(PIL!$J$15:$J$28,PIL!$A$15:$A$28,$A36)*(SUM(PIL!$K$15:$K$28)/SUMPRODUCT(PIL!$K$15:$K$28,PIL!$J$15:$J$28))</f>
        <v>24923</v>
      </c>
      <c r="L36" s="15">
        <f>_xlfn.SUMIFS(PIL!$D$15:$D$28,PIL!$A$15:$A$28,$A36)</f>
        <v>889.585343433</v>
      </c>
      <c r="O36" s="56"/>
    </row>
    <row r="37" ht="14.25" customHeight="1">
      <c r="A37" s="94" t="s">
        <v>83</v>
      </c>
      <c r="B37" s="94" t="s">
        <v>29</v>
      </c>
      <c r="C37" s="94" t="s">
        <v>76</v>
      </c>
      <c r="D37" s="102" t="e">
        <f>_xlfn.SUMIFS(Moteur!$P$1:$P$175,Moteur!$D$1:$D$175,$A37,Moteur!$B$1:$B$175,cad!$P$1)</f>
        <v>#VALUE!</v>
      </c>
      <c r="E37" s="17" t="e">
        <f>_xlfn.SUMIFS(Moteur!$R$1:$R$175,Moteur!$D$1:$D$175,$A37,Moteur!$B$1:$B$175,cad!$P$1)</f>
        <v>#VALUE!</v>
      </c>
      <c r="F37" s="15">
        <f t="shared" si="1"/>
        <v>0</v>
      </c>
      <c r="G37" s="22">
        <f t="shared" si="2"/>
        <v>0</v>
      </c>
      <c r="H37" s="17" t="e">
        <f>_xlfn.SUMIFS(_CALC_PNL!$T$1:$T$1347,_CALC_PNL!$A$1:$A$1347,$A37,_CALC_PNL!$D$1:$D$1347,cad!$P$1,_CALC_PNL!$C$1:$C$1347,"2027")</f>
        <v>#VALUE!</v>
      </c>
      <c r="I37" s="22">
        <f t="shared" si="3"/>
        <v>0</v>
      </c>
      <c r="J37" s="15">
        <f t="shared" si="4"/>
        <v>0</v>
      </c>
      <c r="K37" s="15">
        <f>_xlfn.SUMIFS(PIL!$K$15:$K$28,PIL!$A$15:$A$28,$A37)*_xlfn.SUMIFS(PIL!$J$15:$J$28,PIL!$A$15:$A$28,$A37)*(SUM(PIL!$K$15:$K$28)/SUMPRODUCT(PIL!$K$15:$K$28,PIL!$J$15:$J$28))</f>
        <v>60800</v>
      </c>
      <c r="L37" s="15">
        <f>_xlfn.SUMIFS(PIL!$D$15:$D$28,PIL!$A$15:$A$28,$A37)</f>
        <v>1540.321235494</v>
      </c>
      <c r="O37" s="56"/>
    </row>
    <row r="38" ht="14.25" customHeight="1">
      <c r="A38" s="94" t="s">
        <v>84</v>
      </c>
      <c r="B38" s="94" t="s">
        <v>29</v>
      </c>
      <c r="C38" s="94" t="s">
        <v>85</v>
      </c>
      <c r="D38" s="102" t="e">
        <f>_xlfn.SUMIFS(Moteur!$P$1:$P$175,Moteur!$D$1:$D$175,$A38,Moteur!$B$1:$B$175,cad!$P$1)</f>
        <v>#VALUE!</v>
      </c>
      <c r="E38" s="17" t="e">
        <f>_xlfn.SUMIFS(Moteur!$R$1:$R$175,Moteur!$D$1:$D$175,$A38,Moteur!$B$1:$B$175,cad!$P$1)</f>
        <v>#VALUE!</v>
      </c>
      <c r="F38" s="15">
        <f t="shared" si="1"/>
        <v>0</v>
      </c>
      <c r="G38" s="22">
        <f t="shared" si="2"/>
        <v>0</v>
      </c>
      <c r="H38" s="17" t="e">
        <f>_xlfn.SUMIFS(_CALC_PNL!$T$1:$T$1347,_CALC_PNL!$A$1:$A$1347,$A38,_CALC_PNL!$D$1:$D$1347,cad!$P$1,_CALC_PNL!$C$1:$C$1347,"2027")</f>
        <v>#VALUE!</v>
      </c>
      <c r="I38" s="22">
        <f t="shared" si="3"/>
        <v>0</v>
      </c>
      <c r="J38" s="15">
        <f t="shared" si="4"/>
        <v>0</v>
      </c>
      <c r="K38" s="15">
        <f>_xlfn.SUMIFS(PIL!$K$15:$K$28,PIL!$A$15:$A$28,$A38)*_xlfn.SUMIFS(PIL!$J$15:$J$28,PIL!$A$15:$A$28,$A38)*(SUM(PIL!$K$15:$K$28)/SUMPRODUCT(PIL!$K$15:$K$28,PIL!$J$15:$J$28))</f>
        <v>25220</v>
      </c>
      <c r="L38" s="15">
        <f>_xlfn.SUMIFS(PIL!$D$15:$D$28,PIL!$A$15:$A$28,$A38)</f>
        <v>978.582537356</v>
      </c>
      <c r="O38" s="56"/>
    </row>
    <row r="39" ht="14.25" customHeight="1">
      <c r="A39" s="94" t="s">
        <v>86</v>
      </c>
      <c r="B39" s="94" t="s">
        <v>29</v>
      </c>
      <c r="C39" s="94" t="s">
        <v>87</v>
      </c>
      <c r="D39" s="102" t="e">
        <f>_xlfn.SUMIFS(Moteur!$P$1:$P$175,Moteur!$D$1:$D$175,$A39,Moteur!$B$1:$B$175,cad!$P$1)</f>
        <v>#VALUE!</v>
      </c>
      <c r="E39" s="17" t="e">
        <f>_xlfn.SUMIFS(Moteur!$R$1:$R$175,Moteur!$D$1:$D$175,$A39,Moteur!$B$1:$B$175,cad!$P$1)</f>
        <v>#VALUE!</v>
      </c>
      <c r="F39" s="15">
        <f t="shared" si="1"/>
        <v>0</v>
      </c>
      <c r="G39" s="22">
        <f t="shared" si="2"/>
        <v>0</v>
      </c>
      <c r="H39" s="17" t="e">
        <f>_xlfn.SUMIFS(_CALC_PNL!$T$1:$T$1347,_CALC_PNL!$A$1:$A$1347,$A39,_CALC_PNL!$D$1:$D$1347,cad!$P$1,_CALC_PNL!$C$1:$C$1347,"2027")</f>
        <v>#VALUE!</v>
      </c>
      <c r="I39" s="22">
        <f t="shared" si="3"/>
        <v>0</v>
      </c>
      <c r="J39" s="15">
        <f t="shared" si="4"/>
        <v>0</v>
      </c>
      <c r="K39" s="15">
        <f>_xlfn.SUMIFS(PIL!$K$15:$K$28,PIL!$A$15:$A$28,$A39)*_xlfn.SUMIFS(PIL!$J$15:$J$28,PIL!$A$15:$A$28,$A39)*(SUM(PIL!$K$15:$K$28)/SUMPRODUCT(PIL!$K$15:$K$28,PIL!$J$15:$J$28))</f>
        <v>22083</v>
      </c>
      <c r="L39" s="15">
        <f>_xlfn.SUMIFS(PIL!$D$15:$D$28,PIL!$A$15:$A$28,$A39)</f>
        <v>919.034906823</v>
      </c>
      <c r="O39" s="56"/>
    </row>
    <row r="40" ht="14.25" customHeight="1">
      <c r="A40" s="94" t="s">
        <v>88</v>
      </c>
      <c r="B40" s="94" t="s">
        <v>89</v>
      </c>
      <c r="C40" s="94" t="s">
        <v>80</v>
      </c>
      <c r="D40" s="102" t="e">
        <f>_xlfn.SUMIFS(Moteur!$P$1:$P$175,Moteur!$D$1:$D$175,$A40,Moteur!$B$1:$B$175,cad!$P$1)</f>
        <v>#VALUE!</v>
      </c>
      <c r="E40" s="17" t="e">
        <f>_xlfn.SUMIFS(Moteur!$R$1:$R$175,Moteur!$D$1:$D$175,$A40,Moteur!$B$1:$B$175,cad!$P$1)</f>
        <v>#VALUE!</v>
      </c>
      <c r="F40" s="15">
        <f t="shared" si="1"/>
        <v>0</v>
      </c>
      <c r="G40" s="22">
        <f t="shared" si="2"/>
        <v>0</v>
      </c>
      <c r="H40" s="17" t="e">
        <f>_xlfn.SUMIFS(_CALC_PNL!$T$1:$T$1347,_CALC_PNL!$A$1:$A$1347,$A40,_CALC_PNL!$D$1:$D$1347,cad!$P$1,_CALC_PNL!$C$1:$C$1347,"2027")</f>
        <v>#VALUE!</v>
      </c>
      <c r="I40" s="22">
        <f t="shared" si="3"/>
        <v>0</v>
      </c>
      <c r="J40" s="15">
        <f t="shared" si="4"/>
        <v>0</v>
      </c>
      <c r="K40" s="15">
        <f>_xlfn.SUMIFS(PIL!$K$15:$K$28,PIL!$A$15:$A$28,$A40)*_xlfn.SUMIFS(PIL!$J$15:$J$28,PIL!$A$15:$A$28,$A40)*(SUM(PIL!$K$15:$K$28)/SUMPRODUCT(PIL!$K$15:$K$28,PIL!$J$15:$J$28))</f>
        <v>21760</v>
      </c>
      <c r="L40" s="15">
        <f>_xlfn.SUMIFS(PIL!$D$15:$D$28,PIL!$A$15:$A$28,$A40)</f>
        <v>1216.282964718</v>
      </c>
      <c r="O40" s="56"/>
    </row>
    <row r="41" ht="14.25" customHeight="1">
      <c r="A41" s="94" t="s">
        <v>90</v>
      </c>
      <c r="B41" s="94" t="s">
        <v>89</v>
      </c>
      <c r="C41" s="94" t="s">
        <v>91</v>
      </c>
      <c r="D41" s="102" t="e">
        <f>_xlfn.SUMIFS(Moteur!$P$1:$P$175,Moteur!$D$1:$D$175,$A41,Moteur!$B$1:$B$175,cad!$P$1)</f>
        <v>#VALUE!</v>
      </c>
      <c r="E41" s="17" t="e">
        <f>_xlfn.SUMIFS(Moteur!$R$1:$R$175,Moteur!$D$1:$D$175,$A41,Moteur!$B$1:$B$175,cad!$P$1)</f>
        <v>#VALUE!</v>
      </c>
      <c r="F41" s="15">
        <f t="shared" si="1"/>
        <v>0</v>
      </c>
      <c r="G41" s="22">
        <f t="shared" si="2"/>
        <v>0</v>
      </c>
      <c r="H41" s="17" t="e">
        <f>_xlfn.SUMIFS(_CALC_PNL!$T$1:$T$1347,_CALC_PNL!$A$1:$A$1347,$A41,_CALC_PNL!$D$1:$D$1347,cad!$P$1,_CALC_PNL!$C$1:$C$1347,"2027")</f>
        <v>#VALUE!</v>
      </c>
      <c r="I41" s="22">
        <f t="shared" si="3"/>
        <v>0</v>
      </c>
      <c r="J41" s="15">
        <f t="shared" si="4"/>
        <v>0</v>
      </c>
      <c r="K41" s="15">
        <f>_xlfn.SUMIFS(PIL!$K$15:$K$28,PIL!$A$15:$A$28,$A41)*_xlfn.SUMIFS(PIL!$J$15:$J$28,PIL!$A$15:$A$28,$A41)*(SUM(PIL!$K$15:$K$28)/SUMPRODUCT(PIL!$K$15:$K$28,PIL!$J$15:$J$28))</f>
        <v>14933</v>
      </c>
      <c r="L41" s="15">
        <f>_xlfn.SUMIFS(PIL!$D$15:$D$28,PIL!$A$15:$A$28,$A41)</f>
        <v>1040.548379667</v>
      </c>
    </row>
    <row r="42" ht="14.25" customHeight="1">
      <c r="A42" s="94" t="s">
        <v>92</v>
      </c>
      <c r="B42" s="94" t="s">
        <v>89</v>
      </c>
      <c r="C42" s="94" t="s">
        <v>93</v>
      </c>
      <c r="D42" s="102" t="e">
        <f>_xlfn.SUMIFS(Moteur!$P$1:$P$175,Moteur!$D$1:$D$175,$A42,Moteur!$B$1:$B$175,cad!$P$1)</f>
        <v>#VALUE!</v>
      </c>
      <c r="E42" s="17" t="e">
        <f>_xlfn.SUMIFS(Moteur!$R$1:$R$175,Moteur!$D$1:$D$175,$A42,Moteur!$B$1:$B$175,cad!$P$1)</f>
        <v>#VALUE!</v>
      </c>
      <c r="F42" s="15">
        <f t="shared" si="1"/>
        <v>0</v>
      </c>
      <c r="G42" s="22">
        <f t="shared" si="2"/>
        <v>0</v>
      </c>
      <c r="H42" s="17" t="e">
        <f>_xlfn.SUMIFS(_CALC_PNL!$T$1:$T$1347,_CALC_PNL!$A$1:$A$1347,$A42,_CALC_PNL!$D$1:$D$1347,cad!$P$1,_CALC_PNL!$C$1:$C$1347,"2027")</f>
        <v>#VALUE!</v>
      </c>
      <c r="I42" s="22">
        <f t="shared" si="3"/>
        <v>0</v>
      </c>
      <c r="J42" s="15">
        <f t="shared" si="4"/>
        <v>0</v>
      </c>
      <c r="K42" s="15">
        <f>_xlfn.SUMIFS(PIL!$K$15:$K$28,PIL!$A$15:$A$28,$A42)*_xlfn.SUMIFS(PIL!$J$15:$J$28,PIL!$A$15:$A$28,$A42)*(SUM(PIL!$K$15:$K$28)/SUMPRODUCT(PIL!$K$15:$K$28,PIL!$J$15:$J$28))</f>
        <v>15178</v>
      </c>
      <c r="L42" s="15">
        <f>_xlfn.SUMIFS(PIL!$D$15:$D$28,PIL!$A$15:$A$28,$A42)</f>
        <v>1033.975700607</v>
      </c>
    </row>
    <row r="43" ht="14.25" customHeight="1">
      <c r="A43" s="94" t="s">
        <v>94</v>
      </c>
      <c r="B43" s="94" t="s">
        <v>33</v>
      </c>
      <c r="C43" s="94" t="s">
        <v>78</v>
      </c>
      <c r="D43" s="102" t="e">
        <f>_xlfn.SUMIFS(Moteur!$P$1:$P$175,Moteur!$D$1:$D$175,$A43,Moteur!$B$1:$B$175,cad!$P$1)</f>
        <v>#VALUE!</v>
      </c>
      <c r="E43" s="17" t="e">
        <f>_xlfn.SUMIFS(Moteur!$R$1:$R$175,Moteur!$D$1:$D$175,$A43,Moteur!$B$1:$B$175,cad!$P$1)</f>
        <v>#VALUE!</v>
      </c>
      <c r="F43" s="15">
        <f t="shared" si="1"/>
        <v>0</v>
      </c>
      <c r="G43" s="22">
        <f t="shared" si="2"/>
        <v>0</v>
      </c>
      <c r="H43" s="17" t="e">
        <f>_xlfn.SUMIFS(_CALC_PNL!$T$1:$T$1347,_CALC_PNL!$A$1:$A$1347,$A43,_CALC_PNL!$D$1:$D$1347,cad!$P$1,_CALC_PNL!$C$1:$C$1347,"2027")</f>
        <v>#VALUE!</v>
      </c>
      <c r="I43" s="22">
        <f t="shared" si="3"/>
        <v>0</v>
      </c>
      <c r="J43" s="15">
        <f t="shared" si="4"/>
        <v>0</v>
      </c>
      <c r="K43" s="15">
        <f>_xlfn.SUMIFS(PIL!$K$15:$K$28,PIL!$A$15:$A$28,$A43)*_xlfn.SUMIFS(PIL!$J$15:$J$28,PIL!$A$15:$A$28,$A43)*(SUM(PIL!$K$15:$K$28)/SUMPRODUCT(PIL!$K$15:$K$28,PIL!$J$15:$J$28))</f>
        <v>36612</v>
      </c>
      <c r="L43" s="15">
        <f>_xlfn.SUMIFS(PIL!$D$15:$D$28,PIL!$A$15:$A$28,$A43)</f>
        <v>1704.963778272</v>
      </c>
    </row>
    <row r="44" ht="14.25" customHeight="1">
      <c r="A44" s="94" t="s">
        <v>95</v>
      </c>
      <c r="B44" s="94" t="s">
        <v>33</v>
      </c>
      <c r="C44" s="94" t="s">
        <v>82</v>
      </c>
      <c r="D44" s="102" t="e">
        <f>_xlfn.SUMIFS(Moteur!$P$1:$P$175,Moteur!$D$1:$D$175,$A44,Moteur!$B$1:$B$175,cad!$P$1)</f>
        <v>#VALUE!</v>
      </c>
      <c r="E44" s="17" t="e">
        <f>_xlfn.SUMIFS(Moteur!$R$1:$R$175,Moteur!$D$1:$D$175,$A44,Moteur!$B$1:$B$175,cad!$P$1)</f>
        <v>#VALUE!</v>
      </c>
      <c r="F44" s="15">
        <f t="shared" si="1"/>
        <v>0</v>
      </c>
      <c r="G44" s="22">
        <f t="shared" si="2"/>
        <v>0</v>
      </c>
      <c r="H44" s="17" t="e">
        <f>_xlfn.SUMIFS(_CALC_PNL!$T$1:$T$1347,_CALC_PNL!$A$1:$A$1347,$A44,_CALC_PNL!$D$1:$D$1347,cad!$P$1,_CALC_PNL!$C$1:$C$1347,"2027")</f>
        <v>#VALUE!</v>
      </c>
      <c r="I44" s="22">
        <f t="shared" si="3"/>
        <v>0</v>
      </c>
      <c r="J44" s="15">
        <f t="shared" si="4"/>
        <v>0</v>
      </c>
      <c r="K44" s="15">
        <f>_xlfn.SUMIFS(PIL!$K$15:$K$28,PIL!$A$15:$A$28,$A44)*_xlfn.SUMIFS(PIL!$J$15:$J$28,PIL!$A$15:$A$28,$A44)*(SUM(PIL!$K$15:$K$28)/SUMPRODUCT(PIL!$K$15:$K$28,PIL!$J$15:$J$28))</f>
        <v>21968</v>
      </c>
      <c r="L44" s="15">
        <f>_xlfn.SUMIFS(PIL!$D$15:$D$28,PIL!$A$15:$A$28,$A44)</f>
        <v>1368.076078259</v>
      </c>
    </row>
    <row r="45" ht="14.25" customHeight="1">
      <c r="A45" s="94" t="s">
        <v>96</v>
      </c>
      <c r="B45" s="94" t="s">
        <v>34</v>
      </c>
      <c r="C45" s="94" t="s">
        <v>76</v>
      </c>
      <c r="D45" s="102" t="e">
        <f>_xlfn.SUMIFS(Moteur!$P$1:$P$175,Moteur!$D$1:$D$175,$A45,Moteur!$B$1:$B$175,cad!$P$1)</f>
        <v>#VALUE!</v>
      </c>
      <c r="E45" s="17" t="e">
        <f>_xlfn.SUMIFS(Moteur!$R$1:$R$175,Moteur!$D$1:$D$175,$A45,Moteur!$B$1:$B$175,cad!$P$1)</f>
        <v>#VALUE!</v>
      </c>
      <c r="F45" s="15">
        <f t="shared" si="1"/>
        <v>0</v>
      </c>
      <c r="G45" s="22">
        <f t="shared" si="2"/>
        <v>0</v>
      </c>
      <c r="H45" s="17" t="e">
        <f>_xlfn.SUMIFS(_CALC_PNL!$T$1:$T$1347,_CALC_PNL!$A$1:$A$1347,$A45,_CALC_PNL!$D$1:$D$1347,cad!$P$1,_CALC_PNL!$C$1:$C$1347,"2027")</f>
        <v>#VALUE!</v>
      </c>
      <c r="I45" s="22">
        <f t="shared" si="3"/>
        <v>0</v>
      </c>
      <c r="J45" s="15">
        <f t="shared" si="4"/>
        <v>0</v>
      </c>
      <c r="K45" s="15">
        <f>_xlfn.SUMIFS(PIL!$K$15:$K$28,PIL!$A$15:$A$28,$A45)*_xlfn.SUMIFS(PIL!$J$15:$J$28,PIL!$A$15:$A$28,$A45)*(SUM(PIL!$K$15:$K$28)/SUMPRODUCT(PIL!$K$15:$K$28,PIL!$J$15:$J$28))</f>
        <v>30240</v>
      </c>
      <c r="L45" s="15">
        <f>_xlfn.SUMIFS(PIL!$D$15:$D$28,PIL!$A$15:$A$28,$A45)</f>
        <v>2192.892750688</v>
      </c>
    </row>
    <row r="46" ht="14.25" customHeight="1">
      <c r="A46" s="94" t="s">
        <v>97</v>
      </c>
      <c r="B46" s="94" t="s">
        <v>34</v>
      </c>
      <c r="C46" s="94" t="s">
        <v>78</v>
      </c>
      <c r="D46" s="102" t="e">
        <f>_xlfn.SUMIFS(Moteur!$P$1:$P$175,Moteur!$D$1:$D$175,$A46,Moteur!$B$1:$B$175,cad!$P$1)</f>
        <v>#VALUE!</v>
      </c>
      <c r="E46" s="17" t="e">
        <f>_xlfn.SUMIFS(Moteur!$R$1:$R$175,Moteur!$D$1:$D$175,$A46,Moteur!$B$1:$B$175,cad!$P$1)</f>
        <v>#VALUE!</v>
      </c>
      <c r="F46" s="15">
        <f t="shared" si="1"/>
        <v>0</v>
      </c>
      <c r="G46" s="22">
        <f t="shared" si="2"/>
        <v>0</v>
      </c>
      <c r="H46" s="17" t="e">
        <f>_xlfn.SUMIFS(_CALC_PNL!$T$1:$T$1347,_CALC_PNL!$A$1:$A$1347,$A46,_CALC_PNL!$D$1:$D$1347,cad!$P$1,_CALC_PNL!$C$1:$C$1347,"2027")</f>
        <v>#VALUE!</v>
      </c>
      <c r="I46" s="22">
        <f t="shared" si="3"/>
        <v>0</v>
      </c>
      <c r="J46" s="15">
        <f t="shared" si="4"/>
        <v>0</v>
      </c>
      <c r="K46" s="15">
        <f>_xlfn.SUMIFS(PIL!$K$15:$K$28,PIL!$A$15:$A$28,$A46)*_xlfn.SUMIFS(PIL!$J$15:$J$28,PIL!$A$15:$A$28,$A46)*(SUM(PIL!$K$15:$K$28)/SUMPRODUCT(PIL!$K$15:$K$28,PIL!$J$15:$J$28))</f>
        <v>18850</v>
      </c>
      <c r="L46" s="15">
        <f>_xlfn.SUMIFS(PIL!$D$15:$D$28,PIL!$A$15:$A$28,$A46)</f>
        <v>1624.66125095</v>
      </c>
    </row>
    <row r="47" ht="14.25" customHeight="1">
      <c r="A47" s="103" t="s">
        <v>106</v>
      </c>
      <c r="B47" s="104"/>
      <c r="C47" s="104"/>
      <c r="D47" s="105" t="e">
        <f t="shared" si="5" ref="D47:K47">SUM(D33:D46)</f>
        <v>#VALUE!</v>
      </c>
      <c r="E47" s="106" t="e">
        <f t="shared" si="5"/>
        <v>#VALUE!</v>
      </c>
      <c r="F47" s="106">
        <f t="shared" si="1"/>
        <v>0</v>
      </c>
      <c r="G47" s="107">
        <f t="shared" si="5"/>
        <v>0</v>
      </c>
      <c r="H47" s="106" t="e">
        <f t="shared" si="5"/>
        <v>#VALUE!</v>
      </c>
      <c r="I47" s="107">
        <f t="shared" si="3"/>
        <v>0</v>
      </c>
      <c r="J47" s="106">
        <f t="shared" si="4"/>
        <v>0</v>
      </c>
      <c r="K47" s="106">
        <f t="shared" si="5"/>
        <v>434174</v>
      </c>
      <c r="L47" s="106"/>
    </row>
    <row r="48" ht="14.25" customHeight="1">
      <c r="A48" s="108" t="s">
        <v>107</v>
      </c>
      <c r="B48" s="109"/>
      <c r="C48" s="109"/>
      <c r="D48" s="110"/>
      <c r="E48" s="111"/>
      <c r="F48" s="111"/>
      <c r="G48" s="109"/>
      <c r="H48" s="106" t="e">
        <f>_xlfn.SUMIFS(_CALC_PNL!$T$1:$T$1347,_CALC_PNL!$A$1:$A$1347,"GRP",_CALC_PNL!$D$1:$D$1347,cad!$P$1,_CALC_PNL!$C$1:$C$1347,"2027")</f>
        <v>#VALUE!</v>
      </c>
      <c r="I48" s="112"/>
      <c r="J48" s="111"/>
      <c r="K48" s="111"/>
      <c r="L48" s="111"/>
    </row>
    <row r="49" ht="14.25" customHeight="1">
      <c r="A49" s="113" t="s">
        <v>108</v>
      </c>
      <c r="B49" s="114"/>
      <c r="C49" s="114"/>
      <c r="D49" s="105" t="e">
        <f t="shared" si="6" ref="D49:E49">D47</f>
        <v>#VALUE!</v>
      </c>
      <c r="E49" s="106" t="e">
        <f t="shared" si="6"/>
        <v>#VALUE!</v>
      </c>
      <c r="F49" s="106">
        <f t="shared" si="1"/>
        <v>0</v>
      </c>
      <c r="G49" s="107">
        <f t="shared" si="7" ref="G49:K49">SUM(G33:G46)</f>
        <v>0</v>
      </c>
      <c r="H49" s="106" t="e">
        <f>H47+H48</f>
        <v>#VALUE!</v>
      </c>
      <c r="I49" s="107">
        <f t="shared" si="3"/>
        <v>0</v>
      </c>
      <c r="J49" s="106">
        <f t="shared" si="4"/>
        <v>0</v>
      </c>
      <c r="K49" s="106">
        <f t="shared" si="7"/>
        <v>434174</v>
      </c>
      <c r="L49" s="106"/>
    </row>
  </sheetData>
  <sheetProtection sheet="1" sort="1" autoFilter="0" objects="1"/>
  <conditionalFormatting sqref="G33:G46">
    <cfRule type="colorScale" priority="2">
      <colorScale>
        <cfvo type="min"/>
        <cfvo type="max"/>
        <color rgb="FFFFFFFF"/>
        <color rgb="FF9CC3E6"/>
      </colorScale>
    </cfRule>
  </conditionalFormatting>
  <conditionalFormatting sqref="I15:I28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3:I46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D6D9B23-5358-5E38-E0A8-692484E24738}" mc:Ignorable="x14ac xr xr2 xr3">
  <dimension ref="A1:X98"/>
  <sheetViews>
    <sheetView showGridLines="0" topLeftCell="A7" workbookViewId="0" tabSelected="1">
      <selection activeCell="C9" sqref="C9"/>
    </sheetView>
  </sheetViews>
  <sheetFormatPr defaultRowHeight="14.25" defaultColWidth="9.140625" customHeight="1" outlineLevelRow="2"/>
  <cols>
    <col min="1" max="1" width="3.140625" customWidth="1"/>
    <col min="2" max="2" width="29.8515625" customWidth="1"/>
    <col min="3" max="3" width="20.140625" customWidth="1"/>
    <col min="4" max="4" width="17.00390625" customWidth="1"/>
  </cols>
  <sheetData>
    <row r="1" ht="14.25" customHeight="1">
      <c r="N1" t="str">
        <f>IF($C$6="Chiffre d'affaires","REV_CA",IF($C$6="Nombre de classes","VOL_CLASS","VOL_EFF"))</f>
        <v>VOL_EFF</v>
      </c>
    </row>
    <row r="2" ht="19.5" customHeight="1">
      <c r="B2" s="116" t="s">
        <v>110</v>
      </c>
      <c r="C2" s="117"/>
      <c r="D2" s="117"/>
      <c r="E2" s="118"/>
      <c r="F2" s="118"/>
      <c r="G2" s="118"/>
      <c r="H2" s="118"/>
      <c r="I2" s="118"/>
      <c r="J2" s="118"/>
      <c r="K2" s="118"/>
      <c r="L2" s="118"/>
      <c r="M2" s="118"/>
      <c r="N2" t="str">
        <f>IF($C$7="Chiffre d'affaires","REV_CA",IF($C$7="Nombre de classes","VOL_CLASS","VOL_EFF"))</f>
        <v>VOL_EFF</v>
      </c>
    </row>
    <row r="3" ht="14.25" customHeight="1">
      <c r="N3" t="str">
        <f>IF($C$8="Chiffre d'affaires","REV_CA",IF($C$8="Nombre de classes","VOL_CLASS","VOL_EFF"))</f>
        <v>REV_CA</v>
      </c>
    </row>
    <row r="4" ht="14.25" customHeight="1">
      <c r="N4" t="str">
        <f>IF($C$9="Chiffre d'affaires","REV_CA",IF($C$9="Nombre de classes","VOL_CLASS","VOL_EFF"))</f>
        <v>REV_CA</v>
      </c>
    </row>
    <row r="5" ht="15" customHeight="1">
      <c r="B5" s="119" t="s">
        <v>112</v>
      </c>
    </row>
    <row r="6" ht="15.75" customHeight="1">
      <c r="B6" s="120" t="s">
        <v>113</v>
      </c>
      <c r="C6" s="121" t="s">
        <v>32</v>
      </c>
    </row>
    <row r="7" ht="15.75" customHeight="1">
      <c r="B7" s="120" t="s">
        <v>114</v>
      </c>
      <c r="C7" s="121" t="s">
        <v>32</v>
      </c>
    </row>
    <row r="8" ht="14.25" customHeight="1">
      <c r="B8" s="120" t="s">
        <v>115</v>
      </c>
      <c r="C8" s="121" t="s">
        <v>26</v>
      </c>
    </row>
    <row r="9" ht="26.25" customHeight="1">
      <c r="B9" s="120" t="s">
        <v>116</v>
      </c>
      <c r="C9" s="122" t="s">
        <v>26</v>
      </c>
    </row>
    <row r="14" ht="14.25" customHeight="1">
      <c r="B14" s="119" t="s">
        <v>117</v>
      </c>
    </row>
    <row r="17" ht="26.25" customHeight="1">
      <c r="B17" s="123" t="s">
        <v>118</v>
      </c>
      <c r="C17" s="123" t="s">
        <v>32</v>
      </c>
      <c r="D17" s="123" t="s">
        <v>119</v>
      </c>
      <c r="E17" s="123" t="s">
        <v>120</v>
      </c>
      <c r="F17" s="123" t="s">
        <v>121</v>
      </c>
      <c r="G17" s="123" t="s">
        <v>122</v>
      </c>
      <c r="H17" s="123" t="s">
        <v>123</v>
      </c>
      <c r="I17" s="123" t="s">
        <v>124</v>
      </c>
      <c r="J17" s="123" t="s">
        <v>125</v>
      </c>
      <c r="K17" s="123" t="s">
        <v>126</v>
      </c>
      <c r="L17" s="123" t="s">
        <v>127</v>
      </c>
      <c r="M17" s="123" t="s">
        <v>128</v>
      </c>
    </row>
    <row r="18" ht="14.25" customHeight="1">
      <c r="B18" s="124" t="s">
        <v>27</v>
      </c>
      <c r="C18" s="105">
        <f>_xlfn.SUMIFS(Allocation!$I$1:$I$175,Allocation!$C$1:$C$175,"2026",Allocation!$E$1:$E$175,"MBWAY")</f>
        <v>1249</v>
      </c>
      <c r="D18" s="106">
        <f>_xlfn.SUMIFS(Allocation!$K$1:$K$175,Allocation!$C$1:$C$175,"2026",Allocation!$E$1:$E$175,"MBWAY")</f>
        <v>9567455</v>
      </c>
      <c r="E18" s="106">
        <f>_xlfn.SUMIFS(Allocation!$V$1:$V$175,Allocation!$C$1:$C$175,"2026",Allocation!$E$1:$E$175,"MBWAY")</f>
        <v>603646</v>
      </c>
      <c r="F18" s="106">
        <f>_xlfn.SUMIFS(Allocation!$W$1:$W$175,Allocation!$C$1:$C$175,"2026",Allocation!$E$1:$E$175,"MBWAY")</f>
        <v>1528197</v>
      </c>
      <c r="G18" s="106">
        <f>_xlfn.SUMIFS(Allocation!$X$1:$X$175,Allocation!$C$1:$C$175,"2026",Allocation!$E$1:$E$175,"MBWAY")</f>
        <v>631277</v>
      </c>
      <c r="H18" s="106">
        <f>_xlfn.SUMIFS(Allocation!$Y$1:$Y$175,Allocation!$C$1:$C$175,"2026",Allocation!$E$1:$E$175,"MBWAY")</f>
        <v>1452771</v>
      </c>
      <c r="I18" s="106">
        <f>_xlfn.SUMIFS(Allocation!$AC$1:$AC$175,Allocation!$C$1:$C$175,"2026",Allocation!$E$1:$E$175,"MBWAY")</f>
        <v>676344</v>
      </c>
      <c r="J18" s="106">
        <f>_xlfn.SUMIFS(Allocation!$Z$1:$Z$175,Allocation!$C$1:$C$175,"2026",Allocation!$E$1:$E$175,"MBWAY")</f>
        <v>2891983</v>
      </c>
      <c r="K18" s="106">
        <f t="shared" si="0" ref="K18:K95">E18+F18+G18+H18+I18+J18</f>
        <v>7784218</v>
      </c>
      <c r="L18" s="125">
        <f>_xlfn.SUMIFS(Allocation!$AA$1:$AA$175,Allocation!$C$1:$C$175,"2026",Allocation!$E$1:$E$175,"MBWAY")</f>
        <v>1783237</v>
      </c>
      <c r="M18" s="107">
        <f t="shared" si="1" ref="M18:M95">_xlfn.IFERROR(L18/D18,0)</f>
        <v>0.186385721176635</v>
      </c>
    </row>
    <row r="19" ht="14.25" customHeight="1" hidden="0" collapsed="1" outlineLevel="1">
      <c r="B19" s="126" t="s">
        <v>129</v>
      </c>
      <c r="C19" s="105">
        <f>_xlfn.SUMIFS(Allocation!$I$1:$I$175,Allocation!$C$1:$C$175,"2026",Allocation!$D$1:$D$175,"MBWAY_PAR")</f>
        <v>382</v>
      </c>
      <c r="D19" s="106">
        <f>_xlfn.SUMIFS(Allocation!$K$1:$K$175,Allocation!$C$1:$C$175,"2026",Allocation!$D$1:$D$175,"MBWAY_PAR")</f>
        <v>3138840</v>
      </c>
      <c r="E19" s="106">
        <f>_xlfn.SUMIFS(Allocation!$V$1:$V$175,Allocation!$C$1:$C$175,"2026",Allocation!$D$1:$D$175,"MBWAY_PAR")</f>
        <v>181094</v>
      </c>
      <c r="F19" s="106">
        <f>_xlfn.SUMIFS(Allocation!$W$1:$W$175,Allocation!$C$1:$C$175,"2026",Allocation!$D$1:$D$175,"MBWAY_PAR")</f>
        <v>605202</v>
      </c>
      <c r="G19" s="106">
        <f>_xlfn.SUMIFS(Allocation!$X$1:$X$175,Allocation!$C$1:$C$175,"2026",Allocation!$D$1:$D$175,"MBWAY_PAR")</f>
        <v>210431</v>
      </c>
      <c r="H19" s="106">
        <f>_xlfn.SUMIFS(Allocation!$Y$1:$Y$175,Allocation!$C$1:$C$175,"2026",Allocation!$D$1:$D$175,"MBWAY_PAR")</f>
        <v>1452771</v>
      </c>
      <c r="I19" s="106">
        <f>_xlfn.SUMIFS(Allocation!$AC$1:$AC$175,Allocation!$C$1:$C$175,"2026",Allocation!$D$1:$D$175,"MBWAY_PAR")</f>
        <v>676344</v>
      </c>
      <c r="J19" s="106">
        <f>_xlfn.SUMIFS(Allocation!$Z$1:$Z$175,Allocation!$C$1:$C$175,"2026",Allocation!$D$1:$D$175,"MBWAY_PAR")</f>
        <v>2891983</v>
      </c>
      <c r="K19" s="106">
        <f t="shared" si="0"/>
        <v>6017825</v>
      </c>
      <c r="L19" s="125">
        <f>_xlfn.SUMIFS(Allocation!$AA$1:$AA$175,Allocation!$C$1:$C$175,"2026",Allocation!$D$1:$D$175,"MBWAY_PAR")</f>
        <v>-2878985</v>
      </c>
      <c r="M19" s="107">
        <f t="shared" si="1"/>
        <v>-0.917213046858075</v>
      </c>
    </row>
    <row r="20" ht="14.25" customHeight="1" hidden="0" collapsed="0" outlineLevel="2">
      <c r="B20" s="127" t="s">
        <v>130</v>
      </c>
      <c r="C20" s="102">
        <f>_xlfn.SUMIFS(Allocation!$I$1:$I$175,Allocation!$C$1:$C$175,"2026",Allocation!$D$1:$D$175,"MBWAY_PAR",Allocation!$F$1:$F$175,"BAC_MGT",Allocation!$G$1:$G$175,"B1",Allocation!$H$1:$H$175,"INIT")</f>
        <v>78</v>
      </c>
      <c r="D20" s="15">
        <f>_xlfn.SUMIFS(Allocation!$K$1:$K$175,Allocation!$C$1:$C$175,"2026",Allocation!$D$1:$D$175,"MBWAY_PAR",Allocation!$F$1:$F$175,"BAC_MGT",Allocation!$G$1:$G$175,"B1",Allocation!$H$1:$H$175,"INIT")</f>
        <v>662220</v>
      </c>
      <c r="E20" s="15">
        <f>_xlfn.SUMIFS(Allocation!$V$1:$V$175,Allocation!$C$1:$C$175,"2026",Allocation!$D$1:$D$175,"MBWAY_PAR",Allocation!$F$1:$F$175,"BAC_MGT",Allocation!$G$1:$G$175,"B1",Allocation!$H$1:$H$175,"INIT")</f>
        <v>45273.5</v>
      </c>
      <c r="F20" s="15">
        <f>_xlfn.SUMIFS(Allocation!$W$1:$W$175,Allocation!$C$1:$C$175,"2026",Allocation!$D$1:$D$175,"MBWAY_PAR",Allocation!$F$1:$F$175,"BAC_MGT",Allocation!$G$1:$G$175,"B1",Allocation!$H$1:$H$175,"INIT")</f>
        <v>151300.5</v>
      </c>
      <c r="G20" s="15">
        <f>_xlfn.SUMIFS(Allocation!$X$1:$X$175,Allocation!$C$1:$C$175,"2026",Allocation!$D$1:$D$175,"MBWAY_PAR",Allocation!$F$1:$F$175,"BAC_MGT",Allocation!$G$1:$G$175,"B1",Allocation!$H$1:$H$175,"INIT")</f>
        <v>51787.017452007</v>
      </c>
      <c r="H20" s="15">
        <f>_xlfn.SUMIFS(Allocation!$Y$1:$Y$175,Allocation!$C$1:$C$175,"2026",Allocation!$D$1:$D$175,"MBWAY_PAR",Allocation!$F$1:$F$175,"BAC_MGT",Allocation!$G$1:$G$175,"B1",Allocation!$H$1:$H$175,"INIT")</f>
        <v>1452771</v>
      </c>
      <c r="I20" s="15">
        <f>_xlfn.SUMIFS(Allocation!$AC$1:$AC$175,Allocation!$C$1:$C$175,"2026",Allocation!$D$1:$D$175,"MBWAY_PAR",Allocation!$F$1:$F$175,"BAC_MGT",Allocation!$G$1:$G$175,"B1",Allocation!$H$1:$H$175,"INIT")</f>
        <v>676344</v>
      </c>
      <c r="J20" s="15">
        <f>_xlfn.SUMIFS(Allocation!$Z$1:$Z$175,Allocation!$C$1:$C$175,"2026",Allocation!$D$1:$D$175,"MBWAY_PAR",Allocation!$F$1:$F$175,"BAC_MGT",Allocation!$G$1:$G$175,"B1",Allocation!$H$1:$H$175,"INIT")</f>
        <v>2891983</v>
      </c>
      <c r="K20" s="106">
        <f t="shared" si="0"/>
        <v>5269459.01745201</v>
      </c>
      <c r="L20" s="128">
        <f>_xlfn.SUMIFS(Allocation!$AA$1:$AA$175,Allocation!$C$1:$C$175,"2026",Allocation!$D$1:$D$175,"MBWAY_PAR",Allocation!$F$1:$F$175,"BAC_MGT",Allocation!$G$1:$G$175,"B1",Allocation!$H$1:$H$175,"INIT")</f>
        <v>-4607239.01745201</v>
      </c>
      <c r="M20" s="22">
        <f t="shared" si="1"/>
        <v>-6.95726347354657</v>
      </c>
    </row>
    <row r="21" ht="14.25" customHeight="1" hidden="0" collapsed="0" outlineLevel="2">
      <c r="B21" s="127" t="s">
        <v>131</v>
      </c>
      <c r="C21" s="102">
        <f>_xlfn.SUMIFS(Allocation!$I$1:$I$175,Allocation!$C$1:$C$175,"2026",Allocation!$D$1:$D$175,"MBWAY_PAR",Allocation!$F$1:$F$175,"BAC_MGT",Allocation!$G$1:$G$175,"B2",Allocation!$H$1:$H$175,"ALT")</f>
        <v>76</v>
      </c>
      <c r="D21" s="15">
        <f>_xlfn.SUMIFS(Allocation!$K$1:$K$175,Allocation!$C$1:$C$175,"2026",Allocation!$D$1:$D$175,"MBWAY_PAR",Allocation!$F$1:$F$175,"BAC_MGT",Allocation!$G$1:$G$175,"B2",Allocation!$H$1:$H$175,"ALT")</f>
        <v>595840</v>
      </c>
      <c r="E21" s="15">
        <f>_xlfn.SUMIFS(Allocation!$V$1:$V$175,Allocation!$C$1:$C$175,"2026",Allocation!$D$1:$D$175,"MBWAY_PAR",Allocation!$F$1:$F$175,"BAC_MGT",Allocation!$G$1:$G$175,"B2",Allocation!$H$1:$H$175,"ALT")</f>
        <v>36218.8</v>
      </c>
      <c r="F21" s="15">
        <f>_xlfn.SUMIFS(Allocation!$W$1:$W$175,Allocation!$C$1:$C$175,"2026",Allocation!$D$1:$D$175,"MBWAY_PAR",Allocation!$F$1:$F$175,"BAC_MGT",Allocation!$G$1:$G$175,"B2",Allocation!$H$1:$H$175,"ALT")</f>
        <v>121040.4</v>
      </c>
      <c r="G21" s="15">
        <f>_xlfn.SUMIFS(Allocation!$X$1:$X$175,Allocation!$C$1:$C$175,"2026",Allocation!$D$1:$D$175,"MBWAY_PAR",Allocation!$F$1:$F$175,"BAC_MGT",Allocation!$G$1:$G$175,"B2",Allocation!$H$1:$H$175,"ALT")</f>
        <v>28279.1623036649</v>
      </c>
      <c r="H21" s="15">
        <f>_xlfn.SUMIFS(Allocation!$Y$1:$Y$175,Allocation!$C$1:$C$175,"2026",Allocation!$D$1:$D$175,"MBWAY_PAR",Allocation!$F$1:$F$175,"BAC_MGT",Allocation!$G$1:$G$175,"B2",Allocation!$H$1:$H$175,"ALT")</f>
        <v>0</v>
      </c>
      <c r="I21" s="15">
        <f>_xlfn.SUMIFS(Allocation!$AC$1:$AC$175,Allocation!$C$1:$C$175,"2026",Allocation!$D$1:$D$175,"MBWAY_PAR",Allocation!$F$1:$F$175,"BAC_MGT",Allocation!$G$1:$G$175,"B2",Allocation!$H$1:$H$175,"ALT")</f>
        <v>0</v>
      </c>
      <c r="J21" s="15">
        <f>_xlfn.SUMIFS(Allocation!$Z$1:$Z$175,Allocation!$C$1:$C$175,"2026",Allocation!$D$1:$D$175,"MBWAY_PAR",Allocation!$F$1:$F$175,"BAC_MGT",Allocation!$G$1:$G$175,"B2",Allocation!$H$1:$H$175,"ALT")</f>
        <v>0</v>
      </c>
      <c r="K21" s="106">
        <f t="shared" si="0"/>
        <v>185538.362303665</v>
      </c>
      <c r="L21" s="128">
        <f>_xlfn.SUMIFS(Allocation!$AA$1:$AA$175,Allocation!$C$1:$C$175,"2026",Allocation!$D$1:$D$175,"MBWAY_PAR",Allocation!$F$1:$F$175,"BAC_MGT",Allocation!$G$1:$G$175,"B2",Allocation!$H$1:$H$175,"ALT")</f>
        <v>410301.637696335</v>
      </c>
      <c r="M21" s="22">
        <f t="shared" si="1"/>
        <v>0.688610428464579</v>
      </c>
    </row>
    <row r="22" ht="14.25" customHeight="1" hidden="0" collapsed="0" outlineLevel="2">
      <c r="B22" s="127" t="s">
        <v>132</v>
      </c>
      <c r="C22" s="102">
        <f>_xlfn.SUMIFS(Allocation!$I$1:$I$175,Allocation!$C$1:$C$175,"2026",Allocation!$D$1:$D$175,"MBWAY_PAR",Allocation!$F$1:$F$175,"BAC_MGT",Allocation!$G$1:$G$175,"B3",Allocation!$H$1:$H$175,"ALT")</f>
        <v>74</v>
      </c>
      <c r="D22" s="15">
        <f>_xlfn.SUMIFS(Allocation!$K$1:$K$175,Allocation!$C$1:$C$175,"2026",Allocation!$D$1:$D$175,"MBWAY_PAR",Allocation!$F$1:$F$175,"BAC_MGT",Allocation!$G$1:$G$175,"B3",Allocation!$H$1:$H$175,"ALT")</f>
        <v>580160</v>
      </c>
      <c r="E22" s="15">
        <f>_xlfn.SUMIFS(Allocation!$V$1:$V$175,Allocation!$C$1:$C$175,"2026",Allocation!$D$1:$D$175,"MBWAY_PAR",Allocation!$F$1:$F$175,"BAC_MGT",Allocation!$G$1:$G$175,"B3",Allocation!$H$1:$H$175,"ALT")</f>
        <v>36218.8</v>
      </c>
      <c r="F22" s="15">
        <f>_xlfn.SUMIFS(Allocation!$W$1:$W$175,Allocation!$C$1:$C$175,"2026",Allocation!$D$1:$D$175,"MBWAY_PAR",Allocation!$F$1:$F$175,"BAC_MGT",Allocation!$G$1:$G$175,"B3",Allocation!$H$1:$H$175,"ALT")</f>
        <v>121040.4</v>
      </c>
      <c r="G22" s="15">
        <f>_xlfn.SUMIFS(Allocation!$X$1:$X$175,Allocation!$C$1:$C$175,"2026",Allocation!$D$1:$D$175,"MBWAY_PAR",Allocation!$F$1:$F$175,"BAC_MGT",Allocation!$G$1:$G$175,"B3",Allocation!$H$1:$H$175,"ALT")</f>
        <v>27534.9738219895</v>
      </c>
      <c r="H22" s="15">
        <f>_xlfn.SUMIFS(Allocation!$Y$1:$Y$175,Allocation!$C$1:$C$175,"2026",Allocation!$D$1:$D$175,"MBWAY_PAR",Allocation!$F$1:$F$175,"BAC_MGT",Allocation!$G$1:$G$175,"B3",Allocation!$H$1:$H$175,"ALT")</f>
        <v>0</v>
      </c>
      <c r="I22" s="15">
        <f>_xlfn.SUMIFS(Allocation!$AC$1:$AC$175,Allocation!$C$1:$C$175,"2026",Allocation!$D$1:$D$175,"MBWAY_PAR",Allocation!$F$1:$F$175,"BAC_MGT",Allocation!$G$1:$G$175,"B3",Allocation!$H$1:$H$175,"ALT")</f>
        <v>0</v>
      </c>
      <c r="J22" s="15">
        <f>_xlfn.SUMIFS(Allocation!$Z$1:$Z$175,Allocation!$C$1:$C$175,"2026",Allocation!$D$1:$D$175,"MBWAY_PAR",Allocation!$F$1:$F$175,"BAC_MGT",Allocation!$G$1:$G$175,"B3",Allocation!$H$1:$H$175,"ALT")</f>
        <v>0</v>
      </c>
      <c r="K22" s="106">
        <f t="shared" si="0"/>
        <v>184794.17382199</v>
      </c>
      <c r="L22" s="128">
        <f>_xlfn.SUMIFS(Allocation!$AA$1:$AA$175,Allocation!$C$1:$C$175,"2026",Allocation!$D$1:$D$175,"MBWAY_PAR",Allocation!$F$1:$F$175,"BAC_MGT",Allocation!$G$1:$G$175,"B3",Allocation!$H$1:$H$175,"ALT")</f>
        <v>395365.82617801</v>
      </c>
      <c r="M22" s="22">
        <f t="shared" si="1"/>
        <v>0.681477223831374</v>
      </c>
    </row>
    <row r="23" ht="14.25" customHeight="1" hidden="0" collapsed="0" outlineLevel="2">
      <c r="B23" s="127" t="s">
        <v>133</v>
      </c>
      <c r="C23" s="102">
        <f>_xlfn.SUMIFS(Allocation!$I$1:$I$175,Allocation!$C$1:$C$175,"2026",Allocation!$D$1:$D$175,"MBWAY_PAR",Allocation!$F$1:$F$175,"MAS_MGT",Allocation!$G$1:$G$175,"M1",Allocation!$H$1:$H$175,"ALT")</f>
        <v>78</v>
      </c>
      <c r="D23" s="15">
        <f>_xlfn.SUMIFS(Allocation!$K$1:$K$175,Allocation!$C$1:$C$175,"2026",Allocation!$D$1:$D$175,"MBWAY_PAR",Allocation!$F$1:$F$175,"MAS_MGT",Allocation!$G$1:$G$175,"M1",Allocation!$H$1:$H$175,"ALT")</f>
        <v>662220</v>
      </c>
      <c r="E23" s="15">
        <f>_xlfn.SUMIFS(Allocation!$V$1:$V$175,Allocation!$C$1:$C$175,"2026",Allocation!$D$1:$D$175,"MBWAY_PAR",Allocation!$F$1:$F$175,"MAS_MGT",Allocation!$G$1:$G$175,"M1",Allocation!$H$1:$H$175,"ALT")</f>
        <v>31691.45</v>
      </c>
      <c r="F23" s="15">
        <f>_xlfn.SUMIFS(Allocation!$W$1:$W$175,Allocation!$C$1:$C$175,"2026",Allocation!$D$1:$D$175,"MBWAY_PAR",Allocation!$F$1:$F$175,"MAS_MGT",Allocation!$G$1:$G$175,"M1",Allocation!$H$1:$H$175,"ALT")</f>
        <v>105910.35</v>
      </c>
      <c r="G23" s="15">
        <f>_xlfn.SUMIFS(Allocation!$X$1:$X$175,Allocation!$C$1:$C$175,"2026",Allocation!$D$1:$D$175,"MBWAY_PAR",Allocation!$F$1:$F$175,"MAS_MGT",Allocation!$G$1:$G$175,"M1",Allocation!$H$1:$H$175,"ALT")</f>
        <v>74550.6841186736</v>
      </c>
      <c r="H23" s="15">
        <f>_xlfn.SUMIFS(Allocation!$Y$1:$Y$175,Allocation!$C$1:$C$175,"2026",Allocation!$D$1:$D$175,"MBWAY_PAR",Allocation!$F$1:$F$175,"MAS_MGT",Allocation!$G$1:$G$175,"M1",Allocation!$H$1:$H$175,"ALT")</f>
        <v>0</v>
      </c>
      <c r="I23" s="15">
        <f>_xlfn.SUMIFS(Allocation!$AC$1:$AC$175,Allocation!$C$1:$C$175,"2026",Allocation!$D$1:$D$175,"MBWAY_PAR",Allocation!$F$1:$F$175,"MAS_MGT",Allocation!$G$1:$G$175,"M1",Allocation!$H$1:$H$175,"ALT")</f>
        <v>0</v>
      </c>
      <c r="J23" s="15">
        <f>_xlfn.SUMIFS(Allocation!$Z$1:$Z$175,Allocation!$C$1:$C$175,"2026",Allocation!$D$1:$D$175,"MBWAY_PAR",Allocation!$F$1:$F$175,"MAS_MGT",Allocation!$G$1:$G$175,"M1",Allocation!$H$1:$H$175,"ALT")</f>
        <v>0</v>
      </c>
      <c r="K23" s="106">
        <f t="shared" si="0"/>
        <v>212152.484118674</v>
      </c>
      <c r="L23" s="128">
        <f>_xlfn.SUMIFS(Allocation!$AA$1:$AA$175,Allocation!$C$1:$C$175,"2026",Allocation!$D$1:$D$175,"MBWAY_PAR",Allocation!$F$1:$F$175,"MAS_MGT",Allocation!$G$1:$G$175,"M1",Allocation!$H$1:$H$175,"ALT")</f>
        <v>450067.515881326</v>
      </c>
      <c r="M23" s="22">
        <f t="shared" si="1"/>
        <v>0.679634435506819</v>
      </c>
    </row>
    <row r="24" ht="14.25" customHeight="1" hidden="0" collapsed="0" outlineLevel="2">
      <c r="B24" s="127" t="s">
        <v>134</v>
      </c>
      <c r="C24" s="102">
        <f>_xlfn.SUMIFS(Allocation!$I$1:$I$175,Allocation!$C$1:$C$175,"2026",Allocation!$D$1:$D$175,"MBWAY_PAR",Allocation!$F$1:$F$175,"MAS_MGT",Allocation!$G$1:$G$175,"M2",Allocation!$H$1:$H$175,"ALT")</f>
        <v>76</v>
      </c>
      <c r="D24" s="15">
        <f>_xlfn.SUMIFS(Allocation!$K$1:$K$175,Allocation!$C$1:$C$175,"2026",Allocation!$D$1:$D$175,"MBWAY_PAR",Allocation!$F$1:$F$175,"MAS_MGT",Allocation!$G$1:$G$175,"M2",Allocation!$H$1:$H$175,"ALT")</f>
        <v>638400</v>
      </c>
      <c r="E24" s="15">
        <f>_xlfn.SUMIFS(Allocation!$V$1:$V$175,Allocation!$C$1:$C$175,"2026",Allocation!$D$1:$D$175,"MBWAY_PAR",Allocation!$F$1:$F$175,"MAS_MGT",Allocation!$G$1:$G$175,"M2",Allocation!$H$1:$H$175,"ALT")</f>
        <v>31691.45</v>
      </c>
      <c r="F24" s="15">
        <f>_xlfn.SUMIFS(Allocation!$W$1:$W$175,Allocation!$C$1:$C$175,"2026",Allocation!$D$1:$D$175,"MBWAY_PAR",Allocation!$F$1:$F$175,"MAS_MGT",Allocation!$G$1:$G$175,"M2",Allocation!$H$1:$H$175,"ALT")</f>
        <v>105910.35</v>
      </c>
      <c r="G24" s="15">
        <f>_xlfn.SUMIFS(Allocation!$X$1:$X$175,Allocation!$C$1:$C$175,"2026",Allocation!$D$1:$D$175,"MBWAY_PAR",Allocation!$F$1:$F$175,"MAS_MGT",Allocation!$G$1:$G$175,"M2",Allocation!$H$1:$H$175,"ALT")</f>
        <v>28279.1623036649</v>
      </c>
      <c r="H24" s="15">
        <f>_xlfn.SUMIFS(Allocation!$Y$1:$Y$175,Allocation!$C$1:$C$175,"2026",Allocation!$D$1:$D$175,"MBWAY_PAR",Allocation!$F$1:$F$175,"MAS_MGT",Allocation!$G$1:$G$175,"M2",Allocation!$H$1:$H$175,"ALT")</f>
        <v>0</v>
      </c>
      <c r="I24" s="15">
        <f>_xlfn.SUMIFS(Allocation!$AC$1:$AC$175,Allocation!$C$1:$C$175,"2026",Allocation!$D$1:$D$175,"MBWAY_PAR",Allocation!$F$1:$F$175,"MAS_MGT",Allocation!$G$1:$G$175,"M2",Allocation!$H$1:$H$175,"ALT")</f>
        <v>0</v>
      </c>
      <c r="J24" s="15">
        <f>_xlfn.SUMIFS(Allocation!$Z$1:$Z$175,Allocation!$C$1:$C$175,"2026",Allocation!$D$1:$D$175,"MBWAY_PAR",Allocation!$F$1:$F$175,"MAS_MGT",Allocation!$G$1:$G$175,"M2",Allocation!$H$1:$H$175,"ALT")</f>
        <v>0</v>
      </c>
      <c r="K24" s="106">
        <f t="shared" si="0"/>
        <v>165880.962303665</v>
      </c>
      <c r="L24" s="128">
        <f>_xlfn.SUMIFS(Allocation!$AA$1:$AA$175,Allocation!$C$1:$C$175,"2026",Allocation!$D$1:$D$175,"MBWAY_PAR",Allocation!$F$1:$F$175,"MAS_MGT",Allocation!$G$1:$G$175,"M2",Allocation!$H$1:$H$175,"ALT")</f>
        <v>472519.037696335</v>
      </c>
      <c r="M24" s="22">
        <f t="shared" si="1"/>
        <v>0.740161399900274</v>
      </c>
    </row>
    <row r="25" ht="14.25" customHeight="1" hidden="0" collapsed="0" outlineLevel="1">
      <c r="B25" s="126" t="s">
        <v>135</v>
      </c>
      <c r="C25" s="105">
        <f>_xlfn.SUMIFS(Allocation!$I$1:$I$175,Allocation!$C$1:$C$175,"2026",Allocation!$D$1:$D$175,"MBWAY_LYO")</f>
        <v>324</v>
      </c>
      <c r="D25" s="106">
        <f>_xlfn.SUMIFS(Allocation!$K$1:$K$175,Allocation!$C$1:$C$175,"2026",Allocation!$D$1:$D$175,"MBWAY_LYO")</f>
        <v>2496705</v>
      </c>
      <c r="E25" s="106">
        <f>_xlfn.SUMIFS(Allocation!$V$1:$V$175,Allocation!$C$1:$C$175,"2026",Allocation!$D$1:$D$175,"MBWAY_LYO")</f>
        <v>156948</v>
      </c>
      <c r="F25" s="106">
        <f>_xlfn.SUMIFS(Allocation!$W$1:$W$175,Allocation!$C$1:$C$175,"2026",Allocation!$D$1:$D$175,"MBWAY_LYO")</f>
        <v>362623</v>
      </c>
      <c r="G25" s="106">
        <f>_xlfn.SUMIFS(Allocation!$X$1:$X$175,Allocation!$C$1:$C$175,"2026",Allocation!$D$1:$D$175,"MBWAY_LYO")</f>
        <v>162342</v>
      </c>
      <c r="H25" s="106">
        <f>_xlfn.SUMIFS(Allocation!$Y$1:$Y$175,Allocation!$C$1:$C$175,"2026",Allocation!$D$1:$D$175,"MBWAY_LYO")</f>
        <v>0</v>
      </c>
      <c r="I25" s="106">
        <f>_xlfn.SUMIFS(Allocation!$AC$1:$AC$175,Allocation!$C$1:$C$175,"2026",Allocation!$D$1:$D$175,"MBWAY_LYO")</f>
        <v>0</v>
      </c>
      <c r="J25" s="106">
        <f>_xlfn.SUMIFS(Allocation!$Z$1:$Z$175,Allocation!$C$1:$C$175,"2026",Allocation!$D$1:$D$175,"MBWAY_LYO")</f>
        <v>0</v>
      </c>
      <c r="K25" s="106">
        <f t="shared" si="0"/>
        <v>681913</v>
      </c>
      <c r="L25" s="125">
        <f>_xlfn.SUMIFS(Allocation!$AA$1:$AA$175,Allocation!$C$1:$C$175,"2026",Allocation!$D$1:$D$175,"MBWAY_LYO")</f>
        <v>1814792</v>
      </c>
      <c r="M25" s="107">
        <f t="shared" si="1"/>
        <v>0.726874821014097</v>
      </c>
    </row>
    <row r="26" ht="14.25" customHeight="1" hidden="0" collapsed="0" outlineLevel="2">
      <c r="B26" s="127" t="s">
        <v>130</v>
      </c>
      <c r="C26" s="102">
        <f>_xlfn.SUMIFS(Allocation!$I$1:$I$175,Allocation!$C$1:$C$175,"2026",Allocation!$D$1:$D$175,"MBWAY_LYO",Allocation!$F$1:$F$175,"BAC_MGT",Allocation!$G$1:$G$175,"B1",Allocation!$H$1:$H$175,"INIT")</f>
        <v>66</v>
      </c>
      <c r="D26" s="15">
        <f>_xlfn.SUMIFS(Allocation!$K$1:$K$175,Allocation!$C$1:$C$175,"2026",Allocation!$D$1:$D$175,"MBWAY_LYO",Allocation!$F$1:$F$175,"BAC_MGT",Allocation!$G$1:$G$175,"B1",Allocation!$H$1:$H$175,"INIT")</f>
        <v>525690</v>
      </c>
      <c r="E26" s="15">
        <f>_xlfn.SUMIFS(Allocation!$V$1:$V$175,Allocation!$C$1:$C$175,"2026",Allocation!$D$1:$D$175,"MBWAY_LYO",Allocation!$F$1:$F$175,"BAC_MGT",Allocation!$G$1:$G$175,"B1",Allocation!$H$1:$H$175,"INIT")</f>
        <v>45273.4615384615</v>
      </c>
      <c r="F26" s="15">
        <f>_xlfn.SUMIFS(Allocation!$W$1:$W$175,Allocation!$C$1:$C$175,"2026",Allocation!$D$1:$D$175,"MBWAY_LYO",Allocation!$F$1:$F$175,"BAC_MGT",Allocation!$G$1:$G$175,"B1",Allocation!$H$1:$H$175,"INIT")</f>
        <v>104602.788461538</v>
      </c>
      <c r="G26" s="15">
        <f>_xlfn.SUMIFS(Allocation!$X$1:$X$175,Allocation!$C$1:$C$175,"2026",Allocation!$D$1:$D$175,"MBWAY_LYO",Allocation!$F$1:$F$175,"BAC_MGT",Allocation!$G$1:$G$175,"B1",Allocation!$H$1:$H$175,"INIT")</f>
        <v>45449.8148148148</v>
      </c>
      <c r="H26" s="15">
        <f>_xlfn.SUMIFS(Allocation!$Y$1:$Y$175,Allocation!$C$1:$C$175,"2026",Allocation!$D$1:$D$175,"MBWAY_LYO",Allocation!$F$1:$F$175,"BAC_MGT",Allocation!$G$1:$G$175,"B1",Allocation!$H$1:$H$175,"INIT")</f>
        <v>0</v>
      </c>
      <c r="I26" s="15">
        <f>_xlfn.SUMIFS(Allocation!$AC$1:$AC$175,Allocation!$C$1:$C$175,"2026",Allocation!$D$1:$D$175,"MBWAY_LYO",Allocation!$F$1:$F$175,"BAC_MGT",Allocation!$G$1:$G$175,"B1",Allocation!$H$1:$H$175,"INIT")</f>
        <v>0</v>
      </c>
      <c r="J26" s="15">
        <f>_xlfn.SUMIFS(Allocation!$Z$1:$Z$175,Allocation!$C$1:$C$175,"2026",Allocation!$D$1:$D$175,"MBWAY_LYO",Allocation!$F$1:$F$175,"BAC_MGT",Allocation!$G$1:$G$175,"B1",Allocation!$H$1:$H$175,"INIT")</f>
        <v>0</v>
      </c>
      <c r="K26" s="106">
        <f t="shared" si="0"/>
        <v>195326.064814814</v>
      </c>
      <c r="L26" s="128">
        <f>_xlfn.SUMIFS(Allocation!$AA$1:$AA$175,Allocation!$C$1:$C$175,"2026",Allocation!$D$1:$D$175,"MBWAY_LYO",Allocation!$F$1:$F$175,"BAC_MGT",Allocation!$G$1:$G$175,"B1",Allocation!$H$1:$H$175,"INIT")</f>
        <v>330363.935185186</v>
      </c>
      <c r="M26" s="22">
        <f t="shared" si="1"/>
        <v>0.628438690454804</v>
      </c>
    </row>
    <row r="27" ht="14.25" customHeight="1" hidden="0" collapsed="0" outlineLevel="2">
      <c r="B27" s="127" t="s">
        <v>131</v>
      </c>
      <c r="C27" s="102">
        <f>_xlfn.SUMIFS(Allocation!$I$1:$I$175,Allocation!$C$1:$C$175,"2026",Allocation!$D$1:$D$175,"MBWAY_LYO",Allocation!$F$1:$F$175,"BAC_MGT",Allocation!$G$1:$G$175,"B2",Allocation!$H$1:$H$175,"ALT")</f>
        <v>64</v>
      </c>
      <c r="D27" s="15">
        <f>_xlfn.SUMIFS(Allocation!$K$1:$K$175,Allocation!$C$1:$C$175,"2026",Allocation!$D$1:$D$175,"MBWAY_LYO",Allocation!$F$1:$F$175,"BAC_MGT",Allocation!$G$1:$G$175,"B2",Allocation!$H$1:$H$175,"ALT")</f>
        <v>470400</v>
      </c>
      <c r="E27" s="15">
        <f>_xlfn.SUMIFS(Allocation!$V$1:$V$175,Allocation!$C$1:$C$175,"2026",Allocation!$D$1:$D$175,"MBWAY_LYO",Allocation!$F$1:$F$175,"BAC_MGT",Allocation!$G$1:$G$175,"B2",Allocation!$H$1:$H$175,"ALT")</f>
        <v>24145.8461538462</v>
      </c>
      <c r="F27" s="15">
        <f>_xlfn.SUMIFS(Allocation!$W$1:$W$175,Allocation!$C$1:$C$175,"2026",Allocation!$D$1:$D$175,"MBWAY_LYO",Allocation!$F$1:$F$175,"BAC_MGT",Allocation!$G$1:$G$175,"B2",Allocation!$H$1:$H$175,"ALT")</f>
        <v>55788.1538461539</v>
      </c>
      <c r="G27" s="15">
        <f>_xlfn.SUMIFS(Allocation!$X$1:$X$175,Allocation!$C$1:$C$175,"2026",Allocation!$D$1:$D$175,"MBWAY_LYO",Allocation!$F$1:$F$175,"BAC_MGT",Allocation!$G$1:$G$175,"B2",Allocation!$H$1:$H$175,"ALT")</f>
        <v>23814.1234567901</v>
      </c>
      <c r="H27" s="15">
        <f>_xlfn.SUMIFS(Allocation!$Y$1:$Y$175,Allocation!$C$1:$C$175,"2026",Allocation!$D$1:$D$175,"MBWAY_LYO",Allocation!$F$1:$F$175,"BAC_MGT",Allocation!$G$1:$G$175,"B2",Allocation!$H$1:$H$175,"ALT")</f>
        <v>0</v>
      </c>
      <c r="I27" s="15">
        <f>_xlfn.SUMIFS(Allocation!$AC$1:$AC$175,Allocation!$C$1:$C$175,"2026",Allocation!$D$1:$D$175,"MBWAY_LYO",Allocation!$F$1:$F$175,"BAC_MGT",Allocation!$G$1:$G$175,"B2",Allocation!$H$1:$H$175,"ALT")</f>
        <v>0</v>
      </c>
      <c r="J27" s="15">
        <f>_xlfn.SUMIFS(Allocation!$Z$1:$Z$175,Allocation!$C$1:$C$175,"2026",Allocation!$D$1:$D$175,"MBWAY_LYO",Allocation!$F$1:$F$175,"BAC_MGT",Allocation!$G$1:$G$175,"B2",Allocation!$H$1:$H$175,"ALT")</f>
        <v>0</v>
      </c>
      <c r="K27" s="106">
        <f t="shared" si="0"/>
        <v>103748.12345679</v>
      </c>
      <c r="L27" s="128">
        <f>_xlfn.SUMIFS(Allocation!$AA$1:$AA$175,Allocation!$C$1:$C$175,"2026",Allocation!$D$1:$D$175,"MBWAY_LYO",Allocation!$F$1:$F$175,"BAC_MGT",Allocation!$G$1:$G$175,"B2",Allocation!$H$1:$H$175,"ALT")</f>
        <v>366651.87654321</v>
      </c>
      <c r="M27" s="22">
        <f t="shared" si="1"/>
        <v>0.779447016460906</v>
      </c>
    </row>
    <row r="28" ht="14.25" customHeight="1" hidden="0" collapsed="0" outlineLevel="2">
      <c r="B28" s="127" t="s">
        <v>132</v>
      </c>
      <c r="C28" s="102">
        <f>_xlfn.SUMIFS(Allocation!$I$1:$I$175,Allocation!$C$1:$C$175,"2026",Allocation!$D$1:$D$175,"MBWAY_LYO",Allocation!$F$1:$F$175,"BAC_MGT",Allocation!$G$1:$G$175,"B3",Allocation!$H$1:$H$175,"ALT")</f>
        <v>63</v>
      </c>
      <c r="D28" s="15">
        <f>_xlfn.SUMIFS(Allocation!$K$1:$K$175,Allocation!$C$1:$C$175,"2026",Allocation!$D$1:$D$175,"MBWAY_LYO",Allocation!$F$1:$F$175,"BAC_MGT",Allocation!$G$1:$G$175,"B3",Allocation!$H$1:$H$175,"ALT")</f>
        <v>463050</v>
      </c>
      <c r="E28" s="15">
        <f>_xlfn.SUMIFS(Allocation!$V$1:$V$175,Allocation!$C$1:$C$175,"2026",Allocation!$D$1:$D$175,"MBWAY_LYO",Allocation!$F$1:$F$175,"BAC_MGT",Allocation!$G$1:$G$175,"B3",Allocation!$H$1:$H$175,"ALT")</f>
        <v>24145.8461538462</v>
      </c>
      <c r="F28" s="15">
        <f>_xlfn.SUMIFS(Allocation!$W$1:$W$175,Allocation!$C$1:$C$175,"2026",Allocation!$D$1:$D$175,"MBWAY_LYO",Allocation!$F$1:$F$175,"BAC_MGT",Allocation!$G$1:$G$175,"B3",Allocation!$H$1:$H$175,"ALT")</f>
        <v>55788.1538461539</v>
      </c>
      <c r="G28" s="15">
        <f>_xlfn.SUMIFS(Allocation!$X$1:$X$175,Allocation!$C$1:$C$175,"2026",Allocation!$D$1:$D$175,"MBWAY_LYO",Allocation!$F$1:$F$175,"BAC_MGT",Allocation!$G$1:$G$175,"B3",Allocation!$H$1:$H$175,"ALT")</f>
        <v>23442.0277777778</v>
      </c>
      <c r="H28" s="15">
        <f>_xlfn.SUMIFS(Allocation!$Y$1:$Y$175,Allocation!$C$1:$C$175,"2026",Allocation!$D$1:$D$175,"MBWAY_LYO",Allocation!$F$1:$F$175,"BAC_MGT",Allocation!$G$1:$G$175,"B3",Allocation!$H$1:$H$175,"ALT")</f>
        <v>0</v>
      </c>
      <c r="I28" s="15">
        <f>_xlfn.SUMIFS(Allocation!$AC$1:$AC$175,Allocation!$C$1:$C$175,"2026",Allocation!$D$1:$D$175,"MBWAY_LYO",Allocation!$F$1:$F$175,"BAC_MGT",Allocation!$G$1:$G$175,"B3",Allocation!$H$1:$H$175,"ALT")</f>
        <v>0</v>
      </c>
      <c r="J28" s="15">
        <f>_xlfn.SUMIFS(Allocation!$Z$1:$Z$175,Allocation!$C$1:$C$175,"2026",Allocation!$D$1:$D$175,"MBWAY_LYO",Allocation!$F$1:$F$175,"BAC_MGT",Allocation!$G$1:$G$175,"B3",Allocation!$H$1:$H$175,"ALT")</f>
        <v>0</v>
      </c>
      <c r="K28" s="106">
        <f t="shared" si="0"/>
        <v>103376.027777778</v>
      </c>
      <c r="L28" s="128">
        <f>_xlfn.SUMIFS(Allocation!$AA$1:$AA$175,Allocation!$C$1:$C$175,"2026",Allocation!$D$1:$D$175,"MBWAY_LYO",Allocation!$F$1:$F$175,"BAC_MGT",Allocation!$G$1:$G$175,"B3",Allocation!$H$1:$H$175,"ALT")</f>
        <v>359673.972222222</v>
      </c>
      <c r="M28" s="22">
        <f t="shared" si="1"/>
        <v>0.776749751046803</v>
      </c>
    </row>
    <row r="29" ht="14.25" customHeight="1" hidden="0" collapsed="0" outlineLevel="2">
      <c r="B29" s="127" t="s">
        <v>133</v>
      </c>
      <c r="C29" s="102">
        <f>_xlfn.SUMIFS(Allocation!$I$1:$I$175,Allocation!$C$1:$C$175,"2026",Allocation!$D$1:$D$175,"MBWAY_LYO",Allocation!$F$1:$F$175,"MAS_MGT",Allocation!$G$1:$G$175,"M1",Allocation!$H$1:$H$175,"ALT")</f>
        <v>66</v>
      </c>
      <c r="D29" s="15">
        <f>_xlfn.SUMIFS(Allocation!$K$1:$K$175,Allocation!$C$1:$C$175,"2026",Allocation!$D$1:$D$175,"MBWAY_LYO",Allocation!$F$1:$F$175,"MAS_MGT",Allocation!$G$1:$G$175,"M1",Allocation!$H$1:$H$175,"ALT")</f>
        <v>525690</v>
      </c>
      <c r="E29" s="15">
        <f>_xlfn.SUMIFS(Allocation!$V$1:$V$175,Allocation!$C$1:$C$175,"2026",Allocation!$D$1:$D$175,"MBWAY_LYO",Allocation!$F$1:$F$175,"MAS_MGT",Allocation!$G$1:$G$175,"M1",Allocation!$H$1:$H$175,"ALT")</f>
        <v>31691.4230769231</v>
      </c>
      <c r="F29" s="15">
        <f>_xlfn.SUMIFS(Allocation!$W$1:$W$175,Allocation!$C$1:$C$175,"2026",Allocation!$D$1:$D$175,"MBWAY_LYO",Allocation!$F$1:$F$175,"MAS_MGT",Allocation!$G$1:$G$175,"M1",Allocation!$H$1:$H$175,"ALT")</f>
        <v>73221.9519230769</v>
      </c>
      <c r="G29" s="15">
        <f>_xlfn.SUMIFS(Allocation!$X$1:$X$175,Allocation!$C$1:$C$175,"2026",Allocation!$D$1:$D$175,"MBWAY_LYO",Allocation!$F$1:$F$175,"MAS_MGT",Allocation!$G$1:$G$175,"M1",Allocation!$H$1:$H$175,"ALT")</f>
        <v>45449.8148148148</v>
      </c>
      <c r="H29" s="15">
        <f>_xlfn.SUMIFS(Allocation!$Y$1:$Y$175,Allocation!$C$1:$C$175,"2026",Allocation!$D$1:$D$175,"MBWAY_LYO",Allocation!$F$1:$F$175,"MAS_MGT",Allocation!$G$1:$G$175,"M1",Allocation!$H$1:$H$175,"ALT")</f>
        <v>0</v>
      </c>
      <c r="I29" s="15">
        <f>_xlfn.SUMIFS(Allocation!$AC$1:$AC$175,Allocation!$C$1:$C$175,"2026",Allocation!$D$1:$D$175,"MBWAY_LYO",Allocation!$F$1:$F$175,"MAS_MGT",Allocation!$G$1:$G$175,"M1",Allocation!$H$1:$H$175,"ALT")</f>
        <v>0</v>
      </c>
      <c r="J29" s="15">
        <f>_xlfn.SUMIFS(Allocation!$Z$1:$Z$175,Allocation!$C$1:$C$175,"2026",Allocation!$D$1:$D$175,"MBWAY_LYO",Allocation!$F$1:$F$175,"MAS_MGT",Allocation!$G$1:$G$175,"M1",Allocation!$H$1:$H$175,"ALT")</f>
        <v>0</v>
      </c>
      <c r="K29" s="106">
        <f t="shared" si="0"/>
        <v>150363.189814815</v>
      </c>
      <c r="L29" s="128">
        <f>_xlfn.SUMIFS(Allocation!$AA$1:$AA$175,Allocation!$C$1:$C$175,"2026",Allocation!$D$1:$D$175,"MBWAY_LYO",Allocation!$F$1:$F$175,"MAS_MGT",Allocation!$G$1:$G$175,"M1",Allocation!$H$1:$H$175,"ALT")</f>
        <v>375326.810185185</v>
      </c>
      <c r="M29" s="22">
        <f t="shared" si="1"/>
        <v>0.71396984950291</v>
      </c>
    </row>
    <row r="30" ht="14.25" customHeight="1" hidden="0" collapsed="0" outlineLevel="2">
      <c r="B30" s="127" t="s">
        <v>134</v>
      </c>
      <c r="C30" s="102">
        <f>_xlfn.SUMIFS(Allocation!$I$1:$I$175,Allocation!$C$1:$C$175,"2026",Allocation!$D$1:$D$175,"MBWAY_LYO",Allocation!$F$1:$F$175,"MAS_MGT",Allocation!$G$1:$G$175,"M2",Allocation!$H$1:$H$175,"ALT")</f>
        <v>65</v>
      </c>
      <c r="D30" s="15">
        <f>_xlfn.SUMIFS(Allocation!$K$1:$K$175,Allocation!$C$1:$C$175,"2026",Allocation!$D$1:$D$175,"MBWAY_LYO",Allocation!$F$1:$F$175,"MAS_MGT",Allocation!$G$1:$G$175,"M2",Allocation!$H$1:$H$175,"ALT")</f>
        <v>511875</v>
      </c>
      <c r="E30" s="15">
        <f>_xlfn.SUMIFS(Allocation!$V$1:$V$175,Allocation!$C$1:$C$175,"2026",Allocation!$D$1:$D$175,"MBWAY_LYO",Allocation!$F$1:$F$175,"MAS_MGT",Allocation!$G$1:$G$175,"M2",Allocation!$H$1:$H$175,"ALT")</f>
        <v>31691.4230769231</v>
      </c>
      <c r="F30" s="15">
        <f>_xlfn.SUMIFS(Allocation!$W$1:$W$175,Allocation!$C$1:$C$175,"2026",Allocation!$D$1:$D$175,"MBWAY_LYO",Allocation!$F$1:$F$175,"MAS_MGT",Allocation!$G$1:$G$175,"M2",Allocation!$H$1:$H$175,"ALT")</f>
        <v>73221.9519230769</v>
      </c>
      <c r="G30" s="15">
        <f>_xlfn.SUMIFS(Allocation!$X$1:$X$175,Allocation!$C$1:$C$175,"2026",Allocation!$D$1:$D$175,"MBWAY_LYO",Allocation!$F$1:$F$175,"MAS_MGT",Allocation!$G$1:$G$175,"M2",Allocation!$H$1:$H$175,"ALT")</f>
        <v>24186.2191358025</v>
      </c>
      <c r="H30" s="15">
        <f>_xlfn.SUMIFS(Allocation!$Y$1:$Y$175,Allocation!$C$1:$C$175,"2026",Allocation!$D$1:$D$175,"MBWAY_LYO",Allocation!$F$1:$F$175,"MAS_MGT",Allocation!$G$1:$G$175,"M2",Allocation!$H$1:$H$175,"ALT")</f>
        <v>0</v>
      </c>
      <c r="I30" s="15">
        <f>_xlfn.SUMIFS(Allocation!$AC$1:$AC$175,Allocation!$C$1:$C$175,"2026",Allocation!$D$1:$D$175,"MBWAY_LYO",Allocation!$F$1:$F$175,"MAS_MGT",Allocation!$G$1:$G$175,"M2",Allocation!$H$1:$H$175,"ALT")</f>
        <v>0</v>
      </c>
      <c r="J30" s="15">
        <f>_xlfn.SUMIFS(Allocation!$Z$1:$Z$175,Allocation!$C$1:$C$175,"2026",Allocation!$D$1:$D$175,"MBWAY_LYO",Allocation!$F$1:$F$175,"MAS_MGT",Allocation!$G$1:$G$175,"M2",Allocation!$H$1:$H$175,"ALT")</f>
        <v>0</v>
      </c>
      <c r="K30" s="106">
        <f t="shared" si="0"/>
        <v>129099.594135803</v>
      </c>
      <c r="L30" s="128">
        <f>_xlfn.SUMIFS(Allocation!$AA$1:$AA$175,Allocation!$C$1:$C$175,"2026",Allocation!$D$1:$D$175,"MBWAY_LYO",Allocation!$F$1:$F$175,"MAS_MGT",Allocation!$G$1:$G$175,"M2",Allocation!$H$1:$H$175,"ALT")</f>
        <v>382775.405864198</v>
      </c>
      <c r="M30" s="22">
        <f t="shared" si="1"/>
        <v>0.747790780687078</v>
      </c>
    </row>
    <row r="31" ht="14.25" customHeight="1" hidden="0" collapsed="0" outlineLevel="1">
      <c r="B31" s="126" t="s">
        <v>136</v>
      </c>
      <c r="C31" s="105">
        <f>_xlfn.SUMIFS(Allocation!$I$1:$I$175,Allocation!$C$1:$C$175,"2026",Allocation!$D$1:$D$175,"MBWAY_NAN")</f>
        <v>294</v>
      </c>
      <c r="D31" s="106">
        <f>_xlfn.SUMIFS(Allocation!$K$1:$K$175,Allocation!$C$1:$C$175,"2026",Allocation!$D$1:$D$175,"MBWAY_NAN")</f>
        <v>2158300</v>
      </c>
      <c r="E31" s="106">
        <f>_xlfn.SUMIFS(Allocation!$V$1:$V$175,Allocation!$C$1:$C$175,"2026",Allocation!$D$1:$D$175,"MBWAY_NAN")</f>
        <v>144875</v>
      </c>
      <c r="F31" s="106">
        <f>_xlfn.SUMIFS(Allocation!$W$1:$W$175,Allocation!$C$1:$C$175,"2026",Allocation!$D$1:$D$175,"MBWAY_NAN")</f>
        <v>298865</v>
      </c>
      <c r="G31" s="106">
        <f>_xlfn.SUMIFS(Allocation!$X$1:$X$175,Allocation!$C$1:$C$175,"2026",Allocation!$D$1:$D$175,"MBWAY_NAN")</f>
        <v>140929</v>
      </c>
      <c r="H31" s="106">
        <f>_xlfn.SUMIFS(Allocation!$Y$1:$Y$175,Allocation!$C$1:$C$175,"2026",Allocation!$D$1:$D$175,"MBWAY_NAN")</f>
        <v>0</v>
      </c>
      <c r="I31" s="106">
        <f>_xlfn.SUMIFS(Allocation!$AC$1:$AC$175,Allocation!$C$1:$C$175,"2026",Allocation!$D$1:$D$175,"MBWAY_NAN")</f>
        <v>0</v>
      </c>
      <c r="J31" s="106">
        <f>_xlfn.SUMIFS(Allocation!$Z$1:$Z$175,Allocation!$C$1:$C$175,"2026",Allocation!$D$1:$D$175,"MBWAY_NAN")</f>
        <v>0</v>
      </c>
      <c r="K31" s="106">
        <f t="shared" si="0"/>
        <v>584669</v>
      </c>
      <c r="L31" s="125">
        <f>_xlfn.SUMIFS(Allocation!$AA$1:$AA$175,Allocation!$C$1:$C$175,"2026",Allocation!$D$1:$D$175,"MBWAY_NAN")</f>
        <v>1573631</v>
      </c>
      <c r="M31" s="107">
        <f t="shared" si="1"/>
        <v>0.729106704350646</v>
      </c>
    </row>
    <row r="32" ht="14.25" customHeight="1" hidden="0" collapsed="0" outlineLevel="2">
      <c r="B32" s="127" t="s">
        <v>130</v>
      </c>
      <c r="C32" s="102">
        <f>_xlfn.SUMIFS(Allocation!$I$1:$I$175,Allocation!$C$1:$C$175,"2026",Allocation!$D$1:$D$175,"MBWAY_NAN",Allocation!$F$1:$F$175,"BAC_MGT",Allocation!$G$1:$G$175,"B1",Allocation!$H$1:$H$175,"INIT")</f>
        <v>60</v>
      </c>
      <c r="D32" s="15">
        <f>_xlfn.SUMIFS(Allocation!$K$1:$K$175,Allocation!$C$1:$C$175,"2026",Allocation!$D$1:$D$175,"MBWAY_NAN",Allocation!$F$1:$F$175,"BAC_MGT",Allocation!$G$1:$G$175,"B1",Allocation!$H$1:$H$175,"INIT")</f>
        <v>455400</v>
      </c>
      <c r="E32" s="15">
        <f>_xlfn.SUMIFS(Allocation!$V$1:$V$175,Allocation!$C$1:$C$175,"2026",Allocation!$D$1:$D$175,"MBWAY_NAN",Allocation!$F$1:$F$175,"BAC_MGT",Allocation!$G$1:$G$175,"B1",Allocation!$H$1:$H$175,"INIT")</f>
        <v>30824.4680851064</v>
      </c>
      <c r="F32" s="15">
        <f>_xlfn.SUMIFS(Allocation!$W$1:$W$175,Allocation!$C$1:$C$175,"2026",Allocation!$D$1:$D$175,"MBWAY_NAN",Allocation!$F$1:$F$175,"BAC_MGT",Allocation!$G$1:$G$175,"B1",Allocation!$H$1:$H$175,"INIT")</f>
        <v>63588.2978723404</v>
      </c>
      <c r="G32" s="15">
        <f>_xlfn.SUMIFS(Allocation!$X$1:$X$175,Allocation!$C$1:$C$175,"2026",Allocation!$D$1:$D$175,"MBWAY_NAN",Allocation!$F$1:$F$175,"BAC_MGT",Allocation!$G$1:$G$175,"B1",Allocation!$H$1:$H$175,"INIT")</f>
        <v>38092.2142857143</v>
      </c>
      <c r="H32" s="15">
        <f>_xlfn.SUMIFS(Allocation!$Y$1:$Y$175,Allocation!$C$1:$C$175,"2026",Allocation!$D$1:$D$175,"MBWAY_NAN",Allocation!$F$1:$F$175,"BAC_MGT",Allocation!$G$1:$G$175,"B1",Allocation!$H$1:$H$175,"INIT")</f>
        <v>0</v>
      </c>
      <c r="I32" s="15">
        <f>_xlfn.SUMIFS(Allocation!$AC$1:$AC$175,Allocation!$C$1:$C$175,"2026",Allocation!$D$1:$D$175,"MBWAY_NAN",Allocation!$F$1:$F$175,"BAC_MGT",Allocation!$G$1:$G$175,"B1",Allocation!$H$1:$H$175,"INIT")</f>
        <v>0</v>
      </c>
      <c r="J32" s="15">
        <f>_xlfn.SUMIFS(Allocation!$Z$1:$Z$175,Allocation!$C$1:$C$175,"2026",Allocation!$D$1:$D$175,"MBWAY_NAN",Allocation!$F$1:$F$175,"BAC_MGT",Allocation!$G$1:$G$175,"B1",Allocation!$H$1:$H$175,"INIT")</f>
        <v>0</v>
      </c>
      <c r="K32" s="106">
        <f t="shared" si="0"/>
        <v>132504.980243161</v>
      </c>
      <c r="L32" s="128">
        <f>_xlfn.SUMIFS(Allocation!$AA$1:$AA$175,Allocation!$C$1:$C$175,"2026",Allocation!$D$1:$D$175,"MBWAY_NAN",Allocation!$F$1:$F$175,"BAC_MGT",Allocation!$G$1:$G$175,"B1",Allocation!$H$1:$H$175,"INIT")</f>
        <v>322895.019756839</v>
      </c>
      <c r="M32" s="22">
        <f t="shared" si="1"/>
        <v>0.709036055680367</v>
      </c>
    </row>
    <row r="33" ht="14.25" customHeight="1" hidden="0" collapsed="0" outlineLevel="2">
      <c r="B33" s="127" t="s">
        <v>131</v>
      </c>
      <c r="C33" s="102">
        <f>_xlfn.SUMIFS(Allocation!$I$1:$I$175,Allocation!$C$1:$C$175,"2026",Allocation!$D$1:$D$175,"MBWAY_NAN",Allocation!$F$1:$F$175,"BAC_MGT",Allocation!$G$1:$G$175,"B2",Allocation!$H$1:$H$175,"ALT")</f>
        <v>58</v>
      </c>
      <c r="D33" s="15">
        <f>_xlfn.SUMIFS(Allocation!$K$1:$K$175,Allocation!$C$1:$C$175,"2026",Allocation!$D$1:$D$175,"MBWAY_NAN",Allocation!$F$1:$F$175,"BAC_MGT",Allocation!$G$1:$G$175,"B2",Allocation!$H$1:$H$175,"ALT")</f>
        <v>406000</v>
      </c>
      <c r="E33" s="15">
        <f>_xlfn.SUMIFS(Allocation!$V$1:$V$175,Allocation!$C$1:$C$175,"2026",Allocation!$D$1:$D$175,"MBWAY_NAN",Allocation!$F$1:$F$175,"BAC_MGT",Allocation!$G$1:$G$175,"B2",Allocation!$H$1:$H$175,"ALT")</f>
        <v>24659.5744680851</v>
      </c>
      <c r="F33" s="15">
        <f>_xlfn.SUMIFS(Allocation!$W$1:$W$175,Allocation!$C$1:$C$175,"2026",Allocation!$D$1:$D$175,"MBWAY_NAN",Allocation!$F$1:$F$175,"BAC_MGT",Allocation!$G$1:$G$175,"B2",Allocation!$H$1:$H$175,"ALT")</f>
        <v>50870.6382978723</v>
      </c>
      <c r="G33" s="15">
        <f>_xlfn.SUMIFS(Allocation!$X$1:$X$175,Allocation!$C$1:$C$175,"2026",Allocation!$D$1:$D$175,"MBWAY_NAN",Allocation!$F$1:$F$175,"BAC_MGT",Allocation!$G$1:$G$175,"B2",Allocation!$H$1:$H$175,"ALT")</f>
        <v>21581.5238095238</v>
      </c>
      <c r="H33" s="15">
        <f>_xlfn.SUMIFS(Allocation!$Y$1:$Y$175,Allocation!$C$1:$C$175,"2026",Allocation!$D$1:$D$175,"MBWAY_NAN",Allocation!$F$1:$F$175,"BAC_MGT",Allocation!$G$1:$G$175,"B2",Allocation!$H$1:$H$175,"ALT")</f>
        <v>0</v>
      </c>
      <c r="I33" s="15">
        <f>_xlfn.SUMIFS(Allocation!$AC$1:$AC$175,Allocation!$C$1:$C$175,"2026",Allocation!$D$1:$D$175,"MBWAY_NAN",Allocation!$F$1:$F$175,"BAC_MGT",Allocation!$G$1:$G$175,"B2",Allocation!$H$1:$H$175,"ALT")</f>
        <v>0</v>
      </c>
      <c r="J33" s="15">
        <f>_xlfn.SUMIFS(Allocation!$Z$1:$Z$175,Allocation!$C$1:$C$175,"2026",Allocation!$D$1:$D$175,"MBWAY_NAN",Allocation!$F$1:$F$175,"BAC_MGT",Allocation!$G$1:$G$175,"B2",Allocation!$H$1:$H$175,"ALT")</f>
        <v>0</v>
      </c>
      <c r="K33" s="106">
        <f t="shared" si="0"/>
        <v>97111.7365754812</v>
      </c>
      <c r="L33" s="128">
        <f>_xlfn.SUMIFS(Allocation!$AA$1:$AA$175,Allocation!$C$1:$C$175,"2026",Allocation!$D$1:$D$175,"MBWAY_NAN",Allocation!$F$1:$F$175,"BAC_MGT",Allocation!$G$1:$G$175,"B2",Allocation!$H$1:$H$175,"ALT")</f>
        <v>308888.263424519</v>
      </c>
      <c r="M33" s="22">
        <f t="shared" si="1"/>
        <v>0.760808530602263</v>
      </c>
    </row>
    <row r="34" ht="14.25" customHeight="1" hidden="0" collapsed="0" outlineLevel="2">
      <c r="B34" s="127" t="s">
        <v>132</v>
      </c>
      <c r="C34" s="102">
        <f>_xlfn.SUMIFS(Allocation!$I$1:$I$175,Allocation!$C$1:$C$175,"2026",Allocation!$D$1:$D$175,"MBWAY_NAN",Allocation!$F$1:$F$175,"BAC_MGT",Allocation!$G$1:$G$175,"B3",Allocation!$H$1:$H$175,"ALT")</f>
        <v>57</v>
      </c>
      <c r="D34" s="15">
        <f>_xlfn.SUMIFS(Allocation!$K$1:$K$175,Allocation!$C$1:$C$175,"2026",Allocation!$D$1:$D$175,"MBWAY_NAN",Allocation!$F$1:$F$175,"BAC_MGT",Allocation!$G$1:$G$175,"B3",Allocation!$H$1:$H$175,"ALT")</f>
        <v>399000</v>
      </c>
      <c r="E34" s="15">
        <f>_xlfn.SUMIFS(Allocation!$V$1:$V$175,Allocation!$C$1:$C$175,"2026",Allocation!$D$1:$D$175,"MBWAY_NAN",Allocation!$F$1:$F$175,"BAC_MGT",Allocation!$G$1:$G$175,"B3",Allocation!$H$1:$H$175,"ALT")</f>
        <v>24659.5744680851</v>
      </c>
      <c r="F34" s="15">
        <f>_xlfn.SUMIFS(Allocation!$W$1:$W$175,Allocation!$C$1:$C$175,"2026",Allocation!$D$1:$D$175,"MBWAY_NAN",Allocation!$F$1:$F$175,"BAC_MGT",Allocation!$G$1:$G$175,"B3",Allocation!$H$1:$H$175,"ALT")</f>
        <v>50870.6382978723</v>
      </c>
      <c r="G34" s="15">
        <f>_xlfn.SUMIFS(Allocation!$X$1:$X$175,Allocation!$C$1:$C$175,"2026",Allocation!$D$1:$D$175,"MBWAY_NAN",Allocation!$F$1:$F$175,"BAC_MGT",Allocation!$G$1:$G$175,"B3",Allocation!$H$1:$H$175,"ALT")</f>
        <v>21209.4285714286</v>
      </c>
      <c r="H34" s="15">
        <f>_xlfn.SUMIFS(Allocation!$Y$1:$Y$175,Allocation!$C$1:$C$175,"2026",Allocation!$D$1:$D$175,"MBWAY_NAN",Allocation!$F$1:$F$175,"BAC_MGT",Allocation!$G$1:$G$175,"B3",Allocation!$H$1:$H$175,"ALT")</f>
        <v>0</v>
      </c>
      <c r="I34" s="15">
        <f>_xlfn.SUMIFS(Allocation!$AC$1:$AC$175,Allocation!$C$1:$C$175,"2026",Allocation!$D$1:$D$175,"MBWAY_NAN",Allocation!$F$1:$F$175,"BAC_MGT",Allocation!$G$1:$G$175,"B3",Allocation!$H$1:$H$175,"ALT")</f>
        <v>0</v>
      </c>
      <c r="J34" s="15">
        <f>_xlfn.SUMIFS(Allocation!$Z$1:$Z$175,Allocation!$C$1:$C$175,"2026",Allocation!$D$1:$D$175,"MBWAY_NAN",Allocation!$F$1:$F$175,"BAC_MGT",Allocation!$G$1:$G$175,"B3",Allocation!$H$1:$H$175,"ALT")</f>
        <v>0</v>
      </c>
      <c r="K34" s="106">
        <f t="shared" si="0"/>
        <v>96739.641337386</v>
      </c>
      <c r="L34" s="128">
        <f>_xlfn.SUMIFS(Allocation!$AA$1:$AA$175,Allocation!$C$1:$C$175,"2026",Allocation!$D$1:$D$175,"MBWAY_NAN",Allocation!$F$1:$F$175,"BAC_MGT",Allocation!$G$1:$G$175,"B3",Allocation!$H$1:$H$175,"ALT")</f>
        <v>302260.358662614</v>
      </c>
      <c r="M34" s="22">
        <f t="shared" si="1"/>
        <v>0.757544758552917</v>
      </c>
    </row>
    <row r="35" ht="14.25" customHeight="1" hidden="0" collapsed="0" outlineLevel="2">
      <c r="B35" s="127" t="s">
        <v>133</v>
      </c>
      <c r="C35" s="102">
        <f>_xlfn.SUMIFS(Allocation!$I$1:$I$175,Allocation!$C$1:$C$175,"2026",Allocation!$D$1:$D$175,"MBWAY_NAN",Allocation!$F$1:$F$175,"MAS_MGT",Allocation!$G$1:$G$175,"M1",Allocation!$H$1:$H$175,"ALT")</f>
        <v>60</v>
      </c>
      <c r="D35" s="15">
        <f>_xlfn.SUMIFS(Allocation!$K$1:$K$175,Allocation!$C$1:$C$175,"2026",Allocation!$D$1:$D$175,"MBWAY_NAN",Allocation!$F$1:$F$175,"MAS_MGT",Allocation!$G$1:$G$175,"M1",Allocation!$H$1:$H$175,"ALT")</f>
        <v>455400</v>
      </c>
      <c r="E35" s="15">
        <f>_xlfn.SUMIFS(Allocation!$V$1:$V$175,Allocation!$C$1:$C$175,"2026",Allocation!$D$1:$D$175,"MBWAY_NAN",Allocation!$F$1:$F$175,"MAS_MGT",Allocation!$G$1:$G$175,"M1",Allocation!$H$1:$H$175,"ALT")</f>
        <v>32365.6914893617</v>
      </c>
      <c r="F35" s="15">
        <f>_xlfn.SUMIFS(Allocation!$W$1:$W$175,Allocation!$C$1:$C$175,"2026",Allocation!$D$1:$D$175,"MBWAY_NAN",Allocation!$F$1:$F$175,"MAS_MGT",Allocation!$G$1:$G$175,"M1",Allocation!$H$1:$H$175,"ALT")</f>
        <v>66767.7127659574</v>
      </c>
      <c r="G35" s="15">
        <f>_xlfn.SUMIFS(Allocation!$X$1:$X$175,Allocation!$C$1:$C$175,"2026",Allocation!$D$1:$D$175,"MBWAY_NAN",Allocation!$F$1:$F$175,"MAS_MGT",Allocation!$G$1:$G$175,"M1",Allocation!$H$1:$H$175,"ALT")</f>
        <v>38092.2142857143</v>
      </c>
      <c r="H35" s="15">
        <f>_xlfn.SUMIFS(Allocation!$Y$1:$Y$175,Allocation!$C$1:$C$175,"2026",Allocation!$D$1:$D$175,"MBWAY_NAN",Allocation!$F$1:$F$175,"MAS_MGT",Allocation!$G$1:$G$175,"M1",Allocation!$H$1:$H$175,"ALT")</f>
        <v>0</v>
      </c>
      <c r="I35" s="15">
        <f>_xlfn.SUMIFS(Allocation!$AC$1:$AC$175,Allocation!$C$1:$C$175,"2026",Allocation!$D$1:$D$175,"MBWAY_NAN",Allocation!$F$1:$F$175,"MAS_MGT",Allocation!$G$1:$G$175,"M1",Allocation!$H$1:$H$175,"ALT")</f>
        <v>0</v>
      </c>
      <c r="J35" s="15">
        <f>_xlfn.SUMIFS(Allocation!$Z$1:$Z$175,Allocation!$C$1:$C$175,"2026",Allocation!$D$1:$D$175,"MBWAY_NAN",Allocation!$F$1:$F$175,"MAS_MGT",Allocation!$G$1:$G$175,"M1",Allocation!$H$1:$H$175,"ALT")</f>
        <v>0</v>
      </c>
      <c r="K35" s="106">
        <f t="shared" si="0"/>
        <v>137225.618541033</v>
      </c>
      <c r="L35" s="128">
        <f>_xlfn.SUMIFS(Allocation!$AA$1:$AA$175,Allocation!$C$1:$C$175,"2026",Allocation!$D$1:$D$175,"MBWAY_NAN",Allocation!$F$1:$F$175,"MAS_MGT",Allocation!$G$1:$G$175,"M1",Allocation!$H$1:$H$175,"ALT")</f>
        <v>318174.381458967</v>
      </c>
      <c r="M35" s="22">
        <f t="shared" si="1"/>
        <v>0.698670139347754</v>
      </c>
    </row>
    <row r="36" ht="14.25" customHeight="1" hidden="0" collapsed="0" outlineLevel="2">
      <c r="B36" s="127" t="s">
        <v>134</v>
      </c>
      <c r="C36" s="102">
        <f>_xlfn.SUMIFS(Allocation!$I$1:$I$175,Allocation!$C$1:$C$175,"2026",Allocation!$D$1:$D$175,"MBWAY_NAN",Allocation!$F$1:$F$175,"MAS_MGT",Allocation!$G$1:$G$175,"M2",Allocation!$H$1:$H$175,"ALT")</f>
        <v>59</v>
      </c>
      <c r="D36" s="15">
        <f>_xlfn.SUMIFS(Allocation!$K$1:$K$175,Allocation!$C$1:$C$175,"2026",Allocation!$D$1:$D$175,"MBWAY_NAN",Allocation!$F$1:$F$175,"MAS_MGT",Allocation!$G$1:$G$175,"M2",Allocation!$H$1:$H$175,"ALT")</f>
        <v>442500</v>
      </c>
      <c r="E36" s="15">
        <f>_xlfn.SUMIFS(Allocation!$V$1:$V$175,Allocation!$C$1:$C$175,"2026",Allocation!$D$1:$D$175,"MBWAY_NAN",Allocation!$F$1:$F$175,"MAS_MGT",Allocation!$G$1:$G$175,"M2",Allocation!$H$1:$H$175,"ALT")</f>
        <v>32365.6914893617</v>
      </c>
      <c r="F36" s="15">
        <f>_xlfn.SUMIFS(Allocation!$W$1:$W$175,Allocation!$C$1:$C$175,"2026",Allocation!$D$1:$D$175,"MBWAY_NAN",Allocation!$F$1:$F$175,"MAS_MGT",Allocation!$G$1:$G$175,"M2",Allocation!$H$1:$H$175,"ALT")</f>
        <v>66767.7127659574</v>
      </c>
      <c r="G36" s="15">
        <f>_xlfn.SUMIFS(Allocation!$X$1:$X$175,Allocation!$C$1:$C$175,"2026",Allocation!$D$1:$D$175,"MBWAY_NAN",Allocation!$F$1:$F$175,"MAS_MGT",Allocation!$G$1:$G$175,"M2",Allocation!$H$1:$H$175,"ALT")</f>
        <v>21953.619047619</v>
      </c>
      <c r="H36" s="15">
        <f>_xlfn.SUMIFS(Allocation!$Y$1:$Y$175,Allocation!$C$1:$C$175,"2026",Allocation!$D$1:$D$175,"MBWAY_NAN",Allocation!$F$1:$F$175,"MAS_MGT",Allocation!$G$1:$G$175,"M2",Allocation!$H$1:$H$175,"ALT")</f>
        <v>0</v>
      </c>
      <c r="I36" s="15">
        <f>_xlfn.SUMIFS(Allocation!$AC$1:$AC$175,Allocation!$C$1:$C$175,"2026",Allocation!$D$1:$D$175,"MBWAY_NAN",Allocation!$F$1:$F$175,"MAS_MGT",Allocation!$G$1:$G$175,"M2",Allocation!$H$1:$H$175,"ALT")</f>
        <v>0</v>
      </c>
      <c r="J36" s="15">
        <f>_xlfn.SUMIFS(Allocation!$Z$1:$Z$175,Allocation!$C$1:$C$175,"2026",Allocation!$D$1:$D$175,"MBWAY_NAN",Allocation!$F$1:$F$175,"MAS_MGT",Allocation!$G$1:$G$175,"M2",Allocation!$H$1:$H$175,"ALT")</f>
        <v>0</v>
      </c>
      <c r="K36" s="106">
        <f t="shared" si="0"/>
        <v>121087.023302938</v>
      </c>
      <c r="L36" s="128">
        <f>_xlfn.SUMIFS(Allocation!$AA$1:$AA$175,Allocation!$C$1:$C$175,"2026",Allocation!$D$1:$D$175,"MBWAY_NAN",Allocation!$F$1:$F$175,"MAS_MGT",Allocation!$G$1:$G$175,"M2",Allocation!$H$1:$H$175,"ALT")</f>
        <v>321412.976697062</v>
      </c>
      <c r="M36" s="22">
        <f t="shared" si="1"/>
        <v>0.726357009484886</v>
      </c>
    </row>
    <row r="37" ht="14.25" customHeight="1" hidden="0" collapsed="0" outlineLevel="1">
      <c r="B37" s="126" t="s">
        <v>137</v>
      </c>
      <c r="C37" s="105">
        <f>_xlfn.SUMIFS(Allocation!$I$1:$I$175,Allocation!$C$1:$C$175,"2026",Allocation!$D$1:$D$175,"MBWAY_BOR")</f>
        <v>249</v>
      </c>
      <c r="D37" s="106">
        <f>_xlfn.SUMIFS(Allocation!$K$1:$K$175,Allocation!$C$1:$C$175,"2026",Allocation!$D$1:$D$175,"MBWAY_BOR")</f>
        <v>1773610</v>
      </c>
      <c r="E37" s="106">
        <f>_xlfn.SUMIFS(Allocation!$V$1:$V$175,Allocation!$C$1:$C$175,"2026",Allocation!$D$1:$D$175,"MBWAY_BOR")</f>
        <v>120729</v>
      </c>
      <c r="F37" s="106">
        <f>_xlfn.SUMIFS(Allocation!$W$1:$W$175,Allocation!$C$1:$C$175,"2026",Allocation!$D$1:$D$175,"MBWAY_BOR")</f>
        <v>261507</v>
      </c>
      <c r="G37" s="106">
        <f>_xlfn.SUMIFS(Allocation!$X$1:$X$175,Allocation!$C$1:$C$175,"2026",Allocation!$D$1:$D$175,"MBWAY_BOR")</f>
        <v>117575</v>
      </c>
      <c r="H37" s="106">
        <f>_xlfn.SUMIFS(Allocation!$Y$1:$Y$175,Allocation!$C$1:$C$175,"2026",Allocation!$D$1:$D$175,"MBWAY_BOR")</f>
        <v>0</v>
      </c>
      <c r="I37" s="106">
        <f>_xlfn.SUMIFS(Allocation!$AC$1:$AC$175,Allocation!$C$1:$C$175,"2026",Allocation!$D$1:$D$175,"MBWAY_BOR")</f>
        <v>0</v>
      </c>
      <c r="J37" s="106">
        <f>_xlfn.SUMIFS(Allocation!$Z$1:$Z$175,Allocation!$C$1:$C$175,"2026",Allocation!$D$1:$D$175,"MBWAY_BOR")</f>
        <v>0</v>
      </c>
      <c r="K37" s="106">
        <f t="shared" si="0"/>
        <v>499811</v>
      </c>
      <c r="L37" s="125">
        <f>_xlfn.SUMIFS(Allocation!$AA$1:$AA$175,Allocation!$C$1:$C$175,"2026",Allocation!$D$1:$D$175,"MBWAY_BOR")</f>
        <v>1273799</v>
      </c>
      <c r="M37" s="107">
        <f t="shared" si="1"/>
        <v>0.718195657444421</v>
      </c>
    </row>
    <row r="38" ht="14.25" customHeight="1" hidden="0" collapsed="0" outlineLevel="2">
      <c r="B38" s="127" t="s">
        <v>130</v>
      </c>
      <c r="C38" s="102">
        <f>_xlfn.SUMIFS(Allocation!$I$1:$I$175,Allocation!$C$1:$C$175,"2026",Allocation!$D$1:$D$175,"MBWAY_BOR",Allocation!$F$1:$F$175,"BAC_MGT",Allocation!$G$1:$G$175,"B1",Allocation!$H$1:$H$175,"INIT")</f>
        <v>51</v>
      </c>
      <c r="D38" s="15">
        <f>_xlfn.SUMIFS(Allocation!$K$1:$K$175,Allocation!$C$1:$C$175,"2026",Allocation!$D$1:$D$175,"MBWAY_BOR",Allocation!$F$1:$F$175,"BAC_MGT",Allocation!$G$1:$G$175,"B1",Allocation!$H$1:$H$175,"INIT")</f>
        <v>375615</v>
      </c>
      <c r="E38" s="15">
        <f>_xlfn.SUMIFS(Allocation!$V$1:$V$175,Allocation!$C$1:$C$175,"2026",Allocation!$D$1:$D$175,"MBWAY_BOR",Allocation!$F$1:$F$175,"BAC_MGT",Allocation!$G$1:$G$175,"B1",Allocation!$H$1:$H$175,"INIT")</f>
        <v>30182.25</v>
      </c>
      <c r="F38" s="15">
        <f>_xlfn.SUMIFS(Allocation!$W$1:$W$175,Allocation!$C$1:$C$175,"2026",Allocation!$D$1:$D$175,"MBWAY_BOR",Allocation!$F$1:$F$175,"BAC_MGT",Allocation!$G$1:$G$175,"B1",Allocation!$H$1:$H$175,"INIT")</f>
        <v>65376.75</v>
      </c>
      <c r="G38" s="15">
        <f>_xlfn.SUMIFS(Allocation!$X$1:$X$175,Allocation!$C$1:$C$175,"2026",Allocation!$D$1:$D$175,"MBWAY_BOR",Allocation!$F$1:$F$175,"BAC_MGT",Allocation!$G$1:$G$175,"B1",Allocation!$H$1:$H$175,"INIT")</f>
        <v>31438.4156626506</v>
      </c>
      <c r="H38" s="15">
        <f>_xlfn.SUMIFS(Allocation!$Y$1:$Y$175,Allocation!$C$1:$C$175,"2026",Allocation!$D$1:$D$175,"MBWAY_BOR",Allocation!$F$1:$F$175,"BAC_MGT",Allocation!$G$1:$G$175,"B1",Allocation!$H$1:$H$175,"INIT")</f>
        <v>0</v>
      </c>
      <c r="I38" s="15">
        <f>_xlfn.SUMIFS(Allocation!$AC$1:$AC$175,Allocation!$C$1:$C$175,"2026",Allocation!$D$1:$D$175,"MBWAY_BOR",Allocation!$F$1:$F$175,"BAC_MGT",Allocation!$G$1:$G$175,"B1",Allocation!$H$1:$H$175,"INIT")</f>
        <v>0</v>
      </c>
      <c r="J38" s="15">
        <f>_xlfn.SUMIFS(Allocation!$Z$1:$Z$175,Allocation!$C$1:$C$175,"2026",Allocation!$D$1:$D$175,"MBWAY_BOR",Allocation!$F$1:$F$175,"BAC_MGT",Allocation!$G$1:$G$175,"B1",Allocation!$H$1:$H$175,"INIT")</f>
        <v>0</v>
      </c>
      <c r="K38" s="106">
        <f t="shared" si="0"/>
        <v>126997.415662651</v>
      </c>
      <c r="L38" s="128">
        <f>_xlfn.SUMIFS(Allocation!$AA$1:$AA$175,Allocation!$C$1:$C$175,"2026",Allocation!$D$1:$D$175,"MBWAY_BOR",Allocation!$F$1:$F$175,"BAC_MGT",Allocation!$G$1:$G$175,"B1",Allocation!$H$1:$H$175,"INIT")</f>
        <v>248617.584337349</v>
      </c>
      <c r="M38" s="22">
        <f t="shared" si="1"/>
        <v>0.661894717562794</v>
      </c>
    </row>
    <row r="39" ht="14.25" customHeight="1" hidden="0" collapsed="0" outlineLevel="2">
      <c r="B39" s="127" t="s">
        <v>131</v>
      </c>
      <c r="C39" s="102">
        <f>_xlfn.SUMIFS(Allocation!$I$1:$I$175,Allocation!$C$1:$C$175,"2026",Allocation!$D$1:$D$175,"MBWAY_BOR",Allocation!$F$1:$F$175,"BAC_MGT",Allocation!$G$1:$G$175,"B2",Allocation!$H$1:$H$175,"ALT")</f>
        <v>49</v>
      </c>
      <c r="D39" s="15">
        <f>_xlfn.SUMIFS(Allocation!$K$1:$K$175,Allocation!$C$1:$C$175,"2026",Allocation!$D$1:$D$175,"MBWAY_BOR",Allocation!$F$1:$F$175,"BAC_MGT",Allocation!$G$1:$G$175,"B2",Allocation!$H$1:$H$175,"ALT")</f>
        <v>332710</v>
      </c>
      <c r="E39" s="15">
        <f>_xlfn.SUMIFS(Allocation!$V$1:$V$175,Allocation!$C$1:$C$175,"2026",Allocation!$D$1:$D$175,"MBWAY_BOR",Allocation!$F$1:$F$175,"BAC_MGT",Allocation!$G$1:$G$175,"B2",Allocation!$H$1:$H$175,"ALT")</f>
        <v>24145.8</v>
      </c>
      <c r="F39" s="15">
        <f>_xlfn.SUMIFS(Allocation!$W$1:$W$175,Allocation!$C$1:$C$175,"2026",Allocation!$D$1:$D$175,"MBWAY_BOR",Allocation!$F$1:$F$175,"BAC_MGT",Allocation!$G$1:$G$175,"B2",Allocation!$H$1:$H$175,"ALT")</f>
        <v>52301.4</v>
      </c>
      <c r="G39" s="15">
        <f>_xlfn.SUMIFS(Allocation!$X$1:$X$175,Allocation!$C$1:$C$175,"2026",Allocation!$D$1:$D$175,"MBWAY_BOR",Allocation!$F$1:$F$175,"BAC_MGT",Allocation!$G$1:$G$175,"B2",Allocation!$H$1:$H$175,"ALT")</f>
        <v>18232.7228915663</v>
      </c>
      <c r="H39" s="15">
        <f>_xlfn.SUMIFS(Allocation!$Y$1:$Y$175,Allocation!$C$1:$C$175,"2026",Allocation!$D$1:$D$175,"MBWAY_BOR",Allocation!$F$1:$F$175,"BAC_MGT",Allocation!$G$1:$G$175,"B2",Allocation!$H$1:$H$175,"ALT")</f>
        <v>0</v>
      </c>
      <c r="I39" s="15">
        <f>_xlfn.SUMIFS(Allocation!$AC$1:$AC$175,Allocation!$C$1:$C$175,"2026",Allocation!$D$1:$D$175,"MBWAY_BOR",Allocation!$F$1:$F$175,"BAC_MGT",Allocation!$G$1:$G$175,"B2",Allocation!$H$1:$H$175,"ALT")</f>
        <v>0</v>
      </c>
      <c r="J39" s="15">
        <f>_xlfn.SUMIFS(Allocation!$Z$1:$Z$175,Allocation!$C$1:$C$175,"2026",Allocation!$D$1:$D$175,"MBWAY_BOR",Allocation!$F$1:$F$175,"BAC_MGT",Allocation!$G$1:$G$175,"B2",Allocation!$H$1:$H$175,"ALT")</f>
        <v>0</v>
      </c>
      <c r="K39" s="106">
        <f t="shared" si="0"/>
        <v>94679.9228915663</v>
      </c>
      <c r="L39" s="128">
        <f>_xlfn.SUMIFS(Allocation!$AA$1:$AA$175,Allocation!$C$1:$C$175,"2026",Allocation!$D$1:$D$175,"MBWAY_BOR",Allocation!$F$1:$F$175,"BAC_MGT",Allocation!$G$1:$G$175,"B2",Allocation!$H$1:$H$175,"ALT")</f>
        <v>238030.077108434</v>
      </c>
      <c r="M39" s="22">
        <f t="shared" si="1"/>
        <v>0.71542808183834</v>
      </c>
    </row>
    <row r="40" ht="14.25" customHeight="1" hidden="0" collapsed="0" outlineLevel="2">
      <c r="B40" s="127" t="s">
        <v>132</v>
      </c>
      <c r="C40" s="102">
        <f>_xlfn.SUMIFS(Allocation!$I$1:$I$175,Allocation!$C$1:$C$175,"2026",Allocation!$D$1:$D$175,"MBWAY_BOR",Allocation!$F$1:$F$175,"BAC_MGT",Allocation!$G$1:$G$175,"B3",Allocation!$H$1:$H$175,"ALT")</f>
        <v>48</v>
      </c>
      <c r="D40" s="15">
        <f>_xlfn.SUMIFS(Allocation!$K$1:$K$175,Allocation!$C$1:$C$175,"2026",Allocation!$D$1:$D$175,"MBWAY_BOR",Allocation!$F$1:$F$175,"BAC_MGT",Allocation!$G$1:$G$175,"B3",Allocation!$H$1:$H$175,"ALT")</f>
        <v>325920</v>
      </c>
      <c r="E40" s="15">
        <f>_xlfn.SUMIFS(Allocation!$V$1:$V$175,Allocation!$C$1:$C$175,"2026",Allocation!$D$1:$D$175,"MBWAY_BOR",Allocation!$F$1:$F$175,"BAC_MGT",Allocation!$G$1:$G$175,"B3",Allocation!$H$1:$H$175,"ALT")</f>
        <v>24145.8</v>
      </c>
      <c r="F40" s="15">
        <f>_xlfn.SUMIFS(Allocation!$W$1:$W$175,Allocation!$C$1:$C$175,"2026",Allocation!$D$1:$D$175,"MBWAY_BOR",Allocation!$F$1:$F$175,"BAC_MGT",Allocation!$G$1:$G$175,"B3",Allocation!$H$1:$H$175,"ALT")</f>
        <v>52301.4</v>
      </c>
      <c r="G40" s="15">
        <f>_xlfn.SUMIFS(Allocation!$X$1:$X$175,Allocation!$C$1:$C$175,"2026",Allocation!$D$1:$D$175,"MBWAY_BOR",Allocation!$F$1:$F$175,"BAC_MGT",Allocation!$G$1:$G$175,"B3",Allocation!$H$1:$H$175,"ALT")</f>
        <v>17860.6265060241</v>
      </c>
      <c r="H40" s="15">
        <f>_xlfn.SUMIFS(Allocation!$Y$1:$Y$175,Allocation!$C$1:$C$175,"2026",Allocation!$D$1:$D$175,"MBWAY_BOR",Allocation!$F$1:$F$175,"BAC_MGT",Allocation!$G$1:$G$175,"B3",Allocation!$H$1:$H$175,"ALT")</f>
        <v>0</v>
      </c>
      <c r="I40" s="15">
        <f>_xlfn.SUMIFS(Allocation!$AC$1:$AC$175,Allocation!$C$1:$C$175,"2026",Allocation!$D$1:$D$175,"MBWAY_BOR",Allocation!$F$1:$F$175,"BAC_MGT",Allocation!$G$1:$G$175,"B3",Allocation!$H$1:$H$175,"ALT")</f>
        <v>0</v>
      </c>
      <c r="J40" s="15">
        <f>_xlfn.SUMIFS(Allocation!$Z$1:$Z$175,Allocation!$C$1:$C$175,"2026",Allocation!$D$1:$D$175,"MBWAY_BOR",Allocation!$F$1:$F$175,"BAC_MGT",Allocation!$G$1:$G$175,"B3",Allocation!$H$1:$H$175,"ALT")</f>
        <v>0</v>
      </c>
      <c r="K40" s="106">
        <f t="shared" si="0"/>
        <v>94307.8265060241</v>
      </c>
      <c r="L40" s="128">
        <f>_xlfn.SUMIFS(Allocation!$AA$1:$AA$175,Allocation!$C$1:$C$175,"2026",Allocation!$D$1:$D$175,"MBWAY_BOR",Allocation!$F$1:$F$175,"BAC_MGT",Allocation!$G$1:$G$175,"B3",Allocation!$H$1:$H$175,"ALT")</f>
        <v>231612.173493976</v>
      </c>
      <c r="M40" s="22">
        <f t="shared" si="1"/>
        <v>0.710641180332523</v>
      </c>
    </row>
    <row r="41" ht="14.25" customHeight="1" hidden="0" collapsed="0" outlineLevel="2">
      <c r="B41" s="127" t="s">
        <v>133</v>
      </c>
      <c r="C41" s="102">
        <f>_xlfn.SUMIFS(Allocation!$I$1:$I$175,Allocation!$C$1:$C$175,"2026",Allocation!$D$1:$D$175,"MBWAY_BOR",Allocation!$F$1:$F$175,"MAS_MGT",Allocation!$G$1:$G$175,"M1",Allocation!$H$1:$H$175,"ALT")</f>
        <v>51</v>
      </c>
      <c r="D41" s="15">
        <f>_xlfn.SUMIFS(Allocation!$K$1:$K$175,Allocation!$C$1:$C$175,"2026",Allocation!$D$1:$D$175,"MBWAY_BOR",Allocation!$F$1:$F$175,"MAS_MGT",Allocation!$G$1:$G$175,"M1",Allocation!$H$1:$H$175,"ALT")</f>
        <v>375615</v>
      </c>
      <c r="E41" s="15">
        <f>_xlfn.SUMIFS(Allocation!$V$1:$V$175,Allocation!$C$1:$C$175,"2026",Allocation!$D$1:$D$175,"MBWAY_BOR",Allocation!$F$1:$F$175,"MAS_MGT",Allocation!$G$1:$G$175,"M1",Allocation!$H$1:$H$175,"ALT")</f>
        <v>21127.575</v>
      </c>
      <c r="F41" s="15">
        <f>_xlfn.SUMIFS(Allocation!$W$1:$W$175,Allocation!$C$1:$C$175,"2026",Allocation!$D$1:$D$175,"MBWAY_BOR",Allocation!$F$1:$F$175,"MAS_MGT",Allocation!$G$1:$G$175,"M1",Allocation!$H$1:$H$175,"ALT")</f>
        <v>45763.725</v>
      </c>
      <c r="G41" s="15">
        <f>_xlfn.SUMIFS(Allocation!$X$1:$X$175,Allocation!$C$1:$C$175,"2026",Allocation!$D$1:$D$175,"MBWAY_BOR",Allocation!$F$1:$F$175,"MAS_MGT",Allocation!$G$1:$G$175,"M1",Allocation!$H$1:$H$175,"ALT")</f>
        <v>31438.4156626506</v>
      </c>
      <c r="H41" s="15">
        <f>_xlfn.SUMIFS(Allocation!$Y$1:$Y$175,Allocation!$C$1:$C$175,"2026",Allocation!$D$1:$D$175,"MBWAY_BOR",Allocation!$F$1:$F$175,"MAS_MGT",Allocation!$G$1:$G$175,"M1",Allocation!$H$1:$H$175,"ALT")</f>
        <v>0</v>
      </c>
      <c r="I41" s="15">
        <f>_xlfn.SUMIFS(Allocation!$AC$1:$AC$175,Allocation!$C$1:$C$175,"2026",Allocation!$D$1:$D$175,"MBWAY_BOR",Allocation!$F$1:$F$175,"MAS_MGT",Allocation!$G$1:$G$175,"M1",Allocation!$H$1:$H$175,"ALT")</f>
        <v>0</v>
      </c>
      <c r="J41" s="15">
        <f>_xlfn.SUMIFS(Allocation!$Z$1:$Z$175,Allocation!$C$1:$C$175,"2026",Allocation!$D$1:$D$175,"MBWAY_BOR",Allocation!$F$1:$F$175,"MAS_MGT",Allocation!$G$1:$G$175,"M1",Allocation!$H$1:$H$175,"ALT")</f>
        <v>0</v>
      </c>
      <c r="K41" s="106">
        <f t="shared" si="0"/>
        <v>98329.7156626506</v>
      </c>
      <c r="L41" s="128">
        <f>_xlfn.SUMIFS(Allocation!$AA$1:$AA$175,Allocation!$C$1:$C$175,"2026",Allocation!$D$1:$D$175,"MBWAY_BOR",Allocation!$F$1:$F$175,"MAS_MGT",Allocation!$G$1:$G$175,"M1",Allocation!$H$1:$H$175,"ALT")</f>
        <v>277285.284337349</v>
      </c>
      <c r="M41" s="22">
        <f t="shared" si="1"/>
        <v>0.738216749430531</v>
      </c>
    </row>
    <row r="42" ht="14.25" customHeight="1" hidden="0" collapsed="0" outlineLevel="2">
      <c r="B42" s="127" t="s">
        <v>134</v>
      </c>
      <c r="C42" s="102">
        <f>_xlfn.SUMIFS(Allocation!$I$1:$I$175,Allocation!$C$1:$C$175,"2026",Allocation!$D$1:$D$175,"MBWAY_BOR",Allocation!$F$1:$F$175,"MAS_MGT",Allocation!$G$1:$G$175,"M2",Allocation!$H$1:$H$175,"ALT")</f>
        <v>50</v>
      </c>
      <c r="D42" s="15">
        <f>_xlfn.SUMIFS(Allocation!$K$1:$K$175,Allocation!$C$1:$C$175,"2026",Allocation!$D$1:$D$175,"MBWAY_BOR",Allocation!$F$1:$F$175,"MAS_MGT",Allocation!$G$1:$G$175,"M2",Allocation!$H$1:$H$175,"ALT")</f>
        <v>363750</v>
      </c>
      <c r="E42" s="15">
        <f>_xlfn.SUMIFS(Allocation!$V$1:$V$175,Allocation!$C$1:$C$175,"2026",Allocation!$D$1:$D$175,"MBWAY_BOR",Allocation!$F$1:$F$175,"MAS_MGT",Allocation!$G$1:$G$175,"M2",Allocation!$H$1:$H$175,"ALT")</f>
        <v>21127.575</v>
      </c>
      <c r="F42" s="15">
        <f>_xlfn.SUMIFS(Allocation!$W$1:$W$175,Allocation!$C$1:$C$175,"2026",Allocation!$D$1:$D$175,"MBWAY_BOR",Allocation!$F$1:$F$175,"MAS_MGT",Allocation!$G$1:$G$175,"M2",Allocation!$H$1:$H$175,"ALT")</f>
        <v>45763.725</v>
      </c>
      <c r="G42" s="15">
        <f>_xlfn.SUMIFS(Allocation!$X$1:$X$175,Allocation!$C$1:$C$175,"2026",Allocation!$D$1:$D$175,"MBWAY_BOR",Allocation!$F$1:$F$175,"MAS_MGT",Allocation!$G$1:$G$175,"M2",Allocation!$H$1:$H$175,"ALT")</f>
        <v>18604.8192771084</v>
      </c>
      <c r="H42" s="15">
        <f>_xlfn.SUMIFS(Allocation!$Y$1:$Y$175,Allocation!$C$1:$C$175,"2026",Allocation!$D$1:$D$175,"MBWAY_BOR",Allocation!$F$1:$F$175,"MAS_MGT",Allocation!$G$1:$G$175,"M2",Allocation!$H$1:$H$175,"ALT")</f>
        <v>0</v>
      </c>
      <c r="I42" s="15">
        <f>_xlfn.SUMIFS(Allocation!$AC$1:$AC$175,Allocation!$C$1:$C$175,"2026",Allocation!$D$1:$D$175,"MBWAY_BOR",Allocation!$F$1:$F$175,"MAS_MGT",Allocation!$G$1:$G$175,"M2",Allocation!$H$1:$H$175,"ALT")</f>
        <v>0</v>
      </c>
      <c r="J42" s="15">
        <f>_xlfn.SUMIFS(Allocation!$Z$1:$Z$175,Allocation!$C$1:$C$175,"2026",Allocation!$D$1:$D$175,"MBWAY_BOR",Allocation!$F$1:$F$175,"MAS_MGT",Allocation!$G$1:$G$175,"M2",Allocation!$H$1:$H$175,"ALT")</f>
        <v>0</v>
      </c>
      <c r="K42" s="106">
        <f t="shared" si="0"/>
        <v>85496.1192771084</v>
      </c>
      <c r="L42" s="128">
        <f>_xlfn.SUMIFS(Allocation!$AA$1:$AA$175,Allocation!$C$1:$C$175,"2026",Allocation!$D$1:$D$175,"MBWAY_BOR",Allocation!$F$1:$F$175,"MAS_MGT",Allocation!$G$1:$G$175,"M2",Allocation!$H$1:$H$175,"ALT")</f>
        <v>278253.880722892</v>
      </c>
      <c r="M42" s="22">
        <f t="shared" si="1"/>
        <v>0.764959122262246</v>
      </c>
    </row>
    <row r="43" ht="14.25" customHeight="1">
      <c r="B43" s="129" t="s">
        <v>29</v>
      </c>
      <c r="C43" s="105">
        <f>_xlfn.SUMIFS(Allocation!$I$1:$I$175,Allocation!$C$1:$C$175,"2026",Allocation!$E$1:$E$175,"ISCOM")</f>
        <v>829</v>
      </c>
      <c r="D43" s="106">
        <f>_xlfn.SUMIFS(Allocation!$K$1:$K$175,Allocation!$C$1:$C$175,"2026",Allocation!$E$1:$E$175,"ISCOM")</f>
        <v>6292550</v>
      </c>
      <c r="E43" s="106">
        <f>_xlfn.SUMIFS(Allocation!$V$1:$V$175,Allocation!$C$1:$C$175,"2026",Allocation!$E$1:$E$175,"ISCOM")</f>
        <v>422552</v>
      </c>
      <c r="F43" s="106">
        <f>_xlfn.SUMIFS(Allocation!$W$1:$W$175,Allocation!$C$1:$C$175,"2026",Allocation!$E$1:$E$175,"ISCOM")</f>
        <v>1058481</v>
      </c>
      <c r="G43" s="106">
        <f>_xlfn.SUMIFS(Allocation!$X$1:$X$175,Allocation!$C$1:$C$175,"2026",Allocation!$E$1:$E$175,"ISCOM")</f>
        <v>416570</v>
      </c>
      <c r="H43" s="106">
        <f>_xlfn.SUMIFS(Allocation!$Y$1:$Y$175,Allocation!$C$1:$C$175,"2026",Allocation!$E$1:$E$175,"ISCOM")</f>
        <v>0</v>
      </c>
      <c r="I43" s="106">
        <f>_xlfn.SUMIFS(Allocation!$AC$1:$AC$175,Allocation!$C$1:$C$175,"2026",Allocation!$E$1:$E$175,"ISCOM")</f>
        <v>0</v>
      </c>
      <c r="J43" s="106">
        <f>_xlfn.SUMIFS(Allocation!$Z$1:$Z$175,Allocation!$C$1:$C$175,"2026",Allocation!$E$1:$E$175,"ISCOM")</f>
        <v>0</v>
      </c>
      <c r="K43" s="106">
        <f t="shared" si="0"/>
        <v>1897603</v>
      </c>
      <c r="L43" s="125">
        <f>_xlfn.SUMIFS(Allocation!$AA$1:$AA$175,Allocation!$C$1:$C$175,"2026",Allocation!$E$1:$E$175,"ISCOM")</f>
        <v>4394947</v>
      </c>
      <c r="M43" s="107">
        <f t="shared" si="1"/>
        <v>0.698436563873152</v>
      </c>
    </row>
    <row r="44" ht="14.25" customHeight="1" hidden="0" collapsed="1" outlineLevel="1">
      <c r="B44" s="126" t="s">
        <v>138</v>
      </c>
      <c r="C44" s="105">
        <f>_xlfn.SUMIFS(Allocation!$I$1:$I$175,Allocation!$C$1:$C$175,"2026",Allocation!$D$1:$D$175,"ISCOM_PAR")</f>
        <v>354</v>
      </c>
      <c r="D44" s="106">
        <f>_xlfn.SUMIFS(Allocation!$K$1:$K$175,Allocation!$C$1:$C$175,"2026",Allocation!$D$1:$D$175,"ISCOM_PAR")</f>
        <v>2908720</v>
      </c>
      <c r="E44" s="106">
        <f>_xlfn.SUMIFS(Allocation!$V$1:$V$175,Allocation!$C$1:$C$175,"2026",Allocation!$D$1:$D$175,"ISCOM_PAR")</f>
        <v>181094</v>
      </c>
      <c r="F44" s="106">
        <f>_xlfn.SUMIFS(Allocation!$W$1:$W$175,Allocation!$C$1:$C$175,"2026",Allocation!$D$1:$D$175,"ISCOM_PAR")</f>
        <v>605202</v>
      </c>
      <c r="G44" s="106">
        <f>_xlfn.SUMIFS(Allocation!$X$1:$X$175,Allocation!$C$1:$C$175,"2026",Allocation!$D$1:$D$175,"ISCOM_PAR")</f>
        <v>192522</v>
      </c>
      <c r="H44" s="106">
        <f>_xlfn.SUMIFS(Allocation!$Y$1:$Y$175,Allocation!$C$1:$C$175,"2026",Allocation!$D$1:$D$175,"ISCOM_PAR")</f>
        <v>0</v>
      </c>
      <c r="I44" s="106">
        <f>_xlfn.SUMIFS(Allocation!$AC$1:$AC$175,Allocation!$C$1:$C$175,"2026",Allocation!$D$1:$D$175,"ISCOM_PAR")</f>
        <v>0</v>
      </c>
      <c r="J44" s="106">
        <f>_xlfn.SUMIFS(Allocation!$Z$1:$Z$175,Allocation!$C$1:$C$175,"2026",Allocation!$D$1:$D$175,"ISCOM_PAR")</f>
        <v>0</v>
      </c>
      <c r="K44" s="106">
        <f t="shared" si="0"/>
        <v>978818</v>
      </c>
      <c r="L44" s="125">
        <f>_xlfn.SUMIFS(Allocation!$AA$1:$AA$175,Allocation!$C$1:$C$175,"2026",Allocation!$D$1:$D$175,"ISCOM_PAR")</f>
        <v>1929902</v>
      </c>
      <c r="M44" s="107">
        <f t="shared" si="1"/>
        <v>0.663488407271927</v>
      </c>
    </row>
    <row r="45" ht="14.25" customHeight="1" hidden="0" collapsed="0" outlineLevel="2">
      <c r="B45" s="127" t="s">
        <v>139</v>
      </c>
      <c r="C45" s="102">
        <f>_xlfn.SUMIFS(Allocation!$I$1:$I$175,Allocation!$C$1:$C$175,"2026",Allocation!$D$1:$D$175,"ISCOM_PAR",Allocation!$F$1:$F$175,"BAC_COM",Allocation!$G$1:$G$175,"B1",Allocation!$H$1:$H$175,"INIT")</f>
        <v>72</v>
      </c>
      <c r="D45" s="15">
        <f>_xlfn.SUMIFS(Allocation!$K$1:$K$175,Allocation!$C$1:$C$175,"2026",Allocation!$D$1:$D$175,"ISCOM_PAR",Allocation!$F$1:$F$175,"BAC_COM",Allocation!$G$1:$G$175,"B1",Allocation!$H$1:$H$175,"INIT")</f>
        <v>611280</v>
      </c>
      <c r="E45" s="15">
        <f>_xlfn.SUMIFS(Allocation!$V$1:$V$175,Allocation!$C$1:$C$175,"2026",Allocation!$D$1:$D$175,"ISCOM_PAR",Allocation!$F$1:$F$175,"BAC_COM",Allocation!$G$1:$G$175,"B1",Allocation!$H$1:$H$175,"INIT")</f>
        <v>45273.5</v>
      </c>
      <c r="F45" s="15">
        <f>_xlfn.SUMIFS(Allocation!$W$1:$W$175,Allocation!$C$1:$C$175,"2026",Allocation!$D$1:$D$175,"ISCOM_PAR",Allocation!$F$1:$F$175,"BAC_COM",Allocation!$G$1:$G$175,"B1",Allocation!$H$1:$H$175,"INIT")</f>
        <v>151300.5</v>
      </c>
      <c r="G45" s="15">
        <f>_xlfn.SUMIFS(Allocation!$X$1:$X$175,Allocation!$C$1:$C$175,"2026",Allocation!$D$1:$D$175,"ISCOM_PAR",Allocation!$F$1:$F$175,"BAC_COM",Allocation!$G$1:$G$175,"B1",Allocation!$H$1:$H$175,"INIT")</f>
        <v>57190.9152542373</v>
      </c>
      <c r="H45" s="15">
        <f>_xlfn.SUMIFS(Allocation!$Y$1:$Y$175,Allocation!$C$1:$C$175,"2026",Allocation!$D$1:$D$175,"ISCOM_PAR",Allocation!$F$1:$F$175,"BAC_COM",Allocation!$G$1:$G$175,"B1",Allocation!$H$1:$H$175,"INIT")</f>
        <v>0</v>
      </c>
      <c r="I45" s="15">
        <f>_xlfn.SUMIFS(Allocation!$AC$1:$AC$175,Allocation!$C$1:$C$175,"2026",Allocation!$D$1:$D$175,"ISCOM_PAR",Allocation!$F$1:$F$175,"BAC_COM",Allocation!$G$1:$G$175,"B1",Allocation!$H$1:$H$175,"INIT")</f>
        <v>0</v>
      </c>
      <c r="J45" s="15">
        <f>_xlfn.SUMIFS(Allocation!$Z$1:$Z$175,Allocation!$C$1:$C$175,"2026",Allocation!$D$1:$D$175,"ISCOM_PAR",Allocation!$F$1:$F$175,"BAC_COM",Allocation!$G$1:$G$175,"B1",Allocation!$H$1:$H$175,"INIT")</f>
        <v>0</v>
      </c>
      <c r="K45" s="106">
        <f t="shared" si="0"/>
        <v>253764.915254237</v>
      </c>
      <c r="L45" s="128">
        <f>_xlfn.SUMIFS(Allocation!$AA$1:$AA$175,Allocation!$C$1:$C$175,"2026",Allocation!$D$1:$D$175,"ISCOM_PAR",Allocation!$F$1:$F$175,"BAC_COM",Allocation!$G$1:$G$175,"B1",Allocation!$H$1:$H$175,"INIT")</f>
        <v>357515.084745763</v>
      </c>
      <c r="M45" s="22">
        <f t="shared" si="1"/>
        <v>0.584863049250365</v>
      </c>
    </row>
    <row r="46" ht="14.25" customHeight="1" hidden="0" collapsed="0" outlineLevel="2">
      <c r="B46" s="127" t="s">
        <v>140</v>
      </c>
      <c r="C46" s="102">
        <f>_xlfn.SUMIFS(Allocation!$I$1:$I$175,Allocation!$C$1:$C$175,"2026",Allocation!$D$1:$D$175,"ISCOM_PAR",Allocation!$F$1:$F$175,"BAC_COM",Allocation!$G$1:$G$175,"B2",Allocation!$H$1:$H$175,"ALT")</f>
        <v>70</v>
      </c>
      <c r="D46" s="15">
        <f>_xlfn.SUMIFS(Allocation!$K$1:$K$175,Allocation!$C$1:$C$175,"2026",Allocation!$D$1:$D$175,"ISCOM_PAR",Allocation!$F$1:$F$175,"BAC_COM",Allocation!$G$1:$G$175,"B2",Allocation!$H$1:$H$175,"ALT")</f>
        <v>548800</v>
      </c>
      <c r="E46" s="15">
        <f>_xlfn.SUMIFS(Allocation!$V$1:$V$175,Allocation!$C$1:$C$175,"2026",Allocation!$D$1:$D$175,"ISCOM_PAR",Allocation!$F$1:$F$175,"BAC_COM",Allocation!$G$1:$G$175,"B2",Allocation!$H$1:$H$175,"ALT")</f>
        <v>36218.8</v>
      </c>
      <c r="F46" s="15">
        <f>_xlfn.SUMIFS(Allocation!$W$1:$W$175,Allocation!$C$1:$C$175,"2026",Allocation!$D$1:$D$175,"ISCOM_PAR",Allocation!$F$1:$F$175,"BAC_COM",Allocation!$G$1:$G$175,"B2",Allocation!$H$1:$H$175,"ALT")</f>
        <v>121040.4</v>
      </c>
      <c r="G46" s="15">
        <f>_xlfn.SUMIFS(Allocation!$X$1:$X$175,Allocation!$C$1:$C$175,"2026",Allocation!$D$1:$D$175,"ISCOM_PAR",Allocation!$F$1:$F$175,"BAC_COM",Allocation!$G$1:$G$175,"B2",Allocation!$H$1:$H$175,"ALT")</f>
        <v>26046.7231638418</v>
      </c>
      <c r="H46" s="15">
        <f>_xlfn.SUMIFS(Allocation!$Y$1:$Y$175,Allocation!$C$1:$C$175,"2026",Allocation!$D$1:$D$175,"ISCOM_PAR",Allocation!$F$1:$F$175,"BAC_COM",Allocation!$G$1:$G$175,"B2",Allocation!$H$1:$H$175,"ALT")</f>
        <v>0</v>
      </c>
      <c r="I46" s="15">
        <f>_xlfn.SUMIFS(Allocation!$AC$1:$AC$175,Allocation!$C$1:$C$175,"2026",Allocation!$D$1:$D$175,"ISCOM_PAR",Allocation!$F$1:$F$175,"BAC_COM",Allocation!$G$1:$G$175,"B2",Allocation!$H$1:$H$175,"ALT")</f>
        <v>0</v>
      </c>
      <c r="J46" s="15">
        <f>_xlfn.SUMIFS(Allocation!$Z$1:$Z$175,Allocation!$C$1:$C$175,"2026",Allocation!$D$1:$D$175,"ISCOM_PAR",Allocation!$F$1:$F$175,"BAC_COM",Allocation!$G$1:$G$175,"B2",Allocation!$H$1:$H$175,"ALT")</f>
        <v>0</v>
      </c>
      <c r="K46" s="106">
        <f t="shared" si="0"/>
        <v>183305.923163842</v>
      </c>
      <c r="L46" s="128">
        <f>_xlfn.SUMIFS(Allocation!$AA$1:$AA$175,Allocation!$C$1:$C$175,"2026",Allocation!$D$1:$D$175,"ISCOM_PAR",Allocation!$F$1:$F$175,"BAC_COM",Allocation!$G$1:$G$175,"B2",Allocation!$H$1:$H$175,"ALT")</f>
        <v>365494.076836158</v>
      </c>
      <c r="M46" s="22">
        <f t="shared" si="1"/>
        <v>0.665987749337023</v>
      </c>
    </row>
    <row r="47" ht="14.25" customHeight="1" hidden="0" collapsed="0" outlineLevel="2">
      <c r="B47" s="127" t="s">
        <v>141</v>
      </c>
      <c r="C47" s="102">
        <f>_xlfn.SUMIFS(Allocation!$I$1:$I$175,Allocation!$C$1:$C$175,"2026",Allocation!$D$1:$D$175,"ISCOM_PAR",Allocation!$F$1:$F$175,"BAC_COM",Allocation!$G$1:$G$175,"B3",Allocation!$H$1:$H$175,"ALT")</f>
        <v>69</v>
      </c>
      <c r="D47" s="15">
        <f>_xlfn.SUMIFS(Allocation!$K$1:$K$175,Allocation!$C$1:$C$175,"2026",Allocation!$D$1:$D$175,"ISCOM_PAR",Allocation!$F$1:$F$175,"BAC_COM",Allocation!$G$1:$G$175,"B3",Allocation!$H$1:$H$175,"ALT")</f>
        <v>540960</v>
      </c>
      <c r="E47" s="15">
        <f>_xlfn.SUMIFS(Allocation!$V$1:$V$175,Allocation!$C$1:$C$175,"2026",Allocation!$D$1:$D$175,"ISCOM_PAR",Allocation!$F$1:$F$175,"BAC_COM",Allocation!$G$1:$G$175,"B3",Allocation!$H$1:$H$175,"ALT")</f>
        <v>36218.8</v>
      </c>
      <c r="F47" s="15">
        <f>_xlfn.SUMIFS(Allocation!$W$1:$W$175,Allocation!$C$1:$C$175,"2026",Allocation!$D$1:$D$175,"ISCOM_PAR",Allocation!$F$1:$F$175,"BAC_COM",Allocation!$G$1:$G$175,"B3",Allocation!$H$1:$H$175,"ALT")</f>
        <v>121040.4</v>
      </c>
      <c r="G47" s="15">
        <f>_xlfn.SUMIFS(Allocation!$X$1:$X$175,Allocation!$C$1:$C$175,"2026",Allocation!$D$1:$D$175,"ISCOM_PAR",Allocation!$F$1:$F$175,"BAC_COM",Allocation!$G$1:$G$175,"B3",Allocation!$H$1:$H$175,"ALT")</f>
        <v>25674.6271186441</v>
      </c>
      <c r="H47" s="15">
        <f>_xlfn.SUMIFS(Allocation!$Y$1:$Y$175,Allocation!$C$1:$C$175,"2026",Allocation!$D$1:$D$175,"ISCOM_PAR",Allocation!$F$1:$F$175,"BAC_COM",Allocation!$G$1:$G$175,"B3",Allocation!$H$1:$H$175,"ALT")</f>
        <v>0</v>
      </c>
      <c r="I47" s="15">
        <f>_xlfn.SUMIFS(Allocation!$AC$1:$AC$175,Allocation!$C$1:$C$175,"2026",Allocation!$D$1:$D$175,"ISCOM_PAR",Allocation!$F$1:$F$175,"BAC_COM",Allocation!$G$1:$G$175,"B3",Allocation!$H$1:$H$175,"ALT")</f>
        <v>0</v>
      </c>
      <c r="J47" s="15">
        <f>_xlfn.SUMIFS(Allocation!$Z$1:$Z$175,Allocation!$C$1:$C$175,"2026",Allocation!$D$1:$D$175,"ISCOM_PAR",Allocation!$F$1:$F$175,"BAC_COM",Allocation!$G$1:$G$175,"B3",Allocation!$H$1:$H$175,"ALT")</f>
        <v>0</v>
      </c>
      <c r="K47" s="106">
        <f t="shared" si="0"/>
        <v>182933.827118644</v>
      </c>
      <c r="L47" s="128">
        <f>_xlfn.SUMIFS(Allocation!$AA$1:$AA$175,Allocation!$C$1:$C$175,"2026",Allocation!$D$1:$D$175,"ISCOM_PAR",Allocation!$F$1:$F$175,"BAC_COM",Allocation!$G$1:$G$175,"B3",Allocation!$H$1:$H$175,"ALT")</f>
        <v>358026.172881356</v>
      </c>
      <c r="M47" s="22">
        <f t="shared" si="1"/>
        <v>0.661834835997774</v>
      </c>
    </row>
    <row r="48" ht="14.25" customHeight="1" hidden="0" collapsed="0" outlineLevel="2">
      <c r="B48" s="127" t="s">
        <v>142</v>
      </c>
      <c r="C48" s="102">
        <f>_xlfn.SUMIFS(Allocation!$I$1:$I$175,Allocation!$C$1:$C$175,"2026",Allocation!$D$1:$D$175,"ISCOM_PAR",Allocation!$F$1:$F$175,"MAS_COM",Allocation!$G$1:$G$175,"M1",Allocation!$H$1:$H$175,"ALT")</f>
        <v>72</v>
      </c>
      <c r="D48" s="15">
        <f>_xlfn.SUMIFS(Allocation!$K$1:$K$175,Allocation!$C$1:$C$175,"2026",Allocation!$D$1:$D$175,"ISCOM_PAR",Allocation!$F$1:$F$175,"MAS_COM",Allocation!$G$1:$G$175,"M1",Allocation!$H$1:$H$175,"ALT")</f>
        <v>611280</v>
      </c>
      <c r="E48" s="15">
        <f>_xlfn.SUMIFS(Allocation!$V$1:$V$175,Allocation!$C$1:$C$175,"2026",Allocation!$D$1:$D$175,"ISCOM_PAR",Allocation!$F$1:$F$175,"MAS_COM",Allocation!$G$1:$G$175,"M1",Allocation!$H$1:$H$175,"ALT")</f>
        <v>31691.45</v>
      </c>
      <c r="F48" s="15">
        <f>_xlfn.SUMIFS(Allocation!$W$1:$W$175,Allocation!$C$1:$C$175,"2026",Allocation!$D$1:$D$175,"ISCOM_PAR",Allocation!$F$1:$F$175,"MAS_COM",Allocation!$G$1:$G$175,"M1",Allocation!$H$1:$H$175,"ALT")</f>
        <v>105910.35</v>
      </c>
      <c r="G48" s="15">
        <f>_xlfn.SUMIFS(Allocation!$X$1:$X$175,Allocation!$C$1:$C$175,"2026",Allocation!$D$1:$D$175,"ISCOM_PAR",Allocation!$F$1:$F$175,"MAS_COM",Allocation!$G$1:$G$175,"M1",Allocation!$H$1:$H$175,"ALT")</f>
        <v>57190.9152542373</v>
      </c>
      <c r="H48" s="15">
        <f>_xlfn.SUMIFS(Allocation!$Y$1:$Y$175,Allocation!$C$1:$C$175,"2026",Allocation!$D$1:$D$175,"ISCOM_PAR",Allocation!$F$1:$F$175,"MAS_COM",Allocation!$G$1:$G$175,"M1",Allocation!$H$1:$H$175,"ALT")</f>
        <v>0</v>
      </c>
      <c r="I48" s="15">
        <f>_xlfn.SUMIFS(Allocation!$AC$1:$AC$175,Allocation!$C$1:$C$175,"2026",Allocation!$D$1:$D$175,"ISCOM_PAR",Allocation!$F$1:$F$175,"MAS_COM",Allocation!$G$1:$G$175,"M1",Allocation!$H$1:$H$175,"ALT")</f>
        <v>0</v>
      </c>
      <c r="J48" s="15">
        <f>_xlfn.SUMIFS(Allocation!$Z$1:$Z$175,Allocation!$C$1:$C$175,"2026",Allocation!$D$1:$D$175,"ISCOM_PAR",Allocation!$F$1:$F$175,"MAS_COM",Allocation!$G$1:$G$175,"M1",Allocation!$H$1:$H$175,"ALT")</f>
        <v>0</v>
      </c>
      <c r="K48" s="106">
        <f t="shared" si="0"/>
        <v>194792.715254237</v>
      </c>
      <c r="L48" s="128">
        <f>_xlfn.SUMIFS(Allocation!$AA$1:$AA$175,Allocation!$C$1:$C$175,"2026",Allocation!$D$1:$D$175,"ISCOM_PAR",Allocation!$F$1:$F$175,"MAS_COM",Allocation!$G$1:$G$175,"M1",Allocation!$H$1:$H$175,"ALT")</f>
        <v>416487.284745763</v>
      </c>
      <c r="M48" s="22">
        <f t="shared" si="1"/>
        <v>0.681336351174197</v>
      </c>
    </row>
    <row r="49" ht="14.25" customHeight="1" hidden="0" collapsed="0" outlineLevel="2">
      <c r="B49" s="127" t="s">
        <v>143</v>
      </c>
      <c r="C49" s="102">
        <f>_xlfn.SUMIFS(Allocation!$I$1:$I$175,Allocation!$C$1:$C$175,"2026",Allocation!$D$1:$D$175,"ISCOM_PAR",Allocation!$F$1:$F$175,"MAS_COM",Allocation!$G$1:$G$175,"M2",Allocation!$H$1:$H$175,"ALT")</f>
        <v>71</v>
      </c>
      <c r="D49" s="15">
        <f>_xlfn.SUMIFS(Allocation!$K$1:$K$175,Allocation!$C$1:$C$175,"2026",Allocation!$D$1:$D$175,"ISCOM_PAR",Allocation!$F$1:$F$175,"MAS_COM",Allocation!$G$1:$G$175,"M2",Allocation!$H$1:$H$175,"ALT")</f>
        <v>596400</v>
      </c>
      <c r="E49" s="15">
        <f>_xlfn.SUMIFS(Allocation!$V$1:$V$175,Allocation!$C$1:$C$175,"2026",Allocation!$D$1:$D$175,"ISCOM_PAR",Allocation!$F$1:$F$175,"MAS_COM",Allocation!$G$1:$G$175,"M2",Allocation!$H$1:$H$175,"ALT")</f>
        <v>31691.45</v>
      </c>
      <c r="F49" s="15">
        <f>_xlfn.SUMIFS(Allocation!$W$1:$W$175,Allocation!$C$1:$C$175,"2026",Allocation!$D$1:$D$175,"ISCOM_PAR",Allocation!$F$1:$F$175,"MAS_COM",Allocation!$G$1:$G$175,"M2",Allocation!$H$1:$H$175,"ALT")</f>
        <v>105910.35</v>
      </c>
      <c r="G49" s="15">
        <f>_xlfn.SUMIFS(Allocation!$X$1:$X$175,Allocation!$C$1:$C$175,"2026",Allocation!$D$1:$D$175,"ISCOM_PAR",Allocation!$F$1:$F$175,"MAS_COM",Allocation!$G$1:$G$175,"M2",Allocation!$H$1:$H$175,"ALT")</f>
        <v>26418.8192090395</v>
      </c>
      <c r="H49" s="15">
        <f>_xlfn.SUMIFS(Allocation!$Y$1:$Y$175,Allocation!$C$1:$C$175,"2026",Allocation!$D$1:$D$175,"ISCOM_PAR",Allocation!$F$1:$F$175,"MAS_COM",Allocation!$G$1:$G$175,"M2",Allocation!$H$1:$H$175,"ALT")</f>
        <v>0</v>
      </c>
      <c r="I49" s="15">
        <f>_xlfn.SUMIFS(Allocation!$AC$1:$AC$175,Allocation!$C$1:$C$175,"2026",Allocation!$D$1:$D$175,"ISCOM_PAR",Allocation!$F$1:$F$175,"MAS_COM",Allocation!$G$1:$G$175,"M2",Allocation!$H$1:$H$175,"ALT")</f>
        <v>0</v>
      </c>
      <c r="J49" s="15">
        <f>_xlfn.SUMIFS(Allocation!$Z$1:$Z$175,Allocation!$C$1:$C$175,"2026",Allocation!$D$1:$D$175,"ISCOM_PAR",Allocation!$F$1:$F$175,"MAS_COM",Allocation!$G$1:$G$175,"M2",Allocation!$H$1:$H$175,"ALT")</f>
        <v>0</v>
      </c>
      <c r="K49" s="106">
        <f t="shared" si="0"/>
        <v>164020.61920904</v>
      </c>
      <c r="L49" s="128">
        <f>_xlfn.SUMIFS(Allocation!$AA$1:$AA$175,Allocation!$C$1:$C$175,"2026",Allocation!$D$1:$D$175,"ISCOM_PAR",Allocation!$F$1:$F$175,"MAS_COM",Allocation!$G$1:$G$175,"M2",Allocation!$H$1:$H$175,"ALT")</f>
        <v>432379.380790961</v>
      </c>
      <c r="M49" s="22">
        <f t="shared" si="1"/>
        <v>0.724982194485179</v>
      </c>
    </row>
    <row r="50" ht="14.25" customHeight="1" hidden="0" collapsed="0" outlineLevel="1">
      <c r="B50" s="126" t="s">
        <v>144</v>
      </c>
      <c r="C50" s="105">
        <f>_xlfn.SUMIFS(Allocation!$I$1:$I$175,Allocation!$C$1:$C$175,"2026",Allocation!$D$1:$D$175,"ISCOM_LIL")</f>
        <v>244</v>
      </c>
      <c r="D50" s="106">
        <f>_xlfn.SUMIFS(Allocation!$K$1:$K$175,Allocation!$C$1:$C$175,"2026",Allocation!$D$1:$D$175,"ISCOM_LIL")</f>
        <v>1755850</v>
      </c>
      <c r="E50" s="106">
        <f>_xlfn.SUMIFS(Allocation!$V$1:$V$175,Allocation!$C$1:$C$175,"2026",Allocation!$D$1:$D$175,"ISCOM_LIL")</f>
        <v>120729</v>
      </c>
      <c r="F50" s="106">
        <f>_xlfn.SUMIFS(Allocation!$W$1:$W$175,Allocation!$C$1:$C$175,"2026",Allocation!$D$1:$D$175,"ISCOM_LIL")</f>
        <v>229130</v>
      </c>
      <c r="G50" s="106">
        <f>_xlfn.SUMIFS(Allocation!$X$1:$X$175,Allocation!$C$1:$C$175,"2026",Allocation!$D$1:$D$175,"ISCOM_LIL")</f>
        <v>116011</v>
      </c>
      <c r="H50" s="106">
        <f>_xlfn.SUMIFS(Allocation!$Y$1:$Y$175,Allocation!$C$1:$C$175,"2026",Allocation!$D$1:$D$175,"ISCOM_LIL")</f>
        <v>0</v>
      </c>
      <c r="I50" s="106">
        <f>_xlfn.SUMIFS(Allocation!$AC$1:$AC$175,Allocation!$C$1:$C$175,"2026",Allocation!$D$1:$D$175,"ISCOM_LIL")</f>
        <v>0</v>
      </c>
      <c r="J50" s="106">
        <f>_xlfn.SUMIFS(Allocation!$Z$1:$Z$175,Allocation!$C$1:$C$175,"2026",Allocation!$D$1:$D$175,"ISCOM_LIL")</f>
        <v>0</v>
      </c>
      <c r="K50" s="106">
        <f t="shared" si="0"/>
        <v>465870</v>
      </c>
      <c r="L50" s="125">
        <f>_xlfn.SUMIFS(Allocation!$AA$1:$AA$175,Allocation!$C$1:$C$175,"2026",Allocation!$D$1:$D$175,"ISCOM_LIL")</f>
        <v>1289980</v>
      </c>
      <c r="M50" s="107">
        <f t="shared" si="1"/>
        <v>0.734675513284164</v>
      </c>
    </row>
    <row r="51" ht="14.25" customHeight="1" hidden="0" collapsed="0" outlineLevel="2">
      <c r="B51" s="127" t="s">
        <v>139</v>
      </c>
      <c r="C51" s="102">
        <f>_xlfn.SUMIFS(Allocation!$I$1:$I$175,Allocation!$C$1:$C$175,"2026",Allocation!$D$1:$D$175,"ISCOM_LIL",Allocation!$F$1:$F$175,"BAC_COM",Allocation!$G$1:$G$175,"B1",Allocation!$H$1:$H$175,"INIT")</f>
        <v>50</v>
      </c>
      <c r="D51" s="15">
        <f>_xlfn.SUMIFS(Allocation!$K$1:$K$175,Allocation!$C$1:$C$175,"2026",Allocation!$D$1:$D$175,"ISCOM_LIL",Allocation!$F$1:$F$175,"BAC_COM",Allocation!$G$1:$G$175,"B1",Allocation!$H$1:$H$175,"INIT")</f>
        <v>372000</v>
      </c>
      <c r="E51" s="15">
        <f>_xlfn.SUMIFS(Allocation!$V$1:$V$175,Allocation!$C$1:$C$175,"2026",Allocation!$D$1:$D$175,"ISCOM_LIL",Allocation!$F$1:$F$175,"BAC_COM",Allocation!$G$1:$G$175,"B1",Allocation!$H$1:$H$175,"INIT")</f>
        <v>30182.25</v>
      </c>
      <c r="F51" s="15">
        <f>_xlfn.SUMIFS(Allocation!$W$1:$W$175,Allocation!$C$1:$C$175,"2026",Allocation!$D$1:$D$175,"ISCOM_LIL",Allocation!$F$1:$F$175,"BAC_COM",Allocation!$G$1:$G$175,"B1",Allocation!$H$1:$H$175,"INIT")</f>
        <v>57282.5</v>
      </c>
      <c r="G51" s="15">
        <f>_xlfn.SUMIFS(Allocation!$X$1:$X$175,Allocation!$C$1:$C$175,"2026",Allocation!$D$1:$D$175,"ISCOM_LIL",Allocation!$F$1:$F$175,"BAC_COM",Allocation!$G$1:$G$175,"B1",Allocation!$H$1:$H$175,"INIT")</f>
        <v>31214.7131147541</v>
      </c>
      <c r="H51" s="15">
        <f>_xlfn.SUMIFS(Allocation!$Y$1:$Y$175,Allocation!$C$1:$C$175,"2026",Allocation!$D$1:$D$175,"ISCOM_LIL",Allocation!$F$1:$F$175,"BAC_COM",Allocation!$G$1:$G$175,"B1",Allocation!$H$1:$H$175,"INIT")</f>
        <v>0</v>
      </c>
      <c r="I51" s="15">
        <f>_xlfn.SUMIFS(Allocation!$AC$1:$AC$175,Allocation!$C$1:$C$175,"2026",Allocation!$D$1:$D$175,"ISCOM_LIL",Allocation!$F$1:$F$175,"BAC_COM",Allocation!$G$1:$G$175,"B1",Allocation!$H$1:$H$175,"INIT")</f>
        <v>0</v>
      </c>
      <c r="J51" s="15">
        <f>_xlfn.SUMIFS(Allocation!$Z$1:$Z$175,Allocation!$C$1:$C$175,"2026",Allocation!$D$1:$D$175,"ISCOM_LIL",Allocation!$F$1:$F$175,"BAC_COM",Allocation!$G$1:$G$175,"B1",Allocation!$H$1:$H$175,"INIT")</f>
        <v>0</v>
      </c>
      <c r="K51" s="106">
        <f t="shared" si="0"/>
        <v>118679.463114754</v>
      </c>
      <c r="L51" s="128">
        <f>_xlfn.SUMIFS(Allocation!$AA$1:$AA$175,Allocation!$C$1:$C$175,"2026",Allocation!$D$1:$D$175,"ISCOM_LIL",Allocation!$F$1:$F$175,"BAC_COM",Allocation!$G$1:$G$175,"B1",Allocation!$H$1:$H$175,"INIT")</f>
        <v>253320.536885246</v>
      </c>
      <c r="M51" s="22">
        <f t="shared" si="1"/>
        <v>0.680969185175393</v>
      </c>
    </row>
    <row r="52" ht="14.25" customHeight="1" hidden="0" collapsed="0" outlineLevel="2">
      <c r="B52" s="127" t="s">
        <v>140</v>
      </c>
      <c r="C52" s="102">
        <f>_xlfn.SUMIFS(Allocation!$I$1:$I$175,Allocation!$C$1:$C$175,"2026",Allocation!$D$1:$D$175,"ISCOM_LIL",Allocation!$F$1:$F$175,"BAC_COM",Allocation!$G$1:$G$175,"B2",Allocation!$H$1:$H$175,"ALT")</f>
        <v>48</v>
      </c>
      <c r="D52" s="15">
        <f>_xlfn.SUMIFS(Allocation!$K$1:$K$175,Allocation!$C$1:$C$175,"2026",Allocation!$D$1:$D$175,"ISCOM_LIL",Allocation!$F$1:$F$175,"BAC_COM",Allocation!$G$1:$G$175,"B2",Allocation!$H$1:$H$175,"ALT")</f>
        <v>329280</v>
      </c>
      <c r="E52" s="15">
        <f>_xlfn.SUMIFS(Allocation!$V$1:$V$175,Allocation!$C$1:$C$175,"2026",Allocation!$D$1:$D$175,"ISCOM_LIL",Allocation!$F$1:$F$175,"BAC_COM",Allocation!$G$1:$G$175,"B2",Allocation!$H$1:$H$175,"ALT")</f>
        <v>24145.8</v>
      </c>
      <c r="F52" s="15">
        <f>_xlfn.SUMIFS(Allocation!$W$1:$W$175,Allocation!$C$1:$C$175,"2026",Allocation!$D$1:$D$175,"ISCOM_LIL",Allocation!$F$1:$F$175,"BAC_COM",Allocation!$G$1:$G$175,"B2",Allocation!$H$1:$H$175,"ALT")</f>
        <v>45826</v>
      </c>
      <c r="G52" s="15">
        <f>_xlfn.SUMIFS(Allocation!$X$1:$X$175,Allocation!$C$1:$C$175,"2026",Allocation!$D$1:$D$175,"ISCOM_LIL",Allocation!$F$1:$F$175,"BAC_COM",Allocation!$G$1:$G$175,"B2",Allocation!$H$1:$H$175,"ALT")</f>
        <v>17860.5245901639</v>
      </c>
      <c r="H52" s="15">
        <f>_xlfn.SUMIFS(Allocation!$Y$1:$Y$175,Allocation!$C$1:$C$175,"2026",Allocation!$D$1:$D$175,"ISCOM_LIL",Allocation!$F$1:$F$175,"BAC_COM",Allocation!$G$1:$G$175,"B2",Allocation!$H$1:$H$175,"ALT")</f>
        <v>0</v>
      </c>
      <c r="I52" s="15">
        <f>_xlfn.SUMIFS(Allocation!$AC$1:$AC$175,Allocation!$C$1:$C$175,"2026",Allocation!$D$1:$D$175,"ISCOM_LIL",Allocation!$F$1:$F$175,"BAC_COM",Allocation!$G$1:$G$175,"B2",Allocation!$H$1:$H$175,"ALT")</f>
        <v>0</v>
      </c>
      <c r="J52" s="15">
        <f>_xlfn.SUMIFS(Allocation!$Z$1:$Z$175,Allocation!$C$1:$C$175,"2026",Allocation!$D$1:$D$175,"ISCOM_LIL",Allocation!$F$1:$F$175,"BAC_COM",Allocation!$G$1:$G$175,"B2",Allocation!$H$1:$H$175,"ALT")</f>
        <v>0</v>
      </c>
      <c r="K52" s="106">
        <f t="shared" si="0"/>
        <v>87832.3245901639</v>
      </c>
      <c r="L52" s="128">
        <f>_xlfn.SUMIFS(Allocation!$AA$1:$AA$175,Allocation!$C$1:$C$175,"2026",Allocation!$D$1:$D$175,"ISCOM_LIL",Allocation!$F$1:$F$175,"BAC_COM",Allocation!$G$1:$G$175,"B2",Allocation!$H$1:$H$175,"ALT")</f>
        <v>241447.675409836</v>
      </c>
      <c r="M52" s="22">
        <f t="shared" si="1"/>
        <v>0.733259461278656</v>
      </c>
    </row>
    <row r="53" ht="14.25" customHeight="1" hidden="0" collapsed="0" outlineLevel="2">
      <c r="B53" s="127" t="s">
        <v>141</v>
      </c>
      <c r="C53" s="102">
        <f>_xlfn.SUMIFS(Allocation!$I$1:$I$175,Allocation!$C$1:$C$175,"2026",Allocation!$D$1:$D$175,"ISCOM_LIL",Allocation!$F$1:$F$175,"BAC_COM",Allocation!$G$1:$G$175,"B3",Allocation!$H$1:$H$175,"ALT")</f>
        <v>47</v>
      </c>
      <c r="D53" s="15">
        <f>_xlfn.SUMIFS(Allocation!$K$1:$K$175,Allocation!$C$1:$C$175,"2026",Allocation!$D$1:$D$175,"ISCOM_LIL",Allocation!$F$1:$F$175,"BAC_COM",Allocation!$G$1:$G$175,"B3",Allocation!$H$1:$H$175,"ALT")</f>
        <v>322420</v>
      </c>
      <c r="E53" s="15">
        <f>_xlfn.SUMIFS(Allocation!$V$1:$V$175,Allocation!$C$1:$C$175,"2026",Allocation!$D$1:$D$175,"ISCOM_LIL",Allocation!$F$1:$F$175,"BAC_COM",Allocation!$G$1:$G$175,"B3",Allocation!$H$1:$H$175,"ALT")</f>
        <v>24145.8</v>
      </c>
      <c r="F53" s="15">
        <f>_xlfn.SUMIFS(Allocation!$W$1:$W$175,Allocation!$C$1:$C$175,"2026",Allocation!$D$1:$D$175,"ISCOM_LIL",Allocation!$F$1:$F$175,"BAC_COM",Allocation!$G$1:$G$175,"B3",Allocation!$H$1:$H$175,"ALT")</f>
        <v>45826</v>
      </c>
      <c r="G53" s="15">
        <f>_xlfn.SUMIFS(Allocation!$X$1:$X$175,Allocation!$C$1:$C$175,"2026",Allocation!$D$1:$D$175,"ISCOM_LIL",Allocation!$F$1:$F$175,"BAC_COM",Allocation!$G$1:$G$175,"B3",Allocation!$H$1:$H$175,"ALT")</f>
        <v>17488.4303278689</v>
      </c>
      <c r="H53" s="15">
        <f>_xlfn.SUMIFS(Allocation!$Y$1:$Y$175,Allocation!$C$1:$C$175,"2026",Allocation!$D$1:$D$175,"ISCOM_LIL",Allocation!$F$1:$F$175,"BAC_COM",Allocation!$G$1:$G$175,"B3",Allocation!$H$1:$H$175,"ALT")</f>
        <v>0</v>
      </c>
      <c r="I53" s="15">
        <f>_xlfn.SUMIFS(Allocation!$AC$1:$AC$175,Allocation!$C$1:$C$175,"2026",Allocation!$D$1:$D$175,"ISCOM_LIL",Allocation!$F$1:$F$175,"BAC_COM",Allocation!$G$1:$G$175,"B3",Allocation!$H$1:$H$175,"ALT")</f>
        <v>0</v>
      </c>
      <c r="J53" s="15">
        <f>_xlfn.SUMIFS(Allocation!$Z$1:$Z$175,Allocation!$C$1:$C$175,"2026",Allocation!$D$1:$D$175,"ISCOM_LIL",Allocation!$F$1:$F$175,"BAC_COM",Allocation!$G$1:$G$175,"B3",Allocation!$H$1:$H$175,"ALT")</f>
        <v>0</v>
      </c>
      <c r="K53" s="106">
        <f t="shared" si="0"/>
        <v>87460.2303278689</v>
      </c>
      <c r="L53" s="128">
        <f>_xlfn.SUMIFS(Allocation!$AA$1:$AA$175,Allocation!$C$1:$C$175,"2026",Allocation!$D$1:$D$175,"ISCOM_LIL",Allocation!$F$1:$F$175,"BAC_COM",Allocation!$G$1:$G$175,"B3",Allocation!$H$1:$H$175,"ALT")</f>
        <v>234959.769672131</v>
      </c>
      <c r="M53" s="22">
        <f t="shared" si="1"/>
        <v>0.728738197606014</v>
      </c>
    </row>
    <row r="54" ht="14.25" customHeight="1" hidden="0" collapsed="0" outlineLevel="2">
      <c r="B54" s="127" t="s">
        <v>142</v>
      </c>
      <c r="C54" s="102">
        <f>_xlfn.SUMIFS(Allocation!$I$1:$I$175,Allocation!$C$1:$C$175,"2026",Allocation!$D$1:$D$175,"ISCOM_LIL",Allocation!$F$1:$F$175,"MAS_COM",Allocation!$G$1:$G$175,"M1",Allocation!$H$1:$H$175,"ALT")</f>
        <v>50</v>
      </c>
      <c r="D54" s="15">
        <f>_xlfn.SUMIFS(Allocation!$K$1:$K$175,Allocation!$C$1:$C$175,"2026",Allocation!$D$1:$D$175,"ISCOM_LIL",Allocation!$F$1:$F$175,"MAS_COM",Allocation!$G$1:$G$175,"M1",Allocation!$H$1:$H$175,"ALT")</f>
        <v>372000</v>
      </c>
      <c r="E54" s="15">
        <f>_xlfn.SUMIFS(Allocation!$V$1:$V$175,Allocation!$C$1:$C$175,"2026",Allocation!$D$1:$D$175,"ISCOM_LIL",Allocation!$F$1:$F$175,"MAS_COM",Allocation!$G$1:$G$175,"M1",Allocation!$H$1:$H$175,"ALT")</f>
        <v>21127.575</v>
      </c>
      <c r="F54" s="15">
        <f>_xlfn.SUMIFS(Allocation!$W$1:$W$175,Allocation!$C$1:$C$175,"2026",Allocation!$D$1:$D$175,"ISCOM_LIL",Allocation!$F$1:$F$175,"MAS_COM",Allocation!$G$1:$G$175,"M1",Allocation!$H$1:$H$175,"ALT")</f>
        <v>40097.75</v>
      </c>
      <c r="G54" s="15">
        <f>_xlfn.SUMIFS(Allocation!$X$1:$X$175,Allocation!$C$1:$C$175,"2026",Allocation!$D$1:$D$175,"ISCOM_LIL",Allocation!$F$1:$F$175,"MAS_COM",Allocation!$G$1:$G$175,"M1",Allocation!$H$1:$H$175,"ALT")</f>
        <v>31214.7131147541</v>
      </c>
      <c r="H54" s="15">
        <f>_xlfn.SUMIFS(Allocation!$Y$1:$Y$175,Allocation!$C$1:$C$175,"2026",Allocation!$D$1:$D$175,"ISCOM_LIL",Allocation!$F$1:$F$175,"MAS_COM",Allocation!$G$1:$G$175,"M1",Allocation!$H$1:$H$175,"ALT")</f>
        <v>0</v>
      </c>
      <c r="I54" s="15">
        <f>_xlfn.SUMIFS(Allocation!$AC$1:$AC$175,Allocation!$C$1:$C$175,"2026",Allocation!$D$1:$D$175,"ISCOM_LIL",Allocation!$F$1:$F$175,"MAS_COM",Allocation!$G$1:$G$175,"M1",Allocation!$H$1:$H$175,"ALT")</f>
        <v>0</v>
      </c>
      <c r="J54" s="15">
        <f>_xlfn.SUMIFS(Allocation!$Z$1:$Z$175,Allocation!$C$1:$C$175,"2026",Allocation!$D$1:$D$175,"ISCOM_LIL",Allocation!$F$1:$F$175,"MAS_COM",Allocation!$G$1:$G$175,"M1",Allocation!$H$1:$H$175,"ALT")</f>
        <v>0</v>
      </c>
      <c r="K54" s="106">
        <f t="shared" si="0"/>
        <v>92440.0381147541</v>
      </c>
      <c r="L54" s="128">
        <f>_xlfn.SUMIFS(Allocation!$AA$1:$AA$175,Allocation!$C$1:$C$175,"2026",Allocation!$D$1:$D$175,"ISCOM_LIL",Allocation!$F$1:$F$175,"MAS_COM",Allocation!$G$1:$G$175,"M1",Allocation!$H$1:$H$175,"ALT")</f>
        <v>279559.961885246</v>
      </c>
      <c r="M54" s="22">
        <f t="shared" si="1"/>
        <v>0.75150527388507</v>
      </c>
    </row>
    <row r="55" ht="14.25" customHeight="1" hidden="0" collapsed="0" outlineLevel="2">
      <c r="B55" s="127" t="s">
        <v>143</v>
      </c>
      <c r="C55" s="102">
        <f>_xlfn.SUMIFS(Allocation!$I$1:$I$175,Allocation!$C$1:$C$175,"2026",Allocation!$D$1:$D$175,"ISCOM_LIL",Allocation!$F$1:$F$175,"MAS_COM",Allocation!$G$1:$G$175,"M2",Allocation!$H$1:$H$175,"ALT")</f>
        <v>49</v>
      </c>
      <c r="D55" s="15">
        <f>_xlfn.SUMIFS(Allocation!$K$1:$K$175,Allocation!$C$1:$C$175,"2026",Allocation!$D$1:$D$175,"ISCOM_LIL",Allocation!$F$1:$F$175,"MAS_COM",Allocation!$G$1:$G$175,"M2",Allocation!$H$1:$H$175,"ALT")</f>
        <v>360150</v>
      </c>
      <c r="E55" s="15">
        <f>_xlfn.SUMIFS(Allocation!$V$1:$V$175,Allocation!$C$1:$C$175,"2026",Allocation!$D$1:$D$175,"ISCOM_LIL",Allocation!$F$1:$F$175,"MAS_COM",Allocation!$G$1:$G$175,"M2",Allocation!$H$1:$H$175,"ALT")</f>
        <v>21127.575</v>
      </c>
      <c r="F55" s="15">
        <f>_xlfn.SUMIFS(Allocation!$W$1:$W$175,Allocation!$C$1:$C$175,"2026",Allocation!$D$1:$D$175,"ISCOM_LIL",Allocation!$F$1:$F$175,"MAS_COM",Allocation!$G$1:$G$175,"M2",Allocation!$H$1:$H$175,"ALT")</f>
        <v>40097.75</v>
      </c>
      <c r="G55" s="15">
        <f>_xlfn.SUMIFS(Allocation!$X$1:$X$175,Allocation!$C$1:$C$175,"2026",Allocation!$D$1:$D$175,"ISCOM_LIL",Allocation!$F$1:$F$175,"MAS_COM",Allocation!$G$1:$G$175,"M2",Allocation!$H$1:$H$175,"ALT")</f>
        <v>18232.618852459</v>
      </c>
      <c r="H55" s="15">
        <f>_xlfn.SUMIFS(Allocation!$Y$1:$Y$175,Allocation!$C$1:$C$175,"2026",Allocation!$D$1:$D$175,"ISCOM_LIL",Allocation!$F$1:$F$175,"MAS_COM",Allocation!$G$1:$G$175,"M2",Allocation!$H$1:$H$175,"ALT")</f>
        <v>0</v>
      </c>
      <c r="I55" s="15">
        <f>_xlfn.SUMIFS(Allocation!$AC$1:$AC$175,Allocation!$C$1:$C$175,"2026",Allocation!$D$1:$D$175,"ISCOM_LIL",Allocation!$F$1:$F$175,"MAS_COM",Allocation!$G$1:$G$175,"M2",Allocation!$H$1:$H$175,"ALT")</f>
        <v>0</v>
      </c>
      <c r="J55" s="15">
        <f>_xlfn.SUMIFS(Allocation!$Z$1:$Z$175,Allocation!$C$1:$C$175,"2026",Allocation!$D$1:$D$175,"ISCOM_LIL",Allocation!$F$1:$F$175,"MAS_COM",Allocation!$G$1:$G$175,"M2",Allocation!$H$1:$H$175,"ALT")</f>
        <v>0</v>
      </c>
      <c r="K55" s="106">
        <f t="shared" si="0"/>
        <v>79457.943852459</v>
      </c>
      <c r="L55" s="128">
        <f>_xlfn.SUMIFS(Allocation!$AA$1:$AA$175,Allocation!$C$1:$C$175,"2026",Allocation!$D$1:$D$175,"ISCOM_LIL",Allocation!$F$1:$F$175,"MAS_COM",Allocation!$G$1:$G$175,"M2",Allocation!$H$1:$H$175,"ALT")</f>
        <v>280692.056147541</v>
      </c>
      <c r="M55" s="22">
        <f t="shared" si="1"/>
        <v>0.779375416208638</v>
      </c>
    </row>
    <row r="56" ht="14.25" customHeight="1" hidden="0" collapsed="0" outlineLevel="1">
      <c r="B56" s="126" t="s">
        <v>145</v>
      </c>
      <c r="C56" s="105">
        <f>_xlfn.SUMIFS(Allocation!$I$1:$I$175,Allocation!$C$1:$C$175,"2026",Allocation!$D$1:$D$175,"ISCOM_TLS")</f>
        <v>231</v>
      </c>
      <c r="D56" s="106">
        <f>_xlfn.SUMIFS(Allocation!$K$1:$K$175,Allocation!$C$1:$C$175,"2026",Allocation!$D$1:$D$175,"ISCOM_TLS")</f>
        <v>1627980</v>
      </c>
      <c r="E56" s="106">
        <f>_xlfn.SUMIFS(Allocation!$V$1:$V$175,Allocation!$C$1:$C$175,"2026",Allocation!$D$1:$D$175,"ISCOM_TLS")</f>
        <v>120729</v>
      </c>
      <c r="F56" s="106">
        <f>_xlfn.SUMIFS(Allocation!$W$1:$W$175,Allocation!$C$1:$C$175,"2026",Allocation!$D$1:$D$175,"ISCOM_TLS")</f>
        <v>224149</v>
      </c>
      <c r="G56" s="106">
        <f>_xlfn.SUMIFS(Allocation!$X$1:$X$175,Allocation!$C$1:$C$175,"2026",Allocation!$D$1:$D$175,"ISCOM_TLS")</f>
        <v>108037</v>
      </c>
      <c r="H56" s="106">
        <f>_xlfn.SUMIFS(Allocation!$Y$1:$Y$175,Allocation!$C$1:$C$175,"2026",Allocation!$D$1:$D$175,"ISCOM_TLS")</f>
        <v>0</v>
      </c>
      <c r="I56" s="106">
        <f>_xlfn.SUMIFS(Allocation!$AC$1:$AC$175,Allocation!$C$1:$C$175,"2026",Allocation!$D$1:$D$175,"ISCOM_TLS")</f>
        <v>0</v>
      </c>
      <c r="J56" s="106">
        <f>_xlfn.SUMIFS(Allocation!$Z$1:$Z$175,Allocation!$C$1:$C$175,"2026",Allocation!$D$1:$D$175,"ISCOM_TLS")</f>
        <v>0</v>
      </c>
      <c r="K56" s="106">
        <f t="shared" si="0"/>
        <v>452915</v>
      </c>
      <c r="L56" s="125">
        <f>_xlfn.SUMIFS(Allocation!$AA$1:$AA$175,Allocation!$C$1:$C$175,"2026",Allocation!$D$1:$D$175,"ISCOM_TLS")</f>
        <v>1175065</v>
      </c>
      <c r="M56" s="107">
        <f t="shared" si="1"/>
        <v>0.721793265273529</v>
      </c>
    </row>
    <row r="57" ht="14.25" customHeight="1" hidden="0" collapsed="0" outlineLevel="2">
      <c r="B57" s="127" t="s">
        <v>139</v>
      </c>
      <c r="C57" s="102">
        <f>_xlfn.SUMIFS(Allocation!$I$1:$I$175,Allocation!$C$1:$C$175,"2026",Allocation!$D$1:$D$175,"ISCOM_TLS",Allocation!$F$1:$F$175,"BAC_COM",Allocation!$G$1:$G$175,"B1",Allocation!$H$1:$H$175,"INIT")</f>
        <v>47</v>
      </c>
      <c r="D57" s="15">
        <f>_xlfn.SUMIFS(Allocation!$K$1:$K$175,Allocation!$C$1:$C$175,"2026",Allocation!$D$1:$D$175,"ISCOM_TLS",Allocation!$F$1:$F$175,"BAC_COM",Allocation!$G$1:$G$175,"B1",Allocation!$H$1:$H$175,"INIT")</f>
        <v>342630</v>
      </c>
      <c r="E57" s="15">
        <f>_xlfn.SUMIFS(Allocation!$V$1:$V$175,Allocation!$C$1:$C$175,"2026",Allocation!$D$1:$D$175,"ISCOM_TLS",Allocation!$F$1:$F$175,"BAC_COM",Allocation!$G$1:$G$175,"B1",Allocation!$H$1:$H$175,"INIT")</f>
        <v>30182.25</v>
      </c>
      <c r="F57" s="15">
        <f>_xlfn.SUMIFS(Allocation!$W$1:$W$175,Allocation!$C$1:$C$175,"2026",Allocation!$D$1:$D$175,"ISCOM_TLS",Allocation!$F$1:$F$175,"BAC_COM",Allocation!$G$1:$G$175,"B1",Allocation!$H$1:$H$175,"INIT")</f>
        <v>56037.25</v>
      </c>
      <c r="G57" s="15">
        <f>_xlfn.SUMIFS(Allocation!$X$1:$X$175,Allocation!$C$1:$C$175,"2026",Allocation!$D$1:$D$175,"ISCOM_TLS",Allocation!$F$1:$F$175,"BAC_COM",Allocation!$G$1:$G$175,"B1",Allocation!$H$1:$H$175,"INIT")</f>
        <v>28529.9761904762</v>
      </c>
      <c r="H57" s="15">
        <f>_xlfn.SUMIFS(Allocation!$Y$1:$Y$175,Allocation!$C$1:$C$175,"2026",Allocation!$D$1:$D$175,"ISCOM_TLS",Allocation!$F$1:$F$175,"BAC_COM",Allocation!$G$1:$G$175,"B1",Allocation!$H$1:$H$175,"INIT")</f>
        <v>0</v>
      </c>
      <c r="I57" s="15">
        <f>_xlfn.SUMIFS(Allocation!$AC$1:$AC$175,Allocation!$C$1:$C$175,"2026",Allocation!$D$1:$D$175,"ISCOM_TLS",Allocation!$F$1:$F$175,"BAC_COM",Allocation!$G$1:$G$175,"B1",Allocation!$H$1:$H$175,"INIT")</f>
        <v>0</v>
      </c>
      <c r="J57" s="15">
        <f>_xlfn.SUMIFS(Allocation!$Z$1:$Z$175,Allocation!$C$1:$C$175,"2026",Allocation!$D$1:$D$175,"ISCOM_TLS",Allocation!$F$1:$F$175,"BAC_COM",Allocation!$G$1:$G$175,"B1",Allocation!$H$1:$H$175,"INIT")</f>
        <v>0</v>
      </c>
      <c r="K57" s="106">
        <f t="shared" si="0"/>
        <v>114749.476190476</v>
      </c>
      <c r="L57" s="128">
        <f>_xlfn.SUMIFS(Allocation!$AA$1:$AA$175,Allocation!$C$1:$C$175,"2026",Allocation!$D$1:$D$175,"ISCOM_TLS",Allocation!$F$1:$F$175,"BAC_COM",Allocation!$G$1:$G$175,"B1",Allocation!$H$1:$H$175,"INIT")</f>
        <v>227880.523809524</v>
      </c>
      <c r="M57" s="22">
        <f t="shared" si="1"/>
        <v>0.665092151328033</v>
      </c>
    </row>
    <row r="58" ht="14.25" customHeight="1" hidden="0" collapsed="0" outlineLevel="2">
      <c r="B58" s="127" t="s">
        <v>140</v>
      </c>
      <c r="C58" s="102">
        <f>_xlfn.SUMIFS(Allocation!$I$1:$I$175,Allocation!$C$1:$C$175,"2026",Allocation!$D$1:$D$175,"ISCOM_TLS",Allocation!$F$1:$F$175,"BAC_COM",Allocation!$G$1:$G$175,"B2",Allocation!$H$1:$H$175,"ALT")</f>
        <v>46</v>
      </c>
      <c r="D58" s="15">
        <f>_xlfn.SUMIFS(Allocation!$K$1:$K$175,Allocation!$C$1:$C$175,"2026",Allocation!$D$1:$D$175,"ISCOM_TLS",Allocation!$F$1:$F$175,"BAC_COM",Allocation!$G$1:$G$175,"B2",Allocation!$H$1:$H$175,"ALT")</f>
        <v>309120</v>
      </c>
      <c r="E58" s="15">
        <f>_xlfn.SUMIFS(Allocation!$V$1:$V$175,Allocation!$C$1:$C$175,"2026",Allocation!$D$1:$D$175,"ISCOM_TLS",Allocation!$F$1:$F$175,"BAC_COM",Allocation!$G$1:$G$175,"B2",Allocation!$H$1:$H$175,"ALT")</f>
        <v>24145.8</v>
      </c>
      <c r="F58" s="15">
        <f>_xlfn.SUMIFS(Allocation!$W$1:$W$175,Allocation!$C$1:$C$175,"2026",Allocation!$D$1:$D$175,"ISCOM_TLS",Allocation!$F$1:$F$175,"BAC_COM",Allocation!$G$1:$G$175,"B2",Allocation!$H$1:$H$175,"ALT")</f>
        <v>44829.8</v>
      </c>
      <c r="G58" s="15">
        <f>_xlfn.SUMIFS(Allocation!$X$1:$X$175,Allocation!$C$1:$C$175,"2026",Allocation!$D$1:$D$175,"ISCOM_TLS",Allocation!$F$1:$F$175,"BAC_COM",Allocation!$G$1:$G$175,"B2",Allocation!$H$1:$H$175,"ALT")</f>
        <v>17116.380952381</v>
      </c>
      <c r="H58" s="15">
        <f>_xlfn.SUMIFS(Allocation!$Y$1:$Y$175,Allocation!$C$1:$C$175,"2026",Allocation!$D$1:$D$175,"ISCOM_TLS",Allocation!$F$1:$F$175,"BAC_COM",Allocation!$G$1:$G$175,"B2",Allocation!$H$1:$H$175,"ALT")</f>
        <v>0</v>
      </c>
      <c r="I58" s="15">
        <f>_xlfn.SUMIFS(Allocation!$AC$1:$AC$175,Allocation!$C$1:$C$175,"2026",Allocation!$D$1:$D$175,"ISCOM_TLS",Allocation!$F$1:$F$175,"BAC_COM",Allocation!$G$1:$G$175,"B2",Allocation!$H$1:$H$175,"ALT")</f>
        <v>0</v>
      </c>
      <c r="J58" s="15">
        <f>_xlfn.SUMIFS(Allocation!$Z$1:$Z$175,Allocation!$C$1:$C$175,"2026",Allocation!$D$1:$D$175,"ISCOM_TLS",Allocation!$F$1:$F$175,"BAC_COM",Allocation!$G$1:$G$175,"B2",Allocation!$H$1:$H$175,"ALT")</f>
        <v>0</v>
      </c>
      <c r="K58" s="106">
        <f t="shared" si="0"/>
        <v>86091.980952381</v>
      </c>
      <c r="L58" s="128">
        <f>_xlfn.SUMIFS(Allocation!$AA$1:$AA$175,Allocation!$C$1:$C$175,"2026",Allocation!$D$1:$D$175,"ISCOM_TLS",Allocation!$F$1:$F$175,"BAC_COM",Allocation!$G$1:$G$175,"B2",Allocation!$H$1:$H$175,"ALT")</f>
        <v>223028.019047619</v>
      </c>
      <c r="M58" s="22">
        <f t="shared" si="1"/>
        <v>0.721493332840382</v>
      </c>
    </row>
    <row r="59" ht="14.25" customHeight="1" hidden="0" collapsed="0" outlineLevel="2">
      <c r="B59" s="127" t="s">
        <v>141</v>
      </c>
      <c r="C59" s="102">
        <f>_xlfn.SUMIFS(Allocation!$I$1:$I$175,Allocation!$C$1:$C$175,"2026",Allocation!$D$1:$D$175,"ISCOM_TLS",Allocation!$F$1:$F$175,"BAC_COM",Allocation!$G$1:$G$175,"B3",Allocation!$H$1:$H$175,"ALT")</f>
        <v>45</v>
      </c>
      <c r="D59" s="15">
        <f>_xlfn.SUMIFS(Allocation!$K$1:$K$175,Allocation!$C$1:$C$175,"2026",Allocation!$D$1:$D$175,"ISCOM_TLS",Allocation!$F$1:$F$175,"BAC_COM",Allocation!$G$1:$G$175,"B3",Allocation!$H$1:$H$175,"ALT")</f>
        <v>302400</v>
      </c>
      <c r="E59" s="15">
        <f>_xlfn.SUMIFS(Allocation!$V$1:$V$175,Allocation!$C$1:$C$175,"2026",Allocation!$D$1:$D$175,"ISCOM_TLS",Allocation!$F$1:$F$175,"BAC_COM",Allocation!$G$1:$G$175,"B3",Allocation!$H$1:$H$175,"ALT")</f>
        <v>24145.8</v>
      </c>
      <c r="F59" s="15">
        <f>_xlfn.SUMIFS(Allocation!$W$1:$W$175,Allocation!$C$1:$C$175,"2026",Allocation!$D$1:$D$175,"ISCOM_TLS",Allocation!$F$1:$F$175,"BAC_COM",Allocation!$G$1:$G$175,"B3",Allocation!$H$1:$H$175,"ALT")</f>
        <v>44829.8</v>
      </c>
      <c r="G59" s="15">
        <f>_xlfn.SUMIFS(Allocation!$X$1:$X$175,Allocation!$C$1:$C$175,"2026",Allocation!$D$1:$D$175,"ISCOM_TLS",Allocation!$F$1:$F$175,"BAC_COM",Allocation!$G$1:$G$175,"B3",Allocation!$H$1:$H$175,"ALT")</f>
        <v>16744.2857142857</v>
      </c>
      <c r="H59" s="15">
        <f>_xlfn.SUMIFS(Allocation!$Y$1:$Y$175,Allocation!$C$1:$C$175,"2026",Allocation!$D$1:$D$175,"ISCOM_TLS",Allocation!$F$1:$F$175,"BAC_COM",Allocation!$G$1:$G$175,"B3",Allocation!$H$1:$H$175,"ALT")</f>
        <v>0</v>
      </c>
      <c r="I59" s="15">
        <f>_xlfn.SUMIFS(Allocation!$AC$1:$AC$175,Allocation!$C$1:$C$175,"2026",Allocation!$D$1:$D$175,"ISCOM_TLS",Allocation!$F$1:$F$175,"BAC_COM",Allocation!$G$1:$G$175,"B3",Allocation!$H$1:$H$175,"ALT")</f>
        <v>0</v>
      </c>
      <c r="J59" s="15">
        <f>_xlfn.SUMIFS(Allocation!$Z$1:$Z$175,Allocation!$C$1:$C$175,"2026",Allocation!$D$1:$D$175,"ISCOM_TLS",Allocation!$F$1:$F$175,"BAC_COM",Allocation!$G$1:$G$175,"B3",Allocation!$H$1:$H$175,"ALT")</f>
        <v>0</v>
      </c>
      <c r="K59" s="106">
        <f t="shared" si="0"/>
        <v>85719.8857142857</v>
      </c>
      <c r="L59" s="128">
        <f>_xlfn.SUMIFS(Allocation!$AA$1:$AA$175,Allocation!$C$1:$C$175,"2026",Allocation!$D$1:$D$175,"ISCOM_TLS",Allocation!$F$1:$F$175,"BAC_COM",Allocation!$G$1:$G$175,"B3",Allocation!$H$1:$H$175,"ALT")</f>
        <v>216680.114285714</v>
      </c>
      <c r="M59" s="22">
        <f t="shared" si="1"/>
        <v>0.71653476946334</v>
      </c>
    </row>
    <row r="60" ht="14.25" customHeight="1" hidden="0" collapsed="0" outlineLevel="2">
      <c r="B60" s="127" t="s">
        <v>142</v>
      </c>
      <c r="C60" s="102">
        <f>_xlfn.SUMIFS(Allocation!$I$1:$I$175,Allocation!$C$1:$C$175,"2026",Allocation!$D$1:$D$175,"ISCOM_TLS",Allocation!$F$1:$F$175,"MAS_COM",Allocation!$G$1:$G$175,"M1",Allocation!$H$1:$H$175,"ALT")</f>
        <v>47</v>
      </c>
      <c r="D60" s="15">
        <f>_xlfn.SUMIFS(Allocation!$K$1:$K$175,Allocation!$C$1:$C$175,"2026",Allocation!$D$1:$D$175,"ISCOM_TLS",Allocation!$F$1:$F$175,"MAS_COM",Allocation!$G$1:$G$175,"M1",Allocation!$H$1:$H$175,"ALT")</f>
        <v>342630</v>
      </c>
      <c r="E60" s="15">
        <f>_xlfn.SUMIFS(Allocation!$V$1:$V$175,Allocation!$C$1:$C$175,"2026",Allocation!$D$1:$D$175,"ISCOM_TLS",Allocation!$F$1:$F$175,"MAS_COM",Allocation!$G$1:$G$175,"M1",Allocation!$H$1:$H$175,"ALT")</f>
        <v>21127.575</v>
      </c>
      <c r="F60" s="15">
        <f>_xlfn.SUMIFS(Allocation!$W$1:$W$175,Allocation!$C$1:$C$175,"2026",Allocation!$D$1:$D$175,"ISCOM_TLS",Allocation!$F$1:$F$175,"MAS_COM",Allocation!$G$1:$G$175,"M1",Allocation!$H$1:$H$175,"ALT")</f>
        <v>39226.075</v>
      </c>
      <c r="G60" s="15">
        <f>_xlfn.SUMIFS(Allocation!$X$1:$X$175,Allocation!$C$1:$C$175,"2026",Allocation!$D$1:$D$175,"ISCOM_TLS",Allocation!$F$1:$F$175,"MAS_COM",Allocation!$G$1:$G$175,"M1",Allocation!$H$1:$H$175,"ALT")</f>
        <v>28529.9761904762</v>
      </c>
      <c r="H60" s="15">
        <f>_xlfn.SUMIFS(Allocation!$Y$1:$Y$175,Allocation!$C$1:$C$175,"2026",Allocation!$D$1:$D$175,"ISCOM_TLS",Allocation!$F$1:$F$175,"MAS_COM",Allocation!$G$1:$G$175,"M1",Allocation!$H$1:$H$175,"ALT")</f>
        <v>0</v>
      </c>
      <c r="I60" s="15">
        <f>_xlfn.SUMIFS(Allocation!$AC$1:$AC$175,Allocation!$C$1:$C$175,"2026",Allocation!$D$1:$D$175,"ISCOM_TLS",Allocation!$F$1:$F$175,"MAS_COM",Allocation!$G$1:$G$175,"M1",Allocation!$H$1:$H$175,"ALT")</f>
        <v>0</v>
      </c>
      <c r="J60" s="15">
        <f>_xlfn.SUMIFS(Allocation!$Z$1:$Z$175,Allocation!$C$1:$C$175,"2026",Allocation!$D$1:$D$175,"ISCOM_TLS",Allocation!$F$1:$F$175,"MAS_COM",Allocation!$G$1:$G$175,"M1",Allocation!$H$1:$H$175,"ALT")</f>
        <v>0</v>
      </c>
      <c r="K60" s="106">
        <f t="shared" si="0"/>
        <v>88883.6261904762</v>
      </c>
      <c r="L60" s="128">
        <f>_xlfn.SUMIFS(Allocation!$AA$1:$AA$175,Allocation!$C$1:$C$175,"2026",Allocation!$D$1:$D$175,"ISCOM_TLS",Allocation!$F$1:$F$175,"MAS_COM",Allocation!$G$1:$G$175,"M1",Allocation!$H$1:$H$175,"ALT")</f>
        <v>253746.373809524</v>
      </c>
      <c r="M60" s="22">
        <f t="shared" si="1"/>
        <v>0.740584227328383</v>
      </c>
    </row>
    <row r="61" ht="14.25" customHeight="1" hidden="0" collapsed="0" outlineLevel="2">
      <c r="B61" s="127" t="s">
        <v>143</v>
      </c>
      <c r="C61" s="102">
        <f>_xlfn.SUMIFS(Allocation!$I$1:$I$175,Allocation!$C$1:$C$175,"2026",Allocation!$D$1:$D$175,"ISCOM_TLS",Allocation!$F$1:$F$175,"MAS_COM",Allocation!$G$1:$G$175,"M2",Allocation!$H$1:$H$175,"ALT")</f>
        <v>46</v>
      </c>
      <c r="D61" s="15">
        <f>_xlfn.SUMIFS(Allocation!$K$1:$K$175,Allocation!$C$1:$C$175,"2026",Allocation!$D$1:$D$175,"ISCOM_TLS",Allocation!$F$1:$F$175,"MAS_COM",Allocation!$G$1:$G$175,"M2",Allocation!$H$1:$H$175,"ALT")</f>
        <v>331200</v>
      </c>
      <c r="E61" s="15">
        <f>_xlfn.SUMIFS(Allocation!$V$1:$V$175,Allocation!$C$1:$C$175,"2026",Allocation!$D$1:$D$175,"ISCOM_TLS",Allocation!$F$1:$F$175,"MAS_COM",Allocation!$G$1:$G$175,"M2",Allocation!$H$1:$H$175,"ALT")</f>
        <v>21127.575</v>
      </c>
      <c r="F61" s="15">
        <f>_xlfn.SUMIFS(Allocation!$W$1:$W$175,Allocation!$C$1:$C$175,"2026",Allocation!$D$1:$D$175,"ISCOM_TLS",Allocation!$F$1:$F$175,"MAS_COM",Allocation!$G$1:$G$175,"M2",Allocation!$H$1:$H$175,"ALT")</f>
        <v>39226.075</v>
      </c>
      <c r="G61" s="15">
        <f>_xlfn.SUMIFS(Allocation!$X$1:$X$175,Allocation!$C$1:$C$175,"2026",Allocation!$D$1:$D$175,"ISCOM_TLS",Allocation!$F$1:$F$175,"MAS_COM",Allocation!$G$1:$G$175,"M2",Allocation!$H$1:$H$175,"ALT")</f>
        <v>17116.380952381</v>
      </c>
      <c r="H61" s="15">
        <f>_xlfn.SUMIFS(Allocation!$Y$1:$Y$175,Allocation!$C$1:$C$175,"2026",Allocation!$D$1:$D$175,"ISCOM_TLS",Allocation!$F$1:$F$175,"MAS_COM",Allocation!$G$1:$G$175,"M2",Allocation!$H$1:$H$175,"ALT")</f>
        <v>0</v>
      </c>
      <c r="I61" s="15">
        <f>_xlfn.SUMIFS(Allocation!$AC$1:$AC$175,Allocation!$C$1:$C$175,"2026",Allocation!$D$1:$D$175,"ISCOM_TLS",Allocation!$F$1:$F$175,"MAS_COM",Allocation!$G$1:$G$175,"M2",Allocation!$H$1:$H$175,"ALT")</f>
        <v>0</v>
      </c>
      <c r="J61" s="15">
        <f>_xlfn.SUMIFS(Allocation!$Z$1:$Z$175,Allocation!$C$1:$C$175,"2026",Allocation!$D$1:$D$175,"ISCOM_TLS",Allocation!$F$1:$F$175,"MAS_COM",Allocation!$G$1:$G$175,"M2",Allocation!$H$1:$H$175,"ALT")</f>
        <v>0</v>
      </c>
      <c r="K61" s="106">
        <f t="shared" si="0"/>
        <v>77470.030952381</v>
      </c>
      <c r="L61" s="128">
        <f>_xlfn.SUMIFS(Allocation!$AA$1:$AA$175,Allocation!$C$1:$C$175,"2026",Allocation!$D$1:$D$175,"ISCOM_TLS",Allocation!$F$1:$F$175,"MAS_COM",Allocation!$G$1:$G$175,"M2",Allocation!$H$1:$H$175,"ALT")</f>
        <v>253729.969047619</v>
      </c>
      <c r="M61" s="22">
        <f t="shared" si="1"/>
        <v>0.766092901713825</v>
      </c>
    </row>
    <row r="62" ht="14.25" customHeight="1">
      <c r="B62" s="130" t="s">
        <v>89</v>
      </c>
      <c r="C62" s="105">
        <f>_xlfn.SUMIFS(Allocation!$I$1:$I$175,Allocation!$C$1:$C$175,"2026",Allocation!$E$1:$E$175,"IPAC")</f>
        <v>379</v>
      </c>
      <c r="D62" s="106">
        <f>_xlfn.SUMIFS(Allocation!$K$1:$K$175,Allocation!$C$1:$C$175,"2026",Allocation!$E$1:$E$175,"IPAC")</f>
        <v>2582800</v>
      </c>
      <c r="E62" s="106">
        <f>_xlfn.SUMIFS(Allocation!$V$1:$V$175,Allocation!$C$1:$C$175,"2026",Allocation!$E$1:$E$175,"IPAC")</f>
        <v>217314</v>
      </c>
      <c r="F62" s="106">
        <f>_xlfn.SUMIFS(Allocation!$W$1:$W$175,Allocation!$C$1:$C$175,"2026",Allocation!$E$1:$E$175,"IPAC")</f>
        <v>412435</v>
      </c>
      <c r="G62" s="106">
        <f>_xlfn.SUMIFS(Allocation!$X$1:$X$175,Allocation!$C$1:$C$175,"2026",Allocation!$E$1:$E$175,"IPAC")</f>
        <v>192895</v>
      </c>
      <c r="H62" s="106">
        <f>_xlfn.SUMIFS(Allocation!$Y$1:$Y$175,Allocation!$C$1:$C$175,"2026",Allocation!$E$1:$E$175,"IPAC")</f>
        <v>0</v>
      </c>
      <c r="I62" s="106">
        <f>_xlfn.SUMIFS(Allocation!$AC$1:$AC$175,Allocation!$C$1:$C$175,"2026",Allocation!$E$1:$E$175,"IPAC")</f>
        <v>0</v>
      </c>
      <c r="J62" s="106">
        <f>_xlfn.SUMIFS(Allocation!$Z$1:$Z$175,Allocation!$C$1:$C$175,"2026",Allocation!$E$1:$E$175,"IPAC")</f>
        <v>0</v>
      </c>
      <c r="K62" s="106">
        <f t="shared" si="0"/>
        <v>822644</v>
      </c>
      <c r="L62" s="125">
        <f>_xlfn.SUMIFS(Allocation!$AA$1:$AA$175,Allocation!$C$1:$C$175,"2026",Allocation!$E$1:$E$175,"IPAC")</f>
        <v>1760156</v>
      </c>
      <c r="M62" s="107">
        <f t="shared" si="1"/>
        <v>0.681491404677095</v>
      </c>
    </row>
    <row r="63" ht="14.25" customHeight="1" hidden="0" collapsed="1" outlineLevel="1">
      <c r="B63" s="126" t="s">
        <v>146</v>
      </c>
      <c r="C63" s="105">
        <f>_xlfn.SUMIFS(Allocation!$I$1:$I$175,Allocation!$C$1:$C$175,"2026",Allocation!$D$1:$D$175,"IPAC_NAN")</f>
        <v>145</v>
      </c>
      <c r="D63" s="106">
        <f>_xlfn.SUMIFS(Allocation!$K$1:$K$175,Allocation!$C$1:$C$175,"2026",Allocation!$D$1:$D$175,"IPAC_NAN")</f>
        <v>1019500</v>
      </c>
      <c r="E63" s="106">
        <f>_xlfn.SUMIFS(Allocation!$V$1:$V$175,Allocation!$C$1:$C$175,"2026",Allocation!$D$1:$D$175,"IPAC_NAN")</f>
        <v>72438</v>
      </c>
      <c r="F63" s="106">
        <f>_xlfn.SUMIFS(Allocation!$W$1:$W$175,Allocation!$C$1:$C$175,"2026",Allocation!$D$1:$D$175,"IPAC_NAN")</f>
        <v>149433</v>
      </c>
      <c r="G63" s="106">
        <f>_xlfn.SUMIFS(Allocation!$X$1:$X$175,Allocation!$C$1:$C$175,"2026",Allocation!$D$1:$D$175,"IPAC_NAN")</f>
        <v>75714</v>
      </c>
      <c r="H63" s="106">
        <f>_xlfn.SUMIFS(Allocation!$Y$1:$Y$175,Allocation!$C$1:$C$175,"2026",Allocation!$D$1:$D$175,"IPAC_NAN")</f>
        <v>0</v>
      </c>
      <c r="I63" s="106">
        <f>_xlfn.SUMIFS(Allocation!$AC$1:$AC$175,Allocation!$C$1:$C$175,"2026",Allocation!$D$1:$D$175,"IPAC_NAN")</f>
        <v>0</v>
      </c>
      <c r="J63" s="106">
        <f>_xlfn.SUMIFS(Allocation!$Z$1:$Z$175,Allocation!$C$1:$C$175,"2026",Allocation!$D$1:$D$175,"IPAC_NAN")</f>
        <v>0</v>
      </c>
      <c r="K63" s="106">
        <f t="shared" si="0"/>
        <v>297585</v>
      </c>
      <c r="L63" s="125">
        <f>_xlfn.SUMIFS(Allocation!$AA$1:$AA$175,Allocation!$C$1:$C$175,"2026",Allocation!$D$1:$D$175,"IPAC_NAN")</f>
        <v>721914.999999999</v>
      </c>
      <c r="M63" s="107">
        <f t="shared" si="1"/>
        <v>0.708106915154486</v>
      </c>
    </row>
    <row r="64" ht="14.25" customHeight="1" hidden="1" collapsed="0" outlineLevel="2">
      <c r="B64" s="127" t="s">
        <v>147</v>
      </c>
      <c r="C64" s="102">
        <f>_xlfn.SUMIFS(Allocation!$I$1:$I$175,Allocation!$C$1:$C$175,"2026",Allocation!$D$1:$D$175,"IPAC_NAN",Allocation!$F$1:$F$175,"BAC_CCE",Allocation!$G$1:$G$175,"B1",Allocation!$H$1:$H$175,"ALT")</f>
        <v>50</v>
      </c>
      <c r="D64" s="15">
        <f>_xlfn.SUMIFS(Allocation!$K$1:$K$175,Allocation!$C$1:$C$175,"2026",Allocation!$D$1:$D$175,"IPAC_NAN",Allocation!$F$1:$F$175,"BAC_CCE",Allocation!$G$1:$G$175,"B1",Allocation!$H$1:$H$175,"ALT")</f>
        <v>354500</v>
      </c>
      <c r="E64" s="15">
        <f>_xlfn.SUMIFS(Allocation!$V$1:$V$175,Allocation!$C$1:$C$175,"2026",Allocation!$D$1:$D$175,"IPAC_NAN",Allocation!$F$1:$F$175,"BAC_CCE",Allocation!$G$1:$G$175,"B1",Allocation!$H$1:$H$175,"ALT")</f>
        <v>24146</v>
      </c>
      <c r="F64" s="15">
        <f>_xlfn.SUMIFS(Allocation!$W$1:$W$175,Allocation!$C$1:$C$175,"2026",Allocation!$D$1:$D$175,"IPAC_NAN",Allocation!$F$1:$F$175,"BAC_CCE",Allocation!$G$1:$G$175,"B1",Allocation!$H$1:$H$175,"ALT")</f>
        <v>49811</v>
      </c>
      <c r="G64" s="15">
        <f>_xlfn.SUMIFS(Allocation!$X$1:$X$175,Allocation!$C$1:$C$175,"2026",Allocation!$D$1:$D$175,"IPAC_NAN",Allocation!$F$1:$F$175,"BAC_CCE",Allocation!$G$1:$G$175,"B1",Allocation!$H$1:$H$175,"ALT")</f>
        <v>40364.8275862069</v>
      </c>
      <c r="H64" s="15">
        <f>_xlfn.SUMIFS(Allocation!$Y$1:$Y$175,Allocation!$C$1:$C$175,"2026",Allocation!$D$1:$D$175,"IPAC_NAN",Allocation!$F$1:$F$175,"BAC_CCE",Allocation!$G$1:$G$175,"B1",Allocation!$H$1:$H$175,"ALT")</f>
        <v>0</v>
      </c>
      <c r="I64" s="15">
        <f>_xlfn.SUMIFS(Allocation!$AC$1:$AC$175,Allocation!$C$1:$C$175,"2026",Allocation!$D$1:$D$175,"IPAC_NAN",Allocation!$F$1:$F$175,"BAC_CCE",Allocation!$G$1:$G$175,"B1",Allocation!$H$1:$H$175,"ALT")</f>
        <v>0</v>
      </c>
      <c r="J64" s="15">
        <f>_xlfn.SUMIFS(Allocation!$Z$1:$Z$175,Allocation!$C$1:$C$175,"2026",Allocation!$D$1:$D$175,"IPAC_NAN",Allocation!$F$1:$F$175,"BAC_CCE",Allocation!$G$1:$G$175,"B1",Allocation!$H$1:$H$175,"ALT")</f>
        <v>0</v>
      </c>
      <c r="K64" s="106">
        <f t="shared" si="0"/>
        <v>114321.827586207</v>
      </c>
      <c r="L64" s="128">
        <f>_xlfn.SUMIFS(Allocation!$AA$1:$AA$175,Allocation!$C$1:$C$175,"2026",Allocation!$D$1:$D$175,"IPAC_NAN",Allocation!$F$1:$F$175,"BAC_CCE",Allocation!$G$1:$G$175,"B1",Allocation!$H$1:$H$175,"ALT")</f>
        <v>240178.172413793</v>
      </c>
      <c r="M64" s="22">
        <f t="shared" si="1"/>
        <v>0.677512475074169</v>
      </c>
    </row>
    <row r="65" ht="14.25" customHeight="1" hidden="1" collapsed="0" outlineLevel="2">
      <c r="B65" s="127" t="s">
        <v>148</v>
      </c>
      <c r="C65" s="102">
        <f>_xlfn.SUMIFS(Allocation!$I$1:$I$175,Allocation!$C$1:$C$175,"2026",Allocation!$D$1:$D$175,"IPAC_NAN",Allocation!$F$1:$F$175,"BAC_CCE",Allocation!$G$1:$G$175,"B2",Allocation!$H$1:$H$175,"ALT")</f>
        <v>48</v>
      </c>
      <c r="D65" s="15">
        <f>_xlfn.SUMIFS(Allocation!$K$1:$K$175,Allocation!$C$1:$C$175,"2026",Allocation!$D$1:$D$175,"IPAC_NAN",Allocation!$F$1:$F$175,"BAC_CCE",Allocation!$G$1:$G$175,"B2",Allocation!$H$1:$H$175,"ALT")</f>
        <v>336000</v>
      </c>
      <c r="E65" s="15">
        <f>_xlfn.SUMIFS(Allocation!$V$1:$V$175,Allocation!$C$1:$C$175,"2026",Allocation!$D$1:$D$175,"IPAC_NAN",Allocation!$F$1:$F$175,"BAC_CCE",Allocation!$G$1:$G$175,"B2",Allocation!$H$1:$H$175,"ALT")</f>
        <v>24146</v>
      </c>
      <c r="F65" s="15">
        <f>_xlfn.SUMIFS(Allocation!$W$1:$W$175,Allocation!$C$1:$C$175,"2026",Allocation!$D$1:$D$175,"IPAC_NAN",Allocation!$F$1:$F$175,"BAC_CCE",Allocation!$G$1:$G$175,"B2",Allocation!$H$1:$H$175,"ALT")</f>
        <v>49811</v>
      </c>
      <c r="G65" s="15">
        <f>_xlfn.SUMIFS(Allocation!$X$1:$X$175,Allocation!$C$1:$C$175,"2026",Allocation!$D$1:$D$175,"IPAC_NAN",Allocation!$F$1:$F$175,"BAC_CCE",Allocation!$G$1:$G$175,"B2",Allocation!$H$1:$H$175,"ALT")</f>
        <v>17860.6344827586</v>
      </c>
      <c r="H65" s="15">
        <f>_xlfn.SUMIFS(Allocation!$Y$1:$Y$175,Allocation!$C$1:$C$175,"2026",Allocation!$D$1:$D$175,"IPAC_NAN",Allocation!$F$1:$F$175,"BAC_CCE",Allocation!$G$1:$G$175,"B2",Allocation!$H$1:$H$175,"ALT")</f>
        <v>0</v>
      </c>
      <c r="I65" s="15">
        <f>_xlfn.SUMIFS(Allocation!$AC$1:$AC$175,Allocation!$C$1:$C$175,"2026",Allocation!$D$1:$D$175,"IPAC_NAN",Allocation!$F$1:$F$175,"BAC_CCE",Allocation!$G$1:$G$175,"B2",Allocation!$H$1:$H$175,"ALT")</f>
        <v>0</v>
      </c>
      <c r="J65" s="15">
        <f>_xlfn.SUMIFS(Allocation!$Z$1:$Z$175,Allocation!$C$1:$C$175,"2026",Allocation!$D$1:$D$175,"IPAC_NAN",Allocation!$F$1:$F$175,"BAC_CCE",Allocation!$G$1:$G$175,"B2",Allocation!$H$1:$H$175,"ALT")</f>
        <v>0</v>
      </c>
      <c r="K65" s="106">
        <f t="shared" si="0"/>
        <v>91817.6344827586</v>
      </c>
      <c r="L65" s="128">
        <f>_xlfn.SUMIFS(Allocation!$AA$1:$AA$175,Allocation!$C$1:$C$175,"2026",Allocation!$D$1:$D$175,"IPAC_NAN",Allocation!$F$1:$F$175,"BAC_CCE",Allocation!$G$1:$G$175,"B2",Allocation!$H$1:$H$175,"ALT")</f>
        <v>244182.365517241</v>
      </c>
      <c r="M65" s="22">
        <f t="shared" si="1"/>
        <v>0.726733230706074</v>
      </c>
    </row>
    <row r="66" ht="14.25" customHeight="1" hidden="1" collapsed="0" outlineLevel="2">
      <c r="B66" s="127" t="s">
        <v>149</v>
      </c>
      <c r="C66" s="102">
        <f>_xlfn.SUMIFS(Allocation!$I$1:$I$175,Allocation!$C$1:$C$175,"2026",Allocation!$D$1:$D$175,"IPAC_NAN",Allocation!$F$1:$F$175,"BAC_CCE",Allocation!$G$1:$G$175,"B3",Allocation!$H$1:$H$175,"ALT")</f>
        <v>47</v>
      </c>
      <c r="D66" s="15">
        <f>_xlfn.SUMIFS(Allocation!$K$1:$K$175,Allocation!$C$1:$C$175,"2026",Allocation!$D$1:$D$175,"IPAC_NAN",Allocation!$F$1:$F$175,"BAC_CCE",Allocation!$G$1:$G$175,"B3",Allocation!$H$1:$H$175,"ALT")</f>
        <v>329000</v>
      </c>
      <c r="E66" s="15">
        <f>_xlfn.SUMIFS(Allocation!$V$1:$V$175,Allocation!$C$1:$C$175,"2026",Allocation!$D$1:$D$175,"IPAC_NAN",Allocation!$F$1:$F$175,"BAC_CCE",Allocation!$G$1:$G$175,"B3",Allocation!$H$1:$H$175,"ALT")</f>
        <v>24146</v>
      </c>
      <c r="F66" s="15">
        <f>_xlfn.SUMIFS(Allocation!$W$1:$W$175,Allocation!$C$1:$C$175,"2026",Allocation!$D$1:$D$175,"IPAC_NAN",Allocation!$F$1:$F$175,"BAC_CCE",Allocation!$G$1:$G$175,"B3",Allocation!$H$1:$H$175,"ALT")</f>
        <v>49811</v>
      </c>
      <c r="G66" s="15">
        <f>_xlfn.SUMIFS(Allocation!$X$1:$X$175,Allocation!$C$1:$C$175,"2026",Allocation!$D$1:$D$175,"IPAC_NAN",Allocation!$F$1:$F$175,"BAC_CCE",Allocation!$G$1:$G$175,"B3",Allocation!$H$1:$H$175,"ALT")</f>
        <v>17488.5379310345</v>
      </c>
      <c r="H66" s="15">
        <f>_xlfn.SUMIFS(Allocation!$Y$1:$Y$175,Allocation!$C$1:$C$175,"2026",Allocation!$D$1:$D$175,"IPAC_NAN",Allocation!$F$1:$F$175,"BAC_CCE",Allocation!$G$1:$G$175,"B3",Allocation!$H$1:$H$175,"ALT")</f>
        <v>0</v>
      </c>
      <c r="I66" s="15">
        <f>_xlfn.SUMIFS(Allocation!$AC$1:$AC$175,Allocation!$C$1:$C$175,"2026",Allocation!$D$1:$D$175,"IPAC_NAN",Allocation!$F$1:$F$175,"BAC_CCE",Allocation!$G$1:$G$175,"B3",Allocation!$H$1:$H$175,"ALT")</f>
        <v>0</v>
      </c>
      <c r="J66" s="15">
        <f>_xlfn.SUMIFS(Allocation!$Z$1:$Z$175,Allocation!$C$1:$C$175,"2026",Allocation!$D$1:$D$175,"IPAC_NAN",Allocation!$F$1:$F$175,"BAC_CCE",Allocation!$G$1:$G$175,"B3",Allocation!$H$1:$H$175,"ALT")</f>
        <v>0</v>
      </c>
      <c r="K66" s="106">
        <f t="shared" si="0"/>
        <v>91445.5379310345</v>
      </c>
      <c r="L66" s="128">
        <f>_xlfn.SUMIFS(Allocation!$AA$1:$AA$175,Allocation!$C$1:$C$175,"2026",Allocation!$D$1:$D$175,"IPAC_NAN",Allocation!$F$1:$F$175,"BAC_CCE",Allocation!$G$1:$G$175,"B3",Allocation!$H$1:$H$175,"ALT")</f>
        <v>237554.462068965</v>
      </c>
      <c r="M66" s="22">
        <f t="shared" si="1"/>
        <v>0.722050036683784</v>
      </c>
    </row>
    <row r="67" ht="14.25" customHeight="1" hidden="0" collapsed="1" outlineLevel="1">
      <c r="B67" s="126" t="s">
        <v>150</v>
      </c>
      <c r="C67" s="105">
        <f>_xlfn.SUMIFS(Allocation!$I$1:$I$175,Allocation!$C$1:$C$175,"2026",Allocation!$D$1:$D$175,"IPAC_REN")</f>
        <v>117</v>
      </c>
      <c r="D67" s="106">
        <f>_xlfn.SUMIFS(Allocation!$K$1:$K$175,Allocation!$C$1:$C$175,"2026",Allocation!$D$1:$D$175,"IPAC_REN")</f>
        <v>781650</v>
      </c>
      <c r="E67" s="106">
        <f>_xlfn.SUMIFS(Allocation!$V$1:$V$175,Allocation!$C$1:$C$175,"2026",Allocation!$D$1:$D$175,"IPAC_REN")</f>
        <v>72438</v>
      </c>
      <c r="F67" s="106">
        <f>_xlfn.SUMIFS(Allocation!$W$1:$W$175,Allocation!$C$1:$C$175,"2026",Allocation!$D$1:$D$175,"IPAC_REN")</f>
        <v>131501</v>
      </c>
      <c r="G67" s="106">
        <f>_xlfn.SUMIFS(Allocation!$X$1:$X$175,Allocation!$C$1:$C$175,"2026",Allocation!$D$1:$D$175,"IPAC_REN")</f>
        <v>58468.0000000001</v>
      </c>
      <c r="H67" s="106">
        <f>_xlfn.SUMIFS(Allocation!$Y$1:$Y$175,Allocation!$C$1:$C$175,"2026",Allocation!$D$1:$D$175,"IPAC_REN")</f>
        <v>0</v>
      </c>
      <c r="I67" s="106">
        <f>_xlfn.SUMIFS(Allocation!$AC$1:$AC$175,Allocation!$C$1:$C$175,"2026",Allocation!$D$1:$D$175,"IPAC_REN")</f>
        <v>0</v>
      </c>
      <c r="J67" s="106">
        <f>_xlfn.SUMIFS(Allocation!$Z$1:$Z$175,Allocation!$C$1:$C$175,"2026",Allocation!$D$1:$D$175,"IPAC_REN")</f>
        <v>0</v>
      </c>
      <c r="K67" s="106">
        <f t="shared" si="0"/>
        <v>262407</v>
      </c>
      <c r="L67" s="125">
        <f>_xlfn.SUMIFS(Allocation!$AA$1:$AA$175,Allocation!$C$1:$C$175,"2026",Allocation!$D$1:$D$175,"IPAC_REN")</f>
        <v>519243.000000001</v>
      </c>
      <c r="M67" s="107">
        <f t="shared" si="1"/>
        <v>0.664290923047401</v>
      </c>
    </row>
    <row r="68" ht="14.25" customHeight="1" hidden="1" collapsed="0" outlineLevel="2">
      <c r="B68" s="127" t="s">
        <v>147</v>
      </c>
      <c r="C68" s="102">
        <f>_xlfn.SUMIFS(Allocation!$I$1:$I$175,Allocation!$C$1:$C$175,"2026",Allocation!$D$1:$D$175,"IPAC_REN",Allocation!$F$1:$F$175,"BAC_CCE",Allocation!$G$1:$G$175,"B1",Allocation!$H$1:$H$175,"ALT")</f>
        <v>40</v>
      </c>
      <c r="D68" s="15">
        <f>_xlfn.SUMIFS(Allocation!$K$1:$K$175,Allocation!$C$1:$C$175,"2026",Allocation!$D$1:$D$175,"IPAC_REN",Allocation!$F$1:$F$175,"BAC_CCE",Allocation!$G$1:$G$175,"B1",Allocation!$H$1:$H$175,"ALT")</f>
        <v>269600</v>
      </c>
      <c r="E68" s="15">
        <f>_xlfn.SUMIFS(Allocation!$V$1:$V$175,Allocation!$C$1:$C$175,"2026",Allocation!$D$1:$D$175,"IPAC_REN",Allocation!$F$1:$F$175,"BAC_CCE",Allocation!$G$1:$G$175,"B1",Allocation!$H$1:$H$175,"ALT")</f>
        <v>24146</v>
      </c>
      <c r="F68" s="15">
        <f>_xlfn.SUMIFS(Allocation!$W$1:$W$175,Allocation!$C$1:$C$175,"2026",Allocation!$D$1:$D$175,"IPAC_REN",Allocation!$F$1:$F$175,"BAC_CCE",Allocation!$G$1:$G$175,"B1",Allocation!$H$1:$H$175,"ALT")</f>
        <v>43833.6666666667</v>
      </c>
      <c r="G68" s="15">
        <f>_xlfn.SUMIFS(Allocation!$X$1:$X$175,Allocation!$C$1:$C$175,"2026",Allocation!$D$1:$D$175,"IPAC_REN",Allocation!$F$1:$F$175,"BAC_CCE",Allocation!$G$1:$G$175,"B1",Allocation!$H$1:$H$175,"ALT")</f>
        <v>29816.7606837607</v>
      </c>
      <c r="H68" s="15">
        <f>_xlfn.SUMIFS(Allocation!$Y$1:$Y$175,Allocation!$C$1:$C$175,"2026",Allocation!$D$1:$D$175,"IPAC_REN",Allocation!$F$1:$F$175,"BAC_CCE",Allocation!$G$1:$G$175,"B1",Allocation!$H$1:$H$175,"ALT")</f>
        <v>0</v>
      </c>
      <c r="I68" s="15">
        <f>_xlfn.SUMIFS(Allocation!$AC$1:$AC$175,Allocation!$C$1:$C$175,"2026",Allocation!$D$1:$D$175,"IPAC_REN",Allocation!$F$1:$F$175,"BAC_CCE",Allocation!$G$1:$G$175,"B1",Allocation!$H$1:$H$175,"ALT")</f>
        <v>0</v>
      </c>
      <c r="J68" s="15">
        <f>_xlfn.SUMIFS(Allocation!$Z$1:$Z$175,Allocation!$C$1:$C$175,"2026",Allocation!$D$1:$D$175,"IPAC_REN",Allocation!$F$1:$F$175,"BAC_CCE",Allocation!$G$1:$G$175,"B1",Allocation!$H$1:$H$175,"ALT")</f>
        <v>0</v>
      </c>
      <c r="K68" s="106">
        <f t="shared" si="0"/>
        <v>97796.4273504274</v>
      </c>
      <c r="L68" s="128">
        <f>_xlfn.SUMIFS(Allocation!$AA$1:$AA$175,Allocation!$C$1:$C$175,"2026",Allocation!$D$1:$D$175,"IPAC_REN",Allocation!$F$1:$F$175,"BAC_CCE",Allocation!$G$1:$G$175,"B1",Allocation!$H$1:$H$175,"ALT")</f>
        <v>171803.572649573</v>
      </c>
      <c r="M68" s="22">
        <f t="shared" si="1"/>
        <v>0.637253607750642</v>
      </c>
    </row>
    <row r="69" ht="14.25" customHeight="1" hidden="1" collapsed="0" outlineLevel="2">
      <c r="B69" s="127" t="s">
        <v>148</v>
      </c>
      <c r="C69" s="102">
        <f>_xlfn.SUMIFS(Allocation!$I$1:$I$175,Allocation!$C$1:$C$175,"2026",Allocation!$D$1:$D$175,"IPAC_REN",Allocation!$F$1:$F$175,"BAC_CCE",Allocation!$G$1:$G$175,"B2",Allocation!$H$1:$H$175,"ALT")</f>
        <v>39</v>
      </c>
      <c r="D69" s="15">
        <f>_xlfn.SUMIFS(Allocation!$K$1:$K$175,Allocation!$C$1:$C$175,"2026",Allocation!$D$1:$D$175,"IPAC_REN",Allocation!$F$1:$F$175,"BAC_CCE",Allocation!$G$1:$G$175,"B2",Allocation!$H$1:$H$175,"ALT")</f>
        <v>259350</v>
      </c>
      <c r="E69" s="15">
        <f>_xlfn.SUMIFS(Allocation!$V$1:$V$175,Allocation!$C$1:$C$175,"2026",Allocation!$D$1:$D$175,"IPAC_REN",Allocation!$F$1:$F$175,"BAC_CCE",Allocation!$G$1:$G$175,"B2",Allocation!$H$1:$H$175,"ALT")</f>
        <v>24146</v>
      </c>
      <c r="F69" s="15">
        <f>_xlfn.SUMIFS(Allocation!$W$1:$W$175,Allocation!$C$1:$C$175,"2026",Allocation!$D$1:$D$175,"IPAC_REN",Allocation!$F$1:$F$175,"BAC_CCE",Allocation!$G$1:$G$175,"B2",Allocation!$H$1:$H$175,"ALT")</f>
        <v>43833.6666666667</v>
      </c>
      <c r="G69" s="15">
        <f>_xlfn.SUMIFS(Allocation!$X$1:$X$175,Allocation!$C$1:$C$175,"2026",Allocation!$D$1:$D$175,"IPAC_REN",Allocation!$F$1:$F$175,"BAC_CCE",Allocation!$G$1:$G$175,"B2",Allocation!$H$1:$H$175,"ALT")</f>
        <v>14511.6666666667</v>
      </c>
      <c r="H69" s="15">
        <f>_xlfn.SUMIFS(Allocation!$Y$1:$Y$175,Allocation!$C$1:$C$175,"2026",Allocation!$D$1:$D$175,"IPAC_REN",Allocation!$F$1:$F$175,"BAC_CCE",Allocation!$G$1:$G$175,"B2",Allocation!$H$1:$H$175,"ALT")</f>
        <v>0</v>
      </c>
      <c r="I69" s="15">
        <f>_xlfn.SUMIFS(Allocation!$AC$1:$AC$175,Allocation!$C$1:$C$175,"2026",Allocation!$D$1:$D$175,"IPAC_REN",Allocation!$F$1:$F$175,"BAC_CCE",Allocation!$G$1:$G$175,"B2",Allocation!$H$1:$H$175,"ALT")</f>
        <v>0</v>
      </c>
      <c r="J69" s="15">
        <f>_xlfn.SUMIFS(Allocation!$Z$1:$Z$175,Allocation!$C$1:$C$175,"2026",Allocation!$D$1:$D$175,"IPAC_REN",Allocation!$F$1:$F$175,"BAC_CCE",Allocation!$G$1:$G$175,"B2",Allocation!$H$1:$H$175,"ALT")</f>
        <v>0</v>
      </c>
      <c r="K69" s="106">
        <f t="shared" si="0"/>
        <v>82491.3333333334</v>
      </c>
      <c r="L69" s="128">
        <f>_xlfn.SUMIFS(Allocation!$AA$1:$AA$175,Allocation!$C$1:$C$175,"2026",Allocation!$D$1:$D$175,"IPAC_REN",Allocation!$F$1:$F$175,"BAC_CCE",Allocation!$G$1:$G$175,"B2",Allocation!$H$1:$H$175,"ALT")</f>
        <v>176858.666666667</v>
      </c>
      <c r="M69" s="22">
        <f t="shared" si="1"/>
        <v>0.681930467193626</v>
      </c>
    </row>
    <row r="70" ht="14.25" customHeight="1" hidden="1" collapsed="0" outlineLevel="2">
      <c r="B70" s="127" t="s">
        <v>149</v>
      </c>
      <c r="C70" s="102">
        <f>_xlfn.SUMIFS(Allocation!$I$1:$I$175,Allocation!$C$1:$C$175,"2026",Allocation!$D$1:$D$175,"IPAC_REN",Allocation!$F$1:$F$175,"BAC_CCE",Allocation!$G$1:$G$175,"B3",Allocation!$H$1:$H$175,"ALT")</f>
        <v>38</v>
      </c>
      <c r="D70" s="15">
        <f>_xlfn.SUMIFS(Allocation!$K$1:$K$175,Allocation!$C$1:$C$175,"2026",Allocation!$D$1:$D$175,"IPAC_REN",Allocation!$F$1:$F$175,"BAC_CCE",Allocation!$G$1:$G$175,"B3",Allocation!$H$1:$H$175,"ALT")</f>
        <v>252700</v>
      </c>
      <c r="E70" s="15">
        <f>_xlfn.SUMIFS(Allocation!$V$1:$V$175,Allocation!$C$1:$C$175,"2026",Allocation!$D$1:$D$175,"IPAC_REN",Allocation!$F$1:$F$175,"BAC_CCE",Allocation!$G$1:$G$175,"B3",Allocation!$H$1:$H$175,"ALT")</f>
        <v>24146</v>
      </c>
      <c r="F70" s="15">
        <f>_xlfn.SUMIFS(Allocation!$W$1:$W$175,Allocation!$C$1:$C$175,"2026",Allocation!$D$1:$D$175,"IPAC_REN",Allocation!$F$1:$F$175,"BAC_CCE",Allocation!$G$1:$G$175,"B3",Allocation!$H$1:$H$175,"ALT")</f>
        <v>43833.6666666667</v>
      </c>
      <c r="G70" s="15">
        <f>_xlfn.SUMIFS(Allocation!$X$1:$X$175,Allocation!$C$1:$C$175,"2026",Allocation!$D$1:$D$175,"IPAC_REN",Allocation!$F$1:$F$175,"BAC_CCE",Allocation!$G$1:$G$175,"B3",Allocation!$H$1:$H$175,"ALT")</f>
        <v>14139.5726495727</v>
      </c>
      <c r="H70" s="15">
        <f>_xlfn.SUMIFS(Allocation!$Y$1:$Y$175,Allocation!$C$1:$C$175,"2026",Allocation!$D$1:$D$175,"IPAC_REN",Allocation!$F$1:$F$175,"BAC_CCE",Allocation!$G$1:$G$175,"B3",Allocation!$H$1:$H$175,"ALT")</f>
        <v>0</v>
      </c>
      <c r="I70" s="15">
        <f>_xlfn.SUMIFS(Allocation!$AC$1:$AC$175,Allocation!$C$1:$C$175,"2026",Allocation!$D$1:$D$175,"IPAC_REN",Allocation!$F$1:$F$175,"BAC_CCE",Allocation!$G$1:$G$175,"B3",Allocation!$H$1:$H$175,"ALT")</f>
        <v>0</v>
      </c>
      <c r="J70" s="15">
        <f>_xlfn.SUMIFS(Allocation!$Z$1:$Z$175,Allocation!$C$1:$C$175,"2026",Allocation!$D$1:$D$175,"IPAC_REN",Allocation!$F$1:$F$175,"BAC_CCE",Allocation!$G$1:$G$175,"B3",Allocation!$H$1:$H$175,"ALT")</f>
        <v>0</v>
      </c>
      <c r="K70" s="106">
        <f t="shared" si="0"/>
        <v>82119.2393162394</v>
      </c>
      <c r="L70" s="128">
        <f>_xlfn.SUMIFS(Allocation!$AA$1:$AA$175,Allocation!$C$1:$C$175,"2026",Allocation!$D$1:$D$175,"IPAC_REN",Allocation!$F$1:$F$175,"BAC_CCE",Allocation!$G$1:$G$175,"B3",Allocation!$H$1:$H$175,"ALT")</f>
        <v>170580.760683761</v>
      </c>
      <c r="M70" s="22">
        <f t="shared" si="1"/>
        <v>0.675032689686431</v>
      </c>
    </row>
    <row r="71" ht="14.25" customHeight="1" hidden="0" collapsed="1" outlineLevel="1">
      <c r="B71" s="126" t="s">
        <v>151</v>
      </c>
      <c r="C71" s="105">
        <f>_xlfn.SUMIFS(Allocation!$I$1:$I$175,Allocation!$C$1:$C$175,"2026",Allocation!$D$1:$D$175,"IPAC_MTP")</f>
        <v>117</v>
      </c>
      <c r="D71" s="106">
        <f>_xlfn.SUMIFS(Allocation!$K$1:$K$175,Allocation!$C$1:$C$175,"2026",Allocation!$D$1:$D$175,"IPAC_MTP")</f>
        <v>781650</v>
      </c>
      <c r="E71" s="106">
        <f>_xlfn.SUMIFS(Allocation!$V$1:$V$175,Allocation!$C$1:$C$175,"2026",Allocation!$D$1:$D$175,"IPAC_MTP")</f>
        <v>72438</v>
      </c>
      <c r="F71" s="106">
        <f>_xlfn.SUMIFS(Allocation!$W$1:$W$175,Allocation!$C$1:$C$175,"2026",Allocation!$D$1:$D$175,"IPAC_MTP")</f>
        <v>131501</v>
      </c>
      <c r="G71" s="106">
        <f>_xlfn.SUMIFS(Allocation!$X$1:$X$175,Allocation!$C$1:$C$175,"2026",Allocation!$D$1:$D$175,"IPAC_MTP")</f>
        <v>58713.0000000001</v>
      </c>
      <c r="H71" s="106">
        <f>_xlfn.SUMIFS(Allocation!$Y$1:$Y$175,Allocation!$C$1:$C$175,"2026",Allocation!$D$1:$D$175,"IPAC_MTP")</f>
        <v>0</v>
      </c>
      <c r="I71" s="106">
        <f>_xlfn.SUMIFS(Allocation!$AC$1:$AC$175,Allocation!$C$1:$C$175,"2026",Allocation!$D$1:$D$175,"IPAC_MTP")</f>
        <v>0</v>
      </c>
      <c r="J71" s="106">
        <f>_xlfn.SUMIFS(Allocation!$Z$1:$Z$175,Allocation!$C$1:$C$175,"2026",Allocation!$D$1:$D$175,"IPAC_MTP")</f>
        <v>0</v>
      </c>
      <c r="K71" s="106">
        <f t="shared" si="0"/>
        <v>262652</v>
      </c>
      <c r="L71" s="125">
        <f>_xlfn.SUMIFS(Allocation!$AA$1:$AA$175,Allocation!$C$1:$C$175,"2026",Allocation!$D$1:$D$175,"IPAC_MTP")</f>
        <v>518998.000000001</v>
      </c>
      <c r="M71" s="107">
        <f t="shared" si="1"/>
        <v>0.663977483528435</v>
      </c>
    </row>
    <row r="72" ht="14.25" customHeight="1" hidden="0" collapsed="0" outlineLevel="2">
      <c r="B72" s="127" t="s">
        <v>147</v>
      </c>
      <c r="C72" s="102">
        <f>_xlfn.SUMIFS(Allocation!$I$1:$I$175,Allocation!$C$1:$C$175,"2026",Allocation!$D$1:$D$175,"IPAC_MTP",Allocation!$F$1:$F$175,"BAC_CCE",Allocation!$G$1:$G$175,"B1",Allocation!$H$1:$H$175,"ALT")</f>
        <v>40</v>
      </c>
      <c r="D72" s="15">
        <f>_xlfn.SUMIFS(Allocation!$K$1:$K$175,Allocation!$C$1:$C$175,"2026",Allocation!$D$1:$D$175,"IPAC_MTP",Allocation!$F$1:$F$175,"BAC_CCE",Allocation!$G$1:$G$175,"B1",Allocation!$H$1:$H$175,"ALT")</f>
        <v>269600</v>
      </c>
      <c r="E72" s="15">
        <f>_xlfn.SUMIFS(Allocation!$V$1:$V$175,Allocation!$C$1:$C$175,"2026",Allocation!$D$1:$D$175,"IPAC_MTP",Allocation!$F$1:$F$175,"BAC_CCE",Allocation!$G$1:$G$175,"B1",Allocation!$H$1:$H$175,"ALT")</f>
        <v>24146</v>
      </c>
      <c r="F72" s="15">
        <f>_xlfn.SUMIFS(Allocation!$W$1:$W$175,Allocation!$C$1:$C$175,"2026",Allocation!$D$1:$D$175,"IPAC_MTP",Allocation!$F$1:$F$175,"BAC_CCE",Allocation!$G$1:$G$175,"B1",Allocation!$H$1:$H$175,"ALT")</f>
        <v>43833.6666666667</v>
      </c>
      <c r="G72" s="15">
        <f>_xlfn.SUMIFS(Allocation!$X$1:$X$175,Allocation!$C$1:$C$175,"2026",Allocation!$D$1:$D$175,"IPAC_MTP",Allocation!$F$1:$F$175,"BAC_CCE",Allocation!$G$1:$G$175,"B1",Allocation!$H$1:$H$175,"ALT")</f>
        <v>30061.7606837607</v>
      </c>
      <c r="H72" s="15">
        <f>_xlfn.SUMIFS(Allocation!$Y$1:$Y$175,Allocation!$C$1:$C$175,"2026",Allocation!$D$1:$D$175,"IPAC_MTP",Allocation!$F$1:$F$175,"BAC_CCE",Allocation!$G$1:$G$175,"B1",Allocation!$H$1:$H$175,"ALT")</f>
        <v>0</v>
      </c>
      <c r="I72" s="15">
        <f>_xlfn.SUMIFS(Allocation!$AC$1:$AC$175,Allocation!$C$1:$C$175,"2026",Allocation!$D$1:$D$175,"IPAC_MTP",Allocation!$F$1:$F$175,"BAC_CCE",Allocation!$G$1:$G$175,"B1",Allocation!$H$1:$H$175,"ALT")</f>
        <v>0</v>
      </c>
      <c r="J72" s="15">
        <f>_xlfn.SUMIFS(Allocation!$Z$1:$Z$175,Allocation!$C$1:$C$175,"2026",Allocation!$D$1:$D$175,"IPAC_MTP",Allocation!$F$1:$F$175,"BAC_CCE",Allocation!$G$1:$G$175,"B1",Allocation!$H$1:$H$175,"ALT")</f>
        <v>0</v>
      </c>
      <c r="K72" s="106">
        <f t="shared" si="0"/>
        <v>98041.4273504274</v>
      </c>
      <c r="L72" s="128">
        <f>_xlfn.SUMIFS(Allocation!$AA$1:$AA$175,Allocation!$C$1:$C$175,"2026",Allocation!$D$1:$D$175,"IPAC_MTP",Allocation!$F$1:$F$175,"BAC_CCE",Allocation!$G$1:$G$175,"B1",Allocation!$H$1:$H$175,"ALT")</f>
        <v>171558.572649573</v>
      </c>
      <c r="M72" s="22">
        <f t="shared" si="1"/>
        <v>0.636344854041443</v>
      </c>
    </row>
    <row r="73" ht="14.25" customHeight="1" hidden="0" collapsed="0" outlineLevel="2">
      <c r="B73" s="127" t="s">
        <v>148</v>
      </c>
      <c r="C73" s="102">
        <f>_xlfn.SUMIFS(Allocation!$I$1:$I$175,Allocation!$C$1:$C$175,"2026",Allocation!$D$1:$D$175,"IPAC_MTP",Allocation!$F$1:$F$175,"BAC_CCE",Allocation!$G$1:$G$175,"B2",Allocation!$H$1:$H$175,"ALT")</f>
        <v>39</v>
      </c>
      <c r="D73" s="15">
        <f>_xlfn.SUMIFS(Allocation!$K$1:$K$175,Allocation!$C$1:$C$175,"2026",Allocation!$D$1:$D$175,"IPAC_MTP",Allocation!$F$1:$F$175,"BAC_CCE",Allocation!$G$1:$G$175,"B2",Allocation!$H$1:$H$175,"ALT")</f>
        <v>259350</v>
      </c>
      <c r="E73" s="15">
        <f>_xlfn.SUMIFS(Allocation!$V$1:$V$175,Allocation!$C$1:$C$175,"2026",Allocation!$D$1:$D$175,"IPAC_MTP",Allocation!$F$1:$F$175,"BAC_CCE",Allocation!$G$1:$G$175,"B2",Allocation!$H$1:$H$175,"ALT")</f>
        <v>24146</v>
      </c>
      <c r="F73" s="15">
        <f>_xlfn.SUMIFS(Allocation!$W$1:$W$175,Allocation!$C$1:$C$175,"2026",Allocation!$D$1:$D$175,"IPAC_MTP",Allocation!$F$1:$F$175,"BAC_CCE",Allocation!$G$1:$G$175,"B2",Allocation!$H$1:$H$175,"ALT")</f>
        <v>43833.6666666667</v>
      </c>
      <c r="G73" s="15">
        <f>_xlfn.SUMIFS(Allocation!$X$1:$X$175,Allocation!$C$1:$C$175,"2026",Allocation!$D$1:$D$175,"IPAC_MTP",Allocation!$F$1:$F$175,"BAC_CCE",Allocation!$G$1:$G$175,"B2",Allocation!$H$1:$H$175,"ALT")</f>
        <v>14511.6666666667</v>
      </c>
      <c r="H73" s="15">
        <f>_xlfn.SUMIFS(Allocation!$Y$1:$Y$175,Allocation!$C$1:$C$175,"2026",Allocation!$D$1:$D$175,"IPAC_MTP",Allocation!$F$1:$F$175,"BAC_CCE",Allocation!$G$1:$G$175,"B2",Allocation!$H$1:$H$175,"ALT")</f>
        <v>0</v>
      </c>
      <c r="I73" s="15">
        <f>_xlfn.SUMIFS(Allocation!$AC$1:$AC$175,Allocation!$C$1:$C$175,"2026",Allocation!$D$1:$D$175,"IPAC_MTP",Allocation!$F$1:$F$175,"BAC_CCE",Allocation!$G$1:$G$175,"B2",Allocation!$H$1:$H$175,"ALT")</f>
        <v>0</v>
      </c>
      <c r="J73" s="15">
        <f>_xlfn.SUMIFS(Allocation!$Z$1:$Z$175,Allocation!$C$1:$C$175,"2026",Allocation!$D$1:$D$175,"IPAC_MTP",Allocation!$F$1:$F$175,"BAC_CCE",Allocation!$G$1:$G$175,"B2",Allocation!$H$1:$H$175,"ALT")</f>
        <v>0</v>
      </c>
      <c r="K73" s="106">
        <f t="shared" si="0"/>
        <v>82491.3333333334</v>
      </c>
      <c r="L73" s="128">
        <f>_xlfn.SUMIFS(Allocation!$AA$1:$AA$175,Allocation!$C$1:$C$175,"2026",Allocation!$D$1:$D$175,"IPAC_MTP",Allocation!$F$1:$F$175,"BAC_CCE",Allocation!$G$1:$G$175,"B2",Allocation!$H$1:$H$175,"ALT")</f>
        <v>176858.666666667</v>
      </c>
      <c r="M73" s="22">
        <f t="shared" si="1"/>
        <v>0.681930467193626</v>
      </c>
    </row>
    <row r="74" ht="14.25" customHeight="1" hidden="0" collapsed="0" outlineLevel="2">
      <c r="B74" s="127" t="s">
        <v>149</v>
      </c>
      <c r="C74" s="102">
        <f>_xlfn.SUMIFS(Allocation!$I$1:$I$175,Allocation!$C$1:$C$175,"2026",Allocation!$D$1:$D$175,"IPAC_MTP",Allocation!$F$1:$F$175,"BAC_CCE",Allocation!$G$1:$G$175,"B3",Allocation!$H$1:$H$175,"ALT")</f>
        <v>38</v>
      </c>
      <c r="D74" s="15">
        <f>_xlfn.SUMIFS(Allocation!$K$1:$K$175,Allocation!$C$1:$C$175,"2026",Allocation!$D$1:$D$175,"IPAC_MTP",Allocation!$F$1:$F$175,"BAC_CCE",Allocation!$G$1:$G$175,"B3",Allocation!$H$1:$H$175,"ALT")</f>
        <v>252700</v>
      </c>
      <c r="E74" s="15">
        <f>_xlfn.SUMIFS(Allocation!$V$1:$V$175,Allocation!$C$1:$C$175,"2026",Allocation!$D$1:$D$175,"IPAC_MTP",Allocation!$F$1:$F$175,"BAC_CCE",Allocation!$G$1:$G$175,"B3",Allocation!$H$1:$H$175,"ALT")</f>
        <v>24146</v>
      </c>
      <c r="F74" s="15">
        <f>_xlfn.SUMIFS(Allocation!$W$1:$W$175,Allocation!$C$1:$C$175,"2026",Allocation!$D$1:$D$175,"IPAC_MTP",Allocation!$F$1:$F$175,"BAC_CCE",Allocation!$G$1:$G$175,"B3",Allocation!$H$1:$H$175,"ALT")</f>
        <v>43833.6666666667</v>
      </c>
      <c r="G74" s="15">
        <f>_xlfn.SUMIFS(Allocation!$X$1:$X$175,Allocation!$C$1:$C$175,"2026",Allocation!$D$1:$D$175,"IPAC_MTP",Allocation!$F$1:$F$175,"BAC_CCE",Allocation!$G$1:$G$175,"B3",Allocation!$H$1:$H$175,"ALT")</f>
        <v>14139.5726495727</v>
      </c>
      <c r="H74" s="15">
        <f>_xlfn.SUMIFS(Allocation!$Y$1:$Y$175,Allocation!$C$1:$C$175,"2026",Allocation!$D$1:$D$175,"IPAC_MTP",Allocation!$F$1:$F$175,"BAC_CCE",Allocation!$G$1:$G$175,"B3",Allocation!$H$1:$H$175,"ALT")</f>
        <v>0</v>
      </c>
      <c r="I74" s="15">
        <f>_xlfn.SUMIFS(Allocation!$AC$1:$AC$175,Allocation!$C$1:$C$175,"2026",Allocation!$D$1:$D$175,"IPAC_MTP",Allocation!$F$1:$F$175,"BAC_CCE",Allocation!$G$1:$G$175,"B3",Allocation!$H$1:$H$175,"ALT")</f>
        <v>0</v>
      </c>
      <c r="J74" s="15">
        <f>_xlfn.SUMIFS(Allocation!$Z$1:$Z$175,Allocation!$C$1:$C$175,"2026",Allocation!$D$1:$D$175,"IPAC_MTP",Allocation!$F$1:$F$175,"BAC_CCE",Allocation!$G$1:$G$175,"B3",Allocation!$H$1:$H$175,"ALT")</f>
        <v>0</v>
      </c>
      <c r="K74" s="106">
        <f t="shared" si="0"/>
        <v>82119.2393162394</v>
      </c>
      <c r="L74" s="128">
        <f>_xlfn.SUMIFS(Allocation!$AA$1:$AA$175,Allocation!$C$1:$C$175,"2026",Allocation!$D$1:$D$175,"IPAC_MTP",Allocation!$F$1:$F$175,"BAC_CCE",Allocation!$G$1:$G$175,"B3",Allocation!$H$1:$H$175,"ALT")</f>
        <v>170580.760683761</v>
      </c>
      <c r="M74" s="22">
        <f t="shared" si="1"/>
        <v>0.675032689686431</v>
      </c>
    </row>
    <row r="75" ht="14.25" customHeight="1">
      <c r="B75" s="131" t="s">
        <v>33</v>
      </c>
      <c r="C75" s="105">
        <f>_xlfn.SUMIFS(Allocation!$I$1:$I$175,Allocation!$C$1:$C$175,"2026",Allocation!$E$1:$E$175,"PIGIER")</f>
        <v>324</v>
      </c>
      <c r="D75" s="106">
        <f>_xlfn.SUMIFS(Allocation!$K$1:$K$175,Allocation!$C$1:$C$175,"2026",Allocation!$E$1:$E$175,"PIGIER")</f>
        <v>2152220</v>
      </c>
      <c r="E75" s="106">
        <f>_xlfn.SUMIFS(Allocation!$V$1:$V$175,Allocation!$C$1:$C$175,"2026",Allocation!$E$1:$E$175,"PIGIER")</f>
        <v>193166</v>
      </c>
      <c r="F75" s="106">
        <f>_xlfn.SUMIFS(Allocation!$W$1:$W$175,Allocation!$C$1:$C$175,"2026",Allocation!$E$1:$E$175,"PIGIER")</f>
        <v>432359</v>
      </c>
      <c r="G75" s="106">
        <f>_xlfn.SUMIFS(Allocation!$X$1:$X$175,Allocation!$C$1:$C$175,"2026",Allocation!$E$1:$E$175,"PIGIER")</f>
        <v>179140</v>
      </c>
      <c r="H75" s="106">
        <f>_xlfn.SUMIFS(Allocation!$Y$1:$Y$175,Allocation!$C$1:$C$175,"2026",Allocation!$E$1:$E$175,"PIGIER")</f>
        <v>0</v>
      </c>
      <c r="I75" s="106">
        <f>_xlfn.SUMIFS(Allocation!$AC$1:$AC$175,Allocation!$C$1:$C$175,"2026",Allocation!$E$1:$E$175,"PIGIER")</f>
        <v>0</v>
      </c>
      <c r="J75" s="106">
        <f>_xlfn.SUMIFS(Allocation!$Z$1:$Z$175,Allocation!$C$1:$C$175,"2026",Allocation!$E$1:$E$175,"PIGIER")</f>
        <v>0</v>
      </c>
      <c r="K75" s="106">
        <f t="shared" si="0"/>
        <v>804665</v>
      </c>
      <c r="L75" s="125">
        <f>_xlfn.SUMIFS(Allocation!$AA$1:$AA$175,Allocation!$C$1:$C$175,"2026",Allocation!$E$1:$E$175,"PIGIER")</f>
        <v>1347555</v>
      </c>
      <c r="M75" s="107">
        <f t="shared" si="1"/>
        <v>0.626123258774661</v>
      </c>
    </row>
    <row r="76" ht="14.25" customHeight="1" hidden="0" collapsed="1" outlineLevel="1">
      <c r="B76" s="126" t="s">
        <v>152</v>
      </c>
      <c r="C76" s="105">
        <f>_xlfn.SUMIFS(Allocation!$I$1:$I$175,Allocation!$C$1:$C$175,"2026",Allocation!$D$1:$D$175,"PIGIER_LYO")</f>
        <v>182</v>
      </c>
      <c r="D76" s="106">
        <f>_xlfn.SUMIFS(Allocation!$K$1:$K$175,Allocation!$C$1:$C$175,"2026",Allocation!$D$1:$D$175,"PIGIER_LYO")</f>
        <v>1250430</v>
      </c>
      <c r="E76" s="106">
        <f>_xlfn.SUMIFS(Allocation!$V$1:$V$175,Allocation!$C$1:$C$175,"2026",Allocation!$D$1:$D$175,"PIGIER_LYO")</f>
        <v>96583</v>
      </c>
      <c r="F76" s="106">
        <f>_xlfn.SUMIFS(Allocation!$W$1:$W$175,Allocation!$C$1:$C$175,"2026",Allocation!$D$1:$D$175,"PIGIER_LYO")</f>
        <v>223153</v>
      </c>
      <c r="G76" s="106">
        <f>_xlfn.SUMIFS(Allocation!$X$1:$X$175,Allocation!$C$1:$C$175,"2026",Allocation!$D$1:$D$175,"PIGIER_LYO")</f>
        <v>104334</v>
      </c>
      <c r="H76" s="106">
        <f>_xlfn.SUMIFS(Allocation!$Y$1:$Y$175,Allocation!$C$1:$C$175,"2026",Allocation!$D$1:$D$175,"PIGIER_LYO")</f>
        <v>0</v>
      </c>
      <c r="I76" s="106">
        <f>_xlfn.SUMIFS(Allocation!$AC$1:$AC$175,Allocation!$C$1:$C$175,"2026",Allocation!$D$1:$D$175,"PIGIER_LYO")</f>
        <v>0</v>
      </c>
      <c r="J76" s="106">
        <f>_xlfn.SUMIFS(Allocation!$Z$1:$Z$175,Allocation!$C$1:$C$175,"2026",Allocation!$D$1:$D$175,"PIGIER_LYO")</f>
        <v>0</v>
      </c>
      <c r="K76" s="106">
        <f t="shared" si="0"/>
        <v>424070</v>
      </c>
      <c r="L76" s="125">
        <f>_xlfn.SUMIFS(Allocation!$AA$1:$AA$175,Allocation!$C$1:$C$175,"2026",Allocation!$D$1:$D$175,"PIGIER_LYO")</f>
        <v>826360</v>
      </c>
      <c r="M76" s="107">
        <f t="shared" si="1"/>
        <v>0.660860663931607</v>
      </c>
    </row>
    <row r="77" ht="14.25" customHeight="1" hidden="1" collapsed="0" outlineLevel="2">
      <c r="B77" s="127" t="s">
        <v>153</v>
      </c>
      <c r="C77" s="102">
        <f>_xlfn.SUMIFS(Allocation!$I$1:$I$175,Allocation!$C$1:$C$175,"2026",Allocation!$D$1:$D$175,"PIGIER_LYO",Allocation!$F$1:$F$175,"BTS_GES",Allocation!$G$1:$G$175,"BTS1",Allocation!$H$1:$H$175,"ALT")</f>
        <v>46</v>
      </c>
      <c r="D77" s="15">
        <f>_xlfn.SUMIFS(Allocation!$K$1:$K$175,Allocation!$C$1:$C$175,"2026",Allocation!$D$1:$D$175,"PIGIER_LYO",Allocation!$F$1:$F$175,"BTS_GES",Allocation!$G$1:$G$175,"BTS1",Allocation!$H$1:$H$175,"ALT")</f>
        <v>293940</v>
      </c>
      <c r="E77" s="15">
        <f>_xlfn.SUMIFS(Allocation!$V$1:$V$175,Allocation!$C$1:$C$175,"2026",Allocation!$D$1:$D$175,"PIGIER_LYO",Allocation!$F$1:$F$175,"BTS_GES",Allocation!$G$1:$G$175,"BTS1",Allocation!$H$1:$H$175,"ALT")</f>
        <v>28647.5</v>
      </c>
      <c r="F77" s="15">
        <f>_xlfn.SUMIFS(Allocation!$W$1:$W$175,Allocation!$C$1:$C$175,"2026",Allocation!$D$1:$D$175,"PIGIER_LYO",Allocation!$F$1:$F$175,"BTS_GES",Allocation!$G$1:$G$175,"BTS1",Allocation!$H$1:$H$175,"ALT")</f>
        <v>66189.4491525424</v>
      </c>
      <c r="G77" s="15">
        <f>_xlfn.SUMIFS(Allocation!$X$1:$X$175,Allocation!$C$1:$C$175,"2026",Allocation!$D$1:$D$175,"PIGIER_LYO",Allocation!$F$1:$F$175,"BTS_GES",Allocation!$G$1:$G$175,"BTS1",Allocation!$H$1:$H$175,"ALT")</f>
        <v>35422.5494505494</v>
      </c>
      <c r="H77" s="15">
        <f>_xlfn.SUMIFS(Allocation!$Y$1:$Y$175,Allocation!$C$1:$C$175,"2026",Allocation!$D$1:$D$175,"PIGIER_LYO",Allocation!$F$1:$F$175,"BTS_GES",Allocation!$G$1:$G$175,"BTS1",Allocation!$H$1:$H$175,"ALT")</f>
        <v>0</v>
      </c>
      <c r="I77" s="15">
        <f>_xlfn.SUMIFS(Allocation!$AC$1:$AC$175,Allocation!$C$1:$C$175,"2026",Allocation!$D$1:$D$175,"PIGIER_LYO",Allocation!$F$1:$F$175,"BTS_GES",Allocation!$G$1:$G$175,"BTS1",Allocation!$H$1:$H$175,"ALT")</f>
        <v>0</v>
      </c>
      <c r="J77" s="15">
        <f>_xlfn.SUMIFS(Allocation!$Z$1:$Z$175,Allocation!$C$1:$C$175,"2026",Allocation!$D$1:$D$175,"PIGIER_LYO",Allocation!$F$1:$F$175,"BTS_GES",Allocation!$G$1:$G$175,"BTS1",Allocation!$H$1:$H$175,"ALT")</f>
        <v>0</v>
      </c>
      <c r="K77" s="106">
        <f t="shared" si="0"/>
        <v>130259.498603092</v>
      </c>
      <c r="L77" s="128">
        <f>_xlfn.SUMIFS(Allocation!$AA$1:$AA$175,Allocation!$C$1:$C$175,"2026",Allocation!$D$1:$D$175,"PIGIER_LYO",Allocation!$F$1:$F$175,"BTS_GES",Allocation!$G$1:$G$175,"BTS1",Allocation!$H$1:$H$175,"ALT")</f>
        <v>163680.501396908</v>
      </c>
      <c r="M77" s="22">
        <f t="shared" si="1"/>
        <v>0.556850042174961</v>
      </c>
    </row>
    <row r="78" ht="14.25" customHeight="1" hidden="1" collapsed="0" outlineLevel="2">
      <c r="B78" s="127" t="s">
        <v>154</v>
      </c>
      <c r="C78" s="102">
        <f>_xlfn.SUMIFS(Allocation!$I$1:$I$175,Allocation!$C$1:$C$175,"2026",Allocation!$D$1:$D$175,"PIGIER_LYO",Allocation!$F$1:$F$175,"BTS_GES",Allocation!$G$1:$G$175,"BTS2",Allocation!$H$1:$H$175,"ALT")</f>
        <v>45</v>
      </c>
      <c r="D78" s="15">
        <f>_xlfn.SUMIFS(Allocation!$K$1:$K$175,Allocation!$C$1:$C$175,"2026",Allocation!$D$1:$D$175,"PIGIER_LYO",Allocation!$F$1:$F$175,"BTS_GES",Allocation!$G$1:$G$175,"BTS2",Allocation!$H$1:$H$175,"ALT")</f>
        <v>283500</v>
      </c>
      <c r="E78" s="15">
        <f>_xlfn.SUMIFS(Allocation!$V$1:$V$175,Allocation!$C$1:$C$175,"2026",Allocation!$D$1:$D$175,"PIGIER_LYO",Allocation!$F$1:$F$175,"BTS_GES",Allocation!$G$1:$G$175,"BTS2",Allocation!$H$1:$H$175,"ALT")</f>
        <v>28647.5</v>
      </c>
      <c r="F78" s="15">
        <f>_xlfn.SUMIFS(Allocation!$W$1:$W$175,Allocation!$C$1:$C$175,"2026",Allocation!$D$1:$D$175,"PIGIER_LYO",Allocation!$F$1:$F$175,"BTS_GES",Allocation!$G$1:$G$175,"BTS2",Allocation!$H$1:$H$175,"ALT")</f>
        <v>66189.4491525424</v>
      </c>
      <c r="G78" s="15">
        <f>_xlfn.SUMIFS(Allocation!$X$1:$X$175,Allocation!$C$1:$C$175,"2026",Allocation!$D$1:$D$175,"PIGIER_LYO",Allocation!$F$1:$F$175,"BTS_GES",Allocation!$G$1:$G$175,"BTS2",Allocation!$H$1:$H$175,"ALT")</f>
        <v>16744.4505494506</v>
      </c>
      <c r="H78" s="15">
        <f>_xlfn.SUMIFS(Allocation!$Y$1:$Y$175,Allocation!$C$1:$C$175,"2026",Allocation!$D$1:$D$175,"PIGIER_LYO",Allocation!$F$1:$F$175,"BTS_GES",Allocation!$G$1:$G$175,"BTS2",Allocation!$H$1:$H$175,"ALT")</f>
        <v>0</v>
      </c>
      <c r="I78" s="15">
        <f>_xlfn.SUMIFS(Allocation!$AC$1:$AC$175,Allocation!$C$1:$C$175,"2026",Allocation!$D$1:$D$175,"PIGIER_LYO",Allocation!$F$1:$F$175,"BTS_GES",Allocation!$G$1:$G$175,"BTS2",Allocation!$H$1:$H$175,"ALT")</f>
        <v>0</v>
      </c>
      <c r="J78" s="15">
        <f>_xlfn.SUMIFS(Allocation!$Z$1:$Z$175,Allocation!$C$1:$C$175,"2026",Allocation!$D$1:$D$175,"PIGIER_LYO",Allocation!$F$1:$F$175,"BTS_GES",Allocation!$G$1:$G$175,"BTS2",Allocation!$H$1:$H$175,"ALT")</f>
        <v>0</v>
      </c>
      <c r="K78" s="106">
        <f t="shared" si="0"/>
        <v>111581.399701993</v>
      </c>
      <c r="L78" s="128">
        <f>_xlfn.SUMIFS(Allocation!$AA$1:$AA$175,Allocation!$C$1:$C$175,"2026",Allocation!$D$1:$D$175,"PIGIER_LYO",Allocation!$F$1:$F$175,"BTS_GES",Allocation!$G$1:$G$175,"BTS2",Allocation!$H$1:$H$175,"ALT")</f>
        <v>171918.600298007</v>
      </c>
      <c r="M78" s="22">
        <f t="shared" si="1"/>
        <v>0.606414815865986</v>
      </c>
    </row>
    <row r="79" ht="14.25" customHeight="1" hidden="1" collapsed="0" outlineLevel="2">
      <c r="B79" s="127" t="s">
        <v>155</v>
      </c>
      <c r="C79" s="102">
        <f>_xlfn.SUMIFS(Allocation!$I$1:$I$175,Allocation!$C$1:$C$175,"2026",Allocation!$D$1:$D$175,"PIGIER_LYO",Allocation!$F$1:$F$175,"BAC_RH",Allocation!$G$1:$G$175,"B1",Allocation!$H$1:$H$175,"ALT")</f>
        <v>46</v>
      </c>
      <c r="D79" s="15">
        <f>_xlfn.SUMIFS(Allocation!$K$1:$K$175,Allocation!$C$1:$C$175,"2026",Allocation!$D$1:$D$175,"PIGIER_LYO",Allocation!$F$1:$F$175,"BAC_RH",Allocation!$G$1:$G$175,"B1",Allocation!$H$1:$H$175,"ALT")</f>
        <v>342240</v>
      </c>
      <c r="E79" s="15">
        <f>_xlfn.SUMIFS(Allocation!$V$1:$V$175,Allocation!$C$1:$C$175,"2026",Allocation!$D$1:$D$175,"PIGIER_LYO",Allocation!$F$1:$F$175,"BAC_RH",Allocation!$G$1:$G$175,"B1",Allocation!$H$1:$H$175,"ALT")</f>
        <v>19644</v>
      </c>
      <c r="F79" s="15">
        <f>_xlfn.SUMIFS(Allocation!$W$1:$W$175,Allocation!$C$1:$C$175,"2026",Allocation!$D$1:$D$175,"PIGIER_LYO",Allocation!$F$1:$F$175,"BAC_RH",Allocation!$G$1:$G$175,"B1",Allocation!$H$1:$H$175,"ALT")</f>
        <v>45387.0508474576</v>
      </c>
      <c r="G79" s="15">
        <f>_xlfn.SUMIFS(Allocation!$X$1:$X$175,Allocation!$C$1:$C$175,"2026",Allocation!$D$1:$D$175,"PIGIER_LYO",Allocation!$F$1:$F$175,"BAC_RH",Allocation!$G$1:$G$175,"B1",Allocation!$H$1:$H$175,"ALT")</f>
        <v>35422.5494505494</v>
      </c>
      <c r="H79" s="15">
        <f>_xlfn.SUMIFS(Allocation!$Y$1:$Y$175,Allocation!$C$1:$C$175,"2026",Allocation!$D$1:$D$175,"PIGIER_LYO",Allocation!$F$1:$F$175,"BAC_RH",Allocation!$G$1:$G$175,"B1",Allocation!$H$1:$H$175,"ALT")</f>
        <v>0</v>
      </c>
      <c r="I79" s="15">
        <f>_xlfn.SUMIFS(Allocation!$AC$1:$AC$175,Allocation!$C$1:$C$175,"2026",Allocation!$D$1:$D$175,"PIGIER_LYO",Allocation!$F$1:$F$175,"BAC_RH",Allocation!$G$1:$G$175,"B1",Allocation!$H$1:$H$175,"ALT")</f>
        <v>0</v>
      </c>
      <c r="J79" s="15">
        <f>_xlfn.SUMIFS(Allocation!$Z$1:$Z$175,Allocation!$C$1:$C$175,"2026",Allocation!$D$1:$D$175,"PIGIER_LYO",Allocation!$F$1:$F$175,"BAC_RH",Allocation!$G$1:$G$175,"B1",Allocation!$H$1:$H$175,"ALT")</f>
        <v>0</v>
      </c>
      <c r="K79" s="106">
        <f t="shared" si="0"/>
        <v>100453.600298007</v>
      </c>
      <c r="L79" s="128">
        <f>_xlfn.SUMIFS(Allocation!$AA$1:$AA$175,Allocation!$C$1:$C$175,"2026",Allocation!$D$1:$D$175,"PIGIER_LYO",Allocation!$F$1:$F$175,"BAC_RH",Allocation!$G$1:$G$175,"B1",Allocation!$H$1:$H$175,"ALT")</f>
        <v>241786.399701993</v>
      </c>
      <c r="M79" s="22">
        <f t="shared" si="1"/>
        <v>0.706482000064262</v>
      </c>
    </row>
    <row r="80" ht="14.25" customHeight="1" hidden="1" collapsed="0" outlineLevel="2">
      <c r="B80" s="127" t="s">
        <v>156</v>
      </c>
      <c r="C80" s="102">
        <f>_xlfn.SUMIFS(Allocation!$I$1:$I$175,Allocation!$C$1:$C$175,"2026",Allocation!$D$1:$D$175,"PIGIER_LYO",Allocation!$F$1:$F$175,"BAC_RH",Allocation!$G$1:$G$175,"B3",Allocation!$H$1:$H$175,"ALT")</f>
        <v>45</v>
      </c>
      <c r="D80" s="15">
        <f>_xlfn.SUMIFS(Allocation!$K$1:$K$175,Allocation!$C$1:$C$175,"2026",Allocation!$D$1:$D$175,"PIGIER_LYO",Allocation!$F$1:$F$175,"BAC_RH",Allocation!$G$1:$G$175,"B3",Allocation!$H$1:$H$175,"ALT")</f>
        <v>330750</v>
      </c>
      <c r="E80" s="15">
        <f>_xlfn.SUMIFS(Allocation!$V$1:$V$175,Allocation!$C$1:$C$175,"2026",Allocation!$D$1:$D$175,"PIGIER_LYO",Allocation!$F$1:$F$175,"BAC_RH",Allocation!$G$1:$G$175,"B3",Allocation!$H$1:$H$175,"ALT")</f>
        <v>19644</v>
      </c>
      <c r="F80" s="15">
        <f>_xlfn.SUMIFS(Allocation!$W$1:$W$175,Allocation!$C$1:$C$175,"2026",Allocation!$D$1:$D$175,"PIGIER_LYO",Allocation!$F$1:$F$175,"BAC_RH",Allocation!$G$1:$G$175,"B3",Allocation!$H$1:$H$175,"ALT")</f>
        <v>45387.0508474576</v>
      </c>
      <c r="G80" s="15">
        <f>_xlfn.SUMIFS(Allocation!$X$1:$X$175,Allocation!$C$1:$C$175,"2026",Allocation!$D$1:$D$175,"PIGIER_LYO",Allocation!$F$1:$F$175,"BAC_RH",Allocation!$G$1:$G$175,"B3",Allocation!$H$1:$H$175,"ALT")</f>
        <v>16744.4505494506</v>
      </c>
      <c r="H80" s="15">
        <f>_xlfn.SUMIFS(Allocation!$Y$1:$Y$175,Allocation!$C$1:$C$175,"2026",Allocation!$D$1:$D$175,"PIGIER_LYO",Allocation!$F$1:$F$175,"BAC_RH",Allocation!$G$1:$G$175,"B3",Allocation!$H$1:$H$175,"ALT")</f>
        <v>0</v>
      </c>
      <c r="I80" s="15">
        <f>_xlfn.SUMIFS(Allocation!$AC$1:$AC$175,Allocation!$C$1:$C$175,"2026",Allocation!$D$1:$D$175,"PIGIER_LYO",Allocation!$F$1:$F$175,"BAC_RH",Allocation!$G$1:$G$175,"B3",Allocation!$H$1:$H$175,"ALT")</f>
        <v>0</v>
      </c>
      <c r="J80" s="15">
        <f>_xlfn.SUMIFS(Allocation!$Z$1:$Z$175,Allocation!$C$1:$C$175,"2026",Allocation!$D$1:$D$175,"PIGIER_LYO",Allocation!$F$1:$F$175,"BAC_RH",Allocation!$G$1:$G$175,"B3",Allocation!$H$1:$H$175,"ALT")</f>
        <v>0</v>
      </c>
      <c r="K80" s="106">
        <f t="shared" si="0"/>
        <v>81775.5013969082</v>
      </c>
      <c r="L80" s="128">
        <f>_xlfn.SUMIFS(Allocation!$AA$1:$AA$175,Allocation!$C$1:$C$175,"2026",Allocation!$D$1:$D$175,"PIGIER_LYO",Allocation!$F$1:$F$175,"BAC_RH",Allocation!$G$1:$G$175,"B3",Allocation!$H$1:$H$175,"ALT")</f>
        <v>248974.498603092</v>
      </c>
      <c r="M80" s="22">
        <f t="shared" si="1"/>
        <v>0.752757365391057</v>
      </c>
    </row>
    <row r="81" ht="14.25" customHeight="1" hidden="0" collapsed="1" outlineLevel="1">
      <c r="B81" s="126" t="s">
        <v>157</v>
      </c>
      <c r="C81" s="105">
        <f>_xlfn.SUMIFS(Allocation!$I$1:$I$175,Allocation!$C$1:$C$175,"2026",Allocation!$D$1:$D$175,"PIGIER_BOR")</f>
        <v>142</v>
      </c>
      <c r="D81" s="106">
        <f>_xlfn.SUMIFS(Allocation!$K$1:$K$175,Allocation!$C$1:$C$175,"2026",Allocation!$D$1:$D$175,"PIGIER_BOR")</f>
        <v>901790</v>
      </c>
      <c r="E81" s="106">
        <f>_xlfn.SUMIFS(Allocation!$V$1:$V$175,Allocation!$C$1:$C$175,"2026",Allocation!$D$1:$D$175,"PIGIER_BOR")</f>
        <v>96583</v>
      </c>
      <c r="F81" s="106">
        <f>_xlfn.SUMIFS(Allocation!$W$1:$W$175,Allocation!$C$1:$C$175,"2026",Allocation!$D$1:$D$175,"PIGIER_BOR")</f>
        <v>209206</v>
      </c>
      <c r="G81" s="106">
        <f>_xlfn.SUMIFS(Allocation!$X$1:$X$175,Allocation!$C$1:$C$175,"2026",Allocation!$D$1:$D$175,"PIGIER_BOR")</f>
        <v>74806</v>
      </c>
      <c r="H81" s="106">
        <f>_xlfn.SUMIFS(Allocation!$Y$1:$Y$175,Allocation!$C$1:$C$175,"2026",Allocation!$D$1:$D$175,"PIGIER_BOR")</f>
        <v>0</v>
      </c>
      <c r="I81" s="106">
        <f>_xlfn.SUMIFS(Allocation!$AC$1:$AC$175,Allocation!$C$1:$C$175,"2026",Allocation!$D$1:$D$175,"PIGIER_BOR")</f>
        <v>0</v>
      </c>
      <c r="J81" s="106">
        <f>_xlfn.SUMIFS(Allocation!$Z$1:$Z$175,Allocation!$C$1:$C$175,"2026",Allocation!$D$1:$D$175,"PIGIER_BOR")</f>
        <v>0</v>
      </c>
      <c r="K81" s="106">
        <f t="shared" si="0"/>
        <v>380595</v>
      </c>
      <c r="L81" s="125">
        <f>_xlfn.SUMIFS(Allocation!$AA$1:$AA$175,Allocation!$C$1:$C$175,"2026",Allocation!$D$1:$D$175,"PIGIER_BOR")</f>
        <v>521195</v>
      </c>
      <c r="M81" s="107">
        <f t="shared" si="1"/>
        <v>0.577956065159294</v>
      </c>
    </row>
    <row r="82" ht="14.25" customHeight="1" hidden="0" collapsed="0" outlineLevel="2">
      <c r="B82" s="127" t="s">
        <v>153</v>
      </c>
      <c r="C82" s="102">
        <f>_xlfn.SUMIFS(Allocation!$I$1:$I$175,Allocation!$C$1:$C$175,"2026",Allocation!$D$1:$D$175,"PIGIER_BOR",Allocation!$F$1:$F$175,"BTS_GES",Allocation!$G$1:$G$175,"BTS1",Allocation!$H$1:$H$175,"ALT")</f>
        <v>36</v>
      </c>
      <c r="D82" s="15">
        <f>_xlfn.SUMIFS(Allocation!$K$1:$K$175,Allocation!$C$1:$C$175,"2026",Allocation!$D$1:$D$175,"PIGIER_BOR",Allocation!$F$1:$F$175,"BTS_GES",Allocation!$G$1:$G$175,"BTS1",Allocation!$H$1:$H$175,"ALT")</f>
        <v>212760</v>
      </c>
      <c r="E82" s="15">
        <f>_xlfn.SUMIFS(Allocation!$V$1:$V$175,Allocation!$C$1:$C$175,"2026",Allocation!$D$1:$D$175,"PIGIER_BOR",Allocation!$F$1:$F$175,"BTS_GES",Allocation!$G$1:$G$175,"BTS1",Allocation!$H$1:$H$175,"ALT")</f>
        <v>28647.5</v>
      </c>
      <c r="F82" s="15">
        <f>_xlfn.SUMIFS(Allocation!$W$1:$W$175,Allocation!$C$1:$C$175,"2026",Allocation!$D$1:$D$175,"PIGIER_BOR",Allocation!$F$1:$F$175,"BTS_GES",Allocation!$G$1:$G$175,"BTS1",Allocation!$H$1:$H$175,"ALT")</f>
        <v>62052.6271186441</v>
      </c>
      <c r="G82" s="15">
        <f>_xlfn.SUMIFS(Allocation!$X$1:$X$175,Allocation!$C$1:$C$175,"2026",Allocation!$D$1:$D$175,"PIGIER_BOR",Allocation!$F$1:$F$175,"BTS_GES",Allocation!$G$1:$G$175,"BTS1",Allocation!$H$1:$H$175,"ALT")</f>
        <v>24379.5492957746</v>
      </c>
      <c r="H82" s="15">
        <f>_xlfn.SUMIFS(Allocation!$Y$1:$Y$175,Allocation!$C$1:$C$175,"2026",Allocation!$D$1:$D$175,"PIGIER_BOR",Allocation!$F$1:$F$175,"BTS_GES",Allocation!$G$1:$G$175,"BTS1",Allocation!$H$1:$H$175,"ALT")</f>
        <v>0</v>
      </c>
      <c r="I82" s="15">
        <f>_xlfn.SUMIFS(Allocation!$AC$1:$AC$175,Allocation!$C$1:$C$175,"2026",Allocation!$D$1:$D$175,"PIGIER_BOR",Allocation!$F$1:$F$175,"BTS_GES",Allocation!$G$1:$G$175,"BTS1",Allocation!$H$1:$H$175,"ALT")</f>
        <v>0</v>
      </c>
      <c r="J82" s="15">
        <f>_xlfn.SUMIFS(Allocation!$Z$1:$Z$175,Allocation!$C$1:$C$175,"2026",Allocation!$D$1:$D$175,"PIGIER_BOR",Allocation!$F$1:$F$175,"BTS_GES",Allocation!$G$1:$G$175,"BTS1",Allocation!$H$1:$H$175,"ALT")</f>
        <v>0</v>
      </c>
      <c r="K82" s="106">
        <f t="shared" si="0"/>
        <v>115079.676414419</v>
      </c>
      <c r="L82" s="128">
        <f>_xlfn.SUMIFS(Allocation!$AA$1:$AA$175,Allocation!$C$1:$C$175,"2026",Allocation!$D$1:$D$175,"PIGIER_BOR",Allocation!$F$1:$F$175,"BTS_GES",Allocation!$G$1:$G$175,"BTS1",Allocation!$H$1:$H$175,"ALT")</f>
        <v>97680.3235855813</v>
      </c>
      <c r="M82" s="22">
        <f t="shared" si="1"/>
        <v>0.459110375942758</v>
      </c>
    </row>
    <row r="83" ht="14.25" customHeight="1" hidden="0" collapsed="0" outlineLevel="2">
      <c r="B83" s="127" t="s">
        <v>154</v>
      </c>
      <c r="C83" s="102">
        <f>_xlfn.SUMIFS(Allocation!$I$1:$I$175,Allocation!$C$1:$C$175,"2026",Allocation!$D$1:$D$175,"PIGIER_BOR",Allocation!$F$1:$F$175,"BTS_GES",Allocation!$G$1:$G$175,"BTS2",Allocation!$H$1:$H$175,"ALT")</f>
        <v>35</v>
      </c>
      <c r="D83" s="15">
        <f>_xlfn.SUMIFS(Allocation!$K$1:$K$175,Allocation!$C$1:$C$175,"2026",Allocation!$D$1:$D$175,"PIGIER_BOR",Allocation!$F$1:$F$175,"BTS_GES",Allocation!$G$1:$G$175,"BTS2",Allocation!$H$1:$H$175,"ALT")</f>
        <v>203700</v>
      </c>
      <c r="E83" s="15">
        <f>_xlfn.SUMIFS(Allocation!$V$1:$V$175,Allocation!$C$1:$C$175,"2026",Allocation!$D$1:$D$175,"PIGIER_BOR",Allocation!$F$1:$F$175,"BTS_GES",Allocation!$G$1:$G$175,"BTS2",Allocation!$H$1:$H$175,"ALT")</f>
        <v>28647.5</v>
      </c>
      <c r="F83" s="15">
        <f>_xlfn.SUMIFS(Allocation!$W$1:$W$175,Allocation!$C$1:$C$175,"2026",Allocation!$D$1:$D$175,"PIGIER_BOR",Allocation!$F$1:$F$175,"BTS_GES",Allocation!$G$1:$G$175,"BTS2",Allocation!$H$1:$H$175,"ALT")</f>
        <v>62052.6271186441</v>
      </c>
      <c r="G83" s="15">
        <f>_xlfn.SUMIFS(Allocation!$X$1:$X$175,Allocation!$C$1:$C$175,"2026",Allocation!$D$1:$D$175,"PIGIER_BOR",Allocation!$F$1:$F$175,"BTS_GES",Allocation!$G$1:$G$175,"BTS2",Allocation!$H$1:$H$175,"ALT")</f>
        <v>13023.4507042254</v>
      </c>
      <c r="H83" s="15">
        <f>_xlfn.SUMIFS(Allocation!$Y$1:$Y$175,Allocation!$C$1:$C$175,"2026",Allocation!$D$1:$D$175,"PIGIER_BOR",Allocation!$F$1:$F$175,"BTS_GES",Allocation!$G$1:$G$175,"BTS2",Allocation!$H$1:$H$175,"ALT")</f>
        <v>0</v>
      </c>
      <c r="I83" s="15">
        <f>_xlfn.SUMIFS(Allocation!$AC$1:$AC$175,Allocation!$C$1:$C$175,"2026",Allocation!$D$1:$D$175,"PIGIER_BOR",Allocation!$F$1:$F$175,"BTS_GES",Allocation!$G$1:$G$175,"BTS2",Allocation!$H$1:$H$175,"ALT")</f>
        <v>0</v>
      </c>
      <c r="J83" s="15">
        <f>_xlfn.SUMIFS(Allocation!$Z$1:$Z$175,Allocation!$C$1:$C$175,"2026",Allocation!$D$1:$D$175,"PIGIER_BOR",Allocation!$F$1:$F$175,"BTS_GES",Allocation!$G$1:$G$175,"BTS2",Allocation!$H$1:$H$175,"ALT")</f>
        <v>0</v>
      </c>
      <c r="K83" s="106">
        <f t="shared" si="0"/>
        <v>103723.577822869</v>
      </c>
      <c r="L83" s="128">
        <f>_xlfn.SUMIFS(Allocation!$AA$1:$AA$175,Allocation!$C$1:$C$175,"2026",Allocation!$D$1:$D$175,"PIGIER_BOR",Allocation!$F$1:$F$175,"BTS_GES",Allocation!$G$1:$G$175,"BTS2",Allocation!$H$1:$H$175,"ALT")</f>
        <v>99976.4221771305</v>
      </c>
      <c r="M83" s="22">
        <f t="shared" si="1"/>
        <v>0.490802268910803</v>
      </c>
    </row>
    <row r="84" ht="14.25" customHeight="1" hidden="0" collapsed="0" outlineLevel="2">
      <c r="B84" s="127" t="s">
        <v>155</v>
      </c>
      <c r="C84" s="102">
        <f>_xlfn.SUMIFS(Allocation!$I$1:$I$175,Allocation!$C$1:$C$175,"2026",Allocation!$D$1:$D$175,"PIGIER_BOR",Allocation!$F$1:$F$175,"BAC_RH",Allocation!$G$1:$G$175,"B1",Allocation!$H$1:$H$175,"ALT")</f>
        <v>36</v>
      </c>
      <c r="D84" s="15">
        <f>_xlfn.SUMIFS(Allocation!$K$1:$K$175,Allocation!$C$1:$C$175,"2026",Allocation!$D$1:$D$175,"PIGIER_BOR",Allocation!$F$1:$F$175,"BAC_RH",Allocation!$G$1:$G$175,"B1",Allocation!$H$1:$H$175,"ALT")</f>
        <v>247680</v>
      </c>
      <c r="E84" s="15">
        <f>_xlfn.SUMIFS(Allocation!$V$1:$V$175,Allocation!$C$1:$C$175,"2026",Allocation!$D$1:$D$175,"PIGIER_BOR",Allocation!$F$1:$F$175,"BAC_RH",Allocation!$G$1:$G$175,"B1",Allocation!$H$1:$H$175,"ALT")</f>
        <v>19644</v>
      </c>
      <c r="F84" s="15">
        <f>_xlfn.SUMIFS(Allocation!$W$1:$W$175,Allocation!$C$1:$C$175,"2026",Allocation!$D$1:$D$175,"PIGIER_BOR",Allocation!$F$1:$F$175,"BAC_RH",Allocation!$G$1:$G$175,"B1",Allocation!$H$1:$H$175,"ALT")</f>
        <v>42550.3728813559</v>
      </c>
      <c r="G84" s="15">
        <f>_xlfn.SUMIFS(Allocation!$X$1:$X$175,Allocation!$C$1:$C$175,"2026",Allocation!$D$1:$D$175,"PIGIER_BOR",Allocation!$F$1:$F$175,"BAC_RH",Allocation!$G$1:$G$175,"B1",Allocation!$H$1:$H$175,"ALT")</f>
        <v>24379.5492957746</v>
      </c>
      <c r="H84" s="15">
        <f>_xlfn.SUMIFS(Allocation!$Y$1:$Y$175,Allocation!$C$1:$C$175,"2026",Allocation!$D$1:$D$175,"PIGIER_BOR",Allocation!$F$1:$F$175,"BAC_RH",Allocation!$G$1:$G$175,"B1",Allocation!$H$1:$H$175,"ALT")</f>
        <v>0</v>
      </c>
      <c r="I84" s="15">
        <f>_xlfn.SUMIFS(Allocation!$AC$1:$AC$175,Allocation!$C$1:$C$175,"2026",Allocation!$D$1:$D$175,"PIGIER_BOR",Allocation!$F$1:$F$175,"BAC_RH",Allocation!$G$1:$G$175,"B1",Allocation!$H$1:$H$175,"ALT")</f>
        <v>0</v>
      </c>
      <c r="J84" s="15">
        <f>_xlfn.SUMIFS(Allocation!$Z$1:$Z$175,Allocation!$C$1:$C$175,"2026",Allocation!$D$1:$D$175,"PIGIER_BOR",Allocation!$F$1:$F$175,"BAC_RH",Allocation!$G$1:$G$175,"B1",Allocation!$H$1:$H$175,"ALT")</f>
        <v>0</v>
      </c>
      <c r="K84" s="106">
        <f t="shared" si="0"/>
        <v>86573.9221771305</v>
      </c>
      <c r="L84" s="128">
        <f>_xlfn.SUMIFS(Allocation!$AA$1:$AA$175,Allocation!$C$1:$C$175,"2026",Allocation!$D$1:$D$175,"PIGIER_BOR",Allocation!$F$1:$F$175,"BAC_RH",Allocation!$G$1:$G$175,"B1",Allocation!$H$1:$H$175,"ALT")</f>
        <v>161106.077822869</v>
      </c>
      <c r="M84" s="22">
        <f t="shared" si="1"/>
        <v>0.650460585525149</v>
      </c>
    </row>
    <row r="85" ht="14.25" customHeight="1" hidden="0" collapsed="0" outlineLevel="2">
      <c r="B85" s="127" t="s">
        <v>156</v>
      </c>
      <c r="C85" s="102">
        <f>_xlfn.SUMIFS(Allocation!$I$1:$I$175,Allocation!$C$1:$C$175,"2026",Allocation!$D$1:$D$175,"PIGIER_BOR",Allocation!$F$1:$F$175,"BAC_RH",Allocation!$G$1:$G$175,"B3",Allocation!$H$1:$H$175,"ALT")</f>
        <v>35</v>
      </c>
      <c r="D85" s="15">
        <f>_xlfn.SUMIFS(Allocation!$K$1:$K$175,Allocation!$C$1:$C$175,"2026",Allocation!$D$1:$D$175,"PIGIER_BOR",Allocation!$F$1:$F$175,"BAC_RH",Allocation!$G$1:$G$175,"B3",Allocation!$H$1:$H$175,"ALT")</f>
        <v>237650</v>
      </c>
      <c r="E85" s="15">
        <f>_xlfn.SUMIFS(Allocation!$V$1:$V$175,Allocation!$C$1:$C$175,"2026",Allocation!$D$1:$D$175,"PIGIER_BOR",Allocation!$F$1:$F$175,"BAC_RH",Allocation!$G$1:$G$175,"B3",Allocation!$H$1:$H$175,"ALT")</f>
        <v>19644</v>
      </c>
      <c r="F85" s="15">
        <f>_xlfn.SUMIFS(Allocation!$W$1:$W$175,Allocation!$C$1:$C$175,"2026",Allocation!$D$1:$D$175,"PIGIER_BOR",Allocation!$F$1:$F$175,"BAC_RH",Allocation!$G$1:$G$175,"B3",Allocation!$H$1:$H$175,"ALT")</f>
        <v>42550.3728813559</v>
      </c>
      <c r="G85" s="15">
        <f>_xlfn.SUMIFS(Allocation!$X$1:$X$175,Allocation!$C$1:$C$175,"2026",Allocation!$D$1:$D$175,"PIGIER_BOR",Allocation!$F$1:$F$175,"BAC_RH",Allocation!$G$1:$G$175,"B3",Allocation!$H$1:$H$175,"ALT")</f>
        <v>13023.4507042254</v>
      </c>
      <c r="H85" s="15">
        <f>_xlfn.SUMIFS(Allocation!$Y$1:$Y$175,Allocation!$C$1:$C$175,"2026",Allocation!$D$1:$D$175,"PIGIER_BOR",Allocation!$F$1:$F$175,"BAC_RH",Allocation!$G$1:$G$175,"B3",Allocation!$H$1:$H$175,"ALT")</f>
        <v>0</v>
      </c>
      <c r="I85" s="15">
        <f>_xlfn.SUMIFS(Allocation!$AC$1:$AC$175,Allocation!$C$1:$C$175,"2026",Allocation!$D$1:$D$175,"PIGIER_BOR",Allocation!$F$1:$F$175,"BAC_RH",Allocation!$G$1:$G$175,"B3",Allocation!$H$1:$H$175,"ALT")</f>
        <v>0</v>
      </c>
      <c r="J85" s="15">
        <f>_xlfn.SUMIFS(Allocation!$Z$1:$Z$175,Allocation!$C$1:$C$175,"2026",Allocation!$D$1:$D$175,"PIGIER_BOR",Allocation!$F$1:$F$175,"BAC_RH",Allocation!$G$1:$G$175,"B3",Allocation!$H$1:$H$175,"ALT")</f>
        <v>0</v>
      </c>
      <c r="K85" s="106">
        <f t="shared" si="0"/>
        <v>75217.8235855813</v>
      </c>
      <c r="L85" s="128">
        <f>_xlfn.SUMIFS(Allocation!$AA$1:$AA$175,Allocation!$C$1:$C$175,"2026",Allocation!$D$1:$D$175,"PIGIER_BOR",Allocation!$F$1:$F$175,"BAC_RH",Allocation!$G$1:$G$175,"B3",Allocation!$H$1:$H$175,"ALT")</f>
        <v>162432.176414419</v>
      </c>
      <c r="M85" s="22">
        <f t="shared" si="1"/>
        <v>0.683493273361746</v>
      </c>
    </row>
    <row r="86" ht="14.25" customHeight="1">
      <c r="B86" s="132" t="s">
        <v>34</v>
      </c>
      <c r="C86" s="105">
        <f>_xlfn.SUMIFS(Allocation!$I$1:$I$175,Allocation!$C$1:$C$175,"2026",Allocation!$E$1:$E$175,"TUNON")</f>
        <v>255</v>
      </c>
      <c r="D86" s="106">
        <f>_xlfn.SUMIFS(Allocation!$K$1:$K$175,Allocation!$C$1:$C$175,"2026",Allocation!$E$1:$E$175,"TUNON")</f>
        <v>1949700</v>
      </c>
      <c r="E86" s="106">
        <f>_xlfn.SUMIFS(Allocation!$V$1:$V$175,Allocation!$C$1:$C$175,"2026",Allocation!$E$1:$E$175,"TUNON")</f>
        <v>144876</v>
      </c>
      <c r="F86" s="106">
        <f>_xlfn.SUMIFS(Allocation!$W$1:$W$175,Allocation!$C$1:$C$175,"2026",Allocation!$E$1:$E$175,"TUNON")</f>
        <v>409445</v>
      </c>
      <c r="G86" s="106">
        <f>_xlfn.SUMIFS(Allocation!$X$1:$X$175,Allocation!$C$1:$C$175,"2026",Allocation!$E$1:$E$175,"TUNON")</f>
        <v>143974</v>
      </c>
      <c r="H86" s="106">
        <f>_xlfn.SUMIFS(Allocation!$Y$1:$Y$175,Allocation!$C$1:$C$175,"2026",Allocation!$E$1:$E$175,"TUNON")</f>
        <v>0</v>
      </c>
      <c r="I86" s="106">
        <f>_xlfn.SUMIFS(Allocation!$AC$1:$AC$175,Allocation!$C$1:$C$175,"2026",Allocation!$E$1:$E$175,"TUNON")</f>
        <v>0</v>
      </c>
      <c r="J86" s="106">
        <f>_xlfn.SUMIFS(Allocation!$Z$1:$Z$175,Allocation!$C$1:$C$175,"2026",Allocation!$E$1:$E$175,"TUNON")</f>
        <v>0</v>
      </c>
      <c r="K86" s="106">
        <f t="shared" si="0"/>
        <v>698295</v>
      </c>
      <c r="L86" s="125">
        <f>_xlfn.SUMIFS(Allocation!$AA$1:$AA$175,Allocation!$C$1:$C$175,"2026",Allocation!$E$1:$E$175,"TUNON")</f>
        <v>1251405</v>
      </c>
      <c r="M86" s="107">
        <f t="shared" si="1"/>
        <v>0.641844899215264</v>
      </c>
    </row>
    <row r="87" ht="14.25" customHeight="1" hidden="0" collapsed="1" outlineLevel="1">
      <c r="B87" s="126" t="s">
        <v>158</v>
      </c>
      <c r="C87" s="105">
        <f>_xlfn.SUMIFS(Allocation!$I$1:$I$175,Allocation!$C$1:$C$175,"2026",Allocation!$D$1:$D$175,"TUNON_PAR")</f>
        <v>138</v>
      </c>
      <c r="D87" s="106">
        <f>_xlfn.SUMIFS(Allocation!$K$1:$K$175,Allocation!$C$1:$C$175,"2026",Allocation!$D$1:$D$175,"TUNON_PAR")</f>
        <v>1086150</v>
      </c>
      <c r="E87" s="106">
        <f>_xlfn.SUMIFS(Allocation!$V$1:$V$175,Allocation!$C$1:$C$175,"2026",Allocation!$D$1:$D$175,"TUNON_PAR")</f>
        <v>72438</v>
      </c>
      <c r="F87" s="106">
        <f>_xlfn.SUMIFS(Allocation!$W$1:$W$175,Allocation!$C$1:$C$175,"2026",Allocation!$D$1:$D$175,"TUNON_PAR")</f>
        <v>242081</v>
      </c>
      <c r="G87" s="106">
        <f>_xlfn.SUMIFS(Allocation!$X$1:$X$175,Allocation!$C$1:$C$175,"2026",Allocation!$D$1:$D$175,"TUNON_PAR")</f>
        <v>81589</v>
      </c>
      <c r="H87" s="106">
        <f>_xlfn.SUMIFS(Allocation!$Y$1:$Y$175,Allocation!$C$1:$C$175,"2026",Allocation!$D$1:$D$175,"TUNON_PAR")</f>
        <v>0</v>
      </c>
      <c r="I87" s="106">
        <f>_xlfn.SUMIFS(Allocation!$AC$1:$AC$175,Allocation!$C$1:$C$175,"2026",Allocation!$D$1:$D$175,"TUNON_PAR")</f>
        <v>0</v>
      </c>
      <c r="J87" s="106">
        <f>_xlfn.SUMIFS(Allocation!$Z$1:$Z$175,Allocation!$C$1:$C$175,"2026",Allocation!$D$1:$D$175,"TUNON_PAR")</f>
        <v>0</v>
      </c>
      <c r="K87" s="106">
        <f t="shared" si="0"/>
        <v>396108</v>
      </c>
      <c r="L87" s="125">
        <f>_xlfn.SUMIFS(Allocation!$AA$1:$AA$175,Allocation!$C$1:$C$175,"2026",Allocation!$D$1:$D$175,"TUNON_PAR")</f>
        <v>690042</v>
      </c>
      <c r="M87" s="107">
        <f t="shared" si="1"/>
        <v>0.635310040049717</v>
      </c>
    </row>
    <row r="88" ht="14.25" customHeight="1" hidden="1" collapsed="0" outlineLevel="2">
      <c r="B88" s="127" t="s">
        <v>159</v>
      </c>
      <c r="C88" s="102">
        <f>_xlfn.SUMIFS(Allocation!$I$1:$I$175,Allocation!$C$1:$C$175,"2026",Allocation!$D$1:$D$175,"TUNON_PAR",Allocation!$F$1:$F$175,"BAC_TOU",Allocation!$G$1:$G$175,"B1",Allocation!$H$1:$H$175,"ALT")</f>
        <v>47</v>
      </c>
      <c r="D88" s="15">
        <f>_xlfn.SUMIFS(Allocation!$K$1:$K$175,Allocation!$C$1:$C$175,"2026",Allocation!$D$1:$D$175,"TUNON_PAR",Allocation!$F$1:$F$175,"BAC_TOU",Allocation!$G$1:$G$175,"B1",Allocation!$H$1:$H$175,"ALT")</f>
        <v>372710</v>
      </c>
      <c r="E88" s="15">
        <f>_xlfn.SUMIFS(Allocation!$V$1:$V$175,Allocation!$C$1:$C$175,"2026",Allocation!$D$1:$D$175,"TUNON_PAR",Allocation!$F$1:$F$175,"BAC_TOU",Allocation!$G$1:$G$175,"B1",Allocation!$H$1:$H$175,"ALT")</f>
        <v>24146</v>
      </c>
      <c r="F88" s="15">
        <f>_xlfn.SUMIFS(Allocation!$W$1:$W$175,Allocation!$C$1:$C$175,"2026",Allocation!$D$1:$D$175,"TUNON_PAR",Allocation!$F$1:$F$175,"BAC_TOU",Allocation!$G$1:$G$175,"B1",Allocation!$H$1:$H$175,"ALT")</f>
        <v>80693.6666666667</v>
      </c>
      <c r="G88" s="15">
        <f>_xlfn.SUMIFS(Allocation!$X$1:$X$175,Allocation!$C$1:$C$175,"2026",Allocation!$D$1:$D$175,"TUNON_PAR",Allocation!$F$1:$F$175,"BAC_TOU",Allocation!$G$1:$G$175,"B1",Allocation!$H$1:$H$175,"ALT")</f>
        <v>47728.4275362319</v>
      </c>
      <c r="H88" s="15">
        <f>_xlfn.SUMIFS(Allocation!$Y$1:$Y$175,Allocation!$C$1:$C$175,"2026",Allocation!$D$1:$D$175,"TUNON_PAR",Allocation!$F$1:$F$175,"BAC_TOU",Allocation!$G$1:$G$175,"B1",Allocation!$H$1:$H$175,"ALT")</f>
        <v>0</v>
      </c>
      <c r="I88" s="15">
        <f>_xlfn.SUMIFS(Allocation!$AC$1:$AC$175,Allocation!$C$1:$C$175,"2026",Allocation!$D$1:$D$175,"TUNON_PAR",Allocation!$F$1:$F$175,"BAC_TOU",Allocation!$G$1:$G$175,"B1",Allocation!$H$1:$H$175,"ALT")</f>
        <v>0</v>
      </c>
      <c r="J88" s="15">
        <f>_xlfn.SUMIFS(Allocation!$Z$1:$Z$175,Allocation!$C$1:$C$175,"2026",Allocation!$D$1:$D$175,"TUNON_PAR",Allocation!$F$1:$F$175,"BAC_TOU",Allocation!$G$1:$G$175,"B1",Allocation!$H$1:$H$175,"ALT")</f>
        <v>0</v>
      </c>
      <c r="K88" s="106">
        <f t="shared" si="0"/>
        <v>152568.094202899</v>
      </c>
      <c r="L88" s="128">
        <f>_xlfn.SUMIFS(Allocation!$AA$1:$AA$175,Allocation!$C$1:$C$175,"2026",Allocation!$D$1:$D$175,"TUNON_PAR",Allocation!$F$1:$F$175,"BAC_TOU",Allocation!$G$1:$G$175,"B1",Allocation!$H$1:$H$175,"ALT")</f>
        <v>220141.905797101</v>
      </c>
      <c r="M88" s="22">
        <f t="shared" si="1"/>
        <v>0.590651996987204</v>
      </c>
    </row>
    <row r="89" ht="14.25" customHeight="1" hidden="1" collapsed="0" outlineLevel="2">
      <c r="B89" s="127" t="s">
        <v>160</v>
      </c>
      <c r="C89" s="102">
        <f>_xlfn.SUMIFS(Allocation!$I$1:$I$175,Allocation!$C$1:$C$175,"2026",Allocation!$D$1:$D$175,"TUNON_PAR",Allocation!$F$1:$F$175,"BAC_TOU",Allocation!$G$1:$G$175,"B2",Allocation!$H$1:$H$175,"ALT")</f>
        <v>46</v>
      </c>
      <c r="D89" s="15">
        <f>_xlfn.SUMIFS(Allocation!$K$1:$K$175,Allocation!$C$1:$C$175,"2026",Allocation!$D$1:$D$175,"TUNON_PAR",Allocation!$F$1:$F$175,"BAC_TOU",Allocation!$G$1:$G$175,"B2",Allocation!$H$1:$H$175,"ALT")</f>
        <v>360640</v>
      </c>
      <c r="E89" s="15">
        <f>_xlfn.SUMIFS(Allocation!$V$1:$V$175,Allocation!$C$1:$C$175,"2026",Allocation!$D$1:$D$175,"TUNON_PAR",Allocation!$F$1:$F$175,"BAC_TOU",Allocation!$G$1:$G$175,"B2",Allocation!$H$1:$H$175,"ALT")</f>
        <v>24146</v>
      </c>
      <c r="F89" s="15">
        <f>_xlfn.SUMIFS(Allocation!$W$1:$W$175,Allocation!$C$1:$C$175,"2026",Allocation!$D$1:$D$175,"TUNON_PAR",Allocation!$F$1:$F$175,"BAC_TOU",Allocation!$G$1:$G$175,"B2",Allocation!$H$1:$H$175,"ALT")</f>
        <v>80693.6666666667</v>
      </c>
      <c r="G89" s="15">
        <f>_xlfn.SUMIFS(Allocation!$X$1:$X$175,Allocation!$C$1:$C$175,"2026",Allocation!$D$1:$D$175,"TUNON_PAR",Allocation!$F$1:$F$175,"BAC_TOU",Allocation!$G$1:$G$175,"B2",Allocation!$H$1:$H$175,"ALT")</f>
        <v>17116.3333333333</v>
      </c>
      <c r="H89" s="15">
        <f>_xlfn.SUMIFS(Allocation!$Y$1:$Y$175,Allocation!$C$1:$C$175,"2026",Allocation!$D$1:$D$175,"TUNON_PAR",Allocation!$F$1:$F$175,"BAC_TOU",Allocation!$G$1:$G$175,"B2",Allocation!$H$1:$H$175,"ALT")</f>
        <v>0</v>
      </c>
      <c r="I89" s="15">
        <f>_xlfn.SUMIFS(Allocation!$AC$1:$AC$175,Allocation!$C$1:$C$175,"2026",Allocation!$D$1:$D$175,"TUNON_PAR",Allocation!$F$1:$F$175,"BAC_TOU",Allocation!$G$1:$G$175,"B2",Allocation!$H$1:$H$175,"ALT")</f>
        <v>0</v>
      </c>
      <c r="J89" s="15">
        <f>_xlfn.SUMIFS(Allocation!$Z$1:$Z$175,Allocation!$C$1:$C$175,"2026",Allocation!$D$1:$D$175,"TUNON_PAR",Allocation!$F$1:$F$175,"BAC_TOU",Allocation!$G$1:$G$175,"B2",Allocation!$H$1:$H$175,"ALT")</f>
        <v>0</v>
      </c>
      <c r="K89" s="106">
        <f t="shared" si="0"/>
        <v>121956</v>
      </c>
      <c r="L89" s="128">
        <f>_xlfn.SUMIFS(Allocation!$AA$1:$AA$175,Allocation!$C$1:$C$175,"2026",Allocation!$D$1:$D$175,"TUNON_PAR",Allocation!$F$1:$F$175,"BAC_TOU",Allocation!$G$1:$G$175,"B2",Allocation!$H$1:$H$175,"ALT")</f>
        <v>238684</v>
      </c>
      <c r="M89" s="22">
        <f t="shared" si="1"/>
        <v>0.661834516415262</v>
      </c>
    </row>
    <row r="90" ht="14.25" customHeight="1" hidden="1" collapsed="0" outlineLevel="2">
      <c r="B90" s="127" t="s">
        <v>161</v>
      </c>
      <c r="C90" s="102">
        <f>_xlfn.SUMIFS(Allocation!$I$1:$I$175,Allocation!$C$1:$C$175,"2026",Allocation!$D$1:$D$175,"TUNON_PAR",Allocation!$F$1:$F$175,"BAC_TOU",Allocation!$G$1:$G$175,"B3",Allocation!$H$1:$H$175,"ALT")</f>
        <v>45</v>
      </c>
      <c r="D90" s="15">
        <f>_xlfn.SUMIFS(Allocation!$K$1:$K$175,Allocation!$C$1:$C$175,"2026",Allocation!$D$1:$D$175,"TUNON_PAR",Allocation!$F$1:$F$175,"BAC_TOU",Allocation!$G$1:$G$175,"B3",Allocation!$H$1:$H$175,"ALT")</f>
        <v>352800</v>
      </c>
      <c r="E90" s="15">
        <f>_xlfn.SUMIFS(Allocation!$V$1:$V$175,Allocation!$C$1:$C$175,"2026",Allocation!$D$1:$D$175,"TUNON_PAR",Allocation!$F$1:$F$175,"BAC_TOU",Allocation!$G$1:$G$175,"B3",Allocation!$H$1:$H$175,"ALT")</f>
        <v>24146</v>
      </c>
      <c r="F90" s="15">
        <f>_xlfn.SUMIFS(Allocation!$W$1:$W$175,Allocation!$C$1:$C$175,"2026",Allocation!$D$1:$D$175,"TUNON_PAR",Allocation!$F$1:$F$175,"BAC_TOU",Allocation!$G$1:$G$175,"B3",Allocation!$H$1:$H$175,"ALT")</f>
        <v>80693.6666666667</v>
      </c>
      <c r="G90" s="15">
        <f>_xlfn.SUMIFS(Allocation!$X$1:$X$175,Allocation!$C$1:$C$175,"2026",Allocation!$D$1:$D$175,"TUNON_PAR",Allocation!$F$1:$F$175,"BAC_TOU",Allocation!$G$1:$G$175,"B3",Allocation!$H$1:$H$175,"ALT")</f>
        <v>16744.2391304348</v>
      </c>
      <c r="H90" s="15">
        <f>_xlfn.SUMIFS(Allocation!$Y$1:$Y$175,Allocation!$C$1:$C$175,"2026",Allocation!$D$1:$D$175,"TUNON_PAR",Allocation!$F$1:$F$175,"BAC_TOU",Allocation!$G$1:$G$175,"B3",Allocation!$H$1:$H$175,"ALT")</f>
        <v>0</v>
      </c>
      <c r="I90" s="15">
        <f>_xlfn.SUMIFS(Allocation!$AC$1:$AC$175,Allocation!$C$1:$C$175,"2026",Allocation!$D$1:$D$175,"TUNON_PAR",Allocation!$F$1:$F$175,"BAC_TOU",Allocation!$G$1:$G$175,"B3",Allocation!$H$1:$H$175,"ALT")</f>
        <v>0</v>
      </c>
      <c r="J90" s="15">
        <f>_xlfn.SUMIFS(Allocation!$Z$1:$Z$175,Allocation!$C$1:$C$175,"2026",Allocation!$D$1:$D$175,"TUNON_PAR",Allocation!$F$1:$F$175,"BAC_TOU",Allocation!$G$1:$G$175,"B3",Allocation!$H$1:$H$175,"ALT")</f>
        <v>0</v>
      </c>
      <c r="K90" s="106">
        <f t="shared" si="0"/>
        <v>121583.905797101</v>
      </c>
      <c r="L90" s="128">
        <f>_xlfn.SUMIFS(Allocation!$AA$1:$AA$175,Allocation!$C$1:$C$175,"2026",Allocation!$D$1:$D$175,"TUNON_PAR",Allocation!$F$1:$F$175,"BAC_TOU",Allocation!$G$1:$G$175,"B3",Allocation!$H$1:$H$175,"ALT")</f>
        <v>231216.094202899</v>
      </c>
      <c r="M90" s="22">
        <f t="shared" si="1"/>
        <v>0.655374416674884</v>
      </c>
    </row>
    <row r="91" ht="14.25" customHeight="1" hidden="0" collapsed="1" outlineLevel="1">
      <c r="B91" s="126" t="s">
        <v>162</v>
      </c>
      <c r="C91" s="105">
        <f>_xlfn.SUMIFS(Allocation!$I$1:$I$175,Allocation!$C$1:$C$175,"2026",Allocation!$D$1:$D$175,"TUNON_LYO")</f>
        <v>117</v>
      </c>
      <c r="D91" s="106">
        <f>_xlfn.SUMIFS(Allocation!$K$1:$K$175,Allocation!$C$1:$C$175,"2026",Allocation!$D$1:$D$175,"TUNON_LYO")</f>
        <v>863550</v>
      </c>
      <c r="E91" s="106">
        <f>_xlfn.SUMIFS(Allocation!$V$1:$V$175,Allocation!$C$1:$C$175,"2026",Allocation!$D$1:$D$175,"TUNON_LYO")</f>
        <v>72438</v>
      </c>
      <c r="F91" s="106">
        <f>_xlfn.SUMIFS(Allocation!$W$1:$W$175,Allocation!$C$1:$C$175,"2026",Allocation!$D$1:$D$175,"TUNON_LYO")</f>
        <v>167364</v>
      </c>
      <c r="G91" s="106">
        <f>_xlfn.SUMIFS(Allocation!$X$1:$X$175,Allocation!$C$1:$C$175,"2026",Allocation!$D$1:$D$175,"TUNON_LYO")</f>
        <v>62385.0000000001</v>
      </c>
      <c r="H91" s="106">
        <f>_xlfn.SUMIFS(Allocation!$Y$1:$Y$175,Allocation!$C$1:$C$175,"2026",Allocation!$D$1:$D$175,"TUNON_LYO")</f>
        <v>0</v>
      </c>
      <c r="I91" s="106">
        <f>_xlfn.SUMIFS(Allocation!$AC$1:$AC$175,Allocation!$C$1:$C$175,"2026",Allocation!$D$1:$D$175,"TUNON_LYO")</f>
        <v>0</v>
      </c>
      <c r="J91" s="106">
        <f>_xlfn.SUMIFS(Allocation!$Z$1:$Z$175,Allocation!$C$1:$C$175,"2026",Allocation!$D$1:$D$175,"TUNON_LYO")</f>
        <v>0</v>
      </c>
      <c r="K91" s="106">
        <f t="shared" si="0"/>
        <v>302187</v>
      </c>
      <c r="L91" s="125">
        <f>_xlfn.SUMIFS(Allocation!$AA$1:$AA$175,Allocation!$C$1:$C$175,"2026",Allocation!$D$1:$D$175,"TUNON_LYO")</f>
        <v>561362.999999999</v>
      </c>
      <c r="M91" s="107">
        <f t="shared" si="1"/>
        <v>0.650064269584852</v>
      </c>
    </row>
    <row r="92" ht="14.25" customHeight="1" hidden="0" collapsed="0" outlineLevel="2">
      <c r="B92" s="127" t="s">
        <v>159</v>
      </c>
      <c r="C92" s="102">
        <f>_xlfn.SUMIFS(Allocation!$I$1:$I$175,Allocation!$C$1:$C$175,"2026",Allocation!$D$1:$D$175,"TUNON_LYO",Allocation!$F$1:$F$175,"BAC_TOU",Allocation!$G$1:$G$175,"B1",Allocation!$H$1:$H$175,"ALT")</f>
        <v>40</v>
      </c>
      <c r="D92" s="15">
        <f>_xlfn.SUMIFS(Allocation!$K$1:$K$175,Allocation!$C$1:$C$175,"2026",Allocation!$D$1:$D$175,"TUNON_LYO",Allocation!$F$1:$F$175,"BAC_TOU",Allocation!$G$1:$G$175,"B1",Allocation!$H$1:$H$175,"ALT")</f>
        <v>297600</v>
      </c>
      <c r="E92" s="15">
        <f>_xlfn.SUMIFS(Allocation!$V$1:$V$175,Allocation!$C$1:$C$175,"2026",Allocation!$D$1:$D$175,"TUNON_LYO",Allocation!$F$1:$F$175,"BAC_TOU",Allocation!$G$1:$G$175,"B1",Allocation!$H$1:$H$175,"ALT")</f>
        <v>24146</v>
      </c>
      <c r="F92" s="15">
        <f>_xlfn.SUMIFS(Allocation!$W$1:$W$175,Allocation!$C$1:$C$175,"2026",Allocation!$D$1:$D$175,"TUNON_LYO",Allocation!$F$1:$F$175,"BAC_TOU",Allocation!$G$1:$G$175,"B1",Allocation!$H$1:$H$175,"ALT")</f>
        <v>55788</v>
      </c>
      <c r="G92" s="15">
        <f>_xlfn.SUMIFS(Allocation!$X$1:$X$175,Allocation!$C$1:$C$175,"2026",Allocation!$D$1:$D$175,"TUNON_LYO",Allocation!$F$1:$F$175,"BAC_TOU",Allocation!$G$1:$G$175,"B1",Allocation!$H$1:$H$175,"ALT")</f>
        <v>33733.7606837607</v>
      </c>
      <c r="H92" s="15">
        <f>_xlfn.SUMIFS(Allocation!$Y$1:$Y$175,Allocation!$C$1:$C$175,"2026",Allocation!$D$1:$D$175,"TUNON_LYO",Allocation!$F$1:$F$175,"BAC_TOU",Allocation!$G$1:$G$175,"B1",Allocation!$H$1:$H$175,"ALT")</f>
        <v>0</v>
      </c>
      <c r="I92" s="15">
        <f>_xlfn.SUMIFS(Allocation!$AC$1:$AC$175,Allocation!$C$1:$C$175,"2026",Allocation!$D$1:$D$175,"TUNON_LYO",Allocation!$F$1:$F$175,"BAC_TOU",Allocation!$G$1:$G$175,"B1",Allocation!$H$1:$H$175,"ALT")</f>
        <v>0</v>
      </c>
      <c r="J92" s="15">
        <f>_xlfn.SUMIFS(Allocation!$Z$1:$Z$175,Allocation!$C$1:$C$175,"2026",Allocation!$D$1:$D$175,"TUNON_LYO",Allocation!$F$1:$F$175,"BAC_TOU",Allocation!$G$1:$G$175,"B1",Allocation!$H$1:$H$175,"ALT")</f>
        <v>0</v>
      </c>
      <c r="K92" s="106">
        <f t="shared" si="0"/>
        <v>113667.760683761</v>
      </c>
      <c r="L92" s="128">
        <f>_xlfn.SUMIFS(Allocation!$AA$1:$AA$175,Allocation!$C$1:$C$175,"2026",Allocation!$D$1:$D$175,"TUNON_LYO",Allocation!$F$1:$F$175,"BAC_TOU",Allocation!$G$1:$G$175,"B1",Allocation!$H$1:$H$175,"ALT")</f>
        <v>183932.239316239</v>
      </c>
      <c r="M92" s="22">
        <f t="shared" si="1"/>
        <v>0.618051879422846</v>
      </c>
    </row>
    <row r="93" ht="14.25" customHeight="1" hidden="0" collapsed="0" outlineLevel="2">
      <c r="B93" s="127" t="s">
        <v>160</v>
      </c>
      <c r="C93" s="102">
        <f>_xlfn.SUMIFS(Allocation!$I$1:$I$175,Allocation!$C$1:$C$175,"2026",Allocation!$D$1:$D$175,"TUNON_LYO",Allocation!$F$1:$F$175,"BAC_TOU",Allocation!$G$1:$G$175,"B2",Allocation!$H$1:$H$175,"ALT")</f>
        <v>39</v>
      </c>
      <c r="D93" s="15">
        <f>_xlfn.SUMIFS(Allocation!$K$1:$K$175,Allocation!$C$1:$C$175,"2026",Allocation!$D$1:$D$175,"TUNON_LYO",Allocation!$F$1:$F$175,"BAC_TOU",Allocation!$G$1:$G$175,"B2",Allocation!$H$1:$H$175,"ALT")</f>
        <v>286650</v>
      </c>
      <c r="E93" s="15">
        <f>_xlfn.SUMIFS(Allocation!$V$1:$V$175,Allocation!$C$1:$C$175,"2026",Allocation!$D$1:$D$175,"TUNON_LYO",Allocation!$F$1:$F$175,"BAC_TOU",Allocation!$G$1:$G$175,"B2",Allocation!$H$1:$H$175,"ALT")</f>
        <v>24146</v>
      </c>
      <c r="F93" s="15">
        <f>_xlfn.SUMIFS(Allocation!$W$1:$W$175,Allocation!$C$1:$C$175,"2026",Allocation!$D$1:$D$175,"TUNON_LYO",Allocation!$F$1:$F$175,"BAC_TOU",Allocation!$G$1:$G$175,"B2",Allocation!$H$1:$H$175,"ALT")</f>
        <v>55788</v>
      </c>
      <c r="G93" s="15">
        <f>_xlfn.SUMIFS(Allocation!$X$1:$X$175,Allocation!$C$1:$C$175,"2026",Allocation!$D$1:$D$175,"TUNON_LYO",Allocation!$F$1:$F$175,"BAC_TOU",Allocation!$G$1:$G$175,"B2",Allocation!$H$1:$H$175,"ALT")</f>
        <v>14511.6666666667</v>
      </c>
      <c r="H93" s="15">
        <f>_xlfn.SUMIFS(Allocation!$Y$1:$Y$175,Allocation!$C$1:$C$175,"2026",Allocation!$D$1:$D$175,"TUNON_LYO",Allocation!$F$1:$F$175,"BAC_TOU",Allocation!$G$1:$G$175,"B2",Allocation!$H$1:$H$175,"ALT")</f>
        <v>0</v>
      </c>
      <c r="I93" s="15">
        <f>_xlfn.SUMIFS(Allocation!$AC$1:$AC$175,Allocation!$C$1:$C$175,"2026",Allocation!$D$1:$D$175,"TUNON_LYO",Allocation!$F$1:$F$175,"BAC_TOU",Allocation!$G$1:$G$175,"B2",Allocation!$H$1:$H$175,"ALT")</f>
        <v>0</v>
      </c>
      <c r="J93" s="15">
        <f>_xlfn.SUMIFS(Allocation!$Z$1:$Z$175,Allocation!$C$1:$C$175,"2026",Allocation!$D$1:$D$175,"TUNON_LYO",Allocation!$F$1:$F$175,"BAC_TOU",Allocation!$G$1:$G$175,"B2",Allocation!$H$1:$H$175,"ALT")</f>
        <v>0</v>
      </c>
      <c r="K93" s="106">
        <f t="shared" si="0"/>
        <v>94445.6666666667</v>
      </c>
      <c r="L93" s="128">
        <f>_xlfn.SUMIFS(Allocation!$AA$1:$AA$175,Allocation!$C$1:$C$175,"2026",Allocation!$D$1:$D$175,"TUNON_LYO",Allocation!$F$1:$F$175,"BAC_TOU",Allocation!$G$1:$G$175,"B2",Allocation!$H$1:$H$175,"ALT")</f>
        <v>192204.333333333</v>
      </c>
      <c r="M93" s="22">
        <f t="shared" si="1"/>
        <v>0.670519216233501</v>
      </c>
    </row>
    <row r="94" ht="14.25" customHeight="1" hidden="0" collapsed="0" outlineLevel="2">
      <c r="B94" s="127" t="s">
        <v>161</v>
      </c>
      <c r="C94" s="102">
        <f>_xlfn.SUMIFS(Allocation!$I$1:$I$175,Allocation!$C$1:$C$175,"2026",Allocation!$D$1:$D$175,"TUNON_LYO",Allocation!$F$1:$F$175,"BAC_TOU",Allocation!$G$1:$G$175,"B3",Allocation!$H$1:$H$175,"ALT")</f>
        <v>38</v>
      </c>
      <c r="D94" s="15">
        <f>_xlfn.SUMIFS(Allocation!$K$1:$K$175,Allocation!$C$1:$C$175,"2026",Allocation!$D$1:$D$175,"TUNON_LYO",Allocation!$F$1:$F$175,"BAC_TOU",Allocation!$G$1:$G$175,"B3",Allocation!$H$1:$H$175,"ALT")</f>
        <v>279300</v>
      </c>
      <c r="E94" s="15">
        <f>_xlfn.SUMIFS(Allocation!$V$1:$V$175,Allocation!$C$1:$C$175,"2026",Allocation!$D$1:$D$175,"TUNON_LYO",Allocation!$F$1:$F$175,"BAC_TOU",Allocation!$G$1:$G$175,"B3",Allocation!$H$1:$H$175,"ALT")</f>
        <v>24146</v>
      </c>
      <c r="F94" s="15">
        <f>_xlfn.SUMIFS(Allocation!$W$1:$W$175,Allocation!$C$1:$C$175,"2026",Allocation!$D$1:$D$175,"TUNON_LYO",Allocation!$F$1:$F$175,"BAC_TOU",Allocation!$G$1:$G$175,"B3",Allocation!$H$1:$H$175,"ALT")</f>
        <v>55788</v>
      </c>
      <c r="G94" s="15">
        <f>_xlfn.SUMIFS(Allocation!$X$1:$X$175,Allocation!$C$1:$C$175,"2026",Allocation!$D$1:$D$175,"TUNON_LYO",Allocation!$F$1:$F$175,"BAC_TOU",Allocation!$G$1:$G$175,"B3",Allocation!$H$1:$H$175,"ALT")</f>
        <v>14139.5726495727</v>
      </c>
      <c r="H94" s="15">
        <f>_xlfn.SUMIFS(Allocation!$Y$1:$Y$175,Allocation!$C$1:$C$175,"2026",Allocation!$D$1:$D$175,"TUNON_LYO",Allocation!$F$1:$F$175,"BAC_TOU",Allocation!$G$1:$G$175,"B3",Allocation!$H$1:$H$175,"ALT")</f>
        <v>0</v>
      </c>
      <c r="I94" s="15">
        <f>_xlfn.SUMIFS(Allocation!$AC$1:$AC$175,Allocation!$C$1:$C$175,"2026",Allocation!$D$1:$D$175,"TUNON_LYO",Allocation!$F$1:$F$175,"BAC_TOU",Allocation!$G$1:$G$175,"B3",Allocation!$H$1:$H$175,"ALT")</f>
        <v>0</v>
      </c>
      <c r="J94" s="15">
        <f>_xlfn.SUMIFS(Allocation!$Z$1:$Z$175,Allocation!$C$1:$C$175,"2026",Allocation!$D$1:$D$175,"TUNON_LYO",Allocation!$F$1:$F$175,"BAC_TOU",Allocation!$G$1:$G$175,"B3",Allocation!$H$1:$H$175,"ALT")</f>
        <v>0</v>
      </c>
      <c r="K94" s="106">
        <f t="shared" si="0"/>
        <v>94073.5726495727</v>
      </c>
      <c r="L94" s="128">
        <f>_xlfn.SUMIFS(Allocation!$AA$1:$AA$175,Allocation!$C$1:$C$175,"2026",Allocation!$D$1:$D$175,"TUNON_LYO",Allocation!$F$1:$F$175,"BAC_TOU",Allocation!$G$1:$G$175,"B3",Allocation!$H$1:$H$175,"ALT")</f>
        <v>185226.427350427</v>
      </c>
      <c r="M94" s="22">
        <f t="shared" si="1"/>
        <v>0.66318090709068</v>
      </c>
    </row>
    <row r="95" ht="14.25" customHeight="1">
      <c r="B95" s="133" t="s">
        <v>163</v>
      </c>
      <c r="C95" s="105">
        <f>_xlfn.SUMIFS(Allocation!$I$1:$I$175,Allocation!$C$1:$C$175,"2026")</f>
        <v>3036</v>
      </c>
      <c r="D95" s="106">
        <f>_xlfn.SUMIFS(Allocation!$K$1:$K$175,Allocation!$C$1:$C$175,"2026")</f>
        <v>22544725</v>
      </c>
      <c r="E95" s="106">
        <f>_xlfn.SUMIFS(Allocation!$V$1:$V$175,Allocation!$C$1:$C$175,"2026")</f>
        <v>1581554</v>
      </c>
      <c r="F95" s="106">
        <f>_xlfn.SUMIFS(Allocation!$W$1:$W$175,Allocation!$C$1:$C$175,"2026")</f>
        <v>3840917</v>
      </c>
      <c r="G95" s="106">
        <f>_xlfn.SUMIFS(Allocation!$X$1:$X$175,Allocation!$C$1:$C$175,"2026")</f>
        <v>1563856</v>
      </c>
      <c r="H95" s="106">
        <f>_xlfn.SUMIFS(Allocation!$Y$1:$Y$175,Allocation!$C$1:$C$175,"2026")</f>
        <v>1452771</v>
      </c>
      <c r="I95" s="106">
        <f>_xlfn.SUMIFS(Allocation!$AC$1:$AC$175,Allocation!$C$1:$C$175,"2026")</f>
        <v>676344</v>
      </c>
      <c r="J95" s="106">
        <f>_xlfn.SUMIFS(Allocation!$Z$1:$Z$175,Allocation!$C$1:$C$175,"2026")</f>
        <v>2891983</v>
      </c>
      <c r="K95" s="106">
        <f t="shared" si="0"/>
        <v>12007425</v>
      </c>
      <c r="L95" s="106">
        <f>_xlfn.SUMIFS(Allocation!$AA$1:$AA$175,Allocation!$C$1:$C$175,"2026")</f>
        <v>10537300</v>
      </c>
      <c r="M95" s="107">
        <f t="shared" si="1"/>
        <v>0.467395366321834</v>
      </c>
    </row>
  </sheetData>
  <sheetProtection sheet="1" sort="1" autoFilter="0" objects="1"/>
  <conditionalFormatting sqref="M18:M98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sqref="C6:C9" type="list">
      <formula1>"Chiffre d'affaires,Effectif,Nombre de classes"</formula1>
    </dataValidation>
  </dataValidation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F4954D8-2018-AFE1-3E68-1D71F0D56A55}" mc:Ignorable="x14ac xr xr2 xr3">
  <dimension ref="A1:AD448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s="2" t="s">
        <v>164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109</v>
      </c>
      <c r="N1" s="2" t="s">
        <v>176</v>
      </c>
      <c r="O1" s="2" t="s">
        <v>177</v>
      </c>
      <c r="P1" s="2" t="s">
        <v>178</v>
      </c>
      <c r="Q1" s="2" t="s">
        <v>179</v>
      </c>
      <c r="R1" s="2" t="s">
        <v>180</v>
      </c>
      <c r="S1" s="2" t="s">
        <v>181</v>
      </c>
      <c r="T1" s="2" t="s">
        <v>182</v>
      </c>
      <c r="U1" s="2" t="s">
        <v>183</v>
      </c>
      <c r="V1" s="2" t="s">
        <v>184</v>
      </c>
      <c r="W1" s="2" t="s">
        <v>185</v>
      </c>
      <c r="X1" s="2" t="s">
        <v>186</v>
      </c>
      <c r="Y1" s="2" t="s">
        <v>187</v>
      </c>
      <c r="Z1" s="2" t="s">
        <v>188</v>
      </c>
      <c r="AA1" s="2" t="s">
        <v>189</v>
      </c>
      <c r="AB1" s="2" t="s">
        <v>190</v>
      </c>
      <c r="AC1" s="2" t="s">
        <v>119</v>
      </c>
    </row>
    <row r="2" ht="14.25" customHeight="1">
      <c r="A2" t="s">
        <v>191</v>
      </c>
      <c r="B2" t="s">
        <v>192</v>
      </c>
      <c r="C2" t="s">
        <v>75</v>
      </c>
      <c r="D2" t="s">
        <v>193</v>
      </c>
      <c r="E2" t="s">
        <v>194</v>
      </c>
      <c r="F2" t="s">
        <v>195</v>
      </c>
      <c r="G2" t="s">
        <v>25</v>
      </c>
      <c r="H2">
        <v>646</v>
      </c>
      <c r="I2">
        <v>181</v>
      </c>
      <c r="J2">
        <v>130</v>
      </c>
      <c r="K2">
        <v>78</v>
      </c>
      <c r="L2">
        <v>0</v>
      </c>
      <c r="M2">
        <v>78</v>
      </c>
      <c r="N2">
        <v>0</v>
      </c>
      <c r="O2">
        <v>3</v>
      </c>
      <c r="P2">
        <v>8400</v>
      </c>
      <c r="Q2">
        <v>90</v>
      </c>
      <c r="R2">
        <v>232</v>
      </c>
      <c r="S2">
        <v>414</v>
      </c>
      <c r="T2">
        <v>22326</v>
      </c>
      <c r="U2">
        <v>21185</v>
      </c>
      <c r="V2">
        <v>0</v>
      </c>
      <c r="W2">
        <v>0.280185759</v>
      </c>
      <c r="X2">
        <v>0.718232044</v>
      </c>
      <c r="Y2">
        <v>0.6</v>
      </c>
      <c r="Z2">
        <v>646</v>
      </c>
      <c r="AA2">
        <v>0.359133127</v>
      </c>
      <c r="AB2">
        <v>53.927536232</v>
      </c>
      <c r="AC2">
        <v>662220</v>
      </c>
    </row>
    <row r="3" ht="14.25" customHeight="1">
      <c r="A3" t="s">
        <v>191</v>
      </c>
      <c r="B3" t="s">
        <v>192</v>
      </c>
      <c r="C3" t="s">
        <v>75</v>
      </c>
      <c r="D3" t="s">
        <v>193</v>
      </c>
      <c r="E3" t="s">
        <v>196</v>
      </c>
      <c r="F3" t="s">
        <v>197</v>
      </c>
      <c r="G3" t="s">
        <v>25</v>
      </c>
      <c r="H3">
        <v>0</v>
      </c>
      <c r="I3">
        <v>0</v>
      </c>
      <c r="J3">
        <v>0</v>
      </c>
      <c r="K3">
        <v>0</v>
      </c>
      <c r="L3">
        <v>76</v>
      </c>
      <c r="M3">
        <v>76</v>
      </c>
      <c r="N3">
        <v>78</v>
      </c>
      <c r="O3">
        <v>3</v>
      </c>
      <c r="P3">
        <v>7840</v>
      </c>
      <c r="Q3">
        <v>90</v>
      </c>
      <c r="R3">
        <v>0</v>
      </c>
      <c r="S3">
        <v>0</v>
      </c>
      <c r="T3">
        <v>0</v>
      </c>
      <c r="U3">
        <v>0</v>
      </c>
      <c r="V3">
        <v>0.974358974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595840</v>
      </c>
    </row>
    <row r="4" ht="14.25" customHeight="1">
      <c r="A4" t="s">
        <v>191</v>
      </c>
      <c r="B4" t="s">
        <v>192</v>
      </c>
      <c r="C4" t="s">
        <v>75</v>
      </c>
      <c r="D4" t="s">
        <v>193</v>
      </c>
      <c r="E4" t="s">
        <v>198</v>
      </c>
      <c r="F4" t="s">
        <v>197</v>
      </c>
      <c r="G4" t="s">
        <v>25</v>
      </c>
      <c r="H4">
        <v>0</v>
      </c>
      <c r="I4">
        <v>0</v>
      </c>
      <c r="J4">
        <v>0</v>
      </c>
      <c r="K4">
        <v>0</v>
      </c>
      <c r="L4">
        <v>74</v>
      </c>
      <c r="M4">
        <v>74</v>
      </c>
      <c r="N4">
        <v>76</v>
      </c>
      <c r="O4">
        <v>3</v>
      </c>
      <c r="P4">
        <v>7840</v>
      </c>
      <c r="Q4">
        <v>90</v>
      </c>
      <c r="R4">
        <v>0</v>
      </c>
      <c r="S4">
        <v>0</v>
      </c>
      <c r="T4">
        <v>0</v>
      </c>
      <c r="U4">
        <v>0</v>
      </c>
      <c r="V4">
        <v>0.973684211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580160</v>
      </c>
    </row>
    <row r="5" ht="14.25" customHeight="1">
      <c r="A5" t="s">
        <v>191</v>
      </c>
      <c r="B5" t="s">
        <v>192</v>
      </c>
      <c r="C5" t="s">
        <v>75</v>
      </c>
      <c r="D5" t="s">
        <v>199</v>
      </c>
      <c r="E5" t="s">
        <v>200</v>
      </c>
      <c r="F5" t="s">
        <v>197</v>
      </c>
      <c r="G5" t="s">
        <v>25</v>
      </c>
      <c r="H5">
        <v>1330</v>
      </c>
      <c r="I5">
        <v>266</v>
      </c>
      <c r="J5">
        <v>186</v>
      </c>
      <c r="K5">
        <v>78</v>
      </c>
      <c r="L5">
        <v>0</v>
      </c>
      <c r="M5">
        <v>78</v>
      </c>
      <c r="N5">
        <v>0</v>
      </c>
      <c r="O5">
        <v>3</v>
      </c>
      <c r="P5">
        <v>8400</v>
      </c>
      <c r="Q5">
        <v>90</v>
      </c>
      <c r="R5">
        <v>479</v>
      </c>
      <c r="S5">
        <v>851</v>
      </c>
      <c r="T5">
        <v>45965</v>
      </c>
      <c r="U5">
        <v>43615</v>
      </c>
      <c r="V5">
        <v>0</v>
      </c>
      <c r="W5">
        <v>0.2</v>
      </c>
      <c r="X5">
        <v>0.69924812</v>
      </c>
      <c r="Y5">
        <v>0.419354839</v>
      </c>
      <c r="Z5">
        <v>1330</v>
      </c>
      <c r="AA5">
        <v>0.360150376</v>
      </c>
      <c r="AB5">
        <v>54.012925969</v>
      </c>
      <c r="AC5">
        <v>662220</v>
      </c>
    </row>
    <row r="6" ht="14.25" customHeight="1">
      <c r="A6" t="s">
        <v>191</v>
      </c>
      <c r="B6" t="s">
        <v>192</v>
      </c>
      <c r="C6" t="s">
        <v>75</v>
      </c>
      <c r="D6" t="s">
        <v>199</v>
      </c>
      <c r="E6" t="s">
        <v>201</v>
      </c>
      <c r="F6" t="s">
        <v>197</v>
      </c>
      <c r="G6" t="s">
        <v>25</v>
      </c>
      <c r="H6">
        <v>0</v>
      </c>
      <c r="I6">
        <v>0</v>
      </c>
      <c r="J6">
        <v>0</v>
      </c>
      <c r="K6">
        <v>0</v>
      </c>
      <c r="L6">
        <v>76</v>
      </c>
      <c r="M6">
        <v>76</v>
      </c>
      <c r="N6">
        <v>78</v>
      </c>
      <c r="O6">
        <v>3</v>
      </c>
      <c r="P6">
        <v>8400</v>
      </c>
      <c r="Q6">
        <v>90</v>
      </c>
      <c r="R6">
        <v>0</v>
      </c>
      <c r="S6">
        <v>0</v>
      </c>
      <c r="T6">
        <v>0</v>
      </c>
      <c r="U6">
        <v>0</v>
      </c>
      <c r="V6">
        <v>0.974358974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638400</v>
      </c>
    </row>
    <row r="7" ht="14.25" customHeight="1">
      <c r="A7" t="s">
        <v>191</v>
      </c>
      <c r="B7" t="s">
        <v>192</v>
      </c>
      <c r="C7" t="s">
        <v>77</v>
      </c>
      <c r="D7" t="s">
        <v>193</v>
      </c>
      <c r="E7" t="s">
        <v>194</v>
      </c>
      <c r="F7" t="s">
        <v>195</v>
      </c>
      <c r="G7" t="s">
        <v>25</v>
      </c>
      <c r="H7">
        <v>546</v>
      </c>
      <c r="I7">
        <v>153</v>
      </c>
      <c r="J7">
        <v>110</v>
      </c>
      <c r="K7">
        <v>66</v>
      </c>
      <c r="L7">
        <v>0</v>
      </c>
      <c r="M7">
        <v>66</v>
      </c>
      <c r="N7">
        <v>0</v>
      </c>
      <c r="O7">
        <v>3</v>
      </c>
      <c r="P7">
        <v>7875</v>
      </c>
      <c r="Q7">
        <v>90</v>
      </c>
      <c r="R7">
        <v>235</v>
      </c>
      <c r="S7">
        <v>311</v>
      </c>
      <c r="T7">
        <v>13694</v>
      </c>
      <c r="U7">
        <v>21386</v>
      </c>
      <c r="V7">
        <v>0</v>
      </c>
      <c r="W7">
        <v>0.28021978</v>
      </c>
      <c r="X7">
        <v>0.718954248</v>
      </c>
      <c r="Y7">
        <v>0.6</v>
      </c>
      <c r="Z7">
        <v>546</v>
      </c>
      <c r="AA7">
        <v>0.43040293</v>
      </c>
      <c r="AB7">
        <v>44.032154341</v>
      </c>
      <c r="AC7">
        <v>525690</v>
      </c>
    </row>
    <row r="8" ht="14.25" customHeight="1">
      <c r="A8" t="s">
        <v>191</v>
      </c>
      <c r="B8" t="s">
        <v>192</v>
      </c>
      <c r="C8" t="s">
        <v>77</v>
      </c>
      <c r="D8" t="s">
        <v>193</v>
      </c>
      <c r="E8" t="s">
        <v>196</v>
      </c>
      <c r="F8" t="s">
        <v>197</v>
      </c>
      <c r="G8" t="s">
        <v>25</v>
      </c>
      <c r="H8">
        <v>0</v>
      </c>
      <c r="I8">
        <v>0</v>
      </c>
      <c r="J8">
        <v>0</v>
      </c>
      <c r="K8">
        <v>0</v>
      </c>
      <c r="L8">
        <v>64</v>
      </c>
      <c r="M8">
        <v>64</v>
      </c>
      <c r="N8">
        <v>66</v>
      </c>
      <c r="O8">
        <v>2</v>
      </c>
      <c r="P8">
        <v>7350</v>
      </c>
      <c r="Q8">
        <v>90</v>
      </c>
      <c r="R8">
        <v>0</v>
      </c>
      <c r="S8">
        <v>0</v>
      </c>
      <c r="T8">
        <v>0</v>
      </c>
      <c r="U8">
        <v>0</v>
      </c>
      <c r="V8">
        <v>0.96969697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470400</v>
      </c>
    </row>
    <row r="9" ht="14.25" customHeight="1">
      <c r="A9" t="s">
        <v>191</v>
      </c>
      <c r="B9" t="s">
        <v>192</v>
      </c>
      <c r="C9" t="s">
        <v>77</v>
      </c>
      <c r="D9" t="s">
        <v>193</v>
      </c>
      <c r="E9" t="s">
        <v>198</v>
      </c>
      <c r="F9" t="s">
        <v>197</v>
      </c>
      <c r="G9" t="s">
        <v>25</v>
      </c>
      <c r="H9">
        <v>0</v>
      </c>
      <c r="I9">
        <v>0</v>
      </c>
      <c r="J9">
        <v>0</v>
      </c>
      <c r="K9">
        <v>0</v>
      </c>
      <c r="L9">
        <v>63</v>
      </c>
      <c r="M9">
        <v>63</v>
      </c>
      <c r="N9">
        <v>64</v>
      </c>
      <c r="O9">
        <v>2</v>
      </c>
      <c r="P9">
        <v>7350</v>
      </c>
      <c r="Q9">
        <v>90</v>
      </c>
      <c r="R9">
        <v>0</v>
      </c>
      <c r="S9">
        <v>0</v>
      </c>
      <c r="T9">
        <v>0</v>
      </c>
      <c r="U9">
        <v>0</v>
      </c>
      <c r="V9">
        <v>0.984375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463050</v>
      </c>
    </row>
    <row r="10" ht="14.25" customHeight="1">
      <c r="A10" t="s">
        <v>191</v>
      </c>
      <c r="B10" t="s">
        <v>192</v>
      </c>
      <c r="C10" t="s">
        <v>77</v>
      </c>
      <c r="D10" t="s">
        <v>199</v>
      </c>
      <c r="E10" t="s">
        <v>200</v>
      </c>
      <c r="F10" t="s">
        <v>197</v>
      </c>
      <c r="G10" t="s">
        <v>25</v>
      </c>
      <c r="H10">
        <v>1120</v>
      </c>
      <c r="I10">
        <v>224</v>
      </c>
      <c r="J10">
        <v>157</v>
      </c>
      <c r="K10">
        <v>66</v>
      </c>
      <c r="L10">
        <v>0</v>
      </c>
      <c r="M10">
        <v>66</v>
      </c>
      <c r="N10">
        <v>0</v>
      </c>
      <c r="O10">
        <v>3</v>
      </c>
      <c r="P10">
        <v>7875</v>
      </c>
      <c r="Q10">
        <v>90</v>
      </c>
      <c r="R10">
        <v>481</v>
      </c>
      <c r="S10">
        <v>639</v>
      </c>
      <c r="T10">
        <v>28089</v>
      </c>
      <c r="U10">
        <v>43869</v>
      </c>
      <c r="V10">
        <v>0</v>
      </c>
      <c r="W10">
        <v>0.2</v>
      </c>
      <c r="X10">
        <v>0.700892857</v>
      </c>
      <c r="Y10">
        <v>0.420382166</v>
      </c>
      <c r="Z10">
        <v>1120</v>
      </c>
      <c r="AA10">
        <v>0.429464286</v>
      </c>
      <c r="AB10">
        <v>43.957746479</v>
      </c>
      <c r="AC10">
        <v>525690</v>
      </c>
    </row>
    <row r="11" ht="14.25" customHeight="1">
      <c r="A11" t="s">
        <v>191</v>
      </c>
      <c r="B11" t="s">
        <v>192</v>
      </c>
      <c r="C11" t="s">
        <v>77</v>
      </c>
      <c r="D11" t="s">
        <v>199</v>
      </c>
      <c r="E11" t="s">
        <v>201</v>
      </c>
      <c r="F11" t="s">
        <v>197</v>
      </c>
      <c r="G11" t="s">
        <v>25</v>
      </c>
      <c r="H11">
        <v>0</v>
      </c>
      <c r="I11">
        <v>0</v>
      </c>
      <c r="J11">
        <v>0</v>
      </c>
      <c r="K11">
        <v>0</v>
      </c>
      <c r="L11">
        <v>65</v>
      </c>
      <c r="M11">
        <v>65</v>
      </c>
      <c r="N11">
        <v>66</v>
      </c>
      <c r="O11">
        <v>3</v>
      </c>
      <c r="P11">
        <v>7875</v>
      </c>
      <c r="Q11">
        <v>90</v>
      </c>
      <c r="R11">
        <v>0</v>
      </c>
      <c r="S11">
        <v>0</v>
      </c>
      <c r="T11">
        <v>0</v>
      </c>
      <c r="U11">
        <v>0</v>
      </c>
      <c r="V11">
        <v>0.984848485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511875</v>
      </c>
    </row>
    <row r="12" ht="14.25" customHeight="1">
      <c r="A12" t="s">
        <v>191</v>
      </c>
      <c r="B12" t="s">
        <v>192</v>
      </c>
      <c r="C12" t="s">
        <v>79</v>
      </c>
      <c r="D12" t="s">
        <v>193</v>
      </c>
      <c r="E12" t="s">
        <v>194</v>
      </c>
      <c r="F12" t="s">
        <v>195</v>
      </c>
      <c r="G12" t="s">
        <v>25</v>
      </c>
      <c r="H12">
        <v>496</v>
      </c>
      <c r="I12">
        <v>139</v>
      </c>
      <c r="J12">
        <v>100</v>
      </c>
      <c r="K12">
        <v>60</v>
      </c>
      <c r="L12">
        <v>0</v>
      </c>
      <c r="M12">
        <v>60</v>
      </c>
      <c r="N12">
        <v>0</v>
      </c>
      <c r="O12">
        <v>2</v>
      </c>
      <c r="P12">
        <v>7500</v>
      </c>
      <c r="Q12">
        <v>90</v>
      </c>
      <c r="R12">
        <v>238</v>
      </c>
      <c r="S12">
        <v>258</v>
      </c>
      <c r="T12">
        <v>10317</v>
      </c>
      <c r="U12">
        <v>21708</v>
      </c>
      <c r="V12">
        <v>0</v>
      </c>
      <c r="W12">
        <v>0.280241935</v>
      </c>
      <c r="X12">
        <v>0.71942446</v>
      </c>
      <c r="Y12">
        <v>0.6</v>
      </c>
      <c r="Z12">
        <v>496</v>
      </c>
      <c r="AA12">
        <v>0.47983871</v>
      </c>
      <c r="AB12">
        <v>39.988372093</v>
      </c>
      <c r="AC12">
        <v>455400</v>
      </c>
    </row>
    <row r="13" ht="14.25" customHeight="1">
      <c r="A13" t="s">
        <v>191</v>
      </c>
      <c r="B13" t="s">
        <v>192</v>
      </c>
      <c r="C13" t="s">
        <v>79</v>
      </c>
      <c r="D13" t="s">
        <v>193</v>
      </c>
      <c r="E13" t="s">
        <v>196</v>
      </c>
      <c r="F13" t="s">
        <v>197</v>
      </c>
      <c r="G13" t="s">
        <v>25</v>
      </c>
      <c r="H13">
        <v>0</v>
      </c>
      <c r="I13">
        <v>0</v>
      </c>
      <c r="J13">
        <v>0</v>
      </c>
      <c r="K13">
        <v>0</v>
      </c>
      <c r="L13">
        <v>58</v>
      </c>
      <c r="M13">
        <v>58</v>
      </c>
      <c r="N13">
        <v>60</v>
      </c>
      <c r="O13">
        <v>2</v>
      </c>
      <c r="P13">
        <v>7000</v>
      </c>
      <c r="Q13">
        <v>90</v>
      </c>
      <c r="R13">
        <v>0</v>
      </c>
      <c r="S13">
        <v>0</v>
      </c>
      <c r="T13">
        <v>0</v>
      </c>
      <c r="U13">
        <v>0</v>
      </c>
      <c r="V13">
        <v>0.966666667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406000</v>
      </c>
    </row>
    <row r="14" ht="14.25" customHeight="1">
      <c r="A14" t="s">
        <v>191</v>
      </c>
      <c r="B14" t="s">
        <v>192</v>
      </c>
      <c r="C14" t="s">
        <v>79</v>
      </c>
      <c r="D14" t="s">
        <v>193</v>
      </c>
      <c r="E14" t="s">
        <v>198</v>
      </c>
      <c r="F14" t="s">
        <v>197</v>
      </c>
      <c r="G14" t="s">
        <v>25</v>
      </c>
      <c r="H14">
        <v>0</v>
      </c>
      <c r="I14">
        <v>0</v>
      </c>
      <c r="J14">
        <v>0</v>
      </c>
      <c r="K14">
        <v>0</v>
      </c>
      <c r="L14">
        <v>57</v>
      </c>
      <c r="M14">
        <v>57</v>
      </c>
      <c r="N14">
        <v>58</v>
      </c>
      <c r="O14">
        <v>2</v>
      </c>
      <c r="P14">
        <v>7000</v>
      </c>
      <c r="Q14">
        <v>90</v>
      </c>
      <c r="R14">
        <v>0</v>
      </c>
      <c r="S14">
        <v>0</v>
      </c>
      <c r="T14">
        <v>0</v>
      </c>
      <c r="U14">
        <v>0</v>
      </c>
      <c r="V14">
        <v>0.982758621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399000</v>
      </c>
    </row>
    <row r="15" ht="14.25" customHeight="1">
      <c r="A15" t="s">
        <v>191</v>
      </c>
      <c r="B15" t="s">
        <v>192</v>
      </c>
      <c r="C15" t="s">
        <v>79</v>
      </c>
      <c r="D15" t="s">
        <v>199</v>
      </c>
      <c r="E15" t="s">
        <v>200</v>
      </c>
      <c r="F15" t="s">
        <v>197</v>
      </c>
      <c r="G15" t="s">
        <v>25</v>
      </c>
      <c r="H15">
        <v>1020</v>
      </c>
      <c r="I15">
        <v>204</v>
      </c>
      <c r="J15">
        <v>143</v>
      </c>
      <c r="K15">
        <v>60</v>
      </c>
      <c r="L15">
        <v>0</v>
      </c>
      <c r="M15">
        <v>60</v>
      </c>
      <c r="N15">
        <v>0</v>
      </c>
      <c r="O15">
        <v>3</v>
      </c>
      <c r="P15">
        <v>7500</v>
      </c>
      <c r="Q15">
        <v>90</v>
      </c>
      <c r="R15">
        <v>490</v>
      </c>
      <c r="S15">
        <v>530</v>
      </c>
      <c r="T15">
        <v>21216</v>
      </c>
      <c r="U15">
        <v>44641</v>
      </c>
      <c r="V15">
        <v>0</v>
      </c>
      <c r="W15">
        <v>0.2</v>
      </c>
      <c r="X15">
        <v>0.700980392</v>
      </c>
      <c r="Y15">
        <v>0.41958042</v>
      </c>
      <c r="Z15">
        <v>1020</v>
      </c>
      <c r="AA15">
        <v>0.480392157</v>
      </c>
      <c r="AB15">
        <v>40.030188679</v>
      </c>
      <c r="AC15">
        <v>455400</v>
      </c>
    </row>
    <row r="16" ht="14.25" customHeight="1">
      <c r="A16" t="s">
        <v>191</v>
      </c>
      <c r="B16" t="s">
        <v>192</v>
      </c>
      <c r="C16" t="s">
        <v>79</v>
      </c>
      <c r="D16" t="s">
        <v>199</v>
      </c>
      <c r="E16" t="s">
        <v>201</v>
      </c>
      <c r="F16" t="s">
        <v>197</v>
      </c>
      <c r="G16" t="s">
        <v>25</v>
      </c>
      <c r="H16">
        <v>0</v>
      </c>
      <c r="I16">
        <v>0</v>
      </c>
      <c r="J16">
        <v>0</v>
      </c>
      <c r="K16">
        <v>0</v>
      </c>
      <c r="L16">
        <v>59</v>
      </c>
      <c r="M16">
        <v>59</v>
      </c>
      <c r="N16">
        <v>60</v>
      </c>
      <c r="O16">
        <v>3</v>
      </c>
      <c r="P16">
        <v>7500</v>
      </c>
      <c r="Q16">
        <v>90</v>
      </c>
      <c r="R16">
        <v>0</v>
      </c>
      <c r="S16">
        <v>0</v>
      </c>
      <c r="T16">
        <v>0</v>
      </c>
      <c r="U16">
        <v>0</v>
      </c>
      <c r="V16">
        <v>0.983333333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442500</v>
      </c>
    </row>
    <row r="17" ht="14.25" customHeight="1">
      <c r="A17" t="s">
        <v>191</v>
      </c>
      <c r="B17" t="s">
        <v>192</v>
      </c>
      <c r="C17" t="s">
        <v>81</v>
      </c>
      <c r="D17" t="s">
        <v>193</v>
      </c>
      <c r="E17" t="s">
        <v>194</v>
      </c>
      <c r="F17" t="s">
        <v>195</v>
      </c>
      <c r="G17" t="s">
        <v>25</v>
      </c>
      <c r="H17">
        <v>421</v>
      </c>
      <c r="I17">
        <v>118</v>
      </c>
      <c r="J17">
        <v>85</v>
      </c>
      <c r="K17">
        <v>51</v>
      </c>
      <c r="L17">
        <v>0</v>
      </c>
      <c r="M17">
        <v>51</v>
      </c>
      <c r="N17">
        <v>0</v>
      </c>
      <c r="O17">
        <v>2</v>
      </c>
      <c r="P17">
        <v>7275</v>
      </c>
      <c r="Q17">
        <v>90</v>
      </c>
      <c r="R17">
        <v>206</v>
      </c>
      <c r="S17">
        <v>215</v>
      </c>
      <c r="T17">
        <v>8159</v>
      </c>
      <c r="U17">
        <v>18797</v>
      </c>
      <c r="V17">
        <v>0</v>
      </c>
      <c r="W17">
        <v>0.280285036</v>
      </c>
      <c r="X17">
        <v>0.720338983</v>
      </c>
      <c r="Y17">
        <v>0.6</v>
      </c>
      <c r="Z17">
        <v>421</v>
      </c>
      <c r="AA17">
        <v>0.489311164</v>
      </c>
      <c r="AB17">
        <v>37.948837209</v>
      </c>
      <c r="AC17">
        <v>375615</v>
      </c>
    </row>
    <row r="18" ht="14.25" customHeight="1">
      <c r="A18" t="s">
        <v>191</v>
      </c>
      <c r="B18" t="s">
        <v>192</v>
      </c>
      <c r="C18" t="s">
        <v>81</v>
      </c>
      <c r="D18" t="s">
        <v>193</v>
      </c>
      <c r="E18" t="s">
        <v>196</v>
      </c>
      <c r="F18" t="s">
        <v>197</v>
      </c>
      <c r="G18" t="s">
        <v>25</v>
      </c>
      <c r="H18">
        <v>0</v>
      </c>
      <c r="I18">
        <v>0</v>
      </c>
      <c r="J18">
        <v>0</v>
      </c>
      <c r="K18">
        <v>0</v>
      </c>
      <c r="L18">
        <v>49</v>
      </c>
      <c r="M18">
        <v>49</v>
      </c>
      <c r="N18">
        <v>51</v>
      </c>
      <c r="O18">
        <v>2</v>
      </c>
      <c r="P18">
        <v>6790</v>
      </c>
      <c r="Q18">
        <v>90</v>
      </c>
      <c r="R18">
        <v>0</v>
      </c>
      <c r="S18">
        <v>0</v>
      </c>
      <c r="T18">
        <v>0</v>
      </c>
      <c r="U18">
        <v>0</v>
      </c>
      <c r="V18">
        <v>0.960784314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332710</v>
      </c>
    </row>
    <row r="19" ht="14.25" customHeight="1">
      <c r="A19" t="s">
        <v>191</v>
      </c>
      <c r="B19" t="s">
        <v>192</v>
      </c>
      <c r="C19" t="s">
        <v>81</v>
      </c>
      <c r="D19" t="s">
        <v>193</v>
      </c>
      <c r="E19" t="s">
        <v>198</v>
      </c>
      <c r="F19" t="s">
        <v>197</v>
      </c>
      <c r="G19" t="s">
        <v>25</v>
      </c>
      <c r="H19">
        <v>0</v>
      </c>
      <c r="I19">
        <v>0</v>
      </c>
      <c r="J19">
        <v>0</v>
      </c>
      <c r="K19">
        <v>0</v>
      </c>
      <c r="L19">
        <v>48</v>
      </c>
      <c r="M19">
        <v>48</v>
      </c>
      <c r="N19">
        <v>49</v>
      </c>
      <c r="O19">
        <v>2</v>
      </c>
      <c r="P19">
        <v>6790</v>
      </c>
      <c r="Q19">
        <v>90</v>
      </c>
      <c r="R19">
        <v>0</v>
      </c>
      <c r="S19">
        <v>0</v>
      </c>
      <c r="T19">
        <v>0</v>
      </c>
      <c r="U19">
        <v>0</v>
      </c>
      <c r="V19">
        <v>0.979591837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325920</v>
      </c>
    </row>
    <row r="20" ht="14.25" customHeight="1">
      <c r="A20" t="s">
        <v>191</v>
      </c>
      <c r="B20" t="s">
        <v>192</v>
      </c>
      <c r="C20" t="s">
        <v>81</v>
      </c>
      <c r="D20" t="s">
        <v>199</v>
      </c>
      <c r="E20" t="s">
        <v>200</v>
      </c>
      <c r="F20" t="s">
        <v>197</v>
      </c>
      <c r="G20" t="s">
        <v>25</v>
      </c>
      <c r="H20">
        <v>865</v>
      </c>
      <c r="I20">
        <v>173</v>
      </c>
      <c r="J20">
        <v>121</v>
      </c>
      <c r="K20">
        <v>51</v>
      </c>
      <c r="L20">
        <v>0</v>
      </c>
      <c r="M20">
        <v>51</v>
      </c>
      <c r="N20">
        <v>0</v>
      </c>
      <c r="O20">
        <v>2</v>
      </c>
      <c r="P20">
        <v>7275</v>
      </c>
      <c r="Q20">
        <v>90</v>
      </c>
      <c r="R20">
        <v>424</v>
      </c>
      <c r="S20">
        <v>441</v>
      </c>
      <c r="T20">
        <v>16764</v>
      </c>
      <c r="U20">
        <v>38621</v>
      </c>
      <c r="V20">
        <v>0</v>
      </c>
      <c r="W20">
        <v>0.2</v>
      </c>
      <c r="X20">
        <v>0.699421965</v>
      </c>
      <c r="Y20">
        <v>0.421487603</v>
      </c>
      <c r="Z20">
        <v>865</v>
      </c>
      <c r="AA20">
        <v>0.49017341</v>
      </c>
      <c r="AB20">
        <v>38.013605442</v>
      </c>
      <c r="AC20">
        <v>375615</v>
      </c>
    </row>
    <row r="21" ht="14.25" customHeight="1">
      <c r="A21" t="s">
        <v>191</v>
      </c>
      <c r="B21" t="s">
        <v>192</v>
      </c>
      <c r="C21" t="s">
        <v>81</v>
      </c>
      <c r="D21" t="s">
        <v>199</v>
      </c>
      <c r="E21" t="s">
        <v>201</v>
      </c>
      <c r="F21" t="s">
        <v>197</v>
      </c>
      <c r="G21" t="s">
        <v>25</v>
      </c>
      <c r="H21">
        <v>0</v>
      </c>
      <c r="I21">
        <v>0</v>
      </c>
      <c r="J21">
        <v>0</v>
      </c>
      <c r="K21">
        <v>0</v>
      </c>
      <c r="L21">
        <v>50</v>
      </c>
      <c r="M21">
        <v>50</v>
      </c>
      <c r="N21">
        <v>51</v>
      </c>
      <c r="O21">
        <v>2</v>
      </c>
      <c r="P21">
        <v>7275</v>
      </c>
      <c r="Q21">
        <v>90</v>
      </c>
      <c r="R21">
        <v>0</v>
      </c>
      <c r="S21">
        <v>0</v>
      </c>
      <c r="T21">
        <v>0</v>
      </c>
      <c r="U21">
        <v>0</v>
      </c>
      <c r="V21">
        <v>0.980392157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363750</v>
      </c>
    </row>
    <row r="22" ht="14.25" customHeight="1">
      <c r="A22" t="s">
        <v>191</v>
      </c>
      <c r="B22" t="s">
        <v>192</v>
      </c>
      <c r="C22" t="s">
        <v>83</v>
      </c>
      <c r="D22" t="s">
        <v>202</v>
      </c>
      <c r="E22" t="s">
        <v>194</v>
      </c>
      <c r="F22" t="s">
        <v>195</v>
      </c>
      <c r="G22" t="s">
        <v>25</v>
      </c>
      <c r="H22">
        <v>596</v>
      </c>
      <c r="I22">
        <v>167</v>
      </c>
      <c r="J22">
        <v>120</v>
      </c>
      <c r="K22">
        <v>72</v>
      </c>
      <c r="L22">
        <v>0</v>
      </c>
      <c r="M22">
        <v>72</v>
      </c>
      <c r="N22">
        <v>0</v>
      </c>
      <c r="O22">
        <v>3</v>
      </c>
      <c r="P22">
        <v>8400</v>
      </c>
      <c r="Q22">
        <v>90</v>
      </c>
      <c r="R22">
        <v>226</v>
      </c>
      <c r="S22">
        <v>370</v>
      </c>
      <c r="T22">
        <v>19954</v>
      </c>
      <c r="U22">
        <v>20639</v>
      </c>
      <c r="V22">
        <v>0</v>
      </c>
      <c r="W22">
        <v>0.280201342</v>
      </c>
      <c r="X22">
        <v>0.718562874</v>
      </c>
      <c r="Y22">
        <v>0.6</v>
      </c>
      <c r="Z22">
        <v>596</v>
      </c>
      <c r="AA22">
        <v>0.379194631</v>
      </c>
      <c r="AB22">
        <v>53.92972973</v>
      </c>
      <c r="AC22">
        <v>611280</v>
      </c>
    </row>
    <row r="23" ht="14.25" customHeight="1">
      <c r="A23" t="s">
        <v>191</v>
      </c>
      <c r="B23" t="s">
        <v>192</v>
      </c>
      <c r="C23" t="s">
        <v>83</v>
      </c>
      <c r="D23" t="s">
        <v>202</v>
      </c>
      <c r="E23" t="s">
        <v>196</v>
      </c>
      <c r="F23" t="s">
        <v>197</v>
      </c>
      <c r="G23" t="s">
        <v>25</v>
      </c>
      <c r="H23">
        <v>0</v>
      </c>
      <c r="I23">
        <v>0</v>
      </c>
      <c r="J23">
        <v>0</v>
      </c>
      <c r="K23">
        <v>0</v>
      </c>
      <c r="L23">
        <v>70</v>
      </c>
      <c r="M23">
        <v>70</v>
      </c>
      <c r="N23">
        <v>72</v>
      </c>
      <c r="O23">
        <v>3</v>
      </c>
      <c r="P23">
        <v>7840</v>
      </c>
      <c r="Q23">
        <v>90</v>
      </c>
      <c r="R23">
        <v>0</v>
      </c>
      <c r="S23">
        <v>0</v>
      </c>
      <c r="T23">
        <v>0</v>
      </c>
      <c r="U23">
        <v>0</v>
      </c>
      <c r="V23">
        <v>0.972222222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548800</v>
      </c>
    </row>
    <row r="24" ht="14.25" customHeight="1">
      <c r="A24" t="s">
        <v>191</v>
      </c>
      <c r="B24" t="s">
        <v>192</v>
      </c>
      <c r="C24" t="s">
        <v>83</v>
      </c>
      <c r="D24" t="s">
        <v>202</v>
      </c>
      <c r="E24" t="s">
        <v>198</v>
      </c>
      <c r="F24" t="s">
        <v>197</v>
      </c>
      <c r="G24" t="s">
        <v>25</v>
      </c>
      <c r="H24">
        <v>0</v>
      </c>
      <c r="I24">
        <v>0</v>
      </c>
      <c r="J24">
        <v>0</v>
      </c>
      <c r="K24">
        <v>0</v>
      </c>
      <c r="L24">
        <v>69</v>
      </c>
      <c r="M24">
        <v>69</v>
      </c>
      <c r="N24">
        <v>70</v>
      </c>
      <c r="O24">
        <v>3</v>
      </c>
      <c r="P24">
        <v>7840</v>
      </c>
      <c r="Q24">
        <v>90</v>
      </c>
      <c r="R24">
        <v>0</v>
      </c>
      <c r="S24">
        <v>0</v>
      </c>
      <c r="T24">
        <v>0</v>
      </c>
      <c r="U24">
        <v>0</v>
      </c>
      <c r="V24">
        <v>0.985714286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540960</v>
      </c>
    </row>
    <row r="25" ht="14.25" customHeight="1">
      <c r="A25" t="s">
        <v>191</v>
      </c>
      <c r="B25" t="s">
        <v>192</v>
      </c>
      <c r="C25" t="s">
        <v>83</v>
      </c>
      <c r="D25" t="s">
        <v>203</v>
      </c>
      <c r="E25" t="s">
        <v>200</v>
      </c>
      <c r="F25" t="s">
        <v>197</v>
      </c>
      <c r="G25" t="s">
        <v>25</v>
      </c>
      <c r="H25">
        <v>1220</v>
      </c>
      <c r="I25">
        <v>244</v>
      </c>
      <c r="J25">
        <v>171</v>
      </c>
      <c r="K25">
        <v>72</v>
      </c>
      <c r="L25">
        <v>0</v>
      </c>
      <c r="M25">
        <v>72</v>
      </c>
      <c r="N25">
        <v>0</v>
      </c>
      <c r="O25">
        <v>3</v>
      </c>
      <c r="P25">
        <v>8400</v>
      </c>
      <c r="Q25">
        <v>90</v>
      </c>
      <c r="R25">
        <v>464</v>
      </c>
      <c r="S25">
        <v>756</v>
      </c>
      <c r="T25">
        <v>40846</v>
      </c>
      <c r="U25">
        <v>42247</v>
      </c>
      <c r="V25">
        <v>0</v>
      </c>
      <c r="W25">
        <v>0.2</v>
      </c>
      <c r="X25">
        <v>0.700819672</v>
      </c>
      <c r="Y25">
        <v>0.421052632</v>
      </c>
      <c r="Z25">
        <v>1220</v>
      </c>
      <c r="AA25">
        <v>0.380327869</v>
      </c>
      <c r="AB25">
        <v>54.029100529</v>
      </c>
      <c r="AC25">
        <v>611280</v>
      </c>
    </row>
    <row r="26" ht="14.25" customHeight="1">
      <c r="A26" t="s">
        <v>191</v>
      </c>
      <c r="B26" t="s">
        <v>192</v>
      </c>
      <c r="C26" t="s">
        <v>83</v>
      </c>
      <c r="D26" t="s">
        <v>203</v>
      </c>
      <c r="E26" t="s">
        <v>201</v>
      </c>
      <c r="F26" t="s">
        <v>197</v>
      </c>
      <c r="G26" t="s">
        <v>25</v>
      </c>
      <c r="H26">
        <v>0</v>
      </c>
      <c r="I26">
        <v>0</v>
      </c>
      <c r="J26">
        <v>0</v>
      </c>
      <c r="K26">
        <v>0</v>
      </c>
      <c r="L26">
        <v>71</v>
      </c>
      <c r="M26">
        <v>71</v>
      </c>
      <c r="N26">
        <v>72</v>
      </c>
      <c r="O26">
        <v>3</v>
      </c>
      <c r="P26">
        <v>8400</v>
      </c>
      <c r="Q26">
        <v>90</v>
      </c>
      <c r="R26">
        <v>0</v>
      </c>
      <c r="S26">
        <v>0</v>
      </c>
      <c r="T26">
        <v>0</v>
      </c>
      <c r="U26">
        <v>0</v>
      </c>
      <c r="V26">
        <v>0.986111111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596400</v>
      </c>
    </row>
    <row r="27" ht="14.25" customHeight="1">
      <c r="A27" t="s">
        <v>191</v>
      </c>
      <c r="B27" t="s">
        <v>192</v>
      </c>
      <c r="C27" t="s">
        <v>84</v>
      </c>
      <c r="D27" t="s">
        <v>202</v>
      </c>
      <c r="E27" t="s">
        <v>194</v>
      </c>
      <c r="F27" t="s">
        <v>195</v>
      </c>
      <c r="G27" t="s">
        <v>25</v>
      </c>
      <c r="H27">
        <v>411</v>
      </c>
      <c r="I27">
        <v>115</v>
      </c>
      <c r="J27">
        <v>83</v>
      </c>
      <c r="K27">
        <v>50</v>
      </c>
      <c r="L27">
        <v>0</v>
      </c>
      <c r="M27">
        <v>50</v>
      </c>
      <c r="N27">
        <v>0</v>
      </c>
      <c r="O27">
        <v>2</v>
      </c>
      <c r="P27">
        <v>7350</v>
      </c>
      <c r="Q27">
        <v>90</v>
      </c>
      <c r="R27">
        <v>205</v>
      </c>
      <c r="S27">
        <v>205</v>
      </c>
      <c r="T27">
        <v>8220</v>
      </c>
      <c r="U27">
        <v>18714</v>
      </c>
      <c r="V27">
        <v>0</v>
      </c>
      <c r="W27">
        <v>0.279805353</v>
      </c>
      <c r="X27">
        <v>0.72173913</v>
      </c>
      <c r="Y27">
        <v>0.602409639</v>
      </c>
      <c r="Z27">
        <v>410</v>
      </c>
      <c r="AA27">
        <v>0.5</v>
      </c>
      <c r="AB27">
        <v>40.097560976</v>
      </c>
      <c r="AC27">
        <v>372000</v>
      </c>
    </row>
    <row r="28" ht="14.25" customHeight="1">
      <c r="A28" t="s">
        <v>191</v>
      </c>
      <c r="B28" t="s">
        <v>192</v>
      </c>
      <c r="C28" t="s">
        <v>84</v>
      </c>
      <c r="D28" t="s">
        <v>202</v>
      </c>
      <c r="E28" t="s">
        <v>196</v>
      </c>
      <c r="F28" t="s">
        <v>197</v>
      </c>
      <c r="G28" t="s">
        <v>25</v>
      </c>
      <c r="H28">
        <v>0</v>
      </c>
      <c r="I28">
        <v>0</v>
      </c>
      <c r="J28">
        <v>0</v>
      </c>
      <c r="K28">
        <v>0</v>
      </c>
      <c r="L28">
        <v>48</v>
      </c>
      <c r="M28">
        <v>48</v>
      </c>
      <c r="N28">
        <v>50</v>
      </c>
      <c r="O28">
        <v>2</v>
      </c>
      <c r="P28">
        <v>6860</v>
      </c>
      <c r="Q28">
        <v>90</v>
      </c>
      <c r="R28">
        <v>0</v>
      </c>
      <c r="S28">
        <v>0</v>
      </c>
      <c r="T28">
        <v>0</v>
      </c>
      <c r="U28">
        <v>0</v>
      </c>
      <c r="V28">
        <v>0.96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329280</v>
      </c>
    </row>
    <row r="29" ht="14.25" customHeight="1">
      <c r="A29" t="s">
        <v>191</v>
      </c>
      <c r="B29" t="s">
        <v>192</v>
      </c>
      <c r="C29" t="s">
        <v>84</v>
      </c>
      <c r="D29" t="s">
        <v>202</v>
      </c>
      <c r="E29" t="s">
        <v>198</v>
      </c>
      <c r="F29" t="s">
        <v>197</v>
      </c>
      <c r="G29" t="s">
        <v>25</v>
      </c>
      <c r="H29">
        <v>0</v>
      </c>
      <c r="I29">
        <v>0</v>
      </c>
      <c r="J29">
        <v>0</v>
      </c>
      <c r="K29">
        <v>0</v>
      </c>
      <c r="L29">
        <v>47</v>
      </c>
      <c r="M29">
        <v>47</v>
      </c>
      <c r="N29">
        <v>48</v>
      </c>
      <c r="O29">
        <v>2</v>
      </c>
      <c r="P29">
        <v>6860</v>
      </c>
      <c r="Q29">
        <v>90</v>
      </c>
      <c r="R29">
        <v>0</v>
      </c>
      <c r="S29">
        <v>0</v>
      </c>
      <c r="T29">
        <v>0</v>
      </c>
      <c r="U29">
        <v>0</v>
      </c>
      <c r="V29">
        <v>0.979166667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322420</v>
      </c>
    </row>
    <row r="30" ht="14.25" customHeight="1">
      <c r="A30" t="s">
        <v>191</v>
      </c>
      <c r="B30" t="s">
        <v>192</v>
      </c>
      <c r="C30" t="s">
        <v>84</v>
      </c>
      <c r="D30" t="s">
        <v>203</v>
      </c>
      <c r="E30" t="s">
        <v>200</v>
      </c>
      <c r="F30" t="s">
        <v>197</v>
      </c>
      <c r="G30" t="s">
        <v>25</v>
      </c>
      <c r="H30">
        <v>850</v>
      </c>
      <c r="I30">
        <v>170</v>
      </c>
      <c r="J30">
        <v>119</v>
      </c>
      <c r="K30">
        <v>50</v>
      </c>
      <c r="L30">
        <v>0</v>
      </c>
      <c r="M30">
        <v>50</v>
      </c>
      <c r="N30">
        <v>0</v>
      </c>
      <c r="O30">
        <v>2</v>
      </c>
      <c r="P30">
        <v>7350</v>
      </c>
      <c r="Q30">
        <v>90</v>
      </c>
      <c r="R30">
        <v>425</v>
      </c>
      <c r="S30">
        <v>425</v>
      </c>
      <c r="T30">
        <v>17000</v>
      </c>
      <c r="U30">
        <v>38704</v>
      </c>
      <c r="V30">
        <v>0</v>
      </c>
      <c r="W30">
        <v>0.2</v>
      </c>
      <c r="X30">
        <v>0.7</v>
      </c>
      <c r="Y30">
        <v>0.420168067</v>
      </c>
      <c r="Z30">
        <v>850</v>
      </c>
      <c r="AA30">
        <v>0.5</v>
      </c>
      <c r="AB30">
        <v>40</v>
      </c>
      <c r="AC30">
        <v>372000</v>
      </c>
    </row>
    <row r="31" ht="14.25" customHeight="1">
      <c r="A31" t="s">
        <v>191</v>
      </c>
      <c r="B31" t="s">
        <v>192</v>
      </c>
      <c r="C31" t="s">
        <v>84</v>
      </c>
      <c r="D31" t="s">
        <v>203</v>
      </c>
      <c r="E31" t="s">
        <v>201</v>
      </c>
      <c r="F31" t="s">
        <v>197</v>
      </c>
      <c r="G31" t="s">
        <v>25</v>
      </c>
      <c r="H31">
        <v>0</v>
      </c>
      <c r="I31">
        <v>0</v>
      </c>
      <c r="J31">
        <v>0</v>
      </c>
      <c r="K31">
        <v>0</v>
      </c>
      <c r="L31">
        <v>49</v>
      </c>
      <c r="M31">
        <v>49</v>
      </c>
      <c r="N31">
        <v>50</v>
      </c>
      <c r="O31">
        <v>2</v>
      </c>
      <c r="P31">
        <v>7350</v>
      </c>
      <c r="Q31">
        <v>90</v>
      </c>
      <c r="R31">
        <v>0</v>
      </c>
      <c r="S31">
        <v>0</v>
      </c>
      <c r="T31">
        <v>0</v>
      </c>
      <c r="U31">
        <v>0</v>
      </c>
      <c r="V31">
        <v>0.98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360150</v>
      </c>
    </row>
    <row r="32" ht="14.25" customHeight="1">
      <c r="A32" t="s">
        <v>191</v>
      </c>
      <c r="B32" t="s">
        <v>192</v>
      </c>
      <c r="C32" t="s">
        <v>86</v>
      </c>
      <c r="D32" t="s">
        <v>202</v>
      </c>
      <c r="E32" t="s">
        <v>194</v>
      </c>
      <c r="F32" t="s">
        <v>195</v>
      </c>
      <c r="G32" t="s">
        <v>25</v>
      </c>
      <c r="H32">
        <v>386</v>
      </c>
      <c r="I32">
        <v>108</v>
      </c>
      <c r="J32">
        <v>78</v>
      </c>
      <c r="K32">
        <v>47</v>
      </c>
      <c r="L32">
        <v>0</v>
      </c>
      <c r="M32">
        <v>47</v>
      </c>
      <c r="N32">
        <v>0</v>
      </c>
      <c r="O32">
        <v>2</v>
      </c>
      <c r="P32">
        <v>7200</v>
      </c>
      <c r="Q32">
        <v>90</v>
      </c>
      <c r="R32">
        <v>197</v>
      </c>
      <c r="S32">
        <v>189</v>
      </c>
      <c r="T32">
        <v>7187</v>
      </c>
      <c r="U32">
        <v>17946</v>
      </c>
      <c r="V32">
        <v>0</v>
      </c>
      <c r="W32">
        <v>0.279792746</v>
      </c>
      <c r="X32">
        <v>0.722222222</v>
      </c>
      <c r="Y32">
        <v>0.602564103</v>
      </c>
      <c r="Z32">
        <v>386</v>
      </c>
      <c r="AA32">
        <v>0.510362694</v>
      </c>
      <c r="AB32">
        <v>38.026455026</v>
      </c>
      <c r="AC32">
        <v>342630</v>
      </c>
    </row>
    <row r="33" ht="14.25" customHeight="1">
      <c r="A33" t="s">
        <v>191</v>
      </c>
      <c r="B33" t="s">
        <v>192</v>
      </c>
      <c r="C33" t="s">
        <v>86</v>
      </c>
      <c r="D33" t="s">
        <v>202</v>
      </c>
      <c r="E33" t="s">
        <v>196</v>
      </c>
      <c r="F33" t="s">
        <v>197</v>
      </c>
      <c r="G33" t="s">
        <v>25</v>
      </c>
      <c r="H33">
        <v>0</v>
      </c>
      <c r="I33">
        <v>0</v>
      </c>
      <c r="J33">
        <v>0</v>
      </c>
      <c r="K33">
        <v>0</v>
      </c>
      <c r="L33">
        <v>46</v>
      </c>
      <c r="M33">
        <v>46</v>
      </c>
      <c r="N33">
        <v>47</v>
      </c>
      <c r="O33">
        <v>2</v>
      </c>
      <c r="P33">
        <v>6720</v>
      </c>
      <c r="Q33">
        <v>90</v>
      </c>
      <c r="R33">
        <v>0</v>
      </c>
      <c r="S33">
        <v>0</v>
      </c>
      <c r="T33">
        <v>0</v>
      </c>
      <c r="U33">
        <v>0</v>
      </c>
      <c r="V33">
        <v>0.978723404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309120</v>
      </c>
    </row>
    <row r="34" ht="14.25" customHeight="1">
      <c r="A34" t="s">
        <v>191</v>
      </c>
      <c r="B34" t="s">
        <v>192</v>
      </c>
      <c r="C34" t="s">
        <v>86</v>
      </c>
      <c r="D34" t="s">
        <v>202</v>
      </c>
      <c r="E34" t="s">
        <v>198</v>
      </c>
      <c r="F34" t="s">
        <v>197</v>
      </c>
      <c r="G34" t="s">
        <v>25</v>
      </c>
      <c r="H34">
        <v>0</v>
      </c>
      <c r="I34">
        <v>0</v>
      </c>
      <c r="J34">
        <v>0</v>
      </c>
      <c r="K34">
        <v>0</v>
      </c>
      <c r="L34">
        <v>45</v>
      </c>
      <c r="M34">
        <v>45</v>
      </c>
      <c r="N34">
        <v>46</v>
      </c>
      <c r="O34">
        <v>2</v>
      </c>
      <c r="P34">
        <v>6720</v>
      </c>
      <c r="Q34">
        <v>90</v>
      </c>
      <c r="R34">
        <v>0</v>
      </c>
      <c r="S34">
        <v>0</v>
      </c>
      <c r="T34">
        <v>0</v>
      </c>
      <c r="U34">
        <v>0</v>
      </c>
      <c r="V34">
        <v>0.97826087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302400</v>
      </c>
    </row>
    <row r="35" ht="14.25" customHeight="1">
      <c r="A35" t="s">
        <v>191</v>
      </c>
      <c r="B35" t="s">
        <v>192</v>
      </c>
      <c r="C35" t="s">
        <v>86</v>
      </c>
      <c r="D35" t="s">
        <v>203</v>
      </c>
      <c r="E35" t="s">
        <v>200</v>
      </c>
      <c r="F35" t="s">
        <v>197</v>
      </c>
      <c r="G35" t="s">
        <v>25</v>
      </c>
      <c r="H35">
        <v>800</v>
      </c>
      <c r="I35">
        <v>160</v>
      </c>
      <c r="J35">
        <v>112</v>
      </c>
      <c r="K35">
        <v>47</v>
      </c>
      <c r="L35">
        <v>0</v>
      </c>
      <c r="M35">
        <v>47</v>
      </c>
      <c r="N35">
        <v>0</v>
      </c>
      <c r="O35">
        <v>2</v>
      </c>
      <c r="P35">
        <v>7200</v>
      </c>
      <c r="Q35">
        <v>90</v>
      </c>
      <c r="R35">
        <v>408</v>
      </c>
      <c r="S35">
        <v>392</v>
      </c>
      <c r="T35">
        <v>14896</v>
      </c>
      <c r="U35">
        <v>37193</v>
      </c>
      <c r="V35">
        <v>0</v>
      </c>
      <c r="W35">
        <v>0.2</v>
      </c>
      <c r="X35">
        <v>0.7</v>
      </c>
      <c r="Y35">
        <v>0.419642857</v>
      </c>
      <c r="Z35">
        <v>800</v>
      </c>
      <c r="AA35">
        <v>0.51</v>
      </c>
      <c r="AB35">
        <v>38</v>
      </c>
      <c r="AC35">
        <v>342630</v>
      </c>
    </row>
    <row r="36" ht="14.25" customHeight="1">
      <c r="A36" t="s">
        <v>191</v>
      </c>
      <c r="B36" t="s">
        <v>192</v>
      </c>
      <c r="C36" t="s">
        <v>86</v>
      </c>
      <c r="D36" t="s">
        <v>203</v>
      </c>
      <c r="E36" t="s">
        <v>201</v>
      </c>
      <c r="F36" t="s">
        <v>197</v>
      </c>
      <c r="G36" t="s">
        <v>25</v>
      </c>
      <c r="H36">
        <v>0</v>
      </c>
      <c r="I36">
        <v>0</v>
      </c>
      <c r="J36">
        <v>0</v>
      </c>
      <c r="K36">
        <v>0</v>
      </c>
      <c r="L36">
        <v>46</v>
      </c>
      <c r="M36">
        <v>46</v>
      </c>
      <c r="N36">
        <v>47</v>
      </c>
      <c r="O36">
        <v>2</v>
      </c>
      <c r="P36">
        <v>7200</v>
      </c>
      <c r="Q36">
        <v>90</v>
      </c>
      <c r="R36">
        <v>0</v>
      </c>
      <c r="S36">
        <v>0</v>
      </c>
      <c r="T36">
        <v>0</v>
      </c>
      <c r="U36">
        <v>0</v>
      </c>
      <c r="V36">
        <v>0.978723404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331200</v>
      </c>
    </row>
    <row r="37" ht="14.25" customHeight="1">
      <c r="A37" t="s">
        <v>191</v>
      </c>
      <c r="B37" t="s">
        <v>192</v>
      </c>
      <c r="C37" t="s">
        <v>88</v>
      </c>
      <c r="D37" t="s">
        <v>204</v>
      </c>
      <c r="E37" t="s">
        <v>194</v>
      </c>
      <c r="F37" t="s">
        <v>197</v>
      </c>
      <c r="G37" t="s">
        <v>25</v>
      </c>
      <c r="H37">
        <v>850</v>
      </c>
      <c r="I37">
        <v>170</v>
      </c>
      <c r="J37">
        <v>119</v>
      </c>
      <c r="K37">
        <v>50</v>
      </c>
      <c r="L37">
        <v>0</v>
      </c>
      <c r="M37">
        <v>50</v>
      </c>
      <c r="N37">
        <v>0</v>
      </c>
      <c r="O37">
        <v>2</v>
      </c>
      <c r="P37">
        <v>7000</v>
      </c>
      <c r="Q37">
        <v>90</v>
      </c>
      <c r="R37">
        <v>306</v>
      </c>
      <c r="S37">
        <v>544</v>
      </c>
      <c r="T37">
        <v>21760</v>
      </c>
      <c r="U37">
        <v>27889</v>
      </c>
      <c r="V37">
        <v>0</v>
      </c>
      <c r="W37">
        <v>0.2</v>
      </c>
      <c r="X37">
        <v>0.7</v>
      </c>
      <c r="Y37">
        <v>0.420168067</v>
      </c>
      <c r="Z37">
        <v>850</v>
      </c>
      <c r="AA37">
        <v>0.36</v>
      </c>
      <c r="AB37">
        <v>40</v>
      </c>
      <c r="AC37">
        <v>354500</v>
      </c>
    </row>
    <row r="38" ht="14.25" customHeight="1">
      <c r="A38" t="s">
        <v>191</v>
      </c>
      <c r="B38" t="s">
        <v>192</v>
      </c>
      <c r="C38" t="s">
        <v>88</v>
      </c>
      <c r="D38" t="s">
        <v>204</v>
      </c>
      <c r="E38" t="s">
        <v>196</v>
      </c>
      <c r="F38" t="s">
        <v>197</v>
      </c>
      <c r="G38" t="s">
        <v>25</v>
      </c>
      <c r="H38">
        <v>0</v>
      </c>
      <c r="I38">
        <v>0</v>
      </c>
      <c r="J38">
        <v>0</v>
      </c>
      <c r="K38">
        <v>0</v>
      </c>
      <c r="L38">
        <v>48</v>
      </c>
      <c r="M38">
        <v>48</v>
      </c>
      <c r="N38">
        <v>50</v>
      </c>
      <c r="O38">
        <v>2</v>
      </c>
      <c r="P38">
        <v>7000</v>
      </c>
      <c r="Q38">
        <v>90</v>
      </c>
      <c r="R38">
        <v>0</v>
      </c>
      <c r="S38">
        <v>0</v>
      </c>
      <c r="T38">
        <v>0</v>
      </c>
      <c r="U38">
        <v>0</v>
      </c>
      <c r="V38">
        <v>0.96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336000</v>
      </c>
    </row>
    <row r="39" ht="14.25" customHeight="1">
      <c r="A39" t="s">
        <v>191</v>
      </c>
      <c r="B39" t="s">
        <v>192</v>
      </c>
      <c r="C39" t="s">
        <v>88</v>
      </c>
      <c r="D39" t="s">
        <v>204</v>
      </c>
      <c r="E39" t="s">
        <v>198</v>
      </c>
      <c r="F39" t="s">
        <v>197</v>
      </c>
      <c r="G39" t="s">
        <v>25</v>
      </c>
      <c r="H39">
        <v>0</v>
      </c>
      <c r="I39">
        <v>0</v>
      </c>
      <c r="J39">
        <v>0</v>
      </c>
      <c r="K39">
        <v>0</v>
      </c>
      <c r="L39">
        <v>47</v>
      </c>
      <c r="M39">
        <v>47</v>
      </c>
      <c r="N39">
        <v>48</v>
      </c>
      <c r="O39">
        <v>2</v>
      </c>
      <c r="P39">
        <v>7000</v>
      </c>
      <c r="Q39">
        <v>90</v>
      </c>
      <c r="R39">
        <v>0</v>
      </c>
      <c r="S39">
        <v>0</v>
      </c>
      <c r="T39">
        <v>0</v>
      </c>
      <c r="U39">
        <v>0</v>
      </c>
      <c r="V39">
        <v>0.979166667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329000</v>
      </c>
    </row>
    <row r="40" ht="14.25" customHeight="1">
      <c r="A40" t="s">
        <v>191</v>
      </c>
      <c r="B40" t="s">
        <v>192</v>
      </c>
      <c r="C40" t="s">
        <v>90</v>
      </c>
      <c r="D40" t="s">
        <v>204</v>
      </c>
      <c r="E40" t="s">
        <v>194</v>
      </c>
      <c r="F40" t="s">
        <v>197</v>
      </c>
      <c r="G40" t="s">
        <v>25</v>
      </c>
      <c r="H40">
        <v>680</v>
      </c>
      <c r="I40">
        <v>136</v>
      </c>
      <c r="J40">
        <v>95</v>
      </c>
      <c r="K40">
        <v>40</v>
      </c>
      <c r="L40">
        <v>0</v>
      </c>
      <c r="M40">
        <v>40</v>
      </c>
      <c r="N40">
        <v>0</v>
      </c>
      <c r="O40">
        <v>2</v>
      </c>
      <c r="P40">
        <v>6650</v>
      </c>
      <c r="Q40">
        <v>90</v>
      </c>
      <c r="R40">
        <v>265</v>
      </c>
      <c r="S40">
        <v>415</v>
      </c>
      <c r="T40">
        <v>14933</v>
      </c>
      <c r="U40">
        <v>24152</v>
      </c>
      <c r="V40">
        <v>0</v>
      </c>
      <c r="W40">
        <v>0.2</v>
      </c>
      <c r="X40">
        <v>0.698529412</v>
      </c>
      <c r="Y40">
        <v>0.421052632</v>
      </c>
      <c r="Z40">
        <v>680</v>
      </c>
      <c r="AA40">
        <v>0.389705882</v>
      </c>
      <c r="AB40">
        <v>35.98313253</v>
      </c>
      <c r="AC40">
        <v>269600</v>
      </c>
    </row>
    <row r="41" ht="14.25" customHeight="1">
      <c r="A41" t="s">
        <v>191</v>
      </c>
      <c r="B41" t="s">
        <v>192</v>
      </c>
      <c r="C41" t="s">
        <v>90</v>
      </c>
      <c r="D41" t="s">
        <v>204</v>
      </c>
      <c r="E41" t="s">
        <v>196</v>
      </c>
      <c r="F41" t="s">
        <v>197</v>
      </c>
      <c r="G41" t="s">
        <v>25</v>
      </c>
      <c r="H41">
        <v>0</v>
      </c>
      <c r="I41">
        <v>0</v>
      </c>
      <c r="J41">
        <v>0</v>
      </c>
      <c r="K41">
        <v>0</v>
      </c>
      <c r="L41">
        <v>39</v>
      </c>
      <c r="M41">
        <v>39</v>
      </c>
      <c r="N41">
        <v>40</v>
      </c>
      <c r="O41">
        <v>2</v>
      </c>
      <c r="P41">
        <v>6650</v>
      </c>
      <c r="Q41">
        <v>90</v>
      </c>
      <c r="R41">
        <v>0</v>
      </c>
      <c r="S41">
        <v>0</v>
      </c>
      <c r="T41">
        <v>0</v>
      </c>
      <c r="U41">
        <v>0</v>
      </c>
      <c r="V41">
        <v>0.975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259350</v>
      </c>
    </row>
    <row r="42" ht="14.25" customHeight="1">
      <c r="A42" t="s">
        <v>191</v>
      </c>
      <c r="B42" t="s">
        <v>192</v>
      </c>
      <c r="C42" t="s">
        <v>90</v>
      </c>
      <c r="D42" t="s">
        <v>204</v>
      </c>
      <c r="E42" t="s">
        <v>198</v>
      </c>
      <c r="F42" t="s">
        <v>197</v>
      </c>
      <c r="G42" t="s">
        <v>25</v>
      </c>
      <c r="H42">
        <v>0</v>
      </c>
      <c r="I42">
        <v>0</v>
      </c>
      <c r="J42">
        <v>0</v>
      </c>
      <c r="K42">
        <v>0</v>
      </c>
      <c r="L42">
        <v>38</v>
      </c>
      <c r="M42">
        <v>38</v>
      </c>
      <c r="N42">
        <v>39</v>
      </c>
      <c r="O42">
        <v>2</v>
      </c>
      <c r="P42">
        <v>6650</v>
      </c>
      <c r="Q42">
        <v>90</v>
      </c>
      <c r="R42">
        <v>0</v>
      </c>
      <c r="S42">
        <v>0</v>
      </c>
      <c r="T42">
        <v>0</v>
      </c>
      <c r="U42">
        <v>0</v>
      </c>
      <c r="V42">
        <v>0.974358974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252700</v>
      </c>
    </row>
    <row r="43" ht="14.25" customHeight="1">
      <c r="A43" t="s">
        <v>191</v>
      </c>
      <c r="B43" t="s">
        <v>192</v>
      </c>
      <c r="C43" t="s">
        <v>92</v>
      </c>
      <c r="D43" t="s">
        <v>204</v>
      </c>
      <c r="E43" t="s">
        <v>194</v>
      </c>
      <c r="F43" t="s">
        <v>197</v>
      </c>
      <c r="G43" t="s">
        <v>25</v>
      </c>
      <c r="H43">
        <v>680</v>
      </c>
      <c r="I43">
        <v>136</v>
      </c>
      <c r="J43">
        <v>95</v>
      </c>
      <c r="K43">
        <v>40</v>
      </c>
      <c r="L43">
        <v>0</v>
      </c>
      <c r="M43">
        <v>40</v>
      </c>
      <c r="N43">
        <v>0</v>
      </c>
      <c r="O43">
        <v>2</v>
      </c>
      <c r="P43">
        <v>6650</v>
      </c>
      <c r="Q43">
        <v>90</v>
      </c>
      <c r="R43">
        <v>258</v>
      </c>
      <c r="S43">
        <v>422</v>
      </c>
      <c r="T43">
        <v>15178</v>
      </c>
      <c r="U43">
        <v>23514</v>
      </c>
      <c r="V43">
        <v>0</v>
      </c>
      <c r="W43">
        <v>0.2</v>
      </c>
      <c r="X43">
        <v>0.698529412</v>
      </c>
      <c r="Y43">
        <v>0.421052632</v>
      </c>
      <c r="Z43">
        <v>680</v>
      </c>
      <c r="AA43">
        <v>0.379411765</v>
      </c>
      <c r="AB43">
        <v>35.966824645</v>
      </c>
      <c r="AC43">
        <v>269600</v>
      </c>
    </row>
    <row r="44" ht="14.25" customHeight="1">
      <c r="A44" t="s">
        <v>191</v>
      </c>
      <c r="B44" t="s">
        <v>192</v>
      </c>
      <c r="C44" t="s">
        <v>92</v>
      </c>
      <c r="D44" t="s">
        <v>204</v>
      </c>
      <c r="E44" t="s">
        <v>196</v>
      </c>
      <c r="F44" t="s">
        <v>197</v>
      </c>
      <c r="G44" t="s">
        <v>25</v>
      </c>
      <c r="H44">
        <v>0</v>
      </c>
      <c r="I44">
        <v>0</v>
      </c>
      <c r="J44">
        <v>0</v>
      </c>
      <c r="K44">
        <v>0</v>
      </c>
      <c r="L44">
        <v>39</v>
      </c>
      <c r="M44">
        <v>39</v>
      </c>
      <c r="N44">
        <v>40</v>
      </c>
      <c r="O44">
        <v>2</v>
      </c>
      <c r="P44">
        <v>6650</v>
      </c>
      <c r="Q44">
        <v>90</v>
      </c>
      <c r="R44">
        <v>0</v>
      </c>
      <c r="S44">
        <v>0</v>
      </c>
      <c r="T44">
        <v>0</v>
      </c>
      <c r="U44">
        <v>0</v>
      </c>
      <c r="V44">
        <v>0.975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259350</v>
      </c>
    </row>
    <row r="45" ht="14.25" customHeight="1">
      <c r="A45" t="s">
        <v>191</v>
      </c>
      <c r="B45" t="s">
        <v>192</v>
      </c>
      <c r="C45" t="s">
        <v>92</v>
      </c>
      <c r="D45" t="s">
        <v>204</v>
      </c>
      <c r="E45" t="s">
        <v>198</v>
      </c>
      <c r="F45" t="s">
        <v>197</v>
      </c>
      <c r="G45" t="s">
        <v>25</v>
      </c>
      <c r="H45">
        <v>0</v>
      </c>
      <c r="I45">
        <v>0</v>
      </c>
      <c r="J45">
        <v>0</v>
      </c>
      <c r="K45">
        <v>0</v>
      </c>
      <c r="L45">
        <v>38</v>
      </c>
      <c r="M45">
        <v>38</v>
      </c>
      <c r="N45">
        <v>39</v>
      </c>
      <c r="O45">
        <v>2</v>
      </c>
      <c r="P45">
        <v>6650</v>
      </c>
      <c r="Q45">
        <v>90</v>
      </c>
      <c r="R45">
        <v>0</v>
      </c>
      <c r="S45">
        <v>0</v>
      </c>
      <c r="T45">
        <v>0</v>
      </c>
      <c r="U45">
        <v>0</v>
      </c>
      <c r="V45">
        <v>0.974358974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252700</v>
      </c>
    </row>
    <row r="46" ht="14.25" customHeight="1">
      <c r="A46" t="s">
        <v>191</v>
      </c>
      <c r="B46" t="s">
        <v>192</v>
      </c>
      <c r="C46" t="s">
        <v>94</v>
      </c>
      <c r="D46" t="s">
        <v>205</v>
      </c>
      <c r="E46" t="s">
        <v>206</v>
      </c>
      <c r="F46" t="s">
        <v>197</v>
      </c>
      <c r="G46" t="s">
        <v>25</v>
      </c>
      <c r="H46">
        <v>785</v>
      </c>
      <c r="I46">
        <v>157</v>
      </c>
      <c r="J46">
        <v>110</v>
      </c>
      <c r="K46">
        <v>46</v>
      </c>
      <c r="L46">
        <v>0</v>
      </c>
      <c r="M46">
        <v>46</v>
      </c>
      <c r="N46">
        <v>0</v>
      </c>
      <c r="O46">
        <v>2</v>
      </c>
      <c r="P46">
        <v>6300</v>
      </c>
      <c r="Q46">
        <v>90</v>
      </c>
      <c r="R46">
        <v>369</v>
      </c>
      <c r="S46">
        <v>416</v>
      </c>
      <c r="T46">
        <v>18306</v>
      </c>
      <c r="U46">
        <v>33630</v>
      </c>
      <c r="V46">
        <v>0</v>
      </c>
      <c r="W46">
        <v>0.2</v>
      </c>
      <c r="X46">
        <v>0.700636943</v>
      </c>
      <c r="Y46">
        <v>0.418181818</v>
      </c>
      <c r="Z46">
        <v>785</v>
      </c>
      <c r="AA46">
        <v>0.470063694</v>
      </c>
      <c r="AB46">
        <v>44.004807692</v>
      </c>
      <c r="AC46">
        <v>293940</v>
      </c>
    </row>
    <row r="47" ht="14.25" customHeight="1">
      <c r="A47" t="s">
        <v>191</v>
      </c>
      <c r="B47" t="s">
        <v>192</v>
      </c>
      <c r="C47" t="s">
        <v>94</v>
      </c>
      <c r="D47" t="s">
        <v>205</v>
      </c>
      <c r="E47" t="s">
        <v>207</v>
      </c>
      <c r="F47" t="s">
        <v>197</v>
      </c>
      <c r="G47" t="s">
        <v>25</v>
      </c>
      <c r="H47">
        <v>0</v>
      </c>
      <c r="I47">
        <v>0</v>
      </c>
      <c r="J47">
        <v>0</v>
      </c>
      <c r="K47">
        <v>0</v>
      </c>
      <c r="L47">
        <v>45</v>
      </c>
      <c r="M47">
        <v>45</v>
      </c>
      <c r="N47">
        <v>46</v>
      </c>
      <c r="O47">
        <v>2</v>
      </c>
      <c r="P47">
        <v>6300</v>
      </c>
      <c r="Q47">
        <v>90</v>
      </c>
      <c r="R47">
        <v>0</v>
      </c>
      <c r="S47">
        <v>0</v>
      </c>
      <c r="T47">
        <v>0</v>
      </c>
      <c r="U47">
        <v>0</v>
      </c>
      <c r="V47">
        <v>0.97826087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283500</v>
      </c>
    </row>
    <row r="48" ht="14.25" customHeight="1">
      <c r="A48" t="s">
        <v>191</v>
      </c>
      <c r="B48" t="s">
        <v>192</v>
      </c>
      <c r="C48" t="s">
        <v>94</v>
      </c>
      <c r="D48" t="s">
        <v>208</v>
      </c>
      <c r="E48" t="s">
        <v>194</v>
      </c>
      <c r="F48" t="s">
        <v>197</v>
      </c>
      <c r="G48" t="s">
        <v>25</v>
      </c>
      <c r="H48">
        <v>785</v>
      </c>
      <c r="I48">
        <v>157</v>
      </c>
      <c r="J48">
        <v>110</v>
      </c>
      <c r="K48">
        <v>46</v>
      </c>
      <c r="L48">
        <v>0</v>
      </c>
      <c r="M48">
        <v>46</v>
      </c>
      <c r="N48">
        <v>0</v>
      </c>
      <c r="O48">
        <v>2</v>
      </c>
      <c r="P48">
        <v>7350</v>
      </c>
      <c r="Q48">
        <v>90</v>
      </c>
      <c r="R48">
        <v>369</v>
      </c>
      <c r="S48">
        <v>416</v>
      </c>
      <c r="T48">
        <v>18306</v>
      </c>
      <c r="U48">
        <v>33631</v>
      </c>
      <c r="V48">
        <v>0</v>
      </c>
      <c r="W48">
        <v>0.2</v>
      </c>
      <c r="X48">
        <v>0.700636943</v>
      </c>
      <c r="Y48">
        <v>0.418181818</v>
      </c>
      <c r="Z48">
        <v>785</v>
      </c>
      <c r="AA48">
        <v>0.470063694</v>
      </c>
      <c r="AB48">
        <v>44.004807692</v>
      </c>
      <c r="AC48">
        <v>342240</v>
      </c>
    </row>
    <row r="49" ht="14.25" customHeight="1">
      <c r="A49" t="s">
        <v>191</v>
      </c>
      <c r="B49" t="s">
        <v>192</v>
      </c>
      <c r="C49" t="s">
        <v>94</v>
      </c>
      <c r="D49" t="s">
        <v>208</v>
      </c>
      <c r="E49" t="s">
        <v>198</v>
      </c>
      <c r="F49" t="s">
        <v>197</v>
      </c>
      <c r="G49" t="s">
        <v>25</v>
      </c>
      <c r="H49">
        <v>0</v>
      </c>
      <c r="I49">
        <v>0</v>
      </c>
      <c r="J49">
        <v>0</v>
      </c>
      <c r="K49">
        <v>0</v>
      </c>
      <c r="L49">
        <v>45</v>
      </c>
      <c r="M49">
        <v>45</v>
      </c>
      <c r="N49">
        <v>46</v>
      </c>
      <c r="O49">
        <v>2</v>
      </c>
      <c r="P49">
        <v>7350</v>
      </c>
      <c r="Q49">
        <v>90</v>
      </c>
      <c r="R49">
        <v>0</v>
      </c>
      <c r="S49">
        <v>0</v>
      </c>
      <c r="T49">
        <v>0</v>
      </c>
      <c r="U49">
        <v>0</v>
      </c>
      <c r="V49">
        <v>0.97826087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330750</v>
      </c>
    </row>
    <row r="50" ht="14.25" customHeight="1">
      <c r="A50" t="s">
        <v>191</v>
      </c>
      <c r="B50" t="s">
        <v>192</v>
      </c>
      <c r="C50" t="s">
        <v>95</v>
      </c>
      <c r="D50" t="s">
        <v>205</v>
      </c>
      <c r="E50" t="s">
        <v>206</v>
      </c>
      <c r="F50" t="s">
        <v>197</v>
      </c>
      <c r="G50" t="s">
        <v>25</v>
      </c>
      <c r="H50">
        <v>615</v>
      </c>
      <c r="I50">
        <v>123</v>
      </c>
      <c r="J50">
        <v>86</v>
      </c>
      <c r="K50">
        <v>36</v>
      </c>
      <c r="L50">
        <v>0</v>
      </c>
      <c r="M50">
        <v>36</v>
      </c>
      <c r="N50">
        <v>0</v>
      </c>
      <c r="O50">
        <v>2</v>
      </c>
      <c r="P50">
        <v>5820</v>
      </c>
      <c r="Q50">
        <v>90</v>
      </c>
      <c r="R50">
        <v>326</v>
      </c>
      <c r="S50">
        <v>289</v>
      </c>
      <c r="T50">
        <v>10984</v>
      </c>
      <c r="U50">
        <v>29712</v>
      </c>
      <c r="V50">
        <v>0</v>
      </c>
      <c r="W50">
        <v>0.2</v>
      </c>
      <c r="X50">
        <v>0.699186992</v>
      </c>
      <c r="Y50">
        <v>0.418604651</v>
      </c>
      <c r="Z50">
        <v>615</v>
      </c>
      <c r="AA50">
        <v>0.530081301</v>
      </c>
      <c r="AB50">
        <v>38.006920415</v>
      </c>
      <c r="AC50">
        <v>212760</v>
      </c>
    </row>
    <row r="51" ht="14.25" customHeight="1">
      <c r="A51" t="s">
        <v>191</v>
      </c>
      <c r="B51" t="s">
        <v>192</v>
      </c>
      <c r="C51" t="s">
        <v>95</v>
      </c>
      <c r="D51" t="s">
        <v>205</v>
      </c>
      <c r="E51" t="s">
        <v>207</v>
      </c>
      <c r="F51" t="s">
        <v>197</v>
      </c>
      <c r="G51" t="s">
        <v>25</v>
      </c>
      <c r="H51">
        <v>0</v>
      </c>
      <c r="I51">
        <v>0</v>
      </c>
      <c r="J51">
        <v>0</v>
      </c>
      <c r="K51">
        <v>0</v>
      </c>
      <c r="L51">
        <v>35</v>
      </c>
      <c r="M51">
        <v>35</v>
      </c>
      <c r="N51">
        <v>36</v>
      </c>
      <c r="O51">
        <v>2</v>
      </c>
      <c r="P51">
        <v>5820</v>
      </c>
      <c r="Q51">
        <v>90</v>
      </c>
      <c r="R51">
        <v>0</v>
      </c>
      <c r="S51">
        <v>0</v>
      </c>
      <c r="T51">
        <v>0</v>
      </c>
      <c r="U51">
        <v>0</v>
      </c>
      <c r="V51">
        <v>0.972222222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203700</v>
      </c>
    </row>
    <row r="52" ht="14.25" customHeight="1">
      <c r="A52" t="s">
        <v>191</v>
      </c>
      <c r="B52" t="s">
        <v>192</v>
      </c>
      <c r="C52" t="s">
        <v>95</v>
      </c>
      <c r="D52" t="s">
        <v>208</v>
      </c>
      <c r="E52" t="s">
        <v>194</v>
      </c>
      <c r="F52" t="s">
        <v>197</v>
      </c>
      <c r="G52" t="s">
        <v>25</v>
      </c>
      <c r="H52">
        <v>615</v>
      </c>
      <c r="I52">
        <v>123</v>
      </c>
      <c r="J52">
        <v>86</v>
      </c>
      <c r="K52">
        <v>36</v>
      </c>
      <c r="L52">
        <v>0</v>
      </c>
      <c r="M52">
        <v>36</v>
      </c>
      <c r="N52">
        <v>0</v>
      </c>
      <c r="O52">
        <v>2</v>
      </c>
      <c r="P52">
        <v>6790</v>
      </c>
      <c r="Q52">
        <v>90</v>
      </c>
      <c r="R52">
        <v>326</v>
      </c>
      <c r="S52">
        <v>289</v>
      </c>
      <c r="T52">
        <v>10984</v>
      </c>
      <c r="U52">
        <v>29711</v>
      </c>
      <c r="V52">
        <v>0</v>
      </c>
      <c r="W52">
        <v>0.2</v>
      </c>
      <c r="X52">
        <v>0.699186992</v>
      </c>
      <c r="Y52">
        <v>0.418604651</v>
      </c>
      <c r="Z52">
        <v>615</v>
      </c>
      <c r="AA52">
        <v>0.530081301</v>
      </c>
      <c r="AB52">
        <v>38.006920415</v>
      </c>
      <c r="AC52">
        <v>247680</v>
      </c>
    </row>
    <row r="53" ht="14.25" customHeight="1">
      <c r="A53" t="s">
        <v>191</v>
      </c>
      <c r="B53" t="s">
        <v>192</v>
      </c>
      <c r="C53" t="s">
        <v>95</v>
      </c>
      <c r="D53" t="s">
        <v>208</v>
      </c>
      <c r="E53" t="s">
        <v>198</v>
      </c>
      <c r="F53" t="s">
        <v>197</v>
      </c>
      <c r="G53" t="s">
        <v>25</v>
      </c>
      <c r="H53">
        <v>0</v>
      </c>
      <c r="I53">
        <v>0</v>
      </c>
      <c r="J53">
        <v>0</v>
      </c>
      <c r="K53">
        <v>0</v>
      </c>
      <c r="L53">
        <v>35</v>
      </c>
      <c r="M53">
        <v>35</v>
      </c>
      <c r="N53">
        <v>36</v>
      </c>
      <c r="O53">
        <v>2</v>
      </c>
      <c r="P53">
        <v>6790</v>
      </c>
      <c r="Q53">
        <v>90</v>
      </c>
      <c r="R53">
        <v>0</v>
      </c>
      <c r="S53">
        <v>0</v>
      </c>
      <c r="T53">
        <v>0</v>
      </c>
      <c r="U53">
        <v>0</v>
      </c>
      <c r="V53">
        <v>0.972222222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237650</v>
      </c>
    </row>
    <row r="54" ht="14.25" customHeight="1">
      <c r="A54" t="s">
        <v>191</v>
      </c>
      <c r="B54" t="s">
        <v>192</v>
      </c>
      <c r="C54" t="s">
        <v>96</v>
      </c>
      <c r="D54" t="s">
        <v>209</v>
      </c>
      <c r="E54" t="s">
        <v>194</v>
      </c>
      <c r="F54" t="s">
        <v>197</v>
      </c>
      <c r="G54" t="s">
        <v>25</v>
      </c>
      <c r="H54">
        <v>800</v>
      </c>
      <c r="I54">
        <v>160</v>
      </c>
      <c r="J54">
        <v>112</v>
      </c>
      <c r="K54">
        <v>47</v>
      </c>
      <c r="L54">
        <v>0</v>
      </c>
      <c r="M54">
        <v>47</v>
      </c>
      <c r="N54">
        <v>0</v>
      </c>
      <c r="O54">
        <v>2</v>
      </c>
      <c r="P54">
        <v>7840</v>
      </c>
      <c r="Q54">
        <v>90</v>
      </c>
      <c r="R54">
        <v>240</v>
      </c>
      <c r="S54">
        <v>560</v>
      </c>
      <c r="T54">
        <v>30240</v>
      </c>
      <c r="U54">
        <v>21873</v>
      </c>
      <c r="V54">
        <v>0</v>
      </c>
      <c r="W54">
        <v>0.2</v>
      </c>
      <c r="X54">
        <v>0.7</v>
      </c>
      <c r="Y54">
        <v>0.419642857</v>
      </c>
      <c r="Z54">
        <v>800</v>
      </c>
      <c r="AA54">
        <v>0.3</v>
      </c>
      <c r="AB54">
        <v>54</v>
      </c>
      <c r="AC54">
        <v>372710</v>
      </c>
    </row>
    <row r="55" ht="14.25" customHeight="1">
      <c r="A55" t="s">
        <v>191</v>
      </c>
      <c r="B55" t="s">
        <v>192</v>
      </c>
      <c r="C55" t="s">
        <v>96</v>
      </c>
      <c r="D55" t="s">
        <v>209</v>
      </c>
      <c r="E55" t="s">
        <v>196</v>
      </c>
      <c r="F55" t="s">
        <v>197</v>
      </c>
      <c r="G55" t="s">
        <v>25</v>
      </c>
      <c r="H55">
        <v>0</v>
      </c>
      <c r="I55">
        <v>0</v>
      </c>
      <c r="J55">
        <v>0</v>
      </c>
      <c r="K55">
        <v>0</v>
      </c>
      <c r="L55">
        <v>46</v>
      </c>
      <c r="M55">
        <v>46</v>
      </c>
      <c r="N55">
        <v>47</v>
      </c>
      <c r="O55">
        <v>2</v>
      </c>
      <c r="P55">
        <v>7840</v>
      </c>
      <c r="Q55">
        <v>90</v>
      </c>
      <c r="R55">
        <v>0</v>
      </c>
      <c r="S55">
        <v>0</v>
      </c>
      <c r="T55">
        <v>0</v>
      </c>
      <c r="U55">
        <v>0</v>
      </c>
      <c r="V55">
        <v>0.978723404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360640</v>
      </c>
    </row>
    <row r="56" ht="14.25" customHeight="1">
      <c r="A56" t="s">
        <v>191</v>
      </c>
      <c r="B56" t="s">
        <v>192</v>
      </c>
      <c r="C56" t="s">
        <v>96</v>
      </c>
      <c r="D56" t="s">
        <v>209</v>
      </c>
      <c r="E56" t="s">
        <v>198</v>
      </c>
      <c r="F56" t="s">
        <v>197</v>
      </c>
      <c r="G56" t="s">
        <v>25</v>
      </c>
      <c r="H56">
        <v>0</v>
      </c>
      <c r="I56">
        <v>0</v>
      </c>
      <c r="J56">
        <v>0</v>
      </c>
      <c r="K56">
        <v>0</v>
      </c>
      <c r="L56">
        <v>45</v>
      </c>
      <c r="M56">
        <v>45</v>
      </c>
      <c r="N56">
        <v>46</v>
      </c>
      <c r="O56">
        <v>2</v>
      </c>
      <c r="P56">
        <v>7840</v>
      </c>
      <c r="Q56">
        <v>90</v>
      </c>
      <c r="R56">
        <v>0</v>
      </c>
      <c r="S56">
        <v>0</v>
      </c>
      <c r="T56">
        <v>0</v>
      </c>
      <c r="U56">
        <v>0</v>
      </c>
      <c r="V56">
        <v>0.97826087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352800</v>
      </c>
    </row>
    <row r="57" ht="14.25" customHeight="1">
      <c r="A57" t="s">
        <v>191</v>
      </c>
      <c r="B57" t="s">
        <v>192</v>
      </c>
      <c r="C57" t="s">
        <v>97</v>
      </c>
      <c r="D57" t="s">
        <v>209</v>
      </c>
      <c r="E57" t="s">
        <v>194</v>
      </c>
      <c r="F57" t="s">
        <v>197</v>
      </c>
      <c r="G57" t="s">
        <v>25</v>
      </c>
      <c r="H57">
        <v>680</v>
      </c>
      <c r="I57">
        <v>136</v>
      </c>
      <c r="J57">
        <v>95</v>
      </c>
      <c r="K57">
        <v>40</v>
      </c>
      <c r="L57">
        <v>0</v>
      </c>
      <c r="M57">
        <v>40</v>
      </c>
      <c r="N57">
        <v>0</v>
      </c>
      <c r="O57">
        <v>2</v>
      </c>
      <c r="P57">
        <v>7350</v>
      </c>
      <c r="Q57">
        <v>90</v>
      </c>
      <c r="R57">
        <v>252</v>
      </c>
      <c r="S57">
        <v>428</v>
      </c>
      <c r="T57">
        <v>18850</v>
      </c>
      <c r="U57">
        <v>22967</v>
      </c>
      <c r="V57">
        <v>0</v>
      </c>
      <c r="W57">
        <v>0.2</v>
      </c>
      <c r="X57">
        <v>0.698529412</v>
      </c>
      <c r="Y57">
        <v>0.421052632</v>
      </c>
      <c r="Z57">
        <v>680</v>
      </c>
      <c r="AA57">
        <v>0.370588235</v>
      </c>
      <c r="AB57">
        <v>44.042056075</v>
      </c>
      <c r="AC57">
        <v>297600</v>
      </c>
    </row>
    <row r="58" ht="14.25" customHeight="1">
      <c r="A58" t="s">
        <v>191</v>
      </c>
      <c r="B58" t="s">
        <v>192</v>
      </c>
      <c r="C58" t="s">
        <v>97</v>
      </c>
      <c r="D58" t="s">
        <v>209</v>
      </c>
      <c r="E58" t="s">
        <v>196</v>
      </c>
      <c r="F58" t="s">
        <v>197</v>
      </c>
      <c r="G58" t="s">
        <v>25</v>
      </c>
      <c r="H58">
        <v>0</v>
      </c>
      <c r="I58">
        <v>0</v>
      </c>
      <c r="J58">
        <v>0</v>
      </c>
      <c r="K58">
        <v>0</v>
      </c>
      <c r="L58">
        <v>39</v>
      </c>
      <c r="M58">
        <v>39</v>
      </c>
      <c r="N58">
        <v>40</v>
      </c>
      <c r="O58">
        <v>2</v>
      </c>
      <c r="P58">
        <v>7350</v>
      </c>
      <c r="Q58">
        <v>90</v>
      </c>
      <c r="R58">
        <v>0</v>
      </c>
      <c r="S58">
        <v>0</v>
      </c>
      <c r="T58">
        <v>0</v>
      </c>
      <c r="U58">
        <v>0</v>
      </c>
      <c r="V58">
        <v>0.975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286650</v>
      </c>
    </row>
    <row r="59" ht="14.25" customHeight="1">
      <c r="A59" t="s">
        <v>191</v>
      </c>
      <c r="B59" t="s">
        <v>192</v>
      </c>
      <c r="C59" t="s">
        <v>97</v>
      </c>
      <c r="D59" t="s">
        <v>209</v>
      </c>
      <c r="E59" t="s">
        <v>198</v>
      </c>
      <c r="F59" t="s">
        <v>197</v>
      </c>
      <c r="G59" t="s">
        <v>25</v>
      </c>
      <c r="H59">
        <v>0</v>
      </c>
      <c r="I59">
        <v>0</v>
      </c>
      <c r="J59">
        <v>0</v>
      </c>
      <c r="K59">
        <v>0</v>
      </c>
      <c r="L59">
        <v>38</v>
      </c>
      <c r="M59">
        <v>38</v>
      </c>
      <c r="N59">
        <v>39</v>
      </c>
      <c r="O59">
        <v>2</v>
      </c>
      <c r="P59">
        <v>7350</v>
      </c>
      <c r="Q59">
        <v>90</v>
      </c>
      <c r="R59">
        <v>0</v>
      </c>
      <c r="S59">
        <v>0</v>
      </c>
      <c r="T59">
        <v>0</v>
      </c>
      <c r="U59">
        <v>0</v>
      </c>
      <c r="V59">
        <v>0.974358974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279300</v>
      </c>
    </row>
    <row r="60" ht="14.25" customHeight="1">
      <c r="A60" t="s">
        <v>191</v>
      </c>
      <c r="B60" t="s">
        <v>192</v>
      </c>
      <c r="C60" t="s">
        <v>75</v>
      </c>
      <c r="D60" t="s">
        <v>193</v>
      </c>
      <c r="E60" t="s">
        <v>194</v>
      </c>
      <c r="F60" t="s">
        <v>195</v>
      </c>
      <c r="G60" t="s">
        <v>210</v>
      </c>
      <c r="H60">
        <v>609</v>
      </c>
      <c r="I60">
        <v>171</v>
      </c>
      <c r="J60">
        <v>123</v>
      </c>
      <c r="K60">
        <v>74</v>
      </c>
      <c r="L60">
        <v>0</v>
      </c>
      <c r="M60">
        <v>74</v>
      </c>
      <c r="N60">
        <v>0</v>
      </c>
      <c r="O60">
        <v>3</v>
      </c>
      <c r="P60">
        <v>8400</v>
      </c>
      <c r="Q60">
        <v>90</v>
      </c>
      <c r="R60">
        <v>217</v>
      </c>
      <c r="S60">
        <v>396</v>
      </c>
      <c r="T60">
        <v>20296</v>
      </c>
      <c r="U60">
        <v>17007</v>
      </c>
      <c r="V60">
        <v>0</v>
      </c>
      <c r="W60">
        <v>0.280788177</v>
      </c>
      <c r="X60">
        <v>0.719298246</v>
      </c>
      <c r="Y60">
        <v>0.601626016</v>
      </c>
      <c r="Z60">
        <v>613</v>
      </c>
      <c r="AA60">
        <v>0.353996737</v>
      </c>
      <c r="AB60">
        <v>51.252525253</v>
      </c>
      <c r="AC60">
        <v>628260</v>
      </c>
    </row>
    <row r="61" ht="14.25" customHeight="1">
      <c r="A61" t="s">
        <v>191</v>
      </c>
      <c r="B61" t="s">
        <v>192</v>
      </c>
      <c r="C61" t="s">
        <v>75</v>
      </c>
      <c r="D61" t="s">
        <v>193</v>
      </c>
      <c r="E61" t="s">
        <v>196</v>
      </c>
      <c r="F61" t="s">
        <v>197</v>
      </c>
      <c r="G61" t="s">
        <v>210</v>
      </c>
      <c r="H61">
        <v>0</v>
      </c>
      <c r="I61">
        <v>0</v>
      </c>
      <c r="J61">
        <v>0</v>
      </c>
      <c r="K61">
        <v>0</v>
      </c>
      <c r="L61">
        <v>72</v>
      </c>
      <c r="M61">
        <v>72</v>
      </c>
      <c r="N61">
        <v>74</v>
      </c>
      <c r="O61">
        <v>3</v>
      </c>
      <c r="P61">
        <v>7840</v>
      </c>
      <c r="Q61">
        <v>90</v>
      </c>
      <c r="R61">
        <v>0</v>
      </c>
      <c r="S61">
        <v>0</v>
      </c>
      <c r="T61">
        <v>0</v>
      </c>
      <c r="U61">
        <v>0</v>
      </c>
      <c r="V61">
        <v>0.972972973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564480</v>
      </c>
    </row>
    <row r="62" ht="14.25" customHeight="1">
      <c r="A62" t="s">
        <v>191</v>
      </c>
      <c r="B62" t="s">
        <v>192</v>
      </c>
      <c r="C62" t="s">
        <v>75</v>
      </c>
      <c r="D62" t="s">
        <v>193</v>
      </c>
      <c r="E62" t="s">
        <v>198</v>
      </c>
      <c r="F62" t="s">
        <v>197</v>
      </c>
      <c r="G62" t="s">
        <v>210</v>
      </c>
      <c r="H62">
        <v>0</v>
      </c>
      <c r="I62">
        <v>0</v>
      </c>
      <c r="J62">
        <v>0</v>
      </c>
      <c r="K62">
        <v>0</v>
      </c>
      <c r="L62">
        <v>70</v>
      </c>
      <c r="M62">
        <v>70</v>
      </c>
      <c r="N62">
        <v>72</v>
      </c>
      <c r="O62">
        <v>3</v>
      </c>
      <c r="P62">
        <v>7840</v>
      </c>
      <c r="Q62">
        <v>90</v>
      </c>
      <c r="R62">
        <v>0</v>
      </c>
      <c r="S62">
        <v>0</v>
      </c>
      <c r="T62">
        <v>0</v>
      </c>
      <c r="U62">
        <v>0</v>
      </c>
      <c r="V62">
        <v>0.972222222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548800</v>
      </c>
    </row>
    <row r="63" ht="14.25" customHeight="1">
      <c r="A63" t="s">
        <v>191</v>
      </c>
      <c r="B63" t="s">
        <v>192</v>
      </c>
      <c r="C63" t="s">
        <v>75</v>
      </c>
      <c r="D63" t="s">
        <v>199</v>
      </c>
      <c r="E63" t="s">
        <v>200</v>
      </c>
      <c r="F63" t="s">
        <v>197</v>
      </c>
      <c r="G63" t="s">
        <v>210</v>
      </c>
      <c r="H63">
        <v>1255</v>
      </c>
      <c r="I63">
        <v>251</v>
      </c>
      <c r="J63">
        <v>175</v>
      </c>
      <c r="K63">
        <v>74</v>
      </c>
      <c r="L63">
        <v>0</v>
      </c>
      <c r="M63">
        <v>74</v>
      </c>
      <c r="N63">
        <v>0</v>
      </c>
      <c r="O63">
        <v>3</v>
      </c>
      <c r="P63">
        <v>8400</v>
      </c>
      <c r="Q63">
        <v>90</v>
      </c>
      <c r="R63">
        <v>448</v>
      </c>
      <c r="S63">
        <v>814</v>
      </c>
      <c r="T63">
        <v>41786</v>
      </c>
      <c r="U63">
        <v>35013</v>
      </c>
      <c r="V63">
        <v>0</v>
      </c>
      <c r="W63">
        <v>0.2</v>
      </c>
      <c r="X63">
        <v>0.697211155</v>
      </c>
      <c r="Y63">
        <v>0.422857143</v>
      </c>
      <c r="Z63">
        <v>1262</v>
      </c>
      <c r="AA63">
        <v>0.354992076</v>
      </c>
      <c r="AB63">
        <v>51.334152334</v>
      </c>
      <c r="AC63">
        <v>628260</v>
      </c>
    </row>
    <row r="64" ht="14.25" customHeight="1">
      <c r="A64" t="s">
        <v>191</v>
      </c>
      <c r="B64" t="s">
        <v>192</v>
      </c>
      <c r="C64" t="s">
        <v>75</v>
      </c>
      <c r="D64" t="s">
        <v>199</v>
      </c>
      <c r="E64" t="s">
        <v>201</v>
      </c>
      <c r="F64" t="s">
        <v>197</v>
      </c>
      <c r="G64" t="s">
        <v>210</v>
      </c>
      <c r="H64">
        <v>0</v>
      </c>
      <c r="I64">
        <v>0</v>
      </c>
      <c r="J64">
        <v>0</v>
      </c>
      <c r="K64">
        <v>0</v>
      </c>
      <c r="L64">
        <v>72</v>
      </c>
      <c r="M64">
        <v>72</v>
      </c>
      <c r="N64">
        <v>74</v>
      </c>
      <c r="O64">
        <v>3</v>
      </c>
      <c r="P64">
        <v>8400</v>
      </c>
      <c r="Q64">
        <v>90</v>
      </c>
      <c r="R64">
        <v>0</v>
      </c>
      <c r="S64">
        <v>0</v>
      </c>
      <c r="T64">
        <v>0</v>
      </c>
      <c r="U64">
        <v>0</v>
      </c>
      <c r="V64">
        <v>0.972972973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604800</v>
      </c>
    </row>
    <row r="65" ht="14.25" customHeight="1">
      <c r="A65" t="s">
        <v>191</v>
      </c>
      <c r="B65" t="s">
        <v>192</v>
      </c>
      <c r="C65" t="s">
        <v>77</v>
      </c>
      <c r="D65" t="s">
        <v>193</v>
      </c>
      <c r="E65" t="s">
        <v>194</v>
      </c>
      <c r="F65" t="s">
        <v>195</v>
      </c>
      <c r="G65" t="s">
        <v>210</v>
      </c>
      <c r="H65">
        <v>515</v>
      </c>
      <c r="I65">
        <v>144</v>
      </c>
      <c r="J65">
        <v>104</v>
      </c>
      <c r="K65">
        <v>62</v>
      </c>
      <c r="L65">
        <v>0</v>
      </c>
      <c r="M65">
        <v>62</v>
      </c>
      <c r="N65">
        <v>0</v>
      </c>
      <c r="O65">
        <v>3</v>
      </c>
      <c r="P65">
        <v>7875</v>
      </c>
      <c r="Q65">
        <v>90</v>
      </c>
      <c r="R65">
        <v>220</v>
      </c>
      <c r="S65">
        <v>297</v>
      </c>
      <c r="T65">
        <v>12449</v>
      </c>
      <c r="U65">
        <v>17411</v>
      </c>
      <c r="V65">
        <v>0</v>
      </c>
      <c r="W65">
        <v>0.27961165</v>
      </c>
      <c r="X65">
        <v>0.722222222</v>
      </c>
      <c r="Y65">
        <v>0.596153846</v>
      </c>
      <c r="Z65">
        <v>517</v>
      </c>
      <c r="AA65">
        <v>0.425531915</v>
      </c>
      <c r="AB65">
        <v>41.915824916</v>
      </c>
      <c r="AC65">
        <v>493830</v>
      </c>
    </row>
    <row r="66" ht="14.25" customHeight="1">
      <c r="A66" t="s">
        <v>191</v>
      </c>
      <c r="B66" t="s">
        <v>192</v>
      </c>
      <c r="C66" t="s">
        <v>77</v>
      </c>
      <c r="D66" t="s">
        <v>193</v>
      </c>
      <c r="E66" t="s">
        <v>196</v>
      </c>
      <c r="F66" t="s">
        <v>197</v>
      </c>
      <c r="G66" t="s">
        <v>210</v>
      </c>
      <c r="H66">
        <v>0</v>
      </c>
      <c r="I66">
        <v>0</v>
      </c>
      <c r="J66">
        <v>0</v>
      </c>
      <c r="K66">
        <v>0</v>
      </c>
      <c r="L66">
        <v>60</v>
      </c>
      <c r="M66">
        <v>60</v>
      </c>
      <c r="N66">
        <v>62</v>
      </c>
      <c r="O66">
        <v>2</v>
      </c>
      <c r="P66">
        <v>7350</v>
      </c>
      <c r="Q66">
        <v>90</v>
      </c>
      <c r="R66">
        <v>0</v>
      </c>
      <c r="S66">
        <v>0</v>
      </c>
      <c r="T66">
        <v>0</v>
      </c>
      <c r="U66">
        <v>0</v>
      </c>
      <c r="V66">
        <v>0.967741935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441000</v>
      </c>
    </row>
    <row r="67" ht="14.25" customHeight="1">
      <c r="A67" t="s">
        <v>191</v>
      </c>
      <c r="B67" t="s">
        <v>192</v>
      </c>
      <c r="C67" t="s">
        <v>77</v>
      </c>
      <c r="D67" t="s">
        <v>193</v>
      </c>
      <c r="E67" t="s">
        <v>198</v>
      </c>
      <c r="F67" t="s">
        <v>197</v>
      </c>
      <c r="G67" t="s">
        <v>210</v>
      </c>
      <c r="H67">
        <v>0</v>
      </c>
      <c r="I67">
        <v>0</v>
      </c>
      <c r="J67">
        <v>0</v>
      </c>
      <c r="K67">
        <v>0</v>
      </c>
      <c r="L67">
        <v>59</v>
      </c>
      <c r="M67">
        <v>59</v>
      </c>
      <c r="N67">
        <v>60</v>
      </c>
      <c r="O67">
        <v>2</v>
      </c>
      <c r="P67">
        <v>7350</v>
      </c>
      <c r="Q67">
        <v>90</v>
      </c>
      <c r="R67">
        <v>0</v>
      </c>
      <c r="S67">
        <v>0</v>
      </c>
      <c r="T67">
        <v>0</v>
      </c>
      <c r="U67">
        <v>0</v>
      </c>
      <c r="V67">
        <v>0.983333333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433650</v>
      </c>
    </row>
    <row r="68" ht="14.25" customHeight="1">
      <c r="A68" t="s">
        <v>191</v>
      </c>
      <c r="B68" t="s">
        <v>192</v>
      </c>
      <c r="C68" t="s">
        <v>77</v>
      </c>
      <c r="D68" t="s">
        <v>199</v>
      </c>
      <c r="E68" t="s">
        <v>200</v>
      </c>
      <c r="F68" t="s">
        <v>197</v>
      </c>
      <c r="G68" t="s">
        <v>210</v>
      </c>
      <c r="H68">
        <v>1057</v>
      </c>
      <c r="I68">
        <v>211</v>
      </c>
      <c r="J68">
        <v>148</v>
      </c>
      <c r="K68">
        <v>62</v>
      </c>
      <c r="L68">
        <v>0</v>
      </c>
      <c r="M68">
        <v>62</v>
      </c>
      <c r="N68">
        <v>0</v>
      </c>
      <c r="O68">
        <v>3</v>
      </c>
      <c r="P68">
        <v>7875</v>
      </c>
      <c r="Q68">
        <v>90</v>
      </c>
      <c r="R68">
        <v>450</v>
      </c>
      <c r="S68">
        <v>608</v>
      </c>
      <c r="T68">
        <v>25536</v>
      </c>
      <c r="U68">
        <v>35714</v>
      </c>
      <c r="V68">
        <v>0</v>
      </c>
      <c r="W68">
        <v>0.19962157</v>
      </c>
      <c r="X68">
        <v>0.701421801</v>
      </c>
      <c r="Y68">
        <v>0.418918919</v>
      </c>
      <c r="Z68">
        <v>1058</v>
      </c>
      <c r="AA68">
        <v>0.425330813</v>
      </c>
      <c r="AB68">
        <v>42</v>
      </c>
      <c r="AC68">
        <v>493830</v>
      </c>
    </row>
    <row r="69" ht="14.25" customHeight="1">
      <c r="A69" t="s">
        <v>191</v>
      </c>
      <c r="B69" t="s">
        <v>192</v>
      </c>
      <c r="C69" t="s">
        <v>77</v>
      </c>
      <c r="D69" t="s">
        <v>199</v>
      </c>
      <c r="E69" t="s">
        <v>201</v>
      </c>
      <c r="F69" t="s">
        <v>197</v>
      </c>
      <c r="G69" t="s">
        <v>210</v>
      </c>
      <c r="H69">
        <v>0</v>
      </c>
      <c r="I69">
        <v>0</v>
      </c>
      <c r="J69">
        <v>0</v>
      </c>
      <c r="K69">
        <v>0</v>
      </c>
      <c r="L69">
        <v>61</v>
      </c>
      <c r="M69">
        <v>61</v>
      </c>
      <c r="N69">
        <v>62</v>
      </c>
      <c r="O69">
        <v>3</v>
      </c>
      <c r="P69">
        <v>7875</v>
      </c>
      <c r="Q69">
        <v>90</v>
      </c>
      <c r="R69">
        <v>0</v>
      </c>
      <c r="S69">
        <v>0</v>
      </c>
      <c r="T69">
        <v>0</v>
      </c>
      <c r="U69">
        <v>0</v>
      </c>
      <c r="V69">
        <v>0.983870968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480375</v>
      </c>
    </row>
    <row r="70" ht="14.25" customHeight="1">
      <c r="A70" t="s">
        <v>191</v>
      </c>
      <c r="B70" t="s">
        <v>192</v>
      </c>
      <c r="C70" t="s">
        <v>79</v>
      </c>
      <c r="D70" t="s">
        <v>193</v>
      </c>
      <c r="E70" t="s">
        <v>194</v>
      </c>
      <c r="F70" t="s">
        <v>195</v>
      </c>
      <c r="G70" t="s">
        <v>210</v>
      </c>
      <c r="H70">
        <v>468</v>
      </c>
      <c r="I70">
        <v>131</v>
      </c>
      <c r="J70">
        <v>94</v>
      </c>
      <c r="K70">
        <v>57</v>
      </c>
      <c r="L70">
        <v>0</v>
      </c>
      <c r="M70">
        <v>57</v>
      </c>
      <c r="N70">
        <v>0</v>
      </c>
      <c r="O70">
        <v>2</v>
      </c>
      <c r="P70">
        <v>7500</v>
      </c>
      <c r="Q70">
        <v>90</v>
      </c>
      <c r="R70">
        <v>222</v>
      </c>
      <c r="S70">
        <v>245</v>
      </c>
      <c r="T70">
        <v>9379</v>
      </c>
      <c r="U70">
        <v>17832</v>
      </c>
      <c r="V70">
        <v>0</v>
      </c>
      <c r="W70">
        <v>0.27991453</v>
      </c>
      <c r="X70">
        <v>0.717557252</v>
      </c>
      <c r="Y70">
        <v>0.606382979</v>
      </c>
      <c r="Z70">
        <v>467</v>
      </c>
      <c r="AA70">
        <v>0.475374732</v>
      </c>
      <c r="AB70">
        <v>38.281632653</v>
      </c>
      <c r="AC70">
        <v>432630</v>
      </c>
    </row>
    <row r="71" ht="14.25" customHeight="1">
      <c r="A71" t="s">
        <v>191</v>
      </c>
      <c r="B71" t="s">
        <v>192</v>
      </c>
      <c r="C71" t="s">
        <v>79</v>
      </c>
      <c r="D71" t="s">
        <v>193</v>
      </c>
      <c r="E71" t="s">
        <v>196</v>
      </c>
      <c r="F71" t="s">
        <v>197</v>
      </c>
      <c r="G71" t="s">
        <v>210</v>
      </c>
      <c r="H71">
        <v>0</v>
      </c>
      <c r="I71">
        <v>0</v>
      </c>
      <c r="J71">
        <v>0</v>
      </c>
      <c r="K71">
        <v>0</v>
      </c>
      <c r="L71">
        <v>55</v>
      </c>
      <c r="M71">
        <v>55</v>
      </c>
      <c r="N71">
        <v>57</v>
      </c>
      <c r="O71">
        <v>2</v>
      </c>
      <c r="P71">
        <v>7000</v>
      </c>
      <c r="Q71">
        <v>90</v>
      </c>
      <c r="R71">
        <v>0</v>
      </c>
      <c r="S71">
        <v>0</v>
      </c>
      <c r="T71">
        <v>0</v>
      </c>
      <c r="U71">
        <v>0</v>
      </c>
      <c r="V71">
        <v>0.964912281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385000</v>
      </c>
    </row>
    <row r="72" ht="14.25" customHeight="1">
      <c r="A72" t="s">
        <v>191</v>
      </c>
      <c r="B72" t="s">
        <v>192</v>
      </c>
      <c r="C72" t="s">
        <v>79</v>
      </c>
      <c r="D72" t="s">
        <v>193</v>
      </c>
      <c r="E72" t="s">
        <v>198</v>
      </c>
      <c r="F72" t="s">
        <v>197</v>
      </c>
      <c r="G72" t="s">
        <v>210</v>
      </c>
      <c r="H72">
        <v>0</v>
      </c>
      <c r="I72">
        <v>0</v>
      </c>
      <c r="J72">
        <v>0</v>
      </c>
      <c r="K72">
        <v>0</v>
      </c>
      <c r="L72">
        <v>54</v>
      </c>
      <c r="M72">
        <v>54</v>
      </c>
      <c r="N72">
        <v>55</v>
      </c>
      <c r="O72">
        <v>2</v>
      </c>
      <c r="P72">
        <v>7000</v>
      </c>
      <c r="Q72">
        <v>90</v>
      </c>
      <c r="R72">
        <v>0</v>
      </c>
      <c r="S72">
        <v>0</v>
      </c>
      <c r="T72">
        <v>0</v>
      </c>
      <c r="U72">
        <v>0</v>
      </c>
      <c r="V72">
        <v>0.981818182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378000</v>
      </c>
    </row>
    <row r="73" ht="14.25" customHeight="1">
      <c r="A73" t="s">
        <v>191</v>
      </c>
      <c r="B73" t="s">
        <v>192</v>
      </c>
      <c r="C73" t="s">
        <v>79</v>
      </c>
      <c r="D73" t="s">
        <v>199</v>
      </c>
      <c r="E73" t="s">
        <v>200</v>
      </c>
      <c r="F73" t="s">
        <v>197</v>
      </c>
      <c r="G73" t="s">
        <v>210</v>
      </c>
      <c r="H73">
        <v>962</v>
      </c>
      <c r="I73">
        <v>192</v>
      </c>
      <c r="J73">
        <v>135</v>
      </c>
      <c r="K73">
        <v>57</v>
      </c>
      <c r="L73">
        <v>0</v>
      </c>
      <c r="M73">
        <v>57</v>
      </c>
      <c r="N73">
        <v>0</v>
      </c>
      <c r="O73">
        <v>3</v>
      </c>
      <c r="P73">
        <v>7500</v>
      </c>
      <c r="Q73">
        <v>90</v>
      </c>
      <c r="R73">
        <v>458</v>
      </c>
      <c r="S73">
        <v>504</v>
      </c>
      <c r="T73">
        <v>19287</v>
      </c>
      <c r="U73">
        <v>36670</v>
      </c>
      <c r="V73">
        <v>0</v>
      </c>
      <c r="W73">
        <v>0.1995842</v>
      </c>
      <c r="X73">
        <v>0.703125</v>
      </c>
      <c r="Y73">
        <v>0.422222222</v>
      </c>
      <c r="Z73">
        <v>962</v>
      </c>
      <c r="AA73">
        <v>0.476091476</v>
      </c>
      <c r="AB73">
        <v>38.267857143</v>
      </c>
      <c r="AC73">
        <v>432630</v>
      </c>
    </row>
    <row r="74" ht="14.25" customHeight="1">
      <c r="A74" t="s">
        <v>191</v>
      </c>
      <c r="B74" t="s">
        <v>192</v>
      </c>
      <c r="C74" t="s">
        <v>79</v>
      </c>
      <c r="D74" t="s">
        <v>199</v>
      </c>
      <c r="E74" t="s">
        <v>201</v>
      </c>
      <c r="F74" t="s">
        <v>197</v>
      </c>
      <c r="G74" t="s">
        <v>210</v>
      </c>
      <c r="H74">
        <v>0</v>
      </c>
      <c r="I74">
        <v>0</v>
      </c>
      <c r="J74">
        <v>0</v>
      </c>
      <c r="K74">
        <v>0</v>
      </c>
      <c r="L74">
        <v>56</v>
      </c>
      <c r="M74">
        <v>56</v>
      </c>
      <c r="N74">
        <v>57</v>
      </c>
      <c r="O74">
        <v>3</v>
      </c>
      <c r="P74">
        <v>7500</v>
      </c>
      <c r="Q74">
        <v>90</v>
      </c>
      <c r="R74">
        <v>0</v>
      </c>
      <c r="S74">
        <v>0</v>
      </c>
      <c r="T74">
        <v>0</v>
      </c>
      <c r="U74">
        <v>0</v>
      </c>
      <c r="V74">
        <v>0.98245614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420000</v>
      </c>
    </row>
    <row r="75" ht="14.25" customHeight="1">
      <c r="A75" t="s">
        <v>191</v>
      </c>
      <c r="B75" t="s">
        <v>192</v>
      </c>
      <c r="C75" t="s">
        <v>81</v>
      </c>
      <c r="D75" t="s">
        <v>193</v>
      </c>
      <c r="E75" t="s">
        <v>194</v>
      </c>
      <c r="F75" t="s">
        <v>195</v>
      </c>
      <c r="G75" t="s">
        <v>210</v>
      </c>
      <c r="H75">
        <v>397</v>
      </c>
      <c r="I75">
        <v>111</v>
      </c>
      <c r="J75">
        <v>80</v>
      </c>
      <c r="K75">
        <v>48</v>
      </c>
      <c r="L75">
        <v>0</v>
      </c>
      <c r="M75">
        <v>48</v>
      </c>
      <c r="N75">
        <v>0</v>
      </c>
      <c r="O75">
        <v>2</v>
      </c>
      <c r="P75">
        <v>7275</v>
      </c>
      <c r="Q75">
        <v>90</v>
      </c>
      <c r="R75">
        <v>193</v>
      </c>
      <c r="S75">
        <v>204</v>
      </c>
      <c r="T75">
        <v>7417</v>
      </c>
      <c r="U75">
        <v>15467</v>
      </c>
      <c r="V75">
        <v>0</v>
      </c>
      <c r="W75">
        <v>0.279596977</v>
      </c>
      <c r="X75">
        <v>0.720720721</v>
      </c>
      <c r="Y75">
        <v>0.6</v>
      </c>
      <c r="Z75">
        <v>397</v>
      </c>
      <c r="AA75">
        <v>0.486146096</v>
      </c>
      <c r="AB75">
        <v>36.357843137</v>
      </c>
      <c r="AC75">
        <v>353520</v>
      </c>
    </row>
    <row r="76" ht="14.25" customHeight="1">
      <c r="A76" t="s">
        <v>191</v>
      </c>
      <c r="B76" t="s">
        <v>192</v>
      </c>
      <c r="C76" t="s">
        <v>81</v>
      </c>
      <c r="D76" t="s">
        <v>193</v>
      </c>
      <c r="E76" t="s">
        <v>196</v>
      </c>
      <c r="F76" t="s">
        <v>197</v>
      </c>
      <c r="G76" t="s">
        <v>210</v>
      </c>
      <c r="H76">
        <v>0</v>
      </c>
      <c r="I76">
        <v>0</v>
      </c>
      <c r="J76">
        <v>0</v>
      </c>
      <c r="K76">
        <v>0</v>
      </c>
      <c r="L76">
        <v>46</v>
      </c>
      <c r="M76">
        <v>46</v>
      </c>
      <c r="N76">
        <v>48</v>
      </c>
      <c r="O76">
        <v>2</v>
      </c>
      <c r="P76">
        <v>6790</v>
      </c>
      <c r="Q76">
        <v>90</v>
      </c>
      <c r="R76">
        <v>0</v>
      </c>
      <c r="S76">
        <v>0</v>
      </c>
      <c r="T76">
        <v>0</v>
      </c>
      <c r="U76">
        <v>0</v>
      </c>
      <c r="V76">
        <v>0.958333333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312340</v>
      </c>
    </row>
    <row r="77" ht="14.25" customHeight="1">
      <c r="A77" t="s">
        <v>191</v>
      </c>
      <c r="B77" t="s">
        <v>192</v>
      </c>
      <c r="C77" t="s">
        <v>81</v>
      </c>
      <c r="D77" t="s">
        <v>193</v>
      </c>
      <c r="E77" t="s">
        <v>198</v>
      </c>
      <c r="F77" t="s">
        <v>197</v>
      </c>
      <c r="G77" t="s">
        <v>210</v>
      </c>
      <c r="H77">
        <v>0</v>
      </c>
      <c r="I77">
        <v>0</v>
      </c>
      <c r="J77">
        <v>0</v>
      </c>
      <c r="K77">
        <v>0</v>
      </c>
      <c r="L77">
        <v>45</v>
      </c>
      <c r="M77">
        <v>45</v>
      </c>
      <c r="N77">
        <v>46</v>
      </c>
      <c r="O77">
        <v>2</v>
      </c>
      <c r="P77">
        <v>6790</v>
      </c>
      <c r="Q77">
        <v>90</v>
      </c>
      <c r="R77">
        <v>0</v>
      </c>
      <c r="S77">
        <v>0</v>
      </c>
      <c r="T77">
        <v>0</v>
      </c>
      <c r="U77">
        <v>0</v>
      </c>
      <c r="V77">
        <v>0.97826087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305550</v>
      </c>
    </row>
    <row r="78" ht="14.25" customHeight="1">
      <c r="A78" t="s">
        <v>191</v>
      </c>
      <c r="B78" t="s">
        <v>192</v>
      </c>
      <c r="C78" t="s">
        <v>81</v>
      </c>
      <c r="D78" t="s">
        <v>199</v>
      </c>
      <c r="E78" t="s">
        <v>200</v>
      </c>
      <c r="F78" t="s">
        <v>197</v>
      </c>
      <c r="G78" t="s">
        <v>210</v>
      </c>
      <c r="H78">
        <v>816</v>
      </c>
      <c r="I78">
        <v>163</v>
      </c>
      <c r="J78">
        <v>114</v>
      </c>
      <c r="K78">
        <v>48</v>
      </c>
      <c r="L78">
        <v>0</v>
      </c>
      <c r="M78">
        <v>48</v>
      </c>
      <c r="N78">
        <v>0</v>
      </c>
      <c r="O78">
        <v>2</v>
      </c>
      <c r="P78">
        <v>7275</v>
      </c>
      <c r="Q78">
        <v>90</v>
      </c>
      <c r="R78">
        <v>396</v>
      </c>
      <c r="S78">
        <v>419</v>
      </c>
      <c r="T78">
        <v>15240</v>
      </c>
      <c r="U78">
        <v>31779</v>
      </c>
      <c r="V78">
        <v>0</v>
      </c>
      <c r="W78">
        <v>0.199754902</v>
      </c>
      <c r="X78">
        <v>0.699386503</v>
      </c>
      <c r="Y78">
        <v>0.421052632</v>
      </c>
      <c r="Z78">
        <v>815</v>
      </c>
      <c r="AA78">
        <v>0.485889571</v>
      </c>
      <c r="AB78">
        <v>36.372315036</v>
      </c>
      <c r="AC78">
        <v>353520</v>
      </c>
    </row>
    <row r="79" ht="14.25" customHeight="1">
      <c r="A79" t="s">
        <v>191</v>
      </c>
      <c r="B79" t="s">
        <v>192</v>
      </c>
      <c r="C79" t="s">
        <v>81</v>
      </c>
      <c r="D79" t="s">
        <v>199</v>
      </c>
      <c r="E79" t="s">
        <v>201</v>
      </c>
      <c r="F79" t="s">
        <v>197</v>
      </c>
      <c r="G79" t="s">
        <v>210</v>
      </c>
      <c r="H79">
        <v>0</v>
      </c>
      <c r="I79">
        <v>0</v>
      </c>
      <c r="J79">
        <v>0</v>
      </c>
      <c r="K79">
        <v>0</v>
      </c>
      <c r="L79">
        <v>47</v>
      </c>
      <c r="M79">
        <v>47</v>
      </c>
      <c r="N79">
        <v>48</v>
      </c>
      <c r="O79">
        <v>2</v>
      </c>
      <c r="P79">
        <v>7275</v>
      </c>
      <c r="Q79">
        <v>90</v>
      </c>
      <c r="R79">
        <v>0</v>
      </c>
      <c r="S79">
        <v>0</v>
      </c>
      <c r="T79">
        <v>0</v>
      </c>
      <c r="U79">
        <v>0</v>
      </c>
      <c r="V79">
        <v>0.979166667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341925</v>
      </c>
    </row>
    <row r="80" ht="14.25" customHeight="1">
      <c r="A80" t="s">
        <v>191</v>
      </c>
      <c r="B80" t="s">
        <v>192</v>
      </c>
      <c r="C80" t="s">
        <v>83</v>
      </c>
      <c r="D80" t="s">
        <v>202</v>
      </c>
      <c r="E80" t="s">
        <v>194</v>
      </c>
      <c r="F80" t="s">
        <v>195</v>
      </c>
      <c r="G80" t="s">
        <v>210</v>
      </c>
      <c r="H80">
        <v>562</v>
      </c>
      <c r="I80">
        <v>158</v>
      </c>
      <c r="J80">
        <v>113</v>
      </c>
      <c r="K80">
        <v>68</v>
      </c>
      <c r="L80">
        <v>0</v>
      </c>
      <c r="M80">
        <v>68</v>
      </c>
      <c r="N80">
        <v>0</v>
      </c>
      <c r="O80">
        <v>3</v>
      </c>
      <c r="P80">
        <v>8400</v>
      </c>
      <c r="Q80">
        <v>90</v>
      </c>
      <c r="R80">
        <v>220</v>
      </c>
      <c r="S80">
        <v>354</v>
      </c>
      <c r="T80">
        <v>18140</v>
      </c>
      <c r="U80">
        <v>18785</v>
      </c>
      <c r="V80">
        <v>0</v>
      </c>
      <c r="W80">
        <v>0.28113879</v>
      </c>
      <c r="X80">
        <v>0.715189873</v>
      </c>
      <c r="Y80">
        <v>0.601769912</v>
      </c>
      <c r="Z80">
        <v>574</v>
      </c>
      <c r="AA80">
        <v>0.383275261</v>
      </c>
      <c r="AB80">
        <v>51.242937853</v>
      </c>
      <c r="AC80">
        <v>577320</v>
      </c>
    </row>
    <row r="81" ht="14.25" customHeight="1">
      <c r="A81" t="s">
        <v>191</v>
      </c>
      <c r="B81" t="s">
        <v>192</v>
      </c>
      <c r="C81" t="s">
        <v>83</v>
      </c>
      <c r="D81" t="s">
        <v>202</v>
      </c>
      <c r="E81" t="s">
        <v>196</v>
      </c>
      <c r="F81" t="s">
        <v>197</v>
      </c>
      <c r="G81" t="s">
        <v>210</v>
      </c>
      <c r="H81">
        <v>0</v>
      </c>
      <c r="I81">
        <v>0</v>
      </c>
      <c r="J81">
        <v>0</v>
      </c>
      <c r="K81">
        <v>0</v>
      </c>
      <c r="L81">
        <v>66</v>
      </c>
      <c r="M81">
        <v>66</v>
      </c>
      <c r="N81">
        <v>68</v>
      </c>
      <c r="O81">
        <v>3</v>
      </c>
      <c r="P81">
        <v>7840</v>
      </c>
      <c r="Q81">
        <v>90</v>
      </c>
      <c r="R81">
        <v>0</v>
      </c>
      <c r="S81">
        <v>0</v>
      </c>
      <c r="T81">
        <v>0</v>
      </c>
      <c r="U81">
        <v>0</v>
      </c>
      <c r="V81">
        <v>0.970588235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517440</v>
      </c>
    </row>
    <row r="82" ht="14.25" customHeight="1">
      <c r="A82" t="s">
        <v>191</v>
      </c>
      <c r="B82" t="s">
        <v>192</v>
      </c>
      <c r="C82" t="s">
        <v>83</v>
      </c>
      <c r="D82" t="s">
        <v>202</v>
      </c>
      <c r="E82" t="s">
        <v>198</v>
      </c>
      <c r="F82" t="s">
        <v>197</v>
      </c>
      <c r="G82" t="s">
        <v>210</v>
      </c>
      <c r="H82">
        <v>0</v>
      </c>
      <c r="I82">
        <v>0</v>
      </c>
      <c r="J82">
        <v>0</v>
      </c>
      <c r="K82">
        <v>0</v>
      </c>
      <c r="L82">
        <v>65</v>
      </c>
      <c r="M82">
        <v>65</v>
      </c>
      <c r="N82">
        <v>66</v>
      </c>
      <c r="O82">
        <v>3</v>
      </c>
      <c r="P82">
        <v>7840</v>
      </c>
      <c r="Q82">
        <v>90</v>
      </c>
      <c r="R82">
        <v>0</v>
      </c>
      <c r="S82">
        <v>0</v>
      </c>
      <c r="T82">
        <v>0</v>
      </c>
      <c r="U82">
        <v>0</v>
      </c>
      <c r="V82">
        <v>0.984848485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509600</v>
      </c>
    </row>
    <row r="83" ht="14.25" customHeight="1">
      <c r="A83" t="s">
        <v>191</v>
      </c>
      <c r="B83" t="s">
        <v>192</v>
      </c>
      <c r="C83" t="s">
        <v>83</v>
      </c>
      <c r="D83" t="s">
        <v>203</v>
      </c>
      <c r="E83" t="s">
        <v>200</v>
      </c>
      <c r="F83" t="s">
        <v>197</v>
      </c>
      <c r="G83" t="s">
        <v>210</v>
      </c>
      <c r="H83">
        <v>1151</v>
      </c>
      <c r="I83">
        <v>230</v>
      </c>
      <c r="J83">
        <v>161</v>
      </c>
      <c r="K83">
        <v>68</v>
      </c>
      <c r="L83">
        <v>0</v>
      </c>
      <c r="M83">
        <v>68</v>
      </c>
      <c r="N83">
        <v>0</v>
      </c>
      <c r="O83">
        <v>3</v>
      </c>
      <c r="P83">
        <v>8400</v>
      </c>
      <c r="Q83">
        <v>90</v>
      </c>
      <c r="R83">
        <v>450</v>
      </c>
      <c r="S83">
        <v>726</v>
      </c>
      <c r="T83">
        <v>37132</v>
      </c>
      <c r="U83">
        <v>38451</v>
      </c>
      <c r="V83">
        <v>0</v>
      </c>
      <c r="W83">
        <v>0.199826238</v>
      </c>
      <c r="X83">
        <v>0.7</v>
      </c>
      <c r="Y83">
        <v>0.422360248</v>
      </c>
      <c r="Z83">
        <v>1176</v>
      </c>
      <c r="AA83">
        <v>0.382653061</v>
      </c>
      <c r="AB83">
        <v>51.14600551</v>
      </c>
      <c r="AC83">
        <v>577320</v>
      </c>
    </row>
    <row r="84" ht="14.25" customHeight="1">
      <c r="A84" t="s">
        <v>191</v>
      </c>
      <c r="B84" t="s">
        <v>192</v>
      </c>
      <c r="C84" t="s">
        <v>83</v>
      </c>
      <c r="D84" t="s">
        <v>203</v>
      </c>
      <c r="E84" t="s">
        <v>201</v>
      </c>
      <c r="F84" t="s">
        <v>197</v>
      </c>
      <c r="G84" t="s">
        <v>210</v>
      </c>
      <c r="H84">
        <v>0</v>
      </c>
      <c r="I84">
        <v>0</v>
      </c>
      <c r="J84">
        <v>0</v>
      </c>
      <c r="K84">
        <v>0</v>
      </c>
      <c r="L84">
        <v>67</v>
      </c>
      <c r="M84">
        <v>67</v>
      </c>
      <c r="N84">
        <v>68</v>
      </c>
      <c r="O84">
        <v>3</v>
      </c>
      <c r="P84">
        <v>8400</v>
      </c>
      <c r="Q84">
        <v>90</v>
      </c>
      <c r="R84">
        <v>0</v>
      </c>
      <c r="S84">
        <v>0</v>
      </c>
      <c r="T84">
        <v>0</v>
      </c>
      <c r="U84">
        <v>0</v>
      </c>
      <c r="V84">
        <v>0.985294118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562800</v>
      </c>
    </row>
    <row r="85" ht="14.25" customHeight="1">
      <c r="A85" t="s">
        <v>191</v>
      </c>
      <c r="B85" t="s">
        <v>192</v>
      </c>
      <c r="C85" t="s">
        <v>84</v>
      </c>
      <c r="D85" t="s">
        <v>202</v>
      </c>
      <c r="E85" t="s">
        <v>194</v>
      </c>
      <c r="F85" t="s">
        <v>195</v>
      </c>
      <c r="G85" t="s">
        <v>210</v>
      </c>
      <c r="H85">
        <v>388</v>
      </c>
      <c r="I85">
        <v>108</v>
      </c>
      <c r="J85">
        <v>78</v>
      </c>
      <c r="K85">
        <v>47</v>
      </c>
      <c r="L85">
        <v>0</v>
      </c>
      <c r="M85">
        <v>47</v>
      </c>
      <c r="N85">
        <v>0</v>
      </c>
      <c r="O85">
        <v>2</v>
      </c>
      <c r="P85">
        <v>7350</v>
      </c>
      <c r="Q85">
        <v>90</v>
      </c>
      <c r="R85">
        <v>199</v>
      </c>
      <c r="S85">
        <v>196</v>
      </c>
      <c r="T85">
        <v>7473</v>
      </c>
      <c r="U85">
        <v>17199</v>
      </c>
      <c r="V85">
        <v>0</v>
      </c>
      <c r="W85">
        <v>0.278350515</v>
      </c>
      <c r="X85">
        <v>0.722222222</v>
      </c>
      <c r="Y85">
        <v>0.602564103</v>
      </c>
      <c r="Z85">
        <v>395</v>
      </c>
      <c r="AA85">
        <v>0.503797468</v>
      </c>
      <c r="AB85">
        <v>38.12755102</v>
      </c>
      <c r="AC85">
        <v>349680</v>
      </c>
    </row>
    <row r="86" ht="14.25" customHeight="1">
      <c r="A86" t="s">
        <v>191</v>
      </c>
      <c r="B86" t="s">
        <v>192</v>
      </c>
      <c r="C86" t="s">
        <v>84</v>
      </c>
      <c r="D86" t="s">
        <v>202</v>
      </c>
      <c r="E86" t="s">
        <v>196</v>
      </c>
      <c r="F86" t="s">
        <v>197</v>
      </c>
      <c r="G86" t="s">
        <v>210</v>
      </c>
      <c r="H86">
        <v>0</v>
      </c>
      <c r="I86">
        <v>0</v>
      </c>
      <c r="J86">
        <v>0</v>
      </c>
      <c r="K86">
        <v>0</v>
      </c>
      <c r="L86">
        <v>45</v>
      </c>
      <c r="M86">
        <v>45</v>
      </c>
      <c r="N86">
        <v>47</v>
      </c>
      <c r="O86">
        <v>2</v>
      </c>
      <c r="P86">
        <v>6860</v>
      </c>
      <c r="Q86">
        <v>90</v>
      </c>
      <c r="R86">
        <v>0</v>
      </c>
      <c r="S86">
        <v>0</v>
      </c>
      <c r="T86">
        <v>0</v>
      </c>
      <c r="U86">
        <v>0</v>
      </c>
      <c r="V86">
        <v>0.957446809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308700</v>
      </c>
    </row>
    <row r="87" ht="14.25" customHeight="1">
      <c r="A87" t="s">
        <v>191</v>
      </c>
      <c r="B87" t="s">
        <v>192</v>
      </c>
      <c r="C87" t="s">
        <v>84</v>
      </c>
      <c r="D87" t="s">
        <v>202</v>
      </c>
      <c r="E87" t="s">
        <v>198</v>
      </c>
      <c r="F87" t="s">
        <v>197</v>
      </c>
      <c r="G87" t="s">
        <v>210</v>
      </c>
      <c r="H87">
        <v>0</v>
      </c>
      <c r="I87">
        <v>0</v>
      </c>
      <c r="J87">
        <v>0</v>
      </c>
      <c r="K87">
        <v>0</v>
      </c>
      <c r="L87">
        <v>44</v>
      </c>
      <c r="M87">
        <v>44</v>
      </c>
      <c r="N87">
        <v>45</v>
      </c>
      <c r="O87">
        <v>2</v>
      </c>
      <c r="P87">
        <v>6860</v>
      </c>
      <c r="Q87">
        <v>90</v>
      </c>
      <c r="R87">
        <v>0</v>
      </c>
      <c r="S87">
        <v>0</v>
      </c>
      <c r="T87">
        <v>0</v>
      </c>
      <c r="U87">
        <v>0</v>
      </c>
      <c r="V87">
        <v>0.977777778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301840</v>
      </c>
    </row>
    <row r="88" ht="14.25" customHeight="1">
      <c r="A88" t="s">
        <v>191</v>
      </c>
      <c r="B88" t="s">
        <v>192</v>
      </c>
      <c r="C88" t="s">
        <v>84</v>
      </c>
      <c r="D88" t="s">
        <v>203</v>
      </c>
      <c r="E88" t="s">
        <v>200</v>
      </c>
      <c r="F88" t="s">
        <v>197</v>
      </c>
      <c r="G88" t="s">
        <v>210</v>
      </c>
      <c r="H88">
        <v>802</v>
      </c>
      <c r="I88">
        <v>160</v>
      </c>
      <c r="J88">
        <v>112</v>
      </c>
      <c r="K88">
        <v>47</v>
      </c>
      <c r="L88">
        <v>0</v>
      </c>
      <c r="M88">
        <v>47</v>
      </c>
      <c r="N88">
        <v>0</v>
      </c>
      <c r="O88">
        <v>2</v>
      </c>
      <c r="P88">
        <v>7350</v>
      </c>
      <c r="Q88">
        <v>90</v>
      </c>
      <c r="R88">
        <v>413</v>
      </c>
      <c r="S88">
        <v>404</v>
      </c>
      <c r="T88">
        <v>15454</v>
      </c>
      <c r="U88">
        <v>35569</v>
      </c>
      <c r="V88">
        <v>0</v>
      </c>
      <c r="W88">
        <v>0.199501247</v>
      </c>
      <c r="X88">
        <v>0.7</v>
      </c>
      <c r="Y88">
        <v>0.419642857</v>
      </c>
      <c r="Z88">
        <v>817</v>
      </c>
      <c r="AA88">
        <v>0.505507956</v>
      </c>
      <c r="AB88">
        <v>38.252475248</v>
      </c>
      <c r="AC88">
        <v>349680</v>
      </c>
    </row>
    <row r="89" ht="14.25" customHeight="1">
      <c r="A89" t="s">
        <v>191</v>
      </c>
      <c r="B89" t="s">
        <v>192</v>
      </c>
      <c r="C89" t="s">
        <v>84</v>
      </c>
      <c r="D89" t="s">
        <v>203</v>
      </c>
      <c r="E89" t="s">
        <v>201</v>
      </c>
      <c r="F89" t="s">
        <v>197</v>
      </c>
      <c r="G89" t="s">
        <v>210</v>
      </c>
      <c r="H89">
        <v>0</v>
      </c>
      <c r="I89">
        <v>0</v>
      </c>
      <c r="J89">
        <v>0</v>
      </c>
      <c r="K89">
        <v>0</v>
      </c>
      <c r="L89">
        <v>46</v>
      </c>
      <c r="M89">
        <v>46</v>
      </c>
      <c r="N89">
        <v>47</v>
      </c>
      <c r="O89">
        <v>2</v>
      </c>
      <c r="P89">
        <v>7350</v>
      </c>
      <c r="Q89">
        <v>90</v>
      </c>
      <c r="R89">
        <v>0</v>
      </c>
      <c r="S89">
        <v>0</v>
      </c>
      <c r="T89">
        <v>0</v>
      </c>
      <c r="U89">
        <v>0</v>
      </c>
      <c r="V89">
        <v>0.978723404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338100</v>
      </c>
    </row>
    <row r="90" ht="14.25" customHeight="1">
      <c r="A90" t="s">
        <v>191</v>
      </c>
      <c r="B90" t="s">
        <v>192</v>
      </c>
      <c r="C90" t="s">
        <v>86</v>
      </c>
      <c r="D90" t="s">
        <v>202</v>
      </c>
      <c r="E90" t="s">
        <v>194</v>
      </c>
      <c r="F90" t="s">
        <v>195</v>
      </c>
      <c r="G90" t="s">
        <v>210</v>
      </c>
      <c r="H90">
        <v>364</v>
      </c>
      <c r="I90">
        <v>102</v>
      </c>
      <c r="J90">
        <v>74</v>
      </c>
      <c r="K90">
        <v>44</v>
      </c>
      <c r="L90">
        <v>0</v>
      </c>
      <c r="M90">
        <v>44</v>
      </c>
      <c r="N90">
        <v>0</v>
      </c>
      <c r="O90">
        <v>2</v>
      </c>
      <c r="P90">
        <v>7200</v>
      </c>
      <c r="Q90">
        <v>90</v>
      </c>
      <c r="R90">
        <v>191</v>
      </c>
      <c r="S90">
        <v>180</v>
      </c>
      <c r="T90">
        <v>6534</v>
      </c>
      <c r="U90">
        <v>16504</v>
      </c>
      <c r="V90">
        <v>0</v>
      </c>
      <c r="W90">
        <v>0.28021978</v>
      </c>
      <c r="X90">
        <v>0.725490196</v>
      </c>
      <c r="Y90">
        <v>0.594594595</v>
      </c>
      <c r="Z90">
        <v>371</v>
      </c>
      <c r="AA90">
        <v>0.514824798</v>
      </c>
      <c r="AB90">
        <v>36.3</v>
      </c>
      <c r="AC90">
        <v>320760</v>
      </c>
    </row>
    <row r="91" ht="14.25" customHeight="1">
      <c r="A91" t="s">
        <v>191</v>
      </c>
      <c r="B91" t="s">
        <v>192</v>
      </c>
      <c r="C91" t="s">
        <v>86</v>
      </c>
      <c r="D91" t="s">
        <v>202</v>
      </c>
      <c r="E91" t="s">
        <v>196</v>
      </c>
      <c r="F91" t="s">
        <v>197</v>
      </c>
      <c r="G91" t="s">
        <v>210</v>
      </c>
      <c r="H91">
        <v>0</v>
      </c>
      <c r="I91">
        <v>0</v>
      </c>
      <c r="J91">
        <v>0</v>
      </c>
      <c r="K91">
        <v>0</v>
      </c>
      <c r="L91">
        <v>43</v>
      </c>
      <c r="M91">
        <v>43</v>
      </c>
      <c r="N91">
        <v>44</v>
      </c>
      <c r="O91">
        <v>2</v>
      </c>
      <c r="P91">
        <v>6720</v>
      </c>
      <c r="Q91">
        <v>90</v>
      </c>
      <c r="R91">
        <v>0</v>
      </c>
      <c r="S91">
        <v>0</v>
      </c>
      <c r="T91">
        <v>0</v>
      </c>
      <c r="U91">
        <v>0</v>
      </c>
      <c r="V91">
        <v>0.977272727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288960</v>
      </c>
    </row>
    <row r="92" ht="14.25" customHeight="1">
      <c r="A92" t="s">
        <v>191</v>
      </c>
      <c r="B92" t="s">
        <v>192</v>
      </c>
      <c r="C92" t="s">
        <v>86</v>
      </c>
      <c r="D92" t="s">
        <v>202</v>
      </c>
      <c r="E92" t="s">
        <v>198</v>
      </c>
      <c r="F92" t="s">
        <v>197</v>
      </c>
      <c r="G92" t="s">
        <v>210</v>
      </c>
      <c r="H92">
        <v>0</v>
      </c>
      <c r="I92">
        <v>0</v>
      </c>
      <c r="J92">
        <v>0</v>
      </c>
      <c r="K92">
        <v>0</v>
      </c>
      <c r="L92">
        <v>42</v>
      </c>
      <c r="M92">
        <v>42</v>
      </c>
      <c r="N92">
        <v>43</v>
      </c>
      <c r="O92">
        <v>2</v>
      </c>
      <c r="P92">
        <v>6720</v>
      </c>
      <c r="Q92">
        <v>90</v>
      </c>
      <c r="R92">
        <v>0</v>
      </c>
      <c r="S92">
        <v>0</v>
      </c>
      <c r="T92">
        <v>0</v>
      </c>
      <c r="U92">
        <v>0</v>
      </c>
      <c r="V92">
        <v>0.976744186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282240</v>
      </c>
    </row>
    <row r="93" ht="14.25" customHeight="1">
      <c r="A93" t="s">
        <v>191</v>
      </c>
      <c r="B93" t="s">
        <v>192</v>
      </c>
      <c r="C93" t="s">
        <v>86</v>
      </c>
      <c r="D93" t="s">
        <v>203</v>
      </c>
      <c r="E93" t="s">
        <v>200</v>
      </c>
      <c r="F93" t="s">
        <v>197</v>
      </c>
      <c r="G93" t="s">
        <v>210</v>
      </c>
      <c r="H93">
        <v>755</v>
      </c>
      <c r="I93">
        <v>151</v>
      </c>
      <c r="J93">
        <v>106</v>
      </c>
      <c r="K93">
        <v>44</v>
      </c>
      <c r="L93">
        <v>0</v>
      </c>
      <c r="M93">
        <v>44</v>
      </c>
      <c r="N93">
        <v>0</v>
      </c>
      <c r="O93">
        <v>2</v>
      </c>
      <c r="P93">
        <v>7200</v>
      </c>
      <c r="Q93">
        <v>90</v>
      </c>
      <c r="R93">
        <v>396</v>
      </c>
      <c r="S93">
        <v>373</v>
      </c>
      <c r="T93">
        <v>13542</v>
      </c>
      <c r="U93">
        <v>34206</v>
      </c>
      <c r="V93">
        <v>0</v>
      </c>
      <c r="W93">
        <v>0.2</v>
      </c>
      <c r="X93">
        <v>0.701986755</v>
      </c>
      <c r="Y93">
        <v>0.41509434</v>
      </c>
      <c r="Z93">
        <v>769</v>
      </c>
      <c r="AA93">
        <v>0.514954486</v>
      </c>
      <c r="AB93">
        <v>36.305630027</v>
      </c>
      <c r="AC93">
        <v>320760</v>
      </c>
    </row>
    <row r="94" ht="14.25" customHeight="1">
      <c r="A94" t="s">
        <v>191</v>
      </c>
      <c r="B94" t="s">
        <v>192</v>
      </c>
      <c r="C94" t="s">
        <v>86</v>
      </c>
      <c r="D94" t="s">
        <v>203</v>
      </c>
      <c r="E94" t="s">
        <v>201</v>
      </c>
      <c r="F94" t="s">
        <v>197</v>
      </c>
      <c r="G94" t="s">
        <v>210</v>
      </c>
      <c r="H94">
        <v>0</v>
      </c>
      <c r="I94">
        <v>0</v>
      </c>
      <c r="J94">
        <v>0</v>
      </c>
      <c r="K94">
        <v>0</v>
      </c>
      <c r="L94">
        <v>43</v>
      </c>
      <c r="M94">
        <v>43</v>
      </c>
      <c r="N94">
        <v>44</v>
      </c>
      <c r="O94">
        <v>2</v>
      </c>
      <c r="P94">
        <v>7200</v>
      </c>
      <c r="Q94">
        <v>90</v>
      </c>
      <c r="R94">
        <v>0</v>
      </c>
      <c r="S94">
        <v>0</v>
      </c>
      <c r="T94">
        <v>0</v>
      </c>
      <c r="U94">
        <v>0</v>
      </c>
      <c r="V94">
        <v>0.977272727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309600</v>
      </c>
    </row>
    <row r="95" ht="14.25" customHeight="1">
      <c r="A95" t="s">
        <v>191</v>
      </c>
      <c r="B95" t="s">
        <v>192</v>
      </c>
      <c r="C95" t="s">
        <v>88</v>
      </c>
      <c r="D95" t="s">
        <v>204</v>
      </c>
      <c r="E95" t="s">
        <v>194</v>
      </c>
      <c r="F95" t="s">
        <v>197</v>
      </c>
      <c r="G95" t="s">
        <v>210</v>
      </c>
      <c r="H95">
        <v>802</v>
      </c>
      <c r="I95">
        <v>160</v>
      </c>
      <c r="J95">
        <v>112</v>
      </c>
      <c r="K95">
        <v>47</v>
      </c>
      <c r="L95">
        <v>0</v>
      </c>
      <c r="M95">
        <v>47</v>
      </c>
      <c r="N95">
        <v>0</v>
      </c>
      <c r="O95">
        <v>2</v>
      </c>
      <c r="P95">
        <v>7000</v>
      </c>
      <c r="Q95">
        <v>90</v>
      </c>
      <c r="R95">
        <v>281</v>
      </c>
      <c r="S95">
        <v>516</v>
      </c>
      <c r="T95">
        <v>19782</v>
      </c>
      <c r="U95">
        <v>21082</v>
      </c>
      <c r="V95">
        <v>0</v>
      </c>
      <c r="W95">
        <v>0.199501247</v>
      </c>
      <c r="X95">
        <v>0.7</v>
      </c>
      <c r="Y95">
        <v>0.419642857</v>
      </c>
      <c r="Z95">
        <v>797</v>
      </c>
      <c r="AA95">
        <v>0.352572146</v>
      </c>
      <c r="AB95">
        <v>38.337209302</v>
      </c>
      <c r="AC95">
        <v>333230</v>
      </c>
    </row>
    <row r="96" ht="14.25" customHeight="1">
      <c r="A96" t="s">
        <v>191</v>
      </c>
      <c r="B96" t="s">
        <v>192</v>
      </c>
      <c r="C96" t="s">
        <v>88</v>
      </c>
      <c r="D96" t="s">
        <v>204</v>
      </c>
      <c r="E96" t="s">
        <v>196</v>
      </c>
      <c r="F96" t="s">
        <v>197</v>
      </c>
      <c r="G96" t="s">
        <v>210</v>
      </c>
      <c r="H96">
        <v>0</v>
      </c>
      <c r="I96">
        <v>0</v>
      </c>
      <c r="J96">
        <v>0</v>
      </c>
      <c r="K96">
        <v>0</v>
      </c>
      <c r="L96">
        <v>45</v>
      </c>
      <c r="M96">
        <v>45</v>
      </c>
      <c r="N96">
        <v>47</v>
      </c>
      <c r="O96">
        <v>2</v>
      </c>
      <c r="P96">
        <v>7000</v>
      </c>
      <c r="Q96">
        <v>90</v>
      </c>
      <c r="R96">
        <v>0</v>
      </c>
      <c r="S96">
        <v>0</v>
      </c>
      <c r="T96">
        <v>0</v>
      </c>
      <c r="U96">
        <v>0</v>
      </c>
      <c r="V96">
        <v>0.957446809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315000</v>
      </c>
    </row>
    <row r="97" ht="14.25" customHeight="1">
      <c r="A97" t="s">
        <v>191</v>
      </c>
      <c r="B97" t="s">
        <v>192</v>
      </c>
      <c r="C97" t="s">
        <v>88</v>
      </c>
      <c r="D97" t="s">
        <v>204</v>
      </c>
      <c r="E97" t="s">
        <v>198</v>
      </c>
      <c r="F97" t="s">
        <v>197</v>
      </c>
      <c r="G97" t="s">
        <v>210</v>
      </c>
      <c r="H97">
        <v>0</v>
      </c>
      <c r="I97">
        <v>0</v>
      </c>
      <c r="J97">
        <v>0</v>
      </c>
      <c r="K97">
        <v>0</v>
      </c>
      <c r="L97">
        <v>44</v>
      </c>
      <c r="M97">
        <v>44</v>
      </c>
      <c r="N97">
        <v>45</v>
      </c>
      <c r="O97">
        <v>2</v>
      </c>
      <c r="P97">
        <v>7000</v>
      </c>
      <c r="Q97">
        <v>90</v>
      </c>
      <c r="R97">
        <v>0</v>
      </c>
      <c r="S97">
        <v>0</v>
      </c>
      <c r="T97">
        <v>0</v>
      </c>
      <c r="U97">
        <v>0</v>
      </c>
      <c r="V97">
        <v>0.977777778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308000</v>
      </c>
    </row>
    <row r="98" ht="14.25" customHeight="1">
      <c r="A98" t="s">
        <v>191</v>
      </c>
      <c r="B98" t="s">
        <v>192</v>
      </c>
      <c r="C98" t="s">
        <v>90</v>
      </c>
      <c r="D98" t="s">
        <v>204</v>
      </c>
      <c r="E98" t="s">
        <v>194</v>
      </c>
      <c r="F98" t="s">
        <v>197</v>
      </c>
      <c r="G98" t="s">
        <v>210</v>
      </c>
      <c r="H98">
        <v>642</v>
      </c>
      <c r="I98">
        <v>128</v>
      </c>
      <c r="J98">
        <v>90</v>
      </c>
      <c r="K98">
        <v>38</v>
      </c>
      <c r="L98">
        <v>0</v>
      </c>
      <c r="M98">
        <v>38</v>
      </c>
      <c r="N98">
        <v>0</v>
      </c>
      <c r="O98">
        <v>2</v>
      </c>
      <c r="P98">
        <v>6650</v>
      </c>
      <c r="Q98">
        <v>90</v>
      </c>
      <c r="R98">
        <v>243</v>
      </c>
      <c r="S98">
        <v>392</v>
      </c>
      <c r="T98">
        <v>13575</v>
      </c>
      <c r="U98">
        <v>18403</v>
      </c>
      <c r="V98">
        <v>0</v>
      </c>
      <c r="W98">
        <v>0.199376947</v>
      </c>
      <c r="X98">
        <v>0.703125</v>
      </c>
      <c r="Y98">
        <v>0.422222222</v>
      </c>
      <c r="Z98">
        <v>635</v>
      </c>
      <c r="AA98">
        <v>0.382677165</v>
      </c>
      <c r="AB98">
        <v>34.630102041</v>
      </c>
      <c r="AC98">
        <v>256120</v>
      </c>
    </row>
    <row r="99" ht="14.25" customHeight="1">
      <c r="A99" t="s">
        <v>191</v>
      </c>
      <c r="B99" t="s">
        <v>192</v>
      </c>
      <c r="C99" t="s">
        <v>90</v>
      </c>
      <c r="D99" t="s">
        <v>204</v>
      </c>
      <c r="E99" t="s">
        <v>196</v>
      </c>
      <c r="F99" t="s">
        <v>197</v>
      </c>
      <c r="G99" t="s">
        <v>210</v>
      </c>
      <c r="H99">
        <v>0</v>
      </c>
      <c r="I99">
        <v>0</v>
      </c>
      <c r="J99">
        <v>0</v>
      </c>
      <c r="K99">
        <v>0</v>
      </c>
      <c r="L99">
        <v>37</v>
      </c>
      <c r="M99">
        <v>37</v>
      </c>
      <c r="N99">
        <v>38</v>
      </c>
      <c r="O99">
        <v>2</v>
      </c>
      <c r="P99">
        <v>6650</v>
      </c>
      <c r="Q99">
        <v>90</v>
      </c>
      <c r="R99">
        <v>0</v>
      </c>
      <c r="S99">
        <v>0</v>
      </c>
      <c r="T99">
        <v>0</v>
      </c>
      <c r="U99">
        <v>0</v>
      </c>
      <c r="V99">
        <v>0.973684211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246050</v>
      </c>
    </row>
    <row r="100" ht="14.25" customHeight="1">
      <c r="A100" t="s">
        <v>191</v>
      </c>
      <c r="B100" t="s">
        <v>192</v>
      </c>
      <c r="C100" t="s">
        <v>90</v>
      </c>
      <c r="D100" t="s">
        <v>204</v>
      </c>
      <c r="E100" t="s">
        <v>198</v>
      </c>
      <c r="F100" t="s">
        <v>197</v>
      </c>
      <c r="G100" t="s">
        <v>210</v>
      </c>
      <c r="H100">
        <v>0</v>
      </c>
      <c r="I100">
        <v>0</v>
      </c>
      <c r="J100">
        <v>0</v>
      </c>
      <c r="K100">
        <v>0</v>
      </c>
      <c r="L100">
        <v>36</v>
      </c>
      <c r="M100">
        <v>36</v>
      </c>
      <c r="N100">
        <v>37</v>
      </c>
      <c r="O100">
        <v>2</v>
      </c>
      <c r="P100">
        <v>6650</v>
      </c>
      <c r="Q100">
        <v>90</v>
      </c>
      <c r="R100">
        <v>0</v>
      </c>
      <c r="S100">
        <v>0</v>
      </c>
      <c r="T100">
        <v>0</v>
      </c>
      <c r="U100">
        <v>0</v>
      </c>
      <c r="V100">
        <v>0.972972973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239400</v>
      </c>
    </row>
    <row r="101" ht="14.25" customHeight="1">
      <c r="A101" t="s">
        <v>191</v>
      </c>
      <c r="B101" t="s">
        <v>192</v>
      </c>
      <c r="C101" t="s">
        <v>92</v>
      </c>
      <c r="D101" t="s">
        <v>204</v>
      </c>
      <c r="E101" t="s">
        <v>194</v>
      </c>
      <c r="F101" t="s">
        <v>197</v>
      </c>
      <c r="G101" t="s">
        <v>210</v>
      </c>
      <c r="H101">
        <v>642</v>
      </c>
      <c r="I101">
        <v>128</v>
      </c>
      <c r="J101">
        <v>90</v>
      </c>
      <c r="K101">
        <v>38</v>
      </c>
      <c r="L101">
        <v>0</v>
      </c>
      <c r="M101">
        <v>38</v>
      </c>
      <c r="N101">
        <v>0</v>
      </c>
      <c r="O101">
        <v>2</v>
      </c>
      <c r="P101">
        <v>6650</v>
      </c>
      <c r="Q101">
        <v>90</v>
      </c>
      <c r="R101">
        <v>237</v>
      </c>
      <c r="S101">
        <v>399</v>
      </c>
      <c r="T101">
        <v>13798</v>
      </c>
      <c r="U101">
        <v>17870</v>
      </c>
      <c r="V101">
        <v>0</v>
      </c>
      <c r="W101">
        <v>0.199376947</v>
      </c>
      <c r="X101">
        <v>0.703125</v>
      </c>
      <c r="Y101">
        <v>0.422222222</v>
      </c>
      <c r="Z101">
        <v>636</v>
      </c>
      <c r="AA101">
        <v>0.372641509</v>
      </c>
      <c r="AB101">
        <v>34.581453634</v>
      </c>
      <c r="AC101">
        <v>256120</v>
      </c>
    </row>
    <row r="102" ht="14.25" customHeight="1">
      <c r="A102" t="s">
        <v>191</v>
      </c>
      <c r="B102" t="s">
        <v>192</v>
      </c>
      <c r="C102" t="s">
        <v>92</v>
      </c>
      <c r="D102" t="s">
        <v>204</v>
      </c>
      <c r="E102" t="s">
        <v>196</v>
      </c>
      <c r="F102" t="s">
        <v>197</v>
      </c>
      <c r="G102" t="s">
        <v>210</v>
      </c>
      <c r="H102">
        <v>0</v>
      </c>
      <c r="I102">
        <v>0</v>
      </c>
      <c r="J102">
        <v>0</v>
      </c>
      <c r="K102">
        <v>0</v>
      </c>
      <c r="L102">
        <v>37</v>
      </c>
      <c r="M102">
        <v>37</v>
      </c>
      <c r="N102">
        <v>38</v>
      </c>
      <c r="O102">
        <v>2</v>
      </c>
      <c r="P102">
        <v>6650</v>
      </c>
      <c r="Q102">
        <v>90</v>
      </c>
      <c r="R102">
        <v>0</v>
      </c>
      <c r="S102">
        <v>0</v>
      </c>
      <c r="T102">
        <v>0</v>
      </c>
      <c r="U102">
        <v>0</v>
      </c>
      <c r="V102">
        <v>0.973684211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246050</v>
      </c>
    </row>
    <row r="103" ht="14.25" customHeight="1">
      <c r="A103" t="s">
        <v>191</v>
      </c>
      <c r="B103" t="s">
        <v>192</v>
      </c>
      <c r="C103" t="s">
        <v>92</v>
      </c>
      <c r="D103" t="s">
        <v>204</v>
      </c>
      <c r="E103" t="s">
        <v>198</v>
      </c>
      <c r="F103" t="s">
        <v>197</v>
      </c>
      <c r="G103" t="s">
        <v>210</v>
      </c>
      <c r="H103">
        <v>0</v>
      </c>
      <c r="I103">
        <v>0</v>
      </c>
      <c r="J103">
        <v>0</v>
      </c>
      <c r="K103">
        <v>0</v>
      </c>
      <c r="L103">
        <v>36</v>
      </c>
      <c r="M103">
        <v>36</v>
      </c>
      <c r="N103">
        <v>37</v>
      </c>
      <c r="O103">
        <v>2</v>
      </c>
      <c r="P103">
        <v>6650</v>
      </c>
      <c r="Q103">
        <v>90</v>
      </c>
      <c r="R103">
        <v>0</v>
      </c>
      <c r="S103">
        <v>0</v>
      </c>
      <c r="T103">
        <v>0</v>
      </c>
      <c r="U103">
        <v>0</v>
      </c>
      <c r="V103">
        <v>0.972972973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239400</v>
      </c>
    </row>
    <row r="104" ht="14.25" customHeight="1">
      <c r="A104" t="s">
        <v>191</v>
      </c>
      <c r="B104" t="s">
        <v>192</v>
      </c>
      <c r="C104" t="s">
        <v>94</v>
      </c>
      <c r="D104" t="s">
        <v>205</v>
      </c>
      <c r="E104" t="s">
        <v>206</v>
      </c>
      <c r="F104" t="s">
        <v>197</v>
      </c>
      <c r="G104" t="s">
        <v>210</v>
      </c>
      <c r="H104">
        <v>741</v>
      </c>
      <c r="I104">
        <v>148</v>
      </c>
      <c r="J104">
        <v>104</v>
      </c>
      <c r="K104">
        <v>43</v>
      </c>
      <c r="L104">
        <v>0</v>
      </c>
      <c r="M104">
        <v>43</v>
      </c>
      <c r="N104">
        <v>0</v>
      </c>
      <c r="O104">
        <v>2</v>
      </c>
      <c r="P104">
        <v>6300</v>
      </c>
      <c r="Q104">
        <v>90</v>
      </c>
      <c r="R104">
        <v>355</v>
      </c>
      <c r="S104">
        <v>399</v>
      </c>
      <c r="T104">
        <v>16642</v>
      </c>
      <c r="U104">
        <v>29976</v>
      </c>
      <c r="V104">
        <v>0</v>
      </c>
      <c r="W104">
        <v>0.199730094</v>
      </c>
      <c r="X104">
        <v>0.702702703</v>
      </c>
      <c r="Y104">
        <v>0.413461538</v>
      </c>
      <c r="Z104">
        <v>754</v>
      </c>
      <c r="AA104">
        <v>0.470822281</v>
      </c>
      <c r="AB104">
        <v>41.709273183</v>
      </c>
      <c r="AC104">
        <v>274770</v>
      </c>
    </row>
    <row r="105" ht="14.25" customHeight="1">
      <c r="A105" t="s">
        <v>191</v>
      </c>
      <c r="B105" t="s">
        <v>192</v>
      </c>
      <c r="C105" t="s">
        <v>94</v>
      </c>
      <c r="D105" t="s">
        <v>205</v>
      </c>
      <c r="E105" t="s">
        <v>207</v>
      </c>
      <c r="F105" t="s">
        <v>197</v>
      </c>
      <c r="G105" t="s">
        <v>210</v>
      </c>
      <c r="H105">
        <v>0</v>
      </c>
      <c r="I105">
        <v>0</v>
      </c>
      <c r="J105">
        <v>0</v>
      </c>
      <c r="K105">
        <v>0</v>
      </c>
      <c r="L105">
        <v>42</v>
      </c>
      <c r="M105">
        <v>42</v>
      </c>
      <c r="N105">
        <v>43</v>
      </c>
      <c r="O105">
        <v>2</v>
      </c>
      <c r="P105">
        <v>6300</v>
      </c>
      <c r="Q105">
        <v>90</v>
      </c>
      <c r="R105">
        <v>0</v>
      </c>
      <c r="S105">
        <v>0</v>
      </c>
      <c r="T105">
        <v>0</v>
      </c>
      <c r="U105">
        <v>0</v>
      </c>
      <c r="V105">
        <v>0.976744186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264600</v>
      </c>
    </row>
    <row r="106" ht="14.25" customHeight="1">
      <c r="A106" t="s">
        <v>191</v>
      </c>
      <c r="B106" t="s">
        <v>192</v>
      </c>
      <c r="C106" t="s">
        <v>94</v>
      </c>
      <c r="D106" t="s">
        <v>208</v>
      </c>
      <c r="E106" t="s">
        <v>194</v>
      </c>
      <c r="F106" t="s">
        <v>197</v>
      </c>
      <c r="G106" t="s">
        <v>210</v>
      </c>
      <c r="H106">
        <v>741</v>
      </c>
      <c r="I106">
        <v>148</v>
      </c>
      <c r="J106">
        <v>104</v>
      </c>
      <c r="K106">
        <v>43</v>
      </c>
      <c r="L106">
        <v>0</v>
      </c>
      <c r="M106">
        <v>43</v>
      </c>
      <c r="N106">
        <v>0</v>
      </c>
      <c r="O106">
        <v>2</v>
      </c>
      <c r="P106">
        <v>7350</v>
      </c>
      <c r="Q106">
        <v>90</v>
      </c>
      <c r="R106">
        <v>355</v>
      </c>
      <c r="S106">
        <v>399</v>
      </c>
      <c r="T106">
        <v>16642</v>
      </c>
      <c r="U106">
        <v>29977</v>
      </c>
      <c r="V106">
        <v>0</v>
      </c>
      <c r="W106">
        <v>0.199730094</v>
      </c>
      <c r="X106">
        <v>0.702702703</v>
      </c>
      <c r="Y106">
        <v>0.413461538</v>
      </c>
      <c r="Z106">
        <v>754</v>
      </c>
      <c r="AA106">
        <v>0.470822281</v>
      </c>
      <c r="AB106">
        <v>41.709273183</v>
      </c>
      <c r="AC106">
        <v>319920</v>
      </c>
    </row>
    <row r="107" ht="14.25" customHeight="1">
      <c r="A107" t="s">
        <v>191</v>
      </c>
      <c r="B107" t="s">
        <v>192</v>
      </c>
      <c r="C107" t="s">
        <v>94</v>
      </c>
      <c r="D107" t="s">
        <v>208</v>
      </c>
      <c r="E107" t="s">
        <v>198</v>
      </c>
      <c r="F107" t="s">
        <v>197</v>
      </c>
      <c r="G107" t="s">
        <v>210</v>
      </c>
      <c r="H107">
        <v>0</v>
      </c>
      <c r="I107">
        <v>0</v>
      </c>
      <c r="J107">
        <v>0</v>
      </c>
      <c r="K107">
        <v>0</v>
      </c>
      <c r="L107">
        <v>42</v>
      </c>
      <c r="M107">
        <v>42</v>
      </c>
      <c r="N107">
        <v>43</v>
      </c>
      <c r="O107">
        <v>2</v>
      </c>
      <c r="P107">
        <v>7350</v>
      </c>
      <c r="Q107">
        <v>90</v>
      </c>
      <c r="R107">
        <v>0</v>
      </c>
      <c r="S107">
        <v>0</v>
      </c>
      <c r="T107">
        <v>0</v>
      </c>
      <c r="U107">
        <v>0</v>
      </c>
      <c r="V107">
        <v>0.976744186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308700</v>
      </c>
    </row>
    <row r="108" ht="14.25" customHeight="1">
      <c r="A108" t="s">
        <v>191</v>
      </c>
      <c r="B108" t="s">
        <v>192</v>
      </c>
      <c r="C108" t="s">
        <v>95</v>
      </c>
      <c r="D108" t="s">
        <v>205</v>
      </c>
      <c r="E108" t="s">
        <v>206</v>
      </c>
      <c r="F108" t="s">
        <v>197</v>
      </c>
      <c r="G108" t="s">
        <v>210</v>
      </c>
      <c r="H108">
        <v>580</v>
      </c>
      <c r="I108">
        <v>116</v>
      </c>
      <c r="J108">
        <v>81</v>
      </c>
      <c r="K108">
        <v>34</v>
      </c>
      <c r="L108">
        <v>0</v>
      </c>
      <c r="M108">
        <v>34</v>
      </c>
      <c r="N108">
        <v>0</v>
      </c>
      <c r="O108">
        <v>2</v>
      </c>
      <c r="P108">
        <v>5820</v>
      </c>
      <c r="Q108">
        <v>90</v>
      </c>
      <c r="R108">
        <v>314</v>
      </c>
      <c r="S108">
        <v>276</v>
      </c>
      <c r="T108">
        <v>9986</v>
      </c>
      <c r="U108">
        <v>26636</v>
      </c>
      <c r="V108">
        <v>0</v>
      </c>
      <c r="W108">
        <v>0.2</v>
      </c>
      <c r="X108">
        <v>0.698275862</v>
      </c>
      <c r="Y108">
        <v>0.419753086</v>
      </c>
      <c r="Z108">
        <v>590</v>
      </c>
      <c r="AA108">
        <v>0.53220339</v>
      </c>
      <c r="AB108">
        <v>36.18115942</v>
      </c>
      <c r="AC108">
        <v>200940</v>
      </c>
    </row>
    <row r="109" ht="14.25" customHeight="1">
      <c r="A109" t="s">
        <v>191</v>
      </c>
      <c r="B109" t="s">
        <v>192</v>
      </c>
      <c r="C109" t="s">
        <v>95</v>
      </c>
      <c r="D109" t="s">
        <v>205</v>
      </c>
      <c r="E109" t="s">
        <v>207</v>
      </c>
      <c r="F109" t="s">
        <v>197</v>
      </c>
      <c r="G109" t="s">
        <v>210</v>
      </c>
      <c r="H109">
        <v>0</v>
      </c>
      <c r="I109">
        <v>0</v>
      </c>
      <c r="J109">
        <v>0</v>
      </c>
      <c r="K109">
        <v>0</v>
      </c>
      <c r="L109">
        <v>33</v>
      </c>
      <c r="M109">
        <v>33</v>
      </c>
      <c r="N109">
        <v>34</v>
      </c>
      <c r="O109">
        <v>2</v>
      </c>
      <c r="P109">
        <v>5820</v>
      </c>
      <c r="Q109">
        <v>90</v>
      </c>
      <c r="R109">
        <v>0</v>
      </c>
      <c r="S109">
        <v>0</v>
      </c>
      <c r="T109">
        <v>0</v>
      </c>
      <c r="U109">
        <v>0</v>
      </c>
      <c r="V109">
        <v>0.970588235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192060</v>
      </c>
    </row>
    <row r="110" ht="14.25" customHeight="1">
      <c r="A110" t="s">
        <v>191</v>
      </c>
      <c r="B110" t="s">
        <v>192</v>
      </c>
      <c r="C110" t="s">
        <v>95</v>
      </c>
      <c r="D110" t="s">
        <v>208</v>
      </c>
      <c r="E110" t="s">
        <v>194</v>
      </c>
      <c r="F110" t="s">
        <v>197</v>
      </c>
      <c r="G110" t="s">
        <v>210</v>
      </c>
      <c r="H110">
        <v>580</v>
      </c>
      <c r="I110">
        <v>116</v>
      </c>
      <c r="J110">
        <v>81</v>
      </c>
      <c r="K110">
        <v>34</v>
      </c>
      <c r="L110">
        <v>0</v>
      </c>
      <c r="M110">
        <v>34</v>
      </c>
      <c r="N110">
        <v>0</v>
      </c>
      <c r="O110">
        <v>2</v>
      </c>
      <c r="P110">
        <v>6790</v>
      </c>
      <c r="Q110">
        <v>90</v>
      </c>
      <c r="R110">
        <v>313</v>
      </c>
      <c r="S110">
        <v>276</v>
      </c>
      <c r="T110">
        <v>9985</v>
      </c>
      <c r="U110">
        <v>26637</v>
      </c>
      <c r="V110">
        <v>0</v>
      </c>
      <c r="W110">
        <v>0.2</v>
      </c>
      <c r="X110">
        <v>0.698275862</v>
      </c>
      <c r="Y110">
        <v>0.419753086</v>
      </c>
      <c r="Z110">
        <v>589</v>
      </c>
      <c r="AA110">
        <v>0.531409168</v>
      </c>
      <c r="AB110">
        <v>36.177536232</v>
      </c>
      <c r="AC110">
        <v>233920</v>
      </c>
    </row>
    <row r="111" ht="14.25" customHeight="1">
      <c r="A111" t="s">
        <v>191</v>
      </c>
      <c r="B111" t="s">
        <v>192</v>
      </c>
      <c r="C111" t="s">
        <v>95</v>
      </c>
      <c r="D111" t="s">
        <v>208</v>
      </c>
      <c r="E111" t="s">
        <v>198</v>
      </c>
      <c r="F111" t="s">
        <v>197</v>
      </c>
      <c r="G111" t="s">
        <v>210</v>
      </c>
      <c r="H111">
        <v>0</v>
      </c>
      <c r="I111">
        <v>0</v>
      </c>
      <c r="J111">
        <v>0</v>
      </c>
      <c r="K111">
        <v>0</v>
      </c>
      <c r="L111">
        <v>33</v>
      </c>
      <c r="M111">
        <v>33</v>
      </c>
      <c r="N111">
        <v>34</v>
      </c>
      <c r="O111">
        <v>2</v>
      </c>
      <c r="P111">
        <v>6790</v>
      </c>
      <c r="Q111">
        <v>90</v>
      </c>
      <c r="R111">
        <v>0</v>
      </c>
      <c r="S111">
        <v>0</v>
      </c>
      <c r="T111">
        <v>0</v>
      </c>
      <c r="U111">
        <v>0</v>
      </c>
      <c r="V111">
        <v>0.970588235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224070</v>
      </c>
    </row>
    <row r="112" ht="14.25" customHeight="1">
      <c r="A112" t="s">
        <v>191</v>
      </c>
      <c r="B112" t="s">
        <v>192</v>
      </c>
      <c r="C112" t="s">
        <v>96</v>
      </c>
      <c r="D112" t="s">
        <v>209</v>
      </c>
      <c r="E112" t="s">
        <v>194</v>
      </c>
      <c r="F112" t="s">
        <v>197</v>
      </c>
      <c r="G112" t="s">
        <v>210</v>
      </c>
      <c r="H112">
        <v>755</v>
      </c>
      <c r="I112">
        <v>151</v>
      </c>
      <c r="J112">
        <v>106</v>
      </c>
      <c r="K112">
        <v>44</v>
      </c>
      <c r="L112">
        <v>0</v>
      </c>
      <c r="M112">
        <v>44</v>
      </c>
      <c r="N112">
        <v>0</v>
      </c>
      <c r="O112">
        <v>2</v>
      </c>
      <c r="P112">
        <v>7840</v>
      </c>
      <c r="Q112">
        <v>90</v>
      </c>
      <c r="R112">
        <v>235</v>
      </c>
      <c r="S112">
        <v>538</v>
      </c>
      <c r="T112">
        <v>27491</v>
      </c>
      <c r="U112">
        <v>20429</v>
      </c>
      <c r="V112">
        <v>0</v>
      </c>
      <c r="W112">
        <v>0.2</v>
      </c>
      <c r="X112">
        <v>0.701986755</v>
      </c>
      <c r="Y112">
        <v>0.41509434</v>
      </c>
      <c r="Z112">
        <v>773</v>
      </c>
      <c r="AA112">
        <v>0.304010349</v>
      </c>
      <c r="AB112">
        <v>51.098513011</v>
      </c>
      <c r="AC112">
        <v>348920</v>
      </c>
    </row>
    <row r="113" ht="14.25" customHeight="1">
      <c r="A113" t="s">
        <v>191</v>
      </c>
      <c r="B113" t="s">
        <v>192</v>
      </c>
      <c r="C113" t="s">
        <v>96</v>
      </c>
      <c r="D113" t="s">
        <v>209</v>
      </c>
      <c r="E113" t="s">
        <v>196</v>
      </c>
      <c r="F113" t="s">
        <v>197</v>
      </c>
      <c r="G113" t="s">
        <v>210</v>
      </c>
      <c r="H113">
        <v>0</v>
      </c>
      <c r="I113">
        <v>0</v>
      </c>
      <c r="J113">
        <v>0</v>
      </c>
      <c r="K113">
        <v>0</v>
      </c>
      <c r="L113">
        <v>43</v>
      </c>
      <c r="M113">
        <v>43</v>
      </c>
      <c r="N113">
        <v>44</v>
      </c>
      <c r="O113">
        <v>2</v>
      </c>
      <c r="P113">
        <v>7840</v>
      </c>
      <c r="Q113">
        <v>90</v>
      </c>
      <c r="R113">
        <v>0</v>
      </c>
      <c r="S113">
        <v>0</v>
      </c>
      <c r="T113">
        <v>0</v>
      </c>
      <c r="U113">
        <v>0</v>
      </c>
      <c r="V113">
        <v>0.977272727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337120</v>
      </c>
    </row>
    <row r="114" ht="14.25" customHeight="1">
      <c r="A114" t="s">
        <v>191</v>
      </c>
      <c r="B114" t="s">
        <v>192</v>
      </c>
      <c r="C114" t="s">
        <v>96</v>
      </c>
      <c r="D114" t="s">
        <v>209</v>
      </c>
      <c r="E114" t="s">
        <v>198</v>
      </c>
      <c r="F114" t="s">
        <v>197</v>
      </c>
      <c r="G114" t="s">
        <v>210</v>
      </c>
      <c r="H114">
        <v>0</v>
      </c>
      <c r="I114">
        <v>0</v>
      </c>
      <c r="J114">
        <v>0</v>
      </c>
      <c r="K114">
        <v>0</v>
      </c>
      <c r="L114">
        <v>42</v>
      </c>
      <c r="M114">
        <v>42</v>
      </c>
      <c r="N114">
        <v>43</v>
      </c>
      <c r="O114">
        <v>2</v>
      </c>
      <c r="P114">
        <v>7840</v>
      </c>
      <c r="Q114">
        <v>90</v>
      </c>
      <c r="R114">
        <v>0</v>
      </c>
      <c r="S114">
        <v>0</v>
      </c>
      <c r="T114">
        <v>0</v>
      </c>
      <c r="U114">
        <v>0</v>
      </c>
      <c r="V114">
        <v>0.976744186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329280</v>
      </c>
    </row>
    <row r="115" ht="14.25" customHeight="1">
      <c r="A115" t="s">
        <v>191</v>
      </c>
      <c r="B115" t="s">
        <v>192</v>
      </c>
      <c r="C115" t="s">
        <v>97</v>
      </c>
      <c r="D115" t="s">
        <v>209</v>
      </c>
      <c r="E115" t="s">
        <v>194</v>
      </c>
      <c r="F115" t="s">
        <v>197</v>
      </c>
      <c r="G115" t="s">
        <v>210</v>
      </c>
      <c r="H115">
        <v>642</v>
      </c>
      <c r="I115">
        <v>128</v>
      </c>
      <c r="J115">
        <v>90</v>
      </c>
      <c r="K115">
        <v>38</v>
      </c>
      <c r="L115">
        <v>0</v>
      </c>
      <c r="M115">
        <v>38</v>
      </c>
      <c r="N115">
        <v>0</v>
      </c>
      <c r="O115">
        <v>2</v>
      </c>
      <c r="P115">
        <v>7350</v>
      </c>
      <c r="Q115">
        <v>90</v>
      </c>
      <c r="R115">
        <v>247</v>
      </c>
      <c r="S115">
        <v>410</v>
      </c>
      <c r="T115">
        <v>17136</v>
      </c>
      <c r="U115">
        <v>21550</v>
      </c>
      <c r="V115">
        <v>0</v>
      </c>
      <c r="W115">
        <v>0.199376947</v>
      </c>
      <c r="X115">
        <v>0.703125</v>
      </c>
      <c r="Y115">
        <v>0.422222222</v>
      </c>
      <c r="Z115">
        <v>657</v>
      </c>
      <c r="AA115">
        <v>0.375951294</v>
      </c>
      <c r="AB115">
        <v>41.795121951</v>
      </c>
      <c r="AC115">
        <v>282720</v>
      </c>
    </row>
    <row r="116" ht="14.25" customHeight="1">
      <c r="A116" t="s">
        <v>191</v>
      </c>
      <c r="B116" t="s">
        <v>192</v>
      </c>
      <c r="C116" t="s">
        <v>97</v>
      </c>
      <c r="D116" t="s">
        <v>209</v>
      </c>
      <c r="E116" t="s">
        <v>196</v>
      </c>
      <c r="F116" t="s">
        <v>197</v>
      </c>
      <c r="G116" t="s">
        <v>210</v>
      </c>
      <c r="H116">
        <v>0</v>
      </c>
      <c r="I116">
        <v>0</v>
      </c>
      <c r="J116">
        <v>0</v>
      </c>
      <c r="K116">
        <v>0</v>
      </c>
      <c r="L116">
        <v>37</v>
      </c>
      <c r="M116">
        <v>37</v>
      </c>
      <c r="N116">
        <v>38</v>
      </c>
      <c r="O116">
        <v>2</v>
      </c>
      <c r="P116">
        <v>7350</v>
      </c>
      <c r="Q116">
        <v>90</v>
      </c>
      <c r="R116">
        <v>0</v>
      </c>
      <c r="S116">
        <v>0</v>
      </c>
      <c r="T116">
        <v>0</v>
      </c>
      <c r="U116">
        <v>0</v>
      </c>
      <c r="V116">
        <v>0.973684211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271950</v>
      </c>
    </row>
    <row r="117" ht="14.25" customHeight="1">
      <c r="A117" t="s">
        <v>191</v>
      </c>
      <c r="B117" t="s">
        <v>192</v>
      </c>
      <c r="C117" t="s">
        <v>97</v>
      </c>
      <c r="D117" t="s">
        <v>209</v>
      </c>
      <c r="E117" t="s">
        <v>198</v>
      </c>
      <c r="F117" t="s">
        <v>197</v>
      </c>
      <c r="G117" t="s">
        <v>210</v>
      </c>
      <c r="H117">
        <v>0</v>
      </c>
      <c r="I117">
        <v>0</v>
      </c>
      <c r="J117">
        <v>0</v>
      </c>
      <c r="K117">
        <v>0</v>
      </c>
      <c r="L117">
        <v>36</v>
      </c>
      <c r="M117">
        <v>36</v>
      </c>
      <c r="N117">
        <v>37</v>
      </c>
      <c r="O117">
        <v>2</v>
      </c>
      <c r="P117">
        <v>7350</v>
      </c>
      <c r="Q117">
        <v>90</v>
      </c>
      <c r="R117">
        <v>0</v>
      </c>
      <c r="S117">
        <v>0</v>
      </c>
      <c r="T117">
        <v>0</v>
      </c>
      <c r="U117">
        <v>0</v>
      </c>
      <c r="V117">
        <v>0.972972973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264600</v>
      </c>
    </row>
    <row r="118" ht="14.25" customHeight="1">
      <c r="A118" t="s">
        <v>191</v>
      </c>
      <c r="B118" t="s">
        <v>192</v>
      </c>
      <c r="C118" t="s">
        <v>75</v>
      </c>
      <c r="D118" t="s">
        <v>193</v>
      </c>
      <c r="E118" t="s">
        <v>194</v>
      </c>
      <c r="F118" t="s">
        <v>195</v>
      </c>
      <c r="G118" t="s">
        <v>211</v>
      </c>
      <c r="H118">
        <v>575</v>
      </c>
      <c r="I118">
        <v>161</v>
      </c>
      <c r="J118">
        <v>116</v>
      </c>
      <c r="K118">
        <v>69</v>
      </c>
      <c r="L118">
        <v>0</v>
      </c>
      <c r="M118">
        <v>69</v>
      </c>
      <c r="N118">
        <v>0</v>
      </c>
      <c r="O118">
        <v>3</v>
      </c>
      <c r="P118">
        <v>8400</v>
      </c>
      <c r="Q118">
        <v>90</v>
      </c>
      <c r="R118">
        <v>203</v>
      </c>
      <c r="S118">
        <v>379</v>
      </c>
      <c r="T118">
        <v>18451</v>
      </c>
      <c r="U118">
        <v>13653</v>
      </c>
      <c r="V118">
        <v>0</v>
      </c>
      <c r="W118">
        <v>0.28</v>
      </c>
      <c r="X118">
        <v>0.720496894</v>
      </c>
      <c r="Y118">
        <v>0.594827586</v>
      </c>
      <c r="Z118">
        <v>582</v>
      </c>
      <c r="AA118">
        <v>0.348797251</v>
      </c>
      <c r="AB118">
        <v>48.683377309</v>
      </c>
      <c r="AC118">
        <v>585810</v>
      </c>
    </row>
    <row r="119" ht="14.25" customHeight="1">
      <c r="A119" t="s">
        <v>191</v>
      </c>
      <c r="B119" t="s">
        <v>192</v>
      </c>
      <c r="C119" t="s">
        <v>75</v>
      </c>
      <c r="D119" t="s">
        <v>193</v>
      </c>
      <c r="E119" t="s">
        <v>196</v>
      </c>
      <c r="F119" t="s">
        <v>197</v>
      </c>
      <c r="G119" t="s">
        <v>211</v>
      </c>
      <c r="H119">
        <v>0</v>
      </c>
      <c r="I119">
        <v>0</v>
      </c>
      <c r="J119">
        <v>0</v>
      </c>
      <c r="K119">
        <v>0</v>
      </c>
      <c r="L119">
        <v>68</v>
      </c>
      <c r="M119">
        <v>68</v>
      </c>
      <c r="N119">
        <v>69</v>
      </c>
      <c r="O119">
        <v>3</v>
      </c>
      <c r="P119">
        <v>7840</v>
      </c>
      <c r="Q119">
        <v>90</v>
      </c>
      <c r="R119">
        <v>0</v>
      </c>
      <c r="S119">
        <v>0</v>
      </c>
      <c r="T119">
        <v>0</v>
      </c>
      <c r="U119">
        <v>0</v>
      </c>
      <c r="V119">
        <v>0.985507246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533120</v>
      </c>
    </row>
    <row r="120" ht="14.25" customHeight="1">
      <c r="A120" t="s">
        <v>191</v>
      </c>
      <c r="B120" t="s">
        <v>192</v>
      </c>
      <c r="C120" t="s">
        <v>75</v>
      </c>
      <c r="D120" t="s">
        <v>193</v>
      </c>
      <c r="E120" t="s">
        <v>198</v>
      </c>
      <c r="F120" t="s">
        <v>197</v>
      </c>
      <c r="G120" t="s">
        <v>211</v>
      </c>
      <c r="H120">
        <v>0</v>
      </c>
      <c r="I120">
        <v>0</v>
      </c>
      <c r="J120">
        <v>0</v>
      </c>
      <c r="K120">
        <v>0</v>
      </c>
      <c r="L120">
        <v>66</v>
      </c>
      <c r="M120">
        <v>66</v>
      </c>
      <c r="N120">
        <v>68</v>
      </c>
      <c r="O120">
        <v>3</v>
      </c>
      <c r="P120">
        <v>7840</v>
      </c>
      <c r="Q120">
        <v>90</v>
      </c>
      <c r="R120">
        <v>0</v>
      </c>
      <c r="S120">
        <v>0</v>
      </c>
      <c r="T120">
        <v>0</v>
      </c>
      <c r="U120">
        <v>0</v>
      </c>
      <c r="V120">
        <v>0.970588235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517440</v>
      </c>
    </row>
    <row r="121" ht="14.25" customHeight="1">
      <c r="A121" t="s">
        <v>191</v>
      </c>
      <c r="B121" t="s">
        <v>192</v>
      </c>
      <c r="C121" t="s">
        <v>75</v>
      </c>
      <c r="D121" t="s">
        <v>199</v>
      </c>
      <c r="E121" t="s">
        <v>200</v>
      </c>
      <c r="F121" t="s">
        <v>197</v>
      </c>
      <c r="G121" t="s">
        <v>211</v>
      </c>
      <c r="H121">
        <v>1184</v>
      </c>
      <c r="I121">
        <v>237</v>
      </c>
      <c r="J121">
        <v>166</v>
      </c>
      <c r="K121">
        <v>69</v>
      </c>
      <c r="L121">
        <v>0</v>
      </c>
      <c r="M121">
        <v>69</v>
      </c>
      <c r="N121">
        <v>0</v>
      </c>
      <c r="O121">
        <v>3</v>
      </c>
      <c r="P121">
        <v>8400</v>
      </c>
      <c r="Q121">
        <v>90</v>
      </c>
      <c r="R121">
        <v>418</v>
      </c>
      <c r="S121">
        <v>779</v>
      </c>
      <c r="T121">
        <v>37987</v>
      </c>
      <c r="U121">
        <v>28108</v>
      </c>
      <c r="V121">
        <v>0</v>
      </c>
      <c r="W121">
        <v>0.200168919</v>
      </c>
      <c r="X121">
        <v>0.700421941</v>
      </c>
      <c r="Y121">
        <v>0.415662651</v>
      </c>
      <c r="Z121">
        <v>1197</v>
      </c>
      <c r="AA121">
        <v>0.349206349</v>
      </c>
      <c r="AB121">
        <v>48.763799743</v>
      </c>
      <c r="AC121">
        <v>585810</v>
      </c>
    </row>
    <row r="122" ht="14.25" customHeight="1">
      <c r="A122" t="s">
        <v>191</v>
      </c>
      <c r="B122" t="s">
        <v>192</v>
      </c>
      <c r="C122" t="s">
        <v>75</v>
      </c>
      <c r="D122" t="s">
        <v>199</v>
      </c>
      <c r="E122" t="s">
        <v>201</v>
      </c>
      <c r="F122" t="s">
        <v>197</v>
      </c>
      <c r="G122" t="s">
        <v>211</v>
      </c>
      <c r="H122">
        <v>0</v>
      </c>
      <c r="I122">
        <v>0</v>
      </c>
      <c r="J122">
        <v>0</v>
      </c>
      <c r="K122">
        <v>0</v>
      </c>
      <c r="L122">
        <v>68</v>
      </c>
      <c r="M122">
        <v>68</v>
      </c>
      <c r="N122">
        <v>69</v>
      </c>
      <c r="O122">
        <v>3</v>
      </c>
      <c r="P122">
        <v>8400</v>
      </c>
      <c r="Q122">
        <v>90</v>
      </c>
      <c r="R122">
        <v>0</v>
      </c>
      <c r="S122">
        <v>0</v>
      </c>
      <c r="T122">
        <v>0</v>
      </c>
      <c r="U122">
        <v>0</v>
      </c>
      <c r="V122">
        <v>0.985507246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571200</v>
      </c>
    </row>
    <row r="123" ht="14.25" customHeight="1">
      <c r="A123" t="s">
        <v>191</v>
      </c>
      <c r="B123" t="s">
        <v>192</v>
      </c>
      <c r="C123" t="s">
        <v>77</v>
      </c>
      <c r="D123" t="s">
        <v>193</v>
      </c>
      <c r="E123" t="s">
        <v>194</v>
      </c>
      <c r="F123" t="s">
        <v>195</v>
      </c>
      <c r="G123" t="s">
        <v>211</v>
      </c>
      <c r="H123">
        <v>486</v>
      </c>
      <c r="I123">
        <v>136</v>
      </c>
      <c r="J123">
        <v>98</v>
      </c>
      <c r="K123">
        <v>59</v>
      </c>
      <c r="L123">
        <v>0</v>
      </c>
      <c r="M123">
        <v>59</v>
      </c>
      <c r="N123">
        <v>0</v>
      </c>
      <c r="O123">
        <v>3</v>
      </c>
      <c r="P123">
        <v>7875</v>
      </c>
      <c r="Q123">
        <v>90</v>
      </c>
      <c r="R123">
        <v>205</v>
      </c>
      <c r="S123">
        <v>283</v>
      </c>
      <c r="T123">
        <v>11317</v>
      </c>
      <c r="U123">
        <v>14174</v>
      </c>
      <c r="V123">
        <v>0</v>
      </c>
      <c r="W123">
        <v>0.279835391</v>
      </c>
      <c r="X123">
        <v>0.720588235</v>
      </c>
      <c r="Y123">
        <v>0.602040816</v>
      </c>
      <c r="Z123">
        <v>488</v>
      </c>
      <c r="AA123">
        <v>0.420081967</v>
      </c>
      <c r="AB123">
        <v>39.989399293</v>
      </c>
      <c r="AC123">
        <v>469935</v>
      </c>
    </row>
    <row r="124" ht="14.25" customHeight="1">
      <c r="A124" t="s">
        <v>191</v>
      </c>
      <c r="B124" t="s">
        <v>192</v>
      </c>
      <c r="C124" t="s">
        <v>77</v>
      </c>
      <c r="D124" t="s">
        <v>193</v>
      </c>
      <c r="E124" t="s">
        <v>196</v>
      </c>
      <c r="F124" t="s">
        <v>197</v>
      </c>
      <c r="G124" t="s">
        <v>211</v>
      </c>
      <c r="H124">
        <v>0</v>
      </c>
      <c r="I124">
        <v>0</v>
      </c>
      <c r="J124">
        <v>0</v>
      </c>
      <c r="K124">
        <v>0</v>
      </c>
      <c r="L124">
        <v>57</v>
      </c>
      <c r="M124">
        <v>57</v>
      </c>
      <c r="N124">
        <v>59</v>
      </c>
      <c r="O124">
        <v>2</v>
      </c>
      <c r="P124">
        <v>7350</v>
      </c>
      <c r="Q124">
        <v>90</v>
      </c>
      <c r="R124">
        <v>0</v>
      </c>
      <c r="S124">
        <v>0</v>
      </c>
      <c r="T124">
        <v>0</v>
      </c>
      <c r="U124">
        <v>0</v>
      </c>
      <c r="V124">
        <v>0.966101695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418950</v>
      </c>
    </row>
    <row r="125" ht="14.25" customHeight="1">
      <c r="A125" t="s">
        <v>191</v>
      </c>
      <c r="B125" t="s">
        <v>192</v>
      </c>
      <c r="C125" t="s">
        <v>77</v>
      </c>
      <c r="D125" t="s">
        <v>193</v>
      </c>
      <c r="E125" t="s">
        <v>198</v>
      </c>
      <c r="F125" t="s">
        <v>197</v>
      </c>
      <c r="G125" t="s">
        <v>211</v>
      </c>
      <c r="H125">
        <v>0</v>
      </c>
      <c r="I125">
        <v>0</v>
      </c>
      <c r="J125">
        <v>0</v>
      </c>
      <c r="K125">
        <v>0</v>
      </c>
      <c r="L125">
        <v>56</v>
      </c>
      <c r="M125">
        <v>56</v>
      </c>
      <c r="N125">
        <v>57</v>
      </c>
      <c r="O125">
        <v>2</v>
      </c>
      <c r="P125">
        <v>7350</v>
      </c>
      <c r="Q125">
        <v>90</v>
      </c>
      <c r="R125">
        <v>0</v>
      </c>
      <c r="S125">
        <v>0</v>
      </c>
      <c r="T125">
        <v>0</v>
      </c>
      <c r="U125">
        <v>0</v>
      </c>
      <c r="V125">
        <v>0.98245614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411600</v>
      </c>
    </row>
    <row r="126" ht="14.25" customHeight="1">
      <c r="A126" t="s">
        <v>191</v>
      </c>
      <c r="B126" t="s">
        <v>192</v>
      </c>
      <c r="C126" t="s">
        <v>77</v>
      </c>
      <c r="D126" t="s">
        <v>199</v>
      </c>
      <c r="E126" t="s">
        <v>200</v>
      </c>
      <c r="F126" t="s">
        <v>197</v>
      </c>
      <c r="G126" t="s">
        <v>211</v>
      </c>
      <c r="H126">
        <v>997</v>
      </c>
      <c r="I126">
        <v>199</v>
      </c>
      <c r="J126">
        <v>140</v>
      </c>
      <c r="K126">
        <v>59</v>
      </c>
      <c r="L126">
        <v>0</v>
      </c>
      <c r="M126">
        <v>59</v>
      </c>
      <c r="N126">
        <v>0</v>
      </c>
      <c r="O126">
        <v>3</v>
      </c>
      <c r="P126">
        <v>7875</v>
      </c>
      <c r="Q126">
        <v>90</v>
      </c>
      <c r="R126">
        <v>421</v>
      </c>
      <c r="S126">
        <v>580</v>
      </c>
      <c r="T126">
        <v>23215</v>
      </c>
      <c r="U126">
        <v>29076</v>
      </c>
      <c r="V126">
        <v>0</v>
      </c>
      <c r="W126">
        <v>0.199598796</v>
      </c>
      <c r="X126">
        <v>0.703517588</v>
      </c>
      <c r="Y126">
        <v>0.421428571</v>
      </c>
      <c r="Z126">
        <v>1001</v>
      </c>
      <c r="AA126">
        <v>0.420579421</v>
      </c>
      <c r="AB126">
        <v>40.025862069</v>
      </c>
      <c r="AC126">
        <v>469935</v>
      </c>
    </row>
    <row r="127" ht="14.25" customHeight="1">
      <c r="A127" t="s">
        <v>191</v>
      </c>
      <c r="B127" t="s">
        <v>192</v>
      </c>
      <c r="C127" t="s">
        <v>77</v>
      </c>
      <c r="D127" t="s">
        <v>199</v>
      </c>
      <c r="E127" t="s">
        <v>201</v>
      </c>
      <c r="F127" t="s">
        <v>197</v>
      </c>
      <c r="G127" t="s">
        <v>211</v>
      </c>
      <c r="H127">
        <v>0</v>
      </c>
      <c r="I127">
        <v>0</v>
      </c>
      <c r="J127">
        <v>0</v>
      </c>
      <c r="K127">
        <v>0</v>
      </c>
      <c r="L127">
        <v>58</v>
      </c>
      <c r="M127">
        <v>58</v>
      </c>
      <c r="N127">
        <v>59</v>
      </c>
      <c r="O127">
        <v>3</v>
      </c>
      <c r="P127">
        <v>7875</v>
      </c>
      <c r="Q127">
        <v>90</v>
      </c>
      <c r="R127">
        <v>0</v>
      </c>
      <c r="S127">
        <v>0</v>
      </c>
      <c r="T127">
        <v>0</v>
      </c>
      <c r="U127">
        <v>0</v>
      </c>
      <c r="V127">
        <v>0.983050847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456750</v>
      </c>
    </row>
    <row r="128" ht="14.25" customHeight="1">
      <c r="A128" t="s">
        <v>191</v>
      </c>
      <c r="B128" t="s">
        <v>192</v>
      </c>
      <c r="C128" t="s">
        <v>79</v>
      </c>
      <c r="D128" t="s">
        <v>193</v>
      </c>
      <c r="E128" t="s">
        <v>194</v>
      </c>
      <c r="F128" t="s">
        <v>195</v>
      </c>
      <c r="G128" t="s">
        <v>211</v>
      </c>
      <c r="H128">
        <v>441</v>
      </c>
      <c r="I128">
        <v>124</v>
      </c>
      <c r="J128">
        <v>89</v>
      </c>
      <c r="K128">
        <v>53</v>
      </c>
      <c r="L128">
        <v>0</v>
      </c>
      <c r="M128">
        <v>53</v>
      </c>
      <c r="N128">
        <v>0</v>
      </c>
      <c r="O128">
        <v>2</v>
      </c>
      <c r="P128">
        <v>7500</v>
      </c>
      <c r="Q128">
        <v>90</v>
      </c>
      <c r="R128">
        <v>208</v>
      </c>
      <c r="S128">
        <v>233</v>
      </c>
      <c r="T128">
        <v>8526</v>
      </c>
      <c r="U128">
        <v>14648</v>
      </c>
      <c r="V128">
        <v>0</v>
      </c>
      <c r="W128">
        <v>0.281179138</v>
      </c>
      <c r="X128">
        <v>0.717741935</v>
      </c>
      <c r="Y128">
        <v>0.595505618</v>
      </c>
      <c r="Z128">
        <v>441</v>
      </c>
      <c r="AA128">
        <v>0.471655329</v>
      </c>
      <c r="AB128">
        <v>36.592274678</v>
      </c>
      <c r="AC128">
        <v>402270</v>
      </c>
    </row>
    <row r="129" ht="14.25" customHeight="1">
      <c r="A129" t="s">
        <v>191</v>
      </c>
      <c r="B129" t="s">
        <v>192</v>
      </c>
      <c r="C129" t="s">
        <v>79</v>
      </c>
      <c r="D129" t="s">
        <v>193</v>
      </c>
      <c r="E129" t="s">
        <v>196</v>
      </c>
      <c r="F129" t="s">
        <v>197</v>
      </c>
      <c r="G129" t="s">
        <v>211</v>
      </c>
      <c r="H129">
        <v>0</v>
      </c>
      <c r="I129">
        <v>0</v>
      </c>
      <c r="J129">
        <v>0</v>
      </c>
      <c r="K129">
        <v>0</v>
      </c>
      <c r="L129">
        <v>52</v>
      </c>
      <c r="M129">
        <v>52</v>
      </c>
      <c r="N129">
        <v>53</v>
      </c>
      <c r="O129">
        <v>2</v>
      </c>
      <c r="P129">
        <v>7000</v>
      </c>
      <c r="Q129">
        <v>90</v>
      </c>
      <c r="R129">
        <v>0</v>
      </c>
      <c r="S129">
        <v>0</v>
      </c>
      <c r="T129">
        <v>0</v>
      </c>
      <c r="U129">
        <v>0</v>
      </c>
      <c r="V129">
        <v>0.981132075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364000</v>
      </c>
    </row>
    <row r="130" ht="14.25" customHeight="1">
      <c r="A130" t="s">
        <v>191</v>
      </c>
      <c r="B130" t="s">
        <v>192</v>
      </c>
      <c r="C130" t="s">
        <v>79</v>
      </c>
      <c r="D130" t="s">
        <v>193</v>
      </c>
      <c r="E130" t="s">
        <v>198</v>
      </c>
      <c r="F130" t="s">
        <v>197</v>
      </c>
      <c r="G130" t="s">
        <v>211</v>
      </c>
      <c r="H130">
        <v>0</v>
      </c>
      <c r="I130">
        <v>0</v>
      </c>
      <c r="J130">
        <v>0</v>
      </c>
      <c r="K130">
        <v>0</v>
      </c>
      <c r="L130">
        <v>51</v>
      </c>
      <c r="M130">
        <v>51</v>
      </c>
      <c r="N130">
        <v>52</v>
      </c>
      <c r="O130">
        <v>2</v>
      </c>
      <c r="P130">
        <v>7000</v>
      </c>
      <c r="Q130">
        <v>90</v>
      </c>
      <c r="R130">
        <v>0</v>
      </c>
      <c r="S130">
        <v>0</v>
      </c>
      <c r="T130">
        <v>0</v>
      </c>
      <c r="U130">
        <v>0</v>
      </c>
      <c r="V130">
        <v>0.980769231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357000</v>
      </c>
    </row>
    <row r="131" ht="14.25" customHeight="1">
      <c r="A131" t="s">
        <v>191</v>
      </c>
      <c r="B131" t="s">
        <v>192</v>
      </c>
      <c r="C131" t="s">
        <v>79</v>
      </c>
      <c r="D131" t="s">
        <v>199</v>
      </c>
      <c r="E131" t="s">
        <v>200</v>
      </c>
      <c r="F131" t="s">
        <v>197</v>
      </c>
      <c r="G131" t="s">
        <v>211</v>
      </c>
      <c r="H131">
        <v>908</v>
      </c>
      <c r="I131">
        <v>182</v>
      </c>
      <c r="J131">
        <v>127</v>
      </c>
      <c r="K131">
        <v>53</v>
      </c>
      <c r="L131">
        <v>0</v>
      </c>
      <c r="M131">
        <v>53</v>
      </c>
      <c r="N131">
        <v>0</v>
      </c>
      <c r="O131">
        <v>3</v>
      </c>
      <c r="P131">
        <v>7500</v>
      </c>
      <c r="Q131">
        <v>90</v>
      </c>
      <c r="R131">
        <v>428</v>
      </c>
      <c r="S131">
        <v>480</v>
      </c>
      <c r="T131">
        <v>17534</v>
      </c>
      <c r="U131">
        <v>30123</v>
      </c>
      <c r="V131">
        <v>0</v>
      </c>
      <c r="W131">
        <v>0.200440529</v>
      </c>
      <c r="X131">
        <v>0.697802198</v>
      </c>
      <c r="Y131">
        <v>0.417322835</v>
      </c>
      <c r="Z131">
        <v>908</v>
      </c>
      <c r="AA131">
        <v>0.471365639</v>
      </c>
      <c r="AB131">
        <v>36.529166667</v>
      </c>
      <c r="AC131">
        <v>402270</v>
      </c>
    </row>
    <row r="132" ht="14.25" customHeight="1">
      <c r="A132" t="s">
        <v>191</v>
      </c>
      <c r="B132" t="s">
        <v>192</v>
      </c>
      <c r="C132" t="s">
        <v>79</v>
      </c>
      <c r="D132" t="s">
        <v>199</v>
      </c>
      <c r="E132" t="s">
        <v>201</v>
      </c>
      <c r="F132" t="s">
        <v>197</v>
      </c>
      <c r="G132" t="s">
        <v>211</v>
      </c>
      <c r="H132">
        <v>0</v>
      </c>
      <c r="I132">
        <v>0</v>
      </c>
      <c r="J132">
        <v>0</v>
      </c>
      <c r="K132">
        <v>0</v>
      </c>
      <c r="L132">
        <v>53</v>
      </c>
      <c r="M132">
        <v>53</v>
      </c>
      <c r="N132">
        <v>53</v>
      </c>
      <c r="O132">
        <v>3</v>
      </c>
      <c r="P132">
        <v>7500</v>
      </c>
      <c r="Q132">
        <v>90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397500</v>
      </c>
    </row>
    <row r="133" ht="14.25" customHeight="1">
      <c r="A133" t="s">
        <v>191</v>
      </c>
      <c r="B133" t="s">
        <v>192</v>
      </c>
      <c r="C133" t="s">
        <v>81</v>
      </c>
      <c r="D133" t="s">
        <v>193</v>
      </c>
      <c r="E133" t="s">
        <v>194</v>
      </c>
      <c r="F133" t="s">
        <v>195</v>
      </c>
      <c r="G133" t="s">
        <v>211</v>
      </c>
      <c r="H133">
        <v>375</v>
      </c>
      <c r="I133">
        <v>105</v>
      </c>
      <c r="J133">
        <v>76</v>
      </c>
      <c r="K133">
        <v>45</v>
      </c>
      <c r="L133">
        <v>0</v>
      </c>
      <c r="M133">
        <v>45</v>
      </c>
      <c r="N133">
        <v>0</v>
      </c>
      <c r="O133">
        <v>2</v>
      </c>
      <c r="P133">
        <v>7275</v>
      </c>
      <c r="Q133">
        <v>90</v>
      </c>
      <c r="R133">
        <v>180</v>
      </c>
      <c r="S133">
        <v>194</v>
      </c>
      <c r="T133">
        <v>6743</v>
      </c>
      <c r="U133">
        <v>12727</v>
      </c>
      <c r="V133">
        <v>0</v>
      </c>
      <c r="W133">
        <v>0.28</v>
      </c>
      <c r="X133">
        <v>0.723809524</v>
      </c>
      <c r="Y133">
        <v>0.592105263</v>
      </c>
      <c r="Z133">
        <v>374</v>
      </c>
      <c r="AA133">
        <v>0.481283422</v>
      </c>
      <c r="AB133">
        <v>34.757731959</v>
      </c>
      <c r="AC133">
        <v>331425</v>
      </c>
    </row>
    <row r="134" ht="14.25" customHeight="1">
      <c r="A134" t="s">
        <v>191</v>
      </c>
      <c r="B134" t="s">
        <v>192</v>
      </c>
      <c r="C134" t="s">
        <v>81</v>
      </c>
      <c r="D134" t="s">
        <v>193</v>
      </c>
      <c r="E134" t="s">
        <v>196</v>
      </c>
      <c r="F134" t="s">
        <v>197</v>
      </c>
      <c r="G134" t="s">
        <v>211</v>
      </c>
      <c r="H134">
        <v>0</v>
      </c>
      <c r="I134">
        <v>0</v>
      </c>
      <c r="J134">
        <v>0</v>
      </c>
      <c r="K134">
        <v>0</v>
      </c>
      <c r="L134">
        <v>44</v>
      </c>
      <c r="M134">
        <v>44</v>
      </c>
      <c r="N134">
        <v>45</v>
      </c>
      <c r="O134">
        <v>2</v>
      </c>
      <c r="P134">
        <v>6790</v>
      </c>
      <c r="Q134">
        <v>90</v>
      </c>
      <c r="R134">
        <v>0</v>
      </c>
      <c r="S134">
        <v>0</v>
      </c>
      <c r="T134">
        <v>0</v>
      </c>
      <c r="U134">
        <v>0</v>
      </c>
      <c r="V134">
        <v>0.977777778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298760</v>
      </c>
    </row>
    <row r="135" ht="14.25" customHeight="1">
      <c r="A135" t="s">
        <v>191</v>
      </c>
      <c r="B135" t="s">
        <v>192</v>
      </c>
      <c r="C135" t="s">
        <v>81</v>
      </c>
      <c r="D135" t="s">
        <v>193</v>
      </c>
      <c r="E135" t="s">
        <v>198</v>
      </c>
      <c r="F135" t="s">
        <v>197</v>
      </c>
      <c r="G135" t="s">
        <v>211</v>
      </c>
      <c r="H135">
        <v>0</v>
      </c>
      <c r="I135">
        <v>0</v>
      </c>
      <c r="J135">
        <v>0</v>
      </c>
      <c r="K135">
        <v>0</v>
      </c>
      <c r="L135">
        <v>43</v>
      </c>
      <c r="M135">
        <v>43</v>
      </c>
      <c r="N135">
        <v>44</v>
      </c>
      <c r="O135">
        <v>2</v>
      </c>
      <c r="P135">
        <v>6790</v>
      </c>
      <c r="Q135">
        <v>90</v>
      </c>
      <c r="R135">
        <v>0</v>
      </c>
      <c r="S135">
        <v>0</v>
      </c>
      <c r="T135">
        <v>0</v>
      </c>
      <c r="U135">
        <v>0</v>
      </c>
      <c r="V135">
        <v>0.977272727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291970</v>
      </c>
    </row>
    <row r="136" ht="14.25" customHeight="1">
      <c r="A136" t="s">
        <v>191</v>
      </c>
      <c r="B136" t="s">
        <v>192</v>
      </c>
      <c r="C136" t="s">
        <v>81</v>
      </c>
      <c r="D136" t="s">
        <v>199</v>
      </c>
      <c r="E136" t="s">
        <v>200</v>
      </c>
      <c r="F136" t="s">
        <v>197</v>
      </c>
      <c r="G136" t="s">
        <v>211</v>
      </c>
      <c r="H136">
        <v>770</v>
      </c>
      <c r="I136">
        <v>154</v>
      </c>
      <c r="J136">
        <v>108</v>
      </c>
      <c r="K136">
        <v>45</v>
      </c>
      <c r="L136">
        <v>0</v>
      </c>
      <c r="M136">
        <v>45</v>
      </c>
      <c r="N136">
        <v>0</v>
      </c>
      <c r="O136">
        <v>2</v>
      </c>
      <c r="P136">
        <v>7275</v>
      </c>
      <c r="Q136">
        <v>90</v>
      </c>
      <c r="R136">
        <v>370</v>
      </c>
      <c r="S136">
        <v>398</v>
      </c>
      <c r="T136">
        <v>13854</v>
      </c>
      <c r="U136">
        <v>26150</v>
      </c>
      <c r="V136">
        <v>0</v>
      </c>
      <c r="W136">
        <v>0.2</v>
      </c>
      <c r="X136">
        <v>0.701298701</v>
      </c>
      <c r="Y136">
        <v>0.416666667</v>
      </c>
      <c r="Z136">
        <v>768</v>
      </c>
      <c r="AA136">
        <v>0.481770833</v>
      </c>
      <c r="AB136">
        <v>34.809045226</v>
      </c>
      <c r="AC136">
        <v>331425</v>
      </c>
    </row>
    <row r="137" ht="14.25" customHeight="1">
      <c r="A137" t="s">
        <v>191</v>
      </c>
      <c r="B137" t="s">
        <v>192</v>
      </c>
      <c r="C137" t="s">
        <v>81</v>
      </c>
      <c r="D137" t="s">
        <v>199</v>
      </c>
      <c r="E137" t="s">
        <v>201</v>
      </c>
      <c r="F137" t="s">
        <v>197</v>
      </c>
      <c r="G137" t="s">
        <v>211</v>
      </c>
      <c r="H137">
        <v>0</v>
      </c>
      <c r="I137">
        <v>0</v>
      </c>
      <c r="J137">
        <v>0</v>
      </c>
      <c r="K137">
        <v>0</v>
      </c>
      <c r="L137">
        <v>44</v>
      </c>
      <c r="M137">
        <v>44</v>
      </c>
      <c r="N137">
        <v>45</v>
      </c>
      <c r="O137">
        <v>2</v>
      </c>
      <c r="P137">
        <v>7275</v>
      </c>
      <c r="Q137">
        <v>90</v>
      </c>
      <c r="R137">
        <v>0</v>
      </c>
      <c r="S137">
        <v>0</v>
      </c>
      <c r="T137">
        <v>0</v>
      </c>
      <c r="U137">
        <v>0</v>
      </c>
      <c r="V137">
        <v>0.977777778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320100</v>
      </c>
    </row>
    <row r="138" ht="14.25" customHeight="1">
      <c r="A138" t="s">
        <v>191</v>
      </c>
      <c r="B138" t="s">
        <v>192</v>
      </c>
      <c r="C138" t="s">
        <v>83</v>
      </c>
      <c r="D138" t="s">
        <v>202</v>
      </c>
      <c r="E138" t="s">
        <v>194</v>
      </c>
      <c r="F138" t="s">
        <v>195</v>
      </c>
      <c r="G138" t="s">
        <v>211</v>
      </c>
      <c r="H138">
        <v>530</v>
      </c>
      <c r="I138">
        <v>149</v>
      </c>
      <c r="J138">
        <v>107</v>
      </c>
      <c r="K138">
        <v>64</v>
      </c>
      <c r="L138">
        <v>0</v>
      </c>
      <c r="M138">
        <v>64</v>
      </c>
      <c r="N138">
        <v>0</v>
      </c>
      <c r="O138">
        <v>3</v>
      </c>
      <c r="P138">
        <v>8400</v>
      </c>
      <c r="Q138">
        <v>90</v>
      </c>
      <c r="R138">
        <v>213</v>
      </c>
      <c r="S138">
        <v>340</v>
      </c>
      <c r="T138">
        <v>16491</v>
      </c>
      <c r="U138">
        <v>17097</v>
      </c>
      <c r="V138">
        <v>0</v>
      </c>
      <c r="W138">
        <v>0.281132075</v>
      </c>
      <c r="X138">
        <v>0.718120805</v>
      </c>
      <c r="Y138">
        <v>0.598130841</v>
      </c>
      <c r="Z138">
        <v>553</v>
      </c>
      <c r="AA138">
        <v>0.38517179</v>
      </c>
      <c r="AB138">
        <v>48.502941176</v>
      </c>
      <c r="AC138">
        <v>543360</v>
      </c>
    </row>
    <row r="139" ht="14.25" customHeight="1">
      <c r="A139" t="s">
        <v>191</v>
      </c>
      <c r="B139" t="s">
        <v>192</v>
      </c>
      <c r="C139" t="s">
        <v>83</v>
      </c>
      <c r="D139" t="s">
        <v>202</v>
      </c>
      <c r="E139" t="s">
        <v>196</v>
      </c>
      <c r="F139" t="s">
        <v>197</v>
      </c>
      <c r="G139" t="s">
        <v>211</v>
      </c>
      <c r="H139">
        <v>0</v>
      </c>
      <c r="I139">
        <v>0</v>
      </c>
      <c r="J139">
        <v>0</v>
      </c>
      <c r="K139">
        <v>0</v>
      </c>
      <c r="L139">
        <v>62</v>
      </c>
      <c r="M139">
        <v>62</v>
      </c>
      <c r="N139">
        <v>64</v>
      </c>
      <c r="O139">
        <v>3</v>
      </c>
      <c r="P139">
        <v>7840</v>
      </c>
      <c r="Q139">
        <v>90</v>
      </c>
      <c r="R139">
        <v>0</v>
      </c>
      <c r="S139">
        <v>0</v>
      </c>
      <c r="T139">
        <v>0</v>
      </c>
      <c r="U139">
        <v>0</v>
      </c>
      <c r="V139">
        <v>0.96875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486080</v>
      </c>
    </row>
    <row r="140" ht="14.25" customHeight="1">
      <c r="A140" t="s">
        <v>191</v>
      </c>
      <c r="B140" t="s">
        <v>192</v>
      </c>
      <c r="C140" t="s">
        <v>83</v>
      </c>
      <c r="D140" t="s">
        <v>202</v>
      </c>
      <c r="E140" t="s">
        <v>198</v>
      </c>
      <c r="F140" t="s">
        <v>197</v>
      </c>
      <c r="G140" t="s">
        <v>211</v>
      </c>
      <c r="H140">
        <v>0</v>
      </c>
      <c r="I140">
        <v>0</v>
      </c>
      <c r="J140">
        <v>0</v>
      </c>
      <c r="K140">
        <v>0</v>
      </c>
      <c r="L140">
        <v>61</v>
      </c>
      <c r="M140">
        <v>61</v>
      </c>
      <c r="N140">
        <v>62</v>
      </c>
      <c r="O140">
        <v>3</v>
      </c>
      <c r="P140">
        <v>7840</v>
      </c>
      <c r="Q140">
        <v>90</v>
      </c>
      <c r="R140">
        <v>0</v>
      </c>
      <c r="S140">
        <v>0</v>
      </c>
      <c r="T140">
        <v>0</v>
      </c>
      <c r="U140">
        <v>0</v>
      </c>
      <c r="V140">
        <v>0.983870968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478240</v>
      </c>
    </row>
    <row r="141" ht="14.25" customHeight="1">
      <c r="A141" t="s">
        <v>191</v>
      </c>
      <c r="B141" t="s">
        <v>192</v>
      </c>
      <c r="C141" t="s">
        <v>83</v>
      </c>
      <c r="D141" t="s">
        <v>203</v>
      </c>
      <c r="E141" t="s">
        <v>200</v>
      </c>
      <c r="F141" t="s">
        <v>197</v>
      </c>
      <c r="G141" t="s">
        <v>211</v>
      </c>
      <c r="H141">
        <v>1086</v>
      </c>
      <c r="I141">
        <v>217</v>
      </c>
      <c r="J141">
        <v>152</v>
      </c>
      <c r="K141">
        <v>64</v>
      </c>
      <c r="L141">
        <v>0</v>
      </c>
      <c r="M141">
        <v>64</v>
      </c>
      <c r="N141">
        <v>0</v>
      </c>
      <c r="O141">
        <v>3</v>
      </c>
      <c r="P141">
        <v>8400</v>
      </c>
      <c r="Q141">
        <v>90</v>
      </c>
      <c r="R141">
        <v>437</v>
      </c>
      <c r="S141">
        <v>695</v>
      </c>
      <c r="T141">
        <v>33757</v>
      </c>
      <c r="U141">
        <v>34997</v>
      </c>
      <c r="V141">
        <v>0</v>
      </c>
      <c r="W141">
        <v>0.199815838</v>
      </c>
      <c r="X141">
        <v>0.700460829</v>
      </c>
      <c r="Y141">
        <v>0.421052632</v>
      </c>
      <c r="Z141">
        <v>1132</v>
      </c>
      <c r="AA141">
        <v>0.386042403</v>
      </c>
      <c r="AB141">
        <v>48.571223022</v>
      </c>
      <c r="AC141">
        <v>543360</v>
      </c>
    </row>
    <row r="142" ht="14.25" customHeight="1">
      <c r="A142" t="s">
        <v>191</v>
      </c>
      <c r="B142" t="s">
        <v>192</v>
      </c>
      <c r="C142" t="s">
        <v>83</v>
      </c>
      <c r="D142" t="s">
        <v>203</v>
      </c>
      <c r="E142" t="s">
        <v>201</v>
      </c>
      <c r="F142" t="s">
        <v>197</v>
      </c>
      <c r="G142" t="s">
        <v>211</v>
      </c>
      <c r="H142">
        <v>0</v>
      </c>
      <c r="I142">
        <v>0</v>
      </c>
      <c r="J142">
        <v>0</v>
      </c>
      <c r="K142">
        <v>0</v>
      </c>
      <c r="L142">
        <v>63</v>
      </c>
      <c r="M142">
        <v>63</v>
      </c>
      <c r="N142">
        <v>64</v>
      </c>
      <c r="O142">
        <v>3</v>
      </c>
      <c r="P142">
        <v>8400</v>
      </c>
      <c r="Q142">
        <v>90</v>
      </c>
      <c r="R142">
        <v>0</v>
      </c>
      <c r="S142">
        <v>0</v>
      </c>
      <c r="T142">
        <v>0</v>
      </c>
      <c r="U142">
        <v>0</v>
      </c>
      <c r="V142">
        <v>0.984375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529200</v>
      </c>
    </row>
    <row r="143" ht="14.25" customHeight="1">
      <c r="A143" t="s">
        <v>191</v>
      </c>
      <c r="B143" t="s">
        <v>192</v>
      </c>
      <c r="C143" t="s">
        <v>84</v>
      </c>
      <c r="D143" t="s">
        <v>202</v>
      </c>
      <c r="E143" t="s">
        <v>194</v>
      </c>
      <c r="F143" t="s">
        <v>195</v>
      </c>
      <c r="G143" t="s">
        <v>211</v>
      </c>
      <c r="H143">
        <v>366</v>
      </c>
      <c r="I143">
        <v>102</v>
      </c>
      <c r="J143">
        <v>74</v>
      </c>
      <c r="K143">
        <v>44</v>
      </c>
      <c r="L143">
        <v>0</v>
      </c>
      <c r="M143">
        <v>44</v>
      </c>
      <c r="N143">
        <v>0</v>
      </c>
      <c r="O143">
        <v>2</v>
      </c>
      <c r="P143">
        <v>7350</v>
      </c>
      <c r="Q143">
        <v>90</v>
      </c>
      <c r="R143">
        <v>194</v>
      </c>
      <c r="S143">
        <v>186</v>
      </c>
      <c r="T143">
        <v>6793</v>
      </c>
      <c r="U143">
        <v>15806</v>
      </c>
      <c r="V143">
        <v>0</v>
      </c>
      <c r="W143">
        <v>0.278688525</v>
      </c>
      <c r="X143">
        <v>0.725490196</v>
      </c>
      <c r="Y143">
        <v>0.594594595</v>
      </c>
      <c r="Z143">
        <v>380</v>
      </c>
      <c r="AA143">
        <v>0.510526316</v>
      </c>
      <c r="AB143">
        <v>36.521505376</v>
      </c>
      <c r="AC143">
        <v>327360</v>
      </c>
    </row>
    <row r="144" ht="14.25" customHeight="1">
      <c r="A144" t="s">
        <v>191</v>
      </c>
      <c r="B144" t="s">
        <v>192</v>
      </c>
      <c r="C144" t="s">
        <v>84</v>
      </c>
      <c r="D144" t="s">
        <v>202</v>
      </c>
      <c r="E144" t="s">
        <v>196</v>
      </c>
      <c r="F144" t="s">
        <v>197</v>
      </c>
      <c r="G144" t="s">
        <v>211</v>
      </c>
      <c r="H144">
        <v>0</v>
      </c>
      <c r="I144">
        <v>0</v>
      </c>
      <c r="J144">
        <v>0</v>
      </c>
      <c r="K144">
        <v>0</v>
      </c>
      <c r="L144">
        <v>43</v>
      </c>
      <c r="M144">
        <v>43</v>
      </c>
      <c r="N144">
        <v>44</v>
      </c>
      <c r="O144">
        <v>2</v>
      </c>
      <c r="P144">
        <v>6860</v>
      </c>
      <c r="Q144">
        <v>90</v>
      </c>
      <c r="R144">
        <v>0</v>
      </c>
      <c r="S144">
        <v>0</v>
      </c>
      <c r="T144">
        <v>0</v>
      </c>
      <c r="U144">
        <v>0</v>
      </c>
      <c r="V144">
        <v>0.977272727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294980</v>
      </c>
    </row>
    <row r="145" ht="14.25" customHeight="1">
      <c r="A145" t="s">
        <v>191</v>
      </c>
      <c r="B145" t="s">
        <v>192</v>
      </c>
      <c r="C145" t="s">
        <v>84</v>
      </c>
      <c r="D145" t="s">
        <v>202</v>
      </c>
      <c r="E145" t="s">
        <v>198</v>
      </c>
      <c r="F145" t="s">
        <v>197</v>
      </c>
      <c r="G145" t="s">
        <v>211</v>
      </c>
      <c r="H145">
        <v>0</v>
      </c>
      <c r="I145">
        <v>0</v>
      </c>
      <c r="J145">
        <v>0</v>
      </c>
      <c r="K145">
        <v>0</v>
      </c>
      <c r="L145">
        <v>42</v>
      </c>
      <c r="M145">
        <v>42</v>
      </c>
      <c r="N145">
        <v>43</v>
      </c>
      <c r="O145">
        <v>2</v>
      </c>
      <c r="P145">
        <v>6860</v>
      </c>
      <c r="Q145">
        <v>90</v>
      </c>
      <c r="R145">
        <v>0</v>
      </c>
      <c r="S145">
        <v>0</v>
      </c>
      <c r="T145">
        <v>0</v>
      </c>
      <c r="U145">
        <v>0</v>
      </c>
      <c r="V145">
        <v>0.976744186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288120</v>
      </c>
    </row>
    <row r="146" ht="14.25" customHeight="1">
      <c r="A146" t="s">
        <v>191</v>
      </c>
      <c r="B146" t="s">
        <v>192</v>
      </c>
      <c r="C146" t="s">
        <v>84</v>
      </c>
      <c r="D146" t="s">
        <v>203</v>
      </c>
      <c r="E146" t="s">
        <v>200</v>
      </c>
      <c r="F146" t="s">
        <v>197</v>
      </c>
      <c r="G146" t="s">
        <v>211</v>
      </c>
      <c r="H146">
        <v>756</v>
      </c>
      <c r="I146">
        <v>151</v>
      </c>
      <c r="J146">
        <v>106</v>
      </c>
      <c r="K146">
        <v>44</v>
      </c>
      <c r="L146">
        <v>0</v>
      </c>
      <c r="M146">
        <v>44</v>
      </c>
      <c r="N146">
        <v>0</v>
      </c>
      <c r="O146">
        <v>2</v>
      </c>
      <c r="P146">
        <v>7350</v>
      </c>
      <c r="Q146">
        <v>90</v>
      </c>
      <c r="R146">
        <v>400</v>
      </c>
      <c r="S146">
        <v>385</v>
      </c>
      <c r="T146">
        <v>14050</v>
      </c>
      <c r="U146">
        <v>32689</v>
      </c>
      <c r="V146">
        <v>0</v>
      </c>
      <c r="W146">
        <v>0.19973545</v>
      </c>
      <c r="X146">
        <v>0.701986755</v>
      </c>
      <c r="Y146">
        <v>0.41509434</v>
      </c>
      <c r="Z146">
        <v>785</v>
      </c>
      <c r="AA146">
        <v>0.50955414</v>
      </c>
      <c r="AB146">
        <v>36.493506494</v>
      </c>
      <c r="AC146">
        <v>327360</v>
      </c>
    </row>
    <row r="147" ht="14.25" customHeight="1">
      <c r="A147" t="s">
        <v>191</v>
      </c>
      <c r="B147" t="s">
        <v>192</v>
      </c>
      <c r="C147" t="s">
        <v>84</v>
      </c>
      <c r="D147" t="s">
        <v>203</v>
      </c>
      <c r="E147" t="s">
        <v>201</v>
      </c>
      <c r="F147" t="s">
        <v>197</v>
      </c>
      <c r="G147" t="s">
        <v>211</v>
      </c>
      <c r="H147">
        <v>0</v>
      </c>
      <c r="I147">
        <v>0</v>
      </c>
      <c r="J147">
        <v>0</v>
      </c>
      <c r="K147">
        <v>0</v>
      </c>
      <c r="L147">
        <v>44</v>
      </c>
      <c r="M147">
        <v>44</v>
      </c>
      <c r="N147">
        <v>44</v>
      </c>
      <c r="O147">
        <v>2</v>
      </c>
      <c r="P147">
        <v>7350</v>
      </c>
      <c r="Q147">
        <v>90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323400</v>
      </c>
    </row>
    <row r="148" ht="14.25" customHeight="1">
      <c r="A148" t="s">
        <v>191</v>
      </c>
      <c r="B148" t="s">
        <v>192</v>
      </c>
      <c r="C148" t="s">
        <v>86</v>
      </c>
      <c r="D148" t="s">
        <v>202</v>
      </c>
      <c r="E148" t="s">
        <v>194</v>
      </c>
      <c r="F148" t="s">
        <v>195</v>
      </c>
      <c r="G148" t="s">
        <v>211</v>
      </c>
      <c r="H148">
        <v>344</v>
      </c>
      <c r="I148">
        <v>96</v>
      </c>
      <c r="J148">
        <v>69</v>
      </c>
      <c r="K148">
        <v>42</v>
      </c>
      <c r="L148">
        <v>0</v>
      </c>
      <c r="M148">
        <v>42</v>
      </c>
      <c r="N148">
        <v>0</v>
      </c>
      <c r="O148">
        <v>2</v>
      </c>
      <c r="P148">
        <v>7200</v>
      </c>
      <c r="Q148">
        <v>90</v>
      </c>
      <c r="R148">
        <v>186</v>
      </c>
      <c r="S148">
        <v>171</v>
      </c>
      <c r="T148">
        <v>5940</v>
      </c>
      <c r="U148">
        <v>15179</v>
      </c>
      <c r="V148">
        <v>0</v>
      </c>
      <c r="W148">
        <v>0.279069767</v>
      </c>
      <c r="X148">
        <v>0.71875</v>
      </c>
      <c r="Y148">
        <v>0.608695652</v>
      </c>
      <c r="Z148">
        <v>357</v>
      </c>
      <c r="AA148">
        <v>0.521008403</v>
      </c>
      <c r="AB148">
        <v>34.736842105</v>
      </c>
      <c r="AC148">
        <v>306180</v>
      </c>
    </row>
    <row r="149" ht="14.25" customHeight="1">
      <c r="A149" t="s">
        <v>191</v>
      </c>
      <c r="B149" t="s">
        <v>192</v>
      </c>
      <c r="C149" t="s">
        <v>86</v>
      </c>
      <c r="D149" t="s">
        <v>202</v>
      </c>
      <c r="E149" t="s">
        <v>196</v>
      </c>
      <c r="F149" t="s">
        <v>197</v>
      </c>
      <c r="G149" t="s">
        <v>211</v>
      </c>
      <c r="H149">
        <v>0</v>
      </c>
      <c r="I149">
        <v>0</v>
      </c>
      <c r="J149">
        <v>0</v>
      </c>
      <c r="K149">
        <v>0</v>
      </c>
      <c r="L149">
        <v>41</v>
      </c>
      <c r="M149">
        <v>41</v>
      </c>
      <c r="N149">
        <v>42</v>
      </c>
      <c r="O149">
        <v>2</v>
      </c>
      <c r="P149">
        <v>6720</v>
      </c>
      <c r="Q149">
        <v>90</v>
      </c>
      <c r="R149">
        <v>0</v>
      </c>
      <c r="S149">
        <v>0</v>
      </c>
      <c r="T149">
        <v>0</v>
      </c>
      <c r="U149">
        <v>0</v>
      </c>
      <c r="V149">
        <v>0.976190476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275520</v>
      </c>
    </row>
    <row r="150" ht="14.25" customHeight="1">
      <c r="A150" t="s">
        <v>191</v>
      </c>
      <c r="B150" t="s">
        <v>192</v>
      </c>
      <c r="C150" t="s">
        <v>86</v>
      </c>
      <c r="D150" t="s">
        <v>202</v>
      </c>
      <c r="E150" t="s">
        <v>198</v>
      </c>
      <c r="F150" t="s">
        <v>197</v>
      </c>
      <c r="G150" t="s">
        <v>211</v>
      </c>
      <c r="H150">
        <v>0</v>
      </c>
      <c r="I150">
        <v>0</v>
      </c>
      <c r="J150">
        <v>0</v>
      </c>
      <c r="K150">
        <v>0</v>
      </c>
      <c r="L150">
        <v>40</v>
      </c>
      <c r="M150">
        <v>40</v>
      </c>
      <c r="N150">
        <v>41</v>
      </c>
      <c r="O150">
        <v>2</v>
      </c>
      <c r="P150">
        <v>6720</v>
      </c>
      <c r="Q150">
        <v>90</v>
      </c>
      <c r="R150">
        <v>0</v>
      </c>
      <c r="S150">
        <v>0</v>
      </c>
      <c r="T150">
        <v>0</v>
      </c>
      <c r="U150">
        <v>0</v>
      </c>
      <c r="V150">
        <v>0.975609756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268800</v>
      </c>
    </row>
    <row r="151" ht="14.25" customHeight="1">
      <c r="A151" t="s">
        <v>191</v>
      </c>
      <c r="B151" t="s">
        <v>192</v>
      </c>
      <c r="C151" t="s">
        <v>86</v>
      </c>
      <c r="D151" t="s">
        <v>203</v>
      </c>
      <c r="E151" t="s">
        <v>200</v>
      </c>
      <c r="F151" t="s">
        <v>197</v>
      </c>
      <c r="G151" t="s">
        <v>211</v>
      </c>
      <c r="H151">
        <v>712</v>
      </c>
      <c r="I151">
        <v>142</v>
      </c>
      <c r="J151">
        <v>100</v>
      </c>
      <c r="K151">
        <v>42</v>
      </c>
      <c r="L151">
        <v>0</v>
      </c>
      <c r="M151">
        <v>42</v>
      </c>
      <c r="N151">
        <v>0</v>
      </c>
      <c r="O151">
        <v>2</v>
      </c>
      <c r="P151">
        <v>7200</v>
      </c>
      <c r="Q151">
        <v>90</v>
      </c>
      <c r="R151">
        <v>384</v>
      </c>
      <c r="S151">
        <v>355</v>
      </c>
      <c r="T151">
        <v>12311</v>
      </c>
      <c r="U151">
        <v>31458</v>
      </c>
      <c r="V151">
        <v>0</v>
      </c>
      <c r="W151">
        <v>0.199438202</v>
      </c>
      <c r="X151">
        <v>0.704225352</v>
      </c>
      <c r="Y151">
        <v>0.42</v>
      </c>
      <c r="Z151">
        <v>739</v>
      </c>
      <c r="AA151">
        <v>0.51962111</v>
      </c>
      <c r="AB151">
        <v>34.678873239</v>
      </c>
      <c r="AC151">
        <v>306180</v>
      </c>
    </row>
    <row r="152" ht="14.25" customHeight="1">
      <c r="A152" t="s">
        <v>191</v>
      </c>
      <c r="B152" t="s">
        <v>192</v>
      </c>
      <c r="C152" t="s">
        <v>86</v>
      </c>
      <c r="D152" t="s">
        <v>203</v>
      </c>
      <c r="E152" t="s">
        <v>201</v>
      </c>
      <c r="F152" t="s">
        <v>197</v>
      </c>
      <c r="G152" t="s">
        <v>211</v>
      </c>
      <c r="H152">
        <v>0</v>
      </c>
      <c r="I152">
        <v>0</v>
      </c>
      <c r="J152">
        <v>0</v>
      </c>
      <c r="K152">
        <v>0</v>
      </c>
      <c r="L152">
        <v>41</v>
      </c>
      <c r="M152">
        <v>41</v>
      </c>
      <c r="N152">
        <v>42</v>
      </c>
      <c r="O152">
        <v>2</v>
      </c>
      <c r="P152">
        <v>7200</v>
      </c>
      <c r="Q152">
        <v>90</v>
      </c>
      <c r="R152">
        <v>0</v>
      </c>
      <c r="S152">
        <v>0</v>
      </c>
      <c r="T152">
        <v>0</v>
      </c>
      <c r="U152">
        <v>0</v>
      </c>
      <c r="V152">
        <v>0.976190476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295200</v>
      </c>
    </row>
    <row r="153" ht="14.25" customHeight="1">
      <c r="A153" t="s">
        <v>191</v>
      </c>
      <c r="B153" t="s">
        <v>192</v>
      </c>
      <c r="C153" t="s">
        <v>88</v>
      </c>
      <c r="D153" t="s">
        <v>204</v>
      </c>
      <c r="E153" t="s">
        <v>194</v>
      </c>
      <c r="F153" t="s">
        <v>197</v>
      </c>
      <c r="G153" t="s">
        <v>211</v>
      </c>
      <c r="H153">
        <v>756</v>
      </c>
      <c r="I153">
        <v>151</v>
      </c>
      <c r="J153">
        <v>106</v>
      </c>
      <c r="K153">
        <v>44</v>
      </c>
      <c r="L153">
        <v>0</v>
      </c>
      <c r="M153">
        <v>44</v>
      </c>
      <c r="N153">
        <v>0</v>
      </c>
      <c r="O153">
        <v>2</v>
      </c>
      <c r="P153">
        <v>7000</v>
      </c>
      <c r="Q153">
        <v>90</v>
      </c>
      <c r="R153">
        <v>258</v>
      </c>
      <c r="S153">
        <v>489</v>
      </c>
      <c r="T153">
        <v>17983</v>
      </c>
      <c r="U153">
        <v>15937</v>
      </c>
      <c r="V153">
        <v>0</v>
      </c>
      <c r="W153">
        <v>0.19973545</v>
      </c>
      <c r="X153">
        <v>0.701986755</v>
      </c>
      <c r="Y153">
        <v>0.41509434</v>
      </c>
      <c r="Z153">
        <v>747</v>
      </c>
      <c r="AA153">
        <v>0.345381526</v>
      </c>
      <c r="AB153">
        <v>36.775051125</v>
      </c>
      <c r="AC153">
        <v>311960</v>
      </c>
    </row>
    <row r="154" ht="14.25" customHeight="1">
      <c r="A154" t="s">
        <v>191</v>
      </c>
      <c r="B154" t="s">
        <v>192</v>
      </c>
      <c r="C154" t="s">
        <v>88</v>
      </c>
      <c r="D154" t="s">
        <v>204</v>
      </c>
      <c r="E154" t="s">
        <v>196</v>
      </c>
      <c r="F154" t="s">
        <v>197</v>
      </c>
      <c r="G154" t="s">
        <v>211</v>
      </c>
      <c r="H154">
        <v>0</v>
      </c>
      <c r="I154">
        <v>0</v>
      </c>
      <c r="J154">
        <v>0</v>
      </c>
      <c r="K154">
        <v>0</v>
      </c>
      <c r="L154">
        <v>43</v>
      </c>
      <c r="M154">
        <v>43</v>
      </c>
      <c r="N154">
        <v>44</v>
      </c>
      <c r="O154">
        <v>2</v>
      </c>
      <c r="P154">
        <v>7000</v>
      </c>
      <c r="Q154">
        <v>90</v>
      </c>
      <c r="R154">
        <v>0</v>
      </c>
      <c r="S154">
        <v>0</v>
      </c>
      <c r="T154">
        <v>0</v>
      </c>
      <c r="U154">
        <v>0</v>
      </c>
      <c r="V154">
        <v>0.977272727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301000</v>
      </c>
    </row>
    <row r="155" ht="14.25" customHeight="1">
      <c r="A155" t="s">
        <v>191</v>
      </c>
      <c r="B155" t="s">
        <v>192</v>
      </c>
      <c r="C155" t="s">
        <v>88</v>
      </c>
      <c r="D155" t="s">
        <v>204</v>
      </c>
      <c r="E155" t="s">
        <v>198</v>
      </c>
      <c r="F155" t="s">
        <v>197</v>
      </c>
      <c r="G155" t="s">
        <v>211</v>
      </c>
      <c r="H155">
        <v>0</v>
      </c>
      <c r="I155">
        <v>0</v>
      </c>
      <c r="J155">
        <v>0</v>
      </c>
      <c r="K155">
        <v>0</v>
      </c>
      <c r="L155">
        <v>42</v>
      </c>
      <c r="M155">
        <v>42</v>
      </c>
      <c r="N155">
        <v>43</v>
      </c>
      <c r="O155">
        <v>2</v>
      </c>
      <c r="P155">
        <v>7000</v>
      </c>
      <c r="Q155">
        <v>90</v>
      </c>
      <c r="R155">
        <v>0</v>
      </c>
      <c r="S155">
        <v>0</v>
      </c>
      <c r="T155">
        <v>0</v>
      </c>
      <c r="U155">
        <v>0</v>
      </c>
      <c r="V155">
        <v>0.976744186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294000</v>
      </c>
    </row>
    <row r="156" ht="14.25" customHeight="1">
      <c r="A156" t="s">
        <v>191</v>
      </c>
      <c r="B156" t="s">
        <v>192</v>
      </c>
      <c r="C156" t="s">
        <v>90</v>
      </c>
      <c r="D156" t="s">
        <v>204</v>
      </c>
      <c r="E156" t="s">
        <v>194</v>
      </c>
      <c r="F156" t="s">
        <v>197</v>
      </c>
      <c r="G156" t="s">
        <v>211</v>
      </c>
      <c r="H156">
        <v>605</v>
      </c>
      <c r="I156">
        <v>121</v>
      </c>
      <c r="J156">
        <v>85</v>
      </c>
      <c r="K156">
        <v>36</v>
      </c>
      <c r="L156">
        <v>0</v>
      </c>
      <c r="M156">
        <v>36</v>
      </c>
      <c r="N156">
        <v>0</v>
      </c>
      <c r="O156">
        <v>2</v>
      </c>
      <c r="P156">
        <v>6650</v>
      </c>
      <c r="Q156">
        <v>90</v>
      </c>
      <c r="R156">
        <v>223</v>
      </c>
      <c r="S156">
        <v>371</v>
      </c>
      <c r="T156">
        <v>12341</v>
      </c>
      <c r="U156">
        <v>14022</v>
      </c>
      <c r="V156">
        <v>0</v>
      </c>
      <c r="W156">
        <v>0.2</v>
      </c>
      <c r="X156">
        <v>0.702479339</v>
      </c>
      <c r="Y156">
        <v>0.423529412</v>
      </c>
      <c r="Z156">
        <v>594</v>
      </c>
      <c r="AA156">
        <v>0.375420875</v>
      </c>
      <c r="AB156">
        <v>33.264150943</v>
      </c>
      <c r="AC156">
        <v>242640</v>
      </c>
    </row>
    <row r="157" ht="14.25" customHeight="1">
      <c r="A157" t="s">
        <v>191</v>
      </c>
      <c r="B157" t="s">
        <v>192</v>
      </c>
      <c r="C157" t="s">
        <v>90</v>
      </c>
      <c r="D157" t="s">
        <v>204</v>
      </c>
      <c r="E157" t="s">
        <v>196</v>
      </c>
      <c r="F157" t="s">
        <v>197</v>
      </c>
      <c r="G157" t="s">
        <v>211</v>
      </c>
      <c r="H157">
        <v>0</v>
      </c>
      <c r="I157">
        <v>0</v>
      </c>
      <c r="J157">
        <v>0</v>
      </c>
      <c r="K157">
        <v>0</v>
      </c>
      <c r="L157">
        <v>35</v>
      </c>
      <c r="M157">
        <v>35</v>
      </c>
      <c r="N157">
        <v>36</v>
      </c>
      <c r="O157">
        <v>2</v>
      </c>
      <c r="P157">
        <v>6650</v>
      </c>
      <c r="Q157">
        <v>90</v>
      </c>
      <c r="R157">
        <v>0</v>
      </c>
      <c r="S157">
        <v>0</v>
      </c>
      <c r="T157">
        <v>0</v>
      </c>
      <c r="U157">
        <v>0</v>
      </c>
      <c r="V157">
        <v>0.972222222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232750</v>
      </c>
    </row>
    <row r="158" ht="14.25" customHeight="1">
      <c r="A158" t="s">
        <v>191</v>
      </c>
      <c r="B158" t="s">
        <v>192</v>
      </c>
      <c r="C158" t="s">
        <v>90</v>
      </c>
      <c r="D158" t="s">
        <v>204</v>
      </c>
      <c r="E158" t="s">
        <v>198</v>
      </c>
      <c r="F158" t="s">
        <v>197</v>
      </c>
      <c r="G158" t="s">
        <v>211</v>
      </c>
      <c r="H158">
        <v>0</v>
      </c>
      <c r="I158">
        <v>0</v>
      </c>
      <c r="J158">
        <v>0</v>
      </c>
      <c r="K158">
        <v>0</v>
      </c>
      <c r="L158">
        <v>34</v>
      </c>
      <c r="M158">
        <v>34</v>
      </c>
      <c r="N158">
        <v>35</v>
      </c>
      <c r="O158">
        <v>2</v>
      </c>
      <c r="P158">
        <v>6650</v>
      </c>
      <c r="Q158">
        <v>90</v>
      </c>
      <c r="R158">
        <v>0</v>
      </c>
      <c r="S158">
        <v>0</v>
      </c>
      <c r="T158">
        <v>0</v>
      </c>
      <c r="U158">
        <v>0</v>
      </c>
      <c r="V158">
        <v>0.971428571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226100</v>
      </c>
    </row>
    <row r="159" ht="14.25" customHeight="1">
      <c r="A159" t="s">
        <v>191</v>
      </c>
      <c r="B159" t="s">
        <v>192</v>
      </c>
      <c r="C159" t="s">
        <v>92</v>
      </c>
      <c r="D159" t="s">
        <v>204</v>
      </c>
      <c r="E159" t="s">
        <v>194</v>
      </c>
      <c r="F159" t="s">
        <v>197</v>
      </c>
      <c r="G159" t="s">
        <v>211</v>
      </c>
      <c r="H159">
        <v>605</v>
      </c>
      <c r="I159">
        <v>121</v>
      </c>
      <c r="J159">
        <v>85</v>
      </c>
      <c r="K159">
        <v>36</v>
      </c>
      <c r="L159">
        <v>0</v>
      </c>
      <c r="M159">
        <v>36</v>
      </c>
      <c r="N159">
        <v>0</v>
      </c>
      <c r="O159">
        <v>2</v>
      </c>
      <c r="P159">
        <v>6650</v>
      </c>
      <c r="Q159">
        <v>90</v>
      </c>
      <c r="R159">
        <v>217</v>
      </c>
      <c r="S159">
        <v>377</v>
      </c>
      <c r="T159">
        <v>12543</v>
      </c>
      <c r="U159">
        <v>13581</v>
      </c>
      <c r="V159">
        <v>0</v>
      </c>
      <c r="W159">
        <v>0.2</v>
      </c>
      <c r="X159">
        <v>0.702479339</v>
      </c>
      <c r="Y159">
        <v>0.423529412</v>
      </c>
      <c r="Z159">
        <v>594</v>
      </c>
      <c r="AA159">
        <v>0.365319865</v>
      </c>
      <c r="AB159">
        <v>33.270557029</v>
      </c>
      <c r="AC159">
        <v>242640</v>
      </c>
    </row>
    <row r="160" ht="14.25" customHeight="1">
      <c r="A160" t="s">
        <v>191</v>
      </c>
      <c r="B160" t="s">
        <v>192</v>
      </c>
      <c r="C160" t="s">
        <v>92</v>
      </c>
      <c r="D160" t="s">
        <v>204</v>
      </c>
      <c r="E160" t="s">
        <v>196</v>
      </c>
      <c r="F160" t="s">
        <v>197</v>
      </c>
      <c r="G160" t="s">
        <v>211</v>
      </c>
      <c r="H160">
        <v>0</v>
      </c>
      <c r="I160">
        <v>0</v>
      </c>
      <c r="J160">
        <v>0</v>
      </c>
      <c r="K160">
        <v>0</v>
      </c>
      <c r="L160">
        <v>35</v>
      </c>
      <c r="M160">
        <v>35</v>
      </c>
      <c r="N160">
        <v>36</v>
      </c>
      <c r="O160">
        <v>2</v>
      </c>
      <c r="P160">
        <v>6650</v>
      </c>
      <c r="Q160">
        <v>90</v>
      </c>
      <c r="R160">
        <v>0</v>
      </c>
      <c r="S160">
        <v>0</v>
      </c>
      <c r="T160">
        <v>0</v>
      </c>
      <c r="U160">
        <v>0</v>
      </c>
      <c r="V160">
        <v>0.972222222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232750</v>
      </c>
    </row>
    <row r="161" ht="14.25" customHeight="1">
      <c r="A161" t="s">
        <v>191</v>
      </c>
      <c r="B161" t="s">
        <v>192</v>
      </c>
      <c r="C161" t="s">
        <v>92</v>
      </c>
      <c r="D161" t="s">
        <v>204</v>
      </c>
      <c r="E161" t="s">
        <v>198</v>
      </c>
      <c r="F161" t="s">
        <v>197</v>
      </c>
      <c r="G161" t="s">
        <v>211</v>
      </c>
      <c r="H161">
        <v>0</v>
      </c>
      <c r="I161">
        <v>0</v>
      </c>
      <c r="J161">
        <v>0</v>
      </c>
      <c r="K161">
        <v>0</v>
      </c>
      <c r="L161">
        <v>34</v>
      </c>
      <c r="M161">
        <v>34</v>
      </c>
      <c r="N161">
        <v>35</v>
      </c>
      <c r="O161">
        <v>2</v>
      </c>
      <c r="P161">
        <v>6650</v>
      </c>
      <c r="Q161">
        <v>90</v>
      </c>
      <c r="R161">
        <v>0</v>
      </c>
      <c r="S161">
        <v>0</v>
      </c>
      <c r="T161">
        <v>0</v>
      </c>
      <c r="U161">
        <v>0</v>
      </c>
      <c r="V161">
        <v>0.971428571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226100</v>
      </c>
    </row>
    <row r="162" ht="14.25" customHeight="1">
      <c r="A162" t="s">
        <v>191</v>
      </c>
      <c r="B162" t="s">
        <v>192</v>
      </c>
      <c r="C162" t="s">
        <v>94</v>
      </c>
      <c r="D162" t="s">
        <v>205</v>
      </c>
      <c r="E162" t="s">
        <v>206</v>
      </c>
      <c r="F162" t="s">
        <v>197</v>
      </c>
      <c r="G162" t="s">
        <v>211</v>
      </c>
      <c r="H162">
        <v>699</v>
      </c>
      <c r="I162">
        <v>140</v>
      </c>
      <c r="J162">
        <v>98</v>
      </c>
      <c r="K162">
        <v>41</v>
      </c>
      <c r="L162">
        <v>0</v>
      </c>
      <c r="M162">
        <v>41</v>
      </c>
      <c r="N162">
        <v>0</v>
      </c>
      <c r="O162">
        <v>2</v>
      </c>
      <c r="P162">
        <v>6300</v>
      </c>
      <c r="Q162">
        <v>90</v>
      </c>
      <c r="R162">
        <v>341</v>
      </c>
      <c r="S162">
        <v>382</v>
      </c>
      <c r="T162">
        <v>15129</v>
      </c>
      <c r="U162">
        <v>26720</v>
      </c>
      <c r="V162">
        <v>0</v>
      </c>
      <c r="W162">
        <v>0.200286123</v>
      </c>
      <c r="X162">
        <v>0.7</v>
      </c>
      <c r="Y162">
        <v>0.418367347</v>
      </c>
      <c r="Z162">
        <v>723</v>
      </c>
      <c r="AA162">
        <v>0.47164592</v>
      </c>
      <c r="AB162">
        <v>39.604712042</v>
      </c>
      <c r="AC162">
        <v>261990</v>
      </c>
    </row>
    <row r="163" ht="14.25" customHeight="1">
      <c r="A163" t="s">
        <v>191</v>
      </c>
      <c r="B163" t="s">
        <v>192</v>
      </c>
      <c r="C163" t="s">
        <v>94</v>
      </c>
      <c r="D163" t="s">
        <v>205</v>
      </c>
      <c r="E163" t="s">
        <v>207</v>
      </c>
      <c r="F163" t="s">
        <v>197</v>
      </c>
      <c r="G163" t="s">
        <v>211</v>
      </c>
      <c r="H163">
        <v>0</v>
      </c>
      <c r="I163">
        <v>0</v>
      </c>
      <c r="J163">
        <v>0</v>
      </c>
      <c r="K163">
        <v>0</v>
      </c>
      <c r="L163">
        <v>40</v>
      </c>
      <c r="M163">
        <v>40</v>
      </c>
      <c r="N163">
        <v>41</v>
      </c>
      <c r="O163">
        <v>2</v>
      </c>
      <c r="P163">
        <v>6300</v>
      </c>
      <c r="Q163">
        <v>90</v>
      </c>
      <c r="R163">
        <v>0</v>
      </c>
      <c r="S163">
        <v>0</v>
      </c>
      <c r="T163">
        <v>0</v>
      </c>
      <c r="U163">
        <v>0</v>
      </c>
      <c r="V163">
        <v>0.975609756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252000</v>
      </c>
    </row>
    <row r="164" ht="14.25" customHeight="1">
      <c r="A164" t="s">
        <v>191</v>
      </c>
      <c r="B164" t="s">
        <v>192</v>
      </c>
      <c r="C164" t="s">
        <v>94</v>
      </c>
      <c r="D164" t="s">
        <v>208</v>
      </c>
      <c r="E164" t="s">
        <v>194</v>
      </c>
      <c r="F164" t="s">
        <v>197</v>
      </c>
      <c r="G164" t="s">
        <v>211</v>
      </c>
      <c r="H164">
        <v>699</v>
      </c>
      <c r="I164">
        <v>140</v>
      </c>
      <c r="J164">
        <v>98</v>
      </c>
      <c r="K164">
        <v>41</v>
      </c>
      <c r="L164">
        <v>0</v>
      </c>
      <c r="M164">
        <v>41</v>
      </c>
      <c r="N164">
        <v>0</v>
      </c>
      <c r="O164">
        <v>2</v>
      </c>
      <c r="P164">
        <v>7350</v>
      </c>
      <c r="Q164">
        <v>90</v>
      </c>
      <c r="R164">
        <v>341</v>
      </c>
      <c r="S164">
        <v>383</v>
      </c>
      <c r="T164">
        <v>15129</v>
      </c>
      <c r="U164">
        <v>26719</v>
      </c>
      <c r="V164">
        <v>0</v>
      </c>
      <c r="W164">
        <v>0.200286123</v>
      </c>
      <c r="X164">
        <v>0.7</v>
      </c>
      <c r="Y164">
        <v>0.418367347</v>
      </c>
      <c r="Z164">
        <v>724</v>
      </c>
      <c r="AA164">
        <v>0.470994475</v>
      </c>
      <c r="AB164">
        <v>39.501305483</v>
      </c>
      <c r="AC164">
        <v>305040</v>
      </c>
    </row>
    <row r="165" ht="14.25" customHeight="1">
      <c r="A165" t="s">
        <v>191</v>
      </c>
      <c r="B165" t="s">
        <v>192</v>
      </c>
      <c r="C165" t="s">
        <v>94</v>
      </c>
      <c r="D165" t="s">
        <v>208</v>
      </c>
      <c r="E165" t="s">
        <v>198</v>
      </c>
      <c r="F165" t="s">
        <v>197</v>
      </c>
      <c r="G165" t="s">
        <v>211</v>
      </c>
      <c r="H165">
        <v>0</v>
      </c>
      <c r="I165">
        <v>0</v>
      </c>
      <c r="J165">
        <v>0</v>
      </c>
      <c r="K165">
        <v>0</v>
      </c>
      <c r="L165">
        <v>40</v>
      </c>
      <c r="M165">
        <v>40</v>
      </c>
      <c r="N165">
        <v>41</v>
      </c>
      <c r="O165">
        <v>2</v>
      </c>
      <c r="P165">
        <v>7350</v>
      </c>
      <c r="Q165">
        <v>90</v>
      </c>
      <c r="R165">
        <v>0</v>
      </c>
      <c r="S165">
        <v>0</v>
      </c>
      <c r="T165">
        <v>0</v>
      </c>
      <c r="U165">
        <v>0</v>
      </c>
      <c r="V165">
        <v>0.975609756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294000</v>
      </c>
    </row>
    <row r="166" ht="14.25" customHeight="1">
      <c r="A166" t="s">
        <v>191</v>
      </c>
      <c r="B166" t="s">
        <v>192</v>
      </c>
      <c r="C166" t="s">
        <v>95</v>
      </c>
      <c r="D166" t="s">
        <v>205</v>
      </c>
      <c r="E166" t="s">
        <v>206</v>
      </c>
      <c r="F166" t="s">
        <v>197</v>
      </c>
      <c r="G166" t="s">
        <v>211</v>
      </c>
      <c r="H166">
        <v>547</v>
      </c>
      <c r="I166">
        <v>109</v>
      </c>
      <c r="J166">
        <v>77</v>
      </c>
      <c r="K166">
        <v>32</v>
      </c>
      <c r="L166">
        <v>0</v>
      </c>
      <c r="M166">
        <v>32</v>
      </c>
      <c r="N166">
        <v>0</v>
      </c>
      <c r="O166">
        <v>2</v>
      </c>
      <c r="P166">
        <v>5820</v>
      </c>
      <c r="Q166">
        <v>90</v>
      </c>
      <c r="R166">
        <v>302</v>
      </c>
      <c r="S166">
        <v>264</v>
      </c>
      <c r="T166">
        <v>9078</v>
      </c>
      <c r="U166">
        <v>23880</v>
      </c>
      <c r="V166">
        <v>0</v>
      </c>
      <c r="W166">
        <v>0.199268739</v>
      </c>
      <c r="X166">
        <v>0.706422018</v>
      </c>
      <c r="Y166">
        <v>0.415584416</v>
      </c>
      <c r="Z166">
        <v>566</v>
      </c>
      <c r="AA166">
        <v>0.533568905</v>
      </c>
      <c r="AB166">
        <v>34.386363636</v>
      </c>
      <c r="AC166">
        <v>189120</v>
      </c>
    </row>
    <row r="167" ht="14.25" customHeight="1">
      <c r="A167" t="s">
        <v>191</v>
      </c>
      <c r="B167" t="s">
        <v>192</v>
      </c>
      <c r="C167" t="s">
        <v>95</v>
      </c>
      <c r="D167" t="s">
        <v>205</v>
      </c>
      <c r="E167" t="s">
        <v>207</v>
      </c>
      <c r="F167" t="s">
        <v>197</v>
      </c>
      <c r="G167" t="s">
        <v>211</v>
      </c>
      <c r="H167">
        <v>0</v>
      </c>
      <c r="I167">
        <v>0</v>
      </c>
      <c r="J167">
        <v>0</v>
      </c>
      <c r="K167">
        <v>0</v>
      </c>
      <c r="L167">
        <v>31</v>
      </c>
      <c r="M167">
        <v>31</v>
      </c>
      <c r="N167">
        <v>32</v>
      </c>
      <c r="O167">
        <v>2</v>
      </c>
      <c r="P167">
        <v>5820</v>
      </c>
      <c r="Q167">
        <v>90</v>
      </c>
      <c r="R167">
        <v>0</v>
      </c>
      <c r="S167">
        <v>0</v>
      </c>
      <c r="T167">
        <v>0</v>
      </c>
      <c r="U167">
        <v>0</v>
      </c>
      <c r="V167">
        <v>0.96875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180420</v>
      </c>
    </row>
    <row r="168" ht="14.25" customHeight="1">
      <c r="A168" t="s">
        <v>191</v>
      </c>
      <c r="B168" t="s">
        <v>192</v>
      </c>
      <c r="C168" t="s">
        <v>95</v>
      </c>
      <c r="D168" t="s">
        <v>208</v>
      </c>
      <c r="E168" t="s">
        <v>194</v>
      </c>
      <c r="F168" t="s">
        <v>197</v>
      </c>
      <c r="G168" t="s">
        <v>211</v>
      </c>
      <c r="H168">
        <v>547</v>
      </c>
      <c r="I168">
        <v>109</v>
      </c>
      <c r="J168">
        <v>77</v>
      </c>
      <c r="K168">
        <v>32</v>
      </c>
      <c r="L168">
        <v>0</v>
      </c>
      <c r="M168">
        <v>32</v>
      </c>
      <c r="N168">
        <v>0</v>
      </c>
      <c r="O168">
        <v>2</v>
      </c>
      <c r="P168">
        <v>6790</v>
      </c>
      <c r="Q168">
        <v>90</v>
      </c>
      <c r="R168">
        <v>301</v>
      </c>
      <c r="S168">
        <v>264</v>
      </c>
      <c r="T168">
        <v>9077</v>
      </c>
      <c r="U168">
        <v>23880</v>
      </c>
      <c r="V168">
        <v>0</v>
      </c>
      <c r="W168">
        <v>0.199268739</v>
      </c>
      <c r="X168">
        <v>0.706422018</v>
      </c>
      <c r="Y168">
        <v>0.415584416</v>
      </c>
      <c r="Z168">
        <v>565</v>
      </c>
      <c r="AA168">
        <v>0.532743363</v>
      </c>
      <c r="AB168">
        <v>34.382575758</v>
      </c>
      <c r="AC168">
        <v>220160</v>
      </c>
    </row>
    <row r="169" ht="14.25" customHeight="1">
      <c r="A169" t="s">
        <v>191</v>
      </c>
      <c r="B169" t="s">
        <v>192</v>
      </c>
      <c r="C169" t="s">
        <v>95</v>
      </c>
      <c r="D169" t="s">
        <v>208</v>
      </c>
      <c r="E169" t="s">
        <v>198</v>
      </c>
      <c r="F169" t="s">
        <v>197</v>
      </c>
      <c r="G169" t="s">
        <v>211</v>
      </c>
      <c r="H169">
        <v>0</v>
      </c>
      <c r="I169">
        <v>0</v>
      </c>
      <c r="J169">
        <v>0</v>
      </c>
      <c r="K169">
        <v>0</v>
      </c>
      <c r="L169">
        <v>31</v>
      </c>
      <c r="M169">
        <v>31</v>
      </c>
      <c r="N169">
        <v>32</v>
      </c>
      <c r="O169">
        <v>2</v>
      </c>
      <c r="P169">
        <v>6790</v>
      </c>
      <c r="Q169">
        <v>90</v>
      </c>
      <c r="R169">
        <v>0</v>
      </c>
      <c r="S169">
        <v>0</v>
      </c>
      <c r="T169">
        <v>0</v>
      </c>
      <c r="U169">
        <v>0</v>
      </c>
      <c r="V169">
        <v>0.96875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210490</v>
      </c>
    </row>
    <row r="170" ht="14.25" customHeight="1">
      <c r="A170" t="s">
        <v>191</v>
      </c>
      <c r="B170" t="s">
        <v>192</v>
      </c>
      <c r="C170" t="s">
        <v>96</v>
      </c>
      <c r="D170" t="s">
        <v>209</v>
      </c>
      <c r="E170" t="s">
        <v>194</v>
      </c>
      <c r="F170" t="s">
        <v>197</v>
      </c>
      <c r="G170" t="s">
        <v>211</v>
      </c>
      <c r="H170">
        <v>712</v>
      </c>
      <c r="I170">
        <v>142</v>
      </c>
      <c r="J170">
        <v>100</v>
      </c>
      <c r="K170">
        <v>42</v>
      </c>
      <c r="L170">
        <v>0</v>
      </c>
      <c r="M170">
        <v>42</v>
      </c>
      <c r="N170">
        <v>0</v>
      </c>
      <c r="O170">
        <v>2</v>
      </c>
      <c r="P170">
        <v>7840</v>
      </c>
      <c r="Q170">
        <v>90</v>
      </c>
      <c r="R170">
        <v>231</v>
      </c>
      <c r="S170">
        <v>517</v>
      </c>
      <c r="T170">
        <v>24992</v>
      </c>
      <c r="U170">
        <v>19081</v>
      </c>
      <c r="V170">
        <v>0</v>
      </c>
      <c r="W170">
        <v>0.199438202</v>
      </c>
      <c r="X170">
        <v>0.704225352</v>
      </c>
      <c r="Y170">
        <v>0.42</v>
      </c>
      <c r="Z170">
        <v>748</v>
      </c>
      <c r="AA170">
        <v>0.308823529</v>
      </c>
      <c r="AB170">
        <v>48.340425532</v>
      </c>
      <c r="AC170">
        <v>333060</v>
      </c>
    </row>
    <row r="171" ht="14.25" customHeight="1">
      <c r="A171" t="s">
        <v>191</v>
      </c>
      <c r="B171" t="s">
        <v>192</v>
      </c>
      <c r="C171" t="s">
        <v>96</v>
      </c>
      <c r="D171" t="s">
        <v>209</v>
      </c>
      <c r="E171" t="s">
        <v>196</v>
      </c>
      <c r="F171" t="s">
        <v>197</v>
      </c>
      <c r="G171" t="s">
        <v>211</v>
      </c>
      <c r="H171">
        <v>0</v>
      </c>
      <c r="I171">
        <v>0</v>
      </c>
      <c r="J171">
        <v>0</v>
      </c>
      <c r="K171">
        <v>0</v>
      </c>
      <c r="L171">
        <v>41</v>
      </c>
      <c r="M171">
        <v>41</v>
      </c>
      <c r="N171">
        <v>42</v>
      </c>
      <c r="O171">
        <v>2</v>
      </c>
      <c r="P171">
        <v>7840</v>
      </c>
      <c r="Q171">
        <v>90</v>
      </c>
      <c r="R171">
        <v>0</v>
      </c>
      <c r="S171">
        <v>0</v>
      </c>
      <c r="T171">
        <v>0</v>
      </c>
      <c r="U171">
        <v>0</v>
      </c>
      <c r="V171">
        <v>0.976190476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321440</v>
      </c>
    </row>
    <row r="172" ht="14.25" customHeight="1">
      <c r="A172" t="s">
        <v>191</v>
      </c>
      <c r="B172" t="s">
        <v>192</v>
      </c>
      <c r="C172" t="s">
        <v>96</v>
      </c>
      <c r="D172" t="s">
        <v>209</v>
      </c>
      <c r="E172" t="s">
        <v>198</v>
      </c>
      <c r="F172" t="s">
        <v>197</v>
      </c>
      <c r="G172" t="s">
        <v>211</v>
      </c>
      <c r="H172">
        <v>0</v>
      </c>
      <c r="I172">
        <v>0</v>
      </c>
      <c r="J172">
        <v>0</v>
      </c>
      <c r="K172">
        <v>0</v>
      </c>
      <c r="L172">
        <v>40</v>
      </c>
      <c r="M172">
        <v>40</v>
      </c>
      <c r="N172">
        <v>41</v>
      </c>
      <c r="O172">
        <v>2</v>
      </c>
      <c r="P172">
        <v>7840</v>
      </c>
      <c r="Q172">
        <v>90</v>
      </c>
      <c r="R172">
        <v>0</v>
      </c>
      <c r="S172">
        <v>0</v>
      </c>
      <c r="T172">
        <v>0</v>
      </c>
      <c r="U172">
        <v>0</v>
      </c>
      <c r="V172">
        <v>0.975609756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313600</v>
      </c>
    </row>
    <row r="173" ht="14.25" customHeight="1">
      <c r="A173" t="s">
        <v>191</v>
      </c>
      <c r="B173" t="s">
        <v>192</v>
      </c>
      <c r="C173" t="s">
        <v>97</v>
      </c>
      <c r="D173" t="s">
        <v>209</v>
      </c>
      <c r="E173" t="s">
        <v>194</v>
      </c>
      <c r="F173" t="s">
        <v>197</v>
      </c>
      <c r="G173" t="s">
        <v>211</v>
      </c>
      <c r="H173">
        <v>605</v>
      </c>
      <c r="I173">
        <v>121</v>
      </c>
      <c r="J173">
        <v>85</v>
      </c>
      <c r="K173">
        <v>36</v>
      </c>
      <c r="L173">
        <v>0</v>
      </c>
      <c r="M173">
        <v>36</v>
      </c>
      <c r="N173">
        <v>0</v>
      </c>
      <c r="O173">
        <v>2</v>
      </c>
      <c r="P173">
        <v>7350</v>
      </c>
      <c r="Q173">
        <v>90</v>
      </c>
      <c r="R173">
        <v>242</v>
      </c>
      <c r="S173">
        <v>392</v>
      </c>
      <c r="T173">
        <v>15578</v>
      </c>
      <c r="U173">
        <v>20221</v>
      </c>
      <c r="V173">
        <v>0</v>
      </c>
      <c r="W173">
        <v>0.2</v>
      </c>
      <c r="X173">
        <v>0.702479339</v>
      </c>
      <c r="Y173">
        <v>0.423529412</v>
      </c>
      <c r="Z173">
        <v>634</v>
      </c>
      <c r="AA173">
        <v>0.38170347</v>
      </c>
      <c r="AB173">
        <v>39.739795918</v>
      </c>
      <c r="AC173">
        <v>267840</v>
      </c>
    </row>
    <row r="174" ht="14.25" customHeight="1">
      <c r="A174" t="s">
        <v>191</v>
      </c>
      <c r="B174" t="s">
        <v>192</v>
      </c>
      <c r="C174" t="s">
        <v>97</v>
      </c>
      <c r="D174" t="s">
        <v>209</v>
      </c>
      <c r="E174" t="s">
        <v>196</v>
      </c>
      <c r="F174" t="s">
        <v>197</v>
      </c>
      <c r="G174" t="s">
        <v>211</v>
      </c>
      <c r="H174">
        <v>0</v>
      </c>
      <c r="I174">
        <v>0</v>
      </c>
      <c r="J174">
        <v>0</v>
      </c>
      <c r="K174">
        <v>0</v>
      </c>
      <c r="L174">
        <v>35</v>
      </c>
      <c r="M174">
        <v>35</v>
      </c>
      <c r="N174">
        <v>36</v>
      </c>
      <c r="O174">
        <v>2</v>
      </c>
      <c r="P174">
        <v>7350</v>
      </c>
      <c r="Q174">
        <v>90</v>
      </c>
      <c r="R174">
        <v>0</v>
      </c>
      <c r="S174">
        <v>0</v>
      </c>
      <c r="T174">
        <v>0</v>
      </c>
      <c r="U174">
        <v>0</v>
      </c>
      <c r="V174">
        <v>0.972222222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257250</v>
      </c>
    </row>
    <row r="175" ht="14.25" customHeight="1">
      <c r="A175" t="s">
        <v>191</v>
      </c>
      <c r="B175" t="s">
        <v>192</v>
      </c>
      <c r="C175" t="s">
        <v>97</v>
      </c>
      <c r="D175" t="s">
        <v>209</v>
      </c>
      <c r="E175" t="s">
        <v>198</v>
      </c>
      <c r="F175" t="s">
        <v>197</v>
      </c>
      <c r="G175" t="s">
        <v>211</v>
      </c>
      <c r="H175">
        <v>0</v>
      </c>
      <c r="I175">
        <v>0</v>
      </c>
      <c r="J175">
        <v>0</v>
      </c>
      <c r="K175">
        <v>0</v>
      </c>
      <c r="L175">
        <v>34</v>
      </c>
      <c r="M175">
        <v>34</v>
      </c>
      <c r="N175">
        <v>35</v>
      </c>
      <c r="O175">
        <v>2</v>
      </c>
      <c r="P175">
        <v>7350</v>
      </c>
      <c r="Q175">
        <v>90</v>
      </c>
      <c r="R175">
        <v>0</v>
      </c>
      <c r="S175">
        <v>0</v>
      </c>
      <c r="T175">
        <v>0</v>
      </c>
      <c r="U175">
        <v>0</v>
      </c>
      <c r="V175">
        <v>0.971428571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249900</v>
      </c>
    </row>
    <row r="275" ht="14.25" customHeight="1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</row>
    <row r="276" ht="14.25" customHeight="1">
      <c r="A276" s="0" t="s">
        <v>191</v>
      </c>
      <c r="B276" s="0" t="s">
        <v>192</v>
      </c>
      <c r="C276" s="0" t="s">
        <v>75</v>
      </c>
      <c r="D276" s="0" t="s">
        <v>193</v>
      </c>
      <c r="E276" s="0" t="s">
        <v>196</v>
      </c>
      <c r="F276" s="0" t="s">
        <v>197</v>
      </c>
      <c r="G276" s="0" t="s">
        <v>25</v>
      </c>
      <c r="H276" s="0">
        <v>0</v>
      </c>
      <c r="I276" s="0">
        <v>0</v>
      </c>
      <c r="J276" s="0">
        <v>0</v>
      </c>
      <c r="K276" s="0">
        <v>0</v>
      </c>
      <c r="L276" s="0">
        <v>76</v>
      </c>
      <c r="M276" s="0">
        <v>76</v>
      </c>
      <c r="N276" s="0">
        <v>78</v>
      </c>
      <c r="O276" s="0">
        <v>3</v>
      </c>
      <c r="P276" s="0">
        <v>7840</v>
      </c>
      <c r="Q276" s="0">
        <v>90</v>
      </c>
      <c r="R276" s="0">
        <v>0</v>
      </c>
      <c r="S276" s="0">
        <v>0</v>
      </c>
      <c r="T276" s="0">
        <v>0</v>
      </c>
      <c r="U276" s="0">
        <v>0</v>
      </c>
      <c r="V276" s="0">
        <v>0.974358974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595840</v>
      </c>
    </row>
    <row r="277" ht="14.25" customHeight="1">
      <c r="A277" s="0" t="s">
        <v>191</v>
      </c>
      <c r="B277" s="0" t="s">
        <v>192</v>
      </c>
      <c r="C277" s="0" t="s">
        <v>75</v>
      </c>
      <c r="D277" s="0" t="s">
        <v>193</v>
      </c>
      <c r="E277" s="0" t="s">
        <v>198</v>
      </c>
      <c r="F277" s="0" t="s">
        <v>197</v>
      </c>
      <c r="G277" s="0" t="s">
        <v>25</v>
      </c>
      <c r="H277" s="0">
        <v>0</v>
      </c>
      <c r="I277" s="0">
        <v>0</v>
      </c>
      <c r="J277" s="0">
        <v>0</v>
      </c>
      <c r="K277" s="0">
        <v>0</v>
      </c>
      <c r="L277" s="0">
        <v>74</v>
      </c>
      <c r="M277" s="0">
        <v>74</v>
      </c>
      <c r="N277" s="0">
        <v>76</v>
      </c>
      <c r="O277" s="0">
        <v>3</v>
      </c>
      <c r="P277" s="0">
        <v>7840</v>
      </c>
      <c r="Q277" s="0">
        <v>90</v>
      </c>
      <c r="R277" s="0">
        <v>0</v>
      </c>
      <c r="S277" s="0">
        <v>0</v>
      </c>
      <c r="T277" s="0">
        <v>0</v>
      </c>
      <c r="U277" s="0">
        <v>0</v>
      </c>
      <c r="V277" s="0">
        <v>0.973684211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580160</v>
      </c>
    </row>
    <row r="278" ht="14.25" customHeight="1">
      <c r="A278" s="0" t="s">
        <v>191</v>
      </c>
      <c r="B278" s="0" t="s">
        <v>192</v>
      </c>
      <c r="C278" s="0" t="s">
        <v>75</v>
      </c>
      <c r="D278" s="0" t="s">
        <v>199</v>
      </c>
      <c r="E278" s="0" t="s">
        <v>200</v>
      </c>
      <c r="F278" s="0" t="s">
        <v>197</v>
      </c>
      <c r="G278" s="0" t="s">
        <v>25</v>
      </c>
      <c r="H278" s="0">
        <v>1330</v>
      </c>
      <c r="I278" s="0">
        <v>266</v>
      </c>
      <c r="J278" s="0">
        <v>186</v>
      </c>
      <c r="K278" s="0">
        <v>78</v>
      </c>
      <c r="L278" s="0">
        <v>0</v>
      </c>
      <c r="M278" s="0">
        <v>78</v>
      </c>
      <c r="N278" s="0">
        <v>0</v>
      </c>
      <c r="O278" s="0">
        <v>3</v>
      </c>
      <c r="P278" s="0">
        <v>8400</v>
      </c>
      <c r="Q278" s="0">
        <v>90</v>
      </c>
      <c r="R278" s="0">
        <v>479</v>
      </c>
      <c r="S278" s="0">
        <v>851</v>
      </c>
      <c r="T278" s="0">
        <v>45965</v>
      </c>
      <c r="U278" s="0">
        <v>43615</v>
      </c>
      <c r="V278" s="0">
        <v>0</v>
      </c>
      <c r="W278" s="0">
        <v>0.2</v>
      </c>
      <c r="X278" s="0">
        <v>0.69924812</v>
      </c>
      <c r="Y278" s="0">
        <v>0.419354839</v>
      </c>
      <c r="Z278" s="0">
        <v>1330</v>
      </c>
      <c r="AA278" s="0">
        <v>0.360150376</v>
      </c>
      <c r="AB278" s="0">
        <v>54.012925969</v>
      </c>
      <c r="AC278" s="0">
        <v>662220</v>
      </c>
    </row>
    <row r="279" ht="14.25" customHeight="1">
      <c r="A279" s="0" t="s">
        <v>191</v>
      </c>
      <c r="B279" s="0" t="s">
        <v>192</v>
      </c>
      <c r="C279" s="0" t="s">
        <v>75</v>
      </c>
      <c r="D279" s="0" t="s">
        <v>199</v>
      </c>
      <c r="E279" s="0" t="s">
        <v>201</v>
      </c>
      <c r="F279" s="0" t="s">
        <v>197</v>
      </c>
      <c r="G279" s="0" t="s">
        <v>25</v>
      </c>
      <c r="H279" s="0">
        <v>0</v>
      </c>
      <c r="I279" s="0">
        <v>0</v>
      </c>
      <c r="J279" s="0">
        <v>0</v>
      </c>
      <c r="K279" s="0">
        <v>0</v>
      </c>
      <c r="L279" s="0">
        <v>76</v>
      </c>
      <c r="M279" s="0">
        <v>76</v>
      </c>
      <c r="N279" s="0">
        <v>78</v>
      </c>
      <c r="O279" s="0">
        <v>3</v>
      </c>
      <c r="P279" s="0">
        <v>8400</v>
      </c>
      <c r="Q279" s="0">
        <v>90</v>
      </c>
      <c r="R279" s="0">
        <v>0</v>
      </c>
      <c r="S279" s="0">
        <v>0</v>
      </c>
      <c r="T279" s="0">
        <v>0</v>
      </c>
      <c r="U279" s="0">
        <v>0</v>
      </c>
      <c r="V279" s="0">
        <v>0.974358974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638400</v>
      </c>
    </row>
    <row r="280" ht="14.25" customHeight="1">
      <c r="A280" s="0" t="s">
        <v>191</v>
      </c>
      <c r="B280" s="0" t="s">
        <v>192</v>
      </c>
      <c r="C280" s="0" t="s">
        <v>77</v>
      </c>
      <c r="D280" s="0" t="s">
        <v>193</v>
      </c>
      <c r="E280" s="0" t="s">
        <v>194</v>
      </c>
      <c r="F280" s="0" t="s">
        <v>195</v>
      </c>
      <c r="G280" s="0" t="s">
        <v>25</v>
      </c>
      <c r="H280" s="0">
        <v>546</v>
      </c>
      <c r="I280" s="0">
        <v>153</v>
      </c>
      <c r="J280" s="0">
        <v>110</v>
      </c>
      <c r="K280" s="0">
        <v>66</v>
      </c>
      <c r="L280" s="0">
        <v>0</v>
      </c>
      <c r="M280" s="0">
        <v>66</v>
      </c>
      <c r="N280" s="0">
        <v>0</v>
      </c>
      <c r="O280" s="0">
        <v>3</v>
      </c>
      <c r="P280" s="0">
        <v>7875</v>
      </c>
      <c r="Q280" s="0">
        <v>90</v>
      </c>
      <c r="R280" s="0">
        <v>235</v>
      </c>
      <c r="S280" s="0">
        <v>311</v>
      </c>
      <c r="T280" s="0">
        <v>13694</v>
      </c>
      <c r="U280" s="0">
        <v>21386</v>
      </c>
      <c r="V280" s="0">
        <v>0</v>
      </c>
      <c r="W280" s="0">
        <v>0.28021978</v>
      </c>
      <c r="X280" s="0">
        <v>0.718954248</v>
      </c>
      <c r="Y280" s="0">
        <v>0.6</v>
      </c>
      <c r="Z280" s="0">
        <v>546</v>
      </c>
      <c r="AA280" s="0">
        <v>0.43040293</v>
      </c>
      <c r="AB280" s="0">
        <v>44.032154341</v>
      </c>
      <c r="AC280" s="0">
        <v>525690</v>
      </c>
    </row>
    <row r="281" ht="14.25" customHeight="1">
      <c r="A281" s="0" t="s">
        <v>191</v>
      </c>
      <c r="B281" s="0" t="s">
        <v>192</v>
      </c>
      <c r="C281" s="0" t="s">
        <v>77</v>
      </c>
      <c r="D281" s="0" t="s">
        <v>193</v>
      </c>
      <c r="E281" s="0" t="s">
        <v>196</v>
      </c>
      <c r="F281" s="0" t="s">
        <v>197</v>
      </c>
      <c r="G281" s="0" t="s">
        <v>25</v>
      </c>
      <c r="H281" s="0">
        <v>0</v>
      </c>
      <c r="I281" s="0">
        <v>0</v>
      </c>
      <c r="J281" s="0">
        <v>0</v>
      </c>
      <c r="K281" s="0">
        <v>0</v>
      </c>
      <c r="L281" s="0">
        <v>64</v>
      </c>
      <c r="M281" s="0">
        <v>64</v>
      </c>
      <c r="N281" s="0">
        <v>66</v>
      </c>
      <c r="O281" s="0">
        <v>2</v>
      </c>
      <c r="P281" s="0">
        <v>7350</v>
      </c>
      <c r="Q281" s="0">
        <v>90</v>
      </c>
      <c r="R281" s="0">
        <v>0</v>
      </c>
      <c r="S281" s="0">
        <v>0</v>
      </c>
      <c r="T281" s="0">
        <v>0</v>
      </c>
      <c r="U281" s="0">
        <v>0</v>
      </c>
      <c r="V281" s="0">
        <v>0.96969697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470400</v>
      </c>
    </row>
    <row r="282" ht="14.25" customHeight="1">
      <c r="A282" s="0" t="s">
        <v>191</v>
      </c>
      <c r="B282" s="0" t="s">
        <v>192</v>
      </c>
      <c r="C282" s="0" t="s">
        <v>77</v>
      </c>
      <c r="D282" s="0" t="s">
        <v>193</v>
      </c>
      <c r="E282" s="0" t="s">
        <v>198</v>
      </c>
      <c r="F282" s="0" t="s">
        <v>197</v>
      </c>
      <c r="G282" s="0" t="s">
        <v>25</v>
      </c>
      <c r="H282" s="0">
        <v>0</v>
      </c>
      <c r="I282" s="0">
        <v>0</v>
      </c>
      <c r="J282" s="0">
        <v>0</v>
      </c>
      <c r="K282" s="0">
        <v>0</v>
      </c>
      <c r="L282" s="0">
        <v>63</v>
      </c>
      <c r="M282" s="0">
        <v>63</v>
      </c>
      <c r="N282" s="0">
        <v>64</v>
      </c>
      <c r="O282" s="0">
        <v>2</v>
      </c>
      <c r="P282" s="0">
        <v>7350</v>
      </c>
      <c r="Q282" s="0">
        <v>90</v>
      </c>
      <c r="R282" s="0">
        <v>0</v>
      </c>
      <c r="S282" s="0">
        <v>0</v>
      </c>
      <c r="T282" s="0">
        <v>0</v>
      </c>
      <c r="U282" s="0">
        <v>0</v>
      </c>
      <c r="V282" s="0">
        <v>0.984375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463050</v>
      </c>
    </row>
    <row r="283" ht="14.25" customHeight="1">
      <c r="A283" s="0" t="s">
        <v>191</v>
      </c>
      <c r="B283" s="0" t="s">
        <v>192</v>
      </c>
      <c r="C283" s="0" t="s">
        <v>77</v>
      </c>
      <c r="D283" s="0" t="s">
        <v>199</v>
      </c>
      <c r="E283" s="0" t="s">
        <v>200</v>
      </c>
      <c r="F283" s="0" t="s">
        <v>197</v>
      </c>
      <c r="G283" s="0" t="s">
        <v>25</v>
      </c>
      <c r="H283" s="0">
        <v>1120</v>
      </c>
      <c r="I283" s="0">
        <v>224</v>
      </c>
      <c r="J283" s="0">
        <v>157</v>
      </c>
      <c r="K283" s="0">
        <v>66</v>
      </c>
      <c r="L283" s="0">
        <v>0</v>
      </c>
      <c r="M283" s="0">
        <v>66</v>
      </c>
      <c r="N283" s="0">
        <v>0</v>
      </c>
      <c r="O283" s="0">
        <v>3</v>
      </c>
      <c r="P283" s="0">
        <v>7875</v>
      </c>
      <c r="Q283" s="0">
        <v>90</v>
      </c>
      <c r="R283" s="0">
        <v>481</v>
      </c>
      <c r="S283" s="0">
        <v>639</v>
      </c>
      <c r="T283" s="0">
        <v>28089</v>
      </c>
      <c r="U283" s="0">
        <v>43869</v>
      </c>
      <c r="V283" s="0">
        <v>0</v>
      </c>
      <c r="W283" s="0">
        <v>0.2</v>
      </c>
      <c r="X283" s="0">
        <v>0.700892857</v>
      </c>
      <c r="Y283" s="0">
        <v>0.420382166</v>
      </c>
      <c r="Z283" s="0">
        <v>1120</v>
      </c>
      <c r="AA283" s="0">
        <v>0.429464286</v>
      </c>
      <c r="AB283" s="0">
        <v>43.957746479</v>
      </c>
      <c r="AC283" s="0">
        <v>525690</v>
      </c>
    </row>
    <row r="284" ht="14.25" customHeight="1">
      <c r="A284" s="0" t="s">
        <v>191</v>
      </c>
      <c r="B284" s="0" t="s">
        <v>192</v>
      </c>
      <c r="C284" s="0" t="s">
        <v>77</v>
      </c>
      <c r="D284" s="0" t="s">
        <v>199</v>
      </c>
      <c r="E284" s="0" t="s">
        <v>201</v>
      </c>
      <c r="F284" s="0" t="s">
        <v>197</v>
      </c>
      <c r="G284" s="0" t="s">
        <v>25</v>
      </c>
      <c r="H284" s="0">
        <v>0</v>
      </c>
      <c r="I284" s="0">
        <v>0</v>
      </c>
      <c r="J284" s="0">
        <v>0</v>
      </c>
      <c r="K284" s="0">
        <v>0</v>
      </c>
      <c r="L284" s="0">
        <v>65</v>
      </c>
      <c r="M284" s="0">
        <v>65</v>
      </c>
      <c r="N284" s="0">
        <v>66</v>
      </c>
      <c r="O284" s="0">
        <v>3</v>
      </c>
      <c r="P284" s="0">
        <v>7875</v>
      </c>
      <c r="Q284" s="0">
        <v>90</v>
      </c>
      <c r="R284" s="0">
        <v>0</v>
      </c>
      <c r="S284" s="0">
        <v>0</v>
      </c>
      <c r="T284" s="0">
        <v>0</v>
      </c>
      <c r="U284" s="0">
        <v>0</v>
      </c>
      <c r="V284" s="0">
        <v>0.984848485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511875</v>
      </c>
    </row>
    <row r="285" ht="14.25" customHeight="1">
      <c r="A285" s="0" t="s">
        <v>191</v>
      </c>
      <c r="B285" s="0" t="s">
        <v>192</v>
      </c>
      <c r="C285" s="0" t="s">
        <v>79</v>
      </c>
      <c r="D285" s="0" t="s">
        <v>193</v>
      </c>
      <c r="E285" s="0" t="s">
        <v>194</v>
      </c>
      <c r="F285" s="0" t="s">
        <v>195</v>
      </c>
      <c r="G285" s="0" t="s">
        <v>25</v>
      </c>
      <c r="H285" s="0">
        <v>496</v>
      </c>
      <c r="I285" s="0">
        <v>139</v>
      </c>
      <c r="J285" s="0">
        <v>100</v>
      </c>
      <c r="K285" s="0">
        <v>60</v>
      </c>
      <c r="L285" s="0">
        <v>0</v>
      </c>
      <c r="M285" s="0">
        <v>60</v>
      </c>
      <c r="N285" s="0">
        <v>0</v>
      </c>
      <c r="O285" s="0">
        <v>2</v>
      </c>
      <c r="P285" s="0">
        <v>7500</v>
      </c>
      <c r="Q285" s="0">
        <v>90</v>
      </c>
      <c r="R285" s="0">
        <v>238</v>
      </c>
      <c r="S285" s="0">
        <v>258</v>
      </c>
      <c r="T285" s="0">
        <v>10317</v>
      </c>
      <c r="U285" s="0">
        <v>21708</v>
      </c>
      <c r="V285" s="0">
        <v>0</v>
      </c>
      <c r="W285" s="0">
        <v>0.280241935</v>
      </c>
      <c r="X285" s="0">
        <v>0.71942446</v>
      </c>
      <c r="Y285" s="0">
        <v>0.6</v>
      </c>
      <c r="Z285" s="0">
        <v>496</v>
      </c>
      <c r="AA285" s="0">
        <v>0.47983871</v>
      </c>
      <c r="AB285" s="0">
        <v>39.988372093</v>
      </c>
      <c r="AC285" s="0">
        <v>455400</v>
      </c>
    </row>
    <row r="286" ht="14.25" customHeight="1">
      <c r="A286" s="0" t="s">
        <v>191</v>
      </c>
      <c r="B286" s="0" t="s">
        <v>192</v>
      </c>
      <c r="C286" s="0" t="s">
        <v>79</v>
      </c>
      <c r="D286" s="0" t="s">
        <v>193</v>
      </c>
      <c r="E286" s="0" t="s">
        <v>196</v>
      </c>
      <c r="F286" s="0" t="s">
        <v>197</v>
      </c>
      <c r="G286" s="0" t="s">
        <v>25</v>
      </c>
      <c r="H286" s="0">
        <v>0</v>
      </c>
      <c r="I286" s="0">
        <v>0</v>
      </c>
      <c r="J286" s="0">
        <v>0</v>
      </c>
      <c r="K286" s="0">
        <v>0</v>
      </c>
      <c r="L286" s="0">
        <v>58</v>
      </c>
      <c r="M286" s="0">
        <v>58</v>
      </c>
      <c r="N286" s="0">
        <v>60</v>
      </c>
      <c r="O286" s="0">
        <v>2</v>
      </c>
      <c r="P286" s="0">
        <v>7000</v>
      </c>
      <c r="Q286" s="0">
        <v>90</v>
      </c>
      <c r="R286" s="0">
        <v>0</v>
      </c>
      <c r="S286" s="0">
        <v>0</v>
      </c>
      <c r="T286" s="0">
        <v>0</v>
      </c>
      <c r="U286" s="0">
        <v>0</v>
      </c>
      <c r="V286" s="0">
        <v>0.966666667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406000</v>
      </c>
    </row>
    <row r="287" ht="14.25" customHeight="1">
      <c r="A287" s="0" t="s">
        <v>191</v>
      </c>
      <c r="B287" s="0" t="s">
        <v>192</v>
      </c>
      <c r="C287" s="0" t="s">
        <v>79</v>
      </c>
      <c r="D287" s="0" t="s">
        <v>193</v>
      </c>
      <c r="E287" s="0" t="s">
        <v>198</v>
      </c>
      <c r="F287" s="0" t="s">
        <v>197</v>
      </c>
      <c r="G287" s="0" t="s">
        <v>25</v>
      </c>
      <c r="H287" s="0">
        <v>0</v>
      </c>
      <c r="I287" s="0">
        <v>0</v>
      </c>
      <c r="J287" s="0">
        <v>0</v>
      </c>
      <c r="K287" s="0">
        <v>0</v>
      </c>
      <c r="L287" s="0">
        <v>57</v>
      </c>
      <c r="M287" s="0">
        <v>57</v>
      </c>
      <c r="N287" s="0">
        <v>58</v>
      </c>
      <c r="O287" s="0">
        <v>2</v>
      </c>
      <c r="P287" s="0">
        <v>7000</v>
      </c>
      <c r="Q287" s="0">
        <v>90</v>
      </c>
      <c r="R287" s="0">
        <v>0</v>
      </c>
      <c r="S287" s="0">
        <v>0</v>
      </c>
      <c r="T287" s="0">
        <v>0</v>
      </c>
      <c r="U287" s="0">
        <v>0</v>
      </c>
      <c r="V287" s="0">
        <v>0.982758621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399000</v>
      </c>
    </row>
    <row r="288" ht="14.25" customHeight="1">
      <c r="A288" s="0" t="s">
        <v>191</v>
      </c>
      <c r="B288" s="0" t="s">
        <v>192</v>
      </c>
      <c r="C288" s="0" t="s">
        <v>79</v>
      </c>
      <c r="D288" s="0" t="s">
        <v>199</v>
      </c>
      <c r="E288" s="0" t="s">
        <v>200</v>
      </c>
      <c r="F288" s="0" t="s">
        <v>197</v>
      </c>
      <c r="G288" s="0" t="s">
        <v>25</v>
      </c>
      <c r="H288" s="0">
        <v>1020</v>
      </c>
      <c r="I288" s="0">
        <v>204</v>
      </c>
      <c r="J288" s="0">
        <v>143</v>
      </c>
      <c r="K288" s="0">
        <v>60</v>
      </c>
      <c r="L288" s="0">
        <v>0</v>
      </c>
      <c r="M288" s="0">
        <v>60</v>
      </c>
      <c r="N288" s="0">
        <v>0</v>
      </c>
      <c r="O288" s="0">
        <v>3</v>
      </c>
      <c r="P288" s="0">
        <v>7500</v>
      </c>
      <c r="Q288" s="0">
        <v>90</v>
      </c>
      <c r="R288" s="0">
        <v>490</v>
      </c>
      <c r="S288" s="0">
        <v>530</v>
      </c>
      <c r="T288" s="0">
        <v>21216</v>
      </c>
      <c r="U288" s="0">
        <v>44641</v>
      </c>
      <c r="V288" s="0">
        <v>0</v>
      </c>
      <c r="W288" s="0">
        <v>0.2</v>
      </c>
      <c r="X288" s="0">
        <v>0.700980392</v>
      </c>
      <c r="Y288" s="0">
        <v>0.41958042</v>
      </c>
      <c r="Z288" s="0">
        <v>1020</v>
      </c>
      <c r="AA288" s="0">
        <v>0.480392157</v>
      </c>
      <c r="AB288" s="0">
        <v>40.030188679</v>
      </c>
      <c r="AC288" s="0">
        <v>455400</v>
      </c>
    </row>
    <row r="289" ht="14.25" customHeight="1">
      <c r="A289" s="0" t="s">
        <v>191</v>
      </c>
      <c r="B289" s="0" t="s">
        <v>192</v>
      </c>
      <c r="C289" s="0" t="s">
        <v>79</v>
      </c>
      <c r="D289" s="0" t="s">
        <v>199</v>
      </c>
      <c r="E289" s="0" t="s">
        <v>201</v>
      </c>
      <c r="F289" s="0" t="s">
        <v>197</v>
      </c>
      <c r="G289" s="0" t="s">
        <v>25</v>
      </c>
      <c r="H289" s="0">
        <v>0</v>
      </c>
      <c r="I289" s="0">
        <v>0</v>
      </c>
      <c r="J289" s="0">
        <v>0</v>
      </c>
      <c r="K289" s="0">
        <v>0</v>
      </c>
      <c r="L289" s="0">
        <v>59</v>
      </c>
      <c r="M289" s="0">
        <v>59</v>
      </c>
      <c r="N289" s="0">
        <v>60</v>
      </c>
      <c r="O289" s="0">
        <v>3</v>
      </c>
      <c r="P289" s="0">
        <v>7500</v>
      </c>
      <c r="Q289" s="0">
        <v>90</v>
      </c>
      <c r="R289" s="0">
        <v>0</v>
      </c>
      <c r="S289" s="0">
        <v>0</v>
      </c>
      <c r="T289" s="0">
        <v>0</v>
      </c>
      <c r="U289" s="0">
        <v>0</v>
      </c>
      <c r="V289" s="0">
        <v>0.983333333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442500</v>
      </c>
    </row>
    <row r="290" ht="14.25" customHeight="1">
      <c r="A290" s="0" t="s">
        <v>191</v>
      </c>
      <c r="B290" s="0" t="s">
        <v>192</v>
      </c>
      <c r="C290" s="0" t="s">
        <v>81</v>
      </c>
      <c r="D290" s="0" t="s">
        <v>193</v>
      </c>
      <c r="E290" s="0" t="s">
        <v>194</v>
      </c>
      <c r="F290" s="0" t="s">
        <v>195</v>
      </c>
      <c r="G290" s="0" t="s">
        <v>25</v>
      </c>
      <c r="H290" s="0">
        <v>421</v>
      </c>
      <c r="I290" s="0">
        <v>118</v>
      </c>
      <c r="J290" s="0">
        <v>85</v>
      </c>
      <c r="K290" s="0">
        <v>51</v>
      </c>
      <c r="L290" s="0">
        <v>0</v>
      </c>
      <c r="M290" s="0">
        <v>51</v>
      </c>
      <c r="N290" s="0">
        <v>0</v>
      </c>
      <c r="O290" s="0">
        <v>2</v>
      </c>
      <c r="P290" s="0">
        <v>7275</v>
      </c>
      <c r="Q290" s="0">
        <v>90</v>
      </c>
      <c r="R290" s="0">
        <v>206</v>
      </c>
      <c r="S290" s="0">
        <v>215</v>
      </c>
      <c r="T290" s="0">
        <v>8159</v>
      </c>
      <c r="U290" s="0">
        <v>18797</v>
      </c>
      <c r="V290" s="0">
        <v>0</v>
      </c>
      <c r="W290" s="0">
        <v>0.280285036</v>
      </c>
      <c r="X290" s="0">
        <v>0.720338983</v>
      </c>
      <c r="Y290" s="0">
        <v>0.6</v>
      </c>
      <c r="Z290" s="0">
        <v>421</v>
      </c>
      <c r="AA290" s="0">
        <v>0.489311164</v>
      </c>
      <c r="AB290" s="0">
        <v>37.948837209</v>
      </c>
      <c r="AC290" s="0">
        <v>375615</v>
      </c>
    </row>
    <row r="291" ht="14.25" customHeight="1">
      <c r="A291" s="0" t="s">
        <v>191</v>
      </c>
      <c r="B291" s="0" t="s">
        <v>192</v>
      </c>
      <c r="C291" s="0" t="s">
        <v>81</v>
      </c>
      <c r="D291" s="0" t="s">
        <v>193</v>
      </c>
      <c r="E291" s="0" t="s">
        <v>196</v>
      </c>
      <c r="F291" s="0" t="s">
        <v>197</v>
      </c>
      <c r="G291" s="0" t="s">
        <v>25</v>
      </c>
      <c r="H291" s="0">
        <v>0</v>
      </c>
      <c r="I291" s="0">
        <v>0</v>
      </c>
      <c r="J291" s="0">
        <v>0</v>
      </c>
      <c r="K291" s="0">
        <v>0</v>
      </c>
      <c r="L291" s="0">
        <v>49</v>
      </c>
      <c r="M291" s="0">
        <v>49</v>
      </c>
      <c r="N291" s="0">
        <v>51</v>
      </c>
      <c r="O291" s="0">
        <v>2</v>
      </c>
      <c r="P291" s="0">
        <v>6790</v>
      </c>
      <c r="Q291" s="0">
        <v>90</v>
      </c>
      <c r="R291" s="0">
        <v>0</v>
      </c>
      <c r="S291" s="0">
        <v>0</v>
      </c>
      <c r="T291" s="0">
        <v>0</v>
      </c>
      <c r="U291" s="0">
        <v>0</v>
      </c>
      <c r="V291" s="0">
        <v>0.960784314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332710</v>
      </c>
    </row>
    <row r="292" ht="14.25" customHeight="1">
      <c r="A292" s="0" t="s">
        <v>191</v>
      </c>
      <c r="B292" s="0" t="s">
        <v>192</v>
      </c>
      <c r="C292" s="0" t="s">
        <v>81</v>
      </c>
      <c r="D292" s="0" t="s">
        <v>193</v>
      </c>
      <c r="E292" s="0" t="s">
        <v>198</v>
      </c>
      <c r="F292" s="0" t="s">
        <v>197</v>
      </c>
      <c r="G292" s="0" t="s">
        <v>25</v>
      </c>
      <c r="H292" s="0">
        <v>0</v>
      </c>
      <c r="I292" s="0">
        <v>0</v>
      </c>
      <c r="J292" s="0">
        <v>0</v>
      </c>
      <c r="K292" s="0">
        <v>0</v>
      </c>
      <c r="L292" s="0">
        <v>48</v>
      </c>
      <c r="M292" s="0">
        <v>48</v>
      </c>
      <c r="N292" s="0">
        <v>49</v>
      </c>
      <c r="O292" s="0">
        <v>2</v>
      </c>
      <c r="P292" s="0">
        <v>6790</v>
      </c>
      <c r="Q292" s="0">
        <v>90</v>
      </c>
      <c r="R292" s="0">
        <v>0</v>
      </c>
      <c r="S292" s="0">
        <v>0</v>
      </c>
      <c r="T292" s="0">
        <v>0</v>
      </c>
      <c r="U292" s="0">
        <v>0</v>
      </c>
      <c r="V292" s="0">
        <v>0.979591837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325920</v>
      </c>
    </row>
    <row r="293" ht="14.25" customHeight="1">
      <c r="A293" s="0" t="s">
        <v>191</v>
      </c>
      <c r="B293" s="0" t="s">
        <v>192</v>
      </c>
      <c r="C293" s="0" t="s">
        <v>81</v>
      </c>
      <c r="D293" s="0" t="s">
        <v>199</v>
      </c>
      <c r="E293" s="0" t="s">
        <v>200</v>
      </c>
      <c r="F293" s="0" t="s">
        <v>197</v>
      </c>
      <c r="G293" s="0" t="s">
        <v>25</v>
      </c>
      <c r="H293" s="0">
        <v>865</v>
      </c>
      <c r="I293" s="0">
        <v>173</v>
      </c>
      <c r="J293" s="0">
        <v>121</v>
      </c>
      <c r="K293" s="0">
        <v>51</v>
      </c>
      <c r="L293" s="0">
        <v>0</v>
      </c>
      <c r="M293" s="0">
        <v>51</v>
      </c>
      <c r="N293" s="0">
        <v>0</v>
      </c>
      <c r="O293" s="0">
        <v>2</v>
      </c>
      <c r="P293" s="0">
        <v>7275</v>
      </c>
      <c r="Q293" s="0">
        <v>90</v>
      </c>
      <c r="R293" s="0">
        <v>424</v>
      </c>
      <c r="S293" s="0">
        <v>441</v>
      </c>
      <c r="T293" s="0">
        <v>16764</v>
      </c>
      <c r="U293" s="0">
        <v>38621</v>
      </c>
      <c r="V293" s="0">
        <v>0</v>
      </c>
      <c r="W293" s="0">
        <v>0.2</v>
      </c>
      <c r="X293" s="0">
        <v>0.699421965</v>
      </c>
      <c r="Y293" s="0">
        <v>0.421487603</v>
      </c>
      <c r="Z293" s="0">
        <v>865</v>
      </c>
      <c r="AA293" s="0">
        <v>0.49017341</v>
      </c>
      <c r="AB293" s="0">
        <v>38.013605442</v>
      </c>
      <c r="AC293" s="0">
        <v>375615</v>
      </c>
    </row>
    <row r="294" ht="14.25" customHeight="1">
      <c r="A294" s="0" t="s">
        <v>191</v>
      </c>
      <c r="B294" s="0" t="s">
        <v>192</v>
      </c>
      <c r="C294" s="0" t="s">
        <v>81</v>
      </c>
      <c r="D294" s="0" t="s">
        <v>199</v>
      </c>
      <c r="E294" s="0" t="s">
        <v>201</v>
      </c>
      <c r="F294" s="0" t="s">
        <v>197</v>
      </c>
      <c r="G294" s="0" t="s">
        <v>25</v>
      </c>
      <c r="H294" s="0">
        <v>0</v>
      </c>
      <c r="I294" s="0">
        <v>0</v>
      </c>
      <c r="J294" s="0">
        <v>0</v>
      </c>
      <c r="K294" s="0">
        <v>0</v>
      </c>
      <c r="L294" s="0">
        <v>50</v>
      </c>
      <c r="M294" s="0">
        <v>50</v>
      </c>
      <c r="N294" s="0">
        <v>51</v>
      </c>
      <c r="O294" s="0">
        <v>2</v>
      </c>
      <c r="P294" s="0">
        <v>7275</v>
      </c>
      <c r="Q294" s="0">
        <v>90</v>
      </c>
      <c r="R294" s="0">
        <v>0</v>
      </c>
      <c r="S294" s="0">
        <v>0</v>
      </c>
      <c r="T294" s="0">
        <v>0</v>
      </c>
      <c r="U294" s="0">
        <v>0</v>
      </c>
      <c r="V294" s="0">
        <v>0.980392157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363750</v>
      </c>
    </row>
    <row r="295" ht="14.25" customHeight="1">
      <c r="A295" s="0" t="s">
        <v>191</v>
      </c>
      <c r="B295" s="0" t="s">
        <v>192</v>
      </c>
      <c r="C295" s="0" t="s">
        <v>83</v>
      </c>
      <c r="D295" s="0" t="s">
        <v>202</v>
      </c>
      <c r="E295" s="0" t="s">
        <v>194</v>
      </c>
      <c r="F295" s="0" t="s">
        <v>195</v>
      </c>
      <c r="G295" s="0" t="s">
        <v>25</v>
      </c>
      <c r="H295" s="0">
        <v>596</v>
      </c>
      <c r="I295" s="0">
        <v>167</v>
      </c>
      <c r="J295" s="0">
        <v>120</v>
      </c>
      <c r="K295" s="0">
        <v>72</v>
      </c>
      <c r="L295" s="0">
        <v>0</v>
      </c>
      <c r="M295" s="0">
        <v>72</v>
      </c>
      <c r="N295" s="0">
        <v>0</v>
      </c>
      <c r="O295" s="0">
        <v>3</v>
      </c>
      <c r="P295" s="0">
        <v>8400</v>
      </c>
      <c r="Q295" s="0">
        <v>90</v>
      </c>
      <c r="R295" s="0">
        <v>226</v>
      </c>
      <c r="S295" s="0">
        <v>370</v>
      </c>
      <c r="T295" s="0">
        <v>19954</v>
      </c>
      <c r="U295" s="0">
        <v>20639</v>
      </c>
      <c r="V295" s="0">
        <v>0</v>
      </c>
      <c r="W295" s="0">
        <v>0.280201342</v>
      </c>
      <c r="X295" s="0">
        <v>0.718562874</v>
      </c>
      <c r="Y295" s="0">
        <v>0.6</v>
      </c>
      <c r="Z295" s="0">
        <v>596</v>
      </c>
      <c r="AA295" s="0">
        <v>0.379194631</v>
      </c>
      <c r="AB295" s="0">
        <v>53.92972973</v>
      </c>
      <c r="AC295" s="0">
        <v>611280</v>
      </c>
    </row>
    <row r="296" ht="14.25" customHeight="1">
      <c r="A296" s="0" t="s">
        <v>191</v>
      </c>
      <c r="B296" s="0" t="s">
        <v>192</v>
      </c>
      <c r="C296" s="0" t="s">
        <v>83</v>
      </c>
      <c r="D296" s="0" t="s">
        <v>202</v>
      </c>
      <c r="E296" s="0" t="s">
        <v>196</v>
      </c>
      <c r="F296" s="0" t="s">
        <v>197</v>
      </c>
      <c r="G296" s="0" t="s">
        <v>25</v>
      </c>
      <c r="H296" s="0">
        <v>0</v>
      </c>
      <c r="I296" s="0">
        <v>0</v>
      </c>
      <c r="J296" s="0">
        <v>0</v>
      </c>
      <c r="K296" s="0">
        <v>0</v>
      </c>
      <c r="L296" s="0">
        <v>70</v>
      </c>
      <c r="M296" s="0">
        <v>70</v>
      </c>
      <c r="N296" s="0">
        <v>72</v>
      </c>
      <c r="O296" s="0">
        <v>3</v>
      </c>
      <c r="P296" s="0">
        <v>7840</v>
      </c>
      <c r="Q296" s="0">
        <v>90</v>
      </c>
      <c r="R296" s="0">
        <v>0</v>
      </c>
      <c r="S296" s="0">
        <v>0</v>
      </c>
      <c r="T296" s="0">
        <v>0</v>
      </c>
      <c r="U296" s="0">
        <v>0</v>
      </c>
      <c r="V296" s="0">
        <v>0.972222222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548800</v>
      </c>
    </row>
    <row r="297" ht="14.25" customHeight="1">
      <c r="A297" s="0" t="s">
        <v>191</v>
      </c>
      <c r="B297" s="0" t="s">
        <v>192</v>
      </c>
      <c r="C297" s="0" t="s">
        <v>83</v>
      </c>
      <c r="D297" s="0" t="s">
        <v>202</v>
      </c>
      <c r="E297" s="0" t="s">
        <v>198</v>
      </c>
      <c r="F297" s="0" t="s">
        <v>197</v>
      </c>
      <c r="G297" s="0" t="s">
        <v>25</v>
      </c>
      <c r="H297" s="0">
        <v>0</v>
      </c>
      <c r="I297" s="0">
        <v>0</v>
      </c>
      <c r="J297" s="0">
        <v>0</v>
      </c>
      <c r="K297" s="0">
        <v>0</v>
      </c>
      <c r="L297" s="0">
        <v>69</v>
      </c>
      <c r="M297" s="0">
        <v>69</v>
      </c>
      <c r="N297" s="0">
        <v>70</v>
      </c>
      <c r="O297" s="0">
        <v>3</v>
      </c>
      <c r="P297" s="0">
        <v>7840</v>
      </c>
      <c r="Q297" s="0">
        <v>90</v>
      </c>
      <c r="R297" s="0">
        <v>0</v>
      </c>
      <c r="S297" s="0">
        <v>0</v>
      </c>
      <c r="T297" s="0">
        <v>0</v>
      </c>
      <c r="U297" s="0">
        <v>0</v>
      </c>
      <c r="V297" s="0">
        <v>0.985714286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540960</v>
      </c>
    </row>
    <row r="298" ht="14.25" customHeight="1">
      <c r="A298" s="0" t="s">
        <v>191</v>
      </c>
      <c r="B298" s="0" t="s">
        <v>192</v>
      </c>
      <c r="C298" s="0" t="s">
        <v>83</v>
      </c>
      <c r="D298" s="0" t="s">
        <v>203</v>
      </c>
      <c r="E298" s="0" t="s">
        <v>200</v>
      </c>
      <c r="F298" s="0" t="s">
        <v>197</v>
      </c>
      <c r="G298" s="0" t="s">
        <v>25</v>
      </c>
      <c r="H298" s="0">
        <v>1220</v>
      </c>
      <c r="I298" s="0">
        <v>244</v>
      </c>
      <c r="J298" s="0">
        <v>171</v>
      </c>
      <c r="K298" s="0">
        <v>72</v>
      </c>
      <c r="L298" s="0">
        <v>0</v>
      </c>
      <c r="M298" s="0">
        <v>72</v>
      </c>
      <c r="N298" s="0">
        <v>0</v>
      </c>
      <c r="O298" s="0">
        <v>3</v>
      </c>
      <c r="P298" s="0">
        <v>8400</v>
      </c>
      <c r="Q298" s="0">
        <v>90</v>
      </c>
      <c r="R298" s="0">
        <v>464</v>
      </c>
      <c r="S298" s="0">
        <v>756</v>
      </c>
      <c r="T298" s="0">
        <v>40846</v>
      </c>
      <c r="U298" s="0">
        <v>42247</v>
      </c>
      <c r="V298" s="0">
        <v>0</v>
      </c>
      <c r="W298" s="0">
        <v>0.2</v>
      </c>
      <c r="X298" s="0">
        <v>0.700819672</v>
      </c>
      <c r="Y298" s="0">
        <v>0.421052632</v>
      </c>
      <c r="Z298" s="0">
        <v>1220</v>
      </c>
      <c r="AA298" s="0">
        <v>0.380327869</v>
      </c>
      <c r="AB298" s="0">
        <v>54.029100529</v>
      </c>
      <c r="AC298" s="0">
        <v>611280</v>
      </c>
    </row>
    <row r="299" ht="14.25" customHeight="1">
      <c r="A299" s="0" t="s">
        <v>191</v>
      </c>
      <c r="B299" s="0" t="s">
        <v>192</v>
      </c>
      <c r="C299" s="0" t="s">
        <v>83</v>
      </c>
      <c r="D299" s="0" t="s">
        <v>203</v>
      </c>
      <c r="E299" s="0" t="s">
        <v>201</v>
      </c>
      <c r="F299" s="0" t="s">
        <v>197</v>
      </c>
      <c r="G299" s="0" t="s">
        <v>25</v>
      </c>
      <c r="H299" s="0">
        <v>0</v>
      </c>
      <c r="I299" s="0">
        <v>0</v>
      </c>
      <c r="J299" s="0">
        <v>0</v>
      </c>
      <c r="K299" s="0">
        <v>0</v>
      </c>
      <c r="L299" s="0">
        <v>71</v>
      </c>
      <c r="M299" s="0">
        <v>71</v>
      </c>
      <c r="N299" s="0">
        <v>72</v>
      </c>
      <c r="O299" s="0">
        <v>3</v>
      </c>
      <c r="P299" s="0">
        <v>8400</v>
      </c>
      <c r="Q299" s="0">
        <v>90</v>
      </c>
      <c r="R299" s="0">
        <v>0</v>
      </c>
      <c r="S299" s="0">
        <v>0</v>
      </c>
      <c r="T299" s="0">
        <v>0</v>
      </c>
      <c r="U299" s="0">
        <v>0</v>
      </c>
      <c r="V299" s="0">
        <v>0.986111111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596400</v>
      </c>
    </row>
    <row r="300" ht="14.25" customHeight="1">
      <c r="A300" s="0" t="s">
        <v>191</v>
      </c>
      <c r="B300" s="0" t="s">
        <v>192</v>
      </c>
      <c r="C300" s="0" t="s">
        <v>84</v>
      </c>
      <c r="D300" s="0" t="s">
        <v>202</v>
      </c>
      <c r="E300" s="0" t="s">
        <v>194</v>
      </c>
      <c r="F300" s="0" t="s">
        <v>195</v>
      </c>
      <c r="G300" s="0" t="s">
        <v>25</v>
      </c>
      <c r="H300" s="0">
        <v>411</v>
      </c>
      <c r="I300" s="0">
        <v>115</v>
      </c>
      <c r="J300" s="0">
        <v>83</v>
      </c>
      <c r="K300" s="0">
        <v>50</v>
      </c>
      <c r="L300" s="0">
        <v>0</v>
      </c>
      <c r="M300" s="0">
        <v>50</v>
      </c>
      <c r="N300" s="0">
        <v>0</v>
      </c>
      <c r="O300" s="0">
        <v>2</v>
      </c>
      <c r="P300" s="0">
        <v>7350</v>
      </c>
      <c r="Q300" s="0">
        <v>90</v>
      </c>
      <c r="R300" s="0">
        <v>205</v>
      </c>
      <c r="S300" s="0">
        <v>205</v>
      </c>
      <c r="T300" s="0">
        <v>8220</v>
      </c>
      <c r="U300" s="0">
        <v>18714</v>
      </c>
      <c r="V300" s="0">
        <v>0</v>
      </c>
      <c r="W300" s="0">
        <v>0.279805353</v>
      </c>
      <c r="X300" s="0">
        <v>0.72173913</v>
      </c>
      <c r="Y300" s="0">
        <v>0.602409639</v>
      </c>
      <c r="Z300" s="0">
        <v>410</v>
      </c>
      <c r="AA300" s="0">
        <v>0.5</v>
      </c>
      <c r="AB300" s="0">
        <v>40.097560976</v>
      </c>
      <c r="AC300" s="0">
        <v>372000</v>
      </c>
    </row>
    <row r="301" ht="14.25" customHeight="1">
      <c r="A301" s="0" t="s">
        <v>191</v>
      </c>
      <c r="B301" s="0" t="s">
        <v>192</v>
      </c>
      <c r="C301" s="0" t="s">
        <v>84</v>
      </c>
      <c r="D301" s="0" t="s">
        <v>202</v>
      </c>
      <c r="E301" s="0" t="s">
        <v>196</v>
      </c>
      <c r="F301" s="0" t="s">
        <v>197</v>
      </c>
      <c r="G301" s="0" t="s">
        <v>25</v>
      </c>
      <c r="H301" s="0">
        <v>0</v>
      </c>
      <c r="I301" s="0">
        <v>0</v>
      </c>
      <c r="J301" s="0">
        <v>0</v>
      </c>
      <c r="K301" s="0">
        <v>0</v>
      </c>
      <c r="L301" s="0">
        <v>48</v>
      </c>
      <c r="M301" s="0">
        <v>48</v>
      </c>
      <c r="N301" s="0">
        <v>50</v>
      </c>
      <c r="O301" s="0">
        <v>2</v>
      </c>
      <c r="P301" s="0">
        <v>6860</v>
      </c>
      <c r="Q301" s="0">
        <v>90</v>
      </c>
      <c r="R301" s="0">
        <v>0</v>
      </c>
      <c r="S301" s="0">
        <v>0</v>
      </c>
      <c r="T301" s="0">
        <v>0</v>
      </c>
      <c r="U301" s="0">
        <v>0</v>
      </c>
      <c r="V301" s="0">
        <v>0.96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329280</v>
      </c>
    </row>
    <row r="302" ht="14.25" customHeight="1">
      <c r="A302" s="0" t="s">
        <v>191</v>
      </c>
      <c r="B302" s="0" t="s">
        <v>192</v>
      </c>
      <c r="C302" s="0" t="s">
        <v>84</v>
      </c>
      <c r="D302" s="0" t="s">
        <v>202</v>
      </c>
      <c r="E302" s="0" t="s">
        <v>198</v>
      </c>
      <c r="F302" s="0" t="s">
        <v>197</v>
      </c>
      <c r="G302" s="0" t="s">
        <v>25</v>
      </c>
      <c r="H302" s="0">
        <v>0</v>
      </c>
      <c r="I302" s="0">
        <v>0</v>
      </c>
      <c r="J302" s="0">
        <v>0</v>
      </c>
      <c r="K302" s="0">
        <v>0</v>
      </c>
      <c r="L302" s="0">
        <v>47</v>
      </c>
      <c r="M302" s="0">
        <v>47</v>
      </c>
      <c r="N302" s="0">
        <v>48</v>
      </c>
      <c r="O302" s="0">
        <v>2</v>
      </c>
      <c r="P302" s="0">
        <v>6860</v>
      </c>
      <c r="Q302" s="0">
        <v>90</v>
      </c>
      <c r="R302" s="0">
        <v>0</v>
      </c>
      <c r="S302" s="0">
        <v>0</v>
      </c>
      <c r="T302" s="0">
        <v>0</v>
      </c>
      <c r="U302" s="0">
        <v>0</v>
      </c>
      <c r="V302" s="0">
        <v>0.979166667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322420</v>
      </c>
    </row>
    <row r="303" ht="14.25" customHeight="1">
      <c r="A303" s="0" t="s">
        <v>191</v>
      </c>
      <c r="B303" s="0" t="s">
        <v>192</v>
      </c>
      <c r="C303" s="0" t="s">
        <v>84</v>
      </c>
      <c r="D303" s="0" t="s">
        <v>203</v>
      </c>
      <c r="E303" s="0" t="s">
        <v>200</v>
      </c>
      <c r="F303" s="0" t="s">
        <v>197</v>
      </c>
      <c r="G303" s="0" t="s">
        <v>25</v>
      </c>
      <c r="H303" s="0">
        <v>850</v>
      </c>
      <c r="I303" s="0">
        <v>170</v>
      </c>
      <c r="J303" s="0">
        <v>119</v>
      </c>
      <c r="K303" s="0">
        <v>50</v>
      </c>
      <c r="L303" s="0">
        <v>0</v>
      </c>
      <c r="M303" s="0">
        <v>50</v>
      </c>
      <c r="N303" s="0">
        <v>0</v>
      </c>
      <c r="O303" s="0">
        <v>2</v>
      </c>
      <c r="P303" s="0">
        <v>7350</v>
      </c>
      <c r="Q303" s="0">
        <v>90</v>
      </c>
      <c r="R303" s="0">
        <v>425</v>
      </c>
      <c r="S303" s="0">
        <v>425</v>
      </c>
      <c r="T303" s="0">
        <v>17000</v>
      </c>
      <c r="U303" s="0">
        <v>38704</v>
      </c>
      <c r="V303" s="0">
        <v>0</v>
      </c>
      <c r="W303" s="0">
        <v>0.2</v>
      </c>
      <c r="X303" s="0">
        <v>0.7</v>
      </c>
      <c r="Y303" s="0">
        <v>0.420168067</v>
      </c>
      <c r="Z303" s="0">
        <v>850</v>
      </c>
      <c r="AA303" s="0">
        <v>0.5</v>
      </c>
      <c r="AB303" s="0">
        <v>40</v>
      </c>
      <c r="AC303" s="0">
        <v>372000</v>
      </c>
    </row>
    <row r="304" ht="14.25" customHeight="1">
      <c r="A304" s="0" t="s">
        <v>191</v>
      </c>
      <c r="B304" s="0" t="s">
        <v>192</v>
      </c>
      <c r="C304" s="0" t="s">
        <v>84</v>
      </c>
      <c r="D304" s="0" t="s">
        <v>203</v>
      </c>
      <c r="E304" s="0" t="s">
        <v>201</v>
      </c>
      <c r="F304" s="0" t="s">
        <v>197</v>
      </c>
      <c r="G304" s="0" t="s">
        <v>25</v>
      </c>
      <c r="H304" s="0">
        <v>0</v>
      </c>
      <c r="I304" s="0">
        <v>0</v>
      </c>
      <c r="J304" s="0">
        <v>0</v>
      </c>
      <c r="K304" s="0">
        <v>0</v>
      </c>
      <c r="L304" s="0">
        <v>49</v>
      </c>
      <c r="M304" s="0">
        <v>49</v>
      </c>
      <c r="N304" s="0">
        <v>50</v>
      </c>
      <c r="O304" s="0">
        <v>2</v>
      </c>
      <c r="P304" s="0">
        <v>7350</v>
      </c>
      <c r="Q304" s="0">
        <v>90</v>
      </c>
      <c r="R304" s="0">
        <v>0</v>
      </c>
      <c r="S304" s="0">
        <v>0</v>
      </c>
      <c r="T304" s="0">
        <v>0</v>
      </c>
      <c r="U304" s="0">
        <v>0</v>
      </c>
      <c r="V304" s="0">
        <v>0.98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360150</v>
      </c>
    </row>
    <row r="305" ht="14.25" customHeight="1">
      <c r="A305" s="0" t="s">
        <v>191</v>
      </c>
      <c r="B305" s="0" t="s">
        <v>192</v>
      </c>
      <c r="C305" s="0" t="s">
        <v>86</v>
      </c>
      <c r="D305" s="0" t="s">
        <v>202</v>
      </c>
      <c r="E305" s="0" t="s">
        <v>194</v>
      </c>
      <c r="F305" s="0" t="s">
        <v>195</v>
      </c>
      <c r="G305" s="0" t="s">
        <v>25</v>
      </c>
      <c r="H305" s="0">
        <v>386</v>
      </c>
      <c r="I305" s="0">
        <v>108</v>
      </c>
      <c r="J305" s="0">
        <v>78</v>
      </c>
      <c r="K305" s="0">
        <v>47</v>
      </c>
      <c r="L305" s="0">
        <v>0</v>
      </c>
      <c r="M305" s="0">
        <v>47</v>
      </c>
      <c r="N305" s="0">
        <v>0</v>
      </c>
      <c r="O305" s="0">
        <v>2</v>
      </c>
      <c r="P305" s="0">
        <v>7200</v>
      </c>
      <c r="Q305" s="0">
        <v>90</v>
      </c>
      <c r="R305" s="0">
        <v>197</v>
      </c>
      <c r="S305" s="0">
        <v>189</v>
      </c>
      <c r="T305" s="0">
        <v>7187</v>
      </c>
      <c r="U305" s="0">
        <v>17946</v>
      </c>
      <c r="V305" s="0">
        <v>0</v>
      </c>
      <c r="W305" s="0">
        <v>0.279792746</v>
      </c>
      <c r="X305" s="0">
        <v>0.722222222</v>
      </c>
      <c r="Y305" s="0">
        <v>0.602564103</v>
      </c>
      <c r="Z305" s="0">
        <v>386</v>
      </c>
      <c r="AA305" s="0">
        <v>0.510362694</v>
      </c>
      <c r="AB305" s="0">
        <v>38.026455026</v>
      </c>
      <c r="AC305" s="0">
        <v>342630</v>
      </c>
    </row>
    <row r="306" ht="14.25" customHeight="1">
      <c r="A306" s="0" t="s">
        <v>191</v>
      </c>
      <c r="B306" s="0" t="s">
        <v>192</v>
      </c>
      <c r="C306" s="0" t="s">
        <v>86</v>
      </c>
      <c r="D306" s="0" t="s">
        <v>202</v>
      </c>
      <c r="E306" s="0" t="s">
        <v>196</v>
      </c>
      <c r="F306" s="0" t="s">
        <v>197</v>
      </c>
      <c r="G306" s="0" t="s">
        <v>25</v>
      </c>
      <c r="H306" s="0">
        <v>0</v>
      </c>
      <c r="I306" s="0">
        <v>0</v>
      </c>
      <c r="J306" s="0">
        <v>0</v>
      </c>
      <c r="K306" s="0">
        <v>0</v>
      </c>
      <c r="L306" s="0">
        <v>46</v>
      </c>
      <c r="M306" s="0">
        <v>46</v>
      </c>
      <c r="N306" s="0">
        <v>47</v>
      </c>
      <c r="O306" s="0">
        <v>2</v>
      </c>
      <c r="P306" s="0">
        <v>6720</v>
      </c>
      <c r="Q306" s="0">
        <v>90</v>
      </c>
      <c r="R306" s="0">
        <v>0</v>
      </c>
      <c r="S306" s="0">
        <v>0</v>
      </c>
      <c r="T306" s="0">
        <v>0</v>
      </c>
      <c r="U306" s="0">
        <v>0</v>
      </c>
      <c r="V306" s="0">
        <v>0.978723404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309120</v>
      </c>
    </row>
    <row r="307" ht="14.25" customHeight="1">
      <c r="A307" s="0" t="s">
        <v>191</v>
      </c>
      <c r="B307" s="0" t="s">
        <v>192</v>
      </c>
      <c r="C307" s="0" t="s">
        <v>86</v>
      </c>
      <c r="D307" s="0" t="s">
        <v>202</v>
      </c>
      <c r="E307" s="0" t="s">
        <v>198</v>
      </c>
      <c r="F307" s="0" t="s">
        <v>197</v>
      </c>
      <c r="G307" s="0" t="s">
        <v>25</v>
      </c>
      <c r="H307" s="0">
        <v>0</v>
      </c>
      <c r="I307" s="0">
        <v>0</v>
      </c>
      <c r="J307" s="0">
        <v>0</v>
      </c>
      <c r="K307" s="0">
        <v>0</v>
      </c>
      <c r="L307" s="0">
        <v>45</v>
      </c>
      <c r="M307" s="0">
        <v>45</v>
      </c>
      <c r="N307" s="0">
        <v>46</v>
      </c>
      <c r="O307" s="0">
        <v>2</v>
      </c>
      <c r="P307" s="0">
        <v>6720</v>
      </c>
      <c r="Q307" s="0">
        <v>90</v>
      </c>
      <c r="R307" s="0">
        <v>0</v>
      </c>
      <c r="S307" s="0">
        <v>0</v>
      </c>
      <c r="T307" s="0">
        <v>0</v>
      </c>
      <c r="U307" s="0">
        <v>0</v>
      </c>
      <c r="V307" s="0">
        <v>0.97826087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302400</v>
      </c>
    </row>
    <row r="308" ht="14.25" customHeight="1">
      <c r="A308" s="0" t="s">
        <v>191</v>
      </c>
      <c r="B308" s="0" t="s">
        <v>192</v>
      </c>
      <c r="C308" s="0" t="s">
        <v>86</v>
      </c>
      <c r="D308" s="0" t="s">
        <v>203</v>
      </c>
      <c r="E308" s="0" t="s">
        <v>200</v>
      </c>
      <c r="F308" s="0" t="s">
        <v>197</v>
      </c>
      <c r="G308" s="0" t="s">
        <v>25</v>
      </c>
      <c r="H308" s="0">
        <v>800</v>
      </c>
      <c r="I308" s="0">
        <v>160</v>
      </c>
      <c r="J308" s="0">
        <v>112</v>
      </c>
      <c r="K308" s="0">
        <v>47</v>
      </c>
      <c r="L308" s="0">
        <v>0</v>
      </c>
      <c r="M308" s="0">
        <v>47</v>
      </c>
      <c r="N308" s="0">
        <v>0</v>
      </c>
      <c r="O308" s="0">
        <v>2</v>
      </c>
      <c r="P308" s="0">
        <v>7200</v>
      </c>
      <c r="Q308" s="0">
        <v>90</v>
      </c>
      <c r="R308" s="0">
        <v>408</v>
      </c>
      <c r="S308" s="0">
        <v>392</v>
      </c>
      <c r="T308" s="0">
        <v>14896</v>
      </c>
      <c r="U308" s="0">
        <v>37193</v>
      </c>
      <c r="V308" s="0">
        <v>0</v>
      </c>
      <c r="W308" s="0">
        <v>0.2</v>
      </c>
      <c r="X308" s="0">
        <v>0.7</v>
      </c>
      <c r="Y308" s="0">
        <v>0.419642857</v>
      </c>
      <c r="Z308" s="0">
        <v>800</v>
      </c>
      <c r="AA308" s="0">
        <v>0.51</v>
      </c>
      <c r="AB308" s="0">
        <v>38</v>
      </c>
      <c r="AC308" s="0">
        <v>342630</v>
      </c>
    </row>
    <row r="309" ht="14.25" customHeight="1">
      <c r="A309" s="0" t="s">
        <v>191</v>
      </c>
      <c r="B309" s="0" t="s">
        <v>192</v>
      </c>
      <c r="C309" s="0" t="s">
        <v>86</v>
      </c>
      <c r="D309" s="0" t="s">
        <v>203</v>
      </c>
      <c r="E309" s="0" t="s">
        <v>201</v>
      </c>
      <c r="F309" s="0" t="s">
        <v>197</v>
      </c>
      <c r="G309" s="0" t="s">
        <v>25</v>
      </c>
      <c r="H309" s="0">
        <v>0</v>
      </c>
      <c r="I309" s="0">
        <v>0</v>
      </c>
      <c r="J309" s="0">
        <v>0</v>
      </c>
      <c r="K309" s="0">
        <v>0</v>
      </c>
      <c r="L309" s="0">
        <v>46</v>
      </c>
      <c r="M309" s="0">
        <v>46</v>
      </c>
      <c r="N309" s="0">
        <v>47</v>
      </c>
      <c r="O309" s="0">
        <v>2</v>
      </c>
      <c r="P309" s="0">
        <v>7200</v>
      </c>
      <c r="Q309" s="0">
        <v>90</v>
      </c>
      <c r="R309" s="0">
        <v>0</v>
      </c>
      <c r="S309" s="0">
        <v>0</v>
      </c>
      <c r="T309" s="0">
        <v>0</v>
      </c>
      <c r="U309" s="0">
        <v>0</v>
      </c>
      <c r="V309" s="0">
        <v>0.978723404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331200</v>
      </c>
    </row>
    <row r="310" ht="14.25" customHeight="1">
      <c r="A310" s="0" t="s">
        <v>191</v>
      </c>
      <c r="B310" s="0" t="s">
        <v>192</v>
      </c>
      <c r="C310" s="0" t="s">
        <v>88</v>
      </c>
      <c r="D310" s="0" t="s">
        <v>204</v>
      </c>
      <c r="E310" s="0" t="s">
        <v>194</v>
      </c>
      <c r="F310" s="0" t="s">
        <v>197</v>
      </c>
      <c r="G310" s="0" t="s">
        <v>25</v>
      </c>
      <c r="H310" s="0">
        <v>850</v>
      </c>
      <c r="I310" s="0">
        <v>170</v>
      </c>
      <c r="J310" s="0">
        <v>119</v>
      </c>
      <c r="K310" s="0">
        <v>50</v>
      </c>
      <c r="L310" s="0">
        <v>0</v>
      </c>
      <c r="M310" s="0">
        <v>50</v>
      </c>
      <c r="N310" s="0">
        <v>0</v>
      </c>
      <c r="O310" s="0">
        <v>2</v>
      </c>
      <c r="P310" s="0">
        <v>7000</v>
      </c>
      <c r="Q310" s="0">
        <v>90</v>
      </c>
      <c r="R310" s="0">
        <v>306</v>
      </c>
      <c r="S310" s="0">
        <v>544</v>
      </c>
      <c r="T310" s="0">
        <v>21760</v>
      </c>
      <c r="U310" s="0">
        <v>27889</v>
      </c>
      <c r="V310" s="0">
        <v>0</v>
      </c>
      <c r="W310" s="0">
        <v>0.2</v>
      </c>
      <c r="X310" s="0">
        <v>0.7</v>
      </c>
      <c r="Y310" s="0">
        <v>0.420168067</v>
      </c>
      <c r="Z310" s="0">
        <v>850</v>
      </c>
      <c r="AA310" s="0">
        <v>0.36</v>
      </c>
      <c r="AB310" s="0">
        <v>40</v>
      </c>
      <c r="AC310" s="0">
        <v>354500</v>
      </c>
    </row>
    <row r="311" ht="14.25" customHeight="1">
      <c r="A311" s="0" t="s">
        <v>191</v>
      </c>
      <c r="B311" s="0" t="s">
        <v>192</v>
      </c>
      <c r="C311" s="0" t="s">
        <v>88</v>
      </c>
      <c r="D311" s="0" t="s">
        <v>204</v>
      </c>
      <c r="E311" s="0" t="s">
        <v>196</v>
      </c>
      <c r="F311" s="0" t="s">
        <v>197</v>
      </c>
      <c r="G311" s="0" t="s">
        <v>25</v>
      </c>
      <c r="H311" s="0">
        <v>0</v>
      </c>
      <c r="I311" s="0">
        <v>0</v>
      </c>
      <c r="J311" s="0">
        <v>0</v>
      </c>
      <c r="K311" s="0">
        <v>0</v>
      </c>
      <c r="L311" s="0">
        <v>48</v>
      </c>
      <c r="M311" s="0">
        <v>48</v>
      </c>
      <c r="N311" s="0">
        <v>50</v>
      </c>
      <c r="O311" s="0">
        <v>2</v>
      </c>
      <c r="P311" s="0">
        <v>7000</v>
      </c>
      <c r="Q311" s="0">
        <v>90</v>
      </c>
      <c r="R311" s="0">
        <v>0</v>
      </c>
      <c r="S311" s="0">
        <v>0</v>
      </c>
      <c r="T311" s="0">
        <v>0</v>
      </c>
      <c r="U311" s="0">
        <v>0</v>
      </c>
      <c r="V311" s="0">
        <v>0.96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336000</v>
      </c>
    </row>
    <row r="312" ht="14.25" customHeight="1">
      <c r="A312" s="0" t="s">
        <v>191</v>
      </c>
      <c r="B312" s="0" t="s">
        <v>192</v>
      </c>
      <c r="C312" s="0" t="s">
        <v>88</v>
      </c>
      <c r="D312" s="0" t="s">
        <v>204</v>
      </c>
      <c r="E312" s="0" t="s">
        <v>198</v>
      </c>
      <c r="F312" s="0" t="s">
        <v>197</v>
      </c>
      <c r="G312" s="0" t="s">
        <v>25</v>
      </c>
      <c r="H312" s="0">
        <v>0</v>
      </c>
      <c r="I312" s="0">
        <v>0</v>
      </c>
      <c r="J312" s="0">
        <v>0</v>
      </c>
      <c r="K312" s="0">
        <v>0</v>
      </c>
      <c r="L312" s="0">
        <v>47</v>
      </c>
      <c r="M312" s="0">
        <v>47</v>
      </c>
      <c r="N312" s="0">
        <v>48</v>
      </c>
      <c r="O312" s="0">
        <v>2</v>
      </c>
      <c r="P312" s="0">
        <v>7000</v>
      </c>
      <c r="Q312" s="0">
        <v>90</v>
      </c>
      <c r="R312" s="0">
        <v>0</v>
      </c>
      <c r="S312" s="0">
        <v>0</v>
      </c>
      <c r="T312" s="0">
        <v>0</v>
      </c>
      <c r="U312" s="0">
        <v>0</v>
      </c>
      <c r="V312" s="0">
        <v>0.979166667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329000</v>
      </c>
    </row>
    <row r="313" ht="14.25" customHeight="1">
      <c r="A313" s="0" t="s">
        <v>191</v>
      </c>
      <c r="B313" s="0" t="s">
        <v>192</v>
      </c>
      <c r="C313" s="0" t="s">
        <v>90</v>
      </c>
      <c r="D313" s="0" t="s">
        <v>204</v>
      </c>
      <c r="E313" s="0" t="s">
        <v>194</v>
      </c>
      <c r="F313" s="0" t="s">
        <v>197</v>
      </c>
      <c r="G313" s="0" t="s">
        <v>25</v>
      </c>
      <c r="H313" s="0">
        <v>680</v>
      </c>
      <c r="I313" s="0">
        <v>136</v>
      </c>
      <c r="J313" s="0">
        <v>95</v>
      </c>
      <c r="K313" s="0">
        <v>40</v>
      </c>
      <c r="L313" s="0">
        <v>0</v>
      </c>
      <c r="M313" s="0">
        <v>40</v>
      </c>
      <c r="N313" s="0">
        <v>0</v>
      </c>
      <c r="O313" s="0">
        <v>2</v>
      </c>
      <c r="P313" s="0">
        <v>6650</v>
      </c>
      <c r="Q313" s="0">
        <v>90</v>
      </c>
      <c r="R313" s="0">
        <v>265</v>
      </c>
      <c r="S313" s="0">
        <v>415</v>
      </c>
      <c r="T313" s="0">
        <v>14933</v>
      </c>
      <c r="U313" s="0">
        <v>24152</v>
      </c>
      <c r="V313" s="0">
        <v>0</v>
      </c>
      <c r="W313" s="0">
        <v>0.2</v>
      </c>
      <c r="X313" s="0">
        <v>0.698529412</v>
      </c>
      <c r="Y313" s="0">
        <v>0.421052632</v>
      </c>
      <c r="Z313" s="0">
        <v>680</v>
      </c>
      <c r="AA313" s="0">
        <v>0.389705882</v>
      </c>
      <c r="AB313" s="0">
        <v>35.98313253</v>
      </c>
      <c r="AC313" s="0">
        <v>269600</v>
      </c>
    </row>
    <row r="314" ht="14.25" customHeight="1">
      <c r="A314" s="0" t="s">
        <v>191</v>
      </c>
      <c r="B314" s="0" t="s">
        <v>192</v>
      </c>
      <c r="C314" s="0" t="s">
        <v>90</v>
      </c>
      <c r="D314" s="0" t="s">
        <v>204</v>
      </c>
      <c r="E314" s="0" t="s">
        <v>196</v>
      </c>
      <c r="F314" s="0" t="s">
        <v>197</v>
      </c>
      <c r="G314" s="0" t="s">
        <v>25</v>
      </c>
      <c r="H314" s="0">
        <v>0</v>
      </c>
      <c r="I314" s="0">
        <v>0</v>
      </c>
      <c r="J314" s="0">
        <v>0</v>
      </c>
      <c r="K314" s="0">
        <v>0</v>
      </c>
      <c r="L314" s="0">
        <v>39</v>
      </c>
      <c r="M314" s="0">
        <v>39</v>
      </c>
      <c r="N314" s="0">
        <v>40</v>
      </c>
      <c r="O314" s="0">
        <v>2</v>
      </c>
      <c r="P314" s="0">
        <v>6650</v>
      </c>
      <c r="Q314" s="0">
        <v>90</v>
      </c>
      <c r="R314" s="0">
        <v>0</v>
      </c>
      <c r="S314" s="0">
        <v>0</v>
      </c>
      <c r="T314" s="0">
        <v>0</v>
      </c>
      <c r="U314" s="0">
        <v>0</v>
      </c>
      <c r="V314" s="0">
        <v>0.975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259350</v>
      </c>
    </row>
    <row r="315" ht="14.25" customHeight="1">
      <c r="A315" s="0" t="s">
        <v>191</v>
      </c>
      <c r="B315" s="0" t="s">
        <v>192</v>
      </c>
      <c r="C315" s="0" t="s">
        <v>90</v>
      </c>
      <c r="D315" s="0" t="s">
        <v>204</v>
      </c>
      <c r="E315" s="0" t="s">
        <v>198</v>
      </c>
      <c r="F315" s="0" t="s">
        <v>197</v>
      </c>
      <c r="G315" s="0" t="s">
        <v>25</v>
      </c>
      <c r="H315" s="0">
        <v>0</v>
      </c>
      <c r="I315" s="0">
        <v>0</v>
      </c>
      <c r="J315" s="0">
        <v>0</v>
      </c>
      <c r="K315" s="0">
        <v>0</v>
      </c>
      <c r="L315" s="0">
        <v>38</v>
      </c>
      <c r="M315" s="0">
        <v>38</v>
      </c>
      <c r="N315" s="0">
        <v>39</v>
      </c>
      <c r="O315" s="0">
        <v>2</v>
      </c>
      <c r="P315" s="0">
        <v>6650</v>
      </c>
      <c r="Q315" s="0">
        <v>90</v>
      </c>
      <c r="R315" s="0">
        <v>0</v>
      </c>
      <c r="S315" s="0">
        <v>0</v>
      </c>
      <c r="T315" s="0">
        <v>0</v>
      </c>
      <c r="U315" s="0">
        <v>0</v>
      </c>
      <c r="V315" s="0">
        <v>0.974358974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252700</v>
      </c>
    </row>
    <row r="316" ht="14.25" customHeight="1">
      <c r="A316" s="0" t="s">
        <v>191</v>
      </c>
      <c r="B316" s="0" t="s">
        <v>192</v>
      </c>
      <c r="C316" s="0" t="s">
        <v>92</v>
      </c>
      <c r="D316" s="0" t="s">
        <v>204</v>
      </c>
      <c r="E316" s="0" t="s">
        <v>194</v>
      </c>
      <c r="F316" s="0" t="s">
        <v>197</v>
      </c>
      <c r="G316" s="0" t="s">
        <v>25</v>
      </c>
      <c r="H316" s="0">
        <v>680</v>
      </c>
      <c r="I316" s="0">
        <v>136</v>
      </c>
      <c r="J316" s="0">
        <v>95</v>
      </c>
      <c r="K316" s="0">
        <v>40</v>
      </c>
      <c r="L316" s="0">
        <v>0</v>
      </c>
      <c r="M316" s="0">
        <v>40</v>
      </c>
      <c r="N316" s="0">
        <v>0</v>
      </c>
      <c r="O316" s="0">
        <v>2</v>
      </c>
      <c r="P316" s="0">
        <v>6650</v>
      </c>
      <c r="Q316" s="0">
        <v>90</v>
      </c>
      <c r="R316" s="0">
        <v>258</v>
      </c>
      <c r="S316" s="0">
        <v>422</v>
      </c>
      <c r="T316" s="0">
        <v>15178</v>
      </c>
      <c r="U316" s="0">
        <v>23514</v>
      </c>
      <c r="V316" s="0">
        <v>0</v>
      </c>
      <c r="W316" s="0">
        <v>0.2</v>
      </c>
      <c r="X316" s="0">
        <v>0.698529412</v>
      </c>
      <c r="Y316" s="0">
        <v>0.421052632</v>
      </c>
      <c r="Z316" s="0">
        <v>680</v>
      </c>
      <c r="AA316" s="0">
        <v>0.379411765</v>
      </c>
      <c r="AB316" s="0">
        <v>35.966824645</v>
      </c>
      <c r="AC316" s="0">
        <v>269600</v>
      </c>
    </row>
    <row r="317" ht="14.25" customHeight="1">
      <c r="A317" s="0" t="s">
        <v>191</v>
      </c>
      <c r="B317" s="0" t="s">
        <v>192</v>
      </c>
      <c r="C317" s="0" t="s">
        <v>92</v>
      </c>
      <c r="D317" s="0" t="s">
        <v>204</v>
      </c>
      <c r="E317" s="0" t="s">
        <v>196</v>
      </c>
      <c r="F317" s="0" t="s">
        <v>197</v>
      </c>
      <c r="G317" s="0" t="s">
        <v>25</v>
      </c>
      <c r="H317" s="0">
        <v>0</v>
      </c>
      <c r="I317" s="0">
        <v>0</v>
      </c>
      <c r="J317" s="0">
        <v>0</v>
      </c>
      <c r="K317" s="0">
        <v>0</v>
      </c>
      <c r="L317" s="0">
        <v>39</v>
      </c>
      <c r="M317" s="0">
        <v>39</v>
      </c>
      <c r="N317" s="0">
        <v>40</v>
      </c>
      <c r="O317" s="0">
        <v>2</v>
      </c>
      <c r="P317" s="0">
        <v>6650</v>
      </c>
      <c r="Q317" s="0">
        <v>90</v>
      </c>
      <c r="R317" s="0">
        <v>0</v>
      </c>
      <c r="S317" s="0">
        <v>0</v>
      </c>
      <c r="T317" s="0">
        <v>0</v>
      </c>
      <c r="U317" s="0">
        <v>0</v>
      </c>
      <c r="V317" s="0">
        <v>0.975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259350</v>
      </c>
    </row>
    <row r="318" ht="14.25" customHeight="1">
      <c r="A318" s="0" t="s">
        <v>191</v>
      </c>
      <c r="B318" s="0" t="s">
        <v>192</v>
      </c>
      <c r="C318" s="0" t="s">
        <v>92</v>
      </c>
      <c r="D318" s="0" t="s">
        <v>204</v>
      </c>
      <c r="E318" s="0" t="s">
        <v>198</v>
      </c>
      <c r="F318" s="0" t="s">
        <v>197</v>
      </c>
      <c r="G318" s="0" t="s">
        <v>25</v>
      </c>
      <c r="H318" s="0">
        <v>0</v>
      </c>
      <c r="I318" s="0">
        <v>0</v>
      </c>
      <c r="J318" s="0">
        <v>0</v>
      </c>
      <c r="K318" s="0">
        <v>0</v>
      </c>
      <c r="L318" s="0">
        <v>38</v>
      </c>
      <c r="M318" s="0">
        <v>38</v>
      </c>
      <c r="N318" s="0">
        <v>39</v>
      </c>
      <c r="O318" s="0">
        <v>2</v>
      </c>
      <c r="P318" s="0">
        <v>6650</v>
      </c>
      <c r="Q318" s="0">
        <v>90</v>
      </c>
      <c r="R318" s="0">
        <v>0</v>
      </c>
      <c r="S318" s="0">
        <v>0</v>
      </c>
      <c r="T318" s="0">
        <v>0</v>
      </c>
      <c r="U318" s="0">
        <v>0</v>
      </c>
      <c r="V318" s="0">
        <v>0.974358974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252700</v>
      </c>
    </row>
    <row r="319" ht="14.25" customHeight="1">
      <c r="A319" s="0" t="s">
        <v>191</v>
      </c>
      <c r="B319" s="0" t="s">
        <v>192</v>
      </c>
      <c r="C319" s="0" t="s">
        <v>94</v>
      </c>
      <c r="D319" s="0" t="s">
        <v>205</v>
      </c>
      <c r="E319" s="0" t="s">
        <v>206</v>
      </c>
      <c r="F319" s="0" t="s">
        <v>197</v>
      </c>
      <c r="G319" s="0" t="s">
        <v>25</v>
      </c>
      <c r="H319" s="0">
        <v>785</v>
      </c>
      <c r="I319" s="0">
        <v>157</v>
      </c>
      <c r="J319" s="0">
        <v>110</v>
      </c>
      <c r="K319" s="0">
        <v>46</v>
      </c>
      <c r="L319" s="0">
        <v>0</v>
      </c>
      <c r="M319" s="0">
        <v>46</v>
      </c>
      <c r="N319" s="0">
        <v>0</v>
      </c>
      <c r="O319" s="0">
        <v>2</v>
      </c>
      <c r="P319" s="0">
        <v>6300</v>
      </c>
      <c r="Q319" s="0">
        <v>90</v>
      </c>
      <c r="R319" s="0">
        <v>369</v>
      </c>
      <c r="S319" s="0">
        <v>416</v>
      </c>
      <c r="T319" s="0">
        <v>18306</v>
      </c>
      <c r="U319" s="0">
        <v>33630</v>
      </c>
      <c r="V319" s="0">
        <v>0</v>
      </c>
      <c r="W319" s="0">
        <v>0.2</v>
      </c>
      <c r="X319" s="0">
        <v>0.700636943</v>
      </c>
      <c r="Y319" s="0">
        <v>0.418181818</v>
      </c>
      <c r="Z319" s="0">
        <v>785</v>
      </c>
      <c r="AA319" s="0">
        <v>0.470063694</v>
      </c>
      <c r="AB319" s="0">
        <v>44.004807692</v>
      </c>
      <c r="AC319" s="0">
        <v>293940</v>
      </c>
    </row>
    <row r="320" ht="14.25" customHeight="1">
      <c r="A320" s="0" t="s">
        <v>191</v>
      </c>
      <c r="B320" s="0" t="s">
        <v>192</v>
      </c>
      <c r="C320" s="0" t="s">
        <v>94</v>
      </c>
      <c r="D320" s="0" t="s">
        <v>205</v>
      </c>
      <c r="E320" s="0" t="s">
        <v>207</v>
      </c>
      <c r="F320" s="0" t="s">
        <v>197</v>
      </c>
      <c r="G320" s="0" t="s">
        <v>25</v>
      </c>
      <c r="H320" s="0">
        <v>0</v>
      </c>
      <c r="I320" s="0">
        <v>0</v>
      </c>
      <c r="J320" s="0">
        <v>0</v>
      </c>
      <c r="K320" s="0">
        <v>0</v>
      </c>
      <c r="L320" s="0">
        <v>45</v>
      </c>
      <c r="M320" s="0">
        <v>45</v>
      </c>
      <c r="N320" s="0">
        <v>46</v>
      </c>
      <c r="O320" s="0">
        <v>2</v>
      </c>
      <c r="P320" s="0">
        <v>6300</v>
      </c>
      <c r="Q320" s="0">
        <v>90</v>
      </c>
      <c r="R320" s="0">
        <v>0</v>
      </c>
      <c r="S320" s="0">
        <v>0</v>
      </c>
      <c r="T320" s="0">
        <v>0</v>
      </c>
      <c r="U320" s="0">
        <v>0</v>
      </c>
      <c r="V320" s="0">
        <v>0.97826087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283500</v>
      </c>
    </row>
    <row r="321" ht="14.25" customHeight="1">
      <c r="A321" s="0" t="s">
        <v>191</v>
      </c>
      <c r="B321" s="0" t="s">
        <v>192</v>
      </c>
      <c r="C321" s="0" t="s">
        <v>94</v>
      </c>
      <c r="D321" s="0" t="s">
        <v>208</v>
      </c>
      <c r="E321" s="0" t="s">
        <v>194</v>
      </c>
      <c r="F321" s="0" t="s">
        <v>197</v>
      </c>
      <c r="G321" s="0" t="s">
        <v>25</v>
      </c>
      <c r="H321" s="0">
        <v>785</v>
      </c>
      <c r="I321" s="0">
        <v>157</v>
      </c>
      <c r="J321" s="0">
        <v>110</v>
      </c>
      <c r="K321" s="0">
        <v>46</v>
      </c>
      <c r="L321" s="0">
        <v>0</v>
      </c>
      <c r="M321" s="0">
        <v>46</v>
      </c>
      <c r="N321" s="0">
        <v>0</v>
      </c>
      <c r="O321" s="0">
        <v>2</v>
      </c>
      <c r="P321" s="0">
        <v>7350</v>
      </c>
      <c r="Q321" s="0">
        <v>90</v>
      </c>
      <c r="R321" s="0">
        <v>369</v>
      </c>
      <c r="S321" s="0">
        <v>416</v>
      </c>
      <c r="T321" s="0">
        <v>18306</v>
      </c>
      <c r="U321" s="0">
        <v>33631</v>
      </c>
      <c r="V321" s="0">
        <v>0</v>
      </c>
      <c r="W321" s="0">
        <v>0.2</v>
      </c>
      <c r="X321" s="0">
        <v>0.700636943</v>
      </c>
      <c r="Y321" s="0">
        <v>0.418181818</v>
      </c>
      <c r="Z321" s="0">
        <v>785</v>
      </c>
      <c r="AA321" s="0">
        <v>0.470063694</v>
      </c>
      <c r="AB321" s="0">
        <v>44.004807692</v>
      </c>
      <c r="AC321" s="0">
        <v>342240</v>
      </c>
    </row>
    <row r="322" ht="14.25" customHeight="1">
      <c r="A322" s="0" t="s">
        <v>191</v>
      </c>
      <c r="B322" s="0" t="s">
        <v>192</v>
      </c>
      <c r="C322" s="0" t="s">
        <v>94</v>
      </c>
      <c r="D322" s="0" t="s">
        <v>208</v>
      </c>
      <c r="E322" s="0" t="s">
        <v>198</v>
      </c>
      <c r="F322" s="0" t="s">
        <v>197</v>
      </c>
      <c r="G322" s="0" t="s">
        <v>25</v>
      </c>
      <c r="H322" s="0">
        <v>0</v>
      </c>
      <c r="I322" s="0">
        <v>0</v>
      </c>
      <c r="J322" s="0">
        <v>0</v>
      </c>
      <c r="K322" s="0">
        <v>0</v>
      </c>
      <c r="L322" s="0">
        <v>45</v>
      </c>
      <c r="M322" s="0">
        <v>45</v>
      </c>
      <c r="N322" s="0">
        <v>46</v>
      </c>
      <c r="O322" s="0">
        <v>2</v>
      </c>
      <c r="P322" s="0">
        <v>7350</v>
      </c>
      <c r="Q322" s="0">
        <v>90</v>
      </c>
      <c r="R322" s="0">
        <v>0</v>
      </c>
      <c r="S322" s="0">
        <v>0</v>
      </c>
      <c r="T322" s="0">
        <v>0</v>
      </c>
      <c r="U322" s="0">
        <v>0</v>
      </c>
      <c r="V322" s="0">
        <v>0.97826087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330750</v>
      </c>
    </row>
    <row r="323" ht="14.25" customHeight="1">
      <c r="A323" s="0" t="s">
        <v>191</v>
      </c>
      <c r="B323" s="0" t="s">
        <v>192</v>
      </c>
      <c r="C323" s="0" t="s">
        <v>95</v>
      </c>
      <c r="D323" s="0" t="s">
        <v>205</v>
      </c>
      <c r="E323" s="0" t="s">
        <v>206</v>
      </c>
      <c r="F323" s="0" t="s">
        <v>197</v>
      </c>
      <c r="G323" s="0" t="s">
        <v>25</v>
      </c>
      <c r="H323" s="0">
        <v>615</v>
      </c>
      <c r="I323" s="0">
        <v>123</v>
      </c>
      <c r="J323" s="0">
        <v>86</v>
      </c>
      <c r="K323" s="0">
        <v>36</v>
      </c>
      <c r="L323" s="0">
        <v>0</v>
      </c>
      <c r="M323" s="0">
        <v>36</v>
      </c>
      <c r="N323" s="0">
        <v>0</v>
      </c>
      <c r="O323" s="0">
        <v>2</v>
      </c>
      <c r="P323" s="0">
        <v>5820</v>
      </c>
      <c r="Q323" s="0">
        <v>90</v>
      </c>
      <c r="R323" s="0">
        <v>326</v>
      </c>
      <c r="S323" s="0">
        <v>289</v>
      </c>
      <c r="T323" s="0">
        <v>10984</v>
      </c>
      <c r="U323" s="0">
        <v>29712</v>
      </c>
      <c r="V323" s="0">
        <v>0</v>
      </c>
      <c r="W323" s="0">
        <v>0.2</v>
      </c>
      <c r="X323" s="0">
        <v>0.699186992</v>
      </c>
      <c r="Y323" s="0">
        <v>0.418604651</v>
      </c>
      <c r="Z323" s="0">
        <v>615</v>
      </c>
      <c r="AA323" s="0">
        <v>0.530081301</v>
      </c>
      <c r="AB323" s="0">
        <v>38.006920415</v>
      </c>
      <c r="AC323" s="0">
        <v>212760</v>
      </c>
    </row>
    <row r="324" ht="14.25" customHeight="1">
      <c r="A324" s="0" t="s">
        <v>191</v>
      </c>
      <c r="B324" s="0" t="s">
        <v>192</v>
      </c>
      <c r="C324" s="0" t="s">
        <v>95</v>
      </c>
      <c r="D324" s="0" t="s">
        <v>205</v>
      </c>
      <c r="E324" s="0" t="s">
        <v>207</v>
      </c>
      <c r="F324" s="0" t="s">
        <v>197</v>
      </c>
      <c r="G324" s="0" t="s">
        <v>25</v>
      </c>
      <c r="H324" s="0">
        <v>0</v>
      </c>
      <c r="I324" s="0">
        <v>0</v>
      </c>
      <c r="J324" s="0">
        <v>0</v>
      </c>
      <c r="K324" s="0">
        <v>0</v>
      </c>
      <c r="L324" s="0">
        <v>35</v>
      </c>
      <c r="M324" s="0">
        <v>35</v>
      </c>
      <c r="N324" s="0">
        <v>36</v>
      </c>
      <c r="O324" s="0">
        <v>2</v>
      </c>
      <c r="P324" s="0">
        <v>5820</v>
      </c>
      <c r="Q324" s="0">
        <v>90</v>
      </c>
      <c r="R324" s="0">
        <v>0</v>
      </c>
      <c r="S324" s="0">
        <v>0</v>
      </c>
      <c r="T324" s="0">
        <v>0</v>
      </c>
      <c r="U324" s="0">
        <v>0</v>
      </c>
      <c r="V324" s="0">
        <v>0.972222222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203700</v>
      </c>
    </row>
    <row r="325" ht="14.25" customHeight="1">
      <c r="A325" s="0" t="s">
        <v>191</v>
      </c>
      <c r="B325" s="0" t="s">
        <v>192</v>
      </c>
      <c r="C325" s="0" t="s">
        <v>95</v>
      </c>
      <c r="D325" s="0" t="s">
        <v>208</v>
      </c>
      <c r="E325" s="0" t="s">
        <v>194</v>
      </c>
      <c r="F325" s="0" t="s">
        <v>197</v>
      </c>
      <c r="G325" s="0" t="s">
        <v>25</v>
      </c>
      <c r="H325" s="0">
        <v>615</v>
      </c>
      <c r="I325" s="0">
        <v>123</v>
      </c>
      <c r="J325" s="0">
        <v>86</v>
      </c>
      <c r="K325" s="0">
        <v>36</v>
      </c>
      <c r="L325" s="0">
        <v>0</v>
      </c>
      <c r="M325" s="0">
        <v>36</v>
      </c>
      <c r="N325" s="0">
        <v>0</v>
      </c>
      <c r="O325" s="0">
        <v>2</v>
      </c>
      <c r="P325" s="0">
        <v>6790</v>
      </c>
      <c r="Q325" s="0">
        <v>90</v>
      </c>
      <c r="R325" s="0">
        <v>326</v>
      </c>
      <c r="S325" s="0">
        <v>289</v>
      </c>
      <c r="T325" s="0">
        <v>10984</v>
      </c>
      <c r="U325" s="0">
        <v>29711</v>
      </c>
      <c r="V325" s="0">
        <v>0</v>
      </c>
      <c r="W325" s="0">
        <v>0.2</v>
      </c>
      <c r="X325" s="0">
        <v>0.699186992</v>
      </c>
      <c r="Y325" s="0">
        <v>0.418604651</v>
      </c>
      <c r="Z325" s="0">
        <v>615</v>
      </c>
      <c r="AA325" s="0">
        <v>0.530081301</v>
      </c>
      <c r="AB325" s="0">
        <v>38.006920415</v>
      </c>
      <c r="AC325" s="0">
        <v>247680</v>
      </c>
    </row>
    <row r="326" ht="14.25" customHeight="1">
      <c r="A326" s="0" t="s">
        <v>191</v>
      </c>
      <c r="B326" s="0" t="s">
        <v>192</v>
      </c>
      <c r="C326" s="0" t="s">
        <v>95</v>
      </c>
      <c r="D326" s="0" t="s">
        <v>208</v>
      </c>
      <c r="E326" s="0" t="s">
        <v>198</v>
      </c>
      <c r="F326" s="0" t="s">
        <v>197</v>
      </c>
      <c r="G326" s="0" t="s">
        <v>25</v>
      </c>
      <c r="H326" s="0">
        <v>0</v>
      </c>
      <c r="I326" s="0">
        <v>0</v>
      </c>
      <c r="J326" s="0">
        <v>0</v>
      </c>
      <c r="K326" s="0">
        <v>0</v>
      </c>
      <c r="L326" s="0">
        <v>35</v>
      </c>
      <c r="M326" s="0">
        <v>35</v>
      </c>
      <c r="N326" s="0">
        <v>36</v>
      </c>
      <c r="O326" s="0">
        <v>2</v>
      </c>
      <c r="P326" s="0">
        <v>6790</v>
      </c>
      <c r="Q326" s="0">
        <v>90</v>
      </c>
      <c r="R326" s="0">
        <v>0</v>
      </c>
      <c r="S326" s="0">
        <v>0</v>
      </c>
      <c r="T326" s="0">
        <v>0</v>
      </c>
      <c r="U326" s="0">
        <v>0</v>
      </c>
      <c r="V326" s="0">
        <v>0.972222222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237650</v>
      </c>
    </row>
    <row r="327" ht="14.25" customHeight="1">
      <c r="A327" s="0" t="s">
        <v>191</v>
      </c>
      <c r="B327" s="0" t="s">
        <v>192</v>
      </c>
      <c r="C327" s="0" t="s">
        <v>96</v>
      </c>
      <c r="D327" s="0" t="s">
        <v>209</v>
      </c>
      <c r="E327" s="0" t="s">
        <v>194</v>
      </c>
      <c r="F327" s="0" t="s">
        <v>197</v>
      </c>
      <c r="G327" s="0" t="s">
        <v>25</v>
      </c>
      <c r="H327" s="0">
        <v>800</v>
      </c>
      <c r="I327" s="0">
        <v>160</v>
      </c>
      <c r="J327" s="0">
        <v>112</v>
      </c>
      <c r="K327" s="0">
        <v>47</v>
      </c>
      <c r="L327" s="0">
        <v>0</v>
      </c>
      <c r="M327" s="0">
        <v>47</v>
      </c>
      <c r="N327" s="0">
        <v>0</v>
      </c>
      <c r="O327" s="0">
        <v>2</v>
      </c>
      <c r="P327" s="0">
        <v>7840</v>
      </c>
      <c r="Q327" s="0">
        <v>90</v>
      </c>
      <c r="R327" s="0">
        <v>240</v>
      </c>
      <c r="S327" s="0">
        <v>560</v>
      </c>
      <c r="T327" s="0">
        <v>30240</v>
      </c>
      <c r="U327" s="0">
        <v>21873</v>
      </c>
      <c r="V327" s="0">
        <v>0</v>
      </c>
      <c r="W327" s="0">
        <v>0.2</v>
      </c>
      <c r="X327" s="0">
        <v>0.7</v>
      </c>
      <c r="Y327" s="0">
        <v>0.419642857</v>
      </c>
      <c r="Z327" s="0">
        <v>800</v>
      </c>
      <c r="AA327" s="0">
        <v>0.3</v>
      </c>
      <c r="AB327" s="0">
        <v>54</v>
      </c>
      <c r="AC327" s="0">
        <v>372710</v>
      </c>
    </row>
    <row r="328" ht="14.25" customHeight="1">
      <c r="A328" s="0" t="s">
        <v>191</v>
      </c>
      <c r="B328" s="0" t="s">
        <v>192</v>
      </c>
      <c r="C328" s="0" t="s">
        <v>96</v>
      </c>
      <c r="D328" s="0" t="s">
        <v>209</v>
      </c>
      <c r="E328" s="0" t="s">
        <v>196</v>
      </c>
      <c r="F328" s="0" t="s">
        <v>197</v>
      </c>
      <c r="G328" s="0" t="s">
        <v>25</v>
      </c>
      <c r="H328" s="0">
        <v>0</v>
      </c>
      <c r="I328" s="0">
        <v>0</v>
      </c>
      <c r="J328" s="0">
        <v>0</v>
      </c>
      <c r="K328" s="0">
        <v>0</v>
      </c>
      <c r="L328" s="0">
        <v>46</v>
      </c>
      <c r="M328" s="0">
        <v>46</v>
      </c>
      <c r="N328" s="0">
        <v>47</v>
      </c>
      <c r="O328" s="0">
        <v>2</v>
      </c>
      <c r="P328" s="0">
        <v>7840</v>
      </c>
      <c r="Q328" s="0">
        <v>90</v>
      </c>
      <c r="R328" s="0">
        <v>0</v>
      </c>
      <c r="S328" s="0">
        <v>0</v>
      </c>
      <c r="T328" s="0">
        <v>0</v>
      </c>
      <c r="U328" s="0">
        <v>0</v>
      </c>
      <c r="V328" s="0">
        <v>0.978723404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360640</v>
      </c>
    </row>
    <row r="329" ht="14.25" customHeight="1">
      <c r="A329" s="0" t="s">
        <v>191</v>
      </c>
      <c r="B329" s="0" t="s">
        <v>192</v>
      </c>
      <c r="C329" s="0" t="s">
        <v>96</v>
      </c>
      <c r="D329" s="0" t="s">
        <v>209</v>
      </c>
      <c r="E329" s="0" t="s">
        <v>198</v>
      </c>
      <c r="F329" s="0" t="s">
        <v>197</v>
      </c>
      <c r="G329" s="0" t="s">
        <v>25</v>
      </c>
      <c r="H329" s="0">
        <v>0</v>
      </c>
      <c r="I329" s="0">
        <v>0</v>
      </c>
      <c r="J329" s="0">
        <v>0</v>
      </c>
      <c r="K329" s="0">
        <v>0</v>
      </c>
      <c r="L329" s="0">
        <v>45</v>
      </c>
      <c r="M329" s="0">
        <v>45</v>
      </c>
      <c r="N329" s="0">
        <v>46</v>
      </c>
      <c r="O329" s="0">
        <v>2</v>
      </c>
      <c r="P329" s="0">
        <v>7840</v>
      </c>
      <c r="Q329" s="0">
        <v>90</v>
      </c>
      <c r="R329" s="0">
        <v>0</v>
      </c>
      <c r="S329" s="0">
        <v>0</v>
      </c>
      <c r="T329" s="0">
        <v>0</v>
      </c>
      <c r="U329" s="0">
        <v>0</v>
      </c>
      <c r="V329" s="0">
        <v>0.97826087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352800</v>
      </c>
    </row>
    <row r="330" ht="14.25" customHeight="1">
      <c r="A330" s="0" t="s">
        <v>191</v>
      </c>
      <c r="B330" s="0" t="s">
        <v>192</v>
      </c>
      <c r="C330" s="0" t="s">
        <v>97</v>
      </c>
      <c r="D330" s="0" t="s">
        <v>209</v>
      </c>
      <c r="E330" s="0" t="s">
        <v>194</v>
      </c>
      <c r="F330" s="0" t="s">
        <v>197</v>
      </c>
      <c r="G330" s="0" t="s">
        <v>25</v>
      </c>
      <c r="H330" s="0">
        <v>680</v>
      </c>
      <c r="I330" s="0">
        <v>136</v>
      </c>
      <c r="J330" s="0">
        <v>95</v>
      </c>
      <c r="K330" s="0">
        <v>40</v>
      </c>
      <c r="L330" s="0">
        <v>0</v>
      </c>
      <c r="M330" s="0">
        <v>40</v>
      </c>
      <c r="N330" s="0">
        <v>0</v>
      </c>
      <c r="O330" s="0">
        <v>2</v>
      </c>
      <c r="P330" s="0">
        <v>7350</v>
      </c>
      <c r="Q330" s="0">
        <v>90</v>
      </c>
      <c r="R330" s="0">
        <v>252</v>
      </c>
      <c r="S330" s="0">
        <v>428</v>
      </c>
      <c r="T330" s="0">
        <v>18850</v>
      </c>
      <c r="U330" s="0">
        <v>22967</v>
      </c>
      <c r="V330" s="0">
        <v>0</v>
      </c>
      <c r="W330" s="0">
        <v>0.2</v>
      </c>
      <c r="X330" s="0">
        <v>0.698529412</v>
      </c>
      <c r="Y330" s="0">
        <v>0.421052632</v>
      </c>
      <c r="Z330" s="0">
        <v>680</v>
      </c>
      <c r="AA330" s="0">
        <v>0.370588235</v>
      </c>
      <c r="AB330" s="0">
        <v>44.042056075</v>
      </c>
      <c r="AC330" s="0">
        <v>297600</v>
      </c>
    </row>
    <row r="331" ht="14.25" customHeight="1">
      <c r="A331" s="0" t="s">
        <v>191</v>
      </c>
      <c r="B331" s="0" t="s">
        <v>192</v>
      </c>
      <c r="C331" s="0" t="s">
        <v>97</v>
      </c>
      <c r="D331" s="0" t="s">
        <v>209</v>
      </c>
      <c r="E331" s="0" t="s">
        <v>196</v>
      </c>
      <c r="F331" s="0" t="s">
        <v>197</v>
      </c>
      <c r="G331" s="0" t="s">
        <v>25</v>
      </c>
      <c r="H331" s="0">
        <v>0</v>
      </c>
      <c r="I331" s="0">
        <v>0</v>
      </c>
      <c r="J331" s="0">
        <v>0</v>
      </c>
      <c r="K331" s="0">
        <v>0</v>
      </c>
      <c r="L331" s="0">
        <v>39</v>
      </c>
      <c r="M331" s="0">
        <v>39</v>
      </c>
      <c r="N331" s="0">
        <v>40</v>
      </c>
      <c r="O331" s="0">
        <v>2</v>
      </c>
      <c r="P331" s="0">
        <v>7350</v>
      </c>
      <c r="Q331" s="0">
        <v>90</v>
      </c>
      <c r="R331" s="0">
        <v>0</v>
      </c>
      <c r="S331" s="0">
        <v>0</v>
      </c>
      <c r="T331" s="0">
        <v>0</v>
      </c>
      <c r="U331" s="0">
        <v>0</v>
      </c>
      <c r="V331" s="0">
        <v>0.975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286650</v>
      </c>
    </row>
    <row r="332" ht="14.25" customHeight="1">
      <c r="A332" s="0" t="s">
        <v>191</v>
      </c>
      <c r="B332" s="0" t="s">
        <v>192</v>
      </c>
      <c r="C332" s="0" t="s">
        <v>97</v>
      </c>
      <c r="D332" s="0" t="s">
        <v>209</v>
      </c>
      <c r="E332" s="0" t="s">
        <v>198</v>
      </c>
      <c r="F332" s="0" t="s">
        <v>197</v>
      </c>
      <c r="G332" s="0" t="s">
        <v>25</v>
      </c>
      <c r="H332" s="0">
        <v>0</v>
      </c>
      <c r="I332" s="0">
        <v>0</v>
      </c>
      <c r="J332" s="0">
        <v>0</v>
      </c>
      <c r="K332" s="0">
        <v>0</v>
      </c>
      <c r="L332" s="0">
        <v>38</v>
      </c>
      <c r="M332" s="0">
        <v>38</v>
      </c>
      <c r="N332" s="0">
        <v>39</v>
      </c>
      <c r="O332" s="0">
        <v>2</v>
      </c>
      <c r="P332" s="0">
        <v>7350</v>
      </c>
      <c r="Q332" s="0">
        <v>90</v>
      </c>
      <c r="R332" s="0">
        <v>0</v>
      </c>
      <c r="S332" s="0">
        <v>0</v>
      </c>
      <c r="T332" s="0">
        <v>0</v>
      </c>
      <c r="U332" s="0">
        <v>0</v>
      </c>
      <c r="V332" s="0">
        <v>0.974358974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279300</v>
      </c>
    </row>
    <row r="333" ht="14.25" customHeight="1">
      <c r="A333" s="0" t="s">
        <v>191</v>
      </c>
      <c r="B333" s="0" t="s">
        <v>192</v>
      </c>
      <c r="C333" s="0" t="s">
        <v>75</v>
      </c>
      <c r="D333" s="0" t="s">
        <v>193</v>
      </c>
      <c r="E333" s="0" t="s">
        <v>194</v>
      </c>
      <c r="F333" s="0" t="s">
        <v>195</v>
      </c>
      <c r="G333" s="0" t="s">
        <v>210</v>
      </c>
      <c r="H333" s="0">
        <v>609</v>
      </c>
      <c r="I333" s="0">
        <v>171</v>
      </c>
      <c r="J333" s="0">
        <v>123</v>
      </c>
      <c r="K333" s="0">
        <v>74</v>
      </c>
      <c r="L333" s="0">
        <v>0</v>
      </c>
      <c r="M333" s="0">
        <v>74</v>
      </c>
      <c r="N333" s="0">
        <v>0</v>
      </c>
      <c r="O333" s="0">
        <v>3</v>
      </c>
      <c r="P333" s="0">
        <v>8400</v>
      </c>
      <c r="Q333" s="0">
        <v>90</v>
      </c>
      <c r="R333" s="0">
        <v>217</v>
      </c>
      <c r="S333" s="0">
        <v>396</v>
      </c>
      <c r="T333" s="0">
        <v>20296</v>
      </c>
      <c r="U333" s="0">
        <v>17007</v>
      </c>
      <c r="V333" s="0">
        <v>0</v>
      </c>
      <c r="W333" s="0">
        <v>0.280788177</v>
      </c>
      <c r="X333" s="0">
        <v>0.719298246</v>
      </c>
      <c r="Y333" s="0">
        <v>0.601626016</v>
      </c>
      <c r="Z333" s="0">
        <v>613</v>
      </c>
      <c r="AA333" s="0">
        <v>0.353996737</v>
      </c>
      <c r="AB333" s="0">
        <v>51.252525253</v>
      </c>
      <c r="AC333" s="0">
        <v>628260</v>
      </c>
    </row>
    <row r="334" ht="14.25" customHeight="1">
      <c r="A334" s="0" t="s">
        <v>191</v>
      </c>
      <c r="B334" s="0" t="s">
        <v>192</v>
      </c>
      <c r="C334" s="0" t="s">
        <v>75</v>
      </c>
      <c r="D334" s="0" t="s">
        <v>193</v>
      </c>
      <c r="E334" s="0" t="s">
        <v>196</v>
      </c>
      <c r="F334" s="0" t="s">
        <v>197</v>
      </c>
      <c r="G334" s="0" t="s">
        <v>210</v>
      </c>
      <c r="H334" s="0">
        <v>0</v>
      </c>
      <c r="I334" s="0">
        <v>0</v>
      </c>
      <c r="J334" s="0">
        <v>0</v>
      </c>
      <c r="K334" s="0">
        <v>0</v>
      </c>
      <c r="L334" s="0">
        <v>72</v>
      </c>
      <c r="M334" s="0">
        <v>72</v>
      </c>
      <c r="N334" s="0">
        <v>74</v>
      </c>
      <c r="O334" s="0">
        <v>3</v>
      </c>
      <c r="P334" s="0">
        <v>7840</v>
      </c>
      <c r="Q334" s="0">
        <v>90</v>
      </c>
      <c r="R334" s="0">
        <v>0</v>
      </c>
      <c r="S334" s="0">
        <v>0</v>
      </c>
      <c r="T334" s="0">
        <v>0</v>
      </c>
      <c r="U334" s="0">
        <v>0</v>
      </c>
      <c r="V334" s="0">
        <v>0.972972973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564480</v>
      </c>
    </row>
    <row r="335" ht="14.25" customHeight="1">
      <c r="A335" s="0" t="s">
        <v>191</v>
      </c>
      <c r="B335" s="0" t="s">
        <v>192</v>
      </c>
      <c r="C335" s="0" t="s">
        <v>75</v>
      </c>
      <c r="D335" s="0" t="s">
        <v>193</v>
      </c>
      <c r="E335" s="0" t="s">
        <v>198</v>
      </c>
      <c r="F335" s="0" t="s">
        <v>197</v>
      </c>
      <c r="G335" s="0" t="s">
        <v>210</v>
      </c>
      <c r="H335" s="0">
        <v>0</v>
      </c>
      <c r="I335" s="0">
        <v>0</v>
      </c>
      <c r="J335" s="0">
        <v>0</v>
      </c>
      <c r="K335" s="0">
        <v>0</v>
      </c>
      <c r="L335" s="0">
        <v>70</v>
      </c>
      <c r="M335" s="0">
        <v>70</v>
      </c>
      <c r="N335" s="0">
        <v>72</v>
      </c>
      <c r="O335" s="0">
        <v>3</v>
      </c>
      <c r="P335" s="0">
        <v>7840</v>
      </c>
      <c r="Q335" s="0">
        <v>90</v>
      </c>
      <c r="R335" s="0">
        <v>0</v>
      </c>
      <c r="S335" s="0">
        <v>0</v>
      </c>
      <c r="T335" s="0">
        <v>0</v>
      </c>
      <c r="U335" s="0">
        <v>0</v>
      </c>
      <c r="V335" s="0">
        <v>0.972222222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548800</v>
      </c>
    </row>
    <row r="336" ht="14.25" customHeight="1">
      <c r="A336" s="0" t="s">
        <v>191</v>
      </c>
      <c r="B336" s="0" t="s">
        <v>192</v>
      </c>
      <c r="C336" s="0" t="s">
        <v>75</v>
      </c>
      <c r="D336" s="0" t="s">
        <v>199</v>
      </c>
      <c r="E336" s="0" t="s">
        <v>200</v>
      </c>
      <c r="F336" s="0" t="s">
        <v>197</v>
      </c>
      <c r="G336" s="0" t="s">
        <v>210</v>
      </c>
      <c r="H336" s="0">
        <v>1255</v>
      </c>
      <c r="I336" s="0">
        <v>251</v>
      </c>
      <c r="J336" s="0">
        <v>175</v>
      </c>
      <c r="K336" s="0">
        <v>74</v>
      </c>
      <c r="L336" s="0">
        <v>0</v>
      </c>
      <c r="M336" s="0">
        <v>74</v>
      </c>
      <c r="N336" s="0">
        <v>0</v>
      </c>
      <c r="O336" s="0">
        <v>3</v>
      </c>
      <c r="P336" s="0">
        <v>8400</v>
      </c>
      <c r="Q336" s="0">
        <v>90</v>
      </c>
      <c r="R336" s="0">
        <v>448</v>
      </c>
      <c r="S336" s="0">
        <v>814</v>
      </c>
      <c r="T336" s="0">
        <v>41786</v>
      </c>
      <c r="U336" s="0">
        <v>35013</v>
      </c>
      <c r="V336" s="0">
        <v>0</v>
      </c>
      <c r="W336" s="0">
        <v>0.2</v>
      </c>
      <c r="X336" s="0">
        <v>0.697211155</v>
      </c>
      <c r="Y336" s="0">
        <v>0.422857143</v>
      </c>
      <c r="Z336" s="0">
        <v>1262</v>
      </c>
      <c r="AA336" s="0">
        <v>0.354992076</v>
      </c>
      <c r="AB336" s="0">
        <v>51.334152334</v>
      </c>
      <c r="AC336" s="0">
        <v>628260</v>
      </c>
    </row>
    <row r="337" ht="14.25" customHeight="1">
      <c r="A337" s="0" t="s">
        <v>191</v>
      </c>
      <c r="B337" s="0" t="s">
        <v>192</v>
      </c>
      <c r="C337" s="0" t="s">
        <v>75</v>
      </c>
      <c r="D337" s="0" t="s">
        <v>199</v>
      </c>
      <c r="E337" s="0" t="s">
        <v>201</v>
      </c>
      <c r="F337" s="0" t="s">
        <v>197</v>
      </c>
      <c r="G337" s="0" t="s">
        <v>210</v>
      </c>
      <c r="H337" s="0">
        <v>0</v>
      </c>
      <c r="I337" s="0">
        <v>0</v>
      </c>
      <c r="J337" s="0">
        <v>0</v>
      </c>
      <c r="K337" s="0">
        <v>0</v>
      </c>
      <c r="L337" s="0">
        <v>72</v>
      </c>
      <c r="M337" s="0">
        <v>72</v>
      </c>
      <c r="N337" s="0">
        <v>74</v>
      </c>
      <c r="O337" s="0">
        <v>3</v>
      </c>
      <c r="P337" s="0">
        <v>8400</v>
      </c>
      <c r="Q337" s="0">
        <v>90</v>
      </c>
      <c r="R337" s="0">
        <v>0</v>
      </c>
      <c r="S337" s="0">
        <v>0</v>
      </c>
      <c r="T337" s="0">
        <v>0</v>
      </c>
      <c r="U337" s="0">
        <v>0</v>
      </c>
      <c r="V337" s="0">
        <v>0.972972973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604800</v>
      </c>
    </row>
    <row r="338" ht="14.25" customHeight="1">
      <c r="A338" s="0" t="s">
        <v>191</v>
      </c>
      <c r="B338" s="0" t="s">
        <v>192</v>
      </c>
      <c r="C338" s="0" t="s">
        <v>77</v>
      </c>
      <c r="D338" s="0" t="s">
        <v>193</v>
      </c>
      <c r="E338" s="0" t="s">
        <v>194</v>
      </c>
      <c r="F338" s="0" t="s">
        <v>195</v>
      </c>
      <c r="G338" s="0" t="s">
        <v>210</v>
      </c>
      <c r="H338" s="0">
        <v>515</v>
      </c>
      <c r="I338" s="0">
        <v>144</v>
      </c>
      <c r="J338" s="0">
        <v>104</v>
      </c>
      <c r="K338" s="0">
        <v>62</v>
      </c>
      <c r="L338" s="0">
        <v>0</v>
      </c>
      <c r="M338" s="0">
        <v>62</v>
      </c>
      <c r="N338" s="0">
        <v>0</v>
      </c>
      <c r="O338" s="0">
        <v>3</v>
      </c>
      <c r="P338" s="0">
        <v>7875</v>
      </c>
      <c r="Q338" s="0">
        <v>90</v>
      </c>
      <c r="R338" s="0">
        <v>220</v>
      </c>
      <c r="S338" s="0">
        <v>297</v>
      </c>
      <c r="T338" s="0">
        <v>12449</v>
      </c>
      <c r="U338" s="0">
        <v>17411</v>
      </c>
      <c r="V338" s="0">
        <v>0</v>
      </c>
      <c r="W338" s="0">
        <v>0.27961165</v>
      </c>
      <c r="X338" s="0">
        <v>0.722222222</v>
      </c>
      <c r="Y338" s="0">
        <v>0.596153846</v>
      </c>
      <c r="Z338" s="0">
        <v>517</v>
      </c>
      <c r="AA338" s="0">
        <v>0.425531915</v>
      </c>
      <c r="AB338" s="0">
        <v>41.915824916</v>
      </c>
      <c r="AC338" s="0">
        <v>493830</v>
      </c>
    </row>
    <row r="339" ht="14.25" customHeight="1">
      <c r="A339" s="0" t="s">
        <v>191</v>
      </c>
      <c r="B339" s="0" t="s">
        <v>192</v>
      </c>
      <c r="C339" s="0" t="s">
        <v>77</v>
      </c>
      <c r="D339" s="0" t="s">
        <v>193</v>
      </c>
      <c r="E339" s="0" t="s">
        <v>196</v>
      </c>
      <c r="F339" s="0" t="s">
        <v>197</v>
      </c>
      <c r="G339" s="0" t="s">
        <v>210</v>
      </c>
      <c r="H339" s="0">
        <v>0</v>
      </c>
      <c r="I339" s="0">
        <v>0</v>
      </c>
      <c r="J339" s="0">
        <v>0</v>
      </c>
      <c r="K339" s="0">
        <v>0</v>
      </c>
      <c r="L339" s="0">
        <v>60</v>
      </c>
      <c r="M339" s="0">
        <v>60</v>
      </c>
      <c r="N339" s="0">
        <v>62</v>
      </c>
      <c r="O339" s="0">
        <v>2</v>
      </c>
      <c r="P339" s="0">
        <v>7350</v>
      </c>
      <c r="Q339" s="0">
        <v>90</v>
      </c>
      <c r="R339" s="0">
        <v>0</v>
      </c>
      <c r="S339" s="0">
        <v>0</v>
      </c>
      <c r="T339" s="0">
        <v>0</v>
      </c>
      <c r="U339" s="0">
        <v>0</v>
      </c>
      <c r="V339" s="0">
        <v>0.967741935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441000</v>
      </c>
    </row>
    <row r="340" ht="14.25" customHeight="1">
      <c r="A340" s="0" t="s">
        <v>191</v>
      </c>
      <c r="B340" s="0" t="s">
        <v>192</v>
      </c>
      <c r="C340" s="0" t="s">
        <v>77</v>
      </c>
      <c r="D340" s="0" t="s">
        <v>193</v>
      </c>
      <c r="E340" s="0" t="s">
        <v>198</v>
      </c>
      <c r="F340" s="0" t="s">
        <v>197</v>
      </c>
      <c r="G340" s="0" t="s">
        <v>210</v>
      </c>
      <c r="H340" s="0">
        <v>0</v>
      </c>
      <c r="I340" s="0">
        <v>0</v>
      </c>
      <c r="J340" s="0">
        <v>0</v>
      </c>
      <c r="K340" s="0">
        <v>0</v>
      </c>
      <c r="L340" s="0">
        <v>59</v>
      </c>
      <c r="M340" s="0">
        <v>59</v>
      </c>
      <c r="N340" s="0">
        <v>60</v>
      </c>
      <c r="O340" s="0">
        <v>2</v>
      </c>
      <c r="P340" s="0">
        <v>7350</v>
      </c>
      <c r="Q340" s="0">
        <v>90</v>
      </c>
      <c r="R340" s="0">
        <v>0</v>
      </c>
      <c r="S340" s="0">
        <v>0</v>
      </c>
      <c r="T340" s="0">
        <v>0</v>
      </c>
      <c r="U340" s="0">
        <v>0</v>
      </c>
      <c r="V340" s="0">
        <v>0.983333333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433650</v>
      </c>
    </row>
    <row r="341" ht="14.25" customHeight="1">
      <c r="A341" s="0" t="s">
        <v>191</v>
      </c>
      <c r="B341" s="0" t="s">
        <v>192</v>
      </c>
      <c r="C341" s="0" t="s">
        <v>77</v>
      </c>
      <c r="D341" s="0" t="s">
        <v>199</v>
      </c>
      <c r="E341" s="0" t="s">
        <v>200</v>
      </c>
      <c r="F341" s="0" t="s">
        <v>197</v>
      </c>
      <c r="G341" s="0" t="s">
        <v>210</v>
      </c>
      <c r="H341" s="0">
        <v>1057</v>
      </c>
      <c r="I341" s="0">
        <v>211</v>
      </c>
      <c r="J341" s="0">
        <v>148</v>
      </c>
      <c r="K341" s="0">
        <v>62</v>
      </c>
      <c r="L341" s="0">
        <v>0</v>
      </c>
      <c r="M341" s="0">
        <v>62</v>
      </c>
      <c r="N341" s="0">
        <v>0</v>
      </c>
      <c r="O341" s="0">
        <v>3</v>
      </c>
      <c r="P341" s="0">
        <v>7875</v>
      </c>
      <c r="Q341" s="0">
        <v>90</v>
      </c>
      <c r="R341" s="0">
        <v>450</v>
      </c>
      <c r="S341" s="0">
        <v>608</v>
      </c>
      <c r="T341" s="0">
        <v>25536</v>
      </c>
      <c r="U341" s="0">
        <v>35714</v>
      </c>
      <c r="V341" s="0">
        <v>0</v>
      </c>
      <c r="W341" s="0">
        <v>0.19962157</v>
      </c>
      <c r="X341" s="0">
        <v>0.701421801</v>
      </c>
      <c r="Y341" s="0">
        <v>0.418918919</v>
      </c>
      <c r="Z341" s="0">
        <v>1058</v>
      </c>
      <c r="AA341" s="0">
        <v>0.425330813</v>
      </c>
      <c r="AB341" s="0">
        <v>42</v>
      </c>
      <c r="AC341" s="0">
        <v>493830</v>
      </c>
    </row>
    <row r="342" ht="14.25" customHeight="1">
      <c r="A342" s="0" t="s">
        <v>191</v>
      </c>
      <c r="B342" s="0" t="s">
        <v>192</v>
      </c>
      <c r="C342" s="0" t="s">
        <v>77</v>
      </c>
      <c r="D342" s="0" t="s">
        <v>199</v>
      </c>
      <c r="E342" s="0" t="s">
        <v>201</v>
      </c>
      <c r="F342" s="0" t="s">
        <v>197</v>
      </c>
      <c r="G342" s="0" t="s">
        <v>210</v>
      </c>
      <c r="H342" s="0">
        <v>0</v>
      </c>
      <c r="I342" s="0">
        <v>0</v>
      </c>
      <c r="J342" s="0">
        <v>0</v>
      </c>
      <c r="K342" s="0">
        <v>0</v>
      </c>
      <c r="L342" s="0">
        <v>61</v>
      </c>
      <c r="M342" s="0">
        <v>61</v>
      </c>
      <c r="N342" s="0">
        <v>62</v>
      </c>
      <c r="O342" s="0">
        <v>3</v>
      </c>
      <c r="P342" s="0">
        <v>7875</v>
      </c>
      <c r="Q342" s="0">
        <v>90</v>
      </c>
      <c r="R342" s="0">
        <v>0</v>
      </c>
      <c r="S342" s="0">
        <v>0</v>
      </c>
      <c r="T342" s="0">
        <v>0</v>
      </c>
      <c r="U342" s="0">
        <v>0</v>
      </c>
      <c r="V342" s="0">
        <v>0.983870968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480375</v>
      </c>
    </row>
    <row r="343" ht="14.25" customHeight="1">
      <c r="A343" s="0" t="s">
        <v>191</v>
      </c>
      <c r="B343" s="0" t="s">
        <v>192</v>
      </c>
      <c r="C343" s="0" t="s">
        <v>79</v>
      </c>
      <c r="D343" s="0" t="s">
        <v>193</v>
      </c>
      <c r="E343" s="0" t="s">
        <v>194</v>
      </c>
      <c r="F343" s="0" t="s">
        <v>195</v>
      </c>
      <c r="G343" s="0" t="s">
        <v>210</v>
      </c>
      <c r="H343" s="0">
        <v>468</v>
      </c>
      <c r="I343" s="0">
        <v>131</v>
      </c>
      <c r="J343" s="0">
        <v>94</v>
      </c>
      <c r="K343" s="0">
        <v>57</v>
      </c>
      <c r="L343" s="0">
        <v>0</v>
      </c>
      <c r="M343" s="0">
        <v>57</v>
      </c>
      <c r="N343" s="0">
        <v>0</v>
      </c>
      <c r="O343" s="0">
        <v>2</v>
      </c>
      <c r="P343" s="0">
        <v>7500</v>
      </c>
      <c r="Q343" s="0">
        <v>90</v>
      </c>
      <c r="R343" s="0">
        <v>222</v>
      </c>
      <c r="S343" s="0">
        <v>245</v>
      </c>
      <c r="T343" s="0">
        <v>9379</v>
      </c>
      <c r="U343" s="0">
        <v>17832</v>
      </c>
      <c r="V343" s="0">
        <v>0</v>
      </c>
      <c r="W343" s="0">
        <v>0.27991453</v>
      </c>
      <c r="X343" s="0">
        <v>0.717557252</v>
      </c>
      <c r="Y343" s="0">
        <v>0.606382979</v>
      </c>
      <c r="Z343" s="0">
        <v>467</v>
      </c>
      <c r="AA343" s="0">
        <v>0.475374732</v>
      </c>
      <c r="AB343" s="0">
        <v>38.281632653</v>
      </c>
      <c r="AC343" s="0">
        <v>432630</v>
      </c>
    </row>
    <row r="344" ht="14.25" customHeight="1">
      <c r="A344" s="0" t="s">
        <v>191</v>
      </c>
      <c r="B344" s="0" t="s">
        <v>192</v>
      </c>
      <c r="C344" s="0" t="s">
        <v>79</v>
      </c>
      <c r="D344" s="0" t="s">
        <v>193</v>
      </c>
      <c r="E344" s="0" t="s">
        <v>196</v>
      </c>
      <c r="F344" s="0" t="s">
        <v>197</v>
      </c>
      <c r="G344" s="0" t="s">
        <v>210</v>
      </c>
      <c r="H344" s="0">
        <v>0</v>
      </c>
      <c r="I344" s="0">
        <v>0</v>
      </c>
      <c r="J344" s="0">
        <v>0</v>
      </c>
      <c r="K344" s="0">
        <v>0</v>
      </c>
      <c r="L344" s="0">
        <v>55</v>
      </c>
      <c r="M344" s="0">
        <v>55</v>
      </c>
      <c r="N344" s="0">
        <v>57</v>
      </c>
      <c r="O344" s="0">
        <v>2</v>
      </c>
      <c r="P344" s="0">
        <v>7000</v>
      </c>
      <c r="Q344" s="0">
        <v>90</v>
      </c>
      <c r="R344" s="0">
        <v>0</v>
      </c>
      <c r="S344" s="0">
        <v>0</v>
      </c>
      <c r="T344" s="0">
        <v>0</v>
      </c>
      <c r="U344" s="0">
        <v>0</v>
      </c>
      <c r="V344" s="0">
        <v>0.964912281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385000</v>
      </c>
    </row>
    <row r="345" ht="14.25" customHeight="1">
      <c r="A345" s="0" t="s">
        <v>191</v>
      </c>
      <c r="B345" s="0" t="s">
        <v>192</v>
      </c>
      <c r="C345" s="0" t="s">
        <v>79</v>
      </c>
      <c r="D345" s="0" t="s">
        <v>193</v>
      </c>
      <c r="E345" s="0" t="s">
        <v>198</v>
      </c>
      <c r="F345" s="0" t="s">
        <v>197</v>
      </c>
      <c r="G345" s="0" t="s">
        <v>210</v>
      </c>
      <c r="H345" s="0">
        <v>0</v>
      </c>
      <c r="I345" s="0">
        <v>0</v>
      </c>
      <c r="J345" s="0">
        <v>0</v>
      </c>
      <c r="K345" s="0">
        <v>0</v>
      </c>
      <c r="L345" s="0">
        <v>54</v>
      </c>
      <c r="M345" s="0">
        <v>54</v>
      </c>
      <c r="N345" s="0">
        <v>55</v>
      </c>
      <c r="O345" s="0">
        <v>2</v>
      </c>
      <c r="P345" s="0">
        <v>7000</v>
      </c>
      <c r="Q345" s="0">
        <v>90</v>
      </c>
      <c r="R345" s="0">
        <v>0</v>
      </c>
      <c r="S345" s="0">
        <v>0</v>
      </c>
      <c r="T345" s="0">
        <v>0</v>
      </c>
      <c r="U345" s="0">
        <v>0</v>
      </c>
      <c r="V345" s="0">
        <v>0.981818182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378000</v>
      </c>
    </row>
    <row r="346" ht="14.25" customHeight="1">
      <c r="A346" s="0" t="s">
        <v>191</v>
      </c>
      <c r="B346" s="0" t="s">
        <v>192</v>
      </c>
      <c r="C346" s="0" t="s">
        <v>79</v>
      </c>
      <c r="D346" s="0" t="s">
        <v>199</v>
      </c>
      <c r="E346" s="0" t="s">
        <v>200</v>
      </c>
      <c r="F346" s="0" t="s">
        <v>197</v>
      </c>
      <c r="G346" s="0" t="s">
        <v>210</v>
      </c>
      <c r="H346" s="0">
        <v>962</v>
      </c>
      <c r="I346" s="0">
        <v>192</v>
      </c>
      <c r="J346" s="0">
        <v>135</v>
      </c>
      <c r="K346" s="0">
        <v>57</v>
      </c>
      <c r="L346" s="0">
        <v>0</v>
      </c>
      <c r="M346" s="0">
        <v>57</v>
      </c>
      <c r="N346" s="0">
        <v>0</v>
      </c>
      <c r="O346" s="0">
        <v>3</v>
      </c>
      <c r="P346" s="0">
        <v>7500</v>
      </c>
      <c r="Q346" s="0">
        <v>90</v>
      </c>
      <c r="R346" s="0">
        <v>458</v>
      </c>
      <c r="S346" s="0">
        <v>504</v>
      </c>
      <c r="T346" s="0">
        <v>19287</v>
      </c>
      <c r="U346" s="0">
        <v>36670</v>
      </c>
      <c r="V346" s="0">
        <v>0</v>
      </c>
      <c r="W346" s="0">
        <v>0.1995842</v>
      </c>
      <c r="X346" s="0">
        <v>0.703125</v>
      </c>
      <c r="Y346" s="0">
        <v>0.422222222</v>
      </c>
      <c r="Z346" s="0">
        <v>962</v>
      </c>
      <c r="AA346" s="0">
        <v>0.476091476</v>
      </c>
      <c r="AB346" s="0">
        <v>38.267857143</v>
      </c>
      <c r="AC346" s="0">
        <v>432630</v>
      </c>
    </row>
    <row r="347" ht="14.25" customHeight="1">
      <c r="A347" s="0" t="s">
        <v>191</v>
      </c>
      <c r="B347" s="0" t="s">
        <v>192</v>
      </c>
      <c r="C347" s="0" t="s">
        <v>79</v>
      </c>
      <c r="D347" s="0" t="s">
        <v>199</v>
      </c>
      <c r="E347" s="0" t="s">
        <v>201</v>
      </c>
      <c r="F347" s="0" t="s">
        <v>197</v>
      </c>
      <c r="G347" s="0" t="s">
        <v>210</v>
      </c>
      <c r="H347" s="0">
        <v>0</v>
      </c>
      <c r="I347" s="0">
        <v>0</v>
      </c>
      <c r="J347" s="0">
        <v>0</v>
      </c>
      <c r="K347" s="0">
        <v>0</v>
      </c>
      <c r="L347" s="0">
        <v>56</v>
      </c>
      <c r="M347" s="0">
        <v>56</v>
      </c>
      <c r="N347" s="0">
        <v>57</v>
      </c>
      <c r="O347" s="0">
        <v>3</v>
      </c>
      <c r="P347" s="0">
        <v>7500</v>
      </c>
      <c r="Q347" s="0">
        <v>90</v>
      </c>
      <c r="R347" s="0">
        <v>0</v>
      </c>
      <c r="S347" s="0">
        <v>0</v>
      </c>
      <c r="T347" s="0">
        <v>0</v>
      </c>
      <c r="U347" s="0">
        <v>0</v>
      </c>
      <c r="V347" s="0">
        <v>0.98245614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420000</v>
      </c>
    </row>
    <row r="348" ht="14.25" customHeight="1">
      <c r="A348" s="0" t="s">
        <v>191</v>
      </c>
      <c r="B348" s="0" t="s">
        <v>192</v>
      </c>
      <c r="C348" s="0" t="s">
        <v>81</v>
      </c>
      <c r="D348" s="0" t="s">
        <v>193</v>
      </c>
      <c r="E348" s="0" t="s">
        <v>194</v>
      </c>
      <c r="F348" s="0" t="s">
        <v>195</v>
      </c>
      <c r="G348" s="0" t="s">
        <v>210</v>
      </c>
      <c r="H348" s="0">
        <v>397</v>
      </c>
      <c r="I348" s="0">
        <v>111</v>
      </c>
      <c r="J348" s="0">
        <v>80</v>
      </c>
      <c r="K348" s="0">
        <v>48</v>
      </c>
      <c r="L348" s="0">
        <v>0</v>
      </c>
      <c r="M348" s="0">
        <v>48</v>
      </c>
      <c r="N348" s="0">
        <v>0</v>
      </c>
      <c r="O348" s="0">
        <v>2</v>
      </c>
      <c r="P348" s="0">
        <v>7275</v>
      </c>
      <c r="Q348" s="0">
        <v>90</v>
      </c>
      <c r="R348" s="0">
        <v>193</v>
      </c>
      <c r="S348" s="0">
        <v>204</v>
      </c>
      <c r="T348" s="0">
        <v>7417</v>
      </c>
      <c r="U348" s="0">
        <v>15467</v>
      </c>
      <c r="V348" s="0">
        <v>0</v>
      </c>
      <c r="W348" s="0">
        <v>0.279596977</v>
      </c>
      <c r="X348" s="0">
        <v>0.720720721</v>
      </c>
      <c r="Y348" s="0">
        <v>0.6</v>
      </c>
      <c r="Z348" s="0">
        <v>397</v>
      </c>
      <c r="AA348" s="0">
        <v>0.486146096</v>
      </c>
      <c r="AB348" s="0">
        <v>36.357843137</v>
      </c>
      <c r="AC348" s="0">
        <v>353520</v>
      </c>
    </row>
    <row r="349" ht="14.25" customHeight="1">
      <c r="A349" s="0" t="s">
        <v>191</v>
      </c>
      <c r="B349" s="0" t="s">
        <v>192</v>
      </c>
      <c r="C349" s="0" t="s">
        <v>81</v>
      </c>
      <c r="D349" s="0" t="s">
        <v>193</v>
      </c>
      <c r="E349" s="0" t="s">
        <v>196</v>
      </c>
      <c r="F349" s="0" t="s">
        <v>197</v>
      </c>
      <c r="G349" s="0" t="s">
        <v>210</v>
      </c>
      <c r="H349" s="0">
        <v>0</v>
      </c>
      <c r="I349" s="0">
        <v>0</v>
      </c>
      <c r="J349" s="0">
        <v>0</v>
      </c>
      <c r="K349" s="0">
        <v>0</v>
      </c>
      <c r="L349" s="0">
        <v>46</v>
      </c>
      <c r="M349" s="0">
        <v>46</v>
      </c>
      <c r="N349" s="0">
        <v>48</v>
      </c>
      <c r="O349" s="0">
        <v>2</v>
      </c>
      <c r="P349" s="0">
        <v>6790</v>
      </c>
      <c r="Q349" s="0">
        <v>90</v>
      </c>
      <c r="R349" s="0">
        <v>0</v>
      </c>
      <c r="S349" s="0">
        <v>0</v>
      </c>
      <c r="T349" s="0">
        <v>0</v>
      </c>
      <c r="U349" s="0">
        <v>0</v>
      </c>
      <c r="V349" s="0">
        <v>0.958333333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312340</v>
      </c>
    </row>
    <row r="350" ht="14.25" customHeight="1">
      <c r="A350" s="0" t="s">
        <v>191</v>
      </c>
      <c r="B350" s="0" t="s">
        <v>192</v>
      </c>
      <c r="C350" s="0" t="s">
        <v>81</v>
      </c>
      <c r="D350" s="0" t="s">
        <v>193</v>
      </c>
      <c r="E350" s="0" t="s">
        <v>198</v>
      </c>
      <c r="F350" s="0" t="s">
        <v>197</v>
      </c>
      <c r="G350" s="0" t="s">
        <v>210</v>
      </c>
      <c r="H350" s="0">
        <v>0</v>
      </c>
      <c r="I350" s="0">
        <v>0</v>
      </c>
      <c r="J350" s="0">
        <v>0</v>
      </c>
      <c r="K350" s="0">
        <v>0</v>
      </c>
      <c r="L350" s="0">
        <v>45</v>
      </c>
      <c r="M350" s="0">
        <v>45</v>
      </c>
      <c r="N350" s="0">
        <v>46</v>
      </c>
      <c r="O350" s="0">
        <v>2</v>
      </c>
      <c r="P350" s="0">
        <v>6790</v>
      </c>
      <c r="Q350" s="0">
        <v>90</v>
      </c>
      <c r="R350" s="0">
        <v>0</v>
      </c>
      <c r="S350" s="0">
        <v>0</v>
      </c>
      <c r="T350" s="0">
        <v>0</v>
      </c>
      <c r="U350" s="0">
        <v>0</v>
      </c>
      <c r="V350" s="0">
        <v>0.97826087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305550</v>
      </c>
    </row>
    <row r="351" ht="14.25" customHeight="1">
      <c r="A351" s="0" t="s">
        <v>191</v>
      </c>
      <c r="B351" s="0" t="s">
        <v>192</v>
      </c>
      <c r="C351" s="0" t="s">
        <v>81</v>
      </c>
      <c r="D351" s="0" t="s">
        <v>199</v>
      </c>
      <c r="E351" s="0" t="s">
        <v>200</v>
      </c>
      <c r="F351" s="0" t="s">
        <v>197</v>
      </c>
      <c r="G351" s="0" t="s">
        <v>210</v>
      </c>
      <c r="H351" s="0">
        <v>816</v>
      </c>
      <c r="I351" s="0">
        <v>163</v>
      </c>
      <c r="J351" s="0">
        <v>114</v>
      </c>
      <c r="K351" s="0">
        <v>48</v>
      </c>
      <c r="L351" s="0">
        <v>0</v>
      </c>
      <c r="M351" s="0">
        <v>48</v>
      </c>
      <c r="N351" s="0">
        <v>0</v>
      </c>
      <c r="O351" s="0">
        <v>2</v>
      </c>
      <c r="P351" s="0">
        <v>7275</v>
      </c>
      <c r="Q351" s="0">
        <v>90</v>
      </c>
      <c r="R351" s="0">
        <v>396</v>
      </c>
      <c r="S351" s="0">
        <v>419</v>
      </c>
      <c r="T351" s="0">
        <v>15240</v>
      </c>
      <c r="U351" s="0">
        <v>31779</v>
      </c>
      <c r="V351" s="0">
        <v>0</v>
      </c>
      <c r="W351" s="0">
        <v>0.199754902</v>
      </c>
      <c r="X351" s="0">
        <v>0.699386503</v>
      </c>
      <c r="Y351" s="0">
        <v>0.421052632</v>
      </c>
      <c r="Z351" s="0">
        <v>815</v>
      </c>
      <c r="AA351" s="0">
        <v>0.485889571</v>
      </c>
      <c r="AB351" s="0">
        <v>36.372315036</v>
      </c>
      <c r="AC351" s="0">
        <v>353520</v>
      </c>
    </row>
    <row r="352" ht="14.25" customHeight="1">
      <c r="A352" s="0" t="s">
        <v>191</v>
      </c>
      <c r="B352" s="0" t="s">
        <v>192</v>
      </c>
      <c r="C352" s="0" t="s">
        <v>81</v>
      </c>
      <c r="D352" s="0" t="s">
        <v>199</v>
      </c>
      <c r="E352" s="0" t="s">
        <v>201</v>
      </c>
      <c r="F352" s="0" t="s">
        <v>197</v>
      </c>
      <c r="G352" s="0" t="s">
        <v>210</v>
      </c>
      <c r="H352" s="0">
        <v>0</v>
      </c>
      <c r="I352" s="0">
        <v>0</v>
      </c>
      <c r="J352" s="0">
        <v>0</v>
      </c>
      <c r="K352" s="0">
        <v>0</v>
      </c>
      <c r="L352" s="0">
        <v>47</v>
      </c>
      <c r="M352" s="0">
        <v>47</v>
      </c>
      <c r="N352" s="0">
        <v>48</v>
      </c>
      <c r="O352" s="0">
        <v>2</v>
      </c>
      <c r="P352" s="0">
        <v>7275</v>
      </c>
      <c r="Q352" s="0">
        <v>90</v>
      </c>
      <c r="R352" s="0">
        <v>0</v>
      </c>
      <c r="S352" s="0">
        <v>0</v>
      </c>
      <c r="T352" s="0">
        <v>0</v>
      </c>
      <c r="U352" s="0">
        <v>0</v>
      </c>
      <c r="V352" s="0">
        <v>0.979166667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341925</v>
      </c>
    </row>
    <row r="353" ht="14.25" customHeight="1">
      <c r="A353" s="0" t="s">
        <v>191</v>
      </c>
      <c r="B353" s="0" t="s">
        <v>192</v>
      </c>
      <c r="C353" s="0" t="s">
        <v>83</v>
      </c>
      <c r="D353" s="0" t="s">
        <v>202</v>
      </c>
      <c r="E353" s="0" t="s">
        <v>194</v>
      </c>
      <c r="F353" s="0" t="s">
        <v>195</v>
      </c>
      <c r="G353" s="0" t="s">
        <v>210</v>
      </c>
      <c r="H353" s="0">
        <v>562</v>
      </c>
      <c r="I353" s="0">
        <v>158</v>
      </c>
      <c r="J353" s="0">
        <v>113</v>
      </c>
      <c r="K353" s="0">
        <v>68</v>
      </c>
      <c r="L353" s="0">
        <v>0</v>
      </c>
      <c r="M353" s="0">
        <v>68</v>
      </c>
      <c r="N353" s="0">
        <v>0</v>
      </c>
      <c r="O353" s="0">
        <v>3</v>
      </c>
      <c r="P353" s="0">
        <v>8400</v>
      </c>
      <c r="Q353" s="0">
        <v>90</v>
      </c>
      <c r="R353" s="0">
        <v>220</v>
      </c>
      <c r="S353" s="0">
        <v>354</v>
      </c>
      <c r="T353" s="0">
        <v>18140</v>
      </c>
      <c r="U353" s="0">
        <v>18785</v>
      </c>
      <c r="V353" s="0">
        <v>0</v>
      </c>
      <c r="W353" s="0">
        <v>0.28113879</v>
      </c>
      <c r="X353" s="0">
        <v>0.715189873</v>
      </c>
      <c r="Y353" s="0">
        <v>0.601769912</v>
      </c>
      <c r="Z353" s="0">
        <v>574</v>
      </c>
      <c r="AA353" s="0">
        <v>0.383275261</v>
      </c>
      <c r="AB353" s="0">
        <v>51.242937853</v>
      </c>
      <c r="AC353" s="0">
        <v>577320</v>
      </c>
    </row>
    <row r="354" ht="14.25" customHeight="1">
      <c r="A354" s="0" t="s">
        <v>191</v>
      </c>
      <c r="B354" s="0" t="s">
        <v>192</v>
      </c>
      <c r="C354" s="0" t="s">
        <v>83</v>
      </c>
      <c r="D354" s="0" t="s">
        <v>202</v>
      </c>
      <c r="E354" s="0" t="s">
        <v>196</v>
      </c>
      <c r="F354" s="0" t="s">
        <v>197</v>
      </c>
      <c r="G354" s="0" t="s">
        <v>210</v>
      </c>
      <c r="H354" s="0">
        <v>0</v>
      </c>
      <c r="I354" s="0">
        <v>0</v>
      </c>
      <c r="J354" s="0">
        <v>0</v>
      </c>
      <c r="K354" s="0">
        <v>0</v>
      </c>
      <c r="L354" s="0">
        <v>66</v>
      </c>
      <c r="M354" s="0">
        <v>66</v>
      </c>
      <c r="N354" s="0">
        <v>68</v>
      </c>
      <c r="O354" s="0">
        <v>3</v>
      </c>
      <c r="P354" s="0">
        <v>7840</v>
      </c>
      <c r="Q354" s="0">
        <v>90</v>
      </c>
      <c r="R354" s="0">
        <v>0</v>
      </c>
      <c r="S354" s="0">
        <v>0</v>
      </c>
      <c r="T354" s="0">
        <v>0</v>
      </c>
      <c r="U354" s="0">
        <v>0</v>
      </c>
      <c r="V354" s="0">
        <v>0.970588235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517440</v>
      </c>
    </row>
    <row r="355" ht="14.25" customHeight="1">
      <c r="A355" s="0" t="s">
        <v>191</v>
      </c>
      <c r="B355" s="0" t="s">
        <v>192</v>
      </c>
      <c r="C355" s="0" t="s">
        <v>83</v>
      </c>
      <c r="D355" s="0" t="s">
        <v>202</v>
      </c>
      <c r="E355" s="0" t="s">
        <v>198</v>
      </c>
      <c r="F355" s="0" t="s">
        <v>197</v>
      </c>
      <c r="G355" s="0" t="s">
        <v>210</v>
      </c>
      <c r="H355" s="0">
        <v>0</v>
      </c>
      <c r="I355" s="0">
        <v>0</v>
      </c>
      <c r="J355" s="0">
        <v>0</v>
      </c>
      <c r="K355" s="0">
        <v>0</v>
      </c>
      <c r="L355" s="0">
        <v>65</v>
      </c>
      <c r="M355" s="0">
        <v>65</v>
      </c>
      <c r="N355" s="0">
        <v>66</v>
      </c>
      <c r="O355" s="0">
        <v>3</v>
      </c>
      <c r="P355" s="0">
        <v>7840</v>
      </c>
      <c r="Q355" s="0">
        <v>90</v>
      </c>
      <c r="R355" s="0">
        <v>0</v>
      </c>
      <c r="S355" s="0">
        <v>0</v>
      </c>
      <c r="T355" s="0">
        <v>0</v>
      </c>
      <c r="U355" s="0">
        <v>0</v>
      </c>
      <c r="V355" s="0">
        <v>0.984848485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509600</v>
      </c>
    </row>
    <row r="356" ht="14.25" customHeight="1">
      <c r="A356" s="0" t="s">
        <v>191</v>
      </c>
      <c r="B356" s="0" t="s">
        <v>192</v>
      </c>
      <c r="C356" s="0" t="s">
        <v>83</v>
      </c>
      <c r="D356" s="0" t="s">
        <v>203</v>
      </c>
      <c r="E356" s="0" t="s">
        <v>200</v>
      </c>
      <c r="F356" s="0" t="s">
        <v>197</v>
      </c>
      <c r="G356" s="0" t="s">
        <v>210</v>
      </c>
      <c r="H356" s="0">
        <v>1151</v>
      </c>
      <c r="I356" s="0">
        <v>230</v>
      </c>
      <c r="J356" s="0">
        <v>161</v>
      </c>
      <c r="K356" s="0">
        <v>68</v>
      </c>
      <c r="L356" s="0">
        <v>0</v>
      </c>
      <c r="M356" s="0">
        <v>68</v>
      </c>
      <c r="N356" s="0">
        <v>0</v>
      </c>
      <c r="O356" s="0">
        <v>3</v>
      </c>
      <c r="P356" s="0">
        <v>8400</v>
      </c>
      <c r="Q356" s="0">
        <v>90</v>
      </c>
      <c r="R356" s="0">
        <v>450</v>
      </c>
      <c r="S356" s="0">
        <v>726</v>
      </c>
      <c r="T356" s="0">
        <v>37132</v>
      </c>
      <c r="U356" s="0">
        <v>38451</v>
      </c>
      <c r="V356" s="0">
        <v>0</v>
      </c>
      <c r="W356" s="0">
        <v>0.199826238</v>
      </c>
      <c r="X356" s="0">
        <v>0.7</v>
      </c>
      <c r="Y356" s="0">
        <v>0.422360248</v>
      </c>
      <c r="Z356" s="0">
        <v>1176</v>
      </c>
      <c r="AA356" s="0">
        <v>0.382653061</v>
      </c>
      <c r="AB356" s="0">
        <v>51.14600551</v>
      </c>
      <c r="AC356" s="0">
        <v>577320</v>
      </c>
    </row>
    <row r="357" ht="14.25" customHeight="1">
      <c r="A357" s="0" t="s">
        <v>191</v>
      </c>
      <c r="B357" s="0" t="s">
        <v>192</v>
      </c>
      <c r="C357" s="0" t="s">
        <v>83</v>
      </c>
      <c r="D357" s="0" t="s">
        <v>203</v>
      </c>
      <c r="E357" s="0" t="s">
        <v>201</v>
      </c>
      <c r="F357" s="0" t="s">
        <v>197</v>
      </c>
      <c r="G357" s="0" t="s">
        <v>210</v>
      </c>
      <c r="H357" s="0">
        <v>0</v>
      </c>
      <c r="I357" s="0">
        <v>0</v>
      </c>
      <c r="J357" s="0">
        <v>0</v>
      </c>
      <c r="K357" s="0">
        <v>0</v>
      </c>
      <c r="L357" s="0">
        <v>67</v>
      </c>
      <c r="M357" s="0">
        <v>67</v>
      </c>
      <c r="N357" s="0">
        <v>68</v>
      </c>
      <c r="O357" s="0">
        <v>3</v>
      </c>
      <c r="P357" s="0">
        <v>8400</v>
      </c>
      <c r="Q357" s="0">
        <v>90</v>
      </c>
      <c r="R357" s="0">
        <v>0</v>
      </c>
      <c r="S357" s="0">
        <v>0</v>
      </c>
      <c r="T357" s="0">
        <v>0</v>
      </c>
      <c r="U357" s="0">
        <v>0</v>
      </c>
      <c r="V357" s="0">
        <v>0.985294118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562800</v>
      </c>
    </row>
    <row r="358" ht="14.25" customHeight="1">
      <c r="A358" s="0" t="s">
        <v>191</v>
      </c>
      <c r="B358" s="0" t="s">
        <v>192</v>
      </c>
      <c r="C358" s="0" t="s">
        <v>84</v>
      </c>
      <c r="D358" s="0" t="s">
        <v>202</v>
      </c>
      <c r="E358" s="0" t="s">
        <v>194</v>
      </c>
      <c r="F358" s="0" t="s">
        <v>195</v>
      </c>
      <c r="G358" s="0" t="s">
        <v>210</v>
      </c>
      <c r="H358" s="0">
        <v>388</v>
      </c>
      <c r="I358" s="0">
        <v>108</v>
      </c>
      <c r="J358" s="0">
        <v>78</v>
      </c>
      <c r="K358" s="0">
        <v>47</v>
      </c>
      <c r="L358" s="0">
        <v>0</v>
      </c>
      <c r="M358" s="0">
        <v>47</v>
      </c>
      <c r="N358" s="0">
        <v>0</v>
      </c>
      <c r="O358" s="0">
        <v>2</v>
      </c>
      <c r="P358" s="0">
        <v>7350</v>
      </c>
      <c r="Q358" s="0">
        <v>90</v>
      </c>
      <c r="R358" s="0">
        <v>199</v>
      </c>
      <c r="S358" s="0">
        <v>196</v>
      </c>
      <c r="T358" s="0">
        <v>7473</v>
      </c>
      <c r="U358" s="0">
        <v>17199</v>
      </c>
      <c r="V358" s="0">
        <v>0</v>
      </c>
      <c r="W358" s="0">
        <v>0.278350515</v>
      </c>
      <c r="X358" s="0">
        <v>0.722222222</v>
      </c>
      <c r="Y358" s="0">
        <v>0.602564103</v>
      </c>
      <c r="Z358" s="0">
        <v>395</v>
      </c>
      <c r="AA358" s="0">
        <v>0.503797468</v>
      </c>
      <c r="AB358" s="0">
        <v>38.12755102</v>
      </c>
      <c r="AC358" s="0">
        <v>349680</v>
      </c>
    </row>
    <row r="359" ht="14.25" customHeight="1">
      <c r="A359" s="0" t="s">
        <v>191</v>
      </c>
      <c r="B359" s="0" t="s">
        <v>192</v>
      </c>
      <c r="C359" s="0" t="s">
        <v>84</v>
      </c>
      <c r="D359" s="0" t="s">
        <v>202</v>
      </c>
      <c r="E359" s="0" t="s">
        <v>196</v>
      </c>
      <c r="F359" s="0" t="s">
        <v>197</v>
      </c>
      <c r="G359" s="0" t="s">
        <v>210</v>
      </c>
      <c r="H359" s="0">
        <v>0</v>
      </c>
      <c r="I359" s="0">
        <v>0</v>
      </c>
      <c r="J359" s="0">
        <v>0</v>
      </c>
      <c r="K359" s="0">
        <v>0</v>
      </c>
      <c r="L359" s="0">
        <v>45</v>
      </c>
      <c r="M359" s="0">
        <v>45</v>
      </c>
      <c r="N359" s="0">
        <v>47</v>
      </c>
      <c r="O359" s="0">
        <v>2</v>
      </c>
      <c r="P359" s="0">
        <v>6860</v>
      </c>
      <c r="Q359" s="0">
        <v>90</v>
      </c>
      <c r="R359" s="0">
        <v>0</v>
      </c>
      <c r="S359" s="0">
        <v>0</v>
      </c>
      <c r="T359" s="0">
        <v>0</v>
      </c>
      <c r="U359" s="0">
        <v>0</v>
      </c>
      <c r="V359" s="0">
        <v>0.957446809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308700</v>
      </c>
    </row>
    <row r="360" ht="14.25" customHeight="1">
      <c r="A360" s="0" t="s">
        <v>191</v>
      </c>
      <c r="B360" s="0" t="s">
        <v>192</v>
      </c>
      <c r="C360" s="0" t="s">
        <v>84</v>
      </c>
      <c r="D360" s="0" t="s">
        <v>202</v>
      </c>
      <c r="E360" s="0" t="s">
        <v>198</v>
      </c>
      <c r="F360" s="0" t="s">
        <v>197</v>
      </c>
      <c r="G360" s="0" t="s">
        <v>210</v>
      </c>
      <c r="H360" s="0">
        <v>0</v>
      </c>
      <c r="I360" s="0">
        <v>0</v>
      </c>
      <c r="J360" s="0">
        <v>0</v>
      </c>
      <c r="K360" s="0">
        <v>0</v>
      </c>
      <c r="L360" s="0">
        <v>44</v>
      </c>
      <c r="M360" s="0">
        <v>44</v>
      </c>
      <c r="N360" s="0">
        <v>45</v>
      </c>
      <c r="O360" s="0">
        <v>2</v>
      </c>
      <c r="P360" s="0">
        <v>6860</v>
      </c>
      <c r="Q360" s="0">
        <v>90</v>
      </c>
      <c r="R360" s="0">
        <v>0</v>
      </c>
      <c r="S360" s="0">
        <v>0</v>
      </c>
      <c r="T360" s="0">
        <v>0</v>
      </c>
      <c r="U360" s="0">
        <v>0</v>
      </c>
      <c r="V360" s="0">
        <v>0.977777778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301840</v>
      </c>
    </row>
    <row r="361" ht="14.25" customHeight="1">
      <c r="A361" s="0" t="s">
        <v>191</v>
      </c>
      <c r="B361" s="0" t="s">
        <v>192</v>
      </c>
      <c r="C361" s="0" t="s">
        <v>84</v>
      </c>
      <c r="D361" s="0" t="s">
        <v>203</v>
      </c>
      <c r="E361" s="0" t="s">
        <v>200</v>
      </c>
      <c r="F361" s="0" t="s">
        <v>197</v>
      </c>
      <c r="G361" s="0" t="s">
        <v>210</v>
      </c>
      <c r="H361" s="0">
        <v>802</v>
      </c>
      <c r="I361" s="0">
        <v>160</v>
      </c>
      <c r="J361" s="0">
        <v>112</v>
      </c>
      <c r="K361" s="0">
        <v>47</v>
      </c>
      <c r="L361" s="0">
        <v>0</v>
      </c>
      <c r="M361" s="0">
        <v>47</v>
      </c>
      <c r="N361" s="0">
        <v>0</v>
      </c>
      <c r="O361" s="0">
        <v>2</v>
      </c>
      <c r="P361" s="0">
        <v>7350</v>
      </c>
      <c r="Q361" s="0">
        <v>90</v>
      </c>
      <c r="R361" s="0">
        <v>413</v>
      </c>
      <c r="S361" s="0">
        <v>404</v>
      </c>
      <c r="T361" s="0">
        <v>15454</v>
      </c>
      <c r="U361" s="0">
        <v>35569</v>
      </c>
      <c r="V361" s="0">
        <v>0</v>
      </c>
      <c r="W361" s="0">
        <v>0.199501247</v>
      </c>
      <c r="X361" s="0">
        <v>0.7</v>
      </c>
      <c r="Y361" s="0">
        <v>0.419642857</v>
      </c>
      <c r="Z361" s="0">
        <v>817</v>
      </c>
      <c r="AA361" s="0">
        <v>0.505507956</v>
      </c>
      <c r="AB361" s="0">
        <v>38.252475248</v>
      </c>
      <c r="AC361" s="0">
        <v>349680</v>
      </c>
    </row>
    <row r="362" ht="14.25" customHeight="1">
      <c r="A362" s="0" t="s">
        <v>191</v>
      </c>
      <c r="B362" s="0" t="s">
        <v>192</v>
      </c>
      <c r="C362" s="0" t="s">
        <v>84</v>
      </c>
      <c r="D362" s="0" t="s">
        <v>203</v>
      </c>
      <c r="E362" s="0" t="s">
        <v>201</v>
      </c>
      <c r="F362" s="0" t="s">
        <v>197</v>
      </c>
      <c r="G362" s="0" t="s">
        <v>210</v>
      </c>
      <c r="H362" s="0">
        <v>0</v>
      </c>
      <c r="I362" s="0">
        <v>0</v>
      </c>
      <c r="J362" s="0">
        <v>0</v>
      </c>
      <c r="K362" s="0">
        <v>0</v>
      </c>
      <c r="L362" s="0">
        <v>46</v>
      </c>
      <c r="M362" s="0">
        <v>46</v>
      </c>
      <c r="N362" s="0">
        <v>47</v>
      </c>
      <c r="O362" s="0">
        <v>2</v>
      </c>
      <c r="P362" s="0">
        <v>7350</v>
      </c>
      <c r="Q362" s="0">
        <v>90</v>
      </c>
      <c r="R362" s="0">
        <v>0</v>
      </c>
      <c r="S362" s="0">
        <v>0</v>
      </c>
      <c r="T362" s="0">
        <v>0</v>
      </c>
      <c r="U362" s="0">
        <v>0</v>
      </c>
      <c r="V362" s="0">
        <v>0.978723404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338100</v>
      </c>
    </row>
    <row r="363" ht="14.25" customHeight="1">
      <c r="A363" s="0" t="s">
        <v>191</v>
      </c>
      <c r="B363" s="0" t="s">
        <v>192</v>
      </c>
      <c r="C363" s="0" t="s">
        <v>86</v>
      </c>
      <c r="D363" s="0" t="s">
        <v>202</v>
      </c>
      <c r="E363" s="0" t="s">
        <v>194</v>
      </c>
      <c r="F363" s="0" t="s">
        <v>195</v>
      </c>
      <c r="G363" s="0" t="s">
        <v>210</v>
      </c>
      <c r="H363" s="0">
        <v>364</v>
      </c>
      <c r="I363" s="0">
        <v>102</v>
      </c>
      <c r="J363" s="0">
        <v>74</v>
      </c>
      <c r="K363" s="0">
        <v>44</v>
      </c>
      <c r="L363" s="0">
        <v>0</v>
      </c>
      <c r="M363" s="0">
        <v>44</v>
      </c>
      <c r="N363" s="0">
        <v>0</v>
      </c>
      <c r="O363" s="0">
        <v>2</v>
      </c>
      <c r="P363" s="0">
        <v>7200</v>
      </c>
      <c r="Q363" s="0">
        <v>90</v>
      </c>
      <c r="R363" s="0">
        <v>191</v>
      </c>
      <c r="S363" s="0">
        <v>180</v>
      </c>
      <c r="T363" s="0">
        <v>6534</v>
      </c>
      <c r="U363" s="0">
        <v>16504</v>
      </c>
      <c r="V363" s="0">
        <v>0</v>
      </c>
      <c r="W363" s="0">
        <v>0.28021978</v>
      </c>
      <c r="X363" s="0">
        <v>0.725490196</v>
      </c>
      <c r="Y363" s="0">
        <v>0.594594595</v>
      </c>
      <c r="Z363" s="0">
        <v>371</v>
      </c>
      <c r="AA363" s="0">
        <v>0.514824798</v>
      </c>
      <c r="AB363" s="0">
        <v>36.3</v>
      </c>
      <c r="AC363" s="0">
        <v>320760</v>
      </c>
    </row>
    <row r="364" ht="14.25" customHeight="1">
      <c r="A364" s="0" t="s">
        <v>191</v>
      </c>
      <c r="B364" s="0" t="s">
        <v>192</v>
      </c>
      <c r="C364" s="0" t="s">
        <v>86</v>
      </c>
      <c r="D364" s="0" t="s">
        <v>202</v>
      </c>
      <c r="E364" s="0" t="s">
        <v>196</v>
      </c>
      <c r="F364" s="0" t="s">
        <v>197</v>
      </c>
      <c r="G364" s="0" t="s">
        <v>210</v>
      </c>
      <c r="H364" s="0">
        <v>0</v>
      </c>
      <c r="I364" s="0">
        <v>0</v>
      </c>
      <c r="J364" s="0">
        <v>0</v>
      </c>
      <c r="K364" s="0">
        <v>0</v>
      </c>
      <c r="L364" s="0">
        <v>43</v>
      </c>
      <c r="M364" s="0">
        <v>43</v>
      </c>
      <c r="N364" s="0">
        <v>44</v>
      </c>
      <c r="O364" s="0">
        <v>2</v>
      </c>
      <c r="P364" s="0">
        <v>6720</v>
      </c>
      <c r="Q364" s="0">
        <v>90</v>
      </c>
      <c r="R364" s="0">
        <v>0</v>
      </c>
      <c r="S364" s="0">
        <v>0</v>
      </c>
      <c r="T364" s="0">
        <v>0</v>
      </c>
      <c r="U364" s="0">
        <v>0</v>
      </c>
      <c r="V364" s="0">
        <v>0.977272727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288960</v>
      </c>
    </row>
    <row r="365" ht="14.25" customHeight="1">
      <c r="A365" s="0" t="s">
        <v>191</v>
      </c>
      <c r="B365" s="0" t="s">
        <v>192</v>
      </c>
      <c r="C365" s="0" t="s">
        <v>86</v>
      </c>
      <c r="D365" s="0" t="s">
        <v>202</v>
      </c>
      <c r="E365" s="0" t="s">
        <v>198</v>
      </c>
      <c r="F365" s="0" t="s">
        <v>197</v>
      </c>
      <c r="G365" s="0" t="s">
        <v>210</v>
      </c>
      <c r="H365" s="0">
        <v>0</v>
      </c>
      <c r="I365" s="0">
        <v>0</v>
      </c>
      <c r="J365" s="0">
        <v>0</v>
      </c>
      <c r="K365" s="0">
        <v>0</v>
      </c>
      <c r="L365" s="0">
        <v>42</v>
      </c>
      <c r="M365" s="0">
        <v>42</v>
      </c>
      <c r="N365" s="0">
        <v>43</v>
      </c>
      <c r="O365" s="0">
        <v>2</v>
      </c>
      <c r="P365" s="0">
        <v>6720</v>
      </c>
      <c r="Q365" s="0">
        <v>90</v>
      </c>
      <c r="R365" s="0">
        <v>0</v>
      </c>
      <c r="S365" s="0">
        <v>0</v>
      </c>
      <c r="T365" s="0">
        <v>0</v>
      </c>
      <c r="U365" s="0">
        <v>0</v>
      </c>
      <c r="V365" s="0">
        <v>0.976744186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282240</v>
      </c>
    </row>
    <row r="366" ht="14.25" customHeight="1">
      <c r="A366" s="0" t="s">
        <v>191</v>
      </c>
      <c r="B366" s="0" t="s">
        <v>192</v>
      </c>
      <c r="C366" s="0" t="s">
        <v>86</v>
      </c>
      <c r="D366" s="0" t="s">
        <v>203</v>
      </c>
      <c r="E366" s="0" t="s">
        <v>200</v>
      </c>
      <c r="F366" s="0" t="s">
        <v>197</v>
      </c>
      <c r="G366" s="0" t="s">
        <v>210</v>
      </c>
      <c r="H366" s="0">
        <v>755</v>
      </c>
      <c r="I366" s="0">
        <v>151</v>
      </c>
      <c r="J366" s="0">
        <v>106</v>
      </c>
      <c r="K366" s="0">
        <v>44</v>
      </c>
      <c r="L366" s="0">
        <v>0</v>
      </c>
      <c r="M366" s="0">
        <v>44</v>
      </c>
      <c r="N366" s="0">
        <v>0</v>
      </c>
      <c r="O366" s="0">
        <v>2</v>
      </c>
      <c r="P366" s="0">
        <v>7200</v>
      </c>
      <c r="Q366" s="0">
        <v>90</v>
      </c>
      <c r="R366" s="0">
        <v>396</v>
      </c>
      <c r="S366" s="0">
        <v>373</v>
      </c>
      <c r="T366" s="0">
        <v>13542</v>
      </c>
      <c r="U366" s="0">
        <v>34206</v>
      </c>
      <c r="V366" s="0">
        <v>0</v>
      </c>
      <c r="W366" s="0">
        <v>0.2</v>
      </c>
      <c r="X366" s="0">
        <v>0.701986755</v>
      </c>
      <c r="Y366" s="0">
        <v>0.41509434</v>
      </c>
      <c r="Z366" s="0">
        <v>769</v>
      </c>
      <c r="AA366" s="0">
        <v>0.514954486</v>
      </c>
      <c r="AB366" s="0">
        <v>36.305630027</v>
      </c>
      <c r="AC366" s="0">
        <v>320760</v>
      </c>
    </row>
    <row r="367" ht="14.25" customHeight="1">
      <c r="A367" s="0" t="s">
        <v>191</v>
      </c>
      <c r="B367" s="0" t="s">
        <v>192</v>
      </c>
      <c r="C367" s="0" t="s">
        <v>86</v>
      </c>
      <c r="D367" s="0" t="s">
        <v>203</v>
      </c>
      <c r="E367" s="0" t="s">
        <v>201</v>
      </c>
      <c r="F367" s="0" t="s">
        <v>197</v>
      </c>
      <c r="G367" s="0" t="s">
        <v>210</v>
      </c>
      <c r="H367" s="0">
        <v>0</v>
      </c>
      <c r="I367" s="0">
        <v>0</v>
      </c>
      <c r="J367" s="0">
        <v>0</v>
      </c>
      <c r="K367" s="0">
        <v>0</v>
      </c>
      <c r="L367" s="0">
        <v>43</v>
      </c>
      <c r="M367" s="0">
        <v>43</v>
      </c>
      <c r="N367" s="0">
        <v>44</v>
      </c>
      <c r="O367" s="0">
        <v>2</v>
      </c>
      <c r="P367" s="0">
        <v>7200</v>
      </c>
      <c r="Q367" s="0">
        <v>90</v>
      </c>
      <c r="R367" s="0">
        <v>0</v>
      </c>
      <c r="S367" s="0">
        <v>0</v>
      </c>
      <c r="T367" s="0">
        <v>0</v>
      </c>
      <c r="U367" s="0">
        <v>0</v>
      </c>
      <c r="V367" s="0">
        <v>0.977272727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309600</v>
      </c>
    </row>
    <row r="368" ht="14.25" customHeight="1">
      <c r="A368" s="0" t="s">
        <v>191</v>
      </c>
      <c r="B368" s="0" t="s">
        <v>192</v>
      </c>
      <c r="C368" s="0" t="s">
        <v>88</v>
      </c>
      <c r="D368" s="0" t="s">
        <v>204</v>
      </c>
      <c r="E368" s="0" t="s">
        <v>194</v>
      </c>
      <c r="F368" s="0" t="s">
        <v>197</v>
      </c>
      <c r="G368" s="0" t="s">
        <v>210</v>
      </c>
      <c r="H368" s="0">
        <v>802</v>
      </c>
      <c r="I368" s="0">
        <v>160</v>
      </c>
      <c r="J368" s="0">
        <v>112</v>
      </c>
      <c r="K368" s="0">
        <v>47</v>
      </c>
      <c r="L368" s="0">
        <v>0</v>
      </c>
      <c r="M368" s="0">
        <v>47</v>
      </c>
      <c r="N368" s="0">
        <v>0</v>
      </c>
      <c r="O368" s="0">
        <v>2</v>
      </c>
      <c r="P368" s="0">
        <v>7000</v>
      </c>
      <c r="Q368" s="0">
        <v>90</v>
      </c>
      <c r="R368" s="0">
        <v>281</v>
      </c>
      <c r="S368" s="0">
        <v>516</v>
      </c>
      <c r="T368" s="0">
        <v>19782</v>
      </c>
      <c r="U368" s="0">
        <v>21082</v>
      </c>
      <c r="V368" s="0">
        <v>0</v>
      </c>
      <c r="W368" s="0">
        <v>0.199501247</v>
      </c>
      <c r="X368" s="0">
        <v>0.7</v>
      </c>
      <c r="Y368" s="0">
        <v>0.419642857</v>
      </c>
      <c r="Z368" s="0">
        <v>797</v>
      </c>
      <c r="AA368" s="0">
        <v>0.352572146</v>
      </c>
      <c r="AB368" s="0">
        <v>38.337209302</v>
      </c>
      <c r="AC368" s="0">
        <v>333230</v>
      </c>
    </row>
    <row r="369" ht="14.25" customHeight="1">
      <c r="A369" s="0" t="s">
        <v>191</v>
      </c>
      <c r="B369" s="0" t="s">
        <v>192</v>
      </c>
      <c r="C369" s="0" t="s">
        <v>88</v>
      </c>
      <c r="D369" s="0" t="s">
        <v>204</v>
      </c>
      <c r="E369" s="0" t="s">
        <v>196</v>
      </c>
      <c r="F369" s="0" t="s">
        <v>197</v>
      </c>
      <c r="G369" s="0" t="s">
        <v>210</v>
      </c>
      <c r="H369" s="0">
        <v>0</v>
      </c>
      <c r="I369" s="0">
        <v>0</v>
      </c>
      <c r="J369" s="0">
        <v>0</v>
      </c>
      <c r="K369" s="0">
        <v>0</v>
      </c>
      <c r="L369" s="0">
        <v>45</v>
      </c>
      <c r="M369" s="0">
        <v>45</v>
      </c>
      <c r="N369" s="0">
        <v>47</v>
      </c>
      <c r="O369" s="0">
        <v>2</v>
      </c>
      <c r="P369" s="0">
        <v>7000</v>
      </c>
      <c r="Q369" s="0">
        <v>90</v>
      </c>
      <c r="R369" s="0">
        <v>0</v>
      </c>
      <c r="S369" s="0">
        <v>0</v>
      </c>
      <c r="T369" s="0">
        <v>0</v>
      </c>
      <c r="U369" s="0">
        <v>0</v>
      </c>
      <c r="V369" s="0">
        <v>0.957446809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315000</v>
      </c>
    </row>
    <row r="370" ht="14.25" customHeight="1">
      <c r="A370" s="0" t="s">
        <v>191</v>
      </c>
      <c r="B370" s="0" t="s">
        <v>192</v>
      </c>
      <c r="C370" s="0" t="s">
        <v>88</v>
      </c>
      <c r="D370" s="0" t="s">
        <v>204</v>
      </c>
      <c r="E370" s="0" t="s">
        <v>198</v>
      </c>
      <c r="F370" s="0" t="s">
        <v>197</v>
      </c>
      <c r="G370" s="0" t="s">
        <v>210</v>
      </c>
      <c r="H370" s="0">
        <v>0</v>
      </c>
      <c r="I370" s="0">
        <v>0</v>
      </c>
      <c r="J370" s="0">
        <v>0</v>
      </c>
      <c r="K370" s="0">
        <v>0</v>
      </c>
      <c r="L370" s="0">
        <v>44</v>
      </c>
      <c r="M370" s="0">
        <v>44</v>
      </c>
      <c r="N370" s="0">
        <v>45</v>
      </c>
      <c r="O370" s="0">
        <v>2</v>
      </c>
      <c r="P370" s="0">
        <v>7000</v>
      </c>
      <c r="Q370" s="0">
        <v>90</v>
      </c>
      <c r="R370" s="0">
        <v>0</v>
      </c>
      <c r="S370" s="0">
        <v>0</v>
      </c>
      <c r="T370" s="0">
        <v>0</v>
      </c>
      <c r="U370" s="0">
        <v>0</v>
      </c>
      <c r="V370" s="0">
        <v>0.977777778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308000</v>
      </c>
    </row>
    <row r="371" ht="14.25" customHeight="1">
      <c r="A371" s="0" t="s">
        <v>191</v>
      </c>
      <c r="B371" s="0" t="s">
        <v>192</v>
      </c>
      <c r="C371" s="0" t="s">
        <v>90</v>
      </c>
      <c r="D371" s="0" t="s">
        <v>204</v>
      </c>
      <c r="E371" s="0" t="s">
        <v>194</v>
      </c>
      <c r="F371" s="0" t="s">
        <v>197</v>
      </c>
      <c r="G371" s="0" t="s">
        <v>210</v>
      </c>
      <c r="H371" s="0">
        <v>642</v>
      </c>
      <c r="I371" s="0">
        <v>128</v>
      </c>
      <c r="J371" s="0">
        <v>90</v>
      </c>
      <c r="K371" s="0">
        <v>38</v>
      </c>
      <c r="L371" s="0">
        <v>0</v>
      </c>
      <c r="M371" s="0">
        <v>38</v>
      </c>
      <c r="N371" s="0">
        <v>0</v>
      </c>
      <c r="O371" s="0">
        <v>2</v>
      </c>
      <c r="P371" s="0">
        <v>6650</v>
      </c>
      <c r="Q371" s="0">
        <v>90</v>
      </c>
      <c r="R371" s="0">
        <v>243</v>
      </c>
      <c r="S371" s="0">
        <v>392</v>
      </c>
      <c r="T371" s="0">
        <v>13575</v>
      </c>
      <c r="U371" s="0">
        <v>18403</v>
      </c>
      <c r="V371" s="0">
        <v>0</v>
      </c>
      <c r="W371" s="0">
        <v>0.199376947</v>
      </c>
      <c r="X371" s="0">
        <v>0.703125</v>
      </c>
      <c r="Y371" s="0">
        <v>0.422222222</v>
      </c>
      <c r="Z371" s="0">
        <v>635</v>
      </c>
      <c r="AA371" s="0">
        <v>0.382677165</v>
      </c>
      <c r="AB371" s="0">
        <v>34.630102041</v>
      </c>
      <c r="AC371" s="0">
        <v>256120</v>
      </c>
    </row>
    <row r="372" ht="14.25" customHeight="1">
      <c r="A372" s="0" t="s">
        <v>191</v>
      </c>
      <c r="B372" s="0" t="s">
        <v>192</v>
      </c>
      <c r="C372" s="0" t="s">
        <v>90</v>
      </c>
      <c r="D372" s="0" t="s">
        <v>204</v>
      </c>
      <c r="E372" s="0" t="s">
        <v>196</v>
      </c>
      <c r="F372" s="0" t="s">
        <v>197</v>
      </c>
      <c r="G372" s="0" t="s">
        <v>210</v>
      </c>
      <c r="H372" s="0">
        <v>0</v>
      </c>
      <c r="I372" s="0">
        <v>0</v>
      </c>
      <c r="J372" s="0">
        <v>0</v>
      </c>
      <c r="K372" s="0">
        <v>0</v>
      </c>
      <c r="L372" s="0">
        <v>37</v>
      </c>
      <c r="M372" s="0">
        <v>37</v>
      </c>
      <c r="N372" s="0">
        <v>38</v>
      </c>
      <c r="O372" s="0">
        <v>2</v>
      </c>
      <c r="P372" s="0">
        <v>6650</v>
      </c>
      <c r="Q372" s="0">
        <v>90</v>
      </c>
      <c r="R372" s="0">
        <v>0</v>
      </c>
      <c r="S372" s="0">
        <v>0</v>
      </c>
      <c r="T372" s="0">
        <v>0</v>
      </c>
      <c r="U372" s="0">
        <v>0</v>
      </c>
      <c r="V372" s="0">
        <v>0.973684211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246050</v>
      </c>
    </row>
    <row r="373" ht="14.25" customHeight="1">
      <c r="A373" s="0" t="s">
        <v>191</v>
      </c>
      <c r="B373" s="0" t="s">
        <v>192</v>
      </c>
      <c r="C373" s="0" t="s">
        <v>90</v>
      </c>
      <c r="D373" s="0" t="s">
        <v>204</v>
      </c>
      <c r="E373" s="0" t="s">
        <v>198</v>
      </c>
      <c r="F373" s="0" t="s">
        <v>197</v>
      </c>
      <c r="G373" s="0" t="s">
        <v>210</v>
      </c>
      <c r="H373" s="0">
        <v>0</v>
      </c>
      <c r="I373" s="0">
        <v>0</v>
      </c>
      <c r="J373" s="0">
        <v>0</v>
      </c>
      <c r="K373" s="0">
        <v>0</v>
      </c>
      <c r="L373" s="0">
        <v>36</v>
      </c>
      <c r="M373" s="0">
        <v>36</v>
      </c>
      <c r="N373" s="0">
        <v>37</v>
      </c>
      <c r="O373" s="0">
        <v>2</v>
      </c>
      <c r="P373" s="0">
        <v>6650</v>
      </c>
      <c r="Q373" s="0">
        <v>90</v>
      </c>
      <c r="R373" s="0">
        <v>0</v>
      </c>
      <c r="S373" s="0">
        <v>0</v>
      </c>
      <c r="T373" s="0">
        <v>0</v>
      </c>
      <c r="U373" s="0">
        <v>0</v>
      </c>
      <c r="V373" s="0">
        <v>0.972972973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239400</v>
      </c>
    </row>
    <row r="374" ht="14.25" customHeight="1">
      <c r="A374" s="0" t="s">
        <v>191</v>
      </c>
      <c r="B374" s="0" t="s">
        <v>192</v>
      </c>
      <c r="C374" s="0" t="s">
        <v>92</v>
      </c>
      <c r="D374" s="0" t="s">
        <v>204</v>
      </c>
      <c r="E374" s="0" t="s">
        <v>194</v>
      </c>
      <c r="F374" s="0" t="s">
        <v>197</v>
      </c>
      <c r="G374" s="0" t="s">
        <v>210</v>
      </c>
      <c r="H374" s="0">
        <v>642</v>
      </c>
      <c r="I374" s="0">
        <v>128</v>
      </c>
      <c r="J374" s="0">
        <v>90</v>
      </c>
      <c r="K374" s="0">
        <v>38</v>
      </c>
      <c r="L374" s="0">
        <v>0</v>
      </c>
      <c r="M374" s="0">
        <v>38</v>
      </c>
      <c r="N374" s="0">
        <v>0</v>
      </c>
      <c r="O374" s="0">
        <v>2</v>
      </c>
      <c r="P374" s="0">
        <v>6650</v>
      </c>
      <c r="Q374" s="0">
        <v>90</v>
      </c>
      <c r="R374" s="0">
        <v>237</v>
      </c>
      <c r="S374" s="0">
        <v>399</v>
      </c>
      <c r="T374" s="0">
        <v>13798</v>
      </c>
      <c r="U374" s="0">
        <v>17870</v>
      </c>
      <c r="V374" s="0">
        <v>0</v>
      </c>
      <c r="W374" s="0">
        <v>0.199376947</v>
      </c>
      <c r="X374" s="0">
        <v>0.703125</v>
      </c>
      <c r="Y374" s="0">
        <v>0.422222222</v>
      </c>
      <c r="Z374" s="0">
        <v>636</v>
      </c>
      <c r="AA374" s="0">
        <v>0.372641509</v>
      </c>
      <c r="AB374" s="0">
        <v>34.581453634</v>
      </c>
      <c r="AC374" s="0">
        <v>256120</v>
      </c>
    </row>
    <row r="375" ht="14.25" customHeight="1">
      <c r="A375" s="0" t="s">
        <v>191</v>
      </c>
      <c r="B375" s="0" t="s">
        <v>192</v>
      </c>
      <c r="C375" s="0" t="s">
        <v>92</v>
      </c>
      <c r="D375" s="0" t="s">
        <v>204</v>
      </c>
      <c r="E375" s="0" t="s">
        <v>196</v>
      </c>
      <c r="F375" s="0" t="s">
        <v>197</v>
      </c>
      <c r="G375" s="0" t="s">
        <v>210</v>
      </c>
      <c r="H375" s="0">
        <v>0</v>
      </c>
      <c r="I375" s="0">
        <v>0</v>
      </c>
      <c r="J375" s="0">
        <v>0</v>
      </c>
      <c r="K375" s="0">
        <v>0</v>
      </c>
      <c r="L375" s="0">
        <v>37</v>
      </c>
      <c r="M375" s="0">
        <v>37</v>
      </c>
      <c r="N375" s="0">
        <v>38</v>
      </c>
      <c r="O375" s="0">
        <v>2</v>
      </c>
      <c r="P375" s="0">
        <v>6650</v>
      </c>
      <c r="Q375" s="0">
        <v>90</v>
      </c>
      <c r="R375" s="0">
        <v>0</v>
      </c>
      <c r="S375" s="0">
        <v>0</v>
      </c>
      <c r="T375" s="0">
        <v>0</v>
      </c>
      <c r="U375" s="0">
        <v>0</v>
      </c>
      <c r="V375" s="0">
        <v>0.973684211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246050</v>
      </c>
    </row>
    <row r="376" ht="14.25" customHeight="1">
      <c r="A376" s="0" t="s">
        <v>191</v>
      </c>
      <c r="B376" s="0" t="s">
        <v>192</v>
      </c>
      <c r="C376" s="0" t="s">
        <v>92</v>
      </c>
      <c r="D376" s="0" t="s">
        <v>204</v>
      </c>
      <c r="E376" s="0" t="s">
        <v>198</v>
      </c>
      <c r="F376" s="0" t="s">
        <v>197</v>
      </c>
      <c r="G376" s="0" t="s">
        <v>210</v>
      </c>
      <c r="H376" s="0">
        <v>0</v>
      </c>
      <c r="I376" s="0">
        <v>0</v>
      </c>
      <c r="J376" s="0">
        <v>0</v>
      </c>
      <c r="K376" s="0">
        <v>0</v>
      </c>
      <c r="L376" s="0">
        <v>36</v>
      </c>
      <c r="M376" s="0">
        <v>36</v>
      </c>
      <c r="N376" s="0">
        <v>37</v>
      </c>
      <c r="O376" s="0">
        <v>2</v>
      </c>
      <c r="P376" s="0">
        <v>6650</v>
      </c>
      <c r="Q376" s="0">
        <v>90</v>
      </c>
      <c r="R376" s="0">
        <v>0</v>
      </c>
      <c r="S376" s="0">
        <v>0</v>
      </c>
      <c r="T376" s="0">
        <v>0</v>
      </c>
      <c r="U376" s="0">
        <v>0</v>
      </c>
      <c r="V376" s="0">
        <v>0.972972973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239400</v>
      </c>
    </row>
    <row r="377" ht="14.25" customHeight="1">
      <c r="A377" s="0" t="s">
        <v>191</v>
      </c>
      <c r="B377" s="0" t="s">
        <v>192</v>
      </c>
      <c r="C377" s="0" t="s">
        <v>94</v>
      </c>
      <c r="D377" s="0" t="s">
        <v>205</v>
      </c>
      <c r="E377" s="0" t="s">
        <v>206</v>
      </c>
      <c r="F377" s="0" t="s">
        <v>197</v>
      </c>
      <c r="G377" s="0" t="s">
        <v>210</v>
      </c>
      <c r="H377" s="0">
        <v>741</v>
      </c>
      <c r="I377" s="0">
        <v>148</v>
      </c>
      <c r="J377" s="0">
        <v>104</v>
      </c>
      <c r="K377" s="0">
        <v>43</v>
      </c>
      <c r="L377" s="0">
        <v>0</v>
      </c>
      <c r="M377" s="0">
        <v>43</v>
      </c>
      <c r="N377" s="0">
        <v>0</v>
      </c>
      <c r="O377" s="0">
        <v>2</v>
      </c>
      <c r="P377" s="0">
        <v>6300</v>
      </c>
      <c r="Q377" s="0">
        <v>90</v>
      </c>
      <c r="R377" s="0">
        <v>355</v>
      </c>
      <c r="S377" s="0">
        <v>399</v>
      </c>
      <c r="T377" s="0">
        <v>16642</v>
      </c>
      <c r="U377" s="0">
        <v>29976</v>
      </c>
      <c r="V377" s="0">
        <v>0</v>
      </c>
      <c r="W377" s="0">
        <v>0.199730094</v>
      </c>
      <c r="X377" s="0">
        <v>0.702702703</v>
      </c>
      <c r="Y377" s="0">
        <v>0.413461538</v>
      </c>
      <c r="Z377" s="0">
        <v>754</v>
      </c>
      <c r="AA377" s="0">
        <v>0.470822281</v>
      </c>
      <c r="AB377" s="0">
        <v>41.709273183</v>
      </c>
      <c r="AC377" s="0">
        <v>274770</v>
      </c>
    </row>
    <row r="378" ht="14.25" customHeight="1">
      <c r="A378" s="0" t="s">
        <v>191</v>
      </c>
      <c r="B378" s="0" t="s">
        <v>192</v>
      </c>
      <c r="C378" s="0" t="s">
        <v>94</v>
      </c>
      <c r="D378" s="0" t="s">
        <v>205</v>
      </c>
      <c r="E378" s="0" t="s">
        <v>207</v>
      </c>
      <c r="F378" s="0" t="s">
        <v>197</v>
      </c>
      <c r="G378" s="0" t="s">
        <v>210</v>
      </c>
      <c r="H378" s="0">
        <v>0</v>
      </c>
      <c r="I378" s="0">
        <v>0</v>
      </c>
      <c r="J378" s="0">
        <v>0</v>
      </c>
      <c r="K378" s="0">
        <v>0</v>
      </c>
      <c r="L378" s="0">
        <v>42</v>
      </c>
      <c r="M378" s="0">
        <v>42</v>
      </c>
      <c r="N378" s="0">
        <v>43</v>
      </c>
      <c r="O378" s="0">
        <v>2</v>
      </c>
      <c r="P378" s="0">
        <v>6300</v>
      </c>
      <c r="Q378" s="0">
        <v>90</v>
      </c>
      <c r="R378" s="0">
        <v>0</v>
      </c>
      <c r="S378" s="0">
        <v>0</v>
      </c>
      <c r="T378" s="0">
        <v>0</v>
      </c>
      <c r="U378" s="0">
        <v>0</v>
      </c>
      <c r="V378" s="0">
        <v>0.976744186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264600</v>
      </c>
    </row>
    <row r="379" ht="14.25" customHeight="1">
      <c r="A379" s="0" t="s">
        <v>191</v>
      </c>
      <c r="B379" s="0" t="s">
        <v>192</v>
      </c>
      <c r="C379" s="0" t="s">
        <v>94</v>
      </c>
      <c r="D379" s="0" t="s">
        <v>208</v>
      </c>
      <c r="E379" s="0" t="s">
        <v>194</v>
      </c>
      <c r="F379" s="0" t="s">
        <v>197</v>
      </c>
      <c r="G379" s="0" t="s">
        <v>210</v>
      </c>
      <c r="H379" s="0">
        <v>741</v>
      </c>
      <c r="I379" s="0">
        <v>148</v>
      </c>
      <c r="J379" s="0">
        <v>104</v>
      </c>
      <c r="K379" s="0">
        <v>43</v>
      </c>
      <c r="L379" s="0">
        <v>0</v>
      </c>
      <c r="M379" s="0">
        <v>43</v>
      </c>
      <c r="N379" s="0">
        <v>0</v>
      </c>
      <c r="O379" s="0">
        <v>2</v>
      </c>
      <c r="P379" s="0">
        <v>7350</v>
      </c>
      <c r="Q379" s="0">
        <v>90</v>
      </c>
      <c r="R379" s="0">
        <v>355</v>
      </c>
      <c r="S379" s="0">
        <v>399</v>
      </c>
      <c r="T379" s="0">
        <v>16642</v>
      </c>
      <c r="U379" s="0">
        <v>29977</v>
      </c>
      <c r="V379" s="0">
        <v>0</v>
      </c>
      <c r="W379" s="0">
        <v>0.199730094</v>
      </c>
      <c r="X379" s="0">
        <v>0.702702703</v>
      </c>
      <c r="Y379" s="0">
        <v>0.413461538</v>
      </c>
      <c r="Z379" s="0">
        <v>754</v>
      </c>
      <c r="AA379" s="0">
        <v>0.470822281</v>
      </c>
      <c r="AB379" s="0">
        <v>41.709273183</v>
      </c>
      <c r="AC379" s="0">
        <v>319920</v>
      </c>
    </row>
    <row r="380" ht="14.25" customHeight="1">
      <c r="A380" s="0" t="s">
        <v>191</v>
      </c>
      <c r="B380" s="0" t="s">
        <v>192</v>
      </c>
      <c r="C380" s="0" t="s">
        <v>94</v>
      </c>
      <c r="D380" s="0" t="s">
        <v>208</v>
      </c>
      <c r="E380" s="0" t="s">
        <v>198</v>
      </c>
      <c r="F380" s="0" t="s">
        <v>197</v>
      </c>
      <c r="G380" s="0" t="s">
        <v>210</v>
      </c>
      <c r="H380" s="0">
        <v>0</v>
      </c>
      <c r="I380" s="0">
        <v>0</v>
      </c>
      <c r="J380" s="0">
        <v>0</v>
      </c>
      <c r="K380" s="0">
        <v>0</v>
      </c>
      <c r="L380" s="0">
        <v>42</v>
      </c>
      <c r="M380" s="0">
        <v>42</v>
      </c>
      <c r="N380" s="0">
        <v>43</v>
      </c>
      <c r="O380" s="0">
        <v>2</v>
      </c>
      <c r="P380" s="0">
        <v>7350</v>
      </c>
      <c r="Q380" s="0">
        <v>90</v>
      </c>
      <c r="R380" s="0">
        <v>0</v>
      </c>
      <c r="S380" s="0">
        <v>0</v>
      </c>
      <c r="T380" s="0">
        <v>0</v>
      </c>
      <c r="U380" s="0">
        <v>0</v>
      </c>
      <c r="V380" s="0">
        <v>0.976744186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308700</v>
      </c>
    </row>
    <row r="381" ht="14.25" customHeight="1">
      <c r="A381" s="0" t="s">
        <v>191</v>
      </c>
      <c r="B381" s="0" t="s">
        <v>192</v>
      </c>
      <c r="C381" s="0" t="s">
        <v>95</v>
      </c>
      <c r="D381" s="0" t="s">
        <v>205</v>
      </c>
      <c r="E381" s="0" t="s">
        <v>206</v>
      </c>
      <c r="F381" s="0" t="s">
        <v>197</v>
      </c>
      <c r="G381" s="0" t="s">
        <v>210</v>
      </c>
      <c r="H381" s="0">
        <v>580</v>
      </c>
      <c r="I381" s="0">
        <v>116</v>
      </c>
      <c r="J381" s="0">
        <v>81</v>
      </c>
      <c r="K381" s="0">
        <v>34</v>
      </c>
      <c r="L381" s="0">
        <v>0</v>
      </c>
      <c r="M381" s="0">
        <v>34</v>
      </c>
      <c r="N381" s="0">
        <v>0</v>
      </c>
      <c r="O381" s="0">
        <v>2</v>
      </c>
      <c r="P381" s="0">
        <v>5820</v>
      </c>
      <c r="Q381" s="0">
        <v>90</v>
      </c>
      <c r="R381" s="0">
        <v>314</v>
      </c>
      <c r="S381" s="0">
        <v>276</v>
      </c>
      <c r="T381" s="0">
        <v>9986</v>
      </c>
      <c r="U381" s="0">
        <v>26636</v>
      </c>
      <c r="V381" s="0">
        <v>0</v>
      </c>
      <c r="W381" s="0">
        <v>0.2</v>
      </c>
      <c r="X381" s="0">
        <v>0.698275862</v>
      </c>
      <c r="Y381" s="0">
        <v>0.419753086</v>
      </c>
      <c r="Z381" s="0">
        <v>590</v>
      </c>
      <c r="AA381" s="0">
        <v>0.53220339</v>
      </c>
      <c r="AB381" s="0">
        <v>36.18115942</v>
      </c>
      <c r="AC381" s="0">
        <v>200940</v>
      </c>
    </row>
    <row r="382" ht="14.25" customHeight="1">
      <c r="A382" s="0" t="s">
        <v>191</v>
      </c>
      <c r="B382" s="0" t="s">
        <v>192</v>
      </c>
      <c r="C382" s="0" t="s">
        <v>95</v>
      </c>
      <c r="D382" s="0" t="s">
        <v>205</v>
      </c>
      <c r="E382" s="0" t="s">
        <v>207</v>
      </c>
      <c r="F382" s="0" t="s">
        <v>197</v>
      </c>
      <c r="G382" s="0" t="s">
        <v>210</v>
      </c>
      <c r="H382" s="0">
        <v>0</v>
      </c>
      <c r="I382" s="0">
        <v>0</v>
      </c>
      <c r="J382" s="0">
        <v>0</v>
      </c>
      <c r="K382" s="0">
        <v>0</v>
      </c>
      <c r="L382" s="0">
        <v>33</v>
      </c>
      <c r="M382" s="0">
        <v>33</v>
      </c>
      <c r="N382" s="0">
        <v>34</v>
      </c>
      <c r="O382" s="0">
        <v>2</v>
      </c>
      <c r="P382" s="0">
        <v>5820</v>
      </c>
      <c r="Q382" s="0">
        <v>90</v>
      </c>
      <c r="R382" s="0">
        <v>0</v>
      </c>
      <c r="S382" s="0">
        <v>0</v>
      </c>
      <c r="T382" s="0">
        <v>0</v>
      </c>
      <c r="U382" s="0">
        <v>0</v>
      </c>
      <c r="V382" s="0">
        <v>0.970588235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192060</v>
      </c>
    </row>
    <row r="383" ht="14.25" customHeight="1">
      <c r="A383" s="0" t="s">
        <v>191</v>
      </c>
      <c r="B383" s="0" t="s">
        <v>192</v>
      </c>
      <c r="C383" s="0" t="s">
        <v>95</v>
      </c>
      <c r="D383" s="0" t="s">
        <v>208</v>
      </c>
      <c r="E383" s="0" t="s">
        <v>194</v>
      </c>
      <c r="F383" s="0" t="s">
        <v>197</v>
      </c>
      <c r="G383" s="0" t="s">
        <v>210</v>
      </c>
      <c r="H383" s="0">
        <v>580</v>
      </c>
      <c r="I383" s="0">
        <v>116</v>
      </c>
      <c r="J383" s="0">
        <v>81</v>
      </c>
      <c r="K383" s="0">
        <v>34</v>
      </c>
      <c r="L383" s="0">
        <v>0</v>
      </c>
      <c r="M383" s="0">
        <v>34</v>
      </c>
      <c r="N383" s="0">
        <v>0</v>
      </c>
      <c r="O383" s="0">
        <v>2</v>
      </c>
      <c r="P383" s="0">
        <v>6790</v>
      </c>
      <c r="Q383" s="0">
        <v>90</v>
      </c>
      <c r="R383" s="0">
        <v>313</v>
      </c>
      <c r="S383" s="0">
        <v>276</v>
      </c>
      <c r="T383" s="0">
        <v>9985</v>
      </c>
      <c r="U383" s="0">
        <v>26637</v>
      </c>
      <c r="V383" s="0">
        <v>0</v>
      </c>
      <c r="W383" s="0">
        <v>0.2</v>
      </c>
      <c r="X383" s="0">
        <v>0.698275862</v>
      </c>
      <c r="Y383" s="0">
        <v>0.419753086</v>
      </c>
      <c r="Z383" s="0">
        <v>589</v>
      </c>
      <c r="AA383" s="0">
        <v>0.531409168</v>
      </c>
      <c r="AB383" s="0">
        <v>36.177536232</v>
      </c>
      <c r="AC383" s="0">
        <v>233920</v>
      </c>
    </row>
    <row r="384" ht="14.25" customHeight="1">
      <c r="A384" s="0" t="s">
        <v>191</v>
      </c>
      <c r="B384" s="0" t="s">
        <v>192</v>
      </c>
      <c r="C384" s="0" t="s">
        <v>95</v>
      </c>
      <c r="D384" s="0" t="s">
        <v>208</v>
      </c>
      <c r="E384" s="0" t="s">
        <v>198</v>
      </c>
      <c r="F384" s="0" t="s">
        <v>197</v>
      </c>
      <c r="G384" s="0" t="s">
        <v>210</v>
      </c>
      <c r="H384" s="0">
        <v>0</v>
      </c>
      <c r="I384" s="0">
        <v>0</v>
      </c>
      <c r="J384" s="0">
        <v>0</v>
      </c>
      <c r="K384" s="0">
        <v>0</v>
      </c>
      <c r="L384" s="0">
        <v>33</v>
      </c>
      <c r="M384" s="0">
        <v>33</v>
      </c>
      <c r="N384" s="0">
        <v>34</v>
      </c>
      <c r="O384" s="0">
        <v>2</v>
      </c>
      <c r="P384" s="0">
        <v>6790</v>
      </c>
      <c r="Q384" s="0">
        <v>90</v>
      </c>
      <c r="R384" s="0">
        <v>0</v>
      </c>
      <c r="S384" s="0">
        <v>0</v>
      </c>
      <c r="T384" s="0">
        <v>0</v>
      </c>
      <c r="U384" s="0">
        <v>0</v>
      </c>
      <c r="V384" s="0">
        <v>0.970588235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224070</v>
      </c>
    </row>
    <row r="385" ht="14.25" customHeight="1">
      <c r="A385" s="0" t="s">
        <v>191</v>
      </c>
      <c r="B385" s="0" t="s">
        <v>192</v>
      </c>
      <c r="C385" s="0" t="s">
        <v>96</v>
      </c>
      <c r="D385" s="0" t="s">
        <v>209</v>
      </c>
      <c r="E385" s="0" t="s">
        <v>194</v>
      </c>
      <c r="F385" s="0" t="s">
        <v>197</v>
      </c>
      <c r="G385" s="0" t="s">
        <v>210</v>
      </c>
      <c r="H385" s="0">
        <v>755</v>
      </c>
      <c r="I385" s="0">
        <v>151</v>
      </c>
      <c r="J385" s="0">
        <v>106</v>
      </c>
      <c r="K385" s="0">
        <v>44</v>
      </c>
      <c r="L385" s="0">
        <v>0</v>
      </c>
      <c r="M385" s="0">
        <v>44</v>
      </c>
      <c r="N385" s="0">
        <v>0</v>
      </c>
      <c r="O385" s="0">
        <v>2</v>
      </c>
      <c r="P385" s="0">
        <v>7840</v>
      </c>
      <c r="Q385" s="0">
        <v>90</v>
      </c>
      <c r="R385" s="0">
        <v>235</v>
      </c>
      <c r="S385" s="0">
        <v>538</v>
      </c>
      <c r="T385" s="0">
        <v>27491</v>
      </c>
      <c r="U385" s="0">
        <v>20429</v>
      </c>
      <c r="V385" s="0">
        <v>0</v>
      </c>
      <c r="W385" s="0">
        <v>0.2</v>
      </c>
      <c r="X385" s="0">
        <v>0.701986755</v>
      </c>
      <c r="Y385" s="0">
        <v>0.41509434</v>
      </c>
      <c r="Z385" s="0">
        <v>773</v>
      </c>
      <c r="AA385" s="0">
        <v>0.304010349</v>
      </c>
      <c r="AB385" s="0">
        <v>51.098513011</v>
      </c>
      <c r="AC385" s="0">
        <v>348920</v>
      </c>
    </row>
    <row r="386" ht="14.25" customHeight="1">
      <c r="A386" s="0" t="s">
        <v>191</v>
      </c>
      <c r="B386" s="0" t="s">
        <v>192</v>
      </c>
      <c r="C386" s="0" t="s">
        <v>96</v>
      </c>
      <c r="D386" s="0" t="s">
        <v>209</v>
      </c>
      <c r="E386" s="0" t="s">
        <v>196</v>
      </c>
      <c r="F386" s="0" t="s">
        <v>197</v>
      </c>
      <c r="G386" s="0" t="s">
        <v>210</v>
      </c>
      <c r="H386" s="0">
        <v>0</v>
      </c>
      <c r="I386" s="0">
        <v>0</v>
      </c>
      <c r="J386" s="0">
        <v>0</v>
      </c>
      <c r="K386" s="0">
        <v>0</v>
      </c>
      <c r="L386" s="0">
        <v>43</v>
      </c>
      <c r="M386" s="0">
        <v>43</v>
      </c>
      <c r="N386" s="0">
        <v>44</v>
      </c>
      <c r="O386" s="0">
        <v>2</v>
      </c>
      <c r="P386" s="0">
        <v>7840</v>
      </c>
      <c r="Q386" s="0">
        <v>90</v>
      </c>
      <c r="R386" s="0">
        <v>0</v>
      </c>
      <c r="S386" s="0">
        <v>0</v>
      </c>
      <c r="T386" s="0">
        <v>0</v>
      </c>
      <c r="U386" s="0">
        <v>0</v>
      </c>
      <c r="V386" s="0">
        <v>0.977272727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337120</v>
      </c>
    </row>
    <row r="387" ht="14.25" customHeight="1">
      <c r="A387" s="0" t="s">
        <v>191</v>
      </c>
      <c r="B387" s="0" t="s">
        <v>192</v>
      </c>
      <c r="C387" s="0" t="s">
        <v>96</v>
      </c>
      <c r="D387" s="0" t="s">
        <v>209</v>
      </c>
      <c r="E387" s="0" t="s">
        <v>198</v>
      </c>
      <c r="F387" s="0" t="s">
        <v>197</v>
      </c>
      <c r="G387" s="0" t="s">
        <v>210</v>
      </c>
      <c r="H387" s="0">
        <v>0</v>
      </c>
      <c r="I387" s="0">
        <v>0</v>
      </c>
      <c r="J387" s="0">
        <v>0</v>
      </c>
      <c r="K387" s="0">
        <v>0</v>
      </c>
      <c r="L387" s="0">
        <v>42</v>
      </c>
      <c r="M387" s="0">
        <v>42</v>
      </c>
      <c r="N387" s="0">
        <v>43</v>
      </c>
      <c r="O387" s="0">
        <v>2</v>
      </c>
      <c r="P387" s="0">
        <v>7840</v>
      </c>
      <c r="Q387" s="0">
        <v>90</v>
      </c>
      <c r="R387" s="0">
        <v>0</v>
      </c>
      <c r="S387" s="0">
        <v>0</v>
      </c>
      <c r="T387" s="0">
        <v>0</v>
      </c>
      <c r="U387" s="0">
        <v>0</v>
      </c>
      <c r="V387" s="0">
        <v>0.976744186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329280</v>
      </c>
    </row>
    <row r="388" ht="14.25" customHeight="1">
      <c r="A388" s="0" t="s">
        <v>191</v>
      </c>
      <c r="B388" s="0" t="s">
        <v>192</v>
      </c>
      <c r="C388" s="0" t="s">
        <v>97</v>
      </c>
      <c r="D388" s="0" t="s">
        <v>209</v>
      </c>
      <c r="E388" s="0" t="s">
        <v>194</v>
      </c>
      <c r="F388" s="0" t="s">
        <v>197</v>
      </c>
      <c r="G388" s="0" t="s">
        <v>210</v>
      </c>
      <c r="H388" s="0">
        <v>642</v>
      </c>
      <c r="I388" s="0">
        <v>128</v>
      </c>
      <c r="J388" s="0">
        <v>90</v>
      </c>
      <c r="K388" s="0">
        <v>38</v>
      </c>
      <c r="L388" s="0">
        <v>0</v>
      </c>
      <c r="M388" s="0">
        <v>38</v>
      </c>
      <c r="N388" s="0">
        <v>0</v>
      </c>
      <c r="O388" s="0">
        <v>2</v>
      </c>
      <c r="P388" s="0">
        <v>7350</v>
      </c>
      <c r="Q388" s="0">
        <v>90</v>
      </c>
      <c r="R388" s="0">
        <v>247</v>
      </c>
      <c r="S388" s="0">
        <v>410</v>
      </c>
      <c r="T388" s="0">
        <v>17136</v>
      </c>
      <c r="U388" s="0">
        <v>21550</v>
      </c>
      <c r="V388" s="0">
        <v>0</v>
      </c>
      <c r="W388" s="0">
        <v>0.199376947</v>
      </c>
      <c r="X388" s="0">
        <v>0.703125</v>
      </c>
      <c r="Y388" s="0">
        <v>0.422222222</v>
      </c>
      <c r="Z388" s="0">
        <v>657</v>
      </c>
      <c r="AA388" s="0">
        <v>0.375951294</v>
      </c>
      <c r="AB388" s="0">
        <v>41.795121951</v>
      </c>
      <c r="AC388" s="0">
        <v>282720</v>
      </c>
    </row>
    <row r="389" ht="14.25" customHeight="1">
      <c r="A389" s="0" t="s">
        <v>191</v>
      </c>
      <c r="B389" s="0" t="s">
        <v>192</v>
      </c>
      <c r="C389" s="0" t="s">
        <v>97</v>
      </c>
      <c r="D389" s="0" t="s">
        <v>209</v>
      </c>
      <c r="E389" s="0" t="s">
        <v>196</v>
      </c>
      <c r="F389" s="0" t="s">
        <v>197</v>
      </c>
      <c r="G389" s="0" t="s">
        <v>210</v>
      </c>
      <c r="H389" s="0">
        <v>0</v>
      </c>
      <c r="I389" s="0">
        <v>0</v>
      </c>
      <c r="J389" s="0">
        <v>0</v>
      </c>
      <c r="K389" s="0">
        <v>0</v>
      </c>
      <c r="L389" s="0">
        <v>37</v>
      </c>
      <c r="M389" s="0">
        <v>37</v>
      </c>
      <c r="N389" s="0">
        <v>38</v>
      </c>
      <c r="O389" s="0">
        <v>2</v>
      </c>
      <c r="P389" s="0">
        <v>7350</v>
      </c>
      <c r="Q389" s="0">
        <v>90</v>
      </c>
      <c r="R389" s="0">
        <v>0</v>
      </c>
      <c r="S389" s="0">
        <v>0</v>
      </c>
      <c r="T389" s="0">
        <v>0</v>
      </c>
      <c r="U389" s="0">
        <v>0</v>
      </c>
      <c r="V389" s="0">
        <v>0.973684211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271950</v>
      </c>
    </row>
    <row r="390" ht="14.25" customHeight="1">
      <c r="A390" s="0" t="s">
        <v>191</v>
      </c>
      <c r="B390" s="0" t="s">
        <v>192</v>
      </c>
      <c r="C390" s="0" t="s">
        <v>97</v>
      </c>
      <c r="D390" s="0" t="s">
        <v>209</v>
      </c>
      <c r="E390" s="0" t="s">
        <v>198</v>
      </c>
      <c r="F390" s="0" t="s">
        <v>197</v>
      </c>
      <c r="G390" s="0" t="s">
        <v>210</v>
      </c>
      <c r="H390" s="0">
        <v>0</v>
      </c>
      <c r="I390" s="0">
        <v>0</v>
      </c>
      <c r="J390" s="0">
        <v>0</v>
      </c>
      <c r="K390" s="0">
        <v>0</v>
      </c>
      <c r="L390" s="0">
        <v>36</v>
      </c>
      <c r="M390" s="0">
        <v>36</v>
      </c>
      <c r="N390" s="0">
        <v>37</v>
      </c>
      <c r="O390" s="0">
        <v>2</v>
      </c>
      <c r="P390" s="0">
        <v>7350</v>
      </c>
      <c r="Q390" s="0">
        <v>90</v>
      </c>
      <c r="R390" s="0">
        <v>0</v>
      </c>
      <c r="S390" s="0">
        <v>0</v>
      </c>
      <c r="T390" s="0">
        <v>0</v>
      </c>
      <c r="U390" s="0">
        <v>0</v>
      </c>
      <c r="V390" s="0">
        <v>0.972972973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264600</v>
      </c>
    </row>
    <row r="391" ht="14.25" customHeight="1">
      <c r="A391" s="0" t="s">
        <v>191</v>
      </c>
      <c r="B391" s="0" t="s">
        <v>192</v>
      </c>
      <c r="C391" s="0" t="s">
        <v>75</v>
      </c>
      <c r="D391" s="0" t="s">
        <v>193</v>
      </c>
      <c r="E391" s="0" t="s">
        <v>194</v>
      </c>
      <c r="F391" s="0" t="s">
        <v>195</v>
      </c>
      <c r="G391" s="0" t="s">
        <v>211</v>
      </c>
      <c r="H391" s="0">
        <v>575</v>
      </c>
      <c r="I391" s="0">
        <v>161</v>
      </c>
      <c r="J391" s="0">
        <v>116</v>
      </c>
      <c r="K391" s="0">
        <v>69</v>
      </c>
      <c r="L391" s="0">
        <v>0</v>
      </c>
      <c r="M391" s="0">
        <v>69</v>
      </c>
      <c r="N391" s="0">
        <v>0</v>
      </c>
      <c r="O391" s="0">
        <v>3</v>
      </c>
      <c r="P391" s="0">
        <v>8400</v>
      </c>
      <c r="Q391" s="0">
        <v>90</v>
      </c>
      <c r="R391" s="0">
        <v>203</v>
      </c>
      <c r="S391" s="0">
        <v>379</v>
      </c>
      <c r="T391" s="0">
        <v>18451</v>
      </c>
      <c r="U391" s="0">
        <v>13653</v>
      </c>
      <c r="V391" s="0">
        <v>0</v>
      </c>
      <c r="W391" s="0">
        <v>0.28</v>
      </c>
      <c r="X391" s="0">
        <v>0.720496894</v>
      </c>
      <c r="Y391" s="0">
        <v>0.594827586</v>
      </c>
      <c r="Z391" s="0">
        <v>582</v>
      </c>
      <c r="AA391" s="0">
        <v>0.348797251</v>
      </c>
      <c r="AB391" s="0">
        <v>48.683377309</v>
      </c>
      <c r="AC391" s="0">
        <v>585810</v>
      </c>
    </row>
    <row r="392" ht="14.25" customHeight="1">
      <c r="A392" s="0" t="s">
        <v>191</v>
      </c>
      <c r="B392" s="0" t="s">
        <v>192</v>
      </c>
      <c r="C392" s="0" t="s">
        <v>75</v>
      </c>
      <c r="D392" s="0" t="s">
        <v>193</v>
      </c>
      <c r="E392" s="0" t="s">
        <v>196</v>
      </c>
      <c r="F392" s="0" t="s">
        <v>197</v>
      </c>
      <c r="G392" s="0" t="s">
        <v>211</v>
      </c>
      <c r="H392" s="0">
        <v>0</v>
      </c>
      <c r="I392" s="0">
        <v>0</v>
      </c>
      <c r="J392" s="0">
        <v>0</v>
      </c>
      <c r="K392" s="0">
        <v>0</v>
      </c>
      <c r="L392" s="0">
        <v>68</v>
      </c>
      <c r="M392" s="0">
        <v>68</v>
      </c>
      <c r="N392" s="0">
        <v>69</v>
      </c>
      <c r="O392" s="0">
        <v>3</v>
      </c>
      <c r="P392" s="0">
        <v>7840</v>
      </c>
      <c r="Q392" s="0">
        <v>90</v>
      </c>
      <c r="R392" s="0">
        <v>0</v>
      </c>
      <c r="S392" s="0">
        <v>0</v>
      </c>
      <c r="T392" s="0">
        <v>0</v>
      </c>
      <c r="U392" s="0">
        <v>0</v>
      </c>
      <c r="V392" s="0">
        <v>0.985507246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533120</v>
      </c>
    </row>
    <row r="393" ht="14.25" customHeight="1">
      <c r="A393" s="0" t="s">
        <v>191</v>
      </c>
      <c r="B393" s="0" t="s">
        <v>192</v>
      </c>
      <c r="C393" s="0" t="s">
        <v>75</v>
      </c>
      <c r="D393" s="0" t="s">
        <v>193</v>
      </c>
      <c r="E393" s="0" t="s">
        <v>198</v>
      </c>
      <c r="F393" s="0" t="s">
        <v>197</v>
      </c>
      <c r="G393" s="0" t="s">
        <v>211</v>
      </c>
      <c r="H393" s="0">
        <v>0</v>
      </c>
      <c r="I393" s="0">
        <v>0</v>
      </c>
      <c r="J393" s="0">
        <v>0</v>
      </c>
      <c r="K393" s="0">
        <v>0</v>
      </c>
      <c r="L393" s="0">
        <v>66</v>
      </c>
      <c r="M393" s="0">
        <v>66</v>
      </c>
      <c r="N393" s="0">
        <v>68</v>
      </c>
      <c r="O393" s="0">
        <v>3</v>
      </c>
      <c r="P393" s="0">
        <v>7840</v>
      </c>
      <c r="Q393" s="0">
        <v>90</v>
      </c>
      <c r="R393" s="0">
        <v>0</v>
      </c>
      <c r="S393" s="0">
        <v>0</v>
      </c>
      <c r="T393" s="0">
        <v>0</v>
      </c>
      <c r="U393" s="0">
        <v>0</v>
      </c>
      <c r="V393" s="0">
        <v>0.970588235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517440</v>
      </c>
    </row>
    <row r="394" ht="14.25" customHeight="1">
      <c r="A394" s="0" t="s">
        <v>191</v>
      </c>
      <c r="B394" s="0" t="s">
        <v>192</v>
      </c>
      <c r="C394" s="0" t="s">
        <v>75</v>
      </c>
      <c r="D394" s="0" t="s">
        <v>199</v>
      </c>
      <c r="E394" s="0" t="s">
        <v>200</v>
      </c>
      <c r="F394" s="0" t="s">
        <v>197</v>
      </c>
      <c r="G394" s="0" t="s">
        <v>211</v>
      </c>
      <c r="H394" s="0">
        <v>1184</v>
      </c>
      <c r="I394" s="0">
        <v>237</v>
      </c>
      <c r="J394" s="0">
        <v>166</v>
      </c>
      <c r="K394" s="0">
        <v>69</v>
      </c>
      <c r="L394" s="0">
        <v>0</v>
      </c>
      <c r="M394" s="0">
        <v>69</v>
      </c>
      <c r="N394" s="0">
        <v>0</v>
      </c>
      <c r="O394" s="0">
        <v>3</v>
      </c>
      <c r="P394" s="0">
        <v>8400</v>
      </c>
      <c r="Q394" s="0">
        <v>90</v>
      </c>
      <c r="R394" s="0">
        <v>418</v>
      </c>
      <c r="S394" s="0">
        <v>779</v>
      </c>
      <c r="T394" s="0">
        <v>37987</v>
      </c>
      <c r="U394" s="0">
        <v>28108</v>
      </c>
      <c r="V394" s="0">
        <v>0</v>
      </c>
      <c r="W394" s="0">
        <v>0.200168919</v>
      </c>
      <c r="X394" s="0">
        <v>0.700421941</v>
      </c>
      <c r="Y394" s="0">
        <v>0.415662651</v>
      </c>
      <c r="Z394" s="0">
        <v>1197</v>
      </c>
      <c r="AA394" s="0">
        <v>0.349206349</v>
      </c>
      <c r="AB394" s="0">
        <v>48.763799743</v>
      </c>
      <c r="AC394" s="0">
        <v>585810</v>
      </c>
    </row>
    <row r="395" ht="14.25" customHeight="1">
      <c r="A395" s="0" t="s">
        <v>191</v>
      </c>
      <c r="B395" s="0" t="s">
        <v>192</v>
      </c>
      <c r="C395" s="0" t="s">
        <v>75</v>
      </c>
      <c r="D395" s="0" t="s">
        <v>199</v>
      </c>
      <c r="E395" s="0" t="s">
        <v>201</v>
      </c>
      <c r="F395" s="0" t="s">
        <v>197</v>
      </c>
      <c r="G395" s="0" t="s">
        <v>211</v>
      </c>
      <c r="H395" s="0">
        <v>0</v>
      </c>
      <c r="I395" s="0">
        <v>0</v>
      </c>
      <c r="J395" s="0">
        <v>0</v>
      </c>
      <c r="K395" s="0">
        <v>0</v>
      </c>
      <c r="L395" s="0">
        <v>68</v>
      </c>
      <c r="M395" s="0">
        <v>68</v>
      </c>
      <c r="N395" s="0">
        <v>69</v>
      </c>
      <c r="O395" s="0">
        <v>3</v>
      </c>
      <c r="P395" s="0">
        <v>8400</v>
      </c>
      <c r="Q395" s="0">
        <v>90</v>
      </c>
      <c r="R395" s="0">
        <v>0</v>
      </c>
      <c r="S395" s="0">
        <v>0</v>
      </c>
      <c r="T395" s="0">
        <v>0</v>
      </c>
      <c r="U395" s="0">
        <v>0</v>
      </c>
      <c r="V395" s="0">
        <v>0.985507246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571200</v>
      </c>
    </row>
    <row r="396" ht="14.25" customHeight="1">
      <c r="A396" s="0" t="s">
        <v>191</v>
      </c>
      <c r="B396" s="0" t="s">
        <v>192</v>
      </c>
      <c r="C396" s="0" t="s">
        <v>77</v>
      </c>
      <c r="D396" s="0" t="s">
        <v>193</v>
      </c>
      <c r="E396" s="0" t="s">
        <v>194</v>
      </c>
      <c r="F396" s="0" t="s">
        <v>195</v>
      </c>
      <c r="G396" s="0" t="s">
        <v>211</v>
      </c>
      <c r="H396" s="0">
        <v>486</v>
      </c>
      <c r="I396" s="0">
        <v>136</v>
      </c>
      <c r="J396" s="0">
        <v>98</v>
      </c>
      <c r="K396" s="0">
        <v>59</v>
      </c>
      <c r="L396" s="0">
        <v>0</v>
      </c>
      <c r="M396" s="0">
        <v>59</v>
      </c>
      <c r="N396" s="0">
        <v>0</v>
      </c>
      <c r="O396" s="0">
        <v>3</v>
      </c>
      <c r="P396" s="0">
        <v>7875</v>
      </c>
      <c r="Q396" s="0">
        <v>90</v>
      </c>
      <c r="R396" s="0">
        <v>205</v>
      </c>
      <c r="S396" s="0">
        <v>283</v>
      </c>
      <c r="T396" s="0">
        <v>11317</v>
      </c>
      <c r="U396" s="0">
        <v>14174</v>
      </c>
      <c r="V396" s="0">
        <v>0</v>
      </c>
      <c r="W396" s="0">
        <v>0.279835391</v>
      </c>
      <c r="X396" s="0">
        <v>0.720588235</v>
      </c>
      <c r="Y396" s="0">
        <v>0.602040816</v>
      </c>
      <c r="Z396" s="0">
        <v>488</v>
      </c>
      <c r="AA396" s="0">
        <v>0.420081967</v>
      </c>
      <c r="AB396" s="0">
        <v>39.989399293</v>
      </c>
      <c r="AC396" s="0">
        <v>469935</v>
      </c>
    </row>
    <row r="397" ht="14.25" customHeight="1">
      <c r="A397" s="0" t="s">
        <v>191</v>
      </c>
      <c r="B397" s="0" t="s">
        <v>192</v>
      </c>
      <c r="C397" s="0" t="s">
        <v>77</v>
      </c>
      <c r="D397" s="0" t="s">
        <v>193</v>
      </c>
      <c r="E397" s="0" t="s">
        <v>196</v>
      </c>
      <c r="F397" s="0" t="s">
        <v>197</v>
      </c>
      <c r="G397" s="0" t="s">
        <v>211</v>
      </c>
      <c r="H397" s="0">
        <v>0</v>
      </c>
      <c r="I397" s="0">
        <v>0</v>
      </c>
      <c r="J397" s="0">
        <v>0</v>
      </c>
      <c r="K397" s="0">
        <v>0</v>
      </c>
      <c r="L397" s="0">
        <v>57</v>
      </c>
      <c r="M397" s="0">
        <v>57</v>
      </c>
      <c r="N397" s="0">
        <v>59</v>
      </c>
      <c r="O397" s="0">
        <v>2</v>
      </c>
      <c r="P397" s="0">
        <v>7350</v>
      </c>
      <c r="Q397" s="0">
        <v>90</v>
      </c>
      <c r="R397" s="0">
        <v>0</v>
      </c>
      <c r="S397" s="0">
        <v>0</v>
      </c>
      <c r="T397" s="0">
        <v>0</v>
      </c>
      <c r="U397" s="0">
        <v>0</v>
      </c>
      <c r="V397" s="0">
        <v>0.966101695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418950</v>
      </c>
    </row>
    <row r="398" ht="14.25" customHeight="1">
      <c r="A398" s="0" t="s">
        <v>191</v>
      </c>
      <c r="B398" s="0" t="s">
        <v>192</v>
      </c>
      <c r="C398" s="0" t="s">
        <v>77</v>
      </c>
      <c r="D398" s="0" t="s">
        <v>193</v>
      </c>
      <c r="E398" s="0" t="s">
        <v>198</v>
      </c>
      <c r="F398" s="0" t="s">
        <v>197</v>
      </c>
      <c r="G398" s="0" t="s">
        <v>211</v>
      </c>
      <c r="H398" s="0">
        <v>0</v>
      </c>
      <c r="I398" s="0">
        <v>0</v>
      </c>
      <c r="J398" s="0">
        <v>0</v>
      </c>
      <c r="K398" s="0">
        <v>0</v>
      </c>
      <c r="L398" s="0">
        <v>56</v>
      </c>
      <c r="M398" s="0">
        <v>56</v>
      </c>
      <c r="N398" s="0">
        <v>57</v>
      </c>
      <c r="O398" s="0">
        <v>2</v>
      </c>
      <c r="P398" s="0">
        <v>7350</v>
      </c>
      <c r="Q398" s="0">
        <v>90</v>
      </c>
      <c r="R398" s="0">
        <v>0</v>
      </c>
      <c r="S398" s="0">
        <v>0</v>
      </c>
      <c r="T398" s="0">
        <v>0</v>
      </c>
      <c r="U398" s="0">
        <v>0</v>
      </c>
      <c r="V398" s="0">
        <v>0.98245614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411600</v>
      </c>
    </row>
    <row r="399" ht="14.25" customHeight="1">
      <c r="A399" s="0" t="s">
        <v>191</v>
      </c>
      <c r="B399" s="0" t="s">
        <v>192</v>
      </c>
      <c r="C399" s="0" t="s">
        <v>77</v>
      </c>
      <c r="D399" s="0" t="s">
        <v>199</v>
      </c>
      <c r="E399" s="0" t="s">
        <v>200</v>
      </c>
      <c r="F399" s="0" t="s">
        <v>197</v>
      </c>
      <c r="G399" s="0" t="s">
        <v>211</v>
      </c>
      <c r="H399" s="0">
        <v>997</v>
      </c>
      <c r="I399" s="0">
        <v>199</v>
      </c>
      <c r="J399" s="0">
        <v>140</v>
      </c>
      <c r="K399" s="0">
        <v>59</v>
      </c>
      <c r="L399" s="0">
        <v>0</v>
      </c>
      <c r="M399" s="0">
        <v>59</v>
      </c>
      <c r="N399" s="0">
        <v>0</v>
      </c>
      <c r="O399" s="0">
        <v>3</v>
      </c>
      <c r="P399" s="0">
        <v>7875</v>
      </c>
      <c r="Q399" s="0">
        <v>90</v>
      </c>
      <c r="R399" s="0">
        <v>421</v>
      </c>
      <c r="S399" s="0">
        <v>580</v>
      </c>
      <c r="T399" s="0">
        <v>23215</v>
      </c>
      <c r="U399" s="0">
        <v>29076</v>
      </c>
      <c r="V399" s="0">
        <v>0</v>
      </c>
      <c r="W399" s="0">
        <v>0.199598796</v>
      </c>
      <c r="X399" s="0">
        <v>0.703517588</v>
      </c>
      <c r="Y399" s="0">
        <v>0.421428571</v>
      </c>
      <c r="Z399" s="0">
        <v>1001</v>
      </c>
      <c r="AA399" s="0">
        <v>0.420579421</v>
      </c>
      <c r="AB399" s="0">
        <v>40.025862069</v>
      </c>
      <c r="AC399" s="0">
        <v>469935</v>
      </c>
    </row>
    <row r="400" ht="14.25" customHeight="1">
      <c r="A400" s="0" t="s">
        <v>191</v>
      </c>
      <c r="B400" s="0" t="s">
        <v>192</v>
      </c>
      <c r="C400" s="0" t="s">
        <v>77</v>
      </c>
      <c r="D400" s="0" t="s">
        <v>199</v>
      </c>
      <c r="E400" s="0" t="s">
        <v>201</v>
      </c>
      <c r="F400" s="0" t="s">
        <v>197</v>
      </c>
      <c r="G400" s="0" t="s">
        <v>211</v>
      </c>
      <c r="H400" s="0">
        <v>0</v>
      </c>
      <c r="I400" s="0">
        <v>0</v>
      </c>
      <c r="J400" s="0">
        <v>0</v>
      </c>
      <c r="K400" s="0">
        <v>0</v>
      </c>
      <c r="L400" s="0">
        <v>58</v>
      </c>
      <c r="M400" s="0">
        <v>58</v>
      </c>
      <c r="N400" s="0">
        <v>59</v>
      </c>
      <c r="O400" s="0">
        <v>3</v>
      </c>
      <c r="P400" s="0">
        <v>7875</v>
      </c>
      <c r="Q400" s="0">
        <v>90</v>
      </c>
      <c r="R400" s="0">
        <v>0</v>
      </c>
      <c r="S400" s="0">
        <v>0</v>
      </c>
      <c r="T400" s="0">
        <v>0</v>
      </c>
      <c r="U400" s="0">
        <v>0</v>
      </c>
      <c r="V400" s="0">
        <v>0.983050847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456750</v>
      </c>
    </row>
    <row r="401" ht="14.25" customHeight="1">
      <c r="A401" s="0" t="s">
        <v>191</v>
      </c>
      <c r="B401" s="0" t="s">
        <v>192</v>
      </c>
      <c r="C401" s="0" t="s">
        <v>79</v>
      </c>
      <c r="D401" s="0" t="s">
        <v>193</v>
      </c>
      <c r="E401" s="0" t="s">
        <v>194</v>
      </c>
      <c r="F401" s="0" t="s">
        <v>195</v>
      </c>
      <c r="G401" s="0" t="s">
        <v>211</v>
      </c>
      <c r="H401" s="0">
        <v>441</v>
      </c>
      <c r="I401" s="0">
        <v>124</v>
      </c>
      <c r="J401" s="0">
        <v>89</v>
      </c>
      <c r="K401" s="0">
        <v>53</v>
      </c>
      <c r="L401" s="0">
        <v>0</v>
      </c>
      <c r="M401" s="0">
        <v>53</v>
      </c>
      <c r="N401" s="0">
        <v>0</v>
      </c>
      <c r="O401" s="0">
        <v>2</v>
      </c>
      <c r="P401" s="0">
        <v>7500</v>
      </c>
      <c r="Q401" s="0">
        <v>90</v>
      </c>
      <c r="R401" s="0">
        <v>208</v>
      </c>
      <c r="S401" s="0">
        <v>233</v>
      </c>
      <c r="T401" s="0">
        <v>8526</v>
      </c>
      <c r="U401" s="0">
        <v>14648</v>
      </c>
      <c r="V401" s="0">
        <v>0</v>
      </c>
      <c r="W401" s="0">
        <v>0.281179138</v>
      </c>
      <c r="X401" s="0">
        <v>0.717741935</v>
      </c>
      <c r="Y401" s="0">
        <v>0.595505618</v>
      </c>
      <c r="Z401" s="0">
        <v>441</v>
      </c>
      <c r="AA401" s="0">
        <v>0.471655329</v>
      </c>
      <c r="AB401" s="0">
        <v>36.592274678</v>
      </c>
      <c r="AC401" s="0">
        <v>402270</v>
      </c>
    </row>
    <row r="402" ht="14.25" customHeight="1">
      <c r="A402" s="0" t="s">
        <v>191</v>
      </c>
      <c r="B402" s="0" t="s">
        <v>192</v>
      </c>
      <c r="C402" s="0" t="s">
        <v>79</v>
      </c>
      <c r="D402" s="0" t="s">
        <v>193</v>
      </c>
      <c r="E402" s="0" t="s">
        <v>196</v>
      </c>
      <c r="F402" s="0" t="s">
        <v>197</v>
      </c>
      <c r="G402" s="0" t="s">
        <v>211</v>
      </c>
      <c r="H402" s="0">
        <v>0</v>
      </c>
      <c r="I402" s="0">
        <v>0</v>
      </c>
      <c r="J402" s="0">
        <v>0</v>
      </c>
      <c r="K402" s="0">
        <v>0</v>
      </c>
      <c r="L402" s="0">
        <v>52</v>
      </c>
      <c r="M402" s="0">
        <v>52</v>
      </c>
      <c r="N402" s="0">
        <v>53</v>
      </c>
      <c r="O402" s="0">
        <v>2</v>
      </c>
      <c r="P402" s="0">
        <v>7000</v>
      </c>
      <c r="Q402" s="0">
        <v>90</v>
      </c>
      <c r="R402" s="0">
        <v>0</v>
      </c>
      <c r="S402" s="0">
        <v>0</v>
      </c>
      <c r="T402" s="0">
        <v>0</v>
      </c>
      <c r="U402" s="0">
        <v>0</v>
      </c>
      <c r="V402" s="0">
        <v>0.981132075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364000</v>
      </c>
    </row>
    <row r="403" ht="14.25" customHeight="1">
      <c r="A403" s="0" t="s">
        <v>191</v>
      </c>
      <c r="B403" s="0" t="s">
        <v>192</v>
      </c>
      <c r="C403" s="0" t="s">
        <v>79</v>
      </c>
      <c r="D403" s="0" t="s">
        <v>193</v>
      </c>
      <c r="E403" s="0" t="s">
        <v>198</v>
      </c>
      <c r="F403" s="0" t="s">
        <v>197</v>
      </c>
      <c r="G403" s="0" t="s">
        <v>211</v>
      </c>
      <c r="H403" s="0">
        <v>0</v>
      </c>
      <c r="I403" s="0">
        <v>0</v>
      </c>
      <c r="J403" s="0">
        <v>0</v>
      </c>
      <c r="K403" s="0">
        <v>0</v>
      </c>
      <c r="L403" s="0">
        <v>51</v>
      </c>
      <c r="M403" s="0">
        <v>51</v>
      </c>
      <c r="N403" s="0">
        <v>52</v>
      </c>
      <c r="O403" s="0">
        <v>2</v>
      </c>
      <c r="P403" s="0">
        <v>7000</v>
      </c>
      <c r="Q403" s="0">
        <v>90</v>
      </c>
      <c r="R403" s="0">
        <v>0</v>
      </c>
      <c r="S403" s="0">
        <v>0</v>
      </c>
      <c r="T403" s="0">
        <v>0</v>
      </c>
      <c r="U403" s="0">
        <v>0</v>
      </c>
      <c r="V403" s="0">
        <v>0.980769231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357000</v>
      </c>
    </row>
    <row r="404" ht="14.25" customHeight="1">
      <c r="A404" s="0" t="s">
        <v>191</v>
      </c>
      <c r="B404" s="0" t="s">
        <v>192</v>
      </c>
      <c r="C404" s="0" t="s">
        <v>79</v>
      </c>
      <c r="D404" s="0" t="s">
        <v>199</v>
      </c>
      <c r="E404" s="0" t="s">
        <v>200</v>
      </c>
      <c r="F404" s="0" t="s">
        <v>197</v>
      </c>
      <c r="G404" s="0" t="s">
        <v>211</v>
      </c>
      <c r="H404" s="0">
        <v>908</v>
      </c>
      <c r="I404" s="0">
        <v>182</v>
      </c>
      <c r="J404" s="0">
        <v>127</v>
      </c>
      <c r="K404" s="0">
        <v>53</v>
      </c>
      <c r="L404" s="0">
        <v>0</v>
      </c>
      <c r="M404" s="0">
        <v>53</v>
      </c>
      <c r="N404" s="0">
        <v>0</v>
      </c>
      <c r="O404" s="0">
        <v>3</v>
      </c>
      <c r="P404" s="0">
        <v>7500</v>
      </c>
      <c r="Q404" s="0">
        <v>90</v>
      </c>
      <c r="R404" s="0">
        <v>428</v>
      </c>
      <c r="S404" s="0">
        <v>480</v>
      </c>
      <c r="T404" s="0">
        <v>17534</v>
      </c>
      <c r="U404" s="0">
        <v>30123</v>
      </c>
      <c r="V404" s="0">
        <v>0</v>
      </c>
      <c r="W404" s="0">
        <v>0.200440529</v>
      </c>
      <c r="X404" s="0">
        <v>0.697802198</v>
      </c>
      <c r="Y404" s="0">
        <v>0.417322835</v>
      </c>
      <c r="Z404" s="0">
        <v>908</v>
      </c>
      <c r="AA404" s="0">
        <v>0.471365639</v>
      </c>
      <c r="AB404" s="0">
        <v>36.529166667</v>
      </c>
      <c r="AC404" s="0">
        <v>402270</v>
      </c>
    </row>
    <row r="405" ht="14.25" customHeight="1">
      <c r="A405" s="0" t="s">
        <v>191</v>
      </c>
      <c r="B405" s="0" t="s">
        <v>192</v>
      </c>
      <c r="C405" s="0" t="s">
        <v>79</v>
      </c>
      <c r="D405" s="0" t="s">
        <v>199</v>
      </c>
      <c r="E405" s="0" t="s">
        <v>201</v>
      </c>
      <c r="F405" s="0" t="s">
        <v>197</v>
      </c>
      <c r="G405" s="0" t="s">
        <v>211</v>
      </c>
      <c r="H405" s="0">
        <v>0</v>
      </c>
      <c r="I405" s="0">
        <v>0</v>
      </c>
      <c r="J405" s="0">
        <v>0</v>
      </c>
      <c r="K405" s="0">
        <v>0</v>
      </c>
      <c r="L405" s="0">
        <v>53</v>
      </c>
      <c r="M405" s="0">
        <v>53</v>
      </c>
      <c r="N405" s="0">
        <v>53</v>
      </c>
      <c r="O405" s="0">
        <v>3</v>
      </c>
      <c r="P405" s="0">
        <v>7500</v>
      </c>
      <c r="Q405" s="0">
        <v>90</v>
      </c>
      <c r="R405" s="0">
        <v>0</v>
      </c>
      <c r="S405" s="0">
        <v>0</v>
      </c>
      <c r="T405" s="0">
        <v>0</v>
      </c>
      <c r="U405" s="0">
        <v>0</v>
      </c>
      <c r="V405" s="0">
        <v>1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397500</v>
      </c>
    </row>
    <row r="406" ht="14.25" customHeight="1">
      <c r="A406" s="0" t="s">
        <v>191</v>
      </c>
      <c r="B406" s="0" t="s">
        <v>192</v>
      </c>
      <c r="C406" s="0" t="s">
        <v>81</v>
      </c>
      <c r="D406" s="0" t="s">
        <v>193</v>
      </c>
      <c r="E406" s="0" t="s">
        <v>194</v>
      </c>
      <c r="F406" s="0" t="s">
        <v>195</v>
      </c>
      <c r="G406" s="0" t="s">
        <v>211</v>
      </c>
      <c r="H406" s="0">
        <v>375</v>
      </c>
      <c r="I406" s="0">
        <v>105</v>
      </c>
      <c r="J406" s="0">
        <v>76</v>
      </c>
      <c r="K406" s="0">
        <v>45</v>
      </c>
      <c r="L406" s="0">
        <v>0</v>
      </c>
      <c r="M406" s="0">
        <v>45</v>
      </c>
      <c r="N406" s="0">
        <v>0</v>
      </c>
      <c r="O406" s="0">
        <v>2</v>
      </c>
      <c r="P406" s="0">
        <v>7275</v>
      </c>
      <c r="Q406" s="0">
        <v>90</v>
      </c>
      <c r="R406" s="0">
        <v>180</v>
      </c>
      <c r="S406" s="0">
        <v>194</v>
      </c>
      <c r="T406" s="0">
        <v>6743</v>
      </c>
      <c r="U406" s="0">
        <v>12727</v>
      </c>
      <c r="V406" s="0">
        <v>0</v>
      </c>
      <c r="W406" s="0">
        <v>0.28</v>
      </c>
      <c r="X406" s="0">
        <v>0.723809524</v>
      </c>
      <c r="Y406" s="0">
        <v>0.592105263</v>
      </c>
      <c r="Z406" s="0">
        <v>374</v>
      </c>
      <c r="AA406" s="0">
        <v>0.481283422</v>
      </c>
      <c r="AB406" s="0">
        <v>34.757731959</v>
      </c>
      <c r="AC406" s="0">
        <v>331425</v>
      </c>
    </row>
    <row r="407" ht="14.25" customHeight="1">
      <c r="A407" s="0" t="s">
        <v>191</v>
      </c>
      <c r="B407" s="0" t="s">
        <v>192</v>
      </c>
      <c r="C407" s="0" t="s">
        <v>81</v>
      </c>
      <c r="D407" s="0" t="s">
        <v>193</v>
      </c>
      <c r="E407" s="0" t="s">
        <v>196</v>
      </c>
      <c r="F407" s="0" t="s">
        <v>197</v>
      </c>
      <c r="G407" s="0" t="s">
        <v>211</v>
      </c>
      <c r="H407" s="0">
        <v>0</v>
      </c>
      <c r="I407" s="0">
        <v>0</v>
      </c>
      <c r="J407" s="0">
        <v>0</v>
      </c>
      <c r="K407" s="0">
        <v>0</v>
      </c>
      <c r="L407" s="0">
        <v>44</v>
      </c>
      <c r="M407" s="0">
        <v>44</v>
      </c>
      <c r="N407" s="0">
        <v>45</v>
      </c>
      <c r="O407" s="0">
        <v>2</v>
      </c>
      <c r="P407" s="0">
        <v>6790</v>
      </c>
      <c r="Q407" s="0">
        <v>90</v>
      </c>
      <c r="R407" s="0">
        <v>0</v>
      </c>
      <c r="S407" s="0">
        <v>0</v>
      </c>
      <c r="T407" s="0">
        <v>0</v>
      </c>
      <c r="U407" s="0">
        <v>0</v>
      </c>
      <c r="V407" s="0">
        <v>0.977777778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298760</v>
      </c>
    </row>
    <row r="408" ht="14.25" customHeight="1">
      <c r="A408" s="0" t="s">
        <v>191</v>
      </c>
      <c r="B408" s="0" t="s">
        <v>192</v>
      </c>
      <c r="C408" s="0" t="s">
        <v>81</v>
      </c>
      <c r="D408" s="0" t="s">
        <v>193</v>
      </c>
      <c r="E408" s="0" t="s">
        <v>198</v>
      </c>
      <c r="F408" s="0" t="s">
        <v>197</v>
      </c>
      <c r="G408" s="0" t="s">
        <v>211</v>
      </c>
      <c r="H408" s="0">
        <v>0</v>
      </c>
      <c r="I408" s="0">
        <v>0</v>
      </c>
      <c r="J408" s="0">
        <v>0</v>
      </c>
      <c r="K408" s="0">
        <v>0</v>
      </c>
      <c r="L408" s="0">
        <v>43</v>
      </c>
      <c r="M408" s="0">
        <v>43</v>
      </c>
      <c r="N408" s="0">
        <v>44</v>
      </c>
      <c r="O408" s="0">
        <v>2</v>
      </c>
      <c r="P408" s="0">
        <v>6790</v>
      </c>
      <c r="Q408" s="0">
        <v>90</v>
      </c>
      <c r="R408" s="0">
        <v>0</v>
      </c>
      <c r="S408" s="0">
        <v>0</v>
      </c>
      <c r="T408" s="0">
        <v>0</v>
      </c>
      <c r="U408" s="0">
        <v>0</v>
      </c>
      <c r="V408" s="0">
        <v>0.977272727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291970</v>
      </c>
    </row>
    <row r="409" ht="14.25" customHeight="1">
      <c r="A409" s="0" t="s">
        <v>191</v>
      </c>
      <c r="B409" s="0" t="s">
        <v>192</v>
      </c>
      <c r="C409" s="0" t="s">
        <v>81</v>
      </c>
      <c r="D409" s="0" t="s">
        <v>199</v>
      </c>
      <c r="E409" s="0" t="s">
        <v>200</v>
      </c>
      <c r="F409" s="0" t="s">
        <v>197</v>
      </c>
      <c r="G409" s="0" t="s">
        <v>211</v>
      </c>
      <c r="H409" s="0">
        <v>770</v>
      </c>
      <c r="I409" s="0">
        <v>154</v>
      </c>
      <c r="J409" s="0">
        <v>108</v>
      </c>
      <c r="K409" s="0">
        <v>45</v>
      </c>
      <c r="L409" s="0">
        <v>0</v>
      </c>
      <c r="M409" s="0">
        <v>45</v>
      </c>
      <c r="N409" s="0">
        <v>0</v>
      </c>
      <c r="O409" s="0">
        <v>2</v>
      </c>
      <c r="P409" s="0">
        <v>7275</v>
      </c>
      <c r="Q409" s="0">
        <v>90</v>
      </c>
      <c r="R409" s="0">
        <v>370</v>
      </c>
      <c r="S409" s="0">
        <v>398</v>
      </c>
      <c r="T409" s="0">
        <v>13854</v>
      </c>
      <c r="U409" s="0">
        <v>26150</v>
      </c>
      <c r="V409" s="0">
        <v>0</v>
      </c>
      <c r="W409" s="0">
        <v>0.2</v>
      </c>
      <c r="X409" s="0">
        <v>0.701298701</v>
      </c>
      <c r="Y409" s="0">
        <v>0.416666667</v>
      </c>
      <c r="Z409" s="0">
        <v>768</v>
      </c>
      <c r="AA409" s="0">
        <v>0.481770833</v>
      </c>
      <c r="AB409" s="0">
        <v>34.809045226</v>
      </c>
      <c r="AC409" s="0">
        <v>331425</v>
      </c>
    </row>
    <row r="410" ht="14.25" customHeight="1">
      <c r="A410" s="0" t="s">
        <v>191</v>
      </c>
      <c r="B410" s="0" t="s">
        <v>192</v>
      </c>
      <c r="C410" s="0" t="s">
        <v>81</v>
      </c>
      <c r="D410" s="0" t="s">
        <v>199</v>
      </c>
      <c r="E410" s="0" t="s">
        <v>201</v>
      </c>
      <c r="F410" s="0" t="s">
        <v>197</v>
      </c>
      <c r="G410" s="0" t="s">
        <v>211</v>
      </c>
      <c r="H410" s="0">
        <v>0</v>
      </c>
      <c r="I410" s="0">
        <v>0</v>
      </c>
      <c r="J410" s="0">
        <v>0</v>
      </c>
      <c r="K410" s="0">
        <v>0</v>
      </c>
      <c r="L410" s="0">
        <v>44</v>
      </c>
      <c r="M410" s="0">
        <v>44</v>
      </c>
      <c r="N410" s="0">
        <v>45</v>
      </c>
      <c r="O410" s="0">
        <v>2</v>
      </c>
      <c r="P410" s="0">
        <v>7275</v>
      </c>
      <c r="Q410" s="0">
        <v>90</v>
      </c>
      <c r="R410" s="0">
        <v>0</v>
      </c>
      <c r="S410" s="0">
        <v>0</v>
      </c>
      <c r="T410" s="0">
        <v>0</v>
      </c>
      <c r="U410" s="0">
        <v>0</v>
      </c>
      <c r="V410" s="0">
        <v>0.977777778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320100</v>
      </c>
    </row>
    <row r="411" ht="14.25" customHeight="1">
      <c r="A411" s="0" t="s">
        <v>191</v>
      </c>
      <c r="B411" s="0" t="s">
        <v>192</v>
      </c>
      <c r="C411" s="0" t="s">
        <v>83</v>
      </c>
      <c r="D411" s="0" t="s">
        <v>202</v>
      </c>
      <c r="E411" s="0" t="s">
        <v>194</v>
      </c>
      <c r="F411" s="0" t="s">
        <v>195</v>
      </c>
      <c r="G411" s="0" t="s">
        <v>211</v>
      </c>
      <c r="H411" s="0">
        <v>530</v>
      </c>
      <c r="I411" s="0">
        <v>149</v>
      </c>
      <c r="J411" s="0">
        <v>107</v>
      </c>
      <c r="K411" s="0">
        <v>64</v>
      </c>
      <c r="L411" s="0">
        <v>0</v>
      </c>
      <c r="M411" s="0">
        <v>64</v>
      </c>
      <c r="N411" s="0">
        <v>0</v>
      </c>
      <c r="O411" s="0">
        <v>3</v>
      </c>
      <c r="P411" s="0">
        <v>8400</v>
      </c>
      <c r="Q411" s="0">
        <v>90</v>
      </c>
      <c r="R411" s="0">
        <v>213</v>
      </c>
      <c r="S411" s="0">
        <v>340</v>
      </c>
      <c r="T411" s="0">
        <v>16491</v>
      </c>
      <c r="U411" s="0">
        <v>17097</v>
      </c>
      <c r="V411" s="0">
        <v>0</v>
      </c>
      <c r="W411" s="0">
        <v>0.281132075</v>
      </c>
      <c r="X411" s="0">
        <v>0.718120805</v>
      </c>
      <c r="Y411" s="0">
        <v>0.598130841</v>
      </c>
      <c r="Z411" s="0">
        <v>553</v>
      </c>
      <c r="AA411" s="0">
        <v>0.38517179</v>
      </c>
      <c r="AB411" s="0">
        <v>48.502941176</v>
      </c>
      <c r="AC411" s="0">
        <v>543360</v>
      </c>
    </row>
    <row r="412" ht="14.25" customHeight="1">
      <c r="A412" s="0" t="s">
        <v>191</v>
      </c>
      <c r="B412" s="0" t="s">
        <v>192</v>
      </c>
      <c r="C412" s="0" t="s">
        <v>83</v>
      </c>
      <c r="D412" s="0" t="s">
        <v>202</v>
      </c>
      <c r="E412" s="0" t="s">
        <v>196</v>
      </c>
      <c r="F412" s="0" t="s">
        <v>197</v>
      </c>
      <c r="G412" s="0" t="s">
        <v>211</v>
      </c>
      <c r="H412" s="0">
        <v>0</v>
      </c>
      <c r="I412" s="0">
        <v>0</v>
      </c>
      <c r="J412" s="0">
        <v>0</v>
      </c>
      <c r="K412" s="0">
        <v>0</v>
      </c>
      <c r="L412" s="0">
        <v>62</v>
      </c>
      <c r="M412" s="0">
        <v>62</v>
      </c>
      <c r="N412" s="0">
        <v>64</v>
      </c>
      <c r="O412" s="0">
        <v>3</v>
      </c>
      <c r="P412" s="0">
        <v>7840</v>
      </c>
      <c r="Q412" s="0">
        <v>90</v>
      </c>
      <c r="R412" s="0">
        <v>0</v>
      </c>
      <c r="S412" s="0">
        <v>0</v>
      </c>
      <c r="T412" s="0">
        <v>0</v>
      </c>
      <c r="U412" s="0">
        <v>0</v>
      </c>
      <c r="V412" s="0">
        <v>0.96875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486080</v>
      </c>
    </row>
    <row r="413" ht="14.25" customHeight="1">
      <c r="A413" s="0" t="s">
        <v>191</v>
      </c>
      <c r="B413" s="0" t="s">
        <v>192</v>
      </c>
      <c r="C413" s="0" t="s">
        <v>83</v>
      </c>
      <c r="D413" s="0" t="s">
        <v>202</v>
      </c>
      <c r="E413" s="0" t="s">
        <v>198</v>
      </c>
      <c r="F413" s="0" t="s">
        <v>197</v>
      </c>
      <c r="G413" s="0" t="s">
        <v>211</v>
      </c>
      <c r="H413" s="0">
        <v>0</v>
      </c>
      <c r="I413" s="0">
        <v>0</v>
      </c>
      <c r="J413" s="0">
        <v>0</v>
      </c>
      <c r="K413" s="0">
        <v>0</v>
      </c>
      <c r="L413" s="0">
        <v>61</v>
      </c>
      <c r="M413" s="0">
        <v>61</v>
      </c>
      <c r="N413" s="0">
        <v>62</v>
      </c>
      <c r="O413" s="0">
        <v>3</v>
      </c>
      <c r="P413" s="0">
        <v>7840</v>
      </c>
      <c r="Q413" s="0">
        <v>90</v>
      </c>
      <c r="R413" s="0">
        <v>0</v>
      </c>
      <c r="S413" s="0">
        <v>0</v>
      </c>
      <c r="T413" s="0">
        <v>0</v>
      </c>
      <c r="U413" s="0">
        <v>0</v>
      </c>
      <c r="V413" s="0">
        <v>0.983870968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478240</v>
      </c>
    </row>
    <row r="414" ht="14.25" customHeight="1">
      <c r="A414" s="0" t="s">
        <v>191</v>
      </c>
      <c r="B414" s="0" t="s">
        <v>192</v>
      </c>
      <c r="C414" s="0" t="s">
        <v>83</v>
      </c>
      <c r="D414" s="0" t="s">
        <v>203</v>
      </c>
      <c r="E414" s="0" t="s">
        <v>200</v>
      </c>
      <c r="F414" s="0" t="s">
        <v>197</v>
      </c>
      <c r="G414" s="0" t="s">
        <v>211</v>
      </c>
      <c r="H414" s="0">
        <v>1086</v>
      </c>
      <c r="I414" s="0">
        <v>217</v>
      </c>
      <c r="J414" s="0">
        <v>152</v>
      </c>
      <c r="K414" s="0">
        <v>64</v>
      </c>
      <c r="L414" s="0">
        <v>0</v>
      </c>
      <c r="M414" s="0">
        <v>64</v>
      </c>
      <c r="N414" s="0">
        <v>0</v>
      </c>
      <c r="O414" s="0">
        <v>3</v>
      </c>
      <c r="P414" s="0">
        <v>8400</v>
      </c>
      <c r="Q414" s="0">
        <v>90</v>
      </c>
      <c r="R414" s="0">
        <v>437</v>
      </c>
      <c r="S414" s="0">
        <v>695</v>
      </c>
      <c r="T414" s="0">
        <v>33757</v>
      </c>
      <c r="U414" s="0">
        <v>34997</v>
      </c>
      <c r="V414" s="0">
        <v>0</v>
      </c>
      <c r="W414" s="0">
        <v>0.199815838</v>
      </c>
      <c r="X414" s="0">
        <v>0.700460829</v>
      </c>
      <c r="Y414" s="0">
        <v>0.421052632</v>
      </c>
      <c r="Z414" s="0">
        <v>1132</v>
      </c>
      <c r="AA414" s="0">
        <v>0.386042403</v>
      </c>
      <c r="AB414" s="0">
        <v>48.571223022</v>
      </c>
      <c r="AC414" s="0">
        <v>543360</v>
      </c>
    </row>
    <row r="415" ht="14.25" customHeight="1">
      <c r="A415" s="0" t="s">
        <v>191</v>
      </c>
      <c r="B415" s="0" t="s">
        <v>192</v>
      </c>
      <c r="C415" s="0" t="s">
        <v>83</v>
      </c>
      <c r="D415" s="0" t="s">
        <v>203</v>
      </c>
      <c r="E415" s="0" t="s">
        <v>201</v>
      </c>
      <c r="F415" s="0" t="s">
        <v>197</v>
      </c>
      <c r="G415" s="0" t="s">
        <v>211</v>
      </c>
      <c r="H415" s="0">
        <v>0</v>
      </c>
      <c r="I415" s="0">
        <v>0</v>
      </c>
      <c r="J415" s="0">
        <v>0</v>
      </c>
      <c r="K415" s="0">
        <v>0</v>
      </c>
      <c r="L415" s="0">
        <v>63</v>
      </c>
      <c r="M415" s="0">
        <v>63</v>
      </c>
      <c r="N415" s="0">
        <v>64</v>
      </c>
      <c r="O415" s="0">
        <v>3</v>
      </c>
      <c r="P415" s="0">
        <v>8400</v>
      </c>
      <c r="Q415" s="0">
        <v>90</v>
      </c>
      <c r="R415" s="0">
        <v>0</v>
      </c>
      <c r="S415" s="0">
        <v>0</v>
      </c>
      <c r="T415" s="0">
        <v>0</v>
      </c>
      <c r="U415" s="0">
        <v>0</v>
      </c>
      <c r="V415" s="0">
        <v>0.984375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529200</v>
      </c>
    </row>
    <row r="416" ht="14.25" customHeight="1">
      <c r="A416" s="0" t="s">
        <v>191</v>
      </c>
      <c r="B416" s="0" t="s">
        <v>192</v>
      </c>
      <c r="C416" s="0" t="s">
        <v>84</v>
      </c>
      <c r="D416" s="0" t="s">
        <v>202</v>
      </c>
      <c r="E416" s="0" t="s">
        <v>194</v>
      </c>
      <c r="F416" s="0" t="s">
        <v>195</v>
      </c>
      <c r="G416" s="0" t="s">
        <v>211</v>
      </c>
      <c r="H416" s="0">
        <v>366</v>
      </c>
      <c r="I416" s="0">
        <v>102</v>
      </c>
      <c r="J416" s="0">
        <v>74</v>
      </c>
      <c r="K416" s="0">
        <v>44</v>
      </c>
      <c r="L416" s="0">
        <v>0</v>
      </c>
      <c r="M416" s="0">
        <v>44</v>
      </c>
      <c r="N416" s="0">
        <v>0</v>
      </c>
      <c r="O416" s="0">
        <v>2</v>
      </c>
      <c r="P416" s="0">
        <v>7350</v>
      </c>
      <c r="Q416" s="0">
        <v>90</v>
      </c>
      <c r="R416" s="0">
        <v>194</v>
      </c>
      <c r="S416" s="0">
        <v>186</v>
      </c>
      <c r="T416" s="0">
        <v>6793</v>
      </c>
      <c r="U416" s="0">
        <v>15806</v>
      </c>
      <c r="V416" s="0">
        <v>0</v>
      </c>
      <c r="W416" s="0">
        <v>0.278688525</v>
      </c>
      <c r="X416" s="0">
        <v>0.725490196</v>
      </c>
      <c r="Y416" s="0">
        <v>0.594594595</v>
      </c>
      <c r="Z416" s="0">
        <v>380</v>
      </c>
      <c r="AA416" s="0">
        <v>0.510526316</v>
      </c>
      <c r="AB416" s="0">
        <v>36.521505376</v>
      </c>
      <c r="AC416" s="0">
        <v>327360</v>
      </c>
    </row>
    <row r="417" ht="14.25" customHeight="1">
      <c r="A417" s="0" t="s">
        <v>191</v>
      </c>
      <c r="B417" s="0" t="s">
        <v>192</v>
      </c>
      <c r="C417" s="0" t="s">
        <v>84</v>
      </c>
      <c r="D417" s="0" t="s">
        <v>202</v>
      </c>
      <c r="E417" s="0" t="s">
        <v>196</v>
      </c>
      <c r="F417" s="0" t="s">
        <v>197</v>
      </c>
      <c r="G417" s="0" t="s">
        <v>211</v>
      </c>
      <c r="H417" s="0">
        <v>0</v>
      </c>
      <c r="I417" s="0">
        <v>0</v>
      </c>
      <c r="J417" s="0">
        <v>0</v>
      </c>
      <c r="K417" s="0">
        <v>0</v>
      </c>
      <c r="L417" s="0">
        <v>43</v>
      </c>
      <c r="M417" s="0">
        <v>43</v>
      </c>
      <c r="N417" s="0">
        <v>44</v>
      </c>
      <c r="O417" s="0">
        <v>2</v>
      </c>
      <c r="P417" s="0">
        <v>6860</v>
      </c>
      <c r="Q417" s="0">
        <v>90</v>
      </c>
      <c r="R417" s="0">
        <v>0</v>
      </c>
      <c r="S417" s="0">
        <v>0</v>
      </c>
      <c r="T417" s="0">
        <v>0</v>
      </c>
      <c r="U417" s="0">
        <v>0</v>
      </c>
      <c r="V417" s="0">
        <v>0.977272727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294980</v>
      </c>
    </row>
    <row r="418" ht="14.25" customHeight="1">
      <c r="A418" s="0" t="s">
        <v>191</v>
      </c>
      <c r="B418" s="0" t="s">
        <v>192</v>
      </c>
      <c r="C418" s="0" t="s">
        <v>84</v>
      </c>
      <c r="D418" s="0" t="s">
        <v>202</v>
      </c>
      <c r="E418" s="0" t="s">
        <v>198</v>
      </c>
      <c r="F418" s="0" t="s">
        <v>197</v>
      </c>
      <c r="G418" s="0" t="s">
        <v>211</v>
      </c>
      <c r="H418" s="0">
        <v>0</v>
      </c>
      <c r="I418" s="0">
        <v>0</v>
      </c>
      <c r="J418" s="0">
        <v>0</v>
      </c>
      <c r="K418" s="0">
        <v>0</v>
      </c>
      <c r="L418" s="0">
        <v>42</v>
      </c>
      <c r="M418" s="0">
        <v>42</v>
      </c>
      <c r="N418" s="0">
        <v>43</v>
      </c>
      <c r="O418" s="0">
        <v>2</v>
      </c>
      <c r="P418" s="0">
        <v>6860</v>
      </c>
      <c r="Q418" s="0">
        <v>90</v>
      </c>
      <c r="R418" s="0">
        <v>0</v>
      </c>
      <c r="S418" s="0">
        <v>0</v>
      </c>
      <c r="T418" s="0">
        <v>0</v>
      </c>
      <c r="U418" s="0">
        <v>0</v>
      </c>
      <c r="V418" s="0">
        <v>0.976744186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288120</v>
      </c>
    </row>
    <row r="419" ht="14.25" customHeight="1">
      <c r="A419" s="0" t="s">
        <v>191</v>
      </c>
      <c r="B419" s="0" t="s">
        <v>192</v>
      </c>
      <c r="C419" s="0" t="s">
        <v>84</v>
      </c>
      <c r="D419" s="0" t="s">
        <v>203</v>
      </c>
      <c r="E419" s="0" t="s">
        <v>200</v>
      </c>
      <c r="F419" s="0" t="s">
        <v>197</v>
      </c>
      <c r="G419" s="0" t="s">
        <v>211</v>
      </c>
      <c r="H419" s="0">
        <v>756</v>
      </c>
      <c r="I419" s="0">
        <v>151</v>
      </c>
      <c r="J419" s="0">
        <v>106</v>
      </c>
      <c r="K419" s="0">
        <v>44</v>
      </c>
      <c r="L419" s="0">
        <v>0</v>
      </c>
      <c r="M419" s="0">
        <v>44</v>
      </c>
      <c r="N419" s="0">
        <v>0</v>
      </c>
      <c r="O419" s="0">
        <v>2</v>
      </c>
      <c r="P419" s="0">
        <v>7350</v>
      </c>
      <c r="Q419" s="0">
        <v>90</v>
      </c>
      <c r="R419" s="0">
        <v>400</v>
      </c>
      <c r="S419" s="0">
        <v>385</v>
      </c>
      <c r="T419" s="0">
        <v>14050</v>
      </c>
      <c r="U419" s="0">
        <v>32689</v>
      </c>
      <c r="V419" s="0">
        <v>0</v>
      </c>
      <c r="W419" s="0">
        <v>0.19973545</v>
      </c>
      <c r="X419" s="0">
        <v>0.701986755</v>
      </c>
      <c r="Y419" s="0">
        <v>0.41509434</v>
      </c>
      <c r="Z419" s="0">
        <v>785</v>
      </c>
      <c r="AA419" s="0">
        <v>0.50955414</v>
      </c>
      <c r="AB419" s="0">
        <v>36.493506494</v>
      </c>
      <c r="AC419" s="0">
        <v>327360</v>
      </c>
    </row>
    <row r="420" ht="14.25" customHeight="1">
      <c r="A420" s="0" t="s">
        <v>191</v>
      </c>
      <c r="B420" s="0" t="s">
        <v>192</v>
      </c>
      <c r="C420" s="0" t="s">
        <v>84</v>
      </c>
      <c r="D420" s="0" t="s">
        <v>203</v>
      </c>
      <c r="E420" s="0" t="s">
        <v>201</v>
      </c>
      <c r="F420" s="0" t="s">
        <v>197</v>
      </c>
      <c r="G420" s="0" t="s">
        <v>211</v>
      </c>
      <c r="H420" s="0">
        <v>0</v>
      </c>
      <c r="I420" s="0">
        <v>0</v>
      </c>
      <c r="J420" s="0">
        <v>0</v>
      </c>
      <c r="K420" s="0">
        <v>0</v>
      </c>
      <c r="L420" s="0">
        <v>44</v>
      </c>
      <c r="M420" s="0">
        <v>44</v>
      </c>
      <c r="N420" s="0">
        <v>44</v>
      </c>
      <c r="O420" s="0">
        <v>2</v>
      </c>
      <c r="P420" s="0">
        <v>7350</v>
      </c>
      <c r="Q420" s="0">
        <v>90</v>
      </c>
      <c r="R420" s="0">
        <v>0</v>
      </c>
      <c r="S420" s="0">
        <v>0</v>
      </c>
      <c r="T420" s="0">
        <v>0</v>
      </c>
      <c r="U420" s="0">
        <v>0</v>
      </c>
      <c r="V420" s="0">
        <v>1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323400</v>
      </c>
    </row>
    <row r="421" ht="14.25" customHeight="1">
      <c r="A421" s="0" t="s">
        <v>191</v>
      </c>
      <c r="B421" s="0" t="s">
        <v>192</v>
      </c>
      <c r="C421" s="0" t="s">
        <v>86</v>
      </c>
      <c r="D421" s="0" t="s">
        <v>202</v>
      </c>
      <c r="E421" s="0" t="s">
        <v>194</v>
      </c>
      <c r="F421" s="0" t="s">
        <v>195</v>
      </c>
      <c r="G421" s="0" t="s">
        <v>211</v>
      </c>
      <c r="H421" s="0">
        <v>344</v>
      </c>
      <c r="I421" s="0">
        <v>96</v>
      </c>
      <c r="J421" s="0">
        <v>69</v>
      </c>
      <c r="K421" s="0">
        <v>42</v>
      </c>
      <c r="L421" s="0">
        <v>0</v>
      </c>
      <c r="M421" s="0">
        <v>42</v>
      </c>
      <c r="N421" s="0">
        <v>0</v>
      </c>
      <c r="O421" s="0">
        <v>2</v>
      </c>
      <c r="P421" s="0">
        <v>7200</v>
      </c>
      <c r="Q421" s="0">
        <v>90</v>
      </c>
      <c r="R421" s="0">
        <v>186</v>
      </c>
      <c r="S421" s="0">
        <v>171</v>
      </c>
      <c r="T421" s="0">
        <v>5940</v>
      </c>
      <c r="U421" s="0">
        <v>15179</v>
      </c>
      <c r="V421" s="0">
        <v>0</v>
      </c>
      <c r="W421" s="0">
        <v>0.279069767</v>
      </c>
      <c r="X421" s="0">
        <v>0.71875</v>
      </c>
      <c r="Y421" s="0">
        <v>0.608695652</v>
      </c>
      <c r="Z421" s="0">
        <v>357</v>
      </c>
      <c r="AA421" s="0">
        <v>0.521008403</v>
      </c>
      <c r="AB421" s="0">
        <v>34.736842105</v>
      </c>
      <c r="AC421" s="0">
        <v>306180</v>
      </c>
    </row>
    <row r="422" ht="14.25" customHeight="1">
      <c r="A422" s="0" t="s">
        <v>191</v>
      </c>
      <c r="B422" s="0" t="s">
        <v>192</v>
      </c>
      <c r="C422" s="0" t="s">
        <v>86</v>
      </c>
      <c r="D422" s="0" t="s">
        <v>202</v>
      </c>
      <c r="E422" s="0" t="s">
        <v>196</v>
      </c>
      <c r="F422" s="0" t="s">
        <v>197</v>
      </c>
      <c r="G422" s="0" t="s">
        <v>211</v>
      </c>
      <c r="H422" s="0">
        <v>0</v>
      </c>
      <c r="I422" s="0">
        <v>0</v>
      </c>
      <c r="J422" s="0">
        <v>0</v>
      </c>
      <c r="K422" s="0">
        <v>0</v>
      </c>
      <c r="L422" s="0">
        <v>41</v>
      </c>
      <c r="M422" s="0">
        <v>41</v>
      </c>
      <c r="N422" s="0">
        <v>42</v>
      </c>
      <c r="O422" s="0">
        <v>2</v>
      </c>
      <c r="P422" s="0">
        <v>6720</v>
      </c>
      <c r="Q422" s="0">
        <v>90</v>
      </c>
      <c r="R422" s="0">
        <v>0</v>
      </c>
      <c r="S422" s="0">
        <v>0</v>
      </c>
      <c r="T422" s="0">
        <v>0</v>
      </c>
      <c r="U422" s="0">
        <v>0</v>
      </c>
      <c r="V422" s="0">
        <v>0.976190476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275520</v>
      </c>
    </row>
    <row r="423" ht="14.25" customHeight="1">
      <c r="A423" s="0" t="s">
        <v>191</v>
      </c>
      <c r="B423" s="0" t="s">
        <v>192</v>
      </c>
      <c r="C423" s="0" t="s">
        <v>86</v>
      </c>
      <c r="D423" s="0" t="s">
        <v>202</v>
      </c>
      <c r="E423" s="0" t="s">
        <v>198</v>
      </c>
      <c r="F423" s="0" t="s">
        <v>197</v>
      </c>
      <c r="G423" s="0" t="s">
        <v>211</v>
      </c>
      <c r="H423" s="0">
        <v>0</v>
      </c>
      <c r="I423" s="0">
        <v>0</v>
      </c>
      <c r="J423" s="0">
        <v>0</v>
      </c>
      <c r="K423" s="0">
        <v>0</v>
      </c>
      <c r="L423" s="0">
        <v>40</v>
      </c>
      <c r="M423" s="0">
        <v>40</v>
      </c>
      <c r="N423" s="0">
        <v>41</v>
      </c>
      <c r="O423" s="0">
        <v>2</v>
      </c>
      <c r="P423" s="0">
        <v>6720</v>
      </c>
      <c r="Q423" s="0">
        <v>90</v>
      </c>
      <c r="R423" s="0">
        <v>0</v>
      </c>
      <c r="S423" s="0">
        <v>0</v>
      </c>
      <c r="T423" s="0">
        <v>0</v>
      </c>
      <c r="U423" s="0">
        <v>0</v>
      </c>
      <c r="V423" s="0">
        <v>0.975609756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268800</v>
      </c>
    </row>
    <row r="424" ht="14.25" customHeight="1">
      <c r="A424" s="0" t="s">
        <v>191</v>
      </c>
      <c r="B424" s="0" t="s">
        <v>192</v>
      </c>
      <c r="C424" s="0" t="s">
        <v>86</v>
      </c>
      <c r="D424" s="0" t="s">
        <v>203</v>
      </c>
      <c r="E424" s="0" t="s">
        <v>200</v>
      </c>
      <c r="F424" s="0" t="s">
        <v>197</v>
      </c>
      <c r="G424" s="0" t="s">
        <v>211</v>
      </c>
      <c r="H424" s="0">
        <v>712</v>
      </c>
      <c r="I424" s="0">
        <v>142</v>
      </c>
      <c r="J424" s="0">
        <v>100</v>
      </c>
      <c r="K424" s="0">
        <v>42</v>
      </c>
      <c r="L424" s="0">
        <v>0</v>
      </c>
      <c r="M424" s="0">
        <v>42</v>
      </c>
      <c r="N424" s="0">
        <v>0</v>
      </c>
      <c r="O424" s="0">
        <v>2</v>
      </c>
      <c r="P424" s="0">
        <v>7200</v>
      </c>
      <c r="Q424" s="0">
        <v>90</v>
      </c>
      <c r="R424" s="0">
        <v>384</v>
      </c>
      <c r="S424" s="0">
        <v>355</v>
      </c>
      <c r="T424" s="0">
        <v>12311</v>
      </c>
      <c r="U424" s="0">
        <v>31458</v>
      </c>
      <c r="V424" s="0">
        <v>0</v>
      </c>
      <c r="W424" s="0">
        <v>0.199438202</v>
      </c>
      <c r="X424" s="0">
        <v>0.704225352</v>
      </c>
      <c r="Y424" s="0">
        <v>0.42</v>
      </c>
      <c r="Z424" s="0">
        <v>739</v>
      </c>
      <c r="AA424" s="0">
        <v>0.51962111</v>
      </c>
      <c r="AB424" s="0">
        <v>34.678873239</v>
      </c>
      <c r="AC424" s="0">
        <v>306180</v>
      </c>
    </row>
    <row r="425" ht="14.25" customHeight="1">
      <c r="A425" s="0" t="s">
        <v>191</v>
      </c>
      <c r="B425" s="0" t="s">
        <v>192</v>
      </c>
      <c r="C425" s="0" t="s">
        <v>86</v>
      </c>
      <c r="D425" s="0" t="s">
        <v>203</v>
      </c>
      <c r="E425" s="0" t="s">
        <v>201</v>
      </c>
      <c r="F425" s="0" t="s">
        <v>197</v>
      </c>
      <c r="G425" s="0" t="s">
        <v>211</v>
      </c>
      <c r="H425" s="0">
        <v>0</v>
      </c>
      <c r="I425" s="0">
        <v>0</v>
      </c>
      <c r="J425" s="0">
        <v>0</v>
      </c>
      <c r="K425" s="0">
        <v>0</v>
      </c>
      <c r="L425" s="0">
        <v>41</v>
      </c>
      <c r="M425" s="0">
        <v>41</v>
      </c>
      <c r="N425" s="0">
        <v>42</v>
      </c>
      <c r="O425" s="0">
        <v>2</v>
      </c>
      <c r="P425" s="0">
        <v>7200</v>
      </c>
      <c r="Q425" s="0">
        <v>90</v>
      </c>
      <c r="R425" s="0">
        <v>0</v>
      </c>
      <c r="S425" s="0">
        <v>0</v>
      </c>
      <c r="T425" s="0">
        <v>0</v>
      </c>
      <c r="U425" s="0">
        <v>0</v>
      </c>
      <c r="V425" s="0">
        <v>0.976190476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295200</v>
      </c>
    </row>
    <row r="426" ht="14.25" customHeight="1">
      <c r="A426" s="0" t="s">
        <v>191</v>
      </c>
      <c r="B426" s="0" t="s">
        <v>192</v>
      </c>
      <c r="C426" s="0" t="s">
        <v>88</v>
      </c>
      <c r="D426" s="0" t="s">
        <v>204</v>
      </c>
      <c r="E426" s="0" t="s">
        <v>194</v>
      </c>
      <c r="F426" s="0" t="s">
        <v>197</v>
      </c>
      <c r="G426" s="0" t="s">
        <v>211</v>
      </c>
      <c r="H426" s="0">
        <v>756</v>
      </c>
      <c r="I426" s="0">
        <v>151</v>
      </c>
      <c r="J426" s="0">
        <v>106</v>
      </c>
      <c r="K426" s="0">
        <v>44</v>
      </c>
      <c r="L426" s="0">
        <v>0</v>
      </c>
      <c r="M426" s="0">
        <v>44</v>
      </c>
      <c r="N426" s="0">
        <v>0</v>
      </c>
      <c r="O426" s="0">
        <v>2</v>
      </c>
      <c r="P426" s="0">
        <v>7000</v>
      </c>
      <c r="Q426" s="0">
        <v>90</v>
      </c>
      <c r="R426" s="0">
        <v>258</v>
      </c>
      <c r="S426" s="0">
        <v>489</v>
      </c>
      <c r="T426" s="0">
        <v>17983</v>
      </c>
      <c r="U426" s="0">
        <v>15937</v>
      </c>
      <c r="V426" s="0">
        <v>0</v>
      </c>
      <c r="W426" s="0">
        <v>0.19973545</v>
      </c>
      <c r="X426" s="0">
        <v>0.701986755</v>
      </c>
      <c r="Y426" s="0">
        <v>0.41509434</v>
      </c>
      <c r="Z426" s="0">
        <v>747</v>
      </c>
      <c r="AA426" s="0">
        <v>0.345381526</v>
      </c>
      <c r="AB426" s="0">
        <v>36.775051125</v>
      </c>
      <c r="AC426" s="0">
        <v>311960</v>
      </c>
    </row>
    <row r="427" ht="14.25" customHeight="1">
      <c r="A427" s="0" t="s">
        <v>191</v>
      </c>
      <c r="B427" s="0" t="s">
        <v>192</v>
      </c>
      <c r="C427" s="0" t="s">
        <v>88</v>
      </c>
      <c r="D427" s="0" t="s">
        <v>204</v>
      </c>
      <c r="E427" s="0" t="s">
        <v>196</v>
      </c>
      <c r="F427" s="0" t="s">
        <v>197</v>
      </c>
      <c r="G427" s="0" t="s">
        <v>211</v>
      </c>
      <c r="H427" s="0">
        <v>0</v>
      </c>
      <c r="I427" s="0">
        <v>0</v>
      </c>
      <c r="J427" s="0">
        <v>0</v>
      </c>
      <c r="K427" s="0">
        <v>0</v>
      </c>
      <c r="L427" s="0">
        <v>43</v>
      </c>
      <c r="M427" s="0">
        <v>43</v>
      </c>
      <c r="N427" s="0">
        <v>44</v>
      </c>
      <c r="O427" s="0">
        <v>2</v>
      </c>
      <c r="P427" s="0">
        <v>7000</v>
      </c>
      <c r="Q427" s="0">
        <v>90</v>
      </c>
      <c r="R427" s="0">
        <v>0</v>
      </c>
      <c r="S427" s="0">
        <v>0</v>
      </c>
      <c r="T427" s="0">
        <v>0</v>
      </c>
      <c r="U427" s="0">
        <v>0</v>
      </c>
      <c r="V427" s="0">
        <v>0.977272727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301000</v>
      </c>
    </row>
    <row r="428" ht="14.25" customHeight="1">
      <c r="A428" s="0" t="s">
        <v>191</v>
      </c>
      <c r="B428" s="0" t="s">
        <v>192</v>
      </c>
      <c r="C428" s="0" t="s">
        <v>88</v>
      </c>
      <c r="D428" s="0" t="s">
        <v>204</v>
      </c>
      <c r="E428" s="0" t="s">
        <v>198</v>
      </c>
      <c r="F428" s="0" t="s">
        <v>197</v>
      </c>
      <c r="G428" s="0" t="s">
        <v>211</v>
      </c>
      <c r="H428" s="0">
        <v>0</v>
      </c>
      <c r="I428" s="0">
        <v>0</v>
      </c>
      <c r="J428" s="0">
        <v>0</v>
      </c>
      <c r="K428" s="0">
        <v>0</v>
      </c>
      <c r="L428" s="0">
        <v>42</v>
      </c>
      <c r="M428" s="0">
        <v>42</v>
      </c>
      <c r="N428" s="0">
        <v>43</v>
      </c>
      <c r="O428" s="0">
        <v>2</v>
      </c>
      <c r="P428" s="0">
        <v>7000</v>
      </c>
      <c r="Q428" s="0">
        <v>90</v>
      </c>
      <c r="R428" s="0">
        <v>0</v>
      </c>
      <c r="S428" s="0">
        <v>0</v>
      </c>
      <c r="T428" s="0">
        <v>0</v>
      </c>
      <c r="U428" s="0">
        <v>0</v>
      </c>
      <c r="V428" s="0">
        <v>0.976744186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294000</v>
      </c>
    </row>
    <row r="429" ht="14.25" customHeight="1">
      <c r="A429" s="0" t="s">
        <v>191</v>
      </c>
      <c r="B429" s="0" t="s">
        <v>192</v>
      </c>
      <c r="C429" s="0" t="s">
        <v>90</v>
      </c>
      <c r="D429" s="0" t="s">
        <v>204</v>
      </c>
      <c r="E429" s="0" t="s">
        <v>194</v>
      </c>
      <c r="F429" s="0" t="s">
        <v>197</v>
      </c>
      <c r="G429" s="0" t="s">
        <v>211</v>
      </c>
      <c r="H429" s="0">
        <v>605</v>
      </c>
      <c r="I429" s="0">
        <v>121</v>
      </c>
      <c r="J429" s="0">
        <v>85</v>
      </c>
      <c r="K429" s="0">
        <v>36</v>
      </c>
      <c r="L429" s="0">
        <v>0</v>
      </c>
      <c r="M429" s="0">
        <v>36</v>
      </c>
      <c r="N429" s="0">
        <v>0</v>
      </c>
      <c r="O429" s="0">
        <v>2</v>
      </c>
      <c r="P429" s="0">
        <v>6650</v>
      </c>
      <c r="Q429" s="0">
        <v>90</v>
      </c>
      <c r="R429" s="0">
        <v>223</v>
      </c>
      <c r="S429" s="0">
        <v>371</v>
      </c>
      <c r="T429" s="0">
        <v>12341</v>
      </c>
      <c r="U429" s="0">
        <v>14022</v>
      </c>
      <c r="V429" s="0">
        <v>0</v>
      </c>
      <c r="W429" s="0">
        <v>0.2</v>
      </c>
      <c r="X429" s="0">
        <v>0.702479339</v>
      </c>
      <c r="Y429" s="0">
        <v>0.423529412</v>
      </c>
      <c r="Z429" s="0">
        <v>594</v>
      </c>
      <c r="AA429" s="0">
        <v>0.375420875</v>
      </c>
      <c r="AB429" s="0">
        <v>33.264150943</v>
      </c>
      <c r="AC429" s="0">
        <v>242640</v>
      </c>
    </row>
    <row r="430" ht="14.25" customHeight="1">
      <c r="A430" s="0" t="s">
        <v>191</v>
      </c>
      <c r="B430" s="0" t="s">
        <v>192</v>
      </c>
      <c r="C430" s="0" t="s">
        <v>90</v>
      </c>
      <c r="D430" s="0" t="s">
        <v>204</v>
      </c>
      <c r="E430" s="0" t="s">
        <v>196</v>
      </c>
      <c r="F430" s="0" t="s">
        <v>197</v>
      </c>
      <c r="G430" s="0" t="s">
        <v>211</v>
      </c>
      <c r="H430" s="0">
        <v>0</v>
      </c>
      <c r="I430" s="0">
        <v>0</v>
      </c>
      <c r="J430" s="0">
        <v>0</v>
      </c>
      <c r="K430" s="0">
        <v>0</v>
      </c>
      <c r="L430" s="0">
        <v>35</v>
      </c>
      <c r="M430" s="0">
        <v>35</v>
      </c>
      <c r="N430" s="0">
        <v>36</v>
      </c>
      <c r="O430" s="0">
        <v>2</v>
      </c>
      <c r="P430" s="0">
        <v>6650</v>
      </c>
      <c r="Q430" s="0">
        <v>90</v>
      </c>
      <c r="R430" s="0">
        <v>0</v>
      </c>
      <c r="S430" s="0">
        <v>0</v>
      </c>
      <c r="T430" s="0">
        <v>0</v>
      </c>
      <c r="U430" s="0">
        <v>0</v>
      </c>
      <c r="V430" s="0">
        <v>0.972222222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232750</v>
      </c>
    </row>
    <row r="431" ht="14.25" customHeight="1">
      <c r="A431" s="0" t="s">
        <v>191</v>
      </c>
      <c r="B431" s="0" t="s">
        <v>192</v>
      </c>
      <c r="C431" s="0" t="s">
        <v>90</v>
      </c>
      <c r="D431" s="0" t="s">
        <v>204</v>
      </c>
      <c r="E431" s="0" t="s">
        <v>198</v>
      </c>
      <c r="F431" s="0" t="s">
        <v>197</v>
      </c>
      <c r="G431" s="0" t="s">
        <v>211</v>
      </c>
      <c r="H431" s="0">
        <v>0</v>
      </c>
      <c r="I431" s="0">
        <v>0</v>
      </c>
      <c r="J431" s="0">
        <v>0</v>
      </c>
      <c r="K431" s="0">
        <v>0</v>
      </c>
      <c r="L431" s="0">
        <v>34</v>
      </c>
      <c r="M431" s="0">
        <v>34</v>
      </c>
      <c r="N431" s="0">
        <v>35</v>
      </c>
      <c r="O431" s="0">
        <v>2</v>
      </c>
      <c r="P431" s="0">
        <v>6650</v>
      </c>
      <c r="Q431" s="0">
        <v>90</v>
      </c>
      <c r="R431" s="0">
        <v>0</v>
      </c>
      <c r="S431" s="0">
        <v>0</v>
      </c>
      <c r="T431" s="0">
        <v>0</v>
      </c>
      <c r="U431" s="0">
        <v>0</v>
      </c>
      <c r="V431" s="0">
        <v>0.971428571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226100</v>
      </c>
    </row>
    <row r="432" ht="14.25" customHeight="1">
      <c r="A432" s="0" t="s">
        <v>191</v>
      </c>
      <c r="B432" s="0" t="s">
        <v>192</v>
      </c>
      <c r="C432" s="0" t="s">
        <v>92</v>
      </c>
      <c r="D432" s="0" t="s">
        <v>204</v>
      </c>
      <c r="E432" s="0" t="s">
        <v>194</v>
      </c>
      <c r="F432" s="0" t="s">
        <v>197</v>
      </c>
      <c r="G432" s="0" t="s">
        <v>211</v>
      </c>
      <c r="H432" s="0">
        <v>605</v>
      </c>
      <c r="I432" s="0">
        <v>121</v>
      </c>
      <c r="J432" s="0">
        <v>85</v>
      </c>
      <c r="K432" s="0">
        <v>36</v>
      </c>
      <c r="L432" s="0">
        <v>0</v>
      </c>
      <c r="M432" s="0">
        <v>36</v>
      </c>
      <c r="N432" s="0">
        <v>0</v>
      </c>
      <c r="O432" s="0">
        <v>2</v>
      </c>
      <c r="P432" s="0">
        <v>6650</v>
      </c>
      <c r="Q432" s="0">
        <v>90</v>
      </c>
      <c r="R432" s="0">
        <v>217</v>
      </c>
      <c r="S432" s="0">
        <v>377</v>
      </c>
      <c r="T432" s="0">
        <v>12543</v>
      </c>
      <c r="U432" s="0">
        <v>13581</v>
      </c>
      <c r="V432" s="0">
        <v>0</v>
      </c>
      <c r="W432" s="0">
        <v>0.2</v>
      </c>
      <c r="X432" s="0">
        <v>0.702479339</v>
      </c>
      <c r="Y432" s="0">
        <v>0.423529412</v>
      </c>
      <c r="Z432" s="0">
        <v>594</v>
      </c>
      <c r="AA432" s="0">
        <v>0.365319865</v>
      </c>
      <c r="AB432" s="0">
        <v>33.270557029</v>
      </c>
      <c r="AC432" s="0">
        <v>242640</v>
      </c>
    </row>
    <row r="433" ht="14.25" customHeight="1">
      <c r="A433" s="0" t="s">
        <v>191</v>
      </c>
      <c r="B433" s="0" t="s">
        <v>192</v>
      </c>
      <c r="C433" s="0" t="s">
        <v>92</v>
      </c>
      <c r="D433" s="0" t="s">
        <v>204</v>
      </c>
      <c r="E433" s="0" t="s">
        <v>196</v>
      </c>
      <c r="F433" s="0" t="s">
        <v>197</v>
      </c>
      <c r="G433" s="0" t="s">
        <v>211</v>
      </c>
      <c r="H433" s="0">
        <v>0</v>
      </c>
      <c r="I433" s="0">
        <v>0</v>
      </c>
      <c r="J433" s="0">
        <v>0</v>
      </c>
      <c r="K433" s="0">
        <v>0</v>
      </c>
      <c r="L433" s="0">
        <v>35</v>
      </c>
      <c r="M433" s="0">
        <v>35</v>
      </c>
      <c r="N433" s="0">
        <v>36</v>
      </c>
      <c r="O433" s="0">
        <v>2</v>
      </c>
      <c r="P433" s="0">
        <v>6650</v>
      </c>
      <c r="Q433" s="0">
        <v>90</v>
      </c>
      <c r="R433" s="0">
        <v>0</v>
      </c>
      <c r="S433" s="0">
        <v>0</v>
      </c>
      <c r="T433" s="0">
        <v>0</v>
      </c>
      <c r="U433" s="0">
        <v>0</v>
      </c>
      <c r="V433" s="0">
        <v>0.972222222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232750</v>
      </c>
    </row>
    <row r="434" ht="14.25" customHeight="1">
      <c r="A434" s="0" t="s">
        <v>191</v>
      </c>
      <c r="B434" s="0" t="s">
        <v>192</v>
      </c>
      <c r="C434" s="0" t="s">
        <v>92</v>
      </c>
      <c r="D434" s="0" t="s">
        <v>204</v>
      </c>
      <c r="E434" s="0" t="s">
        <v>198</v>
      </c>
      <c r="F434" s="0" t="s">
        <v>197</v>
      </c>
      <c r="G434" s="0" t="s">
        <v>211</v>
      </c>
      <c r="H434" s="0">
        <v>0</v>
      </c>
      <c r="I434" s="0">
        <v>0</v>
      </c>
      <c r="J434" s="0">
        <v>0</v>
      </c>
      <c r="K434" s="0">
        <v>0</v>
      </c>
      <c r="L434" s="0">
        <v>34</v>
      </c>
      <c r="M434" s="0">
        <v>34</v>
      </c>
      <c r="N434" s="0">
        <v>35</v>
      </c>
      <c r="O434" s="0">
        <v>2</v>
      </c>
      <c r="P434" s="0">
        <v>6650</v>
      </c>
      <c r="Q434" s="0">
        <v>90</v>
      </c>
      <c r="R434" s="0">
        <v>0</v>
      </c>
      <c r="S434" s="0">
        <v>0</v>
      </c>
      <c r="T434" s="0">
        <v>0</v>
      </c>
      <c r="U434" s="0">
        <v>0</v>
      </c>
      <c r="V434" s="0">
        <v>0.971428571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226100</v>
      </c>
    </row>
    <row r="435" ht="14.25" customHeight="1">
      <c r="A435" s="0" t="s">
        <v>191</v>
      </c>
      <c r="B435" s="0" t="s">
        <v>192</v>
      </c>
      <c r="C435" s="0" t="s">
        <v>94</v>
      </c>
      <c r="D435" s="0" t="s">
        <v>205</v>
      </c>
      <c r="E435" s="0" t="s">
        <v>206</v>
      </c>
      <c r="F435" s="0" t="s">
        <v>197</v>
      </c>
      <c r="G435" s="0" t="s">
        <v>211</v>
      </c>
      <c r="H435" s="0">
        <v>699</v>
      </c>
      <c r="I435" s="0">
        <v>140</v>
      </c>
      <c r="J435" s="0">
        <v>98</v>
      </c>
      <c r="K435" s="0">
        <v>41</v>
      </c>
      <c r="L435" s="0">
        <v>0</v>
      </c>
      <c r="M435" s="0">
        <v>41</v>
      </c>
      <c r="N435" s="0">
        <v>0</v>
      </c>
      <c r="O435" s="0">
        <v>2</v>
      </c>
      <c r="P435" s="0">
        <v>6300</v>
      </c>
      <c r="Q435" s="0">
        <v>90</v>
      </c>
      <c r="R435" s="0">
        <v>341</v>
      </c>
      <c r="S435" s="0">
        <v>382</v>
      </c>
      <c r="T435" s="0">
        <v>15129</v>
      </c>
      <c r="U435" s="0">
        <v>26720</v>
      </c>
      <c r="V435" s="0">
        <v>0</v>
      </c>
      <c r="W435" s="0">
        <v>0.200286123</v>
      </c>
      <c r="X435" s="0">
        <v>0.7</v>
      </c>
      <c r="Y435" s="0">
        <v>0.418367347</v>
      </c>
      <c r="Z435" s="0">
        <v>723</v>
      </c>
      <c r="AA435" s="0">
        <v>0.47164592</v>
      </c>
      <c r="AB435" s="0">
        <v>39.604712042</v>
      </c>
      <c r="AC435" s="0">
        <v>261990</v>
      </c>
    </row>
    <row r="436" ht="14.25" customHeight="1">
      <c r="A436" s="0" t="s">
        <v>191</v>
      </c>
      <c r="B436" s="0" t="s">
        <v>192</v>
      </c>
      <c r="C436" s="0" t="s">
        <v>94</v>
      </c>
      <c r="D436" s="0" t="s">
        <v>205</v>
      </c>
      <c r="E436" s="0" t="s">
        <v>207</v>
      </c>
      <c r="F436" s="0" t="s">
        <v>197</v>
      </c>
      <c r="G436" s="0" t="s">
        <v>211</v>
      </c>
      <c r="H436" s="0">
        <v>0</v>
      </c>
      <c r="I436" s="0">
        <v>0</v>
      </c>
      <c r="J436" s="0">
        <v>0</v>
      </c>
      <c r="K436" s="0">
        <v>0</v>
      </c>
      <c r="L436" s="0">
        <v>40</v>
      </c>
      <c r="M436" s="0">
        <v>40</v>
      </c>
      <c r="N436" s="0">
        <v>41</v>
      </c>
      <c r="O436" s="0">
        <v>2</v>
      </c>
      <c r="P436" s="0">
        <v>6300</v>
      </c>
      <c r="Q436" s="0">
        <v>90</v>
      </c>
      <c r="R436" s="0">
        <v>0</v>
      </c>
      <c r="S436" s="0">
        <v>0</v>
      </c>
      <c r="T436" s="0">
        <v>0</v>
      </c>
      <c r="U436" s="0">
        <v>0</v>
      </c>
      <c r="V436" s="0">
        <v>0.975609756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252000</v>
      </c>
    </row>
    <row r="437" ht="14.25" customHeight="1">
      <c r="A437" s="0" t="s">
        <v>191</v>
      </c>
      <c r="B437" s="0" t="s">
        <v>192</v>
      </c>
      <c r="C437" s="0" t="s">
        <v>94</v>
      </c>
      <c r="D437" s="0" t="s">
        <v>208</v>
      </c>
      <c r="E437" s="0" t="s">
        <v>194</v>
      </c>
      <c r="F437" s="0" t="s">
        <v>197</v>
      </c>
      <c r="G437" s="0" t="s">
        <v>211</v>
      </c>
      <c r="H437" s="0">
        <v>699</v>
      </c>
      <c r="I437" s="0">
        <v>140</v>
      </c>
      <c r="J437" s="0">
        <v>98</v>
      </c>
      <c r="K437" s="0">
        <v>41</v>
      </c>
      <c r="L437" s="0">
        <v>0</v>
      </c>
      <c r="M437" s="0">
        <v>41</v>
      </c>
      <c r="N437" s="0">
        <v>0</v>
      </c>
      <c r="O437" s="0">
        <v>2</v>
      </c>
      <c r="P437" s="0">
        <v>7350</v>
      </c>
      <c r="Q437" s="0">
        <v>90</v>
      </c>
      <c r="R437" s="0">
        <v>341</v>
      </c>
      <c r="S437" s="0">
        <v>383</v>
      </c>
      <c r="T437" s="0">
        <v>15129</v>
      </c>
      <c r="U437" s="0">
        <v>26719</v>
      </c>
      <c r="V437" s="0">
        <v>0</v>
      </c>
      <c r="W437" s="0">
        <v>0.200286123</v>
      </c>
      <c r="X437" s="0">
        <v>0.7</v>
      </c>
      <c r="Y437" s="0">
        <v>0.418367347</v>
      </c>
      <c r="Z437" s="0">
        <v>724</v>
      </c>
      <c r="AA437" s="0">
        <v>0.470994475</v>
      </c>
      <c r="AB437" s="0">
        <v>39.501305483</v>
      </c>
      <c r="AC437" s="0">
        <v>305040</v>
      </c>
    </row>
    <row r="438" ht="14.25" customHeight="1">
      <c r="A438" s="0" t="s">
        <v>191</v>
      </c>
      <c r="B438" s="0" t="s">
        <v>192</v>
      </c>
      <c r="C438" s="0" t="s">
        <v>94</v>
      </c>
      <c r="D438" s="0" t="s">
        <v>208</v>
      </c>
      <c r="E438" s="0" t="s">
        <v>198</v>
      </c>
      <c r="F438" s="0" t="s">
        <v>197</v>
      </c>
      <c r="G438" s="0" t="s">
        <v>211</v>
      </c>
      <c r="H438" s="0">
        <v>0</v>
      </c>
      <c r="I438" s="0">
        <v>0</v>
      </c>
      <c r="J438" s="0">
        <v>0</v>
      </c>
      <c r="K438" s="0">
        <v>0</v>
      </c>
      <c r="L438" s="0">
        <v>40</v>
      </c>
      <c r="M438" s="0">
        <v>40</v>
      </c>
      <c r="N438" s="0">
        <v>41</v>
      </c>
      <c r="O438" s="0">
        <v>2</v>
      </c>
      <c r="P438" s="0">
        <v>7350</v>
      </c>
      <c r="Q438" s="0">
        <v>90</v>
      </c>
      <c r="R438" s="0">
        <v>0</v>
      </c>
      <c r="S438" s="0">
        <v>0</v>
      </c>
      <c r="T438" s="0">
        <v>0</v>
      </c>
      <c r="U438" s="0">
        <v>0</v>
      </c>
      <c r="V438" s="0">
        <v>0.975609756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294000</v>
      </c>
    </row>
    <row r="439" ht="14.25" customHeight="1">
      <c r="A439" s="0" t="s">
        <v>191</v>
      </c>
      <c r="B439" s="0" t="s">
        <v>192</v>
      </c>
      <c r="C439" s="0" t="s">
        <v>95</v>
      </c>
      <c r="D439" s="0" t="s">
        <v>205</v>
      </c>
      <c r="E439" s="0" t="s">
        <v>206</v>
      </c>
      <c r="F439" s="0" t="s">
        <v>197</v>
      </c>
      <c r="G439" s="0" t="s">
        <v>211</v>
      </c>
      <c r="H439" s="0">
        <v>547</v>
      </c>
      <c r="I439" s="0">
        <v>109</v>
      </c>
      <c r="J439" s="0">
        <v>77</v>
      </c>
      <c r="K439" s="0">
        <v>32</v>
      </c>
      <c r="L439" s="0">
        <v>0</v>
      </c>
      <c r="M439" s="0">
        <v>32</v>
      </c>
      <c r="N439" s="0">
        <v>0</v>
      </c>
      <c r="O439" s="0">
        <v>2</v>
      </c>
      <c r="P439" s="0">
        <v>5820</v>
      </c>
      <c r="Q439" s="0">
        <v>90</v>
      </c>
      <c r="R439" s="0">
        <v>302</v>
      </c>
      <c r="S439" s="0">
        <v>264</v>
      </c>
      <c r="T439" s="0">
        <v>9078</v>
      </c>
      <c r="U439" s="0">
        <v>23880</v>
      </c>
      <c r="V439" s="0">
        <v>0</v>
      </c>
      <c r="W439" s="0">
        <v>0.199268739</v>
      </c>
      <c r="X439" s="0">
        <v>0.706422018</v>
      </c>
      <c r="Y439" s="0">
        <v>0.415584416</v>
      </c>
      <c r="Z439" s="0">
        <v>566</v>
      </c>
      <c r="AA439" s="0">
        <v>0.533568905</v>
      </c>
      <c r="AB439" s="0">
        <v>34.386363636</v>
      </c>
      <c r="AC439" s="0">
        <v>189120</v>
      </c>
    </row>
    <row r="440" ht="14.25" customHeight="1">
      <c r="A440" s="0" t="s">
        <v>191</v>
      </c>
      <c r="B440" s="0" t="s">
        <v>192</v>
      </c>
      <c r="C440" s="0" t="s">
        <v>95</v>
      </c>
      <c r="D440" s="0" t="s">
        <v>205</v>
      </c>
      <c r="E440" s="0" t="s">
        <v>207</v>
      </c>
      <c r="F440" s="0" t="s">
        <v>197</v>
      </c>
      <c r="G440" s="0" t="s">
        <v>211</v>
      </c>
      <c r="H440" s="0">
        <v>0</v>
      </c>
      <c r="I440" s="0">
        <v>0</v>
      </c>
      <c r="J440" s="0">
        <v>0</v>
      </c>
      <c r="K440" s="0">
        <v>0</v>
      </c>
      <c r="L440" s="0">
        <v>31</v>
      </c>
      <c r="M440" s="0">
        <v>31</v>
      </c>
      <c r="N440" s="0">
        <v>32</v>
      </c>
      <c r="O440" s="0">
        <v>2</v>
      </c>
      <c r="P440" s="0">
        <v>5820</v>
      </c>
      <c r="Q440" s="0">
        <v>90</v>
      </c>
      <c r="R440" s="0">
        <v>0</v>
      </c>
      <c r="S440" s="0">
        <v>0</v>
      </c>
      <c r="T440" s="0">
        <v>0</v>
      </c>
      <c r="U440" s="0">
        <v>0</v>
      </c>
      <c r="V440" s="0">
        <v>0.96875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180420</v>
      </c>
    </row>
    <row r="441" ht="14.25" customHeight="1">
      <c r="A441" s="0" t="s">
        <v>191</v>
      </c>
      <c r="B441" s="0" t="s">
        <v>192</v>
      </c>
      <c r="C441" s="0" t="s">
        <v>95</v>
      </c>
      <c r="D441" s="0" t="s">
        <v>208</v>
      </c>
      <c r="E441" s="0" t="s">
        <v>194</v>
      </c>
      <c r="F441" s="0" t="s">
        <v>197</v>
      </c>
      <c r="G441" s="0" t="s">
        <v>211</v>
      </c>
      <c r="H441" s="0">
        <v>547</v>
      </c>
      <c r="I441" s="0">
        <v>109</v>
      </c>
      <c r="J441" s="0">
        <v>77</v>
      </c>
      <c r="K441" s="0">
        <v>32</v>
      </c>
      <c r="L441" s="0">
        <v>0</v>
      </c>
      <c r="M441" s="0">
        <v>32</v>
      </c>
      <c r="N441" s="0">
        <v>0</v>
      </c>
      <c r="O441" s="0">
        <v>2</v>
      </c>
      <c r="P441" s="0">
        <v>6790</v>
      </c>
      <c r="Q441" s="0">
        <v>90</v>
      </c>
      <c r="R441" s="0">
        <v>301</v>
      </c>
      <c r="S441" s="0">
        <v>264</v>
      </c>
      <c r="T441" s="0">
        <v>9077</v>
      </c>
      <c r="U441" s="0">
        <v>23880</v>
      </c>
      <c r="V441" s="0">
        <v>0</v>
      </c>
      <c r="W441" s="0">
        <v>0.199268739</v>
      </c>
      <c r="X441" s="0">
        <v>0.706422018</v>
      </c>
      <c r="Y441" s="0">
        <v>0.415584416</v>
      </c>
      <c r="Z441" s="0">
        <v>565</v>
      </c>
      <c r="AA441" s="0">
        <v>0.532743363</v>
      </c>
      <c r="AB441" s="0">
        <v>34.382575758</v>
      </c>
      <c r="AC441" s="0">
        <v>220160</v>
      </c>
    </row>
    <row r="442" ht="14.25" customHeight="1">
      <c r="A442" s="0" t="s">
        <v>191</v>
      </c>
      <c r="B442" s="0" t="s">
        <v>192</v>
      </c>
      <c r="C442" s="0" t="s">
        <v>95</v>
      </c>
      <c r="D442" s="0" t="s">
        <v>208</v>
      </c>
      <c r="E442" s="0" t="s">
        <v>198</v>
      </c>
      <c r="F442" s="0" t="s">
        <v>197</v>
      </c>
      <c r="G442" s="0" t="s">
        <v>211</v>
      </c>
      <c r="H442" s="0">
        <v>0</v>
      </c>
      <c r="I442" s="0">
        <v>0</v>
      </c>
      <c r="J442" s="0">
        <v>0</v>
      </c>
      <c r="K442" s="0">
        <v>0</v>
      </c>
      <c r="L442" s="0">
        <v>31</v>
      </c>
      <c r="M442" s="0">
        <v>31</v>
      </c>
      <c r="N442" s="0">
        <v>32</v>
      </c>
      <c r="O442" s="0">
        <v>2</v>
      </c>
      <c r="P442" s="0">
        <v>6790</v>
      </c>
      <c r="Q442" s="0">
        <v>90</v>
      </c>
      <c r="R442" s="0">
        <v>0</v>
      </c>
      <c r="S442" s="0">
        <v>0</v>
      </c>
      <c r="T442" s="0">
        <v>0</v>
      </c>
      <c r="U442" s="0">
        <v>0</v>
      </c>
      <c r="V442" s="0">
        <v>0.96875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210490</v>
      </c>
    </row>
    <row r="443" ht="14.25" customHeight="1">
      <c r="A443" s="0" t="s">
        <v>191</v>
      </c>
      <c r="B443" s="0" t="s">
        <v>192</v>
      </c>
      <c r="C443" s="0" t="s">
        <v>96</v>
      </c>
      <c r="D443" s="0" t="s">
        <v>209</v>
      </c>
      <c r="E443" s="0" t="s">
        <v>194</v>
      </c>
      <c r="F443" s="0" t="s">
        <v>197</v>
      </c>
      <c r="G443" s="0" t="s">
        <v>211</v>
      </c>
      <c r="H443" s="0">
        <v>712</v>
      </c>
      <c r="I443" s="0">
        <v>142</v>
      </c>
      <c r="J443" s="0">
        <v>100</v>
      </c>
      <c r="K443" s="0">
        <v>42</v>
      </c>
      <c r="L443" s="0">
        <v>0</v>
      </c>
      <c r="M443" s="0">
        <v>42</v>
      </c>
      <c r="N443" s="0">
        <v>0</v>
      </c>
      <c r="O443" s="0">
        <v>2</v>
      </c>
      <c r="P443" s="0">
        <v>7840</v>
      </c>
      <c r="Q443" s="0">
        <v>90</v>
      </c>
      <c r="R443" s="0">
        <v>231</v>
      </c>
      <c r="S443" s="0">
        <v>517</v>
      </c>
      <c r="T443" s="0">
        <v>24992</v>
      </c>
      <c r="U443" s="0">
        <v>19081</v>
      </c>
      <c r="V443" s="0">
        <v>0</v>
      </c>
      <c r="W443" s="0">
        <v>0.199438202</v>
      </c>
      <c r="X443" s="0">
        <v>0.704225352</v>
      </c>
      <c r="Y443" s="0">
        <v>0.42</v>
      </c>
      <c r="Z443" s="0">
        <v>748</v>
      </c>
      <c r="AA443" s="0">
        <v>0.308823529</v>
      </c>
      <c r="AB443" s="0">
        <v>48.340425532</v>
      </c>
      <c r="AC443" s="0">
        <v>333060</v>
      </c>
    </row>
    <row r="444" ht="14.25" customHeight="1">
      <c r="A444" s="0" t="s">
        <v>191</v>
      </c>
      <c r="B444" s="0" t="s">
        <v>192</v>
      </c>
      <c r="C444" s="0" t="s">
        <v>96</v>
      </c>
      <c r="D444" s="0" t="s">
        <v>209</v>
      </c>
      <c r="E444" s="0" t="s">
        <v>196</v>
      </c>
      <c r="F444" s="0" t="s">
        <v>197</v>
      </c>
      <c r="G444" s="0" t="s">
        <v>211</v>
      </c>
      <c r="H444" s="0">
        <v>0</v>
      </c>
      <c r="I444" s="0">
        <v>0</v>
      </c>
      <c r="J444" s="0">
        <v>0</v>
      </c>
      <c r="K444" s="0">
        <v>0</v>
      </c>
      <c r="L444" s="0">
        <v>41</v>
      </c>
      <c r="M444" s="0">
        <v>41</v>
      </c>
      <c r="N444" s="0">
        <v>42</v>
      </c>
      <c r="O444" s="0">
        <v>2</v>
      </c>
      <c r="P444" s="0">
        <v>7840</v>
      </c>
      <c r="Q444" s="0">
        <v>90</v>
      </c>
      <c r="R444" s="0">
        <v>0</v>
      </c>
      <c r="S444" s="0">
        <v>0</v>
      </c>
      <c r="T444" s="0">
        <v>0</v>
      </c>
      <c r="U444" s="0">
        <v>0</v>
      </c>
      <c r="V444" s="0">
        <v>0.976190476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321440</v>
      </c>
    </row>
    <row r="445" ht="14.25" customHeight="1">
      <c r="A445" s="0" t="s">
        <v>191</v>
      </c>
      <c r="B445" s="0" t="s">
        <v>192</v>
      </c>
      <c r="C445" s="0" t="s">
        <v>96</v>
      </c>
      <c r="D445" s="0" t="s">
        <v>209</v>
      </c>
      <c r="E445" s="0" t="s">
        <v>198</v>
      </c>
      <c r="F445" s="0" t="s">
        <v>197</v>
      </c>
      <c r="G445" s="0" t="s">
        <v>211</v>
      </c>
      <c r="H445" s="0">
        <v>0</v>
      </c>
      <c r="I445" s="0">
        <v>0</v>
      </c>
      <c r="J445" s="0">
        <v>0</v>
      </c>
      <c r="K445" s="0">
        <v>0</v>
      </c>
      <c r="L445" s="0">
        <v>40</v>
      </c>
      <c r="M445" s="0">
        <v>40</v>
      </c>
      <c r="N445" s="0">
        <v>41</v>
      </c>
      <c r="O445" s="0">
        <v>2</v>
      </c>
      <c r="P445" s="0">
        <v>7840</v>
      </c>
      <c r="Q445" s="0">
        <v>90</v>
      </c>
      <c r="R445" s="0">
        <v>0</v>
      </c>
      <c r="S445" s="0">
        <v>0</v>
      </c>
      <c r="T445" s="0">
        <v>0</v>
      </c>
      <c r="U445" s="0">
        <v>0</v>
      </c>
      <c r="V445" s="0">
        <v>0.975609756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313600</v>
      </c>
    </row>
    <row r="446" ht="14.25" customHeight="1">
      <c r="A446" s="0" t="s">
        <v>191</v>
      </c>
      <c r="B446" s="0" t="s">
        <v>192</v>
      </c>
      <c r="C446" s="0" t="s">
        <v>97</v>
      </c>
      <c r="D446" s="0" t="s">
        <v>209</v>
      </c>
      <c r="E446" s="0" t="s">
        <v>194</v>
      </c>
      <c r="F446" s="0" t="s">
        <v>197</v>
      </c>
      <c r="G446" s="0" t="s">
        <v>211</v>
      </c>
      <c r="H446" s="0">
        <v>605</v>
      </c>
      <c r="I446" s="0">
        <v>121</v>
      </c>
      <c r="J446" s="0">
        <v>85</v>
      </c>
      <c r="K446" s="0">
        <v>36</v>
      </c>
      <c r="L446" s="0">
        <v>0</v>
      </c>
      <c r="M446" s="0">
        <v>36</v>
      </c>
      <c r="N446" s="0">
        <v>0</v>
      </c>
      <c r="O446" s="0">
        <v>2</v>
      </c>
      <c r="P446" s="0">
        <v>7350</v>
      </c>
      <c r="Q446" s="0">
        <v>90</v>
      </c>
      <c r="R446" s="0">
        <v>242</v>
      </c>
      <c r="S446" s="0">
        <v>392</v>
      </c>
      <c r="T446" s="0">
        <v>15578</v>
      </c>
      <c r="U446" s="0">
        <v>20221</v>
      </c>
      <c r="V446" s="0">
        <v>0</v>
      </c>
      <c r="W446" s="0">
        <v>0.2</v>
      </c>
      <c r="X446" s="0">
        <v>0.702479339</v>
      </c>
      <c r="Y446" s="0">
        <v>0.423529412</v>
      </c>
      <c r="Z446" s="0">
        <v>634</v>
      </c>
      <c r="AA446" s="0">
        <v>0.38170347</v>
      </c>
      <c r="AB446" s="0">
        <v>39.739795918</v>
      </c>
      <c r="AC446" s="0">
        <v>267840</v>
      </c>
    </row>
    <row r="447" ht="14.25" customHeight="1">
      <c r="A447" s="0" t="s">
        <v>191</v>
      </c>
      <c r="B447" s="0" t="s">
        <v>192</v>
      </c>
      <c r="C447" s="0" t="s">
        <v>97</v>
      </c>
      <c r="D447" s="0" t="s">
        <v>209</v>
      </c>
      <c r="E447" s="0" t="s">
        <v>196</v>
      </c>
      <c r="F447" s="0" t="s">
        <v>197</v>
      </c>
      <c r="G447" s="0" t="s">
        <v>211</v>
      </c>
      <c r="H447" s="0">
        <v>0</v>
      </c>
      <c r="I447" s="0">
        <v>0</v>
      </c>
      <c r="J447" s="0">
        <v>0</v>
      </c>
      <c r="K447" s="0">
        <v>0</v>
      </c>
      <c r="L447" s="0">
        <v>35</v>
      </c>
      <c r="M447" s="0">
        <v>35</v>
      </c>
      <c r="N447" s="0">
        <v>36</v>
      </c>
      <c r="O447" s="0">
        <v>2</v>
      </c>
      <c r="P447" s="0">
        <v>7350</v>
      </c>
      <c r="Q447" s="0">
        <v>90</v>
      </c>
      <c r="R447" s="0">
        <v>0</v>
      </c>
      <c r="S447" s="0">
        <v>0</v>
      </c>
      <c r="T447" s="0">
        <v>0</v>
      </c>
      <c r="U447" s="0">
        <v>0</v>
      </c>
      <c r="V447" s="0">
        <v>0.972222222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257250</v>
      </c>
    </row>
    <row r="448" ht="14.25" customHeight="1">
      <c r="A448" s="0" t="s">
        <v>191</v>
      </c>
      <c r="B448" s="0" t="s">
        <v>192</v>
      </c>
      <c r="C448" s="0" t="s">
        <v>97</v>
      </c>
      <c r="D448" s="0" t="s">
        <v>209</v>
      </c>
      <c r="E448" s="0" t="s">
        <v>198</v>
      </c>
      <c r="F448" s="0" t="s">
        <v>197</v>
      </c>
      <c r="G448" s="0" t="s">
        <v>211</v>
      </c>
      <c r="H448" s="0">
        <v>0</v>
      </c>
      <c r="I448" s="0">
        <v>0</v>
      </c>
      <c r="J448" s="0">
        <v>0</v>
      </c>
      <c r="K448" s="0">
        <v>0</v>
      </c>
      <c r="L448" s="0">
        <v>34</v>
      </c>
      <c r="M448" s="0">
        <v>34</v>
      </c>
      <c r="N448" s="0">
        <v>35</v>
      </c>
      <c r="O448" s="0">
        <v>2</v>
      </c>
      <c r="P448" s="0">
        <v>7350</v>
      </c>
      <c r="Q448" s="0">
        <v>90</v>
      </c>
      <c r="R448" s="0">
        <v>0</v>
      </c>
      <c r="S448" s="0">
        <v>0</v>
      </c>
      <c r="T448" s="0">
        <v>0</v>
      </c>
      <c r="U448" s="0">
        <v>0</v>
      </c>
      <c r="V448" s="0">
        <v>0.971428571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249900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2B5D338-EB0B-27D8-A4FF-C8B50AC9285B}" mc:Ignorable="x14ac xr xr2 xr3">
  <dimension ref="A1:O115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s="2" t="s">
        <v>164</v>
      </c>
      <c r="B1" s="2" t="s">
        <v>165</v>
      </c>
      <c r="C1" s="2" t="s">
        <v>166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189</v>
      </c>
      <c r="J1" s="2" t="s">
        <v>190</v>
      </c>
      <c r="K1" s="2" t="s">
        <v>217</v>
      </c>
      <c r="L1" s="2" t="s">
        <v>218</v>
      </c>
      <c r="M1" s="2" t="s">
        <v>219</v>
      </c>
      <c r="N1" s="2" t="s">
        <v>220</v>
      </c>
    </row>
    <row r="2" ht="14.25" customHeight="1">
      <c r="A2" t="s">
        <v>191</v>
      </c>
      <c r="B2" t="s">
        <v>192</v>
      </c>
      <c r="C2" t="s">
        <v>75</v>
      </c>
      <c r="D2">
        <v>711</v>
      </c>
      <c r="E2">
        <v>1265</v>
      </c>
      <c r="F2">
        <v>1976</v>
      </c>
      <c r="G2">
        <v>68291</v>
      </c>
      <c r="H2">
        <v>64800</v>
      </c>
      <c r="I2">
        <v>0.359817814</v>
      </c>
      <c r="J2">
        <v>53.984980237</v>
      </c>
      <c r="K2">
        <v>0.463595908</v>
      </c>
      <c r="L2">
        <v>0.078947368</v>
      </c>
      <c r="M2">
        <v>0.308054154</v>
      </c>
      <c r="N2">
        <v>1475.012479769</v>
      </c>
    </row>
    <row r="3" ht="14.25" customHeight="1">
      <c r="A3" t="s">
        <v>191</v>
      </c>
      <c r="B3" t="s">
        <v>192</v>
      </c>
      <c r="C3" t="s">
        <v>77</v>
      </c>
      <c r="D3">
        <v>716</v>
      </c>
      <c r="E3">
        <v>950</v>
      </c>
      <c r="F3">
        <v>1666</v>
      </c>
      <c r="G3">
        <v>41783</v>
      </c>
      <c r="H3">
        <v>65255</v>
      </c>
      <c r="I3">
        <v>0.429771909</v>
      </c>
      <c r="J3">
        <v>43.982105263</v>
      </c>
      <c r="K3">
        <v>0.503912473</v>
      </c>
      <c r="L3">
        <v>0.079231693</v>
      </c>
      <c r="M3">
        <v>0.326593775</v>
      </c>
      <c r="N3">
        <v>1101.595038606</v>
      </c>
    </row>
    <row r="4" ht="14.25" customHeight="1">
      <c r="A4" t="s">
        <v>191</v>
      </c>
      <c r="B4" t="s">
        <v>192</v>
      </c>
      <c r="C4" t="s">
        <v>79</v>
      </c>
      <c r="D4">
        <v>728</v>
      </c>
      <c r="E4">
        <v>788</v>
      </c>
      <c r="F4">
        <v>1516</v>
      </c>
      <c r="G4">
        <v>31533</v>
      </c>
      <c r="H4">
        <v>66349</v>
      </c>
      <c r="I4">
        <v>0.480211082</v>
      </c>
      <c r="J4">
        <v>40.016497462</v>
      </c>
      <c r="K4">
        <v>0.524655469</v>
      </c>
      <c r="L4">
        <v>0.079155673</v>
      </c>
      <c r="M4">
        <v>0.343450553</v>
      </c>
      <c r="N4">
        <v>963.56901165</v>
      </c>
    </row>
    <row r="5" ht="14.25" customHeight="1">
      <c r="A5" t="s">
        <v>191</v>
      </c>
      <c r="B5" t="s">
        <v>192</v>
      </c>
      <c r="C5" t="s">
        <v>81</v>
      </c>
      <c r="D5">
        <v>630</v>
      </c>
      <c r="E5">
        <v>656</v>
      </c>
      <c r="F5">
        <v>1286</v>
      </c>
      <c r="G5">
        <v>24923</v>
      </c>
      <c r="H5">
        <v>57418</v>
      </c>
      <c r="I5">
        <v>0.489891135</v>
      </c>
      <c r="J5">
        <v>37.992378049</v>
      </c>
      <c r="K5">
        <v>0.5384553</v>
      </c>
      <c r="L5">
        <v>0.079315708</v>
      </c>
      <c r="M5">
        <v>0.348249238</v>
      </c>
      <c r="N5">
        <v>889.585343434</v>
      </c>
    </row>
    <row r="6" ht="14.25" customHeight="1">
      <c r="A6" t="s">
        <v>191</v>
      </c>
      <c r="B6" t="s">
        <v>192</v>
      </c>
      <c r="C6" t="s">
        <v>83</v>
      </c>
      <c r="D6">
        <v>690</v>
      </c>
      <c r="E6">
        <v>1126</v>
      </c>
      <c r="F6">
        <v>1816</v>
      </c>
      <c r="G6">
        <v>60800</v>
      </c>
      <c r="H6">
        <v>62886</v>
      </c>
      <c r="I6">
        <v>0.379955947</v>
      </c>
      <c r="J6">
        <v>53.996447602</v>
      </c>
      <c r="K6">
        <v>0.442086485</v>
      </c>
      <c r="L6">
        <v>0.079295154</v>
      </c>
      <c r="M6">
        <v>0.317193575</v>
      </c>
      <c r="N6">
        <v>1540.321235495</v>
      </c>
    </row>
    <row r="7" ht="14.25" customHeight="1">
      <c r="A7" t="s">
        <v>191</v>
      </c>
      <c r="B7" t="s">
        <v>192</v>
      </c>
      <c r="C7" t="s">
        <v>84</v>
      </c>
      <c r="D7">
        <v>630</v>
      </c>
      <c r="E7">
        <v>630</v>
      </c>
      <c r="F7">
        <v>1260</v>
      </c>
      <c r="G7">
        <v>25220</v>
      </c>
      <c r="H7">
        <v>57418</v>
      </c>
      <c r="I7">
        <v>0.5</v>
      </c>
      <c r="J7">
        <v>40.031746032</v>
      </c>
      <c r="K7">
        <v>0.515848483</v>
      </c>
      <c r="L7">
        <v>0.079302141</v>
      </c>
      <c r="M7">
        <v>0.348380671</v>
      </c>
      <c r="N7">
        <v>978.582537357</v>
      </c>
    </row>
    <row r="8" ht="14.25" customHeight="1">
      <c r="A8" t="s">
        <v>191</v>
      </c>
      <c r="B8" t="s">
        <v>192</v>
      </c>
      <c r="C8" t="s">
        <v>86</v>
      </c>
      <c r="D8">
        <v>605</v>
      </c>
      <c r="E8">
        <v>581</v>
      </c>
      <c r="F8">
        <v>1186</v>
      </c>
      <c r="G8">
        <v>22083</v>
      </c>
      <c r="H8">
        <v>55139</v>
      </c>
      <c r="I8">
        <v>0.510118044</v>
      </c>
      <c r="J8">
        <v>38.008605852</v>
      </c>
      <c r="K8">
        <v>0.521803236</v>
      </c>
      <c r="L8">
        <v>0.07925801</v>
      </c>
      <c r="M8">
        <v>0.35585221</v>
      </c>
      <c r="N8">
        <v>919.034906823</v>
      </c>
    </row>
    <row r="9" ht="14.25" customHeight="1">
      <c r="A9" t="s">
        <v>191</v>
      </c>
      <c r="B9" t="s">
        <v>192</v>
      </c>
      <c r="C9" t="s">
        <v>88</v>
      </c>
      <c r="D9">
        <v>306</v>
      </c>
      <c r="E9">
        <v>544</v>
      </c>
      <c r="F9">
        <v>850</v>
      </c>
      <c r="G9">
        <v>21760</v>
      </c>
      <c r="H9">
        <v>27889</v>
      </c>
      <c r="I9">
        <v>0.36</v>
      </c>
      <c r="J9">
        <v>40</v>
      </c>
      <c r="K9">
        <v>0.559080428</v>
      </c>
      <c r="L9">
        <v>0.058823529</v>
      </c>
      <c r="M9">
        <v>0.304912264</v>
      </c>
      <c r="N9">
        <v>1216.282964719</v>
      </c>
    </row>
    <row r="10" ht="14.25" customHeight="1">
      <c r="A10" t="s">
        <v>191</v>
      </c>
      <c r="B10" t="s">
        <v>192</v>
      </c>
      <c r="C10" t="s">
        <v>90</v>
      </c>
      <c r="D10">
        <v>265</v>
      </c>
      <c r="E10">
        <v>415</v>
      </c>
      <c r="F10">
        <v>680</v>
      </c>
      <c r="G10">
        <v>14933</v>
      </c>
      <c r="H10">
        <v>24152</v>
      </c>
      <c r="I10">
        <v>0.389705882</v>
      </c>
      <c r="J10">
        <v>35.98313253</v>
      </c>
      <c r="K10">
        <v>0.58787584</v>
      </c>
      <c r="L10">
        <v>0.058823529</v>
      </c>
      <c r="M10">
        <v>0.317354177</v>
      </c>
      <c r="N10">
        <v>1040.548379668</v>
      </c>
    </row>
    <row r="11" ht="14.25" customHeight="1">
      <c r="A11" t="s">
        <v>191</v>
      </c>
      <c r="B11" t="s">
        <v>192</v>
      </c>
      <c r="C11" t="s">
        <v>92</v>
      </c>
      <c r="D11">
        <v>258</v>
      </c>
      <c r="E11">
        <v>422</v>
      </c>
      <c r="F11">
        <v>680</v>
      </c>
      <c r="G11">
        <v>15178</v>
      </c>
      <c r="H11">
        <v>23514</v>
      </c>
      <c r="I11">
        <v>0.379411765</v>
      </c>
      <c r="J11">
        <v>35.966824645</v>
      </c>
      <c r="K11">
        <v>0.59134467</v>
      </c>
      <c r="L11">
        <v>0.058823529</v>
      </c>
      <c r="M11">
        <v>0.315275263</v>
      </c>
      <c r="N11">
        <v>1033.975700607</v>
      </c>
    </row>
    <row r="12" ht="14.25" customHeight="1">
      <c r="A12" t="s">
        <v>191</v>
      </c>
      <c r="B12" t="s">
        <v>192</v>
      </c>
      <c r="C12" t="s">
        <v>94</v>
      </c>
      <c r="D12">
        <v>738</v>
      </c>
      <c r="E12">
        <v>832</v>
      </c>
      <c r="F12">
        <v>1570</v>
      </c>
      <c r="G12">
        <v>36612</v>
      </c>
      <c r="H12">
        <v>67261</v>
      </c>
      <c r="I12">
        <v>0.470063694</v>
      </c>
      <c r="J12">
        <v>44.004807692</v>
      </c>
      <c r="K12">
        <v>0.440450184</v>
      </c>
      <c r="L12">
        <v>0.058598726</v>
      </c>
      <c r="M12">
        <v>0.343045775</v>
      </c>
      <c r="N12">
        <v>1704.963778272</v>
      </c>
    </row>
    <row r="13" ht="14.25" customHeight="1">
      <c r="A13" t="s">
        <v>191</v>
      </c>
      <c r="B13" t="s">
        <v>192</v>
      </c>
      <c r="C13" t="s">
        <v>95</v>
      </c>
      <c r="D13">
        <v>652</v>
      </c>
      <c r="E13">
        <v>578</v>
      </c>
      <c r="F13">
        <v>1230</v>
      </c>
      <c r="G13">
        <v>21968</v>
      </c>
      <c r="H13">
        <v>59423</v>
      </c>
      <c r="I13">
        <v>0.530081301</v>
      </c>
      <c r="J13">
        <v>38.006920415</v>
      </c>
      <c r="K13">
        <v>0.474597064</v>
      </c>
      <c r="L13">
        <v>0.058536585</v>
      </c>
      <c r="M13">
        <v>0.357573951</v>
      </c>
      <c r="N13">
        <v>1368.07607826</v>
      </c>
    </row>
    <row r="14" ht="14.25" customHeight="1">
      <c r="A14" t="s">
        <v>191</v>
      </c>
      <c r="B14" t="s">
        <v>192</v>
      </c>
      <c r="C14" t="s">
        <v>96</v>
      </c>
      <c r="D14">
        <v>240</v>
      </c>
      <c r="E14">
        <v>560</v>
      </c>
      <c r="F14">
        <v>800</v>
      </c>
      <c r="G14">
        <v>30240</v>
      </c>
      <c r="H14">
        <v>21873</v>
      </c>
      <c r="I14">
        <v>0.3</v>
      </c>
      <c r="J14">
        <v>54</v>
      </c>
      <c r="K14">
        <v>0.41914906</v>
      </c>
      <c r="L14">
        <v>0.05875</v>
      </c>
      <c r="M14">
        <v>0.279886014</v>
      </c>
      <c r="N14">
        <v>2192.892750688</v>
      </c>
    </row>
    <row r="15" ht="14.25" customHeight="1">
      <c r="A15" t="s">
        <v>191</v>
      </c>
      <c r="B15" t="s">
        <v>192</v>
      </c>
      <c r="C15" t="s">
        <v>97</v>
      </c>
      <c r="D15">
        <v>252</v>
      </c>
      <c r="E15">
        <v>428</v>
      </c>
      <c r="F15">
        <v>680</v>
      </c>
      <c r="G15">
        <v>18850</v>
      </c>
      <c r="H15">
        <v>22967</v>
      </c>
      <c r="I15">
        <v>0.370588235</v>
      </c>
      <c r="J15">
        <v>44.042056075</v>
      </c>
      <c r="K15">
        <v>0.460843731</v>
      </c>
      <c r="L15">
        <v>0.058823529</v>
      </c>
      <c r="M15">
        <v>0.31798649</v>
      </c>
      <c r="N15">
        <v>1624.66125095</v>
      </c>
    </row>
    <row r="115" ht="14.25" customHeight="1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48CA9E8-5028-1C1D-E7B8-385C8F56B8EE}" mc:Ignorable="x14ac xr xr2 xr3">
  <dimension ref="A1:T448"/>
  <sheetViews>
    <sheetView topLeftCell="A1" workbookViewId="0">
      <selection activeCell="A1" sqref="A1"/>
    </sheetView>
  </sheetViews>
  <sheetFormatPr defaultRowHeight="14.25" defaultColWidth="9.140625" customHeight="1"/>
  <cols>
    <col min="1" max="1" width="9.28125" customWidth="1"/>
    <col min="2" max="3" width="8.00390625" customWidth="1"/>
    <col min="4" max="4" width="6.28125" customWidth="1"/>
    <col min="5" max="5" width="7.8515625" customWidth="1"/>
    <col min="6" max="6" width="11.421875" customWidth="1"/>
    <col min="7" max="8" width="9.00390625" customWidth="1"/>
    <col min="9" max="9" width="8.8515625" customWidth="1"/>
    <col min="10" max="10" width="9.8515625" customWidth="1"/>
    <col min="11" max="11" width="8.00390625" customWidth="1"/>
    <col min="12" max="13" width="4.7109375" customWidth="1"/>
  </cols>
  <sheetData>
    <row r="1" ht="14.25" customHeight="1">
      <c r="A1" s="134" t="s">
        <v>164</v>
      </c>
      <c r="B1" s="2" t="s">
        <v>221</v>
      </c>
      <c r="C1" s="2" t="s">
        <v>165</v>
      </c>
      <c r="D1" s="2" t="s">
        <v>166</v>
      </c>
      <c r="E1" s="2" t="s">
        <v>222</v>
      </c>
      <c r="F1" s="2" t="s">
        <v>167</v>
      </c>
      <c r="G1" s="2" t="s">
        <v>168</v>
      </c>
      <c r="H1" s="2" t="s">
        <v>169</v>
      </c>
      <c r="I1" s="2" t="s">
        <v>170</v>
      </c>
      <c r="J1" s="2" t="s">
        <v>223</v>
      </c>
      <c r="K1" s="2" t="s">
        <v>224</v>
      </c>
      <c r="L1" s="2" t="s">
        <v>225</v>
      </c>
      <c r="M1" s="2" t="s">
        <v>119</v>
      </c>
      <c r="O1" t="s">
        <v>226</v>
      </c>
      <c r="P1" t="s">
        <v>227</v>
      </c>
      <c r="Q1" t="s">
        <v>228</v>
      </c>
      <c r="R1" t="s">
        <v>229</v>
      </c>
      <c r="S1" t="s">
        <v>230</v>
      </c>
    </row>
    <row r="2" ht="14.25" customHeight="1">
      <c r="A2" t="s">
        <v>191</v>
      </c>
      <c r="B2" t="s">
        <v>231</v>
      </c>
      <c r="C2" t="s">
        <v>192</v>
      </c>
      <c r="D2" t="s">
        <v>75</v>
      </c>
      <c r="E2" t="s">
        <v>232</v>
      </c>
      <c r="F2" t="s">
        <v>193</v>
      </c>
      <c r="G2" t="s">
        <v>194</v>
      </c>
      <c r="H2" t="s">
        <v>195</v>
      </c>
      <c r="I2" t="s">
        <v>233</v>
      </c>
      <c r="J2">
        <v>84.920593921</v>
      </c>
      <c r="K2">
        <v>84.920593921</v>
      </c>
      <c r="L2">
        <v>8601.6</v>
      </c>
      <c r="M2">
        <v>738095.834124097</v>
      </c>
      <c r="O2">
        <f>IF(D2="","",_CALC_MOTEUR!AE2)</f>
        <v>8717935435.06457</v>
      </c>
      <c r="P2">
        <f>IF(D2="","",_CALC_MOTEUR!AF2)</f>
        <v>8717935435.06457</v>
      </c>
      <c r="Q2">
        <f>IF(D2="","",_CALC_MOTEUR!AG2)</f>
        <v>8400008400</v>
      </c>
      <c r="R2">
        <f>IF(D2="","",_CALC_MOTEUR!AH2)</f>
        <v>73230731669814200000</v>
      </c>
      <c r="S2">
        <f t="shared" si="0" ref="S2:S175">IF(D2="","",R2-M2)</f>
        <v>73230731669813500000</v>
      </c>
    </row>
    <row r="3" ht="14.25" customHeight="1">
      <c r="A3" t="s">
        <v>191</v>
      </c>
      <c r="B3" t="s">
        <v>9</v>
      </c>
      <c r="C3" t="s">
        <v>192</v>
      </c>
      <c r="D3" t="s">
        <v>75</v>
      </c>
      <c r="E3" t="s">
        <v>232</v>
      </c>
      <c r="F3" t="s">
        <v>193</v>
      </c>
      <c r="G3" t="s">
        <v>194</v>
      </c>
      <c r="H3" t="s">
        <v>195</v>
      </c>
      <c r="I3" t="s">
        <v>233</v>
      </c>
      <c r="J3">
        <v>95.673985045</v>
      </c>
      <c r="K3">
        <v>95.673985045</v>
      </c>
      <c r="L3">
        <v>8752.8</v>
      </c>
      <c r="M3">
        <v>846025.914955184</v>
      </c>
      <c r="O3" t="e">
        <f>IF(D3="","",_CALC_MOTEUR!AE3)</f>
        <v>#VALUE!</v>
      </c>
      <c r="P3" t="e">
        <f>IF(D3="","",_CALC_MOTEUR!AF3)</f>
        <v>#VALUE!</v>
      </c>
      <c r="Q3" t="e">
        <f>IF(D3="","",_CALC_MOTEUR!AG3)</f>
        <v>#VALUE!</v>
      </c>
      <c r="R3" t="e">
        <f>IF(D3="","",_CALC_MOTEUR!AH3)</f>
        <v>#VALUE!</v>
      </c>
      <c r="S3" t="e">
        <f t="shared" si="0"/>
        <v>#VALUE!</v>
      </c>
    </row>
    <row r="4" ht="14.25" customHeight="1">
      <c r="A4" t="s">
        <v>191</v>
      </c>
      <c r="B4" t="s">
        <v>234</v>
      </c>
      <c r="C4" t="s">
        <v>192</v>
      </c>
      <c r="D4" t="s">
        <v>75</v>
      </c>
      <c r="E4" t="s">
        <v>232</v>
      </c>
      <c r="F4" t="s">
        <v>193</v>
      </c>
      <c r="G4" t="s">
        <v>194</v>
      </c>
      <c r="H4" t="s">
        <v>195</v>
      </c>
      <c r="I4" t="s">
        <v>233</v>
      </c>
      <c r="J4">
        <v>72.432660544</v>
      </c>
      <c r="K4">
        <v>72.432660544</v>
      </c>
      <c r="L4">
        <v>8601.6</v>
      </c>
      <c r="M4">
        <v>629555.7123863</v>
      </c>
      <c r="O4" t="e">
        <f>IF(D4="","",_CALC_MOTEUR!AE4)</f>
        <v>#VALUE!</v>
      </c>
      <c r="P4" t="e">
        <f>IF(D4="","",_CALC_MOTEUR!AF4)</f>
        <v>#VALUE!</v>
      </c>
      <c r="Q4" t="e">
        <f>IF(D4="","",_CALC_MOTEUR!AG4)</f>
        <v>#VALUE!</v>
      </c>
      <c r="R4" t="e">
        <f>IF(D4="","",_CALC_MOTEUR!AH4)</f>
        <v>#VALUE!</v>
      </c>
      <c r="S4" t="e">
        <f t="shared" si="0"/>
        <v>#VALUE!</v>
      </c>
    </row>
    <row r="5" ht="14.25" customHeight="1">
      <c r="A5" t="s">
        <v>191</v>
      </c>
      <c r="B5" t="s">
        <v>231</v>
      </c>
      <c r="C5" t="s">
        <v>192</v>
      </c>
      <c r="D5" t="s">
        <v>75</v>
      </c>
      <c r="E5" t="s">
        <v>232</v>
      </c>
      <c r="F5" t="s">
        <v>193</v>
      </c>
      <c r="G5" t="s">
        <v>196</v>
      </c>
      <c r="H5" t="s">
        <v>197</v>
      </c>
      <c r="I5" t="s">
        <v>233</v>
      </c>
      <c r="J5">
        <v>0</v>
      </c>
      <c r="K5">
        <v>76.39</v>
      </c>
      <c r="L5">
        <v>8028.16</v>
      </c>
      <c r="M5">
        <v>613271.1424</v>
      </c>
      <c r="O5">
        <f>IF(D5="","",_CALC_MOTEUR!AE5)</f>
        <v>0</v>
      </c>
      <c r="P5" t="e">
        <f>IF(D5="","",_CALC_MOTEUR!AF5)</f>
        <v>#VALUE!</v>
      </c>
      <c r="Q5" t="e">
        <f>IF(D5="","",_CALC_MOTEUR!AG5)</f>
        <v>#VALUE!</v>
      </c>
      <c r="R5" t="e">
        <f>IF(D5="","",_CALC_MOTEUR!AH5)</f>
        <v>#VALUE!</v>
      </c>
      <c r="S5" t="e">
        <f t="shared" si="0"/>
        <v>#VALUE!</v>
      </c>
    </row>
    <row r="6" ht="14.25" customHeight="1">
      <c r="A6" t="s">
        <v>191</v>
      </c>
      <c r="B6" t="s">
        <v>9</v>
      </c>
      <c r="C6" t="s">
        <v>192</v>
      </c>
      <c r="D6" t="s">
        <v>75</v>
      </c>
      <c r="E6" t="s">
        <v>232</v>
      </c>
      <c r="F6" t="s">
        <v>193</v>
      </c>
      <c r="G6" t="s">
        <v>196</v>
      </c>
      <c r="H6" t="s">
        <v>197</v>
      </c>
      <c r="I6" t="s">
        <v>233</v>
      </c>
      <c r="J6">
        <v>0</v>
      </c>
      <c r="K6">
        <v>77.17</v>
      </c>
      <c r="L6">
        <v>8169.28</v>
      </c>
      <c r="M6">
        <v>630423.3376</v>
      </c>
      <c r="O6">
        <f>IF(D6="","",_CALC_MOTEUR!AE6)</f>
        <v>0</v>
      </c>
      <c r="P6" t="e">
        <f>IF(D6="","",_CALC_MOTEUR!AF6)</f>
        <v>#VALUE!</v>
      </c>
      <c r="Q6" t="e">
        <f>IF(D6="","",_CALC_MOTEUR!AG6)</f>
        <v>#VALUE!</v>
      </c>
      <c r="R6" t="e">
        <f>IF(D6="","",_CALC_MOTEUR!AH6)</f>
        <v>#VALUE!</v>
      </c>
      <c r="S6" t="e">
        <f t="shared" si="0"/>
        <v>#VALUE!</v>
      </c>
    </row>
    <row r="7" ht="14.25" customHeight="1">
      <c r="A7" t="s">
        <v>191</v>
      </c>
      <c r="B7" t="s">
        <v>234</v>
      </c>
      <c r="C7" t="s">
        <v>192</v>
      </c>
      <c r="D7" t="s">
        <v>75</v>
      </c>
      <c r="E7" t="s">
        <v>232</v>
      </c>
      <c r="F7" t="s">
        <v>193</v>
      </c>
      <c r="G7" t="s">
        <v>196</v>
      </c>
      <c r="H7" t="s">
        <v>197</v>
      </c>
      <c r="I7" t="s">
        <v>233</v>
      </c>
      <c r="J7">
        <v>0</v>
      </c>
      <c r="K7">
        <v>75.22</v>
      </c>
      <c r="L7">
        <v>8028.16</v>
      </c>
      <c r="M7">
        <v>603878.1952</v>
      </c>
      <c r="O7">
        <f>IF(D7="","",_CALC_MOTEUR!AE7)</f>
        <v>0</v>
      </c>
      <c r="P7" t="e">
        <f>IF(D7="","",_CALC_MOTEUR!AF7)</f>
        <v>#VALUE!</v>
      </c>
      <c r="Q7" t="e">
        <f>IF(D7="","",_CALC_MOTEUR!AG7)</f>
        <v>#VALUE!</v>
      </c>
      <c r="R7" t="e">
        <f>IF(D7="","",_CALC_MOTEUR!AH7)</f>
        <v>#VALUE!</v>
      </c>
      <c r="S7" t="e">
        <f t="shared" si="0"/>
        <v>#VALUE!</v>
      </c>
    </row>
    <row r="8" ht="14.25" customHeight="1">
      <c r="A8" t="s">
        <v>191</v>
      </c>
      <c r="B8" t="s">
        <v>231</v>
      </c>
      <c r="C8" t="s">
        <v>192</v>
      </c>
      <c r="D8" t="s">
        <v>75</v>
      </c>
      <c r="E8" t="s">
        <v>232</v>
      </c>
      <c r="F8" t="s">
        <v>193</v>
      </c>
      <c r="G8" t="s">
        <v>198</v>
      </c>
      <c r="H8" t="s">
        <v>197</v>
      </c>
      <c r="I8" t="s">
        <v>233</v>
      </c>
      <c r="J8">
        <v>0</v>
      </c>
      <c r="K8">
        <v>74.38</v>
      </c>
      <c r="L8">
        <v>8028.16</v>
      </c>
      <c r="M8">
        <v>597134.5408</v>
      </c>
      <c r="O8">
        <f>IF(D8="","",_CALC_MOTEUR!AE8)</f>
        <v>0</v>
      </c>
      <c r="P8" t="e">
        <f>IF(D8="","",_CALC_MOTEUR!AF8)</f>
        <v>#VALUE!</v>
      </c>
      <c r="Q8" t="e">
        <f>IF(D8="","",_CALC_MOTEUR!AG8)</f>
        <v>#VALUE!</v>
      </c>
      <c r="R8" t="e">
        <f>IF(D8="","",_CALC_MOTEUR!AH8)</f>
        <v>#VALUE!</v>
      </c>
      <c r="S8" t="e">
        <f t="shared" si="0"/>
        <v>#VALUE!</v>
      </c>
    </row>
    <row r="9" ht="14.25" customHeight="1">
      <c r="A9" t="s">
        <v>191</v>
      </c>
      <c r="B9" t="s">
        <v>9</v>
      </c>
      <c r="C9" t="s">
        <v>192</v>
      </c>
      <c r="D9" t="s">
        <v>75</v>
      </c>
      <c r="E9" t="s">
        <v>232</v>
      </c>
      <c r="F9" t="s">
        <v>193</v>
      </c>
      <c r="G9" t="s">
        <v>198</v>
      </c>
      <c r="H9" t="s">
        <v>197</v>
      </c>
      <c r="I9" t="s">
        <v>233</v>
      </c>
      <c r="J9">
        <v>0</v>
      </c>
      <c r="K9">
        <v>75.14</v>
      </c>
      <c r="L9">
        <v>8169.28</v>
      </c>
      <c r="M9">
        <v>613839.6992</v>
      </c>
      <c r="O9">
        <f>IF(D9="","",_CALC_MOTEUR!AE9)</f>
        <v>0</v>
      </c>
      <c r="P9" t="e">
        <f>IF(D9="","",_CALC_MOTEUR!AF9)</f>
        <v>#VALUE!</v>
      </c>
      <c r="Q9" t="e">
        <f>IF(D9="","",_CALC_MOTEUR!AG9)</f>
        <v>#VALUE!</v>
      </c>
      <c r="R9" t="e">
        <f>IF(D9="","",_CALC_MOTEUR!AH9)</f>
        <v>#VALUE!</v>
      </c>
      <c r="S9" t="e">
        <f t="shared" si="0"/>
        <v>#VALUE!</v>
      </c>
    </row>
    <row r="10" ht="14.25" customHeight="1">
      <c r="A10" t="s">
        <v>191</v>
      </c>
      <c r="B10" t="s">
        <v>234</v>
      </c>
      <c r="C10" t="s">
        <v>192</v>
      </c>
      <c r="D10" t="s">
        <v>75</v>
      </c>
      <c r="E10" t="s">
        <v>232</v>
      </c>
      <c r="F10" t="s">
        <v>193</v>
      </c>
      <c r="G10" t="s">
        <v>198</v>
      </c>
      <c r="H10" t="s">
        <v>197</v>
      </c>
      <c r="I10" t="s">
        <v>233</v>
      </c>
      <c r="J10">
        <v>0</v>
      </c>
      <c r="K10">
        <v>73.24</v>
      </c>
      <c r="L10">
        <v>8028.16</v>
      </c>
      <c r="M10">
        <v>587982.4384</v>
      </c>
      <c r="O10">
        <f>IF(D10="","",_CALC_MOTEUR!AE10)</f>
        <v>0</v>
      </c>
      <c r="P10" t="e">
        <f>IF(D10="","",_CALC_MOTEUR!AF10)</f>
        <v>#VALUE!</v>
      </c>
      <c r="Q10" t="e">
        <f>IF(D10="","",_CALC_MOTEUR!AG10)</f>
        <v>#VALUE!</v>
      </c>
      <c r="R10" t="e">
        <f>IF(D10="","",_CALC_MOTEUR!AH10)</f>
        <v>#VALUE!</v>
      </c>
      <c r="S10" t="e">
        <f t="shared" si="0"/>
        <v>#VALUE!</v>
      </c>
    </row>
    <row r="11" ht="14.25" customHeight="1">
      <c r="A11" t="s">
        <v>191</v>
      </c>
      <c r="B11" t="s">
        <v>231</v>
      </c>
      <c r="C11" t="s">
        <v>192</v>
      </c>
      <c r="D11" t="s">
        <v>75</v>
      </c>
      <c r="E11" t="s">
        <v>232</v>
      </c>
      <c r="F11" t="s">
        <v>199</v>
      </c>
      <c r="G11" t="s">
        <v>200</v>
      </c>
      <c r="H11" t="s">
        <v>197</v>
      </c>
      <c r="I11" t="s">
        <v>233</v>
      </c>
      <c r="J11">
        <v>86.701857656</v>
      </c>
      <c r="K11">
        <v>86.701857656</v>
      </c>
      <c r="L11">
        <v>8601.6</v>
      </c>
      <c r="M11">
        <v>753577.866004553</v>
      </c>
      <c r="O11" t="e">
        <f>IF(D11="","",_CALC_MOTEUR!AE11)</f>
        <v>#VALUE!</v>
      </c>
      <c r="P11" t="e">
        <f>IF(D11="","",_CALC_MOTEUR!AF11)</f>
        <v>#VALUE!</v>
      </c>
      <c r="Q11" t="e">
        <f>IF(D11="","",_CALC_MOTEUR!AG11)</f>
        <v>#VALUE!</v>
      </c>
      <c r="R11" t="e">
        <f>IF(D11="","",_CALC_MOTEUR!AH11)</f>
        <v>#VALUE!</v>
      </c>
      <c r="S11" t="e">
        <f t="shared" si="0"/>
        <v>#VALUE!</v>
      </c>
    </row>
    <row r="12" ht="14.25" customHeight="1">
      <c r="A12" t="s">
        <v>191</v>
      </c>
      <c r="B12" t="s">
        <v>9</v>
      </c>
      <c r="C12" t="s">
        <v>192</v>
      </c>
      <c r="D12" t="s">
        <v>75</v>
      </c>
      <c r="E12" t="s">
        <v>232</v>
      </c>
      <c r="F12" t="s">
        <v>199</v>
      </c>
      <c r="G12" t="s">
        <v>200</v>
      </c>
      <c r="H12" t="s">
        <v>197</v>
      </c>
      <c r="I12" t="s">
        <v>233</v>
      </c>
      <c r="J12">
        <v>101.096331121</v>
      </c>
      <c r="K12">
        <v>101.096331121</v>
      </c>
      <c r="L12">
        <v>8752.8</v>
      </c>
      <c r="M12">
        <v>893974.636833599</v>
      </c>
      <c r="O12" t="e">
        <f>IF(D12="","",_CALC_MOTEUR!AE12)</f>
        <v>#VALUE!</v>
      </c>
      <c r="P12" t="e">
        <f>IF(D12="","",_CALC_MOTEUR!AF12)</f>
        <v>#VALUE!</v>
      </c>
      <c r="Q12" t="e">
        <f>IF(D12="","",_CALC_MOTEUR!AG12)</f>
        <v>#VALUE!</v>
      </c>
      <c r="R12" t="e">
        <f>IF(D12="","",_CALC_MOTEUR!AH12)</f>
        <v>#VALUE!</v>
      </c>
      <c r="S12" t="e">
        <f t="shared" si="0"/>
        <v>#VALUE!</v>
      </c>
    </row>
    <row r="13" ht="14.25" customHeight="1">
      <c r="A13" t="s">
        <v>191</v>
      </c>
      <c r="B13" t="s">
        <v>234</v>
      </c>
      <c r="C13" t="s">
        <v>192</v>
      </c>
      <c r="D13" t="s">
        <v>75</v>
      </c>
      <c r="E13" t="s">
        <v>232</v>
      </c>
      <c r="F13" t="s">
        <v>199</v>
      </c>
      <c r="G13" t="s">
        <v>200</v>
      </c>
      <c r="H13" t="s">
        <v>197</v>
      </c>
      <c r="I13" t="s">
        <v>233</v>
      </c>
      <c r="J13">
        <v>70.836836</v>
      </c>
      <c r="K13">
        <v>70.836836</v>
      </c>
      <c r="L13">
        <v>8601.6</v>
      </c>
      <c r="M13">
        <v>615685.44377711</v>
      </c>
      <c r="O13" t="e">
        <f>IF(D13="","",_CALC_MOTEUR!AE13)</f>
        <v>#VALUE!</v>
      </c>
      <c r="P13" t="e">
        <f>IF(D13="","",_CALC_MOTEUR!AF13)</f>
        <v>#VALUE!</v>
      </c>
      <c r="Q13" t="e">
        <f>IF(D13="","",_CALC_MOTEUR!AG13)</f>
        <v>#VALUE!</v>
      </c>
      <c r="R13" t="e">
        <f>IF(D13="","",_CALC_MOTEUR!AH13)</f>
        <v>#VALUE!</v>
      </c>
      <c r="S13" t="e">
        <f t="shared" si="0"/>
        <v>#VALUE!</v>
      </c>
    </row>
    <row r="14" ht="14.25" customHeight="1">
      <c r="A14" t="s">
        <v>191</v>
      </c>
      <c r="B14" t="s">
        <v>231</v>
      </c>
      <c r="C14" t="s">
        <v>192</v>
      </c>
      <c r="D14" t="s">
        <v>75</v>
      </c>
      <c r="E14" t="s">
        <v>232</v>
      </c>
      <c r="F14" t="s">
        <v>199</v>
      </c>
      <c r="G14" t="s">
        <v>201</v>
      </c>
      <c r="H14" t="s">
        <v>197</v>
      </c>
      <c r="I14" t="s">
        <v>233</v>
      </c>
      <c r="J14">
        <v>0</v>
      </c>
      <c r="K14">
        <v>76.39</v>
      </c>
      <c r="L14">
        <v>8601.6</v>
      </c>
      <c r="M14">
        <v>657076.224</v>
      </c>
      <c r="O14">
        <f>IF(D14="","",_CALC_MOTEUR!AE14)</f>
        <v>0</v>
      </c>
      <c r="P14" t="e">
        <f>IF(D14="","",_CALC_MOTEUR!AF14)</f>
        <v>#VALUE!</v>
      </c>
      <c r="Q14" t="e">
        <f>IF(D14="","",_CALC_MOTEUR!AG14)</f>
        <v>#VALUE!</v>
      </c>
      <c r="R14" t="e">
        <f>IF(D14="","",_CALC_MOTEUR!AH14)</f>
        <v>#VALUE!</v>
      </c>
      <c r="S14" t="e">
        <f t="shared" si="0"/>
        <v>#VALUE!</v>
      </c>
    </row>
    <row r="15" ht="14.25" customHeight="1">
      <c r="A15" t="s">
        <v>191</v>
      </c>
      <c r="B15" t="s">
        <v>9</v>
      </c>
      <c r="C15" t="s">
        <v>192</v>
      </c>
      <c r="D15" t="s">
        <v>75</v>
      </c>
      <c r="E15" t="s">
        <v>232</v>
      </c>
      <c r="F15" t="s">
        <v>199</v>
      </c>
      <c r="G15" t="s">
        <v>201</v>
      </c>
      <c r="H15" t="s">
        <v>197</v>
      </c>
      <c r="I15" t="s">
        <v>233</v>
      </c>
      <c r="J15">
        <v>0</v>
      </c>
      <c r="K15">
        <v>77.17</v>
      </c>
      <c r="L15">
        <v>8752.8</v>
      </c>
      <c r="M15">
        <v>675453.576</v>
      </c>
      <c r="O15">
        <f>IF(D15="","",_CALC_MOTEUR!AE15)</f>
        <v>0</v>
      </c>
      <c r="P15" t="e">
        <f>IF(D15="","",_CALC_MOTEUR!AF15)</f>
        <v>#VALUE!</v>
      </c>
      <c r="Q15" t="e">
        <f>IF(D15="","",_CALC_MOTEUR!AG15)</f>
        <v>#VALUE!</v>
      </c>
      <c r="R15" t="e">
        <f>IF(D15="","",_CALC_MOTEUR!AH15)</f>
        <v>#VALUE!</v>
      </c>
      <c r="S15" t="e">
        <f t="shared" si="0"/>
        <v>#VALUE!</v>
      </c>
    </row>
    <row r="16" ht="14.25" customHeight="1">
      <c r="A16" t="s">
        <v>191</v>
      </c>
      <c r="B16" t="s">
        <v>234</v>
      </c>
      <c r="C16" t="s">
        <v>192</v>
      </c>
      <c r="D16" t="s">
        <v>75</v>
      </c>
      <c r="E16" t="s">
        <v>232</v>
      </c>
      <c r="F16" t="s">
        <v>199</v>
      </c>
      <c r="G16" t="s">
        <v>201</v>
      </c>
      <c r="H16" t="s">
        <v>197</v>
      </c>
      <c r="I16" t="s">
        <v>233</v>
      </c>
      <c r="J16">
        <v>0</v>
      </c>
      <c r="K16">
        <v>75.22</v>
      </c>
      <c r="L16">
        <v>8601.6</v>
      </c>
      <c r="M16">
        <v>647012.352</v>
      </c>
      <c r="O16">
        <f>IF(D16="","",_CALC_MOTEUR!AE16)</f>
        <v>0</v>
      </c>
      <c r="P16" t="e">
        <f>IF(D16="","",_CALC_MOTEUR!AF16)</f>
        <v>#VALUE!</v>
      </c>
      <c r="Q16" t="e">
        <f>IF(D16="","",_CALC_MOTEUR!AG16)</f>
        <v>#VALUE!</v>
      </c>
      <c r="R16" t="e">
        <f>IF(D16="","",_CALC_MOTEUR!AH16)</f>
        <v>#VALUE!</v>
      </c>
      <c r="S16" t="e">
        <f t="shared" si="0"/>
        <v>#VALUE!</v>
      </c>
    </row>
    <row r="17" ht="14.25" customHeight="1">
      <c r="A17" t="s">
        <v>191</v>
      </c>
      <c r="B17" t="s">
        <v>231</v>
      </c>
      <c r="C17" t="s">
        <v>192</v>
      </c>
      <c r="D17" t="s">
        <v>77</v>
      </c>
      <c r="E17" t="s">
        <v>232</v>
      </c>
      <c r="F17" t="s">
        <v>193</v>
      </c>
      <c r="G17" t="s">
        <v>194</v>
      </c>
      <c r="H17" t="s">
        <v>195</v>
      </c>
      <c r="I17" t="s">
        <v>233</v>
      </c>
      <c r="J17">
        <v>72.005872909</v>
      </c>
      <c r="K17">
        <v>72.005872909</v>
      </c>
      <c r="L17">
        <v>8064</v>
      </c>
      <c r="M17">
        <v>587135.887697176</v>
      </c>
      <c r="O17" t="e">
        <f>IF(D17="","",_CALC_MOTEUR!AE17)</f>
        <v>#VALUE!</v>
      </c>
      <c r="P17" t="e">
        <f>IF(D17="","",_CALC_MOTEUR!AF17)</f>
        <v>#VALUE!</v>
      </c>
      <c r="Q17" t="e">
        <f>IF(D17="","",_CALC_MOTEUR!AG17)</f>
        <v>#VALUE!</v>
      </c>
      <c r="R17" t="e">
        <f>IF(D17="","",_CALC_MOTEUR!AH17)</f>
        <v>#VALUE!</v>
      </c>
      <c r="S17" t="e">
        <f t="shared" si="0"/>
        <v>#VALUE!</v>
      </c>
    </row>
    <row r="18" ht="14.25" customHeight="1">
      <c r="A18" t="s">
        <v>191</v>
      </c>
      <c r="B18" t="s">
        <v>9</v>
      </c>
      <c r="C18" t="s">
        <v>192</v>
      </c>
      <c r="D18" t="s">
        <v>77</v>
      </c>
      <c r="E18" t="s">
        <v>232</v>
      </c>
      <c r="F18" t="s">
        <v>193</v>
      </c>
      <c r="G18" t="s">
        <v>194</v>
      </c>
      <c r="H18" t="s">
        <v>195</v>
      </c>
      <c r="I18" t="s">
        <v>233</v>
      </c>
      <c r="J18">
        <v>81.283962862</v>
      </c>
      <c r="K18">
        <v>81.283962862</v>
      </c>
      <c r="L18">
        <v>8205.75</v>
      </c>
      <c r="M18">
        <v>674311.434916415</v>
      </c>
      <c r="O18" t="e">
        <f>IF(D18="","",_CALC_MOTEUR!AE18)</f>
        <v>#VALUE!</v>
      </c>
      <c r="P18" t="e">
        <f>IF(D18="","",_CALC_MOTEUR!AF18)</f>
        <v>#VALUE!</v>
      </c>
      <c r="Q18" t="e">
        <f>IF(D18="","",_CALC_MOTEUR!AG18)</f>
        <v>#VALUE!</v>
      </c>
      <c r="R18" t="e">
        <f>IF(D18="","",_CALC_MOTEUR!AH18)</f>
        <v>#VALUE!</v>
      </c>
      <c r="S18" t="e">
        <f t="shared" si="0"/>
        <v>#VALUE!</v>
      </c>
    </row>
    <row r="19" ht="14.25" customHeight="1">
      <c r="A19" t="s">
        <v>191</v>
      </c>
      <c r="B19" t="s">
        <v>234</v>
      </c>
      <c r="C19" t="s">
        <v>192</v>
      </c>
      <c r="D19" t="s">
        <v>77</v>
      </c>
      <c r="E19" t="s">
        <v>232</v>
      </c>
      <c r="F19" t="s">
        <v>193</v>
      </c>
      <c r="G19" t="s">
        <v>194</v>
      </c>
      <c r="H19" t="s">
        <v>195</v>
      </c>
      <c r="I19" t="s">
        <v>233</v>
      </c>
      <c r="J19">
        <v>61.226538126</v>
      </c>
      <c r="K19">
        <v>61.226538126</v>
      </c>
      <c r="L19">
        <v>8064</v>
      </c>
      <c r="M19">
        <v>499241.191875952</v>
      </c>
      <c r="O19" t="e">
        <f>IF(D19="","",_CALC_MOTEUR!AE19)</f>
        <v>#VALUE!</v>
      </c>
      <c r="P19" t="e">
        <f>IF(D19="","",_CALC_MOTEUR!AF19)</f>
        <v>#VALUE!</v>
      </c>
      <c r="Q19" t="e">
        <f>IF(D19="","",_CALC_MOTEUR!AG19)</f>
        <v>#VALUE!</v>
      </c>
      <c r="R19" t="e">
        <f>IF(D19="","",_CALC_MOTEUR!AH19)</f>
        <v>#VALUE!</v>
      </c>
      <c r="S19" t="e">
        <f t="shared" si="0"/>
        <v>#VALUE!</v>
      </c>
    </row>
    <row r="20" ht="14.25" customHeight="1">
      <c r="A20" t="s">
        <v>191</v>
      </c>
      <c r="B20" t="s">
        <v>231</v>
      </c>
      <c r="C20" t="s">
        <v>192</v>
      </c>
      <c r="D20" t="s">
        <v>77</v>
      </c>
      <c r="E20" t="s">
        <v>232</v>
      </c>
      <c r="F20" t="s">
        <v>193</v>
      </c>
      <c r="G20" t="s">
        <v>196</v>
      </c>
      <c r="H20" t="s">
        <v>197</v>
      </c>
      <c r="I20" t="s">
        <v>233</v>
      </c>
      <c r="J20">
        <v>0</v>
      </c>
      <c r="K20">
        <v>64.33</v>
      </c>
      <c r="L20">
        <v>7526.4</v>
      </c>
      <c r="M20">
        <v>484173.312</v>
      </c>
      <c r="O20">
        <f>IF(D20="","",_CALC_MOTEUR!AE20)</f>
        <v>0</v>
      </c>
      <c r="P20" t="e">
        <f>IF(D20="","",_CALC_MOTEUR!AF20)</f>
        <v>#VALUE!</v>
      </c>
      <c r="Q20" t="e">
        <f>IF(D20="","",_CALC_MOTEUR!AG20)</f>
        <v>#VALUE!</v>
      </c>
      <c r="R20" t="e">
        <f>IF(D20="","",_CALC_MOTEUR!AH20)</f>
        <v>#VALUE!</v>
      </c>
      <c r="S20" t="e">
        <f t="shared" si="0"/>
        <v>#VALUE!</v>
      </c>
    </row>
    <row r="21" ht="14.25" customHeight="1">
      <c r="A21" t="s">
        <v>191</v>
      </c>
      <c r="B21" t="s">
        <v>9</v>
      </c>
      <c r="C21" t="s">
        <v>192</v>
      </c>
      <c r="D21" t="s">
        <v>77</v>
      </c>
      <c r="E21" t="s">
        <v>232</v>
      </c>
      <c r="F21" t="s">
        <v>193</v>
      </c>
      <c r="G21" t="s">
        <v>196</v>
      </c>
      <c r="H21" t="s">
        <v>197</v>
      </c>
      <c r="I21" t="s">
        <v>233</v>
      </c>
      <c r="J21">
        <v>0</v>
      </c>
      <c r="K21">
        <v>64.99</v>
      </c>
      <c r="L21">
        <v>7658.7</v>
      </c>
      <c r="M21">
        <v>497738.913</v>
      </c>
      <c r="O21">
        <f>IF(D21="","",_CALC_MOTEUR!AE21)</f>
        <v>0</v>
      </c>
      <c r="P21" t="e">
        <f>IF(D21="","",_CALC_MOTEUR!AF21)</f>
        <v>#VALUE!</v>
      </c>
      <c r="Q21" t="e">
        <f>IF(D21="","",_CALC_MOTEUR!AG21)</f>
        <v>#VALUE!</v>
      </c>
      <c r="R21" t="e">
        <f>IF(D21="","",_CALC_MOTEUR!AH21)</f>
        <v>#VALUE!</v>
      </c>
      <c r="S21" t="e">
        <f t="shared" si="0"/>
        <v>#VALUE!</v>
      </c>
    </row>
    <row r="22" ht="14.25" customHeight="1">
      <c r="A22" t="s">
        <v>191</v>
      </c>
      <c r="B22" t="s">
        <v>234</v>
      </c>
      <c r="C22" t="s">
        <v>192</v>
      </c>
      <c r="D22" t="s">
        <v>77</v>
      </c>
      <c r="E22" t="s">
        <v>232</v>
      </c>
      <c r="F22" t="s">
        <v>193</v>
      </c>
      <c r="G22" t="s">
        <v>196</v>
      </c>
      <c r="H22" t="s">
        <v>197</v>
      </c>
      <c r="I22" t="s">
        <v>233</v>
      </c>
      <c r="J22">
        <v>0</v>
      </c>
      <c r="K22">
        <v>63.34</v>
      </c>
      <c r="L22">
        <v>7526.4</v>
      </c>
      <c r="M22">
        <v>476722.176</v>
      </c>
      <c r="O22">
        <f>IF(D22="","",_CALC_MOTEUR!AE22)</f>
        <v>0</v>
      </c>
      <c r="P22" t="e">
        <f>IF(D22="","",_CALC_MOTEUR!AF22)</f>
        <v>#VALUE!</v>
      </c>
      <c r="Q22" t="e">
        <f>IF(D22="","",_CALC_MOTEUR!AG22)</f>
        <v>#VALUE!</v>
      </c>
      <c r="R22" t="e">
        <f>IF(D22="","",_CALC_MOTEUR!AH22)</f>
        <v>#VALUE!</v>
      </c>
      <c r="S22" t="e">
        <f t="shared" si="0"/>
        <v>#VALUE!</v>
      </c>
    </row>
    <row r="23" ht="14.25" customHeight="1">
      <c r="A23" t="s">
        <v>191</v>
      </c>
      <c r="B23" t="s">
        <v>231</v>
      </c>
      <c r="C23" t="s">
        <v>192</v>
      </c>
      <c r="D23" t="s">
        <v>77</v>
      </c>
      <c r="E23" t="s">
        <v>232</v>
      </c>
      <c r="F23" t="s">
        <v>193</v>
      </c>
      <c r="G23" t="s">
        <v>198</v>
      </c>
      <c r="H23" t="s">
        <v>197</v>
      </c>
      <c r="I23" t="s">
        <v>233</v>
      </c>
      <c r="J23">
        <v>0</v>
      </c>
      <c r="K23">
        <v>63.32</v>
      </c>
      <c r="L23">
        <v>7526.4</v>
      </c>
      <c r="M23">
        <v>476571.648</v>
      </c>
      <c r="O23">
        <f>IF(D23="","",_CALC_MOTEUR!AE23)</f>
        <v>0</v>
      </c>
      <c r="P23" t="e">
        <f>IF(D23="","",_CALC_MOTEUR!AF23)</f>
        <v>#VALUE!</v>
      </c>
      <c r="Q23" t="e">
        <f>IF(D23="","",_CALC_MOTEUR!AG23)</f>
        <v>#VALUE!</v>
      </c>
      <c r="R23" t="e">
        <f>IF(D23="","",_CALC_MOTEUR!AH23)</f>
        <v>#VALUE!</v>
      </c>
      <c r="S23" t="e">
        <f t="shared" si="0"/>
        <v>#VALUE!</v>
      </c>
    </row>
    <row r="24" ht="14.25" customHeight="1">
      <c r="A24" t="s">
        <v>191</v>
      </c>
      <c r="B24" t="s">
        <v>9</v>
      </c>
      <c r="C24" t="s">
        <v>192</v>
      </c>
      <c r="D24" t="s">
        <v>77</v>
      </c>
      <c r="E24" t="s">
        <v>232</v>
      </c>
      <c r="F24" t="s">
        <v>193</v>
      </c>
      <c r="G24" t="s">
        <v>198</v>
      </c>
      <c r="H24" t="s">
        <v>197</v>
      </c>
      <c r="I24" t="s">
        <v>233</v>
      </c>
      <c r="J24">
        <v>0</v>
      </c>
      <c r="K24">
        <v>63.96</v>
      </c>
      <c r="L24">
        <v>7658.7</v>
      </c>
      <c r="M24">
        <v>489850.452</v>
      </c>
      <c r="O24">
        <f>IF(D24="","",_CALC_MOTEUR!AE24)</f>
        <v>0</v>
      </c>
      <c r="P24" t="e">
        <f>IF(D24="","",_CALC_MOTEUR!AF24)</f>
        <v>#VALUE!</v>
      </c>
      <c r="Q24" t="e">
        <f>IF(D24="","",_CALC_MOTEUR!AG24)</f>
        <v>#VALUE!</v>
      </c>
      <c r="R24" t="e">
        <f>IF(D24="","",_CALC_MOTEUR!AH24)</f>
        <v>#VALUE!</v>
      </c>
      <c r="S24" t="e">
        <f t="shared" si="0"/>
        <v>#VALUE!</v>
      </c>
    </row>
    <row r="25" ht="14.25" customHeight="1">
      <c r="A25" t="s">
        <v>191</v>
      </c>
      <c r="B25" t="s">
        <v>234</v>
      </c>
      <c r="C25" t="s">
        <v>192</v>
      </c>
      <c r="D25" t="s">
        <v>77</v>
      </c>
      <c r="E25" t="s">
        <v>232</v>
      </c>
      <c r="F25" t="s">
        <v>193</v>
      </c>
      <c r="G25" t="s">
        <v>198</v>
      </c>
      <c r="H25" t="s">
        <v>197</v>
      </c>
      <c r="I25" t="s">
        <v>233</v>
      </c>
      <c r="J25">
        <v>0</v>
      </c>
      <c r="K25">
        <v>62.36</v>
      </c>
      <c r="L25">
        <v>7526.4</v>
      </c>
      <c r="M25">
        <v>469346.304</v>
      </c>
      <c r="O25">
        <f>IF(D25="","",_CALC_MOTEUR!AE25)</f>
        <v>0</v>
      </c>
      <c r="P25" t="e">
        <f>IF(D25="","",_CALC_MOTEUR!AF25)</f>
        <v>#VALUE!</v>
      </c>
      <c r="Q25" t="e">
        <f>IF(D25="","",_CALC_MOTEUR!AG25)</f>
        <v>#VALUE!</v>
      </c>
      <c r="R25" t="e">
        <f>IF(D25="","",_CALC_MOTEUR!AH25)</f>
        <v>#VALUE!</v>
      </c>
      <c r="S25" t="e">
        <f t="shared" si="0"/>
        <v>#VALUE!</v>
      </c>
    </row>
    <row r="26" ht="14.25" customHeight="1">
      <c r="A26" t="s">
        <v>191</v>
      </c>
      <c r="B26" t="s">
        <v>231</v>
      </c>
      <c r="C26" t="s">
        <v>192</v>
      </c>
      <c r="D26" t="s">
        <v>77</v>
      </c>
      <c r="E26" t="s">
        <v>232</v>
      </c>
      <c r="F26" t="s">
        <v>199</v>
      </c>
      <c r="G26" t="s">
        <v>200</v>
      </c>
      <c r="H26" t="s">
        <v>197</v>
      </c>
      <c r="I26" t="s">
        <v>233</v>
      </c>
      <c r="J26">
        <v>73.512365302</v>
      </c>
      <c r="K26">
        <v>73.512365302</v>
      </c>
      <c r="L26">
        <v>8064</v>
      </c>
      <c r="M26">
        <v>599419.826676331</v>
      </c>
      <c r="O26" t="e">
        <f>IF(D26="","",_CALC_MOTEUR!AE26)</f>
        <v>#VALUE!</v>
      </c>
      <c r="P26" t="e">
        <f>IF(D26="","",_CALC_MOTEUR!AF26)</f>
        <v>#VALUE!</v>
      </c>
      <c r="Q26" t="e">
        <f>IF(D26="","",_CALC_MOTEUR!AG26)</f>
        <v>#VALUE!</v>
      </c>
      <c r="R26" t="e">
        <f>IF(D26="","",_CALC_MOTEUR!AH26)</f>
        <v>#VALUE!</v>
      </c>
      <c r="S26" t="e">
        <f t="shared" si="0"/>
        <v>#VALUE!</v>
      </c>
    </row>
    <row r="27" ht="14.25" customHeight="1">
      <c r="A27" t="s">
        <v>191</v>
      </c>
      <c r="B27" t="s">
        <v>9</v>
      </c>
      <c r="C27" t="s">
        <v>192</v>
      </c>
      <c r="D27" t="s">
        <v>77</v>
      </c>
      <c r="E27" t="s">
        <v>232</v>
      </c>
      <c r="F27" t="s">
        <v>199</v>
      </c>
      <c r="G27" t="s">
        <v>200</v>
      </c>
      <c r="H27" t="s">
        <v>197</v>
      </c>
      <c r="I27" t="s">
        <v>233</v>
      </c>
      <c r="J27">
        <v>85.879950201</v>
      </c>
      <c r="K27">
        <v>85.879950201</v>
      </c>
      <c r="L27">
        <v>8205.75</v>
      </c>
      <c r="M27">
        <v>712438.59688275</v>
      </c>
      <c r="O27" t="e">
        <f>IF(D27="","",_CALC_MOTEUR!AE27)</f>
        <v>#VALUE!</v>
      </c>
      <c r="P27" t="e">
        <f>IF(D27="","",_CALC_MOTEUR!AF27)</f>
        <v>#VALUE!</v>
      </c>
      <c r="Q27" t="e">
        <f>IF(D27="","",_CALC_MOTEUR!AG27)</f>
        <v>#VALUE!</v>
      </c>
      <c r="R27" t="e">
        <f>IF(D27="","",_CALC_MOTEUR!AH27)</f>
        <v>#VALUE!</v>
      </c>
      <c r="S27" t="e">
        <f t="shared" si="0"/>
        <v>#VALUE!</v>
      </c>
    </row>
    <row r="28" ht="14.25" customHeight="1">
      <c r="A28" t="s">
        <v>191</v>
      </c>
      <c r="B28" t="s">
        <v>234</v>
      </c>
      <c r="C28" t="s">
        <v>192</v>
      </c>
      <c r="D28" t="s">
        <v>77</v>
      </c>
      <c r="E28" t="s">
        <v>232</v>
      </c>
      <c r="F28" t="s">
        <v>199</v>
      </c>
      <c r="G28" t="s">
        <v>200</v>
      </c>
      <c r="H28" t="s">
        <v>197</v>
      </c>
      <c r="I28" t="s">
        <v>233</v>
      </c>
      <c r="J28">
        <v>59.88091057</v>
      </c>
      <c r="K28">
        <v>59.88091057</v>
      </c>
      <c r="L28">
        <v>8064</v>
      </c>
      <c r="M28">
        <v>488268.944790058</v>
      </c>
      <c r="O28" t="e">
        <f>IF(D28="","",_CALC_MOTEUR!AE28)</f>
        <v>#VALUE!</v>
      </c>
      <c r="P28" t="e">
        <f>IF(D28="","",_CALC_MOTEUR!AF28)</f>
        <v>#VALUE!</v>
      </c>
      <c r="Q28" t="e">
        <f>IF(D28="","",_CALC_MOTEUR!AG28)</f>
        <v>#VALUE!</v>
      </c>
      <c r="R28" t="e">
        <f>IF(D28="","",_CALC_MOTEUR!AH28)</f>
        <v>#VALUE!</v>
      </c>
      <c r="S28" t="e">
        <f t="shared" si="0"/>
        <v>#VALUE!</v>
      </c>
    </row>
    <row r="29" ht="14.25" customHeight="1">
      <c r="A29" t="s">
        <v>191</v>
      </c>
      <c r="B29" t="s">
        <v>231</v>
      </c>
      <c r="C29" t="s">
        <v>192</v>
      </c>
      <c r="D29" t="s">
        <v>77</v>
      </c>
      <c r="E29" t="s">
        <v>232</v>
      </c>
      <c r="F29" t="s">
        <v>199</v>
      </c>
      <c r="G29" t="s">
        <v>201</v>
      </c>
      <c r="H29" t="s">
        <v>197</v>
      </c>
      <c r="I29" t="s">
        <v>233</v>
      </c>
      <c r="J29">
        <v>0</v>
      </c>
      <c r="K29">
        <v>65.33</v>
      </c>
      <c r="L29">
        <v>8064</v>
      </c>
      <c r="M29">
        <v>526821.12</v>
      </c>
      <c r="O29">
        <f>IF(D29="","",_CALC_MOTEUR!AE29)</f>
        <v>0</v>
      </c>
      <c r="P29" t="e">
        <f>IF(D29="","",_CALC_MOTEUR!AF29)</f>
        <v>#VALUE!</v>
      </c>
      <c r="Q29" t="e">
        <f>IF(D29="","",_CALC_MOTEUR!AG29)</f>
        <v>#VALUE!</v>
      </c>
      <c r="R29" t="e">
        <f>IF(D29="","",_CALC_MOTEUR!AH29)</f>
        <v>#VALUE!</v>
      </c>
      <c r="S29" t="e">
        <f t="shared" si="0"/>
        <v>#VALUE!</v>
      </c>
    </row>
    <row r="30" ht="14.25" customHeight="1">
      <c r="A30" t="s">
        <v>191</v>
      </c>
      <c r="B30" t="s">
        <v>9</v>
      </c>
      <c r="C30" t="s">
        <v>192</v>
      </c>
      <c r="D30" t="s">
        <v>77</v>
      </c>
      <c r="E30" t="s">
        <v>232</v>
      </c>
      <c r="F30" t="s">
        <v>199</v>
      </c>
      <c r="G30" t="s">
        <v>201</v>
      </c>
      <c r="H30" t="s">
        <v>197</v>
      </c>
      <c r="I30" t="s">
        <v>233</v>
      </c>
      <c r="J30">
        <v>0</v>
      </c>
      <c r="K30">
        <v>65.99</v>
      </c>
      <c r="L30">
        <v>8205.75</v>
      </c>
      <c r="M30">
        <v>541497.4425</v>
      </c>
      <c r="O30">
        <f>IF(D30="","",_CALC_MOTEUR!AE30)</f>
        <v>0</v>
      </c>
      <c r="P30" t="e">
        <f>IF(D30="","",_CALC_MOTEUR!AF30)</f>
        <v>#VALUE!</v>
      </c>
      <c r="Q30" t="e">
        <f>IF(D30="","",_CALC_MOTEUR!AG30)</f>
        <v>#VALUE!</v>
      </c>
      <c r="R30" t="e">
        <f>IF(D30="","",_CALC_MOTEUR!AH30)</f>
        <v>#VALUE!</v>
      </c>
      <c r="S30" t="e">
        <f t="shared" si="0"/>
        <v>#VALUE!</v>
      </c>
    </row>
    <row r="31" ht="14.25" customHeight="1">
      <c r="A31" t="s">
        <v>191</v>
      </c>
      <c r="B31" t="s">
        <v>234</v>
      </c>
      <c r="C31" t="s">
        <v>192</v>
      </c>
      <c r="D31" t="s">
        <v>77</v>
      </c>
      <c r="E31" t="s">
        <v>232</v>
      </c>
      <c r="F31" t="s">
        <v>199</v>
      </c>
      <c r="G31" t="s">
        <v>201</v>
      </c>
      <c r="H31" t="s">
        <v>197</v>
      </c>
      <c r="I31" t="s">
        <v>233</v>
      </c>
      <c r="J31">
        <v>0</v>
      </c>
      <c r="K31">
        <v>64.34</v>
      </c>
      <c r="L31">
        <v>8064</v>
      </c>
      <c r="M31">
        <v>518837.76</v>
      </c>
      <c r="O31">
        <f>IF(D31="","",_CALC_MOTEUR!AE31)</f>
        <v>0</v>
      </c>
      <c r="P31" t="e">
        <f>IF(D31="","",_CALC_MOTEUR!AF31)</f>
        <v>#VALUE!</v>
      </c>
      <c r="Q31" t="e">
        <f>IF(D31="","",_CALC_MOTEUR!AG31)</f>
        <v>#VALUE!</v>
      </c>
      <c r="R31" t="e">
        <f>IF(D31="","",_CALC_MOTEUR!AH31)</f>
        <v>#VALUE!</v>
      </c>
      <c r="S31" t="e">
        <f t="shared" si="0"/>
        <v>#VALUE!</v>
      </c>
    </row>
    <row r="32" ht="14.25" customHeight="1">
      <c r="A32" t="s">
        <v>191</v>
      </c>
      <c r="B32" t="s">
        <v>231</v>
      </c>
      <c r="C32" t="s">
        <v>192</v>
      </c>
      <c r="D32" t="s">
        <v>79</v>
      </c>
      <c r="E32" t="s">
        <v>232</v>
      </c>
      <c r="F32" t="s">
        <v>193</v>
      </c>
      <c r="G32" t="s">
        <v>194</v>
      </c>
      <c r="H32" t="s">
        <v>195</v>
      </c>
      <c r="I32" t="s">
        <v>233</v>
      </c>
      <c r="J32">
        <v>65.539312167</v>
      </c>
      <c r="K32">
        <v>65.539312167</v>
      </c>
      <c r="L32">
        <v>7680</v>
      </c>
      <c r="M32">
        <v>509240.455534191</v>
      </c>
      <c r="O32" t="e">
        <f>IF(D32="","",_CALC_MOTEUR!AE32)</f>
        <v>#VALUE!</v>
      </c>
      <c r="P32" t="e">
        <f>IF(D32="","",_CALC_MOTEUR!AF32)</f>
        <v>#VALUE!</v>
      </c>
      <c r="Q32" t="e">
        <f>IF(D32="","",_CALC_MOTEUR!AG32)</f>
        <v>#VALUE!</v>
      </c>
      <c r="R32" t="e">
        <f>IF(D32="","",_CALC_MOTEUR!AH32)</f>
        <v>#VALUE!</v>
      </c>
      <c r="S32" t="e">
        <f t="shared" si="0"/>
        <v>#VALUE!</v>
      </c>
    </row>
    <row r="33" ht="14.25" customHeight="1">
      <c r="A33" t="s">
        <v>191</v>
      </c>
      <c r="B33" t="s">
        <v>9</v>
      </c>
      <c r="C33" t="s">
        <v>192</v>
      </c>
      <c r="D33" t="s">
        <v>79</v>
      </c>
      <c r="E33" t="s">
        <v>232</v>
      </c>
      <c r="F33" t="s">
        <v>193</v>
      </c>
      <c r="G33" t="s">
        <v>194</v>
      </c>
      <c r="H33" t="s">
        <v>195</v>
      </c>
      <c r="I33" t="s">
        <v>233</v>
      </c>
      <c r="J33">
        <v>74.073998434</v>
      </c>
      <c r="K33">
        <v>74.073998434</v>
      </c>
      <c r="L33">
        <v>7815</v>
      </c>
      <c r="M33">
        <v>585554.957619851</v>
      </c>
      <c r="O33" t="e">
        <f>IF(D33="","",_CALC_MOTEUR!AE33)</f>
        <v>#VALUE!</v>
      </c>
      <c r="P33" t="e">
        <f>IF(D33="","",_CALC_MOTEUR!AF33)</f>
        <v>#VALUE!</v>
      </c>
      <c r="Q33" t="e">
        <f>IF(D33="","",_CALC_MOTEUR!AG33)</f>
        <v>#VALUE!</v>
      </c>
      <c r="R33" t="e">
        <f>IF(D33="","",_CALC_MOTEUR!AH33)</f>
        <v>#VALUE!</v>
      </c>
      <c r="S33" t="e">
        <f t="shared" si="0"/>
        <v>#VALUE!</v>
      </c>
    </row>
    <row r="34" ht="14.25" customHeight="1">
      <c r="A34" t="s">
        <v>191</v>
      </c>
      <c r="B34" t="s">
        <v>234</v>
      </c>
      <c r="C34" t="s">
        <v>192</v>
      </c>
      <c r="D34" t="s">
        <v>79</v>
      </c>
      <c r="E34" t="s">
        <v>232</v>
      </c>
      <c r="F34" t="s">
        <v>193</v>
      </c>
      <c r="G34" t="s">
        <v>194</v>
      </c>
      <c r="H34" t="s">
        <v>195</v>
      </c>
      <c r="I34" t="s">
        <v>233</v>
      </c>
      <c r="J34">
        <v>55.63233616</v>
      </c>
      <c r="K34">
        <v>55.63233616</v>
      </c>
      <c r="L34">
        <v>7680</v>
      </c>
      <c r="M34">
        <v>432263.25196688</v>
      </c>
      <c r="O34" t="e">
        <f>IF(D34="","",_CALC_MOTEUR!AE34)</f>
        <v>#VALUE!</v>
      </c>
      <c r="P34" t="e">
        <f>IF(D34="","",_CALC_MOTEUR!AF34)</f>
        <v>#VALUE!</v>
      </c>
      <c r="Q34" t="e">
        <f>IF(D34="","",_CALC_MOTEUR!AG34)</f>
        <v>#VALUE!</v>
      </c>
      <c r="R34" t="e">
        <f>IF(D34="","",_CALC_MOTEUR!AH34)</f>
        <v>#VALUE!</v>
      </c>
      <c r="S34" t="e">
        <f t="shared" si="0"/>
        <v>#VALUE!</v>
      </c>
    </row>
    <row r="35" ht="14.25" customHeight="1">
      <c r="A35" t="s">
        <v>191</v>
      </c>
      <c r="B35" t="s">
        <v>231</v>
      </c>
      <c r="C35" t="s">
        <v>192</v>
      </c>
      <c r="D35" t="s">
        <v>79</v>
      </c>
      <c r="E35" t="s">
        <v>232</v>
      </c>
      <c r="F35" t="s">
        <v>193</v>
      </c>
      <c r="G35" t="s">
        <v>196</v>
      </c>
      <c r="H35" t="s">
        <v>197</v>
      </c>
      <c r="I35" t="s">
        <v>233</v>
      </c>
      <c r="J35">
        <v>0</v>
      </c>
      <c r="K35">
        <v>58.3</v>
      </c>
      <c r="L35">
        <v>7168</v>
      </c>
      <c r="M35">
        <v>417894.4</v>
      </c>
      <c r="O35">
        <f>IF(D35="","",_CALC_MOTEUR!AE35)</f>
        <v>0</v>
      </c>
      <c r="P35" t="e">
        <f>IF(D35="","",_CALC_MOTEUR!AF35)</f>
        <v>#VALUE!</v>
      </c>
      <c r="Q35" t="e">
        <f>IF(D35="","",_CALC_MOTEUR!AG35)</f>
        <v>#VALUE!</v>
      </c>
      <c r="R35" t="e">
        <f>IF(D35="","",_CALC_MOTEUR!AH35)</f>
        <v>#VALUE!</v>
      </c>
      <c r="S35" t="e">
        <f t="shared" si="0"/>
        <v>#VALUE!</v>
      </c>
    </row>
    <row r="36" ht="14.25" customHeight="1">
      <c r="A36" t="s">
        <v>191</v>
      </c>
      <c r="B36" t="s">
        <v>9</v>
      </c>
      <c r="C36" t="s">
        <v>192</v>
      </c>
      <c r="D36" t="s">
        <v>79</v>
      </c>
      <c r="E36" t="s">
        <v>232</v>
      </c>
      <c r="F36" t="s">
        <v>193</v>
      </c>
      <c r="G36" t="s">
        <v>196</v>
      </c>
      <c r="H36" t="s">
        <v>197</v>
      </c>
      <c r="I36" t="s">
        <v>233</v>
      </c>
      <c r="J36">
        <v>0</v>
      </c>
      <c r="K36">
        <v>58.9</v>
      </c>
      <c r="L36">
        <v>7294</v>
      </c>
      <c r="M36">
        <v>429616.6</v>
      </c>
      <c r="O36">
        <f>IF(D36="","",_CALC_MOTEUR!AE36)</f>
        <v>0</v>
      </c>
      <c r="P36" t="e">
        <f>IF(D36="","",_CALC_MOTEUR!AF36)</f>
        <v>#VALUE!</v>
      </c>
      <c r="Q36" t="e">
        <f>IF(D36="","",_CALC_MOTEUR!AG36)</f>
        <v>#VALUE!</v>
      </c>
      <c r="R36" t="e">
        <f>IF(D36="","",_CALC_MOTEUR!AH36)</f>
        <v>#VALUE!</v>
      </c>
      <c r="S36" t="e">
        <f t="shared" si="0"/>
        <v>#VALUE!</v>
      </c>
    </row>
    <row r="37" ht="14.25" customHeight="1">
      <c r="A37" t="s">
        <v>191</v>
      </c>
      <c r="B37" t="s">
        <v>234</v>
      </c>
      <c r="C37" t="s">
        <v>192</v>
      </c>
      <c r="D37" t="s">
        <v>79</v>
      </c>
      <c r="E37" t="s">
        <v>232</v>
      </c>
      <c r="F37" t="s">
        <v>193</v>
      </c>
      <c r="G37" t="s">
        <v>196</v>
      </c>
      <c r="H37" t="s">
        <v>197</v>
      </c>
      <c r="I37" t="s">
        <v>233</v>
      </c>
      <c r="J37">
        <v>0</v>
      </c>
      <c r="K37">
        <v>57.4</v>
      </c>
      <c r="L37">
        <v>7168</v>
      </c>
      <c r="M37">
        <v>411443.2</v>
      </c>
      <c r="O37">
        <f>IF(D37="","",_CALC_MOTEUR!AE37)</f>
        <v>0</v>
      </c>
      <c r="P37" t="e">
        <f>IF(D37="","",_CALC_MOTEUR!AF37)</f>
        <v>#VALUE!</v>
      </c>
      <c r="Q37" t="e">
        <f>IF(D37="","",_CALC_MOTEUR!AG37)</f>
        <v>#VALUE!</v>
      </c>
      <c r="R37" t="e">
        <f>IF(D37="","",_CALC_MOTEUR!AH37)</f>
        <v>#VALUE!</v>
      </c>
      <c r="S37" t="e">
        <f t="shared" si="0"/>
        <v>#VALUE!</v>
      </c>
    </row>
    <row r="38" ht="14.25" customHeight="1">
      <c r="A38" t="s">
        <v>191</v>
      </c>
      <c r="B38" t="s">
        <v>231</v>
      </c>
      <c r="C38" t="s">
        <v>192</v>
      </c>
      <c r="D38" t="s">
        <v>79</v>
      </c>
      <c r="E38" t="s">
        <v>232</v>
      </c>
      <c r="F38" t="s">
        <v>193</v>
      </c>
      <c r="G38" t="s">
        <v>198</v>
      </c>
      <c r="H38" t="s">
        <v>197</v>
      </c>
      <c r="I38" t="s">
        <v>233</v>
      </c>
      <c r="J38">
        <v>0</v>
      </c>
      <c r="K38">
        <v>57.29</v>
      </c>
      <c r="L38">
        <v>7168</v>
      </c>
      <c r="M38">
        <v>410654.72</v>
      </c>
      <c r="O38">
        <f>IF(D38="","",_CALC_MOTEUR!AE38)</f>
        <v>0</v>
      </c>
      <c r="P38" t="e">
        <f>IF(D38="","",_CALC_MOTEUR!AF38)</f>
        <v>#VALUE!</v>
      </c>
      <c r="Q38" t="e">
        <f>IF(D38="","",_CALC_MOTEUR!AG38)</f>
        <v>#VALUE!</v>
      </c>
      <c r="R38" t="e">
        <f>IF(D38="","",_CALC_MOTEUR!AH38)</f>
        <v>#VALUE!</v>
      </c>
      <c r="S38" t="e">
        <f t="shared" si="0"/>
        <v>#VALUE!</v>
      </c>
    </row>
    <row r="39" ht="14.25" customHeight="1">
      <c r="A39" t="s">
        <v>191</v>
      </c>
      <c r="B39" t="s">
        <v>9</v>
      </c>
      <c r="C39" t="s">
        <v>192</v>
      </c>
      <c r="D39" t="s">
        <v>79</v>
      </c>
      <c r="E39" t="s">
        <v>232</v>
      </c>
      <c r="F39" t="s">
        <v>193</v>
      </c>
      <c r="G39" t="s">
        <v>198</v>
      </c>
      <c r="H39" t="s">
        <v>197</v>
      </c>
      <c r="I39" t="s">
        <v>233</v>
      </c>
      <c r="J39">
        <v>0</v>
      </c>
      <c r="K39">
        <v>57.87</v>
      </c>
      <c r="L39">
        <v>7294</v>
      </c>
      <c r="M39">
        <v>422103.78</v>
      </c>
      <c r="O39">
        <f>IF(D39="","",_CALC_MOTEUR!AE39)</f>
        <v>0</v>
      </c>
      <c r="P39" t="e">
        <f>IF(D39="","",_CALC_MOTEUR!AF39)</f>
        <v>#VALUE!</v>
      </c>
      <c r="Q39" t="e">
        <f>IF(D39="","",_CALC_MOTEUR!AG39)</f>
        <v>#VALUE!</v>
      </c>
      <c r="R39" t="e">
        <f>IF(D39="","",_CALC_MOTEUR!AH39)</f>
        <v>#VALUE!</v>
      </c>
      <c r="S39" t="e">
        <f t="shared" si="0"/>
        <v>#VALUE!</v>
      </c>
    </row>
    <row r="40" ht="14.25" customHeight="1">
      <c r="A40" t="s">
        <v>191</v>
      </c>
      <c r="B40" t="s">
        <v>234</v>
      </c>
      <c r="C40" t="s">
        <v>192</v>
      </c>
      <c r="D40" t="s">
        <v>79</v>
      </c>
      <c r="E40" t="s">
        <v>232</v>
      </c>
      <c r="F40" t="s">
        <v>193</v>
      </c>
      <c r="G40" t="s">
        <v>198</v>
      </c>
      <c r="H40" t="s">
        <v>197</v>
      </c>
      <c r="I40" t="s">
        <v>233</v>
      </c>
      <c r="J40">
        <v>0</v>
      </c>
      <c r="K40">
        <v>56.42</v>
      </c>
      <c r="L40">
        <v>7168</v>
      </c>
      <c r="M40">
        <v>404418.56</v>
      </c>
      <c r="O40">
        <f>IF(D40="","",_CALC_MOTEUR!AE40)</f>
        <v>0</v>
      </c>
      <c r="P40" t="e">
        <f>IF(D40="","",_CALC_MOTEUR!AF40)</f>
        <v>#VALUE!</v>
      </c>
      <c r="Q40" t="e">
        <f>IF(D40="","",_CALC_MOTEUR!AG40)</f>
        <v>#VALUE!</v>
      </c>
      <c r="R40" t="e">
        <f>IF(D40="","",_CALC_MOTEUR!AH40)</f>
        <v>#VALUE!</v>
      </c>
      <c r="S40" t="e">
        <f t="shared" si="0"/>
        <v>#VALUE!</v>
      </c>
    </row>
    <row r="41" ht="14.25" customHeight="1">
      <c r="A41" t="s">
        <v>191</v>
      </c>
      <c r="B41" t="s">
        <v>231</v>
      </c>
      <c r="C41" t="s">
        <v>192</v>
      </c>
      <c r="D41" t="s">
        <v>79</v>
      </c>
      <c r="E41" t="s">
        <v>232</v>
      </c>
      <c r="F41" t="s">
        <v>199</v>
      </c>
      <c r="G41" t="s">
        <v>200</v>
      </c>
      <c r="H41" t="s">
        <v>197</v>
      </c>
      <c r="I41" t="s">
        <v>233</v>
      </c>
      <c r="J41">
        <v>66.913665474</v>
      </c>
      <c r="K41">
        <v>66.913665474</v>
      </c>
      <c r="L41">
        <v>7680</v>
      </c>
      <c r="M41">
        <v>519919.18072948</v>
      </c>
      <c r="O41" t="e">
        <f>IF(D41="","",_CALC_MOTEUR!AE41)</f>
        <v>#VALUE!</v>
      </c>
      <c r="P41" t="e">
        <f>IF(D41="","",_CALC_MOTEUR!AF41)</f>
        <v>#VALUE!</v>
      </c>
      <c r="Q41" t="e">
        <f>IF(D41="","",_CALC_MOTEUR!AG41)</f>
        <v>#VALUE!</v>
      </c>
      <c r="R41" t="e">
        <f>IF(D41="","",_CALC_MOTEUR!AH41)</f>
        <v>#VALUE!</v>
      </c>
      <c r="S41" t="e">
        <f t="shared" si="0"/>
        <v>#VALUE!</v>
      </c>
    </row>
    <row r="42" ht="14.25" customHeight="1">
      <c r="A42" t="s">
        <v>191</v>
      </c>
      <c r="B42" t="s">
        <v>9</v>
      </c>
      <c r="C42" t="s">
        <v>192</v>
      </c>
      <c r="D42" t="s">
        <v>79</v>
      </c>
      <c r="E42" t="s">
        <v>232</v>
      </c>
      <c r="F42" t="s">
        <v>199</v>
      </c>
      <c r="G42" t="s">
        <v>200</v>
      </c>
      <c r="H42" t="s">
        <v>197</v>
      </c>
      <c r="I42" t="s">
        <v>233</v>
      </c>
      <c r="J42">
        <v>78.271309998</v>
      </c>
      <c r="K42">
        <v>78.271309998</v>
      </c>
      <c r="L42">
        <v>7815</v>
      </c>
      <c r="M42">
        <v>618734.705531013</v>
      </c>
      <c r="O42" t="e">
        <f>IF(D42="","",_CALC_MOTEUR!AE42)</f>
        <v>#VALUE!</v>
      </c>
      <c r="P42" t="e">
        <f>IF(D42="","",_CALC_MOTEUR!AF42)</f>
        <v>#VALUE!</v>
      </c>
      <c r="Q42" t="e">
        <f>IF(D42="","",_CALC_MOTEUR!AG42)</f>
        <v>#VALUE!</v>
      </c>
      <c r="R42" t="e">
        <f>IF(D42="","",_CALC_MOTEUR!AH42)</f>
        <v>#VALUE!</v>
      </c>
      <c r="S42" t="e">
        <f t="shared" si="0"/>
        <v>#VALUE!</v>
      </c>
    </row>
    <row r="43" ht="14.25" customHeight="1">
      <c r="A43" t="s">
        <v>191</v>
      </c>
      <c r="B43" t="s">
        <v>234</v>
      </c>
      <c r="C43" t="s">
        <v>192</v>
      </c>
      <c r="D43" t="s">
        <v>79</v>
      </c>
      <c r="E43" t="s">
        <v>232</v>
      </c>
      <c r="F43" t="s">
        <v>199</v>
      </c>
      <c r="G43" t="s">
        <v>200</v>
      </c>
      <c r="H43" t="s">
        <v>197</v>
      </c>
      <c r="I43" t="s">
        <v>233</v>
      </c>
      <c r="J43">
        <v>54.406964518</v>
      </c>
      <c r="K43">
        <v>54.406964518</v>
      </c>
      <c r="L43">
        <v>7680</v>
      </c>
      <c r="M43">
        <v>422742.114303068</v>
      </c>
      <c r="O43" t="e">
        <f>IF(D43="","",_CALC_MOTEUR!AE43)</f>
        <v>#VALUE!</v>
      </c>
      <c r="P43" t="e">
        <f>IF(D43="","",_CALC_MOTEUR!AF43)</f>
        <v>#VALUE!</v>
      </c>
      <c r="Q43" t="e">
        <f>IF(D43="","",_CALC_MOTEUR!AG43)</f>
        <v>#VALUE!</v>
      </c>
      <c r="R43" t="e">
        <f>IF(D43="","",_CALC_MOTEUR!AH43)</f>
        <v>#VALUE!</v>
      </c>
      <c r="S43" t="e">
        <f t="shared" si="0"/>
        <v>#VALUE!</v>
      </c>
    </row>
    <row r="44" ht="14.25" customHeight="1">
      <c r="A44" t="s">
        <v>191</v>
      </c>
      <c r="B44" t="s">
        <v>231</v>
      </c>
      <c r="C44" t="s">
        <v>192</v>
      </c>
      <c r="D44" t="s">
        <v>79</v>
      </c>
      <c r="E44" t="s">
        <v>232</v>
      </c>
      <c r="F44" t="s">
        <v>199</v>
      </c>
      <c r="G44" t="s">
        <v>201</v>
      </c>
      <c r="H44" t="s">
        <v>197</v>
      </c>
      <c r="I44" t="s">
        <v>233</v>
      </c>
      <c r="J44">
        <v>0</v>
      </c>
      <c r="K44">
        <v>59.3</v>
      </c>
      <c r="L44">
        <v>7680</v>
      </c>
      <c r="M44">
        <v>455424</v>
      </c>
      <c r="O44">
        <f>IF(D44="","",_CALC_MOTEUR!AE44)</f>
        <v>0</v>
      </c>
      <c r="P44" t="e">
        <f>IF(D44="","",_CALC_MOTEUR!AF44)</f>
        <v>#VALUE!</v>
      </c>
      <c r="Q44" t="e">
        <f>IF(D44="","",_CALC_MOTEUR!AG44)</f>
        <v>#VALUE!</v>
      </c>
      <c r="R44" t="e">
        <f>IF(D44="","",_CALC_MOTEUR!AH44)</f>
        <v>#VALUE!</v>
      </c>
      <c r="S44" t="e">
        <f t="shared" si="0"/>
        <v>#VALUE!</v>
      </c>
    </row>
    <row r="45" ht="14.25" customHeight="1">
      <c r="A45" t="s">
        <v>191</v>
      </c>
      <c r="B45" t="s">
        <v>9</v>
      </c>
      <c r="C45" t="s">
        <v>192</v>
      </c>
      <c r="D45" t="s">
        <v>79</v>
      </c>
      <c r="E45" t="s">
        <v>232</v>
      </c>
      <c r="F45" t="s">
        <v>199</v>
      </c>
      <c r="G45" t="s">
        <v>201</v>
      </c>
      <c r="H45" t="s">
        <v>197</v>
      </c>
      <c r="I45" t="s">
        <v>233</v>
      </c>
      <c r="J45">
        <v>0</v>
      </c>
      <c r="K45">
        <v>59.9</v>
      </c>
      <c r="L45">
        <v>7815</v>
      </c>
      <c r="M45">
        <v>468118.5</v>
      </c>
      <c r="O45">
        <f>IF(D45="","",_CALC_MOTEUR!AE45)</f>
        <v>0</v>
      </c>
      <c r="P45" t="e">
        <f>IF(D45="","",_CALC_MOTEUR!AF45)</f>
        <v>#VALUE!</v>
      </c>
      <c r="Q45" t="e">
        <f>IF(D45="","",_CALC_MOTEUR!AG45)</f>
        <v>#VALUE!</v>
      </c>
      <c r="R45" t="e">
        <f>IF(D45="","",_CALC_MOTEUR!AH45)</f>
        <v>#VALUE!</v>
      </c>
      <c r="S45" t="e">
        <f t="shared" si="0"/>
        <v>#VALUE!</v>
      </c>
    </row>
    <row r="46" ht="14.25" customHeight="1">
      <c r="A46" t="s">
        <v>191</v>
      </c>
      <c r="B46" t="s">
        <v>234</v>
      </c>
      <c r="C46" t="s">
        <v>192</v>
      </c>
      <c r="D46" t="s">
        <v>79</v>
      </c>
      <c r="E46" t="s">
        <v>232</v>
      </c>
      <c r="F46" t="s">
        <v>199</v>
      </c>
      <c r="G46" t="s">
        <v>201</v>
      </c>
      <c r="H46" t="s">
        <v>197</v>
      </c>
      <c r="I46" t="s">
        <v>233</v>
      </c>
      <c r="J46">
        <v>0</v>
      </c>
      <c r="K46">
        <v>58.4</v>
      </c>
      <c r="L46">
        <v>7680</v>
      </c>
      <c r="M46">
        <v>448512</v>
      </c>
      <c r="O46">
        <f>IF(D46="","",_CALC_MOTEUR!AE46)</f>
        <v>0</v>
      </c>
      <c r="P46" t="e">
        <f>IF(D46="","",_CALC_MOTEUR!AF46)</f>
        <v>#VALUE!</v>
      </c>
      <c r="Q46" t="e">
        <f>IF(D46="","",_CALC_MOTEUR!AG46)</f>
        <v>#VALUE!</v>
      </c>
      <c r="R46" t="e">
        <f>IF(D46="","",_CALC_MOTEUR!AH46)</f>
        <v>#VALUE!</v>
      </c>
      <c r="S46" t="e">
        <f t="shared" si="0"/>
        <v>#VALUE!</v>
      </c>
    </row>
    <row r="47" ht="14.25" customHeight="1">
      <c r="A47" t="s">
        <v>191</v>
      </c>
      <c r="B47" t="s">
        <v>231</v>
      </c>
      <c r="C47" t="s">
        <v>192</v>
      </c>
      <c r="D47" t="s">
        <v>81</v>
      </c>
      <c r="E47" t="s">
        <v>232</v>
      </c>
      <c r="F47" t="s">
        <v>193</v>
      </c>
      <c r="G47" t="s">
        <v>194</v>
      </c>
      <c r="H47" t="s">
        <v>195</v>
      </c>
      <c r="I47" t="s">
        <v>233</v>
      </c>
      <c r="J47">
        <v>55.746741375</v>
      </c>
      <c r="K47">
        <v>55.746741375</v>
      </c>
      <c r="L47">
        <v>7449.6</v>
      </c>
      <c r="M47">
        <v>420308.131271788</v>
      </c>
      <c r="O47" t="e">
        <f>IF(D47="","",_CALC_MOTEUR!AE47)</f>
        <v>#VALUE!</v>
      </c>
      <c r="P47" t="e">
        <f>IF(D47="","",_CALC_MOTEUR!AF47)</f>
        <v>#VALUE!</v>
      </c>
      <c r="Q47" t="e">
        <f>IF(D47="","",_CALC_MOTEUR!AG47)</f>
        <v>#VALUE!</v>
      </c>
      <c r="R47" t="e">
        <f>IF(D47="","",_CALC_MOTEUR!AH47)</f>
        <v>#VALUE!</v>
      </c>
      <c r="S47" t="e">
        <f t="shared" si="0"/>
        <v>#VALUE!</v>
      </c>
    </row>
    <row r="48" ht="14.25" customHeight="1">
      <c r="A48" t="s">
        <v>191</v>
      </c>
      <c r="B48" t="s">
        <v>9</v>
      </c>
      <c r="C48" t="s">
        <v>192</v>
      </c>
      <c r="D48" t="s">
        <v>81</v>
      </c>
      <c r="E48" t="s">
        <v>232</v>
      </c>
      <c r="F48" t="s">
        <v>193</v>
      </c>
      <c r="G48" t="s">
        <v>194</v>
      </c>
      <c r="H48" t="s">
        <v>195</v>
      </c>
      <c r="I48" t="s">
        <v>233</v>
      </c>
      <c r="J48">
        <v>63.044608109</v>
      </c>
      <c r="K48">
        <v>63.044608109</v>
      </c>
      <c r="L48">
        <v>7580.55</v>
      </c>
      <c r="M48">
        <v>483586.818727001</v>
      </c>
      <c r="O48" t="e">
        <f>IF(D48="","",_CALC_MOTEUR!AE48)</f>
        <v>#VALUE!</v>
      </c>
      <c r="P48" t="e">
        <f>IF(D48="","",_CALC_MOTEUR!AF48)</f>
        <v>#VALUE!</v>
      </c>
      <c r="Q48" t="e">
        <f>IF(D48="","",_CALC_MOTEUR!AG48)</f>
        <v>#VALUE!</v>
      </c>
      <c r="R48" t="e">
        <f>IF(D48="","",_CALC_MOTEUR!AH48)</f>
        <v>#VALUE!</v>
      </c>
      <c r="S48" t="e">
        <f t="shared" si="0"/>
        <v>#VALUE!</v>
      </c>
    </row>
    <row r="49" ht="14.25" customHeight="1">
      <c r="A49" t="s">
        <v>191</v>
      </c>
      <c r="B49" t="s">
        <v>234</v>
      </c>
      <c r="C49" t="s">
        <v>192</v>
      </c>
      <c r="D49" t="s">
        <v>81</v>
      </c>
      <c r="E49" t="s">
        <v>232</v>
      </c>
      <c r="F49" t="s">
        <v>193</v>
      </c>
      <c r="G49" t="s">
        <v>194</v>
      </c>
      <c r="H49" t="s">
        <v>195</v>
      </c>
      <c r="I49" t="s">
        <v>233</v>
      </c>
      <c r="J49">
        <v>47.269289065</v>
      </c>
      <c r="K49">
        <v>47.269289065</v>
      </c>
      <c r="L49">
        <v>7449.6</v>
      </c>
      <c r="M49">
        <v>356391.531834268</v>
      </c>
      <c r="O49" t="e">
        <f>IF(D49="","",_CALC_MOTEUR!AE49)</f>
        <v>#VALUE!</v>
      </c>
      <c r="P49" t="e">
        <f>IF(D49="","",_CALC_MOTEUR!AF49)</f>
        <v>#VALUE!</v>
      </c>
      <c r="Q49" t="e">
        <f>IF(D49="","",_CALC_MOTEUR!AG49)</f>
        <v>#VALUE!</v>
      </c>
      <c r="R49" t="e">
        <f>IF(D49="","",_CALC_MOTEUR!AH49)</f>
        <v>#VALUE!</v>
      </c>
      <c r="S49" t="e">
        <f t="shared" si="0"/>
        <v>#VALUE!</v>
      </c>
    </row>
    <row r="50" ht="14.25" customHeight="1">
      <c r="A50" t="s">
        <v>191</v>
      </c>
      <c r="B50" t="s">
        <v>231</v>
      </c>
      <c r="C50" t="s">
        <v>192</v>
      </c>
      <c r="D50" t="s">
        <v>81</v>
      </c>
      <c r="E50" t="s">
        <v>232</v>
      </c>
      <c r="F50" t="s">
        <v>193</v>
      </c>
      <c r="G50" t="s">
        <v>196</v>
      </c>
      <c r="H50" t="s">
        <v>197</v>
      </c>
      <c r="I50" t="s">
        <v>233</v>
      </c>
      <c r="J50">
        <v>0</v>
      </c>
      <c r="K50">
        <v>49.255</v>
      </c>
      <c r="L50">
        <v>6952.96</v>
      </c>
      <c r="M50">
        <v>342468.0448</v>
      </c>
      <c r="O50">
        <f>IF(D50="","",_CALC_MOTEUR!AE50)</f>
        <v>0</v>
      </c>
      <c r="P50" t="e">
        <f>IF(D50="","",_CALC_MOTEUR!AF50)</f>
        <v>#VALUE!</v>
      </c>
      <c r="Q50" t="e">
        <f>IF(D50="","",_CALC_MOTEUR!AG50)</f>
        <v>#VALUE!</v>
      </c>
      <c r="R50" t="e">
        <f>IF(D50="","",_CALC_MOTEUR!AH50)</f>
        <v>#VALUE!</v>
      </c>
      <c r="S50" t="e">
        <f t="shared" si="0"/>
        <v>#VALUE!</v>
      </c>
    </row>
    <row r="51" ht="14.25" customHeight="1">
      <c r="A51" t="s">
        <v>191</v>
      </c>
      <c r="B51" t="s">
        <v>9</v>
      </c>
      <c r="C51" t="s">
        <v>192</v>
      </c>
      <c r="D51" t="s">
        <v>81</v>
      </c>
      <c r="E51" t="s">
        <v>232</v>
      </c>
      <c r="F51" t="s">
        <v>193</v>
      </c>
      <c r="G51" t="s">
        <v>196</v>
      </c>
      <c r="H51" t="s">
        <v>197</v>
      </c>
      <c r="I51" t="s">
        <v>233</v>
      </c>
      <c r="J51">
        <v>0</v>
      </c>
      <c r="K51">
        <v>49.765</v>
      </c>
      <c r="L51">
        <v>7075.18</v>
      </c>
      <c r="M51">
        <v>352096.3327</v>
      </c>
      <c r="O51">
        <f>IF(D51="","",_CALC_MOTEUR!AE51)</f>
        <v>0</v>
      </c>
      <c r="P51" t="e">
        <f>IF(D51="","",_CALC_MOTEUR!AF51)</f>
        <v>#VALUE!</v>
      </c>
      <c r="Q51" t="e">
        <f>IF(D51="","",_CALC_MOTEUR!AG51)</f>
        <v>#VALUE!</v>
      </c>
      <c r="R51" t="e">
        <f>IF(D51="","",_CALC_MOTEUR!AH51)</f>
        <v>#VALUE!</v>
      </c>
      <c r="S51" t="e">
        <f t="shared" si="0"/>
        <v>#VALUE!</v>
      </c>
    </row>
    <row r="52" ht="14.25" customHeight="1">
      <c r="A52" t="s">
        <v>191</v>
      </c>
      <c r="B52" t="s">
        <v>234</v>
      </c>
      <c r="C52" t="s">
        <v>192</v>
      </c>
      <c r="D52" t="s">
        <v>81</v>
      </c>
      <c r="E52" t="s">
        <v>232</v>
      </c>
      <c r="F52" t="s">
        <v>193</v>
      </c>
      <c r="G52" t="s">
        <v>196</v>
      </c>
      <c r="H52" t="s">
        <v>197</v>
      </c>
      <c r="I52" t="s">
        <v>233</v>
      </c>
      <c r="J52">
        <v>0</v>
      </c>
      <c r="K52">
        <v>48.49</v>
      </c>
      <c r="L52">
        <v>6952.96</v>
      </c>
      <c r="M52">
        <v>337149.0304</v>
      </c>
      <c r="O52">
        <f>IF(D52="","",_CALC_MOTEUR!AE52)</f>
        <v>0</v>
      </c>
      <c r="P52" t="e">
        <f>IF(D52="","",_CALC_MOTEUR!AF52)</f>
        <v>#VALUE!</v>
      </c>
      <c r="Q52" t="e">
        <f>IF(D52="","",_CALC_MOTEUR!AG52)</f>
        <v>#VALUE!</v>
      </c>
      <c r="R52" t="e">
        <f>IF(D52="","",_CALC_MOTEUR!AH52)</f>
        <v>#VALUE!</v>
      </c>
      <c r="S52" t="e">
        <f t="shared" si="0"/>
        <v>#VALUE!</v>
      </c>
    </row>
    <row r="53" ht="14.25" customHeight="1">
      <c r="A53" t="s">
        <v>191</v>
      </c>
      <c r="B53" t="s">
        <v>231</v>
      </c>
      <c r="C53" t="s">
        <v>192</v>
      </c>
      <c r="D53" t="s">
        <v>81</v>
      </c>
      <c r="E53" t="s">
        <v>232</v>
      </c>
      <c r="F53" t="s">
        <v>193</v>
      </c>
      <c r="G53" t="s">
        <v>198</v>
      </c>
      <c r="H53" t="s">
        <v>197</v>
      </c>
      <c r="I53" t="s">
        <v>233</v>
      </c>
      <c r="J53">
        <v>0</v>
      </c>
      <c r="K53">
        <v>48.245</v>
      </c>
      <c r="L53">
        <v>6952.96</v>
      </c>
      <c r="M53">
        <v>335445.5552</v>
      </c>
      <c r="O53">
        <f>IF(D53="","",_CALC_MOTEUR!AE53)</f>
        <v>0</v>
      </c>
      <c r="P53" t="e">
        <f>IF(D53="","",_CALC_MOTEUR!AF53)</f>
        <v>#VALUE!</v>
      </c>
      <c r="Q53" t="e">
        <f>IF(D53="","",_CALC_MOTEUR!AG53)</f>
        <v>#VALUE!</v>
      </c>
      <c r="R53" t="e">
        <f>IF(D53="","",_CALC_MOTEUR!AH53)</f>
        <v>#VALUE!</v>
      </c>
      <c r="S53" t="e">
        <f t="shared" si="0"/>
        <v>#VALUE!</v>
      </c>
    </row>
    <row r="54" ht="14.25" customHeight="1">
      <c r="A54" t="s">
        <v>191</v>
      </c>
      <c r="B54" t="s">
        <v>9</v>
      </c>
      <c r="C54" t="s">
        <v>192</v>
      </c>
      <c r="D54" t="s">
        <v>81</v>
      </c>
      <c r="E54" t="s">
        <v>232</v>
      </c>
      <c r="F54" t="s">
        <v>193</v>
      </c>
      <c r="G54" t="s">
        <v>198</v>
      </c>
      <c r="H54" t="s">
        <v>197</v>
      </c>
      <c r="I54" t="s">
        <v>233</v>
      </c>
      <c r="J54">
        <v>0</v>
      </c>
      <c r="K54">
        <v>48.735</v>
      </c>
      <c r="L54">
        <v>7075.18</v>
      </c>
      <c r="M54">
        <v>344808.8973</v>
      </c>
      <c r="O54">
        <f>IF(D54="","",_CALC_MOTEUR!AE54)</f>
        <v>0</v>
      </c>
      <c r="P54" t="e">
        <f>IF(D54="","",_CALC_MOTEUR!AF54)</f>
        <v>#VALUE!</v>
      </c>
      <c r="Q54" t="e">
        <f>IF(D54="","",_CALC_MOTEUR!AG54)</f>
        <v>#VALUE!</v>
      </c>
      <c r="R54" t="e">
        <f>IF(D54="","",_CALC_MOTEUR!AH54)</f>
        <v>#VALUE!</v>
      </c>
      <c r="S54" t="e">
        <f t="shared" si="0"/>
        <v>#VALUE!</v>
      </c>
    </row>
    <row r="55" ht="14.25" customHeight="1">
      <c r="A55" t="s">
        <v>191</v>
      </c>
      <c r="B55" t="s">
        <v>234</v>
      </c>
      <c r="C55" t="s">
        <v>192</v>
      </c>
      <c r="D55" t="s">
        <v>81</v>
      </c>
      <c r="E55" t="s">
        <v>232</v>
      </c>
      <c r="F55" t="s">
        <v>193</v>
      </c>
      <c r="G55" t="s">
        <v>198</v>
      </c>
      <c r="H55" t="s">
        <v>197</v>
      </c>
      <c r="I55" t="s">
        <v>233</v>
      </c>
      <c r="J55">
        <v>0</v>
      </c>
      <c r="K55">
        <v>47.51</v>
      </c>
      <c r="L55">
        <v>6952.96</v>
      </c>
      <c r="M55">
        <v>330335.1296</v>
      </c>
      <c r="O55">
        <f>IF(D55="","",_CALC_MOTEUR!AE55)</f>
        <v>0</v>
      </c>
      <c r="P55" t="e">
        <f>IF(D55="","",_CALC_MOTEUR!AF55)</f>
        <v>#VALUE!</v>
      </c>
      <c r="Q55" t="e">
        <f>IF(D55="","",_CALC_MOTEUR!AG55)</f>
        <v>#VALUE!</v>
      </c>
      <c r="R55" t="e">
        <f>IF(D55="","",_CALC_MOTEUR!AH55)</f>
        <v>#VALUE!</v>
      </c>
      <c r="S55" t="e">
        <f t="shared" si="0"/>
        <v>#VALUE!</v>
      </c>
    </row>
    <row r="56" ht="14.25" customHeight="1">
      <c r="A56" t="s">
        <v>191</v>
      </c>
      <c r="B56" t="s">
        <v>231</v>
      </c>
      <c r="C56" t="s">
        <v>192</v>
      </c>
      <c r="D56" t="s">
        <v>81</v>
      </c>
      <c r="E56" t="s">
        <v>232</v>
      </c>
      <c r="F56" t="s">
        <v>199</v>
      </c>
      <c r="G56" t="s">
        <v>200</v>
      </c>
      <c r="H56" t="s">
        <v>197</v>
      </c>
      <c r="I56" t="s">
        <v>233</v>
      </c>
      <c r="J56">
        <v>56.910051804</v>
      </c>
      <c r="K56">
        <v>56.910051804</v>
      </c>
      <c r="L56">
        <v>7449.6</v>
      </c>
      <c r="M56">
        <v>429079.02658117</v>
      </c>
      <c r="O56" t="e">
        <f>IF(D56="","",_CALC_MOTEUR!AE56)</f>
        <v>#VALUE!</v>
      </c>
      <c r="P56" t="e">
        <f>IF(D56="","",_CALC_MOTEUR!AF56)</f>
        <v>#VALUE!</v>
      </c>
      <c r="Q56" t="e">
        <f>IF(D56="","",_CALC_MOTEUR!AG56)</f>
        <v>#VALUE!</v>
      </c>
      <c r="R56" t="e">
        <f>IF(D56="","",_CALC_MOTEUR!AH56)</f>
        <v>#VALUE!</v>
      </c>
      <c r="S56" t="e">
        <f t="shared" si="0"/>
        <v>#VALUE!</v>
      </c>
    </row>
    <row r="57" ht="14.25" customHeight="1">
      <c r="A57" t="s">
        <v>191</v>
      </c>
      <c r="B57" t="s">
        <v>9</v>
      </c>
      <c r="C57" t="s">
        <v>192</v>
      </c>
      <c r="D57" t="s">
        <v>81</v>
      </c>
      <c r="E57" t="s">
        <v>232</v>
      </c>
      <c r="F57" t="s">
        <v>199</v>
      </c>
      <c r="G57" t="s">
        <v>200</v>
      </c>
      <c r="H57" t="s">
        <v>197</v>
      </c>
      <c r="I57" t="s">
        <v>233</v>
      </c>
      <c r="J57">
        <v>66.600992746</v>
      </c>
      <c r="K57">
        <v>66.600992746</v>
      </c>
      <c r="L57">
        <v>7580.55</v>
      </c>
      <c r="M57">
        <v>510866.244910898</v>
      </c>
      <c r="O57" t="e">
        <f>IF(D57="","",_CALC_MOTEUR!AE57)</f>
        <v>#VALUE!</v>
      </c>
      <c r="P57" t="e">
        <f>IF(D57="","",_CALC_MOTEUR!AF57)</f>
        <v>#VALUE!</v>
      </c>
      <c r="Q57" t="e">
        <f>IF(D57="","",_CALC_MOTEUR!AG57)</f>
        <v>#VALUE!</v>
      </c>
      <c r="R57" t="e">
        <f>IF(D57="","",_CALC_MOTEUR!AH57)</f>
        <v>#VALUE!</v>
      </c>
      <c r="S57" t="e">
        <f t="shared" si="0"/>
        <v>#VALUE!</v>
      </c>
    </row>
    <row r="58" ht="14.25" customHeight="1">
      <c r="A58" t="s">
        <v>191</v>
      </c>
      <c r="B58" t="s">
        <v>234</v>
      </c>
      <c r="C58" t="s">
        <v>192</v>
      </c>
      <c r="D58" t="s">
        <v>81</v>
      </c>
      <c r="E58" t="s">
        <v>232</v>
      </c>
      <c r="F58" t="s">
        <v>199</v>
      </c>
      <c r="G58" t="s">
        <v>200</v>
      </c>
      <c r="H58" t="s">
        <v>197</v>
      </c>
      <c r="I58" t="s">
        <v>233</v>
      </c>
      <c r="J58">
        <v>46.232968004</v>
      </c>
      <c r="K58">
        <v>46.232968004</v>
      </c>
      <c r="L58">
        <v>7449.6</v>
      </c>
      <c r="M58">
        <v>348578.085565812</v>
      </c>
      <c r="O58" t="e">
        <f>IF(D58="","",_CALC_MOTEUR!AE58)</f>
        <v>#VALUE!</v>
      </c>
      <c r="P58" t="e">
        <f>IF(D58="","",_CALC_MOTEUR!AF58)</f>
        <v>#VALUE!</v>
      </c>
      <c r="Q58" t="e">
        <f>IF(D58="","",_CALC_MOTEUR!AG58)</f>
        <v>#VALUE!</v>
      </c>
      <c r="R58" t="e">
        <f>IF(D58="","",_CALC_MOTEUR!AH58)</f>
        <v>#VALUE!</v>
      </c>
      <c r="S58" t="e">
        <f t="shared" si="0"/>
        <v>#VALUE!</v>
      </c>
    </row>
    <row r="59" ht="14.25" customHeight="1">
      <c r="A59" t="s">
        <v>191</v>
      </c>
      <c r="B59" t="s">
        <v>231</v>
      </c>
      <c r="C59" t="s">
        <v>192</v>
      </c>
      <c r="D59" t="s">
        <v>81</v>
      </c>
      <c r="E59" t="s">
        <v>232</v>
      </c>
      <c r="F59" t="s">
        <v>199</v>
      </c>
      <c r="G59" t="s">
        <v>201</v>
      </c>
      <c r="H59" t="s">
        <v>197</v>
      </c>
      <c r="I59" t="s">
        <v>233</v>
      </c>
      <c r="J59">
        <v>0</v>
      </c>
      <c r="K59">
        <v>50.255</v>
      </c>
      <c r="L59">
        <v>7449.6</v>
      </c>
      <c r="M59">
        <v>374379.648</v>
      </c>
      <c r="O59">
        <f>IF(D59="","",_CALC_MOTEUR!AE59)</f>
        <v>0</v>
      </c>
      <c r="P59" t="e">
        <f>IF(D59="","",_CALC_MOTEUR!AF59)</f>
        <v>#VALUE!</v>
      </c>
      <c r="Q59" t="e">
        <f>IF(D59="","",_CALC_MOTEUR!AG59)</f>
        <v>#VALUE!</v>
      </c>
      <c r="R59" t="e">
        <f>IF(D59="","",_CALC_MOTEUR!AH59)</f>
        <v>#VALUE!</v>
      </c>
      <c r="S59" t="e">
        <f t="shared" si="0"/>
        <v>#VALUE!</v>
      </c>
    </row>
    <row r="60" ht="14.25" customHeight="1">
      <c r="A60" t="s">
        <v>191</v>
      </c>
      <c r="B60" t="s">
        <v>9</v>
      </c>
      <c r="C60" t="s">
        <v>192</v>
      </c>
      <c r="D60" t="s">
        <v>81</v>
      </c>
      <c r="E60" t="s">
        <v>232</v>
      </c>
      <c r="F60" t="s">
        <v>199</v>
      </c>
      <c r="G60" t="s">
        <v>201</v>
      </c>
      <c r="H60" t="s">
        <v>197</v>
      </c>
      <c r="I60" t="s">
        <v>233</v>
      </c>
      <c r="J60">
        <v>0</v>
      </c>
      <c r="K60">
        <v>50.765</v>
      </c>
      <c r="L60">
        <v>7580.55</v>
      </c>
      <c r="M60">
        <v>384826.62075</v>
      </c>
      <c r="O60">
        <f>IF(D60="","",_CALC_MOTEUR!AE60)</f>
        <v>0</v>
      </c>
      <c r="P60" t="e">
        <f>IF(D60="","",_CALC_MOTEUR!AF60)</f>
        <v>#VALUE!</v>
      </c>
      <c r="Q60" t="e">
        <f>IF(D60="","",_CALC_MOTEUR!AG60)</f>
        <v>#VALUE!</v>
      </c>
      <c r="R60" t="e">
        <f>IF(D60="","",_CALC_MOTEUR!AH60)</f>
        <v>#VALUE!</v>
      </c>
      <c r="S60" t="e">
        <f t="shared" si="0"/>
        <v>#VALUE!</v>
      </c>
    </row>
    <row r="61" ht="14.25" customHeight="1">
      <c r="A61" t="s">
        <v>191</v>
      </c>
      <c r="B61" t="s">
        <v>234</v>
      </c>
      <c r="C61" t="s">
        <v>192</v>
      </c>
      <c r="D61" t="s">
        <v>81</v>
      </c>
      <c r="E61" t="s">
        <v>232</v>
      </c>
      <c r="F61" t="s">
        <v>199</v>
      </c>
      <c r="G61" t="s">
        <v>201</v>
      </c>
      <c r="H61" t="s">
        <v>197</v>
      </c>
      <c r="I61" t="s">
        <v>233</v>
      </c>
      <c r="J61">
        <v>0</v>
      </c>
      <c r="K61">
        <v>49.49</v>
      </c>
      <c r="L61">
        <v>7449.6</v>
      </c>
      <c r="M61">
        <v>368680.704</v>
      </c>
      <c r="O61">
        <f>IF(D61="","",_CALC_MOTEUR!AE61)</f>
        <v>0</v>
      </c>
      <c r="P61" t="e">
        <f>IF(D61="","",_CALC_MOTEUR!AF61)</f>
        <v>#VALUE!</v>
      </c>
      <c r="Q61" t="e">
        <f>IF(D61="","",_CALC_MOTEUR!AG61)</f>
        <v>#VALUE!</v>
      </c>
      <c r="R61" t="e">
        <f>IF(D61="","",_CALC_MOTEUR!AH61)</f>
        <v>#VALUE!</v>
      </c>
      <c r="S61" t="e">
        <f t="shared" si="0"/>
        <v>#VALUE!</v>
      </c>
    </row>
    <row r="62" ht="14.25" customHeight="1">
      <c r="A62" t="s">
        <v>191</v>
      </c>
      <c r="B62" t="s">
        <v>231</v>
      </c>
      <c r="C62" t="s">
        <v>192</v>
      </c>
      <c r="D62" t="s">
        <v>83</v>
      </c>
      <c r="E62" t="s">
        <v>29</v>
      </c>
      <c r="F62" t="s">
        <v>202</v>
      </c>
      <c r="G62" t="s">
        <v>194</v>
      </c>
      <c r="H62" t="s">
        <v>195</v>
      </c>
      <c r="I62" t="s">
        <v>233</v>
      </c>
      <c r="J62">
        <v>78.323401493</v>
      </c>
      <c r="K62">
        <v>78.323401493</v>
      </c>
      <c r="L62">
        <v>8593.2</v>
      </c>
      <c r="M62">
        <v>680097.759840982</v>
      </c>
      <c r="O62" t="e">
        <f>IF(D62="","",_CALC_MOTEUR!AE62)</f>
        <v>#VALUE!</v>
      </c>
      <c r="P62" t="e">
        <f>IF(D62="","",_CALC_MOTEUR!AF62)</f>
        <v>#VALUE!</v>
      </c>
      <c r="Q62" t="e">
        <f>IF(D62="","",_CALC_MOTEUR!AG62)</f>
        <v>#VALUE!</v>
      </c>
      <c r="R62" t="e">
        <f>IF(D62="","",_CALC_MOTEUR!AH62)</f>
        <v>#VALUE!</v>
      </c>
      <c r="S62" t="e">
        <f t="shared" si="0"/>
        <v>#VALUE!</v>
      </c>
    </row>
    <row r="63" ht="14.25" customHeight="1">
      <c r="A63" t="s">
        <v>191</v>
      </c>
      <c r="B63" t="s">
        <v>9</v>
      </c>
      <c r="C63" t="s">
        <v>192</v>
      </c>
      <c r="D63" t="s">
        <v>83</v>
      </c>
      <c r="E63" t="s">
        <v>29</v>
      </c>
      <c r="F63" t="s">
        <v>202</v>
      </c>
      <c r="G63" t="s">
        <v>194</v>
      </c>
      <c r="H63" t="s">
        <v>195</v>
      </c>
      <c r="I63" t="s">
        <v>233</v>
      </c>
      <c r="J63">
        <v>88.189420488</v>
      </c>
      <c r="K63">
        <v>88.189420488</v>
      </c>
      <c r="L63">
        <v>8738.1</v>
      </c>
      <c r="M63">
        <v>778545.023013417</v>
      </c>
      <c r="O63" t="e">
        <f>IF(D63="","",_CALC_MOTEUR!AE63)</f>
        <v>#VALUE!</v>
      </c>
      <c r="P63" t="e">
        <f>IF(D63="","",_CALC_MOTEUR!AF63)</f>
        <v>#VALUE!</v>
      </c>
      <c r="Q63" t="e">
        <f>IF(D63="","",_CALC_MOTEUR!AG63)</f>
        <v>#VALUE!</v>
      </c>
      <c r="R63" t="e">
        <f>IF(D63="","",_CALC_MOTEUR!AH63)</f>
        <v>#VALUE!</v>
      </c>
      <c r="S63" t="e">
        <f t="shared" si="0"/>
        <v>#VALUE!</v>
      </c>
    </row>
    <row r="64" ht="14.25" customHeight="1">
      <c r="A64" t="s">
        <v>191</v>
      </c>
      <c r="B64" t="s">
        <v>234</v>
      </c>
      <c r="C64" t="s">
        <v>192</v>
      </c>
      <c r="D64" t="s">
        <v>83</v>
      </c>
      <c r="E64" t="s">
        <v>29</v>
      </c>
      <c r="F64" t="s">
        <v>202</v>
      </c>
      <c r="G64" t="s">
        <v>194</v>
      </c>
      <c r="H64" t="s">
        <v>195</v>
      </c>
      <c r="I64" t="s">
        <v>233</v>
      </c>
      <c r="J64">
        <v>66.905474575</v>
      </c>
      <c r="K64">
        <v>66.905474575</v>
      </c>
      <c r="L64">
        <v>8593.2</v>
      </c>
      <c r="M64">
        <v>580953.616826415</v>
      </c>
      <c r="O64" t="e">
        <f>IF(D64="","",_CALC_MOTEUR!AE64)</f>
        <v>#VALUE!</v>
      </c>
      <c r="P64" t="e">
        <f>IF(D64="","",_CALC_MOTEUR!AF64)</f>
        <v>#VALUE!</v>
      </c>
      <c r="Q64" t="e">
        <f>IF(D64="","",_CALC_MOTEUR!AG64)</f>
        <v>#VALUE!</v>
      </c>
      <c r="R64" t="e">
        <f>IF(D64="","",_CALC_MOTEUR!AH64)</f>
        <v>#VALUE!</v>
      </c>
      <c r="S64" t="e">
        <f t="shared" si="0"/>
        <v>#VALUE!</v>
      </c>
    </row>
    <row r="65" ht="14.25" customHeight="1">
      <c r="A65" t="s">
        <v>191</v>
      </c>
      <c r="B65" t="s">
        <v>231</v>
      </c>
      <c r="C65" t="s">
        <v>192</v>
      </c>
      <c r="D65" t="s">
        <v>83</v>
      </c>
      <c r="E65" t="s">
        <v>29</v>
      </c>
      <c r="F65" t="s">
        <v>202</v>
      </c>
      <c r="G65" t="s">
        <v>196</v>
      </c>
      <c r="H65" t="s">
        <v>197</v>
      </c>
      <c r="I65" t="s">
        <v>233</v>
      </c>
      <c r="J65">
        <v>0</v>
      </c>
      <c r="K65">
        <v>70.36</v>
      </c>
      <c r="L65">
        <v>8020.32</v>
      </c>
      <c r="M65">
        <v>564309.7152</v>
      </c>
      <c r="O65">
        <f>IF(D65="","",_CALC_MOTEUR!AE65)</f>
        <v>0</v>
      </c>
      <c r="P65" t="e">
        <f>IF(D65="","",_CALC_MOTEUR!AF65)</f>
        <v>#VALUE!</v>
      </c>
      <c r="Q65" t="e">
        <f>IF(D65="","",_CALC_MOTEUR!AG65)</f>
        <v>#VALUE!</v>
      </c>
      <c r="R65" t="e">
        <f>IF(D65="","",_CALC_MOTEUR!AH65)</f>
        <v>#VALUE!</v>
      </c>
      <c r="S65" t="e">
        <f t="shared" si="0"/>
        <v>#VALUE!</v>
      </c>
    </row>
    <row r="66" ht="14.25" customHeight="1">
      <c r="A66" t="s">
        <v>191</v>
      </c>
      <c r="B66" t="s">
        <v>9</v>
      </c>
      <c r="C66" t="s">
        <v>192</v>
      </c>
      <c r="D66" t="s">
        <v>83</v>
      </c>
      <c r="E66" t="s">
        <v>29</v>
      </c>
      <c r="F66" t="s">
        <v>202</v>
      </c>
      <c r="G66" t="s">
        <v>196</v>
      </c>
      <c r="H66" t="s">
        <v>197</v>
      </c>
      <c r="I66" t="s">
        <v>233</v>
      </c>
      <c r="J66">
        <v>0</v>
      </c>
      <c r="K66">
        <v>71.08</v>
      </c>
      <c r="L66">
        <v>8155.56</v>
      </c>
      <c r="M66">
        <v>579697.2048</v>
      </c>
      <c r="O66">
        <f>IF(D66="","",_CALC_MOTEUR!AE66)</f>
        <v>0</v>
      </c>
      <c r="P66" t="e">
        <f>IF(D66="","",_CALC_MOTEUR!AF66)</f>
        <v>#VALUE!</v>
      </c>
      <c r="Q66" t="e">
        <f>IF(D66="","",_CALC_MOTEUR!AG66)</f>
        <v>#VALUE!</v>
      </c>
      <c r="R66" t="e">
        <f>IF(D66="","",_CALC_MOTEUR!AH66)</f>
        <v>#VALUE!</v>
      </c>
      <c r="S66" t="e">
        <f t="shared" si="0"/>
        <v>#VALUE!</v>
      </c>
    </row>
    <row r="67" ht="14.25" customHeight="1">
      <c r="A67" t="s">
        <v>191</v>
      </c>
      <c r="B67" t="s">
        <v>234</v>
      </c>
      <c r="C67" t="s">
        <v>192</v>
      </c>
      <c r="D67" t="s">
        <v>83</v>
      </c>
      <c r="E67" t="s">
        <v>29</v>
      </c>
      <c r="F67" t="s">
        <v>202</v>
      </c>
      <c r="G67" t="s">
        <v>196</v>
      </c>
      <c r="H67" t="s">
        <v>197</v>
      </c>
      <c r="I67" t="s">
        <v>233</v>
      </c>
      <c r="J67">
        <v>0</v>
      </c>
      <c r="K67">
        <v>69.28</v>
      </c>
      <c r="L67">
        <v>8020.32</v>
      </c>
      <c r="M67">
        <v>555647.7696</v>
      </c>
      <c r="O67">
        <f>IF(D67="","",_CALC_MOTEUR!AE67)</f>
        <v>0</v>
      </c>
      <c r="P67" t="e">
        <f>IF(D67="","",_CALC_MOTEUR!AF67)</f>
        <v>#VALUE!</v>
      </c>
      <c r="Q67" t="e">
        <f>IF(D67="","",_CALC_MOTEUR!AG67)</f>
        <v>#VALUE!</v>
      </c>
      <c r="R67" t="e">
        <f>IF(D67="","",_CALC_MOTEUR!AH67)</f>
        <v>#VALUE!</v>
      </c>
      <c r="S67" t="e">
        <f t="shared" si="0"/>
        <v>#VALUE!</v>
      </c>
    </row>
    <row r="68" ht="14.25" customHeight="1">
      <c r="A68" t="s">
        <v>191</v>
      </c>
      <c r="B68" t="s">
        <v>231</v>
      </c>
      <c r="C68" t="s">
        <v>192</v>
      </c>
      <c r="D68" t="s">
        <v>83</v>
      </c>
      <c r="E68" t="s">
        <v>29</v>
      </c>
      <c r="F68" t="s">
        <v>202</v>
      </c>
      <c r="G68" t="s">
        <v>198</v>
      </c>
      <c r="H68" t="s">
        <v>197</v>
      </c>
      <c r="I68" t="s">
        <v>233</v>
      </c>
      <c r="J68">
        <v>0</v>
      </c>
      <c r="K68">
        <v>69.35</v>
      </c>
      <c r="L68">
        <v>8020.32</v>
      </c>
      <c r="M68">
        <v>556209.192</v>
      </c>
      <c r="O68">
        <f>IF(D68="","",_CALC_MOTEUR!AE68)</f>
        <v>0</v>
      </c>
      <c r="P68" t="e">
        <f>IF(D68="","",_CALC_MOTEUR!AF68)</f>
        <v>#VALUE!</v>
      </c>
      <c r="Q68" t="e">
        <f>IF(D68="","",_CALC_MOTEUR!AG68)</f>
        <v>#VALUE!</v>
      </c>
      <c r="R68" t="e">
        <f>IF(D68="","",_CALC_MOTEUR!AH68)</f>
        <v>#VALUE!</v>
      </c>
      <c r="S68" t="e">
        <f t="shared" si="0"/>
        <v>#VALUE!</v>
      </c>
    </row>
    <row r="69" ht="14.25" customHeight="1">
      <c r="A69" t="s">
        <v>191</v>
      </c>
      <c r="B69" t="s">
        <v>9</v>
      </c>
      <c r="C69" t="s">
        <v>192</v>
      </c>
      <c r="D69" t="s">
        <v>83</v>
      </c>
      <c r="E69" t="s">
        <v>29</v>
      </c>
      <c r="F69" t="s">
        <v>202</v>
      </c>
      <c r="G69" t="s">
        <v>198</v>
      </c>
      <c r="H69" t="s">
        <v>197</v>
      </c>
      <c r="I69" t="s">
        <v>233</v>
      </c>
      <c r="J69">
        <v>0</v>
      </c>
      <c r="K69">
        <v>70.05</v>
      </c>
      <c r="L69">
        <v>8155.56</v>
      </c>
      <c r="M69">
        <v>571296.978</v>
      </c>
      <c r="O69">
        <f>IF(D69="","",_CALC_MOTEUR!AE69)</f>
        <v>0</v>
      </c>
      <c r="P69" t="e">
        <f>IF(D69="","",_CALC_MOTEUR!AF69)</f>
        <v>#VALUE!</v>
      </c>
      <c r="Q69" t="e">
        <f>IF(D69="","",_CALC_MOTEUR!AG69)</f>
        <v>#VALUE!</v>
      </c>
      <c r="R69" t="e">
        <f>IF(D69="","",_CALC_MOTEUR!AH69)</f>
        <v>#VALUE!</v>
      </c>
      <c r="S69" t="e">
        <f t="shared" si="0"/>
        <v>#VALUE!</v>
      </c>
    </row>
    <row r="70" ht="14.25" customHeight="1">
      <c r="A70" t="s">
        <v>191</v>
      </c>
      <c r="B70" t="s">
        <v>234</v>
      </c>
      <c r="C70" t="s">
        <v>192</v>
      </c>
      <c r="D70" t="s">
        <v>83</v>
      </c>
      <c r="E70" t="s">
        <v>29</v>
      </c>
      <c r="F70" t="s">
        <v>202</v>
      </c>
      <c r="G70" t="s">
        <v>198</v>
      </c>
      <c r="H70" t="s">
        <v>197</v>
      </c>
      <c r="I70" t="s">
        <v>233</v>
      </c>
      <c r="J70">
        <v>0</v>
      </c>
      <c r="K70">
        <v>68.3</v>
      </c>
      <c r="L70">
        <v>8020.32</v>
      </c>
      <c r="M70">
        <v>547787.856</v>
      </c>
      <c r="O70">
        <f>IF(D70="","",_CALC_MOTEUR!AE70)</f>
        <v>0</v>
      </c>
      <c r="P70" t="e">
        <f>IF(D70="","",_CALC_MOTEUR!AF70)</f>
        <v>#VALUE!</v>
      </c>
      <c r="Q70" t="e">
        <f>IF(D70="","",_CALC_MOTEUR!AG70)</f>
        <v>#VALUE!</v>
      </c>
      <c r="R70" t="e">
        <f>IF(D70="","",_CALC_MOTEUR!AH70)</f>
        <v>#VALUE!</v>
      </c>
      <c r="S70" t="e">
        <f t="shared" si="0"/>
        <v>#VALUE!</v>
      </c>
    </row>
    <row r="71" ht="14.25" customHeight="1">
      <c r="A71" t="s">
        <v>191</v>
      </c>
      <c r="B71" t="s">
        <v>231</v>
      </c>
      <c r="C71" t="s">
        <v>192</v>
      </c>
      <c r="D71" t="s">
        <v>83</v>
      </c>
      <c r="E71" t="s">
        <v>29</v>
      </c>
      <c r="F71" t="s">
        <v>203</v>
      </c>
      <c r="G71" t="s">
        <v>200</v>
      </c>
      <c r="H71" t="s">
        <v>197</v>
      </c>
      <c r="I71" t="s">
        <v>233</v>
      </c>
      <c r="J71">
        <v>79.958928166</v>
      </c>
      <c r="K71">
        <v>79.958928166</v>
      </c>
      <c r="L71">
        <v>8593.2</v>
      </c>
      <c r="M71">
        <v>694299.365048398</v>
      </c>
      <c r="O71" t="e">
        <f>IF(D71="","",_CALC_MOTEUR!AE71)</f>
        <v>#VALUE!</v>
      </c>
      <c r="P71" t="e">
        <f>IF(D71="","",_CALC_MOTEUR!AF71)</f>
        <v>#VALUE!</v>
      </c>
      <c r="Q71" t="e">
        <f>IF(D71="","",_CALC_MOTEUR!AG71)</f>
        <v>#VALUE!</v>
      </c>
      <c r="R71" t="e">
        <f>IF(D71="","",_CALC_MOTEUR!AH71)</f>
        <v>#VALUE!</v>
      </c>
      <c r="S71" t="e">
        <f t="shared" si="0"/>
        <v>#VALUE!</v>
      </c>
    </row>
    <row r="72" ht="14.25" customHeight="1">
      <c r="A72" t="s">
        <v>191</v>
      </c>
      <c r="B72" t="s">
        <v>9</v>
      </c>
      <c r="C72" t="s">
        <v>192</v>
      </c>
      <c r="D72" t="s">
        <v>83</v>
      </c>
      <c r="E72" t="s">
        <v>29</v>
      </c>
      <c r="F72" t="s">
        <v>203</v>
      </c>
      <c r="G72" t="s">
        <v>200</v>
      </c>
      <c r="H72" t="s">
        <v>197</v>
      </c>
      <c r="I72" t="s">
        <v>233</v>
      </c>
      <c r="J72">
        <v>93.166937658</v>
      </c>
      <c r="K72">
        <v>93.166937658</v>
      </c>
      <c r="L72">
        <v>8738.1</v>
      </c>
      <c r="M72">
        <v>822487.042341584</v>
      </c>
      <c r="O72" t="e">
        <f>IF(D72="","",_CALC_MOTEUR!AE72)</f>
        <v>#VALUE!</v>
      </c>
      <c r="P72" t="e">
        <f>IF(D72="","",_CALC_MOTEUR!AF72)</f>
        <v>#VALUE!</v>
      </c>
      <c r="Q72" t="e">
        <f>IF(D72="","",_CALC_MOTEUR!AG72)</f>
        <v>#VALUE!</v>
      </c>
      <c r="R72" t="e">
        <f>IF(D72="","",_CALC_MOTEUR!AH72)</f>
        <v>#VALUE!</v>
      </c>
      <c r="S72" t="e">
        <f t="shared" si="0"/>
        <v>#VALUE!</v>
      </c>
    </row>
    <row r="73" ht="14.25" customHeight="1">
      <c r="A73" t="s">
        <v>191</v>
      </c>
      <c r="B73" t="s">
        <v>234</v>
      </c>
      <c r="C73" t="s">
        <v>192</v>
      </c>
      <c r="D73" t="s">
        <v>83</v>
      </c>
      <c r="E73" t="s">
        <v>29</v>
      </c>
      <c r="F73" t="s">
        <v>203</v>
      </c>
      <c r="G73" t="s">
        <v>200</v>
      </c>
      <c r="H73" t="s">
        <v>197</v>
      </c>
      <c r="I73" t="s">
        <v>233</v>
      </c>
      <c r="J73">
        <v>65.437734564</v>
      </c>
      <c r="K73">
        <v>65.437734564</v>
      </c>
      <c r="L73">
        <v>8593.2</v>
      </c>
      <c r="M73">
        <v>568208.936768483</v>
      </c>
      <c r="O73" t="e">
        <f>IF(D73="","",_CALC_MOTEUR!AE73)</f>
        <v>#VALUE!</v>
      </c>
      <c r="P73" t="e">
        <f>IF(D73="","",_CALC_MOTEUR!AF73)</f>
        <v>#VALUE!</v>
      </c>
      <c r="Q73" t="e">
        <f>IF(D73="","",_CALC_MOTEUR!AG73)</f>
        <v>#VALUE!</v>
      </c>
      <c r="R73" t="e">
        <f>IF(D73="","",_CALC_MOTEUR!AH73)</f>
        <v>#VALUE!</v>
      </c>
      <c r="S73" t="e">
        <f t="shared" si="0"/>
        <v>#VALUE!</v>
      </c>
    </row>
    <row r="74" ht="14.25" customHeight="1">
      <c r="A74" t="s">
        <v>191</v>
      </c>
      <c r="B74" t="s">
        <v>231</v>
      </c>
      <c r="C74" t="s">
        <v>192</v>
      </c>
      <c r="D74" t="s">
        <v>83</v>
      </c>
      <c r="E74" t="s">
        <v>29</v>
      </c>
      <c r="F74" t="s">
        <v>203</v>
      </c>
      <c r="G74" t="s">
        <v>201</v>
      </c>
      <c r="H74" t="s">
        <v>197</v>
      </c>
      <c r="I74" t="s">
        <v>233</v>
      </c>
      <c r="J74">
        <v>0</v>
      </c>
      <c r="K74">
        <v>71.36</v>
      </c>
      <c r="L74">
        <v>8593.2</v>
      </c>
      <c r="M74">
        <v>613210.752</v>
      </c>
      <c r="O74">
        <f>IF(D74="","",_CALC_MOTEUR!AE74)</f>
        <v>0</v>
      </c>
      <c r="P74" t="e">
        <f>IF(D74="","",_CALC_MOTEUR!AF74)</f>
        <v>#VALUE!</v>
      </c>
      <c r="Q74" t="e">
        <f>IF(D74="","",_CALC_MOTEUR!AG74)</f>
        <v>#VALUE!</v>
      </c>
      <c r="R74" t="e">
        <f>IF(D74="","",_CALC_MOTEUR!AH74)</f>
        <v>#VALUE!</v>
      </c>
      <c r="S74" t="e">
        <f t="shared" si="0"/>
        <v>#VALUE!</v>
      </c>
    </row>
    <row r="75" ht="14.25" customHeight="1">
      <c r="A75" t="s">
        <v>191</v>
      </c>
      <c r="B75" t="s">
        <v>9</v>
      </c>
      <c r="C75" t="s">
        <v>192</v>
      </c>
      <c r="D75" t="s">
        <v>83</v>
      </c>
      <c r="E75" t="s">
        <v>29</v>
      </c>
      <c r="F75" t="s">
        <v>203</v>
      </c>
      <c r="G75" t="s">
        <v>201</v>
      </c>
      <c r="H75" t="s">
        <v>197</v>
      </c>
      <c r="I75" t="s">
        <v>233</v>
      </c>
      <c r="J75">
        <v>0</v>
      </c>
      <c r="K75">
        <v>72.08</v>
      </c>
      <c r="L75">
        <v>8738.1</v>
      </c>
      <c r="M75">
        <v>629842.248</v>
      </c>
      <c r="O75">
        <f>IF(D75="","",_CALC_MOTEUR!AE75)</f>
        <v>0</v>
      </c>
      <c r="P75" t="e">
        <f>IF(D75="","",_CALC_MOTEUR!AF75)</f>
        <v>#VALUE!</v>
      </c>
      <c r="Q75" t="e">
        <f>IF(D75="","",_CALC_MOTEUR!AG75)</f>
        <v>#VALUE!</v>
      </c>
      <c r="R75" t="e">
        <f>IF(D75="","",_CALC_MOTEUR!AH75)</f>
        <v>#VALUE!</v>
      </c>
      <c r="S75" t="e">
        <f t="shared" si="0"/>
        <v>#VALUE!</v>
      </c>
    </row>
    <row r="76" ht="14.25" customHeight="1">
      <c r="A76" t="s">
        <v>191</v>
      </c>
      <c r="B76" t="s">
        <v>234</v>
      </c>
      <c r="C76" t="s">
        <v>192</v>
      </c>
      <c r="D76" t="s">
        <v>83</v>
      </c>
      <c r="E76" t="s">
        <v>29</v>
      </c>
      <c r="F76" t="s">
        <v>203</v>
      </c>
      <c r="G76" t="s">
        <v>201</v>
      </c>
      <c r="H76" t="s">
        <v>197</v>
      </c>
      <c r="I76" t="s">
        <v>233</v>
      </c>
      <c r="J76">
        <v>0</v>
      </c>
      <c r="K76">
        <v>70.28</v>
      </c>
      <c r="L76">
        <v>8593.2</v>
      </c>
      <c r="M76">
        <v>603930.096</v>
      </c>
      <c r="O76">
        <f>IF(D76="","",_CALC_MOTEUR!AE76)</f>
        <v>0</v>
      </c>
      <c r="P76" t="e">
        <f>IF(D76="","",_CALC_MOTEUR!AF76)</f>
        <v>#VALUE!</v>
      </c>
      <c r="Q76" t="e">
        <f>IF(D76="","",_CALC_MOTEUR!AG76)</f>
        <v>#VALUE!</v>
      </c>
      <c r="R76" t="e">
        <f>IF(D76="","",_CALC_MOTEUR!AH76)</f>
        <v>#VALUE!</v>
      </c>
      <c r="S76" t="e">
        <f t="shared" si="0"/>
        <v>#VALUE!</v>
      </c>
    </row>
    <row r="77" ht="14.25" customHeight="1">
      <c r="A77" t="s">
        <v>191</v>
      </c>
      <c r="B77" t="s">
        <v>231</v>
      </c>
      <c r="C77" t="s">
        <v>192</v>
      </c>
      <c r="D77" t="s">
        <v>84</v>
      </c>
      <c r="E77" t="s">
        <v>29</v>
      </c>
      <c r="F77" t="s">
        <v>202</v>
      </c>
      <c r="G77" t="s">
        <v>194</v>
      </c>
      <c r="H77" t="s">
        <v>195</v>
      </c>
      <c r="I77" t="s">
        <v>233</v>
      </c>
      <c r="J77">
        <v>54.601401128</v>
      </c>
      <c r="K77">
        <v>54.601401128</v>
      </c>
      <c r="L77">
        <v>7519.05</v>
      </c>
      <c r="M77">
        <v>415464.791249224</v>
      </c>
      <c r="O77" t="e">
        <f>IF(D77="","",_CALC_MOTEUR!AE77)</f>
        <v>#VALUE!</v>
      </c>
      <c r="P77" t="e">
        <f>IF(D77="","",_CALC_MOTEUR!AF77)</f>
        <v>#VALUE!</v>
      </c>
      <c r="Q77" t="e">
        <f>IF(D77="","",_CALC_MOTEUR!AG77)</f>
        <v>#VALUE!</v>
      </c>
      <c r="R77" t="e">
        <f>IF(D77="","",_CALC_MOTEUR!AH77)</f>
        <v>#VALUE!</v>
      </c>
      <c r="S77" t="e">
        <f t="shared" si="0"/>
        <v>#VALUE!</v>
      </c>
    </row>
    <row r="78" ht="14.25" customHeight="1">
      <c r="A78" t="s">
        <v>191</v>
      </c>
      <c r="B78" t="s">
        <v>9</v>
      </c>
      <c r="C78" t="s">
        <v>192</v>
      </c>
      <c r="D78" t="s">
        <v>84</v>
      </c>
      <c r="E78" t="s">
        <v>29</v>
      </c>
      <c r="F78" t="s">
        <v>202</v>
      </c>
      <c r="G78" t="s">
        <v>194</v>
      </c>
      <c r="H78" t="s">
        <v>195</v>
      </c>
      <c r="I78" t="s">
        <v>233</v>
      </c>
      <c r="J78">
        <v>61.704128778</v>
      </c>
      <c r="K78">
        <v>61.704128778</v>
      </c>
      <c r="L78">
        <v>7645.8375</v>
      </c>
      <c r="M78">
        <v>477333.113308873</v>
      </c>
      <c r="O78" t="e">
        <f>IF(D78="","",_CALC_MOTEUR!AE78)</f>
        <v>#VALUE!</v>
      </c>
      <c r="P78" t="e">
        <f>IF(D78="","",_CALC_MOTEUR!AF78)</f>
        <v>#VALUE!</v>
      </c>
      <c r="Q78" t="e">
        <f>IF(D78="","",_CALC_MOTEUR!AG78)</f>
        <v>#VALUE!</v>
      </c>
      <c r="R78" t="e">
        <f>IF(D78="","",_CALC_MOTEUR!AH78)</f>
        <v>#VALUE!</v>
      </c>
      <c r="S78" t="e">
        <f t="shared" si="0"/>
        <v>#VALUE!</v>
      </c>
    </row>
    <row r="79" ht="14.25" customHeight="1">
      <c r="A79" t="s">
        <v>191</v>
      </c>
      <c r="B79" t="s">
        <v>234</v>
      </c>
      <c r="C79" t="s">
        <v>192</v>
      </c>
      <c r="D79" t="s">
        <v>84</v>
      </c>
      <c r="E79" t="s">
        <v>29</v>
      </c>
      <c r="F79" t="s">
        <v>202</v>
      </c>
      <c r="G79" t="s">
        <v>194</v>
      </c>
      <c r="H79" t="s">
        <v>195</v>
      </c>
      <c r="I79" t="s">
        <v>233</v>
      </c>
      <c r="J79">
        <v>46.373812552</v>
      </c>
      <c r="K79">
        <v>46.373812552</v>
      </c>
      <c r="L79">
        <v>7519.05</v>
      </c>
      <c r="M79">
        <v>352860.658400036</v>
      </c>
      <c r="O79" t="e">
        <f>IF(D79="","",_CALC_MOTEUR!AE79)</f>
        <v>#VALUE!</v>
      </c>
      <c r="P79" t="e">
        <f>IF(D79="","",_CALC_MOTEUR!AF79)</f>
        <v>#VALUE!</v>
      </c>
      <c r="Q79" t="e">
        <f>IF(D79="","",_CALC_MOTEUR!AG79)</f>
        <v>#VALUE!</v>
      </c>
      <c r="R79" t="e">
        <f>IF(D79="","",_CALC_MOTEUR!AH79)</f>
        <v>#VALUE!</v>
      </c>
      <c r="S79" t="e">
        <f t="shared" si="0"/>
        <v>#VALUE!</v>
      </c>
    </row>
    <row r="80" ht="14.25" customHeight="1">
      <c r="A80" t="s">
        <v>191</v>
      </c>
      <c r="B80" t="s">
        <v>231</v>
      </c>
      <c r="C80" t="s">
        <v>192</v>
      </c>
      <c r="D80" t="s">
        <v>84</v>
      </c>
      <c r="E80" t="s">
        <v>29</v>
      </c>
      <c r="F80" t="s">
        <v>202</v>
      </c>
      <c r="G80" t="s">
        <v>196</v>
      </c>
      <c r="H80" t="s">
        <v>197</v>
      </c>
      <c r="I80" t="s">
        <v>233</v>
      </c>
      <c r="J80">
        <v>0</v>
      </c>
      <c r="K80">
        <v>48.25</v>
      </c>
      <c r="L80">
        <v>7017.78</v>
      </c>
      <c r="M80">
        <v>338607.885</v>
      </c>
      <c r="O80">
        <f>IF(D80="","",_CALC_MOTEUR!AE80)</f>
        <v>0</v>
      </c>
      <c r="P80" t="e">
        <f>IF(D80="","",_CALC_MOTEUR!AF80)</f>
        <v>#VALUE!</v>
      </c>
      <c r="Q80" t="e">
        <f>IF(D80="","",_CALC_MOTEUR!AG80)</f>
        <v>#VALUE!</v>
      </c>
      <c r="R80" t="e">
        <f>IF(D80="","",_CALC_MOTEUR!AH80)</f>
        <v>#VALUE!</v>
      </c>
      <c r="S80" t="e">
        <f t="shared" si="0"/>
        <v>#VALUE!</v>
      </c>
    </row>
    <row r="81" ht="14.25" customHeight="1">
      <c r="A81" t="s">
        <v>191</v>
      </c>
      <c r="B81" t="s">
        <v>9</v>
      </c>
      <c r="C81" t="s">
        <v>192</v>
      </c>
      <c r="D81" t="s">
        <v>84</v>
      </c>
      <c r="E81" t="s">
        <v>29</v>
      </c>
      <c r="F81" t="s">
        <v>202</v>
      </c>
      <c r="G81" t="s">
        <v>196</v>
      </c>
      <c r="H81" t="s">
        <v>197</v>
      </c>
      <c r="I81" t="s">
        <v>233</v>
      </c>
      <c r="J81">
        <v>0</v>
      </c>
      <c r="K81">
        <v>48.75</v>
      </c>
      <c r="L81">
        <v>7136.115</v>
      </c>
      <c r="M81">
        <v>347885.60625</v>
      </c>
      <c r="O81">
        <f>IF(D81="","",_CALC_MOTEUR!AE81)</f>
        <v>0</v>
      </c>
      <c r="P81" t="e">
        <f>IF(D81="","",_CALC_MOTEUR!AF81)</f>
        <v>#VALUE!</v>
      </c>
      <c r="Q81" t="e">
        <f>IF(D81="","",_CALC_MOTEUR!AG81)</f>
        <v>#VALUE!</v>
      </c>
      <c r="R81" t="e">
        <f>IF(D81="","",_CALC_MOTEUR!AH81)</f>
        <v>#VALUE!</v>
      </c>
      <c r="S81" t="e">
        <f t="shared" si="0"/>
        <v>#VALUE!</v>
      </c>
    </row>
    <row r="82" ht="14.25" customHeight="1">
      <c r="A82" t="s">
        <v>191</v>
      </c>
      <c r="B82" t="s">
        <v>234</v>
      </c>
      <c r="C82" t="s">
        <v>192</v>
      </c>
      <c r="D82" t="s">
        <v>84</v>
      </c>
      <c r="E82" t="s">
        <v>29</v>
      </c>
      <c r="F82" t="s">
        <v>202</v>
      </c>
      <c r="G82" t="s">
        <v>196</v>
      </c>
      <c r="H82" t="s">
        <v>197</v>
      </c>
      <c r="I82" t="s">
        <v>233</v>
      </c>
      <c r="J82">
        <v>0</v>
      </c>
      <c r="K82">
        <v>47.5</v>
      </c>
      <c r="L82">
        <v>7017.78</v>
      </c>
      <c r="M82">
        <v>333344.55</v>
      </c>
      <c r="O82">
        <f>IF(D82="","",_CALC_MOTEUR!AE82)</f>
        <v>0</v>
      </c>
      <c r="P82" t="e">
        <f>IF(D82="","",_CALC_MOTEUR!AF82)</f>
        <v>#VALUE!</v>
      </c>
      <c r="Q82" t="e">
        <f>IF(D82="","",_CALC_MOTEUR!AG82)</f>
        <v>#VALUE!</v>
      </c>
      <c r="R82" t="e">
        <f>IF(D82="","",_CALC_MOTEUR!AH82)</f>
        <v>#VALUE!</v>
      </c>
      <c r="S82" t="e">
        <f t="shared" si="0"/>
        <v>#VALUE!</v>
      </c>
    </row>
    <row r="83" ht="14.25" customHeight="1">
      <c r="A83" t="s">
        <v>191</v>
      </c>
      <c r="B83" t="s">
        <v>231</v>
      </c>
      <c r="C83" t="s">
        <v>192</v>
      </c>
      <c r="D83" t="s">
        <v>84</v>
      </c>
      <c r="E83" t="s">
        <v>29</v>
      </c>
      <c r="F83" t="s">
        <v>202</v>
      </c>
      <c r="G83" t="s">
        <v>198</v>
      </c>
      <c r="H83" t="s">
        <v>197</v>
      </c>
      <c r="I83" t="s">
        <v>233</v>
      </c>
      <c r="J83">
        <v>0</v>
      </c>
      <c r="K83">
        <v>47.24</v>
      </c>
      <c r="L83">
        <v>7017.78</v>
      </c>
      <c r="M83">
        <v>331519.9272</v>
      </c>
      <c r="O83">
        <f>IF(D83="","",_CALC_MOTEUR!AE83)</f>
        <v>0</v>
      </c>
      <c r="P83" t="e">
        <f>IF(D83="","",_CALC_MOTEUR!AF83)</f>
        <v>#VALUE!</v>
      </c>
      <c r="Q83" t="e">
        <f>IF(D83="","",_CALC_MOTEUR!AG83)</f>
        <v>#VALUE!</v>
      </c>
      <c r="R83" t="e">
        <f>IF(D83="","",_CALC_MOTEUR!AH83)</f>
        <v>#VALUE!</v>
      </c>
      <c r="S83" t="e">
        <f t="shared" si="0"/>
        <v>#VALUE!</v>
      </c>
    </row>
    <row r="84" ht="14.25" customHeight="1">
      <c r="A84" t="s">
        <v>191</v>
      </c>
      <c r="B84" t="s">
        <v>9</v>
      </c>
      <c r="C84" t="s">
        <v>192</v>
      </c>
      <c r="D84" t="s">
        <v>84</v>
      </c>
      <c r="E84" t="s">
        <v>29</v>
      </c>
      <c r="F84" t="s">
        <v>202</v>
      </c>
      <c r="G84" t="s">
        <v>198</v>
      </c>
      <c r="H84" t="s">
        <v>197</v>
      </c>
      <c r="I84" t="s">
        <v>233</v>
      </c>
      <c r="J84">
        <v>0</v>
      </c>
      <c r="K84">
        <v>47.72</v>
      </c>
      <c r="L84">
        <v>7136.115</v>
      </c>
      <c r="M84">
        <v>340535.4078</v>
      </c>
      <c r="O84">
        <f>IF(D84="","",_CALC_MOTEUR!AE84)</f>
        <v>0</v>
      </c>
      <c r="P84" t="e">
        <f>IF(D84="","",_CALC_MOTEUR!AF84)</f>
        <v>#VALUE!</v>
      </c>
      <c r="Q84" t="e">
        <f>IF(D84="","",_CALC_MOTEUR!AG84)</f>
        <v>#VALUE!</v>
      </c>
      <c r="R84" t="e">
        <f>IF(D84="","",_CALC_MOTEUR!AH84)</f>
        <v>#VALUE!</v>
      </c>
      <c r="S84" t="e">
        <f t="shared" si="0"/>
        <v>#VALUE!</v>
      </c>
    </row>
    <row r="85" ht="14.25" customHeight="1">
      <c r="A85" t="s">
        <v>191</v>
      </c>
      <c r="B85" t="s">
        <v>234</v>
      </c>
      <c r="C85" t="s">
        <v>192</v>
      </c>
      <c r="D85" t="s">
        <v>84</v>
      </c>
      <c r="E85" t="s">
        <v>29</v>
      </c>
      <c r="F85" t="s">
        <v>202</v>
      </c>
      <c r="G85" t="s">
        <v>198</v>
      </c>
      <c r="H85" t="s">
        <v>197</v>
      </c>
      <c r="I85" t="s">
        <v>233</v>
      </c>
      <c r="J85">
        <v>0</v>
      </c>
      <c r="K85">
        <v>46.52</v>
      </c>
      <c r="L85">
        <v>7017.78</v>
      </c>
      <c r="M85">
        <v>326467.1256</v>
      </c>
      <c r="O85">
        <f>IF(D85="","",_CALC_MOTEUR!AE85)</f>
        <v>0</v>
      </c>
      <c r="P85" t="e">
        <f>IF(D85="","",_CALC_MOTEUR!AF85)</f>
        <v>#VALUE!</v>
      </c>
      <c r="Q85" t="e">
        <f>IF(D85="","",_CALC_MOTEUR!AG85)</f>
        <v>#VALUE!</v>
      </c>
      <c r="R85" t="e">
        <f>IF(D85="","",_CALC_MOTEUR!AH85)</f>
        <v>#VALUE!</v>
      </c>
      <c r="S85" t="e">
        <f t="shared" si="0"/>
        <v>#VALUE!</v>
      </c>
    </row>
    <row r="86" ht="14.25" customHeight="1">
      <c r="A86" t="s">
        <v>191</v>
      </c>
      <c r="B86" t="s">
        <v>231</v>
      </c>
      <c r="C86" t="s">
        <v>192</v>
      </c>
      <c r="D86" t="s">
        <v>84</v>
      </c>
      <c r="E86" t="s">
        <v>29</v>
      </c>
      <c r="F86" t="s">
        <v>203</v>
      </c>
      <c r="G86" t="s">
        <v>200</v>
      </c>
      <c r="H86" t="s">
        <v>197</v>
      </c>
      <c r="I86" t="s">
        <v>233</v>
      </c>
      <c r="J86">
        <v>55.745231316</v>
      </c>
      <c r="K86">
        <v>55.745231316</v>
      </c>
      <c r="L86">
        <v>7519.05</v>
      </c>
      <c r="M86">
        <v>424168.252344598</v>
      </c>
      <c r="O86" t="e">
        <f>IF(D86="","",_CALC_MOTEUR!AE86)</f>
        <v>#VALUE!</v>
      </c>
      <c r="P86" t="e">
        <f>IF(D86="","",_CALC_MOTEUR!AF86)</f>
        <v>#VALUE!</v>
      </c>
      <c r="Q86" t="e">
        <f>IF(D86="","",_CALC_MOTEUR!AG86)</f>
        <v>#VALUE!</v>
      </c>
      <c r="R86" t="e">
        <f>IF(D86="","",_CALC_MOTEUR!AH86)</f>
        <v>#VALUE!</v>
      </c>
      <c r="S86" t="e">
        <f t="shared" si="0"/>
        <v>#VALUE!</v>
      </c>
    </row>
    <row r="87" ht="14.25" customHeight="1">
      <c r="A87" t="s">
        <v>191</v>
      </c>
      <c r="B87" t="s">
        <v>9</v>
      </c>
      <c r="C87" t="s">
        <v>192</v>
      </c>
      <c r="D87" t="s">
        <v>84</v>
      </c>
      <c r="E87" t="s">
        <v>29</v>
      </c>
      <c r="F87" t="s">
        <v>203</v>
      </c>
      <c r="G87" t="s">
        <v>200</v>
      </c>
      <c r="H87" t="s">
        <v>197</v>
      </c>
      <c r="I87" t="s">
        <v>233</v>
      </c>
      <c r="J87">
        <v>65.195985296</v>
      </c>
      <c r="K87">
        <v>65.195985296</v>
      </c>
      <c r="L87">
        <v>7645.8375</v>
      </c>
      <c r="M87">
        <v>504345.547903728</v>
      </c>
      <c r="O87" t="e">
        <f>IF(D87="","",_CALC_MOTEUR!AE87)</f>
        <v>#VALUE!</v>
      </c>
      <c r="P87" t="e">
        <f>IF(D87="","",_CALC_MOTEUR!AF87)</f>
        <v>#VALUE!</v>
      </c>
      <c r="Q87" t="e">
        <f>IF(D87="","",_CALC_MOTEUR!AG87)</f>
        <v>#VALUE!</v>
      </c>
      <c r="R87" t="e">
        <f>IF(D87="","",_CALC_MOTEUR!AH87)</f>
        <v>#VALUE!</v>
      </c>
      <c r="S87" t="e">
        <f t="shared" si="0"/>
        <v>#VALUE!</v>
      </c>
    </row>
    <row r="88" ht="14.25" customHeight="1">
      <c r="A88" t="s">
        <v>191</v>
      </c>
      <c r="B88" t="s">
        <v>234</v>
      </c>
      <c r="C88" t="s">
        <v>192</v>
      </c>
      <c r="D88" t="s">
        <v>84</v>
      </c>
      <c r="E88" t="s">
        <v>29</v>
      </c>
      <c r="F88" t="s">
        <v>203</v>
      </c>
      <c r="G88" t="s">
        <v>200</v>
      </c>
      <c r="H88" t="s">
        <v>197</v>
      </c>
      <c r="I88" t="s">
        <v>233</v>
      </c>
      <c r="J88">
        <v>45.353464064</v>
      </c>
      <c r="K88">
        <v>45.353464064</v>
      </c>
      <c r="L88">
        <v>7519.05</v>
      </c>
      <c r="M88">
        <v>345096.775737455</v>
      </c>
      <c r="O88" t="e">
        <f>IF(D88="","",_CALC_MOTEUR!AE88)</f>
        <v>#VALUE!</v>
      </c>
      <c r="P88" t="e">
        <f>IF(D88="","",_CALC_MOTEUR!AF88)</f>
        <v>#VALUE!</v>
      </c>
      <c r="Q88" t="e">
        <f>IF(D88="","",_CALC_MOTEUR!AG88)</f>
        <v>#VALUE!</v>
      </c>
      <c r="R88" t="e">
        <f>IF(D88="","",_CALC_MOTEUR!AH88)</f>
        <v>#VALUE!</v>
      </c>
      <c r="S88" t="e">
        <f t="shared" si="0"/>
        <v>#VALUE!</v>
      </c>
    </row>
    <row r="89" ht="14.25" customHeight="1">
      <c r="A89" t="s">
        <v>191</v>
      </c>
      <c r="B89" t="s">
        <v>231</v>
      </c>
      <c r="C89" t="s">
        <v>192</v>
      </c>
      <c r="D89" t="s">
        <v>84</v>
      </c>
      <c r="E89" t="s">
        <v>29</v>
      </c>
      <c r="F89" t="s">
        <v>203</v>
      </c>
      <c r="G89" t="s">
        <v>201</v>
      </c>
      <c r="H89" t="s">
        <v>197</v>
      </c>
      <c r="I89" t="s">
        <v>233</v>
      </c>
      <c r="J89">
        <v>0</v>
      </c>
      <c r="K89">
        <v>49.25</v>
      </c>
      <c r="L89">
        <v>7519.05</v>
      </c>
      <c r="M89">
        <v>370313.2125</v>
      </c>
      <c r="O89">
        <f>IF(D89="","",_CALC_MOTEUR!AE89)</f>
        <v>0</v>
      </c>
      <c r="P89" t="e">
        <f>IF(D89="","",_CALC_MOTEUR!AF89)</f>
        <v>#VALUE!</v>
      </c>
      <c r="Q89" t="e">
        <f>IF(D89="","",_CALC_MOTEUR!AG89)</f>
        <v>#VALUE!</v>
      </c>
      <c r="R89" t="e">
        <f>IF(D89="","",_CALC_MOTEUR!AH89)</f>
        <v>#VALUE!</v>
      </c>
      <c r="S89" t="e">
        <f t="shared" si="0"/>
        <v>#VALUE!</v>
      </c>
    </row>
    <row r="90" ht="14.25" customHeight="1">
      <c r="A90" t="s">
        <v>191</v>
      </c>
      <c r="B90" t="s">
        <v>9</v>
      </c>
      <c r="C90" t="s">
        <v>192</v>
      </c>
      <c r="D90" t="s">
        <v>84</v>
      </c>
      <c r="E90" t="s">
        <v>29</v>
      </c>
      <c r="F90" t="s">
        <v>203</v>
      </c>
      <c r="G90" t="s">
        <v>201</v>
      </c>
      <c r="H90" t="s">
        <v>197</v>
      </c>
      <c r="I90" t="s">
        <v>233</v>
      </c>
      <c r="J90">
        <v>0</v>
      </c>
      <c r="K90">
        <v>49.75</v>
      </c>
      <c r="L90">
        <v>7645.8375</v>
      </c>
      <c r="M90">
        <v>380380.415625</v>
      </c>
      <c r="O90">
        <f>IF(D90="","",_CALC_MOTEUR!AE90)</f>
        <v>0</v>
      </c>
      <c r="P90" t="e">
        <f>IF(D90="","",_CALC_MOTEUR!AF90)</f>
        <v>#VALUE!</v>
      </c>
      <c r="Q90" t="e">
        <f>IF(D90="","",_CALC_MOTEUR!AG90)</f>
        <v>#VALUE!</v>
      </c>
      <c r="R90" t="e">
        <f>IF(D90="","",_CALC_MOTEUR!AH90)</f>
        <v>#VALUE!</v>
      </c>
      <c r="S90" t="e">
        <f t="shared" si="0"/>
        <v>#VALUE!</v>
      </c>
    </row>
    <row r="91" ht="14.25" customHeight="1">
      <c r="A91" t="s">
        <v>191</v>
      </c>
      <c r="B91" t="s">
        <v>234</v>
      </c>
      <c r="C91" t="s">
        <v>192</v>
      </c>
      <c r="D91" t="s">
        <v>84</v>
      </c>
      <c r="E91" t="s">
        <v>29</v>
      </c>
      <c r="F91" t="s">
        <v>203</v>
      </c>
      <c r="G91" t="s">
        <v>201</v>
      </c>
      <c r="H91" t="s">
        <v>197</v>
      </c>
      <c r="I91" t="s">
        <v>233</v>
      </c>
      <c r="J91">
        <v>0</v>
      </c>
      <c r="K91">
        <v>48.5</v>
      </c>
      <c r="L91">
        <v>7519.05</v>
      </c>
      <c r="M91">
        <v>364673.925</v>
      </c>
      <c r="O91">
        <f>IF(D91="","",_CALC_MOTEUR!AE91)</f>
        <v>0</v>
      </c>
      <c r="P91" t="e">
        <f>IF(D91="","",_CALC_MOTEUR!AF91)</f>
        <v>#VALUE!</v>
      </c>
      <c r="Q91" t="e">
        <f>IF(D91="","",_CALC_MOTEUR!AG91)</f>
        <v>#VALUE!</v>
      </c>
      <c r="R91" t="e">
        <f>IF(D91="","",_CALC_MOTEUR!AH91)</f>
        <v>#VALUE!</v>
      </c>
      <c r="S91" t="e">
        <f t="shared" si="0"/>
        <v>#VALUE!</v>
      </c>
    </row>
    <row r="92" ht="14.25" customHeight="1">
      <c r="A92" t="s">
        <v>191</v>
      </c>
      <c r="B92" t="s">
        <v>231</v>
      </c>
      <c r="C92" t="s">
        <v>192</v>
      </c>
      <c r="D92" t="s">
        <v>86</v>
      </c>
      <c r="E92" t="s">
        <v>29</v>
      </c>
      <c r="F92" t="s">
        <v>202</v>
      </c>
      <c r="G92" t="s">
        <v>194</v>
      </c>
      <c r="H92" t="s">
        <v>195</v>
      </c>
      <c r="I92" t="s">
        <v>233</v>
      </c>
      <c r="J92">
        <v>51.351961974</v>
      </c>
      <c r="K92">
        <v>51.351961974</v>
      </c>
      <c r="L92">
        <v>7365.6</v>
      </c>
      <c r="M92">
        <v>382859.687695618</v>
      </c>
      <c r="O92" t="e">
        <f>IF(D92="","",_CALC_MOTEUR!AE92)</f>
        <v>#VALUE!</v>
      </c>
      <c r="P92" t="e">
        <f>IF(D92="","",_CALC_MOTEUR!AF92)</f>
        <v>#VALUE!</v>
      </c>
      <c r="Q92" t="e">
        <f>IF(D92="","",_CALC_MOTEUR!AG92)</f>
        <v>#VALUE!</v>
      </c>
      <c r="R92" t="e">
        <f>IF(D92="","",_CALC_MOTEUR!AH92)</f>
        <v>#VALUE!</v>
      </c>
      <c r="S92" t="e">
        <f t="shared" si="0"/>
        <v>#VALUE!</v>
      </c>
    </row>
    <row r="93" ht="14.25" customHeight="1">
      <c r="A93" t="s">
        <v>191</v>
      </c>
      <c r="B93" t="s">
        <v>9</v>
      </c>
      <c r="C93" t="s">
        <v>192</v>
      </c>
      <c r="D93" t="s">
        <v>86</v>
      </c>
      <c r="E93" t="s">
        <v>29</v>
      </c>
      <c r="F93" t="s">
        <v>202</v>
      </c>
      <c r="G93" t="s">
        <v>194</v>
      </c>
      <c r="H93" t="s">
        <v>195</v>
      </c>
      <c r="I93" t="s">
        <v>233</v>
      </c>
      <c r="J93">
        <v>58.060425333</v>
      </c>
      <c r="K93">
        <v>58.060425333</v>
      </c>
      <c r="L93">
        <v>7489.8</v>
      </c>
      <c r="M93">
        <v>440086.411941858</v>
      </c>
      <c r="O93" t="e">
        <f>IF(D93="","",_CALC_MOTEUR!AE93)</f>
        <v>#VALUE!</v>
      </c>
      <c r="P93" t="e">
        <f>IF(D93="","",_CALC_MOTEUR!AF93)</f>
        <v>#VALUE!</v>
      </c>
      <c r="Q93" t="e">
        <f>IF(D93="","",_CALC_MOTEUR!AG93)</f>
        <v>#VALUE!</v>
      </c>
      <c r="R93" t="e">
        <f>IF(D93="","",_CALC_MOTEUR!AH93)</f>
        <v>#VALUE!</v>
      </c>
      <c r="S93" t="e">
        <f t="shared" si="0"/>
        <v>#VALUE!</v>
      </c>
    </row>
    <row r="94" ht="14.25" customHeight="1">
      <c r="A94" t="s">
        <v>191</v>
      </c>
      <c r="B94" t="s">
        <v>234</v>
      </c>
      <c r="C94" t="s">
        <v>192</v>
      </c>
      <c r="D94" t="s">
        <v>86</v>
      </c>
      <c r="E94" t="s">
        <v>29</v>
      </c>
      <c r="F94" t="s">
        <v>202</v>
      </c>
      <c r="G94" t="s">
        <v>194</v>
      </c>
      <c r="H94" t="s">
        <v>195</v>
      </c>
      <c r="I94" t="s">
        <v>233</v>
      </c>
      <c r="J94">
        <v>43.580237764</v>
      </c>
      <c r="K94">
        <v>43.580237764</v>
      </c>
      <c r="L94">
        <v>7365.6</v>
      </c>
      <c r="M94">
        <v>324916.82067581</v>
      </c>
      <c r="O94" t="e">
        <f>IF(D94="","",_CALC_MOTEUR!AE94)</f>
        <v>#VALUE!</v>
      </c>
      <c r="P94" t="e">
        <f>IF(D94="","",_CALC_MOTEUR!AF94)</f>
        <v>#VALUE!</v>
      </c>
      <c r="Q94" t="e">
        <f>IF(D94="","",_CALC_MOTEUR!AG94)</f>
        <v>#VALUE!</v>
      </c>
      <c r="R94" t="e">
        <f>IF(D94="","",_CALC_MOTEUR!AH94)</f>
        <v>#VALUE!</v>
      </c>
      <c r="S94" t="e">
        <f t="shared" si="0"/>
        <v>#VALUE!</v>
      </c>
    </row>
    <row r="95" ht="14.25" customHeight="1">
      <c r="A95" t="s">
        <v>191</v>
      </c>
      <c r="B95" t="s">
        <v>231</v>
      </c>
      <c r="C95" t="s">
        <v>192</v>
      </c>
      <c r="D95" t="s">
        <v>86</v>
      </c>
      <c r="E95" t="s">
        <v>29</v>
      </c>
      <c r="F95" t="s">
        <v>202</v>
      </c>
      <c r="G95" t="s">
        <v>196</v>
      </c>
      <c r="H95" t="s">
        <v>197</v>
      </c>
      <c r="I95" t="s">
        <v>233</v>
      </c>
      <c r="J95">
        <v>0</v>
      </c>
      <c r="K95">
        <v>46.235</v>
      </c>
      <c r="L95">
        <v>6874.56</v>
      </c>
      <c r="M95">
        <v>317845.2816</v>
      </c>
      <c r="O95">
        <f>IF(D95="","",_CALC_MOTEUR!AE95)</f>
        <v>0</v>
      </c>
      <c r="P95" t="e">
        <f>IF(D95="","",_CALC_MOTEUR!AF95)</f>
        <v>#VALUE!</v>
      </c>
      <c r="Q95" t="e">
        <f>IF(D95="","",_CALC_MOTEUR!AG95)</f>
        <v>#VALUE!</v>
      </c>
      <c r="R95" t="e">
        <f>IF(D95="","",_CALC_MOTEUR!AH95)</f>
        <v>#VALUE!</v>
      </c>
      <c r="S95" t="e">
        <f t="shared" si="0"/>
        <v>#VALUE!</v>
      </c>
    </row>
    <row r="96" ht="14.25" customHeight="1">
      <c r="A96" t="s">
        <v>191</v>
      </c>
      <c r="B96" t="s">
        <v>9</v>
      </c>
      <c r="C96" t="s">
        <v>192</v>
      </c>
      <c r="D96" t="s">
        <v>86</v>
      </c>
      <c r="E96" t="s">
        <v>29</v>
      </c>
      <c r="F96" t="s">
        <v>202</v>
      </c>
      <c r="G96" t="s">
        <v>196</v>
      </c>
      <c r="H96" t="s">
        <v>197</v>
      </c>
      <c r="I96" t="s">
        <v>233</v>
      </c>
      <c r="J96">
        <v>0</v>
      </c>
      <c r="K96">
        <v>46.705</v>
      </c>
      <c r="L96">
        <v>6990.48</v>
      </c>
      <c r="M96">
        <v>326490.3684</v>
      </c>
      <c r="O96">
        <f>IF(D96="","",_CALC_MOTEUR!AE96)</f>
        <v>0</v>
      </c>
      <c r="P96" t="e">
        <f>IF(D96="","",_CALC_MOTEUR!AF96)</f>
        <v>#VALUE!</v>
      </c>
      <c r="Q96" t="e">
        <f>IF(D96="","",_CALC_MOTEUR!AG96)</f>
        <v>#VALUE!</v>
      </c>
      <c r="R96" t="e">
        <f>IF(D96="","",_CALC_MOTEUR!AH96)</f>
        <v>#VALUE!</v>
      </c>
      <c r="S96" t="e">
        <f t="shared" si="0"/>
        <v>#VALUE!</v>
      </c>
    </row>
    <row r="97" ht="14.25" customHeight="1">
      <c r="A97" t="s">
        <v>191</v>
      </c>
      <c r="B97" t="s">
        <v>234</v>
      </c>
      <c r="C97" t="s">
        <v>192</v>
      </c>
      <c r="D97" t="s">
        <v>86</v>
      </c>
      <c r="E97" t="s">
        <v>29</v>
      </c>
      <c r="F97" t="s">
        <v>202</v>
      </c>
      <c r="G97" t="s">
        <v>196</v>
      </c>
      <c r="H97" t="s">
        <v>197</v>
      </c>
      <c r="I97" t="s">
        <v>233</v>
      </c>
      <c r="J97">
        <v>0</v>
      </c>
      <c r="K97">
        <v>45.53</v>
      </c>
      <c r="L97">
        <v>6874.56</v>
      </c>
      <c r="M97">
        <v>312998.7168</v>
      </c>
      <c r="O97">
        <f>IF(D97="","",_CALC_MOTEUR!AE97)</f>
        <v>0</v>
      </c>
      <c r="P97" t="e">
        <f>IF(D97="","",_CALC_MOTEUR!AF97)</f>
        <v>#VALUE!</v>
      </c>
      <c r="Q97" t="e">
        <f>IF(D97="","",_CALC_MOTEUR!AG97)</f>
        <v>#VALUE!</v>
      </c>
      <c r="R97" t="e">
        <f>IF(D97="","",_CALC_MOTEUR!AH97)</f>
        <v>#VALUE!</v>
      </c>
      <c r="S97" t="e">
        <f t="shared" si="0"/>
        <v>#VALUE!</v>
      </c>
    </row>
    <row r="98" ht="14.25" customHeight="1">
      <c r="A98" t="s">
        <v>191</v>
      </c>
      <c r="B98" t="s">
        <v>231</v>
      </c>
      <c r="C98" t="s">
        <v>192</v>
      </c>
      <c r="D98" t="s">
        <v>86</v>
      </c>
      <c r="E98" t="s">
        <v>29</v>
      </c>
      <c r="F98" t="s">
        <v>202</v>
      </c>
      <c r="G98" t="s">
        <v>198</v>
      </c>
      <c r="H98" t="s">
        <v>197</v>
      </c>
      <c r="I98" t="s">
        <v>233</v>
      </c>
      <c r="J98">
        <v>0</v>
      </c>
      <c r="K98">
        <v>45.23</v>
      </c>
      <c r="L98">
        <v>6874.56</v>
      </c>
      <c r="M98">
        <v>310936.3488</v>
      </c>
      <c r="O98">
        <f>IF(D98="","",_CALC_MOTEUR!AE98)</f>
        <v>0</v>
      </c>
      <c r="P98" t="e">
        <f>IF(D98="","",_CALC_MOTEUR!AF98)</f>
        <v>#VALUE!</v>
      </c>
      <c r="Q98" t="e">
        <f>IF(D98="","",_CALC_MOTEUR!AG98)</f>
        <v>#VALUE!</v>
      </c>
      <c r="R98" t="e">
        <f>IF(D98="","",_CALC_MOTEUR!AH98)</f>
        <v>#VALUE!</v>
      </c>
      <c r="S98" t="e">
        <f t="shared" si="0"/>
        <v>#VALUE!</v>
      </c>
    </row>
    <row r="99" ht="14.25" customHeight="1">
      <c r="A99" t="s">
        <v>191</v>
      </c>
      <c r="B99" t="s">
        <v>9</v>
      </c>
      <c r="C99" t="s">
        <v>192</v>
      </c>
      <c r="D99" t="s">
        <v>86</v>
      </c>
      <c r="E99" t="s">
        <v>29</v>
      </c>
      <c r="F99" t="s">
        <v>202</v>
      </c>
      <c r="G99" t="s">
        <v>198</v>
      </c>
      <c r="H99" t="s">
        <v>197</v>
      </c>
      <c r="I99" t="s">
        <v>233</v>
      </c>
      <c r="J99">
        <v>0</v>
      </c>
      <c r="K99">
        <v>45.69</v>
      </c>
      <c r="L99">
        <v>6990.48</v>
      </c>
      <c r="M99">
        <v>319395.0312</v>
      </c>
      <c r="O99">
        <f>IF(D99="","",_CALC_MOTEUR!AE99)</f>
        <v>0</v>
      </c>
      <c r="P99" t="e">
        <f>IF(D99="","",_CALC_MOTEUR!AF99)</f>
        <v>#VALUE!</v>
      </c>
      <c r="Q99" t="e">
        <f>IF(D99="","",_CALC_MOTEUR!AG99)</f>
        <v>#VALUE!</v>
      </c>
      <c r="R99" t="e">
        <f>IF(D99="","",_CALC_MOTEUR!AH99)</f>
        <v>#VALUE!</v>
      </c>
      <c r="S99" t="e">
        <f t="shared" si="0"/>
        <v>#VALUE!</v>
      </c>
    </row>
    <row r="100" ht="14.25" customHeight="1">
      <c r="A100" t="s">
        <v>191</v>
      </c>
      <c r="B100" t="s">
        <v>234</v>
      </c>
      <c r="C100" t="s">
        <v>192</v>
      </c>
      <c r="D100" t="s">
        <v>86</v>
      </c>
      <c r="E100" t="s">
        <v>29</v>
      </c>
      <c r="F100" t="s">
        <v>202</v>
      </c>
      <c r="G100" t="s">
        <v>198</v>
      </c>
      <c r="H100" t="s">
        <v>197</v>
      </c>
      <c r="I100" t="s">
        <v>233</v>
      </c>
      <c r="J100">
        <v>0</v>
      </c>
      <c r="K100">
        <v>44.54</v>
      </c>
      <c r="L100">
        <v>6874.56</v>
      </c>
      <c r="M100">
        <v>306192.9024</v>
      </c>
      <c r="O100">
        <f>IF(D100="","",_CALC_MOTEUR!AE100)</f>
        <v>0</v>
      </c>
      <c r="P100" t="e">
        <f>IF(D100="","",_CALC_MOTEUR!AF100)</f>
        <v>#VALUE!</v>
      </c>
      <c r="Q100" t="e">
        <f>IF(D100="","",_CALC_MOTEUR!AG100)</f>
        <v>#VALUE!</v>
      </c>
      <c r="R100" t="e">
        <f>IF(D100="","",_CALC_MOTEUR!AH100)</f>
        <v>#VALUE!</v>
      </c>
      <c r="S100" t="e">
        <f t="shared" si="0"/>
        <v>#VALUE!</v>
      </c>
    </row>
    <row r="101" ht="14.25" customHeight="1">
      <c r="A101" t="s">
        <v>191</v>
      </c>
      <c r="B101" t="s">
        <v>231</v>
      </c>
      <c r="C101" t="s">
        <v>192</v>
      </c>
      <c r="D101" t="s">
        <v>86</v>
      </c>
      <c r="E101" t="s">
        <v>29</v>
      </c>
      <c r="F101" t="s">
        <v>203</v>
      </c>
      <c r="G101" t="s">
        <v>200</v>
      </c>
      <c r="H101" t="s">
        <v>197</v>
      </c>
      <c r="I101" t="s">
        <v>233</v>
      </c>
      <c r="J101">
        <v>52.429383849</v>
      </c>
      <c r="K101">
        <v>52.429383849</v>
      </c>
      <c r="L101">
        <v>7365.6</v>
      </c>
      <c r="M101">
        <v>390892.514220886</v>
      </c>
      <c r="O101" t="e">
        <f>IF(D101="","",_CALC_MOTEUR!AE101)</f>
        <v>#VALUE!</v>
      </c>
      <c r="P101" t="e">
        <f>IF(D101="","",_CALC_MOTEUR!AF101)</f>
        <v>#VALUE!</v>
      </c>
      <c r="Q101" t="e">
        <f>IF(D101="","",_CALC_MOTEUR!AG101)</f>
        <v>#VALUE!</v>
      </c>
      <c r="R101" t="e">
        <f>IF(D101="","",_CALC_MOTEUR!AH101)</f>
        <v>#VALUE!</v>
      </c>
      <c r="S101" t="e">
        <f t="shared" si="0"/>
        <v>#VALUE!</v>
      </c>
    </row>
    <row r="102" ht="14.25" customHeight="1">
      <c r="A102" t="s">
        <v>191</v>
      </c>
      <c r="B102" t="s">
        <v>9</v>
      </c>
      <c r="C102" t="s">
        <v>192</v>
      </c>
      <c r="D102" t="s">
        <v>86</v>
      </c>
      <c r="E102" t="s">
        <v>29</v>
      </c>
      <c r="F102" t="s">
        <v>203</v>
      </c>
      <c r="G102" t="s">
        <v>200</v>
      </c>
      <c r="H102" t="s">
        <v>197</v>
      </c>
      <c r="I102" t="s">
        <v>233</v>
      </c>
      <c r="J102">
        <v>61.350754258</v>
      </c>
      <c r="K102">
        <v>61.350754258</v>
      </c>
      <c r="L102">
        <v>7489.8</v>
      </c>
      <c r="M102">
        <v>465026.447125084</v>
      </c>
      <c r="O102" t="e">
        <f>IF(D102="","",_CALC_MOTEUR!AE102)</f>
        <v>#VALUE!</v>
      </c>
      <c r="P102" t="e">
        <f>IF(D102="","",_CALC_MOTEUR!AF102)</f>
        <v>#VALUE!</v>
      </c>
      <c r="Q102" t="e">
        <f>IF(D102="","",_CALC_MOTEUR!AG102)</f>
        <v>#VALUE!</v>
      </c>
      <c r="R102" t="e">
        <f>IF(D102="","",_CALC_MOTEUR!AH102)</f>
        <v>#VALUE!</v>
      </c>
      <c r="S102" t="e">
        <f t="shared" si="0"/>
        <v>#VALUE!</v>
      </c>
    </row>
    <row r="103" ht="14.25" customHeight="1">
      <c r="A103" t="s">
        <v>191</v>
      </c>
      <c r="B103" t="s">
        <v>234</v>
      </c>
      <c r="C103" t="s">
        <v>192</v>
      </c>
      <c r="D103" t="s">
        <v>86</v>
      </c>
      <c r="E103" t="s">
        <v>29</v>
      </c>
      <c r="F103" t="s">
        <v>203</v>
      </c>
      <c r="G103" t="s">
        <v>200</v>
      </c>
      <c r="H103" t="s">
        <v>197</v>
      </c>
      <c r="I103" t="s">
        <v>233</v>
      </c>
      <c r="J103">
        <v>42.619941656</v>
      </c>
      <c r="K103">
        <v>42.619941656</v>
      </c>
      <c r="L103">
        <v>7365.6</v>
      </c>
      <c r="M103">
        <v>317757.237009485</v>
      </c>
      <c r="O103" t="e">
        <f>IF(D103="","",_CALC_MOTEUR!AE103)</f>
        <v>#VALUE!</v>
      </c>
      <c r="P103" t="e">
        <f>IF(D103="","",_CALC_MOTEUR!AF103)</f>
        <v>#VALUE!</v>
      </c>
      <c r="Q103" t="e">
        <f>IF(D103="","",_CALC_MOTEUR!AG103)</f>
        <v>#VALUE!</v>
      </c>
      <c r="R103" t="e">
        <f>IF(D103="","",_CALC_MOTEUR!AH103)</f>
        <v>#VALUE!</v>
      </c>
      <c r="S103" t="e">
        <f t="shared" si="0"/>
        <v>#VALUE!</v>
      </c>
    </row>
    <row r="104" ht="14.25" customHeight="1">
      <c r="A104" t="s">
        <v>191</v>
      </c>
      <c r="B104" t="s">
        <v>231</v>
      </c>
      <c r="C104" t="s">
        <v>192</v>
      </c>
      <c r="D104" t="s">
        <v>86</v>
      </c>
      <c r="E104" t="s">
        <v>29</v>
      </c>
      <c r="F104" t="s">
        <v>203</v>
      </c>
      <c r="G104" t="s">
        <v>201</v>
      </c>
      <c r="H104" t="s">
        <v>197</v>
      </c>
      <c r="I104" t="s">
        <v>233</v>
      </c>
      <c r="J104">
        <v>0</v>
      </c>
      <c r="K104">
        <v>46.235</v>
      </c>
      <c r="L104">
        <v>7365.6</v>
      </c>
      <c r="M104">
        <v>340548.516</v>
      </c>
      <c r="O104">
        <f>IF(D104="","",_CALC_MOTEUR!AE104)</f>
        <v>0</v>
      </c>
      <c r="P104" t="e">
        <f>IF(D104="","",_CALC_MOTEUR!AF104)</f>
        <v>#VALUE!</v>
      </c>
      <c r="Q104" t="e">
        <f>IF(D104="","",_CALC_MOTEUR!AG104)</f>
        <v>#VALUE!</v>
      </c>
      <c r="R104" t="e">
        <f>IF(D104="","",_CALC_MOTEUR!AH104)</f>
        <v>#VALUE!</v>
      </c>
      <c r="S104" t="e">
        <f t="shared" si="0"/>
        <v>#VALUE!</v>
      </c>
    </row>
    <row r="105" ht="14.25" customHeight="1">
      <c r="A105" t="s">
        <v>191</v>
      </c>
      <c r="B105" t="s">
        <v>9</v>
      </c>
      <c r="C105" t="s">
        <v>192</v>
      </c>
      <c r="D105" t="s">
        <v>86</v>
      </c>
      <c r="E105" t="s">
        <v>29</v>
      </c>
      <c r="F105" t="s">
        <v>203</v>
      </c>
      <c r="G105" t="s">
        <v>201</v>
      </c>
      <c r="H105" t="s">
        <v>197</v>
      </c>
      <c r="I105" t="s">
        <v>233</v>
      </c>
      <c r="J105">
        <v>0</v>
      </c>
      <c r="K105">
        <v>46.705</v>
      </c>
      <c r="L105">
        <v>7489.8</v>
      </c>
      <c r="M105">
        <v>349811.109</v>
      </c>
      <c r="O105">
        <f>IF(D105="","",_CALC_MOTEUR!AE105)</f>
        <v>0</v>
      </c>
      <c r="P105" t="e">
        <f>IF(D105="","",_CALC_MOTEUR!AF105)</f>
        <v>#VALUE!</v>
      </c>
      <c r="Q105" t="e">
        <f>IF(D105="","",_CALC_MOTEUR!AG105)</f>
        <v>#VALUE!</v>
      </c>
      <c r="R105" t="e">
        <f>IF(D105="","",_CALC_MOTEUR!AH105)</f>
        <v>#VALUE!</v>
      </c>
      <c r="S105" t="e">
        <f t="shared" si="0"/>
        <v>#VALUE!</v>
      </c>
    </row>
    <row r="106" ht="14.25" customHeight="1">
      <c r="A106" t="s">
        <v>191</v>
      </c>
      <c r="B106" t="s">
        <v>234</v>
      </c>
      <c r="C106" t="s">
        <v>192</v>
      </c>
      <c r="D106" t="s">
        <v>86</v>
      </c>
      <c r="E106" t="s">
        <v>29</v>
      </c>
      <c r="F106" t="s">
        <v>203</v>
      </c>
      <c r="G106" t="s">
        <v>201</v>
      </c>
      <c r="H106" t="s">
        <v>197</v>
      </c>
      <c r="I106" t="s">
        <v>233</v>
      </c>
      <c r="J106">
        <v>0</v>
      </c>
      <c r="K106">
        <v>45.53</v>
      </c>
      <c r="L106">
        <v>7365.6</v>
      </c>
      <c r="M106">
        <v>335355.768</v>
      </c>
      <c r="O106">
        <f>IF(D106="","",_CALC_MOTEUR!AE106)</f>
        <v>0</v>
      </c>
      <c r="P106" t="e">
        <f>IF(D106="","",_CALC_MOTEUR!AF106)</f>
        <v>#VALUE!</v>
      </c>
      <c r="Q106" t="e">
        <f>IF(D106="","",_CALC_MOTEUR!AG106)</f>
        <v>#VALUE!</v>
      </c>
      <c r="R106" t="e">
        <f>IF(D106="","",_CALC_MOTEUR!AH106)</f>
        <v>#VALUE!</v>
      </c>
      <c r="S106" t="e">
        <f t="shared" si="0"/>
        <v>#VALUE!</v>
      </c>
    </row>
    <row r="107" ht="14.25" customHeight="1">
      <c r="A107" t="s">
        <v>191</v>
      </c>
      <c r="B107" t="s">
        <v>231</v>
      </c>
      <c r="C107" t="s">
        <v>192</v>
      </c>
      <c r="D107" t="s">
        <v>88</v>
      </c>
      <c r="E107" t="s">
        <v>235</v>
      </c>
      <c r="F107" t="s">
        <v>204</v>
      </c>
      <c r="G107" t="s">
        <v>194</v>
      </c>
      <c r="H107" t="s">
        <v>197</v>
      </c>
      <c r="I107" t="s">
        <v>233</v>
      </c>
      <c r="J107">
        <v>55.832514473</v>
      </c>
      <c r="K107">
        <v>55.832514473</v>
      </c>
      <c r="L107">
        <v>7133</v>
      </c>
      <c r="M107">
        <v>403278.252034917</v>
      </c>
      <c r="O107" t="e">
        <f>IF(D107="","",_CALC_MOTEUR!AE107)</f>
        <v>#VALUE!</v>
      </c>
      <c r="P107" t="e">
        <f>IF(D107="","",_CALC_MOTEUR!AF107)</f>
        <v>#VALUE!</v>
      </c>
      <c r="Q107" t="e">
        <f>IF(D107="","",_CALC_MOTEUR!AG107)</f>
        <v>#VALUE!</v>
      </c>
      <c r="R107" t="e">
        <f>IF(D107="","",_CALC_MOTEUR!AH107)</f>
        <v>#VALUE!</v>
      </c>
      <c r="S107" t="e">
        <f t="shared" si="0"/>
        <v>#VALUE!</v>
      </c>
    </row>
    <row r="108" ht="14.25" customHeight="1">
      <c r="A108" t="s">
        <v>191</v>
      </c>
      <c r="B108" t="s">
        <v>9</v>
      </c>
      <c r="C108" t="s">
        <v>192</v>
      </c>
      <c r="D108" t="s">
        <v>88</v>
      </c>
      <c r="E108" t="s">
        <v>235</v>
      </c>
      <c r="F108" t="s">
        <v>204</v>
      </c>
      <c r="G108" t="s">
        <v>194</v>
      </c>
      <c r="H108" t="s">
        <v>197</v>
      </c>
      <c r="I108" t="s">
        <v>233</v>
      </c>
      <c r="J108">
        <v>65.343766974</v>
      </c>
      <c r="K108">
        <v>65.343766974</v>
      </c>
      <c r="L108">
        <v>7232.75</v>
      </c>
      <c r="M108">
        <v>478496.069605999</v>
      </c>
      <c r="O108" t="e">
        <f>IF(D108="","",_CALC_MOTEUR!AE108)</f>
        <v>#VALUE!</v>
      </c>
      <c r="P108" t="e">
        <f>IF(D108="","",_CALC_MOTEUR!AF108)</f>
        <v>#VALUE!</v>
      </c>
      <c r="Q108" t="e">
        <f>IF(D108="","",_CALC_MOTEUR!AG108)</f>
        <v>#VALUE!</v>
      </c>
      <c r="R108" t="e">
        <f>IF(D108="","",_CALC_MOTEUR!AH108)</f>
        <v>#VALUE!</v>
      </c>
      <c r="S108" t="e">
        <f t="shared" si="0"/>
        <v>#VALUE!</v>
      </c>
    </row>
    <row r="109" ht="14.25" customHeight="1">
      <c r="A109" t="s">
        <v>191</v>
      </c>
      <c r="B109" t="s">
        <v>234</v>
      </c>
      <c r="C109" t="s">
        <v>192</v>
      </c>
      <c r="D109" t="s">
        <v>88</v>
      </c>
      <c r="E109" t="s">
        <v>235</v>
      </c>
      <c r="F109" t="s">
        <v>204</v>
      </c>
      <c r="G109" t="s">
        <v>194</v>
      </c>
      <c r="H109" t="s">
        <v>197</v>
      </c>
      <c r="I109" t="s">
        <v>233</v>
      </c>
      <c r="J109">
        <v>45.271505029</v>
      </c>
      <c r="K109">
        <v>45.271505029</v>
      </c>
      <c r="L109">
        <v>7133</v>
      </c>
      <c r="M109">
        <v>326996.080821705</v>
      </c>
      <c r="O109" t="e">
        <f>IF(D109="","",_CALC_MOTEUR!AE109)</f>
        <v>#VALUE!</v>
      </c>
      <c r="P109" t="e">
        <f>IF(D109="","",_CALC_MOTEUR!AF109)</f>
        <v>#VALUE!</v>
      </c>
      <c r="Q109" t="e">
        <f>IF(D109="","",_CALC_MOTEUR!AG109)</f>
        <v>#VALUE!</v>
      </c>
      <c r="R109" t="e">
        <f>IF(D109="","",_CALC_MOTEUR!AH109)</f>
        <v>#VALUE!</v>
      </c>
      <c r="S109" t="e">
        <f t="shared" si="0"/>
        <v>#VALUE!</v>
      </c>
    </row>
    <row r="110" ht="14.25" customHeight="1">
      <c r="A110" t="s">
        <v>191</v>
      </c>
      <c r="B110" t="s">
        <v>231</v>
      </c>
      <c r="C110" t="s">
        <v>192</v>
      </c>
      <c r="D110" t="s">
        <v>88</v>
      </c>
      <c r="E110" t="s">
        <v>235</v>
      </c>
      <c r="F110" t="s">
        <v>204</v>
      </c>
      <c r="G110" t="s">
        <v>196</v>
      </c>
      <c r="H110" t="s">
        <v>197</v>
      </c>
      <c r="I110" t="s">
        <v>233</v>
      </c>
      <c r="J110">
        <v>0</v>
      </c>
      <c r="K110">
        <v>48.25</v>
      </c>
      <c r="L110">
        <v>7133</v>
      </c>
      <c r="M110">
        <v>344167.25</v>
      </c>
      <c r="O110">
        <f>IF(D110="","",_CALC_MOTEUR!AE110)</f>
        <v>0</v>
      </c>
      <c r="P110" t="e">
        <f>IF(D110="","",_CALC_MOTEUR!AF110)</f>
        <v>#VALUE!</v>
      </c>
      <c r="Q110" t="e">
        <f>IF(D110="","",_CALC_MOTEUR!AG110)</f>
        <v>#VALUE!</v>
      </c>
      <c r="R110" t="e">
        <f>IF(D110="","",_CALC_MOTEUR!AH110)</f>
        <v>#VALUE!</v>
      </c>
      <c r="S110" t="e">
        <f t="shared" si="0"/>
        <v>#VALUE!</v>
      </c>
    </row>
    <row r="111" ht="14.25" customHeight="1">
      <c r="A111" t="s">
        <v>191</v>
      </c>
      <c r="B111" t="s">
        <v>9</v>
      </c>
      <c r="C111" t="s">
        <v>192</v>
      </c>
      <c r="D111" t="s">
        <v>88</v>
      </c>
      <c r="E111" t="s">
        <v>235</v>
      </c>
      <c r="F111" t="s">
        <v>204</v>
      </c>
      <c r="G111" t="s">
        <v>196</v>
      </c>
      <c r="H111" t="s">
        <v>197</v>
      </c>
      <c r="I111" t="s">
        <v>233</v>
      </c>
      <c r="J111">
        <v>0</v>
      </c>
      <c r="K111">
        <v>48.75</v>
      </c>
      <c r="L111">
        <v>7232.75</v>
      </c>
      <c r="M111">
        <v>352596.5625</v>
      </c>
      <c r="O111">
        <f>IF(D111="","",_CALC_MOTEUR!AE111)</f>
        <v>0</v>
      </c>
      <c r="P111" t="e">
        <f>IF(D111="","",_CALC_MOTEUR!AF111)</f>
        <v>#VALUE!</v>
      </c>
      <c r="Q111" t="e">
        <f>IF(D111="","",_CALC_MOTEUR!AG111)</f>
        <v>#VALUE!</v>
      </c>
      <c r="R111" t="e">
        <f>IF(D111="","",_CALC_MOTEUR!AH111)</f>
        <v>#VALUE!</v>
      </c>
      <c r="S111" t="e">
        <f t="shared" si="0"/>
        <v>#VALUE!</v>
      </c>
    </row>
    <row r="112" ht="14.25" customHeight="1">
      <c r="A112" t="s">
        <v>191</v>
      </c>
      <c r="B112" t="s">
        <v>234</v>
      </c>
      <c r="C112" t="s">
        <v>192</v>
      </c>
      <c r="D112" t="s">
        <v>88</v>
      </c>
      <c r="E112" t="s">
        <v>235</v>
      </c>
      <c r="F112" t="s">
        <v>204</v>
      </c>
      <c r="G112" t="s">
        <v>196</v>
      </c>
      <c r="H112" t="s">
        <v>197</v>
      </c>
      <c r="I112" t="s">
        <v>233</v>
      </c>
      <c r="J112">
        <v>0</v>
      </c>
      <c r="K112">
        <v>47.5</v>
      </c>
      <c r="L112">
        <v>7133</v>
      </c>
      <c r="M112">
        <v>338817.5</v>
      </c>
      <c r="O112">
        <f>IF(D112="","",_CALC_MOTEUR!AE112)</f>
        <v>0</v>
      </c>
      <c r="P112" t="e">
        <f>IF(D112="","",_CALC_MOTEUR!AF112)</f>
        <v>#VALUE!</v>
      </c>
      <c r="Q112" t="e">
        <f>IF(D112="","",_CALC_MOTEUR!AG112)</f>
        <v>#VALUE!</v>
      </c>
      <c r="R112" t="e">
        <f>IF(D112="","",_CALC_MOTEUR!AH112)</f>
        <v>#VALUE!</v>
      </c>
      <c r="S112" t="e">
        <f t="shared" si="0"/>
        <v>#VALUE!</v>
      </c>
    </row>
    <row r="113" ht="14.25" customHeight="1">
      <c r="A113" t="s">
        <v>191</v>
      </c>
      <c r="B113" t="s">
        <v>231</v>
      </c>
      <c r="C113" t="s">
        <v>192</v>
      </c>
      <c r="D113" t="s">
        <v>88</v>
      </c>
      <c r="E113" t="s">
        <v>235</v>
      </c>
      <c r="F113" t="s">
        <v>204</v>
      </c>
      <c r="G113" t="s">
        <v>198</v>
      </c>
      <c r="H113" t="s">
        <v>197</v>
      </c>
      <c r="I113" t="s">
        <v>233</v>
      </c>
      <c r="J113">
        <v>0</v>
      </c>
      <c r="K113">
        <v>47.24</v>
      </c>
      <c r="L113">
        <v>7133</v>
      </c>
      <c r="M113">
        <v>336962.92</v>
      </c>
      <c r="O113">
        <f>IF(D113="","",_CALC_MOTEUR!AE113)</f>
        <v>0</v>
      </c>
      <c r="P113" t="e">
        <f>IF(D113="","",_CALC_MOTEUR!AF113)</f>
        <v>#VALUE!</v>
      </c>
      <c r="Q113" t="e">
        <f>IF(D113="","",_CALC_MOTEUR!AG113)</f>
        <v>#VALUE!</v>
      </c>
      <c r="R113" t="e">
        <f>IF(D113="","",_CALC_MOTEUR!AH113)</f>
        <v>#VALUE!</v>
      </c>
      <c r="S113" t="e">
        <f t="shared" si="0"/>
        <v>#VALUE!</v>
      </c>
    </row>
    <row r="114" ht="14.25" customHeight="1">
      <c r="A114" t="s">
        <v>191</v>
      </c>
      <c r="B114" t="s">
        <v>9</v>
      </c>
      <c r="C114" t="s">
        <v>192</v>
      </c>
      <c r="D114" t="s">
        <v>88</v>
      </c>
      <c r="E114" t="s">
        <v>235</v>
      </c>
      <c r="F114" t="s">
        <v>204</v>
      </c>
      <c r="G114" t="s">
        <v>198</v>
      </c>
      <c r="H114" t="s">
        <v>197</v>
      </c>
      <c r="I114" t="s">
        <v>233</v>
      </c>
      <c r="J114">
        <v>0</v>
      </c>
      <c r="K114">
        <v>47.72</v>
      </c>
      <c r="L114">
        <v>7232.75</v>
      </c>
      <c r="M114">
        <v>345146.83</v>
      </c>
      <c r="O114">
        <f>IF(D114="","",_CALC_MOTEUR!AE114)</f>
        <v>0</v>
      </c>
      <c r="P114" t="e">
        <f>IF(D114="","",_CALC_MOTEUR!AF114)</f>
        <v>#VALUE!</v>
      </c>
      <c r="Q114" t="e">
        <f>IF(D114="","",_CALC_MOTEUR!AG114)</f>
        <v>#VALUE!</v>
      </c>
      <c r="R114" t="e">
        <f>IF(D114="","",_CALC_MOTEUR!AH114)</f>
        <v>#VALUE!</v>
      </c>
      <c r="S114" t="e">
        <f t="shared" si="0"/>
        <v>#VALUE!</v>
      </c>
    </row>
    <row r="115" ht="14.25" customHeight="1">
      <c r="A115" t="s">
        <v>191</v>
      </c>
      <c r="B115" t="s">
        <v>234</v>
      </c>
      <c r="C115" t="s">
        <v>192</v>
      </c>
      <c r="D115" t="s">
        <v>88</v>
      </c>
      <c r="E115" t="s">
        <v>235</v>
      </c>
      <c r="F115" t="s">
        <v>204</v>
      </c>
      <c r="G115" t="s">
        <v>198</v>
      </c>
      <c r="H115" t="s">
        <v>197</v>
      </c>
      <c r="I115" t="s">
        <v>233</v>
      </c>
      <c r="J115">
        <v>0</v>
      </c>
      <c r="K115">
        <v>46.52</v>
      </c>
      <c r="L115">
        <v>7133</v>
      </c>
      <c r="M115">
        <v>331827.16</v>
      </c>
      <c r="O115">
        <f>IF(D115="","",_CALC_MOTEUR!AE115)</f>
        <v>0</v>
      </c>
      <c r="P115" t="e">
        <f>IF(D115="","",_CALC_MOTEUR!AF115)</f>
        <v>#VALUE!</v>
      </c>
      <c r="Q115" t="e">
        <f>IF(D115="","",_CALC_MOTEUR!AG115)</f>
        <v>#VALUE!</v>
      </c>
      <c r="R115" t="e">
        <f>IF(D115="","",_CALC_MOTEUR!AH115)</f>
        <v>#VALUE!</v>
      </c>
      <c r="S115" t="e">
        <f t="shared" si="0"/>
        <v>#VALUE!</v>
      </c>
    </row>
    <row r="116" ht="14.25" customHeight="1">
      <c r="A116" t="s">
        <v>191</v>
      </c>
      <c r="B116" t="s">
        <v>231</v>
      </c>
      <c r="C116" t="s">
        <v>192</v>
      </c>
      <c r="D116" t="s">
        <v>90</v>
      </c>
      <c r="E116" t="s">
        <v>235</v>
      </c>
      <c r="F116" t="s">
        <v>204</v>
      </c>
      <c r="G116" t="s">
        <v>194</v>
      </c>
      <c r="H116" t="s">
        <v>197</v>
      </c>
      <c r="I116" t="s">
        <v>233</v>
      </c>
      <c r="J116">
        <v>44.726582842</v>
      </c>
      <c r="K116">
        <v>44.726582842</v>
      </c>
      <c r="L116">
        <v>6776.35</v>
      </c>
      <c r="M116">
        <v>307108.372098672</v>
      </c>
      <c r="O116" t="e">
        <f>IF(D116="","",_CALC_MOTEUR!AE116)</f>
        <v>#VALUE!</v>
      </c>
      <c r="P116" t="e">
        <f>IF(D116="","",_CALC_MOTEUR!AF116)</f>
        <v>#VALUE!</v>
      </c>
      <c r="Q116" t="e">
        <f>IF(D116="","",_CALC_MOTEUR!AG116)</f>
        <v>#VALUE!</v>
      </c>
      <c r="R116" t="e">
        <f>IF(D116="","",_CALC_MOTEUR!AH116)</f>
        <v>#VALUE!</v>
      </c>
      <c r="S116" t="e">
        <f t="shared" si="0"/>
        <v>#VALUE!</v>
      </c>
    </row>
    <row r="117" ht="14.25" customHeight="1">
      <c r="A117" t="s">
        <v>191</v>
      </c>
      <c r="B117" t="s">
        <v>9</v>
      </c>
      <c r="C117" t="s">
        <v>192</v>
      </c>
      <c r="D117" t="s">
        <v>90</v>
      </c>
      <c r="E117" t="s">
        <v>235</v>
      </c>
      <c r="F117" t="s">
        <v>204</v>
      </c>
      <c r="G117" t="s">
        <v>194</v>
      </c>
      <c r="H117" t="s">
        <v>197</v>
      </c>
      <c r="I117" t="s">
        <v>233</v>
      </c>
      <c r="J117">
        <v>52.409222994</v>
      </c>
      <c r="K117">
        <v>52.409222994</v>
      </c>
      <c r="L117">
        <v>6871.1125</v>
      </c>
      <c r="M117">
        <v>364826.497297383</v>
      </c>
      <c r="O117" t="e">
        <f>IF(D117="","",_CALC_MOTEUR!AE117)</f>
        <v>#VALUE!</v>
      </c>
      <c r="P117" t="e">
        <f>IF(D117="","",_CALC_MOTEUR!AF117)</f>
        <v>#VALUE!</v>
      </c>
      <c r="Q117" t="e">
        <f>IF(D117="","",_CALC_MOTEUR!AG117)</f>
        <v>#VALUE!</v>
      </c>
      <c r="R117" t="e">
        <f>IF(D117="","",_CALC_MOTEUR!AH117)</f>
        <v>#VALUE!</v>
      </c>
      <c r="S117" t="e">
        <f t="shared" si="0"/>
        <v>#VALUE!</v>
      </c>
    </row>
    <row r="118" ht="14.25" customHeight="1">
      <c r="A118" t="s">
        <v>191</v>
      </c>
      <c r="B118" t="s">
        <v>234</v>
      </c>
      <c r="C118" t="s">
        <v>192</v>
      </c>
      <c r="D118" t="s">
        <v>90</v>
      </c>
      <c r="E118" t="s">
        <v>235</v>
      </c>
      <c r="F118" t="s">
        <v>204</v>
      </c>
      <c r="G118" t="s">
        <v>194</v>
      </c>
      <c r="H118" t="s">
        <v>197</v>
      </c>
      <c r="I118" t="s">
        <v>233</v>
      </c>
      <c r="J118">
        <v>36.191560326</v>
      </c>
      <c r="K118">
        <v>36.191560326</v>
      </c>
      <c r="L118">
        <v>6776.35</v>
      </c>
      <c r="M118">
        <v>248503.920244678</v>
      </c>
      <c r="O118" t="e">
        <f>IF(D118="","",_CALC_MOTEUR!AE118)</f>
        <v>#VALUE!</v>
      </c>
      <c r="P118" t="e">
        <f>IF(D118="","",_CALC_MOTEUR!AF118)</f>
        <v>#VALUE!</v>
      </c>
      <c r="Q118" t="e">
        <f>IF(D118="","",_CALC_MOTEUR!AG118)</f>
        <v>#VALUE!</v>
      </c>
      <c r="R118" t="e">
        <f>IF(D118="","",_CALC_MOTEUR!AH118)</f>
        <v>#VALUE!</v>
      </c>
      <c r="S118" t="e">
        <f t="shared" si="0"/>
        <v>#VALUE!</v>
      </c>
    </row>
    <row r="119" ht="14.25" customHeight="1">
      <c r="A119" t="s">
        <v>191</v>
      </c>
      <c r="B119" t="s">
        <v>231</v>
      </c>
      <c r="C119" t="s">
        <v>192</v>
      </c>
      <c r="D119" t="s">
        <v>90</v>
      </c>
      <c r="E119" t="s">
        <v>235</v>
      </c>
      <c r="F119" t="s">
        <v>204</v>
      </c>
      <c r="G119" t="s">
        <v>196</v>
      </c>
      <c r="H119" t="s">
        <v>197</v>
      </c>
      <c r="I119" t="s">
        <v>233</v>
      </c>
      <c r="J119">
        <v>0</v>
      </c>
      <c r="K119">
        <v>39.2</v>
      </c>
      <c r="L119">
        <v>6776.35</v>
      </c>
      <c r="M119">
        <v>265632.92</v>
      </c>
      <c r="O119">
        <f>IF(D119="","",_CALC_MOTEUR!AE119)</f>
        <v>0</v>
      </c>
      <c r="P119" t="e">
        <f>IF(D119="","",_CALC_MOTEUR!AF119)</f>
        <v>#VALUE!</v>
      </c>
      <c r="Q119" t="e">
        <f>IF(D119="","",_CALC_MOTEUR!AG119)</f>
        <v>#VALUE!</v>
      </c>
      <c r="R119" t="e">
        <f>IF(D119="","",_CALC_MOTEUR!AH119)</f>
        <v>#VALUE!</v>
      </c>
      <c r="S119" t="e">
        <f t="shared" si="0"/>
        <v>#VALUE!</v>
      </c>
    </row>
    <row r="120" ht="14.25" customHeight="1">
      <c r="A120" t="s">
        <v>191</v>
      </c>
      <c r="B120" t="s">
        <v>9</v>
      </c>
      <c r="C120" t="s">
        <v>192</v>
      </c>
      <c r="D120" t="s">
        <v>90</v>
      </c>
      <c r="E120" t="s">
        <v>235</v>
      </c>
      <c r="F120" t="s">
        <v>204</v>
      </c>
      <c r="G120" t="s">
        <v>196</v>
      </c>
      <c r="H120" t="s">
        <v>197</v>
      </c>
      <c r="I120" t="s">
        <v>233</v>
      </c>
      <c r="J120">
        <v>0</v>
      </c>
      <c r="K120">
        <v>39.6</v>
      </c>
      <c r="L120">
        <v>6871.1125</v>
      </c>
      <c r="M120">
        <v>272096.055</v>
      </c>
      <c r="O120">
        <f>IF(D120="","",_CALC_MOTEUR!AE120)</f>
        <v>0</v>
      </c>
      <c r="P120" t="e">
        <f>IF(D120="","",_CALC_MOTEUR!AF120)</f>
        <v>#VALUE!</v>
      </c>
      <c r="Q120" t="e">
        <f>IF(D120="","",_CALC_MOTEUR!AG120)</f>
        <v>#VALUE!</v>
      </c>
      <c r="R120" t="e">
        <f>IF(D120="","",_CALC_MOTEUR!AH120)</f>
        <v>#VALUE!</v>
      </c>
      <c r="S120" t="e">
        <f t="shared" si="0"/>
        <v>#VALUE!</v>
      </c>
    </row>
    <row r="121" ht="14.25" customHeight="1">
      <c r="A121" t="s">
        <v>191</v>
      </c>
      <c r="B121" t="s">
        <v>234</v>
      </c>
      <c r="C121" t="s">
        <v>192</v>
      </c>
      <c r="D121" t="s">
        <v>90</v>
      </c>
      <c r="E121" t="s">
        <v>235</v>
      </c>
      <c r="F121" t="s">
        <v>204</v>
      </c>
      <c r="G121" t="s">
        <v>196</v>
      </c>
      <c r="H121" t="s">
        <v>197</v>
      </c>
      <c r="I121" t="s">
        <v>233</v>
      </c>
      <c r="J121">
        <v>0</v>
      </c>
      <c r="K121">
        <v>38.6</v>
      </c>
      <c r="L121">
        <v>6776.35</v>
      </c>
      <c r="M121">
        <v>261567.11</v>
      </c>
      <c r="O121">
        <f>IF(D121="","",_CALC_MOTEUR!AE121)</f>
        <v>0</v>
      </c>
      <c r="P121" t="e">
        <f>IF(D121="","",_CALC_MOTEUR!AF121)</f>
        <v>#VALUE!</v>
      </c>
      <c r="Q121" t="e">
        <f>IF(D121="","",_CALC_MOTEUR!AG121)</f>
        <v>#VALUE!</v>
      </c>
      <c r="R121" t="e">
        <f>IF(D121="","",_CALC_MOTEUR!AH121)</f>
        <v>#VALUE!</v>
      </c>
      <c r="S121" t="e">
        <f t="shared" si="0"/>
        <v>#VALUE!</v>
      </c>
    </row>
    <row r="122" ht="14.25" customHeight="1">
      <c r="A122" t="s">
        <v>191</v>
      </c>
      <c r="B122" t="s">
        <v>231</v>
      </c>
      <c r="C122" t="s">
        <v>192</v>
      </c>
      <c r="D122" t="s">
        <v>90</v>
      </c>
      <c r="E122" t="s">
        <v>235</v>
      </c>
      <c r="F122" t="s">
        <v>204</v>
      </c>
      <c r="G122" t="s">
        <v>198</v>
      </c>
      <c r="H122" t="s">
        <v>197</v>
      </c>
      <c r="I122" t="s">
        <v>233</v>
      </c>
      <c r="J122">
        <v>0</v>
      </c>
      <c r="K122">
        <v>38.195</v>
      </c>
      <c r="L122">
        <v>6776.35</v>
      </c>
      <c r="M122">
        <v>258822.68825</v>
      </c>
      <c r="O122">
        <f>IF(D122="","",_CALC_MOTEUR!AE122)</f>
        <v>0</v>
      </c>
      <c r="P122" t="e">
        <f>IF(D122="","",_CALC_MOTEUR!AF122)</f>
        <v>#VALUE!</v>
      </c>
      <c r="Q122" t="e">
        <f>IF(D122="","",_CALC_MOTEUR!AG122)</f>
        <v>#VALUE!</v>
      </c>
      <c r="R122" t="e">
        <f>IF(D122="","",_CALC_MOTEUR!AH122)</f>
        <v>#VALUE!</v>
      </c>
      <c r="S122" t="e">
        <f t="shared" si="0"/>
        <v>#VALUE!</v>
      </c>
    </row>
    <row r="123" ht="14.25" customHeight="1">
      <c r="A123" t="s">
        <v>191</v>
      </c>
      <c r="B123" t="s">
        <v>9</v>
      </c>
      <c r="C123" t="s">
        <v>192</v>
      </c>
      <c r="D123" t="s">
        <v>90</v>
      </c>
      <c r="E123" t="s">
        <v>235</v>
      </c>
      <c r="F123" t="s">
        <v>204</v>
      </c>
      <c r="G123" t="s">
        <v>198</v>
      </c>
      <c r="H123" t="s">
        <v>197</v>
      </c>
      <c r="I123" t="s">
        <v>233</v>
      </c>
      <c r="J123">
        <v>0</v>
      </c>
      <c r="K123">
        <v>38.585</v>
      </c>
      <c r="L123">
        <v>6871.1125</v>
      </c>
      <c r="M123">
        <v>265121.8758125</v>
      </c>
      <c r="O123">
        <f>IF(D123="","",_CALC_MOTEUR!AE123)</f>
        <v>0</v>
      </c>
      <c r="P123" t="e">
        <f>IF(D123="","",_CALC_MOTEUR!AF123)</f>
        <v>#VALUE!</v>
      </c>
      <c r="Q123" t="e">
        <f>IF(D123="","",_CALC_MOTEUR!AG123)</f>
        <v>#VALUE!</v>
      </c>
      <c r="R123" t="e">
        <f>IF(D123="","",_CALC_MOTEUR!AH123)</f>
        <v>#VALUE!</v>
      </c>
      <c r="S123" t="e">
        <f t="shared" si="0"/>
        <v>#VALUE!</v>
      </c>
    </row>
    <row r="124" ht="14.25" customHeight="1">
      <c r="A124" t="s">
        <v>191</v>
      </c>
      <c r="B124" t="s">
        <v>234</v>
      </c>
      <c r="C124" t="s">
        <v>192</v>
      </c>
      <c r="D124" t="s">
        <v>90</v>
      </c>
      <c r="E124" t="s">
        <v>235</v>
      </c>
      <c r="F124" t="s">
        <v>204</v>
      </c>
      <c r="G124" t="s">
        <v>198</v>
      </c>
      <c r="H124" t="s">
        <v>197</v>
      </c>
      <c r="I124" t="s">
        <v>233</v>
      </c>
      <c r="J124">
        <v>0</v>
      </c>
      <c r="K124">
        <v>37.61</v>
      </c>
      <c r="L124">
        <v>6776.35</v>
      </c>
      <c r="M124">
        <v>254858.5235</v>
      </c>
      <c r="O124">
        <f>IF(D124="","",_CALC_MOTEUR!AE124)</f>
        <v>0</v>
      </c>
      <c r="P124" t="e">
        <f>IF(D124="","",_CALC_MOTEUR!AF124)</f>
        <v>#VALUE!</v>
      </c>
      <c r="Q124" t="e">
        <f>IF(D124="","",_CALC_MOTEUR!AG124)</f>
        <v>#VALUE!</v>
      </c>
      <c r="R124" t="e">
        <f>IF(D124="","",_CALC_MOTEUR!AH124)</f>
        <v>#VALUE!</v>
      </c>
      <c r="S124" t="e">
        <f t="shared" si="0"/>
        <v>#VALUE!</v>
      </c>
    </row>
    <row r="125" ht="14.25" customHeight="1">
      <c r="A125" t="s">
        <v>191</v>
      </c>
      <c r="B125" t="s">
        <v>231</v>
      </c>
      <c r="C125" t="s">
        <v>192</v>
      </c>
      <c r="D125" t="s">
        <v>92</v>
      </c>
      <c r="E125" t="s">
        <v>235</v>
      </c>
      <c r="F125" t="s">
        <v>204</v>
      </c>
      <c r="G125" t="s">
        <v>194</v>
      </c>
      <c r="H125" t="s">
        <v>197</v>
      </c>
      <c r="I125" t="s">
        <v>233</v>
      </c>
      <c r="J125">
        <v>44.737598932</v>
      </c>
      <c r="K125">
        <v>44.737598932</v>
      </c>
      <c r="L125">
        <v>6776.35</v>
      </c>
      <c r="M125">
        <v>307184.012424532</v>
      </c>
      <c r="O125" t="e">
        <f>IF(D125="","",_CALC_MOTEUR!AE125)</f>
        <v>#VALUE!</v>
      </c>
      <c r="P125" t="e">
        <f>IF(D125="","",_CALC_MOTEUR!AF125)</f>
        <v>#VALUE!</v>
      </c>
      <c r="Q125" t="e">
        <f>IF(D125="","",_CALC_MOTEUR!AG125)</f>
        <v>#VALUE!</v>
      </c>
      <c r="R125" t="e">
        <f>IF(D125="","",_CALC_MOTEUR!AH125)</f>
        <v>#VALUE!</v>
      </c>
      <c r="S125" t="e">
        <f t="shared" si="0"/>
        <v>#VALUE!</v>
      </c>
    </row>
    <row r="126" ht="14.25" customHeight="1">
      <c r="A126" t="s">
        <v>191</v>
      </c>
      <c r="B126" t="s">
        <v>9</v>
      </c>
      <c r="C126" t="s">
        <v>192</v>
      </c>
      <c r="D126" t="s">
        <v>92</v>
      </c>
      <c r="E126" t="s">
        <v>235</v>
      </c>
      <c r="F126" t="s">
        <v>204</v>
      </c>
      <c r="G126" t="s">
        <v>194</v>
      </c>
      <c r="H126" t="s">
        <v>197</v>
      </c>
      <c r="I126" t="s">
        <v>233</v>
      </c>
      <c r="J126">
        <v>52.430795489</v>
      </c>
      <c r="K126">
        <v>52.430795489</v>
      </c>
      <c r="L126">
        <v>6871.1125</v>
      </c>
      <c r="M126">
        <v>364976.665862424</v>
      </c>
      <c r="O126" t="e">
        <f>IF(D126="","",_CALC_MOTEUR!AE126)</f>
        <v>#VALUE!</v>
      </c>
      <c r="P126" t="e">
        <f>IF(D126="","",_CALC_MOTEUR!AF126)</f>
        <v>#VALUE!</v>
      </c>
      <c r="Q126" t="e">
        <f>IF(D126="","",_CALC_MOTEUR!AG126)</f>
        <v>#VALUE!</v>
      </c>
      <c r="R126" t="e">
        <f>IF(D126="","",_CALC_MOTEUR!AH126)</f>
        <v>#VALUE!</v>
      </c>
      <c r="S126" t="e">
        <f t="shared" si="0"/>
        <v>#VALUE!</v>
      </c>
    </row>
    <row r="127" ht="14.25" customHeight="1">
      <c r="A127" t="s">
        <v>191</v>
      </c>
      <c r="B127" t="s">
        <v>234</v>
      </c>
      <c r="C127" t="s">
        <v>192</v>
      </c>
      <c r="D127" t="s">
        <v>92</v>
      </c>
      <c r="E127" t="s">
        <v>235</v>
      </c>
      <c r="F127" t="s">
        <v>204</v>
      </c>
      <c r="G127" t="s">
        <v>194</v>
      </c>
      <c r="H127" t="s">
        <v>197</v>
      </c>
      <c r="I127" t="s">
        <v>233</v>
      </c>
      <c r="J127">
        <v>36.183885338</v>
      </c>
      <c r="K127">
        <v>36.183885338</v>
      </c>
      <c r="L127">
        <v>6776.35</v>
      </c>
      <c r="M127">
        <v>248451.221087601</v>
      </c>
      <c r="O127" t="e">
        <f>IF(D127="","",_CALC_MOTEUR!AE127)</f>
        <v>#VALUE!</v>
      </c>
      <c r="P127" t="e">
        <f>IF(D127="","",_CALC_MOTEUR!AF127)</f>
        <v>#VALUE!</v>
      </c>
      <c r="Q127" t="e">
        <f>IF(D127="","",_CALC_MOTEUR!AG127)</f>
        <v>#VALUE!</v>
      </c>
      <c r="R127" t="e">
        <f>IF(D127="","",_CALC_MOTEUR!AH127)</f>
        <v>#VALUE!</v>
      </c>
      <c r="S127" t="e">
        <f t="shared" si="0"/>
        <v>#VALUE!</v>
      </c>
    </row>
    <row r="128" ht="14.25" customHeight="1">
      <c r="A128" t="s">
        <v>191</v>
      </c>
      <c r="B128" t="s">
        <v>231</v>
      </c>
      <c r="C128" t="s">
        <v>192</v>
      </c>
      <c r="D128" t="s">
        <v>92</v>
      </c>
      <c r="E128" t="s">
        <v>235</v>
      </c>
      <c r="F128" t="s">
        <v>204</v>
      </c>
      <c r="G128" t="s">
        <v>196</v>
      </c>
      <c r="H128" t="s">
        <v>197</v>
      </c>
      <c r="I128" t="s">
        <v>233</v>
      </c>
      <c r="J128">
        <v>0</v>
      </c>
      <c r="K128">
        <v>39.2</v>
      </c>
      <c r="L128">
        <v>6776.35</v>
      </c>
      <c r="M128">
        <v>265632.92</v>
      </c>
      <c r="O128">
        <f>IF(D128="","",_CALC_MOTEUR!AE128)</f>
        <v>0</v>
      </c>
      <c r="P128" t="e">
        <f>IF(D128="","",_CALC_MOTEUR!AF128)</f>
        <v>#VALUE!</v>
      </c>
      <c r="Q128" t="e">
        <f>IF(D128="","",_CALC_MOTEUR!AG128)</f>
        <v>#VALUE!</v>
      </c>
      <c r="R128" t="e">
        <f>IF(D128="","",_CALC_MOTEUR!AH128)</f>
        <v>#VALUE!</v>
      </c>
      <c r="S128" t="e">
        <f t="shared" si="0"/>
        <v>#VALUE!</v>
      </c>
    </row>
    <row r="129" ht="14.25" customHeight="1">
      <c r="A129" t="s">
        <v>191</v>
      </c>
      <c r="B129" t="s">
        <v>9</v>
      </c>
      <c r="C129" t="s">
        <v>192</v>
      </c>
      <c r="D129" t="s">
        <v>92</v>
      </c>
      <c r="E129" t="s">
        <v>235</v>
      </c>
      <c r="F129" t="s">
        <v>204</v>
      </c>
      <c r="G129" t="s">
        <v>196</v>
      </c>
      <c r="H129" t="s">
        <v>197</v>
      </c>
      <c r="I129" t="s">
        <v>233</v>
      </c>
      <c r="J129">
        <v>0</v>
      </c>
      <c r="K129">
        <v>39.6</v>
      </c>
      <c r="L129">
        <v>6871.1125</v>
      </c>
      <c r="M129">
        <v>272096.055</v>
      </c>
      <c r="O129">
        <f>IF(D129="","",_CALC_MOTEUR!AE129)</f>
        <v>0</v>
      </c>
      <c r="P129" t="e">
        <f>IF(D129="","",_CALC_MOTEUR!AF129)</f>
        <v>#VALUE!</v>
      </c>
      <c r="Q129" t="e">
        <f>IF(D129="","",_CALC_MOTEUR!AG129)</f>
        <v>#VALUE!</v>
      </c>
      <c r="R129" t="e">
        <f>IF(D129="","",_CALC_MOTEUR!AH129)</f>
        <v>#VALUE!</v>
      </c>
      <c r="S129" t="e">
        <f t="shared" si="0"/>
        <v>#VALUE!</v>
      </c>
    </row>
    <row r="130" ht="14.25" customHeight="1">
      <c r="A130" t="s">
        <v>191</v>
      </c>
      <c r="B130" t="s">
        <v>234</v>
      </c>
      <c r="C130" t="s">
        <v>192</v>
      </c>
      <c r="D130" t="s">
        <v>92</v>
      </c>
      <c r="E130" t="s">
        <v>235</v>
      </c>
      <c r="F130" t="s">
        <v>204</v>
      </c>
      <c r="G130" t="s">
        <v>196</v>
      </c>
      <c r="H130" t="s">
        <v>197</v>
      </c>
      <c r="I130" t="s">
        <v>233</v>
      </c>
      <c r="J130">
        <v>0</v>
      </c>
      <c r="K130">
        <v>38.6</v>
      </c>
      <c r="L130">
        <v>6776.35</v>
      </c>
      <c r="M130">
        <v>261567.11</v>
      </c>
      <c r="O130">
        <f>IF(D130="","",_CALC_MOTEUR!AE130)</f>
        <v>0</v>
      </c>
      <c r="P130" t="e">
        <f>IF(D130="","",_CALC_MOTEUR!AF130)</f>
        <v>#VALUE!</v>
      </c>
      <c r="Q130" t="e">
        <f>IF(D130="","",_CALC_MOTEUR!AG130)</f>
        <v>#VALUE!</v>
      </c>
      <c r="R130" t="e">
        <f>IF(D130="","",_CALC_MOTEUR!AH130)</f>
        <v>#VALUE!</v>
      </c>
      <c r="S130" t="e">
        <f t="shared" si="0"/>
        <v>#VALUE!</v>
      </c>
    </row>
    <row r="131" ht="14.25" customHeight="1">
      <c r="A131" t="s">
        <v>191</v>
      </c>
      <c r="B131" t="s">
        <v>231</v>
      </c>
      <c r="C131" t="s">
        <v>192</v>
      </c>
      <c r="D131" t="s">
        <v>92</v>
      </c>
      <c r="E131" t="s">
        <v>235</v>
      </c>
      <c r="F131" t="s">
        <v>204</v>
      </c>
      <c r="G131" t="s">
        <v>198</v>
      </c>
      <c r="H131" t="s">
        <v>197</v>
      </c>
      <c r="I131" t="s">
        <v>233</v>
      </c>
      <c r="J131">
        <v>0</v>
      </c>
      <c r="K131">
        <v>38.195</v>
      </c>
      <c r="L131">
        <v>6776.35</v>
      </c>
      <c r="M131">
        <v>258822.68825</v>
      </c>
      <c r="O131">
        <f>IF(D131="","",_CALC_MOTEUR!AE131)</f>
        <v>0</v>
      </c>
      <c r="P131" t="e">
        <f>IF(D131="","",_CALC_MOTEUR!AF131)</f>
        <v>#VALUE!</v>
      </c>
      <c r="Q131" t="e">
        <f>IF(D131="","",_CALC_MOTEUR!AG131)</f>
        <v>#VALUE!</v>
      </c>
      <c r="R131" t="e">
        <f>IF(D131="","",_CALC_MOTEUR!AH131)</f>
        <v>#VALUE!</v>
      </c>
      <c r="S131" t="e">
        <f t="shared" si="0"/>
        <v>#VALUE!</v>
      </c>
    </row>
    <row r="132" ht="14.25" customHeight="1">
      <c r="A132" t="s">
        <v>191</v>
      </c>
      <c r="B132" t="s">
        <v>9</v>
      </c>
      <c r="C132" t="s">
        <v>192</v>
      </c>
      <c r="D132" t="s">
        <v>92</v>
      </c>
      <c r="E132" t="s">
        <v>235</v>
      </c>
      <c r="F132" t="s">
        <v>204</v>
      </c>
      <c r="G132" t="s">
        <v>198</v>
      </c>
      <c r="H132" t="s">
        <v>197</v>
      </c>
      <c r="I132" t="s">
        <v>233</v>
      </c>
      <c r="J132">
        <v>0</v>
      </c>
      <c r="K132">
        <v>38.585</v>
      </c>
      <c r="L132">
        <v>6871.1125</v>
      </c>
      <c r="M132">
        <v>265121.8758125</v>
      </c>
      <c r="O132">
        <f>IF(D132="","",_CALC_MOTEUR!AE132)</f>
        <v>0</v>
      </c>
      <c r="P132" t="e">
        <f>IF(D132="","",_CALC_MOTEUR!AF132)</f>
        <v>#VALUE!</v>
      </c>
      <c r="Q132" t="e">
        <f>IF(D132="","",_CALC_MOTEUR!AG132)</f>
        <v>#VALUE!</v>
      </c>
      <c r="R132" t="e">
        <f>IF(D132="","",_CALC_MOTEUR!AH132)</f>
        <v>#VALUE!</v>
      </c>
      <c r="S132" t="e">
        <f t="shared" si="0"/>
        <v>#VALUE!</v>
      </c>
    </row>
    <row r="133" ht="14.25" customHeight="1">
      <c r="A133" t="s">
        <v>191</v>
      </c>
      <c r="B133" t="s">
        <v>234</v>
      </c>
      <c r="C133" t="s">
        <v>192</v>
      </c>
      <c r="D133" t="s">
        <v>92</v>
      </c>
      <c r="E133" t="s">
        <v>235</v>
      </c>
      <c r="F133" t="s">
        <v>204</v>
      </c>
      <c r="G133" t="s">
        <v>198</v>
      </c>
      <c r="H133" t="s">
        <v>197</v>
      </c>
      <c r="I133" t="s">
        <v>233</v>
      </c>
      <c r="J133">
        <v>0</v>
      </c>
      <c r="K133">
        <v>37.61</v>
      </c>
      <c r="L133">
        <v>6776.35</v>
      </c>
      <c r="M133">
        <v>254858.5235</v>
      </c>
      <c r="O133">
        <f>IF(D133="","",_CALC_MOTEUR!AE133)</f>
        <v>0</v>
      </c>
      <c r="P133" t="e">
        <f>IF(D133="","",_CALC_MOTEUR!AF133)</f>
        <v>#VALUE!</v>
      </c>
      <c r="Q133" t="e">
        <f>IF(D133="","",_CALC_MOTEUR!AG133)</f>
        <v>#VALUE!</v>
      </c>
      <c r="R133" t="e">
        <f>IF(D133="","",_CALC_MOTEUR!AH133)</f>
        <v>#VALUE!</v>
      </c>
      <c r="S133" t="e">
        <f t="shared" si="0"/>
        <v>#VALUE!</v>
      </c>
    </row>
    <row r="134" ht="14.25" customHeight="1">
      <c r="A134" t="s">
        <v>191</v>
      </c>
      <c r="B134" t="s">
        <v>231</v>
      </c>
      <c r="C134" t="s">
        <v>192</v>
      </c>
      <c r="D134" t="s">
        <v>94</v>
      </c>
      <c r="E134" t="s">
        <v>236</v>
      </c>
      <c r="F134" t="s">
        <v>205</v>
      </c>
      <c r="G134" t="s">
        <v>206</v>
      </c>
      <c r="H134" t="s">
        <v>197</v>
      </c>
      <c r="I134" t="s">
        <v>233</v>
      </c>
      <c r="J134">
        <v>51.131254823</v>
      </c>
      <c r="K134">
        <v>51.131254823</v>
      </c>
      <c r="L134">
        <v>6413.4</v>
      </c>
      <c r="M134">
        <v>332527.002618496</v>
      </c>
      <c r="O134" t="e">
        <f>IF(D134="","",_CALC_MOTEUR!AE134)</f>
        <v>#VALUE!</v>
      </c>
      <c r="P134" t="e">
        <f>IF(D134="","",_CALC_MOTEUR!AF134)</f>
        <v>#VALUE!</v>
      </c>
      <c r="Q134" t="e">
        <f>IF(D134="","",_CALC_MOTEUR!AG134)</f>
        <v>#VALUE!</v>
      </c>
      <c r="R134" t="e">
        <f>IF(D134="","",_CALC_MOTEUR!AH134)</f>
        <v>#VALUE!</v>
      </c>
      <c r="S134" t="e">
        <f t="shared" si="0"/>
        <v>#VALUE!</v>
      </c>
    </row>
    <row r="135" ht="14.25" customHeight="1">
      <c r="A135" t="s">
        <v>191</v>
      </c>
      <c r="B135" t="s">
        <v>9</v>
      </c>
      <c r="C135" t="s">
        <v>192</v>
      </c>
      <c r="D135" t="s">
        <v>94</v>
      </c>
      <c r="E135" t="s">
        <v>236</v>
      </c>
      <c r="F135" t="s">
        <v>205</v>
      </c>
      <c r="G135" t="s">
        <v>206</v>
      </c>
      <c r="H135" t="s">
        <v>197</v>
      </c>
      <c r="I135" t="s">
        <v>233</v>
      </c>
      <c r="J135">
        <v>59.649701021</v>
      </c>
      <c r="K135">
        <v>59.649701021</v>
      </c>
      <c r="L135">
        <v>6498.45</v>
      </c>
      <c r="M135">
        <v>392999.072688801</v>
      </c>
      <c r="O135" t="e">
        <f>IF(D135="","",_CALC_MOTEUR!AE135)</f>
        <v>#VALUE!</v>
      </c>
      <c r="P135" t="e">
        <f>IF(D135="","",_CALC_MOTEUR!AF135)</f>
        <v>#VALUE!</v>
      </c>
      <c r="Q135" t="e">
        <f>IF(D135="","",_CALC_MOTEUR!AG135)</f>
        <v>#VALUE!</v>
      </c>
      <c r="R135" t="e">
        <f>IF(D135="","",_CALC_MOTEUR!AH135)</f>
        <v>#VALUE!</v>
      </c>
      <c r="S135" t="e">
        <f t="shared" si="0"/>
        <v>#VALUE!</v>
      </c>
    </row>
    <row r="136" ht="14.25" customHeight="1">
      <c r="A136" t="s">
        <v>191</v>
      </c>
      <c r="B136" t="s">
        <v>234</v>
      </c>
      <c r="C136" t="s">
        <v>192</v>
      </c>
      <c r="D136" t="s">
        <v>94</v>
      </c>
      <c r="E136" t="s">
        <v>236</v>
      </c>
      <c r="F136" t="s">
        <v>205</v>
      </c>
      <c r="G136" t="s">
        <v>206</v>
      </c>
      <c r="H136" t="s">
        <v>197</v>
      </c>
      <c r="I136" t="s">
        <v>233</v>
      </c>
      <c r="J136">
        <v>41.800320114</v>
      </c>
      <c r="K136">
        <v>41.800320114</v>
      </c>
      <c r="L136">
        <v>6413.4</v>
      </c>
      <c r="M136">
        <v>271844.201832084</v>
      </c>
      <c r="O136" t="e">
        <f>IF(D136="","",_CALC_MOTEUR!AE136)</f>
        <v>#VALUE!</v>
      </c>
      <c r="P136" t="e">
        <f>IF(D136="","",_CALC_MOTEUR!AF136)</f>
        <v>#VALUE!</v>
      </c>
      <c r="Q136" t="e">
        <f>IF(D136="","",_CALC_MOTEUR!AG136)</f>
        <v>#VALUE!</v>
      </c>
      <c r="R136" t="e">
        <f>IF(D136="","",_CALC_MOTEUR!AH136)</f>
        <v>#VALUE!</v>
      </c>
      <c r="S136" t="e">
        <f t="shared" si="0"/>
        <v>#VALUE!</v>
      </c>
    </row>
    <row r="137" ht="14.25" customHeight="1">
      <c r="A137" t="s">
        <v>191</v>
      </c>
      <c r="B137" t="s">
        <v>231</v>
      </c>
      <c r="C137" t="s">
        <v>192</v>
      </c>
      <c r="D137" t="s">
        <v>94</v>
      </c>
      <c r="E137" t="s">
        <v>236</v>
      </c>
      <c r="F137" t="s">
        <v>205</v>
      </c>
      <c r="G137" t="s">
        <v>207</v>
      </c>
      <c r="H137" t="s">
        <v>197</v>
      </c>
      <c r="I137" t="s">
        <v>233</v>
      </c>
      <c r="J137">
        <v>0</v>
      </c>
      <c r="K137">
        <v>45.23</v>
      </c>
      <c r="L137">
        <v>6413.4</v>
      </c>
      <c r="M137">
        <v>290078.082</v>
      </c>
      <c r="O137">
        <f>IF(D137="","",_CALC_MOTEUR!AE137)</f>
        <v>0</v>
      </c>
      <c r="P137" t="e">
        <f>IF(D137="","",_CALC_MOTEUR!AF137)</f>
        <v>#VALUE!</v>
      </c>
      <c r="Q137" t="e">
        <f>IF(D137="","",_CALC_MOTEUR!AG137)</f>
        <v>#VALUE!</v>
      </c>
      <c r="R137" t="e">
        <f>IF(D137="","",_CALC_MOTEUR!AH137)</f>
        <v>#VALUE!</v>
      </c>
      <c r="S137" t="e">
        <f t="shared" si="0"/>
        <v>#VALUE!</v>
      </c>
    </row>
    <row r="138" ht="14.25" customHeight="1">
      <c r="A138" t="s">
        <v>191</v>
      </c>
      <c r="B138" t="s">
        <v>9</v>
      </c>
      <c r="C138" t="s">
        <v>192</v>
      </c>
      <c r="D138" t="s">
        <v>94</v>
      </c>
      <c r="E138" t="s">
        <v>236</v>
      </c>
      <c r="F138" t="s">
        <v>205</v>
      </c>
      <c r="G138" t="s">
        <v>207</v>
      </c>
      <c r="H138" t="s">
        <v>197</v>
      </c>
      <c r="I138" t="s">
        <v>233</v>
      </c>
      <c r="J138">
        <v>0</v>
      </c>
      <c r="K138">
        <v>45.69</v>
      </c>
      <c r="L138">
        <v>6498.45</v>
      </c>
      <c r="M138">
        <v>296914.1805</v>
      </c>
      <c r="O138">
        <f>IF(D138="","",_CALC_MOTEUR!AE138)</f>
        <v>0</v>
      </c>
      <c r="P138" t="e">
        <f>IF(D138="","",_CALC_MOTEUR!AF138)</f>
        <v>#VALUE!</v>
      </c>
      <c r="Q138" t="e">
        <f>IF(D138="","",_CALC_MOTEUR!AG138)</f>
        <v>#VALUE!</v>
      </c>
      <c r="R138" t="e">
        <f>IF(D138="","",_CALC_MOTEUR!AH138)</f>
        <v>#VALUE!</v>
      </c>
      <c r="S138" t="e">
        <f t="shared" si="0"/>
        <v>#VALUE!</v>
      </c>
    </row>
    <row r="139" ht="14.25" customHeight="1">
      <c r="A139" t="s">
        <v>191</v>
      </c>
      <c r="B139" t="s">
        <v>234</v>
      </c>
      <c r="C139" t="s">
        <v>192</v>
      </c>
      <c r="D139" t="s">
        <v>94</v>
      </c>
      <c r="E139" t="s">
        <v>236</v>
      </c>
      <c r="F139" t="s">
        <v>205</v>
      </c>
      <c r="G139" t="s">
        <v>207</v>
      </c>
      <c r="H139" t="s">
        <v>197</v>
      </c>
      <c r="I139" t="s">
        <v>233</v>
      </c>
      <c r="J139">
        <v>0</v>
      </c>
      <c r="K139">
        <v>44.54</v>
      </c>
      <c r="L139">
        <v>6413.4</v>
      </c>
      <c r="M139">
        <v>285652.836</v>
      </c>
      <c r="O139">
        <f>IF(D139="","",_CALC_MOTEUR!AE139)</f>
        <v>0</v>
      </c>
      <c r="P139" t="e">
        <f>IF(D139="","",_CALC_MOTEUR!AF139)</f>
        <v>#VALUE!</v>
      </c>
      <c r="Q139" t="e">
        <f>IF(D139="","",_CALC_MOTEUR!AG139)</f>
        <v>#VALUE!</v>
      </c>
      <c r="R139" t="e">
        <f>IF(D139="","",_CALC_MOTEUR!AH139)</f>
        <v>#VALUE!</v>
      </c>
      <c r="S139" t="e">
        <f t="shared" si="0"/>
        <v>#VALUE!</v>
      </c>
    </row>
    <row r="140" ht="14.25" customHeight="1">
      <c r="A140" t="s">
        <v>191</v>
      </c>
      <c r="B140" t="s">
        <v>231</v>
      </c>
      <c r="C140" t="s">
        <v>192</v>
      </c>
      <c r="D140" t="s">
        <v>94</v>
      </c>
      <c r="E140" t="s">
        <v>236</v>
      </c>
      <c r="F140" t="s">
        <v>208</v>
      </c>
      <c r="G140" t="s">
        <v>194</v>
      </c>
      <c r="H140" t="s">
        <v>197</v>
      </c>
      <c r="I140" t="s">
        <v>233</v>
      </c>
      <c r="J140">
        <v>51.131254823</v>
      </c>
      <c r="K140">
        <v>51.131254823</v>
      </c>
      <c r="L140">
        <v>7482.3</v>
      </c>
      <c r="M140">
        <v>387181.200899228</v>
      </c>
      <c r="O140" t="e">
        <f>IF(D140="","",_CALC_MOTEUR!AE140)</f>
        <v>#VALUE!</v>
      </c>
      <c r="P140" t="e">
        <f>IF(D140="","",_CALC_MOTEUR!AF140)</f>
        <v>#VALUE!</v>
      </c>
      <c r="Q140" t="e">
        <f>IF(D140="","",_CALC_MOTEUR!AG140)</f>
        <v>#VALUE!</v>
      </c>
      <c r="R140" t="e">
        <f>IF(D140="","",_CALC_MOTEUR!AH140)</f>
        <v>#VALUE!</v>
      </c>
      <c r="S140" t="e">
        <f t="shared" si="0"/>
        <v>#VALUE!</v>
      </c>
    </row>
    <row r="141" ht="14.25" customHeight="1">
      <c r="A141" t="s">
        <v>191</v>
      </c>
      <c r="B141" t="s">
        <v>9</v>
      </c>
      <c r="C141" t="s">
        <v>192</v>
      </c>
      <c r="D141" t="s">
        <v>94</v>
      </c>
      <c r="E141" t="s">
        <v>236</v>
      </c>
      <c r="F141" t="s">
        <v>208</v>
      </c>
      <c r="G141" t="s">
        <v>194</v>
      </c>
      <c r="H141" t="s">
        <v>197</v>
      </c>
      <c r="I141" t="s">
        <v>233</v>
      </c>
      <c r="J141">
        <v>59.649701021</v>
      </c>
      <c r="K141">
        <v>59.649701021</v>
      </c>
      <c r="L141">
        <v>7581.525</v>
      </c>
      <c r="M141">
        <v>457604.172621626</v>
      </c>
      <c r="O141" t="e">
        <f>IF(D141="","",_CALC_MOTEUR!AE141)</f>
        <v>#VALUE!</v>
      </c>
      <c r="P141" t="e">
        <f>IF(D141="","",_CALC_MOTEUR!AF141)</f>
        <v>#VALUE!</v>
      </c>
      <c r="Q141" t="e">
        <f>IF(D141="","",_CALC_MOTEUR!AG141)</f>
        <v>#VALUE!</v>
      </c>
      <c r="R141" t="e">
        <f>IF(D141="","",_CALC_MOTEUR!AH141)</f>
        <v>#VALUE!</v>
      </c>
      <c r="S141" t="e">
        <f t="shared" si="0"/>
        <v>#VALUE!</v>
      </c>
    </row>
    <row r="142" ht="14.25" customHeight="1">
      <c r="A142" t="s">
        <v>191</v>
      </c>
      <c r="B142" t="s">
        <v>234</v>
      </c>
      <c r="C142" t="s">
        <v>192</v>
      </c>
      <c r="D142" t="s">
        <v>94</v>
      </c>
      <c r="E142" t="s">
        <v>236</v>
      </c>
      <c r="F142" t="s">
        <v>208</v>
      </c>
      <c r="G142" t="s">
        <v>194</v>
      </c>
      <c r="H142" t="s">
        <v>197</v>
      </c>
      <c r="I142" t="s">
        <v>233</v>
      </c>
      <c r="J142">
        <v>41.800320114</v>
      </c>
      <c r="K142">
        <v>41.800320114</v>
      </c>
      <c r="L142">
        <v>7482.3</v>
      </c>
      <c r="M142">
        <v>316524.564002382</v>
      </c>
      <c r="O142" t="e">
        <f>IF(D142="","",_CALC_MOTEUR!AE142)</f>
        <v>#VALUE!</v>
      </c>
      <c r="P142" t="e">
        <f>IF(D142="","",_CALC_MOTEUR!AF142)</f>
        <v>#VALUE!</v>
      </c>
      <c r="Q142" t="e">
        <f>IF(D142="","",_CALC_MOTEUR!AG142)</f>
        <v>#VALUE!</v>
      </c>
      <c r="R142" t="e">
        <f>IF(D142="","",_CALC_MOTEUR!AH142)</f>
        <v>#VALUE!</v>
      </c>
      <c r="S142" t="e">
        <f t="shared" si="0"/>
        <v>#VALUE!</v>
      </c>
    </row>
    <row r="143" ht="14.25" customHeight="1">
      <c r="A143" t="s">
        <v>191</v>
      </c>
      <c r="B143" t="s">
        <v>231</v>
      </c>
      <c r="C143" t="s">
        <v>192</v>
      </c>
      <c r="D143" t="s">
        <v>94</v>
      </c>
      <c r="E143" t="s">
        <v>236</v>
      </c>
      <c r="F143" t="s">
        <v>208</v>
      </c>
      <c r="G143" t="s">
        <v>198</v>
      </c>
      <c r="H143" t="s">
        <v>197</v>
      </c>
      <c r="I143" t="s">
        <v>233</v>
      </c>
      <c r="J143">
        <v>0</v>
      </c>
      <c r="K143">
        <v>45.23</v>
      </c>
      <c r="L143">
        <v>7482.3</v>
      </c>
      <c r="M143">
        <v>338424.429</v>
      </c>
      <c r="O143">
        <f>IF(D143="","",_CALC_MOTEUR!AE143)</f>
        <v>0</v>
      </c>
      <c r="P143" t="e">
        <f>IF(D143="","",_CALC_MOTEUR!AF143)</f>
        <v>#VALUE!</v>
      </c>
      <c r="Q143" t="e">
        <f>IF(D143="","",_CALC_MOTEUR!AG143)</f>
        <v>#VALUE!</v>
      </c>
      <c r="R143" t="e">
        <f>IF(D143="","",_CALC_MOTEUR!AH143)</f>
        <v>#VALUE!</v>
      </c>
      <c r="S143" t="e">
        <f t="shared" si="0"/>
        <v>#VALUE!</v>
      </c>
    </row>
    <row r="144" ht="14.25" customHeight="1">
      <c r="A144" t="s">
        <v>191</v>
      </c>
      <c r="B144" t="s">
        <v>9</v>
      </c>
      <c r="C144" t="s">
        <v>192</v>
      </c>
      <c r="D144" t="s">
        <v>94</v>
      </c>
      <c r="E144" t="s">
        <v>236</v>
      </c>
      <c r="F144" t="s">
        <v>208</v>
      </c>
      <c r="G144" t="s">
        <v>198</v>
      </c>
      <c r="H144" t="s">
        <v>197</v>
      </c>
      <c r="I144" t="s">
        <v>233</v>
      </c>
      <c r="J144">
        <v>0</v>
      </c>
      <c r="K144">
        <v>45.69</v>
      </c>
      <c r="L144">
        <v>7581.525</v>
      </c>
      <c r="M144">
        <v>346399.87725</v>
      </c>
      <c r="O144">
        <f>IF(D144="","",_CALC_MOTEUR!AE144)</f>
        <v>0</v>
      </c>
      <c r="P144" t="e">
        <f>IF(D144="","",_CALC_MOTEUR!AF144)</f>
        <v>#VALUE!</v>
      </c>
      <c r="Q144" t="e">
        <f>IF(D144="","",_CALC_MOTEUR!AG144)</f>
        <v>#VALUE!</v>
      </c>
      <c r="R144" t="e">
        <f>IF(D144="","",_CALC_MOTEUR!AH144)</f>
        <v>#VALUE!</v>
      </c>
      <c r="S144" t="e">
        <f t="shared" si="0"/>
        <v>#VALUE!</v>
      </c>
    </row>
    <row r="145" ht="14.25" customHeight="1">
      <c r="A145" t="s">
        <v>191</v>
      </c>
      <c r="B145" t="s">
        <v>234</v>
      </c>
      <c r="C145" t="s">
        <v>192</v>
      </c>
      <c r="D145" t="s">
        <v>94</v>
      </c>
      <c r="E145" t="s">
        <v>236</v>
      </c>
      <c r="F145" t="s">
        <v>208</v>
      </c>
      <c r="G145" t="s">
        <v>198</v>
      </c>
      <c r="H145" t="s">
        <v>197</v>
      </c>
      <c r="I145" t="s">
        <v>233</v>
      </c>
      <c r="J145">
        <v>0</v>
      </c>
      <c r="K145">
        <v>44.54</v>
      </c>
      <c r="L145">
        <v>7482.3</v>
      </c>
      <c r="M145">
        <v>333261.642</v>
      </c>
      <c r="O145">
        <f>IF(D145="","",_CALC_MOTEUR!AE145)</f>
        <v>0</v>
      </c>
      <c r="P145" t="e">
        <f>IF(D145="","",_CALC_MOTEUR!AF145)</f>
        <v>#VALUE!</v>
      </c>
      <c r="Q145" t="e">
        <f>IF(D145="","",_CALC_MOTEUR!AG145)</f>
        <v>#VALUE!</v>
      </c>
      <c r="R145" t="e">
        <f>IF(D145="","",_CALC_MOTEUR!AH145)</f>
        <v>#VALUE!</v>
      </c>
      <c r="S145" t="e">
        <f t="shared" si="0"/>
        <v>#VALUE!</v>
      </c>
    </row>
    <row r="146" ht="14.25" customHeight="1">
      <c r="A146" t="s">
        <v>191</v>
      </c>
      <c r="B146" t="s">
        <v>231</v>
      </c>
      <c r="C146" t="s">
        <v>192</v>
      </c>
      <c r="D146" t="s">
        <v>95</v>
      </c>
      <c r="E146" t="s">
        <v>236</v>
      </c>
      <c r="F146" t="s">
        <v>205</v>
      </c>
      <c r="G146" t="s">
        <v>206</v>
      </c>
      <c r="H146" t="s">
        <v>197</v>
      </c>
      <c r="I146" t="s">
        <v>233</v>
      </c>
      <c r="J146">
        <v>40.090815642</v>
      </c>
      <c r="K146">
        <v>40.090815642</v>
      </c>
      <c r="L146">
        <v>5924.76</v>
      </c>
      <c r="M146">
        <v>241136.634293568</v>
      </c>
      <c r="O146" t="e">
        <f>IF(D146="","",_CALC_MOTEUR!AE146)</f>
        <v>#VALUE!</v>
      </c>
      <c r="P146" t="e">
        <f>IF(D146="","",_CALC_MOTEUR!AF146)</f>
        <v>#VALUE!</v>
      </c>
      <c r="Q146" t="e">
        <f>IF(D146="","",_CALC_MOTEUR!AG146)</f>
        <v>#VALUE!</v>
      </c>
      <c r="R146" t="e">
        <f>IF(D146="","",_CALC_MOTEUR!AH146)</f>
        <v>#VALUE!</v>
      </c>
      <c r="S146" t="e">
        <f t="shared" si="0"/>
        <v>#VALUE!</v>
      </c>
    </row>
    <row r="147" ht="14.25" customHeight="1">
      <c r="A147" t="s">
        <v>191</v>
      </c>
      <c r="B147" t="s">
        <v>9</v>
      </c>
      <c r="C147" t="s">
        <v>192</v>
      </c>
      <c r="D147" t="s">
        <v>95</v>
      </c>
      <c r="E147" t="s">
        <v>236</v>
      </c>
      <c r="F147" t="s">
        <v>205</v>
      </c>
      <c r="G147" t="s">
        <v>206</v>
      </c>
      <c r="H147" t="s">
        <v>197</v>
      </c>
      <c r="I147" t="s">
        <v>233</v>
      </c>
      <c r="J147">
        <v>46.853029817</v>
      </c>
      <c r="K147">
        <v>46.853029817</v>
      </c>
      <c r="L147">
        <v>6003.33</v>
      </c>
      <c r="M147">
        <v>285490.97217563</v>
      </c>
      <c r="O147" t="e">
        <f>IF(D147="","",_CALC_MOTEUR!AE147)</f>
        <v>#VALUE!</v>
      </c>
      <c r="P147" t="e">
        <f>IF(D147="","",_CALC_MOTEUR!AF147)</f>
        <v>#VALUE!</v>
      </c>
      <c r="Q147" t="e">
        <f>IF(D147="","",_CALC_MOTEUR!AG147)</f>
        <v>#VALUE!</v>
      </c>
      <c r="R147" t="e">
        <f>IF(D147="","",_CALC_MOTEUR!AH147)</f>
        <v>#VALUE!</v>
      </c>
      <c r="S147" t="e">
        <f t="shared" si="0"/>
        <v>#VALUE!</v>
      </c>
    </row>
    <row r="148" ht="14.25" customHeight="1">
      <c r="A148" t="s">
        <v>191</v>
      </c>
      <c r="B148" t="s">
        <v>234</v>
      </c>
      <c r="C148" t="s">
        <v>192</v>
      </c>
      <c r="D148" t="s">
        <v>95</v>
      </c>
      <c r="E148" t="s">
        <v>236</v>
      </c>
      <c r="F148" t="s">
        <v>205</v>
      </c>
      <c r="G148" t="s">
        <v>206</v>
      </c>
      <c r="H148" t="s">
        <v>197</v>
      </c>
      <c r="I148" t="s">
        <v>233</v>
      </c>
      <c r="J148">
        <v>32.684123557</v>
      </c>
      <c r="K148">
        <v>32.684123557</v>
      </c>
      <c r="L148">
        <v>5924.76</v>
      </c>
      <c r="M148">
        <v>196587.159006683</v>
      </c>
      <c r="O148" t="e">
        <f>IF(D148="","",_CALC_MOTEUR!AE148)</f>
        <v>#VALUE!</v>
      </c>
      <c r="P148" t="e">
        <f>IF(D148="","",_CALC_MOTEUR!AF148)</f>
        <v>#VALUE!</v>
      </c>
      <c r="Q148" t="e">
        <f>IF(D148="","",_CALC_MOTEUR!AG148)</f>
        <v>#VALUE!</v>
      </c>
      <c r="R148" t="e">
        <f>IF(D148="","",_CALC_MOTEUR!AH148)</f>
        <v>#VALUE!</v>
      </c>
      <c r="S148" t="e">
        <f t="shared" si="0"/>
        <v>#VALUE!</v>
      </c>
    </row>
    <row r="149" ht="14.25" customHeight="1">
      <c r="A149" t="s">
        <v>191</v>
      </c>
      <c r="B149" t="s">
        <v>231</v>
      </c>
      <c r="C149" t="s">
        <v>192</v>
      </c>
      <c r="D149" t="s">
        <v>95</v>
      </c>
      <c r="E149" t="s">
        <v>236</v>
      </c>
      <c r="F149" t="s">
        <v>205</v>
      </c>
      <c r="G149" t="s">
        <v>207</v>
      </c>
      <c r="H149" t="s">
        <v>197</v>
      </c>
      <c r="I149" t="s">
        <v>233</v>
      </c>
      <c r="J149">
        <v>0</v>
      </c>
      <c r="K149">
        <v>35.18</v>
      </c>
      <c r="L149">
        <v>5924.76</v>
      </c>
      <c r="M149">
        <v>208433.0568</v>
      </c>
      <c r="O149">
        <f>IF(D149="","",_CALC_MOTEUR!AE149)</f>
        <v>0</v>
      </c>
      <c r="P149" t="e">
        <f>IF(D149="","",_CALC_MOTEUR!AF149)</f>
        <v>#VALUE!</v>
      </c>
      <c r="Q149" t="e">
        <f>IF(D149="","",_CALC_MOTEUR!AG149)</f>
        <v>#VALUE!</v>
      </c>
      <c r="R149" t="e">
        <f>IF(D149="","",_CALC_MOTEUR!AH149)</f>
        <v>#VALUE!</v>
      </c>
      <c r="S149" t="e">
        <f t="shared" si="0"/>
        <v>#VALUE!</v>
      </c>
    </row>
    <row r="150" ht="14.25" customHeight="1">
      <c r="A150" t="s">
        <v>191</v>
      </c>
      <c r="B150" t="s">
        <v>9</v>
      </c>
      <c r="C150" t="s">
        <v>192</v>
      </c>
      <c r="D150" t="s">
        <v>95</v>
      </c>
      <c r="E150" t="s">
        <v>236</v>
      </c>
      <c r="F150" t="s">
        <v>205</v>
      </c>
      <c r="G150" t="s">
        <v>207</v>
      </c>
      <c r="H150" t="s">
        <v>197</v>
      </c>
      <c r="I150" t="s">
        <v>233</v>
      </c>
      <c r="J150">
        <v>0</v>
      </c>
      <c r="K150">
        <v>35.54</v>
      </c>
      <c r="L150">
        <v>6003.33</v>
      </c>
      <c r="M150">
        <v>213358.3482</v>
      </c>
      <c r="O150">
        <f>IF(D150="","",_CALC_MOTEUR!AE150)</f>
        <v>0</v>
      </c>
      <c r="P150" t="e">
        <f>IF(D150="","",_CALC_MOTEUR!AF150)</f>
        <v>#VALUE!</v>
      </c>
      <c r="Q150" t="e">
        <f>IF(D150="","",_CALC_MOTEUR!AG150)</f>
        <v>#VALUE!</v>
      </c>
      <c r="R150" t="e">
        <f>IF(D150="","",_CALC_MOTEUR!AH150)</f>
        <v>#VALUE!</v>
      </c>
      <c r="S150" t="e">
        <f t="shared" si="0"/>
        <v>#VALUE!</v>
      </c>
    </row>
    <row r="151" ht="14.25" customHeight="1">
      <c r="A151" t="s">
        <v>191</v>
      </c>
      <c r="B151" t="s">
        <v>234</v>
      </c>
      <c r="C151" t="s">
        <v>192</v>
      </c>
      <c r="D151" t="s">
        <v>95</v>
      </c>
      <c r="E151" t="s">
        <v>236</v>
      </c>
      <c r="F151" t="s">
        <v>205</v>
      </c>
      <c r="G151" t="s">
        <v>207</v>
      </c>
      <c r="H151" t="s">
        <v>197</v>
      </c>
      <c r="I151" t="s">
        <v>233</v>
      </c>
      <c r="J151">
        <v>0</v>
      </c>
      <c r="K151">
        <v>34.64</v>
      </c>
      <c r="L151">
        <v>5924.76</v>
      </c>
      <c r="M151">
        <v>205233.6864</v>
      </c>
      <c r="O151">
        <f>IF(D151="","",_CALC_MOTEUR!AE151)</f>
        <v>0</v>
      </c>
      <c r="P151" t="e">
        <f>IF(D151="","",_CALC_MOTEUR!AF151)</f>
        <v>#VALUE!</v>
      </c>
      <c r="Q151" t="e">
        <f>IF(D151="","",_CALC_MOTEUR!AG151)</f>
        <v>#VALUE!</v>
      </c>
      <c r="R151" t="e">
        <f>IF(D151="","",_CALC_MOTEUR!AH151)</f>
        <v>#VALUE!</v>
      </c>
      <c r="S151" t="e">
        <f t="shared" si="0"/>
        <v>#VALUE!</v>
      </c>
    </row>
    <row r="152" ht="14.25" customHeight="1">
      <c r="A152" t="s">
        <v>191</v>
      </c>
      <c r="B152" t="s">
        <v>231</v>
      </c>
      <c r="C152" t="s">
        <v>192</v>
      </c>
      <c r="D152" t="s">
        <v>95</v>
      </c>
      <c r="E152" t="s">
        <v>236</v>
      </c>
      <c r="F152" t="s">
        <v>208</v>
      </c>
      <c r="G152" t="s">
        <v>194</v>
      </c>
      <c r="H152" t="s">
        <v>197</v>
      </c>
      <c r="I152" t="s">
        <v>233</v>
      </c>
      <c r="J152">
        <v>40.090815642</v>
      </c>
      <c r="K152">
        <v>40.090815642</v>
      </c>
      <c r="L152">
        <v>6912.22</v>
      </c>
      <c r="M152">
        <v>280724.711107859</v>
      </c>
      <c r="O152" t="e">
        <f>IF(D152="","",_CALC_MOTEUR!AE152)</f>
        <v>#VALUE!</v>
      </c>
      <c r="P152" t="e">
        <f>IF(D152="","",_CALC_MOTEUR!AF152)</f>
        <v>#VALUE!</v>
      </c>
      <c r="Q152" t="e">
        <f>IF(D152="","",_CALC_MOTEUR!AG152)</f>
        <v>#VALUE!</v>
      </c>
      <c r="R152" t="e">
        <f>IF(D152="","",_CALC_MOTEUR!AH152)</f>
        <v>#VALUE!</v>
      </c>
      <c r="S152" t="e">
        <f t="shared" si="0"/>
        <v>#VALUE!</v>
      </c>
    </row>
    <row r="153" ht="14.25" customHeight="1">
      <c r="A153" t="s">
        <v>191</v>
      </c>
      <c r="B153" t="s">
        <v>9</v>
      </c>
      <c r="C153" t="s">
        <v>192</v>
      </c>
      <c r="D153" t="s">
        <v>95</v>
      </c>
      <c r="E153" t="s">
        <v>236</v>
      </c>
      <c r="F153" t="s">
        <v>208</v>
      </c>
      <c r="G153" t="s">
        <v>194</v>
      </c>
      <c r="H153" t="s">
        <v>197</v>
      </c>
      <c r="I153" t="s">
        <v>233</v>
      </c>
      <c r="J153">
        <v>46.853029817</v>
      </c>
      <c r="K153">
        <v>46.853029817</v>
      </c>
      <c r="L153">
        <v>7003.885</v>
      </c>
      <c r="M153">
        <v>332370.005424312</v>
      </c>
      <c r="O153" t="e">
        <f>IF(D153="","",_CALC_MOTEUR!AE153)</f>
        <v>#VALUE!</v>
      </c>
      <c r="P153" t="e">
        <f>IF(D153="","",_CALC_MOTEUR!AF153)</f>
        <v>#VALUE!</v>
      </c>
      <c r="Q153" t="e">
        <f>IF(D153="","",_CALC_MOTEUR!AG153)</f>
        <v>#VALUE!</v>
      </c>
      <c r="R153" t="e">
        <f>IF(D153="","",_CALC_MOTEUR!AH153)</f>
        <v>#VALUE!</v>
      </c>
      <c r="S153" t="e">
        <f t="shared" si="0"/>
        <v>#VALUE!</v>
      </c>
    </row>
    <row r="154" ht="14.25" customHeight="1">
      <c r="A154" t="s">
        <v>191</v>
      </c>
      <c r="B154" t="s">
        <v>234</v>
      </c>
      <c r="C154" t="s">
        <v>192</v>
      </c>
      <c r="D154" t="s">
        <v>95</v>
      </c>
      <c r="E154" t="s">
        <v>236</v>
      </c>
      <c r="F154" t="s">
        <v>208</v>
      </c>
      <c r="G154" t="s">
        <v>194</v>
      </c>
      <c r="H154" t="s">
        <v>197</v>
      </c>
      <c r="I154" t="s">
        <v>233</v>
      </c>
      <c r="J154">
        <v>32.684123557</v>
      </c>
      <c r="K154">
        <v>32.684123557</v>
      </c>
      <c r="L154">
        <v>6912.22</v>
      </c>
      <c r="M154">
        <v>228861.42365444</v>
      </c>
      <c r="O154" t="e">
        <f>IF(D154="","",_CALC_MOTEUR!AE154)</f>
        <v>#VALUE!</v>
      </c>
      <c r="P154" t="e">
        <f>IF(D154="","",_CALC_MOTEUR!AF154)</f>
        <v>#VALUE!</v>
      </c>
      <c r="Q154" t="e">
        <f>IF(D154="","",_CALC_MOTEUR!AG154)</f>
        <v>#VALUE!</v>
      </c>
      <c r="R154" t="e">
        <f>IF(D154="","",_CALC_MOTEUR!AH154)</f>
        <v>#VALUE!</v>
      </c>
      <c r="S154" t="e">
        <f t="shared" si="0"/>
        <v>#VALUE!</v>
      </c>
    </row>
    <row r="155" ht="14.25" customHeight="1">
      <c r="A155" t="s">
        <v>191</v>
      </c>
      <c r="B155" t="s">
        <v>231</v>
      </c>
      <c r="C155" t="s">
        <v>192</v>
      </c>
      <c r="D155" t="s">
        <v>95</v>
      </c>
      <c r="E155" t="s">
        <v>236</v>
      </c>
      <c r="F155" t="s">
        <v>208</v>
      </c>
      <c r="G155" t="s">
        <v>198</v>
      </c>
      <c r="H155" t="s">
        <v>197</v>
      </c>
      <c r="I155" t="s">
        <v>233</v>
      </c>
      <c r="J155">
        <v>0</v>
      </c>
      <c r="K155">
        <v>35.18</v>
      </c>
      <c r="L155">
        <v>6912.22</v>
      </c>
      <c r="M155">
        <v>243171.8996</v>
      </c>
      <c r="O155">
        <f>IF(D155="","",_CALC_MOTEUR!AE155)</f>
        <v>0</v>
      </c>
      <c r="P155" t="e">
        <f>IF(D155="","",_CALC_MOTEUR!AF155)</f>
        <v>#VALUE!</v>
      </c>
      <c r="Q155" t="e">
        <f>IF(D155="","",_CALC_MOTEUR!AG155)</f>
        <v>#VALUE!</v>
      </c>
      <c r="R155" t="e">
        <f>IF(D155="","",_CALC_MOTEUR!AH155)</f>
        <v>#VALUE!</v>
      </c>
      <c r="S155" t="e">
        <f t="shared" si="0"/>
        <v>#VALUE!</v>
      </c>
    </row>
    <row r="156" ht="14.25" customHeight="1">
      <c r="A156" t="s">
        <v>191</v>
      </c>
      <c r="B156" t="s">
        <v>9</v>
      </c>
      <c r="C156" t="s">
        <v>192</v>
      </c>
      <c r="D156" t="s">
        <v>95</v>
      </c>
      <c r="E156" t="s">
        <v>236</v>
      </c>
      <c r="F156" t="s">
        <v>208</v>
      </c>
      <c r="G156" t="s">
        <v>198</v>
      </c>
      <c r="H156" t="s">
        <v>197</v>
      </c>
      <c r="I156" t="s">
        <v>233</v>
      </c>
      <c r="J156">
        <v>0</v>
      </c>
      <c r="K156">
        <v>35.54</v>
      </c>
      <c r="L156">
        <v>7003.885</v>
      </c>
      <c r="M156">
        <v>248918.0729</v>
      </c>
      <c r="O156">
        <f>IF(D156="","",_CALC_MOTEUR!AE156)</f>
        <v>0</v>
      </c>
      <c r="P156" t="e">
        <f>IF(D156="","",_CALC_MOTEUR!AF156)</f>
        <v>#VALUE!</v>
      </c>
      <c r="Q156" t="e">
        <f>IF(D156="","",_CALC_MOTEUR!AG156)</f>
        <v>#VALUE!</v>
      </c>
      <c r="R156" t="e">
        <f>IF(D156="","",_CALC_MOTEUR!AH156)</f>
        <v>#VALUE!</v>
      </c>
      <c r="S156" t="e">
        <f t="shared" si="0"/>
        <v>#VALUE!</v>
      </c>
    </row>
    <row r="157" ht="14.25" customHeight="1">
      <c r="A157" t="s">
        <v>191</v>
      </c>
      <c r="B157" t="s">
        <v>234</v>
      </c>
      <c r="C157" t="s">
        <v>192</v>
      </c>
      <c r="D157" t="s">
        <v>95</v>
      </c>
      <c r="E157" t="s">
        <v>236</v>
      </c>
      <c r="F157" t="s">
        <v>208</v>
      </c>
      <c r="G157" t="s">
        <v>198</v>
      </c>
      <c r="H157" t="s">
        <v>197</v>
      </c>
      <c r="I157" t="s">
        <v>233</v>
      </c>
      <c r="J157">
        <v>0</v>
      </c>
      <c r="K157">
        <v>34.64</v>
      </c>
      <c r="L157">
        <v>6912.22</v>
      </c>
      <c r="M157">
        <v>239439.3008</v>
      </c>
      <c r="O157">
        <f>IF(D157="","",_CALC_MOTEUR!AE157)</f>
        <v>0</v>
      </c>
      <c r="P157" t="e">
        <f>IF(D157="","",_CALC_MOTEUR!AF157)</f>
        <v>#VALUE!</v>
      </c>
      <c r="Q157" t="e">
        <f>IF(D157="","",_CALC_MOTEUR!AG157)</f>
        <v>#VALUE!</v>
      </c>
      <c r="R157" t="e">
        <f>IF(D157="","",_CALC_MOTEUR!AH157)</f>
        <v>#VALUE!</v>
      </c>
      <c r="S157" t="e">
        <f t="shared" si="0"/>
        <v>#VALUE!</v>
      </c>
    </row>
    <row r="158" ht="14.25" customHeight="1">
      <c r="A158" t="s">
        <v>191</v>
      </c>
      <c r="B158" t="s">
        <v>231</v>
      </c>
      <c r="C158" t="s">
        <v>192</v>
      </c>
      <c r="D158" t="s">
        <v>96</v>
      </c>
      <c r="E158" t="s">
        <v>237</v>
      </c>
      <c r="F158" t="s">
        <v>209</v>
      </c>
      <c r="G158" t="s">
        <v>194</v>
      </c>
      <c r="H158" t="s">
        <v>197</v>
      </c>
      <c r="I158" t="s">
        <v>233</v>
      </c>
      <c r="J158">
        <v>52.095304725</v>
      </c>
      <c r="K158">
        <v>52.095304725</v>
      </c>
      <c r="L158">
        <v>8004.64</v>
      </c>
      <c r="M158">
        <v>421692.737439238</v>
      </c>
      <c r="O158" t="e">
        <f>IF(D158="","",_CALC_MOTEUR!AE158)</f>
        <v>#VALUE!</v>
      </c>
      <c r="P158" t="e">
        <f>IF(D158="","",_CALC_MOTEUR!AF158)</f>
        <v>#VALUE!</v>
      </c>
      <c r="Q158" t="e">
        <f>IF(D158="","",_CALC_MOTEUR!AG158)</f>
        <v>#VALUE!</v>
      </c>
      <c r="R158" t="e">
        <f>IF(D158="","",_CALC_MOTEUR!AH158)</f>
        <v>#VALUE!</v>
      </c>
      <c r="S158" t="e">
        <f t="shared" si="0"/>
        <v>#VALUE!</v>
      </c>
    </row>
    <row r="159" ht="14.25" customHeight="1">
      <c r="A159" t="s">
        <v>191</v>
      </c>
      <c r="B159" t="s">
        <v>9</v>
      </c>
      <c r="C159" t="s">
        <v>192</v>
      </c>
      <c r="D159" t="s">
        <v>96</v>
      </c>
      <c r="E159" t="s">
        <v>237</v>
      </c>
      <c r="F159" t="s">
        <v>209</v>
      </c>
      <c r="G159" t="s">
        <v>194</v>
      </c>
      <c r="H159" t="s">
        <v>197</v>
      </c>
      <c r="I159" t="s">
        <v>233</v>
      </c>
      <c r="J159">
        <v>60.588096445</v>
      </c>
      <c r="K159">
        <v>60.588096445</v>
      </c>
      <c r="L159">
        <v>8128.12</v>
      </c>
      <c r="M159">
        <v>497920.247154803</v>
      </c>
      <c r="O159" t="e">
        <f>IF(D159="","",_CALC_MOTEUR!AE159)</f>
        <v>#VALUE!</v>
      </c>
      <c r="P159" t="e">
        <f>IF(D159="","",_CALC_MOTEUR!AF159)</f>
        <v>#VALUE!</v>
      </c>
      <c r="Q159" t="e">
        <f>IF(D159="","",_CALC_MOTEUR!AG159)</f>
        <v>#VALUE!</v>
      </c>
      <c r="R159" t="e">
        <f>IF(D159="","",_CALC_MOTEUR!AH159)</f>
        <v>#VALUE!</v>
      </c>
      <c r="S159" t="e">
        <f t="shared" si="0"/>
        <v>#VALUE!</v>
      </c>
    </row>
    <row r="160" ht="14.25" customHeight="1">
      <c r="A160" t="s">
        <v>191</v>
      </c>
      <c r="B160" t="s">
        <v>234</v>
      </c>
      <c r="C160" t="s">
        <v>192</v>
      </c>
      <c r="D160" t="s">
        <v>96</v>
      </c>
      <c r="E160" t="s">
        <v>237</v>
      </c>
      <c r="F160" t="s">
        <v>209</v>
      </c>
      <c r="G160" t="s">
        <v>194</v>
      </c>
      <c r="H160" t="s">
        <v>197</v>
      </c>
      <c r="I160" t="s">
        <v>233</v>
      </c>
      <c r="J160">
        <v>42.750667218</v>
      </c>
      <c r="K160">
        <v>42.750667218</v>
      </c>
      <c r="L160">
        <v>8004.64</v>
      </c>
      <c r="M160">
        <v>346051.26088803</v>
      </c>
      <c r="O160" t="e">
        <f>IF(D160="","",_CALC_MOTEUR!AE160)</f>
        <v>#VALUE!</v>
      </c>
      <c r="P160" t="e">
        <f>IF(D160="","",_CALC_MOTEUR!AF160)</f>
        <v>#VALUE!</v>
      </c>
      <c r="Q160" t="e">
        <f>IF(D160="","",_CALC_MOTEUR!AG160)</f>
        <v>#VALUE!</v>
      </c>
      <c r="R160" t="e">
        <f>IF(D160="","",_CALC_MOTEUR!AH160)</f>
        <v>#VALUE!</v>
      </c>
      <c r="S160" t="e">
        <f t="shared" si="0"/>
        <v>#VALUE!</v>
      </c>
    </row>
    <row r="161" ht="14.25" customHeight="1">
      <c r="A161" t="s">
        <v>191</v>
      </c>
      <c r="B161" t="s">
        <v>231</v>
      </c>
      <c r="C161" t="s">
        <v>192</v>
      </c>
      <c r="D161" t="s">
        <v>96</v>
      </c>
      <c r="E161" t="s">
        <v>237</v>
      </c>
      <c r="F161" t="s">
        <v>209</v>
      </c>
      <c r="G161" t="s">
        <v>196</v>
      </c>
      <c r="H161" t="s">
        <v>197</v>
      </c>
      <c r="I161" t="s">
        <v>233</v>
      </c>
      <c r="J161">
        <v>0</v>
      </c>
      <c r="K161">
        <v>46.235</v>
      </c>
      <c r="L161">
        <v>8004.64</v>
      </c>
      <c r="M161">
        <v>370094.5304</v>
      </c>
      <c r="O161">
        <f>IF(D161="","",_CALC_MOTEUR!AE161)</f>
        <v>0</v>
      </c>
      <c r="P161" t="e">
        <f>IF(D161="","",_CALC_MOTEUR!AF161)</f>
        <v>#VALUE!</v>
      </c>
      <c r="Q161" t="e">
        <f>IF(D161="","",_CALC_MOTEUR!AG161)</f>
        <v>#VALUE!</v>
      </c>
      <c r="R161" t="e">
        <f>IF(D161="","",_CALC_MOTEUR!AH161)</f>
        <v>#VALUE!</v>
      </c>
      <c r="S161" t="e">
        <f t="shared" si="0"/>
        <v>#VALUE!</v>
      </c>
    </row>
    <row r="162" ht="14.25" customHeight="1">
      <c r="A162" t="s">
        <v>191</v>
      </c>
      <c r="B162" t="s">
        <v>9</v>
      </c>
      <c r="C162" t="s">
        <v>192</v>
      </c>
      <c r="D162" t="s">
        <v>96</v>
      </c>
      <c r="E162" t="s">
        <v>237</v>
      </c>
      <c r="F162" t="s">
        <v>209</v>
      </c>
      <c r="G162" t="s">
        <v>196</v>
      </c>
      <c r="H162" t="s">
        <v>197</v>
      </c>
      <c r="I162" t="s">
        <v>233</v>
      </c>
      <c r="J162">
        <v>0</v>
      </c>
      <c r="K162">
        <v>46.705</v>
      </c>
      <c r="L162">
        <v>8128.12</v>
      </c>
      <c r="M162">
        <v>379623.8446</v>
      </c>
      <c r="O162">
        <f>IF(D162="","",_CALC_MOTEUR!AE162)</f>
        <v>0</v>
      </c>
      <c r="P162" t="e">
        <f>IF(D162="","",_CALC_MOTEUR!AF162)</f>
        <v>#VALUE!</v>
      </c>
      <c r="Q162" t="e">
        <f>IF(D162="","",_CALC_MOTEUR!AG162)</f>
        <v>#VALUE!</v>
      </c>
      <c r="R162" t="e">
        <f>IF(D162="","",_CALC_MOTEUR!AH162)</f>
        <v>#VALUE!</v>
      </c>
      <c r="S162" t="e">
        <f t="shared" si="0"/>
        <v>#VALUE!</v>
      </c>
    </row>
    <row r="163" ht="14.25" customHeight="1">
      <c r="A163" t="s">
        <v>191</v>
      </c>
      <c r="B163" t="s">
        <v>234</v>
      </c>
      <c r="C163" t="s">
        <v>192</v>
      </c>
      <c r="D163" t="s">
        <v>96</v>
      </c>
      <c r="E163" t="s">
        <v>237</v>
      </c>
      <c r="F163" t="s">
        <v>209</v>
      </c>
      <c r="G163" t="s">
        <v>196</v>
      </c>
      <c r="H163" t="s">
        <v>197</v>
      </c>
      <c r="I163" t="s">
        <v>233</v>
      </c>
      <c r="J163">
        <v>0</v>
      </c>
      <c r="K163">
        <v>45.53</v>
      </c>
      <c r="L163">
        <v>8004.64</v>
      </c>
      <c r="M163">
        <v>364451.2592</v>
      </c>
      <c r="O163">
        <f>IF(D163="","",_CALC_MOTEUR!AE163)</f>
        <v>0</v>
      </c>
      <c r="P163" t="e">
        <f>IF(D163="","",_CALC_MOTEUR!AF163)</f>
        <v>#VALUE!</v>
      </c>
      <c r="Q163" t="e">
        <f>IF(D163="","",_CALC_MOTEUR!AG163)</f>
        <v>#VALUE!</v>
      </c>
      <c r="R163" t="e">
        <f>IF(D163="","",_CALC_MOTEUR!AH163)</f>
        <v>#VALUE!</v>
      </c>
      <c r="S163" t="e">
        <f t="shared" si="0"/>
        <v>#VALUE!</v>
      </c>
    </row>
    <row r="164" ht="14.25" customHeight="1">
      <c r="A164" t="s">
        <v>191</v>
      </c>
      <c r="B164" t="s">
        <v>231</v>
      </c>
      <c r="C164" t="s">
        <v>192</v>
      </c>
      <c r="D164" t="s">
        <v>96</v>
      </c>
      <c r="E164" t="s">
        <v>237</v>
      </c>
      <c r="F164" t="s">
        <v>209</v>
      </c>
      <c r="G164" t="s">
        <v>198</v>
      </c>
      <c r="H164" t="s">
        <v>197</v>
      </c>
      <c r="I164" t="s">
        <v>233</v>
      </c>
      <c r="J164">
        <v>0</v>
      </c>
      <c r="K164">
        <v>45.23</v>
      </c>
      <c r="L164">
        <v>8004.64</v>
      </c>
      <c r="M164">
        <v>362049.8672</v>
      </c>
      <c r="O164">
        <f>IF(D164="","",_CALC_MOTEUR!AE164)</f>
        <v>0</v>
      </c>
      <c r="P164" t="e">
        <f>IF(D164="","",_CALC_MOTEUR!AF164)</f>
        <v>#VALUE!</v>
      </c>
      <c r="Q164" t="e">
        <f>IF(D164="","",_CALC_MOTEUR!AG164)</f>
        <v>#VALUE!</v>
      </c>
      <c r="R164" t="e">
        <f>IF(D164="","",_CALC_MOTEUR!AH164)</f>
        <v>#VALUE!</v>
      </c>
      <c r="S164" t="e">
        <f t="shared" si="0"/>
        <v>#VALUE!</v>
      </c>
    </row>
    <row r="165" ht="14.25" customHeight="1">
      <c r="A165" t="s">
        <v>191</v>
      </c>
      <c r="B165" t="s">
        <v>9</v>
      </c>
      <c r="C165" t="s">
        <v>192</v>
      </c>
      <c r="D165" t="s">
        <v>96</v>
      </c>
      <c r="E165" t="s">
        <v>237</v>
      </c>
      <c r="F165" t="s">
        <v>209</v>
      </c>
      <c r="G165" t="s">
        <v>198</v>
      </c>
      <c r="H165" t="s">
        <v>197</v>
      </c>
      <c r="I165" t="s">
        <v>233</v>
      </c>
      <c r="J165">
        <v>0</v>
      </c>
      <c r="K165">
        <v>45.69</v>
      </c>
      <c r="L165">
        <v>8128.12</v>
      </c>
      <c r="M165">
        <v>371373.8028</v>
      </c>
      <c r="O165">
        <f>IF(D165="","",_CALC_MOTEUR!AE165)</f>
        <v>0</v>
      </c>
      <c r="P165" t="e">
        <f>IF(D165="","",_CALC_MOTEUR!AF165)</f>
        <v>#VALUE!</v>
      </c>
      <c r="Q165" t="e">
        <f>IF(D165="","",_CALC_MOTEUR!AG165)</f>
        <v>#VALUE!</v>
      </c>
      <c r="R165" t="e">
        <f>IF(D165="","",_CALC_MOTEUR!AH165)</f>
        <v>#VALUE!</v>
      </c>
      <c r="S165" t="e">
        <f t="shared" si="0"/>
        <v>#VALUE!</v>
      </c>
    </row>
    <row r="166" ht="14.25" customHeight="1">
      <c r="A166" t="s">
        <v>191</v>
      </c>
      <c r="B166" t="s">
        <v>234</v>
      </c>
      <c r="C166" t="s">
        <v>192</v>
      </c>
      <c r="D166" t="s">
        <v>96</v>
      </c>
      <c r="E166" t="s">
        <v>237</v>
      </c>
      <c r="F166" t="s">
        <v>209</v>
      </c>
      <c r="G166" t="s">
        <v>198</v>
      </c>
      <c r="H166" t="s">
        <v>197</v>
      </c>
      <c r="I166" t="s">
        <v>233</v>
      </c>
      <c r="J166">
        <v>0</v>
      </c>
      <c r="K166">
        <v>44.54</v>
      </c>
      <c r="L166">
        <v>8004.64</v>
      </c>
      <c r="M166">
        <v>356526.6656</v>
      </c>
      <c r="O166">
        <f>IF(D166="","",_CALC_MOTEUR!AE166)</f>
        <v>0</v>
      </c>
      <c r="P166" t="e">
        <f>IF(D166="","",_CALC_MOTEUR!AF166)</f>
        <v>#VALUE!</v>
      </c>
      <c r="Q166" t="e">
        <f>IF(D166="","",_CALC_MOTEUR!AG166)</f>
        <v>#VALUE!</v>
      </c>
      <c r="R166" t="e">
        <f>IF(D166="","",_CALC_MOTEUR!AH166)</f>
        <v>#VALUE!</v>
      </c>
      <c r="S166" t="e">
        <f t="shared" si="0"/>
        <v>#VALUE!</v>
      </c>
    </row>
    <row r="167" ht="14.25" customHeight="1">
      <c r="A167" t="s">
        <v>191</v>
      </c>
      <c r="B167" t="s">
        <v>231</v>
      </c>
      <c r="C167" t="s">
        <v>192</v>
      </c>
      <c r="D167" t="s">
        <v>97</v>
      </c>
      <c r="E167" t="s">
        <v>237</v>
      </c>
      <c r="F167" t="s">
        <v>209</v>
      </c>
      <c r="G167" t="s">
        <v>194</v>
      </c>
      <c r="H167" t="s">
        <v>197</v>
      </c>
      <c r="I167" t="s">
        <v>233</v>
      </c>
      <c r="J167">
        <v>44.464894073</v>
      </c>
      <c r="K167">
        <v>44.464894073</v>
      </c>
      <c r="L167">
        <v>7504.35</v>
      </c>
      <c r="M167">
        <v>337681.968304184</v>
      </c>
      <c r="O167" t="e">
        <f>IF(D167="","",_CALC_MOTEUR!AE167)</f>
        <v>#VALUE!</v>
      </c>
      <c r="P167" t="e">
        <f>IF(D167="","",_CALC_MOTEUR!AF167)</f>
        <v>#VALUE!</v>
      </c>
      <c r="Q167" t="e">
        <f>IF(D167="","",_CALC_MOTEUR!AG167)</f>
        <v>#VALUE!</v>
      </c>
      <c r="R167" t="e">
        <f>IF(D167="","",_CALC_MOTEUR!AH167)</f>
        <v>#VALUE!</v>
      </c>
      <c r="S167" t="e">
        <f t="shared" si="0"/>
        <v>#VALUE!</v>
      </c>
    </row>
    <row r="168" ht="14.25" customHeight="1">
      <c r="A168" t="s">
        <v>191</v>
      </c>
      <c r="B168" t="s">
        <v>9</v>
      </c>
      <c r="C168" t="s">
        <v>192</v>
      </c>
      <c r="D168" t="s">
        <v>97</v>
      </c>
      <c r="E168" t="s">
        <v>237</v>
      </c>
      <c r="F168" t="s">
        <v>209</v>
      </c>
      <c r="G168" t="s">
        <v>194</v>
      </c>
      <c r="H168" t="s">
        <v>197</v>
      </c>
      <c r="I168" t="s">
        <v>233</v>
      </c>
      <c r="J168">
        <v>51.849738529</v>
      </c>
      <c r="K168">
        <v>51.849738529</v>
      </c>
      <c r="L168">
        <v>7620.1125</v>
      </c>
      <c r="M168">
        <v>399767.317157087</v>
      </c>
      <c r="O168" t="e">
        <f>IF(D168="","",_CALC_MOTEUR!AE168)</f>
        <v>#VALUE!</v>
      </c>
      <c r="P168" t="e">
        <f>IF(D168="","",_CALC_MOTEUR!AF168)</f>
        <v>#VALUE!</v>
      </c>
      <c r="Q168" t="e">
        <f>IF(D168="","",_CALC_MOTEUR!AG168)</f>
        <v>#VALUE!</v>
      </c>
      <c r="R168" t="e">
        <f>IF(D168="","",_CALC_MOTEUR!AH168)</f>
        <v>#VALUE!</v>
      </c>
      <c r="S168" t="e">
        <f t="shared" si="0"/>
        <v>#VALUE!</v>
      </c>
    </row>
    <row r="169" ht="14.25" customHeight="1">
      <c r="A169" t="s">
        <v>191</v>
      </c>
      <c r="B169" t="s">
        <v>234</v>
      </c>
      <c r="C169" t="s">
        <v>192</v>
      </c>
      <c r="D169" t="s">
        <v>97</v>
      </c>
      <c r="E169" t="s">
        <v>237</v>
      </c>
      <c r="F169" t="s">
        <v>209</v>
      </c>
      <c r="G169" t="s">
        <v>194</v>
      </c>
      <c r="H169" t="s">
        <v>197</v>
      </c>
      <c r="I169" t="s">
        <v>233</v>
      </c>
      <c r="J169">
        <v>36.329612643</v>
      </c>
      <c r="K169">
        <v>36.329612643</v>
      </c>
      <c r="L169">
        <v>7504.35</v>
      </c>
      <c r="M169">
        <v>275899.793779136</v>
      </c>
      <c r="O169" t="e">
        <f>IF(D169="","",_CALC_MOTEUR!AE169)</f>
        <v>#VALUE!</v>
      </c>
      <c r="P169" t="e">
        <f>IF(D169="","",_CALC_MOTEUR!AF169)</f>
        <v>#VALUE!</v>
      </c>
      <c r="Q169" t="e">
        <f>IF(D169="","",_CALC_MOTEUR!AG169)</f>
        <v>#VALUE!</v>
      </c>
      <c r="R169" t="e">
        <f>IF(D169="","",_CALC_MOTEUR!AH169)</f>
        <v>#VALUE!</v>
      </c>
      <c r="S169" t="e">
        <f t="shared" si="0"/>
        <v>#VALUE!</v>
      </c>
    </row>
    <row r="170" ht="14.25" customHeight="1">
      <c r="A170" t="s">
        <v>191</v>
      </c>
      <c r="B170" t="s">
        <v>231</v>
      </c>
      <c r="C170" t="s">
        <v>192</v>
      </c>
      <c r="D170" t="s">
        <v>97</v>
      </c>
      <c r="E170" t="s">
        <v>237</v>
      </c>
      <c r="F170" t="s">
        <v>209</v>
      </c>
      <c r="G170" t="s">
        <v>196</v>
      </c>
      <c r="H170" t="s">
        <v>197</v>
      </c>
      <c r="I170" t="s">
        <v>233</v>
      </c>
      <c r="J170">
        <v>0</v>
      </c>
      <c r="K170">
        <v>39.2</v>
      </c>
      <c r="L170">
        <v>7504.35</v>
      </c>
      <c r="M170">
        <v>294170.52</v>
      </c>
      <c r="O170">
        <f>IF(D170="","",_CALC_MOTEUR!AE170)</f>
        <v>0</v>
      </c>
      <c r="P170" t="e">
        <f>IF(D170="","",_CALC_MOTEUR!AF170)</f>
        <v>#VALUE!</v>
      </c>
      <c r="Q170" t="e">
        <f>IF(D170="","",_CALC_MOTEUR!AG170)</f>
        <v>#VALUE!</v>
      </c>
      <c r="R170" t="e">
        <f>IF(D170="","",_CALC_MOTEUR!AH170)</f>
        <v>#VALUE!</v>
      </c>
      <c r="S170" t="e">
        <f t="shared" si="0"/>
        <v>#VALUE!</v>
      </c>
    </row>
    <row r="171" ht="14.25" customHeight="1">
      <c r="A171" t="s">
        <v>191</v>
      </c>
      <c r="B171" t="s">
        <v>9</v>
      </c>
      <c r="C171" t="s">
        <v>192</v>
      </c>
      <c r="D171" t="s">
        <v>97</v>
      </c>
      <c r="E171" t="s">
        <v>237</v>
      </c>
      <c r="F171" t="s">
        <v>209</v>
      </c>
      <c r="G171" t="s">
        <v>196</v>
      </c>
      <c r="H171" t="s">
        <v>197</v>
      </c>
      <c r="I171" t="s">
        <v>233</v>
      </c>
      <c r="J171">
        <v>0</v>
      </c>
      <c r="K171">
        <v>39.6</v>
      </c>
      <c r="L171">
        <v>7620.1125</v>
      </c>
      <c r="M171">
        <v>301756.455</v>
      </c>
      <c r="O171">
        <f>IF(D171="","",_CALC_MOTEUR!AE171)</f>
        <v>0</v>
      </c>
      <c r="P171" t="e">
        <f>IF(D171="","",_CALC_MOTEUR!AF171)</f>
        <v>#VALUE!</v>
      </c>
      <c r="Q171" t="e">
        <f>IF(D171="","",_CALC_MOTEUR!AG171)</f>
        <v>#VALUE!</v>
      </c>
      <c r="R171" t="e">
        <f>IF(D171="","",_CALC_MOTEUR!AH171)</f>
        <v>#VALUE!</v>
      </c>
      <c r="S171" t="e">
        <f t="shared" si="0"/>
        <v>#VALUE!</v>
      </c>
    </row>
    <row r="172" ht="14.25" customHeight="1">
      <c r="A172" t="s">
        <v>191</v>
      </c>
      <c r="B172" t="s">
        <v>234</v>
      </c>
      <c r="C172" t="s">
        <v>192</v>
      </c>
      <c r="D172" t="s">
        <v>97</v>
      </c>
      <c r="E172" t="s">
        <v>237</v>
      </c>
      <c r="F172" t="s">
        <v>209</v>
      </c>
      <c r="G172" t="s">
        <v>196</v>
      </c>
      <c r="H172" t="s">
        <v>197</v>
      </c>
      <c r="I172" t="s">
        <v>233</v>
      </c>
      <c r="J172">
        <v>0</v>
      </c>
      <c r="K172">
        <v>38.6</v>
      </c>
      <c r="L172">
        <v>7504.35</v>
      </c>
      <c r="M172">
        <v>289667.91</v>
      </c>
      <c r="O172">
        <f>IF(D172="","",_CALC_MOTEUR!AE172)</f>
        <v>0</v>
      </c>
      <c r="P172" t="e">
        <f>IF(D172="","",_CALC_MOTEUR!AF172)</f>
        <v>#VALUE!</v>
      </c>
      <c r="Q172" t="e">
        <f>IF(D172="","",_CALC_MOTEUR!AG172)</f>
        <v>#VALUE!</v>
      </c>
      <c r="R172" t="e">
        <f>IF(D172="","",_CALC_MOTEUR!AH172)</f>
        <v>#VALUE!</v>
      </c>
      <c r="S172" t="e">
        <f t="shared" si="0"/>
        <v>#VALUE!</v>
      </c>
    </row>
    <row r="173" ht="14.25" customHeight="1">
      <c r="A173" t="s">
        <v>191</v>
      </c>
      <c r="B173" t="s">
        <v>231</v>
      </c>
      <c r="C173" t="s">
        <v>192</v>
      </c>
      <c r="D173" t="s">
        <v>97</v>
      </c>
      <c r="E173" t="s">
        <v>237</v>
      </c>
      <c r="F173" t="s">
        <v>209</v>
      </c>
      <c r="G173" t="s">
        <v>198</v>
      </c>
      <c r="H173" t="s">
        <v>197</v>
      </c>
      <c r="I173" t="s">
        <v>233</v>
      </c>
      <c r="J173">
        <v>0</v>
      </c>
      <c r="K173">
        <v>38.195</v>
      </c>
      <c r="L173">
        <v>7504.35</v>
      </c>
      <c r="M173">
        <v>286628.64825</v>
      </c>
      <c r="O173">
        <f>IF(D173="","",_CALC_MOTEUR!AE173)</f>
        <v>0</v>
      </c>
      <c r="P173" t="e">
        <f>IF(D173="","",_CALC_MOTEUR!AF173)</f>
        <v>#VALUE!</v>
      </c>
      <c r="Q173" t="e">
        <f>IF(D173="","",_CALC_MOTEUR!AG173)</f>
        <v>#VALUE!</v>
      </c>
      <c r="R173" t="e">
        <f>IF(D173="","",_CALC_MOTEUR!AH173)</f>
        <v>#VALUE!</v>
      </c>
      <c r="S173" t="e">
        <f t="shared" si="0"/>
        <v>#VALUE!</v>
      </c>
    </row>
    <row r="174" ht="14.25" customHeight="1">
      <c r="A174" t="s">
        <v>191</v>
      </c>
      <c r="B174" t="s">
        <v>9</v>
      </c>
      <c r="C174" t="s">
        <v>192</v>
      </c>
      <c r="D174" t="s">
        <v>97</v>
      </c>
      <c r="E174" t="s">
        <v>237</v>
      </c>
      <c r="F174" t="s">
        <v>209</v>
      </c>
      <c r="G174" t="s">
        <v>198</v>
      </c>
      <c r="H174" t="s">
        <v>197</v>
      </c>
      <c r="I174" t="s">
        <v>233</v>
      </c>
      <c r="J174">
        <v>0</v>
      </c>
      <c r="K174">
        <v>38.585</v>
      </c>
      <c r="L174">
        <v>7620.1125</v>
      </c>
      <c r="M174">
        <v>294022.0408125</v>
      </c>
      <c r="O174">
        <f>IF(D174="","",_CALC_MOTEUR!AE174)</f>
        <v>0</v>
      </c>
      <c r="P174" t="e">
        <f>IF(D174="","",_CALC_MOTEUR!AF174)</f>
        <v>#VALUE!</v>
      </c>
      <c r="Q174" t="e">
        <f>IF(D174="","",_CALC_MOTEUR!AG174)</f>
        <v>#VALUE!</v>
      </c>
      <c r="R174" t="e">
        <f>IF(D174="","",_CALC_MOTEUR!AH174)</f>
        <v>#VALUE!</v>
      </c>
      <c r="S174" t="e">
        <f t="shared" si="0"/>
        <v>#VALUE!</v>
      </c>
    </row>
    <row r="175" ht="14.25" customHeight="1">
      <c r="A175" t="s">
        <v>191</v>
      </c>
      <c r="B175" t="s">
        <v>234</v>
      </c>
      <c r="C175" t="s">
        <v>192</v>
      </c>
      <c r="D175" t="s">
        <v>97</v>
      </c>
      <c r="E175" t="s">
        <v>237</v>
      </c>
      <c r="F175" t="s">
        <v>209</v>
      </c>
      <c r="G175" t="s">
        <v>198</v>
      </c>
      <c r="H175" t="s">
        <v>197</v>
      </c>
      <c r="I175" t="s">
        <v>233</v>
      </c>
      <c r="J175">
        <v>0</v>
      </c>
      <c r="K175">
        <v>37.61</v>
      </c>
      <c r="L175">
        <v>7504.35</v>
      </c>
      <c r="M175">
        <v>282238.6035</v>
      </c>
      <c r="O175">
        <f>IF(D175="","",_CALC_MOTEUR!AE175)</f>
        <v>0</v>
      </c>
      <c r="P175" t="e">
        <f>IF(D175="","",_CALC_MOTEUR!AF175)</f>
        <v>#VALUE!</v>
      </c>
      <c r="Q175" t="e">
        <f>IF(D175="","",_CALC_MOTEUR!AG175)</f>
        <v>#VALUE!</v>
      </c>
      <c r="R175" t="e">
        <f>IF(D175="","",_CALC_MOTEUR!AH175)</f>
        <v>#VALUE!</v>
      </c>
      <c r="S175" t="e">
        <f t="shared" si="0"/>
        <v>#VALUE!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23BB48-FFE9-F708-C5B8-B773957287D8}" mc:Ignorable="x14ac xr xr2 xr3">
  <dimension ref="A1:G775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s="2" t="s">
        <v>71</v>
      </c>
      <c r="B1" s="2" t="s">
        <v>238</v>
      </c>
      <c r="C1" s="2" t="s">
        <v>170</v>
      </c>
      <c r="D1" s="2" t="s">
        <v>239</v>
      </c>
      <c r="E1" s="2" t="s">
        <v>240</v>
      </c>
      <c r="F1" s="2" t="s">
        <v>241</v>
      </c>
    </row>
    <row r="2" ht="14.25" customHeight="1">
      <c r="A2" t="s">
        <v>75</v>
      </c>
      <c r="B2" t="s">
        <v>242</v>
      </c>
      <c r="C2" t="s">
        <v>211</v>
      </c>
      <c r="D2" t="s">
        <v>191</v>
      </c>
      <c r="E2" t="s">
        <v>192</v>
      </c>
      <c r="F2">
        <v>2197935</v>
      </c>
    </row>
    <row r="3" ht="14.25" customHeight="1">
      <c r="A3" t="s">
        <v>77</v>
      </c>
      <c r="B3" t="s">
        <v>242</v>
      </c>
      <c r="C3" t="s">
        <v>211</v>
      </c>
      <c r="D3" t="s">
        <v>191</v>
      </c>
      <c r="E3" t="s">
        <v>192</v>
      </c>
      <c r="F3">
        <v>1748910</v>
      </c>
    </row>
    <row r="4" ht="14.25" customHeight="1">
      <c r="A4" t="s">
        <v>79</v>
      </c>
      <c r="B4" t="s">
        <v>242</v>
      </c>
      <c r="C4" t="s">
        <v>211</v>
      </c>
      <c r="D4" t="s">
        <v>191</v>
      </c>
      <c r="E4" t="s">
        <v>192</v>
      </c>
      <c r="F4">
        <v>1510769</v>
      </c>
    </row>
    <row r="5" ht="14.25" customHeight="1">
      <c r="A5" t="s">
        <v>81</v>
      </c>
      <c r="B5" t="s">
        <v>242</v>
      </c>
      <c r="C5" t="s">
        <v>211</v>
      </c>
      <c r="D5" t="s">
        <v>191</v>
      </c>
      <c r="E5" t="s">
        <v>192</v>
      </c>
      <c r="F5">
        <v>1240125</v>
      </c>
    </row>
    <row r="6" ht="14.25" customHeight="1">
      <c r="A6" t="s">
        <v>83</v>
      </c>
      <c r="B6" t="s">
        <v>242</v>
      </c>
      <c r="C6" t="s">
        <v>211</v>
      </c>
      <c r="D6" t="s">
        <v>191</v>
      </c>
      <c r="E6" t="s">
        <v>192</v>
      </c>
      <c r="F6">
        <v>2038946</v>
      </c>
    </row>
    <row r="7" ht="14.25" customHeight="1">
      <c r="A7" t="s">
        <v>84</v>
      </c>
      <c r="B7" t="s">
        <v>242</v>
      </c>
      <c r="C7" t="s">
        <v>211</v>
      </c>
      <c r="D7" t="s">
        <v>191</v>
      </c>
      <c r="E7" t="s">
        <v>192</v>
      </c>
      <c r="F7">
        <v>1227617</v>
      </c>
    </row>
    <row r="8" ht="14.25" customHeight="1">
      <c r="A8" t="s">
        <v>86</v>
      </c>
      <c r="B8" t="s">
        <v>242</v>
      </c>
      <c r="C8" t="s">
        <v>211</v>
      </c>
      <c r="D8" t="s">
        <v>191</v>
      </c>
      <c r="E8" t="s">
        <v>192</v>
      </c>
      <c r="F8">
        <v>1140192</v>
      </c>
    </row>
    <row r="9" ht="14.25" customHeight="1">
      <c r="A9" t="s">
        <v>88</v>
      </c>
      <c r="B9" t="s">
        <v>242</v>
      </c>
      <c r="C9" t="s">
        <v>211</v>
      </c>
      <c r="D9" t="s">
        <v>191</v>
      </c>
      <c r="E9" t="s">
        <v>192</v>
      </c>
      <c r="F9">
        <v>903346</v>
      </c>
    </row>
    <row r="10" ht="14.25" customHeight="1">
      <c r="A10" t="s">
        <v>90</v>
      </c>
      <c r="B10" t="s">
        <v>242</v>
      </c>
      <c r="C10" t="s">
        <v>211</v>
      </c>
      <c r="D10" t="s">
        <v>191</v>
      </c>
      <c r="E10" t="s">
        <v>192</v>
      </c>
      <c r="F10">
        <v>692462</v>
      </c>
    </row>
    <row r="11" ht="14.25" customHeight="1">
      <c r="A11" t="s">
        <v>92</v>
      </c>
      <c r="B11" t="s">
        <v>242</v>
      </c>
      <c r="C11" t="s">
        <v>211</v>
      </c>
      <c r="D11" t="s">
        <v>191</v>
      </c>
      <c r="E11" t="s">
        <v>192</v>
      </c>
      <c r="F11">
        <v>692462</v>
      </c>
    </row>
    <row r="12" ht="14.25" customHeight="1">
      <c r="A12" t="s">
        <v>94</v>
      </c>
      <c r="B12" t="s">
        <v>242</v>
      </c>
      <c r="C12" t="s">
        <v>211</v>
      </c>
      <c r="D12" t="s">
        <v>191</v>
      </c>
      <c r="E12" t="s">
        <v>192</v>
      </c>
      <c r="F12">
        <v>1105509</v>
      </c>
    </row>
    <row r="13" ht="14.25" customHeight="1">
      <c r="A13" t="s">
        <v>95</v>
      </c>
      <c r="B13" t="s">
        <v>242</v>
      </c>
      <c r="C13" t="s">
        <v>211</v>
      </c>
      <c r="D13" t="s">
        <v>191</v>
      </c>
      <c r="E13" t="s">
        <v>192</v>
      </c>
      <c r="F13">
        <v>796823</v>
      </c>
    </row>
    <row r="14" ht="14.25" customHeight="1">
      <c r="A14" t="s">
        <v>96</v>
      </c>
      <c r="B14" t="s">
        <v>242</v>
      </c>
      <c r="C14" t="s">
        <v>211</v>
      </c>
      <c r="D14" t="s">
        <v>191</v>
      </c>
      <c r="E14" t="s">
        <v>192</v>
      </c>
      <c r="F14">
        <v>962905</v>
      </c>
    </row>
    <row r="15" ht="14.25" customHeight="1">
      <c r="A15" t="s">
        <v>97</v>
      </c>
      <c r="B15" t="s">
        <v>242</v>
      </c>
      <c r="C15" t="s">
        <v>211</v>
      </c>
      <c r="D15" t="s">
        <v>191</v>
      </c>
      <c r="E15" t="s">
        <v>192</v>
      </c>
      <c r="F15">
        <v>765352</v>
      </c>
    </row>
    <row r="16" ht="14.25" customHeight="1">
      <c r="A16" t="s">
        <v>75</v>
      </c>
      <c r="B16" t="s">
        <v>242</v>
      </c>
      <c r="C16" t="s">
        <v>210</v>
      </c>
      <c r="D16" t="s">
        <v>191</v>
      </c>
      <c r="E16" t="s">
        <v>192</v>
      </c>
      <c r="F16">
        <v>2329811</v>
      </c>
    </row>
    <row r="17" ht="14.25" customHeight="1">
      <c r="A17" t="s">
        <v>77</v>
      </c>
      <c r="B17" t="s">
        <v>242</v>
      </c>
      <c r="C17" t="s">
        <v>210</v>
      </c>
      <c r="D17" t="s">
        <v>191</v>
      </c>
      <c r="E17" t="s">
        <v>192</v>
      </c>
      <c r="F17">
        <v>1853844</v>
      </c>
    </row>
    <row r="18" ht="14.25" customHeight="1">
      <c r="A18" t="s">
        <v>79</v>
      </c>
      <c r="B18" t="s">
        <v>242</v>
      </c>
      <c r="C18" t="s">
        <v>210</v>
      </c>
      <c r="D18" t="s">
        <v>191</v>
      </c>
      <c r="E18" t="s">
        <v>192</v>
      </c>
      <c r="F18">
        <v>1601415</v>
      </c>
    </row>
    <row r="19" ht="14.25" customHeight="1">
      <c r="A19" t="s">
        <v>81</v>
      </c>
      <c r="B19" t="s">
        <v>242</v>
      </c>
      <c r="C19" t="s">
        <v>210</v>
      </c>
      <c r="D19" t="s">
        <v>191</v>
      </c>
      <c r="E19" t="s">
        <v>192</v>
      </c>
      <c r="F19">
        <v>1314533</v>
      </c>
    </row>
    <row r="20" ht="14.25" customHeight="1">
      <c r="A20" t="s">
        <v>83</v>
      </c>
      <c r="B20" t="s">
        <v>242</v>
      </c>
      <c r="C20" t="s">
        <v>210</v>
      </c>
      <c r="D20" t="s">
        <v>191</v>
      </c>
      <c r="E20" t="s">
        <v>192</v>
      </c>
      <c r="F20">
        <v>2161283</v>
      </c>
    </row>
    <row r="21" ht="14.25" customHeight="1">
      <c r="A21" t="s">
        <v>84</v>
      </c>
      <c r="B21" t="s">
        <v>242</v>
      </c>
      <c r="C21" t="s">
        <v>210</v>
      </c>
      <c r="D21" t="s">
        <v>191</v>
      </c>
      <c r="E21" t="s">
        <v>192</v>
      </c>
      <c r="F21">
        <v>1301274</v>
      </c>
    </row>
    <row r="22" ht="14.25" customHeight="1">
      <c r="A22" t="s">
        <v>86</v>
      </c>
      <c r="B22" t="s">
        <v>242</v>
      </c>
      <c r="C22" t="s">
        <v>210</v>
      </c>
      <c r="D22" t="s">
        <v>191</v>
      </c>
      <c r="E22" t="s">
        <v>192</v>
      </c>
      <c r="F22">
        <v>1208604</v>
      </c>
    </row>
    <row r="23" ht="14.25" customHeight="1">
      <c r="A23" t="s">
        <v>88</v>
      </c>
      <c r="B23" t="s">
        <v>242</v>
      </c>
      <c r="C23" t="s">
        <v>210</v>
      </c>
      <c r="D23" t="s">
        <v>191</v>
      </c>
      <c r="E23" t="s">
        <v>192</v>
      </c>
      <c r="F23">
        <v>957547</v>
      </c>
    </row>
    <row r="24" ht="14.25" customHeight="1">
      <c r="A24" t="s">
        <v>90</v>
      </c>
      <c r="B24" t="s">
        <v>242</v>
      </c>
      <c r="C24" t="s">
        <v>210</v>
      </c>
      <c r="D24" t="s">
        <v>191</v>
      </c>
      <c r="E24" t="s">
        <v>192</v>
      </c>
      <c r="F24">
        <v>734009</v>
      </c>
    </row>
    <row r="25" ht="14.25" customHeight="1">
      <c r="A25" t="s">
        <v>92</v>
      </c>
      <c r="B25" t="s">
        <v>242</v>
      </c>
      <c r="C25" t="s">
        <v>210</v>
      </c>
      <c r="D25" t="s">
        <v>191</v>
      </c>
      <c r="E25" t="s">
        <v>192</v>
      </c>
      <c r="F25">
        <v>734009</v>
      </c>
    </row>
    <row r="26" ht="14.25" customHeight="1">
      <c r="A26" t="s">
        <v>94</v>
      </c>
      <c r="B26" t="s">
        <v>242</v>
      </c>
      <c r="C26" t="s">
        <v>210</v>
      </c>
      <c r="D26" t="s">
        <v>191</v>
      </c>
      <c r="E26" t="s">
        <v>192</v>
      </c>
      <c r="F26">
        <v>1171840</v>
      </c>
    </row>
    <row r="27" ht="14.25" customHeight="1">
      <c r="A27" t="s">
        <v>95</v>
      </c>
      <c r="B27" t="s">
        <v>242</v>
      </c>
      <c r="C27" t="s">
        <v>210</v>
      </c>
      <c r="D27" t="s">
        <v>191</v>
      </c>
      <c r="E27" t="s">
        <v>192</v>
      </c>
      <c r="F27">
        <v>844632</v>
      </c>
    </row>
    <row r="28" ht="14.25" customHeight="1">
      <c r="A28" t="s">
        <v>96</v>
      </c>
      <c r="B28" t="s">
        <v>242</v>
      </c>
      <c r="C28" t="s">
        <v>210</v>
      </c>
      <c r="D28" t="s">
        <v>191</v>
      </c>
      <c r="E28" t="s">
        <v>192</v>
      </c>
      <c r="F28">
        <v>1020679</v>
      </c>
    </row>
    <row r="29" ht="14.25" customHeight="1">
      <c r="A29" t="s">
        <v>97</v>
      </c>
      <c r="B29" t="s">
        <v>242</v>
      </c>
      <c r="C29" t="s">
        <v>210</v>
      </c>
      <c r="D29" t="s">
        <v>191</v>
      </c>
      <c r="E29" t="s">
        <v>192</v>
      </c>
      <c r="F29">
        <v>811274</v>
      </c>
    </row>
    <row r="30" ht="14.25" customHeight="1">
      <c r="A30" t="s">
        <v>75</v>
      </c>
      <c r="B30" t="s">
        <v>242</v>
      </c>
      <c r="C30" t="s">
        <v>25</v>
      </c>
      <c r="D30" t="s">
        <v>191</v>
      </c>
      <c r="E30" t="s">
        <v>192</v>
      </c>
      <c r="F30">
        <v>2469600</v>
      </c>
    </row>
    <row r="31" ht="14.25" customHeight="1">
      <c r="A31" t="s">
        <v>77</v>
      </c>
      <c r="B31" t="s">
        <v>242</v>
      </c>
      <c r="C31" t="s">
        <v>25</v>
      </c>
      <c r="D31" t="s">
        <v>191</v>
      </c>
      <c r="E31" t="s">
        <v>192</v>
      </c>
      <c r="F31">
        <v>1965075</v>
      </c>
    </row>
    <row r="32" ht="14.25" customHeight="1">
      <c r="A32" t="s">
        <v>79</v>
      </c>
      <c r="B32" t="s">
        <v>242</v>
      </c>
      <c r="C32" t="s">
        <v>25</v>
      </c>
      <c r="D32" t="s">
        <v>191</v>
      </c>
      <c r="E32" t="s">
        <v>192</v>
      </c>
      <c r="F32">
        <v>1697500</v>
      </c>
    </row>
    <row r="33" ht="14.25" customHeight="1">
      <c r="A33" t="s">
        <v>81</v>
      </c>
      <c r="B33" t="s">
        <v>242</v>
      </c>
      <c r="C33" t="s">
        <v>25</v>
      </c>
      <c r="D33" t="s">
        <v>191</v>
      </c>
      <c r="E33" t="s">
        <v>192</v>
      </c>
      <c r="F33">
        <v>1393405</v>
      </c>
    </row>
    <row r="34" ht="14.25" customHeight="1">
      <c r="A34" t="s">
        <v>83</v>
      </c>
      <c r="B34" t="s">
        <v>242</v>
      </c>
      <c r="C34" t="s">
        <v>25</v>
      </c>
      <c r="D34" t="s">
        <v>191</v>
      </c>
      <c r="E34" t="s">
        <v>192</v>
      </c>
      <c r="F34">
        <v>2290960</v>
      </c>
    </row>
    <row r="35" ht="14.25" customHeight="1">
      <c r="A35" t="s">
        <v>84</v>
      </c>
      <c r="B35" t="s">
        <v>242</v>
      </c>
      <c r="C35" t="s">
        <v>25</v>
      </c>
      <c r="D35" t="s">
        <v>191</v>
      </c>
      <c r="E35" t="s">
        <v>192</v>
      </c>
      <c r="F35">
        <v>1379350</v>
      </c>
    </row>
    <row r="36" ht="14.25" customHeight="1">
      <c r="A36" t="s">
        <v>86</v>
      </c>
      <c r="B36" t="s">
        <v>242</v>
      </c>
      <c r="C36" t="s">
        <v>25</v>
      </c>
      <c r="D36" t="s">
        <v>191</v>
      </c>
      <c r="E36" t="s">
        <v>192</v>
      </c>
      <c r="F36">
        <v>1281120</v>
      </c>
    </row>
    <row r="37" ht="14.25" customHeight="1">
      <c r="A37" t="s">
        <v>88</v>
      </c>
      <c r="B37" t="s">
        <v>242</v>
      </c>
      <c r="C37" t="s">
        <v>25</v>
      </c>
      <c r="D37" t="s">
        <v>191</v>
      </c>
      <c r="E37" t="s">
        <v>192</v>
      </c>
      <c r="F37">
        <v>1015000</v>
      </c>
    </row>
    <row r="38" ht="14.25" customHeight="1">
      <c r="A38" t="s">
        <v>90</v>
      </c>
      <c r="B38" t="s">
        <v>242</v>
      </c>
      <c r="C38" t="s">
        <v>25</v>
      </c>
      <c r="D38" t="s">
        <v>191</v>
      </c>
      <c r="E38" t="s">
        <v>192</v>
      </c>
      <c r="F38">
        <v>778050</v>
      </c>
    </row>
    <row r="39" ht="14.25" customHeight="1">
      <c r="A39" t="s">
        <v>92</v>
      </c>
      <c r="B39" t="s">
        <v>242</v>
      </c>
      <c r="C39" t="s">
        <v>25</v>
      </c>
      <c r="D39" t="s">
        <v>191</v>
      </c>
      <c r="E39" t="s">
        <v>192</v>
      </c>
      <c r="F39">
        <v>778050</v>
      </c>
    </row>
    <row r="40" ht="14.25" customHeight="1">
      <c r="A40" t="s">
        <v>94</v>
      </c>
      <c r="B40" t="s">
        <v>242</v>
      </c>
      <c r="C40" t="s">
        <v>25</v>
      </c>
      <c r="D40" t="s">
        <v>191</v>
      </c>
      <c r="E40" t="s">
        <v>192</v>
      </c>
      <c r="F40">
        <v>1242150</v>
      </c>
    </row>
    <row r="41" ht="14.25" customHeight="1">
      <c r="A41" t="s">
        <v>95</v>
      </c>
      <c r="B41" t="s">
        <v>242</v>
      </c>
      <c r="C41" t="s">
        <v>25</v>
      </c>
      <c r="D41" t="s">
        <v>191</v>
      </c>
      <c r="E41" t="s">
        <v>192</v>
      </c>
      <c r="F41">
        <v>895310</v>
      </c>
    </row>
    <row r="42" ht="14.25" customHeight="1">
      <c r="A42" t="s">
        <v>96</v>
      </c>
      <c r="B42" t="s">
        <v>242</v>
      </c>
      <c r="C42" t="s">
        <v>25</v>
      </c>
      <c r="D42" t="s">
        <v>191</v>
      </c>
      <c r="E42" t="s">
        <v>192</v>
      </c>
      <c r="F42">
        <v>1081920</v>
      </c>
    </row>
    <row r="43" ht="14.25" customHeight="1">
      <c r="A43" t="s">
        <v>97</v>
      </c>
      <c r="B43" t="s">
        <v>242</v>
      </c>
      <c r="C43" t="s">
        <v>25</v>
      </c>
      <c r="D43" t="s">
        <v>191</v>
      </c>
      <c r="E43" t="s">
        <v>192</v>
      </c>
      <c r="F43">
        <v>859950</v>
      </c>
    </row>
    <row r="44" ht="14.25" customHeight="1">
      <c r="A44" t="s">
        <v>75</v>
      </c>
      <c r="B44" t="s">
        <v>243</v>
      </c>
      <c r="C44" t="s">
        <v>211</v>
      </c>
      <c r="D44" t="s">
        <v>191</v>
      </c>
      <c r="E44" t="s">
        <v>192</v>
      </c>
      <c r="F44">
        <v>583126</v>
      </c>
    </row>
    <row r="45" ht="14.25" customHeight="1">
      <c r="A45" t="s">
        <v>77</v>
      </c>
      <c r="B45" t="s">
        <v>243</v>
      </c>
      <c r="C45" t="s">
        <v>211</v>
      </c>
      <c r="D45" t="s">
        <v>191</v>
      </c>
      <c r="E45" t="s">
        <v>192</v>
      </c>
      <c r="F45">
        <v>462576</v>
      </c>
    </row>
    <row r="46" ht="14.25" customHeight="1">
      <c r="A46" t="s">
        <v>79</v>
      </c>
      <c r="B46" t="s">
        <v>243</v>
      </c>
      <c r="C46" t="s">
        <v>211</v>
      </c>
      <c r="D46" t="s">
        <v>191</v>
      </c>
      <c r="E46" t="s">
        <v>192</v>
      </c>
      <c r="F46">
        <v>400498</v>
      </c>
    </row>
    <row r="47" ht="14.25" customHeight="1">
      <c r="A47" t="s">
        <v>81</v>
      </c>
      <c r="B47" t="s">
        <v>243</v>
      </c>
      <c r="C47" t="s">
        <v>211</v>
      </c>
      <c r="D47" t="s">
        <v>191</v>
      </c>
      <c r="E47" t="s">
        <v>192</v>
      </c>
      <c r="F47">
        <v>330211</v>
      </c>
    </row>
    <row r="48" ht="14.25" customHeight="1">
      <c r="A48" t="s">
        <v>83</v>
      </c>
      <c r="B48" t="s">
        <v>243</v>
      </c>
      <c r="C48" t="s">
        <v>211</v>
      </c>
      <c r="D48" t="s">
        <v>191</v>
      </c>
      <c r="E48" t="s">
        <v>192</v>
      </c>
      <c r="F48">
        <v>538270</v>
      </c>
    </row>
    <row r="49" ht="14.25" customHeight="1">
      <c r="A49" t="s">
        <v>84</v>
      </c>
      <c r="B49" t="s">
        <v>243</v>
      </c>
      <c r="C49" t="s">
        <v>211</v>
      </c>
      <c r="D49" t="s">
        <v>191</v>
      </c>
      <c r="E49" t="s">
        <v>192</v>
      </c>
      <c r="F49">
        <v>327074</v>
      </c>
    </row>
    <row r="50" ht="14.25" customHeight="1">
      <c r="A50" t="s">
        <v>86</v>
      </c>
      <c r="B50" t="s">
        <v>243</v>
      </c>
      <c r="C50" t="s">
        <v>211</v>
      </c>
      <c r="D50" t="s">
        <v>191</v>
      </c>
      <c r="E50" t="s">
        <v>192</v>
      </c>
      <c r="F50">
        <v>301175</v>
      </c>
    </row>
    <row r="51" ht="14.25" customHeight="1">
      <c r="A51" t="s">
        <v>75</v>
      </c>
      <c r="B51" t="s">
        <v>243</v>
      </c>
      <c r="C51" t="s">
        <v>210</v>
      </c>
      <c r="D51" t="s">
        <v>191</v>
      </c>
      <c r="E51" t="s">
        <v>192</v>
      </c>
      <c r="F51">
        <v>618113</v>
      </c>
    </row>
    <row r="52" ht="14.25" customHeight="1">
      <c r="A52" t="s">
        <v>77</v>
      </c>
      <c r="B52" t="s">
        <v>243</v>
      </c>
      <c r="C52" t="s">
        <v>210</v>
      </c>
      <c r="D52" t="s">
        <v>191</v>
      </c>
      <c r="E52" t="s">
        <v>192</v>
      </c>
      <c r="F52">
        <v>490330</v>
      </c>
    </row>
    <row r="53" ht="14.25" customHeight="1">
      <c r="A53" t="s">
        <v>79</v>
      </c>
      <c r="B53" t="s">
        <v>243</v>
      </c>
      <c r="C53" t="s">
        <v>210</v>
      </c>
      <c r="D53" t="s">
        <v>191</v>
      </c>
      <c r="E53" t="s">
        <v>192</v>
      </c>
      <c r="F53">
        <v>424528</v>
      </c>
    </row>
    <row r="54" ht="14.25" customHeight="1">
      <c r="A54" t="s">
        <v>81</v>
      </c>
      <c r="B54" t="s">
        <v>243</v>
      </c>
      <c r="C54" t="s">
        <v>210</v>
      </c>
      <c r="D54" t="s">
        <v>191</v>
      </c>
      <c r="E54" t="s">
        <v>192</v>
      </c>
      <c r="F54">
        <v>350024</v>
      </c>
    </row>
    <row r="55" ht="14.25" customHeight="1">
      <c r="A55" t="s">
        <v>83</v>
      </c>
      <c r="B55" t="s">
        <v>243</v>
      </c>
      <c r="C55" t="s">
        <v>210</v>
      </c>
      <c r="D55" t="s">
        <v>191</v>
      </c>
      <c r="E55" t="s">
        <v>192</v>
      </c>
      <c r="F55">
        <v>570566</v>
      </c>
    </row>
    <row r="56" ht="14.25" customHeight="1">
      <c r="A56" t="s">
        <v>84</v>
      </c>
      <c r="B56" t="s">
        <v>243</v>
      </c>
      <c r="C56" t="s">
        <v>210</v>
      </c>
      <c r="D56" t="s">
        <v>191</v>
      </c>
      <c r="E56" t="s">
        <v>192</v>
      </c>
      <c r="F56">
        <v>346698</v>
      </c>
    </row>
    <row r="57" ht="14.25" customHeight="1">
      <c r="A57" t="s">
        <v>86</v>
      </c>
      <c r="B57" t="s">
        <v>243</v>
      </c>
      <c r="C57" t="s">
        <v>210</v>
      </c>
      <c r="D57" t="s">
        <v>191</v>
      </c>
      <c r="E57" t="s">
        <v>192</v>
      </c>
      <c r="F57">
        <v>319245</v>
      </c>
    </row>
    <row r="58" ht="14.25" customHeight="1">
      <c r="A58" t="s">
        <v>75</v>
      </c>
      <c r="B58" t="s">
        <v>243</v>
      </c>
      <c r="C58" t="s">
        <v>25</v>
      </c>
      <c r="D58" t="s">
        <v>191</v>
      </c>
      <c r="E58" t="s">
        <v>192</v>
      </c>
      <c r="F58">
        <v>655200</v>
      </c>
    </row>
    <row r="59" ht="14.25" customHeight="1">
      <c r="A59" t="s">
        <v>77</v>
      </c>
      <c r="B59" t="s">
        <v>243</v>
      </c>
      <c r="C59" t="s">
        <v>25</v>
      </c>
      <c r="D59" t="s">
        <v>191</v>
      </c>
      <c r="E59" t="s">
        <v>192</v>
      </c>
      <c r="F59">
        <v>519750</v>
      </c>
    </row>
    <row r="60" ht="14.25" customHeight="1">
      <c r="A60" t="s">
        <v>79</v>
      </c>
      <c r="B60" t="s">
        <v>243</v>
      </c>
      <c r="C60" t="s">
        <v>25</v>
      </c>
      <c r="D60" t="s">
        <v>191</v>
      </c>
      <c r="E60" t="s">
        <v>192</v>
      </c>
      <c r="F60">
        <v>450000</v>
      </c>
    </row>
    <row r="61" ht="14.25" customHeight="1">
      <c r="A61" t="s">
        <v>81</v>
      </c>
      <c r="B61" t="s">
        <v>243</v>
      </c>
      <c r="C61" t="s">
        <v>25</v>
      </c>
      <c r="D61" t="s">
        <v>191</v>
      </c>
      <c r="E61" t="s">
        <v>192</v>
      </c>
      <c r="F61">
        <v>371025</v>
      </c>
    </row>
    <row r="62" ht="14.25" customHeight="1">
      <c r="A62" t="s">
        <v>83</v>
      </c>
      <c r="B62" t="s">
        <v>243</v>
      </c>
      <c r="C62" t="s">
        <v>25</v>
      </c>
      <c r="D62" t="s">
        <v>191</v>
      </c>
      <c r="E62" t="s">
        <v>192</v>
      </c>
      <c r="F62">
        <v>604800</v>
      </c>
    </row>
    <row r="63" ht="14.25" customHeight="1">
      <c r="A63" t="s">
        <v>84</v>
      </c>
      <c r="B63" t="s">
        <v>243</v>
      </c>
      <c r="C63" t="s">
        <v>25</v>
      </c>
      <c r="D63" t="s">
        <v>191</v>
      </c>
      <c r="E63" t="s">
        <v>192</v>
      </c>
      <c r="F63">
        <v>367500</v>
      </c>
    </row>
    <row r="64" ht="14.25" customHeight="1">
      <c r="A64" t="s">
        <v>86</v>
      </c>
      <c r="B64" t="s">
        <v>243</v>
      </c>
      <c r="C64" t="s">
        <v>25</v>
      </c>
      <c r="D64" t="s">
        <v>191</v>
      </c>
      <c r="E64" t="s">
        <v>192</v>
      </c>
      <c r="F64">
        <v>338400</v>
      </c>
    </row>
    <row r="65" ht="14.25" customHeight="1">
      <c r="A65" t="s">
        <v>75</v>
      </c>
      <c r="B65" t="s">
        <v>244</v>
      </c>
      <c r="C65" t="s">
        <v>211</v>
      </c>
      <c r="D65" t="s">
        <v>191</v>
      </c>
      <c r="E65" t="s">
        <v>192</v>
      </c>
      <c r="F65">
        <v>12496</v>
      </c>
    </row>
    <row r="66" ht="14.25" customHeight="1">
      <c r="A66" t="s">
        <v>77</v>
      </c>
      <c r="B66" t="s">
        <v>244</v>
      </c>
      <c r="C66" t="s">
        <v>211</v>
      </c>
      <c r="D66" t="s">
        <v>191</v>
      </c>
      <c r="E66" t="s">
        <v>192</v>
      </c>
      <c r="F66">
        <v>10573</v>
      </c>
    </row>
    <row r="67" ht="14.25" customHeight="1">
      <c r="A67" t="s">
        <v>79</v>
      </c>
      <c r="B67" t="s">
        <v>244</v>
      </c>
      <c r="C67" t="s">
        <v>211</v>
      </c>
      <c r="D67" t="s">
        <v>191</v>
      </c>
      <c r="E67" t="s">
        <v>192</v>
      </c>
      <c r="F67">
        <v>9612</v>
      </c>
    </row>
    <row r="68" ht="14.25" customHeight="1">
      <c r="A68" t="s">
        <v>81</v>
      </c>
      <c r="B68" t="s">
        <v>244</v>
      </c>
      <c r="C68" t="s">
        <v>211</v>
      </c>
      <c r="D68" t="s">
        <v>191</v>
      </c>
      <c r="E68" t="s">
        <v>192</v>
      </c>
      <c r="F68">
        <v>8170</v>
      </c>
    </row>
    <row r="69" ht="14.25" customHeight="1">
      <c r="A69" t="s">
        <v>83</v>
      </c>
      <c r="B69" t="s">
        <v>244</v>
      </c>
      <c r="C69" t="s">
        <v>211</v>
      </c>
      <c r="D69" t="s">
        <v>191</v>
      </c>
      <c r="E69" t="s">
        <v>192</v>
      </c>
      <c r="F69">
        <v>11534</v>
      </c>
    </row>
    <row r="70" ht="14.25" customHeight="1">
      <c r="A70" t="s">
        <v>84</v>
      </c>
      <c r="B70" t="s">
        <v>244</v>
      </c>
      <c r="C70" t="s">
        <v>211</v>
      </c>
      <c r="D70" t="s">
        <v>191</v>
      </c>
      <c r="E70" t="s">
        <v>192</v>
      </c>
      <c r="F70">
        <v>8010</v>
      </c>
    </row>
    <row r="71" ht="14.25" customHeight="1">
      <c r="A71" t="s">
        <v>86</v>
      </c>
      <c r="B71" t="s">
        <v>244</v>
      </c>
      <c r="C71" t="s">
        <v>211</v>
      </c>
      <c r="D71" t="s">
        <v>191</v>
      </c>
      <c r="E71" t="s">
        <v>192</v>
      </c>
      <c r="F71">
        <v>7529</v>
      </c>
    </row>
    <row r="72" ht="14.25" customHeight="1">
      <c r="A72" t="s">
        <v>88</v>
      </c>
      <c r="B72" t="s">
        <v>244</v>
      </c>
      <c r="C72" t="s">
        <v>211</v>
      </c>
      <c r="D72" t="s">
        <v>191</v>
      </c>
      <c r="E72" t="s">
        <v>192</v>
      </c>
      <c r="F72">
        <v>4005</v>
      </c>
    </row>
    <row r="73" ht="14.25" customHeight="1">
      <c r="A73" t="s">
        <v>90</v>
      </c>
      <c r="B73" t="s">
        <v>244</v>
      </c>
      <c r="C73" t="s">
        <v>211</v>
      </c>
      <c r="D73" t="s">
        <v>191</v>
      </c>
      <c r="E73" t="s">
        <v>192</v>
      </c>
      <c r="F73">
        <v>3204</v>
      </c>
    </row>
    <row r="74" ht="14.25" customHeight="1">
      <c r="A74" t="s">
        <v>92</v>
      </c>
      <c r="B74" t="s">
        <v>244</v>
      </c>
      <c r="C74" t="s">
        <v>211</v>
      </c>
      <c r="D74" t="s">
        <v>191</v>
      </c>
      <c r="E74" t="s">
        <v>192</v>
      </c>
      <c r="F74">
        <v>3204</v>
      </c>
    </row>
    <row r="75" ht="14.25" customHeight="1">
      <c r="A75" t="s">
        <v>94</v>
      </c>
      <c r="B75" t="s">
        <v>244</v>
      </c>
      <c r="C75" t="s">
        <v>211</v>
      </c>
      <c r="D75" t="s">
        <v>191</v>
      </c>
      <c r="E75" t="s">
        <v>192</v>
      </c>
      <c r="F75">
        <v>7369</v>
      </c>
    </row>
    <row r="76" ht="14.25" customHeight="1">
      <c r="A76" t="s">
        <v>95</v>
      </c>
      <c r="B76" t="s">
        <v>244</v>
      </c>
      <c r="C76" t="s">
        <v>211</v>
      </c>
      <c r="D76" t="s">
        <v>191</v>
      </c>
      <c r="E76" t="s">
        <v>192</v>
      </c>
      <c r="F76">
        <v>5767</v>
      </c>
    </row>
    <row r="77" ht="14.25" customHeight="1">
      <c r="A77" t="s">
        <v>96</v>
      </c>
      <c r="B77" t="s">
        <v>244</v>
      </c>
      <c r="C77" t="s">
        <v>211</v>
      </c>
      <c r="D77" t="s">
        <v>191</v>
      </c>
      <c r="E77" t="s">
        <v>192</v>
      </c>
      <c r="F77">
        <v>3765</v>
      </c>
    </row>
    <row r="78" ht="14.25" customHeight="1">
      <c r="A78" t="s">
        <v>97</v>
      </c>
      <c r="B78" t="s">
        <v>244</v>
      </c>
      <c r="C78" t="s">
        <v>211</v>
      </c>
      <c r="D78" t="s">
        <v>191</v>
      </c>
      <c r="E78" t="s">
        <v>192</v>
      </c>
      <c r="F78">
        <v>3204</v>
      </c>
    </row>
    <row r="79" ht="14.25" customHeight="1">
      <c r="A79" t="s">
        <v>75</v>
      </c>
      <c r="B79" t="s">
        <v>244</v>
      </c>
      <c r="C79" t="s">
        <v>210</v>
      </c>
      <c r="D79" t="s">
        <v>191</v>
      </c>
      <c r="E79" t="s">
        <v>192</v>
      </c>
      <c r="F79">
        <v>13245</v>
      </c>
    </row>
    <row r="80" ht="14.25" customHeight="1">
      <c r="A80" t="s">
        <v>77</v>
      </c>
      <c r="B80" t="s">
        <v>244</v>
      </c>
      <c r="C80" t="s">
        <v>210</v>
      </c>
      <c r="D80" t="s">
        <v>191</v>
      </c>
      <c r="E80" t="s">
        <v>192</v>
      </c>
      <c r="F80">
        <v>11208</v>
      </c>
    </row>
    <row r="81" ht="14.25" customHeight="1">
      <c r="A81" t="s">
        <v>79</v>
      </c>
      <c r="B81" t="s">
        <v>244</v>
      </c>
      <c r="C81" t="s">
        <v>210</v>
      </c>
      <c r="D81" t="s">
        <v>191</v>
      </c>
      <c r="E81" t="s">
        <v>192</v>
      </c>
      <c r="F81">
        <v>10189</v>
      </c>
    </row>
    <row r="82" ht="14.25" customHeight="1">
      <c r="A82" t="s">
        <v>81</v>
      </c>
      <c r="B82" t="s">
        <v>244</v>
      </c>
      <c r="C82" t="s">
        <v>210</v>
      </c>
      <c r="D82" t="s">
        <v>191</v>
      </c>
      <c r="E82" t="s">
        <v>192</v>
      </c>
      <c r="F82">
        <v>8660</v>
      </c>
    </row>
    <row r="83" ht="14.25" customHeight="1">
      <c r="A83" t="s">
        <v>83</v>
      </c>
      <c r="B83" t="s">
        <v>244</v>
      </c>
      <c r="C83" t="s">
        <v>210</v>
      </c>
      <c r="D83" t="s">
        <v>191</v>
      </c>
      <c r="E83" t="s">
        <v>192</v>
      </c>
      <c r="F83">
        <v>12226</v>
      </c>
    </row>
    <row r="84" ht="14.25" customHeight="1">
      <c r="A84" t="s">
        <v>84</v>
      </c>
      <c r="B84" t="s">
        <v>244</v>
      </c>
      <c r="C84" t="s">
        <v>210</v>
      </c>
      <c r="D84" t="s">
        <v>191</v>
      </c>
      <c r="E84" t="s">
        <v>192</v>
      </c>
      <c r="F84">
        <v>8491</v>
      </c>
    </row>
    <row r="85" ht="14.25" customHeight="1">
      <c r="A85" t="s">
        <v>86</v>
      </c>
      <c r="B85" t="s">
        <v>244</v>
      </c>
      <c r="C85" t="s">
        <v>210</v>
      </c>
      <c r="D85" t="s">
        <v>191</v>
      </c>
      <c r="E85" t="s">
        <v>192</v>
      </c>
      <c r="F85">
        <v>7981</v>
      </c>
    </row>
    <row r="86" ht="14.25" customHeight="1">
      <c r="A86" t="s">
        <v>88</v>
      </c>
      <c r="B86" t="s">
        <v>244</v>
      </c>
      <c r="C86" t="s">
        <v>210</v>
      </c>
      <c r="D86" t="s">
        <v>191</v>
      </c>
      <c r="E86" t="s">
        <v>192</v>
      </c>
      <c r="F86">
        <v>4245</v>
      </c>
    </row>
    <row r="87" ht="14.25" customHeight="1">
      <c r="A87" t="s">
        <v>90</v>
      </c>
      <c r="B87" t="s">
        <v>244</v>
      </c>
      <c r="C87" t="s">
        <v>210</v>
      </c>
      <c r="D87" t="s">
        <v>191</v>
      </c>
      <c r="E87" t="s">
        <v>192</v>
      </c>
      <c r="F87">
        <v>3396</v>
      </c>
    </row>
    <row r="88" ht="14.25" customHeight="1">
      <c r="A88" t="s">
        <v>92</v>
      </c>
      <c r="B88" t="s">
        <v>244</v>
      </c>
      <c r="C88" t="s">
        <v>210</v>
      </c>
      <c r="D88" t="s">
        <v>191</v>
      </c>
      <c r="E88" t="s">
        <v>192</v>
      </c>
      <c r="F88">
        <v>3396</v>
      </c>
    </row>
    <row r="89" ht="14.25" customHeight="1">
      <c r="A89" t="s">
        <v>94</v>
      </c>
      <c r="B89" t="s">
        <v>244</v>
      </c>
      <c r="C89" t="s">
        <v>210</v>
      </c>
      <c r="D89" t="s">
        <v>191</v>
      </c>
      <c r="E89" t="s">
        <v>192</v>
      </c>
      <c r="F89">
        <v>7811</v>
      </c>
    </row>
    <row r="90" ht="14.25" customHeight="1">
      <c r="A90" t="s">
        <v>95</v>
      </c>
      <c r="B90" t="s">
        <v>244</v>
      </c>
      <c r="C90" t="s">
        <v>210</v>
      </c>
      <c r="D90" t="s">
        <v>191</v>
      </c>
      <c r="E90" t="s">
        <v>192</v>
      </c>
      <c r="F90">
        <v>6113</v>
      </c>
    </row>
    <row r="91" ht="14.25" customHeight="1">
      <c r="A91" t="s">
        <v>96</v>
      </c>
      <c r="B91" t="s">
        <v>244</v>
      </c>
      <c r="C91" t="s">
        <v>210</v>
      </c>
      <c r="D91" t="s">
        <v>191</v>
      </c>
      <c r="E91" t="s">
        <v>192</v>
      </c>
      <c r="F91">
        <v>3991</v>
      </c>
    </row>
    <row r="92" ht="14.25" customHeight="1">
      <c r="A92" t="s">
        <v>97</v>
      </c>
      <c r="B92" t="s">
        <v>244</v>
      </c>
      <c r="C92" t="s">
        <v>210</v>
      </c>
      <c r="D92" t="s">
        <v>191</v>
      </c>
      <c r="E92" t="s">
        <v>192</v>
      </c>
      <c r="F92">
        <v>3396</v>
      </c>
    </row>
    <row r="93" ht="14.25" customHeight="1">
      <c r="A93" t="s">
        <v>75</v>
      </c>
      <c r="B93" t="s">
        <v>244</v>
      </c>
      <c r="C93" t="s">
        <v>25</v>
      </c>
      <c r="D93" t="s">
        <v>191</v>
      </c>
      <c r="E93" t="s">
        <v>192</v>
      </c>
      <c r="F93">
        <v>14040</v>
      </c>
    </row>
    <row r="94" ht="14.25" customHeight="1">
      <c r="A94" t="s">
        <v>77</v>
      </c>
      <c r="B94" t="s">
        <v>244</v>
      </c>
      <c r="C94" t="s">
        <v>25</v>
      </c>
      <c r="D94" t="s">
        <v>191</v>
      </c>
      <c r="E94" t="s">
        <v>192</v>
      </c>
      <c r="F94">
        <v>11880</v>
      </c>
    </row>
    <row r="95" ht="14.25" customHeight="1">
      <c r="A95" t="s">
        <v>79</v>
      </c>
      <c r="B95" t="s">
        <v>244</v>
      </c>
      <c r="C95" t="s">
        <v>25</v>
      </c>
      <c r="D95" t="s">
        <v>191</v>
      </c>
      <c r="E95" t="s">
        <v>192</v>
      </c>
      <c r="F95">
        <v>10800</v>
      </c>
    </row>
    <row r="96" ht="14.25" customHeight="1">
      <c r="A96" t="s">
        <v>81</v>
      </c>
      <c r="B96" t="s">
        <v>244</v>
      </c>
      <c r="C96" t="s">
        <v>25</v>
      </c>
      <c r="D96" t="s">
        <v>191</v>
      </c>
      <c r="E96" t="s">
        <v>192</v>
      </c>
      <c r="F96">
        <v>9180</v>
      </c>
    </row>
    <row r="97" ht="14.25" customHeight="1">
      <c r="A97" t="s">
        <v>83</v>
      </c>
      <c r="B97" t="s">
        <v>244</v>
      </c>
      <c r="C97" t="s">
        <v>25</v>
      </c>
      <c r="D97" t="s">
        <v>191</v>
      </c>
      <c r="E97" t="s">
        <v>192</v>
      </c>
      <c r="F97">
        <v>12960</v>
      </c>
    </row>
    <row r="98" ht="14.25" customHeight="1">
      <c r="A98" t="s">
        <v>84</v>
      </c>
      <c r="B98" t="s">
        <v>244</v>
      </c>
      <c r="C98" t="s">
        <v>25</v>
      </c>
      <c r="D98" t="s">
        <v>191</v>
      </c>
      <c r="E98" t="s">
        <v>192</v>
      </c>
      <c r="F98">
        <v>9000</v>
      </c>
    </row>
    <row r="99" ht="14.25" customHeight="1">
      <c r="A99" t="s">
        <v>86</v>
      </c>
      <c r="B99" t="s">
        <v>244</v>
      </c>
      <c r="C99" t="s">
        <v>25</v>
      </c>
      <c r="D99" t="s">
        <v>191</v>
      </c>
      <c r="E99" t="s">
        <v>192</v>
      </c>
      <c r="F99">
        <v>8460</v>
      </c>
    </row>
    <row r="100" ht="14.25" customHeight="1">
      <c r="A100" t="s">
        <v>88</v>
      </c>
      <c r="B100" t="s">
        <v>244</v>
      </c>
      <c r="C100" t="s">
        <v>25</v>
      </c>
      <c r="D100" t="s">
        <v>191</v>
      </c>
      <c r="E100" t="s">
        <v>192</v>
      </c>
      <c r="F100">
        <v>4500</v>
      </c>
    </row>
    <row r="101" ht="14.25" customHeight="1">
      <c r="A101" t="s">
        <v>90</v>
      </c>
      <c r="B101" t="s">
        <v>244</v>
      </c>
      <c r="C101" t="s">
        <v>25</v>
      </c>
      <c r="D101" t="s">
        <v>191</v>
      </c>
      <c r="E101" t="s">
        <v>192</v>
      </c>
      <c r="F101">
        <v>3600</v>
      </c>
    </row>
    <row r="102" ht="14.25" customHeight="1">
      <c r="A102" t="s">
        <v>92</v>
      </c>
      <c r="B102" t="s">
        <v>244</v>
      </c>
      <c r="C102" t="s">
        <v>25</v>
      </c>
      <c r="D102" t="s">
        <v>191</v>
      </c>
      <c r="E102" t="s">
        <v>192</v>
      </c>
      <c r="F102">
        <v>3600</v>
      </c>
    </row>
    <row r="103" ht="14.25" customHeight="1">
      <c r="A103" t="s">
        <v>94</v>
      </c>
      <c r="B103" t="s">
        <v>244</v>
      </c>
      <c r="C103" t="s">
        <v>25</v>
      </c>
      <c r="D103" t="s">
        <v>191</v>
      </c>
      <c r="E103" t="s">
        <v>192</v>
      </c>
      <c r="F103">
        <v>8280</v>
      </c>
    </row>
    <row r="104" ht="14.25" customHeight="1">
      <c r="A104" t="s">
        <v>95</v>
      </c>
      <c r="B104" t="s">
        <v>244</v>
      </c>
      <c r="C104" t="s">
        <v>25</v>
      </c>
      <c r="D104" t="s">
        <v>191</v>
      </c>
      <c r="E104" t="s">
        <v>192</v>
      </c>
      <c r="F104">
        <v>6480</v>
      </c>
    </row>
    <row r="105" ht="14.25" customHeight="1">
      <c r="A105" t="s">
        <v>96</v>
      </c>
      <c r="B105" t="s">
        <v>244</v>
      </c>
      <c r="C105" t="s">
        <v>25</v>
      </c>
      <c r="D105" t="s">
        <v>191</v>
      </c>
      <c r="E105" t="s">
        <v>192</v>
      </c>
      <c r="F105">
        <v>4230</v>
      </c>
    </row>
    <row r="106" ht="14.25" customHeight="1">
      <c r="A106" t="s">
        <v>97</v>
      </c>
      <c r="B106" t="s">
        <v>244</v>
      </c>
      <c r="C106" t="s">
        <v>25</v>
      </c>
      <c r="D106" t="s">
        <v>191</v>
      </c>
      <c r="E106" t="s">
        <v>192</v>
      </c>
      <c r="F106">
        <v>3600</v>
      </c>
    </row>
    <row r="107" ht="14.25" customHeight="1">
      <c r="A107" t="s">
        <v>75</v>
      </c>
      <c r="B107" t="s">
        <v>245</v>
      </c>
      <c r="C107" t="s">
        <v>211</v>
      </c>
      <c r="D107" t="s">
        <v>191</v>
      </c>
      <c r="E107" t="s">
        <v>192</v>
      </c>
      <c r="F107">
        <v>165271</v>
      </c>
    </row>
    <row r="108" ht="14.25" customHeight="1">
      <c r="A108" t="s">
        <v>77</v>
      </c>
      <c r="B108" t="s">
        <v>245</v>
      </c>
      <c r="C108" t="s">
        <v>211</v>
      </c>
      <c r="D108" t="s">
        <v>191</v>
      </c>
      <c r="E108" t="s">
        <v>192</v>
      </c>
      <c r="F108">
        <v>143235</v>
      </c>
    </row>
    <row r="109" ht="14.25" customHeight="1">
      <c r="A109" t="s">
        <v>79</v>
      </c>
      <c r="B109" t="s">
        <v>245</v>
      </c>
      <c r="C109" t="s">
        <v>211</v>
      </c>
      <c r="D109" t="s">
        <v>191</v>
      </c>
      <c r="E109" t="s">
        <v>192</v>
      </c>
      <c r="F109">
        <v>132216</v>
      </c>
    </row>
    <row r="110" ht="14.25" customHeight="1">
      <c r="A110" t="s">
        <v>81</v>
      </c>
      <c r="B110" t="s">
        <v>245</v>
      </c>
      <c r="C110" t="s">
        <v>211</v>
      </c>
      <c r="D110" t="s">
        <v>191</v>
      </c>
      <c r="E110" t="s">
        <v>192</v>
      </c>
      <c r="F110">
        <v>110180</v>
      </c>
    </row>
    <row r="111" ht="14.25" customHeight="1">
      <c r="A111" t="s">
        <v>83</v>
      </c>
      <c r="B111" t="s">
        <v>245</v>
      </c>
      <c r="C111" t="s">
        <v>211</v>
      </c>
      <c r="D111" t="s">
        <v>191</v>
      </c>
      <c r="E111" t="s">
        <v>192</v>
      </c>
      <c r="F111">
        <v>165271</v>
      </c>
    </row>
    <row r="112" ht="14.25" customHeight="1">
      <c r="A112" t="s">
        <v>84</v>
      </c>
      <c r="B112" t="s">
        <v>245</v>
      </c>
      <c r="C112" t="s">
        <v>211</v>
      </c>
      <c r="D112" t="s">
        <v>191</v>
      </c>
      <c r="E112" t="s">
        <v>192</v>
      </c>
      <c r="F112">
        <v>110180</v>
      </c>
    </row>
    <row r="113" ht="14.25" customHeight="1">
      <c r="A113" t="s">
        <v>86</v>
      </c>
      <c r="B113" t="s">
        <v>245</v>
      </c>
      <c r="C113" t="s">
        <v>211</v>
      </c>
      <c r="D113" t="s">
        <v>191</v>
      </c>
      <c r="E113" t="s">
        <v>192</v>
      </c>
      <c r="F113">
        <v>110180</v>
      </c>
    </row>
    <row r="114" ht="14.25" customHeight="1">
      <c r="A114" t="s">
        <v>88</v>
      </c>
      <c r="B114" t="s">
        <v>245</v>
      </c>
      <c r="C114" t="s">
        <v>211</v>
      </c>
      <c r="D114" t="s">
        <v>191</v>
      </c>
      <c r="E114" t="s">
        <v>192</v>
      </c>
      <c r="F114">
        <v>66108</v>
      </c>
    </row>
    <row r="115" ht="14.25" customHeight="1">
      <c r="A115" t="s">
        <v>90</v>
      </c>
      <c r="B115" t="s">
        <v>245</v>
      </c>
      <c r="C115" t="s">
        <v>211</v>
      </c>
      <c r="D115" t="s">
        <v>191</v>
      </c>
      <c r="E115" t="s">
        <v>192</v>
      </c>
      <c r="F115">
        <v>66108</v>
      </c>
    </row>
    <row r="116" ht="14.25" customHeight="1">
      <c r="A116" t="s">
        <v>92</v>
      </c>
      <c r="B116" t="s">
        <v>245</v>
      </c>
      <c r="C116" t="s">
        <v>211</v>
      </c>
      <c r="D116" t="s">
        <v>191</v>
      </c>
      <c r="E116" t="s">
        <v>192</v>
      </c>
      <c r="F116">
        <v>66108</v>
      </c>
    </row>
    <row r="117" ht="14.25" customHeight="1">
      <c r="A117" t="s">
        <v>94</v>
      </c>
      <c r="B117" t="s">
        <v>245</v>
      </c>
      <c r="C117" t="s">
        <v>211</v>
      </c>
      <c r="D117" t="s">
        <v>191</v>
      </c>
      <c r="E117" t="s">
        <v>192</v>
      </c>
      <c r="F117">
        <v>88144</v>
      </c>
    </row>
    <row r="118" ht="14.25" customHeight="1">
      <c r="A118" t="s">
        <v>95</v>
      </c>
      <c r="B118" t="s">
        <v>245</v>
      </c>
      <c r="C118" t="s">
        <v>211</v>
      </c>
      <c r="D118" t="s">
        <v>191</v>
      </c>
      <c r="E118" t="s">
        <v>192</v>
      </c>
      <c r="F118">
        <v>88144</v>
      </c>
    </row>
    <row r="119" ht="14.25" customHeight="1">
      <c r="A119" t="s">
        <v>96</v>
      </c>
      <c r="B119" t="s">
        <v>245</v>
      </c>
      <c r="C119" t="s">
        <v>211</v>
      </c>
      <c r="D119" t="s">
        <v>191</v>
      </c>
      <c r="E119" t="s">
        <v>192</v>
      </c>
      <c r="F119">
        <v>66108</v>
      </c>
    </row>
    <row r="120" ht="14.25" customHeight="1">
      <c r="A120" t="s">
        <v>97</v>
      </c>
      <c r="B120" t="s">
        <v>245</v>
      </c>
      <c r="C120" t="s">
        <v>211</v>
      </c>
      <c r="D120" t="s">
        <v>191</v>
      </c>
      <c r="E120" t="s">
        <v>192</v>
      </c>
      <c r="F120">
        <v>66108</v>
      </c>
    </row>
    <row r="121" ht="14.25" customHeight="1">
      <c r="A121" t="s">
        <v>75</v>
      </c>
      <c r="B121" t="s">
        <v>245</v>
      </c>
      <c r="C121" t="s">
        <v>210</v>
      </c>
      <c r="D121" t="s">
        <v>191</v>
      </c>
      <c r="E121" t="s">
        <v>192</v>
      </c>
      <c r="F121">
        <v>172844</v>
      </c>
    </row>
    <row r="122" ht="14.25" customHeight="1">
      <c r="A122" t="s">
        <v>77</v>
      </c>
      <c r="B122" t="s">
        <v>245</v>
      </c>
      <c r="C122" t="s">
        <v>210</v>
      </c>
      <c r="D122" t="s">
        <v>191</v>
      </c>
      <c r="E122" t="s">
        <v>192</v>
      </c>
      <c r="F122">
        <v>149798</v>
      </c>
    </row>
    <row r="123" ht="14.25" customHeight="1">
      <c r="A123" t="s">
        <v>79</v>
      </c>
      <c r="B123" t="s">
        <v>245</v>
      </c>
      <c r="C123" t="s">
        <v>210</v>
      </c>
      <c r="D123" t="s">
        <v>191</v>
      </c>
      <c r="E123" t="s">
        <v>192</v>
      </c>
      <c r="F123">
        <v>138275</v>
      </c>
    </row>
    <row r="124" ht="14.25" customHeight="1">
      <c r="A124" t="s">
        <v>81</v>
      </c>
      <c r="B124" t="s">
        <v>245</v>
      </c>
      <c r="C124" t="s">
        <v>210</v>
      </c>
      <c r="D124" t="s">
        <v>191</v>
      </c>
      <c r="E124" t="s">
        <v>192</v>
      </c>
      <c r="F124">
        <v>115229</v>
      </c>
    </row>
    <row r="125" ht="14.25" customHeight="1">
      <c r="A125" t="s">
        <v>83</v>
      </c>
      <c r="B125" t="s">
        <v>245</v>
      </c>
      <c r="C125" t="s">
        <v>210</v>
      </c>
      <c r="D125" t="s">
        <v>191</v>
      </c>
      <c r="E125" t="s">
        <v>192</v>
      </c>
      <c r="F125">
        <v>172844</v>
      </c>
    </row>
    <row r="126" ht="14.25" customHeight="1">
      <c r="A126" t="s">
        <v>84</v>
      </c>
      <c r="B126" t="s">
        <v>245</v>
      </c>
      <c r="C126" t="s">
        <v>210</v>
      </c>
      <c r="D126" t="s">
        <v>191</v>
      </c>
      <c r="E126" t="s">
        <v>192</v>
      </c>
      <c r="F126">
        <v>115229</v>
      </c>
    </row>
    <row r="127" ht="14.25" customHeight="1">
      <c r="A127" t="s">
        <v>86</v>
      </c>
      <c r="B127" t="s">
        <v>245</v>
      </c>
      <c r="C127" t="s">
        <v>210</v>
      </c>
      <c r="D127" t="s">
        <v>191</v>
      </c>
      <c r="E127" t="s">
        <v>192</v>
      </c>
      <c r="F127">
        <v>115229</v>
      </c>
    </row>
    <row r="128" ht="14.25" customHeight="1">
      <c r="A128" t="s">
        <v>88</v>
      </c>
      <c r="B128" t="s">
        <v>245</v>
      </c>
      <c r="C128" t="s">
        <v>210</v>
      </c>
      <c r="D128" t="s">
        <v>191</v>
      </c>
      <c r="E128" t="s">
        <v>192</v>
      </c>
      <c r="F128">
        <v>69137</v>
      </c>
    </row>
    <row r="129" ht="14.25" customHeight="1">
      <c r="A129" t="s">
        <v>90</v>
      </c>
      <c r="B129" t="s">
        <v>245</v>
      </c>
      <c r="C129" t="s">
        <v>210</v>
      </c>
      <c r="D129" t="s">
        <v>191</v>
      </c>
      <c r="E129" t="s">
        <v>192</v>
      </c>
      <c r="F129">
        <v>69137</v>
      </c>
    </row>
    <row r="130" ht="14.25" customHeight="1">
      <c r="A130" t="s">
        <v>92</v>
      </c>
      <c r="B130" t="s">
        <v>245</v>
      </c>
      <c r="C130" t="s">
        <v>210</v>
      </c>
      <c r="D130" t="s">
        <v>191</v>
      </c>
      <c r="E130" t="s">
        <v>192</v>
      </c>
      <c r="F130">
        <v>69137</v>
      </c>
    </row>
    <row r="131" ht="14.25" customHeight="1">
      <c r="A131" t="s">
        <v>94</v>
      </c>
      <c r="B131" t="s">
        <v>245</v>
      </c>
      <c r="C131" t="s">
        <v>210</v>
      </c>
      <c r="D131" t="s">
        <v>191</v>
      </c>
      <c r="E131" t="s">
        <v>192</v>
      </c>
      <c r="F131">
        <v>92183</v>
      </c>
    </row>
    <row r="132" ht="14.25" customHeight="1">
      <c r="A132" t="s">
        <v>95</v>
      </c>
      <c r="B132" t="s">
        <v>245</v>
      </c>
      <c r="C132" t="s">
        <v>210</v>
      </c>
      <c r="D132" t="s">
        <v>191</v>
      </c>
      <c r="E132" t="s">
        <v>192</v>
      </c>
      <c r="F132">
        <v>92183</v>
      </c>
    </row>
    <row r="133" ht="14.25" customHeight="1">
      <c r="A133" t="s">
        <v>96</v>
      </c>
      <c r="B133" t="s">
        <v>245</v>
      </c>
      <c r="C133" t="s">
        <v>210</v>
      </c>
      <c r="D133" t="s">
        <v>191</v>
      </c>
      <c r="E133" t="s">
        <v>192</v>
      </c>
      <c r="F133">
        <v>69137</v>
      </c>
    </row>
    <row r="134" ht="14.25" customHeight="1">
      <c r="A134" t="s">
        <v>97</v>
      </c>
      <c r="B134" t="s">
        <v>245</v>
      </c>
      <c r="C134" t="s">
        <v>210</v>
      </c>
      <c r="D134" t="s">
        <v>191</v>
      </c>
      <c r="E134" t="s">
        <v>192</v>
      </c>
      <c r="F134">
        <v>69137</v>
      </c>
    </row>
    <row r="135" ht="14.25" customHeight="1">
      <c r="A135" t="s">
        <v>75</v>
      </c>
      <c r="B135" t="s">
        <v>245</v>
      </c>
      <c r="C135" t="s">
        <v>25</v>
      </c>
      <c r="D135" t="s">
        <v>191</v>
      </c>
      <c r="E135" t="s">
        <v>192</v>
      </c>
      <c r="F135">
        <v>181094</v>
      </c>
    </row>
    <row r="136" ht="14.25" customHeight="1">
      <c r="A136" t="s">
        <v>77</v>
      </c>
      <c r="B136" t="s">
        <v>245</v>
      </c>
      <c r="C136" t="s">
        <v>25</v>
      </c>
      <c r="D136" t="s">
        <v>191</v>
      </c>
      <c r="E136" t="s">
        <v>192</v>
      </c>
      <c r="F136">
        <v>156948</v>
      </c>
    </row>
    <row r="137" ht="14.25" customHeight="1">
      <c r="A137" t="s">
        <v>79</v>
      </c>
      <c r="B137" t="s">
        <v>245</v>
      </c>
      <c r="C137" t="s">
        <v>25</v>
      </c>
      <c r="D137" t="s">
        <v>191</v>
      </c>
      <c r="E137" t="s">
        <v>192</v>
      </c>
      <c r="F137">
        <v>144875</v>
      </c>
    </row>
    <row r="138" ht="14.25" customHeight="1">
      <c r="A138" t="s">
        <v>81</v>
      </c>
      <c r="B138" t="s">
        <v>245</v>
      </c>
      <c r="C138" t="s">
        <v>25</v>
      </c>
      <c r="D138" t="s">
        <v>191</v>
      </c>
      <c r="E138" t="s">
        <v>192</v>
      </c>
      <c r="F138">
        <v>120729</v>
      </c>
    </row>
    <row r="139" ht="14.25" customHeight="1">
      <c r="A139" t="s">
        <v>83</v>
      </c>
      <c r="B139" t="s">
        <v>245</v>
      </c>
      <c r="C139" t="s">
        <v>25</v>
      </c>
      <c r="D139" t="s">
        <v>191</v>
      </c>
      <c r="E139" t="s">
        <v>192</v>
      </c>
      <c r="F139">
        <v>181094</v>
      </c>
    </row>
    <row r="140" ht="14.25" customHeight="1">
      <c r="A140" t="s">
        <v>84</v>
      </c>
      <c r="B140" t="s">
        <v>245</v>
      </c>
      <c r="C140" t="s">
        <v>25</v>
      </c>
      <c r="D140" t="s">
        <v>191</v>
      </c>
      <c r="E140" t="s">
        <v>192</v>
      </c>
      <c r="F140">
        <v>120729</v>
      </c>
    </row>
    <row r="141" ht="14.25" customHeight="1">
      <c r="A141" t="s">
        <v>86</v>
      </c>
      <c r="B141" t="s">
        <v>245</v>
      </c>
      <c r="C141" t="s">
        <v>25</v>
      </c>
      <c r="D141" t="s">
        <v>191</v>
      </c>
      <c r="E141" t="s">
        <v>192</v>
      </c>
      <c r="F141">
        <v>120729</v>
      </c>
    </row>
    <row r="142" ht="14.25" customHeight="1">
      <c r="A142" t="s">
        <v>88</v>
      </c>
      <c r="B142" t="s">
        <v>245</v>
      </c>
      <c r="C142" t="s">
        <v>25</v>
      </c>
      <c r="D142" t="s">
        <v>191</v>
      </c>
      <c r="E142" t="s">
        <v>192</v>
      </c>
      <c r="F142">
        <v>72438</v>
      </c>
    </row>
    <row r="143" ht="14.25" customHeight="1">
      <c r="A143" t="s">
        <v>90</v>
      </c>
      <c r="B143" t="s">
        <v>245</v>
      </c>
      <c r="C143" t="s">
        <v>25</v>
      </c>
      <c r="D143" t="s">
        <v>191</v>
      </c>
      <c r="E143" t="s">
        <v>192</v>
      </c>
      <c r="F143">
        <v>72438</v>
      </c>
    </row>
    <row r="144" ht="14.25" customHeight="1">
      <c r="A144" t="s">
        <v>92</v>
      </c>
      <c r="B144" t="s">
        <v>245</v>
      </c>
      <c r="C144" t="s">
        <v>25</v>
      </c>
      <c r="D144" t="s">
        <v>191</v>
      </c>
      <c r="E144" t="s">
        <v>192</v>
      </c>
      <c r="F144">
        <v>72438</v>
      </c>
    </row>
    <row r="145" ht="14.25" customHeight="1">
      <c r="A145" t="s">
        <v>94</v>
      </c>
      <c r="B145" t="s">
        <v>245</v>
      </c>
      <c r="C145" t="s">
        <v>25</v>
      </c>
      <c r="D145" t="s">
        <v>191</v>
      </c>
      <c r="E145" t="s">
        <v>192</v>
      </c>
      <c r="F145">
        <v>96583</v>
      </c>
    </row>
    <row r="146" ht="14.25" customHeight="1">
      <c r="A146" t="s">
        <v>95</v>
      </c>
      <c r="B146" t="s">
        <v>245</v>
      </c>
      <c r="C146" t="s">
        <v>25</v>
      </c>
      <c r="D146" t="s">
        <v>191</v>
      </c>
      <c r="E146" t="s">
        <v>192</v>
      </c>
      <c r="F146">
        <v>96583</v>
      </c>
    </row>
    <row r="147" ht="14.25" customHeight="1">
      <c r="A147" t="s">
        <v>96</v>
      </c>
      <c r="B147" t="s">
        <v>245</v>
      </c>
      <c r="C147" t="s">
        <v>25</v>
      </c>
      <c r="D147" t="s">
        <v>191</v>
      </c>
      <c r="E147" t="s">
        <v>192</v>
      </c>
      <c r="F147">
        <v>72438</v>
      </c>
    </row>
    <row r="148" ht="14.25" customHeight="1">
      <c r="A148" t="s">
        <v>97</v>
      </c>
      <c r="B148" t="s">
        <v>245</v>
      </c>
      <c r="C148" t="s">
        <v>25</v>
      </c>
      <c r="D148" t="s">
        <v>191</v>
      </c>
      <c r="E148" t="s">
        <v>192</v>
      </c>
      <c r="F148">
        <v>72438</v>
      </c>
    </row>
    <row r="149" ht="14.25" customHeight="1">
      <c r="A149" t="s">
        <v>75</v>
      </c>
      <c r="B149" t="s">
        <v>246</v>
      </c>
      <c r="C149" t="s">
        <v>211</v>
      </c>
      <c r="D149" t="s">
        <v>191</v>
      </c>
      <c r="E149" t="s">
        <v>192</v>
      </c>
      <c r="F149">
        <v>77832</v>
      </c>
    </row>
    <row r="150" ht="14.25" customHeight="1">
      <c r="A150" t="s">
        <v>77</v>
      </c>
      <c r="B150" t="s">
        <v>246</v>
      </c>
      <c r="C150" t="s">
        <v>211</v>
      </c>
      <c r="D150" t="s">
        <v>191</v>
      </c>
      <c r="E150" t="s">
        <v>192</v>
      </c>
      <c r="F150">
        <v>66015</v>
      </c>
    </row>
    <row r="151" ht="14.25" customHeight="1">
      <c r="A151" t="s">
        <v>79</v>
      </c>
      <c r="B151" t="s">
        <v>246</v>
      </c>
      <c r="C151" t="s">
        <v>211</v>
      </c>
      <c r="D151" t="s">
        <v>191</v>
      </c>
      <c r="E151" t="s">
        <v>192</v>
      </c>
      <c r="F151">
        <v>59902</v>
      </c>
    </row>
    <row r="152" ht="14.25" customHeight="1">
      <c r="A152" t="s">
        <v>81</v>
      </c>
      <c r="B152" t="s">
        <v>246</v>
      </c>
      <c r="C152" t="s">
        <v>211</v>
      </c>
      <c r="D152" t="s">
        <v>191</v>
      </c>
      <c r="E152" t="s">
        <v>192</v>
      </c>
      <c r="F152">
        <v>50734</v>
      </c>
    </row>
    <row r="153" ht="14.25" customHeight="1">
      <c r="A153" t="s">
        <v>83</v>
      </c>
      <c r="B153" t="s">
        <v>246</v>
      </c>
      <c r="C153" t="s">
        <v>211</v>
      </c>
      <c r="D153" t="s">
        <v>191</v>
      </c>
      <c r="E153" t="s">
        <v>192</v>
      </c>
      <c r="F153">
        <v>72127</v>
      </c>
    </row>
    <row r="154" ht="14.25" customHeight="1">
      <c r="A154" t="s">
        <v>84</v>
      </c>
      <c r="B154" t="s">
        <v>246</v>
      </c>
      <c r="C154" t="s">
        <v>211</v>
      </c>
      <c r="D154" t="s">
        <v>191</v>
      </c>
      <c r="E154" t="s">
        <v>192</v>
      </c>
      <c r="F154">
        <v>49715</v>
      </c>
    </row>
    <row r="155" ht="14.25" customHeight="1">
      <c r="A155" t="s">
        <v>86</v>
      </c>
      <c r="B155" t="s">
        <v>246</v>
      </c>
      <c r="C155" t="s">
        <v>211</v>
      </c>
      <c r="D155" t="s">
        <v>191</v>
      </c>
      <c r="E155" t="s">
        <v>192</v>
      </c>
      <c r="F155">
        <v>47066</v>
      </c>
    </row>
    <row r="156" ht="14.25" customHeight="1">
      <c r="A156" t="s">
        <v>88</v>
      </c>
      <c r="B156" t="s">
        <v>246</v>
      </c>
      <c r="C156" t="s">
        <v>211</v>
      </c>
      <c r="D156" t="s">
        <v>191</v>
      </c>
      <c r="E156" t="s">
        <v>192</v>
      </c>
      <c r="F156">
        <v>29544</v>
      </c>
    </row>
    <row r="157" ht="14.25" customHeight="1">
      <c r="A157" t="s">
        <v>90</v>
      </c>
      <c r="B157" t="s">
        <v>246</v>
      </c>
      <c r="C157" t="s">
        <v>211</v>
      </c>
      <c r="D157" t="s">
        <v>191</v>
      </c>
      <c r="E157" t="s">
        <v>192</v>
      </c>
      <c r="F157">
        <v>23839</v>
      </c>
    </row>
    <row r="158" ht="14.25" customHeight="1">
      <c r="A158" t="s">
        <v>92</v>
      </c>
      <c r="B158" t="s">
        <v>246</v>
      </c>
      <c r="C158" t="s">
        <v>211</v>
      </c>
      <c r="D158" t="s">
        <v>191</v>
      </c>
      <c r="E158" t="s">
        <v>192</v>
      </c>
      <c r="F158">
        <v>23839</v>
      </c>
    </row>
    <row r="159" ht="14.25" customHeight="1">
      <c r="A159" t="s">
        <v>94</v>
      </c>
      <c r="B159" t="s">
        <v>246</v>
      </c>
      <c r="C159" t="s">
        <v>211</v>
      </c>
      <c r="D159" t="s">
        <v>191</v>
      </c>
      <c r="E159" t="s">
        <v>192</v>
      </c>
      <c r="F159">
        <v>37082</v>
      </c>
    </row>
    <row r="160" ht="14.25" customHeight="1">
      <c r="A160" t="s">
        <v>95</v>
      </c>
      <c r="B160" t="s">
        <v>246</v>
      </c>
      <c r="C160" t="s">
        <v>211</v>
      </c>
      <c r="D160" t="s">
        <v>191</v>
      </c>
      <c r="E160" t="s">
        <v>192</v>
      </c>
      <c r="F160">
        <v>28932</v>
      </c>
    </row>
    <row r="161" ht="14.25" customHeight="1">
      <c r="A161" t="s">
        <v>96</v>
      </c>
      <c r="B161" t="s">
        <v>246</v>
      </c>
      <c r="C161" t="s">
        <v>211</v>
      </c>
      <c r="D161" t="s">
        <v>191</v>
      </c>
      <c r="E161" t="s">
        <v>192</v>
      </c>
      <c r="F161">
        <v>28117</v>
      </c>
    </row>
    <row r="162" ht="14.25" customHeight="1">
      <c r="A162" t="s">
        <v>97</v>
      </c>
      <c r="B162" t="s">
        <v>246</v>
      </c>
      <c r="C162" t="s">
        <v>211</v>
      </c>
      <c r="D162" t="s">
        <v>191</v>
      </c>
      <c r="E162" t="s">
        <v>192</v>
      </c>
      <c r="F162">
        <v>23839</v>
      </c>
    </row>
    <row r="163" ht="14.25" customHeight="1">
      <c r="A163" t="s">
        <v>75</v>
      </c>
      <c r="B163" t="s">
        <v>246</v>
      </c>
      <c r="C163" t="s">
        <v>210</v>
      </c>
      <c r="D163" t="s">
        <v>191</v>
      </c>
      <c r="E163" t="s">
        <v>192</v>
      </c>
      <c r="F163">
        <v>81399</v>
      </c>
    </row>
    <row r="164" ht="14.25" customHeight="1">
      <c r="A164" t="s">
        <v>77</v>
      </c>
      <c r="B164" t="s">
        <v>246</v>
      </c>
      <c r="C164" t="s">
        <v>210</v>
      </c>
      <c r="D164" t="s">
        <v>191</v>
      </c>
      <c r="E164" t="s">
        <v>192</v>
      </c>
      <c r="F164">
        <v>69040</v>
      </c>
    </row>
    <row r="165" ht="14.25" customHeight="1">
      <c r="A165" t="s">
        <v>79</v>
      </c>
      <c r="B165" t="s">
        <v>246</v>
      </c>
      <c r="C165" t="s">
        <v>210</v>
      </c>
      <c r="D165" t="s">
        <v>191</v>
      </c>
      <c r="E165" t="s">
        <v>192</v>
      </c>
      <c r="F165">
        <v>62647</v>
      </c>
    </row>
    <row r="166" ht="14.25" customHeight="1">
      <c r="A166" t="s">
        <v>81</v>
      </c>
      <c r="B166" t="s">
        <v>246</v>
      </c>
      <c r="C166" t="s">
        <v>210</v>
      </c>
      <c r="D166" t="s">
        <v>191</v>
      </c>
      <c r="E166" t="s">
        <v>192</v>
      </c>
      <c r="F166">
        <v>53058</v>
      </c>
    </row>
    <row r="167" ht="14.25" customHeight="1">
      <c r="A167" t="s">
        <v>83</v>
      </c>
      <c r="B167" t="s">
        <v>246</v>
      </c>
      <c r="C167" t="s">
        <v>210</v>
      </c>
      <c r="D167" t="s">
        <v>191</v>
      </c>
      <c r="E167" t="s">
        <v>192</v>
      </c>
      <c r="F167">
        <v>75432</v>
      </c>
    </row>
    <row r="168" ht="14.25" customHeight="1">
      <c r="A168" t="s">
        <v>84</v>
      </c>
      <c r="B168" t="s">
        <v>246</v>
      </c>
      <c r="C168" t="s">
        <v>210</v>
      </c>
      <c r="D168" t="s">
        <v>191</v>
      </c>
      <c r="E168" t="s">
        <v>192</v>
      </c>
      <c r="F168">
        <v>51993</v>
      </c>
    </row>
    <row r="169" ht="14.25" customHeight="1">
      <c r="A169" t="s">
        <v>86</v>
      </c>
      <c r="B169" t="s">
        <v>246</v>
      </c>
      <c r="C169" t="s">
        <v>210</v>
      </c>
      <c r="D169" t="s">
        <v>191</v>
      </c>
      <c r="E169" t="s">
        <v>192</v>
      </c>
      <c r="F169">
        <v>49223</v>
      </c>
    </row>
    <row r="170" ht="14.25" customHeight="1">
      <c r="A170" t="s">
        <v>88</v>
      </c>
      <c r="B170" t="s">
        <v>246</v>
      </c>
      <c r="C170" t="s">
        <v>210</v>
      </c>
      <c r="D170" t="s">
        <v>191</v>
      </c>
      <c r="E170" t="s">
        <v>192</v>
      </c>
      <c r="F170">
        <v>30897</v>
      </c>
    </row>
    <row r="171" ht="14.25" customHeight="1">
      <c r="A171" t="s">
        <v>90</v>
      </c>
      <c r="B171" t="s">
        <v>246</v>
      </c>
      <c r="C171" t="s">
        <v>210</v>
      </c>
      <c r="D171" t="s">
        <v>191</v>
      </c>
      <c r="E171" t="s">
        <v>192</v>
      </c>
      <c r="F171">
        <v>24931</v>
      </c>
    </row>
    <row r="172" ht="14.25" customHeight="1">
      <c r="A172" t="s">
        <v>92</v>
      </c>
      <c r="B172" t="s">
        <v>246</v>
      </c>
      <c r="C172" t="s">
        <v>210</v>
      </c>
      <c r="D172" t="s">
        <v>191</v>
      </c>
      <c r="E172" t="s">
        <v>192</v>
      </c>
      <c r="F172">
        <v>24931</v>
      </c>
    </row>
    <row r="173" ht="14.25" customHeight="1">
      <c r="A173" t="s">
        <v>94</v>
      </c>
      <c r="B173" t="s">
        <v>246</v>
      </c>
      <c r="C173" t="s">
        <v>210</v>
      </c>
      <c r="D173" t="s">
        <v>191</v>
      </c>
      <c r="E173" t="s">
        <v>192</v>
      </c>
      <c r="F173">
        <v>38782</v>
      </c>
    </row>
    <row r="174" ht="14.25" customHeight="1">
      <c r="A174" t="s">
        <v>95</v>
      </c>
      <c r="B174" t="s">
        <v>246</v>
      </c>
      <c r="C174" t="s">
        <v>210</v>
      </c>
      <c r="D174" t="s">
        <v>191</v>
      </c>
      <c r="E174" t="s">
        <v>192</v>
      </c>
      <c r="F174">
        <v>30258</v>
      </c>
    </row>
    <row r="175" ht="14.25" customHeight="1">
      <c r="A175" t="s">
        <v>96</v>
      </c>
      <c r="B175" t="s">
        <v>246</v>
      </c>
      <c r="C175" t="s">
        <v>210</v>
      </c>
      <c r="D175" t="s">
        <v>191</v>
      </c>
      <c r="E175" t="s">
        <v>192</v>
      </c>
      <c r="F175">
        <v>29406</v>
      </c>
    </row>
    <row r="176" ht="14.25" customHeight="1">
      <c r="A176" t="s">
        <v>97</v>
      </c>
      <c r="B176" t="s">
        <v>246</v>
      </c>
      <c r="C176" t="s">
        <v>210</v>
      </c>
      <c r="D176" t="s">
        <v>191</v>
      </c>
      <c r="E176" t="s">
        <v>192</v>
      </c>
      <c r="F176">
        <v>24931</v>
      </c>
    </row>
    <row r="177" ht="14.25" customHeight="1">
      <c r="A177" t="s">
        <v>75</v>
      </c>
      <c r="B177" t="s">
        <v>246</v>
      </c>
      <c r="C177" t="s">
        <v>25</v>
      </c>
      <c r="D177" t="s">
        <v>191</v>
      </c>
      <c r="E177" t="s">
        <v>192</v>
      </c>
      <c r="F177">
        <v>85284</v>
      </c>
    </row>
    <row r="178" ht="14.25" customHeight="1">
      <c r="A178" t="s">
        <v>77</v>
      </c>
      <c r="B178" t="s">
        <v>246</v>
      </c>
      <c r="C178" t="s">
        <v>25</v>
      </c>
      <c r="D178" t="s">
        <v>191</v>
      </c>
      <c r="E178" t="s">
        <v>192</v>
      </c>
      <c r="F178">
        <v>72335</v>
      </c>
    </row>
    <row r="179" ht="14.25" customHeight="1">
      <c r="A179" t="s">
        <v>79</v>
      </c>
      <c r="B179" t="s">
        <v>246</v>
      </c>
      <c r="C179" t="s">
        <v>25</v>
      </c>
      <c r="D179" t="s">
        <v>191</v>
      </c>
      <c r="E179" t="s">
        <v>192</v>
      </c>
      <c r="F179">
        <v>65638</v>
      </c>
    </row>
    <row r="180" ht="14.25" customHeight="1">
      <c r="A180" t="s">
        <v>81</v>
      </c>
      <c r="B180" t="s">
        <v>246</v>
      </c>
      <c r="C180" t="s">
        <v>25</v>
      </c>
      <c r="D180" t="s">
        <v>191</v>
      </c>
      <c r="E180" t="s">
        <v>192</v>
      </c>
      <c r="F180">
        <v>55591</v>
      </c>
    </row>
    <row r="181" ht="14.25" customHeight="1">
      <c r="A181" t="s">
        <v>83</v>
      </c>
      <c r="B181" t="s">
        <v>246</v>
      </c>
      <c r="C181" t="s">
        <v>25</v>
      </c>
      <c r="D181" t="s">
        <v>191</v>
      </c>
      <c r="E181" t="s">
        <v>192</v>
      </c>
      <c r="F181">
        <v>79033</v>
      </c>
    </row>
    <row r="182" ht="14.25" customHeight="1">
      <c r="A182" t="s">
        <v>84</v>
      </c>
      <c r="B182" t="s">
        <v>246</v>
      </c>
      <c r="C182" t="s">
        <v>25</v>
      </c>
      <c r="D182" t="s">
        <v>191</v>
      </c>
      <c r="E182" t="s">
        <v>192</v>
      </c>
      <c r="F182">
        <v>54475</v>
      </c>
    </row>
    <row r="183" ht="14.25" customHeight="1">
      <c r="A183" t="s">
        <v>86</v>
      </c>
      <c r="B183" t="s">
        <v>246</v>
      </c>
      <c r="C183" t="s">
        <v>25</v>
      </c>
      <c r="D183" t="s">
        <v>191</v>
      </c>
      <c r="E183" t="s">
        <v>192</v>
      </c>
      <c r="F183">
        <v>51572</v>
      </c>
    </row>
    <row r="184" ht="14.25" customHeight="1">
      <c r="A184" t="s">
        <v>88</v>
      </c>
      <c r="B184" t="s">
        <v>246</v>
      </c>
      <c r="C184" t="s">
        <v>25</v>
      </c>
      <c r="D184" t="s">
        <v>191</v>
      </c>
      <c r="E184" t="s">
        <v>192</v>
      </c>
      <c r="F184">
        <v>32372</v>
      </c>
    </row>
    <row r="185" ht="14.25" customHeight="1">
      <c r="A185" t="s">
        <v>90</v>
      </c>
      <c r="B185" t="s">
        <v>246</v>
      </c>
      <c r="C185" t="s">
        <v>25</v>
      </c>
      <c r="D185" t="s">
        <v>191</v>
      </c>
      <c r="E185" t="s">
        <v>192</v>
      </c>
      <c r="F185">
        <v>26121</v>
      </c>
    </row>
    <row r="186" ht="14.25" customHeight="1">
      <c r="A186" t="s">
        <v>92</v>
      </c>
      <c r="B186" t="s">
        <v>246</v>
      </c>
      <c r="C186" t="s">
        <v>25</v>
      </c>
      <c r="D186" t="s">
        <v>191</v>
      </c>
      <c r="E186" t="s">
        <v>192</v>
      </c>
      <c r="F186">
        <v>26121</v>
      </c>
    </row>
    <row r="187" ht="14.25" customHeight="1">
      <c r="A187" t="s">
        <v>94</v>
      </c>
      <c r="B187" t="s">
        <v>246</v>
      </c>
      <c r="C187" t="s">
        <v>25</v>
      </c>
      <c r="D187" t="s">
        <v>191</v>
      </c>
      <c r="E187" t="s">
        <v>192</v>
      </c>
      <c r="F187">
        <v>40633</v>
      </c>
    </row>
    <row r="188" ht="14.25" customHeight="1">
      <c r="A188" t="s">
        <v>95</v>
      </c>
      <c r="B188" t="s">
        <v>246</v>
      </c>
      <c r="C188" t="s">
        <v>25</v>
      </c>
      <c r="D188" t="s">
        <v>191</v>
      </c>
      <c r="E188" t="s">
        <v>192</v>
      </c>
      <c r="F188">
        <v>31703</v>
      </c>
    </row>
    <row r="189" ht="14.25" customHeight="1">
      <c r="A189" t="s">
        <v>96</v>
      </c>
      <c r="B189" t="s">
        <v>246</v>
      </c>
      <c r="C189" t="s">
        <v>25</v>
      </c>
      <c r="D189" t="s">
        <v>191</v>
      </c>
      <c r="E189" t="s">
        <v>192</v>
      </c>
      <c r="F189">
        <v>30809</v>
      </c>
    </row>
    <row r="190" ht="14.25" customHeight="1">
      <c r="A190" t="s">
        <v>97</v>
      </c>
      <c r="B190" t="s">
        <v>246</v>
      </c>
      <c r="C190" t="s">
        <v>25</v>
      </c>
      <c r="D190" t="s">
        <v>191</v>
      </c>
      <c r="E190" t="s">
        <v>192</v>
      </c>
      <c r="F190">
        <v>26121</v>
      </c>
    </row>
    <row r="191" ht="14.25" customHeight="1">
      <c r="A191" t="s">
        <v>75</v>
      </c>
      <c r="B191" t="s">
        <v>247</v>
      </c>
      <c r="C191" t="s">
        <v>211</v>
      </c>
      <c r="D191" t="s">
        <v>191</v>
      </c>
      <c r="E191" t="s">
        <v>192</v>
      </c>
      <c r="F191">
        <v>51888</v>
      </c>
    </row>
    <row r="192" ht="14.25" customHeight="1">
      <c r="A192" t="s">
        <v>77</v>
      </c>
      <c r="B192" t="s">
        <v>247</v>
      </c>
      <c r="C192" t="s">
        <v>211</v>
      </c>
      <c r="D192" t="s">
        <v>191</v>
      </c>
      <c r="E192" t="s">
        <v>192</v>
      </c>
      <c r="F192">
        <v>44010</v>
      </c>
    </row>
    <row r="193" ht="14.25" customHeight="1">
      <c r="A193" t="s">
        <v>79</v>
      </c>
      <c r="B193" t="s">
        <v>247</v>
      </c>
      <c r="C193" t="s">
        <v>211</v>
      </c>
      <c r="D193" t="s">
        <v>191</v>
      </c>
      <c r="E193" t="s">
        <v>192</v>
      </c>
      <c r="F193">
        <v>39935</v>
      </c>
    </row>
    <row r="194" ht="14.25" customHeight="1">
      <c r="A194" t="s">
        <v>81</v>
      </c>
      <c r="B194" t="s">
        <v>247</v>
      </c>
      <c r="C194" t="s">
        <v>211</v>
      </c>
      <c r="D194" t="s">
        <v>191</v>
      </c>
      <c r="E194" t="s">
        <v>192</v>
      </c>
      <c r="F194">
        <v>33822</v>
      </c>
    </row>
    <row r="195" ht="14.25" customHeight="1">
      <c r="A195" t="s">
        <v>83</v>
      </c>
      <c r="B195" t="s">
        <v>247</v>
      </c>
      <c r="C195" t="s">
        <v>211</v>
      </c>
      <c r="D195" t="s">
        <v>191</v>
      </c>
      <c r="E195" t="s">
        <v>192</v>
      </c>
      <c r="F195">
        <v>48085</v>
      </c>
    </row>
    <row r="196" ht="14.25" customHeight="1">
      <c r="A196" t="s">
        <v>84</v>
      </c>
      <c r="B196" t="s">
        <v>247</v>
      </c>
      <c r="C196" t="s">
        <v>211</v>
      </c>
      <c r="D196" t="s">
        <v>191</v>
      </c>
      <c r="E196" t="s">
        <v>192</v>
      </c>
      <c r="F196">
        <v>33143</v>
      </c>
    </row>
    <row r="197" ht="14.25" customHeight="1">
      <c r="A197" t="s">
        <v>86</v>
      </c>
      <c r="B197" t="s">
        <v>247</v>
      </c>
      <c r="C197" t="s">
        <v>211</v>
      </c>
      <c r="D197" t="s">
        <v>191</v>
      </c>
      <c r="E197" t="s">
        <v>192</v>
      </c>
      <c r="F197">
        <v>31377</v>
      </c>
    </row>
    <row r="198" ht="14.25" customHeight="1">
      <c r="A198" t="s">
        <v>88</v>
      </c>
      <c r="B198" t="s">
        <v>247</v>
      </c>
      <c r="C198" t="s">
        <v>211</v>
      </c>
      <c r="D198" t="s">
        <v>191</v>
      </c>
      <c r="E198" t="s">
        <v>192</v>
      </c>
      <c r="F198">
        <v>19696</v>
      </c>
    </row>
    <row r="199" ht="14.25" customHeight="1">
      <c r="A199" t="s">
        <v>90</v>
      </c>
      <c r="B199" t="s">
        <v>247</v>
      </c>
      <c r="C199" t="s">
        <v>211</v>
      </c>
      <c r="D199" t="s">
        <v>191</v>
      </c>
      <c r="E199" t="s">
        <v>192</v>
      </c>
      <c r="F199">
        <v>15892</v>
      </c>
    </row>
    <row r="200" ht="14.25" customHeight="1">
      <c r="A200" t="s">
        <v>92</v>
      </c>
      <c r="B200" t="s">
        <v>247</v>
      </c>
      <c r="C200" t="s">
        <v>211</v>
      </c>
      <c r="D200" t="s">
        <v>191</v>
      </c>
      <c r="E200" t="s">
        <v>192</v>
      </c>
      <c r="F200">
        <v>15892</v>
      </c>
    </row>
    <row r="201" ht="14.25" customHeight="1">
      <c r="A201" t="s">
        <v>94</v>
      </c>
      <c r="B201" t="s">
        <v>247</v>
      </c>
      <c r="C201" t="s">
        <v>211</v>
      </c>
      <c r="D201" t="s">
        <v>191</v>
      </c>
      <c r="E201" t="s">
        <v>192</v>
      </c>
      <c r="F201">
        <v>24722</v>
      </c>
    </row>
    <row r="202" ht="14.25" customHeight="1">
      <c r="A202" t="s">
        <v>95</v>
      </c>
      <c r="B202" t="s">
        <v>247</v>
      </c>
      <c r="C202" t="s">
        <v>211</v>
      </c>
      <c r="D202" t="s">
        <v>191</v>
      </c>
      <c r="E202" t="s">
        <v>192</v>
      </c>
      <c r="F202">
        <v>19288</v>
      </c>
    </row>
    <row r="203" ht="14.25" customHeight="1">
      <c r="A203" t="s">
        <v>96</v>
      </c>
      <c r="B203" t="s">
        <v>247</v>
      </c>
      <c r="C203" t="s">
        <v>211</v>
      </c>
      <c r="D203" t="s">
        <v>191</v>
      </c>
      <c r="E203" t="s">
        <v>192</v>
      </c>
      <c r="F203">
        <v>18745</v>
      </c>
    </row>
    <row r="204" ht="14.25" customHeight="1">
      <c r="A204" t="s">
        <v>97</v>
      </c>
      <c r="B204" t="s">
        <v>247</v>
      </c>
      <c r="C204" t="s">
        <v>211</v>
      </c>
      <c r="D204" t="s">
        <v>191</v>
      </c>
      <c r="E204" t="s">
        <v>192</v>
      </c>
      <c r="F204">
        <v>15892</v>
      </c>
    </row>
    <row r="205" ht="14.25" customHeight="1">
      <c r="A205" t="s">
        <v>75</v>
      </c>
      <c r="B205" t="s">
        <v>247</v>
      </c>
      <c r="C205" t="s">
        <v>210</v>
      </c>
      <c r="D205" t="s">
        <v>191</v>
      </c>
      <c r="E205" t="s">
        <v>192</v>
      </c>
      <c r="F205">
        <v>54266</v>
      </c>
    </row>
    <row r="206" ht="14.25" customHeight="1">
      <c r="A206" t="s">
        <v>77</v>
      </c>
      <c r="B206" t="s">
        <v>247</v>
      </c>
      <c r="C206" t="s">
        <v>210</v>
      </c>
      <c r="D206" t="s">
        <v>191</v>
      </c>
      <c r="E206" t="s">
        <v>192</v>
      </c>
      <c r="F206">
        <v>46027</v>
      </c>
    </row>
    <row r="207" ht="14.25" customHeight="1">
      <c r="A207" t="s">
        <v>79</v>
      </c>
      <c r="B207" t="s">
        <v>247</v>
      </c>
      <c r="C207" t="s">
        <v>210</v>
      </c>
      <c r="D207" t="s">
        <v>191</v>
      </c>
      <c r="E207" t="s">
        <v>192</v>
      </c>
      <c r="F207">
        <v>41765</v>
      </c>
    </row>
    <row r="208" ht="14.25" customHeight="1">
      <c r="A208" t="s">
        <v>81</v>
      </c>
      <c r="B208" t="s">
        <v>247</v>
      </c>
      <c r="C208" t="s">
        <v>210</v>
      </c>
      <c r="D208" t="s">
        <v>191</v>
      </c>
      <c r="E208" t="s">
        <v>192</v>
      </c>
      <c r="F208">
        <v>35372</v>
      </c>
    </row>
    <row r="209" ht="14.25" customHeight="1">
      <c r="A209" t="s">
        <v>83</v>
      </c>
      <c r="B209" t="s">
        <v>247</v>
      </c>
      <c r="C209" t="s">
        <v>210</v>
      </c>
      <c r="D209" t="s">
        <v>191</v>
      </c>
      <c r="E209" t="s">
        <v>192</v>
      </c>
      <c r="F209">
        <v>50288</v>
      </c>
    </row>
    <row r="210" ht="14.25" customHeight="1">
      <c r="A210" t="s">
        <v>84</v>
      </c>
      <c r="B210" t="s">
        <v>247</v>
      </c>
      <c r="C210" t="s">
        <v>210</v>
      </c>
      <c r="D210" t="s">
        <v>191</v>
      </c>
      <c r="E210" t="s">
        <v>192</v>
      </c>
      <c r="F210">
        <v>34662</v>
      </c>
    </row>
    <row r="211" ht="14.25" customHeight="1">
      <c r="A211" t="s">
        <v>86</v>
      </c>
      <c r="B211" t="s">
        <v>247</v>
      </c>
      <c r="C211" t="s">
        <v>210</v>
      </c>
      <c r="D211" t="s">
        <v>191</v>
      </c>
      <c r="E211" t="s">
        <v>192</v>
      </c>
      <c r="F211">
        <v>32815</v>
      </c>
    </row>
    <row r="212" ht="14.25" customHeight="1">
      <c r="A212" t="s">
        <v>88</v>
      </c>
      <c r="B212" t="s">
        <v>247</v>
      </c>
      <c r="C212" t="s">
        <v>210</v>
      </c>
      <c r="D212" t="s">
        <v>191</v>
      </c>
      <c r="E212" t="s">
        <v>192</v>
      </c>
      <c r="F212">
        <v>20598</v>
      </c>
    </row>
    <row r="213" ht="14.25" customHeight="1">
      <c r="A213" t="s">
        <v>90</v>
      </c>
      <c r="B213" t="s">
        <v>247</v>
      </c>
      <c r="C213" t="s">
        <v>210</v>
      </c>
      <c r="D213" t="s">
        <v>191</v>
      </c>
      <c r="E213" t="s">
        <v>192</v>
      </c>
      <c r="F213">
        <v>16621</v>
      </c>
    </row>
    <row r="214" ht="14.25" customHeight="1">
      <c r="A214" t="s">
        <v>92</v>
      </c>
      <c r="B214" t="s">
        <v>247</v>
      </c>
      <c r="C214" t="s">
        <v>210</v>
      </c>
      <c r="D214" t="s">
        <v>191</v>
      </c>
      <c r="E214" t="s">
        <v>192</v>
      </c>
      <c r="F214">
        <v>16621</v>
      </c>
    </row>
    <row r="215" ht="14.25" customHeight="1">
      <c r="A215" t="s">
        <v>94</v>
      </c>
      <c r="B215" t="s">
        <v>247</v>
      </c>
      <c r="C215" t="s">
        <v>210</v>
      </c>
      <c r="D215" t="s">
        <v>191</v>
      </c>
      <c r="E215" t="s">
        <v>192</v>
      </c>
      <c r="F215">
        <v>25854</v>
      </c>
    </row>
    <row r="216" ht="14.25" customHeight="1">
      <c r="A216" t="s">
        <v>95</v>
      </c>
      <c r="B216" t="s">
        <v>247</v>
      </c>
      <c r="C216" t="s">
        <v>210</v>
      </c>
      <c r="D216" t="s">
        <v>191</v>
      </c>
      <c r="E216" t="s">
        <v>192</v>
      </c>
      <c r="F216">
        <v>20172</v>
      </c>
    </row>
    <row r="217" ht="14.25" customHeight="1">
      <c r="A217" t="s">
        <v>96</v>
      </c>
      <c r="B217" t="s">
        <v>247</v>
      </c>
      <c r="C217" t="s">
        <v>210</v>
      </c>
      <c r="D217" t="s">
        <v>191</v>
      </c>
      <c r="E217" t="s">
        <v>192</v>
      </c>
      <c r="F217">
        <v>19604</v>
      </c>
    </row>
    <row r="218" ht="14.25" customHeight="1">
      <c r="A218" t="s">
        <v>97</v>
      </c>
      <c r="B218" t="s">
        <v>247</v>
      </c>
      <c r="C218" t="s">
        <v>210</v>
      </c>
      <c r="D218" t="s">
        <v>191</v>
      </c>
      <c r="E218" t="s">
        <v>192</v>
      </c>
      <c r="F218">
        <v>16621</v>
      </c>
    </row>
    <row r="219" ht="14.25" customHeight="1">
      <c r="A219" t="s">
        <v>75</v>
      </c>
      <c r="B219" t="s">
        <v>247</v>
      </c>
      <c r="C219" t="s">
        <v>25</v>
      </c>
      <c r="D219" t="s">
        <v>191</v>
      </c>
      <c r="E219" t="s">
        <v>192</v>
      </c>
      <c r="F219">
        <v>56856</v>
      </c>
    </row>
    <row r="220" ht="14.25" customHeight="1">
      <c r="A220" t="s">
        <v>77</v>
      </c>
      <c r="B220" t="s">
        <v>247</v>
      </c>
      <c r="C220" t="s">
        <v>25</v>
      </c>
      <c r="D220" t="s">
        <v>191</v>
      </c>
      <c r="E220" t="s">
        <v>192</v>
      </c>
      <c r="F220">
        <v>48224</v>
      </c>
    </row>
    <row r="221" ht="14.25" customHeight="1">
      <c r="A221" t="s">
        <v>79</v>
      </c>
      <c r="B221" t="s">
        <v>247</v>
      </c>
      <c r="C221" t="s">
        <v>25</v>
      </c>
      <c r="D221" t="s">
        <v>191</v>
      </c>
      <c r="E221" t="s">
        <v>192</v>
      </c>
      <c r="F221">
        <v>43758</v>
      </c>
    </row>
    <row r="222" ht="14.25" customHeight="1">
      <c r="A222" t="s">
        <v>81</v>
      </c>
      <c r="B222" t="s">
        <v>247</v>
      </c>
      <c r="C222" t="s">
        <v>25</v>
      </c>
      <c r="D222" t="s">
        <v>191</v>
      </c>
      <c r="E222" t="s">
        <v>192</v>
      </c>
      <c r="F222">
        <v>37061</v>
      </c>
    </row>
    <row r="223" ht="14.25" customHeight="1">
      <c r="A223" t="s">
        <v>83</v>
      </c>
      <c r="B223" t="s">
        <v>247</v>
      </c>
      <c r="C223" t="s">
        <v>25</v>
      </c>
      <c r="D223" t="s">
        <v>191</v>
      </c>
      <c r="E223" t="s">
        <v>192</v>
      </c>
      <c r="F223">
        <v>52689</v>
      </c>
    </row>
    <row r="224" ht="14.25" customHeight="1">
      <c r="A224" t="s">
        <v>84</v>
      </c>
      <c r="B224" t="s">
        <v>247</v>
      </c>
      <c r="C224" t="s">
        <v>25</v>
      </c>
      <c r="D224" t="s">
        <v>191</v>
      </c>
      <c r="E224" t="s">
        <v>192</v>
      </c>
      <c r="F224">
        <v>36316</v>
      </c>
    </row>
    <row r="225" ht="14.25" customHeight="1">
      <c r="A225" t="s">
        <v>86</v>
      </c>
      <c r="B225" t="s">
        <v>247</v>
      </c>
      <c r="C225" t="s">
        <v>25</v>
      </c>
      <c r="D225" t="s">
        <v>191</v>
      </c>
      <c r="E225" t="s">
        <v>192</v>
      </c>
      <c r="F225">
        <v>34382</v>
      </c>
    </row>
    <row r="226" ht="14.25" customHeight="1">
      <c r="A226" t="s">
        <v>88</v>
      </c>
      <c r="B226" t="s">
        <v>247</v>
      </c>
      <c r="C226" t="s">
        <v>25</v>
      </c>
      <c r="D226" t="s">
        <v>191</v>
      </c>
      <c r="E226" t="s">
        <v>192</v>
      </c>
      <c r="F226">
        <v>21582</v>
      </c>
    </row>
    <row r="227" ht="14.25" customHeight="1">
      <c r="A227" t="s">
        <v>90</v>
      </c>
      <c r="B227" t="s">
        <v>247</v>
      </c>
      <c r="C227" t="s">
        <v>25</v>
      </c>
      <c r="D227" t="s">
        <v>191</v>
      </c>
      <c r="E227" t="s">
        <v>192</v>
      </c>
      <c r="F227">
        <v>17414</v>
      </c>
    </row>
    <row r="228" ht="14.25" customHeight="1">
      <c r="A228" t="s">
        <v>92</v>
      </c>
      <c r="B228" t="s">
        <v>247</v>
      </c>
      <c r="C228" t="s">
        <v>25</v>
      </c>
      <c r="D228" t="s">
        <v>191</v>
      </c>
      <c r="E228" t="s">
        <v>192</v>
      </c>
      <c r="F228">
        <v>17414</v>
      </c>
    </row>
    <row r="229" ht="14.25" customHeight="1">
      <c r="A229" t="s">
        <v>94</v>
      </c>
      <c r="B229" t="s">
        <v>247</v>
      </c>
      <c r="C229" t="s">
        <v>25</v>
      </c>
      <c r="D229" t="s">
        <v>191</v>
      </c>
      <c r="E229" t="s">
        <v>192</v>
      </c>
      <c r="F229">
        <v>27089</v>
      </c>
    </row>
    <row r="230" ht="14.25" customHeight="1">
      <c r="A230" t="s">
        <v>95</v>
      </c>
      <c r="B230" t="s">
        <v>247</v>
      </c>
      <c r="C230" t="s">
        <v>25</v>
      </c>
      <c r="D230" t="s">
        <v>191</v>
      </c>
      <c r="E230" t="s">
        <v>192</v>
      </c>
      <c r="F230">
        <v>21135</v>
      </c>
    </row>
    <row r="231" ht="14.25" customHeight="1">
      <c r="A231" t="s">
        <v>96</v>
      </c>
      <c r="B231" t="s">
        <v>247</v>
      </c>
      <c r="C231" t="s">
        <v>25</v>
      </c>
      <c r="D231" t="s">
        <v>191</v>
      </c>
      <c r="E231" t="s">
        <v>192</v>
      </c>
      <c r="F231">
        <v>20540</v>
      </c>
    </row>
    <row r="232" ht="14.25" customHeight="1">
      <c r="A232" t="s">
        <v>97</v>
      </c>
      <c r="B232" t="s">
        <v>247</v>
      </c>
      <c r="C232" t="s">
        <v>25</v>
      </c>
      <c r="D232" t="s">
        <v>191</v>
      </c>
      <c r="E232" t="s">
        <v>192</v>
      </c>
      <c r="F232">
        <v>17414</v>
      </c>
    </row>
    <row r="233" ht="14.25" customHeight="1">
      <c r="A233" t="s">
        <v>75</v>
      </c>
      <c r="B233" t="s">
        <v>248</v>
      </c>
      <c r="C233" t="s">
        <v>211</v>
      </c>
      <c r="D233" t="s">
        <v>191</v>
      </c>
      <c r="E233" t="s">
        <v>192</v>
      </c>
      <c r="F233">
        <v>56438</v>
      </c>
    </row>
    <row r="234" ht="14.25" customHeight="1">
      <c r="A234" t="s">
        <v>77</v>
      </c>
      <c r="B234" t="s">
        <v>248</v>
      </c>
      <c r="C234" t="s">
        <v>211</v>
      </c>
      <c r="D234" t="s">
        <v>191</v>
      </c>
      <c r="E234" t="s">
        <v>192</v>
      </c>
      <c r="F234">
        <v>34532</v>
      </c>
    </row>
    <row r="235" ht="14.25" customHeight="1">
      <c r="A235" t="s">
        <v>79</v>
      </c>
      <c r="B235" t="s">
        <v>248</v>
      </c>
      <c r="C235" t="s">
        <v>211</v>
      </c>
      <c r="D235" t="s">
        <v>191</v>
      </c>
      <c r="E235" t="s">
        <v>192</v>
      </c>
      <c r="F235">
        <v>26060</v>
      </c>
    </row>
    <row r="236" ht="14.25" customHeight="1">
      <c r="A236" t="s">
        <v>81</v>
      </c>
      <c r="B236" t="s">
        <v>248</v>
      </c>
      <c r="C236" t="s">
        <v>211</v>
      </c>
      <c r="D236" t="s">
        <v>191</v>
      </c>
      <c r="E236" t="s">
        <v>192</v>
      </c>
      <c r="F236">
        <v>20597</v>
      </c>
    </row>
    <row r="237" ht="14.25" customHeight="1">
      <c r="A237" t="s">
        <v>83</v>
      </c>
      <c r="B237" t="s">
        <v>248</v>
      </c>
      <c r="C237" t="s">
        <v>211</v>
      </c>
      <c r="D237" t="s">
        <v>191</v>
      </c>
      <c r="E237" t="s">
        <v>192</v>
      </c>
      <c r="F237">
        <v>50248</v>
      </c>
    </row>
    <row r="238" ht="14.25" customHeight="1">
      <c r="A238" t="s">
        <v>84</v>
      </c>
      <c r="B238" t="s">
        <v>248</v>
      </c>
      <c r="C238" t="s">
        <v>211</v>
      </c>
      <c r="D238" t="s">
        <v>191</v>
      </c>
      <c r="E238" t="s">
        <v>192</v>
      </c>
      <c r="F238">
        <v>20843</v>
      </c>
    </row>
    <row r="239" ht="14.25" customHeight="1">
      <c r="A239" t="s">
        <v>86</v>
      </c>
      <c r="B239" t="s">
        <v>248</v>
      </c>
      <c r="C239" t="s">
        <v>211</v>
      </c>
      <c r="D239" t="s">
        <v>191</v>
      </c>
      <c r="E239" t="s">
        <v>192</v>
      </c>
      <c r="F239">
        <v>18251</v>
      </c>
    </row>
    <row r="240" ht="14.25" customHeight="1">
      <c r="A240" t="s">
        <v>88</v>
      </c>
      <c r="B240" t="s">
        <v>248</v>
      </c>
      <c r="C240" t="s">
        <v>211</v>
      </c>
      <c r="D240" t="s">
        <v>191</v>
      </c>
      <c r="E240" t="s">
        <v>192</v>
      </c>
      <c r="F240">
        <v>17983</v>
      </c>
    </row>
    <row r="241" ht="14.25" customHeight="1">
      <c r="A241" t="s">
        <v>90</v>
      </c>
      <c r="B241" t="s">
        <v>248</v>
      </c>
      <c r="C241" t="s">
        <v>211</v>
      </c>
      <c r="D241" t="s">
        <v>191</v>
      </c>
      <c r="E241" t="s">
        <v>192</v>
      </c>
      <c r="F241">
        <v>12341</v>
      </c>
    </row>
    <row r="242" ht="14.25" customHeight="1">
      <c r="A242" t="s">
        <v>92</v>
      </c>
      <c r="B242" t="s">
        <v>248</v>
      </c>
      <c r="C242" t="s">
        <v>211</v>
      </c>
      <c r="D242" t="s">
        <v>191</v>
      </c>
      <c r="E242" t="s">
        <v>192</v>
      </c>
      <c r="F242">
        <v>12543</v>
      </c>
    </row>
    <row r="243" ht="14.25" customHeight="1">
      <c r="A243" t="s">
        <v>94</v>
      </c>
      <c r="B243" t="s">
        <v>248</v>
      </c>
      <c r="C243" t="s">
        <v>211</v>
      </c>
      <c r="D243" t="s">
        <v>191</v>
      </c>
      <c r="E243" t="s">
        <v>192</v>
      </c>
      <c r="F243">
        <v>30258</v>
      </c>
    </row>
    <row r="244" ht="14.25" customHeight="1">
      <c r="A244" t="s">
        <v>95</v>
      </c>
      <c r="B244" t="s">
        <v>248</v>
      </c>
      <c r="C244" t="s">
        <v>211</v>
      </c>
      <c r="D244" t="s">
        <v>191</v>
      </c>
      <c r="E244" t="s">
        <v>192</v>
      </c>
      <c r="F244">
        <v>18155</v>
      </c>
    </row>
    <row r="245" ht="14.25" customHeight="1">
      <c r="A245" t="s">
        <v>96</v>
      </c>
      <c r="B245" t="s">
        <v>248</v>
      </c>
      <c r="C245" t="s">
        <v>211</v>
      </c>
      <c r="D245" t="s">
        <v>191</v>
      </c>
      <c r="E245" t="s">
        <v>192</v>
      </c>
      <c r="F245">
        <v>24992</v>
      </c>
    </row>
    <row r="246" ht="14.25" customHeight="1">
      <c r="A246" t="s">
        <v>97</v>
      </c>
      <c r="B246" t="s">
        <v>248</v>
      </c>
      <c r="C246" t="s">
        <v>211</v>
      </c>
      <c r="D246" t="s">
        <v>191</v>
      </c>
      <c r="E246" t="s">
        <v>192</v>
      </c>
      <c r="F246">
        <v>15578</v>
      </c>
    </row>
    <row r="247" ht="14.25" customHeight="1">
      <c r="A247" t="s">
        <v>75</v>
      </c>
      <c r="B247" t="s">
        <v>248</v>
      </c>
      <c r="C247" t="s">
        <v>210</v>
      </c>
      <c r="D247" t="s">
        <v>191</v>
      </c>
      <c r="E247" t="s">
        <v>192</v>
      </c>
      <c r="F247">
        <v>62082</v>
      </c>
    </row>
    <row r="248" ht="14.25" customHeight="1">
      <c r="A248" t="s">
        <v>77</v>
      </c>
      <c r="B248" t="s">
        <v>248</v>
      </c>
      <c r="C248" t="s">
        <v>210</v>
      </c>
      <c r="D248" t="s">
        <v>191</v>
      </c>
      <c r="E248" t="s">
        <v>192</v>
      </c>
      <c r="F248">
        <v>37985</v>
      </c>
    </row>
    <row r="249" ht="14.25" customHeight="1">
      <c r="A249" t="s">
        <v>79</v>
      </c>
      <c r="B249" t="s">
        <v>248</v>
      </c>
      <c r="C249" t="s">
        <v>210</v>
      </c>
      <c r="D249" t="s">
        <v>191</v>
      </c>
      <c r="E249" t="s">
        <v>192</v>
      </c>
      <c r="F249">
        <v>28666</v>
      </c>
    </row>
    <row r="250" ht="14.25" customHeight="1">
      <c r="A250" t="s">
        <v>81</v>
      </c>
      <c r="B250" t="s">
        <v>248</v>
      </c>
      <c r="C250" t="s">
        <v>210</v>
      </c>
      <c r="D250" t="s">
        <v>191</v>
      </c>
      <c r="E250" t="s">
        <v>192</v>
      </c>
      <c r="F250">
        <v>22657</v>
      </c>
    </row>
    <row r="251" ht="14.25" customHeight="1">
      <c r="A251" t="s">
        <v>83</v>
      </c>
      <c r="B251" t="s">
        <v>248</v>
      </c>
      <c r="C251" t="s">
        <v>210</v>
      </c>
      <c r="D251" t="s">
        <v>191</v>
      </c>
      <c r="E251" t="s">
        <v>192</v>
      </c>
      <c r="F251">
        <v>55272</v>
      </c>
    </row>
    <row r="252" ht="14.25" customHeight="1">
      <c r="A252" t="s">
        <v>84</v>
      </c>
      <c r="B252" t="s">
        <v>248</v>
      </c>
      <c r="C252" t="s">
        <v>210</v>
      </c>
      <c r="D252" t="s">
        <v>191</v>
      </c>
      <c r="E252" t="s">
        <v>192</v>
      </c>
      <c r="F252">
        <v>22927</v>
      </c>
    </row>
    <row r="253" ht="14.25" customHeight="1">
      <c r="A253" t="s">
        <v>86</v>
      </c>
      <c r="B253" t="s">
        <v>248</v>
      </c>
      <c r="C253" t="s">
        <v>210</v>
      </c>
      <c r="D253" t="s">
        <v>191</v>
      </c>
      <c r="E253" t="s">
        <v>192</v>
      </c>
      <c r="F253">
        <v>20076</v>
      </c>
    </row>
    <row r="254" ht="14.25" customHeight="1">
      <c r="A254" t="s">
        <v>88</v>
      </c>
      <c r="B254" t="s">
        <v>248</v>
      </c>
      <c r="C254" t="s">
        <v>210</v>
      </c>
      <c r="D254" t="s">
        <v>191</v>
      </c>
      <c r="E254" t="s">
        <v>192</v>
      </c>
      <c r="F254">
        <v>19782</v>
      </c>
    </row>
    <row r="255" ht="14.25" customHeight="1">
      <c r="A255" t="s">
        <v>90</v>
      </c>
      <c r="B255" t="s">
        <v>248</v>
      </c>
      <c r="C255" t="s">
        <v>210</v>
      </c>
      <c r="D255" t="s">
        <v>191</v>
      </c>
      <c r="E255" t="s">
        <v>192</v>
      </c>
      <c r="F255">
        <v>13575</v>
      </c>
    </row>
    <row r="256" ht="14.25" customHeight="1">
      <c r="A256" t="s">
        <v>92</v>
      </c>
      <c r="B256" t="s">
        <v>248</v>
      </c>
      <c r="C256" t="s">
        <v>210</v>
      </c>
      <c r="D256" t="s">
        <v>191</v>
      </c>
      <c r="E256" t="s">
        <v>192</v>
      </c>
      <c r="F256">
        <v>13798</v>
      </c>
    </row>
    <row r="257" ht="14.25" customHeight="1">
      <c r="A257" t="s">
        <v>94</v>
      </c>
      <c r="B257" t="s">
        <v>248</v>
      </c>
      <c r="C257" t="s">
        <v>210</v>
      </c>
      <c r="D257" t="s">
        <v>191</v>
      </c>
      <c r="E257" t="s">
        <v>192</v>
      </c>
      <c r="F257">
        <v>33284</v>
      </c>
    </row>
    <row r="258" ht="14.25" customHeight="1">
      <c r="A258" t="s">
        <v>95</v>
      </c>
      <c r="B258" t="s">
        <v>248</v>
      </c>
      <c r="C258" t="s">
        <v>210</v>
      </c>
      <c r="D258" t="s">
        <v>191</v>
      </c>
      <c r="E258" t="s">
        <v>192</v>
      </c>
      <c r="F258">
        <v>19971</v>
      </c>
    </row>
    <row r="259" ht="14.25" customHeight="1">
      <c r="A259" t="s">
        <v>96</v>
      </c>
      <c r="B259" t="s">
        <v>248</v>
      </c>
      <c r="C259" t="s">
        <v>210</v>
      </c>
      <c r="D259" t="s">
        <v>191</v>
      </c>
      <c r="E259" t="s">
        <v>192</v>
      </c>
      <c r="F259">
        <v>27491</v>
      </c>
    </row>
    <row r="260" ht="14.25" customHeight="1">
      <c r="A260" t="s">
        <v>97</v>
      </c>
      <c r="B260" t="s">
        <v>248</v>
      </c>
      <c r="C260" t="s">
        <v>210</v>
      </c>
      <c r="D260" t="s">
        <v>191</v>
      </c>
      <c r="E260" t="s">
        <v>192</v>
      </c>
      <c r="F260">
        <v>17136</v>
      </c>
    </row>
    <row r="261" ht="14.25" customHeight="1">
      <c r="A261" t="s">
        <v>75</v>
      </c>
      <c r="B261" t="s">
        <v>248</v>
      </c>
      <c r="C261" t="s">
        <v>25</v>
      </c>
      <c r="D261" t="s">
        <v>191</v>
      </c>
      <c r="E261" t="s">
        <v>192</v>
      </c>
      <c r="F261">
        <v>68291</v>
      </c>
    </row>
    <row r="262" ht="14.25" customHeight="1">
      <c r="A262" t="s">
        <v>77</v>
      </c>
      <c r="B262" t="s">
        <v>248</v>
      </c>
      <c r="C262" t="s">
        <v>25</v>
      </c>
      <c r="D262" t="s">
        <v>191</v>
      </c>
      <c r="E262" t="s">
        <v>192</v>
      </c>
      <c r="F262">
        <v>41783</v>
      </c>
    </row>
    <row r="263" ht="14.25" customHeight="1">
      <c r="A263" t="s">
        <v>79</v>
      </c>
      <c r="B263" t="s">
        <v>248</v>
      </c>
      <c r="C263" t="s">
        <v>25</v>
      </c>
      <c r="D263" t="s">
        <v>191</v>
      </c>
      <c r="E263" t="s">
        <v>192</v>
      </c>
      <c r="F263">
        <v>31533</v>
      </c>
    </row>
    <row r="264" ht="14.25" customHeight="1">
      <c r="A264" t="s">
        <v>81</v>
      </c>
      <c r="B264" t="s">
        <v>248</v>
      </c>
      <c r="C264" t="s">
        <v>25</v>
      </c>
      <c r="D264" t="s">
        <v>191</v>
      </c>
      <c r="E264" t="s">
        <v>192</v>
      </c>
      <c r="F264">
        <v>24923</v>
      </c>
    </row>
    <row r="265" ht="14.25" customHeight="1">
      <c r="A265" t="s">
        <v>83</v>
      </c>
      <c r="B265" t="s">
        <v>248</v>
      </c>
      <c r="C265" t="s">
        <v>25</v>
      </c>
      <c r="D265" t="s">
        <v>191</v>
      </c>
      <c r="E265" t="s">
        <v>192</v>
      </c>
      <c r="F265">
        <v>60800</v>
      </c>
    </row>
    <row r="266" ht="14.25" customHeight="1">
      <c r="A266" t="s">
        <v>84</v>
      </c>
      <c r="B266" t="s">
        <v>248</v>
      </c>
      <c r="C266" t="s">
        <v>25</v>
      </c>
      <c r="D266" t="s">
        <v>191</v>
      </c>
      <c r="E266" t="s">
        <v>192</v>
      </c>
      <c r="F266">
        <v>25220</v>
      </c>
    </row>
    <row r="267" ht="14.25" customHeight="1">
      <c r="A267" t="s">
        <v>86</v>
      </c>
      <c r="B267" t="s">
        <v>248</v>
      </c>
      <c r="C267" t="s">
        <v>25</v>
      </c>
      <c r="D267" t="s">
        <v>191</v>
      </c>
      <c r="E267" t="s">
        <v>192</v>
      </c>
      <c r="F267">
        <v>22083</v>
      </c>
    </row>
    <row r="268" ht="14.25" customHeight="1">
      <c r="A268" t="s">
        <v>88</v>
      </c>
      <c r="B268" t="s">
        <v>248</v>
      </c>
      <c r="C268" t="s">
        <v>25</v>
      </c>
      <c r="D268" t="s">
        <v>191</v>
      </c>
      <c r="E268" t="s">
        <v>192</v>
      </c>
      <c r="F268">
        <v>21760</v>
      </c>
    </row>
    <row r="269" ht="14.25" customHeight="1">
      <c r="A269" t="s">
        <v>90</v>
      </c>
      <c r="B269" t="s">
        <v>248</v>
      </c>
      <c r="C269" t="s">
        <v>25</v>
      </c>
      <c r="D269" t="s">
        <v>191</v>
      </c>
      <c r="E269" t="s">
        <v>192</v>
      </c>
      <c r="F269">
        <v>14933</v>
      </c>
    </row>
    <row r="270" ht="14.25" customHeight="1">
      <c r="A270" t="s">
        <v>92</v>
      </c>
      <c r="B270" t="s">
        <v>248</v>
      </c>
      <c r="C270" t="s">
        <v>25</v>
      </c>
      <c r="D270" t="s">
        <v>191</v>
      </c>
      <c r="E270" t="s">
        <v>192</v>
      </c>
      <c r="F270">
        <v>15178</v>
      </c>
    </row>
    <row r="271" ht="14.25" customHeight="1">
      <c r="A271" t="s">
        <v>94</v>
      </c>
      <c r="B271" t="s">
        <v>248</v>
      </c>
      <c r="C271" t="s">
        <v>25</v>
      </c>
      <c r="D271" t="s">
        <v>191</v>
      </c>
      <c r="E271" t="s">
        <v>192</v>
      </c>
      <c r="F271">
        <v>36612</v>
      </c>
    </row>
    <row r="272" ht="14.25" customHeight="1">
      <c r="A272" t="s">
        <v>95</v>
      </c>
      <c r="B272" t="s">
        <v>248</v>
      </c>
      <c r="C272" t="s">
        <v>25</v>
      </c>
      <c r="D272" t="s">
        <v>191</v>
      </c>
      <c r="E272" t="s">
        <v>192</v>
      </c>
      <c r="F272">
        <v>21968</v>
      </c>
    </row>
    <row r="273" ht="14.25" customHeight="1">
      <c r="A273" t="s">
        <v>96</v>
      </c>
      <c r="B273" t="s">
        <v>248</v>
      </c>
      <c r="C273" t="s">
        <v>25</v>
      </c>
      <c r="D273" t="s">
        <v>191</v>
      </c>
      <c r="E273" t="s">
        <v>192</v>
      </c>
      <c r="F273">
        <v>30240</v>
      </c>
    </row>
    <row r="274" ht="14.25" customHeight="1">
      <c r="A274" t="s">
        <v>97</v>
      </c>
      <c r="B274" t="s">
        <v>248</v>
      </c>
      <c r="C274" t="s">
        <v>25</v>
      </c>
      <c r="D274" t="s">
        <v>191</v>
      </c>
      <c r="E274" t="s">
        <v>192</v>
      </c>
      <c r="F274">
        <v>18850</v>
      </c>
    </row>
    <row r="275" ht="14.25" customHeight="1">
      <c r="A275" t="s">
        <v>75</v>
      </c>
      <c r="B275" t="s">
        <v>249</v>
      </c>
      <c r="C275" t="s">
        <v>211</v>
      </c>
      <c r="D275" t="s">
        <v>191</v>
      </c>
      <c r="E275" t="s">
        <v>192</v>
      </c>
      <c r="F275">
        <v>552322</v>
      </c>
    </row>
    <row r="276" ht="14.25" customHeight="1">
      <c r="A276" t="s">
        <v>77</v>
      </c>
      <c r="B276" t="s">
        <v>249</v>
      </c>
      <c r="C276" t="s">
        <v>211</v>
      </c>
      <c r="D276" t="s">
        <v>191</v>
      </c>
      <c r="E276" t="s">
        <v>192</v>
      </c>
      <c r="F276">
        <v>330938</v>
      </c>
    </row>
    <row r="277" ht="14.25" customHeight="1">
      <c r="A277" t="s">
        <v>79</v>
      </c>
      <c r="B277" t="s">
        <v>249</v>
      </c>
      <c r="C277" t="s">
        <v>211</v>
      </c>
      <c r="D277" t="s">
        <v>191</v>
      </c>
      <c r="E277" t="s">
        <v>192</v>
      </c>
      <c r="F277">
        <v>272751</v>
      </c>
    </row>
    <row r="278" ht="14.25" customHeight="1">
      <c r="A278" t="s">
        <v>81</v>
      </c>
      <c r="B278" t="s">
        <v>249</v>
      </c>
      <c r="C278" t="s">
        <v>211</v>
      </c>
      <c r="D278" t="s">
        <v>191</v>
      </c>
      <c r="E278" t="s">
        <v>192</v>
      </c>
      <c r="F278">
        <v>238657</v>
      </c>
    </row>
    <row r="279" ht="14.25" customHeight="1">
      <c r="A279" t="s">
        <v>83</v>
      </c>
      <c r="B279" t="s">
        <v>249</v>
      </c>
      <c r="C279" t="s">
        <v>211</v>
      </c>
      <c r="D279" t="s">
        <v>191</v>
      </c>
      <c r="E279" t="s">
        <v>192</v>
      </c>
      <c r="F279">
        <v>552322</v>
      </c>
    </row>
    <row r="280" ht="14.25" customHeight="1">
      <c r="A280" t="s">
        <v>84</v>
      </c>
      <c r="B280" t="s">
        <v>249</v>
      </c>
      <c r="C280" t="s">
        <v>211</v>
      </c>
      <c r="D280" t="s">
        <v>191</v>
      </c>
      <c r="E280" t="s">
        <v>192</v>
      </c>
      <c r="F280">
        <v>209109</v>
      </c>
    </row>
    <row r="281" ht="14.25" customHeight="1">
      <c r="A281" t="s">
        <v>86</v>
      </c>
      <c r="B281" t="s">
        <v>249</v>
      </c>
      <c r="C281" t="s">
        <v>211</v>
      </c>
      <c r="D281" t="s">
        <v>191</v>
      </c>
      <c r="E281" t="s">
        <v>192</v>
      </c>
      <c r="F281">
        <v>204564</v>
      </c>
    </row>
    <row r="282" ht="14.25" customHeight="1">
      <c r="A282" t="s">
        <v>88</v>
      </c>
      <c r="B282" t="s">
        <v>249</v>
      </c>
      <c r="C282" t="s">
        <v>211</v>
      </c>
      <c r="D282" t="s">
        <v>191</v>
      </c>
      <c r="E282" t="s">
        <v>192</v>
      </c>
      <c r="F282">
        <v>136376</v>
      </c>
    </row>
    <row r="283" ht="14.25" customHeight="1">
      <c r="A283" t="s">
        <v>90</v>
      </c>
      <c r="B283" t="s">
        <v>249</v>
      </c>
      <c r="C283" t="s">
        <v>211</v>
      </c>
      <c r="D283" t="s">
        <v>191</v>
      </c>
      <c r="E283" t="s">
        <v>192</v>
      </c>
      <c r="F283">
        <v>120011</v>
      </c>
    </row>
    <row r="284" ht="14.25" customHeight="1">
      <c r="A284" t="s">
        <v>92</v>
      </c>
      <c r="B284" t="s">
        <v>249</v>
      </c>
      <c r="C284" t="s">
        <v>211</v>
      </c>
      <c r="D284" t="s">
        <v>191</v>
      </c>
      <c r="E284" t="s">
        <v>192</v>
      </c>
      <c r="F284">
        <v>120011</v>
      </c>
    </row>
    <row r="285" ht="14.25" customHeight="1">
      <c r="A285" t="s">
        <v>94</v>
      </c>
      <c r="B285" t="s">
        <v>249</v>
      </c>
      <c r="C285" t="s">
        <v>211</v>
      </c>
      <c r="D285" t="s">
        <v>191</v>
      </c>
      <c r="E285" t="s">
        <v>192</v>
      </c>
      <c r="F285">
        <v>203654</v>
      </c>
    </row>
    <row r="286" ht="14.25" customHeight="1">
      <c r="A286" t="s">
        <v>95</v>
      </c>
      <c r="B286" t="s">
        <v>249</v>
      </c>
      <c r="C286" t="s">
        <v>211</v>
      </c>
      <c r="D286" t="s">
        <v>191</v>
      </c>
      <c r="E286" t="s">
        <v>192</v>
      </c>
      <c r="F286">
        <v>190926</v>
      </c>
    </row>
    <row r="287" ht="14.25" customHeight="1">
      <c r="A287" t="s">
        <v>96</v>
      </c>
      <c r="B287" t="s">
        <v>249</v>
      </c>
      <c r="C287" t="s">
        <v>211</v>
      </c>
      <c r="D287" t="s">
        <v>191</v>
      </c>
      <c r="E287" t="s">
        <v>192</v>
      </c>
      <c r="F287">
        <v>220929</v>
      </c>
    </row>
    <row r="288" ht="14.25" customHeight="1">
      <c r="A288" t="s">
        <v>97</v>
      </c>
      <c r="B288" t="s">
        <v>249</v>
      </c>
      <c r="C288" t="s">
        <v>211</v>
      </c>
      <c r="D288" t="s">
        <v>191</v>
      </c>
      <c r="E288" t="s">
        <v>192</v>
      </c>
      <c r="F288">
        <v>152741</v>
      </c>
    </row>
    <row r="289" ht="14.25" customHeight="1">
      <c r="A289" t="s">
        <v>75</v>
      </c>
      <c r="B289" t="s">
        <v>249</v>
      </c>
      <c r="C289" t="s">
        <v>210</v>
      </c>
      <c r="D289" t="s">
        <v>191</v>
      </c>
      <c r="E289" t="s">
        <v>192</v>
      </c>
      <c r="F289">
        <v>577630</v>
      </c>
    </row>
    <row r="290" ht="14.25" customHeight="1">
      <c r="A290" t="s">
        <v>77</v>
      </c>
      <c r="B290" t="s">
        <v>249</v>
      </c>
      <c r="C290" t="s">
        <v>210</v>
      </c>
      <c r="D290" t="s">
        <v>191</v>
      </c>
      <c r="E290" t="s">
        <v>192</v>
      </c>
      <c r="F290">
        <v>346103</v>
      </c>
    </row>
    <row r="291" ht="14.25" customHeight="1">
      <c r="A291" t="s">
        <v>79</v>
      </c>
      <c r="B291" t="s">
        <v>249</v>
      </c>
      <c r="C291" t="s">
        <v>210</v>
      </c>
      <c r="D291" t="s">
        <v>191</v>
      </c>
      <c r="E291" t="s">
        <v>192</v>
      </c>
      <c r="F291">
        <v>285249</v>
      </c>
    </row>
    <row r="292" ht="14.25" customHeight="1">
      <c r="A292" t="s">
        <v>81</v>
      </c>
      <c r="B292" t="s">
        <v>249</v>
      </c>
      <c r="C292" t="s">
        <v>210</v>
      </c>
      <c r="D292" t="s">
        <v>191</v>
      </c>
      <c r="E292" t="s">
        <v>192</v>
      </c>
      <c r="F292">
        <v>249593</v>
      </c>
    </row>
    <row r="293" ht="14.25" customHeight="1">
      <c r="A293" t="s">
        <v>83</v>
      </c>
      <c r="B293" t="s">
        <v>249</v>
      </c>
      <c r="C293" t="s">
        <v>210</v>
      </c>
      <c r="D293" t="s">
        <v>191</v>
      </c>
      <c r="E293" t="s">
        <v>192</v>
      </c>
      <c r="F293">
        <v>577630</v>
      </c>
    </row>
    <row r="294" ht="14.25" customHeight="1">
      <c r="A294" t="s">
        <v>84</v>
      </c>
      <c r="B294" t="s">
        <v>249</v>
      </c>
      <c r="C294" t="s">
        <v>210</v>
      </c>
      <c r="D294" t="s">
        <v>191</v>
      </c>
      <c r="E294" t="s">
        <v>192</v>
      </c>
      <c r="F294">
        <v>218691</v>
      </c>
    </row>
    <row r="295" ht="14.25" customHeight="1">
      <c r="A295" t="s">
        <v>86</v>
      </c>
      <c r="B295" t="s">
        <v>249</v>
      </c>
      <c r="C295" t="s">
        <v>210</v>
      </c>
      <c r="D295" t="s">
        <v>191</v>
      </c>
      <c r="E295" t="s">
        <v>192</v>
      </c>
      <c r="F295">
        <v>213937</v>
      </c>
    </row>
    <row r="296" ht="14.25" customHeight="1">
      <c r="A296" t="s">
        <v>88</v>
      </c>
      <c r="B296" t="s">
        <v>249</v>
      </c>
      <c r="C296" t="s">
        <v>210</v>
      </c>
      <c r="D296" t="s">
        <v>191</v>
      </c>
      <c r="E296" t="s">
        <v>192</v>
      </c>
      <c r="F296">
        <v>142625</v>
      </c>
    </row>
    <row r="297" ht="14.25" customHeight="1">
      <c r="A297" t="s">
        <v>90</v>
      </c>
      <c r="B297" t="s">
        <v>249</v>
      </c>
      <c r="C297" t="s">
        <v>210</v>
      </c>
      <c r="D297" t="s">
        <v>191</v>
      </c>
      <c r="E297" t="s">
        <v>192</v>
      </c>
      <c r="F297">
        <v>125510</v>
      </c>
    </row>
    <row r="298" ht="14.25" customHeight="1">
      <c r="A298" t="s">
        <v>92</v>
      </c>
      <c r="B298" t="s">
        <v>249</v>
      </c>
      <c r="C298" t="s">
        <v>210</v>
      </c>
      <c r="D298" t="s">
        <v>191</v>
      </c>
      <c r="E298" t="s">
        <v>192</v>
      </c>
      <c r="F298">
        <v>125510</v>
      </c>
    </row>
    <row r="299" ht="14.25" customHeight="1">
      <c r="A299" t="s">
        <v>94</v>
      </c>
      <c r="B299" t="s">
        <v>249</v>
      </c>
      <c r="C299" t="s">
        <v>210</v>
      </c>
      <c r="D299" t="s">
        <v>191</v>
      </c>
      <c r="E299" t="s">
        <v>192</v>
      </c>
      <c r="F299">
        <v>212986</v>
      </c>
    </row>
    <row r="300" ht="14.25" customHeight="1">
      <c r="A300" t="s">
        <v>95</v>
      </c>
      <c r="B300" t="s">
        <v>249</v>
      </c>
      <c r="C300" t="s">
        <v>210</v>
      </c>
      <c r="D300" t="s">
        <v>191</v>
      </c>
      <c r="E300" t="s">
        <v>192</v>
      </c>
      <c r="F300">
        <v>199675</v>
      </c>
    </row>
    <row r="301" ht="14.25" customHeight="1">
      <c r="A301" t="s">
        <v>96</v>
      </c>
      <c r="B301" t="s">
        <v>249</v>
      </c>
      <c r="C301" t="s">
        <v>210</v>
      </c>
      <c r="D301" t="s">
        <v>191</v>
      </c>
      <c r="E301" t="s">
        <v>192</v>
      </c>
      <c r="F301">
        <v>231052</v>
      </c>
    </row>
    <row r="302" ht="14.25" customHeight="1">
      <c r="A302" t="s">
        <v>97</v>
      </c>
      <c r="B302" t="s">
        <v>249</v>
      </c>
      <c r="C302" t="s">
        <v>210</v>
      </c>
      <c r="D302" t="s">
        <v>191</v>
      </c>
      <c r="E302" t="s">
        <v>192</v>
      </c>
      <c r="F302">
        <v>159740</v>
      </c>
    </row>
    <row r="303" ht="14.25" customHeight="1">
      <c r="A303" t="s">
        <v>75</v>
      </c>
      <c r="B303" t="s">
        <v>249</v>
      </c>
      <c r="C303" t="s">
        <v>25</v>
      </c>
      <c r="D303" t="s">
        <v>191</v>
      </c>
      <c r="E303" t="s">
        <v>192</v>
      </c>
      <c r="F303">
        <v>605202</v>
      </c>
    </row>
    <row r="304" ht="14.25" customHeight="1">
      <c r="A304" t="s">
        <v>77</v>
      </c>
      <c r="B304" t="s">
        <v>249</v>
      </c>
      <c r="C304" t="s">
        <v>25</v>
      </c>
      <c r="D304" t="s">
        <v>191</v>
      </c>
      <c r="E304" t="s">
        <v>192</v>
      </c>
      <c r="F304">
        <v>362623</v>
      </c>
    </row>
    <row r="305" ht="14.25" customHeight="1">
      <c r="A305" t="s">
        <v>79</v>
      </c>
      <c r="B305" t="s">
        <v>249</v>
      </c>
      <c r="C305" t="s">
        <v>25</v>
      </c>
      <c r="D305" t="s">
        <v>191</v>
      </c>
      <c r="E305" t="s">
        <v>192</v>
      </c>
      <c r="F305">
        <v>298865</v>
      </c>
    </row>
    <row r="306" ht="14.25" customHeight="1">
      <c r="A306" t="s">
        <v>81</v>
      </c>
      <c r="B306" t="s">
        <v>249</v>
      </c>
      <c r="C306" t="s">
        <v>25</v>
      </c>
      <c r="D306" t="s">
        <v>191</v>
      </c>
      <c r="E306" t="s">
        <v>192</v>
      </c>
      <c r="F306">
        <v>261507</v>
      </c>
    </row>
    <row r="307" ht="14.25" customHeight="1">
      <c r="A307" t="s">
        <v>83</v>
      </c>
      <c r="B307" t="s">
        <v>249</v>
      </c>
      <c r="C307" t="s">
        <v>25</v>
      </c>
      <c r="D307" t="s">
        <v>191</v>
      </c>
      <c r="E307" t="s">
        <v>192</v>
      </c>
      <c r="F307">
        <v>605202</v>
      </c>
    </row>
    <row r="308" ht="14.25" customHeight="1">
      <c r="A308" t="s">
        <v>84</v>
      </c>
      <c r="B308" t="s">
        <v>249</v>
      </c>
      <c r="C308" t="s">
        <v>25</v>
      </c>
      <c r="D308" t="s">
        <v>191</v>
      </c>
      <c r="E308" t="s">
        <v>192</v>
      </c>
      <c r="F308">
        <v>229130</v>
      </c>
    </row>
    <row r="309" ht="14.25" customHeight="1">
      <c r="A309" t="s">
        <v>86</v>
      </c>
      <c r="B309" t="s">
        <v>249</v>
      </c>
      <c r="C309" t="s">
        <v>25</v>
      </c>
      <c r="D309" t="s">
        <v>191</v>
      </c>
      <c r="E309" t="s">
        <v>192</v>
      </c>
      <c r="F309">
        <v>224149</v>
      </c>
    </row>
    <row r="310" ht="14.25" customHeight="1">
      <c r="A310" t="s">
        <v>88</v>
      </c>
      <c r="B310" t="s">
        <v>249</v>
      </c>
      <c r="C310" t="s">
        <v>25</v>
      </c>
      <c r="D310" t="s">
        <v>191</v>
      </c>
      <c r="E310" t="s">
        <v>192</v>
      </c>
      <c r="F310">
        <v>149433</v>
      </c>
    </row>
    <row r="311" ht="14.25" customHeight="1">
      <c r="A311" t="s">
        <v>90</v>
      </c>
      <c r="B311" t="s">
        <v>249</v>
      </c>
      <c r="C311" t="s">
        <v>25</v>
      </c>
      <c r="D311" t="s">
        <v>191</v>
      </c>
      <c r="E311" t="s">
        <v>192</v>
      </c>
      <c r="F311">
        <v>131501</v>
      </c>
    </row>
    <row r="312" ht="14.25" customHeight="1">
      <c r="A312" t="s">
        <v>92</v>
      </c>
      <c r="B312" t="s">
        <v>249</v>
      </c>
      <c r="C312" t="s">
        <v>25</v>
      </c>
      <c r="D312" t="s">
        <v>191</v>
      </c>
      <c r="E312" t="s">
        <v>192</v>
      </c>
      <c r="F312">
        <v>131501</v>
      </c>
    </row>
    <row r="313" ht="14.25" customHeight="1">
      <c r="A313" t="s">
        <v>94</v>
      </c>
      <c r="B313" t="s">
        <v>249</v>
      </c>
      <c r="C313" t="s">
        <v>25</v>
      </c>
      <c r="D313" t="s">
        <v>191</v>
      </c>
      <c r="E313" t="s">
        <v>192</v>
      </c>
      <c r="F313">
        <v>223153</v>
      </c>
    </row>
    <row r="314" ht="14.25" customHeight="1">
      <c r="A314" t="s">
        <v>95</v>
      </c>
      <c r="B314" t="s">
        <v>249</v>
      </c>
      <c r="C314" t="s">
        <v>25</v>
      </c>
      <c r="D314" t="s">
        <v>191</v>
      </c>
      <c r="E314" t="s">
        <v>192</v>
      </c>
      <c r="F314">
        <v>209206</v>
      </c>
    </row>
    <row r="315" ht="14.25" customHeight="1">
      <c r="A315" t="s">
        <v>96</v>
      </c>
      <c r="B315" t="s">
        <v>249</v>
      </c>
      <c r="C315" t="s">
        <v>25</v>
      </c>
      <c r="D315" t="s">
        <v>191</v>
      </c>
      <c r="E315" t="s">
        <v>192</v>
      </c>
      <c r="F315">
        <v>242081</v>
      </c>
    </row>
    <row r="316" ht="14.25" customHeight="1">
      <c r="A316" t="s">
        <v>97</v>
      </c>
      <c r="B316" t="s">
        <v>249</v>
      </c>
      <c r="C316" t="s">
        <v>25</v>
      </c>
      <c r="D316" t="s">
        <v>191</v>
      </c>
      <c r="E316" t="s">
        <v>192</v>
      </c>
      <c r="F316">
        <v>167364</v>
      </c>
    </row>
    <row r="317" ht="14.25" customHeight="1">
      <c r="A317" t="s">
        <v>75</v>
      </c>
      <c r="B317" t="s">
        <v>250</v>
      </c>
      <c r="C317" t="s">
        <v>211</v>
      </c>
      <c r="D317" t="s">
        <v>191</v>
      </c>
      <c r="E317" t="s">
        <v>192</v>
      </c>
      <c r="F317">
        <v>318872</v>
      </c>
    </row>
    <row r="318" ht="14.25" customHeight="1">
      <c r="A318" t="s">
        <v>77</v>
      </c>
      <c r="B318" t="s">
        <v>250</v>
      </c>
      <c r="C318" t="s">
        <v>211</v>
      </c>
      <c r="D318" t="s">
        <v>191</v>
      </c>
      <c r="E318" t="s">
        <v>192</v>
      </c>
      <c r="F318">
        <v>186982</v>
      </c>
    </row>
    <row r="319" ht="14.25" customHeight="1">
      <c r="A319" t="s">
        <v>79</v>
      </c>
      <c r="B319" t="s">
        <v>250</v>
      </c>
      <c r="C319" t="s">
        <v>211</v>
      </c>
      <c r="D319" t="s">
        <v>191</v>
      </c>
      <c r="E319" t="s">
        <v>192</v>
      </c>
      <c r="F319">
        <v>151490</v>
      </c>
    </row>
    <row r="320" ht="14.25" customHeight="1">
      <c r="A320" t="s">
        <v>81</v>
      </c>
      <c r="B320" t="s">
        <v>250</v>
      </c>
      <c r="C320" t="s">
        <v>211</v>
      </c>
      <c r="D320" t="s">
        <v>191</v>
      </c>
      <c r="E320" t="s">
        <v>192</v>
      </c>
      <c r="F320">
        <v>134718</v>
      </c>
    </row>
    <row r="321" ht="14.25" customHeight="1">
      <c r="A321" t="s">
        <v>83</v>
      </c>
      <c r="B321" t="s">
        <v>250</v>
      </c>
      <c r="C321" t="s">
        <v>211</v>
      </c>
      <c r="D321" t="s">
        <v>191</v>
      </c>
      <c r="E321" t="s">
        <v>192</v>
      </c>
      <c r="F321">
        <v>295499</v>
      </c>
    </row>
    <row r="322" ht="14.25" customHeight="1">
      <c r="A322" t="s">
        <v>84</v>
      </c>
      <c r="B322" t="s">
        <v>250</v>
      </c>
      <c r="C322" t="s">
        <v>211</v>
      </c>
      <c r="D322" t="s">
        <v>191</v>
      </c>
      <c r="E322" t="s">
        <v>192</v>
      </c>
      <c r="F322">
        <v>115669</v>
      </c>
    </row>
    <row r="323" ht="14.25" customHeight="1">
      <c r="A323" t="s">
        <v>86</v>
      </c>
      <c r="B323" t="s">
        <v>250</v>
      </c>
      <c r="C323" t="s">
        <v>211</v>
      </c>
      <c r="D323" t="s">
        <v>191</v>
      </c>
      <c r="E323" t="s">
        <v>192</v>
      </c>
      <c r="F323">
        <v>107125</v>
      </c>
    </row>
    <row r="324" ht="14.25" customHeight="1">
      <c r="A324" t="s">
        <v>88</v>
      </c>
      <c r="B324" t="s">
        <v>250</v>
      </c>
      <c r="C324" t="s">
        <v>211</v>
      </c>
      <c r="D324" t="s">
        <v>191</v>
      </c>
      <c r="E324" t="s">
        <v>192</v>
      </c>
      <c r="F324">
        <v>74715</v>
      </c>
    </row>
    <row r="325" ht="14.25" customHeight="1">
      <c r="A325" t="s">
        <v>90</v>
      </c>
      <c r="B325" t="s">
        <v>250</v>
      </c>
      <c r="C325" t="s">
        <v>211</v>
      </c>
      <c r="D325" t="s">
        <v>191</v>
      </c>
      <c r="E325" t="s">
        <v>192</v>
      </c>
      <c r="F325">
        <v>53053</v>
      </c>
    </row>
    <row r="326" ht="14.25" customHeight="1">
      <c r="A326" t="s">
        <v>92</v>
      </c>
      <c r="B326" t="s">
        <v>250</v>
      </c>
      <c r="C326" t="s">
        <v>211</v>
      </c>
      <c r="D326" t="s">
        <v>191</v>
      </c>
      <c r="E326" t="s">
        <v>192</v>
      </c>
      <c r="F326">
        <v>53053</v>
      </c>
    </row>
    <row r="327" ht="14.25" customHeight="1">
      <c r="A327" t="s">
        <v>94</v>
      </c>
      <c r="B327" t="s">
        <v>250</v>
      </c>
      <c r="C327" t="s">
        <v>211</v>
      </c>
      <c r="D327" t="s">
        <v>191</v>
      </c>
      <c r="E327" t="s">
        <v>192</v>
      </c>
      <c r="F327">
        <v>105033</v>
      </c>
    </row>
    <row r="328" ht="14.25" customHeight="1">
      <c r="A328" t="s">
        <v>95</v>
      </c>
      <c r="B328" t="s">
        <v>250</v>
      </c>
      <c r="C328" t="s">
        <v>211</v>
      </c>
      <c r="D328" t="s">
        <v>191</v>
      </c>
      <c r="E328" t="s">
        <v>192</v>
      </c>
      <c r="F328">
        <v>76827</v>
      </c>
    </row>
    <row r="329" ht="14.25" customHeight="1">
      <c r="A329" t="s">
        <v>96</v>
      </c>
      <c r="B329" t="s">
        <v>250</v>
      </c>
      <c r="C329" t="s">
        <v>211</v>
      </c>
      <c r="D329" t="s">
        <v>191</v>
      </c>
      <c r="E329" t="s">
        <v>192</v>
      </c>
      <c r="F329">
        <v>115195</v>
      </c>
    </row>
    <row r="330" ht="14.25" customHeight="1">
      <c r="A330" t="s">
        <v>97</v>
      </c>
      <c r="B330" t="s">
        <v>250</v>
      </c>
      <c r="C330" t="s">
        <v>211</v>
      </c>
      <c r="D330" t="s">
        <v>191</v>
      </c>
      <c r="E330" t="s">
        <v>192</v>
      </c>
      <c r="F330">
        <v>67521</v>
      </c>
    </row>
    <row r="331" ht="14.25" customHeight="1">
      <c r="A331" t="s">
        <v>75</v>
      </c>
      <c r="B331" t="s">
        <v>250</v>
      </c>
      <c r="C331" t="s">
        <v>210</v>
      </c>
      <c r="D331" t="s">
        <v>191</v>
      </c>
      <c r="E331" t="s">
        <v>192</v>
      </c>
      <c r="F331">
        <v>333483</v>
      </c>
    </row>
    <row r="332" ht="14.25" customHeight="1">
      <c r="A332" t="s">
        <v>77</v>
      </c>
      <c r="B332" t="s">
        <v>250</v>
      </c>
      <c r="C332" t="s">
        <v>210</v>
      </c>
      <c r="D332" t="s">
        <v>191</v>
      </c>
      <c r="E332" t="s">
        <v>192</v>
      </c>
      <c r="F332">
        <v>195550</v>
      </c>
    </row>
    <row r="333" ht="14.25" customHeight="1">
      <c r="A333" t="s">
        <v>79</v>
      </c>
      <c r="B333" t="s">
        <v>250</v>
      </c>
      <c r="C333" t="s">
        <v>210</v>
      </c>
      <c r="D333" t="s">
        <v>191</v>
      </c>
      <c r="E333" t="s">
        <v>192</v>
      </c>
      <c r="F333">
        <v>158432</v>
      </c>
    </row>
    <row r="334" ht="14.25" customHeight="1">
      <c r="A334" t="s">
        <v>81</v>
      </c>
      <c r="B334" t="s">
        <v>250</v>
      </c>
      <c r="C334" t="s">
        <v>210</v>
      </c>
      <c r="D334" t="s">
        <v>191</v>
      </c>
      <c r="E334" t="s">
        <v>192</v>
      </c>
      <c r="F334">
        <v>140891</v>
      </c>
    </row>
    <row r="335" ht="14.25" customHeight="1">
      <c r="A335" t="s">
        <v>83</v>
      </c>
      <c r="B335" t="s">
        <v>250</v>
      </c>
      <c r="C335" t="s">
        <v>210</v>
      </c>
      <c r="D335" t="s">
        <v>191</v>
      </c>
      <c r="E335" t="s">
        <v>192</v>
      </c>
      <c r="F335">
        <v>309039</v>
      </c>
    </row>
    <row r="336" ht="14.25" customHeight="1">
      <c r="A336" t="s">
        <v>84</v>
      </c>
      <c r="B336" t="s">
        <v>250</v>
      </c>
      <c r="C336" t="s">
        <v>210</v>
      </c>
      <c r="D336" t="s">
        <v>191</v>
      </c>
      <c r="E336" t="s">
        <v>192</v>
      </c>
      <c r="F336">
        <v>120969</v>
      </c>
    </row>
    <row r="337" ht="14.25" customHeight="1">
      <c r="A337" t="s">
        <v>86</v>
      </c>
      <c r="B337" t="s">
        <v>250</v>
      </c>
      <c r="C337" t="s">
        <v>210</v>
      </c>
      <c r="D337" t="s">
        <v>191</v>
      </c>
      <c r="E337" t="s">
        <v>192</v>
      </c>
      <c r="F337">
        <v>112034</v>
      </c>
    </row>
    <row r="338" ht="14.25" customHeight="1">
      <c r="A338" t="s">
        <v>88</v>
      </c>
      <c r="B338" t="s">
        <v>250</v>
      </c>
      <c r="C338" t="s">
        <v>210</v>
      </c>
      <c r="D338" t="s">
        <v>191</v>
      </c>
      <c r="E338" t="s">
        <v>192</v>
      </c>
      <c r="F338">
        <v>78138</v>
      </c>
    </row>
    <row r="339" ht="14.25" customHeight="1">
      <c r="A339" t="s">
        <v>90</v>
      </c>
      <c r="B339" t="s">
        <v>250</v>
      </c>
      <c r="C339" t="s">
        <v>210</v>
      </c>
      <c r="D339" t="s">
        <v>191</v>
      </c>
      <c r="E339" t="s">
        <v>192</v>
      </c>
      <c r="F339">
        <v>55484</v>
      </c>
    </row>
    <row r="340" ht="14.25" customHeight="1">
      <c r="A340" t="s">
        <v>92</v>
      </c>
      <c r="B340" t="s">
        <v>250</v>
      </c>
      <c r="C340" t="s">
        <v>210</v>
      </c>
      <c r="D340" t="s">
        <v>191</v>
      </c>
      <c r="E340" t="s">
        <v>192</v>
      </c>
      <c r="F340">
        <v>55484</v>
      </c>
    </row>
    <row r="341" ht="14.25" customHeight="1">
      <c r="A341" t="s">
        <v>94</v>
      </c>
      <c r="B341" t="s">
        <v>250</v>
      </c>
      <c r="C341" t="s">
        <v>210</v>
      </c>
      <c r="D341" t="s">
        <v>191</v>
      </c>
      <c r="E341" t="s">
        <v>192</v>
      </c>
      <c r="F341">
        <v>109846</v>
      </c>
    </row>
    <row r="342" ht="14.25" customHeight="1">
      <c r="A342" t="s">
        <v>95</v>
      </c>
      <c r="B342" t="s">
        <v>250</v>
      </c>
      <c r="C342" t="s">
        <v>210</v>
      </c>
      <c r="D342" t="s">
        <v>191</v>
      </c>
      <c r="E342" t="s">
        <v>192</v>
      </c>
      <c r="F342">
        <v>80348</v>
      </c>
    </row>
    <row r="343" ht="14.25" customHeight="1">
      <c r="A343" t="s">
        <v>96</v>
      </c>
      <c r="B343" t="s">
        <v>250</v>
      </c>
      <c r="C343" t="s">
        <v>210</v>
      </c>
      <c r="D343" t="s">
        <v>191</v>
      </c>
      <c r="E343" t="s">
        <v>192</v>
      </c>
      <c r="F343">
        <v>120473</v>
      </c>
    </row>
    <row r="344" ht="14.25" customHeight="1">
      <c r="A344" t="s">
        <v>97</v>
      </c>
      <c r="B344" t="s">
        <v>250</v>
      </c>
      <c r="C344" t="s">
        <v>210</v>
      </c>
      <c r="D344" t="s">
        <v>191</v>
      </c>
      <c r="E344" t="s">
        <v>192</v>
      </c>
      <c r="F344">
        <v>70615</v>
      </c>
    </row>
    <row r="345" ht="14.25" customHeight="1">
      <c r="A345" t="s">
        <v>75</v>
      </c>
      <c r="B345" t="s">
        <v>250</v>
      </c>
      <c r="C345" t="s">
        <v>25</v>
      </c>
      <c r="D345" t="s">
        <v>191</v>
      </c>
      <c r="E345" t="s">
        <v>192</v>
      </c>
      <c r="F345">
        <v>349401</v>
      </c>
    </row>
    <row r="346" ht="14.25" customHeight="1">
      <c r="A346" t="s">
        <v>77</v>
      </c>
      <c r="B346" t="s">
        <v>250</v>
      </c>
      <c r="C346" t="s">
        <v>25</v>
      </c>
      <c r="D346" t="s">
        <v>191</v>
      </c>
      <c r="E346" t="s">
        <v>192</v>
      </c>
      <c r="F346">
        <v>204885</v>
      </c>
    </row>
    <row r="347" ht="14.25" customHeight="1">
      <c r="A347" t="s">
        <v>79</v>
      </c>
      <c r="B347" t="s">
        <v>250</v>
      </c>
      <c r="C347" t="s">
        <v>25</v>
      </c>
      <c r="D347" t="s">
        <v>191</v>
      </c>
      <c r="E347" t="s">
        <v>192</v>
      </c>
      <c r="F347">
        <v>165994</v>
      </c>
    </row>
    <row r="348" ht="14.25" customHeight="1">
      <c r="A348" t="s">
        <v>81</v>
      </c>
      <c r="B348" t="s">
        <v>250</v>
      </c>
      <c r="C348" t="s">
        <v>25</v>
      </c>
      <c r="D348" t="s">
        <v>191</v>
      </c>
      <c r="E348" t="s">
        <v>192</v>
      </c>
      <c r="F348">
        <v>147616</v>
      </c>
    </row>
    <row r="349" ht="14.25" customHeight="1">
      <c r="A349" t="s">
        <v>83</v>
      </c>
      <c r="B349" t="s">
        <v>250</v>
      </c>
      <c r="C349" t="s">
        <v>25</v>
      </c>
      <c r="D349" t="s">
        <v>191</v>
      </c>
      <c r="E349" t="s">
        <v>192</v>
      </c>
      <c r="F349">
        <v>323791</v>
      </c>
    </row>
    <row r="350" ht="14.25" customHeight="1">
      <c r="A350" t="s">
        <v>84</v>
      </c>
      <c r="B350" t="s">
        <v>250</v>
      </c>
      <c r="C350" t="s">
        <v>25</v>
      </c>
      <c r="D350" t="s">
        <v>191</v>
      </c>
      <c r="E350" t="s">
        <v>192</v>
      </c>
      <c r="F350">
        <v>126743</v>
      </c>
    </row>
    <row r="351" ht="14.25" customHeight="1">
      <c r="A351" t="s">
        <v>86</v>
      </c>
      <c r="B351" t="s">
        <v>250</v>
      </c>
      <c r="C351" t="s">
        <v>25</v>
      </c>
      <c r="D351" t="s">
        <v>191</v>
      </c>
      <c r="E351" t="s">
        <v>192</v>
      </c>
      <c r="F351">
        <v>117382</v>
      </c>
    </row>
    <row r="352" ht="14.25" customHeight="1">
      <c r="A352" t="s">
        <v>88</v>
      </c>
      <c r="B352" t="s">
        <v>250</v>
      </c>
      <c r="C352" t="s">
        <v>25</v>
      </c>
      <c r="D352" t="s">
        <v>191</v>
      </c>
      <c r="E352" t="s">
        <v>192</v>
      </c>
      <c r="F352">
        <v>81868</v>
      </c>
    </row>
    <row r="353" ht="14.25" customHeight="1">
      <c r="A353" t="s">
        <v>90</v>
      </c>
      <c r="B353" t="s">
        <v>250</v>
      </c>
      <c r="C353" t="s">
        <v>25</v>
      </c>
      <c r="D353" t="s">
        <v>191</v>
      </c>
      <c r="E353" t="s">
        <v>192</v>
      </c>
      <c r="F353">
        <v>58132</v>
      </c>
    </row>
    <row r="354" ht="14.25" customHeight="1">
      <c r="A354" t="s">
        <v>92</v>
      </c>
      <c r="B354" t="s">
        <v>250</v>
      </c>
      <c r="C354" t="s">
        <v>25</v>
      </c>
      <c r="D354" t="s">
        <v>191</v>
      </c>
      <c r="E354" t="s">
        <v>192</v>
      </c>
      <c r="F354">
        <v>58132</v>
      </c>
    </row>
    <row r="355" ht="14.25" customHeight="1">
      <c r="A355" t="s">
        <v>94</v>
      </c>
      <c r="B355" t="s">
        <v>250</v>
      </c>
      <c r="C355" t="s">
        <v>25</v>
      </c>
      <c r="D355" t="s">
        <v>191</v>
      </c>
      <c r="E355" t="s">
        <v>192</v>
      </c>
      <c r="F355">
        <v>115089</v>
      </c>
    </row>
    <row r="356" ht="14.25" customHeight="1">
      <c r="A356" t="s">
        <v>95</v>
      </c>
      <c r="B356" t="s">
        <v>250</v>
      </c>
      <c r="C356" t="s">
        <v>25</v>
      </c>
      <c r="D356" t="s">
        <v>191</v>
      </c>
      <c r="E356" t="s">
        <v>192</v>
      </c>
      <c r="F356">
        <v>84183</v>
      </c>
    </row>
    <row r="357" ht="14.25" customHeight="1">
      <c r="A357" t="s">
        <v>96</v>
      </c>
      <c r="B357" t="s">
        <v>250</v>
      </c>
      <c r="C357" t="s">
        <v>25</v>
      </c>
      <c r="D357" t="s">
        <v>191</v>
      </c>
      <c r="E357" t="s">
        <v>192</v>
      </c>
      <c r="F357">
        <v>126224</v>
      </c>
    </row>
    <row r="358" ht="14.25" customHeight="1">
      <c r="A358" t="s">
        <v>97</v>
      </c>
      <c r="B358" t="s">
        <v>250</v>
      </c>
      <c r="C358" t="s">
        <v>25</v>
      </c>
      <c r="D358" t="s">
        <v>191</v>
      </c>
      <c r="E358" t="s">
        <v>192</v>
      </c>
      <c r="F358">
        <v>73986</v>
      </c>
    </row>
    <row r="359" ht="14.25" customHeight="1">
      <c r="A359" t="s">
        <v>251</v>
      </c>
      <c r="B359" t="s">
        <v>252</v>
      </c>
      <c r="C359" t="s">
        <v>211</v>
      </c>
      <c r="D359" t="s">
        <v>191</v>
      </c>
      <c r="E359" t="s">
        <v>192</v>
      </c>
      <c r="F359">
        <v>1134071</v>
      </c>
    </row>
    <row r="360" ht="14.25" customHeight="1">
      <c r="A360" t="s">
        <v>251</v>
      </c>
      <c r="B360" t="s">
        <v>252</v>
      </c>
      <c r="C360" t="s">
        <v>210</v>
      </c>
      <c r="D360" t="s">
        <v>191</v>
      </c>
      <c r="E360" t="s">
        <v>192</v>
      </c>
      <c r="F360">
        <v>1186037</v>
      </c>
    </row>
    <row r="361" ht="14.25" customHeight="1">
      <c r="A361" t="s">
        <v>251</v>
      </c>
      <c r="B361" t="s">
        <v>252</v>
      </c>
      <c r="C361" t="s">
        <v>25</v>
      </c>
      <c r="D361" t="s">
        <v>191</v>
      </c>
      <c r="E361" t="s">
        <v>192</v>
      </c>
      <c r="F361">
        <v>1242649</v>
      </c>
    </row>
    <row r="362" ht="14.25" customHeight="1">
      <c r="A362" t="s">
        <v>75</v>
      </c>
      <c r="B362" t="s">
        <v>253</v>
      </c>
      <c r="C362" t="s">
        <v>211</v>
      </c>
      <c r="D362" t="s">
        <v>191</v>
      </c>
      <c r="E362" t="s">
        <v>192</v>
      </c>
      <c r="F362">
        <v>496023</v>
      </c>
    </row>
    <row r="363" ht="14.25" customHeight="1">
      <c r="A363" t="s">
        <v>77</v>
      </c>
      <c r="B363" t="s">
        <v>253</v>
      </c>
      <c r="C363" t="s">
        <v>211</v>
      </c>
      <c r="D363" t="s">
        <v>191</v>
      </c>
      <c r="E363" t="s">
        <v>192</v>
      </c>
      <c r="F363">
        <v>290862</v>
      </c>
    </row>
    <row r="364" ht="14.25" customHeight="1">
      <c r="A364" t="s">
        <v>79</v>
      </c>
      <c r="B364" t="s">
        <v>253</v>
      </c>
      <c r="C364" t="s">
        <v>211</v>
      </c>
      <c r="D364" t="s">
        <v>191</v>
      </c>
      <c r="E364" t="s">
        <v>192</v>
      </c>
      <c r="F364">
        <v>235652</v>
      </c>
    </row>
    <row r="365" ht="14.25" customHeight="1">
      <c r="A365" t="s">
        <v>81</v>
      </c>
      <c r="B365" t="s">
        <v>253</v>
      </c>
      <c r="C365" t="s">
        <v>211</v>
      </c>
      <c r="D365" t="s">
        <v>191</v>
      </c>
      <c r="E365" t="s">
        <v>192</v>
      </c>
      <c r="F365">
        <v>209562</v>
      </c>
    </row>
    <row r="366" ht="14.25" customHeight="1">
      <c r="A366" t="s">
        <v>83</v>
      </c>
      <c r="B366" t="s">
        <v>253</v>
      </c>
      <c r="C366" t="s">
        <v>211</v>
      </c>
      <c r="D366" t="s">
        <v>191</v>
      </c>
      <c r="E366" t="s">
        <v>192</v>
      </c>
      <c r="F366">
        <v>459665</v>
      </c>
    </row>
    <row r="367" ht="14.25" customHeight="1">
      <c r="A367" t="s">
        <v>84</v>
      </c>
      <c r="B367" t="s">
        <v>253</v>
      </c>
      <c r="C367" t="s">
        <v>211</v>
      </c>
      <c r="D367" t="s">
        <v>191</v>
      </c>
      <c r="E367" t="s">
        <v>192</v>
      </c>
      <c r="F367">
        <v>179929</v>
      </c>
    </row>
    <row r="368" ht="14.25" customHeight="1">
      <c r="A368" t="s">
        <v>86</v>
      </c>
      <c r="B368" t="s">
        <v>253</v>
      </c>
      <c r="C368" t="s">
        <v>211</v>
      </c>
      <c r="D368" t="s">
        <v>191</v>
      </c>
      <c r="E368" t="s">
        <v>192</v>
      </c>
      <c r="F368">
        <v>166639</v>
      </c>
    </row>
    <row r="369" ht="14.25" customHeight="1">
      <c r="A369" t="s">
        <v>88</v>
      </c>
      <c r="B369" t="s">
        <v>253</v>
      </c>
      <c r="C369" t="s">
        <v>211</v>
      </c>
      <c r="D369" t="s">
        <v>191</v>
      </c>
      <c r="E369" t="s">
        <v>192</v>
      </c>
      <c r="F369">
        <v>116223</v>
      </c>
    </row>
    <row r="370" ht="14.25" customHeight="1">
      <c r="A370" t="s">
        <v>90</v>
      </c>
      <c r="B370" t="s">
        <v>253</v>
      </c>
      <c r="C370" t="s">
        <v>211</v>
      </c>
      <c r="D370" t="s">
        <v>191</v>
      </c>
      <c r="E370" t="s">
        <v>192</v>
      </c>
      <c r="F370">
        <v>82526</v>
      </c>
    </row>
    <row r="371" ht="14.25" customHeight="1">
      <c r="A371" t="s">
        <v>92</v>
      </c>
      <c r="B371" t="s">
        <v>253</v>
      </c>
      <c r="C371" t="s">
        <v>211</v>
      </c>
      <c r="D371" t="s">
        <v>191</v>
      </c>
      <c r="E371" t="s">
        <v>192</v>
      </c>
      <c r="F371">
        <v>82526</v>
      </c>
    </row>
    <row r="372" ht="14.25" customHeight="1">
      <c r="A372" t="s">
        <v>94</v>
      </c>
      <c r="B372" t="s">
        <v>253</v>
      </c>
      <c r="C372" t="s">
        <v>211</v>
      </c>
      <c r="D372" t="s">
        <v>191</v>
      </c>
      <c r="E372" t="s">
        <v>192</v>
      </c>
      <c r="F372">
        <v>163385</v>
      </c>
    </row>
    <row r="373" ht="14.25" customHeight="1">
      <c r="A373" t="s">
        <v>95</v>
      </c>
      <c r="B373" t="s">
        <v>253</v>
      </c>
      <c r="C373" t="s">
        <v>211</v>
      </c>
      <c r="D373" t="s">
        <v>191</v>
      </c>
      <c r="E373" t="s">
        <v>192</v>
      </c>
      <c r="F373">
        <v>119509</v>
      </c>
    </row>
    <row r="374" ht="14.25" customHeight="1">
      <c r="A374" t="s">
        <v>96</v>
      </c>
      <c r="B374" t="s">
        <v>253</v>
      </c>
      <c r="C374" t="s">
        <v>211</v>
      </c>
      <c r="D374" t="s">
        <v>191</v>
      </c>
      <c r="E374" t="s">
        <v>192</v>
      </c>
      <c r="F374">
        <v>179192</v>
      </c>
    </row>
    <row r="375" ht="14.25" customHeight="1">
      <c r="A375" t="s">
        <v>97</v>
      </c>
      <c r="B375" t="s">
        <v>253</v>
      </c>
      <c r="C375" t="s">
        <v>211</v>
      </c>
      <c r="D375" t="s">
        <v>191</v>
      </c>
      <c r="E375" t="s">
        <v>192</v>
      </c>
      <c r="F375">
        <v>105033</v>
      </c>
    </row>
    <row r="376" ht="14.25" customHeight="1">
      <c r="A376" t="s">
        <v>75</v>
      </c>
      <c r="B376" t="s">
        <v>253</v>
      </c>
      <c r="C376" t="s">
        <v>210</v>
      </c>
      <c r="D376" t="s">
        <v>191</v>
      </c>
      <c r="E376" t="s">
        <v>192</v>
      </c>
      <c r="F376">
        <v>518752</v>
      </c>
    </row>
    <row r="377" ht="14.25" customHeight="1">
      <c r="A377" t="s">
        <v>77</v>
      </c>
      <c r="B377" t="s">
        <v>253</v>
      </c>
      <c r="C377" t="s">
        <v>210</v>
      </c>
      <c r="D377" t="s">
        <v>191</v>
      </c>
      <c r="E377" t="s">
        <v>192</v>
      </c>
      <c r="F377">
        <v>304190</v>
      </c>
    </row>
    <row r="378" ht="14.25" customHeight="1">
      <c r="A378" t="s">
        <v>79</v>
      </c>
      <c r="B378" t="s">
        <v>253</v>
      </c>
      <c r="C378" t="s">
        <v>210</v>
      </c>
      <c r="D378" t="s">
        <v>191</v>
      </c>
      <c r="E378" t="s">
        <v>192</v>
      </c>
      <c r="F378">
        <v>246450</v>
      </c>
    </row>
    <row r="379" ht="14.25" customHeight="1">
      <c r="A379" t="s">
        <v>81</v>
      </c>
      <c r="B379" t="s">
        <v>253</v>
      </c>
      <c r="C379" t="s">
        <v>210</v>
      </c>
      <c r="D379" t="s">
        <v>191</v>
      </c>
      <c r="E379" t="s">
        <v>192</v>
      </c>
      <c r="F379">
        <v>219164</v>
      </c>
    </row>
    <row r="380" ht="14.25" customHeight="1">
      <c r="A380" t="s">
        <v>83</v>
      </c>
      <c r="B380" t="s">
        <v>253</v>
      </c>
      <c r="C380" t="s">
        <v>210</v>
      </c>
      <c r="D380" t="s">
        <v>191</v>
      </c>
      <c r="E380" t="s">
        <v>192</v>
      </c>
      <c r="F380">
        <v>480728</v>
      </c>
    </row>
    <row r="381" ht="14.25" customHeight="1">
      <c r="A381" t="s">
        <v>84</v>
      </c>
      <c r="B381" t="s">
        <v>253</v>
      </c>
      <c r="C381" t="s">
        <v>210</v>
      </c>
      <c r="D381" t="s">
        <v>191</v>
      </c>
      <c r="E381" t="s">
        <v>192</v>
      </c>
      <c r="F381">
        <v>188174</v>
      </c>
    </row>
    <row r="382" ht="14.25" customHeight="1">
      <c r="A382" t="s">
        <v>86</v>
      </c>
      <c r="B382" t="s">
        <v>253</v>
      </c>
      <c r="C382" t="s">
        <v>210</v>
      </c>
      <c r="D382" t="s">
        <v>191</v>
      </c>
      <c r="E382" t="s">
        <v>192</v>
      </c>
      <c r="F382">
        <v>174275</v>
      </c>
    </row>
    <row r="383" ht="14.25" customHeight="1">
      <c r="A383" t="s">
        <v>88</v>
      </c>
      <c r="B383" t="s">
        <v>253</v>
      </c>
      <c r="C383" t="s">
        <v>210</v>
      </c>
      <c r="D383" t="s">
        <v>191</v>
      </c>
      <c r="E383" t="s">
        <v>192</v>
      </c>
      <c r="F383">
        <v>121548</v>
      </c>
    </row>
    <row r="384" ht="14.25" customHeight="1">
      <c r="A384" t="s">
        <v>90</v>
      </c>
      <c r="B384" t="s">
        <v>253</v>
      </c>
      <c r="C384" t="s">
        <v>210</v>
      </c>
      <c r="D384" t="s">
        <v>191</v>
      </c>
      <c r="E384" t="s">
        <v>192</v>
      </c>
      <c r="F384">
        <v>86308</v>
      </c>
    </row>
    <row r="385" ht="14.25" customHeight="1">
      <c r="A385" t="s">
        <v>92</v>
      </c>
      <c r="B385" t="s">
        <v>253</v>
      </c>
      <c r="C385" t="s">
        <v>210</v>
      </c>
      <c r="D385" t="s">
        <v>191</v>
      </c>
      <c r="E385" t="s">
        <v>192</v>
      </c>
      <c r="F385">
        <v>86308</v>
      </c>
    </row>
    <row r="386" ht="14.25" customHeight="1">
      <c r="A386" t="s">
        <v>94</v>
      </c>
      <c r="B386" t="s">
        <v>253</v>
      </c>
      <c r="C386" t="s">
        <v>210</v>
      </c>
      <c r="D386" t="s">
        <v>191</v>
      </c>
      <c r="E386" t="s">
        <v>192</v>
      </c>
      <c r="F386">
        <v>170872</v>
      </c>
    </row>
    <row r="387" ht="14.25" customHeight="1">
      <c r="A387" t="s">
        <v>95</v>
      </c>
      <c r="B387" t="s">
        <v>253</v>
      </c>
      <c r="C387" t="s">
        <v>210</v>
      </c>
      <c r="D387" t="s">
        <v>191</v>
      </c>
      <c r="E387" t="s">
        <v>192</v>
      </c>
      <c r="F387">
        <v>124985</v>
      </c>
    </row>
    <row r="388" ht="14.25" customHeight="1">
      <c r="A388" t="s">
        <v>96</v>
      </c>
      <c r="B388" t="s">
        <v>253</v>
      </c>
      <c r="C388" t="s">
        <v>210</v>
      </c>
      <c r="D388" t="s">
        <v>191</v>
      </c>
      <c r="E388" t="s">
        <v>192</v>
      </c>
      <c r="F388">
        <v>187402</v>
      </c>
    </row>
    <row r="389" ht="14.25" customHeight="1">
      <c r="A389" t="s">
        <v>97</v>
      </c>
      <c r="B389" t="s">
        <v>253</v>
      </c>
      <c r="C389" t="s">
        <v>210</v>
      </c>
      <c r="D389" t="s">
        <v>191</v>
      </c>
      <c r="E389" t="s">
        <v>192</v>
      </c>
      <c r="F389">
        <v>109846</v>
      </c>
    </row>
    <row r="390" ht="14.25" customHeight="1">
      <c r="A390" t="s">
        <v>75</v>
      </c>
      <c r="B390" t="s">
        <v>253</v>
      </c>
      <c r="C390" t="s">
        <v>25</v>
      </c>
      <c r="D390" t="s">
        <v>191</v>
      </c>
      <c r="E390" t="s">
        <v>192</v>
      </c>
      <c r="F390">
        <v>543513</v>
      </c>
    </row>
    <row r="391" ht="14.25" customHeight="1">
      <c r="A391" t="s">
        <v>77</v>
      </c>
      <c r="B391" t="s">
        <v>253</v>
      </c>
      <c r="C391" t="s">
        <v>25</v>
      </c>
      <c r="D391" t="s">
        <v>191</v>
      </c>
      <c r="E391" t="s">
        <v>192</v>
      </c>
      <c r="F391">
        <v>318709</v>
      </c>
    </row>
    <row r="392" ht="14.25" customHeight="1">
      <c r="A392" t="s">
        <v>79</v>
      </c>
      <c r="B392" t="s">
        <v>253</v>
      </c>
      <c r="C392" t="s">
        <v>25</v>
      </c>
      <c r="D392" t="s">
        <v>191</v>
      </c>
      <c r="E392" t="s">
        <v>192</v>
      </c>
      <c r="F392">
        <v>258214</v>
      </c>
    </row>
    <row r="393" ht="14.25" customHeight="1">
      <c r="A393" t="s">
        <v>81</v>
      </c>
      <c r="B393" t="s">
        <v>253</v>
      </c>
      <c r="C393" t="s">
        <v>25</v>
      </c>
      <c r="D393" t="s">
        <v>191</v>
      </c>
      <c r="E393" t="s">
        <v>192</v>
      </c>
      <c r="F393">
        <v>229626</v>
      </c>
    </row>
    <row r="394" ht="14.25" customHeight="1">
      <c r="A394" t="s">
        <v>83</v>
      </c>
      <c r="B394" t="s">
        <v>253</v>
      </c>
      <c r="C394" t="s">
        <v>25</v>
      </c>
      <c r="D394" t="s">
        <v>191</v>
      </c>
      <c r="E394" t="s">
        <v>192</v>
      </c>
      <c r="F394">
        <v>503674</v>
      </c>
    </row>
    <row r="395" ht="14.25" customHeight="1">
      <c r="A395" t="s">
        <v>84</v>
      </c>
      <c r="B395" t="s">
        <v>253</v>
      </c>
      <c r="C395" t="s">
        <v>25</v>
      </c>
      <c r="D395" t="s">
        <v>191</v>
      </c>
      <c r="E395" t="s">
        <v>192</v>
      </c>
      <c r="F395">
        <v>197156</v>
      </c>
    </row>
    <row r="396" ht="14.25" customHeight="1">
      <c r="A396" t="s">
        <v>86</v>
      </c>
      <c r="B396" t="s">
        <v>253</v>
      </c>
      <c r="C396" t="s">
        <v>25</v>
      </c>
      <c r="D396" t="s">
        <v>191</v>
      </c>
      <c r="E396" t="s">
        <v>192</v>
      </c>
      <c r="F396">
        <v>182594</v>
      </c>
    </row>
    <row r="397" ht="14.25" customHeight="1">
      <c r="A397" t="s">
        <v>88</v>
      </c>
      <c r="B397" t="s">
        <v>253</v>
      </c>
      <c r="C397" t="s">
        <v>25</v>
      </c>
      <c r="D397" t="s">
        <v>191</v>
      </c>
      <c r="E397" t="s">
        <v>192</v>
      </c>
      <c r="F397">
        <v>127350</v>
      </c>
    </row>
    <row r="398" ht="14.25" customHeight="1">
      <c r="A398" t="s">
        <v>90</v>
      </c>
      <c r="B398" t="s">
        <v>253</v>
      </c>
      <c r="C398" t="s">
        <v>25</v>
      </c>
      <c r="D398" t="s">
        <v>191</v>
      </c>
      <c r="E398" t="s">
        <v>192</v>
      </c>
      <c r="F398">
        <v>90427</v>
      </c>
    </row>
    <row r="399" ht="14.25" customHeight="1">
      <c r="A399" t="s">
        <v>92</v>
      </c>
      <c r="B399" t="s">
        <v>253</v>
      </c>
      <c r="C399" t="s">
        <v>25</v>
      </c>
      <c r="D399" t="s">
        <v>191</v>
      </c>
      <c r="E399" t="s">
        <v>192</v>
      </c>
      <c r="F399">
        <v>90427</v>
      </c>
    </row>
    <row r="400" ht="14.25" customHeight="1">
      <c r="A400" t="s">
        <v>94</v>
      </c>
      <c r="B400" t="s">
        <v>253</v>
      </c>
      <c r="C400" t="s">
        <v>25</v>
      </c>
      <c r="D400" t="s">
        <v>191</v>
      </c>
      <c r="E400" t="s">
        <v>192</v>
      </c>
      <c r="F400">
        <v>179028</v>
      </c>
    </row>
    <row r="401" ht="14.25" customHeight="1">
      <c r="A401" t="s">
        <v>95</v>
      </c>
      <c r="B401" t="s">
        <v>253</v>
      </c>
      <c r="C401" t="s">
        <v>25</v>
      </c>
      <c r="D401" t="s">
        <v>191</v>
      </c>
      <c r="E401" t="s">
        <v>192</v>
      </c>
      <c r="F401">
        <v>130951</v>
      </c>
    </row>
    <row r="402" ht="14.25" customHeight="1">
      <c r="A402" t="s">
        <v>96</v>
      </c>
      <c r="B402" t="s">
        <v>253</v>
      </c>
      <c r="C402" t="s">
        <v>25</v>
      </c>
      <c r="D402" t="s">
        <v>191</v>
      </c>
      <c r="E402" t="s">
        <v>192</v>
      </c>
      <c r="F402">
        <v>196348</v>
      </c>
    </row>
    <row r="403" ht="14.25" customHeight="1">
      <c r="A403" t="s">
        <v>97</v>
      </c>
      <c r="B403" t="s">
        <v>253</v>
      </c>
      <c r="C403" t="s">
        <v>25</v>
      </c>
      <c r="D403" t="s">
        <v>191</v>
      </c>
      <c r="E403" t="s">
        <v>192</v>
      </c>
      <c r="F403">
        <v>115089</v>
      </c>
    </row>
    <row r="404" ht="14.25" customHeight="1">
      <c r="A404" t="s">
        <v>75</v>
      </c>
      <c r="B404" t="s">
        <v>254</v>
      </c>
      <c r="C404" t="s">
        <v>211</v>
      </c>
      <c r="D404" t="s">
        <v>191</v>
      </c>
      <c r="E404" t="s">
        <v>192</v>
      </c>
      <c r="F404">
        <v>341140</v>
      </c>
    </row>
    <row r="405" ht="14.25" customHeight="1">
      <c r="A405" t="s">
        <v>77</v>
      </c>
      <c r="B405" t="s">
        <v>254</v>
      </c>
      <c r="C405" t="s">
        <v>211</v>
      </c>
      <c r="D405" t="s">
        <v>191</v>
      </c>
      <c r="E405" t="s">
        <v>192</v>
      </c>
      <c r="F405">
        <v>204403</v>
      </c>
    </row>
    <row r="406" ht="14.25" customHeight="1">
      <c r="A406" t="s">
        <v>79</v>
      </c>
      <c r="B406" t="s">
        <v>254</v>
      </c>
      <c r="C406" t="s">
        <v>211</v>
      </c>
      <c r="D406" t="s">
        <v>191</v>
      </c>
      <c r="E406" t="s">
        <v>192</v>
      </c>
      <c r="F406">
        <v>168464</v>
      </c>
    </row>
    <row r="407" ht="14.25" customHeight="1">
      <c r="A407" t="s">
        <v>81</v>
      </c>
      <c r="B407" t="s">
        <v>254</v>
      </c>
      <c r="C407" t="s">
        <v>211</v>
      </c>
      <c r="D407" t="s">
        <v>191</v>
      </c>
      <c r="E407" t="s">
        <v>192</v>
      </c>
      <c r="F407">
        <v>147406</v>
      </c>
    </row>
    <row r="408" ht="14.25" customHeight="1">
      <c r="A408" t="s">
        <v>83</v>
      </c>
      <c r="B408" t="s">
        <v>254</v>
      </c>
      <c r="C408" t="s">
        <v>211</v>
      </c>
      <c r="D408" t="s">
        <v>191</v>
      </c>
      <c r="E408" t="s">
        <v>192</v>
      </c>
      <c r="F408">
        <v>341140</v>
      </c>
    </row>
    <row r="409" ht="14.25" customHeight="1">
      <c r="A409" t="s">
        <v>84</v>
      </c>
      <c r="B409" t="s">
        <v>254</v>
      </c>
      <c r="C409" t="s">
        <v>211</v>
      </c>
      <c r="D409" t="s">
        <v>191</v>
      </c>
      <c r="E409" t="s">
        <v>192</v>
      </c>
      <c r="F409">
        <v>129156</v>
      </c>
    </row>
    <row r="410" ht="14.25" customHeight="1">
      <c r="A410" t="s">
        <v>86</v>
      </c>
      <c r="B410" t="s">
        <v>254</v>
      </c>
      <c r="C410" t="s">
        <v>211</v>
      </c>
      <c r="D410" t="s">
        <v>191</v>
      </c>
      <c r="E410" t="s">
        <v>192</v>
      </c>
      <c r="F410">
        <v>126348</v>
      </c>
    </row>
    <row r="411" ht="14.25" customHeight="1">
      <c r="A411" t="s">
        <v>88</v>
      </c>
      <c r="B411" t="s">
        <v>254</v>
      </c>
      <c r="C411" t="s">
        <v>211</v>
      </c>
      <c r="D411" t="s">
        <v>191</v>
      </c>
      <c r="E411" t="s">
        <v>192</v>
      </c>
      <c r="F411">
        <v>84232</v>
      </c>
    </row>
    <row r="412" ht="14.25" customHeight="1">
      <c r="A412" t="s">
        <v>90</v>
      </c>
      <c r="B412" t="s">
        <v>254</v>
      </c>
      <c r="C412" t="s">
        <v>211</v>
      </c>
      <c r="D412" t="s">
        <v>191</v>
      </c>
      <c r="E412" t="s">
        <v>192</v>
      </c>
      <c r="F412">
        <v>74124</v>
      </c>
    </row>
    <row r="413" ht="14.25" customHeight="1">
      <c r="A413" t="s">
        <v>92</v>
      </c>
      <c r="B413" t="s">
        <v>254</v>
      </c>
      <c r="C413" t="s">
        <v>211</v>
      </c>
      <c r="D413" t="s">
        <v>191</v>
      </c>
      <c r="E413" t="s">
        <v>192</v>
      </c>
      <c r="F413">
        <v>74124</v>
      </c>
    </row>
    <row r="414" ht="14.25" customHeight="1">
      <c r="A414" t="s">
        <v>94</v>
      </c>
      <c r="B414" t="s">
        <v>254</v>
      </c>
      <c r="C414" t="s">
        <v>211</v>
      </c>
      <c r="D414" t="s">
        <v>191</v>
      </c>
      <c r="E414" t="s">
        <v>192</v>
      </c>
      <c r="F414">
        <v>125787</v>
      </c>
    </row>
    <row r="415" ht="14.25" customHeight="1">
      <c r="A415" t="s">
        <v>95</v>
      </c>
      <c r="B415" t="s">
        <v>254</v>
      </c>
      <c r="C415" t="s">
        <v>211</v>
      </c>
      <c r="D415" t="s">
        <v>191</v>
      </c>
      <c r="E415" t="s">
        <v>192</v>
      </c>
      <c r="F415">
        <v>117925</v>
      </c>
    </row>
    <row r="416" ht="14.25" customHeight="1">
      <c r="A416" t="s">
        <v>96</v>
      </c>
      <c r="B416" t="s">
        <v>254</v>
      </c>
      <c r="C416" t="s">
        <v>211</v>
      </c>
      <c r="D416" t="s">
        <v>191</v>
      </c>
      <c r="E416" t="s">
        <v>192</v>
      </c>
      <c r="F416">
        <v>136456</v>
      </c>
    </row>
    <row r="417" ht="14.25" customHeight="1">
      <c r="A417" t="s">
        <v>97</v>
      </c>
      <c r="B417" t="s">
        <v>254</v>
      </c>
      <c r="C417" t="s">
        <v>211</v>
      </c>
      <c r="D417" t="s">
        <v>191</v>
      </c>
      <c r="E417" t="s">
        <v>192</v>
      </c>
      <c r="F417">
        <v>94340</v>
      </c>
    </row>
    <row r="418" ht="14.25" customHeight="1">
      <c r="A418" t="s">
        <v>75</v>
      </c>
      <c r="B418" t="s">
        <v>254</v>
      </c>
      <c r="C418" t="s">
        <v>210</v>
      </c>
      <c r="D418" t="s">
        <v>191</v>
      </c>
      <c r="E418" t="s">
        <v>192</v>
      </c>
      <c r="F418">
        <v>356772</v>
      </c>
    </row>
    <row r="419" ht="14.25" customHeight="1">
      <c r="A419" t="s">
        <v>77</v>
      </c>
      <c r="B419" t="s">
        <v>254</v>
      </c>
      <c r="C419" t="s">
        <v>210</v>
      </c>
      <c r="D419" t="s">
        <v>191</v>
      </c>
      <c r="E419" t="s">
        <v>192</v>
      </c>
      <c r="F419">
        <v>213769</v>
      </c>
    </row>
    <row r="420" ht="14.25" customHeight="1">
      <c r="A420" t="s">
        <v>79</v>
      </c>
      <c r="B420" t="s">
        <v>254</v>
      </c>
      <c r="C420" t="s">
        <v>210</v>
      </c>
      <c r="D420" t="s">
        <v>191</v>
      </c>
      <c r="E420" t="s">
        <v>192</v>
      </c>
      <c r="F420">
        <v>176184</v>
      </c>
    </row>
    <row r="421" ht="14.25" customHeight="1">
      <c r="A421" t="s">
        <v>81</v>
      </c>
      <c r="B421" t="s">
        <v>254</v>
      </c>
      <c r="C421" t="s">
        <v>210</v>
      </c>
      <c r="D421" t="s">
        <v>191</v>
      </c>
      <c r="E421" t="s">
        <v>192</v>
      </c>
      <c r="F421">
        <v>154161</v>
      </c>
    </row>
    <row r="422" ht="14.25" customHeight="1">
      <c r="A422" t="s">
        <v>83</v>
      </c>
      <c r="B422" t="s">
        <v>254</v>
      </c>
      <c r="C422" t="s">
        <v>210</v>
      </c>
      <c r="D422" t="s">
        <v>191</v>
      </c>
      <c r="E422" t="s">
        <v>192</v>
      </c>
      <c r="F422">
        <v>356772</v>
      </c>
    </row>
    <row r="423" ht="14.25" customHeight="1">
      <c r="A423" t="s">
        <v>84</v>
      </c>
      <c r="B423" t="s">
        <v>254</v>
      </c>
      <c r="C423" t="s">
        <v>210</v>
      </c>
      <c r="D423" t="s">
        <v>191</v>
      </c>
      <c r="E423" t="s">
        <v>192</v>
      </c>
      <c r="F423">
        <v>135074</v>
      </c>
    </row>
    <row r="424" ht="14.25" customHeight="1">
      <c r="A424" t="s">
        <v>86</v>
      </c>
      <c r="B424" t="s">
        <v>254</v>
      </c>
      <c r="C424" t="s">
        <v>210</v>
      </c>
      <c r="D424" t="s">
        <v>191</v>
      </c>
      <c r="E424" t="s">
        <v>192</v>
      </c>
      <c r="F424">
        <v>132138</v>
      </c>
    </row>
    <row r="425" ht="14.25" customHeight="1">
      <c r="A425" t="s">
        <v>88</v>
      </c>
      <c r="B425" t="s">
        <v>254</v>
      </c>
      <c r="C425" t="s">
        <v>210</v>
      </c>
      <c r="D425" t="s">
        <v>191</v>
      </c>
      <c r="E425" t="s">
        <v>192</v>
      </c>
      <c r="F425">
        <v>88092</v>
      </c>
    </row>
    <row r="426" ht="14.25" customHeight="1">
      <c r="A426" t="s">
        <v>90</v>
      </c>
      <c r="B426" t="s">
        <v>254</v>
      </c>
      <c r="C426" t="s">
        <v>210</v>
      </c>
      <c r="D426" t="s">
        <v>191</v>
      </c>
      <c r="E426" t="s">
        <v>192</v>
      </c>
      <c r="F426">
        <v>77521</v>
      </c>
    </row>
    <row r="427" ht="14.25" customHeight="1">
      <c r="A427" t="s">
        <v>92</v>
      </c>
      <c r="B427" t="s">
        <v>254</v>
      </c>
      <c r="C427" t="s">
        <v>210</v>
      </c>
      <c r="D427" t="s">
        <v>191</v>
      </c>
      <c r="E427" t="s">
        <v>192</v>
      </c>
      <c r="F427">
        <v>77521</v>
      </c>
    </row>
    <row r="428" ht="14.25" customHeight="1">
      <c r="A428" t="s">
        <v>94</v>
      </c>
      <c r="B428" t="s">
        <v>254</v>
      </c>
      <c r="C428" t="s">
        <v>210</v>
      </c>
      <c r="D428" t="s">
        <v>191</v>
      </c>
      <c r="E428" t="s">
        <v>192</v>
      </c>
      <c r="F428">
        <v>131550</v>
      </c>
    </row>
    <row r="429" ht="14.25" customHeight="1">
      <c r="A429" t="s">
        <v>95</v>
      </c>
      <c r="B429" t="s">
        <v>254</v>
      </c>
      <c r="C429" t="s">
        <v>210</v>
      </c>
      <c r="D429" t="s">
        <v>191</v>
      </c>
      <c r="E429" t="s">
        <v>192</v>
      </c>
      <c r="F429">
        <v>123328</v>
      </c>
    </row>
    <row r="430" ht="14.25" customHeight="1">
      <c r="A430" t="s">
        <v>96</v>
      </c>
      <c r="B430" t="s">
        <v>254</v>
      </c>
      <c r="C430" t="s">
        <v>210</v>
      </c>
      <c r="D430" t="s">
        <v>191</v>
      </c>
      <c r="E430" t="s">
        <v>192</v>
      </c>
      <c r="F430">
        <v>142709</v>
      </c>
    </row>
    <row r="431" ht="14.25" customHeight="1">
      <c r="A431" t="s">
        <v>97</v>
      </c>
      <c r="B431" t="s">
        <v>254</v>
      </c>
      <c r="C431" t="s">
        <v>210</v>
      </c>
      <c r="D431" t="s">
        <v>191</v>
      </c>
      <c r="E431" t="s">
        <v>192</v>
      </c>
      <c r="F431">
        <v>98663</v>
      </c>
    </row>
    <row r="432" ht="14.25" customHeight="1">
      <c r="A432" t="s">
        <v>75</v>
      </c>
      <c r="B432" t="s">
        <v>254</v>
      </c>
      <c r="C432" t="s">
        <v>25</v>
      </c>
      <c r="D432" t="s">
        <v>191</v>
      </c>
      <c r="E432" t="s">
        <v>192</v>
      </c>
      <c r="F432">
        <v>373801</v>
      </c>
    </row>
    <row r="433" ht="14.25" customHeight="1">
      <c r="A433" t="s">
        <v>77</v>
      </c>
      <c r="B433" t="s">
        <v>254</v>
      </c>
      <c r="C433" t="s">
        <v>25</v>
      </c>
      <c r="D433" t="s">
        <v>191</v>
      </c>
      <c r="E433" t="s">
        <v>192</v>
      </c>
      <c r="F433">
        <v>223973</v>
      </c>
    </row>
    <row r="434" ht="14.25" customHeight="1">
      <c r="A434" t="s">
        <v>79</v>
      </c>
      <c r="B434" t="s">
        <v>254</v>
      </c>
      <c r="C434" t="s">
        <v>25</v>
      </c>
      <c r="D434" t="s">
        <v>191</v>
      </c>
      <c r="E434" t="s">
        <v>192</v>
      </c>
      <c r="F434">
        <v>184593</v>
      </c>
    </row>
    <row r="435" ht="14.25" customHeight="1">
      <c r="A435" t="s">
        <v>81</v>
      </c>
      <c r="B435" t="s">
        <v>254</v>
      </c>
      <c r="C435" t="s">
        <v>25</v>
      </c>
      <c r="D435" t="s">
        <v>191</v>
      </c>
      <c r="E435" t="s">
        <v>192</v>
      </c>
      <c r="F435">
        <v>161519</v>
      </c>
    </row>
    <row r="436" ht="14.25" customHeight="1">
      <c r="A436" t="s">
        <v>83</v>
      </c>
      <c r="B436" t="s">
        <v>254</v>
      </c>
      <c r="C436" t="s">
        <v>25</v>
      </c>
      <c r="D436" t="s">
        <v>191</v>
      </c>
      <c r="E436" t="s">
        <v>192</v>
      </c>
      <c r="F436">
        <v>373801</v>
      </c>
    </row>
    <row r="437" ht="14.25" customHeight="1">
      <c r="A437" t="s">
        <v>84</v>
      </c>
      <c r="B437" t="s">
        <v>254</v>
      </c>
      <c r="C437" t="s">
        <v>25</v>
      </c>
      <c r="D437" t="s">
        <v>191</v>
      </c>
      <c r="E437" t="s">
        <v>192</v>
      </c>
      <c r="F437">
        <v>141521</v>
      </c>
    </row>
    <row r="438" ht="14.25" customHeight="1">
      <c r="A438" t="s">
        <v>86</v>
      </c>
      <c r="B438" t="s">
        <v>254</v>
      </c>
      <c r="C438" t="s">
        <v>25</v>
      </c>
      <c r="D438" t="s">
        <v>191</v>
      </c>
      <c r="E438" t="s">
        <v>192</v>
      </c>
      <c r="F438">
        <v>138445</v>
      </c>
    </row>
    <row r="439" ht="14.25" customHeight="1">
      <c r="A439" t="s">
        <v>88</v>
      </c>
      <c r="B439" t="s">
        <v>254</v>
      </c>
      <c r="C439" t="s">
        <v>25</v>
      </c>
      <c r="D439" t="s">
        <v>191</v>
      </c>
      <c r="E439" t="s">
        <v>192</v>
      </c>
      <c r="F439">
        <v>92297</v>
      </c>
    </row>
    <row r="440" ht="14.25" customHeight="1">
      <c r="A440" t="s">
        <v>90</v>
      </c>
      <c r="B440" t="s">
        <v>254</v>
      </c>
      <c r="C440" t="s">
        <v>25</v>
      </c>
      <c r="D440" t="s">
        <v>191</v>
      </c>
      <c r="E440" t="s">
        <v>192</v>
      </c>
      <c r="F440">
        <v>81221</v>
      </c>
    </row>
    <row r="441" ht="14.25" customHeight="1">
      <c r="A441" t="s">
        <v>92</v>
      </c>
      <c r="B441" t="s">
        <v>254</v>
      </c>
      <c r="C441" t="s">
        <v>25</v>
      </c>
      <c r="D441" t="s">
        <v>191</v>
      </c>
      <c r="E441" t="s">
        <v>192</v>
      </c>
      <c r="F441">
        <v>81221</v>
      </c>
    </row>
    <row r="442" ht="14.25" customHeight="1">
      <c r="A442" t="s">
        <v>94</v>
      </c>
      <c r="B442" t="s">
        <v>254</v>
      </c>
      <c r="C442" t="s">
        <v>25</v>
      </c>
      <c r="D442" t="s">
        <v>191</v>
      </c>
      <c r="E442" t="s">
        <v>192</v>
      </c>
      <c r="F442">
        <v>137830</v>
      </c>
    </row>
    <row r="443" ht="14.25" customHeight="1">
      <c r="A443" t="s">
        <v>95</v>
      </c>
      <c r="B443" t="s">
        <v>254</v>
      </c>
      <c r="C443" t="s">
        <v>25</v>
      </c>
      <c r="D443" t="s">
        <v>191</v>
      </c>
      <c r="E443" t="s">
        <v>192</v>
      </c>
      <c r="F443">
        <v>129215</v>
      </c>
    </row>
    <row r="444" ht="14.25" customHeight="1">
      <c r="A444" t="s">
        <v>96</v>
      </c>
      <c r="B444" t="s">
        <v>254</v>
      </c>
      <c r="C444" t="s">
        <v>25</v>
      </c>
      <c r="D444" t="s">
        <v>191</v>
      </c>
      <c r="E444" t="s">
        <v>192</v>
      </c>
      <c r="F444">
        <v>149520</v>
      </c>
    </row>
    <row r="445" ht="14.25" customHeight="1">
      <c r="A445" t="s">
        <v>97</v>
      </c>
      <c r="B445" t="s">
        <v>254</v>
      </c>
      <c r="C445" t="s">
        <v>25</v>
      </c>
      <c r="D445" t="s">
        <v>191</v>
      </c>
      <c r="E445" t="s">
        <v>192</v>
      </c>
      <c r="F445">
        <v>103372</v>
      </c>
    </row>
    <row r="446" ht="14.25" customHeight="1">
      <c r="A446" t="s">
        <v>75</v>
      </c>
      <c r="B446" t="s">
        <v>255</v>
      </c>
      <c r="C446" t="s">
        <v>211</v>
      </c>
      <c r="D446" t="s">
        <v>191</v>
      </c>
      <c r="E446" t="s">
        <v>192</v>
      </c>
      <c r="F446">
        <v>48734</v>
      </c>
    </row>
    <row r="447" ht="14.25" customHeight="1">
      <c r="A447" t="s">
        <v>77</v>
      </c>
      <c r="B447" t="s">
        <v>255</v>
      </c>
      <c r="C447" t="s">
        <v>211</v>
      </c>
      <c r="D447" t="s">
        <v>191</v>
      </c>
      <c r="E447" t="s">
        <v>192</v>
      </c>
      <c r="F447">
        <v>29200</v>
      </c>
    </row>
    <row r="448" ht="14.25" customHeight="1">
      <c r="A448" t="s">
        <v>79</v>
      </c>
      <c r="B448" t="s">
        <v>255</v>
      </c>
      <c r="C448" t="s">
        <v>211</v>
      </c>
      <c r="D448" t="s">
        <v>191</v>
      </c>
      <c r="E448" t="s">
        <v>192</v>
      </c>
      <c r="F448">
        <v>24066</v>
      </c>
    </row>
    <row r="449" ht="14.25" customHeight="1">
      <c r="A449" t="s">
        <v>81</v>
      </c>
      <c r="B449" t="s">
        <v>255</v>
      </c>
      <c r="C449" t="s">
        <v>211</v>
      </c>
      <c r="D449" t="s">
        <v>191</v>
      </c>
      <c r="E449" t="s">
        <v>192</v>
      </c>
      <c r="F449">
        <v>21058</v>
      </c>
    </row>
    <row r="450" ht="14.25" customHeight="1">
      <c r="A450" t="s">
        <v>83</v>
      </c>
      <c r="B450" t="s">
        <v>255</v>
      </c>
      <c r="C450" t="s">
        <v>211</v>
      </c>
      <c r="D450" t="s">
        <v>191</v>
      </c>
      <c r="E450" t="s">
        <v>192</v>
      </c>
      <c r="F450">
        <v>48734</v>
      </c>
    </row>
    <row r="451" ht="14.25" customHeight="1">
      <c r="A451" t="s">
        <v>84</v>
      </c>
      <c r="B451" t="s">
        <v>255</v>
      </c>
      <c r="C451" t="s">
        <v>211</v>
      </c>
      <c r="D451" t="s">
        <v>191</v>
      </c>
      <c r="E451" t="s">
        <v>192</v>
      </c>
      <c r="F451">
        <v>18451</v>
      </c>
    </row>
    <row r="452" ht="14.25" customHeight="1">
      <c r="A452" t="s">
        <v>86</v>
      </c>
      <c r="B452" t="s">
        <v>255</v>
      </c>
      <c r="C452" t="s">
        <v>211</v>
      </c>
      <c r="D452" t="s">
        <v>191</v>
      </c>
      <c r="E452" t="s">
        <v>192</v>
      </c>
      <c r="F452">
        <v>18050</v>
      </c>
    </row>
    <row r="453" ht="14.25" customHeight="1">
      <c r="A453" t="s">
        <v>88</v>
      </c>
      <c r="B453" t="s">
        <v>255</v>
      </c>
      <c r="C453" t="s">
        <v>211</v>
      </c>
      <c r="D453" t="s">
        <v>191</v>
      </c>
      <c r="E453" t="s">
        <v>192</v>
      </c>
      <c r="F453">
        <v>12033</v>
      </c>
    </row>
    <row r="454" ht="14.25" customHeight="1">
      <c r="A454" t="s">
        <v>90</v>
      </c>
      <c r="B454" t="s">
        <v>255</v>
      </c>
      <c r="C454" t="s">
        <v>211</v>
      </c>
      <c r="D454" t="s">
        <v>191</v>
      </c>
      <c r="E454" t="s">
        <v>192</v>
      </c>
      <c r="F454">
        <v>10589</v>
      </c>
    </row>
    <row r="455" ht="14.25" customHeight="1">
      <c r="A455" t="s">
        <v>92</v>
      </c>
      <c r="B455" t="s">
        <v>255</v>
      </c>
      <c r="C455" t="s">
        <v>211</v>
      </c>
      <c r="D455" t="s">
        <v>191</v>
      </c>
      <c r="E455" t="s">
        <v>192</v>
      </c>
      <c r="F455">
        <v>10589</v>
      </c>
    </row>
    <row r="456" ht="14.25" customHeight="1">
      <c r="A456" t="s">
        <v>94</v>
      </c>
      <c r="B456" t="s">
        <v>255</v>
      </c>
      <c r="C456" t="s">
        <v>211</v>
      </c>
      <c r="D456" t="s">
        <v>191</v>
      </c>
      <c r="E456" t="s">
        <v>192</v>
      </c>
      <c r="F456">
        <v>17970</v>
      </c>
    </row>
    <row r="457" ht="14.25" customHeight="1">
      <c r="A457" t="s">
        <v>95</v>
      </c>
      <c r="B457" t="s">
        <v>255</v>
      </c>
      <c r="C457" t="s">
        <v>211</v>
      </c>
      <c r="D457" t="s">
        <v>191</v>
      </c>
      <c r="E457" t="s">
        <v>192</v>
      </c>
      <c r="F457">
        <v>16846</v>
      </c>
    </row>
    <row r="458" ht="14.25" customHeight="1">
      <c r="A458" t="s">
        <v>96</v>
      </c>
      <c r="B458" t="s">
        <v>255</v>
      </c>
      <c r="C458" t="s">
        <v>211</v>
      </c>
      <c r="D458" t="s">
        <v>191</v>
      </c>
      <c r="E458" t="s">
        <v>192</v>
      </c>
      <c r="F458">
        <v>19494</v>
      </c>
    </row>
    <row r="459" ht="14.25" customHeight="1">
      <c r="A459" t="s">
        <v>97</v>
      </c>
      <c r="B459" t="s">
        <v>255</v>
      </c>
      <c r="C459" t="s">
        <v>211</v>
      </c>
      <c r="D459" t="s">
        <v>191</v>
      </c>
      <c r="E459" t="s">
        <v>192</v>
      </c>
      <c r="F459">
        <v>13477</v>
      </c>
    </row>
    <row r="460" ht="14.25" customHeight="1">
      <c r="A460" t="s">
        <v>75</v>
      </c>
      <c r="B460" t="s">
        <v>255</v>
      </c>
      <c r="C460" t="s">
        <v>210</v>
      </c>
      <c r="D460" t="s">
        <v>191</v>
      </c>
      <c r="E460" t="s">
        <v>192</v>
      </c>
      <c r="F460">
        <v>50967</v>
      </c>
    </row>
    <row r="461" ht="14.25" customHeight="1">
      <c r="A461" t="s">
        <v>77</v>
      </c>
      <c r="B461" t="s">
        <v>255</v>
      </c>
      <c r="C461" t="s">
        <v>210</v>
      </c>
      <c r="D461" t="s">
        <v>191</v>
      </c>
      <c r="E461" t="s">
        <v>192</v>
      </c>
      <c r="F461">
        <v>30538</v>
      </c>
    </row>
    <row r="462" ht="14.25" customHeight="1">
      <c r="A462" t="s">
        <v>79</v>
      </c>
      <c r="B462" t="s">
        <v>255</v>
      </c>
      <c r="C462" t="s">
        <v>210</v>
      </c>
      <c r="D462" t="s">
        <v>191</v>
      </c>
      <c r="E462" t="s">
        <v>192</v>
      </c>
      <c r="F462">
        <v>25169</v>
      </c>
    </row>
    <row r="463" ht="14.25" customHeight="1">
      <c r="A463" t="s">
        <v>81</v>
      </c>
      <c r="B463" t="s">
        <v>255</v>
      </c>
      <c r="C463" t="s">
        <v>210</v>
      </c>
      <c r="D463" t="s">
        <v>191</v>
      </c>
      <c r="E463" t="s">
        <v>192</v>
      </c>
      <c r="F463">
        <v>22023</v>
      </c>
    </row>
    <row r="464" ht="14.25" customHeight="1">
      <c r="A464" t="s">
        <v>83</v>
      </c>
      <c r="B464" t="s">
        <v>255</v>
      </c>
      <c r="C464" t="s">
        <v>210</v>
      </c>
      <c r="D464" t="s">
        <v>191</v>
      </c>
      <c r="E464" t="s">
        <v>192</v>
      </c>
      <c r="F464">
        <v>50967</v>
      </c>
    </row>
    <row r="465" ht="14.25" customHeight="1">
      <c r="A465" t="s">
        <v>84</v>
      </c>
      <c r="B465" t="s">
        <v>255</v>
      </c>
      <c r="C465" t="s">
        <v>210</v>
      </c>
      <c r="D465" t="s">
        <v>191</v>
      </c>
      <c r="E465" t="s">
        <v>192</v>
      </c>
      <c r="F465">
        <v>19296</v>
      </c>
    </row>
    <row r="466" ht="14.25" customHeight="1">
      <c r="A466" t="s">
        <v>86</v>
      </c>
      <c r="B466" t="s">
        <v>255</v>
      </c>
      <c r="C466" t="s">
        <v>210</v>
      </c>
      <c r="D466" t="s">
        <v>191</v>
      </c>
      <c r="E466" t="s">
        <v>192</v>
      </c>
      <c r="F466">
        <v>18877</v>
      </c>
    </row>
    <row r="467" ht="14.25" customHeight="1">
      <c r="A467" t="s">
        <v>88</v>
      </c>
      <c r="B467" t="s">
        <v>255</v>
      </c>
      <c r="C467" t="s">
        <v>210</v>
      </c>
      <c r="D467" t="s">
        <v>191</v>
      </c>
      <c r="E467" t="s">
        <v>192</v>
      </c>
      <c r="F467">
        <v>12585</v>
      </c>
    </row>
    <row r="468" ht="14.25" customHeight="1">
      <c r="A468" t="s">
        <v>90</v>
      </c>
      <c r="B468" t="s">
        <v>255</v>
      </c>
      <c r="C468" t="s">
        <v>210</v>
      </c>
      <c r="D468" t="s">
        <v>191</v>
      </c>
      <c r="E468" t="s">
        <v>192</v>
      </c>
      <c r="F468">
        <v>11074</v>
      </c>
    </row>
    <row r="469" ht="14.25" customHeight="1">
      <c r="A469" t="s">
        <v>92</v>
      </c>
      <c r="B469" t="s">
        <v>255</v>
      </c>
      <c r="C469" t="s">
        <v>210</v>
      </c>
      <c r="D469" t="s">
        <v>191</v>
      </c>
      <c r="E469" t="s">
        <v>192</v>
      </c>
      <c r="F469">
        <v>11074</v>
      </c>
    </row>
    <row r="470" ht="14.25" customHeight="1">
      <c r="A470" t="s">
        <v>94</v>
      </c>
      <c r="B470" t="s">
        <v>255</v>
      </c>
      <c r="C470" t="s">
        <v>210</v>
      </c>
      <c r="D470" t="s">
        <v>191</v>
      </c>
      <c r="E470" t="s">
        <v>192</v>
      </c>
      <c r="F470">
        <v>18793</v>
      </c>
    </row>
    <row r="471" ht="14.25" customHeight="1">
      <c r="A471" t="s">
        <v>95</v>
      </c>
      <c r="B471" t="s">
        <v>255</v>
      </c>
      <c r="C471" t="s">
        <v>210</v>
      </c>
      <c r="D471" t="s">
        <v>191</v>
      </c>
      <c r="E471" t="s">
        <v>192</v>
      </c>
      <c r="F471">
        <v>17618</v>
      </c>
    </row>
    <row r="472" ht="14.25" customHeight="1">
      <c r="A472" t="s">
        <v>96</v>
      </c>
      <c r="B472" t="s">
        <v>255</v>
      </c>
      <c r="C472" t="s">
        <v>210</v>
      </c>
      <c r="D472" t="s">
        <v>191</v>
      </c>
      <c r="E472" t="s">
        <v>192</v>
      </c>
      <c r="F472">
        <v>20387</v>
      </c>
    </row>
    <row r="473" ht="14.25" customHeight="1">
      <c r="A473" t="s">
        <v>97</v>
      </c>
      <c r="B473" t="s">
        <v>255</v>
      </c>
      <c r="C473" t="s">
        <v>210</v>
      </c>
      <c r="D473" t="s">
        <v>191</v>
      </c>
      <c r="E473" t="s">
        <v>192</v>
      </c>
      <c r="F473">
        <v>14095</v>
      </c>
    </row>
    <row r="474" ht="14.25" customHeight="1">
      <c r="A474" t="s">
        <v>75</v>
      </c>
      <c r="B474" t="s">
        <v>255</v>
      </c>
      <c r="C474" t="s">
        <v>25</v>
      </c>
      <c r="D474" t="s">
        <v>191</v>
      </c>
      <c r="E474" t="s">
        <v>192</v>
      </c>
      <c r="F474">
        <v>53400</v>
      </c>
    </row>
    <row r="475" ht="14.25" customHeight="1">
      <c r="A475" t="s">
        <v>77</v>
      </c>
      <c r="B475" t="s">
        <v>255</v>
      </c>
      <c r="C475" t="s">
        <v>25</v>
      </c>
      <c r="D475" t="s">
        <v>191</v>
      </c>
      <c r="E475" t="s">
        <v>192</v>
      </c>
      <c r="F475">
        <v>31996</v>
      </c>
    </row>
    <row r="476" ht="14.25" customHeight="1">
      <c r="A476" t="s">
        <v>79</v>
      </c>
      <c r="B476" t="s">
        <v>255</v>
      </c>
      <c r="C476" t="s">
        <v>25</v>
      </c>
      <c r="D476" t="s">
        <v>191</v>
      </c>
      <c r="E476" t="s">
        <v>192</v>
      </c>
      <c r="F476">
        <v>26370</v>
      </c>
    </row>
    <row r="477" ht="14.25" customHeight="1">
      <c r="A477" t="s">
        <v>81</v>
      </c>
      <c r="B477" t="s">
        <v>255</v>
      </c>
      <c r="C477" t="s">
        <v>25</v>
      </c>
      <c r="D477" t="s">
        <v>191</v>
      </c>
      <c r="E477" t="s">
        <v>192</v>
      </c>
      <c r="F477">
        <v>23074</v>
      </c>
    </row>
    <row r="478" ht="14.25" customHeight="1">
      <c r="A478" t="s">
        <v>83</v>
      </c>
      <c r="B478" t="s">
        <v>255</v>
      </c>
      <c r="C478" t="s">
        <v>25</v>
      </c>
      <c r="D478" t="s">
        <v>191</v>
      </c>
      <c r="E478" t="s">
        <v>192</v>
      </c>
      <c r="F478">
        <v>53400</v>
      </c>
    </row>
    <row r="479" ht="14.25" customHeight="1">
      <c r="A479" t="s">
        <v>84</v>
      </c>
      <c r="B479" t="s">
        <v>255</v>
      </c>
      <c r="C479" t="s">
        <v>25</v>
      </c>
      <c r="D479" t="s">
        <v>191</v>
      </c>
      <c r="E479" t="s">
        <v>192</v>
      </c>
      <c r="F479">
        <v>20217</v>
      </c>
    </row>
    <row r="480" ht="14.25" customHeight="1">
      <c r="A480" t="s">
        <v>86</v>
      </c>
      <c r="B480" t="s">
        <v>255</v>
      </c>
      <c r="C480" t="s">
        <v>25</v>
      </c>
      <c r="D480" t="s">
        <v>191</v>
      </c>
      <c r="E480" t="s">
        <v>192</v>
      </c>
      <c r="F480">
        <v>19778</v>
      </c>
    </row>
    <row r="481" ht="14.25" customHeight="1">
      <c r="A481" t="s">
        <v>88</v>
      </c>
      <c r="B481" t="s">
        <v>255</v>
      </c>
      <c r="C481" t="s">
        <v>25</v>
      </c>
      <c r="D481" t="s">
        <v>191</v>
      </c>
      <c r="E481" t="s">
        <v>192</v>
      </c>
      <c r="F481">
        <v>13185</v>
      </c>
    </row>
    <row r="482" ht="14.25" customHeight="1">
      <c r="A482" t="s">
        <v>90</v>
      </c>
      <c r="B482" t="s">
        <v>255</v>
      </c>
      <c r="C482" t="s">
        <v>25</v>
      </c>
      <c r="D482" t="s">
        <v>191</v>
      </c>
      <c r="E482" t="s">
        <v>192</v>
      </c>
      <c r="F482">
        <v>11603</v>
      </c>
    </row>
    <row r="483" ht="14.25" customHeight="1">
      <c r="A483" t="s">
        <v>92</v>
      </c>
      <c r="B483" t="s">
        <v>255</v>
      </c>
      <c r="C483" t="s">
        <v>25</v>
      </c>
      <c r="D483" t="s">
        <v>191</v>
      </c>
      <c r="E483" t="s">
        <v>192</v>
      </c>
      <c r="F483">
        <v>11603</v>
      </c>
    </row>
    <row r="484" ht="14.25" customHeight="1">
      <c r="A484" t="s">
        <v>94</v>
      </c>
      <c r="B484" t="s">
        <v>255</v>
      </c>
      <c r="C484" t="s">
        <v>25</v>
      </c>
      <c r="D484" t="s">
        <v>191</v>
      </c>
      <c r="E484" t="s">
        <v>192</v>
      </c>
      <c r="F484">
        <v>19690</v>
      </c>
    </row>
    <row r="485" ht="14.25" customHeight="1">
      <c r="A485" t="s">
        <v>95</v>
      </c>
      <c r="B485" t="s">
        <v>255</v>
      </c>
      <c r="C485" t="s">
        <v>25</v>
      </c>
      <c r="D485" t="s">
        <v>191</v>
      </c>
      <c r="E485" t="s">
        <v>192</v>
      </c>
      <c r="F485">
        <v>18459</v>
      </c>
    </row>
    <row r="486" ht="14.25" customHeight="1">
      <c r="A486" t="s">
        <v>96</v>
      </c>
      <c r="B486" t="s">
        <v>255</v>
      </c>
      <c r="C486" t="s">
        <v>25</v>
      </c>
      <c r="D486" t="s">
        <v>191</v>
      </c>
      <c r="E486" t="s">
        <v>192</v>
      </c>
      <c r="F486">
        <v>21360</v>
      </c>
    </row>
    <row r="487" ht="14.25" customHeight="1">
      <c r="A487" t="s">
        <v>97</v>
      </c>
      <c r="B487" t="s">
        <v>255</v>
      </c>
      <c r="C487" t="s">
        <v>25</v>
      </c>
      <c r="D487" t="s">
        <v>191</v>
      </c>
      <c r="E487" t="s">
        <v>192</v>
      </c>
      <c r="F487">
        <v>14767</v>
      </c>
    </row>
    <row r="488" ht="14.25" customHeight="1">
      <c r="A488" t="s">
        <v>75</v>
      </c>
      <c r="B488" t="s">
        <v>256</v>
      </c>
      <c r="C488" t="s">
        <v>211</v>
      </c>
      <c r="D488" t="s">
        <v>191</v>
      </c>
      <c r="E488" t="s">
        <v>192</v>
      </c>
      <c r="F488">
        <v>35430</v>
      </c>
    </row>
    <row r="489" ht="14.25" customHeight="1">
      <c r="A489" t="s">
        <v>77</v>
      </c>
      <c r="B489" t="s">
        <v>256</v>
      </c>
      <c r="C489" t="s">
        <v>211</v>
      </c>
      <c r="D489" t="s">
        <v>191</v>
      </c>
      <c r="E489" t="s">
        <v>192</v>
      </c>
      <c r="F489">
        <v>20776</v>
      </c>
    </row>
    <row r="490" ht="14.25" customHeight="1">
      <c r="A490" t="s">
        <v>79</v>
      </c>
      <c r="B490" t="s">
        <v>256</v>
      </c>
      <c r="C490" t="s">
        <v>211</v>
      </c>
      <c r="D490" t="s">
        <v>191</v>
      </c>
      <c r="E490" t="s">
        <v>192</v>
      </c>
      <c r="F490">
        <v>16832</v>
      </c>
    </row>
    <row r="491" ht="14.25" customHeight="1">
      <c r="A491" t="s">
        <v>81</v>
      </c>
      <c r="B491" t="s">
        <v>256</v>
      </c>
      <c r="C491" t="s">
        <v>211</v>
      </c>
      <c r="D491" t="s">
        <v>191</v>
      </c>
      <c r="E491" t="s">
        <v>192</v>
      </c>
      <c r="F491">
        <v>14969</v>
      </c>
    </row>
    <row r="492" ht="14.25" customHeight="1">
      <c r="A492" t="s">
        <v>83</v>
      </c>
      <c r="B492" t="s">
        <v>256</v>
      </c>
      <c r="C492" t="s">
        <v>211</v>
      </c>
      <c r="D492" t="s">
        <v>191</v>
      </c>
      <c r="E492" t="s">
        <v>192</v>
      </c>
      <c r="F492">
        <v>32833</v>
      </c>
    </row>
    <row r="493" ht="14.25" customHeight="1">
      <c r="A493" t="s">
        <v>84</v>
      </c>
      <c r="B493" t="s">
        <v>256</v>
      </c>
      <c r="C493" t="s">
        <v>211</v>
      </c>
      <c r="D493" t="s">
        <v>191</v>
      </c>
      <c r="E493" t="s">
        <v>192</v>
      </c>
      <c r="F493">
        <v>12852</v>
      </c>
    </row>
    <row r="494" ht="14.25" customHeight="1">
      <c r="A494" t="s">
        <v>86</v>
      </c>
      <c r="B494" t="s">
        <v>256</v>
      </c>
      <c r="C494" t="s">
        <v>211</v>
      </c>
      <c r="D494" t="s">
        <v>191</v>
      </c>
      <c r="E494" t="s">
        <v>192</v>
      </c>
      <c r="F494">
        <v>11903</v>
      </c>
    </row>
    <row r="495" ht="14.25" customHeight="1">
      <c r="A495" t="s">
        <v>88</v>
      </c>
      <c r="B495" t="s">
        <v>256</v>
      </c>
      <c r="C495" t="s">
        <v>211</v>
      </c>
      <c r="D495" t="s">
        <v>191</v>
      </c>
      <c r="E495" t="s">
        <v>192</v>
      </c>
      <c r="F495">
        <v>8302</v>
      </c>
    </row>
    <row r="496" ht="14.25" customHeight="1">
      <c r="A496" t="s">
        <v>90</v>
      </c>
      <c r="B496" t="s">
        <v>256</v>
      </c>
      <c r="C496" t="s">
        <v>211</v>
      </c>
      <c r="D496" t="s">
        <v>191</v>
      </c>
      <c r="E496" t="s">
        <v>192</v>
      </c>
      <c r="F496">
        <v>5895</v>
      </c>
    </row>
    <row r="497" ht="14.25" customHeight="1">
      <c r="A497" t="s">
        <v>92</v>
      </c>
      <c r="B497" t="s">
        <v>256</v>
      </c>
      <c r="C497" t="s">
        <v>211</v>
      </c>
      <c r="D497" t="s">
        <v>191</v>
      </c>
      <c r="E497" t="s">
        <v>192</v>
      </c>
      <c r="F497">
        <v>5895</v>
      </c>
    </row>
    <row r="498" ht="14.25" customHeight="1">
      <c r="A498" t="s">
        <v>94</v>
      </c>
      <c r="B498" t="s">
        <v>256</v>
      </c>
      <c r="C498" t="s">
        <v>211</v>
      </c>
      <c r="D498" t="s">
        <v>191</v>
      </c>
      <c r="E498" t="s">
        <v>192</v>
      </c>
      <c r="F498">
        <v>11670</v>
      </c>
    </row>
    <row r="499" ht="14.25" customHeight="1">
      <c r="A499" t="s">
        <v>95</v>
      </c>
      <c r="B499" t="s">
        <v>256</v>
      </c>
      <c r="C499" t="s">
        <v>211</v>
      </c>
      <c r="D499" t="s">
        <v>191</v>
      </c>
      <c r="E499" t="s">
        <v>192</v>
      </c>
      <c r="F499">
        <v>8536</v>
      </c>
    </row>
    <row r="500" ht="14.25" customHeight="1">
      <c r="A500" t="s">
        <v>96</v>
      </c>
      <c r="B500" t="s">
        <v>256</v>
      </c>
      <c r="C500" t="s">
        <v>211</v>
      </c>
      <c r="D500" t="s">
        <v>191</v>
      </c>
      <c r="E500" t="s">
        <v>192</v>
      </c>
      <c r="F500">
        <v>12799</v>
      </c>
    </row>
    <row r="501" ht="14.25" customHeight="1">
      <c r="A501" t="s">
        <v>97</v>
      </c>
      <c r="B501" t="s">
        <v>256</v>
      </c>
      <c r="C501" t="s">
        <v>211</v>
      </c>
      <c r="D501" t="s">
        <v>191</v>
      </c>
      <c r="E501" t="s">
        <v>192</v>
      </c>
      <c r="F501">
        <v>7502</v>
      </c>
    </row>
    <row r="502" ht="14.25" customHeight="1">
      <c r="A502" t="s">
        <v>75</v>
      </c>
      <c r="B502" t="s">
        <v>256</v>
      </c>
      <c r="C502" t="s">
        <v>210</v>
      </c>
      <c r="D502" t="s">
        <v>191</v>
      </c>
      <c r="E502" t="s">
        <v>192</v>
      </c>
      <c r="F502">
        <v>37054</v>
      </c>
    </row>
    <row r="503" ht="14.25" customHeight="1">
      <c r="A503" t="s">
        <v>77</v>
      </c>
      <c r="B503" t="s">
        <v>256</v>
      </c>
      <c r="C503" t="s">
        <v>210</v>
      </c>
      <c r="D503" t="s">
        <v>191</v>
      </c>
      <c r="E503" t="s">
        <v>192</v>
      </c>
      <c r="F503">
        <v>21728</v>
      </c>
    </row>
    <row r="504" ht="14.25" customHeight="1">
      <c r="A504" t="s">
        <v>79</v>
      </c>
      <c r="B504" t="s">
        <v>256</v>
      </c>
      <c r="C504" t="s">
        <v>210</v>
      </c>
      <c r="D504" t="s">
        <v>191</v>
      </c>
      <c r="E504" t="s">
        <v>192</v>
      </c>
      <c r="F504">
        <v>17604</v>
      </c>
    </row>
    <row r="505" ht="14.25" customHeight="1">
      <c r="A505" t="s">
        <v>81</v>
      </c>
      <c r="B505" t="s">
        <v>256</v>
      </c>
      <c r="C505" t="s">
        <v>210</v>
      </c>
      <c r="D505" t="s">
        <v>191</v>
      </c>
      <c r="E505" t="s">
        <v>192</v>
      </c>
      <c r="F505">
        <v>15655</v>
      </c>
    </row>
    <row r="506" ht="14.25" customHeight="1">
      <c r="A506" t="s">
        <v>83</v>
      </c>
      <c r="B506" t="s">
        <v>256</v>
      </c>
      <c r="C506" t="s">
        <v>210</v>
      </c>
      <c r="D506" t="s">
        <v>191</v>
      </c>
      <c r="E506" t="s">
        <v>192</v>
      </c>
      <c r="F506">
        <v>34338</v>
      </c>
    </row>
    <row r="507" ht="14.25" customHeight="1">
      <c r="A507" t="s">
        <v>84</v>
      </c>
      <c r="B507" t="s">
        <v>256</v>
      </c>
      <c r="C507" t="s">
        <v>210</v>
      </c>
      <c r="D507" t="s">
        <v>191</v>
      </c>
      <c r="E507" t="s">
        <v>192</v>
      </c>
      <c r="F507">
        <v>13441</v>
      </c>
    </row>
    <row r="508" ht="14.25" customHeight="1">
      <c r="A508" t="s">
        <v>86</v>
      </c>
      <c r="B508" t="s">
        <v>256</v>
      </c>
      <c r="C508" t="s">
        <v>210</v>
      </c>
      <c r="D508" t="s">
        <v>191</v>
      </c>
      <c r="E508" t="s">
        <v>192</v>
      </c>
      <c r="F508">
        <v>12448</v>
      </c>
    </row>
    <row r="509" ht="14.25" customHeight="1">
      <c r="A509" t="s">
        <v>88</v>
      </c>
      <c r="B509" t="s">
        <v>256</v>
      </c>
      <c r="C509" t="s">
        <v>210</v>
      </c>
      <c r="D509" t="s">
        <v>191</v>
      </c>
      <c r="E509" t="s">
        <v>192</v>
      </c>
      <c r="F509">
        <v>8682</v>
      </c>
    </row>
    <row r="510" ht="14.25" customHeight="1">
      <c r="A510" t="s">
        <v>90</v>
      </c>
      <c r="B510" t="s">
        <v>256</v>
      </c>
      <c r="C510" t="s">
        <v>210</v>
      </c>
      <c r="D510" t="s">
        <v>191</v>
      </c>
      <c r="E510" t="s">
        <v>192</v>
      </c>
      <c r="F510">
        <v>6165</v>
      </c>
    </row>
    <row r="511" ht="14.25" customHeight="1">
      <c r="A511" t="s">
        <v>92</v>
      </c>
      <c r="B511" t="s">
        <v>256</v>
      </c>
      <c r="C511" t="s">
        <v>210</v>
      </c>
      <c r="D511" t="s">
        <v>191</v>
      </c>
      <c r="E511" t="s">
        <v>192</v>
      </c>
      <c r="F511">
        <v>6165</v>
      </c>
    </row>
    <row r="512" ht="14.25" customHeight="1">
      <c r="A512" t="s">
        <v>94</v>
      </c>
      <c r="B512" t="s">
        <v>256</v>
      </c>
      <c r="C512" t="s">
        <v>210</v>
      </c>
      <c r="D512" t="s">
        <v>191</v>
      </c>
      <c r="E512" t="s">
        <v>192</v>
      </c>
      <c r="F512">
        <v>12205</v>
      </c>
    </row>
    <row r="513" ht="14.25" customHeight="1">
      <c r="A513" t="s">
        <v>95</v>
      </c>
      <c r="B513" t="s">
        <v>256</v>
      </c>
      <c r="C513" t="s">
        <v>210</v>
      </c>
      <c r="D513" t="s">
        <v>191</v>
      </c>
      <c r="E513" t="s">
        <v>192</v>
      </c>
      <c r="F513">
        <v>8928</v>
      </c>
    </row>
    <row r="514" ht="14.25" customHeight="1">
      <c r="A514" t="s">
        <v>96</v>
      </c>
      <c r="B514" t="s">
        <v>256</v>
      </c>
      <c r="C514" t="s">
        <v>210</v>
      </c>
      <c r="D514" t="s">
        <v>191</v>
      </c>
      <c r="E514" t="s">
        <v>192</v>
      </c>
      <c r="F514">
        <v>13386</v>
      </c>
    </row>
    <row r="515" ht="14.25" customHeight="1">
      <c r="A515" t="s">
        <v>97</v>
      </c>
      <c r="B515" t="s">
        <v>256</v>
      </c>
      <c r="C515" t="s">
        <v>210</v>
      </c>
      <c r="D515" t="s">
        <v>191</v>
      </c>
      <c r="E515" t="s">
        <v>192</v>
      </c>
      <c r="F515">
        <v>7846</v>
      </c>
    </row>
    <row r="516" ht="14.25" customHeight="1">
      <c r="A516" t="s">
        <v>75</v>
      </c>
      <c r="B516" t="s">
        <v>256</v>
      </c>
      <c r="C516" t="s">
        <v>25</v>
      </c>
      <c r="D516" t="s">
        <v>191</v>
      </c>
      <c r="E516" t="s">
        <v>192</v>
      </c>
      <c r="F516">
        <v>38822</v>
      </c>
    </row>
    <row r="517" ht="14.25" customHeight="1">
      <c r="A517" t="s">
        <v>77</v>
      </c>
      <c r="B517" t="s">
        <v>256</v>
      </c>
      <c r="C517" t="s">
        <v>25</v>
      </c>
      <c r="D517" t="s">
        <v>191</v>
      </c>
      <c r="E517" t="s">
        <v>192</v>
      </c>
      <c r="F517">
        <v>22765</v>
      </c>
    </row>
    <row r="518" ht="14.25" customHeight="1">
      <c r="A518" t="s">
        <v>79</v>
      </c>
      <c r="B518" t="s">
        <v>256</v>
      </c>
      <c r="C518" t="s">
        <v>25</v>
      </c>
      <c r="D518" t="s">
        <v>191</v>
      </c>
      <c r="E518" t="s">
        <v>192</v>
      </c>
      <c r="F518">
        <v>18444</v>
      </c>
    </row>
    <row r="519" ht="14.25" customHeight="1">
      <c r="A519" t="s">
        <v>81</v>
      </c>
      <c r="B519" t="s">
        <v>256</v>
      </c>
      <c r="C519" t="s">
        <v>25</v>
      </c>
      <c r="D519" t="s">
        <v>191</v>
      </c>
      <c r="E519" t="s">
        <v>192</v>
      </c>
      <c r="F519">
        <v>16402</v>
      </c>
    </row>
    <row r="520" ht="14.25" customHeight="1">
      <c r="A520" t="s">
        <v>83</v>
      </c>
      <c r="B520" t="s">
        <v>256</v>
      </c>
      <c r="C520" t="s">
        <v>25</v>
      </c>
      <c r="D520" t="s">
        <v>191</v>
      </c>
      <c r="E520" t="s">
        <v>192</v>
      </c>
      <c r="F520">
        <v>35977</v>
      </c>
    </row>
    <row r="521" ht="14.25" customHeight="1">
      <c r="A521" t="s">
        <v>84</v>
      </c>
      <c r="B521" t="s">
        <v>256</v>
      </c>
      <c r="C521" t="s">
        <v>25</v>
      </c>
      <c r="D521" t="s">
        <v>191</v>
      </c>
      <c r="E521" t="s">
        <v>192</v>
      </c>
      <c r="F521">
        <v>14083</v>
      </c>
    </row>
    <row r="522" ht="14.25" customHeight="1">
      <c r="A522" t="s">
        <v>86</v>
      </c>
      <c r="B522" t="s">
        <v>256</v>
      </c>
      <c r="C522" t="s">
        <v>25</v>
      </c>
      <c r="D522" t="s">
        <v>191</v>
      </c>
      <c r="E522" t="s">
        <v>192</v>
      </c>
      <c r="F522">
        <v>13042</v>
      </c>
    </row>
    <row r="523" ht="14.25" customHeight="1">
      <c r="A523" t="s">
        <v>88</v>
      </c>
      <c r="B523" t="s">
        <v>256</v>
      </c>
      <c r="C523" t="s">
        <v>25</v>
      </c>
      <c r="D523" t="s">
        <v>191</v>
      </c>
      <c r="E523" t="s">
        <v>192</v>
      </c>
      <c r="F523">
        <v>9096</v>
      </c>
    </row>
    <row r="524" ht="14.25" customHeight="1">
      <c r="A524" t="s">
        <v>90</v>
      </c>
      <c r="B524" t="s">
        <v>256</v>
      </c>
      <c r="C524" t="s">
        <v>25</v>
      </c>
      <c r="D524" t="s">
        <v>191</v>
      </c>
      <c r="E524" t="s">
        <v>192</v>
      </c>
      <c r="F524">
        <v>6459</v>
      </c>
    </row>
    <row r="525" ht="14.25" customHeight="1">
      <c r="A525" t="s">
        <v>92</v>
      </c>
      <c r="B525" t="s">
        <v>256</v>
      </c>
      <c r="C525" t="s">
        <v>25</v>
      </c>
      <c r="D525" t="s">
        <v>191</v>
      </c>
      <c r="E525" t="s">
        <v>192</v>
      </c>
      <c r="F525">
        <v>6459</v>
      </c>
    </row>
    <row r="526" ht="14.25" customHeight="1">
      <c r="A526" t="s">
        <v>94</v>
      </c>
      <c r="B526" t="s">
        <v>256</v>
      </c>
      <c r="C526" t="s">
        <v>25</v>
      </c>
      <c r="D526" t="s">
        <v>191</v>
      </c>
      <c r="E526" t="s">
        <v>192</v>
      </c>
      <c r="F526">
        <v>12788</v>
      </c>
    </row>
    <row r="527" ht="14.25" customHeight="1">
      <c r="A527" t="s">
        <v>95</v>
      </c>
      <c r="B527" t="s">
        <v>256</v>
      </c>
      <c r="C527" t="s">
        <v>25</v>
      </c>
      <c r="D527" t="s">
        <v>191</v>
      </c>
      <c r="E527" t="s">
        <v>192</v>
      </c>
      <c r="F527">
        <v>9354</v>
      </c>
    </row>
    <row r="528" ht="14.25" customHeight="1">
      <c r="A528" t="s">
        <v>96</v>
      </c>
      <c r="B528" t="s">
        <v>256</v>
      </c>
      <c r="C528" t="s">
        <v>25</v>
      </c>
      <c r="D528" t="s">
        <v>191</v>
      </c>
      <c r="E528" t="s">
        <v>192</v>
      </c>
      <c r="F528">
        <v>14025</v>
      </c>
    </row>
    <row r="529" ht="14.25" customHeight="1">
      <c r="A529" t="s">
        <v>97</v>
      </c>
      <c r="B529" t="s">
        <v>256</v>
      </c>
      <c r="C529" t="s">
        <v>25</v>
      </c>
      <c r="D529" t="s">
        <v>191</v>
      </c>
      <c r="E529" t="s">
        <v>192</v>
      </c>
      <c r="F529">
        <v>8221</v>
      </c>
    </row>
    <row r="530" ht="14.25" customHeight="1">
      <c r="A530" t="s">
        <v>251</v>
      </c>
      <c r="B530" t="s">
        <v>257</v>
      </c>
      <c r="C530" t="s">
        <v>211</v>
      </c>
      <c r="D530" t="s">
        <v>191</v>
      </c>
      <c r="E530" t="s">
        <v>192</v>
      </c>
      <c r="F530">
        <v>515487</v>
      </c>
    </row>
    <row r="531" ht="14.25" customHeight="1">
      <c r="A531" t="s">
        <v>251</v>
      </c>
      <c r="B531" t="s">
        <v>257</v>
      </c>
      <c r="C531" t="s">
        <v>210</v>
      </c>
      <c r="D531" t="s">
        <v>191</v>
      </c>
      <c r="E531" t="s">
        <v>192</v>
      </c>
      <c r="F531">
        <v>539108</v>
      </c>
    </row>
    <row r="532" ht="14.25" customHeight="1">
      <c r="A532" t="s">
        <v>251</v>
      </c>
      <c r="B532" t="s">
        <v>257</v>
      </c>
      <c r="C532" t="s">
        <v>25</v>
      </c>
      <c r="D532" t="s">
        <v>191</v>
      </c>
      <c r="E532" t="s">
        <v>192</v>
      </c>
      <c r="F532">
        <v>564841</v>
      </c>
    </row>
    <row r="533" ht="14.25" customHeight="1">
      <c r="A533" t="s">
        <v>251</v>
      </c>
      <c r="B533" t="s">
        <v>258</v>
      </c>
      <c r="C533" t="s">
        <v>211</v>
      </c>
      <c r="D533" t="s">
        <v>191</v>
      </c>
      <c r="E533" t="s">
        <v>192</v>
      </c>
      <c r="F533">
        <v>499926</v>
      </c>
    </row>
    <row r="534" ht="14.25" customHeight="1">
      <c r="A534" t="s">
        <v>251</v>
      </c>
      <c r="B534" t="s">
        <v>258</v>
      </c>
      <c r="C534" t="s">
        <v>210</v>
      </c>
      <c r="D534" t="s">
        <v>191</v>
      </c>
      <c r="E534" t="s">
        <v>192</v>
      </c>
      <c r="F534">
        <v>580167</v>
      </c>
    </row>
    <row r="535" ht="14.25" customHeight="1">
      <c r="A535" t="s">
        <v>251</v>
      </c>
      <c r="B535" t="s">
        <v>258</v>
      </c>
      <c r="C535" t="s">
        <v>25</v>
      </c>
      <c r="D535" t="s">
        <v>191</v>
      </c>
      <c r="E535" t="s">
        <v>192</v>
      </c>
      <c r="F535">
        <v>676344</v>
      </c>
    </row>
    <row r="536" ht="14.25" customHeight="1">
      <c r="A536" t="s">
        <v>75</v>
      </c>
      <c r="B536" t="s">
        <v>259</v>
      </c>
      <c r="C536" t="s">
        <v>211</v>
      </c>
      <c r="D536" t="s">
        <v>191</v>
      </c>
      <c r="E536" t="s">
        <v>192</v>
      </c>
      <c r="F536">
        <v>53145</v>
      </c>
    </row>
    <row r="537" ht="14.25" customHeight="1">
      <c r="A537" t="s">
        <v>77</v>
      </c>
      <c r="B537" t="s">
        <v>259</v>
      </c>
      <c r="C537" t="s">
        <v>211</v>
      </c>
      <c r="D537" t="s">
        <v>191</v>
      </c>
      <c r="E537" t="s">
        <v>192</v>
      </c>
      <c r="F537">
        <v>31164</v>
      </c>
    </row>
    <row r="538" ht="14.25" customHeight="1">
      <c r="A538" t="s">
        <v>79</v>
      </c>
      <c r="B538" t="s">
        <v>259</v>
      </c>
      <c r="C538" t="s">
        <v>211</v>
      </c>
      <c r="D538" t="s">
        <v>191</v>
      </c>
      <c r="E538" t="s">
        <v>192</v>
      </c>
      <c r="F538">
        <v>25248</v>
      </c>
    </row>
    <row r="539" ht="14.25" customHeight="1">
      <c r="A539" t="s">
        <v>81</v>
      </c>
      <c r="B539" t="s">
        <v>259</v>
      </c>
      <c r="C539" t="s">
        <v>211</v>
      </c>
      <c r="D539" t="s">
        <v>191</v>
      </c>
      <c r="E539" t="s">
        <v>192</v>
      </c>
      <c r="F539">
        <v>22453</v>
      </c>
    </row>
    <row r="540" ht="14.25" customHeight="1">
      <c r="A540" t="s">
        <v>83</v>
      </c>
      <c r="B540" t="s">
        <v>259</v>
      </c>
      <c r="C540" t="s">
        <v>211</v>
      </c>
      <c r="D540" t="s">
        <v>191</v>
      </c>
      <c r="E540" t="s">
        <v>192</v>
      </c>
      <c r="F540">
        <v>49250</v>
      </c>
    </row>
    <row r="541" ht="14.25" customHeight="1">
      <c r="A541" t="s">
        <v>84</v>
      </c>
      <c r="B541" t="s">
        <v>259</v>
      </c>
      <c r="C541" t="s">
        <v>211</v>
      </c>
      <c r="D541" t="s">
        <v>191</v>
      </c>
      <c r="E541" t="s">
        <v>192</v>
      </c>
      <c r="F541">
        <v>19278</v>
      </c>
    </row>
    <row r="542" ht="14.25" customHeight="1">
      <c r="A542" t="s">
        <v>86</v>
      </c>
      <c r="B542" t="s">
        <v>259</v>
      </c>
      <c r="C542" t="s">
        <v>211</v>
      </c>
      <c r="D542" t="s">
        <v>191</v>
      </c>
      <c r="E542" t="s">
        <v>192</v>
      </c>
      <c r="F542">
        <v>17854</v>
      </c>
    </row>
    <row r="543" ht="14.25" customHeight="1">
      <c r="A543" t="s">
        <v>88</v>
      </c>
      <c r="B543" t="s">
        <v>259</v>
      </c>
      <c r="C543" t="s">
        <v>211</v>
      </c>
      <c r="D543" t="s">
        <v>191</v>
      </c>
      <c r="E543" t="s">
        <v>192</v>
      </c>
      <c r="F543">
        <v>12452</v>
      </c>
    </row>
    <row r="544" ht="14.25" customHeight="1">
      <c r="A544" t="s">
        <v>90</v>
      </c>
      <c r="B544" t="s">
        <v>259</v>
      </c>
      <c r="C544" t="s">
        <v>211</v>
      </c>
      <c r="D544" t="s">
        <v>191</v>
      </c>
      <c r="E544" t="s">
        <v>192</v>
      </c>
      <c r="F544">
        <v>8842</v>
      </c>
    </row>
    <row r="545" ht="14.25" customHeight="1">
      <c r="A545" t="s">
        <v>92</v>
      </c>
      <c r="B545" t="s">
        <v>259</v>
      </c>
      <c r="C545" t="s">
        <v>211</v>
      </c>
      <c r="D545" t="s">
        <v>191</v>
      </c>
      <c r="E545" t="s">
        <v>192</v>
      </c>
      <c r="F545">
        <v>8842</v>
      </c>
    </row>
    <row r="546" ht="14.25" customHeight="1">
      <c r="A546" t="s">
        <v>94</v>
      </c>
      <c r="B546" t="s">
        <v>259</v>
      </c>
      <c r="C546" t="s">
        <v>211</v>
      </c>
      <c r="D546" t="s">
        <v>191</v>
      </c>
      <c r="E546" t="s">
        <v>192</v>
      </c>
      <c r="F546">
        <v>17506</v>
      </c>
    </row>
    <row r="547" ht="14.25" customHeight="1">
      <c r="A547" t="s">
        <v>95</v>
      </c>
      <c r="B547" t="s">
        <v>259</v>
      </c>
      <c r="C547" t="s">
        <v>211</v>
      </c>
      <c r="D547" t="s">
        <v>191</v>
      </c>
      <c r="E547" t="s">
        <v>192</v>
      </c>
      <c r="F547">
        <v>12805</v>
      </c>
    </row>
    <row r="548" ht="14.25" customHeight="1">
      <c r="A548" t="s">
        <v>96</v>
      </c>
      <c r="B548" t="s">
        <v>259</v>
      </c>
      <c r="C548" t="s">
        <v>211</v>
      </c>
      <c r="D548" t="s">
        <v>191</v>
      </c>
      <c r="E548" t="s">
        <v>192</v>
      </c>
      <c r="F548">
        <v>19199</v>
      </c>
    </row>
    <row r="549" ht="14.25" customHeight="1">
      <c r="A549" t="s">
        <v>97</v>
      </c>
      <c r="B549" t="s">
        <v>259</v>
      </c>
      <c r="C549" t="s">
        <v>211</v>
      </c>
      <c r="D549" t="s">
        <v>191</v>
      </c>
      <c r="E549" t="s">
        <v>192</v>
      </c>
      <c r="F549">
        <v>11254</v>
      </c>
    </row>
    <row r="550" ht="14.25" customHeight="1">
      <c r="A550" t="s">
        <v>75</v>
      </c>
      <c r="B550" t="s">
        <v>259</v>
      </c>
      <c r="C550" t="s">
        <v>210</v>
      </c>
      <c r="D550" t="s">
        <v>191</v>
      </c>
      <c r="E550" t="s">
        <v>192</v>
      </c>
      <c r="F550">
        <v>55581</v>
      </c>
    </row>
    <row r="551" ht="14.25" customHeight="1">
      <c r="A551" t="s">
        <v>77</v>
      </c>
      <c r="B551" t="s">
        <v>259</v>
      </c>
      <c r="C551" t="s">
        <v>210</v>
      </c>
      <c r="D551" t="s">
        <v>191</v>
      </c>
      <c r="E551" t="s">
        <v>192</v>
      </c>
      <c r="F551">
        <v>32592</v>
      </c>
    </row>
    <row r="552" ht="14.25" customHeight="1">
      <c r="A552" t="s">
        <v>79</v>
      </c>
      <c r="B552" t="s">
        <v>259</v>
      </c>
      <c r="C552" t="s">
        <v>210</v>
      </c>
      <c r="D552" t="s">
        <v>191</v>
      </c>
      <c r="E552" t="s">
        <v>192</v>
      </c>
      <c r="F552">
        <v>26405</v>
      </c>
    </row>
    <row r="553" ht="14.25" customHeight="1">
      <c r="A553" t="s">
        <v>81</v>
      </c>
      <c r="B553" t="s">
        <v>259</v>
      </c>
      <c r="C553" t="s">
        <v>210</v>
      </c>
      <c r="D553" t="s">
        <v>191</v>
      </c>
      <c r="E553" t="s">
        <v>192</v>
      </c>
      <c r="F553">
        <v>23482</v>
      </c>
    </row>
    <row r="554" ht="14.25" customHeight="1">
      <c r="A554" t="s">
        <v>83</v>
      </c>
      <c r="B554" t="s">
        <v>259</v>
      </c>
      <c r="C554" t="s">
        <v>210</v>
      </c>
      <c r="D554" t="s">
        <v>191</v>
      </c>
      <c r="E554" t="s">
        <v>192</v>
      </c>
      <c r="F554">
        <v>51507</v>
      </c>
    </row>
    <row r="555" ht="14.25" customHeight="1">
      <c r="A555" t="s">
        <v>84</v>
      </c>
      <c r="B555" t="s">
        <v>259</v>
      </c>
      <c r="C555" t="s">
        <v>210</v>
      </c>
      <c r="D555" t="s">
        <v>191</v>
      </c>
      <c r="E555" t="s">
        <v>192</v>
      </c>
      <c r="F555">
        <v>20161</v>
      </c>
    </row>
    <row r="556" ht="14.25" customHeight="1">
      <c r="A556" t="s">
        <v>86</v>
      </c>
      <c r="B556" t="s">
        <v>259</v>
      </c>
      <c r="C556" t="s">
        <v>210</v>
      </c>
      <c r="D556" t="s">
        <v>191</v>
      </c>
      <c r="E556" t="s">
        <v>192</v>
      </c>
      <c r="F556">
        <v>18672</v>
      </c>
    </row>
    <row r="557" ht="14.25" customHeight="1">
      <c r="A557" t="s">
        <v>88</v>
      </c>
      <c r="B557" t="s">
        <v>259</v>
      </c>
      <c r="C557" t="s">
        <v>210</v>
      </c>
      <c r="D557" t="s">
        <v>191</v>
      </c>
      <c r="E557" t="s">
        <v>192</v>
      </c>
      <c r="F557">
        <v>13023</v>
      </c>
    </row>
    <row r="558" ht="14.25" customHeight="1">
      <c r="A558" t="s">
        <v>90</v>
      </c>
      <c r="B558" t="s">
        <v>259</v>
      </c>
      <c r="C558" t="s">
        <v>210</v>
      </c>
      <c r="D558" t="s">
        <v>191</v>
      </c>
      <c r="E558" t="s">
        <v>192</v>
      </c>
      <c r="F558">
        <v>9247</v>
      </c>
    </row>
    <row r="559" ht="14.25" customHeight="1">
      <c r="A559" t="s">
        <v>92</v>
      </c>
      <c r="B559" t="s">
        <v>259</v>
      </c>
      <c r="C559" t="s">
        <v>210</v>
      </c>
      <c r="D559" t="s">
        <v>191</v>
      </c>
      <c r="E559" t="s">
        <v>192</v>
      </c>
      <c r="F559">
        <v>9247</v>
      </c>
    </row>
    <row r="560" ht="14.25" customHeight="1">
      <c r="A560" t="s">
        <v>94</v>
      </c>
      <c r="B560" t="s">
        <v>259</v>
      </c>
      <c r="C560" t="s">
        <v>210</v>
      </c>
      <c r="D560" t="s">
        <v>191</v>
      </c>
      <c r="E560" t="s">
        <v>192</v>
      </c>
      <c r="F560">
        <v>18308</v>
      </c>
    </row>
    <row r="561" ht="14.25" customHeight="1">
      <c r="A561" t="s">
        <v>95</v>
      </c>
      <c r="B561" t="s">
        <v>259</v>
      </c>
      <c r="C561" t="s">
        <v>210</v>
      </c>
      <c r="D561" t="s">
        <v>191</v>
      </c>
      <c r="E561" t="s">
        <v>192</v>
      </c>
      <c r="F561">
        <v>13391</v>
      </c>
    </row>
    <row r="562" ht="14.25" customHeight="1">
      <c r="A562" t="s">
        <v>96</v>
      </c>
      <c r="B562" t="s">
        <v>259</v>
      </c>
      <c r="C562" t="s">
        <v>210</v>
      </c>
      <c r="D562" t="s">
        <v>191</v>
      </c>
      <c r="E562" t="s">
        <v>192</v>
      </c>
      <c r="F562">
        <v>20079</v>
      </c>
    </row>
    <row r="563" ht="14.25" customHeight="1">
      <c r="A563" t="s">
        <v>97</v>
      </c>
      <c r="B563" t="s">
        <v>259</v>
      </c>
      <c r="C563" t="s">
        <v>210</v>
      </c>
      <c r="D563" t="s">
        <v>191</v>
      </c>
      <c r="E563" t="s">
        <v>192</v>
      </c>
      <c r="F563">
        <v>11769</v>
      </c>
    </row>
    <row r="564" ht="14.25" customHeight="1">
      <c r="A564" t="s">
        <v>75</v>
      </c>
      <c r="B564" t="s">
        <v>259</v>
      </c>
      <c r="C564" t="s">
        <v>25</v>
      </c>
      <c r="D564" t="s">
        <v>191</v>
      </c>
      <c r="E564" t="s">
        <v>192</v>
      </c>
      <c r="F564">
        <v>58234</v>
      </c>
    </row>
    <row r="565" ht="14.25" customHeight="1">
      <c r="A565" t="s">
        <v>77</v>
      </c>
      <c r="B565" t="s">
        <v>259</v>
      </c>
      <c r="C565" t="s">
        <v>25</v>
      </c>
      <c r="D565" t="s">
        <v>191</v>
      </c>
      <c r="E565" t="s">
        <v>192</v>
      </c>
      <c r="F565">
        <v>34147</v>
      </c>
    </row>
    <row r="566" ht="14.25" customHeight="1">
      <c r="A566" t="s">
        <v>79</v>
      </c>
      <c r="B566" t="s">
        <v>259</v>
      </c>
      <c r="C566" t="s">
        <v>25</v>
      </c>
      <c r="D566" t="s">
        <v>191</v>
      </c>
      <c r="E566" t="s">
        <v>192</v>
      </c>
      <c r="F566">
        <v>27666</v>
      </c>
    </row>
    <row r="567" ht="14.25" customHeight="1">
      <c r="A567" t="s">
        <v>81</v>
      </c>
      <c r="B567" t="s">
        <v>259</v>
      </c>
      <c r="C567" t="s">
        <v>25</v>
      </c>
      <c r="D567" t="s">
        <v>191</v>
      </c>
      <c r="E567" t="s">
        <v>192</v>
      </c>
      <c r="F567">
        <v>24603</v>
      </c>
    </row>
    <row r="568" ht="14.25" customHeight="1">
      <c r="A568" t="s">
        <v>83</v>
      </c>
      <c r="B568" t="s">
        <v>259</v>
      </c>
      <c r="C568" t="s">
        <v>25</v>
      </c>
      <c r="D568" t="s">
        <v>191</v>
      </c>
      <c r="E568" t="s">
        <v>192</v>
      </c>
      <c r="F568">
        <v>53965</v>
      </c>
    </row>
    <row r="569" ht="14.25" customHeight="1">
      <c r="A569" t="s">
        <v>84</v>
      </c>
      <c r="B569" t="s">
        <v>259</v>
      </c>
      <c r="C569" t="s">
        <v>25</v>
      </c>
      <c r="D569" t="s">
        <v>191</v>
      </c>
      <c r="E569" t="s">
        <v>192</v>
      </c>
      <c r="F569">
        <v>21124</v>
      </c>
    </row>
    <row r="570" ht="14.25" customHeight="1">
      <c r="A570" t="s">
        <v>86</v>
      </c>
      <c r="B570" t="s">
        <v>259</v>
      </c>
      <c r="C570" t="s">
        <v>25</v>
      </c>
      <c r="D570" t="s">
        <v>191</v>
      </c>
      <c r="E570" t="s">
        <v>192</v>
      </c>
      <c r="F570">
        <v>19564</v>
      </c>
    </row>
    <row r="571" ht="14.25" customHeight="1">
      <c r="A571" t="s">
        <v>88</v>
      </c>
      <c r="B571" t="s">
        <v>259</v>
      </c>
      <c r="C571" t="s">
        <v>25</v>
      </c>
      <c r="D571" t="s">
        <v>191</v>
      </c>
      <c r="E571" t="s">
        <v>192</v>
      </c>
      <c r="F571">
        <v>13645</v>
      </c>
    </row>
    <row r="572" ht="14.25" customHeight="1">
      <c r="A572" t="s">
        <v>90</v>
      </c>
      <c r="B572" t="s">
        <v>259</v>
      </c>
      <c r="C572" t="s">
        <v>25</v>
      </c>
      <c r="D572" t="s">
        <v>191</v>
      </c>
      <c r="E572" t="s">
        <v>192</v>
      </c>
      <c r="F572">
        <v>9689</v>
      </c>
    </row>
    <row r="573" ht="14.25" customHeight="1">
      <c r="A573" t="s">
        <v>92</v>
      </c>
      <c r="B573" t="s">
        <v>259</v>
      </c>
      <c r="C573" t="s">
        <v>25</v>
      </c>
      <c r="D573" t="s">
        <v>191</v>
      </c>
      <c r="E573" t="s">
        <v>192</v>
      </c>
      <c r="F573">
        <v>9689</v>
      </c>
    </row>
    <row r="574" ht="14.25" customHeight="1">
      <c r="A574" t="s">
        <v>94</v>
      </c>
      <c r="B574" t="s">
        <v>259</v>
      </c>
      <c r="C574" t="s">
        <v>25</v>
      </c>
      <c r="D574" t="s">
        <v>191</v>
      </c>
      <c r="E574" t="s">
        <v>192</v>
      </c>
      <c r="F574">
        <v>19182</v>
      </c>
    </row>
    <row r="575" ht="14.25" customHeight="1">
      <c r="A575" t="s">
        <v>95</v>
      </c>
      <c r="B575" t="s">
        <v>259</v>
      </c>
      <c r="C575" t="s">
        <v>25</v>
      </c>
      <c r="D575" t="s">
        <v>191</v>
      </c>
      <c r="E575" t="s">
        <v>192</v>
      </c>
      <c r="F575">
        <v>14030</v>
      </c>
    </row>
    <row r="576" ht="14.25" customHeight="1">
      <c r="A576" t="s">
        <v>96</v>
      </c>
      <c r="B576" t="s">
        <v>259</v>
      </c>
      <c r="C576" t="s">
        <v>25</v>
      </c>
      <c r="D576" t="s">
        <v>191</v>
      </c>
      <c r="E576" t="s">
        <v>192</v>
      </c>
      <c r="F576">
        <v>21037</v>
      </c>
    </row>
    <row r="577" ht="14.25" customHeight="1">
      <c r="A577" t="s">
        <v>97</v>
      </c>
      <c r="B577" t="s">
        <v>259</v>
      </c>
      <c r="C577" t="s">
        <v>25</v>
      </c>
      <c r="D577" t="s">
        <v>191</v>
      </c>
      <c r="E577" t="s">
        <v>192</v>
      </c>
      <c r="F577">
        <v>12331</v>
      </c>
    </row>
    <row r="578" ht="14.25" customHeight="1">
      <c r="A578" t="s">
        <v>251</v>
      </c>
      <c r="B578" t="s">
        <v>260</v>
      </c>
      <c r="C578" t="s">
        <v>211</v>
      </c>
      <c r="D578" t="s">
        <v>191</v>
      </c>
      <c r="E578" t="s">
        <v>192</v>
      </c>
      <c r="F578">
        <v>412389</v>
      </c>
    </row>
    <row r="579" ht="14.25" customHeight="1">
      <c r="A579" t="s">
        <v>251</v>
      </c>
      <c r="B579" t="s">
        <v>260</v>
      </c>
      <c r="C579" t="s">
        <v>210</v>
      </c>
      <c r="D579" t="s">
        <v>191</v>
      </c>
      <c r="E579" t="s">
        <v>192</v>
      </c>
      <c r="F579">
        <v>431286</v>
      </c>
    </row>
    <row r="580" ht="14.25" customHeight="1">
      <c r="A580" t="s">
        <v>251</v>
      </c>
      <c r="B580" t="s">
        <v>260</v>
      </c>
      <c r="C580" t="s">
        <v>25</v>
      </c>
      <c r="D580" t="s">
        <v>191</v>
      </c>
      <c r="E580" t="s">
        <v>192</v>
      </c>
      <c r="F580">
        <v>451872</v>
      </c>
    </row>
    <row r="581" ht="14.25" customHeight="1">
      <c r="A581" t="s">
        <v>251</v>
      </c>
      <c r="B581" t="s">
        <v>261</v>
      </c>
      <c r="C581" t="s">
        <v>211</v>
      </c>
      <c r="D581" t="s">
        <v>191</v>
      </c>
      <c r="E581" t="s">
        <v>192</v>
      </c>
      <c r="F581">
        <v>164956</v>
      </c>
    </row>
    <row r="582" ht="14.25" customHeight="1">
      <c r="A582" t="s">
        <v>251</v>
      </c>
      <c r="B582" t="s">
        <v>261</v>
      </c>
      <c r="C582" t="s">
        <v>210</v>
      </c>
      <c r="D582" t="s">
        <v>191</v>
      </c>
      <c r="E582" t="s">
        <v>192</v>
      </c>
      <c r="F582">
        <v>172514</v>
      </c>
    </row>
    <row r="583" ht="14.25" customHeight="1">
      <c r="A583" t="s">
        <v>251</v>
      </c>
      <c r="B583" t="s">
        <v>261</v>
      </c>
      <c r="C583" t="s">
        <v>25</v>
      </c>
      <c r="D583" t="s">
        <v>191</v>
      </c>
      <c r="E583" t="s">
        <v>192</v>
      </c>
      <c r="F583">
        <v>180749</v>
      </c>
    </row>
    <row r="584" ht="14.25" customHeight="1">
      <c r="A584" t="s">
        <v>251</v>
      </c>
      <c r="B584" t="s">
        <v>262</v>
      </c>
      <c r="C584" t="s">
        <v>211</v>
      </c>
      <c r="D584" t="s">
        <v>191</v>
      </c>
      <c r="E584" t="s">
        <v>192</v>
      </c>
      <c r="F584">
        <v>309292</v>
      </c>
    </row>
    <row r="585" ht="14.25" customHeight="1">
      <c r="A585" t="s">
        <v>251</v>
      </c>
      <c r="B585" t="s">
        <v>262</v>
      </c>
      <c r="C585" t="s">
        <v>210</v>
      </c>
      <c r="D585" t="s">
        <v>191</v>
      </c>
      <c r="E585" t="s">
        <v>192</v>
      </c>
      <c r="F585">
        <v>323465</v>
      </c>
    </row>
    <row r="586" ht="14.25" customHeight="1">
      <c r="A586" t="s">
        <v>251</v>
      </c>
      <c r="B586" t="s">
        <v>262</v>
      </c>
      <c r="C586" t="s">
        <v>25</v>
      </c>
      <c r="D586" t="s">
        <v>191</v>
      </c>
      <c r="E586" t="s">
        <v>192</v>
      </c>
      <c r="F586">
        <v>338904</v>
      </c>
    </row>
    <row r="587" ht="14.25" customHeight="1">
      <c r="A587" t="s">
        <v>75</v>
      </c>
      <c r="B587" t="s">
        <v>263</v>
      </c>
      <c r="C587" t="s">
        <v>211</v>
      </c>
      <c r="D587" t="s">
        <v>191</v>
      </c>
      <c r="E587" t="s">
        <v>192</v>
      </c>
      <c r="F587">
        <v>32490</v>
      </c>
    </row>
    <row r="588" ht="14.25" customHeight="1">
      <c r="A588" t="s">
        <v>77</v>
      </c>
      <c r="B588" t="s">
        <v>263</v>
      </c>
      <c r="C588" t="s">
        <v>211</v>
      </c>
      <c r="D588" t="s">
        <v>191</v>
      </c>
      <c r="E588" t="s">
        <v>192</v>
      </c>
      <c r="F588">
        <v>19467</v>
      </c>
    </row>
    <row r="589" ht="14.25" customHeight="1">
      <c r="A589" t="s">
        <v>79</v>
      </c>
      <c r="B589" t="s">
        <v>263</v>
      </c>
      <c r="C589" t="s">
        <v>211</v>
      </c>
      <c r="D589" t="s">
        <v>191</v>
      </c>
      <c r="E589" t="s">
        <v>192</v>
      </c>
      <c r="F589">
        <v>16044</v>
      </c>
    </row>
    <row r="590" ht="14.25" customHeight="1">
      <c r="A590" t="s">
        <v>81</v>
      </c>
      <c r="B590" t="s">
        <v>263</v>
      </c>
      <c r="C590" t="s">
        <v>211</v>
      </c>
      <c r="D590" t="s">
        <v>191</v>
      </c>
      <c r="E590" t="s">
        <v>192</v>
      </c>
      <c r="F590">
        <v>14039</v>
      </c>
    </row>
    <row r="591" ht="14.25" customHeight="1">
      <c r="A591" t="s">
        <v>83</v>
      </c>
      <c r="B591" t="s">
        <v>263</v>
      </c>
      <c r="C591" t="s">
        <v>211</v>
      </c>
      <c r="D591" t="s">
        <v>191</v>
      </c>
      <c r="E591" t="s">
        <v>192</v>
      </c>
      <c r="F591">
        <v>32490</v>
      </c>
    </row>
    <row r="592" ht="14.25" customHeight="1">
      <c r="A592" t="s">
        <v>84</v>
      </c>
      <c r="B592" t="s">
        <v>263</v>
      </c>
      <c r="C592" t="s">
        <v>211</v>
      </c>
      <c r="D592" t="s">
        <v>191</v>
      </c>
      <c r="E592" t="s">
        <v>192</v>
      </c>
      <c r="F592">
        <v>12301</v>
      </c>
    </row>
    <row r="593" ht="14.25" customHeight="1">
      <c r="A593" t="s">
        <v>86</v>
      </c>
      <c r="B593" t="s">
        <v>263</v>
      </c>
      <c r="C593" t="s">
        <v>211</v>
      </c>
      <c r="D593" t="s">
        <v>191</v>
      </c>
      <c r="E593" t="s">
        <v>192</v>
      </c>
      <c r="F593">
        <v>12033</v>
      </c>
    </row>
    <row r="594" ht="14.25" customHeight="1">
      <c r="A594" t="s">
        <v>88</v>
      </c>
      <c r="B594" t="s">
        <v>263</v>
      </c>
      <c r="C594" t="s">
        <v>211</v>
      </c>
      <c r="D594" t="s">
        <v>191</v>
      </c>
      <c r="E594" t="s">
        <v>192</v>
      </c>
      <c r="F594">
        <v>8022</v>
      </c>
    </row>
    <row r="595" ht="14.25" customHeight="1">
      <c r="A595" t="s">
        <v>90</v>
      </c>
      <c r="B595" t="s">
        <v>263</v>
      </c>
      <c r="C595" t="s">
        <v>211</v>
      </c>
      <c r="D595" t="s">
        <v>191</v>
      </c>
      <c r="E595" t="s">
        <v>192</v>
      </c>
      <c r="F595">
        <v>7059</v>
      </c>
    </row>
    <row r="596" ht="14.25" customHeight="1">
      <c r="A596" t="s">
        <v>92</v>
      </c>
      <c r="B596" t="s">
        <v>263</v>
      </c>
      <c r="C596" t="s">
        <v>211</v>
      </c>
      <c r="D596" t="s">
        <v>191</v>
      </c>
      <c r="E596" t="s">
        <v>192</v>
      </c>
      <c r="F596">
        <v>7059</v>
      </c>
    </row>
    <row r="597" ht="14.25" customHeight="1">
      <c r="A597" t="s">
        <v>94</v>
      </c>
      <c r="B597" t="s">
        <v>263</v>
      </c>
      <c r="C597" t="s">
        <v>211</v>
      </c>
      <c r="D597" t="s">
        <v>191</v>
      </c>
      <c r="E597" t="s">
        <v>192</v>
      </c>
      <c r="F597">
        <v>11980</v>
      </c>
    </row>
    <row r="598" ht="14.25" customHeight="1">
      <c r="A598" t="s">
        <v>95</v>
      </c>
      <c r="B598" t="s">
        <v>263</v>
      </c>
      <c r="C598" t="s">
        <v>211</v>
      </c>
      <c r="D598" t="s">
        <v>191</v>
      </c>
      <c r="E598" t="s">
        <v>192</v>
      </c>
      <c r="F598">
        <v>11231</v>
      </c>
    </row>
    <row r="599" ht="14.25" customHeight="1">
      <c r="A599" t="s">
        <v>96</v>
      </c>
      <c r="B599" t="s">
        <v>263</v>
      </c>
      <c r="C599" t="s">
        <v>211</v>
      </c>
      <c r="D599" t="s">
        <v>191</v>
      </c>
      <c r="E599" t="s">
        <v>192</v>
      </c>
      <c r="F599">
        <v>12996</v>
      </c>
    </row>
    <row r="600" ht="14.25" customHeight="1">
      <c r="A600" t="s">
        <v>97</v>
      </c>
      <c r="B600" t="s">
        <v>263</v>
      </c>
      <c r="C600" t="s">
        <v>211</v>
      </c>
      <c r="D600" t="s">
        <v>191</v>
      </c>
      <c r="E600" t="s">
        <v>192</v>
      </c>
      <c r="F600">
        <v>8985</v>
      </c>
    </row>
    <row r="601" ht="14.25" customHeight="1">
      <c r="A601" t="s">
        <v>75</v>
      </c>
      <c r="B601" t="s">
        <v>263</v>
      </c>
      <c r="C601" t="s">
        <v>210</v>
      </c>
      <c r="D601" t="s">
        <v>191</v>
      </c>
      <c r="E601" t="s">
        <v>192</v>
      </c>
      <c r="F601">
        <v>33978</v>
      </c>
    </row>
    <row r="602" ht="14.25" customHeight="1">
      <c r="A602" t="s">
        <v>77</v>
      </c>
      <c r="B602" t="s">
        <v>263</v>
      </c>
      <c r="C602" t="s">
        <v>210</v>
      </c>
      <c r="D602" t="s">
        <v>191</v>
      </c>
      <c r="E602" t="s">
        <v>192</v>
      </c>
      <c r="F602">
        <v>20359</v>
      </c>
    </row>
    <row r="603" ht="14.25" customHeight="1">
      <c r="A603" t="s">
        <v>79</v>
      </c>
      <c r="B603" t="s">
        <v>263</v>
      </c>
      <c r="C603" t="s">
        <v>210</v>
      </c>
      <c r="D603" t="s">
        <v>191</v>
      </c>
      <c r="E603" t="s">
        <v>192</v>
      </c>
      <c r="F603">
        <v>16779</v>
      </c>
    </row>
    <row r="604" ht="14.25" customHeight="1">
      <c r="A604" t="s">
        <v>81</v>
      </c>
      <c r="B604" t="s">
        <v>263</v>
      </c>
      <c r="C604" t="s">
        <v>210</v>
      </c>
      <c r="D604" t="s">
        <v>191</v>
      </c>
      <c r="E604" t="s">
        <v>192</v>
      </c>
      <c r="F604">
        <v>14682</v>
      </c>
    </row>
    <row r="605" ht="14.25" customHeight="1">
      <c r="A605" t="s">
        <v>83</v>
      </c>
      <c r="B605" t="s">
        <v>263</v>
      </c>
      <c r="C605" t="s">
        <v>210</v>
      </c>
      <c r="D605" t="s">
        <v>191</v>
      </c>
      <c r="E605" t="s">
        <v>192</v>
      </c>
      <c r="F605">
        <v>33978</v>
      </c>
    </row>
    <row r="606" ht="14.25" customHeight="1">
      <c r="A606" t="s">
        <v>84</v>
      </c>
      <c r="B606" t="s">
        <v>263</v>
      </c>
      <c r="C606" t="s">
        <v>210</v>
      </c>
      <c r="D606" t="s">
        <v>191</v>
      </c>
      <c r="E606" t="s">
        <v>192</v>
      </c>
      <c r="F606">
        <v>12864</v>
      </c>
    </row>
    <row r="607" ht="14.25" customHeight="1">
      <c r="A607" t="s">
        <v>86</v>
      </c>
      <c r="B607" t="s">
        <v>263</v>
      </c>
      <c r="C607" t="s">
        <v>210</v>
      </c>
      <c r="D607" t="s">
        <v>191</v>
      </c>
      <c r="E607" t="s">
        <v>192</v>
      </c>
      <c r="F607">
        <v>12585</v>
      </c>
    </row>
    <row r="608" ht="14.25" customHeight="1">
      <c r="A608" t="s">
        <v>88</v>
      </c>
      <c r="B608" t="s">
        <v>263</v>
      </c>
      <c r="C608" t="s">
        <v>210</v>
      </c>
      <c r="D608" t="s">
        <v>191</v>
      </c>
      <c r="E608" t="s">
        <v>192</v>
      </c>
      <c r="F608">
        <v>8390</v>
      </c>
    </row>
    <row r="609" ht="14.25" customHeight="1">
      <c r="A609" t="s">
        <v>90</v>
      </c>
      <c r="B609" t="s">
        <v>263</v>
      </c>
      <c r="C609" t="s">
        <v>210</v>
      </c>
      <c r="D609" t="s">
        <v>191</v>
      </c>
      <c r="E609" t="s">
        <v>192</v>
      </c>
      <c r="F609">
        <v>7383</v>
      </c>
    </row>
    <row r="610" ht="14.25" customHeight="1">
      <c r="A610" t="s">
        <v>92</v>
      </c>
      <c r="B610" t="s">
        <v>263</v>
      </c>
      <c r="C610" t="s">
        <v>210</v>
      </c>
      <c r="D610" t="s">
        <v>191</v>
      </c>
      <c r="E610" t="s">
        <v>192</v>
      </c>
      <c r="F610">
        <v>7383</v>
      </c>
    </row>
    <row r="611" ht="14.25" customHeight="1">
      <c r="A611" t="s">
        <v>94</v>
      </c>
      <c r="B611" t="s">
        <v>263</v>
      </c>
      <c r="C611" t="s">
        <v>210</v>
      </c>
      <c r="D611" t="s">
        <v>191</v>
      </c>
      <c r="E611" t="s">
        <v>192</v>
      </c>
      <c r="F611">
        <v>12529</v>
      </c>
    </row>
    <row r="612" ht="14.25" customHeight="1">
      <c r="A612" t="s">
        <v>95</v>
      </c>
      <c r="B612" t="s">
        <v>263</v>
      </c>
      <c r="C612" t="s">
        <v>210</v>
      </c>
      <c r="D612" t="s">
        <v>191</v>
      </c>
      <c r="E612" t="s">
        <v>192</v>
      </c>
      <c r="F612">
        <v>11746</v>
      </c>
    </row>
    <row r="613" ht="14.25" customHeight="1">
      <c r="A613" t="s">
        <v>96</v>
      </c>
      <c r="B613" t="s">
        <v>263</v>
      </c>
      <c r="C613" t="s">
        <v>210</v>
      </c>
      <c r="D613" t="s">
        <v>191</v>
      </c>
      <c r="E613" t="s">
        <v>192</v>
      </c>
      <c r="F613">
        <v>13591</v>
      </c>
    </row>
    <row r="614" ht="14.25" customHeight="1">
      <c r="A614" t="s">
        <v>97</v>
      </c>
      <c r="B614" t="s">
        <v>263</v>
      </c>
      <c r="C614" t="s">
        <v>210</v>
      </c>
      <c r="D614" t="s">
        <v>191</v>
      </c>
      <c r="E614" t="s">
        <v>192</v>
      </c>
      <c r="F614">
        <v>9396</v>
      </c>
    </row>
    <row r="615" ht="14.25" customHeight="1">
      <c r="A615" t="s">
        <v>75</v>
      </c>
      <c r="B615" t="s">
        <v>263</v>
      </c>
      <c r="C615" t="s">
        <v>25</v>
      </c>
      <c r="D615" t="s">
        <v>191</v>
      </c>
      <c r="E615" t="s">
        <v>192</v>
      </c>
      <c r="F615">
        <v>35600</v>
      </c>
    </row>
    <row r="616" ht="14.25" customHeight="1">
      <c r="A616" t="s">
        <v>77</v>
      </c>
      <c r="B616" t="s">
        <v>263</v>
      </c>
      <c r="C616" t="s">
        <v>25</v>
      </c>
      <c r="D616" t="s">
        <v>191</v>
      </c>
      <c r="E616" t="s">
        <v>192</v>
      </c>
      <c r="F616">
        <v>21331</v>
      </c>
    </row>
    <row r="617" ht="14.25" customHeight="1">
      <c r="A617" t="s">
        <v>79</v>
      </c>
      <c r="B617" t="s">
        <v>263</v>
      </c>
      <c r="C617" t="s">
        <v>25</v>
      </c>
      <c r="D617" t="s">
        <v>191</v>
      </c>
      <c r="E617" t="s">
        <v>192</v>
      </c>
      <c r="F617">
        <v>17580</v>
      </c>
    </row>
    <row r="618" ht="14.25" customHeight="1">
      <c r="A618" t="s">
        <v>81</v>
      </c>
      <c r="B618" t="s">
        <v>263</v>
      </c>
      <c r="C618" t="s">
        <v>25</v>
      </c>
      <c r="D618" t="s">
        <v>191</v>
      </c>
      <c r="E618" t="s">
        <v>192</v>
      </c>
      <c r="F618">
        <v>15383</v>
      </c>
    </row>
    <row r="619" ht="14.25" customHeight="1">
      <c r="A619" t="s">
        <v>83</v>
      </c>
      <c r="B619" t="s">
        <v>263</v>
      </c>
      <c r="C619" t="s">
        <v>25</v>
      </c>
      <c r="D619" t="s">
        <v>191</v>
      </c>
      <c r="E619" t="s">
        <v>192</v>
      </c>
      <c r="F619">
        <v>35600</v>
      </c>
    </row>
    <row r="620" ht="14.25" customHeight="1">
      <c r="A620" t="s">
        <v>84</v>
      </c>
      <c r="B620" t="s">
        <v>263</v>
      </c>
      <c r="C620" t="s">
        <v>25</v>
      </c>
      <c r="D620" t="s">
        <v>191</v>
      </c>
      <c r="E620" t="s">
        <v>192</v>
      </c>
      <c r="F620">
        <v>13478</v>
      </c>
    </row>
    <row r="621" ht="14.25" customHeight="1">
      <c r="A621" t="s">
        <v>86</v>
      </c>
      <c r="B621" t="s">
        <v>263</v>
      </c>
      <c r="C621" t="s">
        <v>25</v>
      </c>
      <c r="D621" t="s">
        <v>191</v>
      </c>
      <c r="E621" t="s">
        <v>192</v>
      </c>
      <c r="F621">
        <v>13185</v>
      </c>
    </row>
    <row r="622" ht="14.25" customHeight="1">
      <c r="A622" t="s">
        <v>88</v>
      </c>
      <c r="B622" t="s">
        <v>263</v>
      </c>
      <c r="C622" t="s">
        <v>25</v>
      </c>
      <c r="D622" t="s">
        <v>191</v>
      </c>
      <c r="E622" t="s">
        <v>192</v>
      </c>
      <c r="F622">
        <v>8790</v>
      </c>
    </row>
    <row r="623" ht="14.25" customHeight="1">
      <c r="A623" t="s">
        <v>90</v>
      </c>
      <c r="B623" t="s">
        <v>263</v>
      </c>
      <c r="C623" t="s">
        <v>25</v>
      </c>
      <c r="D623" t="s">
        <v>191</v>
      </c>
      <c r="E623" t="s">
        <v>192</v>
      </c>
      <c r="F623">
        <v>7735</v>
      </c>
    </row>
    <row r="624" ht="14.25" customHeight="1">
      <c r="A624" t="s">
        <v>92</v>
      </c>
      <c r="B624" t="s">
        <v>263</v>
      </c>
      <c r="C624" t="s">
        <v>25</v>
      </c>
      <c r="D624" t="s">
        <v>191</v>
      </c>
      <c r="E624" t="s">
        <v>192</v>
      </c>
      <c r="F624">
        <v>7735</v>
      </c>
    </row>
    <row r="625" ht="14.25" customHeight="1">
      <c r="A625" t="s">
        <v>94</v>
      </c>
      <c r="B625" t="s">
        <v>263</v>
      </c>
      <c r="C625" t="s">
        <v>25</v>
      </c>
      <c r="D625" t="s">
        <v>191</v>
      </c>
      <c r="E625" t="s">
        <v>192</v>
      </c>
      <c r="F625">
        <v>13127</v>
      </c>
    </row>
    <row r="626" ht="14.25" customHeight="1">
      <c r="A626" t="s">
        <v>95</v>
      </c>
      <c r="B626" t="s">
        <v>263</v>
      </c>
      <c r="C626" t="s">
        <v>25</v>
      </c>
      <c r="D626" t="s">
        <v>191</v>
      </c>
      <c r="E626" t="s">
        <v>192</v>
      </c>
      <c r="F626">
        <v>12306</v>
      </c>
    </row>
    <row r="627" ht="14.25" customHeight="1">
      <c r="A627" t="s">
        <v>96</v>
      </c>
      <c r="B627" t="s">
        <v>263</v>
      </c>
      <c r="C627" t="s">
        <v>25</v>
      </c>
      <c r="D627" t="s">
        <v>191</v>
      </c>
      <c r="E627" t="s">
        <v>192</v>
      </c>
      <c r="F627">
        <v>14240</v>
      </c>
    </row>
    <row r="628" ht="14.25" customHeight="1">
      <c r="A628" t="s">
        <v>97</v>
      </c>
      <c r="B628" t="s">
        <v>263</v>
      </c>
      <c r="C628" t="s">
        <v>25</v>
      </c>
      <c r="D628" t="s">
        <v>191</v>
      </c>
      <c r="E628" t="s">
        <v>192</v>
      </c>
      <c r="F628">
        <v>9845</v>
      </c>
    </row>
    <row r="629" ht="14.25" customHeight="1">
      <c r="A629" t="s">
        <v>251</v>
      </c>
      <c r="B629" t="s">
        <v>264</v>
      </c>
      <c r="C629" t="s">
        <v>211</v>
      </c>
      <c r="D629" t="s">
        <v>191</v>
      </c>
      <c r="E629" t="s">
        <v>192</v>
      </c>
      <c r="F629">
        <v>103097</v>
      </c>
    </row>
    <row r="630" ht="14.25" customHeight="1">
      <c r="A630" t="s">
        <v>251</v>
      </c>
      <c r="B630" t="s">
        <v>264</v>
      </c>
      <c r="C630" t="s">
        <v>210</v>
      </c>
      <c r="D630" t="s">
        <v>191</v>
      </c>
      <c r="E630" t="s">
        <v>192</v>
      </c>
      <c r="F630">
        <v>107822</v>
      </c>
    </row>
    <row r="631" ht="14.25" customHeight="1">
      <c r="A631" t="s">
        <v>251</v>
      </c>
      <c r="B631" t="s">
        <v>264</v>
      </c>
      <c r="C631" t="s">
        <v>25</v>
      </c>
      <c r="D631" t="s">
        <v>191</v>
      </c>
      <c r="E631" t="s">
        <v>192</v>
      </c>
      <c r="F631">
        <v>112968</v>
      </c>
    </row>
    <row r="632" ht="14.25" customHeight="1">
      <c r="A632" t="s">
        <v>75</v>
      </c>
      <c r="B632" t="s">
        <v>265</v>
      </c>
      <c r="C632" t="s">
        <v>211</v>
      </c>
      <c r="D632" t="s">
        <v>191</v>
      </c>
      <c r="E632" t="s">
        <v>192</v>
      </c>
      <c r="F632">
        <v>137849</v>
      </c>
    </row>
    <row r="633" ht="14.25" customHeight="1">
      <c r="A633" t="s">
        <v>77</v>
      </c>
      <c r="B633" t="s">
        <v>265</v>
      </c>
      <c r="C633" t="s">
        <v>211</v>
      </c>
      <c r="D633" t="s">
        <v>191</v>
      </c>
      <c r="E633" t="s">
        <v>192</v>
      </c>
      <c r="F633">
        <v>119469</v>
      </c>
    </row>
    <row r="634" ht="14.25" customHeight="1">
      <c r="A634" t="s">
        <v>79</v>
      </c>
      <c r="B634" t="s">
        <v>265</v>
      </c>
      <c r="C634" t="s">
        <v>211</v>
      </c>
      <c r="D634" t="s">
        <v>191</v>
      </c>
      <c r="E634" t="s">
        <v>192</v>
      </c>
      <c r="F634">
        <v>110279</v>
      </c>
    </row>
    <row r="635" ht="14.25" customHeight="1">
      <c r="A635" t="s">
        <v>81</v>
      </c>
      <c r="B635" t="s">
        <v>265</v>
      </c>
      <c r="C635" t="s">
        <v>211</v>
      </c>
      <c r="D635" t="s">
        <v>191</v>
      </c>
      <c r="E635" t="s">
        <v>192</v>
      </c>
      <c r="F635">
        <v>91900</v>
      </c>
    </row>
    <row r="636" ht="14.25" customHeight="1">
      <c r="A636" t="s">
        <v>83</v>
      </c>
      <c r="B636" t="s">
        <v>265</v>
      </c>
      <c r="C636" t="s">
        <v>211</v>
      </c>
      <c r="D636" t="s">
        <v>191</v>
      </c>
      <c r="E636" t="s">
        <v>192</v>
      </c>
      <c r="F636">
        <v>137849</v>
      </c>
    </row>
    <row r="637" ht="14.25" customHeight="1">
      <c r="A637" t="s">
        <v>84</v>
      </c>
      <c r="B637" t="s">
        <v>265</v>
      </c>
      <c r="C637" t="s">
        <v>211</v>
      </c>
      <c r="D637" t="s">
        <v>191</v>
      </c>
      <c r="E637" t="s">
        <v>192</v>
      </c>
      <c r="F637">
        <v>91900</v>
      </c>
    </row>
    <row r="638" ht="14.25" customHeight="1">
      <c r="A638" t="s">
        <v>86</v>
      </c>
      <c r="B638" t="s">
        <v>265</v>
      </c>
      <c r="C638" t="s">
        <v>211</v>
      </c>
      <c r="D638" t="s">
        <v>191</v>
      </c>
      <c r="E638" t="s">
        <v>192</v>
      </c>
      <c r="F638">
        <v>91900</v>
      </c>
    </row>
    <row r="639" ht="14.25" customHeight="1">
      <c r="A639" t="s">
        <v>88</v>
      </c>
      <c r="B639" t="s">
        <v>265</v>
      </c>
      <c r="C639" t="s">
        <v>211</v>
      </c>
      <c r="D639" t="s">
        <v>191</v>
      </c>
      <c r="E639" t="s">
        <v>192</v>
      </c>
      <c r="F639">
        <v>55140</v>
      </c>
    </row>
    <row r="640" ht="14.25" customHeight="1">
      <c r="A640" t="s">
        <v>90</v>
      </c>
      <c r="B640" t="s">
        <v>265</v>
      </c>
      <c r="C640" t="s">
        <v>211</v>
      </c>
      <c r="D640" t="s">
        <v>191</v>
      </c>
      <c r="E640" t="s">
        <v>192</v>
      </c>
      <c r="F640">
        <v>55140</v>
      </c>
    </row>
    <row r="641" ht="14.25" customHeight="1">
      <c r="A641" t="s">
        <v>92</v>
      </c>
      <c r="B641" t="s">
        <v>265</v>
      </c>
      <c r="C641" t="s">
        <v>211</v>
      </c>
      <c r="D641" t="s">
        <v>191</v>
      </c>
      <c r="E641" t="s">
        <v>192</v>
      </c>
      <c r="F641">
        <v>55140</v>
      </c>
    </row>
    <row r="642" ht="14.25" customHeight="1">
      <c r="A642" t="s">
        <v>94</v>
      </c>
      <c r="B642" t="s">
        <v>265</v>
      </c>
      <c r="C642" t="s">
        <v>211</v>
      </c>
      <c r="D642" t="s">
        <v>191</v>
      </c>
      <c r="E642" t="s">
        <v>192</v>
      </c>
      <c r="F642">
        <v>73520</v>
      </c>
    </row>
    <row r="643" ht="14.25" customHeight="1">
      <c r="A643" t="s">
        <v>95</v>
      </c>
      <c r="B643" t="s">
        <v>265</v>
      </c>
      <c r="C643" t="s">
        <v>211</v>
      </c>
      <c r="D643" t="s">
        <v>191</v>
      </c>
      <c r="E643" t="s">
        <v>192</v>
      </c>
      <c r="F643">
        <v>73520</v>
      </c>
    </row>
    <row r="644" ht="14.25" customHeight="1">
      <c r="A644" t="s">
        <v>96</v>
      </c>
      <c r="B644" t="s">
        <v>265</v>
      </c>
      <c r="C644" t="s">
        <v>211</v>
      </c>
      <c r="D644" t="s">
        <v>191</v>
      </c>
      <c r="E644" t="s">
        <v>192</v>
      </c>
      <c r="F644">
        <v>55140</v>
      </c>
    </row>
    <row r="645" ht="14.25" customHeight="1">
      <c r="A645" t="s">
        <v>97</v>
      </c>
      <c r="B645" t="s">
        <v>265</v>
      </c>
      <c r="C645" t="s">
        <v>211</v>
      </c>
      <c r="D645" t="s">
        <v>191</v>
      </c>
      <c r="E645" t="s">
        <v>192</v>
      </c>
      <c r="F645">
        <v>55140</v>
      </c>
    </row>
    <row r="646" ht="14.25" customHeight="1">
      <c r="A646" t="s">
        <v>75</v>
      </c>
      <c r="B646" t="s">
        <v>265</v>
      </c>
      <c r="C646" t="s">
        <v>210</v>
      </c>
      <c r="D646" t="s">
        <v>191</v>
      </c>
      <c r="E646" t="s">
        <v>192</v>
      </c>
      <c r="F646">
        <v>146120</v>
      </c>
    </row>
    <row r="647" ht="14.25" customHeight="1">
      <c r="A647" t="s">
        <v>77</v>
      </c>
      <c r="B647" t="s">
        <v>265</v>
      </c>
      <c r="C647" t="s">
        <v>210</v>
      </c>
      <c r="D647" t="s">
        <v>191</v>
      </c>
      <c r="E647" t="s">
        <v>192</v>
      </c>
      <c r="F647">
        <v>126638</v>
      </c>
    </row>
    <row r="648" ht="14.25" customHeight="1">
      <c r="A648" t="s">
        <v>79</v>
      </c>
      <c r="B648" t="s">
        <v>265</v>
      </c>
      <c r="C648" t="s">
        <v>210</v>
      </c>
      <c r="D648" t="s">
        <v>191</v>
      </c>
      <c r="E648" t="s">
        <v>192</v>
      </c>
      <c r="F648">
        <v>116896</v>
      </c>
    </row>
    <row r="649" ht="14.25" customHeight="1">
      <c r="A649" t="s">
        <v>81</v>
      </c>
      <c r="B649" t="s">
        <v>265</v>
      </c>
      <c r="C649" t="s">
        <v>210</v>
      </c>
      <c r="D649" t="s">
        <v>191</v>
      </c>
      <c r="E649" t="s">
        <v>192</v>
      </c>
      <c r="F649">
        <v>97413</v>
      </c>
    </row>
    <row r="650" ht="14.25" customHeight="1">
      <c r="A650" t="s">
        <v>83</v>
      </c>
      <c r="B650" t="s">
        <v>265</v>
      </c>
      <c r="C650" t="s">
        <v>210</v>
      </c>
      <c r="D650" t="s">
        <v>191</v>
      </c>
      <c r="E650" t="s">
        <v>192</v>
      </c>
      <c r="F650">
        <v>146120</v>
      </c>
    </row>
    <row r="651" ht="14.25" customHeight="1">
      <c r="A651" t="s">
        <v>84</v>
      </c>
      <c r="B651" t="s">
        <v>265</v>
      </c>
      <c r="C651" t="s">
        <v>210</v>
      </c>
      <c r="D651" t="s">
        <v>191</v>
      </c>
      <c r="E651" t="s">
        <v>192</v>
      </c>
      <c r="F651">
        <v>97413</v>
      </c>
    </row>
    <row r="652" ht="14.25" customHeight="1">
      <c r="A652" t="s">
        <v>86</v>
      </c>
      <c r="B652" t="s">
        <v>265</v>
      </c>
      <c r="C652" t="s">
        <v>210</v>
      </c>
      <c r="D652" t="s">
        <v>191</v>
      </c>
      <c r="E652" t="s">
        <v>192</v>
      </c>
      <c r="F652">
        <v>97413</v>
      </c>
    </row>
    <row r="653" ht="14.25" customHeight="1">
      <c r="A653" t="s">
        <v>88</v>
      </c>
      <c r="B653" t="s">
        <v>265</v>
      </c>
      <c r="C653" t="s">
        <v>210</v>
      </c>
      <c r="D653" t="s">
        <v>191</v>
      </c>
      <c r="E653" t="s">
        <v>192</v>
      </c>
      <c r="F653">
        <v>58448</v>
      </c>
    </row>
    <row r="654" ht="14.25" customHeight="1">
      <c r="A654" t="s">
        <v>90</v>
      </c>
      <c r="B654" t="s">
        <v>265</v>
      </c>
      <c r="C654" t="s">
        <v>210</v>
      </c>
      <c r="D654" t="s">
        <v>191</v>
      </c>
      <c r="E654" t="s">
        <v>192</v>
      </c>
      <c r="F654">
        <v>58448</v>
      </c>
    </row>
    <row r="655" ht="14.25" customHeight="1">
      <c r="A655" t="s">
        <v>92</v>
      </c>
      <c r="B655" t="s">
        <v>265</v>
      </c>
      <c r="C655" t="s">
        <v>210</v>
      </c>
      <c r="D655" t="s">
        <v>191</v>
      </c>
      <c r="E655" t="s">
        <v>192</v>
      </c>
      <c r="F655">
        <v>58448</v>
      </c>
    </row>
    <row r="656" ht="14.25" customHeight="1">
      <c r="A656" t="s">
        <v>94</v>
      </c>
      <c r="B656" t="s">
        <v>265</v>
      </c>
      <c r="C656" t="s">
        <v>210</v>
      </c>
      <c r="D656" t="s">
        <v>191</v>
      </c>
      <c r="E656" t="s">
        <v>192</v>
      </c>
      <c r="F656">
        <v>77931</v>
      </c>
    </row>
    <row r="657" ht="14.25" customHeight="1">
      <c r="A657" t="s">
        <v>95</v>
      </c>
      <c r="B657" t="s">
        <v>265</v>
      </c>
      <c r="C657" t="s">
        <v>210</v>
      </c>
      <c r="D657" t="s">
        <v>191</v>
      </c>
      <c r="E657" t="s">
        <v>192</v>
      </c>
      <c r="F657">
        <v>77931</v>
      </c>
    </row>
    <row r="658" ht="14.25" customHeight="1">
      <c r="A658" t="s">
        <v>96</v>
      </c>
      <c r="B658" t="s">
        <v>265</v>
      </c>
      <c r="C658" t="s">
        <v>210</v>
      </c>
      <c r="D658" t="s">
        <v>191</v>
      </c>
      <c r="E658" t="s">
        <v>192</v>
      </c>
      <c r="F658">
        <v>58448</v>
      </c>
    </row>
    <row r="659" ht="14.25" customHeight="1">
      <c r="A659" t="s">
        <v>97</v>
      </c>
      <c r="B659" t="s">
        <v>265</v>
      </c>
      <c r="C659" t="s">
        <v>210</v>
      </c>
      <c r="D659" t="s">
        <v>191</v>
      </c>
      <c r="E659" t="s">
        <v>192</v>
      </c>
      <c r="F659">
        <v>58448</v>
      </c>
    </row>
    <row r="660" ht="14.25" customHeight="1">
      <c r="A660" t="s">
        <v>75</v>
      </c>
      <c r="B660" t="s">
        <v>265</v>
      </c>
      <c r="C660" t="s">
        <v>25</v>
      </c>
      <c r="D660" t="s">
        <v>191</v>
      </c>
      <c r="E660" t="s">
        <v>192</v>
      </c>
      <c r="F660">
        <v>154887</v>
      </c>
    </row>
    <row r="661" ht="14.25" customHeight="1">
      <c r="A661" t="s">
        <v>77</v>
      </c>
      <c r="B661" t="s">
        <v>265</v>
      </c>
      <c r="C661" t="s">
        <v>25</v>
      </c>
      <c r="D661" t="s">
        <v>191</v>
      </c>
      <c r="E661" t="s">
        <v>192</v>
      </c>
      <c r="F661">
        <v>134236</v>
      </c>
    </row>
    <row r="662" ht="14.25" customHeight="1">
      <c r="A662" t="s">
        <v>79</v>
      </c>
      <c r="B662" t="s">
        <v>265</v>
      </c>
      <c r="C662" t="s">
        <v>25</v>
      </c>
      <c r="D662" t="s">
        <v>191</v>
      </c>
      <c r="E662" t="s">
        <v>192</v>
      </c>
      <c r="F662">
        <v>123910</v>
      </c>
    </row>
    <row r="663" ht="14.25" customHeight="1">
      <c r="A663" t="s">
        <v>81</v>
      </c>
      <c r="B663" t="s">
        <v>265</v>
      </c>
      <c r="C663" t="s">
        <v>25</v>
      </c>
      <c r="D663" t="s">
        <v>191</v>
      </c>
      <c r="E663" t="s">
        <v>192</v>
      </c>
      <c r="F663">
        <v>103258</v>
      </c>
    </row>
    <row r="664" ht="14.25" customHeight="1">
      <c r="A664" t="s">
        <v>83</v>
      </c>
      <c r="B664" t="s">
        <v>265</v>
      </c>
      <c r="C664" t="s">
        <v>25</v>
      </c>
      <c r="D664" t="s">
        <v>191</v>
      </c>
      <c r="E664" t="s">
        <v>192</v>
      </c>
      <c r="F664">
        <v>154887</v>
      </c>
    </row>
    <row r="665" ht="14.25" customHeight="1">
      <c r="A665" t="s">
        <v>84</v>
      </c>
      <c r="B665" t="s">
        <v>265</v>
      </c>
      <c r="C665" t="s">
        <v>25</v>
      </c>
      <c r="D665" t="s">
        <v>191</v>
      </c>
      <c r="E665" t="s">
        <v>192</v>
      </c>
      <c r="F665">
        <v>103258</v>
      </c>
    </row>
    <row r="666" ht="14.25" customHeight="1">
      <c r="A666" t="s">
        <v>86</v>
      </c>
      <c r="B666" t="s">
        <v>265</v>
      </c>
      <c r="C666" t="s">
        <v>25</v>
      </c>
      <c r="D666" t="s">
        <v>191</v>
      </c>
      <c r="E666" t="s">
        <v>192</v>
      </c>
      <c r="F666">
        <v>103258</v>
      </c>
    </row>
    <row r="667" ht="14.25" customHeight="1">
      <c r="A667" t="s">
        <v>88</v>
      </c>
      <c r="B667" t="s">
        <v>265</v>
      </c>
      <c r="C667" t="s">
        <v>25</v>
      </c>
      <c r="D667" t="s">
        <v>191</v>
      </c>
      <c r="E667" t="s">
        <v>192</v>
      </c>
      <c r="F667">
        <v>61955</v>
      </c>
    </row>
    <row r="668" ht="14.25" customHeight="1">
      <c r="A668" t="s">
        <v>90</v>
      </c>
      <c r="B668" t="s">
        <v>265</v>
      </c>
      <c r="C668" t="s">
        <v>25</v>
      </c>
      <c r="D668" t="s">
        <v>191</v>
      </c>
      <c r="E668" t="s">
        <v>192</v>
      </c>
      <c r="F668">
        <v>61955</v>
      </c>
    </row>
    <row r="669" ht="14.25" customHeight="1">
      <c r="A669" t="s">
        <v>92</v>
      </c>
      <c r="B669" t="s">
        <v>265</v>
      </c>
      <c r="C669" t="s">
        <v>25</v>
      </c>
      <c r="D669" t="s">
        <v>191</v>
      </c>
      <c r="E669" t="s">
        <v>192</v>
      </c>
      <c r="F669">
        <v>61955</v>
      </c>
    </row>
    <row r="670" ht="14.25" customHeight="1">
      <c r="A670" t="s">
        <v>94</v>
      </c>
      <c r="B670" t="s">
        <v>265</v>
      </c>
      <c r="C670" t="s">
        <v>25</v>
      </c>
      <c r="D670" t="s">
        <v>191</v>
      </c>
      <c r="E670" t="s">
        <v>192</v>
      </c>
      <c r="F670">
        <v>82607</v>
      </c>
    </row>
    <row r="671" ht="14.25" customHeight="1">
      <c r="A671" t="s">
        <v>95</v>
      </c>
      <c r="B671" t="s">
        <v>265</v>
      </c>
      <c r="C671" t="s">
        <v>25</v>
      </c>
      <c r="D671" t="s">
        <v>191</v>
      </c>
      <c r="E671" t="s">
        <v>192</v>
      </c>
      <c r="F671">
        <v>82607</v>
      </c>
    </row>
    <row r="672" ht="14.25" customHeight="1">
      <c r="A672" t="s">
        <v>96</v>
      </c>
      <c r="B672" t="s">
        <v>265</v>
      </c>
      <c r="C672" t="s">
        <v>25</v>
      </c>
      <c r="D672" t="s">
        <v>191</v>
      </c>
      <c r="E672" t="s">
        <v>192</v>
      </c>
      <c r="F672">
        <v>61955</v>
      </c>
    </row>
    <row r="673" ht="14.25" customHeight="1">
      <c r="A673" t="s">
        <v>97</v>
      </c>
      <c r="B673" t="s">
        <v>265</v>
      </c>
      <c r="C673" t="s">
        <v>25</v>
      </c>
      <c r="D673" t="s">
        <v>191</v>
      </c>
      <c r="E673" t="s">
        <v>192</v>
      </c>
      <c r="F673">
        <v>61955</v>
      </c>
    </row>
    <row r="674" ht="14.25" customHeight="1">
      <c r="A674" t="s">
        <v>251</v>
      </c>
      <c r="B674" t="s">
        <v>266</v>
      </c>
      <c r="C674" t="s">
        <v>233</v>
      </c>
      <c r="D674" t="s">
        <v>191</v>
      </c>
      <c r="E674" t="s">
        <v>192</v>
      </c>
      <c r="F674">
        <v>0.05</v>
      </c>
    </row>
    <row r="675" ht="14.25" customHeight="1">
      <c r="A675" t="s">
        <v>251</v>
      </c>
      <c r="B675" t="s">
        <v>267</v>
      </c>
      <c r="C675" t="s">
        <v>233</v>
      </c>
      <c r="D675" t="s">
        <v>191</v>
      </c>
      <c r="E675" t="s">
        <v>192</v>
      </c>
      <c r="F675">
        <v>0.15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DB6A9B8-6322-F418-58EB-7AC7B789ED38}" mc:Ignorable="x14ac xr xr2 xr3">
  <dimension ref="A1:J2792"/>
  <sheetViews>
    <sheetView topLeftCell="A1" workbookViewId="0">
      <selection activeCell="A1" sqref="A1"/>
    </sheetView>
  </sheetViews>
  <sheetFormatPr defaultRowHeight="14.25" defaultColWidth="9.140625" customHeight="1"/>
  <cols>
    <col min="8" max="8" width="15.00390625" customWidth="1"/>
    <col min="9" max="9" width="13.00390625" customWidth="1"/>
  </cols>
  <sheetData>
    <row r="1" ht="14.25" customHeight="1">
      <c r="A1" s="2" t="s">
        <v>166</v>
      </c>
      <c r="B1" s="2" t="s">
        <v>268</v>
      </c>
      <c r="C1" s="2" t="s">
        <v>170</v>
      </c>
      <c r="D1" s="2" t="s">
        <v>221</v>
      </c>
      <c r="E1" s="2" t="s">
        <v>164</v>
      </c>
      <c r="F1" s="2" t="s">
        <v>269</v>
      </c>
      <c r="G1" s="2" t="s">
        <v>270</v>
      </c>
      <c r="H1" t="s">
        <v>271</v>
      </c>
      <c r="I1" t="s">
        <v>272</v>
      </c>
    </row>
    <row r="2" ht="14.25" customHeight="1">
      <c r="A2" t="s">
        <v>75</v>
      </c>
      <c r="B2" t="s">
        <v>242</v>
      </c>
      <c r="C2" t="s">
        <v>211</v>
      </c>
      <c r="D2" t="s">
        <v>273</v>
      </c>
      <c r="E2" t="s">
        <v>191</v>
      </c>
      <c r="F2" t="s">
        <v>192</v>
      </c>
      <c r="G2">
        <v>2197935</v>
      </c>
      <c r="H2">
        <f>IF(PNL!A2="","",_CALC_PNL!P2)</f>
        <v>2197935</v>
      </c>
      <c r="I2" t="str">
        <f>IF(PNL!A2="","",IF(_CALC_PNL!E2=1,H2-G2,""))</f>
        <v/>
      </c>
    </row>
    <row r="3" ht="14.25" customHeight="1">
      <c r="A3" t="s">
        <v>77</v>
      </c>
      <c r="B3" t="s">
        <v>242</v>
      </c>
      <c r="C3" t="s">
        <v>211</v>
      </c>
      <c r="D3" t="s">
        <v>273</v>
      </c>
      <c r="E3" t="s">
        <v>191</v>
      </c>
      <c r="F3" t="s">
        <v>192</v>
      </c>
      <c r="G3">
        <v>1748910</v>
      </c>
      <c r="H3">
        <f>IF(PNL!A3="","",_CALC_PNL!P3)</f>
        <v>1748910</v>
      </c>
      <c r="I3" t="str">
        <f>IF(PNL!A3="","",IF(_CALC_PNL!E3=1,H3-G3,""))</f>
        <v/>
      </c>
    </row>
    <row r="4" ht="14.25" customHeight="1">
      <c r="A4" t="s">
        <v>79</v>
      </c>
      <c r="B4" t="s">
        <v>242</v>
      </c>
      <c r="C4" t="s">
        <v>211</v>
      </c>
      <c r="D4" t="s">
        <v>273</v>
      </c>
      <c r="E4" t="s">
        <v>191</v>
      </c>
      <c r="F4" t="s">
        <v>192</v>
      </c>
      <c r="G4">
        <v>1510769</v>
      </c>
      <c r="H4">
        <f>IF(PNL!A4="","",_CALC_PNL!P4)</f>
        <v>1510769</v>
      </c>
      <c r="I4" t="str">
        <f>IF(PNL!A4="","",IF(_CALC_PNL!E4=1,H4-G4,""))</f>
        <v/>
      </c>
    </row>
    <row r="5" ht="14.25" customHeight="1">
      <c r="A5" t="s">
        <v>81</v>
      </c>
      <c r="B5" t="s">
        <v>242</v>
      </c>
      <c r="C5" t="s">
        <v>211</v>
      </c>
      <c r="D5" t="s">
        <v>273</v>
      </c>
      <c r="E5" t="s">
        <v>191</v>
      </c>
      <c r="F5" t="s">
        <v>192</v>
      </c>
      <c r="G5">
        <v>1240125</v>
      </c>
      <c r="H5">
        <f>IF(PNL!A5="","",_CALC_PNL!P5)</f>
        <v>1240125</v>
      </c>
      <c r="I5" t="str">
        <f>IF(PNL!A5="","",IF(_CALC_PNL!E5=1,H5-G5,""))</f>
        <v/>
      </c>
    </row>
    <row r="6" ht="14.25" customHeight="1">
      <c r="A6" t="s">
        <v>83</v>
      </c>
      <c r="B6" t="s">
        <v>242</v>
      </c>
      <c r="C6" t="s">
        <v>211</v>
      </c>
      <c r="D6" t="s">
        <v>273</v>
      </c>
      <c r="E6" t="s">
        <v>191</v>
      </c>
      <c r="F6" t="s">
        <v>192</v>
      </c>
      <c r="G6">
        <v>2038946</v>
      </c>
      <c r="H6">
        <f>IF(PNL!A6="","",_CALC_PNL!P6)</f>
        <v>2038946</v>
      </c>
      <c r="I6" t="str">
        <f>IF(PNL!A6="","",IF(_CALC_PNL!E6=1,H6-G6,""))</f>
        <v/>
      </c>
    </row>
    <row r="7" ht="14.25" customHeight="1">
      <c r="A7" t="s">
        <v>84</v>
      </c>
      <c r="B7" t="s">
        <v>242</v>
      </c>
      <c r="C7" t="s">
        <v>211</v>
      </c>
      <c r="D7" t="s">
        <v>273</v>
      </c>
      <c r="E7" t="s">
        <v>191</v>
      </c>
      <c r="F7" t="s">
        <v>192</v>
      </c>
      <c r="G7">
        <v>1227617</v>
      </c>
      <c r="H7">
        <f>IF(PNL!A7="","",_CALC_PNL!P7)</f>
        <v>1227617</v>
      </c>
      <c r="I7" t="str">
        <f>IF(PNL!A7="","",IF(_CALC_PNL!E7=1,H7-G7,""))</f>
        <v/>
      </c>
    </row>
    <row r="8" ht="14.25" customHeight="1">
      <c r="A8" t="s">
        <v>86</v>
      </c>
      <c r="B8" t="s">
        <v>242</v>
      </c>
      <c r="C8" t="s">
        <v>211</v>
      </c>
      <c r="D8" t="s">
        <v>273</v>
      </c>
      <c r="E8" t="s">
        <v>191</v>
      </c>
      <c r="F8" t="s">
        <v>192</v>
      </c>
      <c r="G8">
        <v>1140192</v>
      </c>
      <c r="H8">
        <f>IF(PNL!A8="","",_CALC_PNL!P8)</f>
        <v>1140192</v>
      </c>
      <c r="I8" t="str">
        <f>IF(PNL!A8="","",IF(_CALC_PNL!E8=1,H8-G8,""))</f>
        <v/>
      </c>
    </row>
    <row r="9" ht="14.25" customHeight="1">
      <c r="A9" t="s">
        <v>88</v>
      </c>
      <c r="B9" t="s">
        <v>242</v>
      </c>
      <c r="C9" t="s">
        <v>211</v>
      </c>
      <c r="D9" t="s">
        <v>273</v>
      </c>
      <c r="E9" t="s">
        <v>191</v>
      </c>
      <c r="F9" t="s">
        <v>192</v>
      </c>
      <c r="G9">
        <v>903346</v>
      </c>
      <c r="H9">
        <f>IF(PNL!A9="","",_CALC_PNL!P9)</f>
        <v>903346</v>
      </c>
      <c r="I9" t="str">
        <f>IF(PNL!A9="","",IF(_CALC_PNL!E9=1,H9-G9,""))</f>
        <v/>
      </c>
    </row>
    <row r="10" ht="14.25" customHeight="1">
      <c r="A10" t="s">
        <v>90</v>
      </c>
      <c r="B10" t="s">
        <v>242</v>
      </c>
      <c r="C10" t="s">
        <v>211</v>
      </c>
      <c r="D10" t="s">
        <v>273</v>
      </c>
      <c r="E10" t="s">
        <v>191</v>
      </c>
      <c r="F10" t="s">
        <v>192</v>
      </c>
      <c r="G10">
        <v>692462</v>
      </c>
      <c r="H10">
        <f>IF(PNL!A10="","",_CALC_PNL!P10)</f>
        <v>692462</v>
      </c>
      <c r="I10" t="str">
        <f>IF(PNL!A10="","",IF(_CALC_PNL!E10=1,H10-G10,""))</f>
        <v/>
      </c>
    </row>
    <row r="11" ht="14.25" customHeight="1">
      <c r="A11" t="s">
        <v>92</v>
      </c>
      <c r="B11" t="s">
        <v>242</v>
      </c>
      <c r="C11" t="s">
        <v>211</v>
      </c>
      <c r="D11" t="s">
        <v>273</v>
      </c>
      <c r="E11" t="s">
        <v>191</v>
      </c>
      <c r="F11" t="s">
        <v>192</v>
      </c>
      <c r="G11">
        <v>692462</v>
      </c>
      <c r="H11">
        <f>IF(PNL!A11="","",_CALC_PNL!P11)</f>
        <v>692462</v>
      </c>
      <c r="I11" t="str">
        <f>IF(PNL!A11="","",IF(_CALC_PNL!E11=1,H11-G11,""))</f>
        <v/>
      </c>
    </row>
    <row r="12" ht="14.25" customHeight="1">
      <c r="A12" t="s">
        <v>94</v>
      </c>
      <c r="B12" t="s">
        <v>242</v>
      </c>
      <c r="C12" t="s">
        <v>211</v>
      </c>
      <c r="D12" t="s">
        <v>273</v>
      </c>
      <c r="E12" t="s">
        <v>191</v>
      </c>
      <c r="F12" t="s">
        <v>192</v>
      </c>
      <c r="G12">
        <v>1105509</v>
      </c>
      <c r="H12">
        <f>IF(PNL!A12="","",_CALC_PNL!P12)</f>
        <v>1105509</v>
      </c>
      <c r="I12" t="str">
        <f>IF(PNL!A12="","",IF(_CALC_PNL!E12=1,H12-G12,""))</f>
        <v/>
      </c>
    </row>
    <row r="13" ht="14.25" customHeight="1">
      <c r="A13" t="s">
        <v>95</v>
      </c>
      <c r="B13" t="s">
        <v>242</v>
      </c>
      <c r="C13" t="s">
        <v>211</v>
      </c>
      <c r="D13" t="s">
        <v>273</v>
      </c>
      <c r="E13" t="s">
        <v>191</v>
      </c>
      <c r="F13" t="s">
        <v>192</v>
      </c>
      <c r="G13">
        <v>796823</v>
      </c>
      <c r="H13">
        <f>IF(PNL!A13="","",_CALC_PNL!P13)</f>
        <v>796823</v>
      </c>
      <c r="I13" t="str">
        <f>IF(PNL!A13="","",IF(_CALC_PNL!E13=1,H13-G13,""))</f>
        <v/>
      </c>
    </row>
    <row r="14" ht="14.25" customHeight="1">
      <c r="A14" t="s">
        <v>96</v>
      </c>
      <c r="B14" t="s">
        <v>242</v>
      </c>
      <c r="C14" t="s">
        <v>211</v>
      </c>
      <c r="D14" t="s">
        <v>273</v>
      </c>
      <c r="E14" t="s">
        <v>191</v>
      </c>
      <c r="F14" t="s">
        <v>192</v>
      </c>
      <c r="G14">
        <v>962905</v>
      </c>
      <c r="H14">
        <f>IF(PNL!A14="","",_CALC_PNL!P14)</f>
        <v>962905</v>
      </c>
      <c r="I14" t="str">
        <f>IF(PNL!A14="","",IF(_CALC_PNL!E14=1,H14-G14,""))</f>
        <v/>
      </c>
    </row>
    <row r="15" ht="14.25" customHeight="1">
      <c r="A15" t="s">
        <v>97</v>
      </c>
      <c r="B15" t="s">
        <v>242</v>
      </c>
      <c r="C15" t="s">
        <v>211</v>
      </c>
      <c r="D15" t="s">
        <v>273</v>
      </c>
      <c r="E15" t="s">
        <v>191</v>
      </c>
      <c r="F15" t="s">
        <v>192</v>
      </c>
      <c r="G15">
        <v>765352</v>
      </c>
      <c r="H15">
        <f>IF(PNL!A15="","",_CALC_PNL!P15)</f>
        <v>765352</v>
      </c>
      <c r="I15" t="str">
        <f>IF(PNL!A15="","",IF(_CALC_PNL!E15=1,H15-G15,""))</f>
        <v/>
      </c>
    </row>
    <row r="16" ht="14.25" customHeight="1">
      <c r="A16" t="s">
        <v>75</v>
      </c>
      <c r="B16" t="s">
        <v>242</v>
      </c>
      <c r="C16" t="s">
        <v>210</v>
      </c>
      <c r="D16" t="s">
        <v>273</v>
      </c>
      <c r="E16" t="s">
        <v>191</v>
      </c>
      <c r="F16" t="s">
        <v>192</v>
      </c>
      <c r="G16">
        <v>2329811</v>
      </c>
      <c r="H16">
        <f>IF(PNL!A16="","",_CALC_PNL!P16)</f>
        <v>2329811</v>
      </c>
      <c r="I16" t="str">
        <f>IF(PNL!A16="","",IF(_CALC_PNL!E16=1,H16-G16,""))</f>
        <v/>
      </c>
    </row>
    <row r="17" ht="14.25" customHeight="1">
      <c r="A17" t="s">
        <v>77</v>
      </c>
      <c r="B17" t="s">
        <v>242</v>
      </c>
      <c r="C17" t="s">
        <v>210</v>
      </c>
      <c r="D17" t="s">
        <v>273</v>
      </c>
      <c r="E17" t="s">
        <v>191</v>
      </c>
      <c r="F17" t="s">
        <v>192</v>
      </c>
      <c r="G17">
        <v>1853844</v>
      </c>
      <c r="H17">
        <f>IF(PNL!A17="","",_CALC_PNL!P17)</f>
        <v>1853844</v>
      </c>
      <c r="I17" t="str">
        <f>IF(PNL!A17="","",IF(_CALC_PNL!E17=1,H17-G17,""))</f>
        <v/>
      </c>
    </row>
    <row r="18" ht="14.25" customHeight="1">
      <c r="A18" t="s">
        <v>79</v>
      </c>
      <c r="B18" t="s">
        <v>242</v>
      </c>
      <c r="C18" t="s">
        <v>210</v>
      </c>
      <c r="D18" t="s">
        <v>273</v>
      </c>
      <c r="E18" t="s">
        <v>191</v>
      </c>
      <c r="F18" t="s">
        <v>192</v>
      </c>
      <c r="G18">
        <v>1601415</v>
      </c>
      <c r="H18">
        <f>IF(PNL!A18="","",_CALC_PNL!P18)</f>
        <v>1601415</v>
      </c>
      <c r="I18" t="str">
        <f>IF(PNL!A18="","",IF(_CALC_PNL!E18=1,H18-G18,""))</f>
        <v/>
      </c>
    </row>
    <row r="19" ht="14.25" customHeight="1">
      <c r="A19" t="s">
        <v>81</v>
      </c>
      <c r="B19" t="s">
        <v>242</v>
      </c>
      <c r="C19" t="s">
        <v>210</v>
      </c>
      <c r="D19" t="s">
        <v>273</v>
      </c>
      <c r="E19" t="s">
        <v>191</v>
      </c>
      <c r="F19" t="s">
        <v>192</v>
      </c>
      <c r="G19">
        <v>1314533</v>
      </c>
      <c r="H19">
        <f>IF(PNL!A19="","",_CALC_PNL!P19)</f>
        <v>1314533</v>
      </c>
      <c r="I19" t="str">
        <f>IF(PNL!A19="","",IF(_CALC_PNL!E19=1,H19-G19,""))</f>
        <v/>
      </c>
    </row>
    <row r="20" ht="14.25" customHeight="1">
      <c r="A20" t="s">
        <v>83</v>
      </c>
      <c r="B20" t="s">
        <v>242</v>
      </c>
      <c r="C20" t="s">
        <v>210</v>
      </c>
      <c r="D20" t="s">
        <v>273</v>
      </c>
      <c r="E20" t="s">
        <v>191</v>
      </c>
      <c r="F20" t="s">
        <v>192</v>
      </c>
      <c r="G20">
        <v>2161283</v>
      </c>
      <c r="H20">
        <f>IF(PNL!A20="","",_CALC_PNL!P20)</f>
        <v>2161283</v>
      </c>
      <c r="I20" t="str">
        <f>IF(PNL!A20="","",IF(_CALC_PNL!E20=1,H20-G20,""))</f>
        <v/>
      </c>
    </row>
    <row r="21" ht="14.25" customHeight="1">
      <c r="A21" t="s">
        <v>84</v>
      </c>
      <c r="B21" t="s">
        <v>242</v>
      </c>
      <c r="C21" t="s">
        <v>210</v>
      </c>
      <c r="D21" t="s">
        <v>273</v>
      </c>
      <c r="E21" t="s">
        <v>191</v>
      </c>
      <c r="F21" t="s">
        <v>192</v>
      </c>
      <c r="G21">
        <v>1301274</v>
      </c>
      <c r="H21">
        <f>IF(PNL!A21="","",_CALC_PNL!P21)</f>
        <v>1301274</v>
      </c>
      <c r="I21" t="str">
        <f>IF(PNL!A21="","",IF(_CALC_PNL!E21=1,H21-G21,""))</f>
        <v/>
      </c>
    </row>
    <row r="22" ht="14.25" customHeight="1">
      <c r="A22" t="s">
        <v>86</v>
      </c>
      <c r="B22" t="s">
        <v>242</v>
      </c>
      <c r="C22" t="s">
        <v>210</v>
      </c>
      <c r="D22" t="s">
        <v>273</v>
      </c>
      <c r="E22" t="s">
        <v>191</v>
      </c>
      <c r="F22" t="s">
        <v>192</v>
      </c>
      <c r="G22">
        <v>1208604</v>
      </c>
      <c r="H22">
        <f>IF(PNL!A22="","",_CALC_PNL!P22)</f>
        <v>1208604</v>
      </c>
      <c r="I22" t="str">
        <f>IF(PNL!A22="","",IF(_CALC_PNL!E22=1,H22-G22,""))</f>
        <v/>
      </c>
    </row>
    <row r="23" ht="14.25" customHeight="1">
      <c r="A23" t="s">
        <v>88</v>
      </c>
      <c r="B23" t="s">
        <v>242</v>
      </c>
      <c r="C23" t="s">
        <v>210</v>
      </c>
      <c r="D23" t="s">
        <v>273</v>
      </c>
      <c r="E23" t="s">
        <v>191</v>
      </c>
      <c r="F23" t="s">
        <v>192</v>
      </c>
      <c r="G23">
        <v>957547</v>
      </c>
      <c r="H23">
        <f>IF(PNL!A23="","",_CALC_PNL!P23)</f>
        <v>957547</v>
      </c>
      <c r="I23" t="str">
        <f>IF(PNL!A23="","",IF(_CALC_PNL!E23=1,H23-G23,""))</f>
        <v/>
      </c>
    </row>
    <row r="24" ht="14.25" customHeight="1">
      <c r="A24" t="s">
        <v>90</v>
      </c>
      <c r="B24" t="s">
        <v>242</v>
      </c>
      <c r="C24" t="s">
        <v>210</v>
      </c>
      <c r="D24" t="s">
        <v>273</v>
      </c>
      <c r="E24" t="s">
        <v>191</v>
      </c>
      <c r="F24" t="s">
        <v>192</v>
      </c>
      <c r="G24">
        <v>734009</v>
      </c>
      <c r="H24">
        <f>IF(PNL!A24="","",_CALC_PNL!P24)</f>
        <v>734009</v>
      </c>
      <c r="I24" t="str">
        <f>IF(PNL!A24="","",IF(_CALC_PNL!E24=1,H24-G24,""))</f>
        <v/>
      </c>
    </row>
    <row r="25" ht="14.25" customHeight="1">
      <c r="A25" t="s">
        <v>92</v>
      </c>
      <c r="B25" t="s">
        <v>242</v>
      </c>
      <c r="C25" t="s">
        <v>210</v>
      </c>
      <c r="D25" t="s">
        <v>273</v>
      </c>
      <c r="E25" t="s">
        <v>191</v>
      </c>
      <c r="F25" t="s">
        <v>192</v>
      </c>
      <c r="G25">
        <v>734009</v>
      </c>
      <c r="H25">
        <f>IF(PNL!A25="","",_CALC_PNL!P25)</f>
        <v>734009</v>
      </c>
      <c r="I25" t="str">
        <f>IF(PNL!A25="","",IF(_CALC_PNL!E25=1,H25-G25,""))</f>
        <v/>
      </c>
    </row>
    <row r="26" ht="14.25" customHeight="1">
      <c r="A26" t="s">
        <v>94</v>
      </c>
      <c r="B26" t="s">
        <v>242</v>
      </c>
      <c r="C26" t="s">
        <v>210</v>
      </c>
      <c r="D26" t="s">
        <v>273</v>
      </c>
      <c r="E26" t="s">
        <v>191</v>
      </c>
      <c r="F26" t="s">
        <v>192</v>
      </c>
      <c r="G26">
        <v>1171840</v>
      </c>
      <c r="H26">
        <f>IF(PNL!A26="","",_CALC_PNL!P26)</f>
        <v>1171840</v>
      </c>
      <c r="I26" t="str">
        <f>IF(PNL!A26="","",IF(_CALC_PNL!E26=1,H26-G26,""))</f>
        <v/>
      </c>
    </row>
    <row r="27" ht="14.25" customHeight="1">
      <c r="A27" t="s">
        <v>95</v>
      </c>
      <c r="B27" t="s">
        <v>242</v>
      </c>
      <c r="C27" t="s">
        <v>210</v>
      </c>
      <c r="D27" t="s">
        <v>273</v>
      </c>
      <c r="E27" t="s">
        <v>191</v>
      </c>
      <c r="F27" t="s">
        <v>192</v>
      </c>
      <c r="G27">
        <v>844632</v>
      </c>
      <c r="H27">
        <f>IF(PNL!A27="","",_CALC_PNL!P27)</f>
        <v>844632</v>
      </c>
      <c r="I27" t="str">
        <f>IF(PNL!A27="","",IF(_CALC_PNL!E27=1,H27-G27,""))</f>
        <v/>
      </c>
    </row>
    <row r="28" ht="14.25" customHeight="1">
      <c r="A28" t="s">
        <v>96</v>
      </c>
      <c r="B28" t="s">
        <v>242</v>
      </c>
      <c r="C28" t="s">
        <v>210</v>
      </c>
      <c r="D28" t="s">
        <v>273</v>
      </c>
      <c r="E28" t="s">
        <v>191</v>
      </c>
      <c r="F28" t="s">
        <v>192</v>
      </c>
      <c r="G28">
        <v>1020679</v>
      </c>
      <c r="H28">
        <f>IF(PNL!A28="","",_CALC_PNL!P28)</f>
        <v>1020679</v>
      </c>
      <c r="I28" t="str">
        <f>IF(PNL!A28="","",IF(_CALC_PNL!E28=1,H28-G28,""))</f>
        <v/>
      </c>
    </row>
    <row r="29" ht="14.25" customHeight="1">
      <c r="A29" t="s">
        <v>97</v>
      </c>
      <c r="B29" t="s">
        <v>242</v>
      </c>
      <c r="C29" t="s">
        <v>210</v>
      </c>
      <c r="D29" t="s">
        <v>273</v>
      </c>
      <c r="E29" t="s">
        <v>191</v>
      </c>
      <c r="F29" t="s">
        <v>192</v>
      </c>
      <c r="G29">
        <v>811274</v>
      </c>
      <c r="H29">
        <f>IF(PNL!A29="","",_CALC_PNL!P29)</f>
        <v>811274</v>
      </c>
      <c r="I29" t="str">
        <f>IF(PNL!A29="","",IF(_CALC_PNL!E29=1,H29-G29,""))</f>
        <v/>
      </c>
    </row>
    <row r="30" ht="14.25" customHeight="1">
      <c r="A30" t="s">
        <v>75</v>
      </c>
      <c r="B30" t="s">
        <v>242</v>
      </c>
      <c r="C30" t="s">
        <v>25</v>
      </c>
      <c r="D30" t="s">
        <v>273</v>
      </c>
      <c r="E30" t="s">
        <v>191</v>
      </c>
      <c r="F30" t="s">
        <v>192</v>
      </c>
      <c r="G30">
        <v>2469600</v>
      </c>
      <c r="H30">
        <f>IF(PNL!A30="","",_CALC_PNL!P30)</f>
        <v>2469600</v>
      </c>
      <c r="I30" t="str">
        <f>IF(PNL!A30="","",IF(_CALC_PNL!E30=1,H30-G30,""))</f>
        <v/>
      </c>
    </row>
    <row r="31" ht="14.25" customHeight="1">
      <c r="A31" t="s">
        <v>77</v>
      </c>
      <c r="B31" t="s">
        <v>242</v>
      </c>
      <c r="C31" t="s">
        <v>25</v>
      </c>
      <c r="D31" t="s">
        <v>273</v>
      </c>
      <c r="E31" t="s">
        <v>191</v>
      </c>
      <c r="F31" t="s">
        <v>192</v>
      </c>
      <c r="G31">
        <v>1965075</v>
      </c>
      <c r="H31">
        <f>IF(PNL!A31="","",_CALC_PNL!P31)</f>
        <v>1965075</v>
      </c>
      <c r="I31" t="str">
        <f>IF(PNL!A31="","",IF(_CALC_PNL!E31=1,H31-G31,""))</f>
        <v/>
      </c>
    </row>
    <row r="32" ht="14.25" customHeight="1">
      <c r="A32" t="s">
        <v>79</v>
      </c>
      <c r="B32" t="s">
        <v>242</v>
      </c>
      <c r="C32" t="s">
        <v>25</v>
      </c>
      <c r="D32" t="s">
        <v>273</v>
      </c>
      <c r="E32" t="s">
        <v>191</v>
      </c>
      <c r="F32" t="s">
        <v>192</v>
      </c>
      <c r="G32">
        <v>1697500</v>
      </c>
      <c r="H32">
        <f>IF(PNL!A32="","",_CALC_PNL!P32)</f>
        <v>1697500</v>
      </c>
      <c r="I32" t="str">
        <f>IF(PNL!A32="","",IF(_CALC_PNL!E32=1,H32-G32,""))</f>
        <v/>
      </c>
    </row>
    <row r="33" ht="14.25" customHeight="1">
      <c r="A33" t="s">
        <v>81</v>
      </c>
      <c r="B33" t="s">
        <v>242</v>
      </c>
      <c r="C33" t="s">
        <v>25</v>
      </c>
      <c r="D33" t="s">
        <v>273</v>
      </c>
      <c r="E33" t="s">
        <v>191</v>
      </c>
      <c r="F33" t="s">
        <v>192</v>
      </c>
      <c r="G33">
        <v>1393405</v>
      </c>
      <c r="H33">
        <f>IF(PNL!A33="","",_CALC_PNL!P33)</f>
        <v>1393405</v>
      </c>
      <c r="I33" t="str">
        <f>IF(PNL!A33="","",IF(_CALC_PNL!E33=1,H33-G33,""))</f>
        <v/>
      </c>
    </row>
    <row r="34" ht="14.25" customHeight="1">
      <c r="A34" t="s">
        <v>83</v>
      </c>
      <c r="B34" t="s">
        <v>242</v>
      </c>
      <c r="C34" t="s">
        <v>25</v>
      </c>
      <c r="D34" t="s">
        <v>273</v>
      </c>
      <c r="E34" t="s">
        <v>191</v>
      </c>
      <c r="F34" t="s">
        <v>192</v>
      </c>
      <c r="G34">
        <v>2290960</v>
      </c>
      <c r="H34">
        <f>IF(PNL!A34="","",_CALC_PNL!P34)</f>
        <v>2290960</v>
      </c>
      <c r="I34" t="str">
        <f>IF(PNL!A34="","",IF(_CALC_PNL!E34=1,H34-G34,""))</f>
        <v/>
      </c>
    </row>
    <row r="35" ht="14.25" customHeight="1">
      <c r="A35" t="s">
        <v>84</v>
      </c>
      <c r="B35" t="s">
        <v>242</v>
      </c>
      <c r="C35" t="s">
        <v>25</v>
      </c>
      <c r="D35" t="s">
        <v>273</v>
      </c>
      <c r="E35" t="s">
        <v>191</v>
      </c>
      <c r="F35" t="s">
        <v>192</v>
      </c>
      <c r="G35">
        <v>1379350</v>
      </c>
      <c r="H35">
        <f>IF(PNL!A35="","",_CALC_PNL!P35)</f>
        <v>1379350</v>
      </c>
      <c r="I35" t="str">
        <f>IF(PNL!A35="","",IF(_CALC_PNL!E35=1,H35-G35,""))</f>
        <v/>
      </c>
    </row>
    <row r="36" ht="14.25" customHeight="1">
      <c r="A36" t="s">
        <v>86</v>
      </c>
      <c r="B36" t="s">
        <v>242</v>
      </c>
      <c r="C36" t="s">
        <v>25</v>
      </c>
      <c r="D36" t="s">
        <v>273</v>
      </c>
      <c r="E36" t="s">
        <v>191</v>
      </c>
      <c r="F36" t="s">
        <v>192</v>
      </c>
      <c r="G36">
        <v>1281120</v>
      </c>
      <c r="H36">
        <f>IF(PNL!A36="","",_CALC_PNL!P36)</f>
        <v>1281120</v>
      </c>
      <c r="I36" t="str">
        <f>IF(PNL!A36="","",IF(_CALC_PNL!E36=1,H36-G36,""))</f>
        <v/>
      </c>
    </row>
    <row r="37" ht="14.25" customHeight="1">
      <c r="A37" t="s">
        <v>88</v>
      </c>
      <c r="B37" t="s">
        <v>242</v>
      </c>
      <c r="C37" t="s">
        <v>25</v>
      </c>
      <c r="D37" t="s">
        <v>273</v>
      </c>
      <c r="E37" t="s">
        <v>191</v>
      </c>
      <c r="F37" t="s">
        <v>192</v>
      </c>
      <c r="G37">
        <v>1015000</v>
      </c>
      <c r="H37">
        <f>IF(PNL!A37="","",_CALC_PNL!P37)</f>
        <v>1015000</v>
      </c>
      <c r="I37" t="str">
        <f>IF(PNL!A37="","",IF(_CALC_PNL!E37=1,H37-G37,""))</f>
        <v/>
      </c>
    </row>
    <row r="38" ht="14.25" customHeight="1">
      <c r="A38" t="s">
        <v>90</v>
      </c>
      <c r="B38" t="s">
        <v>242</v>
      </c>
      <c r="C38" t="s">
        <v>25</v>
      </c>
      <c r="D38" t="s">
        <v>273</v>
      </c>
      <c r="E38" t="s">
        <v>191</v>
      </c>
      <c r="F38" t="s">
        <v>192</v>
      </c>
      <c r="G38">
        <v>778050</v>
      </c>
      <c r="H38">
        <f>IF(PNL!A38="","",_CALC_PNL!P38)</f>
        <v>778050</v>
      </c>
      <c r="I38" t="str">
        <f>IF(PNL!A38="","",IF(_CALC_PNL!E38=1,H38-G38,""))</f>
        <v/>
      </c>
    </row>
    <row r="39" ht="14.25" customHeight="1">
      <c r="A39" t="s">
        <v>92</v>
      </c>
      <c r="B39" t="s">
        <v>242</v>
      </c>
      <c r="C39" t="s">
        <v>25</v>
      </c>
      <c r="D39" t="s">
        <v>273</v>
      </c>
      <c r="E39" t="s">
        <v>191</v>
      </c>
      <c r="F39" t="s">
        <v>192</v>
      </c>
      <c r="G39">
        <v>778050</v>
      </c>
      <c r="H39">
        <f>IF(PNL!A39="","",_CALC_PNL!P39)</f>
        <v>778050</v>
      </c>
      <c r="I39" t="str">
        <f>IF(PNL!A39="","",IF(_CALC_PNL!E39=1,H39-G39,""))</f>
        <v/>
      </c>
    </row>
    <row r="40" ht="14.25" customHeight="1">
      <c r="A40" t="s">
        <v>94</v>
      </c>
      <c r="B40" t="s">
        <v>242</v>
      </c>
      <c r="C40" t="s">
        <v>25</v>
      </c>
      <c r="D40" t="s">
        <v>273</v>
      </c>
      <c r="E40" t="s">
        <v>191</v>
      </c>
      <c r="F40" t="s">
        <v>192</v>
      </c>
      <c r="G40">
        <v>1242150</v>
      </c>
      <c r="H40">
        <f>IF(PNL!A40="","",_CALC_PNL!P40)</f>
        <v>1242150</v>
      </c>
      <c r="I40" t="str">
        <f>IF(PNL!A40="","",IF(_CALC_PNL!E40=1,H40-G40,""))</f>
        <v/>
      </c>
    </row>
    <row r="41" ht="14.25" customHeight="1">
      <c r="A41" t="s">
        <v>95</v>
      </c>
      <c r="B41" t="s">
        <v>242</v>
      </c>
      <c r="C41" t="s">
        <v>25</v>
      </c>
      <c r="D41" t="s">
        <v>273</v>
      </c>
      <c r="E41" t="s">
        <v>191</v>
      </c>
      <c r="F41" t="s">
        <v>192</v>
      </c>
      <c r="G41">
        <v>895310</v>
      </c>
      <c r="H41">
        <f>IF(PNL!A41="","",_CALC_PNL!P41)</f>
        <v>895310</v>
      </c>
      <c r="I41" t="str">
        <f>IF(PNL!A41="","",IF(_CALC_PNL!E41=1,H41-G41,""))</f>
        <v/>
      </c>
    </row>
    <row r="42" ht="14.25" customHeight="1">
      <c r="A42" t="s">
        <v>96</v>
      </c>
      <c r="B42" t="s">
        <v>242</v>
      </c>
      <c r="C42" t="s">
        <v>25</v>
      </c>
      <c r="D42" t="s">
        <v>273</v>
      </c>
      <c r="E42" t="s">
        <v>191</v>
      </c>
      <c r="F42" t="s">
        <v>192</v>
      </c>
      <c r="G42">
        <v>1081920</v>
      </c>
      <c r="H42">
        <f>IF(PNL!A42="","",_CALC_PNL!P42)</f>
        <v>1081920</v>
      </c>
      <c r="I42" t="str">
        <f>IF(PNL!A42="","",IF(_CALC_PNL!E42=1,H42-G42,""))</f>
        <v/>
      </c>
    </row>
    <row r="43" ht="14.25" customHeight="1">
      <c r="A43" t="s">
        <v>97</v>
      </c>
      <c r="B43" t="s">
        <v>242</v>
      </c>
      <c r="C43" t="s">
        <v>25</v>
      </c>
      <c r="D43" t="s">
        <v>273</v>
      </c>
      <c r="E43" t="s">
        <v>191</v>
      </c>
      <c r="F43" t="s">
        <v>192</v>
      </c>
      <c r="G43">
        <v>859950</v>
      </c>
      <c r="H43">
        <f>IF(PNL!A43="","",_CALC_PNL!P43)</f>
        <v>859950</v>
      </c>
      <c r="I43" t="str">
        <f>IF(PNL!A43="","",IF(_CALC_PNL!E43=1,H43-G43,""))</f>
        <v/>
      </c>
    </row>
    <row r="44" ht="14.25" customHeight="1">
      <c r="A44" t="s">
        <v>75</v>
      </c>
      <c r="B44" t="s">
        <v>243</v>
      </c>
      <c r="C44" t="s">
        <v>211</v>
      </c>
      <c r="D44" t="s">
        <v>273</v>
      </c>
      <c r="E44" t="s">
        <v>191</v>
      </c>
      <c r="F44" t="s">
        <v>192</v>
      </c>
      <c r="G44">
        <v>583126</v>
      </c>
      <c r="H44">
        <f>IF(PNL!A44="","",_CALC_PNL!P44)</f>
        <v>583126</v>
      </c>
      <c r="I44" t="str">
        <f>IF(PNL!A44="","",IF(_CALC_PNL!E44=1,H44-G44,""))</f>
        <v/>
      </c>
    </row>
    <row r="45" ht="14.25" customHeight="1">
      <c r="A45" t="s">
        <v>77</v>
      </c>
      <c r="B45" t="s">
        <v>243</v>
      </c>
      <c r="C45" t="s">
        <v>211</v>
      </c>
      <c r="D45" t="s">
        <v>273</v>
      </c>
      <c r="E45" t="s">
        <v>191</v>
      </c>
      <c r="F45" t="s">
        <v>192</v>
      </c>
      <c r="G45">
        <v>462576</v>
      </c>
      <c r="H45">
        <f>IF(PNL!A45="","",_CALC_PNL!P45)</f>
        <v>462576</v>
      </c>
      <c r="I45" t="str">
        <f>IF(PNL!A45="","",IF(_CALC_PNL!E45=1,H45-G45,""))</f>
        <v/>
      </c>
    </row>
    <row r="46" ht="14.25" customHeight="1">
      <c r="A46" t="s">
        <v>79</v>
      </c>
      <c r="B46" t="s">
        <v>243</v>
      </c>
      <c r="C46" t="s">
        <v>211</v>
      </c>
      <c r="D46" t="s">
        <v>273</v>
      </c>
      <c r="E46" t="s">
        <v>191</v>
      </c>
      <c r="F46" t="s">
        <v>192</v>
      </c>
      <c r="G46">
        <v>400498</v>
      </c>
      <c r="H46">
        <f>IF(PNL!A46="","",_CALC_PNL!P46)</f>
        <v>400498</v>
      </c>
      <c r="I46" t="str">
        <f>IF(PNL!A46="","",IF(_CALC_PNL!E46=1,H46-G46,""))</f>
        <v/>
      </c>
    </row>
    <row r="47" ht="14.25" customHeight="1">
      <c r="A47" t="s">
        <v>81</v>
      </c>
      <c r="B47" t="s">
        <v>243</v>
      </c>
      <c r="C47" t="s">
        <v>211</v>
      </c>
      <c r="D47" t="s">
        <v>273</v>
      </c>
      <c r="E47" t="s">
        <v>191</v>
      </c>
      <c r="F47" t="s">
        <v>192</v>
      </c>
      <c r="G47">
        <v>330211</v>
      </c>
      <c r="H47">
        <f>IF(PNL!A47="","",_CALC_PNL!P47)</f>
        <v>330211</v>
      </c>
      <c r="I47" t="str">
        <f>IF(PNL!A47="","",IF(_CALC_PNL!E47=1,H47-G47,""))</f>
        <v/>
      </c>
    </row>
    <row r="48" ht="14.25" customHeight="1">
      <c r="A48" t="s">
        <v>83</v>
      </c>
      <c r="B48" t="s">
        <v>243</v>
      </c>
      <c r="C48" t="s">
        <v>211</v>
      </c>
      <c r="D48" t="s">
        <v>273</v>
      </c>
      <c r="E48" t="s">
        <v>191</v>
      </c>
      <c r="F48" t="s">
        <v>192</v>
      </c>
      <c r="G48">
        <v>538270</v>
      </c>
      <c r="H48">
        <f>IF(PNL!A48="","",_CALC_PNL!P48)</f>
        <v>538270</v>
      </c>
      <c r="I48" t="str">
        <f>IF(PNL!A48="","",IF(_CALC_PNL!E48=1,H48-G48,""))</f>
        <v/>
      </c>
    </row>
    <row r="49" ht="14.25" customHeight="1">
      <c r="A49" t="s">
        <v>84</v>
      </c>
      <c r="B49" t="s">
        <v>243</v>
      </c>
      <c r="C49" t="s">
        <v>211</v>
      </c>
      <c r="D49" t="s">
        <v>273</v>
      </c>
      <c r="E49" t="s">
        <v>191</v>
      </c>
      <c r="F49" t="s">
        <v>192</v>
      </c>
      <c r="G49">
        <v>327074</v>
      </c>
      <c r="H49">
        <f>IF(PNL!A49="","",_CALC_PNL!P49)</f>
        <v>327074</v>
      </c>
      <c r="I49" t="str">
        <f>IF(PNL!A49="","",IF(_CALC_PNL!E49=1,H49-G49,""))</f>
        <v/>
      </c>
    </row>
    <row r="50" ht="14.25" customHeight="1">
      <c r="A50" t="s">
        <v>86</v>
      </c>
      <c r="B50" t="s">
        <v>243</v>
      </c>
      <c r="C50" t="s">
        <v>211</v>
      </c>
      <c r="D50" t="s">
        <v>273</v>
      </c>
      <c r="E50" t="s">
        <v>191</v>
      </c>
      <c r="F50" t="s">
        <v>192</v>
      </c>
      <c r="G50">
        <v>301175</v>
      </c>
      <c r="H50">
        <f>IF(PNL!A50="","",_CALC_PNL!P50)</f>
        <v>301175</v>
      </c>
      <c r="I50" t="str">
        <f>IF(PNL!A50="","",IF(_CALC_PNL!E50=1,H50-G50,""))</f>
        <v/>
      </c>
    </row>
    <row r="51" ht="14.25" customHeight="1">
      <c r="A51" t="s">
        <v>75</v>
      </c>
      <c r="B51" t="s">
        <v>243</v>
      </c>
      <c r="C51" t="s">
        <v>210</v>
      </c>
      <c r="D51" t="s">
        <v>273</v>
      </c>
      <c r="E51" t="s">
        <v>191</v>
      </c>
      <c r="F51" t="s">
        <v>192</v>
      </c>
      <c r="G51">
        <v>618113</v>
      </c>
      <c r="H51">
        <f>IF(PNL!A51="","",_CALC_PNL!P51)</f>
        <v>618113</v>
      </c>
      <c r="I51" t="str">
        <f>IF(PNL!A51="","",IF(_CALC_PNL!E51=1,H51-G51,""))</f>
        <v/>
      </c>
    </row>
    <row r="52" ht="14.25" customHeight="1">
      <c r="A52" t="s">
        <v>77</v>
      </c>
      <c r="B52" t="s">
        <v>243</v>
      </c>
      <c r="C52" t="s">
        <v>210</v>
      </c>
      <c r="D52" t="s">
        <v>273</v>
      </c>
      <c r="E52" t="s">
        <v>191</v>
      </c>
      <c r="F52" t="s">
        <v>192</v>
      </c>
      <c r="G52">
        <v>490330</v>
      </c>
      <c r="H52">
        <f>IF(PNL!A52="","",_CALC_PNL!P52)</f>
        <v>490330</v>
      </c>
      <c r="I52" t="str">
        <f>IF(PNL!A52="","",IF(_CALC_PNL!E52=1,H52-G52,""))</f>
        <v/>
      </c>
    </row>
    <row r="53" ht="14.25" customHeight="1">
      <c r="A53" t="s">
        <v>79</v>
      </c>
      <c r="B53" t="s">
        <v>243</v>
      </c>
      <c r="C53" t="s">
        <v>210</v>
      </c>
      <c r="D53" t="s">
        <v>273</v>
      </c>
      <c r="E53" t="s">
        <v>191</v>
      </c>
      <c r="F53" t="s">
        <v>192</v>
      </c>
      <c r="G53">
        <v>424528</v>
      </c>
      <c r="H53">
        <f>IF(PNL!A53="","",_CALC_PNL!P53)</f>
        <v>424528</v>
      </c>
      <c r="I53" t="str">
        <f>IF(PNL!A53="","",IF(_CALC_PNL!E53=1,H53-G53,""))</f>
        <v/>
      </c>
    </row>
    <row r="54" ht="14.25" customHeight="1">
      <c r="A54" t="s">
        <v>81</v>
      </c>
      <c r="B54" t="s">
        <v>243</v>
      </c>
      <c r="C54" t="s">
        <v>210</v>
      </c>
      <c r="D54" t="s">
        <v>273</v>
      </c>
      <c r="E54" t="s">
        <v>191</v>
      </c>
      <c r="F54" t="s">
        <v>192</v>
      </c>
      <c r="G54">
        <v>350024</v>
      </c>
      <c r="H54">
        <f>IF(PNL!A54="","",_CALC_PNL!P54)</f>
        <v>350024</v>
      </c>
      <c r="I54" t="str">
        <f>IF(PNL!A54="","",IF(_CALC_PNL!E54=1,H54-G54,""))</f>
        <v/>
      </c>
    </row>
    <row r="55" ht="14.25" customHeight="1">
      <c r="A55" t="s">
        <v>83</v>
      </c>
      <c r="B55" t="s">
        <v>243</v>
      </c>
      <c r="C55" t="s">
        <v>210</v>
      </c>
      <c r="D55" t="s">
        <v>273</v>
      </c>
      <c r="E55" t="s">
        <v>191</v>
      </c>
      <c r="F55" t="s">
        <v>192</v>
      </c>
      <c r="G55">
        <v>570566</v>
      </c>
      <c r="H55">
        <f>IF(PNL!A55="","",_CALC_PNL!P55)</f>
        <v>570566</v>
      </c>
      <c r="I55" t="str">
        <f>IF(PNL!A55="","",IF(_CALC_PNL!E55=1,H55-G55,""))</f>
        <v/>
      </c>
    </row>
    <row r="56" ht="14.25" customHeight="1">
      <c r="A56" t="s">
        <v>84</v>
      </c>
      <c r="B56" t="s">
        <v>243</v>
      </c>
      <c r="C56" t="s">
        <v>210</v>
      </c>
      <c r="D56" t="s">
        <v>273</v>
      </c>
      <c r="E56" t="s">
        <v>191</v>
      </c>
      <c r="F56" t="s">
        <v>192</v>
      </c>
      <c r="G56">
        <v>346698</v>
      </c>
      <c r="H56">
        <f>IF(PNL!A56="","",_CALC_PNL!P56)</f>
        <v>346698</v>
      </c>
      <c r="I56" t="str">
        <f>IF(PNL!A56="","",IF(_CALC_PNL!E56=1,H56-G56,""))</f>
        <v/>
      </c>
    </row>
    <row r="57" ht="14.25" customHeight="1">
      <c r="A57" t="s">
        <v>86</v>
      </c>
      <c r="B57" t="s">
        <v>243</v>
      </c>
      <c r="C57" t="s">
        <v>210</v>
      </c>
      <c r="D57" t="s">
        <v>273</v>
      </c>
      <c r="E57" t="s">
        <v>191</v>
      </c>
      <c r="F57" t="s">
        <v>192</v>
      </c>
      <c r="G57">
        <v>319245</v>
      </c>
      <c r="H57">
        <f>IF(PNL!A57="","",_CALC_PNL!P57)</f>
        <v>319245</v>
      </c>
      <c r="I57" t="str">
        <f>IF(PNL!A57="","",IF(_CALC_PNL!E57=1,H57-G57,""))</f>
        <v/>
      </c>
    </row>
    <row r="58" ht="14.25" customHeight="1">
      <c r="A58" t="s">
        <v>75</v>
      </c>
      <c r="B58" t="s">
        <v>243</v>
      </c>
      <c r="C58" t="s">
        <v>25</v>
      </c>
      <c r="D58" t="s">
        <v>273</v>
      </c>
      <c r="E58" t="s">
        <v>191</v>
      </c>
      <c r="F58" t="s">
        <v>192</v>
      </c>
      <c r="G58">
        <v>655200</v>
      </c>
      <c r="H58">
        <f>IF(PNL!A58="","",_CALC_PNL!P58)</f>
        <v>655200</v>
      </c>
      <c r="I58" t="str">
        <f>IF(PNL!A58="","",IF(_CALC_PNL!E58=1,H58-G58,""))</f>
        <v/>
      </c>
    </row>
    <row r="59" ht="14.25" customHeight="1">
      <c r="A59" t="s">
        <v>77</v>
      </c>
      <c r="B59" t="s">
        <v>243</v>
      </c>
      <c r="C59" t="s">
        <v>25</v>
      </c>
      <c r="D59" t="s">
        <v>273</v>
      </c>
      <c r="E59" t="s">
        <v>191</v>
      </c>
      <c r="F59" t="s">
        <v>192</v>
      </c>
      <c r="G59">
        <v>519750</v>
      </c>
      <c r="H59">
        <f>IF(PNL!A59="","",_CALC_PNL!P59)</f>
        <v>519750</v>
      </c>
      <c r="I59" t="str">
        <f>IF(PNL!A59="","",IF(_CALC_PNL!E59=1,H59-G59,""))</f>
        <v/>
      </c>
    </row>
    <row r="60" ht="14.25" customHeight="1">
      <c r="A60" t="s">
        <v>79</v>
      </c>
      <c r="B60" t="s">
        <v>243</v>
      </c>
      <c r="C60" t="s">
        <v>25</v>
      </c>
      <c r="D60" t="s">
        <v>273</v>
      </c>
      <c r="E60" t="s">
        <v>191</v>
      </c>
      <c r="F60" t="s">
        <v>192</v>
      </c>
      <c r="G60">
        <v>450000</v>
      </c>
      <c r="H60">
        <f>IF(PNL!A60="","",_CALC_PNL!P60)</f>
        <v>450000</v>
      </c>
      <c r="I60" t="str">
        <f>IF(PNL!A60="","",IF(_CALC_PNL!E60=1,H60-G60,""))</f>
        <v/>
      </c>
    </row>
    <row r="61" ht="14.25" customHeight="1">
      <c r="A61" t="s">
        <v>81</v>
      </c>
      <c r="B61" t="s">
        <v>243</v>
      </c>
      <c r="C61" t="s">
        <v>25</v>
      </c>
      <c r="D61" t="s">
        <v>273</v>
      </c>
      <c r="E61" t="s">
        <v>191</v>
      </c>
      <c r="F61" t="s">
        <v>192</v>
      </c>
      <c r="G61">
        <v>371025</v>
      </c>
      <c r="H61">
        <f>IF(PNL!A61="","",_CALC_PNL!P61)</f>
        <v>371025</v>
      </c>
      <c r="I61" t="str">
        <f>IF(PNL!A61="","",IF(_CALC_PNL!E61=1,H61-G61,""))</f>
        <v/>
      </c>
    </row>
    <row r="62" ht="14.25" customHeight="1">
      <c r="A62" t="s">
        <v>83</v>
      </c>
      <c r="B62" t="s">
        <v>243</v>
      </c>
      <c r="C62" t="s">
        <v>25</v>
      </c>
      <c r="D62" t="s">
        <v>273</v>
      </c>
      <c r="E62" t="s">
        <v>191</v>
      </c>
      <c r="F62" t="s">
        <v>192</v>
      </c>
      <c r="G62">
        <v>604800</v>
      </c>
      <c r="H62">
        <f>IF(PNL!A62="","",_CALC_PNL!P62)</f>
        <v>604800</v>
      </c>
      <c r="I62" t="str">
        <f>IF(PNL!A62="","",IF(_CALC_PNL!E62=1,H62-G62,""))</f>
        <v/>
      </c>
    </row>
    <row r="63" ht="14.25" customHeight="1">
      <c r="A63" t="s">
        <v>84</v>
      </c>
      <c r="B63" t="s">
        <v>243</v>
      </c>
      <c r="C63" t="s">
        <v>25</v>
      </c>
      <c r="D63" t="s">
        <v>273</v>
      </c>
      <c r="E63" t="s">
        <v>191</v>
      </c>
      <c r="F63" t="s">
        <v>192</v>
      </c>
      <c r="G63">
        <v>367500</v>
      </c>
      <c r="H63">
        <f>IF(PNL!A63="","",_CALC_PNL!P63)</f>
        <v>367500</v>
      </c>
      <c r="I63" t="str">
        <f>IF(PNL!A63="","",IF(_CALC_PNL!E63=1,H63-G63,""))</f>
        <v/>
      </c>
    </row>
    <row r="64" ht="14.25" customHeight="1">
      <c r="A64" t="s">
        <v>86</v>
      </c>
      <c r="B64" t="s">
        <v>243</v>
      </c>
      <c r="C64" t="s">
        <v>25</v>
      </c>
      <c r="D64" t="s">
        <v>273</v>
      </c>
      <c r="E64" t="s">
        <v>191</v>
      </c>
      <c r="F64" t="s">
        <v>192</v>
      </c>
      <c r="G64">
        <v>338400</v>
      </c>
      <c r="H64">
        <f>IF(PNL!A64="","",_CALC_PNL!P64)</f>
        <v>338400</v>
      </c>
      <c r="I64" t="str">
        <f>IF(PNL!A64="","",IF(_CALC_PNL!E64=1,H64-G64,""))</f>
        <v/>
      </c>
    </row>
    <row r="65" ht="14.25" customHeight="1">
      <c r="A65" t="s">
        <v>75</v>
      </c>
      <c r="B65" t="s">
        <v>244</v>
      </c>
      <c r="C65" t="s">
        <v>211</v>
      </c>
      <c r="D65" t="s">
        <v>273</v>
      </c>
      <c r="E65" t="s">
        <v>191</v>
      </c>
      <c r="F65" t="s">
        <v>192</v>
      </c>
      <c r="G65">
        <v>12496</v>
      </c>
      <c r="H65">
        <f>IF(PNL!A65="","",_CALC_PNL!P65)</f>
        <v>12496</v>
      </c>
      <c r="I65" t="str">
        <f>IF(PNL!A65="","",IF(_CALC_PNL!E65=1,H65-G65,""))</f>
        <v/>
      </c>
    </row>
    <row r="66" ht="14.25" customHeight="1">
      <c r="A66" t="s">
        <v>77</v>
      </c>
      <c r="B66" t="s">
        <v>244</v>
      </c>
      <c r="C66" t="s">
        <v>211</v>
      </c>
      <c r="D66" t="s">
        <v>273</v>
      </c>
      <c r="E66" t="s">
        <v>191</v>
      </c>
      <c r="F66" t="s">
        <v>192</v>
      </c>
      <c r="G66">
        <v>10573</v>
      </c>
      <c r="H66">
        <f>IF(PNL!A66="","",_CALC_PNL!P66)</f>
        <v>10573</v>
      </c>
      <c r="I66" t="str">
        <f>IF(PNL!A66="","",IF(_CALC_PNL!E66=1,H66-G66,""))</f>
        <v/>
      </c>
    </row>
    <row r="67" ht="14.25" customHeight="1">
      <c r="A67" t="s">
        <v>79</v>
      </c>
      <c r="B67" t="s">
        <v>244</v>
      </c>
      <c r="C67" t="s">
        <v>211</v>
      </c>
      <c r="D67" t="s">
        <v>273</v>
      </c>
      <c r="E67" t="s">
        <v>191</v>
      </c>
      <c r="F67" t="s">
        <v>192</v>
      </c>
      <c r="G67">
        <v>9612</v>
      </c>
      <c r="H67">
        <f>IF(PNL!A67="","",_CALC_PNL!P67)</f>
        <v>9612</v>
      </c>
      <c r="I67" t="str">
        <f>IF(PNL!A67="","",IF(_CALC_PNL!E67=1,H67-G67,""))</f>
        <v/>
      </c>
    </row>
    <row r="68" ht="14.25" customHeight="1">
      <c r="A68" t="s">
        <v>81</v>
      </c>
      <c r="B68" t="s">
        <v>244</v>
      </c>
      <c r="C68" t="s">
        <v>211</v>
      </c>
      <c r="D68" t="s">
        <v>273</v>
      </c>
      <c r="E68" t="s">
        <v>191</v>
      </c>
      <c r="F68" t="s">
        <v>192</v>
      </c>
      <c r="G68">
        <v>8170</v>
      </c>
      <c r="H68">
        <f>IF(PNL!A68="","",_CALC_PNL!P68)</f>
        <v>8170</v>
      </c>
      <c r="I68" t="str">
        <f>IF(PNL!A68="","",IF(_CALC_PNL!E68=1,H68-G68,""))</f>
        <v/>
      </c>
    </row>
    <row r="69" ht="14.25" customHeight="1">
      <c r="A69" t="s">
        <v>83</v>
      </c>
      <c r="B69" t="s">
        <v>244</v>
      </c>
      <c r="C69" t="s">
        <v>211</v>
      </c>
      <c r="D69" t="s">
        <v>273</v>
      </c>
      <c r="E69" t="s">
        <v>191</v>
      </c>
      <c r="F69" t="s">
        <v>192</v>
      </c>
      <c r="G69">
        <v>11534</v>
      </c>
      <c r="H69">
        <f>IF(PNL!A69="","",_CALC_PNL!P69)</f>
        <v>11534</v>
      </c>
      <c r="I69" t="str">
        <f>IF(PNL!A69="","",IF(_CALC_PNL!E69=1,H69-G69,""))</f>
        <v/>
      </c>
    </row>
    <row r="70" ht="14.25" customHeight="1">
      <c r="A70" t="s">
        <v>84</v>
      </c>
      <c r="B70" t="s">
        <v>244</v>
      </c>
      <c r="C70" t="s">
        <v>211</v>
      </c>
      <c r="D70" t="s">
        <v>273</v>
      </c>
      <c r="E70" t="s">
        <v>191</v>
      </c>
      <c r="F70" t="s">
        <v>192</v>
      </c>
      <c r="G70">
        <v>8010</v>
      </c>
      <c r="H70">
        <f>IF(PNL!A70="","",_CALC_PNL!P70)</f>
        <v>8010</v>
      </c>
      <c r="I70" t="str">
        <f>IF(PNL!A70="","",IF(_CALC_PNL!E70=1,H70-G70,""))</f>
        <v/>
      </c>
    </row>
    <row r="71" ht="14.25" customHeight="1">
      <c r="A71" t="s">
        <v>86</v>
      </c>
      <c r="B71" t="s">
        <v>244</v>
      </c>
      <c r="C71" t="s">
        <v>211</v>
      </c>
      <c r="D71" t="s">
        <v>273</v>
      </c>
      <c r="E71" t="s">
        <v>191</v>
      </c>
      <c r="F71" t="s">
        <v>192</v>
      </c>
      <c r="G71">
        <v>7529</v>
      </c>
      <c r="H71">
        <f>IF(PNL!A71="","",_CALC_PNL!P71)</f>
        <v>7529</v>
      </c>
      <c r="I71" t="str">
        <f>IF(PNL!A71="","",IF(_CALC_PNL!E71=1,H71-G71,""))</f>
        <v/>
      </c>
    </row>
    <row r="72" ht="14.25" customHeight="1">
      <c r="A72" t="s">
        <v>88</v>
      </c>
      <c r="B72" t="s">
        <v>244</v>
      </c>
      <c r="C72" t="s">
        <v>211</v>
      </c>
      <c r="D72" t="s">
        <v>273</v>
      </c>
      <c r="E72" t="s">
        <v>191</v>
      </c>
      <c r="F72" t="s">
        <v>192</v>
      </c>
      <c r="G72">
        <v>4005</v>
      </c>
      <c r="H72">
        <f>IF(PNL!A72="","",_CALC_PNL!P72)</f>
        <v>4005</v>
      </c>
      <c r="I72" t="str">
        <f>IF(PNL!A72="","",IF(_CALC_PNL!E72=1,H72-G72,""))</f>
        <v/>
      </c>
    </row>
    <row r="73" ht="14.25" customHeight="1">
      <c r="A73" t="s">
        <v>90</v>
      </c>
      <c r="B73" t="s">
        <v>244</v>
      </c>
      <c r="C73" t="s">
        <v>211</v>
      </c>
      <c r="D73" t="s">
        <v>273</v>
      </c>
      <c r="E73" t="s">
        <v>191</v>
      </c>
      <c r="F73" t="s">
        <v>192</v>
      </c>
      <c r="G73">
        <v>3204</v>
      </c>
      <c r="H73">
        <f>IF(PNL!A73="","",_CALC_PNL!P73)</f>
        <v>3204</v>
      </c>
      <c r="I73" t="str">
        <f>IF(PNL!A73="","",IF(_CALC_PNL!E73=1,H73-G73,""))</f>
        <v/>
      </c>
    </row>
    <row r="74" ht="14.25" customHeight="1">
      <c r="A74" t="s">
        <v>92</v>
      </c>
      <c r="B74" t="s">
        <v>244</v>
      </c>
      <c r="C74" t="s">
        <v>211</v>
      </c>
      <c r="D74" t="s">
        <v>273</v>
      </c>
      <c r="E74" t="s">
        <v>191</v>
      </c>
      <c r="F74" t="s">
        <v>192</v>
      </c>
      <c r="G74">
        <v>3204</v>
      </c>
      <c r="H74">
        <f>IF(PNL!A74="","",_CALC_PNL!P74)</f>
        <v>3204</v>
      </c>
      <c r="I74" t="str">
        <f>IF(PNL!A74="","",IF(_CALC_PNL!E74=1,H74-G74,""))</f>
        <v/>
      </c>
    </row>
    <row r="75" ht="14.25" customHeight="1">
      <c r="A75" t="s">
        <v>94</v>
      </c>
      <c r="B75" t="s">
        <v>244</v>
      </c>
      <c r="C75" t="s">
        <v>211</v>
      </c>
      <c r="D75" t="s">
        <v>273</v>
      </c>
      <c r="E75" t="s">
        <v>191</v>
      </c>
      <c r="F75" t="s">
        <v>192</v>
      </c>
      <c r="G75">
        <v>7369</v>
      </c>
      <c r="H75">
        <f>IF(PNL!A75="","",_CALC_PNL!P75)</f>
        <v>7369</v>
      </c>
      <c r="I75" t="str">
        <f>IF(PNL!A75="","",IF(_CALC_PNL!E75=1,H75-G75,""))</f>
        <v/>
      </c>
    </row>
    <row r="76" ht="14.25" customHeight="1">
      <c r="A76" t="s">
        <v>95</v>
      </c>
      <c r="B76" t="s">
        <v>244</v>
      </c>
      <c r="C76" t="s">
        <v>211</v>
      </c>
      <c r="D76" t="s">
        <v>273</v>
      </c>
      <c r="E76" t="s">
        <v>191</v>
      </c>
      <c r="F76" t="s">
        <v>192</v>
      </c>
      <c r="G76">
        <v>5767</v>
      </c>
      <c r="H76">
        <f>IF(PNL!A76="","",_CALC_PNL!P76)</f>
        <v>5767</v>
      </c>
      <c r="I76" t="str">
        <f>IF(PNL!A76="","",IF(_CALC_PNL!E76=1,H76-G76,""))</f>
        <v/>
      </c>
    </row>
    <row r="77" ht="14.25" customHeight="1">
      <c r="A77" t="s">
        <v>96</v>
      </c>
      <c r="B77" t="s">
        <v>244</v>
      </c>
      <c r="C77" t="s">
        <v>211</v>
      </c>
      <c r="D77" t="s">
        <v>273</v>
      </c>
      <c r="E77" t="s">
        <v>191</v>
      </c>
      <c r="F77" t="s">
        <v>192</v>
      </c>
      <c r="G77">
        <v>3765</v>
      </c>
      <c r="H77">
        <f>IF(PNL!A77="","",_CALC_PNL!P77)</f>
        <v>3765</v>
      </c>
      <c r="I77" t="str">
        <f>IF(PNL!A77="","",IF(_CALC_PNL!E77=1,H77-G77,""))</f>
        <v/>
      </c>
    </row>
    <row r="78" ht="14.25" customHeight="1">
      <c r="A78" t="s">
        <v>97</v>
      </c>
      <c r="B78" t="s">
        <v>244</v>
      </c>
      <c r="C78" t="s">
        <v>211</v>
      </c>
      <c r="D78" t="s">
        <v>273</v>
      </c>
      <c r="E78" t="s">
        <v>191</v>
      </c>
      <c r="F78" t="s">
        <v>192</v>
      </c>
      <c r="G78">
        <v>3204</v>
      </c>
      <c r="H78">
        <f>IF(PNL!A78="","",_CALC_PNL!P78)</f>
        <v>3204</v>
      </c>
      <c r="I78" t="str">
        <f>IF(PNL!A78="","",IF(_CALC_PNL!E78=1,H78-G78,""))</f>
        <v/>
      </c>
    </row>
    <row r="79" ht="14.25" customHeight="1">
      <c r="A79" t="s">
        <v>75</v>
      </c>
      <c r="B79" t="s">
        <v>244</v>
      </c>
      <c r="C79" t="s">
        <v>210</v>
      </c>
      <c r="D79" t="s">
        <v>273</v>
      </c>
      <c r="E79" t="s">
        <v>191</v>
      </c>
      <c r="F79" t="s">
        <v>192</v>
      </c>
      <c r="G79">
        <v>13245</v>
      </c>
      <c r="H79">
        <f>IF(PNL!A79="","",_CALC_PNL!P79)</f>
        <v>13245</v>
      </c>
      <c r="I79" t="str">
        <f>IF(PNL!A79="","",IF(_CALC_PNL!E79=1,H79-G79,""))</f>
        <v/>
      </c>
    </row>
    <row r="80" ht="14.25" customHeight="1">
      <c r="A80" t="s">
        <v>77</v>
      </c>
      <c r="B80" t="s">
        <v>244</v>
      </c>
      <c r="C80" t="s">
        <v>210</v>
      </c>
      <c r="D80" t="s">
        <v>273</v>
      </c>
      <c r="E80" t="s">
        <v>191</v>
      </c>
      <c r="F80" t="s">
        <v>192</v>
      </c>
      <c r="G80">
        <v>11208</v>
      </c>
      <c r="H80">
        <f>IF(PNL!A80="","",_CALC_PNL!P80)</f>
        <v>11208</v>
      </c>
      <c r="I80" t="str">
        <f>IF(PNL!A80="","",IF(_CALC_PNL!E80=1,H80-G80,""))</f>
        <v/>
      </c>
    </row>
    <row r="81" ht="14.25" customHeight="1">
      <c r="A81" t="s">
        <v>79</v>
      </c>
      <c r="B81" t="s">
        <v>244</v>
      </c>
      <c r="C81" t="s">
        <v>210</v>
      </c>
      <c r="D81" t="s">
        <v>273</v>
      </c>
      <c r="E81" t="s">
        <v>191</v>
      </c>
      <c r="F81" t="s">
        <v>192</v>
      </c>
      <c r="G81">
        <v>10189</v>
      </c>
      <c r="H81">
        <f>IF(PNL!A81="","",_CALC_PNL!P81)</f>
        <v>10189</v>
      </c>
      <c r="I81" t="str">
        <f>IF(PNL!A81="","",IF(_CALC_PNL!E81=1,H81-G81,""))</f>
        <v/>
      </c>
    </row>
    <row r="82" ht="14.25" customHeight="1">
      <c r="A82" t="s">
        <v>81</v>
      </c>
      <c r="B82" t="s">
        <v>244</v>
      </c>
      <c r="C82" t="s">
        <v>210</v>
      </c>
      <c r="D82" t="s">
        <v>273</v>
      </c>
      <c r="E82" t="s">
        <v>191</v>
      </c>
      <c r="F82" t="s">
        <v>192</v>
      </c>
      <c r="G82">
        <v>8660</v>
      </c>
      <c r="H82">
        <f>IF(PNL!A82="","",_CALC_PNL!P82)</f>
        <v>8660</v>
      </c>
      <c r="I82" t="str">
        <f>IF(PNL!A82="","",IF(_CALC_PNL!E82=1,H82-G82,""))</f>
        <v/>
      </c>
    </row>
    <row r="83" ht="14.25" customHeight="1">
      <c r="A83" t="s">
        <v>83</v>
      </c>
      <c r="B83" t="s">
        <v>244</v>
      </c>
      <c r="C83" t="s">
        <v>210</v>
      </c>
      <c r="D83" t="s">
        <v>273</v>
      </c>
      <c r="E83" t="s">
        <v>191</v>
      </c>
      <c r="F83" t="s">
        <v>192</v>
      </c>
      <c r="G83">
        <v>12226</v>
      </c>
      <c r="H83">
        <f>IF(PNL!A83="","",_CALC_PNL!P83)</f>
        <v>12226</v>
      </c>
      <c r="I83" t="str">
        <f>IF(PNL!A83="","",IF(_CALC_PNL!E83=1,H83-G83,""))</f>
        <v/>
      </c>
    </row>
    <row r="84" ht="14.25" customHeight="1">
      <c r="A84" t="s">
        <v>84</v>
      </c>
      <c r="B84" t="s">
        <v>244</v>
      </c>
      <c r="C84" t="s">
        <v>210</v>
      </c>
      <c r="D84" t="s">
        <v>273</v>
      </c>
      <c r="E84" t="s">
        <v>191</v>
      </c>
      <c r="F84" t="s">
        <v>192</v>
      </c>
      <c r="G84">
        <v>8491</v>
      </c>
      <c r="H84">
        <f>IF(PNL!A84="","",_CALC_PNL!P84)</f>
        <v>8491</v>
      </c>
      <c r="I84" t="str">
        <f>IF(PNL!A84="","",IF(_CALC_PNL!E84=1,H84-G84,""))</f>
        <v/>
      </c>
    </row>
    <row r="85" ht="14.25" customHeight="1">
      <c r="A85" t="s">
        <v>86</v>
      </c>
      <c r="B85" t="s">
        <v>244</v>
      </c>
      <c r="C85" t="s">
        <v>210</v>
      </c>
      <c r="D85" t="s">
        <v>273</v>
      </c>
      <c r="E85" t="s">
        <v>191</v>
      </c>
      <c r="F85" t="s">
        <v>192</v>
      </c>
      <c r="G85">
        <v>7981</v>
      </c>
      <c r="H85">
        <f>IF(PNL!A85="","",_CALC_PNL!P85)</f>
        <v>7981</v>
      </c>
      <c r="I85" t="str">
        <f>IF(PNL!A85="","",IF(_CALC_PNL!E85=1,H85-G85,""))</f>
        <v/>
      </c>
    </row>
    <row r="86" ht="14.25" customHeight="1">
      <c r="A86" t="s">
        <v>88</v>
      </c>
      <c r="B86" t="s">
        <v>244</v>
      </c>
      <c r="C86" t="s">
        <v>210</v>
      </c>
      <c r="D86" t="s">
        <v>273</v>
      </c>
      <c r="E86" t="s">
        <v>191</v>
      </c>
      <c r="F86" t="s">
        <v>192</v>
      </c>
      <c r="G86">
        <v>4245</v>
      </c>
      <c r="H86">
        <f>IF(PNL!A86="","",_CALC_PNL!P86)</f>
        <v>4245</v>
      </c>
      <c r="I86" t="str">
        <f>IF(PNL!A86="","",IF(_CALC_PNL!E86=1,H86-G86,""))</f>
        <v/>
      </c>
    </row>
    <row r="87" ht="14.25" customHeight="1">
      <c r="A87" t="s">
        <v>90</v>
      </c>
      <c r="B87" t="s">
        <v>244</v>
      </c>
      <c r="C87" t="s">
        <v>210</v>
      </c>
      <c r="D87" t="s">
        <v>273</v>
      </c>
      <c r="E87" t="s">
        <v>191</v>
      </c>
      <c r="F87" t="s">
        <v>192</v>
      </c>
      <c r="G87">
        <v>3396</v>
      </c>
      <c r="H87">
        <f>IF(PNL!A87="","",_CALC_PNL!P87)</f>
        <v>3396</v>
      </c>
      <c r="I87" t="str">
        <f>IF(PNL!A87="","",IF(_CALC_PNL!E87=1,H87-G87,""))</f>
        <v/>
      </c>
    </row>
    <row r="88" ht="14.25" customHeight="1">
      <c r="A88" t="s">
        <v>92</v>
      </c>
      <c r="B88" t="s">
        <v>244</v>
      </c>
      <c r="C88" t="s">
        <v>210</v>
      </c>
      <c r="D88" t="s">
        <v>273</v>
      </c>
      <c r="E88" t="s">
        <v>191</v>
      </c>
      <c r="F88" t="s">
        <v>192</v>
      </c>
      <c r="G88">
        <v>3396</v>
      </c>
      <c r="H88">
        <f>IF(PNL!A88="","",_CALC_PNL!P88)</f>
        <v>3396</v>
      </c>
      <c r="I88" t="str">
        <f>IF(PNL!A88="","",IF(_CALC_PNL!E88=1,H88-G88,""))</f>
        <v/>
      </c>
    </row>
    <row r="89" ht="14.25" customHeight="1">
      <c r="A89" t="s">
        <v>94</v>
      </c>
      <c r="B89" t="s">
        <v>244</v>
      </c>
      <c r="C89" t="s">
        <v>210</v>
      </c>
      <c r="D89" t="s">
        <v>273</v>
      </c>
      <c r="E89" t="s">
        <v>191</v>
      </c>
      <c r="F89" t="s">
        <v>192</v>
      </c>
      <c r="G89">
        <v>7811</v>
      </c>
      <c r="H89">
        <f>IF(PNL!A89="","",_CALC_PNL!P89)</f>
        <v>7811</v>
      </c>
      <c r="I89" t="str">
        <f>IF(PNL!A89="","",IF(_CALC_PNL!E89=1,H89-G89,""))</f>
        <v/>
      </c>
    </row>
    <row r="90" ht="14.25" customHeight="1">
      <c r="A90" t="s">
        <v>95</v>
      </c>
      <c r="B90" t="s">
        <v>244</v>
      </c>
      <c r="C90" t="s">
        <v>210</v>
      </c>
      <c r="D90" t="s">
        <v>273</v>
      </c>
      <c r="E90" t="s">
        <v>191</v>
      </c>
      <c r="F90" t="s">
        <v>192</v>
      </c>
      <c r="G90">
        <v>6113</v>
      </c>
      <c r="H90">
        <f>IF(PNL!A90="","",_CALC_PNL!P90)</f>
        <v>6113</v>
      </c>
      <c r="I90" t="str">
        <f>IF(PNL!A90="","",IF(_CALC_PNL!E90=1,H90-G90,""))</f>
        <v/>
      </c>
    </row>
    <row r="91" ht="14.25" customHeight="1">
      <c r="A91" t="s">
        <v>96</v>
      </c>
      <c r="B91" t="s">
        <v>244</v>
      </c>
      <c r="C91" t="s">
        <v>210</v>
      </c>
      <c r="D91" t="s">
        <v>273</v>
      </c>
      <c r="E91" t="s">
        <v>191</v>
      </c>
      <c r="F91" t="s">
        <v>192</v>
      </c>
      <c r="G91">
        <v>3991</v>
      </c>
      <c r="H91">
        <f>IF(PNL!A91="","",_CALC_PNL!P91)</f>
        <v>3991</v>
      </c>
      <c r="I91" t="str">
        <f>IF(PNL!A91="","",IF(_CALC_PNL!E91=1,H91-G91,""))</f>
        <v/>
      </c>
    </row>
    <row r="92" ht="14.25" customHeight="1">
      <c r="A92" t="s">
        <v>97</v>
      </c>
      <c r="B92" t="s">
        <v>244</v>
      </c>
      <c r="C92" t="s">
        <v>210</v>
      </c>
      <c r="D92" t="s">
        <v>273</v>
      </c>
      <c r="E92" t="s">
        <v>191</v>
      </c>
      <c r="F92" t="s">
        <v>192</v>
      </c>
      <c r="G92">
        <v>3396</v>
      </c>
      <c r="H92">
        <f>IF(PNL!A92="","",_CALC_PNL!P92)</f>
        <v>3396</v>
      </c>
      <c r="I92" t="str">
        <f>IF(PNL!A92="","",IF(_CALC_PNL!E92=1,H92-G92,""))</f>
        <v/>
      </c>
    </row>
    <row r="93" ht="14.25" customHeight="1">
      <c r="A93" t="s">
        <v>75</v>
      </c>
      <c r="B93" t="s">
        <v>244</v>
      </c>
      <c r="C93" t="s">
        <v>25</v>
      </c>
      <c r="D93" t="s">
        <v>273</v>
      </c>
      <c r="E93" t="s">
        <v>191</v>
      </c>
      <c r="F93" t="s">
        <v>192</v>
      </c>
      <c r="G93">
        <v>14040</v>
      </c>
      <c r="H93">
        <f>IF(PNL!A93="","",_CALC_PNL!P93)</f>
        <v>14040</v>
      </c>
      <c r="I93" t="str">
        <f>IF(PNL!A93="","",IF(_CALC_PNL!E93=1,H93-G93,""))</f>
        <v/>
      </c>
    </row>
    <row r="94" ht="14.25" customHeight="1">
      <c r="A94" t="s">
        <v>77</v>
      </c>
      <c r="B94" t="s">
        <v>244</v>
      </c>
      <c r="C94" t="s">
        <v>25</v>
      </c>
      <c r="D94" t="s">
        <v>273</v>
      </c>
      <c r="E94" t="s">
        <v>191</v>
      </c>
      <c r="F94" t="s">
        <v>192</v>
      </c>
      <c r="G94">
        <v>11880</v>
      </c>
      <c r="H94">
        <f>IF(PNL!A94="","",_CALC_PNL!P94)</f>
        <v>11880</v>
      </c>
      <c r="I94" t="str">
        <f>IF(PNL!A94="","",IF(_CALC_PNL!E94=1,H94-G94,""))</f>
        <v/>
      </c>
    </row>
    <row r="95" ht="14.25" customHeight="1">
      <c r="A95" t="s">
        <v>79</v>
      </c>
      <c r="B95" t="s">
        <v>244</v>
      </c>
      <c r="C95" t="s">
        <v>25</v>
      </c>
      <c r="D95" t="s">
        <v>273</v>
      </c>
      <c r="E95" t="s">
        <v>191</v>
      </c>
      <c r="F95" t="s">
        <v>192</v>
      </c>
      <c r="G95">
        <v>10800</v>
      </c>
      <c r="H95">
        <f>IF(PNL!A95="","",_CALC_PNL!P95)</f>
        <v>10800</v>
      </c>
      <c r="I95" t="str">
        <f>IF(PNL!A95="","",IF(_CALC_PNL!E95=1,H95-G95,""))</f>
        <v/>
      </c>
    </row>
    <row r="96" ht="14.25" customHeight="1">
      <c r="A96" t="s">
        <v>81</v>
      </c>
      <c r="B96" t="s">
        <v>244</v>
      </c>
      <c r="C96" t="s">
        <v>25</v>
      </c>
      <c r="D96" t="s">
        <v>273</v>
      </c>
      <c r="E96" t="s">
        <v>191</v>
      </c>
      <c r="F96" t="s">
        <v>192</v>
      </c>
      <c r="G96">
        <v>9180</v>
      </c>
      <c r="H96">
        <f>IF(PNL!A96="","",_CALC_PNL!P96)</f>
        <v>9180</v>
      </c>
      <c r="I96" t="str">
        <f>IF(PNL!A96="","",IF(_CALC_PNL!E96=1,H96-G96,""))</f>
        <v/>
      </c>
    </row>
    <row r="97" ht="14.25" customHeight="1">
      <c r="A97" t="s">
        <v>83</v>
      </c>
      <c r="B97" t="s">
        <v>244</v>
      </c>
      <c r="C97" t="s">
        <v>25</v>
      </c>
      <c r="D97" t="s">
        <v>273</v>
      </c>
      <c r="E97" t="s">
        <v>191</v>
      </c>
      <c r="F97" t="s">
        <v>192</v>
      </c>
      <c r="G97">
        <v>12960</v>
      </c>
      <c r="H97">
        <f>IF(PNL!A97="","",_CALC_PNL!P97)</f>
        <v>12960</v>
      </c>
      <c r="I97" t="str">
        <f>IF(PNL!A97="","",IF(_CALC_PNL!E97=1,H97-G97,""))</f>
        <v/>
      </c>
    </row>
    <row r="98" ht="14.25" customHeight="1">
      <c r="A98" t="s">
        <v>84</v>
      </c>
      <c r="B98" t="s">
        <v>244</v>
      </c>
      <c r="C98" t="s">
        <v>25</v>
      </c>
      <c r="D98" t="s">
        <v>273</v>
      </c>
      <c r="E98" t="s">
        <v>191</v>
      </c>
      <c r="F98" t="s">
        <v>192</v>
      </c>
      <c r="G98">
        <v>9000</v>
      </c>
      <c r="H98">
        <f>IF(PNL!A98="","",_CALC_PNL!P98)</f>
        <v>9000</v>
      </c>
      <c r="I98" t="str">
        <f>IF(PNL!A98="","",IF(_CALC_PNL!E98=1,H98-G98,""))</f>
        <v/>
      </c>
    </row>
    <row r="99" ht="14.25" customHeight="1">
      <c r="A99" t="s">
        <v>86</v>
      </c>
      <c r="B99" t="s">
        <v>244</v>
      </c>
      <c r="C99" t="s">
        <v>25</v>
      </c>
      <c r="D99" t="s">
        <v>273</v>
      </c>
      <c r="E99" t="s">
        <v>191</v>
      </c>
      <c r="F99" t="s">
        <v>192</v>
      </c>
      <c r="G99">
        <v>8460</v>
      </c>
      <c r="H99">
        <f>IF(PNL!A99="","",_CALC_PNL!P99)</f>
        <v>8460</v>
      </c>
      <c r="I99" t="str">
        <f>IF(PNL!A99="","",IF(_CALC_PNL!E99=1,H99-G99,""))</f>
        <v/>
      </c>
    </row>
    <row r="100" ht="14.25" customHeight="1">
      <c r="A100" t="s">
        <v>88</v>
      </c>
      <c r="B100" t="s">
        <v>244</v>
      </c>
      <c r="C100" t="s">
        <v>25</v>
      </c>
      <c r="D100" t="s">
        <v>273</v>
      </c>
      <c r="E100" t="s">
        <v>191</v>
      </c>
      <c r="F100" t="s">
        <v>192</v>
      </c>
      <c r="G100">
        <v>4500</v>
      </c>
      <c r="H100">
        <f>IF(PNL!A100="","",_CALC_PNL!P100)</f>
        <v>4500</v>
      </c>
      <c r="I100" t="str">
        <f>IF(PNL!A100="","",IF(_CALC_PNL!E100=1,H100-G100,""))</f>
        <v/>
      </c>
    </row>
    <row r="101" ht="14.25" customHeight="1">
      <c r="A101" t="s">
        <v>90</v>
      </c>
      <c r="B101" t="s">
        <v>244</v>
      </c>
      <c r="C101" t="s">
        <v>25</v>
      </c>
      <c r="D101" t="s">
        <v>273</v>
      </c>
      <c r="E101" t="s">
        <v>191</v>
      </c>
      <c r="F101" t="s">
        <v>192</v>
      </c>
      <c r="G101">
        <v>3600</v>
      </c>
      <c r="H101">
        <f>IF(PNL!A101="","",_CALC_PNL!P101)</f>
        <v>3600</v>
      </c>
      <c r="I101" t="str">
        <f>IF(PNL!A101="","",IF(_CALC_PNL!E101=1,H101-G101,""))</f>
        <v/>
      </c>
    </row>
    <row r="102" ht="14.25" customHeight="1">
      <c r="A102" t="s">
        <v>92</v>
      </c>
      <c r="B102" t="s">
        <v>244</v>
      </c>
      <c r="C102" t="s">
        <v>25</v>
      </c>
      <c r="D102" t="s">
        <v>273</v>
      </c>
      <c r="E102" t="s">
        <v>191</v>
      </c>
      <c r="F102" t="s">
        <v>192</v>
      </c>
      <c r="G102">
        <v>3600</v>
      </c>
      <c r="H102">
        <f>IF(PNL!A102="","",_CALC_PNL!P102)</f>
        <v>3600</v>
      </c>
      <c r="I102" t="str">
        <f>IF(PNL!A102="","",IF(_CALC_PNL!E102=1,H102-G102,""))</f>
        <v/>
      </c>
    </row>
    <row r="103" ht="14.25" customHeight="1">
      <c r="A103" t="s">
        <v>94</v>
      </c>
      <c r="B103" t="s">
        <v>244</v>
      </c>
      <c r="C103" t="s">
        <v>25</v>
      </c>
      <c r="D103" t="s">
        <v>273</v>
      </c>
      <c r="E103" t="s">
        <v>191</v>
      </c>
      <c r="F103" t="s">
        <v>192</v>
      </c>
      <c r="G103">
        <v>8280</v>
      </c>
      <c r="H103">
        <f>IF(PNL!A103="","",_CALC_PNL!P103)</f>
        <v>8280</v>
      </c>
      <c r="I103" t="str">
        <f>IF(PNL!A103="","",IF(_CALC_PNL!E103=1,H103-G103,""))</f>
        <v/>
      </c>
    </row>
    <row r="104" ht="14.25" customHeight="1">
      <c r="A104" t="s">
        <v>95</v>
      </c>
      <c r="B104" t="s">
        <v>244</v>
      </c>
      <c r="C104" t="s">
        <v>25</v>
      </c>
      <c r="D104" t="s">
        <v>273</v>
      </c>
      <c r="E104" t="s">
        <v>191</v>
      </c>
      <c r="F104" t="s">
        <v>192</v>
      </c>
      <c r="G104">
        <v>6480</v>
      </c>
      <c r="H104">
        <f>IF(PNL!A104="","",_CALC_PNL!P104)</f>
        <v>6480</v>
      </c>
      <c r="I104" t="str">
        <f>IF(PNL!A104="","",IF(_CALC_PNL!E104=1,H104-G104,""))</f>
        <v/>
      </c>
    </row>
    <row r="105" ht="14.25" customHeight="1">
      <c r="A105" t="s">
        <v>96</v>
      </c>
      <c r="B105" t="s">
        <v>244</v>
      </c>
      <c r="C105" t="s">
        <v>25</v>
      </c>
      <c r="D105" t="s">
        <v>273</v>
      </c>
      <c r="E105" t="s">
        <v>191</v>
      </c>
      <c r="F105" t="s">
        <v>192</v>
      </c>
      <c r="G105">
        <v>4230</v>
      </c>
      <c r="H105">
        <f>IF(PNL!A105="","",_CALC_PNL!P105)</f>
        <v>4230</v>
      </c>
      <c r="I105" t="str">
        <f>IF(PNL!A105="","",IF(_CALC_PNL!E105=1,H105-G105,""))</f>
        <v/>
      </c>
    </row>
    <row r="106" ht="14.25" customHeight="1">
      <c r="A106" t="s">
        <v>97</v>
      </c>
      <c r="B106" t="s">
        <v>244</v>
      </c>
      <c r="C106" t="s">
        <v>25</v>
      </c>
      <c r="D106" t="s">
        <v>273</v>
      </c>
      <c r="E106" t="s">
        <v>191</v>
      </c>
      <c r="F106" t="s">
        <v>192</v>
      </c>
      <c r="G106">
        <v>3600</v>
      </c>
      <c r="H106">
        <f>IF(PNL!A106="","",_CALC_PNL!P106)</f>
        <v>3600</v>
      </c>
      <c r="I106" t="str">
        <f>IF(PNL!A106="","",IF(_CALC_PNL!E106=1,H106-G106,""))</f>
        <v/>
      </c>
    </row>
    <row r="107" ht="14.25" customHeight="1">
      <c r="A107" t="s">
        <v>75</v>
      </c>
      <c r="B107" t="s">
        <v>245</v>
      </c>
      <c r="C107" t="s">
        <v>211</v>
      </c>
      <c r="D107" t="s">
        <v>273</v>
      </c>
      <c r="E107" t="s">
        <v>191</v>
      </c>
      <c r="F107" t="s">
        <v>192</v>
      </c>
      <c r="G107">
        <v>165271</v>
      </c>
      <c r="H107">
        <f>IF(PNL!A107="","",_CALC_PNL!P107)</f>
        <v>165271</v>
      </c>
      <c r="I107" t="str">
        <f>IF(PNL!A107="","",IF(_CALC_PNL!E107=1,H107-G107,""))</f>
        <v/>
      </c>
    </row>
    <row r="108" ht="14.25" customHeight="1">
      <c r="A108" t="s">
        <v>77</v>
      </c>
      <c r="B108" t="s">
        <v>245</v>
      </c>
      <c r="C108" t="s">
        <v>211</v>
      </c>
      <c r="D108" t="s">
        <v>273</v>
      </c>
      <c r="E108" t="s">
        <v>191</v>
      </c>
      <c r="F108" t="s">
        <v>192</v>
      </c>
      <c r="G108">
        <v>143235</v>
      </c>
      <c r="H108">
        <f>IF(PNL!A108="","",_CALC_PNL!P108)</f>
        <v>143235</v>
      </c>
      <c r="I108" t="str">
        <f>IF(PNL!A108="","",IF(_CALC_PNL!E108=1,H108-G108,""))</f>
        <v/>
      </c>
    </row>
    <row r="109" ht="14.25" customHeight="1">
      <c r="A109" t="s">
        <v>79</v>
      </c>
      <c r="B109" t="s">
        <v>245</v>
      </c>
      <c r="C109" t="s">
        <v>211</v>
      </c>
      <c r="D109" t="s">
        <v>273</v>
      </c>
      <c r="E109" t="s">
        <v>191</v>
      </c>
      <c r="F109" t="s">
        <v>192</v>
      </c>
      <c r="G109">
        <v>132216</v>
      </c>
      <c r="H109">
        <f>IF(PNL!A109="","",_CALC_PNL!P109)</f>
        <v>132216</v>
      </c>
      <c r="I109" t="str">
        <f>IF(PNL!A109="","",IF(_CALC_PNL!E109=1,H109-G109,""))</f>
        <v/>
      </c>
    </row>
    <row r="110" ht="14.25" customHeight="1">
      <c r="A110" t="s">
        <v>81</v>
      </c>
      <c r="B110" t="s">
        <v>245</v>
      </c>
      <c r="C110" t="s">
        <v>211</v>
      </c>
      <c r="D110" t="s">
        <v>273</v>
      </c>
      <c r="E110" t="s">
        <v>191</v>
      </c>
      <c r="F110" t="s">
        <v>192</v>
      </c>
      <c r="G110">
        <v>110180</v>
      </c>
      <c r="H110">
        <f>IF(PNL!A110="","",_CALC_PNL!P110)</f>
        <v>110180</v>
      </c>
      <c r="I110" t="str">
        <f>IF(PNL!A110="","",IF(_CALC_PNL!E110=1,H110-G110,""))</f>
        <v/>
      </c>
    </row>
    <row r="111" ht="14.25" customHeight="1">
      <c r="A111" t="s">
        <v>83</v>
      </c>
      <c r="B111" t="s">
        <v>245</v>
      </c>
      <c r="C111" t="s">
        <v>211</v>
      </c>
      <c r="D111" t="s">
        <v>273</v>
      </c>
      <c r="E111" t="s">
        <v>191</v>
      </c>
      <c r="F111" t="s">
        <v>192</v>
      </c>
      <c r="G111">
        <v>165271</v>
      </c>
      <c r="H111">
        <f>IF(PNL!A111="","",_CALC_PNL!P111)</f>
        <v>165271</v>
      </c>
      <c r="I111" t="str">
        <f>IF(PNL!A111="","",IF(_CALC_PNL!E111=1,H111-G111,""))</f>
        <v/>
      </c>
    </row>
    <row r="112" ht="14.25" customHeight="1">
      <c r="A112" t="s">
        <v>84</v>
      </c>
      <c r="B112" t="s">
        <v>245</v>
      </c>
      <c r="C112" t="s">
        <v>211</v>
      </c>
      <c r="D112" t="s">
        <v>273</v>
      </c>
      <c r="E112" t="s">
        <v>191</v>
      </c>
      <c r="F112" t="s">
        <v>192</v>
      </c>
      <c r="G112">
        <v>110180</v>
      </c>
      <c r="H112">
        <f>IF(PNL!A112="","",_CALC_PNL!P112)</f>
        <v>110180</v>
      </c>
      <c r="I112" t="str">
        <f>IF(PNL!A112="","",IF(_CALC_PNL!E112=1,H112-G112,""))</f>
        <v/>
      </c>
    </row>
    <row r="113" ht="14.25" customHeight="1">
      <c r="A113" t="s">
        <v>86</v>
      </c>
      <c r="B113" t="s">
        <v>245</v>
      </c>
      <c r="C113" t="s">
        <v>211</v>
      </c>
      <c r="D113" t="s">
        <v>273</v>
      </c>
      <c r="E113" t="s">
        <v>191</v>
      </c>
      <c r="F113" t="s">
        <v>192</v>
      </c>
      <c r="G113">
        <v>110180</v>
      </c>
      <c r="H113">
        <f>IF(PNL!A113="","",_CALC_PNL!P113)</f>
        <v>110180</v>
      </c>
      <c r="I113" t="str">
        <f>IF(PNL!A113="","",IF(_CALC_PNL!E113=1,H113-G113,""))</f>
        <v/>
      </c>
    </row>
    <row r="114" ht="14.25" customHeight="1">
      <c r="A114" t="s">
        <v>88</v>
      </c>
      <c r="B114" t="s">
        <v>245</v>
      </c>
      <c r="C114" t="s">
        <v>211</v>
      </c>
      <c r="D114" t="s">
        <v>273</v>
      </c>
      <c r="E114" t="s">
        <v>191</v>
      </c>
      <c r="F114" t="s">
        <v>192</v>
      </c>
      <c r="G114">
        <v>66108</v>
      </c>
      <c r="H114">
        <f>IF(PNL!A114="","",_CALC_PNL!P114)</f>
        <v>66108</v>
      </c>
      <c r="I114" t="str">
        <f>IF(PNL!A114="","",IF(_CALC_PNL!E114=1,H114-G114,""))</f>
        <v/>
      </c>
    </row>
    <row r="115" ht="14.25" customHeight="1">
      <c r="A115" t="s">
        <v>90</v>
      </c>
      <c r="B115" t="s">
        <v>245</v>
      </c>
      <c r="C115" t="s">
        <v>211</v>
      </c>
      <c r="D115" t="s">
        <v>273</v>
      </c>
      <c r="E115" t="s">
        <v>191</v>
      </c>
      <c r="F115" t="s">
        <v>192</v>
      </c>
      <c r="G115">
        <v>66108</v>
      </c>
      <c r="H115">
        <f>IF(PNL!A115="","",_CALC_PNL!P115)</f>
        <v>66108</v>
      </c>
      <c r="I115" t="str">
        <f>IF(PNL!A115="","",IF(_CALC_PNL!E115=1,H115-G115,""))</f>
        <v/>
      </c>
    </row>
    <row r="116" ht="14.25" customHeight="1">
      <c r="A116" t="s">
        <v>92</v>
      </c>
      <c r="B116" t="s">
        <v>245</v>
      </c>
      <c r="C116" t="s">
        <v>211</v>
      </c>
      <c r="D116" t="s">
        <v>273</v>
      </c>
      <c r="E116" t="s">
        <v>191</v>
      </c>
      <c r="F116" t="s">
        <v>192</v>
      </c>
      <c r="G116">
        <v>66108</v>
      </c>
      <c r="H116">
        <f>IF(PNL!A116="","",_CALC_PNL!P116)</f>
        <v>66108</v>
      </c>
      <c r="I116" t="str">
        <f>IF(PNL!A116="","",IF(_CALC_PNL!E116=1,H116-G116,""))</f>
        <v/>
      </c>
    </row>
    <row r="117" ht="14.25" customHeight="1">
      <c r="A117" t="s">
        <v>94</v>
      </c>
      <c r="B117" t="s">
        <v>245</v>
      </c>
      <c r="C117" t="s">
        <v>211</v>
      </c>
      <c r="D117" t="s">
        <v>273</v>
      </c>
      <c r="E117" t="s">
        <v>191</v>
      </c>
      <c r="F117" t="s">
        <v>192</v>
      </c>
      <c r="G117">
        <v>88144</v>
      </c>
      <c r="H117">
        <f>IF(PNL!A117="","",_CALC_PNL!P117)</f>
        <v>88144</v>
      </c>
      <c r="I117" t="str">
        <f>IF(PNL!A117="","",IF(_CALC_PNL!E117=1,H117-G117,""))</f>
        <v/>
      </c>
    </row>
    <row r="118" ht="14.25" customHeight="1">
      <c r="A118" t="s">
        <v>95</v>
      </c>
      <c r="B118" t="s">
        <v>245</v>
      </c>
      <c r="C118" t="s">
        <v>211</v>
      </c>
      <c r="D118" t="s">
        <v>273</v>
      </c>
      <c r="E118" t="s">
        <v>191</v>
      </c>
      <c r="F118" t="s">
        <v>192</v>
      </c>
      <c r="G118">
        <v>88144</v>
      </c>
      <c r="H118">
        <f>IF(PNL!A118="","",_CALC_PNL!P118)</f>
        <v>88144</v>
      </c>
      <c r="I118" t="str">
        <f>IF(PNL!A118="","",IF(_CALC_PNL!E118=1,H118-G118,""))</f>
        <v/>
      </c>
    </row>
    <row r="119" ht="14.25" customHeight="1">
      <c r="A119" t="s">
        <v>96</v>
      </c>
      <c r="B119" t="s">
        <v>245</v>
      </c>
      <c r="C119" t="s">
        <v>211</v>
      </c>
      <c r="D119" t="s">
        <v>273</v>
      </c>
      <c r="E119" t="s">
        <v>191</v>
      </c>
      <c r="F119" t="s">
        <v>192</v>
      </c>
      <c r="G119">
        <v>66108</v>
      </c>
      <c r="H119">
        <f>IF(PNL!A119="","",_CALC_PNL!P119)</f>
        <v>66108</v>
      </c>
      <c r="I119" t="str">
        <f>IF(PNL!A119="","",IF(_CALC_PNL!E119=1,H119-G119,""))</f>
        <v/>
      </c>
    </row>
    <row r="120" ht="14.25" customHeight="1">
      <c r="A120" t="s">
        <v>97</v>
      </c>
      <c r="B120" t="s">
        <v>245</v>
      </c>
      <c r="C120" t="s">
        <v>211</v>
      </c>
      <c r="D120" t="s">
        <v>273</v>
      </c>
      <c r="E120" t="s">
        <v>191</v>
      </c>
      <c r="F120" t="s">
        <v>192</v>
      </c>
      <c r="G120">
        <v>66108</v>
      </c>
      <c r="H120">
        <f>IF(PNL!A120="","",_CALC_PNL!P120)</f>
        <v>66108</v>
      </c>
      <c r="I120" t="str">
        <f>IF(PNL!A120="","",IF(_CALC_PNL!E120=1,H120-G120,""))</f>
        <v/>
      </c>
    </row>
    <row r="121" ht="14.25" customHeight="1">
      <c r="A121" t="s">
        <v>75</v>
      </c>
      <c r="B121" t="s">
        <v>245</v>
      </c>
      <c r="C121" t="s">
        <v>210</v>
      </c>
      <c r="D121" t="s">
        <v>273</v>
      </c>
      <c r="E121" t="s">
        <v>191</v>
      </c>
      <c r="F121" t="s">
        <v>192</v>
      </c>
      <c r="G121">
        <v>172844</v>
      </c>
      <c r="H121">
        <f>IF(PNL!A121="","",_CALC_PNL!P121)</f>
        <v>172844</v>
      </c>
      <c r="I121" t="str">
        <f>IF(PNL!A121="","",IF(_CALC_PNL!E121=1,H121-G121,""))</f>
        <v/>
      </c>
    </row>
    <row r="122" ht="14.25" customHeight="1">
      <c r="A122" t="s">
        <v>77</v>
      </c>
      <c r="B122" t="s">
        <v>245</v>
      </c>
      <c r="C122" t="s">
        <v>210</v>
      </c>
      <c r="D122" t="s">
        <v>273</v>
      </c>
      <c r="E122" t="s">
        <v>191</v>
      </c>
      <c r="F122" t="s">
        <v>192</v>
      </c>
      <c r="G122">
        <v>149798</v>
      </c>
      <c r="H122">
        <f>IF(PNL!A122="","",_CALC_PNL!P122)</f>
        <v>149798</v>
      </c>
      <c r="I122" t="str">
        <f>IF(PNL!A122="","",IF(_CALC_PNL!E122=1,H122-G122,""))</f>
        <v/>
      </c>
    </row>
    <row r="123" ht="14.25" customHeight="1">
      <c r="A123" t="s">
        <v>79</v>
      </c>
      <c r="B123" t="s">
        <v>245</v>
      </c>
      <c r="C123" t="s">
        <v>210</v>
      </c>
      <c r="D123" t="s">
        <v>273</v>
      </c>
      <c r="E123" t="s">
        <v>191</v>
      </c>
      <c r="F123" t="s">
        <v>192</v>
      </c>
      <c r="G123">
        <v>138275</v>
      </c>
      <c r="H123">
        <f>IF(PNL!A123="","",_CALC_PNL!P123)</f>
        <v>138275</v>
      </c>
      <c r="I123" t="str">
        <f>IF(PNL!A123="","",IF(_CALC_PNL!E123=1,H123-G123,""))</f>
        <v/>
      </c>
    </row>
    <row r="124" ht="14.25" customHeight="1">
      <c r="A124" t="s">
        <v>81</v>
      </c>
      <c r="B124" t="s">
        <v>245</v>
      </c>
      <c r="C124" t="s">
        <v>210</v>
      </c>
      <c r="D124" t="s">
        <v>273</v>
      </c>
      <c r="E124" t="s">
        <v>191</v>
      </c>
      <c r="F124" t="s">
        <v>192</v>
      </c>
      <c r="G124">
        <v>115229</v>
      </c>
      <c r="H124">
        <f>IF(PNL!A124="","",_CALC_PNL!P124)</f>
        <v>115229</v>
      </c>
      <c r="I124" t="str">
        <f>IF(PNL!A124="","",IF(_CALC_PNL!E124=1,H124-G124,""))</f>
        <v/>
      </c>
    </row>
    <row r="125" ht="14.25" customHeight="1">
      <c r="A125" t="s">
        <v>83</v>
      </c>
      <c r="B125" t="s">
        <v>245</v>
      </c>
      <c r="C125" t="s">
        <v>210</v>
      </c>
      <c r="D125" t="s">
        <v>273</v>
      </c>
      <c r="E125" t="s">
        <v>191</v>
      </c>
      <c r="F125" t="s">
        <v>192</v>
      </c>
      <c r="G125">
        <v>172844</v>
      </c>
      <c r="H125">
        <f>IF(PNL!A125="","",_CALC_PNL!P125)</f>
        <v>172844</v>
      </c>
      <c r="I125" t="str">
        <f>IF(PNL!A125="","",IF(_CALC_PNL!E125=1,H125-G125,""))</f>
        <v/>
      </c>
    </row>
    <row r="126" ht="14.25" customHeight="1">
      <c r="A126" t="s">
        <v>84</v>
      </c>
      <c r="B126" t="s">
        <v>245</v>
      </c>
      <c r="C126" t="s">
        <v>210</v>
      </c>
      <c r="D126" t="s">
        <v>273</v>
      </c>
      <c r="E126" t="s">
        <v>191</v>
      </c>
      <c r="F126" t="s">
        <v>192</v>
      </c>
      <c r="G126">
        <v>115229</v>
      </c>
      <c r="H126">
        <f>IF(PNL!A126="","",_CALC_PNL!P126)</f>
        <v>115229</v>
      </c>
      <c r="I126" t="str">
        <f>IF(PNL!A126="","",IF(_CALC_PNL!E126=1,H126-G126,""))</f>
        <v/>
      </c>
    </row>
    <row r="127" ht="14.25" customHeight="1">
      <c r="A127" t="s">
        <v>86</v>
      </c>
      <c r="B127" t="s">
        <v>245</v>
      </c>
      <c r="C127" t="s">
        <v>210</v>
      </c>
      <c r="D127" t="s">
        <v>273</v>
      </c>
      <c r="E127" t="s">
        <v>191</v>
      </c>
      <c r="F127" t="s">
        <v>192</v>
      </c>
      <c r="G127">
        <v>115229</v>
      </c>
      <c r="H127">
        <f>IF(PNL!A127="","",_CALC_PNL!P127)</f>
        <v>115229</v>
      </c>
      <c r="I127" t="str">
        <f>IF(PNL!A127="","",IF(_CALC_PNL!E127=1,H127-G127,""))</f>
        <v/>
      </c>
    </row>
    <row r="128" ht="14.25" customHeight="1">
      <c r="A128" t="s">
        <v>88</v>
      </c>
      <c r="B128" t="s">
        <v>245</v>
      </c>
      <c r="C128" t="s">
        <v>210</v>
      </c>
      <c r="D128" t="s">
        <v>273</v>
      </c>
      <c r="E128" t="s">
        <v>191</v>
      </c>
      <c r="F128" t="s">
        <v>192</v>
      </c>
      <c r="G128">
        <v>69137</v>
      </c>
      <c r="H128">
        <f>IF(PNL!A128="","",_CALC_PNL!P128)</f>
        <v>69137</v>
      </c>
      <c r="I128" t="str">
        <f>IF(PNL!A128="","",IF(_CALC_PNL!E128=1,H128-G128,""))</f>
        <v/>
      </c>
    </row>
    <row r="129" ht="14.25" customHeight="1">
      <c r="A129" t="s">
        <v>90</v>
      </c>
      <c r="B129" t="s">
        <v>245</v>
      </c>
      <c r="C129" t="s">
        <v>210</v>
      </c>
      <c r="D129" t="s">
        <v>273</v>
      </c>
      <c r="E129" t="s">
        <v>191</v>
      </c>
      <c r="F129" t="s">
        <v>192</v>
      </c>
      <c r="G129">
        <v>69137</v>
      </c>
      <c r="H129">
        <f>IF(PNL!A129="","",_CALC_PNL!P129)</f>
        <v>69137</v>
      </c>
      <c r="I129" t="str">
        <f>IF(PNL!A129="","",IF(_CALC_PNL!E129=1,H129-G129,""))</f>
        <v/>
      </c>
    </row>
    <row r="130" ht="14.25" customHeight="1">
      <c r="A130" t="s">
        <v>92</v>
      </c>
      <c r="B130" t="s">
        <v>245</v>
      </c>
      <c r="C130" t="s">
        <v>210</v>
      </c>
      <c r="D130" t="s">
        <v>273</v>
      </c>
      <c r="E130" t="s">
        <v>191</v>
      </c>
      <c r="F130" t="s">
        <v>192</v>
      </c>
      <c r="G130">
        <v>69137</v>
      </c>
      <c r="H130">
        <f>IF(PNL!A130="","",_CALC_PNL!P130)</f>
        <v>69137</v>
      </c>
      <c r="I130" t="str">
        <f>IF(PNL!A130="","",IF(_CALC_PNL!E130=1,H130-G130,""))</f>
        <v/>
      </c>
    </row>
    <row r="131" ht="14.25" customHeight="1">
      <c r="A131" t="s">
        <v>94</v>
      </c>
      <c r="B131" t="s">
        <v>245</v>
      </c>
      <c r="C131" t="s">
        <v>210</v>
      </c>
      <c r="D131" t="s">
        <v>273</v>
      </c>
      <c r="E131" t="s">
        <v>191</v>
      </c>
      <c r="F131" t="s">
        <v>192</v>
      </c>
      <c r="G131">
        <v>92183</v>
      </c>
      <c r="H131">
        <f>IF(PNL!A131="","",_CALC_PNL!P131)</f>
        <v>92183</v>
      </c>
      <c r="I131" t="str">
        <f>IF(PNL!A131="","",IF(_CALC_PNL!E131=1,H131-G131,""))</f>
        <v/>
      </c>
    </row>
    <row r="132" ht="14.25" customHeight="1">
      <c r="A132" t="s">
        <v>95</v>
      </c>
      <c r="B132" t="s">
        <v>245</v>
      </c>
      <c r="C132" t="s">
        <v>210</v>
      </c>
      <c r="D132" t="s">
        <v>273</v>
      </c>
      <c r="E132" t="s">
        <v>191</v>
      </c>
      <c r="F132" t="s">
        <v>192</v>
      </c>
      <c r="G132">
        <v>92183</v>
      </c>
      <c r="H132">
        <f>IF(PNL!A132="","",_CALC_PNL!P132)</f>
        <v>92183</v>
      </c>
      <c r="I132" t="str">
        <f>IF(PNL!A132="","",IF(_CALC_PNL!E132=1,H132-G132,""))</f>
        <v/>
      </c>
    </row>
    <row r="133" ht="14.25" customHeight="1">
      <c r="A133" t="s">
        <v>96</v>
      </c>
      <c r="B133" t="s">
        <v>245</v>
      </c>
      <c r="C133" t="s">
        <v>210</v>
      </c>
      <c r="D133" t="s">
        <v>273</v>
      </c>
      <c r="E133" t="s">
        <v>191</v>
      </c>
      <c r="F133" t="s">
        <v>192</v>
      </c>
      <c r="G133">
        <v>69137</v>
      </c>
      <c r="H133">
        <f>IF(PNL!A133="","",_CALC_PNL!P133)</f>
        <v>69137</v>
      </c>
      <c r="I133" t="str">
        <f>IF(PNL!A133="","",IF(_CALC_PNL!E133=1,H133-G133,""))</f>
        <v/>
      </c>
    </row>
    <row r="134" ht="14.25" customHeight="1">
      <c r="A134" t="s">
        <v>97</v>
      </c>
      <c r="B134" t="s">
        <v>245</v>
      </c>
      <c r="C134" t="s">
        <v>210</v>
      </c>
      <c r="D134" t="s">
        <v>273</v>
      </c>
      <c r="E134" t="s">
        <v>191</v>
      </c>
      <c r="F134" t="s">
        <v>192</v>
      </c>
      <c r="G134">
        <v>69137</v>
      </c>
      <c r="H134">
        <f>IF(PNL!A134="","",_CALC_PNL!P134)</f>
        <v>69137</v>
      </c>
      <c r="I134" t="str">
        <f>IF(PNL!A134="","",IF(_CALC_PNL!E134=1,H134-G134,""))</f>
        <v/>
      </c>
    </row>
    <row r="135" ht="14.25" customHeight="1">
      <c r="A135" t="s">
        <v>75</v>
      </c>
      <c r="B135" t="s">
        <v>245</v>
      </c>
      <c r="C135" t="s">
        <v>25</v>
      </c>
      <c r="D135" t="s">
        <v>273</v>
      </c>
      <c r="E135" t="s">
        <v>191</v>
      </c>
      <c r="F135" t="s">
        <v>192</v>
      </c>
      <c r="G135">
        <v>181094</v>
      </c>
      <c r="H135">
        <f>IF(PNL!A135="","",_CALC_PNL!P135)</f>
        <v>181094</v>
      </c>
      <c r="I135" t="str">
        <f>IF(PNL!A135="","",IF(_CALC_PNL!E135=1,H135-G135,""))</f>
        <v/>
      </c>
    </row>
    <row r="136" ht="14.25" customHeight="1">
      <c r="A136" t="s">
        <v>77</v>
      </c>
      <c r="B136" t="s">
        <v>245</v>
      </c>
      <c r="C136" t="s">
        <v>25</v>
      </c>
      <c r="D136" t="s">
        <v>273</v>
      </c>
      <c r="E136" t="s">
        <v>191</v>
      </c>
      <c r="F136" t="s">
        <v>192</v>
      </c>
      <c r="G136">
        <v>156948</v>
      </c>
      <c r="H136">
        <f>IF(PNL!A136="","",_CALC_PNL!P136)</f>
        <v>156948</v>
      </c>
      <c r="I136" t="str">
        <f>IF(PNL!A136="","",IF(_CALC_PNL!E136=1,H136-G136,""))</f>
        <v/>
      </c>
    </row>
    <row r="137" ht="14.25" customHeight="1">
      <c r="A137" t="s">
        <v>79</v>
      </c>
      <c r="B137" t="s">
        <v>245</v>
      </c>
      <c r="C137" t="s">
        <v>25</v>
      </c>
      <c r="D137" t="s">
        <v>273</v>
      </c>
      <c r="E137" t="s">
        <v>191</v>
      </c>
      <c r="F137" t="s">
        <v>192</v>
      </c>
      <c r="G137">
        <v>144875</v>
      </c>
      <c r="H137">
        <f>IF(PNL!A137="","",_CALC_PNL!P137)</f>
        <v>144875</v>
      </c>
      <c r="I137" t="str">
        <f>IF(PNL!A137="","",IF(_CALC_PNL!E137=1,H137-G137,""))</f>
        <v/>
      </c>
    </row>
    <row r="138" ht="14.25" customHeight="1">
      <c r="A138" t="s">
        <v>81</v>
      </c>
      <c r="B138" t="s">
        <v>245</v>
      </c>
      <c r="C138" t="s">
        <v>25</v>
      </c>
      <c r="D138" t="s">
        <v>273</v>
      </c>
      <c r="E138" t="s">
        <v>191</v>
      </c>
      <c r="F138" t="s">
        <v>192</v>
      </c>
      <c r="G138">
        <v>120729</v>
      </c>
      <c r="H138">
        <f>IF(PNL!A138="","",_CALC_PNL!P138)</f>
        <v>120729</v>
      </c>
      <c r="I138" t="str">
        <f>IF(PNL!A138="","",IF(_CALC_PNL!E138=1,H138-G138,""))</f>
        <v/>
      </c>
    </row>
    <row r="139" ht="14.25" customHeight="1">
      <c r="A139" t="s">
        <v>83</v>
      </c>
      <c r="B139" t="s">
        <v>245</v>
      </c>
      <c r="C139" t="s">
        <v>25</v>
      </c>
      <c r="D139" t="s">
        <v>273</v>
      </c>
      <c r="E139" t="s">
        <v>191</v>
      </c>
      <c r="F139" t="s">
        <v>192</v>
      </c>
      <c r="G139">
        <v>181094</v>
      </c>
      <c r="H139">
        <f>IF(PNL!A139="","",_CALC_PNL!P139)</f>
        <v>181094</v>
      </c>
      <c r="I139" t="str">
        <f>IF(PNL!A139="","",IF(_CALC_PNL!E139=1,H139-G139,""))</f>
        <v/>
      </c>
    </row>
    <row r="140" ht="14.25" customHeight="1">
      <c r="A140" t="s">
        <v>84</v>
      </c>
      <c r="B140" t="s">
        <v>245</v>
      </c>
      <c r="C140" t="s">
        <v>25</v>
      </c>
      <c r="D140" t="s">
        <v>273</v>
      </c>
      <c r="E140" t="s">
        <v>191</v>
      </c>
      <c r="F140" t="s">
        <v>192</v>
      </c>
      <c r="G140">
        <v>120729</v>
      </c>
      <c r="H140">
        <f>IF(PNL!A140="","",_CALC_PNL!P140)</f>
        <v>120729</v>
      </c>
      <c r="I140" t="str">
        <f>IF(PNL!A140="","",IF(_CALC_PNL!E140=1,H140-G140,""))</f>
        <v/>
      </c>
    </row>
    <row r="141" ht="14.25" customHeight="1">
      <c r="A141" t="s">
        <v>86</v>
      </c>
      <c r="B141" t="s">
        <v>245</v>
      </c>
      <c r="C141" t="s">
        <v>25</v>
      </c>
      <c r="D141" t="s">
        <v>273</v>
      </c>
      <c r="E141" t="s">
        <v>191</v>
      </c>
      <c r="F141" t="s">
        <v>192</v>
      </c>
      <c r="G141">
        <v>120729</v>
      </c>
      <c r="H141">
        <f>IF(PNL!A141="","",_CALC_PNL!P141)</f>
        <v>120729</v>
      </c>
      <c r="I141" t="str">
        <f>IF(PNL!A141="","",IF(_CALC_PNL!E141=1,H141-G141,""))</f>
        <v/>
      </c>
    </row>
    <row r="142" ht="14.25" customHeight="1">
      <c r="A142" t="s">
        <v>88</v>
      </c>
      <c r="B142" t="s">
        <v>245</v>
      </c>
      <c r="C142" t="s">
        <v>25</v>
      </c>
      <c r="D142" t="s">
        <v>273</v>
      </c>
      <c r="E142" t="s">
        <v>191</v>
      </c>
      <c r="F142" t="s">
        <v>192</v>
      </c>
      <c r="G142">
        <v>72438</v>
      </c>
      <c r="H142">
        <f>IF(PNL!A142="","",_CALC_PNL!P142)</f>
        <v>72438</v>
      </c>
      <c r="I142" t="str">
        <f>IF(PNL!A142="","",IF(_CALC_PNL!E142=1,H142-G142,""))</f>
        <v/>
      </c>
    </row>
    <row r="143" ht="14.25" customHeight="1">
      <c r="A143" t="s">
        <v>90</v>
      </c>
      <c r="B143" t="s">
        <v>245</v>
      </c>
      <c r="C143" t="s">
        <v>25</v>
      </c>
      <c r="D143" t="s">
        <v>273</v>
      </c>
      <c r="E143" t="s">
        <v>191</v>
      </c>
      <c r="F143" t="s">
        <v>192</v>
      </c>
      <c r="G143">
        <v>72438</v>
      </c>
      <c r="H143">
        <f>IF(PNL!A143="","",_CALC_PNL!P143)</f>
        <v>72438</v>
      </c>
      <c r="I143" t="str">
        <f>IF(PNL!A143="","",IF(_CALC_PNL!E143=1,H143-G143,""))</f>
        <v/>
      </c>
    </row>
    <row r="144" ht="14.25" customHeight="1">
      <c r="A144" t="s">
        <v>92</v>
      </c>
      <c r="B144" t="s">
        <v>245</v>
      </c>
      <c r="C144" t="s">
        <v>25</v>
      </c>
      <c r="D144" t="s">
        <v>273</v>
      </c>
      <c r="E144" t="s">
        <v>191</v>
      </c>
      <c r="F144" t="s">
        <v>192</v>
      </c>
      <c r="G144">
        <v>72438</v>
      </c>
      <c r="H144">
        <f>IF(PNL!A144="","",_CALC_PNL!P144)</f>
        <v>72438</v>
      </c>
      <c r="I144" t="str">
        <f>IF(PNL!A144="","",IF(_CALC_PNL!E144=1,H144-G144,""))</f>
        <v/>
      </c>
    </row>
    <row r="145" ht="14.25" customHeight="1">
      <c r="A145" t="s">
        <v>94</v>
      </c>
      <c r="B145" t="s">
        <v>245</v>
      </c>
      <c r="C145" t="s">
        <v>25</v>
      </c>
      <c r="D145" t="s">
        <v>273</v>
      </c>
      <c r="E145" t="s">
        <v>191</v>
      </c>
      <c r="F145" t="s">
        <v>192</v>
      </c>
      <c r="G145">
        <v>96583</v>
      </c>
      <c r="H145">
        <f>IF(PNL!A145="","",_CALC_PNL!P145)</f>
        <v>96583</v>
      </c>
      <c r="I145" t="str">
        <f>IF(PNL!A145="","",IF(_CALC_PNL!E145=1,H145-G145,""))</f>
        <v/>
      </c>
    </row>
    <row r="146" ht="14.25" customHeight="1">
      <c r="A146" t="s">
        <v>95</v>
      </c>
      <c r="B146" t="s">
        <v>245</v>
      </c>
      <c r="C146" t="s">
        <v>25</v>
      </c>
      <c r="D146" t="s">
        <v>273</v>
      </c>
      <c r="E146" t="s">
        <v>191</v>
      </c>
      <c r="F146" t="s">
        <v>192</v>
      </c>
      <c r="G146">
        <v>96583</v>
      </c>
      <c r="H146">
        <f>IF(PNL!A146="","",_CALC_PNL!P146)</f>
        <v>96583</v>
      </c>
      <c r="I146" t="str">
        <f>IF(PNL!A146="","",IF(_CALC_PNL!E146=1,H146-G146,""))</f>
        <v/>
      </c>
    </row>
    <row r="147" ht="14.25" customHeight="1">
      <c r="A147" t="s">
        <v>96</v>
      </c>
      <c r="B147" t="s">
        <v>245</v>
      </c>
      <c r="C147" t="s">
        <v>25</v>
      </c>
      <c r="D147" t="s">
        <v>273</v>
      </c>
      <c r="E147" t="s">
        <v>191</v>
      </c>
      <c r="F147" t="s">
        <v>192</v>
      </c>
      <c r="G147">
        <v>72438</v>
      </c>
      <c r="H147">
        <f>IF(PNL!A147="","",_CALC_PNL!P147)</f>
        <v>72438</v>
      </c>
      <c r="I147" t="str">
        <f>IF(PNL!A147="","",IF(_CALC_PNL!E147=1,H147-G147,""))</f>
        <v/>
      </c>
    </row>
    <row r="148" ht="14.25" customHeight="1">
      <c r="A148" t="s">
        <v>97</v>
      </c>
      <c r="B148" t="s">
        <v>245</v>
      </c>
      <c r="C148" t="s">
        <v>25</v>
      </c>
      <c r="D148" t="s">
        <v>273</v>
      </c>
      <c r="E148" t="s">
        <v>191</v>
      </c>
      <c r="F148" t="s">
        <v>192</v>
      </c>
      <c r="G148">
        <v>72438</v>
      </c>
      <c r="H148">
        <f>IF(PNL!A148="","",_CALC_PNL!P148)</f>
        <v>72438</v>
      </c>
      <c r="I148" t="str">
        <f>IF(PNL!A148="","",IF(_CALC_PNL!E148=1,H148-G148,""))</f>
        <v/>
      </c>
    </row>
    <row r="149" ht="14.25" customHeight="1">
      <c r="A149" t="s">
        <v>75</v>
      </c>
      <c r="B149" t="s">
        <v>246</v>
      </c>
      <c r="C149" t="s">
        <v>211</v>
      </c>
      <c r="D149" t="s">
        <v>273</v>
      </c>
      <c r="E149" t="s">
        <v>191</v>
      </c>
      <c r="F149" t="s">
        <v>192</v>
      </c>
      <c r="G149">
        <v>77832</v>
      </c>
      <c r="H149">
        <f>IF(PNL!A149="","",_CALC_PNL!P149)</f>
        <v>77832</v>
      </c>
      <c r="I149" t="str">
        <f>IF(PNL!A149="","",IF(_CALC_PNL!E149=1,H149-G149,""))</f>
        <v/>
      </c>
    </row>
    <row r="150" ht="14.25" customHeight="1">
      <c r="A150" t="s">
        <v>77</v>
      </c>
      <c r="B150" t="s">
        <v>246</v>
      </c>
      <c r="C150" t="s">
        <v>211</v>
      </c>
      <c r="D150" t="s">
        <v>273</v>
      </c>
      <c r="E150" t="s">
        <v>191</v>
      </c>
      <c r="F150" t="s">
        <v>192</v>
      </c>
      <c r="G150">
        <v>66015</v>
      </c>
      <c r="H150">
        <f>IF(PNL!A150="","",_CALC_PNL!P150)</f>
        <v>66015</v>
      </c>
      <c r="I150" t="str">
        <f>IF(PNL!A150="","",IF(_CALC_PNL!E150=1,H150-G150,""))</f>
        <v/>
      </c>
    </row>
    <row r="151" ht="14.25" customHeight="1">
      <c r="A151" t="s">
        <v>79</v>
      </c>
      <c r="B151" t="s">
        <v>246</v>
      </c>
      <c r="C151" t="s">
        <v>211</v>
      </c>
      <c r="D151" t="s">
        <v>273</v>
      </c>
      <c r="E151" t="s">
        <v>191</v>
      </c>
      <c r="F151" t="s">
        <v>192</v>
      </c>
      <c r="G151">
        <v>59902</v>
      </c>
      <c r="H151">
        <f>IF(PNL!A151="","",_CALC_PNL!P151)</f>
        <v>59902</v>
      </c>
      <c r="I151" t="str">
        <f>IF(PNL!A151="","",IF(_CALC_PNL!E151=1,H151-G151,""))</f>
        <v/>
      </c>
    </row>
    <row r="152" ht="14.25" customHeight="1">
      <c r="A152" t="s">
        <v>81</v>
      </c>
      <c r="B152" t="s">
        <v>246</v>
      </c>
      <c r="C152" t="s">
        <v>211</v>
      </c>
      <c r="D152" t="s">
        <v>273</v>
      </c>
      <c r="E152" t="s">
        <v>191</v>
      </c>
      <c r="F152" t="s">
        <v>192</v>
      </c>
      <c r="G152">
        <v>50734</v>
      </c>
      <c r="H152">
        <f>IF(PNL!A152="","",_CALC_PNL!P152)</f>
        <v>50734</v>
      </c>
      <c r="I152" t="str">
        <f>IF(PNL!A152="","",IF(_CALC_PNL!E152=1,H152-G152,""))</f>
        <v/>
      </c>
    </row>
    <row r="153" ht="14.25" customHeight="1">
      <c r="A153" t="s">
        <v>83</v>
      </c>
      <c r="B153" t="s">
        <v>246</v>
      </c>
      <c r="C153" t="s">
        <v>211</v>
      </c>
      <c r="D153" t="s">
        <v>273</v>
      </c>
      <c r="E153" t="s">
        <v>191</v>
      </c>
      <c r="F153" t="s">
        <v>192</v>
      </c>
      <c r="G153">
        <v>72127</v>
      </c>
      <c r="H153">
        <f>IF(PNL!A153="","",_CALC_PNL!P153)</f>
        <v>72127</v>
      </c>
      <c r="I153" t="str">
        <f>IF(PNL!A153="","",IF(_CALC_PNL!E153=1,H153-G153,""))</f>
        <v/>
      </c>
    </row>
    <row r="154" ht="14.25" customHeight="1">
      <c r="A154" t="s">
        <v>84</v>
      </c>
      <c r="B154" t="s">
        <v>246</v>
      </c>
      <c r="C154" t="s">
        <v>211</v>
      </c>
      <c r="D154" t="s">
        <v>273</v>
      </c>
      <c r="E154" t="s">
        <v>191</v>
      </c>
      <c r="F154" t="s">
        <v>192</v>
      </c>
      <c r="G154">
        <v>49715</v>
      </c>
      <c r="H154">
        <f>IF(PNL!A154="","",_CALC_PNL!P154)</f>
        <v>49715</v>
      </c>
      <c r="I154" t="str">
        <f>IF(PNL!A154="","",IF(_CALC_PNL!E154=1,H154-G154,""))</f>
        <v/>
      </c>
    </row>
    <row r="155" ht="14.25" customHeight="1">
      <c r="A155" t="s">
        <v>86</v>
      </c>
      <c r="B155" t="s">
        <v>246</v>
      </c>
      <c r="C155" t="s">
        <v>211</v>
      </c>
      <c r="D155" t="s">
        <v>273</v>
      </c>
      <c r="E155" t="s">
        <v>191</v>
      </c>
      <c r="F155" t="s">
        <v>192</v>
      </c>
      <c r="G155">
        <v>47066</v>
      </c>
      <c r="H155">
        <f>IF(PNL!A155="","",_CALC_PNL!P155)</f>
        <v>47066</v>
      </c>
      <c r="I155" t="str">
        <f>IF(PNL!A155="","",IF(_CALC_PNL!E155=1,H155-G155,""))</f>
        <v/>
      </c>
    </row>
    <row r="156" ht="14.25" customHeight="1">
      <c r="A156" t="s">
        <v>88</v>
      </c>
      <c r="B156" t="s">
        <v>246</v>
      </c>
      <c r="C156" t="s">
        <v>211</v>
      </c>
      <c r="D156" t="s">
        <v>273</v>
      </c>
      <c r="E156" t="s">
        <v>191</v>
      </c>
      <c r="F156" t="s">
        <v>192</v>
      </c>
      <c r="G156">
        <v>29544</v>
      </c>
      <c r="H156">
        <f>IF(PNL!A156="","",_CALC_PNL!P156)</f>
        <v>29544</v>
      </c>
      <c r="I156" t="str">
        <f>IF(PNL!A156="","",IF(_CALC_PNL!E156=1,H156-G156,""))</f>
        <v/>
      </c>
    </row>
    <row r="157" ht="14.25" customHeight="1">
      <c r="A157" t="s">
        <v>90</v>
      </c>
      <c r="B157" t="s">
        <v>246</v>
      </c>
      <c r="C157" t="s">
        <v>211</v>
      </c>
      <c r="D157" t="s">
        <v>273</v>
      </c>
      <c r="E157" t="s">
        <v>191</v>
      </c>
      <c r="F157" t="s">
        <v>192</v>
      </c>
      <c r="G157">
        <v>23839</v>
      </c>
      <c r="H157">
        <f>IF(PNL!A157="","",_CALC_PNL!P157)</f>
        <v>23839</v>
      </c>
      <c r="I157" t="str">
        <f>IF(PNL!A157="","",IF(_CALC_PNL!E157=1,H157-G157,""))</f>
        <v/>
      </c>
    </row>
    <row r="158" ht="14.25" customHeight="1">
      <c r="A158" t="s">
        <v>92</v>
      </c>
      <c r="B158" t="s">
        <v>246</v>
      </c>
      <c r="C158" t="s">
        <v>211</v>
      </c>
      <c r="D158" t="s">
        <v>273</v>
      </c>
      <c r="E158" t="s">
        <v>191</v>
      </c>
      <c r="F158" t="s">
        <v>192</v>
      </c>
      <c r="G158">
        <v>23839</v>
      </c>
      <c r="H158">
        <f>IF(PNL!A158="","",_CALC_PNL!P158)</f>
        <v>23839</v>
      </c>
      <c r="I158" t="str">
        <f>IF(PNL!A158="","",IF(_CALC_PNL!E158=1,H158-G158,""))</f>
        <v/>
      </c>
    </row>
    <row r="159" ht="14.25" customHeight="1">
      <c r="A159" t="s">
        <v>94</v>
      </c>
      <c r="B159" t="s">
        <v>246</v>
      </c>
      <c r="C159" t="s">
        <v>211</v>
      </c>
      <c r="D159" t="s">
        <v>273</v>
      </c>
      <c r="E159" t="s">
        <v>191</v>
      </c>
      <c r="F159" t="s">
        <v>192</v>
      </c>
      <c r="G159">
        <v>37082</v>
      </c>
      <c r="H159">
        <f>IF(PNL!A159="","",_CALC_PNL!P159)</f>
        <v>37082</v>
      </c>
      <c r="I159" t="str">
        <f>IF(PNL!A159="","",IF(_CALC_PNL!E159=1,H159-G159,""))</f>
        <v/>
      </c>
    </row>
    <row r="160" ht="14.25" customHeight="1">
      <c r="A160" t="s">
        <v>95</v>
      </c>
      <c r="B160" t="s">
        <v>246</v>
      </c>
      <c r="C160" t="s">
        <v>211</v>
      </c>
      <c r="D160" t="s">
        <v>273</v>
      </c>
      <c r="E160" t="s">
        <v>191</v>
      </c>
      <c r="F160" t="s">
        <v>192</v>
      </c>
      <c r="G160">
        <v>28932</v>
      </c>
      <c r="H160">
        <f>IF(PNL!A160="","",_CALC_PNL!P160)</f>
        <v>28932</v>
      </c>
      <c r="I160" t="str">
        <f>IF(PNL!A160="","",IF(_CALC_PNL!E160=1,H160-G160,""))</f>
        <v/>
      </c>
    </row>
    <row r="161" ht="14.25" customHeight="1">
      <c r="A161" t="s">
        <v>96</v>
      </c>
      <c r="B161" t="s">
        <v>246</v>
      </c>
      <c r="C161" t="s">
        <v>211</v>
      </c>
      <c r="D161" t="s">
        <v>273</v>
      </c>
      <c r="E161" t="s">
        <v>191</v>
      </c>
      <c r="F161" t="s">
        <v>192</v>
      </c>
      <c r="G161">
        <v>28117</v>
      </c>
      <c r="H161">
        <f>IF(PNL!A161="","",_CALC_PNL!P161)</f>
        <v>28117</v>
      </c>
      <c r="I161" t="str">
        <f>IF(PNL!A161="","",IF(_CALC_PNL!E161=1,H161-G161,""))</f>
        <v/>
      </c>
    </row>
    <row r="162" ht="14.25" customHeight="1">
      <c r="A162" t="s">
        <v>97</v>
      </c>
      <c r="B162" t="s">
        <v>246</v>
      </c>
      <c r="C162" t="s">
        <v>211</v>
      </c>
      <c r="D162" t="s">
        <v>273</v>
      </c>
      <c r="E162" t="s">
        <v>191</v>
      </c>
      <c r="F162" t="s">
        <v>192</v>
      </c>
      <c r="G162">
        <v>23839</v>
      </c>
      <c r="H162">
        <f>IF(PNL!A162="","",_CALC_PNL!P162)</f>
        <v>23839</v>
      </c>
      <c r="I162" t="str">
        <f>IF(PNL!A162="","",IF(_CALC_PNL!E162=1,H162-G162,""))</f>
        <v/>
      </c>
    </row>
    <row r="163" ht="14.25" customHeight="1">
      <c r="A163" t="s">
        <v>75</v>
      </c>
      <c r="B163" t="s">
        <v>246</v>
      </c>
      <c r="C163" t="s">
        <v>210</v>
      </c>
      <c r="D163" t="s">
        <v>273</v>
      </c>
      <c r="E163" t="s">
        <v>191</v>
      </c>
      <c r="F163" t="s">
        <v>192</v>
      </c>
      <c r="G163">
        <v>81399</v>
      </c>
      <c r="H163">
        <f>IF(PNL!A163="","",_CALC_PNL!P163)</f>
        <v>81399</v>
      </c>
      <c r="I163" t="str">
        <f>IF(PNL!A163="","",IF(_CALC_PNL!E163=1,H163-G163,""))</f>
        <v/>
      </c>
    </row>
    <row r="164" ht="14.25" customHeight="1">
      <c r="A164" t="s">
        <v>77</v>
      </c>
      <c r="B164" t="s">
        <v>246</v>
      </c>
      <c r="C164" t="s">
        <v>210</v>
      </c>
      <c r="D164" t="s">
        <v>273</v>
      </c>
      <c r="E164" t="s">
        <v>191</v>
      </c>
      <c r="F164" t="s">
        <v>192</v>
      </c>
      <c r="G164">
        <v>69040</v>
      </c>
      <c r="H164">
        <f>IF(PNL!A164="","",_CALC_PNL!P164)</f>
        <v>69040</v>
      </c>
      <c r="I164" t="str">
        <f>IF(PNL!A164="","",IF(_CALC_PNL!E164=1,H164-G164,""))</f>
        <v/>
      </c>
    </row>
    <row r="165" ht="14.25" customHeight="1">
      <c r="A165" t="s">
        <v>79</v>
      </c>
      <c r="B165" t="s">
        <v>246</v>
      </c>
      <c r="C165" t="s">
        <v>210</v>
      </c>
      <c r="D165" t="s">
        <v>273</v>
      </c>
      <c r="E165" t="s">
        <v>191</v>
      </c>
      <c r="F165" t="s">
        <v>192</v>
      </c>
      <c r="G165">
        <v>62647</v>
      </c>
      <c r="H165">
        <f>IF(PNL!A165="","",_CALC_PNL!P165)</f>
        <v>62647</v>
      </c>
      <c r="I165" t="str">
        <f>IF(PNL!A165="","",IF(_CALC_PNL!E165=1,H165-G165,""))</f>
        <v/>
      </c>
    </row>
    <row r="166" ht="14.25" customHeight="1">
      <c r="A166" t="s">
        <v>81</v>
      </c>
      <c r="B166" t="s">
        <v>246</v>
      </c>
      <c r="C166" t="s">
        <v>210</v>
      </c>
      <c r="D166" t="s">
        <v>273</v>
      </c>
      <c r="E166" t="s">
        <v>191</v>
      </c>
      <c r="F166" t="s">
        <v>192</v>
      </c>
      <c r="G166">
        <v>53058</v>
      </c>
      <c r="H166">
        <f>IF(PNL!A166="","",_CALC_PNL!P166)</f>
        <v>53058</v>
      </c>
      <c r="I166" t="str">
        <f>IF(PNL!A166="","",IF(_CALC_PNL!E166=1,H166-G166,""))</f>
        <v/>
      </c>
    </row>
    <row r="167" ht="14.25" customHeight="1">
      <c r="A167" t="s">
        <v>83</v>
      </c>
      <c r="B167" t="s">
        <v>246</v>
      </c>
      <c r="C167" t="s">
        <v>210</v>
      </c>
      <c r="D167" t="s">
        <v>273</v>
      </c>
      <c r="E167" t="s">
        <v>191</v>
      </c>
      <c r="F167" t="s">
        <v>192</v>
      </c>
      <c r="G167">
        <v>75432</v>
      </c>
      <c r="H167">
        <f>IF(PNL!A167="","",_CALC_PNL!P167)</f>
        <v>75432</v>
      </c>
      <c r="I167" t="str">
        <f>IF(PNL!A167="","",IF(_CALC_PNL!E167=1,H167-G167,""))</f>
        <v/>
      </c>
    </row>
    <row r="168" ht="14.25" customHeight="1">
      <c r="A168" t="s">
        <v>84</v>
      </c>
      <c r="B168" t="s">
        <v>246</v>
      </c>
      <c r="C168" t="s">
        <v>210</v>
      </c>
      <c r="D168" t="s">
        <v>273</v>
      </c>
      <c r="E168" t="s">
        <v>191</v>
      </c>
      <c r="F168" t="s">
        <v>192</v>
      </c>
      <c r="G168">
        <v>51993</v>
      </c>
      <c r="H168">
        <f>IF(PNL!A168="","",_CALC_PNL!P168)</f>
        <v>51993</v>
      </c>
      <c r="I168" t="str">
        <f>IF(PNL!A168="","",IF(_CALC_PNL!E168=1,H168-G168,""))</f>
        <v/>
      </c>
    </row>
    <row r="169" ht="14.25" customHeight="1">
      <c r="A169" t="s">
        <v>86</v>
      </c>
      <c r="B169" t="s">
        <v>246</v>
      </c>
      <c r="C169" t="s">
        <v>210</v>
      </c>
      <c r="D169" t="s">
        <v>273</v>
      </c>
      <c r="E169" t="s">
        <v>191</v>
      </c>
      <c r="F169" t="s">
        <v>192</v>
      </c>
      <c r="G169">
        <v>49223</v>
      </c>
      <c r="H169">
        <f>IF(PNL!A169="","",_CALC_PNL!P169)</f>
        <v>49223</v>
      </c>
      <c r="I169" t="str">
        <f>IF(PNL!A169="","",IF(_CALC_PNL!E169=1,H169-G169,""))</f>
        <v/>
      </c>
    </row>
    <row r="170" ht="14.25" customHeight="1">
      <c r="A170" t="s">
        <v>88</v>
      </c>
      <c r="B170" t="s">
        <v>246</v>
      </c>
      <c r="C170" t="s">
        <v>210</v>
      </c>
      <c r="D170" t="s">
        <v>273</v>
      </c>
      <c r="E170" t="s">
        <v>191</v>
      </c>
      <c r="F170" t="s">
        <v>192</v>
      </c>
      <c r="G170">
        <v>30897</v>
      </c>
      <c r="H170">
        <f>IF(PNL!A170="","",_CALC_PNL!P170)</f>
        <v>30897</v>
      </c>
      <c r="I170" t="str">
        <f>IF(PNL!A170="","",IF(_CALC_PNL!E170=1,H170-G170,""))</f>
        <v/>
      </c>
    </row>
    <row r="171" ht="14.25" customHeight="1">
      <c r="A171" t="s">
        <v>90</v>
      </c>
      <c r="B171" t="s">
        <v>246</v>
      </c>
      <c r="C171" t="s">
        <v>210</v>
      </c>
      <c r="D171" t="s">
        <v>273</v>
      </c>
      <c r="E171" t="s">
        <v>191</v>
      </c>
      <c r="F171" t="s">
        <v>192</v>
      </c>
      <c r="G171">
        <v>24931</v>
      </c>
      <c r="H171">
        <f>IF(PNL!A171="","",_CALC_PNL!P171)</f>
        <v>24931</v>
      </c>
      <c r="I171" t="str">
        <f>IF(PNL!A171="","",IF(_CALC_PNL!E171=1,H171-G171,""))</f>
        <v/>
      </c>
    </row>
    <row r="172" ht="14.25" customHeight="1">
      <c r="A172" t="s">
        <v>92</v>
      </c>
      <c r="B172" t="s">
        <v>246</v>
      </c>
      <c r="C172" t="s">
        <v>210</v>
      </c>
      <c r="D172" t="s">
        <v>273</v>
      </c>
      <c r="E172" t="s">
        <v>191</v>
      </c>
      <c r="F172" t="s">
        <v>192</v>
      </c>
      <c r="G172">
        <v>24931</v>
      </c>
      <c r="H172">
        <f>IF(PNL!A172="","",_CALC_PNL!P172)</f>
        <v>24931</v>
      </c>
      <c r="I172" t="str">
        <f>IF(PNL!A172="","",IF(_CALC_PNL!E172=1,H172-G172,""))</f>
        <v/>
      </c>
    </row>
    <row r="173" ht="14.25" customHeight="1">
      <c r="A173" t="s">
        <v>94</v>
      </c>
      <c r="B173" t="s">
        <v>246</v>
      </c>
      <c r="C173" t="s">
        <v>210</v>
      </c>
      <c r="D173" t="s">
        <v>273</v>
      </c>
      <c r="E173" t="s">
        <v>191</v>
      </c>
      <c r="F173" t="s">
        <v>192</v>
      </c>
      <c r="G173">
        <v>38782</v>
      </c>
      <c r="H173">
        <f>IF(PNL!A173="","",_CALC_PNL!P173)</f>
        <v>38782</v>
      </c>
      <c r="I173" t="str">
        <f>IF(PNL!A173="","",IF(_CALC_PNL!E173=1,H173-G173,""))</f>
        <v/>
      </c>
    </row>
    <row r="174" ht="14.25" customHeight="1">
      <c r="A174" t="s">
        <v>95</v>
      </c>
      <c r="B174" t="s">
        <v>246</v>
      </c>
      <c r="C174" t="s">
        <v>210</v>
      </c>
      <c r="D174" t="s">
        <v>273</v>
      </c>
      <c r="E174" t="s">
        <v>191</v>
      </c>
      <c r="F174" t="s">
        <v>192</v>
      </c>
      <c r="G174">
        <v>30258</v>
      </c>
      <c r="H174">
        <f>IF(PNL!A174="","",_CALC_PNL!P174)</f>
        <v>30258</v>
      </c>
      <c r="I174" t="str">
        <f>IF(PNL!A174="","",IF(_CALC_PNL!E174=1,H174-G174,""))</f>
        <v/>
      </c>
    </row>
    <row r="175" ht="14.25" customHeight="1">
      <c r="A175" t="s">
        <v>96</v>
      </c>
      <c r="B175" t="s">
        <v>246</v>
      </c>
      <c r="C175" t="s">
        <v>210</v>
      </c>
      <c r="D175" t="s">
        <v>273</v>
      </c>
      <c r="E175" t="s">
        <v>191</v>
      </c>
      <c r="F175" t="s">
        <v>192</v>
      </c>
      <c r="G175">
        <v>29406</v>
      </c>
      <c r="H175">
        <f>IF(PNL!A175="","",_CALC_PNL!P175)</f>
        <v>29406</v>
      </c>
      <c r="I175" t="str">
        <f>IF(PNL!A175="","",IF(_CALC_PNL!E175=1,H175-G175,""))</f>
        <v/>
      </c>
    </row>
    <row r="176" ht="14.25" customHeight="1">
      <c r="A176" t="s">
        <v>97</v>
      </c>
      <c r="B176" t="s">
        <v>246</v>
      </c>
      <c r="C176" t="s">
        <v>210</v>
      </c>
      <c r="D176" t="s">
        <v>273</v>
      </c>
      <c r="E176" t="s">
        <v>191</v>
      </c>
      <c r="F176" t="s">
        <v>192</v>
      </c>
      <c r="G176">
        <v>24931</v>
      </c>
      <c r="H176">
        <f>IF(PNL!A176="","",_CALC_PNL!P176)</f>
        <v>24931</v>
      </c>
      <c r="I176" t="str">
        <f>IF(PNL!A176="","",IF(_CALC_PNL!E176=1,H176-G176,""))</f>
        <v/>
      </c>
    </row>
    <row r="177" ht="14.25" customHeight="1">
      <c r="A177" t="s">
        <v>75</v>
      </c>
      <c r="B177" t="s">
        <v>246</v>
      </c>
      <c r="C177" t="s">
        <v>25</v>
      </c>
      <c r="D177" t="s">
        <v>273</v>
      </c>
      <c r="E177" t="s">
        <v>191</v>
      </c>
      <c r="F177" t="s">
        <v>192</v>
      </c>
      <c r="G177">
        <v>85284</v>
      </c>
      <c r="H177">
        <f>IF(PNL!A177="","",_CALC_PNL!P177)</f>
        <v>85284</v>
      </c>
      <c r="I177" t="str">
        <f>IF(PNL!A177="","",IF(_CALC_PNL!E177=1,H177-G177,""))</f>
        <v/>
      </c>
    </row>
    <row r="178" ht="14.25" customHeight="1">
      <c r="A178" t="s">
        <v>77</v>
      </c>
      <c r="B178" t="s">
        <v>246</v>
      </c>
      <c r="C178" t="s">
        <v>25</v>
      </c>
      <c r="D178" t="s">
        <v>273</v>
      </c>
      <c r="E178" t="s">
        <v>191</v>
      </c>
      <c r="F178" t="s">
        <v>192</v>
      </c>
      <c r="G178">
        <v>72335</v>
      </c>
      <c r="H178">
        <f>IF(PNL!A178="","",_CALC_PNL!P178)</f>
        <v>72335</v>
      </c>
      <c r="I178" t="str">
        <f>IF(PNL!A178="","",IF(_CALC_PNL!E178=1,H178-G178,""))</f>
        <v/>
      </c>
    </row>
    <row r="179" ht="14.25" customHeight="1">
      <c r="A179" t="s">
        <v>79</v>
      </c>
      <c r="B179" t="s">
        <v>246</v>
      </c>
      <c r="C179" t="s">
        <v>25</v>
      </c>
      <c r="D179" t="s">
        <v>273</v>
      </c>
      <c r="E179" t="s">
        <v>191</v>
      </c>
      <c r="F179" t="s">
        <v>192</v>
      </c>
      <c r="G179">
        <v>65638</v>
      </c>
      <c r="H179">
        <f>IF(PNL!A179="","",_CALC_PNL!P179)</f>
        <v>65638</v>
      </c>
      <c r="I179" t="str">
        <f>IF(PNL!A179="","",IF(_CALC_PNL!E179=1,H179-G179,""))</f>
        <v/>
      </c>
    </row>
    <row r="180" ht="14.25" customHeight="1">
      <c r="A180" t="s">
        <v>81</v>
      </c>
      <c r="B180" t="s">
        <v>246</v>
      </c>
      <c r="C180" t="s">
        <v>25</v>
      </c>
      <c r="D180" t="s">
        <v>273</v>
      </c>
      <c r="E180" t="s">
        <v>191</v>
      </c>
      <c r="F180" t="s">
        <v>192</v>
      </c>
      <c r="G180">
        <v>55591</v>
      </c>
      <c r="H180">
        <f>IF(PNL!A180="","",_CALC_PNL!P180)</f>
        <v>55591</v>
      </c>
      <c r="I180" t="str">
        <f>IF(PNL!A180="","",IF(_CALC_PNL!E180=1,H180-G180,""))</f>
        <v/>
      </c>
    </row>
    <row r="181" ht="14.25" customHeight="1">
      <c r="A181" t="s">
        <v>83</v>
      </c>
      <c r="B181" t="s">
        <v>246</v>
      </c>
      <c r="C181" t="s">
        <v>25</v>
      </c>
      <c r="D181" t="s">
        <v>273</v>
      </c>
      <c r="E181" t="s">
        <v>191</v>
      </c>
      <c r="F181" t="s">
        <v>192</v>
      </c>
      <c r="G181">
        <v>79033</v>
      </c>
      <c r="H181">
        <f>IF(PNL!A181="","",_CALC_PNL!P181)</f>
        <v>79033</v>
      </c>
      <c r="I181" t="str">
        <f>IF(PNL!A181="","",IF(_CALC_PNL!E181=1,H181-G181,""))</f>
        <v/>
      </c>
    </row>
    <row r="182" ht="14.25" customHeight="1">
      <c r="A182" t="s">
        <v>84</v>
      </c>
      <c r="B182" t="s">
        <v>246</v>
      </c>
      <c r="C182" t="s">
        <v>25</v>
      </c>
      <c r="D182" t="s">
        <v>273</v>
      </c>
      <c r="E182" t="s">
        <v>191</v>
      </c>
      <c r="F182" t="s">
        <v>192</v>
      </c>
      <c r="G182">
        <v>54475</v>
      </c>
      <c r="H182">
        <f>IF(PNL!A182="","",_CALC_PNL!P182)</f>
        <v>54475</v>
      </c>
      <c r="I182" t="str">
        <f>IF(PNL!A182="","",IF(_CALC_PNL!E182=1,H182-G182,""))</f>
        <v/>
      </c>
    </row>
    <row r="183" ht="14.25" customHeight="1">
      <c r="A183" t="s">
        <v>86</v>
      </c>
      <c r="B183" t="s">
        <v>246</v>
      </c>
      <c r="C183" t="s">
        <v>25</v>
      </c>
      <c r="D183" t="s">
        <v>273</v>
      </c>
      <c r="E183" t="s">
        <v>191</v>
      </c>
      <c r="F183" t="s">
        <v>192</v>
      </c>
      <c r="G183">
        <v>51572</v>
      </c>
      <c r="H183">
        <f>IF(PNL!A183="","",_CALC_PNL!P183)</f>
        <v>51572</v>
      </c>
      <c r="I183" t="str">
        <f>IF(PNL!A183="","",IF(_CALC_PNL!E183=1,H183-G183,""))</f>
        <v/>
      </c>
    </row>
    <row r="184" ht="14.25" customHeight="1">
      <c r="A184" t="s">
        <v>88</v>
      </c>
      <c r="B184" t="s">
        <v>246</v>
      </c>
      <c r="C184" t="s">
        <v>25</v>
      </c>
      <c r="D184" t="s">
        <v>273</v>
      </c>
      <c r="E184" t="s">
        <v>191</v>
      </c>
      <c r="F184" t="s">
        <v>192</v>
      </c>
      <c r="G184">
        <v>32372</v>
      </c>
      <c r="H184">
        <f>IF(PNL!A184="","",_CALC_PNL!P184)</f>
        <v>32372</v>
      </c>
      <c r="I184" t="str">
        <f>IF(PNL!A184="","",IF(_CALC_PNL!E184=1,H184-G184,""))</f>
        <v/>
      </c>
    </row>
    <row r="185" ht="14.25" customHeight="1">
      <c r="A185" t="s">
        <v>90</v>
      </c>
      <c r="B185" t="s">
        <v>246</v>
      </c>
      <c r="C185" t="s">
        <v>25</v>
      </c>
      <c r="D185" t="s">
        <v>273</v>
      </c>
      <c r="E185" t="s">
        <v>191</v>
      </c>
      <c r="F185" t="s">
        <v>192</v>
      </c>
      <c r="G185">
        <v>26121</v>
      </c>
      <c r="H185">
        <f>IF(PNL!A185="","",_CALC_PNL!P185)</f>
        <v>26121</v>
      </c>
      <c r="I185" t="str">
        <f>IF(PNL!A185="","",IF(_CALC_PNL!E185=1,H185-G185,""))</f>
        <v/>
      </c>
    </row>
    <row r="186" ht="14.25" customHeight="1">
      <c r="A186" t="s">
        <v>92</v>
      </c>
      <c r="B186" t="s">
        <v>246</v>
      </c>
      <c r="C186" t="s">
        <v>25</v>
      </c>
      <c r="D186" t="s">
        <v>273</v>
      </c>
      <c r="E186" t="s">
        <v>191</v>
      </c>
      <c r="F186" t="s">
        <v>192</v>
      </c>
      <c r="G186">
        <v>26121</v>
      </c>
      <c r="H186">
        <f>IF(PNL!A186="","",_CALC_PNL!P186)</f>
        <v>26121</v>
      </c>
      <c r="I186" t="str">
        <f>IF(PNL!A186="","",IF(_CALC_PNL!E186=1,H186-G186,""))</f>
        <v/>
      </c>
    </row>
    <row r="187" ht="14.25" customHeight="1">
      <c r="A187" t="s">
        <v>94</v>
      </c>
      <c r="B187" t="s">
        <v>246</v>
      </c>
      <c r="C187" t="s">
        <v>25</v>
      </c>
      <c r="D187" t="s">
        <v>273</v>
      </c>
      <c r="E187" t="s">
        <v>191</v>
      </c>
      <c r="F187" t="s">
        <v>192</v>
      </c>
      <c r="G187">
        <v>40633</v>
      </c>
      <c r="H187">
        <f>IF(PNL!A187="","",_CALC_PNL!P187)</f>
        <v>40633</v>
      </c>
      <c r="I187" t="str">
        <f>IF(PNL!A187="","",IF(_CALC_PNL!E187=1,H187-G187,""))</f>
        <v/>
      </c>
    </row>
    <row r="188" ht="14.25" customHeight="1">
      <c r="A188" t="s">
        <v>95</v>
      </c>
      <c r="B188" t="s">
        <v>246</v>
      </c>
      <c r="C188" t="s">
        <v>25</v>
      </c>
      <c r="D188" t="s">
        <v>273</v>
      </c>
      <c r="E188" t="s">
        <v>191</v>
      </c>
      <c r="F188" t="s">
        <v>192</v>
      </c>
      <c r="G188">
        <v>31703</v>
      </c>
      <c r="H188">
        <f>IF(PNL!A188="","",_CALC_PNL!P188)</f>
        <v>31703</v>
      </c>
      <c r="I188" t="str">
        <f>IF(PNL!A188="","",IF(_CALC_PNL!E188=1,H188-G188,""))</f>
        <v/>
      </c>
    </row>
    <row r="189" ht="14.25" customHeight="1">
      <c r="A189" t="s">
        <v>96</v>
      </c>
      <c r="B189" t="s">
        <v>246</v>
      </c>
      <c r="C189" t="s">
        <v>25</v>
      </c>
      <c r="D189" t="s">
        <v>273</v>
      </c>
      <c r="E189" t="s">
        <v>191</v>
      </c>
      <c r="F189" t="s">
        <v>192</v>
      </c>
      <c r="G189">
        <v>30809</v>
      </c>
      <c r="H189">
        <f>IF(PNL!A189="","",_CALC_PNL!P189)</f>
        <v>30809</v>
      </c>
      <c r="I189" t="str">
        <f>IF(PNL!A189="","",IF(_CALC_PNL!E189=1,H189-G189,""))</f>
        <v/>
      </c>
    </row>
    <row r="190" ht="14.25" customHeight="1">
      <c r="A190" t="s">
        <v>97</v>
      </c>
      <c r="B190" t="s">
        <v>246</v>
      </c>
      <c r="C190" t="s">
        <v>25</v>
      </c>
      <c r="D190" t="s">
        <v>273</v>
      </c>
      <c r="E190" t="s">
        <v>191</v>
      </c>
      <c r="F190" t="s">
        <v>192</v>
      </c>
      <c r="G190">
        <v>26121</v>
      </c>
      <c r="H190">
        <f>IF(PNL!A190="","",_CALC_PNL!P190)</f>
        <v>26121</v>
      </c>
      <c r="I190" t="str">
        <f>IF(PNL!A190="","",IF(_CALC_PNL!E190=1,H190-G190,""))</f>
        <v/>
      </c>
    </row>
    <row r="191" ht="14.25" customHeight="1">
      <c r="A191" t="s">
        <v>75</v>
      </c>
      <c r="B191" t="s">
        <v>247</v>
      </c>
      <c r="C191" t="s">
        <v>211</v>
      </c>
      <c r="D191" t="s">
        <v>273</v>
      </c>
      <c r="E191" t="s">
        <v>191</v>
      </c>
      <c r="F191" t="s">
        <v>192</v>
      </c>
      <c r="G191">
        <v>51888</v>
      </c>
      <c r="H191">
        <f>IF(PNL!A191="","",_CALC_PNL!P191)</f>
        <v>51888</v>
      </c>
      <c r="I191" t="str">
        <f>IF(PNL!A191="","",IF(_CALC_PNL!E191=1,H191-G191,""))</f>
        <v/>
      </c>
    </row>
    <row r="192" ht="14.25" customHeight="1">
      <c r="A192" t="s">
        <v>77</v>
      </c>
      <c r="B192" t="s">
        <v>247</v>
      </c>
      <c r="C192" t="s">
        <v>211</v>
      </c>
      <c r="D192" t="s">
        <v>273</v>
      </c>
      <c r="E192" t="s">
        <v>191</v>
      </c>
      <c r="F192" t="s">
        <v>192</v>
      </c>
      <c r="G192">
        <v>44010</v>
      </c>
      <c r="H192">
        <f>IF(PNL!A192="","",_CALC_PNL!P192)</f>
        <v>44010</v>
      </c>
      <c r="I192" t="str">
        <f>IF(PNL!A192="","",IF(_CALC_PNL!E192=1,H192-G192,""))</f>
        <v/>
      </c>
    </row>
    <row r="193" ht="14.25" customHeight="1">
      <c r="A193" t="s">
        <v>79</v>
      </c>
      <c r="B193" t="s">
        <v>247</v>
      </c>
      <c r="C193" t="s">
        <v>211</v>
      </c>
      <c r="D193" t="s">
        <v>273</v>
      </c>
      <c r="E193" t="s">
        <v>191</v>
      </c>
      <c r="F193" t="s">
        <v>192</v>
      </c>
      <c r="G193">
        <v>39935</v>
      </c>
      <c r="H193">
        <f>IF(PNL!A193="","",_CALC_PNL!P193)</f>
        <v>39935</v>
      </c>
      <c r="I193" t="str">
        <f>IF(PNL!A193="","",IF(_CALC_PNL!E193=1,H193-G193,""))</f>
        <v/>
      </c>
    </row>
    <row r="194" ht="14.25" customHeight="1">
      <c r="A194" t="s">
        <v>81</v>
      </c>
      <c r="B194" t="s">
        <v>247</v>
      </c>
      <c r="C194" t="s">
        <v>211</v>
      </c>
      <c r="D194" t="s">
        <v>273</v>
      </c>
      <c r="E194" t="s">
        <v>191</v>
      </c>
      <c r="F194" t="s">
        <v>192</v>
      </c>
      <c r="G194">
        <v>33822</v>
      </c>
      <c r="H194">
        <f>IF(PNL!A194="","",_CALC_PNL!P194)</f>
        <v>33822</v>
      </c>
      <c r="I194" t="str">
        <f>IF(PNL!A194="","",IF(_CALC_PNL!E194=1,H194-G194,""))</f>
        <v/>
      </c>
    </row>
    <row r="195" ht="14.25" customHeight="1">
      <c r="A195" t="s">
        <v>83</v>
      </c>
      <c r="B195" t="s">
        <v>247</v>
      </c>
      <c r="C195" t="s">
        <v>211</v>
      </c>
      <c r="D195" t="s">
        <v>273</v>
      </c>
      <c r="E195" t="s">
        <v>191</v>
      </c>
      <c r="F195" t="s">
        <v>192</v>
      </c>
      <c r="G195">
        <v>48085</v>
      </c>
      <c r="H195">
        <f>IF(PNL!A195="","",_CALC_PNL!P195)</f>
        <v>48085</v>
      </c>
      <c r="I195" t="str">
        <f>IF(PNL!A195="","",IF(_CALC_PNL!E195=1,H195-G195,""))</f>
        <v/>
      </c>
    </row>
    <row r="196" ht="14.25" customHeight="1">
      <c r="A196" t="s">
        <v>84</v>
      </c>
      <c r="B196" t="s">
        <v>247</v>
      </c>
      <c r="C196" t="s">
        <v>211</v>
      </c>
      <c r="D196" t="s">
        <v>273</v>
      </c>
      <c r="E196" t="s">
        <v>191</v>
      </c>
      <c r="F196" t="s">
        <v>192</v>
      </c>
      <c r="G196">
        <v>33143</v>
      </c>
      <c r="H196">
        <f>IF(PNL!A196="","",_CALC_PNL!P196)</f>
        <v>33143</v>
      </c>
      <c r="I196" t="str">
        <f>IF(PNL!A196="","",IF(_CALC_PNL!E196=1,H196-G196,""))</f>
        <v/>
      </c>
    </row>
    <row r="197" ht="14.25" customHeight="1">
      <c r="A197" t="s">
        <v>86</v>
      </c>
      <c r="B197" t="s">
        <v>247</v>
      </c>
      <c r="C197" t="s">
        <v>211</v>
      </c>
      <c r="D197" t="s">
        <v>273</v>
      </c>
      <c r="E197" t="s">
        <v>191</v>
      </c>
      <c r="F197" t="s">
        <v>192</v>
      </c>
      <c r="G197">
        <v>31377</v>
      </c>
      <c r="H197">
        <f>IF(PNL!A197="","",_CALC_PNL!P197)</f>
        <v>31377</v>
      </c>
      <c r="I197" t="str">
        <f>IF(PNL!A197="","",IF(_CALC_PNL!E197=1,H197-G197,""))</f>
        <v/>
      </c>
    </row>
    <row r="198" ht="14.25" customHeight="1">
      <c r="A198" t="s">
        <v>88</v>
      </c>
      <c r="B198" t="s">
        <v>247</v>
      </c>
      <c r="C198" t="s">
        <v>211</v>
      </c>
      <c r="D198" t="s">
        <v>273</v>
      </c>
      <c r="E198" t="s">
        <v>191</v>
      </c>
      <c r="F198" t="s">
        <v>192</v>
      </c>
      <c r="G198">
        <v>19696</v>
      </c>
      <c r="H198">
        <f>IF(PNL!A198="","",_CALC_PNL!P198)</f>
        <v>19696</v>
      </c>
      <c r="I198" t="str">
        <f>IF(PNL!A198="","",IF(_CALC_PNL!E198=1,H198-G198,""))</f>
        <v/>
      </c>
    </row>
    <row r="199" ht="14.25" customHeight="1">
      <c r="A199" t="s">
        <v>90</v>
      </c>
      <c r="B199" t="s">
        <v>247</v>
      </c>
      <c r="C199" t="s">
        <v>211</v>
      </c>
      <c r="D199" t="s">
        <v>273</v>
      </c>
      <c r="E199" t="s">
        <v>191</v>
      </c>
      <c r="F199" t="s">
        <v>192</v>
      </c>
      <c r="G199">
        <v>15892</v>
      </c>
      <c r="H199">
        <f>IF(PNL!A199="","",_CALC_PNL!P199)</f>
        <v>15892</v>
      </c>
      <c r="I199" t="str">
        <f>IF(PNL!A199="","",IF(_CALC_PNL!E199=1,H199-G199,""))</f>
        <v/>
      </c>
    </row>
    <row r="200" ht="14.25" customHeight="1">
      <c r="A200" t="s">
        <v>92</v>
      </c>
      <c r="B200" t="s">
        <v>247</v>
      </c>
      <c r="C200" t="s">
        <v>211</v>
      </c>
      <c r="D200" t="s">
        <v>273</v>
      </c>
      <c r="E200" t="s">
        <v>191</v>
      </c>
      <c r="F200" t="s">
        <v>192</v>
      </c>
      <c r="G200">
        <v>15892</v>
      </c>
      <c r="H200">
        <f>IF(PNL!A200="","",_CALC_PNL!P200)</f>
        <v>15892</v>
      </c>
      <c r="I200" t="str">
        <f>IF(PNL!A200="","",IF(_CALC_PNL!E200=1,H200-G200,""))</f>
        <v/>
      </c>
    </row>
    <row r="201" ht="14.25" customHeight="1">
      <c r="A201" t="s">
        <v>94</v>
      </c>
      <c r="B201" t="s">
        <v>247</v>
      </c>
      <c r="C201" t="s">
        <v>211</v>
      </c>
      <c r="D201" t="s">
        <v>273</v>
      </c>
      <c r="E201" t="s">
        <v>191</v>
      </c>
      <c r="F201" t="s">
        <v>192</v>
      </c>
      <c r="G201">
        <v>24722</v>
      </c>
      <c r="H201">
        <f>IF(PNL!A201="","",_CALC_PNL!P201)</f>
        <v>24722</v>
      </c>
      <c r="I201" t="str">
        <f>IF(PNL!A201="","",IF(_CALC_PNL!E201=1,H201-G201,""))</f>
        <v/>
      </c>
    </row>
    <row r="202" ht="14.25" customHeight="1">
      <c r="A202" t="s">
        <v>95</v>
      </c>
      <c r="B202" t="s">
        <v>247</v>
      </c>
      <c r="C202" t="s">
        <v>211</v>
      </c>
      <c r="D202" t="s">
        <v>273</v>
      </c>
      <c r="E202" t="s">
        <v>191</v>
      </c>
      <c r="F202" t="s">
        <v>192</v>
      </c>
      <c r="G202">
        <v>19288</v>
      </c>
      <c r="H202">
        <f>IF(PNL!A202="","",_CALC_PNL!P202)</f>
        <v>19288</v>
      </c>
      <c r="I202" t="str">
        <f>IF(PNL!A202="","",IF(_CALC_PNL!E202=1,H202-G202,""))</f>
        <v/>
      </c>
    </row>
    <row r="203" ht="14.25" customHeight="1">
      <c r="A203" t="s">
        <v>96</v>
      </c>
      <c r="B203" t="s">
        <v>247</v>
      </c>
      <c r="C203" t="s">
        <v>211</v>
      </c>
      <c r="D203" t="s">
        <v>273</v>
      </c>
      <c r="E203" t="s">
        <v>191</v>
      </c>
      <c r="F203" t="s">
        <v>192</v>
      </c>
      <c r="G203">
        <v>18745</v>
      </c>
      <c r="H203">
        <f>IF(PNL!A203="","",_CALC_PNL!P203)</f>
        <v>18745</v>
      </c>
      <c r="I203" t="str">
        <f>IF(PNL!A203="","",IF(_CALC_PNL!E203=1,H203-G203,""))</f>
        <v/>
      </c>
    </row>
    <row r="204" ht="14.25" customHeight="1">
      <c r="A204" t="s">
        <v>97</v>
      </c>
      <c r="B204" t="s">
        <v>247</v>
      </c>
      <c r="C204" t="s">
        <v>211</v>
      </c>
      <c r="D204" t="s">
        <v>273</v>
      </c>
      <c r="E204" t="s">
        <v>191</v>
      </c>
      <c r="F204" t="s">
        <v>192</v>
      </c>
      <c r="G204">
        <v>15892</v>
      </c>
      <c r="H204">
        <f>IF(PNL!A204="","",_CALC_PNL!P204)</f>
        <v>15892</v>
      </c>
      <c r="I204" t="str">
        <f>IF(PNL!A204="","",IF(_CALC_PNL!E204=1,H204-G204,""))</f>
        <v/>
      </c>
    </row>
    <row r="205" ht="14.25" customHeight="1">
      <c r="A205" t="s">
        <v>75</v>
      </c>
      <c r="B205" t="s">
        <v>247</v>
      </c>
      <c r="C205" t="s">
        <v>210</v>
      </c>
      <c r="D205" t="s">
        <v>273</v>
      </c>
      <c r="E205" t="s">
        <v>191</v>
      </c>
      <c r="F205" t="s">
        <v>192</v>
      </c>
      <c r="G205">
        <v>54266</v>
      </c>
      <c r="H205">
        <f>IF(PNL!A205="","",_CALC_PNL!P205)</f>
        <v>54266</v>
      </c>
      <c r="I205" t="str">
        <f>IF(PNL!A205="","",IF(_CALC_PNL!E205=1,H205-G205,""))</f>
        <v/>
      </c>
    </row>
    <row r="206" ht="14.25" customHeight="1">
      <c r="A206" t="s">
        <v>77</v>
      </c>
      <c r="B206" t="s">
        <v>247</v>
      </c>
      <c r="C206" t="s">
        <v>210</v>
      </c>
      <c r="D206" t="s">
        <v>273</v>
      </c>
      <c r="E206" t="s">
        <v>191</v>
      </c>
      <c r="F206" t="s">
        <v>192</v>
      </c>
      <c r="G206">
        <v>46027</v>
      </c>
      <c r="H206">
        <f>IF(PNL!A206="","",_CALC_PNL!P206)</f>
        <v>46027</v>
      </c>
      <c r="I206" t="str">
        <f>IF(PNL!A206="","",IF(_CALC_PNL!E206=1,H206-G206,""))</f>
        <v/>
      </c>
    </row>
    <row r="207" ht="14.25" customHeight="1">
      <c r="A207" t="s">
        <v>79</v>
      </c>
      <c r="B207" t="s">
        <v>247</v>
      </c>
      <c r="C207" t="s">
        <v>210</v>
      </c>
      <c r="D207" t="s">
        <v>273</v>
      </c>
      <c r="E207" t="s">
        <v>191</v>
      </c>
      <c r="F207" t="s">
        <v>192</v>
      </c>
      <c r="G207">
        <v>41765</v>
      </c>
      <c r="H207">
        <f>IF(PNL!A207="","",_CALC_PNL!P207)</f>
        <v>41765</v>
      </c>
      <c r="I207" t="str">
        <f>IF(PNL!A207="","",IF(_CALC_PNL!E207=1,H207-G207,""))</f>
        <v/>
      </c>
    </row>
    <row r="208" ht="14.25" customHeight="1">
      <c r="A208" t="s">
        <v>81</v>
      </c>
      <c r="B208" t="s">
        <v>247</v>
      </c>
      <c r="C208" t="s">
        <v>210</v>
      </c>
      <c r="D208" t="s">
        <v>273</v>
      </c>
      <c r="E208" t="s">
        <v>191</v>
      </c>
      <c r="F208" t="s">
        <v>192</v>
      </c>
      <c r="G208">
        <v>35372</v>
      </c>
      <c r="H208">
        <f>IF(PNL!A208="","",_CALC_PNL!P208)</f>
        <v>35372</v>
      </c>
      <c r="I208" t="str">
        <f>IF(PNL!A208="","",IF(_CALC_PNL!E208=1,H208-G208,""))</f>
        <v/>
      </c>
    </row>
    <row r="209" ht="14.25" customHeight="1">
      <c r="A209" t="s">
        <v>83</v>
      </c>
      <c r="B209" t="s">
        <v>247</v>
      </c>
      <c r="C209" t="s">
        <v>210</v>
      </c>
      <c r="D209" t="s">
        <v>273</v>
      </c>
      <c r="E209" t="s">
        <v>191</v>
      </c>
      <c r="F209" t="s">
        <v>192</v>
      </c>
      <c r="G209">
        <v>50288</v>
      </c>
      <c r="H209">
        <f>IF(PNL!A209="","",_CALC_PNL!P209)</f>
        <v>50288</v>
      </c>
      <c r="I209" t="str">
        <f>IF(PNL!A209="","",IF(_CALC_PNL!E209=1,H209-G209,""))</f>
        <v/>
      </c>
    </row>
    <row r="210" ht="14.25" customHeight="1">
      <c r="A210" t="s">
        <v>84</v>
      </c>
      <c r="B210" t="s">
        <v>247</v>
      </c>
      <c r="C210" t="s">
        <v>210</v>
      </c>
      <c r="D210" t="s">
        <v>273</v>
      </c>
      <c r="E210" t="s">
        <v>191</v>
      </c>
      <c r="F210" t="s">
        <v>192</v>
      </c>
      <c r="G210">
        <v>34662</v>
      </c>
      <c r="H210">
        <f>IF(PNL!A210="","",_CALC_PNL!P210)</f>
        <v>34662</v>
      </c>
      <c r="I210" t="str">
        <f>IF(PNL!A210="","",IF(_CALC_PNL!E210=1,H210-G210,""))</f>
        <v/>
      </c>
    </row>
    <row r="211" ht="14.25" customHeight="1">
      <c r="A211" t="s">
        <v>86</v>
      </c>
      <c r="B211" t="s">
        <v>247</v>
      </c>
      <c r="C211" t="s">
        <v>210</v>
      </c>
      <c r="D211" t="s">
        <v>273</v>
      </c>
      <c r="E211" t="s">
        <v>191</v>
      </c>
      <c r="F211" t="s">
        <v>192</v>
      </c>
      <c r="G211">
        <v>32815</v>
      </c>
      <c r="H211">
        <f>IF(PNL!A211="","",_CALC_PNL!P211)</f>
        <v>32815</v>
      </c>
      <c r="I211" t="str">
        <f>IF(PNL!A211="","",IF(_CALC_PNL!E211=1,H211-G211,""))</f>
        <v/>
      </c>
    </row>
    <row r="212" ht="14.25" customHeight="1">
      <c r="A212" t="s">
        <v>88</v>
      </c>
      <c r="B212" t="s">
        <v>247</v>
      </c>
      <c r="C212" t="s">
        <v>210</v>
      </c>
      <c r="D212" t="s">
        <v>273</v>
      </c>
      <c r="E212" t="s">
        <v>191</v>
      </c>
      <c r="F212" t="s">
        <v>192</v>
      </c>
      <c r="G212">
        <v>20598</v>
      </c>
      <c r="H212">
        <f>IF(PNL!A212="","",_CALC_PNL!P212)</f>
        <v>20598</v>
      </c>
      <c r="I212" t="str">
        <f>IF(PNL!A212="","",IF(_CALC_PNL!E212=1,H212-G212,""))</f>
        <v/>
      </c>
    </row>
    <row r="213" ht="14.25" customHeight="1">
      <c r="A213" t="s">
        <v>90</v>
      </c>
      <c r="B213" t="s">
        <v>247</v>
      </c>
      <c r="C213" t="s">
        <v>210</v>
      </c>
      <c r="D213" t="s">
        <v>273</v>
      </c>
      <c r="E213" t="s">
        <v>191</v>
      </c>
      <c r="F213" t="s">
        <v>192</v>
      </c>
      <c r="G213">
        <v>16621</v>
      </c>
      <c r="H213">
        <f>IF(PNL!A213="","",_CALC_PNL!P213)</f>
        <v>16621</v>
      </c>
      <c r="I213" t="str">
        <f>IF(PNL!A213="","",IF(_CALC_PNL!E213=1,H213-G213,""))</f>
        <v/>
      </c>
    </row>
    <row r="214" ht="14.25" customHeight="1">
      <c r="A214" t="s">
        <v>92</v>
      </c>
      <c r="B214" t="s">
        <v>247</v>
      </c>
      <c r="C214" t="s">
        <v>210</v>
      </c>
      <c r="D214" t="s">
        <v>273</v>
      </c>
      <c r="E214" t="s">
        <v>191</v>
      </c>
      <c r="F214" t="s">
        <v>192</v>
      </c>
      <c r="G214">
        <v>16621</v>
      </c>
      <c r="H214">
        <f>IF(PNL!A214="","",_CALC_PNL!P214)</f>
        <v>16621</v>
      </c>
      <c r="I214" t="str">
        <f>IF(PNL!A214="","",IF(_CALC_PNL!E214=1,H214-G214,""))</f>
        <v/>
      </c>
    </row>
    <row r="215" ht="14.25" customHeight="1">
      <c r="A215" t="s">
        <v>94</v>
      </c>
      <c r="B215" t="s">
        <v>247</v>
      </c>
      <c r="C215" t="s">
        <v>210</v>
      </c>
      <c r="D215" t="s">
        <v>273</v>
      </c>
      <c r="E215" t="s">
        <v>191</v>
      </c>
      <c r="F215" t="s">
        <v>192</v>
      </c>
      <c r="G215">
        <v>25854</v>
      </c>
      <c r="H215">
        <f>IF(PNL!A215="","",_CALC_PNL!P215)</f>
        <v>25854</v>
      </c>
      <c r="I215" t="str">
        <f>IF(PNL!A215="","",IF(_CALC_PNL!E215=1,H215-G215,""))</f>
        <v/>
      </c>
    </row>
    <row r="216" ht="14.25" customHeight="1">
      <c r="A216" t="s">
        <v>95</v>
      </c>
      <c r="B216" t="s">
        <v>247</v>
      </c>
      <c r="C216" t="s">
        <v>210</v>
      </c>
      <c r="D216" t="s">
        <v>273</v>
      </c>
      <c r="E216" t="s">
        <v>191</v>
      </c>
      <c r="F216" t="s">
        <v>192</v>
      </c>
      <c r="G216">
        <v>20172</v>
      </c>
      <c r="H216">
        <f>IF(PNL!A216="","",_CALC_PNL!P216)</f>
        <v>20172</v>
      </c>
      <c r="I216" t="str">
        <f>IF(PNL!A216="","",IF(_CALC_PNL!E216=1,H216-G216,""))</f>
        <v/>
      </c>
    </row>
    <row r="217" ht="14.25" customHeight="1">
      <c r="A217" t="s">
        <v>96</v>
      </c>
      <c r="B217" t="s">
        <v>247</v>
      </c>
      <c r="C217" t="s">
        <v>210</v>
      </c>
      <c r="D217" t="s">
        <v>273</v>
      </c>
      <c r="E217" t="s">
        <v>191</v>
      </c>
      <c r="F217" t="s">
        <v>192</v>
      </c>
      <c r="G217">
        <v>19604</v>
      </c>
      <c r="H217">
        <f>IF(PNL!A217="","",_CALC_PNL!P217)</f>
        <v>19604</v>
      </c>
      <c r="I217" t="str">
        <f>IF(PNL!A217="","",IF(_CALC_PNL!E217=1,H217-G217,""))</f>
        <v/>
      </c>
    </row>
    <row r="218" ht="14.25" customHeight="1">
      <c r="A218" t="s">
        <v>97</v>
      </c>
      <c r="B218" t="s">
        <v>247</v>
      </c>
      <c r="C218" t="s">
        <v>210</v>
      </c>
      <c r="D218" t="s">
        <v>273</v>
      </c>
      <c r="E218" t="s">
        <v>191</v>
      </c>
      <c r="F218" t="s">
        <v>192</v>
      </c>
      <c r="G218">
        <v>16621</v>
      </c>
      <c r="H218">
        <f>IF(PNL!A218="","",_CALC_PNL!P218)</f>
        <v>16621</v>
      </c>
      <c r="I218" t="str">
        <f>IF(PNL!A218="","",IF(_CALC_PNL!E218=1,H218-G218,""))</f>
        <v/>
      </c>
    </row>
    <row r="219" ht="14.25" customHeight="1">
      <c r="A219" t="s">
        <v>75</v>
      </c>
      <c r="B219" t="s">
        <v>247</v>
      </c>
      <c r="C219" t="s">
        <v>25</v>
      </c>
      <c r="D219" t="s">
        <v>273</v>
      </c>
      <c r="E219" t="s">
        <v>191</v>
      </c>
      <c r="F219" t="s">
        <v>192</v>
      </c>
      <c r="G219">
        <v>56856</v>
      </c>
      <c r="H219">
        <f>IF(PNL!A219="","",_CALC_PNL!P219)</f>
        <v>56856</v>
      </c>
      <c r="I219" t="str">
        <f>IF(PNL!A219="","",IF(_CALC_PNL!E219=1,H219-G219,""))</f>
        <v/>
      </c>
    </row>
    <row r="220" ht="14.25" customHeight="1">
      <c r="A220" t="s">
        <v>77</v>
      </c>
      <c r="B220" t="s">
        <v>247</v>
      </c>
      <c r="C220" t="s">
        <v>25</v>
      </c>
      <c r="D220" t="s">
        <v>273</v>
      </c>
      <c r="E220" t="s">
        <v>191</v>
      </c>
      <c r="F220" t="s">
        <v>192</v>
      </c>
      <c r="G220">
        <v>48224</v>
      </c>
      <c r="H220">
        <f>IF(PNL!A220="","",_CALC_PNL!P220)</f>
        <v>48224</v>
      </c>
      <c r="I220" t="str">
        <f>IF(PNL!A220="","",IF(_CALC_PNL!E220=1,H220-G220,""))</f>
        <v/>
      </c>
    </row>
    <row r="221" ht="14.25" customHeight="1">
      <c r="A221" t="s">
        <v>79</v>
      </c>
      <c r="B221" t="s">
        <v>247</v>
      </c>
      <c r="C221" t="s">
        <v>25</v>
      </c>
      <c r="D221" t="s">
        <v>273</v>
      </c>
      <c r="E221" t="s">
        <v>191</v>
      </c>
      <c r="F221" t="s">
        <v>192</v>
      </c>
      <c r="G221">
        <v>43758</v>
      </c>
      <c r="H221">
        <f>IF(PNL!A221="","",_CALC_PNL!P221)</f>
        <v>43758</v>
      </c>
      <c r="I221" t="str">
        <f>IF(PNL!A221="","",IF(_CALC_PNL!E221=1,H221-G221,""))</f>
        <v/>
      </c>
    </row>
    <row r="222" ht="14.25" customHeight="1">
      <c r="A222" t="s">
        <v>81</v>
      </c>
      <c r="B222" t="s">
        <v>247</v>
      </c>
      <c r="C222" t="s">
        <v>25</v>
      </c>
      <c r="D222" t="s">
        <v>273</v>
      </c>
      <c r="E222" t="s">
        <v>191</v>
      </c>
      <c r="F222" t="s">
        <v>192</v>
      </c>
      <c r="G222">
        <v>37061</v>
      </c>
      <c r="H222">
        <f>IF(PNL!A222="","",_CALC_PNL!P222)</f>
        <v>37061</v>
      </c>
      <c r="I222" t="str">
        <f>IF(PNL!A222="","",IF(_CALC_PNL!E222=1,H222-G222,""))</f>
        <v/>
      </c>
    </row>
    <row r="223" ht="14.25" customHeight="1">
      <c r="A223" t="s">
        <v>83</v>
      </c>
      <c r="B223" t="s">
        <v>247</v>
      </c>
      <c r="C223" t="s">
        <v>25</v>
      </c>
      <c r="D223" t="s">
        <v>273</v>
      </c>
      <c r="E223" t="s">
        <v>191</v>
      </c>
      <c r="F223" t="s">
        <v>192</v>
      </c>
      <c r="G223">
        <v>52689</v>
      </c>
      <c r="H223">
        <f>IF(PNL!A223="","",_CALC_PNL!P223)</f>
        <v>52689</v>
      </c>
      <c r="I223" t="str">
        <f>IF(PNL!A223="","",IF(_CALC_PNL!E223=1,H223-G223,""))</f>
        <v/>
      </c>
    </row>
    <row r="224" ht="14.25" customHeight="1">
      <c r="A224" t="s">
        <v>84</v>
      </c>
      <c r="B224" t="s">
        <v>247</v>
      </c>
      <c r="C224" t="s">
        <v>25</v>
      </c>
      <c r="D224" t="s">
        <v>273</v>
      </c>
      <c r="E224" t="s">
        <v>191</v>
      </c>
      <c r="F224" t="s">
        <v>192</v>
      </c>
      <c r="G224">
        <v>36316</v>
      </c>
      <c r="H224">
        <f>IF(PNL!A224="","",_CALC_PNL!P224)</f>
        <v>36316</v>
      </c>
      <c r="I224" t="str">
        <f>IF(PNL!A224="","",IF(_CALC_PNL!E224=1,H224-G224,""))</f>
        <v/>
      </c>
    </row>
    <row r="225" ht="14.25" customHeight="1">
      <c r="A225" t="s">
        <v>86</v>
      </c>
      <c r="B225" t="s">
        <v>247</v>
      </c>
      <c r="C225" t="s">
        <v>25</v>
      </c>
      <c r="D225" t="s">
        <v>273</v>
      </c>
      <c r="E225" t="s">
        <v>191</v>
      </c>
      <c r="F225" t="s">
        <v>192</v>
      </c>
      <c r="G225">
        <v>34382</v>
      </c>
      <c r="H225">
        <f>IF(PNL!A225="","",_CALC_PNL!P225)</f>
        <v>34382</v>
      </c>
      <c r="I225" t="str">
        <f>IF(PNL!A225="","",IF(_CALC_PNL!E225=1,H225-G225,""))</f>
        <v/>
      </c>
    </row>
    <row r="226" ht="14.25" customHeight="1">
      <c r="A226" t="s">
        <v>88</v>
      </c>
      <c r="B226" t="s">
        <v>247</v>
      </c>
      <c r="C226" t="s">
        <v>25</v>
      </c>
      <c r="D226" t="s">
        <v>273</v>
      </c>
      <c r="E226" t="s">
        <v>191</v>
      </c>
      <c r="F226" t="s">
        <v>192</v>
      </c>
      <c r="G226">
        <v>21582</v>
      </c>
      <c r="H226">
        <f>IF(PNL!A226="","",_CALC_PNL!P226)</f>
        <v>21582</v>
      </c>
      <c r="I226" t="str">
        <f>IF(PNL!A226="","",IF(_CALC_PNL!E226=1,H226-G226,""))</f>
        <v/>
      </c>
    </row>
    <row r="227" ht="14.25" customHeight="1">
      <c r="A227" t="s">
        <v>90</v>
      </c>
      <c r="B227" t="s">
        <v>247</v>
      </c>
      <c r="C227" t="s">
        <v>25</v>
      </c>
      <c r="D227" t="s">
        <v>273</v>
      </c>
      <c r="E227" t="s">
        <v>191</v>
      </c>
      <c r="F227" t="s">
        <v>192</v>
      </c>
      <c r="G227">
        <v>17414</v>
      </c>
      <c r="H227">
        <f>IF(PNL!A227="","",_CALC_PNL!P227)</f>
        <v>17414</v>
      </c>
      <c r="I227" t="str">
        <f>IF(PNL!A227="","",IF(_CALC_PNL!E227=1,H227-G227,""))</f>
        <v/>
      </c>
    </row>
    <row r="228" ht="14.25" customHeight="1">
      <c r="A228" t="s">
        <v>92</v>
      </c>
      <c r="B228" t="s">
        <v>247</v>
      </c>
      <c r="C228" t="s">
        <v>25</v>
      </c>
      <c r="D228" t="s">
        <v>273</v>
      </c>
      <c r="E228" t="s">
        <v>191</v>
      </c>
      <c r="F228" t="s">
        <v>192</v>
      </c>
      <c r="G228">
        <v>17414</v>
      </c>
      <c r="H228">
        <f>IF(PNL!A228="","",_CALC_PNL!P228)</f>
        <v>17414</v>
      </c>
      <c r="I228" t="str">
        <f>IF(PNL!A228="","",IF(_CALC_PNL!E228=1,H228-G228,""))</f>
        <v/>
      </c>
    </row>
    <row r="229" ht="14.25" customHeight="1">
      <c r="A229" t="s">
        <v>94</v>
      </c>
      <c r="B229" t="s">
        <v>247</v>
      </c>
      <c r="C229" t="s">
        <v>25</v>
      </c>
      <c r="D229" t="s">
        <v>273</v>
      </c>
      <c r="E229" t="s">
        <v>191</v>
      </c>
      <c r="F229" t="s">
        <v>192</v>
      </c>
      <c r="G229">
        <v>27089</v>
      </c>
      <c r="H229">
        <f>IF(PNL!A229="","",_CALC_PNL!P229)</f>
        <v>27089</v>
      </c>
      <c r="I229" t="str">
        <f>IF(PNL!A229="","",IF(_CALC_PNL!E229=1,H229-G229,""))</f>
        <v/>
      </c>
    </row>
    <row r="230" ht="14.25" customHeight="1">
      <c r="A230" t="s">
        <v>95</v>
      </c>
      <c r="B230" t="s">
        <v>247</v>
      </c>
      <c r="C230" t="s">
        <v>25</v>
      </c>
      <c r="D230" t="s">
        <v>273</v>
      </c>
      <c r="E230" t="s">
        <v>191</v>
      </c>
      <c r="F230" t="s">
        <v>192</v>
      </c>
      <c r="G230">
        <v>21135</v>
      </c>
      <c r="H230">
        <f>IF(PNL!A230="","",_CALC_PNL!P230)</f>
        <v>21135</v>
      </c>
      <c r="I230" t="str">
        <f>IF(PNL!A230="","",IF(_CALC_PNL!E230=1,H230-G230,""))</f>
        <v/>
      </c>
    </row>
    <row r="231" ht="14.25" customHeight="1">
      <c r="A231" t="s">
        <v>96</v>
      </c>
      <c r="B231" t="s">
        <v>247</v>
      </c>
      <c r="C231" t="s">
        <v>25</v>
      </c>
      <c r="D231" t="s">
        <v>273</v>
      </c>
      <c r="E231" t="s">
        <v>191</v>
      </c>
      <c r="F231" t="s">
        <v>192</v>
      </c>
      <c r="G231">
        <v>20540</v>
      </c>
      <c r="H231">
        <f>IF(PNL!A231="","",_CALC_PNL!P231)</f>
        <v>20540</v>
      </c>
      <c r="I231" t="str">
        <f>IF(PNL!A231="","",IF(_CALC_PNL!E231=1,H231-G231,""))</f>
        <v/>
      </c>
    </row>
    <row r="232" ht="14.25" customHeight="1">
      <c r="A232" t="s">
        <v>97</v>
      </c>
      <c r="B232" t="s">
        <v>247</v>
      </c>
      <c r="C232" t="s">
        <v>25</v>
      </c>
      <c r="D232" t="s">
        <v>273</v>
      </c>
      <c r="E232" t="s">
        <v>191</v>
      </c>
      <c r="F232" t="s">
        <v>192</v>
      </c>
      <c r="G232">
        <v>17414</v>
      </c>
      <c r="H232">
        <f>IF(PNL!A232="","",_CALC_PNL!P232)</f>
        <v>17414</v>
      </c>
      <c r="I232" t="str">
        <f>IF(PNL!A232="","",IF(_CALC_PNL!E232=1,H232-G232,""))</f>
        <v/>
      </c>
    </row>
    <row r="233" ht="14.25" customHeight="1">
      <c r="A233" t="s">
        <v>75</v>
      </c>
      <c r="B233" t="s">
        <v>248</v>
      </c>
      <c r="C233" t="s">
        <v>211</v>
      </c>
      <c r="D233" t="s">
        <v>273</v>
      </c>
      <c r="E233" t="s">
        <v>191</v>
      </c>
      <c r="F233" t="s">
        <v>192</v>
      </c>
      <c r="G233">
        <v>56438</v>
      </c>
      <c r="H233">
        <f>IF(PNL!A233="","",_CALC_PNL!P233)</f>
        <v>56438</v>
      </c>
      <c r="I233" t="str">
        <f>IF(PNL!A233="","",IF(_CALC_PNL!E233=1,H233-G233,""))</f>
        <v/>
      </c>
    </row>
    <row r="234" ht="14.25" customHeight="1">
      <c r="A234" t="s">
        <v>77</v>
      </c>
      <c r="B234" t="s">
        <v>248</v>
      </c>
      <c r="C234" t="s">
        <v>211</v>
      </c>
      <c r="D234" t="s">
        <v>273</v>
      </c>
      <c r="E234" t="s">
        <v>191</v>
      </c>
      <c r="F234" t="s">
        <v>192</v>
      </c>
      <c r="G234">
        <v>34532</v>
      </c>
      <c r="H234">
        <f>IF(PNL!A234="","",_CALC_PNL!P234)</f>
        <v>34532</v>
      </c>
      <c r="I234" t="str">
        <f>IF(PNL!A234="","",IF(_CALC_PNL!E234=1,H234-G234,""))</f>
        <v/>
      </c>
    </row>
    <row r="235" ht="14.25" customHeight="1">
      <c r="A235" t="s">
        <v>79</v>
      </c>
      <c r="B235" t="s">
        <v>248</v>
      </c>
      <c r="C235" t="s">
        <v>211</v>
      </c>
      <c r="D235" t="s">
        <v>273</v>
      </c>
      <c r="E235" t="s">
        <v>191</v>
      </c>
      <c r="F235" t="s">
        <v>192</v>
      </c>
      <c r="G235">
        <v>26060</v>
      </c>
      <c r="H235">
        <f>IF(PNL!A235="","",_CALC_PNL!P235)</f>
        <v>26060</v>
      </c>
      <c r="I235" t="str">
        <f>IF(PNL!A235="","",IF(_CALC_PNL!E235=1,H235-G235,""))</f>
        <v/>
      </c>
    </row>
    <row r="236" ht="14.25" customHeight="1">
      <c r="A236" t="s">
        <v>81</v>
      </c>
      <c r="B236" t="s">
        <v>248</v>
      </c>
      <c r="C236" t="s">
        <v>211</v>
      </c>
      <c r="D236" t="s">
        <v>273</v>
      </c>
      <c r="E236" t="s">
        <v>191</v>
      </c>
      <c r="F236" t="s">
        <v>192</v>
      </c>
      <c r="G236">
        <v>20597</v>
      </c>
      <c r="H236">
        <f>IF(PNL!A236="","",_CALC_PNL!P236)</f>
        <v>20597</v>
      </c>
      <c r="I236" t="str">
        <f>IF(PNL!A236="","",IF(_CALC_PNL!E236=1,H236-G236,""))</f>
        <v/>
      </c>
    </row>
    <row r="237" ht="14.25" customHeight="1">
      <c r="A237" t="s">
        <v>83</v>
      </c>
      <c r="B237" t="s">
        <v>248</v>
      </c>
      <c r="C237" t="s">
        <v>211</v>
      </c>
      <c r="D237" t="s">
        <v>273</v>
      </c>
      <c r="E237" t="s">
        <v>191</v>
      </c>
      <c r="F237" t="s">
        <v>192</v>
      </c>
      <c r="G237">
        <v>50248</v>
      </c>
      <c r="H237">
        <f>IF(PNL!A237="","",_CALC_PNL!P237)</f>
        <v>50248</v>
      </c>
      <c r="I237" t="str">
        <f>IF(PNL!A237="","",IF(_CALC_PNL!E237=1,H237-G237,""))</f>
        <v/>
      </c>
    </row>
    <row r="238" ht="14.25" customHeight="1">
      <c r="A238" t="s">
        <v>84</v>
      </c>
      <c r="B238" t="s">
        <v>248</v>
      </c>
      <c r="C238" t="s">
        <v>211</v>
      </c>
      <c r="D238" t="s">
        <v>273</v>
      </c>
      <c r="E238" t="s">
        <v>191</v>
      </c>
      <c r="F238" t="s">
        <v>192</v>
      </c>
      <c r="G238">
        <v>20843</v>
      </c>
      <c r="H238">
        <f>IF(PNL!A238="","",_CALC_PNL!P238)</f>
        <v>20843</v>
      </c>
      <c r="I238" t="str">
        <f>IF(PNL!A238="","",IF(_CALC_PNL!E238=1,H238-G238,""))</f>
        <v/>
      </c>
    </row>
    <row r="239" ht="14.25" customHeight="1">
      <c r="A239" t="s">
        <v>86</v>
      </c>
      <c r="B239" t="s">
        <v>248</v>
      </c>
      <c r="C239" t="s">
        <v>211</v>
      </c>
      <c r="D239" t="s">
        <v>273</v>
      </c>
      <c r="E239" t="s">
        <v>191</v>
      </c>
      <c r="F239" t="s">
        <v>192</v>
      </c>
      <c r="G239">
        <v>18251</v>
      </c>
      <c r="H239">
        <f>IF(PNL!A239="","",_CALC_PNL!P239)</f>
        <v>18251</v>
      </c>
      <c r="I239" t="str">
        <f>IF(PNL!A239="","",IF(_CALC_PNL!E239=1,H239-G239,""))</f>
        <v/>
      </c>
    </row>
    <row r="240" ht="14.25" customHeight="1">
      <c r="A240" t="s">
        <v>88</v>
      </c>
      <c r="B240" t="s">
        <v>248</v>
      </c>
      <c r="C240" t="s">
        <v>211</v>
      </c>
      <c r="D240" t="s">
        <v>273</v>
      </c>
      <c r="E240" t="s">
        <v>191</v>
      </c>
      <c r="F240" t="s">
        <v>192</v>
      </c>
      <c r="G240">
        <v>17983</v>
      </c>
      <c r="H240">
        <f>IF(PNL!A240="","",_CALC_PNL!P240)</f>
        <v>17983</v>
      </c>
      <c r="I240" t="str">
        <f>IF(PNL!A240="","",IF(_CALC_PNL!E240=1,H240-G240,""))</f>
        <v/>
      </c>
    </row>
    <row r="241" ht="14.25" customHeight="1">
      <c r="A241" t="s">
        <v>90</v>
      </c>
      <c r="B241" t="s">
        <v>248</v>
      </c>
      <c r="C241" t="s">
        <v>211</v>
      </c>
      <c r="D241" t="s">
        <v>273</v>
      </c>
      <c r="E241" t="s">
        <v>191</v>
      </c>
      <c r="F241" t="s">
        <v>192</v>
      </c>
      <c r="G241">
        <v>12341</v>
      </c>
      <c r="H241">
        <f>IF(PNL!A241="","",_CALC_PNL!P241)</f>
        <v>12341</v>
      </c>
      <c r="I241" t="str">
        <f>IF(PNL!A241="","",IF(_CALC_PNL!E241=1,H241-G241,""))</f>
        <v/>
      </c>
    </row>
    <row r="242" ht="14.25" customHeight="1">
      <c r="A242" t="s">
        <v>92</v>
      </c>
      <c r="B242" t="s">
        <v>248</v>
      </c>
      <c r="C242" t="s">
        <v>211</v>
      </c>
      <c r="D242" t="s">
        <v>273</v>
      </c>
      <c r="E242" t="s">
        <v>191</v>
      </c>
      <c r="F242" t="s">
        <v>192</v>
      </c>
      <c r="G242">
        <v>12543</v>
      </c>
      <c r="H242">
        <f>IF(PNL!A242="","",_CALC_PNL!P242)</f>
        <v>12543</v>
      </c>
      <c r="I242" t="str">
        <f>IF(PNL!A242="","",IF(_CALC_PNL!E242=1,H242-G242,""))</f>
        <v/>
      </c>
    </row>
    <row r="243" ht="14.25" customHeight="1">
      <c r="A243" t="s">
        <v>94</v>
      </c>
      <c r="B243" t="s">
        <v>248</v>
      </c>
      <c r="C243" t="s">
        <v>211</v>
      </c>
      <c r="D243" t="s">
        <v>273</v>
      </c>
      <c r="E243" t="s">
        <v>191</v>
      </c>
      <c r="F243" t="s">
        <v>192</v>
      </c>
      <c r="G243">
        <v>30258</v>
      </c>
      <c r="H243">
        <f>IF(PNL!A243="","",_CALC_PNL!P243)</f>
        <v>30258</v>
      </c>
      <c r="I243" t="str">
        <f>IF(PNL!A243="","",IF(_CALC_PNL!E243=1,H243-G243,""))</f>
        <v/>
      </c>
    </row>
    <row r="244" ht="14.25" customHeight="1">
      <c r="A244" t="s">
        <v>95</v>
      </c>
      <c r="B244" t="s">
        <v>248</v>
      </c>
      <c r="C244" t="s">
        <v>211</v>
      </c>
      <c r="D244" t="s">
        <v>273</v>
      </c>
      <c r="E244" t="s">
        <v>191</v>
      </c>
      <c r="F244" t="s">
        <v>192</v>
      </c>
      <c r="G244">
        <v>18155</v>
      </c>
      <c r="H244">
        <f>IF(PNL!A244="","",_CALC_PNL!P244)</f>
        <v>18155</v>
      </c>
      <c r="I244" t="str">
        <f>IF(PNL!A244="","",IF(_CALC_PNL!E244=1,H244-G244,""))</f>
        <v/>
      </c>
    </row>
    <row r="245" ht="14.25" customHeight="1">
      <c r="A245" t="s">
        <v>96</v>
      </c>
      <c r="B245" t="s">
        <v>248</v>
      </c>
      <c r="C245" t="s">
        <v>211</v>
      </c>
      <c r="D245" t="s">
        <v>273</v>
      </c>
      <c r="E245" t="s">
        <v>191</v>
      </c>
      <c r="F245" t="s">
        <v>192</v>
      </c>
      <c r="G245">
        <v>24992</v>
      </c>
      <c r="H245">
        <f>IF(PNL!A245="","",_CALC_PNL!P245)</f>
        <v>24992</v>
      </c>
      <c r="I245" t="str">
        <f>IF(PNL!A245="","",IF(_CALC_PNL!E245=1,H245-G245,""))</f>
        <v/>
      </c>
    </row>
    <row r="246" ht="14.25" customHeight="1">
      <c r="A246" t="s">
        <v>97</v>
      </c>
      <c r="B246" t="s">
        <v>248</v>
      </c>
      <c r="C246" t="s">
        <v>211</v>
      </c>
      <c r="D246" t="s">
        <v>273</v>
      </c>
      <c r="E246" t="s">
        <v>191</v>
      </c>
      <c r="F246" t="s">
        <v>192</v>
      </c>
      <c r="G246">
        <v>15578</v>
      </c>
      <c r="H246">
        <f>IF(PNL!A246="","",_CALC_PNL!P246)</f>
        <v>15578</v>
      </c>
      <c r="I246" t="str">
        <f>IF(PNL!A246="","",IF(_CALC_PNL!E246=1,H246-G246,""))</f>
        <v/>
      </c>
    </row>
    <row r="247" ht="14.25" customHeight="1">
      <c r="A247" t="s">
        <v>75</v>
      </c>
      <c r="B247" t="s">
        <v>248</v>
      </c>
      <c r="C247" t="s">
        <v>210</v>
      </c>
      <c r="D247" t="s">
        <v>273</v>
      </c>
      <c r="E247" t="s">
        <v>191</v>
      </c>
      <c r="F247" t="s">
        <v>192</v>
      </c>
      <c r="G247">
        <v>62082</v>
      </c>
      <c r="H247">
        <f>IF(PNL!A247="","",_CALC_PNL!P247)</f>
        <v>62082</v>
      </c>
      <c r="I247" t="str">
        <f>IF(PNL!A247="","",IF(_CALC_PNL!E247=1,H247-G247,""))</f>
        <v/>
      </c>
    </row>
    <row r="248" ht="14.25" customHeight="1">
      <c r="A248" t="s">
        <v>77</v>
      </c>
      <c r="B248" t="s">
        <v>248</v>
      </c>
      <c r="C248" t="s">
        <v>210</v>
      </c>
      <c r="D248" t="s">
        <v>273</v>
      </c>
      <c r="E248" t="s">
        <v>191</v>
      </c>
      <c r="F248" t="s">
        <v>192</v>
      </c>
      <c r="G248">
        <v>37985</v>
      </c>
      <c r="H248">
        <f>IF(PNL!A248="","",_CALC_PNL!P248)</f>
        <v>37985</v>
      </c>
      <c r="I248" t="str">
        <f>IF(PNL!A248="","",IF(_CALC_PNL!E248=1,H248-G248,""))</f>
        <v/>
      </c>
    </row>
    <row r="249" ht="14.25" customHeight="1">
      <c r="A249" t="s">
        <v>79</v>
      </c>
      <c r="B249" t="s">
        <v>248</v>
      </c>
      <c r="C249" t="s">
        <v>210</v>
      </c>
      <c r="D249" t="s">
        <v>273</v>
      </c>
      <c r="E249" t="s">
        <v>191</v>
      </c>
      <c r="F249" t="s">
        <v>192</v>
      </c>
      <c r="G249">
        <v>28666</v>
      </c>
      <c r="H249">
        <f>IF(PNL!A249="","",_CALC_PNL!P249)</f>
        <v>28666</v>
      </c>
      <c r="I249" t="str">
        <f>IF(PNL!A249="","",IF(_CALC_PNL!E249=1,H249-G249,""))</f>
        <v/>
      </c>
    </row>
    <row r="250" ht="14.25" customHeight="1">
      <c r="A250" t="s">
        <v>81</v>
      </c>
      <c r="B250" t="s">
        <v>248</v>
      </c>
      <c r="C250" t="s">
        <v>210</v>
      </c>
      <c r="D250" t="s">
        <v>273</v>
      </c>
      <c r="E250" t="s">
        <v>191</v>
      </c>
      <c r="F250" t="s">
        <v>192</v>
      </c>
      <c r="G250">
        <v>22657</v>
      </c>
      <c r="H250">
        <f>IF(PNL!A250="","",_CALC_PNL!P250)</f>
        <v>22657</v>
      </c>
      <c r="I250" t="str">
        <f>IF(PNL!A250="","",IF(_CALC_PNL!E250=1,H250-G250,""))</f>
        <v/>
      </c>
    </row>
    <row r="251" ht="14.25" customHeight="1">
      <c r="A251" t="s">
        <v>83</v>
      </c>
      <c r="B251" t="s">
        <v>248</v>
      </c>
      <c r="C251" t="s">
        <v>210</v>
      </c>
      <c r="D251" t="s">
        <v>273</v>
      </c>
      <c r="E251" t="s">
        <v>191</v>
      </c>
      <c r="F251" t="s">
        <v>192</v>
      </c>
      <c r="G251">
        <v>55272</v>
      </c>
      <c r="H251">
        <f>IF(PNL!A251="","",_CALC_PNL!P251)</f>
        <v>55272</v>
      </c>
      <c r="I251" t="str">
        <f>IF(PNL!A251="","",IF(_CALC_PNL!E251=1,H251-G251,""))</f>
        <v/>
      </c>
    </row>
    <row r="252" ht="14.25" customHeight="1">
      <c r="A252" t="s">
        <v>84</v>
      </c>
      <c r="B252" t="s">
        <v>248</v>
      </c>
      <c r="C252" t="s">
        <v>210</v>
      </c>
      <c r="D252" t="s">
        <v>273</v>
      </c>
      <c r="E252" t="s">
        <v>191</v>
      </c>
      <c r="F252" t="s">
        <v>192</v>
      </c>
      <c r="G252">
        <v>22927</v>
      </c>
      <c r="H252">
        <f>IF(PNL!A252="","",_CALC_PNL!P252)</f>
        <v>22927</v>
      </c>
      <c r="I252" t="str">
        <f>IF(PNL!A252="","",IF(_CALC_PNL!E252=1,H252-G252,""))</f>
        <v/>
      </c>
    </row>
    <row r="253" ht="14.25" customHeight="1">
      <c r="A253" t="s">
        <v>86</v>
      </c>
      <c r="B253" t="s">
        <v>248</v>
      </c>
      <c r="C253" t="s">
        <v>210</v>
      </c>
      <c r="D253" t="s">
        <v>273</v>
      </c>
      <c r="E253" t="s">
        <v>191</v>
      </c>
      <c r="F253" t="s">
        <v>192</v>
      </c>
      <c r="G253">
        <v>20076</v>
      </c>
      <c r="H253">
        <f>IF(PNL!A253="","",_CALC_PNL!P253)</f>
        <v>20076</v>
      </c>
      <c r="I253" t="str">
        <f>IF(PNL!A253="","",IF(_CALC_PNL!E253=1,H253-G253,""))</f>
        <v/>
      </c>
    </row>
    <row r="254" ht="14.25" customHeight="1">
      <c r="A254" t="s">
        <v>88</v>
      </c>
      <c r="B254" t="s">
        <v>248</v>
      </c>
      <c r="C254" t="s">
        <v>210</v>
      </c>
      <c r="D254" t="s">
        <v>273</v>
      </c>
      <c r="E254" t="s">
        <v>191</v>
      </c>
      <c r="F254" t="s">
        <v>192</v>
      </c>
      <c r="G254">
        <v>19782</v>
      </c>
      <c r="H254">
        <f>IF(PNL!A254="","",_CALC_PNL!P254)</f>
        <v>19782</v>
      </c>
      <c r="I254" t="str">
        <f>IF(PNL!A254="","",IF(_CALC_PNL!E254=1,H254-G254,""))</f>
        <v/>
      </c>
    </row>
    <row r="255" ht="14.25" customHeight="1">
      <c r="A255" t="s">
        <v>90</v>
      </c>
      <c r="B255" t="s">
        <v>248</v>
      </c>
      <c r="C255" t="s">
        <v>210</v>
      </c>
      <c r="D255" t="s">
        <v>273</v>
      </c>
      <c r="E255" t="s">
        <v>191</v>
      </c>
      <c r="F255" t="s">
        <v>192</v>
      </c>
      <c r="G255">
        <v>13575</v>
      </c>
      <c r="H255">
        <f>IF(PNL!A255="","",_CALC_PNL!P255)</f>
        <v>13575</v>
      </c>
      <c r="I255" t="str">
        <f>IF(PNL!A255="","",IF(_CALC_PNL!E255=1,H255-G255,""))</f>
        <v/>
      </c>
    </row>
    <row r="256" ht="14.25" customHeight="1">
      <c r="A256" t="s">
        <v>92</v>
      </c>
      <c r="B256" t="s">
        <v>248</v>
      </c>
      <c r="C256" t="s">
        <v>210</v>
      </c>
      <c r="D256" t="s">
        <v>273</v>
      </c>
      <c r="E256" t="s">
        <v>191</v>
      </c>
      <c r="F256" t="s">
        <v>192</v>
      </c>
      <c r="G256">
        <v>13798</v>
      </c>
      <c r="H256">
        <f>IF(PNL!A256="","",_CALC_PNL!P256)</f>
        <v>13798</v>
      </c>
      <c r="I256" t="str">
        <f>IF(PNL!A256="","",IF(_CALC_PNL!E256=1,H256-G256,""))</f>
        <v/>
      </c>
    </row>
    <row r="257" ht="14.25" customHeight="1">
      <c r="A257" t="s">
        <v>94</v>
      </c>
      <c r="B257" t="s">
        <v>248</v>
      </c>
      <c r="C257" t="s">
        <v>210</v>
      </c>
      <c r="D257" t="s">
        <v>273</v>
      </c>
      <c r="E257" t="s">
        <v>191</v>
      </c>
      <c r="F257" t="s">
        <v>192</v>
      </c>
      <c r="G257">
        <v>33284</v>
      </c>
      <c r="H257">
        <f>IF(PNL!A257="","",_CALC_PNL!P257)</f>
        <v>33284</v>
      </c>
      <c r="I257" t="str">
        <f>IF(PNL!A257="","",IF(_CALC_PNL!E257=1,H257-G257,""))</f>
        <v/>
      </c>
    </row>
    <row r="258" ht="14.25" customHeight="1">
      <c r="A258" t="s">
        <v>95</v>
      </c>
      <c r="B258" t="s">
        <v>248</v>
      </c>
      <c r="C258" t="s">
        <v>210</v>
      </c>
      <c r="D258" t="s">
        <v>273</v>
      </c>
      <c r="E258" t="s">
        <v>191</v>
      </c>
      <c r="F258" t="s">
        <v>192</v>
      </c>
      <c r="G258">
        <v>19971</v>
      </c>
      <c r="H258">
        <f>IF(PNL!A258="","",_CALC_PNL!P258)</f>
        <v>19971</v>
      </c>
      <c r="I258" t="str">
        <f>IF(PNL!A258="","",IF(_CALC_PNL!E258=1,H258-G258,""))</f>
        <v/>
      </c>
    </row>
    <row r="259" ht="14.25" customHeight="1">
      <c r="A259" t="s">
        <v>96</v>
      </c>
      <c r="B259" t="s">
        <v>248</v>
      </c>
      <c r="C259" t="s">
        <v>210</v>
      </c>
      <c r="D259" t="s">
        <v>273</v>
      </c>
      <c r="E259" t="s">
        <v>191</v>
      </c>
      <c r="F259" t="s">
        <v>192</v>
      </c>
      <c r="G259">
        <v>27491</v>
      </c>
      <c r="H259">
        <f>IF(PNL!A259="","",_CALC_PNL!P259)</f>
        <v>27491</v>
      </c>
      <c r="I259" t="str">
        <f>IF(PNL!A259="","",IF(_CALC_PNL!E259=1,H259-G259,""))</f>
        <v/>
      </c>
    </row>
    <row r="260" ht="14.25" customHeight="1">
      <c r="A260" t="s">
        <v>97</v>
      </c>
      <c r="B260" t="s">
        <v>248</v>
      </c>
      <c r="C260" t="s">
        <v>210</v>
      </c>
      <c r="D260" t="s">
        <v>273</v>
      </c>
      <c r="E260" t="s">
        <v>191</v>
      </c>
      <c r="F260" t="s">
        <v>192</v>
      </c>
      <c r="G260">
        <v>17136</v>
      </c>
      <c r="H260">
        <f>IF(PNL!A260="","",_CALC_PNL!P260)</f>
        <v>17136</v>
      </c>
      <c r="I260" t="str">
        <f>IF(PNL!A260="","",IF(_CALC_PNL!E260=1,H260-G260,""))</f>
        <v/>
      </c>
    </row>
    <row r="261" ht="14.25" customHeight="1">
      <c r="A261" t="s">
        <v>75</v>
      </c>
      <c r="B261" t="s">
        <v>248</v>
      </c>
      <c r="C261" t="s">
        <v>25</v>
      </c>
      <c r="D261" t="s">
        <v>273</v>
      </c>
      <c r="E261" t="s">
        <v>191</v>
      </c>
      <c r="F261" t="s">
        <v>192</v>
      </c>
      <c r="G261">
        <v>68291</v>
      </c>
      <c r="H261">
        <f>IF(PNL!A261="","",_CALC_PNL!P261)</f>
        <v>68291</v>
      </c>
      <c r="I261" t="str">
        <f>IF(PNL!A261="","",IF(_CALC_PNL!E261=1,H261-G261,""))</f>
        <v/>
      </c>
    </row>
    <row r="262" ht="14.25" customHeight="1">
      <c r="A262" t="s">
        <v>77</v>
      </c>
      <c r="B262" t="s">
        <v>248</v>
      </c>
      <c r="C262" t="s">
        <v>25</v>
      </c>
      <c r="D262" t="s">
        <v>273</v>
      </c>
      <c r="E262" t="s">
        <v>191</v>
      </c>
      <c r="F262" t="s">
        <v>192</v>
      </c>
      <c r="G262">
        <v>41783</v>
      </c>
      <c r="H262">
        <f>IF(PNL!A262="","",_CALC_PNL!P262)</f>
        <v>41783</v>
      </c>
      <c r="I262" t="str">
        <f>IF(PNL!A262="","",IF(_CALC_PNL!E262=1,H262-G262,""))</f>
        <v/>
      </c>
    </row>
    <row r="263" ht="14.25" customHeight="1">
      <c r="A263" t="s">
        <v>79</v>
      </c>
      <c r="B263" t="s">
        <v>248</v>
      </c>
      <c r="C263" t="s">
        <v>25</v>
      </c>
      <c r="D263" t="s">
        <v>273</v>
      </c>
      <c r="E263" t="s">
        <v>191</v>
      </c>
      <c r="F263" t="s">
        <v>192</v>
      </c>
      <c r="G263">
        <v>31533</v>
      </c>
      <c r="H263">
        <f>IF(PNL!A263="","",_CALC_PNL!P263)</f>
        <v>31533</v>
      </c>
      <c r="I263" t="str">
        <f>IF(PNL!A263="","",IF(_CALC_PNL!E263=1,H263-G263,""))</f>
        <v/>
      </c>
    </row>
    <row r="264" ht="14.25" customHeight="1">
      <c r="A264" t="s">
        <v>81</v>
      </c>
      <c r="B264" t="s">
        <v>248</v>
      </c>
      <c r="C264" t="s">
        <v>25</v>
      </c>
      <c r="D264" t="s">
        <v>273</v>
      </c>
      <c r="E264" t="s">
        <v>191</v>
      </c>
      <c r="F264" t="s">
        <v>192</v>
      </c>
      <c r="G264">
        <v>24923</v>
      </c>
      <c r="H264">
        <f>IF(PNL!A264="","",_CALC_PNL!P264)</f>
        <v>24923</v>
      </c>
      <c r="I264" t="str">
        <f>IF(PNL!A264="","",IF(_CALC_PNL!E264=1,H264-G264,""))</f>
        <v/>
      </c>
    </row>
    <row r="265" ht="14.25" customHeight="1">
      <c r="A265" t="s">
        <v>83</v>
      </c>
      <c r="B265" t="s">
        <v>248</v>
      </c>
      <c r="C265" t="s">
        <v>25</v>
      </c>
      <c r="D265" t="s">
        <v>273</v>
      </c>
      <c r="E265" t="s">
        <v>191</v>
      </c>
      <c r="F265" t="s">
        <v>192</v>
      </c>
      <c r="G265">
        <v>60800</v>
      </c>
      <c r="H265">
        <f>IF(PNL!A265="","",_CALC_PNL!P265)</f>
        <v>60800</v>
      </c>
      <c r="I265" t="str">
        <f>IF(PNL!A265="","",IF(_CALC_PNL!E265=1,H265-G265,""))</f>
        <v/>
      </c>
    </row>
    <row r="266" ht="14.25" customHeight="1">
      <c r="A266" t="s">
        <v>84</v>
      </c>
      <c r="B266" t="s">
        <v>248</v>
      </c>
      <c r="C266" t="s">
        <v>25</v>
      </c>
      <c r="D266" t="s">
        <v>273</v>
      </c>
      <c r="E266" t="s">
        <v>191</v>
      </c>
      <c r="F266" t="s">
        <v>192</v>
      </c>
      <c r="G266">
        <v>25220</v>
      </c>
      <c r="H266">
        <f>IF(PNL!A266="","",_CALC_PNL!P266)</f>
        <v>25220</v>
      </c>
      <c r="I266" t="str">
        <f>IF(PNL!A266="","",IF(_CALC_PNL!E266=1,H266-G266,""))</f>
        <v/>
      </c>
    </row>
    <row r="267" ht="14.25" customHeight="1">
      <c r="A267" t="s">
        <v>86</v>
      </c>
      <c r="B267" t="s">
        <v>248</v>
      </c>
      <c r="C267" t="s">
        <v>25</v>
      </c>
      <c r="D267" t="s">
        <v>273</v>
      </c>
      <c r="E267" t="s">
        <v>191</v>
      </c>
      <c r="F267" t="s">
        <v>192</v>
      </c>
      <c r="G267">
        <v>22083</v>
      </c>
      <c r="H267">
        <f>IF(PNL!A267="","",_CALC_PNL!P267)</f>
        <v>22083</v>
      </c>
      <c r="I267" t="str">
        <f>IF(PNL!A267="","",IF(_CALC_PNL!E267=1,H267-G267,""))</f>
        <v/>
      </c>
    </row>
    <row r="268" ht="14.25" customHeight="1">
      <c r="A268" t="s">
        <v>88</v>
      </c>
      <c r="B268" t="s">
        <v>248</v>
      </c>
      <c r="C268" t="s">
        <v>25</v>
      </c>
      <c r="D268" t="s">
        <v>273</v>
      </c>
      <c r="E268" t="s">
        <v>191</v>
      </c>
      <c r="F268" t="s">
        <v>192</v>
      </c>
      <c r="G268">
        <v>21760</v>
      </c>
      <c r="H268">
        <f>IF(PNL!A268="","",_CALC_PNL!P268)</f>
        <v>21760</v>
      </c>
      <c r="I268" t="str">
        <f>IF(PNL!A268="","",IF(_CALC_PNL!E268=1,H268-G268,""))</f>
        <v/>
      </c>
    </row>
    <row r="269" ht="14.25" customHeight="1">
      <c r="A269" t="s">
        <v>90</v>
      </c>
      <c r="B269" t="s">
        <v>248</v>
      </c>
      <c r="C269" t="s">
        <v>25</v>
      </c>
      <c r="D269" t="s">
        <v>273</v>
      </c>
      <c r="E269" t="s">
        <v>191</v>
      </c>
      <c r="F269" t="s">
        <v>192</v>
      </c>
      <c r="G269">
        <v>14933</v>
      </c>
      <c r="H269">
        <f>IF(PNL!A269="","",_CALC_PNL!P269)</f>
        <v>14933</v>
      </c>
      <c r="I269" t="str">
        <f>IF(PNL!A269="","",IF(_CALC_PNL!E269=1,H269-G269,""))</f>
        <v/>
      </c>
    </row>
    <row r="270" ht="14.25" customHeight="1">
      <c r="A270" t="s">
        <v>92</v>
      </c>
      <c r="B270" t="s">
        <v>248</v>
      </c>
      <c r="C270" t="s">
        <v>25</v>
      </c>
      <c r="D270" t="s">
        <v>273</v>
      </c>
      <c r="E270" t="s">
        <v>191</v>
      </c>
      <c r="F270" t="s">
        <v>192</v>
      </c>
      <c r="G270">
        <v>15178</v>
      </c>
      <c r="H270">
        <f>IF(PNL!A270="","",_CALC_PNL!P270)</f>
        <v>15178</v>
      </c>
      <c r="I270" t="str">
        <f>IF(PNL!A270="","",IF(_CALC_PNL!E270=1,H270-G270,""))</f>
        <v/>
      </c>
    </row>
    <row r="271" ht="14.25" customHeight="1">
      <c r="A271" t="s">
        <v>94</v>
      </c>
      <c r="B271" t="s">
        <v>248</v>
      </c>
      <c r="C271" t="s">
        <v>25</v>
      </c>
      <c r="D271" t="s">
        <v>273</v>
      </c>
      <c r="E271" t="s">
        <v>191</v>
      </c>
      <c r="F271" t="s">
        <v>192</v>
      </c>
      <c r="G271">
        <v>36612</v>
      </c>
      <c r="H271">
        <f>IF(PNL!A271="","",_CALC_PNL!P271)</f>
        <v>36612</v>
      </c>
      <c r="I271" t="str">
        <f>IF(PNL!A271="","",IF(_CALC_PNL!E271=1,H271-G271,""))</f>
        <v/>
      </c>
    </row>
    <row r="272" ht="14.25" customHeight="1">
      <c r="A272" t="s">
        <v>95</v>
      </c>
      <c r="B272" t="s">
        <v>248</v>
      </c>
      <c r="C272" t="s">
        <v>25</v>
      </c>
      <c r="D272" t="s">
        <v>273</v>
      </c>
      <c r="E272" t="s">
        <v>191</v>
      </c>
      <c r="F272" t="s">
        <v>192</v>
      </c>
      <c r="G272">
        <v>21968</v>
      </c>
      <c r="H272">
        <f>IF(PNL!A272="","",_CALC_PNL!P272)</f>
        <v>21968</v>
      </c>
      <c r="I272" t="str">
        <f>IF(PNL!A272="","",IF(_CALC_PNL!E272=1,H272-G272,""))</f>
        <v/>
      </c>
    </row>
    <row r="273" ht="14.25" customHeight="1">
      <c r="A273" t="s">
        <v>96</v>
      </c>
      <c r="B273" t="s">
        <v>248</v>
      </c>
      <c r="C273" t="s">
        <v>25</v>
      </c>
      <c r="D273" t="s">
        <v>273</v>
      </c>
      <c r="E273" t="s">
        <v>191</v>
      </c>
      <c r="F273" t="s">
        <v>192</v>
      </c>
      <c r="G273">
        <v>30240</v>
      </c>
      <c r="H273">
        <f>IF(PNL!A273="","",_CALC_PNL!P273)</f>
        <v>30240</v>
      </c>
      <c r="I273" t="str">
        <f>IF(PNL!A273="","",IF(_CALC_PNL!E273=1,H273-G273,""))</f>
        <v/>
      </c>
    </row>
    <row r="274" ht="14.25" customHeight="1">
      <c r="A274" t="s">
        <v>97</v>
      </c>
      <c r="B274" t="s">
        <v>248</v>
      </c>
      <c r="C274" t="s">
        <v>25</v>
      </c>
      <c r="D274" t="s">
        <v>273</v>
      </c>
      <c r="E274" t="s">
        <v>191</v>
      </c>
      <c r="F274" t="s">
        <v>192</v>
      </c>
      <c r="G274">
        <v>18850</v>
      </c>
      <c r="H274">
        <f>IF(PNL!A274="","",_CALC_PNL!P274)</f>
        <v>18850</v>
      </c>
      <c r="I274" t="str">
        <f>IF(PNL!A274="","",IF(_CALC_PNL!E274=1,H274-G274,""))</f>
        <v/>
      </c>
    </row>
    <row r="275" ht="14.25" customHeight="1">
      <c r="A275" t="s">
        <v>75</v>
      </c>
      <c r="B275" t="s">
        <v>249</v>
      </c>
      <c r="C275" t="s">
        <v>211</v>
      </c>
      <c r="D275" t="s">
        <v>273</v>
      </c>
      <c r="E275" t="s">
        <v>191</v>
      </c>
      <c r="F275" t="s">
        <v>192</v>
      </c>
      <c r="G275">
        <v>552322</v>
      </c>
      <c r="H275">
        <f>IF(PNL!A275="","",_CALC_PNL!P275)</f>
        <v>552322</v>
      </c>
      <c r="I275" t="str">
        <f>IF(PNL!A275="","",IF(_CALC_PNL!E275=1,H275-G275,""))</f>
        <v/>
      </c>
    </row>
    <row r="276" ht="14.25" customHeight="1">
      <c r="A276" t="s">
        <v>77</v>
      </c>
      <c r="B276" t="s">
        <v>249</v>
      </c>
      <c r="C276" t="s">
        <v>211</v>
      </c>
      <c r="D276" t="s">
        <v>273</v>
      </c>
      <c r="E276" t="s">
        <v>191</v>
      </c>
      <c r="F276" t="s">
        <v>192</v>
      </c>
      <c r="G276">
        <v>330938</v>
      </c>
      <c r="H276">
        <f>IF(PNL!A276="","",_CALC_PNL!P276)</f>
        <v>330938</v>
      </c>
      <c r="I276" t="str">
        <f>IF(PNL!A276="","",IF(_CALC_PNL!E276=1,H276-G276,""))</f>
        <v/>
      </c>
    </row>
    <row r="277" ht="14.25" customHeight="1">
      <c r="A277" t="s">
        <v>79</v>
      </c>
      <c r="B277" t="s">
        <v>249</v>
      </c>
      <c r="C277" t="s">
        <v>211</v>
      </c>
      <c r="D277" t="s">
        <v>273</v>
      </c>
      <c r="E277" t="s">
        <v>191</v>
      </c>
      <c r="F277" t="s">
        <v>192</v>
      </c>
      <c r="G277">
        <v>272751</v>
      </c>
      <c r="H277">
        <f>IF(PNL!A277="","",_CALC_PNL!P277)</f>
        <v>272751</v>
      </c>
      <c r="I277" t="str">
        <f>IF(PNL!A277="","",IF(_CALC_PNL!E277=1,H277-G277,""))</f>
        <v/>
      </c>
    </row>
    <row r="278" ht="14.25" customHeight="1">
      <c r="A278" t="s">
        <v>81</v>
      </c>
      <c r="B278" t="s">
        <v>249</v>
      </c>
      <c r="C278" t="s">
        <v>211</v>
      </c>
      <c r="D278" t="s">
        <v>273</v>
      </c>
      <c r="E278" t="s">
        <v>191</v>
      </c>
      <c r="F278" t="s">
        <v>192</v>
      </c>
      <c r="G278">
        <v>238657</v>
      </c>
      <c r="H278">
        <f>IF(PNL!A278="","",_CALC_PNL!P278)</f>
        <v>238657</v>
      </c>
      <c r="I278" t="str">
        <f>IF(PNL!A278="","",IF(_CALC_PNL!E278=1,H278-G278,""))</f>
        <v/>
      </c>
    </row>
    <row r="279" ht="14.25" customHeight="1">
      <c r="A279" t="s">
        <v>83</v>
      </c>
      <c r="B279" t="s">
        <v>249</v>
      </c>
      <c r="C279" t="s">
        <v>211</v>
      </c>
      <c r="D279" t="s">
        <v>273</v>
      </c>
      <c r="E279" t="s">
        <v>191</v>
      </c>
      <c r="F279" t="s">
        <v>192</v>
      </c>
      <c r="G279">
        <v>552322</v>
      </c>
      <c r="H279">
        <f>IF(PNL!A279="","",_CALC_PNL!P279)</f>
        <v>552322</v>
      </c>
      <c r="I279" t="str">
        <f>IF(PNL!A279="","",IF(_CALC_PNL!E279=1,H279-G279,""))</f>
        <v/>
      </c>
    </row>
    <row r="280" ht="14.25" customHeight="1">
      <c r="A280" t="s">
        <v>84</v>
      </c>
      <c r="B280" t="s">
        <v>249</v>
      </c>
      <c r="C280" t="s">
        <v>211</v>
      </c>
      <c r="D280" t="s">
        <v>273</v>
      </c>
      <c r="E280" t="s">
        <v>191</v>
      </c>
      <c r="F280" t="s">
        <v>192</v>
      </c>
      <c r="G280">
        <v>209109</v>
      </c>
      <c r="H280">
        <f>IF(PNL!A280="","",_CALC_PNL!P280)</f>
        <v>209109</v>
      </c>
      <c r="I280" t="str">
        <f>IF(PNL!A280="","",IF(_CALC_PNL!E280=1,H280-G280,""))</f>
        <v/>
      </c>
    </row>
    <row r="281" ht="14.25" customHeight="1">
      <c r="A281" t="s">
        <v>86</v>
      </c>
      <c r="B281" t="s">
        <v>249</v>
      </c>
      <c r="C281" t="s">
        <v>211</v>
      </c>
      <c r="D281" t="s">
        <v>273</v>
      </c>
      <c r="E281" t="s">
        <v>191</v>
      </c>
      <c r="F281" t="s">
        <v>192</v>
      </c>
      <c r="G281">
        <v>204564</v>
      </c>
      <c r="H281">
        <f>IF(PNL!A281="","",_CALC_PNL!P281)</f>
        <v>204564</v>
      </c>
      <c r="I281" t="str">
        <f>IF(PNL!A281="","",IF(_CALC_PNL!E281=1,H281-G281,""))</f>
        <v/>
      </c>
    </row>
    <row r="282" ht="14.25" customHeight="1">
      <c r="A282" t="s">
        <v>88</v>
      </c>
      <c r="B282" t="s">
        <v>249</v>
      </c>
      <c r="C282" t="s">
        <v>211</v>
      </c>
      <c r="D282" t="s">
        <v>273</v>
      </c>
      <c r="E282" t="s">
        <v>191</v>
      </c>
      <c r="F282" t="s">
        <v>192</v>
      </c>
      <c r="G282">
        <v>136376</v>
      </c>
      <c r="H282">
        <f>IF(PNL!A282="","",_CALC_PNL!P282)</f>
        <v>136376</v>
      </c>
      <c r="I282" t="str">
        <f>IF(PNL!A282="","",IF(_CALC_PNL!E282=1,H282-G282,""))</f>
        <v/>
      </c>
    </row>
    <row r="283" ht="14.25" customHeight="1">
      <c r="A283" t="s">
        <v>90</v>
      </c>
      <c r="B283" t="s">
        <v>249</v>
      </c>
      <c r="C283" t="s">
        <v>211</v>
      </c>
      <c r="D283" t="s">
        <v>273</v>
      </c>
      <c r="E283" t="s">
        <v>191</v>
      </c>
      <c r="F283" t="s">
        <v>192</v>
      </c>
      <c r="G283">
        <v>120011</v>
      </c>
      <c r="H283">
        <f>IF(PNL!A283="","",_CALC_PNL!P283)</f>
        <v>120011</v>
      </c>
      <c r="I283" t="str">
        <f>IF(PNL!A283="","",IF(_CALC_PNL!E283=1,H283-G283,""))</f>
        <v/>
      </c>
    </row>
    <row r="284" ht="14.25" customHeight="1">
      <c r="A284" t="s">
        <v>92</v>
      </c>
      <c r="B284" t="s">
        <v>249</v>
      </c>
      <c r="C284" t="s">
        <v>211</v>
      </c>
      <c r="D284" t="s">
        <v>273</v>
      </c>
      <c r="E284" t="s">
        <v>191</v>
      </c>
      <c r="F284" t="s">
        <v>192</v>
      </c>
      <c r="G284">
        <v>120011</v>
      </c>
      <c r="H284">
        <f>IF(PNL!A284="","",_CALC_PNL!P284)</f>
        <v>120011</v>
      </c>
      <c r="I284" t="str">
        <f>IF(PNL!A284="","",IF(_CALC_PNL!E284=1,H284-G284,""))</f>
        <v/>
      </c>
    </row>
    <row r="285" ht="14.25" customHeight="1">
      <c r="A285" t="s">
        <v>94</v>
      </c>
      <c r="B285" t="s">
        <v>249</v>
      </c>
      <c r="C285" t="s">
        <v>211</v>
      </c>
      <c r="D285" t="s">
        <v>273</v>
      </c>
      <c r="E285" t="s">
        <v>191</v>
      </c>
      <c r="F285" t="s">
        <v>192</v>
      </c>
      <c r="G285">
        <v>203654</v>
      </c>
      <c r="H285">
        <f>IF(PNL!A285="","",_CALC_PNL!P285)</f>
        <v>203654</v>
      </c>
      <c r="I285" t="str">
        <f>IF(PNL!A285="","",IF(_CALC_PNL!E285=1,H285-G285,""))</f>
        <v/>
      </c>
    </row>
    <row r="286" ht="14.25" customHeight="1">
      <c r="A286" t="s">
        <v>95</v>
      </c>
      <c r="B286" t="s">
        <v>249</v>
      </c>
      <c r="C286" t="s">
        <v>211</v>
      </c>
      <c r="D286" t="s">
        <v>273</v>
      </c>
      <c r="E286" t="s">
        <v>191</v>
      </c>
      <c r="F286" t="s">
        <v>192</v>
      </c>
      <c r="G286">
        <v>190926</v>
      </c>
      <c r="H286">
        <f>IF(PNL!A286="","",_CALC_PNL!P286)</f>
        <v>190926</v>
      </c>
      <c r="I286" t="str">
        <f>IF(PNL!A286="","",IF(_CALC_PNL!E286=1,H286-G286,""))</f>
        <v/>
      </c>
    </row>
    <row r="287" ht="14.25" customHeight="1">
      <c r="A287" t="s">
        <v>96</v>
      </c>
      <c r="B287" t="s">
        <v>249</v>
      </c>
      <c r="C287" t="s">
        <v>211</v>
      </c>
      <c r="D287" t="s">
        <v>273</v>
      </c>
      <c r="E287" t="s">
        <v>191</v>
      </c>
      <c r="F287" t="s">
        <v>192</v>
      </c>
      <c r="G287">
        <v>220929</v>
      </c>
      <c r="H287">
        <f>IF(PNL!A287="","",_CALC_PNL!P287)</f>
        <v>220929</v>
      </c>
      <c r="I287" t="str">
        <f>IF(PNL!A287="","",IF(_CALC_PNL!E287=1,H287-G287,""))</f>
        <v/>
      </c>
    </row>
    <row r="288" ht="14.25" customHeight="1">
      <c r="A288" t="s">
        <v>97</v>
      </c>
      <c r="B288" t="s">
        <v>249</v>
      </c>
      <c r="C288" t="s">
        <v>211</v>
      </c>
      <c r="D288" t="s">
        <v>273</v>
      </c>
      <c r="E288" t="s">
        <v>191</v>
      </c>
      <c r="F288" t="s">
        <v>192</v>
      </c>
      <c r="G288">
        <v>152741</v>
      </c>
      <c r="H288">
        <f>IF(PNL!A288="","",_CALC_PNL!P288)</f>
        <v>152741</v>
      </c>
      <c r="I288" t="str">
        <f>IF(PNL!A288="","",IF(_CALC_PNL!E288=1,H288-G288,""))</f>
        <v/>
      </c>
    </row>
    <row r="289" ht="14.25" customHeight="1">
      <c r="A289" t="s">
        <v>75</v>
      </c>
      <c r="B289" t="s">
        <v>249</v>
      </c>
      <c r="C289" t="s">
        <v>210</v>
      </c>
      <c r="D289" t="s">
        <v>273</v>
      </c>
      <c r="E289" t="s">
        <v>191</v>
      </c>
      <c r="F289" t="s">
        <v>192</v>
      </c>
      <c r="G289">
        <v>577630</v>
      </c>
      <c r="H289">
        <f>IF(PNL!A289="","",_CALC_PNL!P289)</f>
        <v>577630</v>
      </c>
      <c r="I289" t="str">
        <f>IF(PNL!A289="","",IF(_CALC_PNL!E289=1,H289-G289,""))</f>
        <v/>
      </c>
    </row>
    <row r="290" ht="14.25" customHeight="1">
      <c r="A290" t="s">
        <v>77</v>
      </c>
      <c r="B290" t="s">
        <v>249</v>
      </c>
      <c r="C290" t="s">
        <v>210</v>
      </c>
      <c r="D290" t="s">
        <v>273</v>
      </c>
      <c r="E290" t="s">
        <v>191</v>
      </c>
      <c r="F290" t="s">
        <v>192</v>
      </c>
      <c r="G290">
        <v>346103</v>
      </c>
      <c r="H290">
        <f>IF(PNL!A290="","",_CALC_PNL!P290)</f>
        <v>346103</v>
      </c>
      <c r="I290" t="str">
        <f>IF(PNL!A290="","",IF(_CALC_PNL!E290=1,H290-G290,""))</f>
        <v/>
      </c>
    </row>
    <row r="291" ht="14.25" customHeight="1">
      <c r="A291" t="s">
        <v>79</v>
      </c>
      <c r="B291" t="s">
        <v>249</v>
      </c>
      <c r="C291" t="s">
        <v>210</v>
      </c>
      <c r="D291" t="s">
        <v>273</v>
      </c>
      <c r="E291" t="s">
        <v>191</v>
      </c>
      <c r="F291" t="s">
        <v>192</v>
      </c>
      <c r="G291">
        <v>285249</v>
      </c>
      <c r="H291">
        <f>IF(PNL!A291="","",_CALC_PNL!P291)</f>
        <v>285249</v>
      </c>
      <c r="I291" t="str">
        <f>IF(PNL!A291="","",IF(_CALC_PNL!E291=1,H291-G291,""))</f>
        <v/>
      </c>
    </row>
    <row r="292" ht="14.25" customHeight="1">
      <c r="A292" t="s">
        <v>81</v>
      </c>
      <c r="B292" t="s">
        <v>249</v>
      </c>
      <c r="C292" t="s">
        <v>210</v>
      </c>
      <c r="D292" t="s">
        <v>273</v>
      </c>
      <c r="E292" t="s">
        <v>191</v>
      </c>
      <c r="F292" t="s">
        <v>192</v>
      </c>
      <c r="G292">
        <v>249593</v>
      </c>
      <c r="H292">
        <f>IF(PNL!A292="","",_CALC_PNL!P292)</f>
        <v>249593</v>
      </c>
      <c r="I292" t="str">
        <f>IF(PNL!A292="","",IF(_CALC_PNL!E292=1,H292-G292,""))</f>
        <v/>
      </c>
    </row>
    <row r="293" ht="14.25" customHeight="1">
      <c r="A293" t="s">
        <v>83</v>
      </c>
      <c r="B293" t="s">
        <v>249</v>
      </c>
      <c r="C293" t="s">
        <v>210</v>
      </c>
      <c r="D293" t="s">
        <v>273</v>
      </c>
      <c r="E293" t="s">
        <v>191</v>
      </c>
      <c r="F293" t="s">
        <v>192</v>
      </c>
      <c r="G293">
        <v>577630</v>
      </c>
      <c r="H293">
        <f>IF(PNL!A293="","",_CALC_PNL!P293)</f>
        <v>577630</v>
      </c>
      <c r="I293" t="str">
        <f>IF(PNL!A293="","",IF(_CALC_PNL!E293=1,H293-G293,""))</f>
        <v/>
      </c>
    </row>
    <row r="294" ht="14.25" customHeight="1">
      <c r="A294" t="s">
        <v>84</v>
      </c>
      <c r="B294" t="s">
        <v>249</v>
      </c>
      <c r="C294" t="s">
        <v>210</v>
      </c>
      <c r="D294" t="s">
        <v>273</v>
      </c>
      <c r="E294" t="s">
        <v>191</v>
      </c>
      <c r="F294" t="s">
        <v>192</v>
      </c>
      <c r="G294">
        <v>218691</v>
      </c>
      <c r="H294">
        <f>IF(PNL!A294="","",_CALC_PNL!P294)</f>
        <v>218691</v>
      </c>
      <c r="I294" t="str">
        <f>IF(PNL!A294="","",IF(_CALC_PNL!E294=1,H294-G294,""))</f>
        <v/>
      </c>
    </row>
    <row r="295" ht="14.25" customHeight="1">
      <c r="A295" t="s">
        <v>86</v>
      </c>
      <c r="B295" t="s">
        <v>249</v>
      </c>
      <c r="C295" t="s">
        <v>210</v>
      </c>
      <c r="D295" t="s">
        <v>273</v>
      </c>
      <c r="E295" t="s">
        <v>191</v>
      </c>
      <c r="F295" t="s">
        <v>192</v>
      </c>
      <c r="G295">
        <v>213937</v>
      </c>
      <c r="H295">
        <f>IF(PNL!A295="","",_CALC_PNL!P295)</f>
        <v>213937</v>
      </c>
      <c r="I295" t="str">
        <f>IF(PNL!A295="","",IF(_CALC_PNL!E295=1,H295-G295,""))</f>
        <v/>
      </c>
    </row>
    <row r="296" ht="14.25" customHeight="1">
      <c r="A296" t="s">
        <v>88</v>
      </c>
      <c r="B296" t="s">
        <v>249</v>
      </c>
      <c r="C296" t="s">
        <v>210</v>
      </c>
      <c r="D296" t="s">
        <v>273</v>
      </c>
      <c r="E296" t="s">
        <v>191</v>
      </c>
      <c r="F296" t="s">
        <v>192</v>
      </c>
      <c r="G296">
        <v>142625</v>
      </c>
      <c r="H296">
        <f>IF(PNL!A296="","",_CALC_PNL!P296)</f>
        <v>142625</v>
      </c>
      <c r="I296" t="str">
        <f>IF(PNL!A296="","",IF(_CALC_PNL!E296=1,H296-G296,""))</f>
        <v/>
      </c>
    </row>
    <row r="297" ht="14.25" customHeight="1">
      <c r="A297" t="s">
        <v>90</v>
      </c>
      <c r="B297" t="s">
        <v>249</v>
      </c>
      <c r="C297" t="s">
        <v>210</v>
      </c>
      <c r="D297" t="s">
        <v>273</v>
      </c>
      <c r="E297" t="s">
        <v>191</v>
      </c>
      <c r="F297" t="s">
        <v>192</v>
      </c>
      <c r="G297">
        <v>125510</v>
      </c>
      <c r="H297">
        <f>IF(PNL!A297="","",_CALC_PNL!P297)</f>
        <v>125510</v>
      </c>
      <c r="I297" t="str">
        <f>IF(PNL!A297="","",IF(_CALC_PNL!E297=1,H297-G297,""))</f>
        <v/>
      </c>
    </row>
    <row r="298" ht="14.25" customHeight="1">
      <c r="A298" t="s">
        <v>92</v>
      </c>
      <c r="B298" t="s">
        <v>249</v>
      </c>
      <c r="C298" t="s">
        <v>210</v>
      </c>
      <c r="D298" t="s">
        <v>273</v>
      </c>
      <c r="E298" t="s">
        <v>191</v>
      </c>
      <c r="F298" t="s">
        <v>192</v>
      </c>
      <c r="G298">
        <v>125510</v>
      </c>
      <c r="H298">
        <f>IF(PNL!A298="","",_CALC_PNL!P298)</f>
        <v>125510</v>
      </c>
      <c r="I298" t="str">
        <f>IF(PNL!A298="","",IF(_CALC_PNL!E298=1,H298-G298,""))</f>
        <v/>
      </c>
    </row>
    <row r="299" ht="14.25" customHeight="1">
      <c r="A299" t="s">
        <v>94</v>
      </c>
      <c r="B299" t="s">
        <v>249</v>
      </c>
      <c r="C299" t="s">
        <v>210</v>
      </c>
      <c r="D299" t="s">
        <v>273</v>
      </c>
      <c r="E299" t="s">
        <v>191</v>
      </c>
      <c r="F299" t="s">
        <v>192</v>
      </c>
      <c r="G299">
        <v>212986</v>
      </c>
      <c r="H299">
        <f>IF(PNL!A299="","",_CALC_PNL!P299)</f>
        <v>212986</v>
      </c>
      <c r="I299" t="str">
        <f>IF(PNL!A299="","",IF(_CALC_PNL!E299=1,H299-G299,""))</f>
        <v/>
      </c>
    </row>
    <row r="300" ht="14.25" customHeight="1">
      <c r="A300" t="s">
        <v>95</v>
      </c>
      <c r="B300" t="s">
        <v>249</v>
      </c>
      <c r="C300" t="s">
        <v>210</v>
      </c>
      <c r="D300" t="s">
        <v>273</v>
      </c>
      <c r="E300" t="s">
        <v>191</v>
      </c>
      <c r="F300" t="s">
        <v>192</v>
      </c>
      <c r="G300">
        <v>199675</v>
      </c>
      <c r="H300">
        <f>IF(PNL!A300="","",_CALC_PNL!P300)</f>
        <v>199675</v>
      </c>
      <c r="I300" t="str">
        <f>IF(PNL!A300="","",IF(_CALC_PNL!E300=1,H300-G300,""))</f>
        <v/>
      </c>
    </row>
    <row r="301" ht="14.25" customHeight="1">
      <c r="A301" t="s">
        <v>96</v>
      </c>
      <c r="B301" t="s">
        <v>249</v>
      </c>
      <c r="C301" t="s">
        <v>210</v>
      </c>
      <c r="D301" t="s">
        <v>273</v>
      </c>
      <c r="E301" t="s">
        <v>191</v>
      </c>
      <c r="F301" t="s">
        <v>192</v>
      </c>
      <c r="G301">
        <v>231052</v>
      </c>
      <c r="H301">
        <f>IF(PNL!A301="","",_CALC_PNL!P301)</f>
        <v>231052</v>
      </c>
      <c r="I301" t="str">
        <f>IF(PNL!A301="","",IF(_CALC_PNL!E301=1,H301-G301,""))</f>
        <v/>
      </c>
    </row>
    <row r="302" ht="14.25" customHeight="1">
      <c r="A302" t="s">
        <v>97</v>
      </c>
      <c r="B302" t="s">
        <v>249</v>
      </c>
      <c r="C302" t="s">
        <v>210</v>
      </c>
      <c r="D302" t="s">
        <v>273</v>
      </c>
      <c r="E302" t="s">
        <v>191</v>
      </c>
      <c r="F302" t="s">
        <v>192</v>
      </c>
      <c r="G302">
        <v>159740</v>
      </c>
      <c r="H302">
        <f>IF(PNL!A302="","",_CALC_PNL!P302)</f>
        <v>159740</v>
      </c>
      <c r="I302" t="str">
        <f>IF(PNL!A302="","",IF(_CALC_PNL!E302=1,H302-G302,""))</f>
        <v/>
      </c>
    </row>
    <row r="303" ht="14.25" customHeight="1">
      <c r="A303" t="s">
        <v>75</v>
      </c>
      <c r="B303" t="s">
        <v>249</v>
      </c>
      <c r="C303" t="s">
        <v>25</v>
      </c>
      <c r="D303" t="s">
        <v>273</v>
      </c>
      <c r="E303" t="s">
        <v>191</v>
      </c>
      <c r="F303" t="s">
        <v>192</v>
      </c>
      <c r="G303">
        <v>605202</v>
      </c>
      <c r="H303">
        <f>IF(PNL!A303="","",_CALC_PNL!P303)</f>
        <v>605202</v>
      </c>
      <c r="I303" t="str">
        <f>IF(PNL!A303="","",IF(_CALC_PNL!E303=1,H303-G303,""))</f>
        <v/>
      </c>
    </row>
    <row r="304" ht="14.25" customHeight="1">
      <c r="A304" t="s">
        <v>77</v>
      </c>
      <c r="B304" t="s">
        <v>249</v>
      </c>
      <c r="C304" t="s">
        <v>25</v>
      </c>
      <c r="D304" t="s">
        <v>273</v>
      </c>
      <c r="E304" t="s">
        <v>191</v>
      </c>
      <c r="F304" t="s">
        <v>192</v>
      </c>
      <c r="G304">
        <v>362623</v>
      </c>
      <c r="H304">
        <f>IF(PNL!A304="","",_CALC_PNL!P304)</f>
        <v>362623</v>
      </c>
      <c r="I304" t="str">
        <f>IF(PNL!A304="","",IF(_CALC_PNL!E304=1,H304-G304,""))</f>
        <v/>
      </c>
    </row>
    <row r="305" ht="14.25" customHeight="1">
      <c r="A305" t="s">
        <v>79</v>
      </c>
      <c r="B305" t="s">
        <v>249</v>
      </c>
      <c r="C305" t="s">
        <v>25</v>
      </c>
      <c r="D305" t="s">
        <v>273</v>
      </c>
      <c r="E305" t="s">
        <v>191</v>
      </c>
      <c r="F305" t="s">
        <v>192</v>
      </c>
      <c r="G305">
        <v>298865</v>
      </c>
      <c r="H305">
        <f>IF(PNL!A305="","",_CALC_PNL!P305)</f>
        <v>298865</v>
      </c>
      <c r="I305" t="str">
        <f>IF(PNL!A305="","",IF(_CALC_PNL!E305=1,H305-G305,""))</f>
        <v/>
      </c>
    </row>
    <row r="306" ht="14.25" customHeight="1">
      <c r="A306" t="s">
        <v>81</v>
      </c>
      <c r="B306" t="s">
        <v>249</v>
      </c>
      <c r="C306" t="s">
        <v>25</v>
      </c>
      <c r="D306" t="s">
        <v>273</v>
      </c>
      <c r="E306" t="s">
        <v>191</v>
      </c>
      <c r="F306" t="s">
        <v>192</v>
      </c>
      <c r="G306">
        <v>261507</v>
      </c>
      <c r="H306">
        <f>IF(PNL!A306="","",_CALC_PNL!P306)</f>
        <v>261507</v>
      </c>
      <c r="I306" t="str">
        <f>IF(PNL!A306="","",IF(_CALC_PNL!E306=1,H306-G306,""))</f>
        <v/>
      </c>
    </row>
    <row r="307" ht="14.25" customHeight="1">
      <c r="A307" t="s">
        <v>83</v>
      </c>
      <c r="B307" t="s">
        <v>249</v>
      </c>
      <c r="C307" t="s">
        <v>25</v>
      </c>
      <c r="D307" t="s">
        <v>273</v>
      </c>
      <c r="E307" t="s">
        <v>191</v>
      </c>
      <c r="F307" t="s">
        <v>192</v>
      </c>
      <c r="G307">
        <v>605202</v>
      </c>
      <c r="H307">
        <f>IF(PNL!A307="","",_CALC_PNL!P307)</f>
        <v>605202</v>
      </c>
      <c r="I307" t="str">
        <f>IF(PNL!A307="","",IF(_CALC_PNL!E307=1,H307-G307,""))</f>
        <v/>
      </c>
    </row>
    <row r="308" ht="14.25" customHeight="1">
      <c r="A308" t="s">
        <v>84</v>
      </c>
      <c r="B308" t="s">
        <v>249</v>
      </c>
      <c r="C308" t="s">
        <v>25</v>
      </c>
      <c r="D308" t="s">
        <v>273</v>
      </c>
      <c r="E308" t="s">
        <v>191</v>
      </c>
      <c r="F308" t="s">
        <v>192</v>
      </c>
      <c r="G308">
        <v>229130</v>
      </c>
      <c r="H308">
        <f>IF(PNL!A308="","",_CALC_PNL!P308)</f>
        <v>229130</v>
      </c>
      <c r="I308" t="str">
        <f>IF(PNL!A308="","",IF(_CALC_PNL!E308=1,H308-G308,""))</f>
        <v/>
      </c>
    </row>
    <row r="309" ht="14.25" customHeight="1">
      <c r="A309" t="s">
        <v>86</v>
      </c>
      <c r="B309" t="s">
        <v>249</v>
      </c>
      <c r="C309" t="s">
        <v>25</v>
      </c>
      <c r="D309" t="s">
        <v>273</v>
      </c>
      <c r="E309" t="s">
        <v>191</v>
      </c>
      <c r="F309" t="s">
        <v>192</v>
      </c>
      <c r="G309">
        <v>224149</v>
      </c>
      <c r="H309">
        <f>IF(PNL!A309="","",_CALC_PNL!P309)</f>
        <v>224149</v>
      </c>
      <c r="I309" t="str">
        <f>IF(PNL!A309="","",IF(_CALC_PNL!E309=1,H309-G309,""))</f>
        <v/>
      </c>
    </row>
    <row r="310" ht="14.25" customHeight="1">
      <c r="A310" t="s">
        <v>88</v>
      </c>
      <c r="B310" t="s">
        <v>249</v>
      </c>
      <c r="C310" t="s">
        <v>25</v>
      </c>
      <c r="D310" t="s">
        <v>273</v>
      </c>
      <c r="E310" t="s">
        <v>191</v>
      </c>
      <c r="F310" t="s">
        <v>192</v>
      </c>
      <c r="G310">
        <v>149433</v>
      </c>
      <c r="H310">
        <f>IF(PNL!A310="","",_CALC_PNL!P310)</f>
        <v>149433</v>
      </c>
      <c r="I310" t="str">
        <f>IF(PNL!A310="","",IF(_CALC_PNL!E310=1,H310-G310,""))</f>
        <v/>
      </c>
    </row>
    <row r="311" ht="14.25" customHeight="1">
      <c r="A311" t="s">
        <v>90</v>
      </c>
      <c r="B311" t="s">
        <v>249</v>
      </c>
      <c r="C311" t="s">
        <v>25</v>
      </c>
      <c r="D311" t="s">
        <v>273</v>
      </c>
      <c r="E311" t="s">
        <v>191</v>
      </c>
      <c r="F311" t="s">
        <v>192</v>
      </c>
      <c r="G311">
        <v>131501</v>
      </c>
      <c r="H311">
        <f>IF(PNL!A311="","",_CALC_PNL!P311)</f>
        <v>131501</v>
      </c>
      <c r="I311" t="str">
        <f>IF(PNL!A311="","",IF(_CALC_PNL!E311=1,H311-G311,""))</f>
        <v/>
      </c>
    </row>
    <row r="312" ht="14.25" customHeight="1">
      <c r="A312" t="s">
        <v>92</v>
      </c>
      <c r="B312" t="s">
        <v>249</v>
      </c>
      <c r="C312" t="s">
        <v>25</v>
      </c>
      <c r="D312" t="s">
        <v>273</v>
      </c>
      <c r="E312" t="s">
        <v>191</v>
      </c>
      <c r="F312" t="s">
        <v>192</v>
      </c>
      <c r="G312">
        <v>131501</v>
      </c>
      <c r="H312">
        <f>IF(PNL!A312="","",_CALC_PNL!P312)</f>
        <v>131501</v>
      </c>
      <c r="I312" t="str">
        <f>IF(PNL!A312="","",IF(_CALC_PNL!E312=1,H312-G312,""))</f>
        <v/>
      </c>
    </row>
    <row r="313" ht="14.25" customHeight="1">
      <c r="A313" t="s">
        <v>94</v>
      </c>
      <c r="B313" t="s">
        <v>249</v>
      </c>
      <c r="C313" t="s">
        <v>25</v>
      </c>
      <c r="D313" t="s">
        <v>273</v>
      </c>
      <c r="E313" t="s">
        <v>191</v>
      </c>
      <c r="F313" t="s">
        <v>192</v>
      </c>
      <c r="G313">
        <v>223153</v>
      </c>
      <c r="H313">
        <f>IF(PNL!A313="","",_CALC_PNL!P313)</f>
        <v>223153</v>
      </c>
      <c r="I313" t="str">
        <f>IF(PNL!A313="","",IF(_CALC_PNL!E313=1,H313-G313,""))</f>
        <v/>
      </c>
    </row>
    <row r="314" ht="14.25" customHeight="1">
      <c r="A314" t="s">
        <v>95</v>
      </c>
      <c r="B314" t="s">
        <v>249</v>
      </c>
      <c r="C314" t="s">
        <v>25</v>
      </c>
      <c r="D314" t="s">
        <v>273</v>
      </c>
      <c r="E314" t="s">
        <v>191</v>
      </c>
      <c r="F314" t="s">
        <v>192</v>
      </c>
      <c r="G314">
        <v>209206</v>
      </c>
      <c r="H314">
        <f>IF(PNL!A314="","",_CALC_PNL!P314)</f>
        <v>209206</v>
      </c>
      <c r="I314" t="str">
        <f>IF(PNL!A314="","",IF(_CALC_PNL!E314=1,H314-G314,""))</f>
        <v/>
      </c>
    </row>
    <row r="315" ht="14.25" customHeight="1">
      <c r="A315" t="s">
        <v>96</v>
      </c>
      <c r="B315" t="s">
        <v>249</v>
      </c>
      <c r="C315" t="s">
        <v>25</v>
      </c>
      <c r="D315" t="s">
        <v>273</v>
      </c>
      <c r="E315" t="s">
        <v>191</v>
      </c>
      <c r="F315" t="s">
        <v>192</v>
      </c>
      <c r="G315">
        <v>242081</v>
      </c>
      <c r="H315">
        <f>IF(PNL!A315="","",_CALC_PNL!P315)</f>
        <v>242081</v>
      </c>
      <c r="I315" t="str">
        <f>IF(PNL!A315="","",IF(_CALC_PNL!E315=1,H315-G315,""))</f>
        <v/>
      </c>
    </row>
    <row r="316" ht="14.25" customHeight="1">
      <c r="A316" t="s">
        <v>97</v>
      </c>
      <c r="B316" t="s">
        <v>249</v>
      </c>
      <c r="C316" t="s">
        <v>25</v>
      </c>
      <c r="D316" t="s">
        <v>273</v>
      </c>
      <c r="E316" t="s">
        <v>191</v>
      </c>
      <c r="F316" t="s">
        <v>192</v>
      </c>
      <c r="G316">
        <v>167364</v>
      </c>
      <c r="H316">
        <f>IF(PNL!A316="","",_CALC_PNL!P316)</f>
        <v>167364</v>
      </c>
      <c r="I316" t="str">
        <f>IF(PNL!A316="","",IF(_CALC_PNL!E316=1,H316-G316,""))</f>
        <v/>
      </c>
    </row>
    <row r="317" ht="14.25" customHeight="1">
      <c r="A317" t="s">
        <v>75</v>
      </c>
      <c r="B317" t="s">
        <v>250</v>
      </c>
      <c r="C317" t="s">
        <v>211</v>
      </c>
      <c r="D317" t="s">
        <v>273</v>
      </c>
      <c r="E317" t="s">
        <v>191</v>
      </c>
      <c r="F317" t="s">
        <v>192</v>
      </c>
      <c r="G317">
        <v>318872</v>
      </c>
      <c r="H317">
        <f>IF(PNL!A317="","",_CALC_PNL!P317)</f>
        <v>318872</v>
      </c>
      <c r="I317" t="str">
        <f>IF(PNL!A317="","",IF(_CALC_PNL!E317=1,H317-G317,""))</f>
        <v/>
      </c>
    </row>
    <row r="318" ht="14.25" customHeight="1">
      <c r="A318" t="s">
        <v>77</v>
      </c>
      <c r="B318" t="s">
        <v>250</v>
      </c>
      <c r="C318" t="s">
        <v>211</v>
      </c>
      <c r="D318" t="s">
        <v>273</v>
      </c>
      <c r="E318" t="s">
        <v>191</v>
      </c>
      <c r="F318" t="s">
        <v>192</v>
      </c>
      <c r="G318">
        <v>186982</v>
      </c>
      <c r="H318">
        <f>IF(PNL!A318="","",_CALC_PNL!P318)</f>
        <v>186982</v>
      </c>
      <c r="I318" t="str">
        <f>IF(PNL!A318="","",IF(_CALC_PNL!E318=1,H318-G318,""))</f>
        <v/>
      </c>
    </row>
    <row r="319" ht="14.25" customHeight="1">
      <c r="A319" t="s">
        <v>79</v>
      </c>
      <c r="B319" t="s">
        <v>250</v>
      </c>
      <c r="C319" t="s">
        <v>211</v>
      </c>
      <c r="D319" t="s">
        <v>273</v>
      </c>
      <c r="E319" t="s">
        <v>191</v>
      </c>
      <c r="F319" t="s">
        <v>192</v>
      </c>
      <c r="G319">
        <v>151490</v>
      </c>
      <c r="H319">
        <f>IF(PNL!A319="","",_CALC_PNL!P319)</f>
        <v>151490</v>
      </c>
      <c r="I319" t="str">
        <f>IF(PNL!A319="","",IF(_CALC_PNL!E319=1,H319-G319,""))</f>
        <v/>
      </c>
    </row>
    <row r="320" ht="14.25" customHeight="1">
      <c r="A320" t="s">
        <v>81</v>
      </c>
      <c r="B320" t="s">
        <v>250</v>
      </c>
      <c r="C320" t="s">
        <v>211</v>
      </c>
      <c r="D320" t="s">
        <v>273</v>
      </c>
      <c r="E320" t="s">
        <v>191</v>
      </c>
      <c r="F320" t="s">
        <v>192</v>
      </c>
      <c r="G320">
        <v>134718</v>
      </c>
      <c r="H320">
        <f>IF(PNL!A320="","",_CALC_PNL!P320)</f>
        <v>134718</v>
      </c>
      <c r="I320" t="str">
        <f>IF(PNL!A320="","",IF(_CALC_PNL!E320=1,H320-G320,""))</f>
        <v/>
      </c>
    </row>
    <row r="321" ht="14.25" customHeight="1">
      <c r="A321" t="s">
        <v>83</v>
      </c>
      <c r="B321" t="s">
        <v>250</v>
      </c>
      <c r="C321" t="s">
        <v>211</v>
      </c>
      <c r="D321" t="s">
        <v>273</v>
      </c>
      <c r="E321" t="s">
        <v>191</v>
      </c>
      <c r="F321" t="s">
        <v>192</v>
      </c>
      <c r="G321">
        <v>295499</v>
      </c>
      <c r="H321">
        <f>IF(PNL!A321="","",_CALC_PNL!P321)</f>
        <v>295499</v>
      </c>
      <c r="I321" t="str">
        <f>IF(PNL!A321="","",IF(_CALC_PNL!E321=1,H321-G321,""))</f>
        <v/>
      </c>
    </row>
    <row r="322" ht="14.25" customHeight="1">
      <c r="A322" t="s">
        <v>84</v>
      </c>
      <c r="B322" t="s">
        <v>250</v>
      </c>
      <c r="C322" t="s">
        <v>211</v>
      </c>
      <c r="D322" t="s">
        <v>273</v>
      </c>
      <c r="E322" t="s">
        <v>191</v>
      </c>
      <c r="F322" t="s">
        <v>192</v>
      </c>
      <c r="G322">
        <v>115669</v>
      </c>
      <c r="H322">
        <f>IF(PNL!A322="","",_CALC_PNL!P322)</f>
        <v>115669</v>
      </c>
      <c r="I322" t="str">
        <f>IF(PNL!A322="","",IF(_CALC_PNL!E322=1,H322-G322,""))</f>
        <v/>
      </c>
    </row>
    <row r="323" ht="14.25" customHeight="1">
      <c r="A323" t="s">
        <v>86</v>
      </c>
      <c r="B323" t="s">
        <v>250</v>
      </c>
      <c r="C323" t="s">
        <v>211</v>
      </c>
      <c r="D323" t="s">
        <v>273</v>
      </c>
      <c r="E323" t="s">
        <v>191</v>
      </c>
      <c r="F323" t="s">
        <v>192</v>
      </c>
      <c r="G323">
        <v>107125</v>
      </c>
      <c r="H323">
        <f>IF(PNL!A323="","",_CALC_PNL!P323)</f>
        <v>107125</v>
      </c>
      <c r="I323" t="str">
        <f>IF(PNL!A323="","",IF(_CALC_PNL!E323=1,H323-G323,""))</f>
        <v/>
      </c>
    </row>
    <row r="324" ht="14.25" customHeight="1">
      <c r="A324" t="s">
        <v>88</v>
      </c>
      <c r="B324" t="s">
        <v>250</v>
      </c>
      <c r="C324" t="s">
        <v>211</v>
      </c>
      <c r="D324" t="s">
        <v>273</v>
      </c>
      <c r="E324" t="s">
        <v>191</v>
      </c>
      <c r="F324" t="s">
        <v>192</v>
      </c>
      <c r="G324">
        <v>74715</v>
      </c>
      <c r="H324">
        <f>IF(PNL!A324="","",_CALC_PNL!P324)</f>
        <v>74715</v>
      </c>
      <c r="I324" t="str">
        <f>IF(PNL!A324="","",IF(_CALC_PNL!E324=1,H324-G324,""))</f>
        <v/>
      </c>
    </row>
    <row r="325" ht="14.25" customHeight="1">
      <c r="A325" t="s">
        <v>90</v>
      </c>
      <c r="B325" t="s">
        <v>250</v>
      </c>
      <c r="C325" t="s">
        <v>211</v>
      </c>
      <c r="D325" t="s">
        <v>273</v>
      </c>
      <c r="E325" t="s">
        <v>191</v>
      </c>
      <c r="F325" t="s">
        <v>192</v>
      </c>
      <c r="G325">
        <v>53053</v>
      </c>
      <c r="H325">
        <f>IF(PNL!A325="","",_CALC_PNL!P325)</f>
        <v>53053</v>
      </c>
      <c r="I325" t="str">
        <f>IF(PNL!A325="","",IF(_CALC_PNL!E325=1,H325-G325,""))</f>
        <v/>
      </c>
    </row>
    <row r="326" ht="14.25" customHeight="1">
      <c r="A326" t="s">
        <v>92</v>
      </c>
      <c r="B326" t="s">
        <v>250</v>
      </c>
      <c r="C326" t="s">
        <v>211</v>
      </c>
      <c r="D326" t="s">
        <v>273</v>
      </c>
      <c r="E326" t="s">
        <v>191</v>
      </c>
      <c r="F326" t="s">
        <v>192</v>
      </c>
      <c r="G326">
        <v>53053</v>
      </c>
      <c r="H326">
        <f>IF(PNL!A326="","",_CALC_PNL!P326)</f>
        <v>53053</v>
      </c>
      <c r="I326" t="str">
        <f>IF(PNL!A326="","",IF(_CALC_PNL!E326=1,H326-G326,""))</f>
        <v/>
      </c>
    </row>
    <row r="327" ht="14.25" customHeight="1">
      <c r="A327" t="s">
        <v>94</v>
      </c>
      <c r="B327" t="s">
        <v>250</v>
      </c>
      <c r="C327" t="s">
        <v>211</v>
      </c>
      <c r="D327" t="s">
        <v>273</v>
      </c>
      <c r="E327" t="s">
        <v>191</v>
      </c>
      <c r="F327" t="s">
        <v>192</v>
      </c>
      <c r="G327">
        <v>105033</v>
      </c>
      <c r="H327">
        <f>IF(PNL!A327="","",_CALC_PNL!P327)</f>
        <v>105033</v>
      </c>
      <c r="I327" t="str">
        <f>IF(PNL!A327="","",IF(_CALC_PNL!E327=1,H327-G327,""))</f>
        <v/>
      </c>
    </row>
    <row r="328" ht="14.25" customHeight="1">
      <c r="A328" t="s">
        <v>95</v>
      </c>
      <c r="B328" t="s">
        <v>250</v>
      </c>
      <c r="C328" t="s">
        <v>211</v>
      </c>
      <c r="D328" t="s">
        <v>273</v>
      </c>
      <c r="E328" t="s">
        <v>191</v>
      </c>
      <c r="F328" t="s">
        <v>192</v>
      </c>
      <c r="G328">
        <v>76827</v>
      </c>
      <c r="H328">
        <f>IF(PNL!A328="","",_CALC_PNL!P328)</f>
        <v>76827</v>
      </c>
      <c r="I328" t="str">
        <f>IF(PNL!A328="","",IF(_CALC_PNL!E328=1,H328-G328,""))</f>
        <v/>
      </c>
    </row>
    <row r="329" ht="14.25" customHeight="1">
      <c r="A329" t="s">
        <v>96</v>
      </c>
      <c r="B329" t="s">
        <v>250</v>
      </c>
      <c r="C329" t="s">
        <v>211</v>
      </c>
      <c r="D329" t="s">
        <v>273</v>
      </c>
      <c r="E329" t="s">
        <v>191</v>
      </c>
      <c r="F329" t="s">
        <v>192</v>
      </c>
      <c r="G329">
        <v>115195</v>
      </c>
      <c r="H329">
        <f>IF(PNL!A329="","",_CALC_PNL!P329)</f>
        <v>115195</v>
      </c>
      <c r="I329" t="str">
        <f>IF(PNL!A329="","",IF(_CALC_PNL!E329=1,H329-G329,""))</f>
        <v/>
      </c>
    </row>
    <row r="330" ht="14.25" customHeight="1">
      <c r="A330" t="s">
        <v>97</v>
      </c>
      <c r="B330" t="s">
        <v>250</v>
      </c>
      <c r="C330" t="s">
        <v>211</v>
      </c>
      <c r="D330" t="s">
        <v>273</v>
      </c>
      <c r="E330" t="s">
        <v>191</v>
      </c>
      <c r="F330" t="s">
        <v>192</v>
      </c>
      <c r="G330">
        <v>67521</v>
      </c>
      <c r="H330">
        <f>IF(PNL!A330="","",_CALC_PNL!P330)</f>
        <v>67521</v>
      </c>
      <c r="I330" t="str">
        <f>IF(PNL!A330="","",IF(_CALC_PNL!E330=1,H330-G330,""))</f>
        <v/>
      </c>
    </row>
    <row r="331" ht="14.25" customHeight="1">
      <c r="A331" t="s">
        <v>75</v>
      </c>
      <c r="B331" t="s">
        <v>250</v>
      </c>
      <c r="C331" t="s">
        <v>210</v>
      </c>
      <c r="D331" t="s">
        <v>273</v>
      </c>
      <c r="E331" t="s">
        <v>191</v>
      </c>
      <c r="F331" t="s">
        <v>192</v>
      </c>
      <c r="G331">
        <v>333483</v>
      </c>
      <c r="H331">
        <f>IF(PNL!A331="","",_CALC_PNL!P331)</f>
        <v>333483</v>
      </c>
      <c r="I331" t="str">
        <f>IF(PNL!A331="","",IF(_CALC_PNL!E331=1,H331-G331,""))</f>
        <v/>
      </c>
    </row>
    <row r="332" ht="14.25" customHeight="1">
      <c r="A332" t="s">
        <v>77</v>
      </c>
      <c r="B332" t="s">
        <v>250</v>
      </c>
      <c r="C332" t="s">
        <v>210</v>
      </c>
      <c r="D332" t="s">
        <v>273</v>
      </c>
      <c r="E332" t="s">
        <v>191</v>
      </c>
      <c r="F332" t="s">
        <v>192</v>
      </c>
      <c r="G332">
        <v>195550</v>
      </c>
      <c r="H332">
        <f>IF(PNL!A332="","",_CALC_PNL!P332)</f>
        <v>195550</v>
      </c>
      <c r="I332" t="str">
        <f>IF(PNL!A332="","",IF(_CALC_PNL!E332=1,H332-G332,""))</f>
        <v/>
      </c>
    </row>
    <row r="333" ht="14.25" customHeight="1">
      <c r="A333" t="s">
        <v>79</v>
      </c>
      <c r="B333" t="s">
        <v>250</v>
      </c>
      <c r="C333" t="s">
        <v>210</v>
      </c>
      <c r="D333" t="s">
        <v>273</v>
      </c>
      <c r="E333" t="s">
        <v>191</v>
      </c>
      <c r="F333" t="s">
        <v>192</v>
      </c>
      <c r="G333">
        <v>158432</v>
      </c>
      <c r="H333">
        <f>IF(PNL!A333="","",_CALC_PNL!P333)</f>
        <v>158432</v>
      </c>
      <c r="I333" t="str">
        <f>IF(PNL!A333="","",IF(_CALC_PNL!E333=1,H333-G333,""))</f>
        <v/>
      </c>
    </row>
    <row r="334" ht="14.25" customHeight="1">
      <c r="A334" t="s">
        <v>81</v>
      </c>
      <c r="B334" t="s">
        <v>250</v>
      </c>
      <c r="C334" t="s">
        <v>210</v>
      </c>
      <c r="D334" t="s">
        <v>273</v>
      </c>
      <c r="E334" t="s">
        <v>191</v>
      </c>
      <c r="F334" t="s">
        <v>192</v>
      </c>
      <c r="G334">
        <v>140891</v>
      </c>
      <c r="H334">
        <f>IF(PNL!A334="","",_CALC_PNL!P334)</f>
        <v>140891</v>
      </c>
      <c r="I334" t="str">
        <f>IF(PNL!A334="","",IF(_CALC_PNL!E334=1,H334-G334,""))</f>
        <v/>
      </c>
    </row>
    <row r="335" ht="14.25" customHeight="1">
      <c r="A335" t="s">
        <v>83</v>
      </c>
      <c r="B335" t="s">
        <v>250</v>
      </c>
      <c r="C335" t="s">
        <v>210</v>
      </c>
      <c r="D335" t="s">
        <v>273</v>
      </c>
      <c r="E335" t="s">
        <v>191</v>
      </c>
      <c r="F335" t="s">
        <v>192</v>
      </c>
      <c r="G335">
        <v>309039</v>
      </c>
      <c r="H335">
        <f>IF(PNL!A335="","",_CALC_PNL!P335)</f>
        <v>309039</v>
      </c>
      <c r="I335" t="str">
        <f>IF(PNL!A335="","",IF(_CALC_PNL!E335=1,H335-G335,""))</f>
        <v/>
      </c>
    </row>
    <row r="336" ht="14.25" customHeight="1">
      <c r="A336" t="s">
        <v>84</v>
      </c>
      <c r="B336" t="s">
        <v>250</v>
      </c>
      <c r="C336" t="s">
        <v>210</v>
      </c>
      <c r="D336" t="s">
        <v>273</v>
      </c>
      <c r="E336" t="s">
        <v>191</v>
      </c>
      <c r="F336" t="s">
        <v>192</v>
      </c>
      <c r="G336">
        <v>120969</v>
      </c>
      <c r="H336">
        <f>IF(PNL!A336="","",_CALC_PNL!P336)</f>
        <v>120969</v>
      </c>
      <c r="I336" t="str">
        <f>IF(PNL!A336="","",IF(_CALC_PNL!E336=1,H336-G336,""))</f>
        <v/>
      </c>
    </row>
    <row r="337" ht="14.25" customHeight="1">
      <c r="A337" t="s">
        <v>86</v>
      </c>
      <c r="B337" t="s">
        <v>250</v>
      </c>
      <c r="C337" t="s">
        <v>210</v>
      </c>
      <c r="D337" t="s">
        <v>273</v>
      </c>
      <c r="E337" t="s">
        <v>191</v>
      </c>
      <c r="F337" t="s">
        <v>192</v>
      </c>
      <c r="G337">
        <v>112034</v>
      </c>
      <c r="H337">
        <f>IF(PNL!A337="","",_CALC_PNL!P337)</f>
        <v>112034</v>
      </c>
      <c r="I337" t="str">
        <f>IF(PNL!A337="","",IF(_CALC_PNL!E337=1,H337-G337,""))</f>
        <v/>
      </c>
    </row>
    <row r="338" ht="14.25" customHeight="1">
      <c r="A338" t="s">
        <v>88</v>
      </c>
      <c r="B338" t="s">
        <v>250</v>
      </c>
      <c r="C338" t="s">
        <v>210</v>
      </c>
      <c r="D338" t="s">
        <v>273</v>
      </c>
      <c r="E338" t="s">
        <v>191</v>
      </c>
      <c r="F338" t="s">
        <v>192</v>
      </c>
      <c r="G338">
        <v>78138</v>
      </c>
      <c r="H338">
        <f>IF(PNL!A338="","",_CALC_PNL!P338)</f>
        <v>78138</v>
      </c>
      <c r="I338" t="str">
        <f>IF(PNL!A338="","",IF(_CALC_PNL!E338=1,H338-G338,""))</f>
        <v/>
      </c>
    </row>
    <row r="339" ht="14.25" customHeight="1">
      <c r="A339" t="s">
        <v>90</v>
      </c>
      <c r="B339" t="s">
        <v>250</v>
      </c>
      <c r="C339" t="s">
        <v>210</v>
      </c>
      <c r="D339" t="s">
        <v>273</v>
      </c>
      <c r="E339" t="s">
        <v>191</v>
      </c>
      <c r="F339" t="s">
        <v>192</v>
      </c>
      <c r="G339">
        <v>55484</v>
      </c>
      <c r="H339">
        <f>IF(PNL!A339="","",_CALC_PNL!P339)</f>
        <v>55484</v>
      </c>
      <c r="I339" t="str">
        <f>IF(PNL!A339="","",IF(_CALC_PNL!E339=1,H339-G339,""))</f>
        <v/>
      </c>
    </row>
    <row r="340" ht="14.25" customHeight="1">
      <c r="A340" t="s">
        <v>92</v>
      </c>
      <c r="B340" t="s">
        <v>250</v>
      </c>
      <c r="C340" t="s">
        <v>210</v>
      </c>
      <c r="D340" t="s">
        <v>273</v>
      </c>
      <c r="E340" t="s">
        <v>191</v>
      </c>
      <c r="F340" t="s">
        <v>192</v>
      </c>
      <c r="G340">
        <v>55484</v>
      </c>
      <c r="H340">
        <f>IF(PNL!A340="","",_CALC_PNL!P340)</f>
        <v>55484</v>
      </c>
      <c r="I340" t="str">
        <f>IF(PNL!A340="","",IF(_CALC_PNL!E340=1,H340-G340,""))</f>
        <v/>
      </c>
    </row>
    <row r="341" ht="14.25" customHeight="1">
      <c r="A341" t="s">
        <v>94</v>
      </c>
      <c r="B341" t="s">
        <v>250</v>
      </c>
      <c r="C341" t="s">
        <v>210</v>
      </c>
      <c r="D341" t="s">
        <v>273</v>
      </c>
      <c r="E341" t="s">
        <v>191</v>
      </c>
      <c r="F341" t="s">
        <v>192</v>
      </c>
      <c r="G341">
        <v>109846</v>
      </c>
      <c r="H341">
        <f>IF(PNL!A341="","",_CALC_PNL!P341)</f>
        <v>109846</v>
      </c>
      <c r="I341" t="str">
        <f>IF(PNL!A341="","",IF(_CALC_PNL!E341=1,H341-G341,""))</f>
        <v/>
      </c>
    </row>
    <row r="342" ht="14.25" customHeight="1">
      <c r="A342" t="s">
        <v>95</v>
      </c>
      <c r="B342" t="s">
        <v>250</v>
      </c>
      <c r="C342" t="s">
        <v>210</v>
      </c>
      <c r="D342" t="s">
        <v>273</v>
      </c>
      <c r="E342" t="s">
        <v>191</v>
      </c>
      <c r="F342" t="s">
        <v>192</v>
      </c>
      <c r="G342">
        <v>80348</v>
      </c>
      <c r="H342">
        <f>IF(PNL!A342="","",_CALC_PNL!P342)</f>
        <v>80348</v>
      </c>
      <c r="I342" t="str">
        <f>IF(PNL!A342="","",IF(_CALC_PNL!E342=1,H342-G342,""))</f>
        <v/>
      </c>
    </row>
    <row r="343" ht="14.25" customHeight="1">
      <c r="A343" t="s">
        <v>96</v>
      </c>
      <c r="B343" t="s">
        <v>250</v>
      </c>
      <c r="C343" t="s">
        <v>210</v>
      </c>
      <c r="D343" t="s">
        <v>273</v>
      </c>
      <c r="E343" t="s">
        <v>191</v>
      </c>
      <c r="F343" t="s">
        <v>192</v>
      </c>
      <c r="G343">
        <v>120473</v>
      </c>
      <c r="H343">
        <f>IF(PNL!A343="","",_CALC_PNL!P343)</f>
        <v>120473</v>
      </c>
      <c r="I343" t="str">
        <f>IF(PNL!A343="","",IF(_CALC_PNL!E343=1,H343-G343,""))</f>
        <v/>
      </c>
    </row>
    <row r="344" ht="14.25" customHeight="1">
      <c r="A344" t="s">
        <v>97</v>
      </c>
      <c r="B344" t="s">
        <v>250</v>
      </c>
      <c r="C344" t="s">
        <v>210</v>
      </c>
      <c r="D344" t="s">
        <v>273</v>
      </c>
      <c r="E344" t="s">
        <v>191</v>
      </c>
      <c r="F344" t="s">
        <v>192</v>
      </c>
      <c r="G344">
        <v>70615</v>
      </c>
      <c r="H344">
        <f>IF(PNL!A344="","",_CALC_PNL!P344)</f>
        <v>70615</v>
      </c>
      <c r="I344" t="str">
        <f>IF(PNL!A344="","",IF(_CALC_PNL!E344=1,H344-G344,""))</f>
        <v/>
      </c>
    </row>
    <row r="345" ht="14.25" customHeight="1">
      <c r="A345" t="s">
        <v>75</v>
      </c>
      <c r="B345" t="s">
        <v>250</v>
      </c>
      <c r="C345" t="s">
        <v>25</v>
      </c>
      <c r="D345" t="s">
        <v>273</v>
      </c>
      <c r="E345" t="s">
        <v>191</v>
      </c>
      <c r="F345" t="s">
        <v>192</v>
      </c>
      <c r="G345">
        <v>349401</v>
      </c>
      <c r="H345">
        <f>IF(PNL!A345="","",_CALC_PNL!P345)</f>
        <v>349401</v>
      </c>
      <c r="I345" t="str">
        <f>IF(PNL!A345="","",IF(_CALC_PNL!E345=1,H345-G345,""))</f>
        <v/>
      </c>
    </row>
    <row r="346" ht="14.25" customHeight="1">
      <c r="A346" t="s">
        <v>77</v>
      </c>
      <c r="B346" t="s">
        <v>250</v>
      </c>
      <c r="C346" t="s">
        <v>25</v>
      </c>
      <c r="D346" t="s">
        <v>273</v>
      </c>
      <c r="E346" t="s">
        <v>191</v>
      </c>
      <c r="F346" t="s">
        <v>192</v>
      </c>
      <c r="G346">
        <v>204885</v>
      </c>
      <c r="H346">
        <f>IF(PNL!A346="","",_CALC_PNL!P346)</f>
        <v>204885</v>
      </c>
      <c r="I346" t="str">
        <f>IF(PNL!A346="","",IF(_CALC_PNL!E346=1,H346-G346,""))</f>
        <v/>
      </c>
    </row>
    <row r="347" ht="14.25" customHeight="1">
      <c r="A347" t="s">
        <v>79</v>
      </c>
      <c r="B347" t="s">
        <v>250</v>
      </c>
      <c r="C347" t="s">
        <v>25</v>
      </c>
      <c r="D347" t="s">
        <v>273</v>
      </c>
      <c r="E347" t="s">
        <v>191</v>
      </c>
      <c r="F347" t="s">
        <v>192</v>
      </c>
      <c r="G347">
        <v>165994</v>
      </c>
      <c r="H347">
        <f>IF(PNL!A347="","",_CALC_PNL!P347)</f>
        <v>165994</v>
      </c>
      <c r="I347" t="str">
        <f>IF(PNL!A347="","",IF(_CALC_PNL!E347=1,H347-G347,""))</f>
        <v/>
      </c>
    </row>
    <row r="348" ht="14.25" customHeight="1">
      <c r="A348" t="s">
        <v>81</v>
      </c>
      <c r="B348" t="s">
        <v>250</v>
      </c>
      <c r="C348" t="s">
        <v>25</v>
      </c>
      <c r="D348" t="s">
        <v>273</v>
      </c>
      <c r="E348" t="s">
        <v>191</v>
      </c>
      <c r="F348" t="s">
        <v>192</v>
      </c>
      <c r="G348">
        <v>147616</v>
      </c>
      <c r="H348">
        <f>IF(PNL!A348="","",_CALC_PNL!P348)</f>
        <v>147616</v>
      </c>
      <c r="I348" t="str">
        <f>IF(PNL!A348="","",IF(_CALC_PNL!E348=1,H348-G348,""))</f>
        <v/>
      </c>
    </row>
    <row r="349" ht="14.25" customHeight="1">
      <c r="A349" t="s">
        <v>83</v>
      </c>
      <c r="B349" t="s">
        <v>250</v>
      </c>
      <c r="C349" t="s">
        <v>25</v>
      </c>
      <c r="D349" t="s">
        <v>273</v>
      </c>
      <c r="E349" t="s">
        <v>191</v>
      </c>
      <c r="F349" t="s">
        <v>192</v>
      </c>
      <c r="G349">
        <v>323791</v>
      </c>
      <c r="H349">
        <f>IF(PNL!A349="","",_CALC_PNL!P349)</f>
        <v>323791</v>
      </c>
      <c r="I349" t="str">
        <f>IF(PNL!A349="","",IF(_CALC_PNL!E349=1,H349-G349,""))</f>
        <v/>
      </c>
    </row>
    <row r="350" ht="14.25" customHeight="1">
      <c r="A350" t="s">
        <v>84</v>
      </c>
      <c r="B350" t="s">
        <v>250</v>
      </c>
      <c r="C350" t="s">
        <v>25</v>
      </c>
      <c r="D350" t="s">
        <v>273</v>
      </c>
      <c r="E350" t="s">
        <v>191</v>
      </c>
      <c r="F350" t="s">
        <v>192</v>
      </c>
      <c r="G350">
        <v>126743</v>
      </c>
      <c r="H350">
        <f>IF(PNL!A350="","",_CALC_PNL!P350)</f>
        <v>126743</v>
      </c>
      <c r="I350" t="str">
        <f>IF(PNL!A350="","",IF(_CALC_PNL!E350=1,H350-G350,""))</f>
        <v/>
      </c>
    </row>
    <row r="351" ht="14.25" customHeight="1">
      <c r="A351" t="s">
        <v>86</v>
      </c>
      <c r="B351" t="s">
        <v>250</v>
      </c>
      <c r="C351" t="s">
        <v>25</v>
      </c>
      <c r="D351" t="s">
        <v>273</v>
      </c>
      <c r="E351" t="s">
        <v>191</v>
      </c>
      <c r="F351" t="s">
        <v>192</v>
      </c>
      <c r="G351">
        <v>117382</v>
      </c>
      <c r="H351">
        <f>IF(PNL!A351="","",_CALC_PNL!P351)</f>
        <v>117382</v>
      </c>
      <c r="I351" t="str">
        <f>IF(PNL!A351="","",IF(_CALC_PNL!E351=1,H351-G351,""))</f>
        <v/>
      </c>
    </row>
    <row r="352" ht="14.25" customHeight="1">
      <c r="A352" t="s">
        <v>88</v>
      </c>
      <c r="B352" t="s">
        <v>250</v>
      </c>
      <c r="C352" t="s">
        <v>25</v>
      </c>
      <c r="D352" t="s">
        <v>273</v>
      </c>
      <c r="E352" t="s">
        <v>191</v>
      </c>
      <c r="F352" t="s">
        <v>192</v>
      </c>
      <c r="G352">
        <v>81868</v>
      </c>
      <c r="H352">
        <f>IF(PNL!A352="","",_CALC_PNL!P352)</f>
        <v>81868</v>
      </c>
      <c r="I352" t="str">
        <f>IF(PNL!A352="","",IF(_CALC_PNL!E352=1,H352-G352,""))</f>
        <v/>
      </c>
    </row>
    <row r="353" ht="14.25" customHeight="1">
      <c r="A353" t="s">
        <v>90</v>
      </c>
      <c r="B353" t="s">
        <v>250</v>
      </c>
      <c r="C353" t="s">
        <v>25</v>
      </c>
      <c r="D353" t="s">
        <v>273</v>
      </c>
      <c r="E353" t="s">
        <v>191</v>
      </c>
      <c r="F353" t="s">
        <v>192</v>
      </c>
      <c r="G353">
        <v>58132</v>
      </c>
      <c r="H353">
        <f>IF(PNL!A353="","",_CALC_PNL!P353)</f>
        <v>58132</v>
      </c>
      <c r="I353" t="str">
        <f>IF(PNL!A353="","",IF(_CALC_PNL!E353=1,H353-G353,""))</f>
        <v/>
      </c>
    </row>
    <row r="354" ht="14.25" customHeight="1">
      <c r="A354" t="s">
        <v>92</v>
      </c>
      <c r="B354" t="s">
        <v>250</v>
      </c>
      <c r="C354" t="s">
        <v>25</v>
      </c>
      <c r="D354" t="s">
        <v>273</v>
      </c>
      <c r="E354" t="s">
        <v>191</v>
      </c>
      <c r="F354" t="s">
        <v>192</v>
      </c>
      <c r="G354">
        <v>58132</v>
      </c>
      <c r="H354">
        <f>IF(PNL!A354="","",_CALC_PNL!P354)</f>
        <v>58132</v>
      </c>
      <c r="I354" t="str">
        <f>IF(PNL!A354="","",IF(_CALC_PNL!E354=1,H354-G354,""))</f>
        <v/>
      </c>
    </row>
    <row r="355" ht="14.25" customHeight="1">
      <c r="A355" t="s">
        <v>94</v>
      </c>
      <c r="B355" t="s">
        <v>250</v>
      </c>
      <c r="C355" t="s">
        <v>25</v>
      </c>
      <c r="D355" t="s">
        <v>273</v>
      </c>
      <c r="E355" t="s">
        <v>191</v>
      </c>
      <c r="F355" t="s">
        <v>192</v>
      </c>
      <c r="G355">
        <v>115089</v>
      </c>
      <c r="H355">
        <f>IF(PNL!A355="","",_CALC_PNL!P355)</f>
        <v>115089</v>
      </c>
      <c r="I355" t="str">
        <f>IF(PNL!A355="","",IF(_CALC_PNL!E355=1,H355-G355,""))</f>
        <v/>
      </c>
    </row>
    <row r="356" ht="14.25" customHeight="1">
      <c r="A356" t="s">
        <v>95</v>
      </c>
      <c r="B356" t="s">
        <v>250</v>
      </c>
      <c r="C356" t="s">
        <v>25</v>
      </c>
      <c r="D356" t="s">
        <v>273</v>
      </c>
      <c r="E356" t="s">
        <v>191</v>
      </c>
      <c r="F356" t="s">
        <v>192</v>
      </c>
      <c r="G356">
        <v>84183</v>
      </c>
      <c r="H356">
        <f>IF(PNL!A356="","",_CALC_PNL!P356)</f>
        <v>84183</v>
      </c>
      <c r="I356" t="str">
        <f>IF(PNL!A356="","",IF(_CALC_PNL!E356=1,H356-G356,""))</f>
        <v/>
      </c>
    </row>
    <row r="357" ht="14.25" customHeight="1">
      <c r="A357" t="s">
        <v>96</v>
      </c>
      <c r="B357" t="s">
        <v>250</v>
      </c>
      <c r="C357" t="s">
        <v>25</v>
      </c>
      <c r="D357" t="s">
        <v>273</v>
      </c>
      <c r="E357" t="s">
        <v>191</v>
      </c>
      <c r="F357" t="s">
        <v>192</v>
      </c>
      <c r="G357">
        <v>126224</v>
      </c>
      <c r="H357">
        <f>IF(PNL!A357="","",_CALC_PNL!P357)</f>
        <v>126224</v>
      </c>
      <c r="I357" t="str">
        <f>IF(PNL!A357="","",IF(_CALC_PNL!E357=1,H357-G357,""))</f>
        <v/>
      </c>
    </row>
    <row r="358" ht="14.25" customHeight="1">
      <c r="A358" t="s">
        <v>97</v>
      </c>
      <c r="B358" t="s">
        <v>250</v>
      </c>
      <c r="C358" t="s">
        <v>25</v>
      </c>
      <c r="D358" t="s">
        <v>273</v>
      </c>
      <c r="E358" t="s">
        <v>191</v>
      </c>
      <c r="F358" t="s">
        <v>192</v>
      </c>
      <c r="G358">
        <v>73986</v>
      </c>
      <c r="H358">
        <f>IF(PNL!A358="","",_CALC_PNL!P358)</f>
        <v>73986</v>
      </c>
      <c r="I358" t="str">
        <f>IF(PNL!A358="","",IF(_CALC_PNL!E358=1,H358-G358,""))</f>
        <v/>
      </c>
    </row>
    <row r="359" ht="14.25" customHeight="1">
      <c r="A359" t="s">
        <v>251</v>
      </c>
      <c r="B359" t="s">
        <v>252</v>
      </c>
      <c r="C359" t="s">
        <v>211</v>
      </c>
      <c r="D359" t="s">
        <v>273</v>
      </c>
      <c r="E359" t="s">
        <v>191</v>
      </c>
      <c r="F359" t="s">
        <v>192</v>
      </c>
      <c r="G359">
        <v>1134071</v>
      </c>
      <c r="H359">
        <f>IF(PNL!A359="","",_CALC_PNL!P359)</f>
        <v>1134071</v>
      </c>
      <c r="I359" t="str">
        <f>IF(PNL!A359="","",IF(_CALC_PNL!E359=1,H359-G359,""))</f>
        <v/>
      </c>
    </row>
    <row r="360" ht="14.25" customHeight="1">
      <c r="A360" t="s">
        <v>251</v>
      </c>
      <c r="B360" t="s">
        <v>252</v>
      </c>
      <c r="C360" t="s">
        <v>210</v>
      </c>
      <c r="D360" t="s">
        <v>273</v>
      </c>
      <c r="E360" t="s">
        <v>191</v>
      </c>
      <c r="F360" t="s">
        <v>192</v>
      </c>
      <c r="G360">
        <v>1186037</v>
      </c>
      <c r="H360">
        <f>IF(PNL!A360="","",_CALC_PNL!P360)</f>
        <v>1186037</v>
      </c>
      <c r="I360" t="str">
        <f>IF(PNL!A360="","",IF(_CALC_PNL!E360=1,H360-G360,""))</f>
        <v/>
      </c>
    </row>
    <row r="361" ht="14.25" customHeight="1">
      <c r="A361" t="s">
        <v>251</v>
      </c>
      <c r="B361" t="s">
        <v>252</v>
      </c>
      <c r="C361" t="s">
        <v>25</v>
      </c>
      <c r="D361" t="s">
        <v>273</v>
      </c>
      <c r="E361" t="s">
        <v>191</v>
      </c>
      <c r="F361" t="s">
        <v>192</v>
      </c>
      <c r="G361">
        <v>1242649</v>
      </c>
      <c r="H361">
        <f>IF(PNL!A361="","",_CALC_PNL!P361)</f>
        <v>1242649</v>
      </c>
      <c r="I361" t="str">
        <f>IF(PNL!A361="","",IF(_CALC_PNL!E361=1,H361-G361,""))</f>
        <v/>
      </c>
    </row>
    <row r="362" ht="14.25" customHeight="1">
      <c r="A362" t="s">
        <v>75</v>
      </c>
      <c r="B362" t="s">
        <v>253</v>
      </c>
      <c r="C362" t="s">
        <v>211</v>
      </c>
      <c r="D362" t="s">
        <v>273</v>
      </c>
      <c r="E362" t="s">
        <v>191</v>
      </c>
      <c r="F362" t="s">
        <v>192</v>
      </c>
      <c r="G362">
        <v>496023</v>
      </c>
      <c r="H362">
        <f>IF(PNL!A362="","",_CALC_PNL!P362)</f>
        <v>496023</v>
      </c>
      <c r="I362" t="str">
        <f>IF(PNL!A362="","",IF(_CALC_PNL!E362=1,H362-G362,""))</f>
        <v/>
      </c>
    </row>
    <row r="363" ht="14.25" customHeight="1">
      <c r="A363" t="s">
        <v>77</v>
      </c>
      <c r="B363" t="s">
        <v>253</v>
      </c>
      <c r="C363" t="s">
        <v>211</v>
      </c>
      <c r="D363" t="s">
        <v>273</v>
      </c>
      <c r="E363" t="s">
        <v>191</v>
      </c>
      <c r="F363" t="s">
        <v>192</v>
      </c>
      <c r="G363">
        <v>290862</v>
      </c>
      <c r="H363">
        <f>IF(PNL!A363="","",_CALC_PNL!P363)</f>
        <v>290862</v>
      </c>
      <c r="I363" t="str">
        <f>IF(PNL!A363="","",IF(_CALC_PNL!E363=1,H363-G363,""))</f>
        <v/>
      </c>
    </row>
    <row r="364" ht="14.25" customHeight="1">
      <c r="A364" t="s">
        <v>79</v>
      </c>
      <c r="B364" t="s">
        <v>253</v>
      </c>
      <c r="C364" t="s">
        <v>211</v>
      </c>
      <c r="D364" t="s">
        <v>273</v>
      </c>
      <c r="E364" t="s">
        <v>191</v>
      </c>
      <c r="F364" t="s">
        <v>192</v>
      </c>
      <c r="G364">
        <v>235652</v>
      </c>
      <c r="H364">
        <f>IF(PNL!A364="","",_CALC_PNL!P364)</f>
        <v>235652</v>
      </c>
      <c r="I364" t="str">
        <f>IF(PNL!A364="","",IF(_CALC_PNL!E364=1,H364-G364,""))</f>
        <v/>
      </c>
    </row>
    <row r="365" ht="14.25" customHeight="1">
      <c r="A365" t="s">
        <v>81</v>
      </c>
      <c r="B365" t="s">
        <v>253</v>
      </c>
      <c r="C365" t="s">
        <v>211</v>
      </c>
      <c r="D365" t="s">
        <v>273</v>
      </c>
      <c r="E365" t="s">
        <v>191</v>
      </c>
      <c r="F365" t="s">
        <v>192</v>
      </c>
      <c r="G365">
        <v>209562</v>
      </c>
      <c r="H365">
        <f>IF(PNL!A365="","",_CALC_PNL!P365)</f>
        <v>209562</v>
      </c>
      <c r="I365" t="str">
        <f>IF(PNL!A365="","",IF(_CALC_PNL!E365=1,H365-G365,""))</f>
        <v/>
      </c>
    </row>
    <row r="366" ht="14.25" customHeight="1">
      <c r="A366" t="s">
        <v>83</v>
      </c>
      <c r="B366" t="s">
        <v>253</v>
      </c>
      <c r="C366" t="s">
        <v>211</v>
      </c>
      <c r="D366" t="s">
        <v>273</v>
      </c>
      <c r="E366" t="s">
        <v>191</v>
      </c>
      <c r="F366" t="s">
        <v>192</v>
      </c>
      <c r="G366">
        <v>459665</v>
      </c>
      <c r="H366">
        <f>IF(PNL!A366="","",_CALC_PNL!P366)</f>
        <v>459665</v>
      </c>
      <c r="I366" t="str">
        <f>IF(PNL!A366="","",IF(_CALC_PNL!E366=1,H366-G366,""))</f>
        <v/>
      </c>
    </row>
    <row r="367" ht="14.25" customHeight="1">
      <c r="A367" t="s">
        <v>84</v>
      </c>
      <c r="B367" t="s">
        <v>253</v>
      </c>
      <c r="C367" t="s">
        <v>211</v>
      </c>
      <c r="D367" t="s">
        <v>273</v>
      </c>
      <c r="E367" t="s">
        <v>191</v>
      </c>
      <c r="F367" t="s">
        <v>192</v>
      </c>
      <c r="G367">
        <v>179929</v>
      </c>
      <c r="H367">
        <f>IF(PNL!A367="","",_CALC_PNL!P367)</f>
        <v>179929</v>
      </c>
      <c r="I367" t="str">
        <f>IF(PNL!A367="","",IF(_CALC_PNL!E367=1,H367-G367,""))</f>
        <v/>
      </c>
    </row>
    <row r="368" ht="14.25" customHeight="1">
      <c r="A368" t="s">
        <v>86</v>
      </c>
      <c r="B368" t="s">
        <v>253</v>
      </c>
      <c r="C368" t="s">
        <v>211</v>
      </c>
      <c r="D368" t="s">
        <v>273</v>
      </c>
      <c r="E368" t="s">
        <v>191</v>
      </c>
      <c r="F368" t="s">
        <v>192</v>
      </c>
      <c r="G368">
        <v>166639</v>
      </c>
      <c r="H368">
        <f>IF(PNL!A368="","",_CALC_PNL!P368)</f>
        <v>166639</v>
      </c>
      <c r="I368" t="str">
        <f>IF(PNL!A368="","",IF(_CALC_PNL!E368=1,H368-G368,""))</f>
        <v/>
      </c>
    </row>
    <row r="369" ht="14.25" customHeight="1">
      <c r="A369" t="s">
        <v>88</v>
      </c>
      <c r="B369" t="s">
        <v>253</v>
      </c>
      <c r="C369" t="s">
        <v>211</v>
      </c>
      <c r="D369" t="s">
        <v>273</v>
      </c>
      <c r="E369" t="s">
        <v>191</v>
      </c>
      <c r="F369" t="s">
        <v>192</v>
      </c>
      <c r="G369">
        <v>116223</v>
      </c>
      <c r="H369">
        <f>IF(PNL!A369="","",_CALC_PNL!P369)</f>
        <v>116223</v>
      </c>
      <c r="I369" t="str">
        <f>IF(PNL!A369="","",IF(_CALC_PNL!E369=1,H369-G369,""))</f>
        <v/>
      </c>
    </row>
    <row r="370" ht="14.25" customHeight="1">
      <c r="A370" t="s">
        <v>90</v>
      </c>
      <c r="B370" t="s">
        <v>253</v>
      </c>
      <c r="C370" t="s">
        <v>211</v>
      </c>
      <c r="D370" t="s">
        <v>273</v>
      </c>
      <c r="E370" t="s">
        <v>191</v>
      </c>
      <c r="F370" t="s">
        <v>192</v>
      </c>
      <c r="G370">
        <v>82526</v>
      </c>
      <c r="H370">
        <f>IF(PNL!A370="","",_CALC_PNL!P370)</f>
        <v>82526</v>
      </c>
      <c r="I370" t="str">
        <f>IF(PNL!A370="","",IF(_CALC_PNL!E370=1,H370-G370,""))</f>
        <v/>
      </c>
    </row>
    <row r="371" ht="14.25" customHeight="1">
      <c r="A371" t="s">
        <v>92</v>
      </c>
      <c r="B371" t="s">
        <v>253</v>
      </c>
      <c r="C371" t="s">
        <v>211</v>
      </c>
      <c r="D371" t="s">
        <v>273</v>
      </c>
      <c r="E371" t="s">
        <v>191</v>
      </c>
      <c r="F371" t="s">
        <v>192</v>
      </c>
      <c r="G371">
        <v>82526</v>
      </c>
      <c r="H371">
        <f>IF(PNL!A371="","",_CALC_PNL!P371)</f>
        <v>82526</v>
      </c>
      <c r="I371" t="str">
        <f>IF(PNL!A371="","",IF(_CALC_PNL!E371=1,H371-G371,""))</f>
        <v/>
      </c>
    </row>
    <row r="372" ht="14.25" customHeight="1">
      <c r="A372" t="s">
        <v>94</v>
      </c>
      <c r="B372" t="s">
        <v>253</v>
      </c>
      <c r="C372" t="s">
        <v>211</v>
      </c>
      <c r="D372" t="s">
        <v>273</v>
      </c>
      <c r="E372" t="s">
        <v>191</v>
      </c>
      <c r="F372" t="s">
        <v>192</v>
      </c>
      <c r="G372">
        <v>163385</v>
      </c>
      <c r="H372">
        <f>IF(PNL!A372="","",_CALC_PNL!P372)</f>
        <v>163385</v>
      </c>
      <c r="I372" t="str">
        <f>IF(PNL!A372="","",IF(_CALC_PNL!E372=1,H372-G372,""))</f>
        <v/>
      </c>
    </row>
    <row r="373" ht="14.25" customHeight="1">
      <c r="A373" t="s">
        <v>95</v>
      </c>
      <c r="B373" t="s">
        <v>253</v>
      </c>
      <c r="C373" t="s">
        <v>211</v>
      </c>
      <c r="D373" t="s">
        <v>273</v>
      </c>
      <c r="E373" t="s">
        <v>191</v>
      </c>
      <c r="F373" t="s">
        <v>192</v>
      </c>
      <c r="G373">
        <v>119509</v>
      </c>
      <c r="H373">
        <f>IF(PNL!A373="","",_CALC_PNL!P373)</f>
        <v>119509</v>
      </c>
      <c r="I373" t="str">
        <f>IF(PNL!A373="","",IF(_CALC_PNL!E373=1,H373-G373,""))</f>
        <v/>
      </c>
    </row>
    <row r="374" ht="14.25" customHeight="1">
      <c r="A374" t="s">
        <v>96</v>
      </c>
      <c r="B374" t="s">
        <v>253</v>
      </c>
      <c r="C374" t="s">
        <v>211</v>
      </c>
      <c r="D374" t="s">
        <v>273</v>
      </c>
      <c r="E374" t="s">
        <v>191</v>
      </c>
      <c r="F374" t="s">
        <v>192</v>
      </c>
      <c r="G374">
        <v>179192</v>
      </c>
      <c r="H374">
        <f>IF(PNL!A374="","",_CALC_PNL!P374)</f>
        <v>179192</v>
      </c>
      <c r="I374" t="str">
        <f>IF(PNL!A374="","",IF(_CALC_PNL!E374=1,H374-G374,""))</f>
        <v/>
      </c>
    </row>
    <row r="375" ht="14.25" customHeight="1">
      <c r="A375" t="s">
        <v>97</v>
      </c>
      <c r="B375" t="s">
        <v>253</v>
      </c>
      <c r="C375" t="s">
        <v>211</v>
      </c>
      <c r="D375" t="s">
        <v>273</v>
      </c>
      <c r="E375" t="s">
        <v>191</v>
      </c>
      <c r="F375" t="s">
        <v>192</v>
      </c>
      <c r="G375">
        <v>105033</v>
      </c>
      <c r="H375">
        <f>IF(PNL!A375="","",_CALC_PNL!P375)</f>
        <v>105033</v>
      </c>
      <c r="I375" t="str">
        <f>IF(PNL!A375="","",IF(_CALC_PNL!E375=1,H375-G375,""))</f>
        <v/>
      </c>
    </row>
    <row r="376" ht="14.25" customHeight="1">
      <c r="A376" t="s">
        <v>75</v>
      </c>
      <c r="B376" t="s">
        <v>253</v>
      </c>
      <c r="C376" t="s">
        <v>210</v>
      </c>
      <c r="D376" t="s">
        <v>273</v>
      </c>
      <c r="E376" t="s">
        <v>191</v>
      </c>
      <c r="F376" t="s">
        <v>192</v>
      </c>
      <c r="G376">
        <v>518752</v>
      </c>
      <c r="H376">
        <f>IF(PNL!A376="","",_CALC_PNL!P376)</f>
        <v>518752</v>
      </c>
      <c r="I376" t="str">
        <f>IF(PNL!A376="","",IF(_CALC_PNL!E376=1,H376-G376,""))</f>
        <v/>
      </c>
    </row>
    <row r="377" ht="14.25" customHeight="1">
      <c r="A377" t="s">
        <v>77</v>
      </c>
      <c r="B377" t="s">
        <v>253</v>
      </c>
      <c r="C377" t="s">
        <v>210</v>
      </c>
      <c r="D377" t="s">
        <v>273</v>
      </c>
      <c r="E377" t="s">
        <v>191</v>
      </c>
      <c r="F377" t="s">
        <v>192</v>
      </c>
      <c r="G377">
        <v>304190</v>
      </c>
      <c r="H377">
        <f>IF(PNL!A377="","",_CALC_PNL!P377)</f>
        <v>304190</v>
      </c>
      <c r="I377" t="str">
        <f>IF(PNL!A377="","",IF(_CALC_PNL!E377=1,H377-G377,""))</f>
        <v/>
      </c>
    </row>
    <row r="378" ht="14.25" customHeight="1">
      <c r="A378" t="s">
        <v>79</v>
      </c>
      <c r="B378" t="s">
        <v>253</v>
      </c>
      <c r="C378" t="s">
        <v>210</v>
      </c>
      <c r="D378" t="s">
        <v>273</v>
      </c>
      <c r="E378" t="s">
        <v>191</v>
      </c>
      <c r="F378" t="s">
        <v>192</v>
      </c>
      <c r="G378">
        <v>246450</v>
      </c>
      <c r="H378">
        <f>IF(PNL!A378="","",_CALC_PNL!P378)</f>
        <v>246450</v>
      </c>
      <c r="I378" t="str">
        <f>IF(PNL!A378="","",IF(_CALC_PNL!E378=1,H378-G378,""))</f>
        <v/>
      </c>
    </row>
    <row r="379" ht="14.25" customHeight="1">
      <c r="A379" t="s">
        <v>81</v>
      </c>
      <c r="B379" t="s">
        <v>253</v>
      </c>
      <c r="C379" t="s">
        <v>210</v>
      </c>
      <c r="D379" t="s">
        <v>273</v>
      </c>
      <c r="E379" t="s">
        <v>191</v>
      </c>
      <c r="F379" t="s">
        <v>192</v>
      </c>
      <c r="G379">
        <v>219164</v>
      </c>
      <c r="H379">
        <f>IF(PNL!A379="","",_CALC_PNL!P379)</f>
        <v>219164</v>
      </c>
      <c r="I379" t="str">
        <f>IF(PNL!A379="","",IF(_CALC_PNL!E379=1,H379-G379,""))</f>
        <v/>
      </c>
    </row>
    <row r="380" ht="14.25" customHeight="1">
      <c r="A380" t="s">
        <v>83</v>
      </c>
      <c r="B380" t="s">
        <v>253</v>
      </c>
      <c r="C380" t="s">
        <v>210</v>
      </c>
      <c r="D380" t="s">
        <v>273</v>
      </c>
      <c r="E380" t="s">
        <v>191</v>
      </c>
      <c r="F380" t="s">
        <v>192</v>
      </c>
      <c r="G380">
        <v>480728</v>
      </c>
      <c r="H380">
        <f>IF(PNL!A380="","",_CALC_PNL!P380)</f>
        <v>480728</v>
      </c>
      <c r="I380" t="str">
        <f>IF(PNL!A380="","",IF(_CALC_PNL!E380=1,H380-G380,""))</f>
        <v/>
      </c>
    </row>
    <row r="381" ht="14.25" customHeight="1">
      <c r="A381" t="s">
        <v>84</v>
      </c>
      <c r="B381" t="s">
        <v>253</v>
      </c>
      <c r="C381" t="s">
        <v>210</v>
      </c>
      <c r="D381" t="s">
        <v>273</v>
      </c>
      <c r="E381" t="s">
        <v>191</v>
      </c>
      <c r="F381" t="s">
        <v>192</v>
      </c>
      <c r="G381">
        <v>188174</v>
      </c>
      <c r="H381">
        <f>IF(PNL!A381="","",_CALC_PNL!P381)</f>
        <v>188174</v>
      </c>
      <c r="I381" t="str">
        <f>IF(PNL!A381="","",IF(_CALC_PNL!E381=1,H381-G381,""))</f>
        <v/>
      </c>
    </row>
    <row r="382" ht="14.25" customHeight="1">
      <c r="A382" t="s">
        <v>86</v>
      </c>
      <c r="B382" t="s">
        <v>253</v>
      </c>
      <c r="C382" t="s">
        <v>210</v>
      </c>
      <c r="D382" t="s">
        <v>273</v>
      </c>
      <c r="E382" t="s">
        <v>191</v>
      </c>
      <c r="F382" t="s">
        <v>192</v>
      </c>
      <c r="G382">
        <v>174275</v>
      </c>
      <c r="H382">
        <f>IF(PNL!A382="","",_CALC_PNL!P382)</f>
        <v>174275</v>
      </c>
      <c r="I382" t="str">
        <f>IF(PNL!A382="","",IF(_CALC_PNL!E382=1,H382-G382,""))</f>
        <v/>
      </c>
    </row>
    <row r="383" ht="14.25" customHeight="1">
      <c r="A383" t="s">
        <v>88</v>
      </c>
      <c r="B383" t="s">
        <v>253</v>
      </c>
      <c r="C383" t="s">
        <v>210</v>
      </c>
      <c r="D383" t="s">
        <v>273</v>
      </c>
      <c r="E383" t="s">
        <v>191</v>
      </c>
      <c r="F383" t="s">
        <v>192</v>
      </c>
      <c r="G383">
        <v>121548</v>
      </c>
      <c r="H383">
        <f>IF(PNL!A383="","",_CALC_PNL!P383)</f>
        <v>121548</v>
      </c>
      <c r="I383" t="str">
        <f>IF(PNL!A383="","",IF(_CALC_PNL!E383=1,H383-G383,""))</f>
        <v/>
      </c>
    </row>
    <row r="384" ht="14.25" customHeight="1">
      <c r="A384" t="s">
        <v>90</v>
      </c>
      <c r="B384" t="s">
        <v>253</v>
      </c>
      <c r="C384" t="s">
        <v>210</v>
      </c>
      <c r="D384" t="s">
        <v>273</v>
      </c>
      <c r="E384" t="s">
        <v>191</v>
      </c>
      <c r="F384" t="s">
        <v>192</v>
      </c>
      <c r="G384">
        <v>86308</v>
      </c>
      <c r="H384">
        <f>IF(PNL!A384="","",_CALC_PNL!P384)</f>
        <v>86308</v>
      </c>
      <c r="I384" t="str">
        <f>IF(PNL!A384="","",IF(_CALC_PNL!E384=1,H384-G384,""))</f>
        <v/>
      </c>
    </row>
    <row r="385" ht="14.25" customHeight="1">
      <c r="A385" t="s">
        <v>92</v>
      </c>
      <c r="B385" t="s">
        <v>253</v>
      </c>
      <c r="C385" t="s">
        <v>210</v>
      </c>
      <c r="D385" t="s">
        <v>273</v>
      </c>
      <c r="E385" t="s">
        <v>191</v>
      </c>
      <c r="F385" t="s">
        <v>192</v>
      </c>
      <c r="G385">
        <v>86308</v>
      </c>
      <c r="H385">
        <f>IF(PNL!A385="","",_CALC_PNL!P385)</f>
        <v>86308</v>
      </c>
      <c r="I385" t="str">
        <f>IF(PNL!A385="","",IF(_CALC_PNL!E385=1,H385-G385,""))</f>
        <v/>
      </c>
    </row>
    <row r="386" ht="14.25" customHeight="1">
      <c r="A386" t="s">
        <v>94</v>
      </c>
      <c r="B386" t="s">
        <v>253</v>
      </c>
      <c r="C386" t="s">
        <v>210</v>
      </c>
      <c r="D386" t="s">
        <v>273</v>
      </c>
      <c r="E386" t="s">
        <v>191</v>
      </c>
      <c r="F386" t="s">
        <v>192</v>
      </c>
      <c r="G386">
        <v>170872</v>
      </c>
      <c r="H386">
        <f>IF(PNL!A386="","",_CALC_PNL!P386)</f>
        <v>170872</v>
      </c>
      <c r="I386" t="str">
        <f>IF(PNL!A386="","",IF(_CALC_PNL!E386=1,H386-G386,""))</f>
        <v/>
      </c>
    </row>
    <row r="387" ht="14.25" customHeight="1">
      <c r="A387" t="s">
        <v>95</v>
      </c>
      <c r="B387" t="s">
        <v>253</v>
      </c>
      <c r="C387" t="s">
        <v>210</v>
      </c>
      <c r="D387" t="s">
        <v>273</v>
      </c>
      <c r="E387" t="s">
        <v>191</v>
      </c>
      <c r="F387" t="s">
        <v>192</v>
      </c>
      <c r="G387">
        <v>124985</v>
      </c>
      <c r="H387">
        <f>IF(PNL!A387="","",_CALC_PNL!P387)</f>
        <v>124985</v>
      </c>
      <c r="I387" t="str">
        <f>IF(PNL!A387="","",IF(_CALC_PNL!E387=1,H387-G387,""))</f>
        <v/>
      </c>
    </row>
    <row r="388" ht="14.25" customHeight="1">
      <c r="A388" t="s">
        <v>96</v>
      </c>
      <c r="B388" t="s">
        <v>253</v>
      </c>
      <c r="C388" t="s">
        <v>210</v>
      </c>
      <c r="D388" t="s">
        <v>273</v>
      </c>
      <c r="E388" t="s">
        <v>191</v>
      </c>
      <c r="F388" t="s">
        <v>192</v>
      </c>
      <c r="G388">
        <v>187402</v>
      </c>
      <c r="H388">
        <f>IF(PNL!A388="","",_CALC_PNL!P388)</f>
        <v>187402</v>
      </c>
      <c r="I388" t="str">
        <f>IF(PNL!A388="","",IF(_CALC_PNL!E388=1,H388-G388,""))</f>
        <v/>
      </c>
    </row>
    <row r="389" ht="14.25" customHeight="1">
      <c r="A389" t="s">
        <v>97</v>
      </c>
      <c r="B389" t="s">
        <v>253</v>
      </c>
      <c r="C389" t="s">
        <v>210</v>
      </c>
      <c r="D389" t="s">
        <v>273</v>
      </c>
      <c r="E389" t="s">
        <v>191</v>
      </c>
      <c r="F389" t="s">
        <v>192</v>
      </c>
      <c r="G389">
        <v>109846</v>
      </c>
      <c r="H389">
        <f>IF(PNL!A389="","",_CALC_PNL!P389)</f>
        <v>109846</v>
      </c>
      <c r="I389" t="str">
        <f>IF(PNL!A389="","",IF(_CALC_PNL!E389=1,H389-G389,""))</f>
        <v/>
      </c>
    </row>
    <row r="390" ht="14.25" customHeight="1">
      <c r="A390" t="s">
        <v>75</v>
      </c>
      <c r="B390" t="s">
        <v>253</v>
      </c>
      <c r="C390" t="s">
        <v>25</v>
      </c>
      <c r="D390" t="s">
        <v>273</v>
      </c>
      <c r="E390" t="s">
        <v>191</v>
      </c>
      <c r="F390" t="s">
        <v>192</v>
      </c>
      <c r="G390">
        <v>543513</v>
      </c>
      <c r="H390">
        <f>IF(PNL!A390="","",_CALC_PNL!P390)</f>
        <v>543513</v>
      </c>
      <c r="I390" t="str">
        <f>IF(PNL!A390="","",IF(_CALC_PNL!E390=1,H390-G390,""))</f>
        <v/>
      </c>
    </row>
    <row r="391" ht="14.25" customHeight="1">
      <c r="A391" t="s">
        <v>77</v>
      </c>
      <c r="B391" t="s">
        <v>253</v>
      </c>
      <c r="C391" t="s">
        <v>25</v>
      </c>
      <c r="D391" t="s">
        <v>273</v>
      </c>
      <c r="E391" t="s">
        <v>191</v>
      </c>
      <c r="F391" t="s">
        <v>192</v>
      </c>
      <c r="G391">
        <v>318709</v>
      </c>
      <c r="H391">
        <f>IF(PNL!A391="","",_CALC_PNL!P391)</f>
        <v>318709</v>
      </c>
      <c r="I391" t="str">
        <f>IF(PNL!A391="","",IF(_CALC_PNL!E391=1,H391-G391,""))</f>
        <v/>
      </c>
    </row>
    <row r="392" ht="14.25" customHeight="1">
      <c r="A392" t="s">
        <v>79</v>
      </c>
      <c r="B392" t="s">
        <v>253</v>
      </c>
      <c r="C392" t="s">
        <v>25</v>
      </c>
      <c r="D392" t="s">
        <v>273</v>
      </c>
      <c r="E392" t="s">
        <v>191</v>
      </c>
      <c r="F392" t="s">
        <v>192</v>
      </c>
      <c r="G392">
        <v>258214</v>
      </c>
      <c r="H392">
        <f>IF(PNL!A392="","",_CALC_PNL!P392)</f>
        <v>258214</v>
      </c>
      <c r="I392" t="str">
        <f>IF(PNL!A392="","",IF(_CALC_PNL!E392=1,H392-G392,""))</f>
        <v/>
      </c>
    </row>
    <row r="393" ht="14.25" customHeight="1">
      <c r="A393" t="s">
        <v>81</v>
      </c>
      <c r="B393" t="s">
        <v>253</v>
      </c>
      <c r="C393" t="s">
        <v>25</v>
      </c>
      <c r="D393" t="s">
        <v>273</v>
      </c>
      <c r="E393" t="s">
        <v>191</v>
      </c>
      <c r="F393" t="s">
        <v>192</v>
      </c>
      <c r="G393">
        <v>229626</v>
      </c>
      <c r="H393">
        <f>IF(PNL!A393="","",_CALC_PNL!P393)</f>
        <v>229626</v>
      </c>
      <c r="I393" t="str">
        <f>IF(PNL!A393="","",IF(_CALC_PNL!E393=1,H393-G393,""))</f>
        <v/>
      </c>
    </row>
    <row r="394" ht="14.25" customHeight="1">
      <c r="A394" t="s">
        <v>83</v>
      </c>
      <c r="B394" t="s">
        <v>253</v>
      </c>
      <c r="C394" t="s">
        <v>25</v>
      </c>
      <c r="D394" t="s">
        <v>273</v>
      </c>
      <c r="E394" t="s">
        <v>191</v>
      </c>
      <c r="F394" t="s">
        <v>192</v>
      </c>
      <c r="G394">
        <v>503674</v>
      </c>
      <c r="H394">
        <f>IF(PNL!A394="","",_CALC_PNL!P394)</f>
        <v>503674</v>
      </c>
      <c r="I394" t="str">
        <f>IF(PNL!A394="","",IF(_CALC_PNL!E394=1,H394-G394,""))</f>
        <v/>
      </c>
    </row>
    <row r="395" ht="14.25" customHeight="1">
      <c r="A395" t="s">
        <v>84</v>
      </c>
      <c r="B395" t="s">
        <v>253</v>
      </c>
      <c r="C395" t="s">
        <v>25</v>
      </c>
      <c r="D395" t="s">
        <v>273</v>
      </c>
      <c r="E395" t="s">
        <v>191</v>
      </c>
      <c r="F395" t="s">
        <v>192</v>
      </c>
      <c r="G395">
        <v>197156</v>
      </c>
      <c r="H395">
        <f>IF(PNL!A395="","",_CALC_PNL!P395)</f>
        <v>197156</v>
      </c>
      <c r="I395" t="str">
        <f>IF(PNL!A395="","",IF(_CALC_PNL!E395=1,H395-G395,""))</f>
        <v/>
      </c>
    </row>
    <row r="396" ht="14.25" customHeight="1">
      <c r="A396" t="s">
        <v>86</v>
      </c>
      <c r="B396" t="s">
        <v>253</v>
      </c>
      <c r="C396" t="s">
        <v>25</v>
      </c>
      <c r="D396" t="s">
        <v>273</v>
      </c>
      <c r="E396" t="s">
        <v>191</v>
      </c>
      <c r="F396" t="s">
        <v>192</v>
      </c>
      <c r="G396">
        <v>182594</v>
      </c>
      <c r="H396">
        <f>IF(PNL!A396="","",_CALC_PNL!P396)</f>
        <v>182594</v>
      </c>
      <c r="I396" t="str">
        <f>IF(PNL!A396="","",IF(_CALC_PNL!E396=1,H396-G396,""))</f>
        <v/>
      </c>
    </row>
    <row r="397" ht="14.25" customHeight="1">
      <c r="A397" t="s">
        <v>88</v>
      </c>
      <c r="B397" t="s">
        <v>253</v>
      </c>
      <c r="C397" t="s">
        <v>25</v>
      </c>
      <c r="D397" t="s">
        <v>273</v>
      </c>
      <c r="E397" t="s">
        <v>191</v>
      </c>
      <c r="F397" t="s">
        <v>192</v>
      </c>
      <c r="G397">
        <v>127350</v>
      </c>
      <c r="H397">
        <f>IF(PNL!A397="","",_CALC_PNL!P397)</f>
        <v>127350</v>
      </c>
      <c r="I397" t="str">
        <f>IF(PNL!A397="","",IF(_CALC_PNL!E397=1,H397-G397,""))</f>
        <v/>
      </c>
    </row>
    <row r="398" ht="14.25" customHeight="1">
      <c r="A398" t="s">
        <v>90</v>
      </c>
      <c r="B398" t="s">
        <v>253</v>
      </c>
      <c r="C398" t="s">
        <v>25</v>
      </c>
      <c r="D398" t="s">
        <v>273</v>
      </c>
      <c r="E398" t="s">
        <v>191</v>
      </c>
      <c r="F398" t="s">
        <v>192</v>
      </c>
      <c r="G398">
        <v>90427</v>
      </c>
      <c r="H398">
        <f>IF(PNL!A398="","",_CALC_PNL!P398)</f>
        <v>90427</v>
      </c>
      <c r="I398" t="str">
        <f>IF(PNL!A398="","",IF(_CALC_PNL!E398=1,H398-G398,""))</f>
        <v/>
      </c>
    </row>
    <row r="399" ht="14.25" customHeight="1">
      <c r="A399" t="s">
        <v>92</v>
      </c>
      <c r="B399" t="s">
        <v>253</v>
      </c>
      <c r="C399" t="s">
        <v>25</v>
      </c>
      <c r="D399" t="s">
        <v>273</v>
      </c>
      <c r="E399" t="s">
        <v>191</v>
      </c>
      <c r="F399" t="s">
        <v>192</v>
      </c>
      <c r="G399">
        <v>90427</v>
      </c>
      <c r="H399">
        <f>IF(PNL!A399="","",_CALC_PNL!P399)</f>
        <v>90427</v>
      </c>
      <c r="I399" t="str">
        <f>IF(PNL!A399="","",IF(_CALC_PNL!E399=1,H399-G399,""))</f>
        <v/>
      </c>
    </row>
    <row r="400" ht="14.25" customHeight="1">
      <c r="A400" t="s">
        <v>94</v>
      </c>
      <c r="B400" t="s">
        <v>253</v>
      </c>
      <c r="C400" t="s">
        <v>25</v>
      </c>
      <c r="D400" t="s">
        <v>273</v>
      </c>
      <c r="E400" t="s">
        <v>191</v>
      </c>
      <c r="F400" t="s">
        <v>192</v>
      </c>
      <c r="G400">
        <v>179028</v>
      </c>
      <c r="H400">
        <f>IF(PNL!A400="","",_CALC_PNL!P400)</f>
        <v>179028</v>
      </c>
      <c r="I400" t="str">
        <f>IF(PNL!A400="","",IF(_CALC_PNL!E400=1,H400-G400,""))</f>
        <v/>
      </c>
    </row>
    <row r="401" ht="14.25" customHeight="1">
      <c r="A401" t="s">
        <v>95</v>
      </c>
      <c r="B401" t="s">
        <v>253</v>
      </c>
      <c r="C401" t="s">
        <v>25</v>
      </c>
      <c r="D401" t="s">
        <v>273</v>
      </c>
      <c r="E401" t="s">
        <v>191</v>
      </c>
      <c r="F401" t="s">
        <v>192</v>
      </c>
      <c r="G401">
        <v>130951</v>
      </c>
      <c r="H401">
        <f>IF(PNL!A401="","",_CALC_PNL!P401)</f>
        <v>130951</v>
      </c>
      <c r="I401" t="str">
        <f>IF(PNL!A401="","",IF(_CALC_PNL!E401=1,H401-G401,""))</f>
        <v/>
      </c>
    </row>
    <row r="402" ht="14.25" customHeight="1">
      <c r="A402" t="s">
        <v>96</v>
      </c>
      <c r="B402" t="s">
        <v>253</v>
      </c>
      <c r="C402" t="s">
        <v>25</v>
      </c>
      <c r="D402" t="s">
        <v>273</v>
      </c>
      <c r="E402" t="s">
        <v>191</v>
      </c>
      <c r="F402" t="s">
        <v>192</v>
      </c>
      <c r="G402">
        <v>196348</v>
      </c>
      <c r="H402">
        <f>IF(PNL!A402="","",_CALC_PNL!P402)</f>
        <v>196348</v>
      </c>
      <c r="I402" t="str">
        <f>IF(PNL!A402="","",IF(_CALC_PNL!E402=1,H402-G402,""))</f>
        <v/>
      </c>
    </row>
    <row r="403" ht="14.25" customHeight="1">
      <c r="A403" t="s">
        <v>97</v>
      </c>
      <c r="B403" t="s">
        <v>253</v>
      </c>
      <c r="C403" t="s">
        <v>25</v>
      </c>
      <c r="D403" t="s">
        <v>273</v>
      </c>
      <c r="E403" t="s">
        <v>191</v>
      </c>
      <c r="F403" t="s">
        <v>192</v>
      </c>
      <c r="G403">
        <v>115089</v>
      </c>
      <c r="H403">
        <f>IF(PNL!A403="","",_CALC_PNL!P403)</f>
        <v>115089</v>
      </c>
      <c r="I403" t="str">
        <f>IF(PNL!A403="","",IF(_CALC_PNL!E403=1,H403-G403,""))</f>
        <v/>
      </c>
    </row>
    <row r="404" ht="14.25" customHeight="1">
      <c r="A404" t="s">
        <v>75</v>
      </c>
      <c r="B404" t="s">
        <v>254</v>
      </c>
      <c r="C404" t="s">
        <v>211</v>
      </c>
      <c r="D404" t="s">
        <v>273</v>
      </c>
      <c r="E404" t="s">
        <v>191</v>
      </c>
      <c r="F404" t="s">
        <v>192</v>
      </c>
      <c r="G404">
        <v>341140</v>
      </c>
      <c r="H404">
        <f>IF(PNL!A404="","",_CALC_PNL!P404)</f>
        <v>341140</v>
      </c>
      <c r="I404" t="str">
        <f>IF(PNL!A404="","",IF(_CALC_PNL!E404=1,H404-G404,""))</f>
        <v/>
      </c>
    </row>
    <row r="405" ht="14.25" customHeight="1">
      <c r="A405" t="s">
        <v>77</v>
      </c>
      <c r="B405" t="s">
        <v>254</v>
      </c>
      <c r="C405" t="s">
        <v>211</v>
      </c>
      <c r="D405" t="s">
        <v>273</v>
      </c>
      <c r="E405" t="s">
        <v>191</v>
      </c>
      <c r="F405" t="s">
        <v>192</v>
      </c>
      <c r="G405">
        <v>204403</v>
      </c>
      <c r="H405">
        <f>IF(PNL!A405="","",_CALC_PNL!P405)</f>
        <v>204403</v>
      </c>
      <c r="I405" t="str">
        <f>IF(PNL!A405="","",IF(_CALC_PNL!E405=1,H405-G405,""))</f>
        <v/>
      </c>
    </row>
    <row r="406" ht="14.25" customHeight="1">
      <c r="A406" t="s">
        <v>79</v>
      </c>
      <c r="B406" t="s">
        <v>254</v>
      </c>
      <c r="C406" t="s">
        <v>211</v>
      </c>
      <c r="D406" t="s">
        <v>273</v>
      </c>
      <c r="E406" t="s">
        <v>191</v>
      </c>
      <c r="F406" t="s">
        <v>192</v>
      </c>
      <c r="G406">
        <v>168464</v>
      </c>
      <c r="H406">
        <f>IF(PNL!A406="","",_CALC_PNL!P406)</f>
        <v>168464</v>
      </c>
      <c r="I406" t="str">
        <f>IF(PNL!A406="","",IF(_CALC_PNL!E406=1,H406-G406,""))</f>
        <v/>
      </c>
    </row>
    <row r="407" ht="14.25" customHeight="1">
      <c r="A407" t="s">
        <v>81</v>
      </c>
      <c r="B407" t="s">
        <v>254</v>
      </c>
      <c r="C407" t="s">
        <v>211</v>
      </c>
      <c r="D407" t="s">
        <v>273</v>
      </c>
      <c r="E407" t="s">
        <v>191</v>
      </c>
      <c r="F407" t="s">
        <v>192</v>
      </c>
      <c r="G407">
        <v>147406</v>
      </c>
      <c r="H407">
        <f>IF(PNL!A407="","",_CALC_PNL!P407)</f>
        <v>147406</v>
      </c>
      <c r="I407" t="str">
        <f>IF(PNL!A407="","",IF(_CALC_PNL!E407=1,H407-G407,""))</f>
        <v/>
      </c>
    </row>
    <row r="408" ht="14.25" customHeight="1">
      <c r="A408" t="s">
        <v>83</v>
      </c>
      <c r="B408" t="s">
        <v>254</v>
      </c>
      <c r="C408" t="s">
        <v>211</v>
      </c>
      <c r="D408" t="s">
        <v>273</v>
      </c>
      <c r="E408" t="s">
        <v>191</v>
      </c>
      <c r="F408" t="s">
        <v>192</v>
      </c>
      <c r="G408">
        <v>341140</v>
      </c>
      <c r="H408">
        <f>IF(PNL!A408="","",_CALC_PNL!P408)</f>
        <v>341140</v>
      </c>
      <c r="I408" t="str">
        <f>IF(PNL!A408="","",IF(_CALC_PNL!E408=1,H408-G408,""))</f>
        <v/>
      </c>
    </row>
    <row r="409" ht="14.25" customHeight="1">
      <c r="A409" t="s">
        <v>84</v>
      </c>
      <c r="B409" t="s">
        <v>254</v>
      </c>
      <c r="C409" t="s">
        <v>211</v>
      </c>
      <c r="D409" t="s">
        <v>273</v>
      </c>
      <c r="E409" t="s">
        <v>191</v>
      </c>
      <c r="F409" t="s">
        <v>192</v>
      </c>
      <c r="G409">
        <v>129156</v>
      </c>
      <c r="H409">
        <f>IF(PNL!A409="","",_CALC_PNL!P409)</f>
        <v>129156</v>
      </c>
      <c r="I409" t="str">
        <f>IF(PNL!A409="","",IF(_CALC_PNL!E409=1,H409-G409,""))</f>
        <v/>
      </c>
    </row>
    <row r="410" ht="14.25" customHeight="1">
      <c r="A410" t="s">
        <v>86</v>
      </c>
      <c r="B410" t="s">
        <v>254</v>
      </c>
      <c r="C410" t="s">
        <v>211</v>
      </c>
      <c r="D410" t="s">
        <v>273</v>
      </c>
      <c r="E410" t="s">
        <v>191</v>
      </c>
      <c r="F410" t="s">
        <v>192</v>
      </c>
      <c r="G410">
        <v>126348</v>
      </c>
      <c r="H410">
        <f>IF(PNL!A410="","",_CALC_PNL!P410)</f>
        <v>126348</v>
      </c>
      <c r="I410" t="str">
        <f>IF(PNL!A410="","",IF(_CALC_PNL!E410=1,H410-G410,""))</f>
        <v/>
      </c>
    </row>
    <row r="411" ht="14.25" customHeight="1">
      <c r="A411" t="s">
        <v>88</v>
      </c>
      <c r="B411" t="s">
        <v>254</v>
      </c>
      <c r="C411" t="s">
        <v>211</v>
      </c>
      <c r="D411" t="s">
        <v>273</v>
      </c>
      <c r="E411" t="s">
        <v>191</v>
      </c>
      <c r="F411" t="s">
        <v>192</v>
      </c>
      <c r="G411">
        <v>84232</v>
      </c>
      <c r="H411">
        <f>IF(PNL!A411="","",_CALC_PNL!P411)</f>
        <v>84232</v>
      </c>
      <c r="I411" t="str">
        <f>IF(PNL!A411="","",IF(_CALC_PNL!E411=1,H411-G411,""))</f>
        <v/>
      </c>
    </row>
    <row r="412" ht="14.25" customHeight="1">
      <c r="A412" t="s">
        <v>90</v>
      </c>
      <c r="B412" t="s">
        <v>254</v>
      </c>
      <c r="C412" t="s">
        <v>211</v>
      </c>
      <c r="D412" t="s">
        <v>273</v>
      </c>
      <c r="E412" t="s">
        <v>191</v>
      </c>
      <c r="F412" t="s">
        <v>192</v>
      </c>
      <c r="G412">
        <v>74124</v>
      </c>
      <c r="H412">
        <f>IF(PNL!A412="","",_CALC_PNL!P412)</f>
        <v>74124</v>
      </c>
      <c r="I412" t="str">
        <f>IF(PNL!A412="","",IF(_CALC_PNL!E412=1,H412-G412,""))</f>
        <v/>
      </c>
    </row>
    <row r="413" ht="14.25" customHeight="1">
      <c r="A413" t="s">
        <v>92</v>
      </c>
      <c r="B413" t="s">
        <v>254</v>
      </c>
      <c r="C413" t="s">
        <v>211</v>
      </c>
      <c r="D413" t="s">
        <v>273</v>
      </c>
      <c r="E413" t="s">
        <v>191</v>
      </c>
      <c r="F413" t="s">
        <v>192</v>
      </c>
      <c r="G413">
        <v>74124</v>
      </c>
      <c r="H413">
        <f>IF(PNL!A413="","",_CALC_PNL!P413)</f>
        <v>74124</v>
      </c>
      <c r="I413" t="str">
        <f>IF(PNL!A413="","",IF(_CALC_PNL!E413=1,H413-G413,""))</f>
        <v/>
      </c>
    </row>
    <row r="414" ht="14.25" customHeight="1">
      <c r="A414" t="s">
        <v>94</v>
      </c>
      <c r="B414" t="s">
        <v>254</v>
      </c>
      <c r="C414" t="s">
        <v>211</v>
      </c>
      <c r="D414" t="s">
        <v>273</v>
      </c>
      <c r="E414" t="s">
        <v>191</v>
      </c>
      <c r="F414" t="s">
        <v>192</v>
      </c>
      <c r="G414">
        <v>125787</v>
      </c>
      <c r="H414">
        <f>IF(PNL!A414="","",_CALC_PNL!P414)</f>
        <v>125787</v>
      </c>
      <c r="I414" t="str">
        <f>IF(PNL!A414="","",IF(_CALC_PNL!E414=1,H414-G414,""))</f>
        <v/>
      </c>
    </row>
    <row r="415" ht="14.25" customHeight="1">
      <c r="A415" t="s">
        <v>95</v>
      </c>
      <c r="B415" t="s">
        <v>254</v>
      </c>
      <c r="C415" t="s">
        <v>211</v>
      </c>
      <c r="D415" t="s">
        <v>273</v>
      </c>
      <c r="E415" t="s">
        <v>191</v>
      </c>
      <c r="F415" t="s">
        <v>192</v>
      </c>
      <c r="G415">
        <v>117925</v>
      </c>
      <c r="H415">
        <f>IF(PNL!A415="","",_CALC_PNL!P415)</f>
        <v>117925</v>
      </c>
      <c r="I415" t="str">
        <f>IF(PNL!A415="","",IF(_CALC_PNL!E415=1,H415-G415,""))</f>
        <v/>
      </c>
    </row>
    <row r="416" ht="14.25" customHeight="1">
      <c r="A416" t="s">
        <v>96</v>
      </c>
      <c r="B416" t="s">
        <v>254</v>
      </c>
      <c r="C416" t="s">
        <v>211</v>
      </c>
      <c r="D416" t="s">
        <v>273</v>
      </c>
      <c r="E416" t="s">
        <v>191</v>
      </c>
      <c r="F416" t="s">
        <v>192</v>
      </c>
      <c r="G416">
        <v>136456</v>
      </c>
      <c r="H416">
        <f>IF(PNL!A416="","",_CALC_PNL!P416)</f>
        <v>136456</v>
      </c>
      <c r="I416" t="str">
        <f>IF(PNL!A416="","",IF(_CALC_PNL!E416=1,H416-G416,""))</f>
        <v/>
      </c>
    </row>
    <row r="417" ht="14.25" customHeight="1">
      <c r="A417" t="s">
        <v>97</v>
      </c>
      <c r="B417" t="s">
        <v>254</v>
      </c>
      <c r="C417" t="s">
        <v>211</v>
      </c>
      <c r="D417" t="s">
        <v>273</v>
      </c>
      <c r="E417" t="s">
        <v>191</v>
      </c>
      <c r="F417" t="s">
        <v>192</v>
      </c>
      <c r="G417">
        <v>94340</v>
      </c>
      <c r="H417">
        <f>IF(PNL!A417="","",_CALC_PNL!P417)</f>
        <v>94340</v>
      </c>
      <c r="I417" t="str">
        <f>IF(PNL!A417="","",IF(_CALC_PNL!E417=1,H417-G417,""))</f>
        <v/>
      </c>
    </row>
    <row r="418" ht="14.25" customHeight="1">
      <c r="A418" t="s">
        <v>75</v>
      </c>
      <c r="B418" t="s">
        <v>254</v>
      </c>
      <c r="C418" t="s">
        <v>210</v>
      </c>
      <c r="D418" t="s">
        <v>273</v>
      </c>
      <c r="E418" t="s">
        <v>191</v>
      </c>
      <c r="F418" t="s">
        <v>192</v>
      </c>
      <c r="G418">
        <v>356772</v>
      </c>
      <c r="H418">
        <f>IF(PNL!A418="","",_CALC_PNL!P418)</f>
        <v>356772</v>
      </c>
      <c r="I418" t="str">
        <f>IF(PNL!A418="","",IF(_CALC_PNL!E418=1,H418-G418,""))</f>
        <v/>
      </c>
    </row>
    <row r="419" ht="14.25" customHeight="1">
      <c r="A419" t="s">
        <v>77</v>
      </c>
      <c r="B419" t="s">
        <v>254</v>
      </c>
      <c r="C419" t="s">
        <v>210</v>
      </c>
      <c r="D419" t="s">
        <v>273</v>
      </c>
      <c r="E419" t="s">
        <v>191</v>
      </c>
      <c r="F419" t="s">
        <v>192</v>
      </c>
      <c r="G419">
        <v>213769</v>
      </c>
      <c r="H419">
        <f>IF(PNL!A419="","",_CALC_PNL!P419)</f>
        <v>213769</v>
      </c>
      <c r="I419" t="str">
        <f>IF(PNL!A419="","",IF(_CALC_PNL!E419=1,H419-G419,""))</f>
        <v/>
      </c>
    </row>
    <row r="420" ht="14.25" customHeight="1">
      <c r="A420" t="s">
        <v>79</v>
      </c>
      <c r="B420" t="s">
        <v>254</v>
      </c>
      <c r="C420" t="s">
        <v>210</v>
      </c>
      <c r="D420" t="s">
        <v>273</v>
      </c>
      <c r="E420" t="s">
        <v>191</v>
      </c>
      <c r="F420" t="s">
        <v>192</v>
      </c>
      <c r="G420">
        <v>176184</v>
      </c>
      <c r="H420">
        <f>IF(PNL!A420="","",_CALC_PNL!P420)</f>
        <v>176184</v>
      </c>
      <c r="I420" t="str">
        <f>IF(PNL!A420="","",IF(_CALC_PNL!E420=1,H420-G420,""))</f>
        <v/>
      </c>
    </row>
    <row r="421" ht="14.25" customHeight="1">
      <c r="A421" t="s">
        <v>81</v>
      </c>
      <c r="B421" t="s">
        <v>254</v>
      </c>
      <c r="C421" t="s">
        <v>210</v>
      </c>
      <c r="D421" t="s">
        <v>273</v>
      </c>
      <c r="E421" t="s">
        <v>191</v>
      </c>
      <c r="F421" t="s">
        <v>192</v>
      </c>
      <c r="G421">
        <v>154161</v>
      </c>
      <c r="H421">
        <f>IF(PNL!A421="","",_CALC_PNL!P421)</f>
        <v>154161</v>
      </c>
      <c r="I421" t="str">
        <f>IF(PNL!A421="","",IF(_CALC_PNL!E421=1,H421-G421,""))</f>
        <v/>
      </c>
    </row>
    <row r="422" ht="14.25" customHeight="1">
      <c r="A422" t="s">
        <v>83</v>
      </c>
      <c r="B422" t="s">
        <v>254</v>
      </c>
      <c r="C422" t="s">
        <v>210</v>
      </c>
      <c r="D422" t="s">
        <v>273</v>
      </c>
      <c r="E422" t="s">
        <v>191</v>
      </c>
      <c r="F422" t="s">
        <v>192</v>
      </c>
      <c r="G422">
        <v>356772</v>
      </c>
      <c r="H422">
        <f>IF(PNL!A422="","",_CALC_PNL!P422)</f>
        <v>356772</v>
      </c>
      <c r="I422" t="str">
        <f>IF(PNL!A422="","",IF(_CALC_PNL!E422=1,H422-G422,""))</f>
        <v/>
      </c>
    </row>
    <row r="423" ht="14.25" customHeight="1">
      <c r="A423" t="s">
        <v>84</v>
      </c>
      <c r="B423" t="s">
        <v>254</v>
      </c>
      <c r="C423" t="s">
        <v>210</v>
      </c>
      <c r="D423" t="s">
        <v>273</v>
      </c>
      <c r="E423" t="s">
        <v>191</v>
      </c>
      <c r="F423" t="s">
        <v>192</v>
      </c>
      <c r="G423">
        <v>135074</v>
      </c>
      <c r="H423">
        <f>IF(PNL!A423="","",_CALC_PNL!P423)</f>
        <v>135074</v>
      </c>
      <c r="I423" t="str">
        <f>IF(PNL!A423="","",IF(_CALC_PNL!E423=1,H423-G423,""))</f>
        <v/>
      </c>
    </row>
    <row r="424" ht="14.25" customHeight="1">
      <c r="A424" t="s">
        <v>86</v>
      </c>
      <c r="B424" t="s">
        <v>254</v>
      </c>
      <c r="C424" t="s">
        <v>210</v>
      </c>
      <c r="D424" t="s">
        <v>273</v>
      </c>
      <c r="E424" t="s">
        <v>191</v>
      </c>
      <c r="F424" t="s">
        <v>192</v>
      </c>
      <c r="G424">
        <v>132138</v>
      </c>
      <c r="H424">
        <f>IF(PNL!A424="","",_CALC_PNL!P424)</f>
        <v>132138</v>
      </c>
      <c r="I424" t="str">
        <f>IF(PNL!A424="","",IF(_CALC_PNL!E424=1,H424-G424,""))</f>
        <v/>
      </c>
    </row>
    <row r="425" ht="14.25" customHeight="1">
      <c r="A425" t="s">
        <v>88</v>
      </c>
      <c r="B425" t="s">
        <v>254</v>
      </c>
      <c r="C425" t="s">
        <v>210</v>
      </c>
      <c r="D425" t="s">
        <v>273</v>
      </c>
      <c r="E425" t="s">
        <v>191</v>
      </c>
      <c r="F425" t="s">
        <v>192</v>
      </c>
      <c r="G425">
        <v>88092</v>
      </c>
      <c r="H425">
        <f>IF(PNL!A425="","",_CALC_PNL!P425)</f>
        <v>88092</v>
      </c>
      <c r="I425" t="str">
        <f>IF(PNL!A425="","",IF(_CALC_PNL!E425=1,H425-G425,""))</f>
        <v/>
      </c>
    </row>
    <row r="426" ht="14.25" customHeight="1">
      <c r="A426" t="s">
        <v>90</v>
      </c>
      <c r="B426" t="s">
        <v>254</v>
      </c>
      <c r="C426" t="s">
        <v>210</v>
      </c>
      <c r="D426" t="s">
        <v>273</v>
      </c>
      <c r="E426" t="s">
        <v>191</v>
      </c>
      <c r="F426" t="s">
        <v>192</v>
      </c>
      <c r="G426">
        <v>77521</v>
      </c>
      <c r="H426">
        <f>IF(PNL!A426="","",_CALC_PNL!P426)</f>
        <v>77521</v>
      </c>
      <c r="I426" t="str">
        <f>IF(PNL!A426="","",IF(_CALC_PNL!E426=1,H426-G426,""))</f>
        <v/>
      </c>
    </row>
    <row r="427" ht="14.25" customHeight="1">
      <c r="A427" t="s">
        <v>92</v>
      </c>
      <c r="B427" t="s">
        <v>254</v>
      </c>
      <c r="C427" t="s">
        <v>210</v>
      </c>
      <c r="D427" t="s">
        <v>273</v>
      </c>
      <c r="E427" t="s">
        <v>191</v>
      </c>
      <c r="F427" t="s">
        <v>192</v>
      </c>
      <c r="G427">
        <v>77521</v>
      </c>
      <c r="H427">
        <f>IF(PNL!A427="","",_CALC_PNL!P427)</f>
        <v>77521</v>
      </c>
      <c r="I427" t="str">
        <f>IF(PNL!A427="","",IF(_CALC_PNL!E427=1,H427-G427,""))</f>
        <v/>
      </c>
    </row>
    <row r="428" ht="14.25" customHeight="1">
      <c r="A428" t="s">
        <v>94</v>
      </c>
      <c r="B428" t="s">
        <v>254</v>
      </c>
      <c r="C428" t="s">
        <v>210</v>
      </c>
      <c r="D428" t="s">
        <v>273</v>
      </c>
      <c r="E428" t="s">
        <v>191</v>
      </c>
      <c r="F428" t="s">
        <v>192</v>
      </c>
      <c r="G428">
        <v>131550</v>
      </c>
      <c r="H428">
        <f>IF(PNL!A428="","",_CALC_PNL!P428)</f>
        <v>131550</v>
      </c>
      <c r="I428" t="str">
        <f>IF(PNL!A428="","",IF(_CALC_PNL!E428=1,H428-G428,""))</f>
        <v/>
      </c>
    </row>
    <row r="429" ht="14.25" customHeight="1">
      <c r="A429" t="s">
        <v>95</v>
      </c>
      <c r="B429" t="s">
        <v>254</v>
      </c>
      <c r="C429" t="s">
        <v>210</v>
      </c>
      <c r="D429" t="s">
        <v>273</v>
      </c>
      <c r="E429" t="s">
        <v>191</v>
      </c>
      <c r="F429" t="s">
        <v>192</v>
      </c>
      <c r="G429">
        <v>123328</v>
      </c>
      <c r="H429">
        <f>IF(PNL!A429="","",_CALC_PNL!P429)</f>
        <v>123328</v>
      </c>
      <c r="I429" t="str">
        <f>IF(PNL!A429="","",IF(_CALC_PNL!E429=1,H429-G429,""))</f>
        <v/>
      </c>
    </row>
    <row r="430" ht="14.25" customHeight="1">
      <c r="A430" t="s">
        <v>96</v>
      </c>
      <c r="B430" t="s">
        <v>254</v>
      </c>
      <c r="C430" t="s">
        <v>210</v>
      </c>
      <c r="D430" t="s">
        <v>273</v>
      </c>
      <c r="E430" t="s">
        <v>191</v>
      </c>
      <c r="F430" t="s">
        <v>192</v>
      </c>
      <c r="G430">
        <v>142709</v>
      </c>
      <c r="H430">
        <f>IF(PNL!A430="","",_CALC_PNL!P430)</f>
        <v>142709</v>
      </c>
      <c r="I430" t="str">
        <f>IF(PNL!A430="","",IF(_CALC_PNL!E430=1,H430-G430,""))</f>
        <v/>
      </c>
    </row>
    <row r="431" ht="14.25" customHeight="1">
      <c r="A431" t="s">
        <v>97</v>
      </c>
      <c r="B431" t="s">
        <v>254</v>
      </c>
      <c r="C431" t="s">
        <v>210</v>
      </c>
      <c r="D431" t="s">
        <v>273</v>
      </c>
      <c r="E431" t="s">
        <v>191</v>
      </c>
      <c r="F431" t="s">
        <v>192</v>
      </c>
      <c r="G431">
        <v>98663</v>
      </c>
      <c r="H431">
        <f>IF(PNL!A431="","",_CALC_PNL!P431)</f>
        <v>98663</v>
      </c>
      <c r="I431" t="str">
        <f>IF(PNL!A431="","",IF(_CALC_PNL!E431=1,H431-G431,""))</f>
        <v/>
      </c>
    </row>
    <row r="432" ht="14.25" customHeight="1">
      <c r="A432" t="s">
        <v>75</v>
      </c>
      <c r="B432" t="s">
        <v>254</v>
      </c>
      <c r="C432" t="s">
        <v>25</v>
      </c>
      <c r="D432" t="s">
        <v>273</v>
      </c>
      <c r="E432" t="s">
        <v>191</v>
      </c>
      <c r="F432" t="s">
        <v>192</v>
      </c>
      <c r="G432">
        <v>373801</v>
      </c>
      <c r="H432">
        <f>IF(PNL!A432="","",_CALC_PNL!P432)</f>
        <v>373801</v>
      </c>
      <c r="I432" t="str">
        <f>IF(PNL!A432="","",IF(_CALC_PNL!E432=1,H432-G432,""))</f>
        <v/>
      </c>
    </row>
    <row r="433" ht="14.25" customHeight="1">
      <c r="A433" t="s">
        <v>77</v>
      </c>
      <c r="B433" t="s">
        <v>254</v>
      </c>
      <c r="C433" t="s">
        <v>25</v>
      </c>
      <c r="D433" t="s">
        <v>273</v>
      </c>
      <c r="E433" t="s">
        <v>191</v>
      </c>
      <c r="F433" t="s">
        <v>192</v>
      </c>
      <c r="G433">
        <v>223973</v>
      </c>
      <c r="H433">
        <f>IF(PNL!A433="","",_CALC_PNL!P433)</f>
        <v>223973</v>
      </c>
      <c r="I433" t="str">
        <f>IF(PNL!A433="","",IF(_CALC_PNL!E433=1,H433-G433,""))</f>
        <v/>
      </c>
    </row>
    <row r="434" ht="14.25" customHeight="1">
      <c r="A434" t="s">
        <v>79</v>
      </c>
      <c r="B434" t="s">
        <v>254</v>
      </c>
      <c r="C434" t="s">
        <v>25</v>
      </c>
      <c r="D434" t="s">
        <v>273</v>
      </c>
      <c r="E434" t="s">
        <v>191</v>
      </c>
      <c r="F434" t="s">
        <v>192</v>
      </c>
      <c r="G434">
        <v>184593</v>
      </c>
      <c r="H434">
        <f>IF(PNL!A434="","",_CALC_PNL!P434)</f>
        <v>184593</v>
      </c>
      <c r="I434" t="str">
        <f>IF(PNL!A434="","",IF(_CALC_PNL!E434=1,H434-G434,""))</f>
        <v/>
      </c>
    </row>
    <row r="435" ht="14.25" customHeight="1">
      <c r="A435" t="s">
        <v>81</v>
      </c>
      <c r="B435" t="s">
        <v>254</v>
      </c>
      <c r="C435" t="s">
        <v>25</v>
      </c>
      <c r="D435" t="s">
        <v>273</v>
      </c>
      <c r="E435" t="s">
        <v>191</v>
      </c>
      <c r="F435" t="s">
        <v>192</v>
      </c>
      <c r="G435">
        <v>161519</v>
      </c>
      <c r="H435">
        <f>IF(PNL!A435="","",_CALC_PNL!P435)</f>
        <v>161519</v>
      </c>
      <c r="I435" t="str">
        <f>IF(PNL!A435="","",IF(_CALC_PNL!E435=1,H435-G435,""))</f>
        <v/>
      </c>
    </row>
    <row r="436" ht="14.25" customHeight="1">
      <c r="A436" t="s">
        <v>83</v>
      </c>
      <c r="B436" t="s">
        <v>254</v>
      </c>
      <c r="C436" t="s">
        <v>25</v>
      </c>
      <c r="D436" t="s">
        <v>273</v>
      </c>
      <c r="E436" t="s">
        <v>191</v>
      </c>
      <c r="F436" t="s">
        <v>192</v>
      </c>
      <c r="G436">
        <v>373801</v>
      </c>
      <c r="H436">
        <f>IF(PNL!A436="","",_CALC_PNL!P436)</f>
        <v>373801</v>
      </c>
      <c r="I436" t="str">
        <f>IF(PNL!A436="","",IF(_CALC_PNL!E436=1,H436-G436,""))</f>
        <v/>
      </c>
    </row>
    <row r="437" ht="14.25" customHeight="1">
      <c r="A437" t="s">
        <v>84</v>
      </c>
      <c r="B437" t="s">
        <v>254</v>
      </c>
      <c r="C437" t="s">
        <v>25</v>
      </c>
      <c r="D437" t="s">
        <v>273</v>
      </c>
      <c r="E437" t="s">
        <v>191</v>
      </c>
      <c r="F437" t="s">
        <v>192</v>
      </c>
      <c r="G437">
        <v>141521</v>
      </c>
      <c r="H437">
        <f>IF(PNL!A437="","",_CALC_PNL!P437)</f>
        <v>141521</v>
      </c>
      <c r="I437" t="str">
        <f>IF(PNL!A437="","",IF(_CALC_PNL!E437=1,H437-G437,""))</f>
        <v/>
      </c>
    </row>
    <row r="438" ht="14.25" customHeight="1">
      <c r="A438" t="s">
        <v>86</v>
      </c>
      <c r="B438" t="s">
        <v>254</v>
      </c>
      <c r="C438" t="s">
        <v>25</v>
      </c>
      <c r="D438" t="s">
        <v>273</v>
      </c>
      <c r="E438" t="s">
        <v>191</v>
      </c>
      <c r="F438" t="s">
        <v>192</v>
      </c>
      <c r="G438">
        <v>138445</v>
      </c>
      <c r="H438">
        <f>IF(PNL!A438="","",_CALC_PNL!P438)</f>
        <v>138445</v>
      </c>
      <c r="I438" t="str">
        <f>IF(PNL!A438="","",IF(_CALC_PNL!E438=1,H438-G438,""))</f>
        <v/>
      </c>
    </row>
    <row r="439" ht="14.25" customHeight="1">
      <c r="A439" t="s">
        <v>88</v>
      </c>
      <c r="B439" t="s">
        <v>254</v>
      </c>
      <c r="C439" t="s">
        <v>25</v>
      </c>
      <c r="D439" t="s">
        <v>273</v>
      </c>
      <c r="E439" t="s">
        <v>191</v>
      </c>
      <c r="F439" t="s">
        <v>192</v>
      </c>
      <c r="G439">
        <v>92297</v>
      </c>
      <c r="H439">
        <f>IF(PNL!A439="","",_CALC_PNL!P439)</f>
        <v>92297</v>
      </c>
      <c r="I439" t="str">
        <f>IF(PNL!A439="","",IF(_CALC_PNL!E439=1,H439-G439,""))</f>
        <v/>
      </c>
    </row>
    <row r="440" ht="14.25" customHeight="1">
      <c r="A440" t="s">
        <v>90</v>
      </c>
      <c r="B440" t="s">
        <v>254</v>
      </c>
      <c r="C440" t="s">
        <v>25</v>
      </c>
      <c r="D440" t="s">
        <v>273</v>
      </c>
      <c r="E440" t="s">
        <v>191</v>
      </c>
      <c r="F440" t="s">
        <v>192</v>
      </c>
      <c r="G440">
        <v>81221</v>
      </c>
      <c r="H440">
        <f>IF(PNL!A440="","",_CALC_PNL!P440)</f>
        <v>81221</v>
      </c>
      <c r="I440" t="str">
        <f>IF(PNL!A440="","",IF(_CALC_PNL!E440=1,H440-G440,""))</f>
        <v/>
      </c>
    </row>
    <row r="441" ht="14.25" customHeight="1">
      <c r="A441" t="s">
        <v>92</v>
      </c>
      <c r="B441" t="s">
        <v>254</v>
      </c>
      <c r="C441" t="s">
        <v>25</v>
      </c>
      <c r="D441" t="s">
        <v>273</v>
      </c>
      <c r="E441" t="s">
        <v>191</v>
      </c>
      <c r="F441" t="s">
        <v>192</v>
      </c>
      <c r="G441">
        <v>81221</v>
      </c>
      <c r="H441">
        <f>IF(PNL!A441="","",_CALC_PNL!P441)</f>
        <v>81221</v>
      </c>
      <c r="I441" t="str">
        <f>IF(PNL!A441="","",IF(_CALC_PNL!E441=1,H441-G441,""))</f>
        <v/>
      </c>
    </row>
    <row r="442" ht="14.25" customHeight="1">
      <c r="A442" t="s">
        <v>94</v>
      </c>
      <c r="B442" t="s">
        <v>254</v>
      </c>
      <c r="C442" t="s">
        <v>25</v>
      </c>
      <c r="D442" t="s">
        <v>273</v>
      </c>
      <c r="E442" t="s">
        <v>191</v>
      </c>
      <c r="F442" t="s">
        <v>192</v>
      </c>
      <c r="G442">
        <v>137830</v>
      </c>
      <c r="H442">
        <f>IF(PNL!A442="","",_CALC_PNL!P442)</f>
        <v>137830</v>
      </c>
      <c r="I442" t="str">
        <f>IF(PNL!A442="","",IF(_CALC_PNL!E442=1,H442-G442,""))</f>
        <v/>
      </c>
    </row>
    <row r="443" ht="14.25" customHeight="1">
      <c r="A443" t="s">
        <v>95</v>
      </c>
      <c r="B443" t="s">
        <v>254</v>
      </c>
      <c r="C443" t="s">
        <v>25</v>
      </c>
      <c r="D443" t="s">
        <v>273</v>
      </c>
      <c r="E443" t="s">
        <v>191</v>
      </c>
      <c r="F443" t="s">
        <v>192</v>
      </c>
      <c r="G443">
        <v>129215</v>
      </c>
      <c r="H443">
        <f>IF(PNL!A443="","",_CALC_PNL!P443)</f>
        <v>129215</v>
      </c>
      <c r="I443" t="str">
        <f>IF(PNL!A443="","",IF(_CALC_PNL!E443=1,H443-G443,""))</f>
        <v/>
      </c>
    </row>
    <row r="444" ht="14.25" customHeight="1">
      <c r="A444" t="s">
        <v>96</v>
      </c>
      <c r="B444" t="s">
        <v>254</v>
      </c>
      <c r="C444" t="s">
        <v>25</v>
      </c>
      <c r="D444" t="s">
        <v>273</v>
      </c>
      <c r="E444" t="s">
        <v>191</v>
      </c>
      <c r="F444" t="s">
        <v>192</v>
      </c>
      <c r="G444">
        <v>149520</v>
      </c>
      <c r="H444">
        <f>IF(PNL!A444="","",_CALC_PNL!P444)</f>
        <v>149520</v>
      </c>
      <c r="I444" t="str">
        <f>IF(PNL!A444="","",IF(_CALC_PNL!E444=1,H444-G444,""))</f>
        <v/>
      </c>
    </row>
    <row r="445" ht="14.25" customHeight="1">
      <c r="A445" t="s">
        <v>97</v>
      </c>
      <c r="B445" t="s">
        <v>254</v>
      </c>
      <c r="C445" t="s">
        <v>25</v>
      </c>
      <c r="D445" t="s">
        <v>273</v>
      </c>
      <c r="E445" t="s">
        <v>191</v>
      </c>
      <c r="F445" t="s">
        <v>192</v>
      </c>
      <c r="G445">
        <v>103372</v>
      </c>
      <c r="H445">
        <f>IF(PNL!A445="","",_CALC_PNL!P445)</f>
        <v>103372</v>
      </c>
      <c r="I445" t="str">
        <f>IF(PNL!A445="","",IF(_CALC_PNL!E445=1,H445-G445,""))</f>
        <v/>
      </c>
    </row>
    <row r="446" ht="14.25" customHeight="1">
      <c r="A446" t="s">
        <v>75</v>
      </c>
      <c r="B446" t="s">
        <v>255</v>
      </c>
      <c r="C446" t="s">
        <v>211</v>
      </c>
      <c r="D446" t="s">
        <v>273</v>
      </c>
      <c r="E446" t="s">
        <v>191</v>
      </c>
      <c r="F446" t="s">
        <v>192</v>
      </c>
      <c r="G446">
        <v>48734</v>
      </c>
      <c r="H446">
        <f>IF(PNL!A446="","",_CALC_PNL!P446)</f>
        <v>48734</v>
      </c>
      <c r="I446" t="str">
        <f>IF(PNL!A446="","",IF(_CALC_PNL!E446=1,H446-G446,""))</f>
        <v/>
      </c>
    </row>
    <row r="447" ht="14.25" customHeight="1">
      <c r="A447" t="s">
        <v>77</v>
      </c>
      <c r="B447" t="s">
        <v>255</v>
      </c>
      <c r="C447" t="s">
        <v>211</v>
      </c>
      <c r="D447" t="s">
        <v>273</v>
      </c>
      <c r="E447" t="s">
        <v>191</v>
      </c>
      <c r="F447" t="s">
        <v>192</v>
      </c>
      <c r="G447">
        <v>29200</v>
      </c>
      <c r="H447">
        <f>IF(PNL!A447="","",_CALC_PNL!P447)</f>
        <v>29200</v>
      </c>
      <c r="I447" t="str">
        <f>IF(PNL!A447="","",IF(_CALC_PNL!E447=1,H447-G447,""))</f>
        <v/>
      </c>
    </row>
    <row r="448" ht="14.25" customHeight="1">
      <c r="A448" t="s">
        <v>79</v>
      </c>
      <c r="B448" t="s">
        <v>255</v>
      </c>
      <c r="C448" t="s">
        <v>211</v>
      </c>
      <c r="D448" t="s">
        <v>273</v>
      </c>
      <c r="E448" t="s">
        <v>191</v>
      </c>
      <c r="F448" t="s">
        <v>192</v>
      </c>
      <c r="G448">
        <v>24066</v>
      </c>
      <c r="H448">
        <f>IF(PNL!A448="","",_CALC_PNL!P448)</f>
        <v>24066</v>
      </c>
      <c r="I448" t="str">
        <f>IF(PNL!A448="","",IF(_CALC_PNL!E448=1,H448-G448,""))</f>
        <v/>
      </c>
    </row>
    <row r="449" ht="14.25" customHeight="1">
      <c r="A449" t="s">
        <v>81</v>
      </c>
      <c r="B449" t="s">
        <v>255</v>
      </c>
      <c r="C449" t="s">
        <v>211</v>
      </c>
      <c r="D449" t="s">
        <v>273</v>
      </c>
      <c r="E449" t="s">
        <v>191</v>
      </c>
      <c r="F449" t="s">
        <v>192</v>
      </c>
      <c r="G449">
        <v>21058</v>
      </c>
      <c r="H449">
        <f>IF(PNL!A449="","",_CALC_PNL!P449)</f>
        <v>21058</v>
      </c>
      <c r="I449" t="str">
        <f>IF(PNL!A449="","",IF(_CALC_PNL!E449=1,H449-G449,""))</f>
        <v/>
      </c>
    </row>
    <row r="450" ht="14.25" customHeight="1">
      <c r="A450" t="s">
        <v>83</v>
      </c>
      <c r="B450" t="s">
        <v>255</v>
      </c>
      <c r="C450" t="s">
        <v>211</v>
      </c>
      <c r="D450" t="s">
        <v>273</v>
      </c>
      <c r="E450" t="s">
        <v>191</v>
      </c>
      <c r="F450" t="s">
        <v>192</v>
      </c>
      <c r="G450">
        <v>48734</v>
      </c>
      <c r="H450">
        <f>IF(PNL!A450="","",_CALC_PNL!P450)</f>
        <v>48734</v>
      </c>
      <c r="I450" t="str">
        <f>IF(PNL!A450="","",IF(_CALC_PNL!E450=1,H450-G450,""))</f>
        <v/>
      </c>
    </row>
    <row r="451" ht="14.25" customHeight="1">
      <c r="A451" t="s">
        <v>84</v>
      </c>
      <c r="B451" t="s">
        <v>255</v>
      </c>
      <c r="C451" t="s">
        <v>211</v>
      </c>
      <c r="D451" t="s">
        <v>273</v>
      </c>
      <c r="E451" t="s">
        <v>191</v>
      </c>
      <c r="F451" t="s">
        <v>192</v>
      </c>
      <c r="G451">
        <v>18451</v>
      </c>
      <c r="H451">
        <f>IF(PNL!A451="","",_CALC_PNL!P451)</f>
        <v>18451</v>
      </c>
      <c r="I451" t="str">
        <f>IF(PNL!A451="","",IF(_CALC_PNL!E451=1,H451-G451,""))</f>
        <v/>
      </c>
    </row>
    <row r="452" ht="14.25" customHeight="1">
      <c r="A452" t="s">
        <v>86</v>
      </c>
      <c r="B452" t="s">
        <v>255</v>
      </c>
      <c r="C452" t="s">
        <v>211</v>
      </c>
      <c r="D452" t="s">
        <v>273</v>
      </c>
      <c r="E452" t="s">
        <v>191</v>
      </c>
      <c r="F452" t="s">
        <v>192</v>
      </c>
      <c r="G452">
        <v>18050</v>
      </c>
      <c r="H452">
        <f>IF(PNL!A452="","",_CALC_PNL!P452)</f>
        <v>18050</v>
      </c>
      <c r="I452" t="str">
        <f>IF(PNL!A452="","",IF(_CALC_PNL!E452=1,H452-G452,""))</f>
        <v/>
      </c>
    </row>
    <row r="453" ht="14.25" customHeight="1">
      <c r="A453" t="s">
        <v>88</v>
      </c>
      <c r="B453" t="s">
        <v>255</v>
      </c>
      <c r="C453" t="s">
        <v>211</v>
      </c>
      <c r="D453" t="s">
        <v>273</v>
      </c>
      <c r="E453" t="s">
        <v>191</v>
      </c>
      <c r="F453" t="s">
        <v>192</v>
      </c>
      <c r="G453">
        <v>12033</v>
      </c>
      <c r="H453">
        <f>IF(PNL!A453="","",_CALC_PNL!P453)</f>
        <v>12033</v>
      </c>
      <c r="I453" t="str">
        <f>IF(PNL!A453="","",IF(_CALC_PNL!E453=1,H453-G453,""))</f>
        <v/>
      </c>
    </row>
    <row r="454" ht="14.25" customHeight="1">
      <c r="A454" t="s">
        <v>90</v>
      </c>
      <c r="B454" t="s">
        <v>255</v>
      </c>
      <c r="C454" t="s">
        <v>211</v>
      </c>
      <c r="D454" t="s">
        <v>273</v>
      </c>
      <c r="E454" t="s">
        <v>191</v>
      </c>
      <c r="F454" t="s">
        <v>192</v>
      </c>
      <c r="G454">
        <v>10589</v>
      </c>
      <c r="H454">
        <f>IF(PNL!A454="","",_CALC_PNL!P454)</f>
        <v>10589</v>
      </c>
      <c r="I454" t="str">
        <f>IF(PNL!A454="","",IF(_CALC_PNL!E454=1,H454-G454,""))</f>
        <v/>
      </c>
    </row>
    <row r="455" ht="14.25" customHeight="1">
      <c r="A455" t="s">
        <v>92</v>
      </c>
      <c r="B455" t="s">
        <v>255</v>
      </c>
      <c r="C455" t="s">
        <v>211</v>
      </c>
      <c r="D455" t="s">
        <v>273</v>
      </c>
      <c r="E455" t="s">
        <v>191</v>
      </c>
      <c r="F455" t="s">
        <v>192</v>
      </c>
      <c r="G455">
        <v>10589</v>
      </c>
      <c r="H455">
        <f>IF(PNL!A455="","",_CALC_PNL!P455)</f>
        <v>10589</v>
      </c>
      <c r="I455" t="str">
        <f>IF(PNL!A455="","",IF(_CALC_PNL!E455=1,H455-G455,""))</f>
        <v/>
      </c>
    </row>
    <row r="456" ht="14.25" customHeight="1">
      <c r="A456" t="s">
        <v>94</v>
      </c>
      <c r="B456" t="s">
        <v>255</v>
      </c>
      <c r="C456" t="s">
        <v>211</v>
      </c>
      <c r="D456" t="s">
        <v>273</v>
      </c>
      <c r="E456" t="s">
        <v>191</v>
      </c>
      <c r="F456" t="s">
        <v>192</v>
      </c>
      <c r="G456">
        <v>17970</v>
      </c>
      <c r="H456">
        <f>IF(PNL!A456="","",_CALC_PNL!P456)</f>
        <v>17970</v>
      </c>
      <c r="I456" t="str">
        <f>IF(PNL!A456="","",IF(_CALC_PNL!E456=1,H456-G456,""))</f>
        <v/>
      </c>
    </row>
    <row r="457" ht="14.25" customHeight="1">
      <c r="A457" t="s">
        <v>95</v>
      </c>
      <c r="B457" t="s">
        <v>255</v>
      </c>
      <c r="C457" t="s">
        <v>211</v>
      </c>
      <c r="D457" t="s">
        <v>273</v>
      </c>
      <c r="E457" t="s">
        <v>191</v>
      </c>
      <c r="F457" t="s">
        <v>192</v>
      </c>
      <c r="G457">
        <v>16846</v>
      </c>
      <c r="H457">
        <f>IF(PNL!A457="","",_CALC_PNL!P457)</f>
        <v>16846</v>
      </c>
      <c r="I457" t="str">
        <f>IF(PNL!A457="","",IF(_CALC_PNL!E457=1,H457-G457,""))</f>
        <v/>
      </c>
    </row>
    <row r="458" ht="14.25" customHeight="1">
      <c r="A458" t="s">
        <v>96</v>
      </c>
      <c r="B458" t="s">
        <v>255</v>
      </c>
      <c r="C458" t="s">
        <v>211</v>
      </c>
      <c r="D458" t="s">
        <v>273</v>
      </c>
      <c r="E458" t="s">
        <v>191</v>
      </c>
      <c r="F458" t="s">
        <v>192</v>
      </c>
      <c r="G458">
        <v>19494</v>
      </c>
      <c r="H458">
        <f>IF(PNL!A458="","",_CALC_PNL!P458)</f>
        <v>19494</v>
      </c>
      <c r="I458" t="str">
        <f>IF(PNL!A458="","",IF(_CALC_PNL!E458=1,H458-G458,""))</f>
        <v/>
      </c>
    </row>
    <row r="459" ht="14.25" customHeight="1">
      <c r="A459" t="s">
        <v>97</v>
      </c>
      <c r="B459" t="s">
        <v>255</v>
      </c>
      <c r="C459" t="s">
        <v>211</v>
      </c>
      <c r="D459" t="s">
        <v>273</v>
      </c>
      <c r="E459" t="s">
        <v>191</v>
      </c>
      <c r="F459" t="s">
        <v>192</v>
      </c>
      <c r="G459">
        <v>13477</v>
      </c>
      <c r="H459">
        <f>IF(PNL!A459="","",_CALC_PNL!P459)</f>
        <v>13477</v>
      </c>
      <c r="I459" t="str">
        <f>IF(PNL!A459="","",IF(_CALC_PNL!E459=1,H459-G459,""))</f>
        <v/>
      </c>
    </row>
    <row r="460" ht="14.25" customHeight="1">
      <c r="A460" t="s">
        <v>75</v>
      </c>
      <c r="B460" t="s">
        <v>255</v>
      </c>
      <c r="C460" t="s">
        <v>210</v>
      </c>
      <c r="D460" t="s">
        <v>273</v>
      </c>
      <c r="E460" t="s">
        <v>191</v>
      </c>
      <c r="F460" t="s">
        <v>192</v>
      </c>
      <c r="G460">
        <v>50967</v>
      </c>
      <c r="H460">
        <f>IF(PNL!A460="","",_CALC_PNL!P460)</f>
        <v>50967</v>
      </c>
      <c r="I460" t="str">
        <f>IF(PNL!A460="","",IF(_CALC_PNL!E460=1,H460-G460,""))</f>
        <v/>
      </c>
    </row>
    <row r="461" ht="14.25" customHeight="1">
      <c r="A461" t="s">
        <v>77</v>
      </c>
      <c r="B461" t="s">
        <v>255</v>
      </c>
      <c r="C461" t="s">
        <v>210</v>
      </c>
      <c r="D461" t="s">
        <v>273</v>
      </c>
      <c r="E461" t="s">
        <v>191</v>
      </c>
      <c r="F461" t="s">
        <v>192</v>
      </c>
      <c r="G461">
        <v>30538</v>
      </c>
      <c r="H461">
        <f>IF(PNL!A461="","",_CALC_PNL!P461)</f>
        <v>30538</v>
      </c>
      <c r="I461" t="str">
        <f>IF(PNL!A461="","",IF(_CALC_PNL!E461=1,H461-G461,""))</f>
        <v/>
      </c>
    </row>
    <row r="462" ht="14.25" customHeight="1">
      <c r="A462" t="s">
        <v>79</v>
      </c>
      <c r="B462" t="s">
        <v>255</v>
      </c>
      <c r="C462" t="s">
        <v>210</v>
      </c>
      <c r="D462" t="s">
        <v>273</v>
      </c>
      <c r="E462" t="s">
        <v>191</v>
      </c>
      <c r="F462" t="s">
        <v>192</v>
      </c>
      <c r="G462">
        <v>25169</v>
      </c>
      <c r="H462">
        <f>IF(PNL!A462="","",_CALC_PNL!P462)</f>
        <v>25169</v>
      </c>
      <c r="I462" t="str">
        <f>IF(PNL!A462="","",IF(_CALC_PNL!E462=1,H462-G462,""))</f>
        <v/>
      </c>
    </row>
    <row r="463" ht="14.25" customHeight="1">
      <c r="A463" t="s">
        <v>81</v>
      </c>
      <c r="B463" t="s">
        <v>255</v>
      </c>
      <c r="C463" t="s">
        <v>210</v>
      </c>
      <c r="D463" t="s">
        <v>273</v>
      </c>
      <c r="E463" t="s">
        <v>191</v>
      </c>
      <c r="F463" t="s">
        <v>192</v>
      </c>
      <c r="G463">
        <v>22023</v>
      </c>
      <c r="H463">
        <f>IF(PNL!A463="","",_CALC_PNL!P463)</f>
        <v>22023</v>
      </c>
      <c r="I463" t="str">
        <f>IF(PNL!A463="","",IF(_CALC_PNL!E463=1,H463-G463,""))</f>
        <v/>
      </c>
    </row>
    <row r="464" ht="14.25" customHeight="1">
      <c r="A464" t="s">
        <v>83</v>
      </c>
      <c r="B464" t="s">
        <v>255</v>
      </c>
      <c r="C464" t="s">
        <v>210</v>
      </c>
      <c r="D464" t="s">
        <v>273</v>
      </c>
      <c r="E464" t="s">
        <v>191</v>
      </c>
      <c r="F464" t="s">
        <v>192</v>
      </c>
      <c r="G464">
        <v>50967</v>
      </c>
      <c r="H464">
        <f>IF(PNL!A464="","",_CALC_PNL!P464)</f>
        <v>50967</v>
      </c>
      <c r="I464" t="str">
        <f>IF(PNL!A464="","",IF(_CALC_PNL!E464=1,H464-G464,""))</f>
        <v/>
      </c>
    </row>
    <row r="465" ht="14.25" customHeight="1">
      <c r="A465" t="s">
        <v>84</v>
      </c>
      <c r="B465" t="s">
        <v>255</v>
      </c>
      <c r="C465" t="s">
        <v>210</v>
      </c>
      <c r="D465" t="s">
        <v>273</v>
      </c>
      <c r="E465" t="s">
        <v>191</v>
      </c>
      <c r="F465" t="s">
        <v>192</v>
      </c>
      <c r="G465">
        <v>19296</v>
      </c>
      <c r="H465">
        <f>IF(PNL!A465="","",_CALC_PNL!P465)</f>
        <v>19296</v>
      </c>
      <c r="I465" t="str">
        <f>IF(PNL!A465="","",IF(_CALC_PNL!E465=1,H465-G465,""))</f>
        <v/>
      </c>
    </row>
    <row r="466" ht="14.25" customHeight="1">
      <c r="A466" t="s">
        <v>86</v>
      </c>
      <c r="B466" t="s">
        <v>255</v>
      </c>
      <c r="C466" t="s">
        <v>210</v>
      </c>
      <c r="D466" t="s">
        <v>273</v>
      </c>
      <c r="E466" t="s">
        <v>191</v>
      </c>
      <c r="F466" t="s">
        <v>192</v>
      </c>
      <c r="G466">
        <v>18877</v>
      </c>
      <c r="H466">
        <f>IF(PNL!A466="","",_CALC_PNL!P466)</f>
        <v>18877</v>
      </c>
      <c r="I466" t="str">
        <f>IF(PNL!A466="","",IF(_CALC_PNL!E466=1,H466-G466,""))</f>
        <v/>
      </c>
    </row>
    <row r="467" ht="14.25" customHeight="1">
      <c r="A467" t="s">
        <v>88</v>
      </c>
      <c r="B467" t="s">
        <v>255</v>
      </c>
      <c r="C467" t="s">
        <v>210</v>
      </c>
      <c r="D467" t="s">
        <v>273</v>
      </c>
      <c r="E467" t="s">
        <v>191</v>
      </c>
      <c r="F467" t="s">
        <v>192</v>
      </c>
      <c r="G467">
        <v>12585</v>
      </c>
      <c r="H467">
        <f>IF(PNL!A467="","",_CALC_PNL!P467)</f>
        <v>12585</v>
      </c>
      <c r="I467" t="str">
        <f>IF(PNL!A467="","",IF(_CALC_PNL!E467=1,H467-G467,""))</f>
        <v/>
      </c>
    </row>
    <row r="468" ht="14.25" customHeight="1">
      <c r="A468" t="s">
        <v>90</v>
      </c>
      <c r="B468" t="s">
        <v>255</v>
      </c>
      <c r="C468" t="s">
        <v>210</v>
      </c>
      <c r="D468" t="s">
        <v>273</v>
      </c>
      <c r="E468" t="s">
        <v>191</v>
      </c>
      <c r="F468" t="s">
        <v>192</v>
      </c>
      <c r="G468">
        <v>11074</v>
      </c>
      <c r="H468">
        <f>IF(PNL!A468="","",_CALC_PNL!P468)</f>
        <v>11074</v>
      </c>
      <c r="I468" t="str">
        <f>IF(PNL!A468="","",IF(_CALC_PNL!E468=1,H468-G468,""))</f>
        <v/>
      </c>
    </row>
    <row r="469" ht="14.25" customHeight="1">
      <c r="A469" t="s">
        <v>92</v>
      </c>
      <c r="B469" t="s">
        <v>255</v>
      </c>
      <c r="C469" t="s">
        <v>210</v>
      </c>
      <c r="D469" t="s">
        <v>273</v>
      </c>
      <c r="E469" t="s">
        <v>191</v>
      </c>
      <c r="F469" t="s">
        <v>192</v>
      </c>
      <c r="G469">
        <v>11074</v>
      </c>
      <c r="H469">
        <f>IF(PNL!A469="","",_CALC_PNL!P469)</f>
        <v>11074</v>
      </c>
      <c r="I469" t="str">
        <f>IF(PNL!A469="","",IF(_CALC_PNL!E469=1,H469-G469,""))</f>
        <v/>
      </c>
    </row>
    <row r="470" ht="14.25" customHeight="1">
      <c r="A470" t="s">
        <v>94</v>
      </c>
      <c r="B470" t="s">
        <v>255</v>
      </c>
      <c r="C470" t="s">
        <v>210</v>
      </c>
      <c r="D470" t="s">
        <v>273</v>
      </c>
      <c r="E470" t="s">
        <v>191</v>
      </c>
      <c r="F470" t="s">
        <v>192</v>
      </c>
      <c r="G470">
        <v>18793</v>
      </c>
      <c r="H470">
        <f>IF(PNL!A470="","",_CALC_PNL!P470)</f>
        <v>18793</v>
      </c>
      <c r="I470" t="str">
        <f>IF(PNL!A470="","",IF(_CALC_PNL!E470=1,H470-G470,""))</f>
        <v/>
      </c>
    </row>
    <row r="471" ht="14.25" customHeight="1">
      <c r="A471" t="s">
        <v>95</v>
      </c>
      <c r="B471" t="s">
        <v>255</v>
      </c>
      <c r="C471" t="s">
        <v>210</v>
      </c>
      <c r="D471" t="s">
        <v>273</v>
      </c>
      <c r="E471" t="s">
        <v>191</v>
      </c>
      <c r="F471" t="s">
        <v>192</v>
      </c>
      <c r="G471">
        <v>17618</v>
      </c>
      <c r="H471">
        <f>IF(PNL!A471="","",_CALC_PNL!P471)</f>
        <v>17618</v>
      </c>
      <c r="I471" t="str">
        <f>IF(PNL!A471="","",IF(_CALC_PNL!E471=1,H471-G471,""))</f>
        <v/>
      </c>
    </row>
    <row r="472" ht="14.25" customHeight="1">
      <c r="A472" t="s">
        <v>96</v>
      </c>
      <c r="B472" t="s">
        <v>255</v>
      </c>
      <c r="C472" t="s">
        <v>210</v>
      </c>
      <c r="D472" t="s">
        <v>273</v>
      </c>
      <c r="E472" t="s">
        <v>191</v>
      </c>
      <c r="F472" t="s">
        <v>192</v>
      </c>
      <c r="G472">
        <v>20387</v>
      </c>
      <c r="H472">
        <f>IF(PNL!A472="","",_CALC_PNL!P472)</f>
        <v>20387</v>
      </c>
      <c r="I472" t="str">
        <f>IF(PNL!A472="","",IF(_CALC_PNL!E472=1,H472-G472,""))</f>
        <v/>
      </c>
    </row>
    <row r="473" ht="14.25" customHeight="1">
      <c r="A473" t="s">
        <v>97</v>
      </c>
      <c r="B473" t="s">
        <v>255</v>
      </c>
      <c r="C473" t="s">
        <v>210</v>
      </c>
      <c r="D473" t="s">
        <v>273</v>
      </c>
      <c r="E473" t="s">
        <v>191</v>
      </c>
      <c r="F473" t="s">
        <v>192</v>
      </c>
      <c r="G473">
        <v>14095</v>
      </c>
      <c r="H473">
        <f>IF(PNL!A473="","",_CALC_PNL!P473)</f>
        <v>14095</v>
      </c>
      <c r="I473" t="str">
        <f>IF(PNL!A473="","",IF(_CALC_PNL!E473=1,H473-G473,""))</f>
        <v/>
      </c>
    </row>
    <row r="474" ht="14.25" customHeight="1">
      <c r="A474" t="s">
        <v>75</v>
      </c>
      <c r="B474" t="s">
        <v>255</v>
      </c>
      <c r="C474" t="s">
        <v>25</v>
      </c>
      <c r="D474" t="s">
        <v>273</v>
      </c>
      <c r="E474" t="s">
        <v>191</v>
      </c>
      <c r="F474" t="s">
        <v>192</v>
      </c>
      <c r="G474">
        <v>53400</v>
      </c>
      <c r="H474">
        <f>IF(PNL!A474="","",_CALC_PNL!P474)</f>
        <v>53400</v>
      </c>
      <c r="I474" t="str">
        <f>IF(PNL!A474="","",IF(_CALC_PNL!E474=1,H474-G474,""))</f>
        <v/>
      </c>
    </row>
    <row r="475" ht="14.25" customHeight="1">
      <c r="A475" t="s">
        <v>77</v>
      </c>
      <c r="B475" t="s">
        <v>255</v>
      </c>
      <c r="C475" t="s">
        <v>25</v>
      </c>
      <c r="D475" t="s">
        <v>273</v>
      </c>
      <c r="E475" t="s">
        <v>191</v>
      </c>
      <c r="F475" t="s">
        <v>192</v>
      </c>
      <c r="G475">
        <v>31996</v>
      </c>
      <c r="H475">
        <f>IF(PNL!A475="","",_CALC_PNL!P475)</f>
        <v>31996</v>
      </c>
      <c r="I475" t="str">
        <f>IF(PNL!A475="","",IF(_CALC_PNL!E475=1,H475-G475,""))</f>
        <v/>
      </c>
    </row>
    <row r="476" ht="14.25" customHeight="1">
      <c r="A476" t="s">
        <v>79</v>
      </c>
      <c r="B476" t="s">
        <v>255</v>
      </c>
      <c r="C476" t="s">
        <v>25</v>
      </c>
      <c r="D476" t="s">
        <v>273</v>
      </c>
      <c r="E476" t="s">
        <v>191</v>
      </c>
      <c r="F476" t="s">
        <v>192</v>
      </c>
      <c r="G476">
        <v>26370</v>
      </c>
      <c r="H476">
        <f>IF(PNL!A476="","",_CALC_PNL!P476)</f>
        <v>26370</v>
      </c>
      <c r="I476" t="str">
        <f>IF(PNL!A476="","",IF(_CALC_PNL!E476=1,H476-G476,""))</f>
        <v/>
      </c>
    </row>
    <row r="477" ht="14.25" customHeight="1">
      <c r="A477" t="s">
        <v>81</v>
      </c>
      <c r="B477" t="s">
        <v>255</v>
      </c>
      <c r="C477" t="s">
        <v>25</v>
      </c>
      <c r="D477" t="s">
        <v>273</v>
      </c>
      <c r="E477" t="s">
        <v>191</v>
      </c>
      <c r="F477" t="s">
        <v>192</v>
      </c>
      <c r="G477">
        <v>23074</v>
      </c>
      <c r="H477">
        <f>IF(PNL!A477="","",_CALC_PNL!P477)</f>
        <v>23074</v>
      </c>
      <c r="I477" t="str">
        <f>IF(PNL!A477="","",IF(_CALC_PNL!E477=1,H477-G477,""))</f>
        <v/>
      </c>
    </row>
    <row r="478" ht="14.25" customHeight="1">
      <c r="A478" t="s">
        <v>83</v>
      </c>
      <c r="B478" t="s">
        <v>255</v>
      </c>
      <c r="C478" t="s">
        <v>25</v>
      </c>
      <c r="D478" t="s">
        <v>273</v>
      </c>
      <c r="E478" t="s">
        <v>191</v>
      </c>
      <c r="F478" t="s">
        <v>192</v>
      </c>
      <c r="G478">
        <v>53400</v>
      </c>
      <c r="H478">
        <f>IF(PNL!A478="","",_CALC_PNL!P478)</f>
        <v>53400</v>
      </c>
      <c r="I478" t="str">
        <f>IF(PNL!A478="","",IF(_CALC_PNL!E478=1,H478-G478,""))</f>
        <v/>
      </c>
    </row>
    <row r="479" ht="14.25" customHeight="1">
      <c r="A479" t="s">
        <v>84</v>
      </c>
      <c r="B479" t="s">
        <v>255</v>
      </c>
      <c r="C479" t="s">
        <v>25</v>
      </c>
      <c r="D479" t="s">
        <v>273</v>
      </c>
      <c r="E479" t="s">
        <v>191</v>
      </c>
      <c r="F479" t="s">
        <v>192</v>
      </c>
      <c r="G479">
        <v>20217</v>
      </c>
      <c r="H479">
        <f>IF(PNL!A479="","",_CALC_PNL!P479)</f>
        <v>20217</v>
      </c>
      <c r="I479" t="str">
        <f>IF(PNL!A479="","",IF(_CALC_PNL!E479=1,H479-G479,""))</f>
        <v/>
      </c>
    </row>
    <row r="480" ht="14.25" customHeight="1">
      <c r="A480" t="s">
        <v>86</v>
      </c>
      <c r="B480" t="s">
        <v>255</v>
      </c>
      <c r="C480" t="s">
        <v>25</v>
      </c>
      <c r="D480" t="s">
        <v>273</v>
      </c>
      <c r="E480" t="s">
        <v>191</v>
      </c>
      <c r="F480" t="s">
        <v>192</v>
      </c>
      <c r="G480">
        <v>19778</v>
      </c>
      <c r="H480">
        <f>IF(PNL!A480="","",_CALC_PNL!P480)</f>
        <v>19778</v>
      </c>
      <c r="I480" t="str">
        <f>IF(PNL!A480="","",IF(_CALC_PNL!E480=1,H480-G480,""))</f>
        <v/>
      </c>
    </row>
    <row r="481" ht="14.25" customHeight="1">
      <c r="A481" t="s">
        <v>88</v>
      </c>
      <c r="B481" t="s">
        <v>255</v>
      </c>
      <c r="C481" t="s">
        <v>25</v>
      </c>
      <c r="D481" t="s">
        <v>273</v>
      </c>
      <c r="E481" t="s">
        <v>191</v>
      </c>
      <c r="F481" t="s">
        <v>192</v>
      </c>
      <c r="G481">
        <v>13185</v>
      </c>
      <c r="H481">
        <f>IF(PNL!A481="","",_CALC_PNL!P481)</f>
        <v>13185</v>
      </c>
      <c r="I481" t="str">
        <f>IF(PNL!A481="","",IF(_CALC_PNL!E481=1,H481-G481,""))</f>
        <v/>
      </c>
    </row>
    <row r="482" ht="14.25" customHeight="1">
      <c r="A482" t="s">
        <v>90</v>
      </c>
      <c r="B482" t="s">
        <v>255</v>
      </c>
      <c r="C482" t="s">
        <v>25</v>
      </c>
      <c r="D482" t="s">
        <v>273</v>
      </c>
      <c r="E482" t="s">
        <v>191</v>
      </c>
      <c r="F482" t="s">
        <v>192</v>
      </c>
      <c r="G482">
        <v>11603</v>
      </c>
      <c r="H482">
        <f>IF(PNL!A482="","",_CALC_PNL!P482)</f>
        <v>11603</v>
      </c>
      <c r="I482" t="str">
        <f>IF(PNL!A482="","",IF(_CALC_PNL!E482=1,H482-G482,""))</f>
        <v/>
      </c>
    </row>
    <row r="483" ht="14.25" customHeight="1">
      <c r="A483" t="s">
        <v>92</v>
      </c>
      <c r="B483" t="s">
        <v>255</v>
      </c>
      <c r="C483" t="s">
        <v>25</v>
      </c>
      <c r="D483" t="s">
        <v>273</v>
      </c>
      <c r="E483" t="s">
        <v>191</v>
      </c>
      <c r="F483" t="s">
        <v>192</v>
      </c>
      <c r="G483">
        <v>11603</v>
      </c>
      <c r="H483">
        <f>IF(PNL!A483="","",_CALC_PNL!P483)</f>
        <v>11603</v>
      </c>
      <c r="I483" t="str">
        <f>IF(PNL!A483="","",IF(_CALC_PNL!E483=1,H483-G483,""))</f>
        <v/>
      </c>
    </row>
    <row r="484" ht="14.25" customHeight="1">
      <c r="A484" t="s">
        <v>94</v>
      </c>
      <c r="B484" t="s">
        <v>255</v>
      </c>
      <c r="C484" t="s">
        <v>25</v>
      </c>
      <c r="D484" t="s">
        <v>273</v>
      </c>
      <c r="E484" t="s">
        <v>191</v>
      </c>
      <c r="F484" t="s">
        <v>192</v>
      </c>
      <c r="G484">
        <v>19690</v>
      </c>
      <c r="H484">
        <f>IF(PNL!A484="","",_CALC_PNL!P484)</f>
        <v>19690</v>
      </c>
      <c r="I484" t="str">
        <f>IF(PNL!A484="","",IF(_CALC_PNL!E484=1,H484-G484,""))</f>
        <v/>
      </c>
    </row>
    <row r="485" ht="14.25" customHeight="1">
      <c r="A485" t="s">
        <v>95</v>
      </c>
      <c r="B485" t="s">
        <v>255</v>
      </c>
      <c r="C485" t="s">
        <v>25</v>
      </c>
      <c r="D485" t="s">
        <v>273</v>
      </c>
      <c r="E485" t="s">
        <v>191</v>
      </c>
      <c r="F485" t="s">
        <v>192</v>
      </c>
      <c r="G485">
        <v>18459</v>
      </c>
      <c r="H485">
        <f>IF(PNL!A485="","",_CALC_PNL!P485)</f>
        <v>18459</v>
      </c>
      <c r="I485" t="str">
        <f>IF(PNL!A485="","",IF(_CALC_PNL!E485=1,H485-G485,""))</f>
        <v/>
      </c>
    </row>
    <row r="486" ht="14.25" customHeight="1">
      <c r="A486" t="s">
        <v>96</v>
      </c>
      <c r="B486" t="s">
        <v>255</v>
      </c>
      <c r="C486" t="s">
        <v>25</v>
      </c>
      <c r="D486" t="s">
        <v>273</v>
      </c>
      <c r="E486" t="s">
        <v>191</v>
      </c>
      <c r="F486" t="s">
        <v>192</v>
      </c>
      <c r="G486">
        <v>21360</v>
      </c>
      <c r="H486">
        <f>IF(PNL!A486="","",_CALC_PNL!P486)</f>
        <v>21360</v>
      </c>
      <c r="I486" t="str">
        <f>IF(PNL!A486="","",IF(_CALC_PNL!E486=1,H486-G486,""))</f>
        <v/>
      </c>
    </row>
    <row r="487" ht="14.25" customHeight="1">
      <c r="A487" t="s">
        <v>97</v>
      </c>
      <c r="B487" t="s">
        <v>255</v>
      </c>
      <c r="C487" t="s">
        <v>25</v>
      </c>
      <c r="D487" t="s">
        <v>273</v>
      </c>
      <c r="E487" t="s">
        <v>191</v>
      </c>
      <c r="F487" t="s">
        <v>192</v>
      </c>
      <c r="G487">
        <v>14767</v>
      </c>
      <c r="H487">
        <f>IF(PNL!A487="","",_CALC_PNL!P487)</f>
        <v>14767</v>
      </c>
      <c r="I487" t="str">
        <f>IF(PNL!A487="","",IF(_CALC_PNL!E487=1,H487-G487,""))</f>
        <v/>
      </c>
    </row>
    <row r="488" ht="14.25" customHeight="1">
      <c r="A488" t="s">
        <v>75</v>
      </c>
      <c r="B488" t="s">
        <v>256</v>
      </c>
      <c r="C488" t="s">
        <v>211</v>
      </c>
      <c r="D488" t="s">
        <v>273</v>
      </c>
      <c r="E488" t="s">
        <v>191</v>
      </c>
      <c r="F488" t="s">
        <v>192</v>
      </c>
      <c r="G488">
        <v>35430</v>
      </c>
      <c r="H488">
        <f>IF(PNL!A488="","",_CALC_PNL!P488)</f>
        <v>35430</v>
      </c>
      <c r="I488" t="str">
        <f>IF(PNL!A488="","",IF(_CALC_PNL!E488=1,H488-G488,""))</f>
        <v/>
      </c>
    </row>
    <row r="489" ht="14.25" customHeight="1">
      <c r="A489" t="s">
        <v>77</v>
      </c>
      <c r="B489" t="s">
        <v>256</v>
      </c>
      <c r="C489" t="s">
        <v>211</v>
      </c>
      <c r="D489" t="s">
        <v>273</v>
      </c>
      <c r="E489" t="s">
        <v>191</v>
      </c>
      <c r="F489" t="s">
        <v>192</v>
      </c>
      <c r="G489">
        <v>20776</v>
      </c>
      <c r="H489">
        <f>IF(PNL!A489="","",_CALC_PNL!P489)</f>
        <v>20776</v>
      </c>
      <c r="I489" t="str">
        <f>IF(PNL!A489="","",IF(_CALC_PNL!E489=1,H489-G489,""))</f>
        <v/>
      </c>
    </row>
    <row r="490" ht="14.25" customHeight="1">
      <c r="A490" t="s">
        <v>79</v>
      </c>
      <c r="B490" t="s">
        <v>256</v>
      </c>
      <c r="C490" t="s">
        <v>211</v>
      </c>
      <c r="D490" t="s">
        <v>273</v>
      </c>
      <c r="E490" t="s">
        <v>191</v>
      </c>
      <c r="F490" t="s">
        <v>192</v>
      </c>
      <c r="G490">
        <v>16832</v>
      </c>
      <c r="H490">
        <f>IF(PNL!A490="","",_CALC_PNL!P490)</f>
        <v>16832</v>
      </c>
      <c r="I490" t="str">
        <f>IF(PNL!A490="","",IF(_CALC_PNL!E490=1,H490-G490,""))</f>
        <v/>
      </c>
    </row>
    <row r="491" ht="14.25" customHeight="1">
      <c r="A491" t="s">
        <v>81</v>
      </c>
      <c r="B491" t="s">
        <v>256</v>
      </c>
      <c r="C491" t="s">
        <v>211</v>
      </c>
      <c r="D491" t="s">
        <v>273</v>
      </c>
      <c r="E491" t="s">
        <v>191</v>
      </c>
      <c r="F491" t="s">
        <v>192</v>
      </c>
      <c r="G491">
        <v>14969</v>
      </c>
      <c r="H491">
        <f>IF(PNL!A491="","",_CALC_PNL!P491)</f>
        <v>14969</v>
      </c>
      <c r="I491" t="str">
        <f>IF(PNL!A491="","",IF(_CALC_PNL!E491=1,H491-G491,""))</f>
        <v/>
      </c>
    </row>
    <row r="492" ht="14.25" customHeight="1">
      <c r="A492" t="s">
        <v>83</v>
      </c>
      <c r="B492" t="s">
        <v>256</v>
      </c>
      <c r="C492" t="s">
        <v>211</v>
      </c>
      <c r="D492" t="s">
        <v>273</v>
      </c>
      <c r="E492" t="s">
        <v>191</v>
      </c>
      <c r="F492" t="s">
        <v>192</v>
      </c>
      <c r="G492">
        <v>32833</v>
      </c>
      <c r="H492">
        <f>IF(PNL!A492="","",_CALC_PNL!P492)</f>
        <v>32833</v>
      </c>
      <c r="I492" t="str">
        <f>IF(PNL!A492="","",IF(_CALC_PNL!E492=1,H492-G492,""))</f>
        <v/>
      </c>
    </row>
    <row r="493" ht="14.25" customHeight="1">
      <c r="A493" t="s">
        <v>84</v>
      </c>
      <c r="B493" t="s">
        <v>256</v>
      </c>
      <c r="C493" t="s">
        <v>211</v>
      </c>
      <c r="D493" t="s">
        <v>273</v>
      </c>
      <c r="E493" t="s">
        <v>191</v>
      </c>
      <c r="F493" t="s">
        <v>192</v>
      </c>
      <c r="G493">
        <v>12852</v>
      </c>
      <c r="H493">
        <f>IF(PNL!A493="","",_CALC_PNL!P493)</f>
        <v>12852</v>
      </c>
      <c r="I493" t="str">
        <f>IF(PNL!A493="","",IF(_CALC_PNL!E493=1,H493-G493,""))</f>
        <v/>
      </c>
    </row>
    <row r="494" ht="14.25" customHeight="1">
      <c r="A494" t="s">
        <v>86</v>
      </c>
      <c r="B494" t="s">
        <v>256</v>
      </c>
      <c r="C494" t="s">
        <v>211</v>
      </c>
      <c r="D494" t="s">
        <v>273</v>
      </c>
      <c r="E494" t="s">
        <v>191</v>
      </c>
      <c r="F494" t="s">
        <v>192</v>
      </c>
      <c r="G494">
        <v>11903</v>
      </c>
      <c r="H494">
        <f>IF(PNL!A494="","",_CALC_PNL!P494)</f>
        <v>11903</v>
      </c>
      <c r="I494" t="str">
        <f>IF(PNL!A494="","",IF(_CALC_PNL!E494=1,H494-G494,""))</f>
        <v/>
      </c>
    </row>
    <row r="495" ht="14.25" customHeight="1">
      <c r="A495" t="s">
        <v>88</v>
      </c>
      <c r="B495" t="s">
        <v>256</v>
      </c>
      <c r="C495" t="s">
        <v>211</v>
      </c>
      <c r="D495" t="s">
        <v>273</v>
      </c>
      <c r="E495" t="s">
        <v>191</v>
      </c>
      <c r="F495" t="s">
        <v>192</v>
      </c>
      <c r="G495">
        <v>8302</v>
      </c>
      <c r="H495">
        <f>IF(PNL!A495="","",_CALC_PNL!P495)</f>
        <v>8302</v>
      </c>
      <c r="I495" t="str">
        <f>IF(PNL!A495="","",IF(_CALC_PNL!E495=1,H495-G495,""))</f>
        <v/>
      </c>
    </row>
    <row r="496" ht="14.25" customHeight="1">
      <c r="A496" t="s">
        <v>90</v>
      </c>
      <c r="B496" t="s">
        <v>256</v>
      </c>
      <c r="C496" t="s">
        <v>211</v>
      </c>
      <c r="D496" t="s">
        <v>273</v>
      </c>
      <c r="E496" t="s">
        <v>191</v>
      </c>
      <c r="F496" t="s">
        <v>192</v>
      </c>
      <c r="G496">
        <v>5895</v>
      </c>
      <c r="H496">
        <f>IF(PNL!A496="","",_CALC_PNL!P496)</f>
        <v>5895</v>
      </c>
      <c r="I496" t="str">
        <f>IF(PNL!A496="","",IF(_CALC_PNL!E496=1,H496-G496,""))</f>
        <v/>
      </c>
    </row>
    <row r="497" ht="14.25" customHeight="1">
      <c r="A497" t="s">
        <v>92</v>
      </c>
      <c r="B497" t="s">
        <v>256</v>
      </c>
      <c r="C497" t="s">
        <v>211</v>
      </c>
      <c r="D497" t="s">
        <v>273</v>
      </c>
      <c r="E497" t="s">
        <v>191</v>
      </c>
      <c r="F497" t="s">
        <v>192</v>
      </c>
      <c r="G497">
        <v>5895</v>
      </c>
      <c r="H497">
        <f>IF(PNL!A497="","",_CALC_PNL!P497)</f>
        <v>5895</v>
      </c>
      <c r="I497" t="str">
        <f>IF(PNL!A497="","",IF(_CALC_PNL!E497=1,H497-G497,""))</f>
        <v/>
      </c>
    </row>
    <row r="498" ht="14.25" customHeight="1">
      <c r="A498" t="s">
        <v>94</v>
      </c>
      <c r="B498" t="s">
        <v>256</v>
      </c>
      <c r="C498" t="s">
        <v>211</v>
      </c>
      <c r="D498" t="s">
        <v>273</v>
      </c>
      <c r="E498" t="s">
        <v>191</v>
      </c>
      <c r="F498" t="s">
        <v>192</v>
      </c>
      <c r="G498">
        <v>11670</v>
      </c>
      <c r="H498">
        <f>IF(PNL!A498="","",_CALC_PNL!P498)</f>
        <v>11670</v>
      </c>
      <c r="I498" t="str">
        <f>IF(PNL!A498="","",IF(_CALC_PNL!E498=1,H498-G498,""))</f>
        <v/>
      </c>
    </row>
    <row r="499" ht="14.25" customHeight="1">
      <c r="A499" t="s">
        <v>95</v>
      </c>
      <c r="B499" t="s">
        <v>256</v>
      </c>
      <c r="C499" t="s">
        <v>211</v>
      </c>
      <c r="D499" t="s">
        <v>273</v>
      </c>
      <c r="E499" t="s">
        <v>191</v>
      </c>
      <c r="F499" t="s">
        <v>192</v>
      </c>
      <c r="G499">
        <v>8536</v>
      </c>
      <c r="H499">
        <f>IF(PNL!A499="","",_CALC_PNL!P499)</f>
        <v>8536</v>
      </c>
      <c r="I499" t="str">
        <f>IF(PNL!A499="","",IF(_CALC_PNL!E499=1,H499-G499,""))</f>
        <v/>
      </c>
    </row>
    <row r="500" ht="14.25" customHeight="1">
      <c r="A500" t="s">
        <v>96</v>
      </c>
      <c r="B500" t="s">
        <v>256</v>
      </c>
      <c r="C500" t="s">
        <v>211</v>
      </c>
      <c r="D500" t="s">
        <v>273</v>
      </c>
      <c r="E500" t="s">
        <v>191</v>
      </c>
      <c r="F500" t="s">
        <v>192</v>
      </c>
      <c r="G500">
        <v>12799</v>
      </c>
      <c r="H500">
        <f>IF(PNL!A500="","",_CALC_PNL!P500)</f>
        <v>12799</v>
      </c>
      <c r="I500" t="str">
        <f>IF(PNL!A500="","",IF(_CALC_PNL!E500=1,H500-G500,""))</f>
        <v/>
      </c>
    </row>
    <row r="501" ht="14.25" customHeight="1">
      <c r="A501" t="s">
        <v>97</v>
      </c>
      <c r="B501" t="s">
        <v>256</v>
      </c>
      <c r="C501" t="s">
        <v>211</v>
      </c>
      <c r="D501" t="s">
        <v>273</v>
      </c>
      <c r="E501" t="s">
        <v>191</v>
      </c>
      <c r="F501" t="s">
        <v>192</v>
      </c>
      <c r="G501">
        <v>7502</v>
      </c>
      <c r="H501">
        <f>IF(PNL!A501="","",_CALC_PNL!P501)</f>
        <v>7502</v>
      </c>
      <c r="I501" t="str">
        <f>IF(PNL!A501="","",IF(_CALC_PNL!E501=1,H501-G501,""))</f>
        <v/>
      </c>
    </row>
    <row r="502" ht="14.25" customHeight="1">
      <c r="A502" t="s">
        <v>75</v>
      </c>
      <c r="B502" t="s">
        <v>256</v>
      </c>
      <c r="C502" t="s">
        <v>210</v>
      </c>
      <c r="D502" t="s">
        <v>273</v>
      </c>
      <c r="E502" t="s">
        <v>191</v>
      </c>
      <c r="F502" t="s">
        <v>192</v>
      </c>
      <c r="G502">
        <v>37054</v>
      </c>
      <c r="H502">
        <f>IF(PNL!A502="","",_CALC_PNL!P502)</f>
        <v>37054</v>
      </c>
      <c r="I502" t="str">
        <f>IF(PNL!A502="","",IF(_CALC_PNL!E502=1,H502-G502,""))</f>
        <v/>
      </c>
    </row>
    <row r="503" ht="14.25" customHeight="1">
      <c r="A503" t="s">
        <v>77</v>
      </c>
      <c r="B503" t="s">
        <v>256</v>
      </c>
      <c r="C503" t="s">
        <v>210</v>
      </c>
      <c r="D503" t="s">
        <v>273</v>
      </c>
      <c r="E503" t="s">
        <v>191</v>
      </c>
      <c r="F503" t="s">
        <v>192</v>
      </c>
      <c r="G503">
        <v>21728</v>
      </c>
      <c r="H503">
        <f>IF(PNL!A503="","",_CALC_PNL!P503)</f>
        <v>21728</v>
      </c>
      <c r="I503" t="str">
        <f>IF(PNL!A503="","",IF(_CALC_PNL!E503=1,H503-G503,""))</f>
        <v/>
      </c>
    </row>
    <row r="504" ht="14.25" customHeight="1">
      <c r="A504" t="s">
        <v>79</v>
      </c>
      <c r="B504" t="s">
        <v>256</v>
      </c>
      <c r="C504" t="s">
        <v>210</v>
      </c>
      <c r="D504" t="s">
        <v>273</v>
      </c>
      <c r="E504" t="s">
        <v>191</v>
      </c>
      <c r="F504" t="s">
        <v>192</v>
      </c>
      <c r="G504">
        <v>17604</v>
      </c>
      <c r="H504">
        <f>IF(PNL!A504="","",_CALC_PNL!P504)</f>
        <v>17604</v>
      </c>
      <c r="I504" t="str">
        <f>IF(PNL!A504="","",IF(_CALC_PNL!E504=1,H504-G504,""))</f>
        <v/>
      </c>
    </row>
    <row r="505" ht="14.25" customHeight="1">
      <c r="A505" t="s">
        <v>81</v>
      </c>
      <c r="B505" t="s">
        <v>256</v>
      </c>
      <c r="C505" t="s">
        <v>210</v>
      </c>
      <c r="D505" t="s">
        <v>273</v>
      </c>
      <c r="E505" t="s">
        <v>191</v>
      </c>
      <c r="F505" t="s">
        <v>192</v>
      </c>
      <c r="G505">
        <v>15655</v>
      </c>
      <c r="H505">
        <f>IF(PNL!A505="","",_CALC_PNL!P505)</f>
        <v>15655</v>
      </c>
      <c r="I505" t="str">
        <f>IF(PNL!A505="","",IF(_CALC_PNL!E505=1,H505-G505,""))</f>
        <v/>
      </c>
    </row>
    <row r="506" ht="14.25" customHeight="1">
      <c r="A506" t="s">
        <v>83</v>
      </c>
      <c r="B506" t="s">
        <v>256</v>
      </c>
      <c r="C506" t="s">
        <v>210</v>
      </c>
      <c r="D506" t="s">
        <v>273</v>
      </c>
      <c r="E506" t="s">
        <v>191</v>
      </c>
      <c r="F506" t="s">
        <v>192</v>
      </c>
      <c r="G506">
        <v>34338</v>
      </c>
      <c r="H506">
        <f>IF(PNL!A506="","",_CALC_PNL!P506)</f>
        <v>34338</v>
      </c>
      <c r="I506" t="str">
        <f>IF(PNL!A506="","",IF(_CALC_PNL!E506=1,H506-G506,""))</f>
        <v/>
      </c>
    </row>
    <row r="507" ht="14.25" customHeight="1">
      <c r="A507" t="s">
        <v>84</v>
      </c>
      <c r="B507" t="s">
        <v>256</v>
      </c>
      <c r="C507" t="s">
        <v>210</v>
      </c>
      <c r="D507" t="s">
        <v>273</v>
      </c>
      <c r="E507" t="s">
        <v>191</v>
      </c>
      <c r="F507" t="s">
        <v>192</v>
      </c>
      <c r="G507">
        <v>13441</v>
      </c>
      <c r="H507">
        <f>IF(PNL!A507="","",_CALC_PNL!P507)</f>
        <v>13441</v>
      </c>
      <c r="I507" t="str">
        <f>IF(PNL!A507="","",IF(_CALC_PNL!E507=1,H507-G507,""))</f>
        <v/>
      </c>
    </row>
    <row r="508" ht="14.25" customHeight="1">
      <c r="A508" t="s">
        <v>86</v>
      </c>
      <c r="B508" t="s">
        <v>256</v>
      </c>
      <c r="C508" t="s">
        <v>210</v>
      </c>
      <c r="D508" t="s">
        <v>273</v>
      </c>
      <c r="E508" t="s">
        <v>191</v>
      </c>
      <c r="F508" t="s">
        <v>192</v>
      </c>
      <c r="G508">
        <v>12448</v>
      </c>
      <c r="H508">
        <f>IF(PNL!A508="","",_CALC_PNL!P508)</f>
        <v>12448</v>
      </c>
      <c r="I508" t="str">
        <f>IF(PNL!A508="","",IF(_CALC_PNL!E508=1,H508-G508,""))</f>
        <v/>
      </c>
    </row>
    <row r="509" ht="14.25" customHeight="1">
      <c r="A509" t="s">
        <v>88</v>
      </c>
      <c r="B509" t="s">
        <v>256</v>
      </c>
      <c r="C509" t="s">
        <v>210</v>
      </c>
      <c r="D509" t="s">
        <v>273</v>
      </c>
      <c r="E509" t="s">
        <v>191</v>
      </c>
      <c r="F509" t="s">
        <v>192</v>
      </c>
      <c r="G509">
        <v>8682</v>
      </c>
      <c r="H509">
        <f>IF(PNL!A509="","",_CALC_PNL!P509)</f>
        <v>8682</v>
      </c>
      <c r="I509" t="str">
        <f>IF(PNL!A509="","",IF(_CALC_PNL!E509=1,H509-G509,""))</f>
        <v/>
      </c>
    </row>
    <row r="510" ht="14.25" customHeight="1">
      <c r="A510" t="s">
        <v>90</v>
      </c>
      <c r="B510" t="s">
        <v>256</v>
      </c>
      <c r="C510" t="s">
        <v>210</v>
      </c>
      <c r="D510" t="s">
        <v>273</v>
      </c>
      <c r="E510" t="s">
        <v>191</v>
      </c>
      <c r="F510" t="s">
        <v>192</v>
      </c>
      <c r="G510">
        <v>6165</v>
      </c>
      <c r="H510">
        <f>IF(PNL!A510="","",_CALC_PNL!P510)</f>
        <v>6165</v>
      </c>
      <c r="I510" t="str">
        <f>IF(PNL!A510="","",IF(_CALC_PNL!E510=1,H510-G510,""))</f>
        <v/>
      </c>
    </row>
    <row r="511" ht="14.25" customHeight="1">
      <c r="A511" t="s">
        <v>92</v>
      </c>
      <c r="B511" t="s">
        <v>256</v>
      </c>
      <c r="C511" t="s">
        <v>210</v>
      </c>
      <c r="D511" t="s">
        <v>273</v>
      </c>
      <c r="E511" t="s">
        <v>191</v>
      </c>
      <c r="F511" t="s">
        <v>192</v>
      </c>
      <c r="G511">
        <v>6165</v>
      </c>
      <c r="H511">
        <f>IF(PNL!A511="","",_CALC_PNL!P511)</f>
        <v>6165</v>
      </c>
      <c r="I511" t="str">
        <f>IF(PNL!A511="","",IF(_CALC_PNL!E511=1,H511-G511,""))</f>
        <v/>
      </c>
    </row>
    <row r="512" ht="14.25" customHeight="1">
      <c r="A512" t="s">
        <v>94</v>
      </c>
      <c r="B512" t="s">
        <v>256</v>
      </c>
      <c r="C512" t="s">
        <v>210</v>
      </c>
      <c r="D512" t="s">
        <v>273</v>
      </c>
      <c r="E512" t="s">
        <v>191</v>
      </c>
      <c r="F512" t="s">
        <v>192</v>
      </c>
      <c r="G512">
        <v>12205</v>
      </c>
      <c r="H512">
        <f>IF(PNL!A512="","",_CALC_PNL!P512)</f>
        <v>12205</v>
      </c>
      <c r="I512" t="str">
        <f>IF(PNL!A512="","",IF(_CALC_PNL!E512=1,H512-G512,""))</f>
        <v/>
      </c>
    </row>
    <row r="513" ht="14.25" customHeight="1">
      <c r="A513" t="s">
        <v>95</v>
      </c>
      <c r="B513" t="s">
        <v>256</v>
      </c>
      <c r="C513" t="s">
        <v>210</v>
      </c>
      <c r="D513" t="s">
        <v>273</v>
      </c>
      <c r="E513" t="s">
        <v>191</v>
      </c>
      <c r="F513" t="s">
        <v>192</v>
      </c>
      <c r="G513">
        <v>8928</v>
      </c>
      <c r="H513">
        <f>IF(PNL!A513="","",_CALC_PNL!P513)</f>
        <v>8928</v>
      </c>
      <c r="I513" t="str">
        <f>IF(PNL!A513="","",IF(_CALC_PNL!E513=1,H513-G513,""))</f>
        <v/>
      </c>
    </row>
    <row r="514" ht="14.25" customHeight="1">
      <c r="A514" t="s">
        <v>96</v>
      </c>
      <c r="B514" t="s">
        <v>256</v>
      </c>
      <c r="C514" t="s">
        <v>210</v>
      </c>
      <c r="D514" t="s">
        <v>273</v>
      </c>
      <c r="E514" t="s">
        <v>191</v>
      </c>
      <c r="F514" t="s">
        <v>192</v>
      </c>
      <c r="G514">
        <v>13386</v>
      </c>
      <c r="H514">
        <f>IF(PNL!A514="","",_CALC_PNL!P514)</f>
        <v>13386</v>
      </c>
      <c r="I514" t="str">
        <f>IF(PNL!A514="","",IF(_CALC_PNL!E514=1,H514-G514,""))</f>
        <v/>
      </c>
    </row>
    <row r="515" ht="14.25" customHeight="1">
      <c r="A515" t="s">
        <v>97</v>
      </c>
      <c r="B515" t="s">
        <v>256</v>
      </c>
      <c r="C515" t="s">
        <v>210</v>
      </c>
      <c r="D515" t="s">
        <v>273</v>
      </c>
      <c r="E515" t="s">
        <v>191</v>
      </c>
      <c r="F515" t="s">
        <v>192</v>
      </c>
      <c r="G515">
        <v>7846</v>
      </c>
      <c r="H515">
        <f>IF(PNL!A515="","",_CALC_PNL!P515)</f>
        <v>7846</v>
      </c>
      <c r="I515" t="str">
        <f>IF(PNL!A515="","",IF(_CALC_PNL!E515=1,H515-G515,""))</f>
        <v/>
      </c>
    </row>
    <row r="516" ht="14.25" customHeight="1">
      <c r="A516" t="s">
        <v>75</v>
      </c>
      <c r="B516" t="s">
        <v>256</v>
      </c>
      <c r="C516" t="s">
        <v>25</v>
      </c>
      <c r="D516" t="s">
        <v>273</v>
      </c>
      <c r="E516" t="s">
        <v>191</v>
      </c>
      <c r="F516" t="s">
        <v>192</v>
      </c>
      <c r="G516">
        <v>38822</v>
      </c>
      <c r="H516">
        <f>IF(PNL!A516="","",_CALC_PNL!P516)</f>
        <v>38822</v>
      </c>
      <c r="I516" t="str">
        <f>IF(PNL!A516="","",IF(_CALC_PNL!E516=1,H516-G516,""))</f>
        <v/>
      </c>
    </row>
    <row r="517" ht="14.25" customHeight="1">
      <c r="A517" t="s">
        <v>77</v>
      </c>
      <c r="B517" t="s">
        <v>256</v>
      </c>
      <c r="C517" t="s">
        <v>25</v>
      </c>
      <c r="D517" t="s">
        <v>273</v>
      </c>
      <c r="E517" t="s">
        <v>191</v>
      </c>
      <c r="F517" t="s">
        <v>192</v>
      </c>
      <c r="G517">
        <v>22765</v>
      </c>
      <c r="H517">
        <f>IF(PNL!A517="","",_CALC_PNL!P517)</f>
        <v>22765</v>
      </c>
      <c r="I517" t="str">
        <f>IF(PNL!A517="","",IF(_CALC_PNL!E517=1,H517-G517,""))</f>
        <v/>
      </c>
    </row>
    <row r="518" ht="14.25" customHeight="1">
      <c r="A518" t="s">
        <v>79</v>
      </c>
      <c r="B518" t="s">
        <v>256</v>
      </c>
      <c r="C518" t="s">
        <v>25</v>
      </c>
      <c r="D518" t="s">
        <v>273</v>
      </c>
      <c r="E518" t="s">
        <v>191</v>
      </c>
      <c r="F518" t="s">
        <v>192</v>
      </c>
      <c r="G518">
        <v>18444</v>
      </c>
      <c r="H518">
        <f>IF(PNL!A518="","",_CALC_PNL!P518)</f>
        <v>18444</v>
      </c>
      <c r="I518" t="str">
        <f>IF(PNL!A518="","",IF(_CALC_PNL!E518=1,H518-G518,""))</f>
        <v/>
      </c>
    </row>
    <row r="519" ht="14.25" customHeight="1">
      <c r="A519" t="s">
        <v>81</v>
      </c>
      <c r="B519" t="s">
        <v>256</v>
      </c>
      <c r="C519" t="s">
        <v>25</v>
      </c>
      <c r="D519" t="s">
        <v>273</v>
      </c>
      <c r="E519" t="s">
        <v>191</v>
      </c>
      <c r="F519" t="s">
        <v>192</v>
      </c>
      <c r="G519">
        <v>16402</v>
      </c>
      <c r="H519">
        <f>IF(PNL!A519="","",_CALC_PNL!P519)</f>
        <v>16402</v>
      </c>
      <c r="I519" t="str">
        <f>IF(PNL!A519="","",IF(_CALC_PNL!E519=1,H519-G519,""))</f>
        <v/>
      </c>
    </row>
    <row r="520" ht="14.25" customHeight="1">
      <c r="A520" t="s">
        <v>83</v>
      </c>
      <c r="B520" t="s">
        <v>256</v>
      </c>
      <c r="C520" t="s">
        <v>25</v>
      </c>
      <c r="D520" t="s">
        <v>273</v>
      </c>
      <c r="E520" t="s">
        <v>191</v>
      </c>
      <c r="F520" t="s">
        <v>192</v>
      </c>
      <c r="G520">
        <v>35977</v>
      </c>
      <c r="H520">
        <f>IF(PNL!A520="","",_CALC_PNL!P520)</f>
        <v>35977</v>
      </c>
      <c r="I520" t="str">
        <f>IF(PNL!A520="","",IF(_CALC_PNL!E520=1,H520-G520,""))</f>
        <v/>
      </c>
    </row>
    <row r="521" ht="14.25" customHeight="1">
      <c r="A521" t="s">
        <v>84</v>
      </c>
      <c r="B521" t="s">
        <v>256</v>
      </c>
      <c r="C521" t="s">
        <v>25</v>
      </c>
      <c r="D521" t="s">
        <v>273</v>
      </c>
      <c r="E521" t="s">
        <v>191</v>
      </c>
      <c r="F521" t="s">
        <v>192</v>
      </c>
      <c r="G521">
        <v>14083</v>
      </c>
      <c r="H521">
        <f>IF(PNL!A521="","",_CALC_PNL!P521)</f>
        <v>14083</v>
      </c>
      <c r="I521" t="str">
        <f>IF(PNL!A521="","",IF(_CALC_PNL!E521=1,H521-G521,""))</f>
        <v/>
      </c>
    </row>
    <row r="522" ht="14.25" customHeight="1">
      <c r="A522" t="s">
        <v>86</v>
      </c>
      <c r="B522" t="s">
        <v>256</v>
      </c>
      <c r="C522" t="s">
        <v>25</v>
      </c>
      <c r="D522" t="s">
        <v>273</v>
      </c>
      <c r="E522" t="s">
        <v>191</v>
      </c>
      <c r="F522" t="s">
        <v>192</v>
      </c>
      <c r="G522">
        <v>13042</v>
      </c>
      <c r="H522">
        <f>IF(PNL!A522="","",_CALC_PNL!P522)</f>
        <v>13042</v>
      </c>
      <c r="I522" t="str">
        <f>IF(PNL!A522="","",IF(_CALC_PNL!E522=1,H522-G522,""))</f>
        <v/>
      </c>
    </row>
    <row r="523" ht="14.25" customHeight="1">
      <c r="A523" t="s">
        <v>88</v>
      </c>
      <c r="B523" t="s">
        <v>256</v>
      </c>
      <c r="C523" t="s">
        <v>25</v>
      </c>
      <c r="D523" t="s">
        <v>273</v>
      </c>
      <c r="E523" t="s">
        <v>191</v>
      </c>
      <c r="F523" t="s">
        <v>192</v>
      </c>
      <c r="G523">
        <v>9096</v>
      </c>
      <c r="H523">
        <f>IF(PNL!A523="","",_CALC_PNL!P523)</f>
        <v>9096</v>
      </c>
      <c r="I523" t="str">
        <f>IF(PNL!A523="","",IF(_CALC_PNL!E523=1,H523-G523,""))</f>
        <v/>
      </c>
    </row>
    <row r="524" ht="14.25" customHeight="1">
      <c r="A524" t="s">
        <v>90</v>
      </c>
      <c r="B524" t="s">
        <v>256</v>
      </c>
      <c r="C524" t="s">
        <v>25</v>
      </c>
      <c r="D524" t="s">
        <v>273</v>
      </c>
      <c r="E524" t="s">
        <v>191</v>
      </c>
      <c r="F524" t="s">
        <v>192</v>
      </c>
      <c r="G524">
        <v>6459</v>
      </c>
      <c r="H524">
        <f>IF(PNL!A524="","",_CALC_PNL!P524)</f>
        <v>6459</v>
      </c>
      <c r="I524" t="str">
        <f>IF(PNL!A524="","",IF(_CALC_PNL!E524=1,H524-G524,""))</f>
        <v/>
      </c>
    </row>
    <row r="525" ht="14.25" customHeight="1">
      <c r="A525" t="s">
        <v>92</v>
      </c>
      <c r="B525" t="s">
        <v>256</v>
      </c>
      <c r="C525" t="s">
        <v>25</v>
      </c>
      <c r="D525" t="s">
        <v>273</v>
      </c>
      <c r="E525" t="s">
        <v>191</v>
      </c>
      <c r="F525" t="s">
        <v>192</v>
      </c>
      <c r="G525">
        <v>6459</v>
      </c>
      <c r="H525">
        <f>IF(PNL!A525="","",_CALC_PNL!P525)</f>
        <v>6459</v>
      </c>
      <c r="I525" t="str">
        <f>IF(PNL!A525="","",IF(_CALC_PNL!E525=1,H525-G525,""))</f>
        <v/>
      </c>
    </row>
    <row r="526" ht="14.25" customHeight="1">
      <c r="A526" t="s">
        <v>94</v>
      </c>
      <c r="B526" t="s">
        <v>256</v>
      </c>
      <c r="C526" t="s">
        <v>25</v>
      </c>
      <c r="D526" t="s">
        <v>273</v>
      </c>
      <c r="E526" t="s">
        <v>191</v>
      </c>
      <c r="F526" t="s">
        <v>192</v>
      </c>
      <c r="G526">
        <v>12788</v>
      </c>
      <c r="H526">
        <f>IF(PNL!A526="","",_CALC_PNL!P526)</f>
        <v>12788</v>
      </c>
      <c r="I526" t="str">
        <f>IF(PNL!A526="","",IF(_CALC_PNL!E526=1,H526-G526,""))</f>
        <v/>
      </c>
    </row>
    <row r="527" ht="14.25" customHeight="1">
      <c r="A527" t="s">
        <v>95</v>
      </c>
      <c r="B527" t="s">
        <v>256</v>
      </c>
      <c r="C527" t="s">
        <v>25</v>
      </c>
      <c r="D527" t="s">
        <v>273</v>
      </c>
      <c r="E527" t="s">
        <v>191</v>
      </c>
      <c r="F527" t="s">
        <v>192</v>
      </c>
      <c r="G527">
        <v>9354</v>
      </c>
      <c r="H527">
        <f>IF(PNL!A527="","",_CALC_PNL!P527)</f>
        <v>9354</v>
      </c>
      <c r="I527" t="str">
        <f>IF(PNL!A527="","",IF(_CALC_PNL!E527=1,H527-G527,""))</f>
        <v/>
      </c>
    </row>
    <row r="528" ht="14.25" customHeight="1">
      <c r="A528" t="s">
        <v>96</v>
      </c>
      <c r="B528" t="s">
        <v>256</v>
      </c>
      <c r="C528" t="s">
        <v>25</v>
      </c>
      <c r="D528" t="s">
        <v>273</v>
      </c>
      <c r="E528" t="s">
        <v>191</v>
      </c>
      <c r="F528" t="s">
        <v>192</v>
      </c>
      <c r="G528">
        <v>14025</v>
      </c>
      <c r="H528">
        <f>IF(PNL!A528="","",_CALC_PNL!P528)</f>
        <v>14025</v>
      </c>
      <c r="I528" t="str">
        <f>IF(PNL!A528="","",IF(_CALC_PNL!E528=1,H528-G528,""))</f>
        <v/>
      </c>
    </row>
    <row r="529" ht="14.25" customHeight="1">
      <c r="A529" t="s">
        <v>97</v>
      </c>
      <c r="B529" t="s">
        <v>256</v>
      </c>
      <c r="C529" t="s">
        <v>25</v>
      </c>
      <c r="D529" t="s">
        <v>273</v>
      </c>
      <c r="E529" t="s">
        <v>191</v>
      </c>
      <c r="F529" t="s">
        <v>192</v>
      </c>
      <c r="G529">
        <v>8221</v>
      </c>
      <c r="H529">
        <f>IF(PNL!A529="","",_CALC_PNL!P529)</f>
        <v>8221</v>
      </c>
      <c r="I529" t="str">
        <f>IF(PNL!A529="","",IF(_CALC_PNL!E529=1,H529-G529,""))</f>
        <v/>
      </c>
    </row>
    <row r="530" ht="14.25" customHeight="1">
      <c r="A530" t="s">
        <v>251</v>
      </c>
      <c r="B530" t="s">
        <v>257</v>
      </c>
      <c r="C530" t="s">
        <v>211</v>
      </c>
      <c r="D530" t="s">
        <v>273</v>
      </c>
      <c r="E530" t="s">
        <v>191</v>
      </c>
      <c r="F530" t="s">
        <v>192</v>
      </c>
      <c r="G530">
        <v>515487</v>
      </c>
      <c r="H530">
        <f>IF(PNL!A530="","",_CALC_PNL!P530)</f>
        <v>515487</v>
      </c>
      <c r="I530" t="str">
        <f>IF(PNL!A530="","",IF(_CALC_PNL!E530=1,H530-G530,""))</f>
        <v/>
      </c>
    </row>
    <row r="531" ht="14.25" customHeight="1">
      <c r="A531" t="s">
        <v>251</v>
      </c>
      <c r="B531" t="s">
        <v>257</v>
      </c>
      <c r="C531" t="s">
        <v>210</v>
      </c>
      <c r="D531" t="s">
        <v>273</v>
      </c>
      <c r="E531" t="s">
        <v>191</v>
      </c>
      <c r="F531" t="s">
        <v>192</v>
      </c>
      <c r="G531">
        <v>539108</v>
      </c>
      <c r="H531">
        <f>IF(PNL!A531="","",_CALC_PNL!P531)</f>
        <v>539108</v>
      </c>
      <c r="I531" t="str">
        <f>IF(PNL!A531="","",IF(_CALC_PNL!E531=1,H531-G531,""))</f>
        <v/>
      </c>
    </row>
    <row r="532" ht="14.25" customHeight="1">
      <c r="A532" t="s">
        <v>251</v>
      </c>
      <c r="B532" t="s">
        <v>257</v>
      </c>
      <c r="C532" t="s">
        <v>25</v>
      </c>
      <c r="D532" t="s">
        <v>273</v>
      </c>
      <c r="E532" t="s">
        <v>191</v>
      </c>
      <c r="F532" t="s">
        <v>192</v>
      </c>
      <c r="G532">
        <v>564841</v>
      </c>
      <c r="H532">
        <f>IF(PNL!A532="","",_CALC_PNL!P532)</f>
        <v>564841</v>
      </c>
      <c r="I532" t="str">
        <f>IF(PNL!A532="","",IF(_CALC_PNL!E532=1,H532-G532,""))</f>
        <v/>
      </c>
    </row>
    <row r="533" ht="14.25" customHeight="1">
      <c r="A533" t="s">
        <v>251</v>
      </c>
      <c r="B533" t="s">
        <v>258</v>
      </c>
      <c r="C533" t="s">
        <v>211</v>
      </c>
      <c r="D533" t="s">
        <v>273</v>
      </c>
      <c r="E533" t="s">
        <v>191</v>
      </c>
      <c r="F533" t="s">
        <v>192</v>
      </c>
      <c r="G533">
        <v>499926</v>
      </c>
      <c r="H533">
        <f>IF(PNL!A533="","",_CALC_PNL!P533)</f>
        <v>499926</v>
      </c>
      <c r="I533" t="str">
        <f>IF(PNL!A533="","",IF(_CALC_PNL!E533=1,H533-G533,""))</f>
        <v/>
      </c>
    </row>
    <row r="534" ht="14.25" customHeight="1">
      <c r="A534" t="s">
        <v>251</v>
      </c>
      <c r="B534" t="s">
        <v>258</v>
      </c>
      <c r="C534" t="s">
        <v>210</v>
      </c>
      <c r="D534" t="s">
        <v>273</v>
      </c>
      <c r="E534" t="s">
        <v>191</v>
      </c>
      <c r="F534" t="s">
        <v>192</v>
      </c>
      <c r="G534">
        <v>580167</v>
      </c>
      <c r="H534">
        <f>IF(PNL!A534="","",_CALC_PNL!P534)</f>
        <v>580167</v>
      </c>
      <c r="I534" t="str">
        <f>IF(PNL!A534="","",IF(_CALC_PNL!E534=1,H534-G534,""))</f>
        <v/>
      </c>
    </row>
    <row r="535" ht="14.25" customHeight="1">
      <c r="A535" t="s">
        <v>251</v>
      </c>
      <c r="B535" t="s">
        <v>258</v>
      </c>
      <c r="C535" t="s">
        <v>25</v>
      </c>
      <c r="D535" t="s">
        <v>273</v>
      </c>
      <c r="E535" t="s">
        <v>191</v>
      </c>
      <c r="F535" t="s">
        <v>192</v>
      </c>
      <c r="G535">
        <v>676344</v>
      </c>
      <c r="H535">
        <f>IF(PNL!A535="","",_CALC_PNL!P535)</f>
        <v>676344</v>
      </c>
      <c r="I535" t="str">
        <f>IF(PNL!A535="","",IF(_CALC_PNL!E535=1,H535-G535,""))</f>
        <v/>
      </c>
    </row>
    <row r="536" ht="14.25" customHeight="1">
      <c r="A536" t="s">
        <v>75</v>
      </c>
      <c r="B536" t="s">
        <v>259</v>
      </c>
      <c r="C536" t="s">
        <v>211</v>
      </c>
      <c r="D536" t="s">
        <v>273</v>
      </c>
      <c r="E536" t="s">
        <v>191</v>
      </c>
      <c r="F536" t="s">
        <v>192</v>
      </c>
      <c r="G536">
        <v>53145</v>
      </c>
      <c r="H536">
        <f>IF(PNL!A536="","",_CALC_PNL!P536)</f>
        <v>53145</v>
      </c>
      <c r="I536" t="str">
        <f>IF(PNL!A536="","",IF(_CALC_PNL!E536=1,H536-G536,""))</f>
        <v/>
      </c>
    </row>
    <row r="537" ht="14.25" customHeight="1">
      <c r="A537" t="s">
        <v>77</v>
      </c>
      <c r="B537" t="s">
        <v>259</v>
      </c>
      <c r="C537" t="s">
        <v>211</v>
      </c>
      <c r="D537" t="s">
        <v>273</v>
      </c>
      <c r="E537" t="s">
        <v>191</v>
      </c>
      <c r="F537" t="s">
        <v>192</v>
      </c>
      <c r="G537">
        <v>31164</v>
      </c>
      <c r="H537">
        <f>IF(PNL!A537="","",_CALC_PNL!P537)</f>
        <v>31164</v>
      </c>
      <c r="I537" t="str">
        <f>IF(PNL!A537="","",IF(_CALC_PNL!E537=1,H537-G537,""))</f>
        <v/>
      </c>
    </row>
    <row r="538" ht="14.25" customHeight="1">
      <c r="A538" t="s">
        <v>79</v>
      </c>
      <c r="B538" t="s">
        <v>259</v>
      </c>
      <c r="C538" t="s">
        <v>211</v>
      </c>
      <c r="D538" t="s">
        <v>273</v>
      </c>
      <c r="E538" t="s">
        <v>191</v>
      </c>
      <c r="F538" t="s">
        <v>192</v>
      </c>
      <c r="G538">
        <v>25248</v>
      </c>
      <c r="H538">
        <f>IF(PNL!A538="","",_CALC_PNL!P538)</f>
        <v>25248</v>
      </c>
      <c r="I538" t="str">
        <f>IF(PNL!A538="","",IF(_CALC_PNL!E538=1,H538-G538,""))</f>
        <v/>
      </c>
    </row>
    <row r="539" ht="14.25" customHeight="1">
      <c r="A539" t="s">
        <v>81</v>
      </c>
      <c r="B539" t="s">
        <v>259</v>
      </c>
      <c r="C539" t="s">
        <v>211</v>
      </c>
      <c r="D539" t="s">
        <v>273</v>
      </c>
      <c r="E539" t="s">
        <v>191</v>
      </c>
      <c r="F539" t="s">
        <v>192</v>
      </c>
      <c r="G539">
        <v>22453</v>
      </c>
      <c r="H539">
        <f>IF(PNL!A539="","",_CALC_PNL!P539)</f>
        <v>22453</v>
      </c>
      <c r="I539" t="str">
        <f>IF(PNL!A539="","",IF(_CALC_PNL!E539=1,H539-G539,""))</f>
        <v/>
      </c>
    </row>
    <row r="540" ht="14.25" customHeight="1">
      <c r="A540" t="s">
        <v>83</v>
      </c>
      <c r="B540" t="s">
        <v>259</v>
      </c>
      <c r="C540" t="s">
        <v>211</v>
      </c>
      <c r="D540" t="s">
        <v>273</v>
      </c>
      <c r="E540" t="s">
        <v>191</v>
      </c>
      <c r="F540" t="s">
        <v>192</v>
      </c>
      <c r="G540">
        <v>49250</v>
      </c>
      <c r="H540">
        <f>IF(PNL!A540="","",_CALC_PNL!P540)</f>
        <v>49250</v>
      </c>
      <c r="I540" t="str">
        <f>IF(PNL!A540="","",IF(_CALC_PNL!E540=1,H540-G540,""))</f>
        <v/>
      </c>
    </row>
    <row r="541" ht="14.25" customHeight="1">
      <c r="A541" t="s">
        <v>84</v>
      </c>
      <c r="B541" t="s">
        <v>259</v>
      </c>
      <c r="C541" t="s">
        <v>211</v>
      </c>
      <c r="D541" t="s">
        <v>273</v>
      </c>
      <c r="E541" t="s">
        <v>191</v>
      </c>
      <c r="F541" t="s">
        <v>192</v>
      </c>
      <c r="G541">
        <v>19278</v>
      </c>
      <c r="H541">
        <f>IF(PNL!A541="","",_CALC_PNL!P541)</f>
        <v>19278</v>
      </c>
      <c r="I541" t="str">
        <f>IF(PNL!A541="","",IF(_CALC_PNL!E541=1,H541-G541,""))</f>
        <v/>
      </c>
    </row>
    <row r="542" ht="14.25" customHeight="1">
      <c r="A542" t="s">
        <v>86</v>
      </c>
      <c r="B542" t="s">
        <v>259</v>
      </c>
      <c r="C542" t="s">
        <v>211</v>
      </c>
      <c r="D542" t="s">
        <v>273</v>
      </c>
      <c r="E542" t="s">
        <v>191</v>
      </c>
      <c r="F542" t="s">
        <v>192</v>
      </c>
      <c r="G542">
        <v>17854</v>
      </c>
      <c r="H542">
        <f>IF(PNL!A542="","",_CALC_PNL!P542)</f>
        <v>17854</v>
      </c>
      <c r="I542" t="str">
        <f>IF(PNL!A542="","",IF(_CALC_PNL!E542=1,H542-G542,""))</f>
        <v/>
      </c>
    </row>
    <row r="543" ht="14.25" customHeight="1">
      <c r="A543" t="s">
        <v>88</v>
      </c>
      <c r="B543" t="s">
        <v>259</v>
      </c>
      <c r="C543" t="s">
        <v>211</v>
      </c>
      <c r="D543" t="s">
        <v>273</v>
      </c>
      <c r="E543" t="s">
        <v>191</v>
      </c>
      <c r="F543" t="s">
        <v>192</v>
      </c>
      <c r="G543">
        <v>12452</v>
      </c>
      <c r="H543">
        <f>IF(PNL!A543="","",_CALC_PNL!P543)</f>
        <v>12452</v>
      </c>
      <c r="I543" t="str">
        <f>IF(PNL!A543="","",IF(_CALC_PNL!E543=1,H543-G543,""))</f>
        <v/>
      </c>
    </row>
    <row r="544" ht="14.25" customHeight="1">
      <c r="A544" t="s">
        <v>90</v>
      </c>
      <c r="B544" t="s">
        <v>259</v>
      </c>
      <c r="C544" t="s">
        <v>211</v>
      </c>
      <c r="D544" t="s">
        <v>273</v>
      </c>
      <c r="E544" t="s">
        <v>191</v>
      </c>
      <c r="F544" t="s">
        <v>192</v>
      </c>
      <c r="G544">
        <v>8842</v>
      </c>
      <c r="H544">
        <f>IF(PNL!A544="","",_CALC_PNL!P544)</f>
        <v>8842</v>
      </c>
      <c r="I544" t="str">
        <f>IF(PNL!A544="","",IF(_CALC_PNL!E544=1,H544-G544,""))</f>
        <v/>
      </c>
    </row>
    <row r="545" ht="14.25" customHeight="1">
      <c r="A545" t="s">
        <v>92</v>
      </c>
      <c r="B545" t="s">
        <v>259</v>
      </c>
      <c r="C545" t="s">
        <v>211</v>
      </c>
      <c r="D545" t="s">
        <v>273</v>
      </c>
      <c r="E545" t="s">
        <v>191</v>
      </c>
      <c r="F545" t="s">
        <v>192</v>
      </c>
      <c r="G545">
        <v>8842</v>
      </c>
      <c r="H545">
        <f>IF(PNL!A545="","",_CALC_PNL!P545)</f>
        <v>8842</v>
      </c>
      <c r="I545" t="str">
        <f>IF(PNL!A545="","",IF(_CALC_PNL!E545=1,H545-G545,""))</f>
        <v/>
      </c>
    </row>
    <row r="546" ht="14.25" customHeight="1">
      <c r="A546" t="s">
        <v>94</v>
      </c>
      <c r="B546" t="s">
        <v>259</v>
      </c>
      <c r="C546" t="s">
        <v>211</v>
      </c>
      <c r="D546" t="s">
        <v>273</v>
      </c>
      <c r="E546" t="s">
        <v>191</v>
      </c>
      <c r="F546" t="s">
        <v>192</v>
      </c>
      <c r="G546">
        <v>17506</v>
      </c>
      <c r="H546">
        <f>IF(PNL!A546="","",_CALC_PNL!P546)</f>
        <v>17506</v>
      </c>
      <c r="I546" t="str">
        <f>IF(PNL!A546="","",IF(_CALC_PNL!E546=1,H546-G546,""))</f>
        <v/>
      </c>
    </row>
    <row r="547" ht="14.25" customHeight="1">
      <c r="A547" t="s">
        <v>95</v>
      </c>
      <c r="B547" t="s">
        <v>259</v>
      </c>
      <c r="C547" t="s">
        <v>211</v>
      </c>
      <c r="D547" t="s">
        <v>273</v>
      </c>
      <c r="E547" t="s">
        <v>191</v>
      </c>
      <c r="F547" t="s">
        <v>192</v>
      </c>
      <c r="G547">
        <v>12805</v>
      </c>
      <c r="H547">
        <f>IF(PNL!A547="","",_CALC_PNL!P547)</f>
        <v>12805</v>
      </c>
      <c r="I547" t="str">
        <f>IF(PNL!A547="","",IF(_CALC_PNL!E547=1,H547-G547,""))</f>
        <v/>
      </c>
    </row>
    <row r="548" ht="14.25" customHeight="1">
      <c r="A548" t="s">
        <v>96</v>
      </c>
      <c r="B548" t="s">
        <v>259</v>
      </c>
      <c r="C548" t="s">
        <v>211</v>
      </c>
      <c r="D548" t="s">
        <v>273</v>
      </c>
      <c r="E548" t="s">
        <v>191</v>
      </c>
      <c r="F548" t="s">
        <v>192</v>
      </c>
      <c r="G548">
        <v>19199</v>
      </c>
      <c r="H548">
        <f>IF(PNL!A548="","",_CALC_PNL!P548)</f>
        <v>19199</v>
      </c>
      <c r="I548" t="str">
        <f>IF(PNL!A548="","",IF(_CALC_PNL!E548=1,H548-G548,""))</f>
        <v/>
      </c>
    </row>
    <row r="549" ht="14.25" customHeight="1">
      <c r="A549" t="s">
        <v>97</v>
      </c>
      <c r="B549" t="s">
        <v>259</v>
      </c>
      <c r="C549" t="s">
        <v>211</v>
      </c>
      <c r="D549" t="s">
        <v>273</v>
      </c>
      <c r="E549" t="s">
        <v>191</v>
      </c>
      <c r="F549" t="s">
        <v>192</v>
      </c>
      <c r="G549">
        <v>11254</v>
      </c>
      <c r="H549">
        <f>IF(PNL!A549="","",_CALC_PNL!P549)</f>
        <v>11254</v>
      </c>
      <c r="I549" t="str">
        <f>IF(PNL!A549="","",IF(_CALC_PNL!E549=1,H549-G549,""))</f>
        <v/>
      </c>
    </row>
    <row r="550" ht="14.25" customHeight="1">
      <c r="A550" t="s">
        <v>75</v>
      </c>
      <c r="B550" t="s">
        <v>259</v>
      </c>
      <c r="C550" t="s">
        <v>210</v>
      </c>
      <c r="D550" t="s">
        <v>273</v>
      </c>
      <c r="E550" t="s">
        <v>191</v>
      </c>
      <c r="F550" t="s">
        <v>192</v>
      </c>
      <c r="G550">
        <v>55581</v>
      </c>
      <c r="H550">
        <f>IF(PNL!A550="","",_CALC_PNL!P550)</f>
        <v>55581</v>
      </c>
      <c r="I550" t="str">
        <f>IF(PNL!A550="","",IF(_CALC_PNL!E550=1,H550-G550,""))</f>
        <v/>
      </c>
    </row>
    <row r="551" ht="14.25" customHeight="1">
      <c r="A551" t="s">
        <v>77</v>
      </c>
      <c r="B551" t="s">
        <v>259</v>
      </c>
      <c r="C551" t="s">
        <v>210</v>
      </c>
      <c r="D551" t="s">
        <v>273</v>
      </c>
      <c r="E551" t="s">
        <v>191</v>
      </c>
      <c r="F551" t="s">
        <v>192</v>
      </c>
      <c r="G551">
        <v>32592</v>
      </c>
      <c r="H551">
        <f>IF(PNL!A551="","",_CALC_PNL!P551)</f>
        <v>32592</v>
      </c>
      <c r="I551" t="str">
        <f>IF(PNL!A551="","",IF(_CALC_PNL!E551=1,H551-G551,""))</f>
        <v/>
      </c>
    </row>
    <row r="552" ht="14.25" customHeight="1">
      <c r="A552" t="s">
        <v>79</v>
      </c>
      <c r="B552" t="s">
        <v>259</v>
      </c>
      <c r="C552" t="s">
        <v>210</v>
      </c>
      <c r="D552" t="s">
        <v>273</v>
      </c>
      <c r="E552" t="s">
        <v>191</v>
      </c>
      <c r="F552" t="s">
        <v>192</v>
      </c>
      <c r="G552">
        <v>26405</v>
      </c>
      <c r="H552">
        <f>IF(PNL!A552="","",_CALC_PNL!P552)</f>
        <v>26405</v>
      </c>
      <c r="I552" t="str">
        <f>IF(PNL!A552="","",IF(_CALC_PNL!E552=1,H552-G552,""))</f>
        <v/>
      </c>
    </row>
    <row r="553" ht="14.25" customHeight="1">
      <c r="A553" t="s">
        <v>81</v>
      </c>
      <c r="B553" t="s">
        <v>259</v>
      </c>
      <c r="C553" t="s">
        <v>210</v>
      </c>
      <c r="D553" t="s">
        <v>273</v>
      </c>
      <c r="E553" t="s">
        <v>191</v>
      </c>
      <c r="F553" t="s">
        <v>192</v>
      </c>
      <c r="G553">
        <v>23482</v>
      </c>
      <c r="H553">
        <f>IF(PNL!A553="","",_CALC_PNL!P553)</f>
        <v>23482</v>
      </c>
      <c r="I553" t="str">
        <f>IF(PNL!A553="","",IF(_CALC_PNL!E553=1,H553-G553,""))</f>
        <v/>
      </c>
    </row>
    <row r="554" ht="14.25" customHeight="1">
      <c r="A554" t="s">
        <v>83</v>
      </c>
      <c r="B554" t="s">
        <v>259</v>
      </c>
      <c r="C554" t="s">
        <v>210</v>
      </c>
      <c r="D554" t="s">
        <v>273</v>
      </c>
      <c r="E554" t="s">
        <v>191</v>
      </c>
      <c r="F554" t="s">
        <v>192</v>
      </c>
      <c r="G554">
        <v>51507</v>
      </c>
      <c r="H554">
        <f>IF(PNL!A554="","",_CALC_PNL!P554)</f>
        <v>51507</v>
      </c>
      <c r="I554" t="str">
        <f>IF(PNL!A554="","",IF(_CALC_PNL!E554=1,H554-G554,""))</f>
        <v/>
      </c>
    </row>
    <row r="555" ht="14.25" customHeight="1">
      <c r="A555" t="s">
        <v>84</v>
      </c>
      <c r="B555" t="s">
        <v>259</v>
      </c>
      <c r="C555" t="s">
        <v>210</v>
      </c>
      <c r="D555" t="s">
        <v>273</v>
      </c>
      <c r="E555" t="s">
        <v>191</v>
      </c>
      <c r="F555" t="s">
        <v>192</v>
      </c>
      <c r="G555">
        <v>20161</v>
      </c>
      <c r="H555">
        <f>IF(PNL!A555="","",_CALC_PNL!P555)</f>
        <v>20161</v>
      </c>
      <c r="I555" t="str">
        <f>IF(PNL!A555="","",IF(_CALC_PNL!E555=1,H555-G555,""))</f>
        <v/>
      </c>
    </row>
    <row r="556" ht="14.25" customHeight="1">
      <c r="A556" t="s">
        <v>86</v>
      </c>
      <c r="B556" t="s">
        <v>259</v>
      </c>
      <c r="C556" t="s">
        <v>210</v>
      </c>
      <c r="D556" t="s">
        <v>273</v>
      </c>
      <c r="E556" t="s">
        <v>191</v>
      </c>
      <c r="F556" t="s">
        <v>192</v>
      </c>
      <c r="G556">
        <v>18672</v>
      </c>
      <c r="H556">
        <f>IF(PNL!A556="","",_CALC_PNL!P556)</f>
        <v>18672</v>
      </c>
      <c r="I556" t="str">
        <f>IF(PNL!A556="","",IF(_CALC_PNL!E556=1,H556-G556,""))</f>
        <v/>
      </c>
    </row>
    <row r="557" ht="14.25" customHeight="1">
      <c r="A557" t="s">
        <v>88</v>
      </c>
      <c r="B557" t="s">
        <v>259</v>
      </c>
      <c r="C557" t="s">
        <v>210</v>
      </c>
      <c r="D557" t="s">
        <v>273</v>
      </c>
      <c r="E557" t="s">
        <v>191</v>
      </c>
      <c r="F557" t="s">
        <v>192</v>
      </c>
      <c r="G557">
        <v>13023</v>
      </c>
      <c r="H557">
        <f>IF(PNL!A557="","",_CALC_PNL!P557)</f>
        <v>13023</v>
      </c>
      <c r="I557" t="str">
        <f>IF(PNL!A557="","",IF(_CALC_PNL!E557=1,H557-G557,""))</f>
        <v/>
      </c>
    </row>
    <row r="558" ht="14.25" customHeight="1">
      <c r="A558" t="s">
        <v>90</v>
      </c>
      <c r="B558" t="s">
        <v>259</v>
      </c>
      <c r="C558" t="s">
        <v>210</v>
      </c>
      <c r="D558" t="s">
        <v>273</v>
      </c>
      <c r="E558" t="s">
        <v>191</v>
      </c>
      <c r="F558" t="s">
        <v>192</v>
      </c>
      <c r="G558">
        <v>9247</v>
      </c>
      <c r="H558">
        <f>IF(PNL!A558="","",_CALC_PNL!P558)</f>
        <v>9247</v>
      </c>
      <c r="I558" t="str">
        <f>IF(PNL!A558="","",IF(_CALC_PNL!E558=1,H558-G558,""))</f>
        <v/>
      </c>
    </row>
    <row r="559" ht="14.25" customHeight="1">
      <c r="A559" t="s">
        <v>92</v>
      </c>
      <c r="B559" t="s">
        <v>259</v>
      </c>
      <c r="C559" t="s">
        <v>210</v>
      </c>
      <c r="D559" t="s">
        <v>273</v>
      </c>
      <c r="E559" t="s">
        <v>191</v>
      </c>
      <c r="F559" t="s">
        <v>192</v>
      </c>
      <c r="G559">
        <v>9247</v>
      </c>
      <c r="H559">
        <f>IF(PNL!A559="","",_CALC_PNL!P559)</f>
        <v>9247</v>
      </c>
      <c r="I559" t="str">
        <f>IF(PNL!A559="","",IF(_CALC_PNL!E559=1,H559-G559,""))</f>
        <v/>
      </c>
    </row>
    <row r="560" ht="14.25" customHeight="1">
      <c r="A560" t="s">
        <v>94</v>
      </c>
      <c r="B560" t="s">
        <v>259</v>
      </c>
      <c r="C560" t="s">
        <v>210</v>
      </c>
      <c r="D560" t="s">
        <v>273</v>
      </c>
      <c r="E560" t="s">
        <v>191</v>
      </c>
      <c r="F560" t="s">
        <v>192</v>
      </c>
      <c r="G560">
        <v>18308</v>
      </c>
      <c r="H560">
        <f>IF(PNL!A560="","",_CALC_PNL!P560)</f>
        <v>18308</v>
      </c>
      <c r="I560" t="str">
        <f>IF(PNL!A560="","",IF(_CALC_PNL!E560=1,H560-G560,""))</f>
        <v/>
      </c>
    </row>
    <row r="561" ht="14.25" customHeight="1">
      <c r="A561" t="s">
        <v>95</v>
      </c>
      <c r="B561" t="s">
        <v>259</v>
      </c>
      <c r="C561" t="s">
        <v>210</v>
      </c>
      <c r="D561" t="s">
        <v>273</v>
      </c>
      <c r="E561" t="s">
        <v>191</v>
      </c>
      <c r="F561" t="s">
        <v>192</v>
      </c>
      <c r="G561">
        <v>13391</v>
      </c>
      <c r="H561">
        <f>IF(PNL!A561="","",_CALC_PNL!P561)</f>
        <v>13391</v>
      </c>
      <c r="I561" t="str">
        <f>IF(PNL!A561="","",IF(_CALC_PNL!E561=1,H561-G561,""))</f>
        <v/>
      </c>
    </row>
    <row r="562" ht="14.25" customHeight="1">
      <c r="A562" t="s">
        <v>96</v>
      </c>
      <c r="B562" t="s">
        <v>259</v>
      </c>
      <c r="C562" t="s">
        <v>210</v>
      </c>
      <c r="D562" t="s">
        <v>273</v>
      </c>
      <c r="E562" t="s">
        <v>191</v>
      </c>
      <c r="F562" t="s">
        <v>192</v>
      </c>
      <c r="G562">
        <v>20079</v>
      </c>
      <c r="H562">
        <f>IF(PNL!A562="","",_CALC_PNL!P562)</f>
        <v>20079</v>
      </c>
      <c r="I562" t="str">
        <f>IF(PNL!A562="","",IF(_CALC_PNL!E562=1,H562-G562,""))</f>
        <v/>
      </c>
    </row>
    <row r="563" ht="14.25" customHeight="1">
      <c r="A563" t="s">
        <v>97</v>
      </c>
      <c r="B563" t="s">
        <v>259</v>
      </c>
      <c r="C563" t="s">
        <v>210</v>
      </c>
      <c r="D563" t="s">
        <v>273</v>
      </c>
      <c r="E563" t="s">
        <v>191</v>
      </c>
      <c r="F563" t="s">
        <v>192</v>
      </c>
      <c r="G563">
        <v>11769</v>
      </c>
      <c r="H563">
        <f>IF(PNL!A563="","",_CALC_PNL!P563)</f>
        <v>11769</v>
      </c>
      <c r="I563" t="str">
        <f>IF(PNL!A563="","",IF(_CALC_PNL!E563=1,H563-G563,""))</f>
        <v/>
      </c>
    </row>
    <row r="564" ht="14.25" customHeight="1">
      <c r="A564" t="s">
        <v>75</v>
      </c>
      <c r="B564" t="s">
        <v>259</v>
      </c>
      <c r="C564" t="s">
        <v>25</v>
      </c>
      <c r="D564" t="s">
        <v>273</v>
      </c>
      <c r="E564" t="s">
        <v>191</v>
      </c>
      <c r="F564" t="s">
        <v>192</v>
      </c>
      <c r="G564">
        <v>58234</v>
      </c>
      <c r="H564">
        <f>IF(PNL!A564="","",_CALC_PNL!P564)</f>
        <v>58234</v>
      </c>
      <c r="I564" t="str">
        <f>IF(PNL!A564="","",IF(_CALC_PNL!E564=1,H564-G564,""))</f>
        <v/>
      </c>
    </row>
    <row r="565" ht="14.25" customHeight="1">
      <c r="A565" t="s">
        <v>77</v>
      </c>
      <c r="B565" t="s">
        <v>259</v>
      </c>
      <c r="C565" t="s">
        <v>25</v>
      </c>
      <c r="D565" t="s">
        <v>273</v>
      </c>
      <c r="E565" t="s">
        <v>191</v>
      </c>
      <c r="F565" t="s">
        <v>192</v>
      </c>
      <c r="G565">
        <v>34147</v>
      </c>
      <c r="H565">
        <f>IF(PNL!A565="","",_CALC_PNL!P565)</f>
        <v>34147</v>
      </c>
      <c r="I565" t="str">
        <f>IF(PNL!A565="","",IF(_CALC_PNL!E565=1,H565-G565,""))</f>
        <v/>
      </c>
    </row>
    <row r="566" ht="14.25" customHeight="1">
      <c r="A566" t="s">
        <v>79</v>
      </c>
      <c r="B566" t="s">
        <v>259</v>
      </c>
      <c r="C566" t="s">
        <v>25</v>
      </c>
      <c r="D566" t="s">
        <v>273</v>
      </c>
      <c r="E566" t="s">
        <v>191</v>
      </c>
      <c r="F566" t="s">
        <v>192</v>
      </c>
      <c r="G566">
        <v>27666</v>
      </c>
      <c r="H566">
        <f>IF(PNL!A566="","",_CALC_PNL!P566)</f>
        <v>27666</v>
      </c>
      <c r="I566" t="str">
        <f>IF(PNL!A566="","",IF(_CALC_PNL!E566=1,H566-G566,""))</f>
        <v/>
      </c>
    </row>
    <row r="567" ht="14.25" customHeight="1">
      <c r="A567" t="s">
        <v>81</v>
      </c>
      <c r="B567" t="s">
        <v>259</v>
      </c>
      <c r="C567" t="s">
        <v>25</v>
      </c>
      <c r="D567" t="s">
        <v>273</v>
      </c>
      <c r="E567" t="s">
        <v>191</v>
      </c>
      <c r="F567" t="s">
        <v>192</v>
      </c>
      <c r="G567">
        <v>24603</v>
      </c>
      <c r="H567">
        <f>IF(PNL!A567="","",_CALC_PNL!P567)</f>
        <v>24603</v>
      </c>
      <c r="I567" t="str">
        <f>IF(PNL!A567="","",IF(_CALC_PNL!E567=1,H567-G567,""))</f>
        <v/>
      </c>
    </row>
    <row r="568" ht="14.25" customHeight="1">
      <c r="A568" t="s">
        <v>83</v>
      </c>
      <c r="B568" t="s">
        <v>259</v>
      </c>
      <c r="C568" t="s">
        <v>25</v>
      </c>
      <c r="D568" t="s">
        <v>273</v>
      </c>
      <c r="E568" t="s">
        <v>191</v>
      </c>
      <c r="F568" t="s">
        <v>192</v>
      </c>
      <c r="G568">
        <v>53965</v>
      </c>
      <c r="H568">
        <f>IF(PNL!A568="","",_CALC_PNL!P568)</f>
        <v>53965</v>
      </c>
      <c r="I568" t="str">
        <f>IF(PNL!A568="","",IF(_CALC_PNL!E568=1,H568-G568,""))</f>
        <v/>
      </c>
    </row>
    <row r="569" ht="14.25" customHeight="1">
      <c r="A569" t="s">
        <v>84</v>
      </c>
      <c r="B569" t="s">
        <v>259</v>
      </c>
      <c r="C569" t="s">
        <v>25</v>
      </c>
      <c r="D569" t="s">
        <v>273</v>
      </c>
      <c r="E569" t="s">
        <v>191</v>
      </c>
      <c r="F569" t="s">
        <v>192</v>
      </c>
      <c r="G569">
        <v>21124</v>
      </c>
      <c r="H569">
        <f>IF(PNL!A569="","",_CALC_PNL!P569)</f>
        <v>21124</v>
      </c>
      <c r="I569" t="str">
        <f>IF(PNL!A569="","",IF(_CALC_PNL!E569=1,H569-G569,""))</f>
        <v/>
      </c>
    </row>
    <row r="570" ht="14.25" customHeight="1">
      <c r="A570" t="s">
        <v>86</v>
      </c>
      <c r="B570" t="s">
        <v>259</v>
      </c>
      <c r="C570" t="s">
        <v>25</v>
      </c>
      <c r="D570" t="s">
        <v>273</v>
      </c>
      <c r="E570" t="s">
        <v>191</v>
      </c>
      <c r="F570" t="s">
        <v>192</v>
      </c>
      <c r="G570">
        <v>19564</v>
      </c>
      <c r="H570">
        <f>IF(PNL!A570="","",_CALC_PNL!P570)</f>
        <v>19564</v>
      </c>
      <c r="I570" t="str">
        <f>IF(PNL!A570="","",IF(_CALC_PNL!E570=1,H570-G570,""))</f>
        <v/>
      </c>
    </row>
    <row r="571" ht="14.25" customHeight="1">
      <c r="A571" t="s">
        <v>88</v>
      </c>
      <c r="B571" t="s">
        <v>259</v>
      </c>
      <c r="C571" t="s">
        <v>25</v>
      </c>
      <c r="D571" t="s">
        <v>273</v>
      </c>
      <c r="E571" t="s">
        <v>191</v>
      </c>
      <c r="F571" t="s">
        <v>192</v>
      </c>
      <c r="G571">
        <v>13645</v>
      </c>
      <c r="H571">
        <f>IF(PNL!A571="","",_CALC_PNL!P571)</f>
        <v>13645</v>
      </c>
      <c r="I571" t="str">
        <f>IF(PNL!A571="","",IF(_CALC_PNL!E571=1,H571-G571,""))</f>
        <v/>
      </c>
    </row>
    <row r="572" ht="14.25" customHeight="1">
      <c r="A572" t="s">
        <v>90</v>
      </c>
      <c r="B572" t="s">
        <v>259</v>
      </c>
      <c r="C572" t="s">
        <v>25</v>
      </c>
      <c r="D572" t="s">
        <v>273</v>
      </c>
      <c r="E572" t="s">
        <v>191</v>
      </c>
      <c r="F572" t="s">
        <v>192</v>
      </c>
      <c r="G572">
        <v>9689</v>
      </c>
      <c r="H572">
        <f>IF(PNL!A572="","",_CALC_PNL!P572)</f>
        <v>9689</v>
      </c>
      <c r="I572" t="str">
        <f>IF(PNL!A572="","",IF(_CALC_PNL!E572=1,H572-G572,""))</f>
        <v/>
      </c>
    </row>
    <row r="573" ht="14.25" customHeight="1">
      <c r="A573" t="s">
        <v>92</v>
      </c>
      <c r="B573" t="s">
        <v>259</v>
      </c>
      <c r="C573" t="s">
        <v>25</v>
      </c>
      <c r="D573" t="s">
        <v>273</v>
      </c>
      <c r="E573" t="s">
        <v>191</v>
      </c>
      <c r="F573" t="s">
        <v>192</v>
      </c>
      <c r="G573">
        <v>9689</v>
      </c>
      <c r="H573">
        <f>IF(PNL!A573="","",_CALC_PNL!P573)</f>
        <v>9689</v>
      </c>
      <c r="I573" t="str">
        <f>IF(PNL!A573="","",IF(_CALC_PNL!E573=1,H573-G573,""))</f>
        <v/>
      </c>
    </row>
    <row r="574" ht="14.25" customHeight="1">
      <c r="A574" t="s">
        <v>94</v>
      </c>
      <c r="B574" t="s">
        <v>259</v>
      </c>
      <c r="C574" t="s">
        <v>25</v>
      </c>
      <c r="D574" t="s">
        <v>273</v>
      </c>
      <c r="E574" t="s">
        <v>191</v>
      </c>
      <c r="F574" t="s">
        <v>192</v>
      </c>
      <c r="G574">
        <v>19182</v>
      </c>
      <c r="H574">
        <f>IF(PNL!A574="","",_CALC_PNL!P574)</f>
        <v>19182</v>
      </c>
      <c r="I574" t="str">
        <f>IF(PNL!A574="","",IF(_CALC_PNL!E574=1,H574-G574,""))</f>
        <v/>
      </c>
    </row>
    <row r="575" ht="14.25" customHeight="1">
      <c r="A575" t="s">
        <v>95</v>
      </c>
      <c r="B575" t="s">
        <v>259</v>
      </c>
      <c r="C575" t="s">
        <v>25</v>
      </c>
      <c r="D575" t="s">
        <v>273</v>
      </c>
      <c r="E575" t="s">
        <v>191</v>
      </c>
      <c r="F575" t="s">
        <v>192</v>
      </c>
      <c r="G575">
        <v>14030</v>
      </c>
      <c r="H575">
        <f>IF(PNL!A575="","",_CALC_PNL!P575)</f>
        <v>14030</v>
      </c>
      <c r="I575" t="str">
        <f>IF(PNL!A575="","",IF(_CALC_PNL!E575=1,H575-G575,""))</f>
        <v/>
      </c>
    </row>
    <row r="576" ht="14.25" customHeight="1">
      <c r="A576" t="s">
        <v>96</v>
      </c>
      <c r="B576" t="s">
        <v>259</v>
      </c>
      <c r="C576" t="s">
        <v>25</v>
      </c>
      <c r="D576" t="s">
        <v>273</v>
      </c>
      <c r="E576" t="s">
        <v>191</v>
      </c>
      <c r="F576" t="s">
        <v>192</v>
      </c>
      <c r="G576">
        <v>21037</v>
      </c>
      <c r="H576">
        <f>IF(PNL!A576="","",_CALC_PNL!P576)</f>
        <v>21037</v>
      </c>
      <c r="I576" t="str">
        <f>IF(PNL!A576="","",IF(_CALC_PNL!E576=1,H576-G576,""))</f>
        <v/>
      </c>
    </row>
    <row r="577" ht="14.25" customHeight="1">
      <c r="A577" t="s">
        <v>97</v>
      </c>
      <c r="B577" t="s">
        <v>259</v>
      </c>
      <c r="C577" t="s">
        <v>25</v>
      </c>
      <c r="D577" t="s">
        <v>273</v>
      </c>
      <c r="E577" t="s">
        <v>191</v>
      </c>
      <c r="F577" t="s">
        <v>192</v>
      </c>
      <c r="G577">
        <v>12331</v>
      </c>
      <c r="H577">
        <f>IF(PNL!A577="","",_CALC_PNL!P577)</f>
        <v>12331</v>
      </c>
      <c r="I577" t="str">
        <f>IF(PNL!A577="","",IF(_CALC_PNL!E577=1,H577-G577,""))</f>
        <v/>
      </c>
    </row>
    <row r="578" ht="14.25" customHeight="1">
      <c r="A578" t="s">
        <v>251</v>
      </c>
      <c r="B578" t="s">
        <v>260</v>
      </c>
      <c r="C578" t="s">
        <v>211</v>
      </c>
      <c r="D578" t="s">
        <v>273</v>
      </c>
      <c r="E578" t="s">
        <v>191</v>
      </c>
      <c r="F578" t="s">
        <v>192</v>
      </c>
      <c r="G578">
        <v>412389</v>
      </c>
      <c r="H578">
        <f>IF(PNL!A578="","",_CALC_PNL!P578)</f>
        <v>412389</v>
      </c>
      <c r="I578" t="str">
        <f>IF(PNL!A578="","",IF(_CALC_PNL!E578=1,H578-G578,""))</f>
        <v/>
      </c>
    </row>
    <row r="579" ht="14.25" customHeight="1">
      <c r="A579" t="s">
        <v>251</v>
      </c>
      <c r="B579" t="s">
        <v>260</v>
      </c>
      <c r="C579" t="s">
        <v>210</v>
      </c>
      <c r="D579" t="s">
        <v>273</v>
      </c>
      <c r="E579" t="s">
        <v>191</v>
      </c>
      <c r="F579" t="s">
        <v>192</v>
      </c>
      <c r="G579">
        <v>431286</v>
      </c>
      <c r="H579">
        <f>IF(PNL!A579="","",_CALC_PNL!P579)</f>
        <v>431286</v>
      </c>
      <c r="I579" t="str">
        <f>IF(PNL!A579="","",IF(_CALC_PNL!E579=1,H579-G579,""))</f>
        <v/>
      </c>
    </row>
    <row r="580" ht="14.25" customHeight="1">
      <c r="A580" t="s">
        <v>251</v>
      </c>
      <c r="B580" t="s">
        <v>260</v>
      </c>
      <c r="C580" t="s">
        <v>25</v>
      </c>
      <c r="D580" t="s">
        <v>273</v>
      </c>
      <c r="E580" t="s">
        <v>191</v>
      </c>
      <c r="F580" t="s">
        <v>192</v>
      </c>
      <c r="G580">
        <v>451872</v>
      </c>
      <c r="H580">
        <f>IF(PNL!A580="","",_CALC_PNL!P580)</f>
        <v>451872</v>
      </c>
      <c r="I580" t="str">
        <f>IF(PNL!A580="","",IF(_CALC_PNL!E580=1,H580-G580,""))</f>
        <v/>
      </c>
    </row>
    <row r="581" ht="14.25" customHeight="1">
      <c r="A581" t="s">
        <v>251</v>
      </c>
      <c r="B581" t="s">
        <v>261</v>
      </c>
      <c r="C581" t="s">
        <v>211</v>
      </c>
      <c r="D581" t="s">
        <v>273</v>
      </c>
      <c r="E581" t="s">
        <v>191</v>
      </c>
      <c r="F581" t="s">
        <v>192</v>
      </c>
      <c r="G581">
        <v>164956</v>
      </c>
      <c r="H581">
        <f>IF(PNL!A581="","",_CALC_PNL!P581)</f>
        <v>164956</v>
      </c>
      <c r="I581" t="str">
        <f>IF(PNL!A581="","",IF(_CALC_PNL!E581=1,H581-G581,""))</f>
        <v/>
      </c>
    </row>
    <row r="582" ht="14.25" customHeight="1">
      <c r="A582" t="s">
        <v>251</v>
      </c>
      <c r="B582" t="s">
        <v>261</v>
      </c>
      <c r="C582" t="s">
        <v>210</v>
      </c>
      <c r="D582" t="s">
        <v>273</v>
      </c>
      <c r="E582" t="s">
        <v>191</v>
      </c>
      <c r="F582" t="s">
        <v>192</v>
      </c>
      <c r="G582">
        <v>172514</v>
      </c>
      <c r="H582">
        <f>IF(PNL!A582="","",_CALC_PNL!P582)</f>
        <v>172514</v>
      </c>
      <c r="I582" t="str">
        <f>IF(PNL!A582="","",IF(_CALC_PNL!E582=1,H582-G582,""))</f>
        <v/>
      </c>
    </row>
    <row r="583" ht="14.25" customHeight="1">
      <c r="A583" t="s">
        <v>251</v>
      </c>
      <c r="B583" t="s">
        <v>261</v>
      </c>
      <c r="C583" t="s">
        <v>25</v>
      </c>
      <c r="D583" t="s">
        <v>273</v>
      </c>
      <c r="E583" t="s">
        <v>191</v>
      </c>
      <c r="F583" t="s">
        <v>192</v>
      </c>
      <c r="G583">
        <v>180749</v>
      </c>
      <c r="H583">
        <f>IF(PNL!A583="","",_CALC_PNL!P583)</f>
        <v>180749</v>
      </c>
      <c r="I583" t="str">
        <f>IF(PNL!A583="","",IF(_CALC_PNL!E583=1,H583-G583,""))</f>
        <v/>
      </c>
    </row>
    <row r="584" ht="14.25" customHeight="1">
      <c r="A584" t="s">
        <v>251</v>
      </c>
      <c r="B584" t="s">
        <v>262</v>
      </c>
      <c r="C584" t="s">
        <v>211</v>
      </c>
      <c r="D584" t="s">
        <v>273</v>
      </c>
      <c r="E584" t="s">
        <v>191</v>
      </c>
      <c r="F584" t="s">
        <v>192</v>
      </c>
      <c r="G584">
        <v>309292</v>
      </c>
      <c r="H584">
        <f>IF(PNL!A584="","",_CALC_PNL!P584)</f>
        <v>309292</v>
      </c>
      <c r="I584" t="str">
        <f>IF(PNL!A584="","",IF(_CALC_PNL!E584=1,H584-G584,""))</f>
        <v/>
      </c>
    </row>
    <row r="585" ht="14.25" customHeight="1">
      <c r="A585" t="s">
        <v>251</v>
      </c>
      <c r="B585" t="s">
        <v>262</v>
      </c>
      <c r="C585" t="s">
        <v>210</v>
      </c>
      <c r="D585" t="s">
        <v>273</v>
      </c>
      <c r="E585" t="s">
        <v>191</v>
      </c>
      <c r="F585" t="s">
        <v>192</v>
      </c>
      <c r="G585">
        <v>323465</v>
      </c>
      <c r="H585">
        <f>IF(PNL!A585="","",_CALC_PNL!P585)</f>
        <v>323465</v>
      </c>
      <c r="I585" t="str">
        <f>IF(PNL!A585="","",IF(_CALC_PNL!E585=1,H585-G585,""))</f>
        <v/>
      </c>
    </row>
    <row r="586" ht="14.25" customHeight="1">
      <c r="A586" t="s">
        <v>251</v>
      </c>
      <c r="B586" t="s">
        <v>262</v>
      </c>
      <c r="C586" t="s">
        <v>25</v>
      </c>
      <c r="D586" t="s">
        <v>273</v>
      </c>
      <c r="E586" t="s">
        <v>191</v>
      </c>
      <c r="F586" t="s">
        <v>192</v>
      </c>
      <c r="G586">
        <v>338904</v>
      </c>
      <c r="H586">
        <f>IF(PNL!A586="","",_CALC_PNL!P586)</f>
        <v>338904</v>
      </c>
      <c r="I586" t="str">
        <f>IF(PNL!A586="","",IF(_CALC_PNL!E586=1,H586-G586,""))</f>
        <v/>
      </c>
    </row>
    <row r="587" ht="14.25" customHeight="1">
      <c r="A587" t="s">
        <v>75</v>
      </c>
      <c r="B587" t="s">
        <v>263</v>
      </c>
      <c r="C587" t="s">
        <v>211</v>
      </c>
      <c r="D587" t="s">
        <v>273</v>
      </c>
      <c r="E587" t="s">
        <v>191</v>
      </c>
      <c r="F587" t="s">
        <v>192</v>
      </c>
      <c r="G587">
        <v>32490</v>
      </c>
      <c r="H587">
        <f>IF(PNL!A587="","",_CALC_PNL!P587)</f>
        <v>32490</v>
      </c>
      <c r="I587" t="str">
        <f>IF(PNL!A587="","",IF(_CALC_PNL!E587=1,H587-G587,""))</f>
        <v/>
      </c>
    </row>
    <row r="588" ht="14.25" customHeight="1">
      <c r="A588" t="s">
        <v>77</v>
      </c>
      <c r="B588" t="s">
        <v>263</v>
      </c>
      <c r="C588" t="s">
        <v>211</v>
      </c>
      <c r="D588" t="s">
        <v>273</v>
      </c>
      <c r="E588" t="s">
        <v>191</v>
      </c>
      <c r="F588" t="s">
        <v>192</v>
      </c>
      <c r="G588">
        <v>19467</v>
      </c>
      <c r="H588">
        <f>IF(PNL!A588="","",_CALC_PNL!P588)</f>
        <v>19467</v>
      </c>
      <c r="I588" t="str">
        <f>IF(PNL!A588="","",IF(_CALC_PNL!E588=1,H588-G588,""))</f>
        <v/>
      </c>
    </row>
    <row r="589" ht="14.25" customHeight="1">
      <c r="A589" t="s">
        <v>79</v>
      </c>
      <c r="B589" t="s">
        <v>263</v>
      </c>
      <c r="C589" t="s">
        <v>211</v>
      </c>
      <c r="D589" t="s">
        <v>273</v>
      </c>
      <c r="E589" t="s">
        <v>191</v>
      </c>
      <c r="F589" t="s">
        <v>192</v>
      </c>
      <c r="G589">
        <v>16044</v>
      </c>
      <c r="H589">
        <f>IF(PNL!A589="","",_CALC_PNL!P589)</f>
        <v>16044</v>
      </c>
      <c r="I589" t="str">
        <f>IF(PNL!A589="","",IF(_CALC_PNL!E589=1,H589-G589,""))</f>
        <v/>
      </c>
    </row>
    <row r="590" ht="14.25" customHeight="1">
      <c r="A590" t="s">
        <v>81</v>
      </c>
      <c r="B590" t="s">
        <v>263</v>
      </c>
      <c r="C590" t="s">
        <v>211</v>
      </c>
      <c r="D590" t="s">
        <v>273</v>
      </c>
      <c r="E590" t="s">
        <v>191</v>
      </c>
      <c r="F590" t="s">
        <v>192</v>
      </c>
      <c r="G590">
        <v>14039</v>
      </c>
      <c r="H590">
        <f>IF(PNL!A590="","",_CALC_PNL!P590)</f>
        <v>14039</v>
      </c>
      <c r="I590" t="str">
        <f>IF(PNL!A590="","",IF(_CALC_PNL!E590=1,H590-G590,""))</f>
        <v/>
      </c>
    </row>
    <row r="591" ht="14.25" customHeight="1">
      <c r="A591" t="s">
        <v>83</v>
      </c>
      <c r="B591" t="s">
        <v>263</v>
      </c>
      <c r="C591" t="s">
        <v>211</v>
      </c>
      <c r="D591" t="s">
        <v>273</v>
      </c>
      <c r="E591" t="s">
        <v>191</v>
      </c>
      <c r="F591" t="s">
        <v>192</v>
      </c>
      <c r="G591">
        <v>32490</v>
      </c>
      <c r="H591">
        <f>IF(PNL!A591="","",_CALC_PNL!P591)</f>
        <v>32490</v>
      </c>
      <c r="I591" t="str">
        <f>IF(PNL!A591="","",IF(_CALC_PNL!E591=1,H591-G591,""))</f>
        <v/>
      </c>
    </row>
    <row r="592" ht="14.25" customHeight="1">
      <c r="A592" t="s">
        <v>84</v>
      </c>
      <c r="B592" t="s">
        <v>263</v>
      </c>
      <c r="C592" t="s">
        <v>211</v>
      </c>
      <c r="D592" t="s">
        <v>273</v>
      </c>
      <c r="E592" t="s">
        <v>191</v>
      </c>
      <c r="F592" t="s">
        <v>192</v>
      </c>
      <c r="G592">
        <v>12301</v>
      </c>
      <c r="H592">
        <f>IF(PNL!A592="","",_CALC_PNL!P592)</f>
        <v>12301</v>
      </c>
      <c r="I592" t="str">
        <f>IF(PNL!A592="","",IF(_CALC_PNL!E592=1,H592-G592,""))</f>
        <v/>
      </c>
    </row>
    <row r="593" ht="14.25" customHeight="1">
      <c r="A593" t="s">
        <v>86</v>
      </c>
      <c r="B593" t="s">
        <v>263</v>
      </c>
      <c r="C593" t="s">
        <v>211</v>
      </c>
      <c r="D593" t="s">
        <v>273</v>
      </c>
      <c r="E593" t="s">
        <v>191</v>
      </c>
      <c r="F593" t="s">
        <v>192</v>
      </c>
      <c r="G593">
        <v>12033</v>
      </c>
      <c r="H593">
        <f>IF(PNL!A593="","",_CALC_PNL!P593)</f>
        <v>12033</v>
      </c>
      <c r="I593" t="str">
        <f>IF(PNL!A593="","",IF(_CALC_PNL!E593=1,H593-G593,""))</f>
        <v/>
      </c>
    </row>
    <row r="594" ht="14.25" customHeight="1">
      <c r="A594" t="s">
        <v>88</v>
      </c>
      <c r="B594" t="s">
        <v>263</v>
      </c>
      <c r="C594" t="s">
        <v>211</v>
      </c>
      <c r="D594" t="s">
        <v>273</v>
      </c>
      <c r="E594" t="s">
        <v>191</v>
      </c>
      <c r="F594" t="s">
        <v>192</v>
      </c>
      <c r="G594">
        <v>8022</v>
      </c>
      <c r="H594">
        <f>IF(PNL!A594="","",_CALC_PNL!P594)</f>
        <v>8022</v>
      </c>
      <c r="I594" t="str">
        <f>IF(PNL!A594="","",IF(_CALC_PNL!E594=1,H594-G594,""))</f>
        <v/>
      </c>
    </row>
    <row r="595" ht="14.25" customHeight="1">
      <c r="A595" t="s">
        <v>90</v>
      </c>
      <c r="B595" t="s">
        <v>263</v>
      </c>
      <c r="C595" t="s">
        <v>211</v>
      </c>
      <c r="D595" t="s">
        <v>273</v>
      </c>
      <c r="E595" t="s">
        <v>191</v>
      </c>
      <c r="F595" t="s">
        <v>192</v>
      </c>
      <c r="G595">
        <v>7059</v>
      </c>
      <c r="H595">
        <f>IF(PNL!A595="","",_CALC_PNL!P595)</f>
        <v>7059</v>
      </c>
      <c r="I595" t="str">
        <f>IF(PNL!A595="","",IF(_CALC_PNL!E595=1,H595-G595,""))</f>
        <v/>
      </c>
    </row>
    <row r="596" ht="14.25" customHeight="1">
      <c r="A596" t="s">
        <v>92</v>
      </c>
      <c r="B596" t="s">
        <v>263</v>
      </c>
      <c r="C596" t="s">
        <v>211</v>
      </c>
      <c r="D596" t="s">
        <v>273</v>
      </c>
      <c r="E596" t="s">
        <v>191</v>
      </c>
      <c r="F596" t="s">
        <v>192</v>
      </c>
      <c r="G596">
        <v>7059</v>
      </c>
      <c r="H596">
        <f>IF(PNL!A596="","",_CALC_PNL!P596)</f>
        <v>7059</v>
      </c>
      <c r="I596" t="str">
        <f>IF(PNL!A596="","",IF(_CALC_PNL!E596=1,H596-G596,""))</f>
        <v/>
      </c>
    </row>
    <row r="597" ht="14.25" customHeight="1">
      <c r="A597" t="s">
        <v>94</v>
      </c>
      <c r="B597" t="s">
        <v>263</v>
      </c>
      <c r="C597" t="s">
        <v>211</v>
      </c>
      <c r="D597" t="s">
        <v>273</v>
      </c>
      <c r="E597" t="s">
        <v>191</v>
      </c>
      <c r="F597" t="s">
        <v>192</v>
      </c>
      <c r="G597">
        <v>11980</v>
      </c>
      <c r="H597">
        <f>IF(PNL!A597="","",_CALC_PNL!P597)</f>
        <v>11980</v>
      </c>
      <c r="I597" t="str">
        <f>IF(PNL!A597="","",IF(_CALC_PNL!E597=1,H597-G597,""))</f>
        <v/>
      </c>
    </row>
    <row r="598" ht="14.25" customHeight="1">
      <c r="A598" t="s">
        <v>95</v>
      </c>
      <c r="B598" t="s">
        <v>263</v>
      </c>
      <c r="C598" t="s">
        <v>211</v>
      </c>
      <c r="D598" t="s">
        <v>273</v>
      </c>
      <c r="E598" t="s">
        <v>191</v>
      </c>
      <c r="F598" t="s">
        <v>192</v>
      </c>
      <c r="G598">
        <v>11231</v>
      </c>
      <c r="H598">
        <f>IF(PNL!A598="","",_CALC_PNL!P598)</f>
        <v>11231</v>
      </c>
      <c r="I598" t="str">
        <f>IF(PNL!A598="","",IF(_CALC_PNL!E598=1,H598-G598,""))</f>
        <v/>
      </c>
    </row>
    <row r="599" ht="14.25" customHeight="1">
      <c r="A599" t="s">
        <v>96</v>
      </c>
      <c r="B599" t="s">
        <v>263</v>
      </c>
      <c r="C599" t="s">
        <v>211</v>
      </c>
      <c r="D599" t="s">
        <v>273</v>
      </c>
      <c r="E599" t="s">
        <v>191</v>
      </c>
      <c r="F599" t="s">
        <v>192</v>
      </c>
      <c r="G599">
        <v>12996</v>
      </c>
      <c r="H599">
        <f>IF(PNL!A599="","",_CALC_PNL!P599)</f>
        <v>12996</v>
      </c>
      <c r="I599" t="str">
        <f>IF(PNL!A599="","",IF(_CALC_PNL!E599=1,H599-G599,""))</f>
        <v/>
      </c>
    </row>
    <row r="600" ht="14.25" customHeight="1">
      <c r="A600" t="s">
        <v>97</v>
      </c>
      <c r="B600" t="s">
        <v>263</v>
      </c>
      <c r="C600" t="s">
        <v>211</v>
      </c>
      <c r="D600" t="s">
        <v>273</v>
      </c>
      <c r="E600" t="s">
        <v>191</v>
      </c>
      <c r="F600" t="s">
        <v>192</v>
      </c>
      <c r="G600">
        <v>8985</v>
      </c>
      <c r="H600">
        <f>IF(PNL!A600="","",_CALC_PNL!P600)</f>
        <v>8985</v>
      </c>
      <c r="I600" t="str">
        <f>IF(PNL!A600="","",IF(_CALC_PNL!E600=1,H600-G600,""))</f>
        <v/>
      </c>
    </row>
    <row r="601" ht="14.25" customHeight="1">
      <c r="A601" t="s">
        <v>75</v>
      </c>
      <c r="B601" t="s">
        <v>263</v>
      </c>
      <c r="C601" t="s">
        <v>210</v>
      </c>
      <c r="D601" t="s">
        <v>273</v>
      </c>
      <c r="E601" t="s">
        <v>191</v>
      </c>
      <c r="F601" t="s">
        <v>192</v>
      </c>
      <c r="G601">
        <v>33978</v>
      </c>
      <c r="H601">
        <f>IF(PNL!A601="","",_CALC_PNL!P601)</f>
        <v>33978</v>
      </c>
      <c r="I601" t="str">
        <f>IF(PNL!A601="","",IF(_CALC_PNL!E601=1,H601-G601,""))</f>
        <v/>
      </c>
    </row>
    <row r="602" ht="14.25" customHeight="1">
      <c r="A602" t="s">
        <v>77</v>
      </c>
      <c r="B602" t="s">
        <v>263</v>
      </c>
      <c r="C602" t="s">
        <v>210</v>
      </c>
      <c r="D602" t="s">
        <v>273</v>
      </c>
      <c r="E602" t="s">
        <v>191</v>
      </c>
      <c r="F602" t="s">
        <v>192</v>
      </c>
      <c r="G602">
        <v>20359</v>
      </c>
      <c r="H602">
        <f>IF(PNL!A602="","",_CALC_PNL!P602)</f>
        <v>20359</v>
      </c>
      <c r="I602" t="str">
        <f>IF(PNL!A602="","",IF(_CALC_PNL!E602=1,H602-G602,""))</f>
        <v/>
      </c>
    </row>
    <row r="603" ht="14.25" customHeight="1">
      <c r="A603" t="s">
        <v>79</v>
      </c>
      <c r="B603" t="s">
        <v>263</v>
      </c>
      <c r="C603" t="s">
        <v>210</v>
      </c>
      <c r="D603" t="s">
        <v>273</v>
      </c>
      <c r="E603" t="s">
        <v>191</v>
      </c>
      <c r="F603" t="s">
        <v>192</v>
      </c>
      <c r="G603">
        <v>16779</v>
      </c>
      <c r="H603">
        <f>IF(PNL!A603="","",_CALC_PNL!P603)</f>
        <v>16779</v>
      </c>
      <c r="I603" t="str">
        <f>IF(PNL!A603="","",IF(_CALC_PNL!E603=1,H603-G603,""))</f>
        <v/>
      </c>
    </row>
    <row r="604" ht="14.25" customHeight="1">
      <c r="A604" t="s">
        <v>81</v>
      </c>
      <c r="B604" t="s">
        <v>263</v>
      </c>
      <c r="C604" t="s">
        <v>210</v>
      </c>
      <c r="D604" t="s">
        <v>273</v>
      </c>
      <c r="E604" t="s">
        <v>191</v>
      </c>
      <c r="F604" t="s">
        <v>192</v>
      </c>
      <c r="G604">
        <v>14682</v>
      </c>
      <c r="H604">
        <f>IF(PNL!A604="","",_CALC_PNL!P604)</f>
        <v>14682</v>
      </c>
      <c r="I604" t="str">
        <f>IF(PNL!A604="","",IF(_CALC_PNL!E604=1,H604-G604,""))</f>
        <v/>
      </c>
    </row>
    <row r="605" ht="14.25" customHeight="1">
      <c r="A605" t="s">
        <v>83</v>
      </c>
      <c r="B605" t="s">
        <v>263</v>
      </c>
      <c r="C605" t="s">
        <v>210</v>
      </c>
      <c r="D605" t="s">
        <v>273</v>
      </c>
      <c r="E605" t="s">
        <v>191</v>
      </c>
      <c r="F605" t="s">
        <v>192</v>
      </c>
      <c r="G605">
        <v>33978</v>
      </c>
      <c r="H605">
        <f>IF(PNL!A605="","",_CALC_PNL!P605)</f>
        <v>33978</v>
      </c>
      <c r="I605" t="str">
        <f>IF(PNL!A605="","",IF(_CALC_PNL!E605=1,H605-G605,""))</f>
        <v/>
      </c>
    </row>
    <row r="606" ht="14.25" customHeight="1">
      <c r="A606" t="s">
        <v>84</v>
      </c>
      <c r="B606" t="s">
        <v>263</v>
      </c>
      <c r="C606" t="s">
        <v>210</v>
      </c>
      <c r="D606" t="s">
        <v>273</v>
      </c>
      <c r="E606" t="s">
        <v>191</v>
      </c>
      <c r="F606" t="s">
        <v>192</v>
      </c>
      <c r="G606">
        <v>12864</v>
      </c>
      <c r="H606">
        <f>IF(PNL!A606="","",_CALC_PNL!P606)</f>
        <v>12864</v>
      </c>
      <c r="I606" t="str">
        <f>IF(PNL!A606="","",IF(_CALC_PNL!E606=1,H606-G606,""))</f>
        <v/>
      </c>
    </row>
    <row r="607" ht="14.25" customHeight="1">
      <c r="A607" t="s">
        <v>86</v>
      </c>
      <c r="B607" t="s">
        <v>263</v>
      </c>
      <c r="C607" t="s">
        <v>210</v>
      </c>
      <c r="D607" t="s">
        <v>273</v>
      </c>
      <c r="E607" t="s">
        <v>191</v>
      </c>
      <c r="F607" t="s">
        <v>192</v>
      </c>
      <c r="G607">
        <v>12585</v>
      </c>
      <c r="H607">
        <f>IF(PNL!A607="","",_CALC_PNL!P607)</f>
        <v>12585</v>
      </c>
      <c r="I607" t="str">
        <f>IF(PNL!A607="","",IF(_CALC_PNL!E607=1,H607-G607,""))</f>
        <v/>
      </c>
    </row>
    <row r="608" ht="14.25" customHeight="1">
      <c r="A608" t="s">
        <v>88</v>
      </c>
      <c r="B608" t="s">
        <v>263</v>
      </c>
      <c r="C608" t="s">
        <v>210</v>
      </c>
      <c r="D608" t="s">
        <v>273</v>
      </c>
      <c r="E608" t="s">
        <v>191</v>
      </c>
      <c r="F608" t="s">
        <v>192</v>
      </c>
      <c r="G608">
        <v>8390</v>
      </c>
      <c r="H608">
        <f>IF(PNL!A608="","",_CALC_PNL!P608)</f>
        <v>8390</v>
      </c>
      <c r="I608" t="str">
        <f>IF(PNL!A608="","",IF(_CALC_PNL!E608=1,H608-G608,""))</f>
        <v/>
      </c>
    </row>
    <row r="609" ht="14.25" customHeight="1">
      <c r="A609" t="s">
        <v>90</v>
      </c>
      <c r="B609" t="s">
        <v>263</v>
      </c>
      <c r="C609" t="s">
        <v>210</v>
      </c>
      <c r="D609" t="s">
        <v>273</v>
      </c>
      <c r="E609" t="s">
        <v>191</v>
      </c>
      <c r="F609" t="s">
        <v>192</v>
      </c>
      <c r="G609">
        <v>7383</v>
      </c>
      <c r="H609">
        <f>IF(PNL!A609="","",_CALC_PNL!P609)</f>
        <v>7383</v>
      </c>
      <c r="I609" t="str">
        <f>IF(PNL!A609="","",IF(_CALC_PNL!E609=1,H609-G609,""))</f>
        <v/>
      </c>
    </row>
    <row r="610" ht="14.25" customHeight="1">
      <c r="A610" t="s">
        <v>92</v>
      </c>
      <c r="B610" t="s">
        <v>263</v>
      </c>
      <c r="C610" t="s">
        <v>210</v>
      </c>
      <c r="D610" t="s">
        <v>273</v>
      </c>
      <c r="E610" t="s">
        <v>191</v>
      </c>
      <c r="F610" t="s">
        <v>192</v>
      </c>
      <c r="G610">
        <v>7383</v>
      </c>
      <c r="H610">
        <f>IF(PNL!A610="","",_CALC_PNL!P610)</f>
        <v>7383</v>
      </c>
      <c r="I610" t="str">
        <f>IF(PNL!A610="","",IF(_CALC_PNL!E610=1,H610-G610,""))</f>
        <v/>
      </c>
    </row>
    <row r="611" ht="14.25" customHeight="1">
      <c r="A611" t="s">
        <v>94</v>
      </c>
      <c r="B611" t="s">
        <v>263</v>
      </c>
      <c r="C611" t="s">
        <v>210</v>
      </c>
      <c r="D611" t="s">
        <v>273</v>
      </c>
      <c r="E611" t="s">
        <v>191</v>
      </c>
      <c r="F611" t="s">
        <v>192</v>
      </c>
      <c r="G611">
        <v>12529</v>
      </c>
      <c r="H611">
        <f>IF(PNL!A611="","",_CALC_PNL!P611)</f>
        <v>12529</v>
      </c>
      <c r="I611" t="str">
        <f>IF(PNL!A611="","",IF(_CALC_PNL!E611=1,H611-G611,""))</f>
        <v/>
      </c>
    </row>
    <row r="612" ht="14.25" customHeight="1">
      <c r="A612" t="s">
        <v>95</v>
      </c>
      <c r="B612" t="s">
        <v>263</v>
      </c>
      <c r="C612" t="s">
        <v>210</v>
      </c>
      <c r="D612" t="s">
        <v>273</v>
      </c>
      <c r="E612" t="s">
        <v>191</v>
      </c>
      <c r="F612" t="s">
        <v>192</v>
      </c>
      <c r="G612">
        <v>11746</v>
      </c>
      <c r="H612">
        <f>IF(PNL!A612="","",_CALC_PNL!P612)</f>
        <v>11746</v>
      </c>
      <c r="I612" t="str">
        <f>IF(PNL!A612="","",IF(_CALC_PNL!E612=1,H612-G612,""))</f>
        <v/>
      </c>
    </row>
    <row r="613" ht="14.25" customHeight="1">
      <c r="A613" t="s">
        <v>96</v>
      </c>
      <c r="B613" t="s">
        <v>263</v>
      </c>
      <c r="C613" t="s">
        <v>210</v>
      </c>
      <c r="D613" t="s">
        <v>273</v>
      </c>
      <c r="E613" t="s">
        <v>191</v>
      </c>
      <c r="F613" t="s">
        <v>192</v>
      </c>
      <c r="G613">
        <v>13591</v>
      </c>
      <c r="H613">
        <f>IF(PNL!A613="","",_CALC_PNL!P613)</f>
        <v>13591</v>
      </c>
      <c r="I613" t="str">
        <f>IF(PNL!A613="","",IF(_CALC_PNL!E613=1,H613-G613,""))</f>
        <v/>
      </c>
    </row>
    <row r="614" ht="14.25" customHeight="1">
      <c r="A614" t="s">
        <v>97</v>
      </c>
      <c r="B614" t="s">
        <v>263</v>
      </c>
      <c r="C614" t="s">
        <v>210</v>
      </c>
      <c r="D614" t="s">
        <v>273</v>
      </c>
      <c r="E614" t="s">
        <v>191</v>
      </c>
      <c r="F614" t="s">
        <v>192</v>
      </c>
      <c r="G614">
        <v>9396</v>
      </c>
      <c r="H614">
        <f>IF(PNL!A614="","",_CALC_PNL!P614)</f>
        <v>9396</v>
      </c>
      <c r="I614" t="str">
        <f>IF(PNL!A614="","",IF(_CALC_PNL!E614=1,H614-G614,""))</f>
        <v/>
      </c>
    </row>
    <row r="615" ht="14.25" customHeight="1">
      <c r="A615" t="s">
        <v>75</v>
      </c>
      <c r="B615" t="s">
        <v>263</v>
      </c>
      <c r="C615" t="s">
        <v>25</v>
      </c>
      <c r="D615" t="s">
        <v>273</v>
      </c>
      <c r="E615" t="s">
        <v>191</v>
      </c>
      <c r="F615" t="s">
        <v>192</v>
      </c>
      <c r="G615">
        <v>35600</v>
      </c>
      <c r="H615">
        <f>IF(PNL!A615="","",_CALC_PNL!P615)</f>
        <v>35600</v>
      </c>
      <c r="I615" t="str">
        <f>IF(PNL!A615="","",IF(_CALC_PNL!E615=1,H615-G615,""))</f>
        <v/>
      </c>
    </row>
    <row r="616" ht="14.25" customHeight="1">
      <c r="A616" t="s">
        <v>77</v>
      </c>
      <c r="B616" t="s">
        <v>263</v>
      </c>
      <c r="C616" t="s">
        <v>25</v>
      </c>
      <c r="D616" t="s">
        <v>273</v>
      </c>
      <c r="E616" t="s">
        <v>191</v>
      </c>
      <c r="F616" t="s">
        <v>192</v>
      </c>
      <c r="G616">
        <v>21331</v>
      </c>
      <c r="H616">
        <f>IF(PNL!A616="","",_CALC_PNL!P616)</f>
        <v>21331</v>
      </c>
      <c r="I616" t="str">
        <f>IF(PNL!A616="","",IF(_CALC_PNL!E616=1,H616-G616,""))</f>
        <v/>
      </c>
    </row>
    <row r="617" ht="14.25" customHeight="1">
      <c r="A617" t="s">
        <v>79</v>
      </c>
      <c r="B617" t="s">
        <v>263</v>
      </c>
      <c r="C617" t="s">
        <v>25</v>
      </c>
      <c r="D617" t="s">
        <v>273</v>
      </c>
      <c r="E617" t="s">
        <v>191</v>
      </c>
      <c r="F617" t="s">
        <v>192</v>
      </c>
      <c r="G617">
        <v>17580</v>
      </c>
      <c r="H617">
        <f>IF(PNL!A617="","",_CALC_PNL!P617)</f>
        <v>17580</v>
      </c>
      <c r="I617" t="str">
        <f>IF(PNL!A617="","",IF(_CALC_PNL!E617=1,H617-G617,""))</f>
        <v/>
      </c>
    </row>
    <row r="618" ht="14.25" customHeight="1">
      <c r="A618" t="s">
        <v>81</v>
      </c>
      <c r="B618" t="s">
        <v>263</v>
      </c>
      <c r="C618" t="s">
        <v>25</v>
      </c>
      <c r="D618" t="s">
        <v>273</v>
      </c>
      <c r="E618" t="s">
        <v>191</v>
      </c>
      <c r="F618" t="s">
        <v>192</v>
      </c>
      <c r="G618">
        <v>15383</v>
      </c>
      <c r="H618">
        <f>IF(PNL!A618="","",_CALC_PNL!P618)</f>
        <v>15383</v>
      </c>
      <c r="I618" t="str">
        <f>IF(PNL!A618="","",IF(_CALC_PNL!E618=1,H618-G618,""))</f>
        <v/>
      </c>
    </row>
    <row r="619" ht="14.25" customHeight="1">
      <c r="A619" t="s">
        <v>83</v>
      </c>
      <c r="B619" t="s">
        <v>263</v>
      </c>
      <c r="C619" t="s">
        <v>25</v>
      </c>
      <c r="D619" t="s">
        <v>273</v>
      </c>
      <c r="E619" t="s">
        <v>191</v>
      </c>
      <c r="F619" t="s">
        <v>192</v>
      </c>
      <c r="G619">
        <v>35600</v>
      </c>
      <c r="H619">
        <f>IF(PNL!A619="","",_CALC_PNL!P619)</f>
        <v>35600</v>
      </c>
      <c r="I619" t="str">
        <f>IF(PNL!A619="","",IF(_CALC_PNL!E619=1,H619-G619,""))</f>
        <v/>
      </c>
    </row>
    <row r="620" ht="14.25" customHeight="1">
      <c r="A620" t="s">
        <v>84</v>
      </c>
      <c r="B620" t="s">
        <v>263</v>
      </c>
      <c r="C620" t="s">
        <v>25</v>
      </c>
      <c r="D620" t="s">
        <v>273</v>
      </c>
      <c r="E620" t="s">
        <v>191</v>
      </c>
      <c r="F620" t="s">
        <v>192</v>
      </c>
      <c r="G620">
        <v>13478</v>
      </c>
      <c r="H620">
        <f>IF(PNL!A620="","",_CALC_PNL!P620)</f>
        <v>13478</v>
      </c>
      <c r="I620" t="str">
        <f>IF(PNL!A620="","",IF(_CALC_PNL!E620=1,H620-G620,""))</f>
        <v/>
      </c>
    </row>
    <row r="621" ht="14.25" customHeight="1">
      <c r="A621" t="s">
        <v>86</v>
      </c>
      <c r="B621" t="s">
        <v>263</v>
      </c>
      <c r="C621" t="s">
        <v>25</v>
      </c>
      <c r="D621" t="s">
        <v>273</v>
      </c>
      <c r="E621" t="s">
        <v>191</v>
      </c>
      <c r="F621" t="s">
        <v>192</v>
      </c>
      <c r="G621">
        <v>13185</v>
      </c>
      <c r="H621">
        <f>IF(PNL!A621="","",_CALC_PNL!P621)</f>
        <v>13185</v>
      </c>
      <c r="I621" t="str">
        <f>IF(PNL!A621="","",IF(_CALC_PNL!E621=1,H621-G621,""))</f>
        <v/>
      </c>
    </row>
    <row r="622" ht="14.25" customHeight="1">
      <c r="A622" t="s">
        <v>88</v>
      </c>
      <c r="B622" t="s">
        <v>263</v>
      </c>
      <c r="C622" t="s">
        <v>25</v>
      </c>
      <c r="D622" t="s">
        <v>273</v>
      </c>
      <c r="E622" t="s">
        <v>191</v>
      </c>
      <c r="F622" t="s">
        <v>192</v>
      </c>
      <c r="G622">
        <v>8790</v>
      </c>
      <c r="H622">
        <f>IF(PNL!A622="","",_CALC_PNL!P622)</f>
        <v>8790</v>
      </c>
      <c r="I622" t="str">
        <f>IF(PNL!A622="","",IF(_CALC_PNL!E622=1,H622-G622,""))</f>
        <v/>
      </c>
    </row>
    <row r="623" ht="14.25" customHeight="1">
      <c r="A623" t="s">
        <v>90</v>
      </c>
      <c r="B623" t="s">
        <v>263</v>
      </c>
      <c r="C623" t="s">
        <v>25</v>
      </c>
      <c r="D623" t="s">
        <v>273</v>
      </c>
      <c r="E623" t="s">
        <v>191</v>
      </c>
      <c r="F623" t="s">
        <v>192</v>
      </c>
      <c r="G623">
        <v>7735</v>
      </c>
      <c r="H623">
        <f>IF(PNL!A623="","",_CALC_PNL!P623)</f>
        <v>7735</v>
      </c>
      <c r="I623" t="str">
        <f>IF(PNL!A623="","",IF(_CALC_PNL!E623=1,H623-G623,""))</f>
        <v/>
      </c>
    </row>
    <row r="624" ht="14.25" customHeight="1">
      <c r="A624" t="s">
        <v>92</v>
      </c>
      <c r="B624" t="s">
        <v>263</v>
      </c>
      <c r="C624" t="s">
        <v>25</v>
      </c>
      <c r="D624" t="s">
        <v>273</v>
      </c>
      <c r="E624" t="s">
        <v>191</v>
      </c>
      <c r="F624" t="s">
        <v>192</v>
      </c>
      <c r="G624">
        <v>7735</v>
      </c>
      <c r="H624">
        <f>IF(PNL!A624="","",_CALC_PNL!P624)</f>
        <v>7735</v>
      </c>
      <c r="I624" t="str">
        <f>IF(PNL!A624="","",IF(_CALC_PNL!E624=1,H624-G624,""))</f>
        <v/>
      </c>
    </row>
    <row r="625" ht="14.25" customHeight="1">
      <c r="A625" t="s">
        <v>94</v>
      </c>
      <c r="B625" t="s">
        <v>263</v>
      </c>
      <c r="C625" t="s">
        <v>25</v>
      </c>
      <c r="D625" t="s">
        <v>273</v>
      </c>
      <c r="E625" t="s">
        <v>191</v>
      </c>
      <c r="F625" t="s">
        <v>192</v>
      </c>
      <c r="G625">
        <v>13127</v>
      </c>
      <c r="H625">
        <f>IF(PNL!A625="","",_CALC_PNL!P625)</f>
        <v>13127</v>
      </c>
      <c r="I625" t="str">
        <f>IF(PNL!A625="","",IF(_CALC_PNL!E625=1,H625-G625,""))</f>
        <v/>
      </c>
    </row>
    <row r="626" ht="14.25" customHeight="1">
      <c r="A626" t="s">
        <v>95</v>
      </c>
      <c r="B626" t="s">
        <v>263</v>
      </c>
      <c r="C626" t="s">
        <v>25</v>
      </c>
      <c r="D626" t="s">
        <v>273</v>
      </c>
      <c r="E626" t="s">
        <v>191</v>
      </c>
      <c r="F626" t="s">
        <v>192</v>
      </c>
      <c r="G626">
        <v>12306</v>
      </c>
      <c r="H626">
        <f>IF(PNL!A626="","",_CALC_PNL!P626)</f>
        <v>12306</v>
      </c>
      <c r="I626" t="str">
        <f>IF(PNL!A626="","",IF(_CALC_PNL!E626=1,H626-G626,""))</f>
        <v/>
      </c>
    </row>
    <row r="627" ht="14.25" customHeight="1">
      <c r="A627" t="s">
        <v>96</v>
      </c>
      <c r="B627" t="s">
        <v>263</v>
      </c>
      <c r="C627" t="s">
        <v>25</v>
      </c>
      <c r="D627" t="s">
        <v>273</v>
      </c>
      <c r="E627" t="s">
        <v>191</v>
      </c>
      <c r="F627" t="s">
        <v>192</v>
      </c>
      <c r="G627">
        <v>14240</v>
      </c>
      <c r="H627">
        <f>IF(PNL!A627="","",_CALC_PNL!P627)</f>
        <v>14240</v>
      </c>
      <c r="I627" t="str">
        <f>IF(PNL!A627="","",IF(_CALC_PNL!E627=1,H627-G627,""))</f>
        <v/>
      </c>
    </row>
    <row r="628" ht="14.25" customHeight="1">
      <c r="A628" t="s">
        <v>97</v>
      </c>
      <c r="B628" t="s">
        <v>263</v>
      </c>
      <c r="C628" t="s">
        <v>25</v>
      </c>
      <c r="D628" t="s">
        <v>273</v>
      </c>
      <c r="E628" t="s">
        <v>191</v>
      </c>
      <c r="F628" t="s">
        <v>192</v>
      </c>
      <c r="G628">
        <v>9845</v>
      </c>
      <c r="H628">
        <f>IF(PNL!A628="","",_CALC_PNL!P628)</f>
        <v>9845</v>
      </c>
      <c r="I628" t="str">
        <f>IF(PNL!A628="","",IF(_CALC_PNL!E628=1,H628-G628,""))</f>
        <v/>
      </c>
    </row>
    <row r="629" ht="14.25" customHeight="1">
      <c r="A629" t="s">
        <v>251</v>
      </c>
      <c r="B629" t="s">
        <v>264</v>
      </c>
      <c r="C629" t="s">
        <v>211</v>
      </c>
      <c r="D629" t="s">
        <v>273</v>
      </c>
      <c r="E629" t="s">
        <v>191</v>
      </c>
      <c r="F629" t="s">
        <v>192</v>
      </c>
      <c r="G629">
        <v>103097</v>
      </c>
      <c r="H629">
        <f>IF(PNL!A629="","",_CALC_PNL!P629)</f>
        <v>103097</v>
      </c>
      <c r="I629" t="str">
        <f>IF(PNL!A629="","",IF(_CALC_PNL!E629=1,H629-G629,""))</f>
        <v/>
      </c>
    </row>
    <row r="630" ht="14.25" customHeight="1">
      <c r="A630" t="s">
        <v>251</v>
      </c>
      <c r="B630" t="s">
        <v>264</v>
      </c>
      <c r="C630" t="s">
        <v>210</v>
      </c>
      <c r="D630" t="s">
        <v>273</v>
      </c>
      <c r="E630" t="s">
        <v>191</v>
      </c>
      <c r="F630" t="s">
        <v>192</v>
      </c>
      <c r="G630">
        <v>107822</v>
      </c>
      <c r="H630">
        <f>IF(PNL!A630="","",_CALC_PNL!P630)</f>
        <v>107822</v>
      </c>
      <c r="I630" t="str">
        <f>IF(PNL!A630="","",IF(_CALC_PNL!E630=1,H630-G630,""))</f>
        <v/>
      </c>
    </row>
    <row r="631" ht="14.25" customHeight="1">
      <c r="A631" t="s">
        <v>251</v>
      </c>
      <c r="B631" t="s">
        <v>264</v>
      </c>
      <c r="C631" t="s">
        <v>25</v>
      </c>
      <c r="D631" t="s">
        <v>273</v>
      </c>
      <c r="E631" t="s">
        <v>191</v>
      </c>
      <c r="F631" t="s">
        <v>192</v>
      </c>
      <c r="G631">
        <v>112968</v>
      </c>
      <c r="H631">
        <f>IF(PNL!A631="","",_CALC_PNL!P631)</f>
        <v>112968</v>
      </c>
      <c r="I631" t="str">
        <f>IF(PNL!A631="","",IF(_CALC_PNL!E631=1,H631-G631,""))</f>
        <v/>
      </c>
    </row>
    <row r="632" ht="14.25" customHeight="1">
      <c r="A632" t="s">
        <v>75</v>
      </c>
      <c r="B632" t="s">
        <v>265</v>
      </c>
      <c r="C632" t="s">
        <v>211</v>
      </c>
      <c r="D632" t="s">
        <v>273</v>
      </c>
      <c r="E632" t="s">
        <v>191</v>
      </c>
      <c r="F632" t="s">
        <v>192</v>
      </c>
      <c r="G632">
        <v>137849</v>
      </c>
      <c r="H632">
        <f>IF(PNL!A632="","",_CALC_PNL!P632)</f>
        <v>137849</v>
      </c>
      <c r="I632" t="str">
        <f>IF(PNL!A632="","",IF(_CALC_PNL!E632=1,H632-G632,""))</f>
        <v/>
      </c>
    </row>
    <row r="633" ht="14.25" customHeight="1">
      <c r="A633" t="s">
        <v>77</v>
      </c>
      <c r="B633" t="s">
        <v>265</v>
      </c>
      <c r="C633" t="s">
        <v>211</v>
      </c>
      <c r="D633" t="s">
        <v>273</v>
      </c>
      <c r="E633" t="s">
        <v>191</v>
      </c>
      <c r="F633" t="s">
        <v>192</v>
      </c>
      <c r="G633">
        <v>119469</v>
      </c>
      <c r="H633">
        <f>IF(PNL!A633="","",_CALC_PNL!P633)</f>
        <v>119469</v>
      </c>
      <c r="I633" t="str">
        <f>IF(PNL!A633="","",IF(_CALC_PNL!E633=1,H633-G633,""))</f>
        <v/>
      </c>
    </row>
    <row r="634" ht="14.25" customHeight="1">
      <c r="A634" t="s">
        <v>79</v>
      </c>
      <c r="B634" t="s">
        <v>265</v>
      </c>
      <c r="C634" t="s">
        <v>211</v>
      </c>
      <c r="D634" t="s">
        <v>273</v>
      </c>
      <c r="E634" t="s">
        <v>191</v>
      </c>
      <c r="F634" t="s">
        <v>192</v>
      </c>
      <c r="G634">
        <v>110279</v>
      </c>
      <c r="H634">
        <f>IF(PNL!A634="","",_CALC_PNL!P634)</f>
        <v>110279</v>
      </c>
      <c r="I634" t="str">
        <f>IF(PNL!A634="","",IF(_CALC_PNL!E634=1,H634-G634,""))</f>
        <v/>
      </c>
    </row>
    <row r="635" ht="14.25" customHeight="1">
      <c r="A635" t="s">
        <v>81</v>
      </c>
      <c r="B635" t="s">
        <v>265</v>
      </c>
      <c r="C635" t="s">
        <v>211</v>
      </c>
      <c r="D635" t="s">
        <v>273</v>
      </c>
      <c r="E635" t="s">
        <v>191</v>
      </c>
      <c r="F635" t="s">
        <v>192</v>
      </c>
      <c r="G635">
        <v>91900</v>
      </c>
      <c r="H635">
        <f>IF(PNL!A635="","",_CALC_PNL!P635)</f>
        <v>91900</v>
      </c>
      <c r="I635" t="str">
        <f>IF(PNL!A635="","",IF(_CALC_PNL!E635=1,H635-G635,""))</f>
        <v/>
      </c>
    </row>
    <row r="636" ht="14.25" customHeight="1">
      <c r="A636" t="s">
        <v>83</v>
      </c>
      <c r="B636" t="s">
        <v>265</v>
      </c>
      <c r="C636" t="s">
        <v>211</v>
      </c>
      <c r="D636" t="s">
        <v>273</v>
      </c>
      <c r="E636" t="s">
        <v>191</v>
      </c>
      <c r="F636" t="s">
        <v>192</v>
      </c>
      <c r="G636">
        <v>137849</v>
      </c>
      <c r="H636">
        <f>IF(PNL!A636="","",_CALC_PNL!P636)</f>
        <v>137849</v>
      </c>
      <c r="I636" t="str">
        <f>IF(PNL!A636="","",IF(_CALC_PNL!E636=1,H636-G636,""))</f>
        <v/>
      </c>
    </row>
    <row r="637" ht="14.25" customHeight="1">
      <c r="A637" t="s">
        <v>84</v>
      </c>
      <c r="B637" t="s">
        <v>265</v>
      </c>
      <c r="C637" t="s">
        <v>211</v>
      </c>
      <c r="D637" t="s">
        <v>273</v>
      </c>
      <c r="E637" t="s">
        <v>191</v>
      </c>
      <c r="F637" t="s">
        <v>192</v>
      </c>
      <c r="G637">
        <v>91900</v>
      </c>
      <c r="H637">
        <f>IF(PNL!A637="","",_CALC_PNL!P637)</f>
        <v>91900</v>
      </c>
      <c r="I637" t="str">
        <f>IF(PNL!A637="","",IF(_CALC_PNL!E637=1,H637-G637,""))</f>
        <v/>
      </c>
    </row>
    <row r="638" ht="14.25" customHeight="1">
      <c r="A638" t="s">
        <v>86</v>
      </c>
      <c r="B638" t="s">
        <v>265</v>
      </c>
      <c r="C638" t="s">
        <v>211</v>
      </c>
      <c r="D638" t="s">
        <v>273</v>
      </c>
      <c r="E638" t="s">
        <v>191</v>
      </c>
      <c r="F638" t="s">
        <v>192</v>
      </c>
      <c r="G638">
        <v>91900</v>
      </c>
      <c r="H638">
        <f>IF(PNL!A638="","",_CALC_PNL!P638)</f>
        <v>91900</v>
      </c>
      <c r="I638" t="str">
        <f>IF(PNL!A638="","",IF(_CALC_PNL!E638=1,H638-G638,""))</f>
        <v/>
      </c>
    </row>
    <row r="639" ht="14.25" customHeight="1">
      <c r="A639" t="s">
        <v>88</v>
      </c>
      <c r="B639" t="s">
        <v>265</v>
      </c>
      <c r="C639" t="s">
        <v>211</v>
      </c>
      <c r="D639" t="s">
        <v>273</v>
      </c>
      <c r="E639" t="s">
        <v>191</v>
      </c>
      <c r="F639" t="s">
        <v>192</v>
      </c>
      <c r="G639">
        <v>55140</v>
      </c>
      <c r="H639">
        <f>IF(PNL!A639="","",_CALC_PNL!P639)</f>
        <v>55140</v>
      </c>
      <c r="I639" t="str">
        <f>IF(PNL!A639="","",IF(_CALC_PNL!E639=1,H639-G639,""))</f>
        <v/>
      </c>
    </row>
    <row r="640" ht="14.25" customHeight="1">
      <c r="A640" t="s">
        <v>90</v>
      </c>
      <c r="B640" t="s">
        <v>265</v>
      </c>
      <c r="C640" t="s">
        <v>211</v>
      </c>
      <c r="D640" t="s">
        <v>273</v>
      </c>
      <c r="E640" t="s">
        <v>191</v>
      </c>
      <c r="F640" t="s">
        <v>192</v>
      </c>
      <c r="G640">
        <v>55140</v>
      </c>
      <c r="H640">
        <f>IF(PNL!A640="","",_CALC_PNL!P640)</f>
        <v>55140</v>
      </c>
      <c r="I640" t="str">
        <f>IF(PNL!A640="","",IF(_CALC_PNL!E640=1,H640-G640,""))</f>
        <v/>
      </c>
    </row>
    <row r="641" ht="14.25" customHeight="1">
      <c r="A641" t="s">
        <v>92</v>
      </c>
      <c r="B641" t="s">
        <v>265</v>
      </c>
      <c r="C641" t="s">
        <v>211</v>
      </c>
      <c r="D641" t="s">
        <v>273</v>
      </c>
      <c r="E641" t="s">
        <v>191</v>
      </c>
      <c r="F641" t="s">
        <v>192</v>
      </c>
      <c r="G641">
        <v>55140</v>
      </c>
      <c r="H641">
        <f>IF(PNL!A641="","",_CALC_PNL!P641)</f>
        <v>55140</v>
      </c>
      <c r="I641" t="str">
        <f>IF(PNL!A641="","",IF(_CALC_PNL!E641=1,H641-G641,""))</f>
        <v/>
      </c>
    </row>
    <row r="642" ht="14.25" customHeight="1">
      <c r="A642" t="s">
        <v>94</v>
      </c>
      <c r="B642" t="s">
        <v>265</v>
      </c>
      <c r="C642" t="s">
        <v>211</v>
      </c>
      <c r="D642" t="s">
        <v>273</v>
      </c>
      <c r="E642" t="s">
        <v>191</v>
      </c>
      <c r="F642" t="s">
        <v>192</v>
      </c>
      <c r="G642">
        <v>73520</v>
      </c>
      <c r="H642">
        <f>IF(PNL!A642="","",_CALC_PNL!P642)</f>
        <v>73520</v>
      </c>
      <c r="I642" t="str">
        <f>IF(PNL!A642="","",IF(_CALC_PNL!E642=1,H642-G642,""))</f>
        <v/>
      </c>
    </row>
    <row r="643" ht="14.25" customHeight="1">
      <c r="A643" t="s">
        <v>95</v>
      </c>
      <c r="B643" t="s">
        <v>265</v>
      </c>
      <c r="C643" t="s">
        <v>211</v>
      </c>
      <c r="D643" t="s">
        <v>273</v>
      </c>
      <c r="E643" t="s">
        <v>191</v>
      </c>
      <c r="F643" t="s">
        <v>192</v>
      </c>
      <c r="G643">
        <v>73520</v>
      </c>
      <c r="H643">
        <f>IF(PNL!A643="","",_CALC_PNL!P643)</f>
        <v>73520</v>
      </c>
      <c r="I643" t="str">
        <f>IF(PNL!A643="","",IF(_CALC_PNL!E643=1,H643-G643,""))</f>
        <v/>
      </c>
    </row>
    <row r="644" ht="14.25" customHeight="1">
      <c r="A644" t="s">
        <v>96</v>
      </c>
      <c r="B644" t="s">
        <v>265</v>
      </c>
      <c r="C644" t="s">
        <v>211</v>
      </c>
      <c r="D644" t="s">
        <v>273</v>
      </c>
      <c r="E644" t="s">
        <v>191</v>
      </c>
      <c r="F644" t="s">
        <v>192</v>
      </c>
      <c r="G644">
        <v>55140</v>
      </c>
      <c r="H644">
        <f>IF(PNL!A644="","",_CALC_PNL!P644)</f>
        <v>55140</v>
      </c>
      <c r="I644" t="str">
        <f>IF(PNL!A644="","",IF(_CALC_PNL!E644=1,H644-G644,""))</f>
        <v/>
      </c>
    </row>
    <row r="645" ht="14.25" customHeight="1">
      <c r="A645" t="s">
        <v>97</v>
      </c>
      <c r="B645" t="s">
        <v>265</v>
      </c>
      <c r="C645" t="s">
        <v>211</v>
      </c>
      <c r="D645" t="s">
        <v>273</v>
      </c>
      <c r="E645" t="s">
        <v>191</v>
      </c>
      <c r="F645" t="s">
        <v>192</v>
      </c>
      <c r="G645">
        <v>55140</v>
      </c>
      <c r="H645">
        <f>IF(PNL!A645="","",_CALC_PNL!P645)</f>
        <v>55140</v>
      </c>
      <c r="I645" t="str">
        <f>IF(PNL!A645="","",IF(_CALC_PNL!E645=1,H645-G645,""))</f>
        <v/>
      </c>
    </row>
    <row r="646" ht="14.25" customHeight="1">
      <c r="A646" t="s">
        <v>75</v>
      </c>
      <c r="B646" t="s">
        <v>265</v>
      </c>
      <c r="C646" t="s">
        <v>210</v>
      </c>
      <c r="D646" t="s">
        <v>273</v>
      </c>
      <c r="E646" t="s">
        <v>191</v>
      </c>
      <c r="F646" t="s">
        <v>192</v>
      </c>
      <c r="G646">
        <v>146120</v>
      </c>
      <c r="H646">
        <f>IF(PNL!A646="","",_CALC_PNL!P646)</f>
        <v>146120</v>
      </c>
      <c r="I646" t="str">
        <f>IF(PNL!A646="","",IF(_CALC_PNL!E646=1,H646-G646,""))</f>
        <v/>
      </c>
    </row>
    <row r="647" ht="14.25" customHeight="1">
      <c r="A647" t="s">
        <v>77</v>
      </c>
      <c r="B647" t="s">
        <v>265</v>
      </c>
      <c r="C647" t="s">
        <v>210</v>
      </c>
      <c r="D647" t="s">
        <v>273</v>
      </c>
      <c r="E647" t="s">
        <v>191</v>
      </c>
      <c r="F647" t="s">
        <v>192</v>
      </c>
      <c r="G647">
        <v>126638</v>
      </c>
      <c r="H647">
        <f>IF(PNL!A647="","",_CALC_PNL!P647)</f>
        <v>126638</v>
      </c>
      <c r="I647" t="str">
        <f>IF(PNL!A647="","",IF(_CALC_PNL!E647=1,H647-G647,""))</f>
        <v/>
      </c>
    </row>
    <row r="648" ht="14.25" customHeight="1">
      <c r="A648" t="s">
        <v>79</v>
      </c>
      <c r="B648" t="s">
        <v>265</v>
      </c>
      <c r="C648" t="s">
        <v>210</v>
      </c>
      <c r="D648" t="s">
        <v>273</v>
      </c>
      <c r="E648" t="s">
        <v>191</v>
      </c>
      <c r="F648" t="s">
        <v>192</v>
      </c>
      <c r="G648">
        <v>116896</v>
      </c>
      <c r="H648">
        <f>IF(PNL!A648="","",_CALC_PNL!P648)</f>
        <v>116896</v>
      </c>
      <c r="I648" t="str">
        <f>IF(PNL!A648="","",IF(_CALC_PNL!E648=1,H648-G648,""))</f>
        <v/>
      </c>
    </row>
    <row r="649" ht="14.25" customHeight="1">
      <c r="A649" t="s">
        <v>81</v>
      </c>
      <c r="B649" t="s">
        <v>265</v>
      </c>
      <c r="C649" t="s">
        <v>210</v>
      </c>
      <c r="D649" t="s">
        <v>273</v>
      </c>
      <c r="E649" t="s">
        <v>191</v>
      </c>
      <c r="F649" t="s">
        <v>192</v>
      </c>
      <c r="G649">
        <v>97413</v>
      </c>
      <c r="H649">
        <f>IF(PNL!A649="","",_CALC_PNL!P649)</f>
        <v>97413</v>
      </c>
      <c r="I649" t="str">
        <f>IF(PNL!A649="","",IF(_CALC_PNL!E649=1,H649-G649,""))</f>
        <v/>
      </c>
    </row>
    <row r="650" ht="14.25" customHeight="1">
      <c r="A650" t="s">
        <v>83</v>
      </c>
      <c r="B650" t="s">
        <v>265</v>
      </c>
      <c r="C650" t="s">
        <v>210</v>
      </c>
      <c r="D650" t="s">
        <v>273</v>
      </c>
      <c r="E650" t="s">
        <v>191</v>
      </c>
      <c r="F650" t="s">
        <v>192</v>
      </c>
      <c r="G650">
        <v>146120</v>
      </c>
      <c r="H650">
        <f>IF(PNL!A650="","",_CALC_PNL!P650)</f>
        <v>146120</v>
      </c>
      <c r="I650" t="str">
        <f>IF(PNL!A650="","",IF(_CALC_PNL!E650=1,H650-G650,""))</f>
        <v/>
      </c>
    </row>
    <row r="651" ht="14.25" customHeight="1">
      <c r="A651" t="s">
        <v>84</v>
      </c>
      <c r="B651" t="s">
        <v>265</v>
      </c>
      <c r="C651" t="s">
        <v>210</v>
      </c>
      <c r="D651" t="s">
        <v>273</v>
      </c>
      <c r="E651" t="s">
        <v>191</v>
      </c>
      <c r="F651" t="s">
        <v>192</v>
      </c>
      <c r="G651">
        <v>97413</v>
      </c>
      <c r="H651">
        <f>IF(PNL!A651="","",_CALC_PNL!P651)</f>
        <v>97413</v>
      </c>
      <c r="I651" t="str">
        <f>IF(PNL!A651="","",IF(_CALC_PNL!E651=1,H651-G651,""))</f>
        <v/>
      </c>
    </row>
    <row r="652" ht="14.25" customHeight="1">
      <c r="A652" t="s">
        <v>86</v>
      </c>
      <c r="B652" t="s">
        <v>265</v>
      </c>
      <c r="C652" t="s">
        <v>210</v>
      </c>
      <c r="D652" t="s">
        <v>273</v>
      </c>
      <c r="E652" t="s">
        <v>191</v>
      </c>
      <c r="F652" t="s">
        <v>192</v>
      </c>
      <c r="G652">
        <v>97413</v>
      </c>
      <c r="H652">
        <f>IF(PNL!A652="","",_CALC_PNL!P652)</f>
        <v>97413</v>
      </c>
      <c r="I652" t="str">
        <f>IF(PNL!A652="","",IF(_CALC_PNL!E652=1,H652-G652,""))</f>
        <v/>
      </c>
    </row>
    <row r="653" ht="14.25" customHeight="1">
      <c r="A653" t="s">
        <v>88</v>
      </c>
      <c r="B653" t="s">
        <v>265</v>
      </c>
      <c r="C653" t="s">
        <v>210</v>
      </c>
      <c r="D653" t="s">
        <v>273</v>
      </c>
      <c r="E653" t="s">
        <v>191</v>
      </c>
      <c r="F653" t="s">
        <v>192</v>
      </c>
      <c r="G653">
        <v>58448</v>
      </c>
      <c r="H653">
        <f>IF(PNL!A653="","",_CALC_PNL!P653)</f>
        <v>58448</v>
      </c>
      <c r="I653" t="str">
        <f>IF(PNL!A653="","",IF(_CALC_PNL!E653=1,H653-G653,""))</f>
        <v/>
      </c>
    </row>
    <row r="654" ht="14.25" customHeight="1">
      <c r="A654" t="s">
        <v>90</v>
      </c>
      <c r="B654" t="s">
        <v>265</v>
      </c>
      <c r="C654" t="s">
        <v>210</v>
      </c>
      <c r="D654" t="s">
        <v>273</v>
      </c>
      <c r="E654" t="s">
        <v>191</v>
      </c>
      <c r="F654" t="s">
        <v>192</v>
      </c>
      <c r="G654">
        <v>58448</v>
      </c>
      <c r="H654">
        <f>IF(PNL!A654="","",_CALC_PNL!P654)</f>
        <v>58448</v>
      </c>
      <c r="I654" t="str">
        <f>IF(PNL!A654="","",IF(_CALC_PNL!E654=1,H654-G654,""))</f>
        <v/>
      </c>
    </row>
    <row r="655" ht="14.25" customHeight="1">
      <c r="A655" t="s">
        <v>92</v>
      </c>
      <c r="B655" t="s">
        <v>265</v>
      </c>
      <c r="C655" t="s">
        <v>210</v>
      </c>
      <c r="D655" t="s">
        <v>273</v>
      </c>
      <c r="E655" t="s">
        <v>191</v>
      </c>
      <c r="F655" t="s">
        <v>192</v>
      </c>
      <c r="G655">
        <v>58448</v>
      </c>
      <c r="H655">
        <f>IF(PNL!A655="","",_CALC_PNL!P655)</f>
        <v>58448</v>
      </c>
      <c r="I655" t="str">
        <f>IF(PNL!A655="","",IF(_CALC_PNL!E655=1,H655-G655,""))</f>
        <v/>
      </c>
    </row>
    <row r="656" ht="14.25" customHeight="1">
      <c r="A656" t="s">
        <v>94</v>
      </c>
      <c r="B656" t="s">
        <v>265</v>
      </c>
      <c r="C656" t="s">
        <v>210</v>
      </c>
      <c r="D656" t="s">
        <v>273</v>
      </c>
      <c r="E656" t="s">
        <v>191</v>
      </c>
      <c r="F656" t="s">
        <v>192</v>
      </c>
      <c r="G656">
        <v>77931</v>
      </c>
      <c r="H656">
        <f>IF(PNL!A656="","",_CALC_PNL!P656)</f>
        <v>77931</v>
      </c>
      <c r="I656" t="str">
        <f>IF(PNL!A656="","",IF(_CALC_PNL!E656=1,H656-G656,""))</f>
        <v/>
      </c>
    </row>
    <row r="657" ht="14.25" customHeight="1">
      <c r="A657" t="s">
        <v>95</v>
      </c>
      <c r="B657" t="s">
        <v>265</v>
      </c>
      <c r="C657" t="s">
        <v>210</v>
      </c>
      <c r="D657" t="s">
        <v>273</v>
      </c>
      <c r="E657" t="s">
        <v>191</v>
      </c>
      <c r="F657" t="s">
        <v>192</v>
      </c>
      <c r="G657">
        <v>77931</v>
      </c>
      <c r="H657">
        <f>IF(PNL!A657="","",_CALC_PNL!P657)</f>
        <v>77931</v>
      </c>
      <c r="I657" t="str">
        <f>IF(PNL!A657="","",IF(_CALC_PNL!E657=1,H657-G657,""))</f>
        <v/>
      </c>
    </row>
    <row r="658" ht="14.25" customHeight="1">
      <c r="A658" t="s">
        <v>96</v>
      </c>
      <c r="B658" t="s">
        <v>265</v>
      </c>
      <c r="C658" t="s">
        <v>210</v>
      </c>
      <c r="D658" t="s">
        <v>273</v>
      </c>
      <c r="E658" t="s">
        <v>191</v>
      </c>
      <c r="F658" t="s">
        <v>192</v>
      </c>
      <c r="G658">
        <v>58448</v>
      </c>
      <c r="H658">
        <f>IF(PNL!A658="","",_CALC_PNL!P658)</f>
        <v>58448</v>
      </c>
      <c r="I658" t="str">
        <f>IF(PNL!A658="","",IF(_CALC_PNL!E658=1,H658-G658,""))</f>
        <v/>
      </c>
    </row>
    <row r="659" ht="14.25" customHeight="1">
      <c r="A659" t="s">
        <v>97</v>
      </c>
      <c r="B659" t="s">
        <v>265</v>
      </c>
      <c r="C659" t="s">
        <v>210</v>
      </c>
      <c r="D659" t="s">
        <v>273</v>
      </c>
      <c r="E659" t="s">
        <v>191</v>
      </c>
      <c r="F659" t="s">
        <v>192</v>
      </c>
      <c r="G659">
        <v>58448</v>
      </c>
      <c r="H659">
        <f>IF(PNL!A659="","",_CALC_PNL!P659)</f>
        <v>58448</v>
      </c>
      <c r="I659" t="str">
        <f>IF(PNL!A659="","",IF(_CALC_PNL!E659=1,H659-G659,""))</f>
        <v/>
      </c>
    </row>
    <row r="660" ht="14.25" customHeight="1">
      <c r="A660" t="s">
        <v>75</v>
      </c>
      <c r="B660" t="s">
        <v>265</v>
      </c>
      <c r="C660" t="s">
        <v>25</v>
      </c>
      <c r="D660" t="s">
        <v>273</v>
      </c>
      <c r="E660" t="s">
        <v>191</v>
      </c>
      <c r="F660" t="s">
        <v>192</v>
      </c>
      <c r="G660">
        <v>154887</v>
      </c>
      <c r="H660">
        <f>IF(PNL!A660="","",_CALC_PNL!P660)</f>
        <v>154887</v>
      </c>
      <c r="I660" t="str">
        <f>IF(PNL!A660="","",IF(_CALC_PNL!E660=1,H660-G660,""))</f>
        <v/>
      </c>
    </row>
    <row r="661" ht="14.25" customHeight="1">
      <c r="A661" t="s">
        <v>77</v>
      </c>
      <c r="B661" t="s">
        <v>265</v>
      </c>
      <c r="C661" t="s">
        <v>25</v>
      </c>
      <c r="D661" t="s">
        <v>273</v>
      </c>
      <c r="E661" t="s">
        <v>191</v>
      </c>
      <c r="F661" t="s">
        <v>192</v>
      </c>
      <c r="G661">
        <v>134236</v>
      </c>
      <c r="H661">
        <f>IF(PNL!A661="","",_CALC_PNL!P661)</f>
        <v>134236</v>
      </c>
      <c r="I661" t="str">
        <f>IF(PNL!A661="","",IF(_CALC_PNL!E661=1,H661-G661,""))</f>
        <v/>
      </c>
    </row>
    <row r="662" ht="14.25" customHeight="1">
      <c r="A662" t="s">
        <v>79</v>
      </c>
      <c r="B662" t="s">
        <v>265</v>
      </c>
      <c r="C662" t="s">
        <v>25</v>
      </c>
      <c r="D662" t="s">
        <v>273</v>
      </c>
      <c r="E662" t="s">
        <v>191</v>
      </c>
      <c r="F662" t="s">
        <v>192</v>
      </c>
      <c r="G662">
        <v>123910</v>
      </c>
      <c r="H662">
        <f>IF(PNL!A662="","",_CALC_PNL!P662)</f>
        <v>123910</v>
      </c>
      <c r="I662" t="str">
        <f>IF(PNL!A662="","",IF(_CALC_PNL!E662=1,H662-G662,""))</f>
        <v/>
      </c>
    </row>
    <row r="663" ht="14.25" customHeight="1">
      <c r="A663" t="s">
        <v>81</v>
      </c>
      <c r="B663" t="s">
        <v>265</v>
      </c>
      <c r="C663" t="s">
        <v>25</v>
      </c>
      <c r="D663" t="s">
        <v>273</v>
      </c>
      <c r="E663" t="s">
        <v>191</v>
      </c>
      <c r="F663" t="s">
        <v>192</v>
      </c>
      <c r="G663">
        <v>103258</v>
      </c>
      <c r="H663">
        <f>IF(PNL!A663="","",_CALC_PNL!P663)</f>
        <v>103258</v>
      </c>
      <c r="I663" t="str">
        <f>IF(PNL!A663="","",IF(_CALC_PNL!E663=1,H663-G663,""))</f>
        <v/>
      </c>
    </row>
    <row r="664" ht="14.25" customHeight="1">
      <c r="A664" t="s">
        <v>83</v>
      </c>
      <c r="B664" t="s">
        <v>265</v>
      </c>
      <c r="C664" t="s">
        <v>25</v>
      </c>
      <c r="D664" t="s">
        <v>273</v>
      </c>
      <c r="E664" t="s">
        <v>191</v>
      </c>
      <c r="F664" t="s">
        <v>192</v>
      </c>
      <c r="G664">
        <v>154887</v>
      </c>
      <c r="H664">
        <f>IF(PNL!A664="","",_CALC_PNL!P664)</f>
        <v>154887</v>
      </c>
      <c r="I664" t="str">
        <f>IF(PNL!A664="","",IF(_CALC_PNL!E664=1,H664-G664,""))</f>
        <v/>
      </c>
    </row>
    <row r="665" ht="14.25" customHeight="1">
      <c r="A665" t="s">
        <v>84</v>
      </c>
      <c r="B665" t="s">
        <v>265</v>
      </c>
      <c r="C665" t="s">
        <v>25</v>
      </c>
      <c r="D665" t="s">
        <v>273</v>
      </c>
      <c r="E665" t="s">
        <v>191</v>
      </c>
      <c r="F665" t="s">
        <v>192</v>
      </c>
      <c r="G665">
        <v>103258</v>
      </c>
      <c r="H665">
        <f>IF(PNL!A665="","",_CALC_PNL!P665)</f>
        <v>103258</v>
      </c>
      <c r="I665" t="str">
        <f>IF(PNL!A665="","",IF(_CALC_PNL!E665=1,H665-G665,""))</f>
        <v/>
      </c>
    </row>
    <row r="666" ht="14.25" customHeight="1">
      <c r="A666" t="s">
        <v>86</v>
      </c>
      <c r="B666" t="s">
        <v>265</v>
      </c>
      <c r="C666" t="s">
        <v>25</v>
      </c>
      <c r="D666" t="s">
        <v>273</v>
      </c>
      <c r="E666" t="s">
        <v>191</v>
      </c>
      <c r="F666" t="s">
        <v>192</v>
      </c>
      <c r="G666">
        <v>103258</v>
      </c>
      <c r="H666">
        <f>IF(PNL!A666="","",_CALC_PNL!P666)</f>
        <v>103258</v>
      </c>
      <c r="I666" t="str">
        <f>IF(PNL!A666="","",IF(_CALC_PNL!E666=1,H666-G666,""))</f>
        <v/>
      </c>
    </row>
    <row r="667" ht="14.25" customHeight="1">
      <c r="A667" t="s">
        <v>88</v>
      </c>
      <c r="B667" t="s">
        <v>265</v>
      </c>
      <c r="C667" t="s">
        <v>25</v>
      </c>
      <c r="D667" t="s">
        <v>273</v>
      </c>
      <c r="E667" t="s">
        <v>191</v>
      </c>
      <c r="F667" t="s">
        <v>192</v>
      </c>
      <c r="G667">
        <v>61955</v>
      </c>
      <c r="H667">
        <f>IF(PNL!A667="","",_CALC_PNL!P667)</f>
        <v>61955</v>
      </c>
      <c r="I667" t="str">
        <f>IF(PNL!A667="","",IF(_CALC_PNL!E667=1,H667-G667,""))</f>
        <v/>
      </c>
    </row>
    <row r="668" ht="14.25" customHeight="1">
      <c r="A668" t="s">
        <v>90</v>
      </c>
      <c r="B668" t="s">
        <v>265</v>
      </c>
      <c r="C668" t="s">
        <v>25</v>
      </c>
      <c r="D668" t="s">
        <v>273</v>
      </c>
      <c r="E668" t="s">
        <v>191</v>
      </c>
      <c r="F668" t="s">
        <v>192</v>
      </c>
      <c r="G668">
        <v>61955</v>
      </c>
      <c r="H668">
        <f>IF(PNL!A668="","",_CALC_PNL!P668)</f>
        <v>61955</v>
      </c>
      <c r="I668" t="str">
        <f>IF(PNL!A668="","",IF(_CALC_PNL!E668=1,H668-G668,""))</f>
        <v/>
      </c>
    </row>
    <row r="669" ht="14.25" customHeight="1">
      <c r="A669" t="s">
        <v>92</v>
      </c>
      <c r="B669" t="s">
        <v>265</v>
      </c>
      <c r="C669" t="s">
        <v>25</v>
      </c>
      <c r="D669" t="s">
        <v>273</v>
      </c>
      <c r="E669" t="s">
        <v>191</v>
      </c>
      <c r="F669" t="s">
        <v>192</v>
      </c>
      <c r="G669">
        <v>61955</v>
      </c>
      <c r="H669">
        <f>IF(PNL!A669="","",_CALC_PNL!P669)</f>
        <v>61955</v>
      </c>
      <c r="I669" t="str">
        <f>IF(PNL!A669="","",IF(_CALC_PNL!E669=1,H669-G669,""))</f>
        <v/>
      </c>
    </row>
    <row r="670" ht="14.25" customHeight="1">
      <c r="A670" t="s">
        <v>94</v>
      </c>
      <c r="B670" t="s">
        <v>265</v>
      </c>
      <c r="C670" t="s">
        <v>25</v>
      </c>
      <c r="D670" t="s">
        <v>273</v>
      </c>
      <c r="E670" t="s">
        <v>191</v>
      </c>
      <c r="F670" t="s">
        <v>192</v>
      </c>
      <c r="G670">
        <v>82607</v>
      </c>
      <c r="H670">
        <f>IF(PNL!A670="","",_CALC_PNL!P670)</f>
        <v>82607</v>
      </c>
      <c r="I670" t="str">
        <f>IF(PNL!A670="","",IF(_CALC_PNL!E670=1,H670-G670,""))</f>
        <v/>
      </c>
    </row>
    <row r="671" ht="14.25" customHeight="1">
      <c r="A671" t="s">
        <v>95</v>
      </c>
      <c r="B671" t="s">
        <v>265</v>
      </c>
      <c r="C671" t="s">
        <v>25</v>
      </c>
      <c r="D671" t="s">
        <v>273</v>
      </c>
      <c r="E671" t="s">
        <v>191</v>
      </c>
      <c r="F671" t="s">
        <v>192</v>
      </c>
      <c r="G671">
        <v>82607</v>
      </c>
      <c r="H671">
        <f>IF(PNL!A671="","",_CALC_PNL!P671)</f>
        <v>82607</v>
      </c>
      <c r="I671" t="str">
        <f>IF(PNL!A671="","",IF(_CALC_PNL!E671=1,H671-G671,""))</f>
        <v/>
      </c>
    </row>
    <row r="672" ht="14.25" customHeight="1">
      <c r="A672" t="s">
        <v>96</v>
      </c>
      <c r="B672" t="s">
        <v>265</v>
      </c>
      <c r="C672" t="s">
        <v>25</v>
      </c>
      <c r="D672" t="s">
        <v>273</v>
      </c>
      <c r="E672" t="s">
        <v>191</v>
      </c>
      <c r="F672" t="s">
        <v>192</v>
      </c>
      <c r="G672">
        <v>61955</v>
      </c>
      <c r="H672">
        <f>IF(PNL!A672="","",_CALC_PNL!P672)</f>
        <v>61955</v>
      </c>
      <c r="I672" t="str">
        <f>IF(PNL!A672="","",IF(_CALC_PNL!E672=1,H672-G672,""))</f>
        <v/>
      </c>
    </row>
    <row r="673" ht="14.25" customHeight="1">
      <c r="A673" t="s">
        <v>97</v>
      </c>
      <c r="B673" t="s">
        <v>265</v>
      </c>
      <c r="C673" t="s">
        <v>25</v>
      </c>
      <c r="D673" t="s">
        <v>273</v>
      </c>
      <c r="E673" t="s">
        <v>191</v>
      </c>
      <c r="F673" t="s">
        <v>192</v>
      </c>
      <c r="G673">
        <v>61955</v>
      </c>
      <c r="H673">
        <f>IF(PNL!A673="","",_CALC_PNL!P673)</f>
        <v>61955</v>
      </c>
      <c r="I673" t="str">
        <f>IF(PNL!A673="","",IF(_CALC_PNL!E673=1,H673-G673,""))</f>
        <v/>
      </c>
    </row>
    <row r="674" ht="14.25" customHeight="1">
      <c r="A674" t="s">
        <v>251</v>
      </c>
      <c r="B674" t="s">
        <v>266</v>
      </c>
      <c r="C674" t="s">
        <v>233</v>
      </c>
      <c r="D674" t="s">
        <v>273</v>
      </c>
      <c r="E674" t="s">
        <v>191</v>
      </c>
      <c r="F674" t="s">
        <v>192</v>
      </c>
      <c r="G674">
        <v>0.05</v>
      </c>
      <c r="H674">
        <f>IF(PNL!A674="","",_CALC_PNL!P674)</f>
        <v>0.05</v>
      </c>
      <c r="I674" t="str">
        <f>IF(PNL!A674="","",IF(_CALC_PNL!E674=1,H674-G674,""))</f>
        <v/>
      </c>
    </row>
    <row r="675" ht="14.25" customHeight="1">
      <c r="A675" t="s">
        <v>251</v>
      </c>
      <c r="B675" t="s">
        <v>267</v>
      </c>
      <c r="C675" t="s">
        <v>233</v>
      </c>
      <c r="D675" t="s">
        <v>273</v>
      </c>
      <c r="E675" t="s">
        <v>191</v>
      </c>
      <c r="F675" t="s">
        <v>192</v>
      </c>
      <c r="G675">
        <v>0.15</v>
      </c>
      <c r="H675">
        <f>IF(PNL!A675="","",_CALC_PNL!P675)</f>
        <v>0.15</v>
      </c>
      <c r="I675" t="str">
        <f>IF(PNL!A675="","",IF(_CALC_PNL!E675=1,H675-G675,""))</f>
        <v/>
      </c>
    </row>
    <row r="676" ht="14.25" customHeight="1">
      <c r="A676" t="s">
        <v>88</v>
      </c>
      <c r="B676" t="s">
        <v>250</v>
      </c>
      <c r="C676" t="s">
        <v>233</v>
      </c>
      <c r="D676" t="s">
        <v>231</v>
      </c>
      <c r="E676" t="s">
        <v>191</v>
      </c>
      <c r="F676" t="s">
        <v>192</v>
      </c>
      <c r="G676">
        <v>87271.288</v>
      </c>
      <c r="H676" t="e">
        <f>IF(PNL!A676="","",_CALC_PNL!P676)</f>
        <v>#VALUE!</v>
      </c>
      <c r="I676" t="e">
        <f>IF(PNL!A676="","",IF(_CALC_PNL!E676=1,H676-G676,""))</f>
        <v>#VALUE!</v>
      </c>
    </row>
    <row r="677" ht="14.25" customHeight="1">
      <c r="A677" t="s">
        <v>88</v>
      </c>
      <c r="B677" t="s">
        <v>250</v>
      </c>
      <c r="C677" t="s">
        <v>233</v>
      </c>
      <c r="D677" t="s">
        <v>9</v>
      </c>
      <c r="E677" t="s">
        <v>191</v>
      </c>
      <c r="F677" t="s">
        <v>192</v>
      </c>
      <c r="G677">
        <v>86010.5208</v>
      </c>
      <c r="H677" t="e">
        <f>IF(PNL!A677="","",_CALC_PNL!P677)</f>
        <v>#VALUE!</v>
      </c>
      <c r="I677" t="e">
        <f>IF(PNL!A677="","",IF(_CALC_PNL!E677=1,H677-G677,""))</f>
        <v>#VALUE!</v>
      </c>
    </row>
    <row r="678" ht="14.25" customHeight="1">
      <c r="A678" t="s">
        <v>88</v>
      </c>
      <c r="B678" t="s">
        <v>250</v>
      </c>
      <c r="C678" t="s">
        <v>233</v>
      </c>
      <c r="D678" t="s">
        <v>234</v>
      </c>
      <c r="E678" t="s">
        <v>191</v>
      </c>
      <c r="F678" t="s">
        <v>192</v>
      </c>
      <c r="G678">
        <v>88540.242</v>
      </c>
      <c r="H678" t="e">
        <f>IF(PNL!A678="","",_CALC_PNL!P678)</f>
        <v>#VALUE!</v>
      </c>
      <c r="I678" t="e">
        <f>IF(PNL!A678="","",IF(_CALC_PNL!E678=1,H678-G678,""))</f>
        <v>#VALUE!</v>
      </c>
    </row>
    <row r="679" ht="14.25" customHeight="1">
      <c r="A679" t="s">
        <v>90</v>
      </c>
      <c r="B679" t="s">
        <v>250</v>
      </c>
      <c r="C679" t="s">
        <v>233</v>
      </c>
      <c r="D679" t="s">
        <v>231</v>
      </c>
      <c r="E679" t="s">
        <v>191</v>
      </c>
      <c r="F679" t="s">
        <v>192</v>
      </c>
      <c r="G679">
        <v>61968.712</v>
      </c>
      <c r="H679" t="e">
        <f>IF(PNL!A679="","",_CALC_PNL!P679)</f>
        <v>#VALUE!</v>
      </c>
      <c r="I679" t="e">
        <f>IF(PNL!A679="","",IF(_CALC_PNL!E679=1,H679-G679,""))</f>
        <v>#VALUE!</v>
      </c>
    </row>
    <row r="680" ht="14.25" customHeight="1">
      <c r="A680" t="s">
        <v>90</v>
      </c>
      <c r="B680" t="s">
        <v>250</v>
      </c>
      <c r="C680" t="s">
        <v>233</v>
      </c>
      <c r="D680" t="s">
        <v>9</v>
      </c>
      <c r="E680" t="s">
        <v>191</v>
      </c>
      <c r="F680" t="s">
        <v>192</v>
      </c>
      <c r="G680">
        <v>61073.4792</v>
      </c>
      <c r="H680" t="e">
        <f>IF(PNL!A680="","",_CALC_PNL!P680)</f>
        <v>#VALUE!</v>
      </c>
      <c r="I680" t="e">
        <f>IF(PNL!A680="","",IF(_CALC_PNL!E680=1,H680-G680,""))</f>
        <v>#VALUE!</v>
      </c>
    </row>
    <row r="681" ht="14.25" customHeight="1">
      <c r="A681" t="s">
        <v>90</v>
      </c>
      <c r="B681" t="s">
        <v>250</v>
      </c>
      <c r="C681" t="s">
        <v>233</v>
      </c>
      <c r="D681" t="s">
        <v>234</v>
      </c>
      <c r="E681" t="s">
        <v>191</v>
      </c>
      <c r="F681" t="s">
        <v>192</v>
      </c>
      <c r="G681">
        <v>62869.758</v>
      </c>
      <c r="H681" t="e">
        <f>IF(PNL!A681="","",_CALC_PNL!P681)</f>
        <v>#VALUE!</v>
      </c>
      <c r="I681" t="e">
        <f>IF(PNL!A681="","",IF(_CALC_PNL!E681=1,H681-G681,""))</f>
        <v>#VALUE!</v>
      </c>
    </row>
    <row r="682" ht="14.25" customHeight="1">
      <c r="A682" t="s">
        <v>92</v>
      </c>
      <c r="B682" t="s">
        <v>250</v>
      </c>
      <c r="C682" t="s">
        <v>233</v>
      </c>
      <c r="D682" t="s">
        <v>231</v>
      </c>
      <c r="E682" t="s">
        <v>191</v>
      </c>
      <c r="F682" t="s">
        <v>192</v>
      </c>
      <c r="G682">
        <v>61968.712</v>
      </c>
      <c r="H682" t="e">
        <f>IF(PNL!A682="","",_CALC_PNL!P682)</f>
        <v>#VALUE!</v>
      </c>
      <c r="I682" t="e">
        <f>IF(PNL!A682="","",IF(_CALC_PNL!E682=1,H682-G682,""))</f>
        <v>#VALUE!</v>
      </c>
    </row>
    <row r="683" ht="14.25" customHeight="1">
      <c r="A683" t="s">
        <v>92</v>
      </c>
      <c r="B683" t="s">
        <v>250</v>
      </c>
      <c r="C683" t="s">
        <v>233</v>
      </c>
      <c r="D683" t="s">
        <v>9</v>
      </c>
      <c r="E683" t="s">
        <v>191</v>
      </c>
      <c r="F683" t="s">
        <v>192</v>
      </c>
      <c r="G683">
        <v>61073.4792</v>
      </c>
      <c r="H683" t="e">
        <f>IF(PNL!A683="","",_CALC_PNL!P683)</f>
        <v>#VALUE!</v>
      </c>
      <c r="I683" t="e">
        <f>IF(PNL!A683="","",IF(_CALC_PNL!E683=1,H683-G683,""))</f>
        <v>#VALUE!</v>
      </c>
    </row>
    <row r="684" ht="14.25" customHeight="1">
      <c r="A684" t="s">
        <v>92</v>
      </c>
      <c r="B684" t="s">
        <v>250</v>
      </c>
      <c r="C684" t="s">
        <v>233</v>
      </c>
      <c r="D684" t="s">
        <v>234</v>
      </c>
      <c r="E684" t="s">
        <v>191</v>
      </c>
      <c r="F684" t="s">
        <v>192</v>
      </c>
      <c r="G684">
        <v>62869.758</v>
      </c>
      <c r="H684" t="e">
        <f>IF(PNL!A684="","",_CALC_PNL!P684)</f>
        <v>#VALUE!</v>
      </c>
      <c r="I684" t="e">
        <f>IF(PNL!A684="","",IF(_CALC_PNL!E684=1,H684-G684,""))</f>
        <v>#VALUE!</v>
      </c>
    </row>
    <row r="685" ht="14.25" customHeight="1">
      <c r="A685" t="s">
        <v>94</v>
      </c>
      <c r="B685" t="s">
        <v>250</v>
      </c>
      <c r="C685" t="s">
        <v>233</v>
      </c>
      <c r="D685" t="s">
        <v>231</v>
      </c>
      <c r="E685" t="s">
        <v>191</v>
      </c>
      <c r="F685" t="s">
        <v>192</v>
      </c>
      <c r="G685">
        <v>122684.874</v>
      </c>
      <c r="H685" t="e">
        <f>IF(PNL!A685="","",_CALC_PNL!P685)</f>
        <v>#VALUE!</v>
      </c>
      <c r="I685" t="e">
        <f>IF(PNL!A685="","",IF(_CALC_PNL!E685=1,H685-G685,""))</f>
        <v>#VALUE!</v>
      </c>
    </row>
    <row r="686" ht="14.25" customHeight="1">
      <c r="A686" t="s">
        <v>94</v>
      </c>
      <c r="B686" t="s">
        <v>250</v>
      </c>
      <c r="C686" t="s">
        <v>233</v>
      </c>
      <c r="D686" t="s">
        <v>9</v>
      </c>
      <c r="E686" t="s">
        <v>191</v>
      </c>
      <c r="F686" t="s">
        <v>192</v>
      </c>
      <c r="G686">
        <v>120912.5034</v>
      </c>
      <c r="H686" t="e">
        <f>IF(PNL!A686="","",_CALC_PNL!P686)</f>
        <v>#VALUE!</v>
      </c>
      <c r="I686" t="e">
        <f>IF(PNL!A686="","",IF(_CALC_PNL!E686=1,H686-G686,""))</f>
        <v>#VALUE!</v>
      </c>
    </row>
    <row r="687" ht="14.25" customHeight="1">
      <c r="A687" t="s">
        <v>94</v>
      </c>
      <c r="B687" t="s">
        <v>250</v>
      </c>
      <c r="C687" t="s">
        <v>233</v>
      </c>
      <c r="D687" t="s">
        <v>234</v>
      </c>
      <c r="E687" t="s">
        <v>191</v>
      </c>
      <c r="F687" t="s">
        <v>192</v>
      </c>
      <c r="G687">
        <v>124468.7535</v>
      </c>
      <c r="H687" t="e">
        <f>IF(PNL!A687="","",_CALC_PNL!P687)</f>
        <v>#VALUE!</v>
      </c>
      <c r="I687" t="e">
        <f>IF(PNL!A687="","",IF(_CALC_PNL!E687=1,H687-G687,""))</f>
        <v>#VALUE!</v>
      </c>
    </row>
    <row r="688" ht="14.25" customHeight="1">
      <c r="A688" t="s">
        <v>95</v>
      </c>
      <c r="B688" t="s">
        <v>250</v>
      </c>
      <c r="C688" t="s">
        <v>233</v>
      </c>
      <c r="D688" t="s">
        <v>231</v>
      </c>
      <c r="E688" t="s">
        <v>191</v>
      </c>
      <c r="F688" t="s">
        <v>192</v>
      </c>
      <c r="G688">
        <v>89739.078</v>
      </c>
      <c r="H688" t="e">
        <f>IF(PNL!A688="","",_CALC_PNL!P688)</f>
        <v>#VALUE!</v>
      </c>
      <c r="I688" t="e">
        <f>IF(PNL!A688="","",IF(_CALC_PNL!E688=1,H688-G688,""))</f>
        <v>#VALUE!</v>
      </c>
    </row>
    <row r="689" ht="14.25" customHeight="1">
      <c r="A689" t="s">
        <v>95</v>
      </c>
      <c r="B689" t="s">
        <v>250</v>
      </c>
      <c r="C689" t="s">
        <v>233</v>
      </c>
      <c r="D689" t="s">
        <v>9</v>
      </c>
      <c r="E689" t="s">
        <v>191</v>
      </c>
      <c r="F689" t="s">
        <v>192</v>
      </c>
      <c r="G689">
        <v>88442.6598</v>
      </c>
      <c r="H689" t="e">
        <f>IF(PNL!A689="","",_CALC_PNL!P689)</f>
        <v>#VALUE!</v>
      </c>
      <c r="I689" t="e">
        <f>IF(PNL!A689="","",IF(_CALC_PNL!E689=1,H689-G689,""))</f>
        <v>#VALUE!</v>
      </c>
    </row>
    <row r="690" ht="14.25" customHeight="1">
      <c r="A690" t="s">
        <v>95</v>
      </c>
      <c r="B690" t="s">
        <v>250</v>
      </c>
      <c r="C690" t="s">
        <v>233</v>
      </c>
      <c r="D690" t="s">
        <v>234</v>
      </c>
      <c r="E690" t="s">
        <v>191</v>
      </c>
      <c r="F690" t="s">
        <v>192</v>
      </c>
      <c r="G690">
        <v>91043.9145</v>
      </c>
      <c r="H690" t="e">
        <f>IF(PNL!A690="","",_CALC_PNL!P690)</f>
        <v>#VALUE!</v>
      </c>
      <c r="I690" t="e">
        <f>IF(PNL!A690="","",IF(_CALC_PNL!E690=1,H690-G690,""))</f>
        <v>#VALUE!</v>
      </c>
    </row>
    <row r="691" ht="14.25" customHeight="1">
      <c r="A691" t="s">
        <v>96</v>
      </c>
      <c r="B691" t="s">
        <v>250</v>
      </c>
      <c r="C691" t="s">
        <v>233</v>
      </c>
      <c r="D691" t="s">
        <v>231</v>
      </c>
      <c r="E691" t="s">
        <v>191</v>
      </c>
      <c r="F691" t="s">
        <v>192</v>
      </c>
      <c r="G691">
        <v>134554.784</v>
      </c>
      <c r="H691" t="e">
        <f>IF(PNL!A691="","",_CALC_PNL!P691)</f>
        <v>#VALUE!</v>
      </c>
      <c r="I691" t="e">
        <f>IF(PNL!A691="","",IF(_CALC_PNL!E691=1,H691-G691,""))</f>
        <v>#VALUE!</v>
      </c>
    </row>
    <row r="692" ht="14.25" customHeight="1">
      <c r="A692" t="s">
        <v>96</v>
      </c>
      <c r="B692" t="s">
        <v>250</v>
      </c>
      <c r="C692" t="s">
        <v>233</v>
      </c>
      <c r="D692" t="s">
        <v>9</v>
      </c>
      <c r="E692" t="s">
        <v>191</v>
      </c>
      <c r="F692" t="s">
        <v>192</v>
      </c>
      <c r="G692">
        <v>132610.9344</v>
      </c>
      <c r="H692" t="e">
        <f>IF(PNL!A692="","",_CALC_PNL!P692)</f>
        <v>#VALUE!</v>
      </c>
      <c r="I692" t="e">
        <f>IF(PNL!A692="","",IF(_CALC_PNL!E692=1,H692-G692,""))</f>
        <v>#VALUE!</v>
      </c>
    </row>
    <row r="693" ht="14.25" customHeight="1">
      <c r="A693" t="s">
        <v>96</v>
      </c>
      <c r="B693" t="s">
        <v>250</v>
      </c>
      <c r="C693" t="s">
        <v>233</v>
      </c>
      <c r="D693" t="s">
        <v>234</v>
      </c>
      <c r="E693" t="s">
        <v>191</v>
      </c>
      <c r="F693" t="s">
        <v>192</v>
      </c>
      <c r="G693">
        <v>136511.256</v>
      </c>
      <c r="H693" t="e">
        <f>IF(PNL!A693="","",_CALC_PNL!P693)</f>
        <v>#VALUE!</v>
      </c>
      <c r="I693" t="e">
        <f>IF(PNL!A693="","",IF(_CALC_PNL!E693=1,H693-G693,""))</f>
        <v>#VALUE!</v>
      </c>
    </row>
    <row r="694" ht="14.25" customHeight="1">
      <c r="A694" t="s">
        <v>97</v>
      </c>
      <c r="B694" t="s">
        <v>250</v>
      </c>
      <c r="C694" t="s">
        <v>233</v>
      </c>
      <c r="D694" t="s">
        <v>231</v>
      </c>
      <c r="E694" t="s">
        <v>191</v>
      </c>
      <c r="F694" t="s">
        <v>192</v>
      </c>
      <c r="G694">
        <v>78869.076</v>
      </c>
      <c r="H694" t="e">
        <f>IF(PNL!A694="","",_CALC_PNL!P694)</f>
        <v>#VALUE!</v>
      </c>
      <c r="I694" t="e">
        <f>IF(PNL!A694="","",IF(_CALC_PNL!E694=1,H694-G694,""))</f>
        <v>#VALUE!</v>
      </c>
    </row>
    <row r="695" ht="14.25" customHeight="1">
      <c r="A695" t="s">
        <v>97</v>
      </c>
      <c r="B695" t="s">
        <v>250</v>
      </c>
      <c r="C695" t="s">
        <v>233</v>
      </c>
      <c r="D695" t="s">
        <v>9</v>
      </c>
      <c r="E695" t="s">
        <v>191</v>
      </c>
      <c r="F695" t="s">
        <v>192</v>
      </c>
      <c r="G695">
        <v>77729.6916</v>
      </c>
      <c r="H695" t="e">
        <f>IF(PNL!A695="","",_CALC_PNL!P695)</f>
        <v>#VALUE!</v>
      </c>
      <c r="I695" t="e">
        <f>IF(PNL!A695="","",IF(_CALC_PNL!E695=1,H695-G695,""))</f>
        <v>#VALUE!</v>
      </c>
    </row>
    <row r="696" ht="14.25" customHeight="1">
      <c r="A696" t="s">
        <v>97</v>
      </c>
      <c r="B696" t="s">
        <v>250</v>
      </c>
      <c r="C696" t="s">
        <v>233</v>
      </c>
      <c r="D696" t="s">
        <v>234</v>
      </c>
      <c r="E696" t="s">
        <v>191</v>
      </c>
      <c r="F696" t="s">
        <v>192</v>
      </c>
      <c r="G696">
        <v>80015.859</v>
      </c>
      <c r="H696" t="e">
        <f>IF(PNL!A696="","",_CALC_PNL!P696)</f>
        <v>#VALUE!</v>
      </c>
      <c r="I696" t="e">
        <f>IF(PNL!A696="","",IF(_CALC_PNL!E696=1,H696-G696,""))</f>
        <v>#VALUE!</v>
      </c>
    </row>
    <row r="697" ht="14.25" customHeight="1">
      <c r="A697" t="s">
        <v>251</v>
      </c>
      <c r="B697" t="s">
        <v>252</v>
      </c>
      <c r="C697" t="s">
        <v>233</v>
      </c>
      <c r="D697" t="s">
        <v>231</v>
      </c>
      <c r="E697" t="s">
        <v>191</v>
      </c>
      <c r="F697" t="s">
        <v>192</v>
      </c>
      <c r="G697">
        <v>1324663.834</v>
      </c>
      <c r="H697" t="e">
        <f>IF(PNL!A697="","",_CALC_PNL!P697)</f>
        <v>#VALUE!</v>
      </c>
      <c r="I697" t="e">
        <f>IF(PNL!A697="","",IF(_CALC_PNL!E697=1,H697-G697,""))</f>
        <v>#VALUE!</v>
      </c>
    </row>
    <row r="698" ht="14.25" customHeight="1">
      <c r="A698" t="s">
        <v>251</v>
      </c>
      <c r="B698" t="s">
        <v>252</v>
      </c>
      <c r="C698" t="s">
        <v>233</v>
      </c>
      <c r="D698" t="s">
        <v>9</v>
      </c>
      <c r="E698" t="s">
        <v>191</v>
      </c>
      <c r="F698" t="s">
        <v>192</v>
      </c>
      <c r="G698">
        <v>1305527.0394</v>
      </c>
      <c r="H698" t="e">
        <f>IF(PNL!A698="","",_CALC_PNL!P698)</f>
        <v>#VALUE!</v>
      </c>
      <c r="I698" t="e">
        <f>IF(PNL!A698="","",IF(_CALC_PNL!E698=1,H698-G698,""))</f>
        <v>#VALUE!</v>
      </c>
    </row>
    <row r="699" ht="14.25" customHeight="1">
      <c r="A699" t="s">
        <v>251</v>
      </c>
      <c r="B699" t="s">
        <v>252</v>
      </c>
      <c r="C699" t="s">
        <v>233</v>
      </c>
      <c r="D699" t="s">
        <v>234</v>
      </c>
      <c r="E699" t="s">
        <v>191</v>
      </c>
      <c r="F699" t="s">
        <v>192</v>
      </c>
      <c r="G699">
        <v>1343924.8935</v>
      </c>
      <c r="H699" t="e">
        <f>IF(PNL!A699="","",_CALC_PNL!P699)</f>
        <v>#VALUE!</v>
      </c>
      <c r="I699" t="e">
        <f>IF(PNL!A699="","",IF(_CALC_PNL!E699=1,H699-G699,""))</f>
        <v>#VALUE!</v>
      </c>
    </row>
    <row r="700" ht="14.25" customHeight="1">
      <c r="A700" t="s">
        <v>75</v>
      </c>
      <c r="B700" t="s">
        <v>253</v>
      </c>
      <c r="C700" t="s">
        <v>233</v>
      </c>
      <c r="D700" t="s">
        <v>231</v>
      </c>
      <c r="E700" t="s">
        <v>191</v>
      </c>
      <c r="F700" t="s">
        <v>192</v>
      </c>
      <c r="G700">
        <v>579384.858</v>
      </c>
      <c r="H700" t="e">
        <f>IF(PNL!A700="","",_CALC_PNL!P700)</f>
        <v>#VALUE!</v>
      </c>
      <c r="I700" t="e">
        <f>IF(PNL!A700="","",IF(_CALC_PNL!E700=1,H700-G700,""))</f>
        <v>#VALUE!</v>
      </c>
    </row>
    <row r="701" ht="14.25" customHeight="1">
      <c r="A701" t="s">
        <v>75</v>
      </c>
      <c r="B701" t="s">
        <v>253</v>
      </c>
      <c r="C701" t="s">
        <v>233</v>
      </c>
      <c r="D701" t="s">
        <v>9</v>
      </c>
      <c r="E701" t="s">
        <v>191</v>
      </c>
      <c r="F701" t="s">
        <v>192</v>
      </c>
      <c r="G701">
        <v>571014.7578</v>
      </c>
      <c r="H701" t="e">
        <f>IF(PNL!A701="","",_CALC_PNL!P701)</f>
        <v>#VALUE!</v>
      </c>
      <c r="I701" t="e">
        <f>IF(PNL!A701="","",IF(_CALC_PNL!E701=1,H701-G701,""))</f>
        <v>#VALUE!</v>
      </c>
    </row>
    <row r="702" ht="14.25" customHeight="1">
      <c r="A702" t="s">
        <v>75</v>
      </c>
      <c r="B702" t="s">
        <v>253</v>
      </c>
      <c r="C702" t="s">
        <v>233</v>
      </c>
      <c r="D702" t="s">
        <v>234</v>
      </c>
      <c r="E702" t="s">
        <v>191</v>
      </c>
      <c r="F702" t="s">
        <v>192</v>
      </c>
      <c r="G702">
        <v>587809.3095</v>
      </c>
      <c r="H702" t="e">
        <f>IF(PNL!A702="","",_CALC_PNL!P702)</f>
        <v>#VALUE!</v>
      </c>
      <c r="I702" t="e">
        <f>IF(PNL!A702="","",IF(_CALC_PNL!E702=1,H702-G702,""))</f>
        <v>#VALUE!</v>
      </c>
    </row>
    <row r="703" ht="14.25" customHeight="1">
      <c r="A703" t="s">
        <v>77</v>
      </c>
      <c r="B703" t="s">
        <v>253</v>
      </c>
      <c r="C703" t="s">
        <v>233</v>
      </c>
      <c r="D703" t="s">
        <v>231</v>
      </c>
      <c r="E703" t="s">
        <v>191</v>
      </c>
      <c r="F703" t="s">
        <v>192</v>
      </c>
      <c r="G703">
        <v>339743.794</v>
      </c>
      <c r="H703" t="e">
        <f>IF(PNL!A703="","",_CALC_PNL!P703)</f>
        <v>#VALUE!</v>
      </c>
      <c r="I703" t="e">
        <f>IF(PNL!A703="","",IF(_CALC_PNL!E703=1,H703-G703,""))</f>
        <v>#VALUE!</v>
      </c>
    </row>
    <row r="704" ht="14.25" customHeight="1">
      <c r="A704" t="s">
        <v>77</v>
      </c>
      <c r="B704" t="s">
        <v>253</v>
      </c>
      <c r="C704" t="s">
        <v>233</v>
      </c>
      <c r="D704" t="s">
        <v>9</v>
      </c>
      <c r="E704" t="s">
        <v>191</v>
      </c>
      <c r="F704" t="s">
        <v>192</v>
      </c>
      <c r="G704">
        <v>334835.6754</v>
      </c>
      <c r="H704" t="e">
        <f>IF(PNL!A704="","",_CALC_PNL!P704)</f>
        <v>#VALUE!</v>
      </c>
      <c r="I704" t="e">
        <f>IF(PNL!A704="","",IF(_CALC_PNL!E704=1,H704-G704,""))</f>
        <v>#VALUE!</v>
      </c>
    </row>
    <row r="705" ht="14.25" customHeight="1">
      <c r="A705" t="s">
        <v>77</v>
      </c>
      <c r="B705" t="s">
        <v>253</v>
      </c>
      <c r="C705" t="s">
        <v>233</v>
      </c>
      <c r="D705" t="s">
        <v>234</v>
      </c>
      <c r="E705" t="s">
        <v>191</v>
      </c>
      <c r="F705" t="s">
        <v>192</v>
      </c>
      <c r="G705">
        <v>344683.7835</v>
      </c>
      <c r="H705" t="e">
        <f>IF(PNL!A705="","",_CALC_PNL!P705)</f>
        <v>#VALUE!</v>
      </c>
      <c r="I705" t="e">
        <f>IF(PNL!A705="","",IF(_CALC_PNL!E705=1,H705-G705,""))</f>
        <v>#VALUE!</v>
      </c>
    </row>
    <row r="706" ht="14.25" customHeight="1">
      <c r="A706" t="s">
        <v>79</v>
      </c>
      <c r="B706" t="s">
        <v>253</v>
      </c>
      <c r="C706" t="s">
        <v>233</v>
      </c>
      <c r="D706" t="s">
        <v>231</v>
      </c>
      <c r="E706" t="s">
        <v>191</v>
      </c>
      <c r="F706" t="s">
        <v>192</v>
      </c>
      <c r="G706">
        <v>275256.124</v>
      </c>
      <c r="H706" t="e">
        <f>IF(PNL!A706="","",_CALC_PNL!P706)</f>
        <v>#VALUE!</v>
      </c>
      <c r="I706" t="e">
        <f>IF(PNL!A706="","",IF(_CALC_PNL!E706=1,H706-G706,""))</f>
        <v>#VALUE!</v>
      </c>
    </row>
    <row r="707" ht="14.25" customHeight="1">
      <c r="A707" t="s">
        <v>79</v>
      </c>
      <c r="B707" t="s">
        <v>253</v>
      </c>
      <c r="C707" t="s">
        <v>233</v>
      </c>
      <c r="D707" t="s">
        <v>9</v>
      </c>
      <c r="E707" t="s">
        <v>191</v>
      </c>
      <c r="F707" t="s">
        <v>192</v>
      </c>
      <c r="G707">
        <v>271279.6284</v>
      </c>
      <c r="H707" t="e">
        <f>IF(PNL!A707="","",_CALC_PNL!P707)</f>
        <v>#VALUE!</v>
      </c>
      <c r="I707" t="e">
        <f>IF(PNL!A707="","",IF(_CALC_PNL!E707=1,H707-G707,""))</f>
        <v>#VALUE!</v>
      </c>
    </row>
    <row r="708" ht="14.25" customHeight="1">
      <c r="A708" t="s">
        <v>79</v>
      </c>
      <c r="B708" t="s">
        <v>253</v>
      </c>
      <c r="C708" t="s">
        <v>233</v>
      </c>
      <c r="D708" t="s">
        <v>234</v>
      </c>
      <c r="E708" t="s">
        <v>191</v>
      </c>
      <c r="F708" t="s">
        <v>192</v>
      </c>
      <c r="G708">
        <v>279258.441</v>
      </c>
      <c r="H708" t="e">
        <f>IF(PNL!A708="","",_CALC_PNL!P708)</f>
        <v>#VALUE!</v>
      </c>
      <c r="I708" t="e">
        <f>IF(PNL!A708="","",IF(_CALC_PNL!E708=1,H708-G708,""))</f>
        <v>#VALUE!</v>
      </c>
    </row>
    <row r="709" ht="14.25" customHeight="1">
      <c r="A709" t="s">
        <v>81</v>
      </c>
      <c r="B709" t="s">
        <v>253</v>
      </c>
      <c r="C709" t="s">
        <v>233</v>
      </c>
      <c r="D709" t="s">
        <v>231</v>
      </c>
      <c r="E709" t="s">
        <v>191</v>
      </c>
      <c r="F709" t="s">
        <v>192</v>
      </c>
      <c r="G709">
        <v>244781.316</v>
      </c>
      <c r="H709" t="e">
        <f>IF(PNL!A709="","",_CALC_PNL!P709)</f>
        <v>#VALUE!</v>
      </c>
      <c r="I709" t="e">
        <f>IF(PNL!A709="","",IF(_CALC_PNL!E709=1,H709-G709,""))</f>
        <v>#VALUE!</v>
      </c>
    </row>
    <row r="710" ht="14.25" customHeight="1">
      <c r="A710" t="s">
        <v>81</v>
      </c>
      <c r="B710" t="s">
        <v>253</v>
      </c>
      <c r="C710" t="s">
        <v>233</v>
      </c>
      <c r="D710" t="s">
        <v>9</v>
      </c>
      <c r="E710" t="s">
        <v>191</v>
      </c>
      <c r="F710" t="s">
        <v>192</v>
      </c>
      <c r="G710">
        <v>241245.0756</v>
      </c>
      <c r="H710" t="e">
        <f>IF(PNL!A710="","",_CALC_PNL!P710)</f>
        <v>#VALUE!</v>
      </c>
      <c r="I710" t="e">
        <f>IF(PNL!A710="","",IF(_CALC_PNL!E710=1,H710-G710,""))</f>
        <v>#VALUE!</v>
      </c>
    </row>
    <row r="711" ht="14.25" customHeight="1">
      <c r="A711" t="s">
        <v>81</v>
      </c>
      <c r="B711" t="s">
        <v>253</v>
      </c>
      <c r="C711" t="s">
        <v>233</v>
      </c>
      <c r="D711" t="s">
        <v>234</v>
      </c>
      <c r="E711" t="s">
        <v>191</v>
      </c>
      <c r="F711" t="s">
        <v>192</v>
      </c>
      <c r="G711">
        <v>248340.519</v>
      </c>
      <c r="H711" t="e">
        <f>IF(PNL!A711="","",_CALC_PNL!P711)</f>
        <v>#VALUE!</v>
      </c>
      <c r="I711" t="e">
        <f>IF(PNL!A711="","",IF(_CALC_PNL!E711=1,H711-G711,""))</f>
        <v>#VALUE!</v>
      </c>
    </row>
    <row r="712" ht="14.25" customHeight="1">
      <c r="A712" t="s">
        <v>83</v>
      </c>
      <c r="B712" t="s">
        <v>253</v>
      </c>
      <c r="C712" t="s">
        <v>233</v>
      </c>
      <c r="D712" t="s">
        <v>231</v>
      </c>
      <c r="E712" t="s">
        <v>191</v>
      </c>
      <c r="F712" t="s">
        <v>192</v>
      </c>
      <c r="G712">
        <v>536916.484</v>
      </c>
      <c r="H712" t="e">
        <f>IF(PNL!A712="","",_CALC_PNL!P712)</f>
        <v>#VALUE!</v>
      </c>
      <c r="I712" t="e">
        <f>IF(PNL!A712="","",IF(_CALC_PNL!E712=1,H712-G712,""))</f>
        <v>#VALUE!</v>
      </c>
    </row>
    <row r="713" ht="14.25" customHeight="1">
      <c r="A713" t="s">
        <v>83</v>
      </c>
      <c r="B713" t="s">
        <v>253</v>
      </c>
      <c r="C713" t="s">
        <v>233</v>
      </c>
      <c r="D713" t="s">
        <v>9</v>
      </c>
      <c r="E713" t="s">
        <v>191</v>
      </c>
      <c r="F713" t="s">
        <v>192</v>
      </c>
      <c r="G713">
        <v>529159.9044</v>
      </c>
      <c r="H713" t="e">
        <f>IF(PNL!A713="","",_CALC_PNL!P713)</f>
        <v>#VALUE!</v>
      </c>
      <c r="I713" t="e">
        <f>IF(PNL!A713="","",IF(_CALC_PNL!E713=1,H713-G713,""))</f>
        <v>#VALUE!</v>
      </c>
    </row>
    <row r="714" ht="14.25" customHeight="1">
      <c r="A714" t="s">
        <v>83</v>
      </c>
      <c r="B714" t="s">
        <v>253</v>
      </c>
      <c r="C714" t="s">
        <v>233</v>
      </c>
      <c r="D714" t="s">
        <v>234</v>
      </c>
      <c r="E714" t="s">
        <v>191</v>
      </c>
      <c r="F714" t="s">
        <v>192</v>
      </c>
      <c r="G714">
        <v>544723.431</v>
      </c>
      <c r="H714" t="e">
        <f>IF(PNL!A714="","",_CALC_PNL!P714)</f>
        <v>#VALUE!</v>
      </c>
      <c r="I714" t="e">
        <f>IF(PNL!A714="","",IF(_CALC_PNL!E714=1,H714-G714,""))</f>
        <v>#VALUE!</v>
      </c>
    </row>
    <row r="715" ht="14.25" customHeight="1">
      <c r="A715" t="s">
        <v>84</v>
      </c>
      <c r="B715" t="s">
        <v>253</v>
      </c>
      <c r="C715" t="s">
        <v>233</v>
      </c>
      <c r="D715" t="s">
        <v>231</v>
      </c>
      <c r="E715" t="s">
        <v>191</v>
      </c>
      <c r="F715" t="s">
        <v>192</v>
      </c>
      <c r="G715">
        <v>210168.296</v>
      </c>
      <c r="H715" t="e">
        <f>IF(PNL!A715="","",_CALC_PNL!P715)</f>
        <v>#VALUE!</v>
      </c>
      <c r="I715" t="e">
        <f>IF(PNL!A715="","",IF(_CALC_PNL!E715=1,H715-G715,""))</f>
        <v>#VALUE!</v>
      </c>
    </row>
    <row r="716" ht="14.25" customHeight="1">
      <c r="A716" t="s">
        <v>84</v>
      </c>
      <c r="B716" t="s">
        <v>253</v>
      </c>
      <c r="C716" t="s">
        <v>233</v>
      </c>
      <c r="D716" t="s">
        <v>9</v>
      </c>
      <c r="E716" t="s">
        <v>191</v>
      </c>
      <c r="F716" t="s">
        <v>192</v>
      </c>
      <c r="G716">
        <v>207132.0936</v>
      </c>
      <c r="H716" t="e">
        <f>IF(PNL!A716="","",_CALC_PNL!P716)</f>
        <v>#VALUE!</v>
      </c>
      <c r="I716" t="e">
        <f>IF(PNL!A716="","",IF(_CALC_PNL!E716=1,H716-G716,""))</f>
        <v>#VALUE!</v>
      </c>
    </row>
    <row r="717" ht="14.25" customHeight="1">
      <c r="A717" t="s">
        <v>84</v>
      </c>
      <c r="B717" t="s">
        <v>253</v>
      </c>
      <c r="C717" t="s">
        <v>233</v>
      </c>
      <c r="D717" t="s">
        <v>234</v>
      </c>
      <c r="E717" t="s">
        <v>191</v>
      </c>
      <c r="F717" t="s">
        <v>192</v>
      </c>
      <c r="G717">
        <v>213224.214</v>
      </c>
      <c r="H717" t="e">
        <f>IF(PNL!A717="","",_CALC_PNL!P717)</f>
        <v>#VALUE!</v>
      </c>
      <c r="I717" t="e">
        <f>IF(PNL!A717="","",IF(_CALC_PNL!E717=1,H717-G717,""))</f>
        <v>#VALUE!</v>
      </c>
    </row>
    <row r="718" ht="14.25" customHeight="1">
      <c r="A718" t="s">
        <v>86</v>
      </c>
      <c r="B718" t="s">
        <v>253</v>
      </c>
      <c r="C718" t="s">
        <v>233</v>
      </c>
      <c r="D718" t="s">
        <v>231</v>
      </c>
      <c r="E718" t="s">
        <v>191</v>
      </c>
      <c r="F718" t="s">
        <v>192</v>
      </c>
      <c r="G718">
        <v>194645.204</v>
      </c>
      <c r="H718" t="e">
        <f>IF(PNL!A718="","",_CALC_PNL!P718)</f>
        <v>#VALUE!</v>
      </c>
      <c r="I718" t="e">
        <f>IF(PNL!A718="","",IF(_CALC_PNL!E718=1,H718-G718,""))</f>
        <v>#VALUE!</v>
      </c>
    </row>
    <row r="719" ht="14.25" customHeight="1">
      <c r="A719" t="s">
        <v>86</v>
      </c>
      <c r="B719" t="s">
        <v>253</v>
      </c>
      <c r="C719" t="s">
        <v>233</v>
      </c>
      <c r="D719" t="s">
        <v>9</v>
      </c>
      <c r="E719" t="s">
        <v>191</v>
      </c>
      <c r="F719" t="s">
        <v>192</v>
      </c>
      <c r="G719">
        <v>191833.2564</v>
      </c>
      <c r="H719" t="e">
        <f>IF(PNL!A719="","",_CALC_PNL!P719)</f>
        <v>#VALUE!</v>
      </c>
      <c r="I719" t="e">
        <f>IF(PNL!A719="","",IF(_CALC_PNL!E719=1,H719-G719,""))</f>
        <v>#VALUE!</v>
      </c>
    </row>
    <row r="720" ht="14.25" customHeight="1">
      <c r="A720" t="s">
        <v>86</v>
      </c>
      <c r="B720" t="s">
        <v>253</v>
      </c>
      <c r="C720" t="s">
        <v>233</v>
      </c>
      <c r="D720" t="s">
        <v>234</v>
      </c>
      <c r="E720" t="s">
        <v>191</v>
      </c>
      <c r="F720" t="s">
        <v>192</v>
      </c>
      <c r="G720">
        <v>197475.411</v>
      </c>
      <c r="H720" t="e">
        <f>IF(PNL!A720="","",_CALC_PNL!P720)</f>
        <v>#VALUE!</v>
      </c>
      <c r="I720" t="e">
        <f>IF(PNL!A720="","",IF(_CALC_PNL!E720=1,H720-G720,""))</f>
        <v>#VALUE!</v>
      </c>
    </row>
    <row r="721" ht="14.25" customHeight="1">
      <c r="A721" t="s">
        <v>88</v>
      </c>
      <c r="B721" t="s">
        <v>253</v>
      </c>
      <c r="C721" t="s">
        <v>233</v>
      </c>
      <c r="D721" t="s">
        <v>231</v>
      </c>
      <c r="E721" t="s">
        <v>191</v>
      </c>
      <c r="F721" t="s">
        <v>192</v>
      </c>
      <c r="G721">
        <v>135755.1</v>
      </c>
      <c r="H721" t="e">
        <f>IF(PNL!A721="","",_CALC_PNL!P721)</f>
        <v>#VALUE!</v>
      </c>
      <c r="I721" t="e">
        <f>IF(PNL!A721="","",IF(_CALC_PNL!E721=1,H721-G721,""))</f>
        <v>#VALUE!</v>
      </c>
    </row>
    <row r="722" ht="14.25" customHeight="1">
      <c r="A722" t="s">
        <v>88</v>
      </c>
      <c r="B722" t="s">
        <v>253</v>
      </c>
      <c r="C722" t="s">
        <v>233</v>
      </c>
      <c r="D722" t="s">
        <v>9</v>
      </c>
      <c r="E722" t="s">
        <v>191</v>
      </c>
      <c r="F722" t="s">
        <v>192</v>
      </c>
      <c r="G722">
        <v>133793.91</v>
      </c>
      <c r="H722" t="e">
        <f>IF(PNL!A722="","",_CALC_PNL!P722)</f>
        <v>#VALUE!</v>
      </c>
      <c r="I722" t="e">
        <f>IF(PNL!A722="","",IF(_CALC_PNL!E722=1,H722-G722,""))</f>
        <v>#VALUE!</v>
      </c>
    </row>
    <row r="723" ht="14.25" customHeight="1">
      <c r="A723" t="s">
        <v>88</v>
      </c>
      <c r="B723" t="s">
        <v>253</v>
      </c>
      <c r="C723" t="s">
        <v>233</v>
      </c>
      <c r="D723" t="s">
        <v>234</v>
      </c>
      <c r="E723" t="s">
        <v>191</v>
      </c>
      <c r="F723" t="s">
        <v>192</v>
      </c>
      <c r="G723">
        <v>137729.025</v>
      </c>
      <c r="H723" t="e">
        <f>IF(PNL!A723="","",_CALC_PNL!P723)</f>
        <v>#VALUE!</v>
      </c>
      <c r="I723" t="e">
        <f>IF(PNL!A723="","",IF(_CALC_PNL!E723=1,H723-G723,""))</f>
        <v>#VALUE!</v>
      </c>
    </row>
    <row r="724" ht="14.25" customHeight="1">
      <c r="A724" t="s">
        <v>90</v>
      </c>
      <c r="B724" t="s">
        <v>253</v>
      </c>
      <c r="C724" t="s">
        <v>233</v>
      </c>
      <c r="D724" t="s">
        <v>231</v>
      </c>
      <c r="E724" t="s">
        <v>191</v>
      </c>
      <c r="F724" t="s">
        <v>192</v>
      </c>
      <c r="G724">
        <v>96395.182</v>
      </c>
      <c r="H724" t="e">
        <f>IF(PNL!A724="","",_CALC_PNL!P724)</f>
        <v>#VALUE!</v>
      </c>
      <c r="I724" t="e">
        <f>IF(PNL!A724="","",IF(_CALC_PNL!E724=1,H724-G724,""))</f>
        <v>#VALUE!</v>
      </c>
    </row>
    <row r="725" ht="14.25" customHeight="1">
      <c r="A725" t="s">
        <v>90</v>
      </c>
      <c r="B725" t="s">
        <v>253</v>
      </c>
      <c r="C725" t="s">
        <v>233</v>
      </c>
      <c r="D725" t="s">
        <v>9</v>
      </c>
      <c r="E725" t="s">
        <v>191</v>
      </c>
      <c r="F725" t="s">
        <v>192</v>
      </c>
      <c r="G725">
        <v>95002.6062</v>
      </c>
      <c r="H725" t="e">
        <f>IF(PNL!A725="","",_CALC_PNL!P725)</f>
        <v>#VALUE!</v>
      </c>
      <c r="I725" t="e">
        <f>IF(PNL!A725="","",IF(_CALC_PNL!E725=1,H725-G725,""))</f>
        <v>#VALUE!</v>
      </c>
    </row>
    <row r="726" ht="14.25" customHeight="1">
      <c r="A726" t="s">
        <v>90</v>
      </c>
      <c r="B726" t="s">
        <v>253</v>
      </c>
      <c r="C726" t="s">
        <v>233</v>
      </c>
      <c r="D726" t="s">
        <v>234</v>
      </c>
      <c r="E726" t="s">
        <v>191</v>
      </c>
      <c r="F726" t="s">
        <v>192</v>
      </c>
      <c r="G726">
        <v>97796.8005</v>
      </c>
      <c r="H726" t="e">
        <f>IF(PNL!A726="","",_CALC_PNL!P726)</f>
        <v>#VALUE!</v>
      </c>
      <c r="I726" t="e">
        <f>IF(PNL!A726="","",IF(_CALC_PNL!E726=1,H726-G726,""))</f>
        <v>#VALUE!</v>
      </c>
    </row>
    <row r="727" ht="14.25" customHeight="1">
      <c r="A727" t="s">
        <v>92</v>
      </c>
      <c r="B727" t="s">
        <v>253</v>
      </c>
      <c r="C727" t="s">
        <v>233</v>
      </c>
      <c r="D727" t="s">
        <v>231</v>
      </c>
      <c r="E727" t="s">
        <v>191</v>
      </c>
      <c r="F727" t="s">
        <v>192</v>
      </c>
      <c r="G727">
        <v>96395.182</v>
      </c>
      <c r="H727" t="e">
        <f>IF(PNL!A727="","",_CALC_PNL!P727)</f>
        <v>#VALUE!</v>
      </c>
      <c r="I727" t="e">
        <f>IF(PNL!A727="","",IF(_CALC_PNL!E727=1,H727-G727,""))</f>
        <v>#VALUE!</v>
      </c>
    </row>
    <row r="728" ht="14.25" customHeight="1">
      <c r="A728" t="s">
        <v>92</v>
      </c>
      <c r="B728" t="s">
        <v>253</v>
      </c>
      <c r="C728" t="s">
        <v>233</v>
      </c>
      <c r="D728" t="s">
        <v>9</v>
      </c>
      <c r="E728" t="s">
        <v>191</v>
      </c>
      <c r="F728" t="s">
        <v>192</v>
      </c>
      <c r="G728">
        <v>95002.6062</v>
      </c>
      <c r="H728" t="e">
        <f>IF(PNL!A728="","",_CALC_PNL!P728)</f>
        <v>#VALUE!</v>
      </c>
      <c r="I728" t="e">
        <f>IF(PNL!A728="","",IF(_CALC_PNL!E728=1,H728-G728,""))</f>
        <v>#VALUE!</v>
      </c>
    </row>
    <row r="729" ht="14.25" customHeight="1">
      <c r="A729" t="s">
        <v>92</v>
      </c>
      <c r="B729" t="s">
        <v>253</v>
      </c>
      <c r="C729" t="s">
        <v>233</v>
      </c>
      <c r="D729" t="s">
        <v>234</v>
      </c>
      <c r="E729" t="s">
        <v>191</v>
      </c>
      <c r="F729" t="s">
        <v>192</v>
      </c>
      <c r="G729">
        <v>97796.8005</v>
      </c>
      <c r="H729" t="e">
        <f>IF(PNL!A729="","",_CALC_PNL!P729)</f>
        <v>#VALUE!</v>
      </c>
      <c r="I729" t="e">
        <f>IF(PNL!A729="","",IF(_CALC_PNL!E729=1,H729-G729,""))</f>
        <v>#VALUE!</v>
      </c>
    </row>
    <row r="730" ht="14.25" customHeight="1">
      <c r="A730" t="s">
        <v>94</v>
      </c>
      <c r="B730" t="s">
        <v>253</v>
      </c>
      <c r="C730" t="s">
        <v>233</v>
      </c>
      <c r="D730" t="s">
        <v>231</v>
      </c>
      <c r="E730" t="s">
        <v>191</v>
      </c>
      <c r="F730" t="s">
        <v>192</v>
      </c>
      <c r="G730">
        <v>190843.848</v>
      </c>
      <c r="H730" t="e">
        <f>IF(PNL!A730="","",_CALC_PNL!P730)</f>
        <v>#VALUE!</v>
      </c>
      <c r="I730" t="e">
        <f>IF(PNL!A730="","",IF(_CALC_PNL!E730=1,H730-G730,""))</f>
        <v>#VALUE!</v>
      </c>
    </row>
    <row r="731" ht="14.25" customHeight="1">
      <c r="A731" t="s">
        <v>94</v>
      </c>
      <c r="B731" t="s">
        <v>253</v>
      </c>
      <c r="C731" t="s">
        <v>233</v>
      </c>
      <c r="D731" t="s">
        <v>9</v>
      </c>
      <c r="E731" t="s">
        <v>191</v>
      </c>
      <c r="F731" t="s">
        <v>192</v>
      </c>
      <c r="G731">
        <v>188086.8168</v>
      </c>
      <c r="H731" t="e">
        <f>IF(PNL!A731="","",_CALC_PNL!P731)</f>
        <v>#VALUE!</v>
      </c>
      <c r="I731" t="e">
        <f>IF(PNL!A731="","",IF(_CALC_PNL!E731=1,H731-G731,""))</f>
        <v>#VALUE!</v>
      </c>
    </row>
    <row r="732" ht="14.25" customHeight="1">
      <c r="A732" t="s">
        <v>94</v>
      </c>
      <c r="B732" t="s">
        <v>253</v>
      </c>
      <c r="C732" t="s">
        <v>233</v>
      </c>
      <c r="D732" t="s">
        <v>234</v>
      </c>
      <c r="E732" t="s">
        <v>191</v>
      </c>
      <c r="F732" t="s">
        <v>192</v>
      </c>
      <c r="G732">
        <v>193618.782</v>
      </c>
      <c r="H732" t="e">
        <f>IF(PNL!A732="","",_CALC_PNL!P732)</f>
        <v>#VALUE!</v>
      </c>
      <c r="I732" t="e">
        <f>IF(PNL!A732="","",IF(_CALC_PNL!E732=1,H732-G732,""))</f>
        <v>#VALUE!</v>
      </c>
    </row>
    <row r="733" ht="14.25" customHeight="1">
      <c r="A733" t="s">
        <v>95</v>
      </c>
      <c r="B733" t="s">
        <v>253</v>
      </c>
      <c r="C733" t="s">
        <v>233</v>
      </c>
      <c r="D733" t="s">
        <v>231</v>
      </c>
      <c r="E733" t="s">
        <v>191</v>
      </c>
      <c r="F733" t="s">
        <v>192</v>
      </c>
      <c r="G733">
        <v>139593.766</v>
      </c>
      <c r="H733" t="e">
        <f>IF(PNL!A733="","",_CALC_PNL!P733)</f>
        <v>#VALUE!</v>
      </c>
      <c r="I733" t="e">
        <f>IF(PNL!A733="","",IF(_CALC_PNL!E733=1,H733-G733,""))</f>
        <v>#VALUE!</v>
      </c>
    </row>
    <row r="734" ht="14.25" customHeight="1">
      <c r="A734" t="s">
        <v>95</v>
      </c>
      <c r="B734" t="s">
        <v>253</v>
      </c>
      <c r="C734" t="s">
        <v>233</v>
      </c>
      <c r="D734" t="s">
        <v>9</v>
      </c>
      <c r="E734" t="s">
        <v>191</v>
      </c>
      <c r="F734" t="s">
        <v>192</v>
      </c>
      <c r="G734">
        <v>137577.1206</v>
      </c>
      <c r="H734" t="e">
        <f>IF(PNL!A734="","",_CALC_PNL!P734)</f>
        <v>#VALUE!</v>
      </c>
      <c r="I734" t="e">
        <f>IF(PNL!A734="","",IF(_CALC_PNL!E734=1,H734-G734,""))</f>
        <v>#VALUE!</v>
      </c>
    </row>
    <row r="735" ht="14.25" customHeight="1">
      <c r="A735" t="s">
        <v>95</v>
      </c>
      <c r="B735" t="s">
        <v>253</v>
      </c>
      <c r="C735" t="s">
        <v>233</v>
      </c>
      <c r="D735" t="s">
        <v>234</v>
      </c>
      <c r="E735" t="s">
        <v>191</v>
      </c>
      <c r="F735" t="s">
        <v>192</v>
      </c>
      <c r="G735">
        <v>141623.5065</v>
      </c>
      <c r="H735" t="e">
        <f>IF(PNL!A735="","",_CALC_PNL!P735)</f>
        <v>#VALUE!</v>
      </c>
      <c r="I735" t="e">
        <f>IF(PNL!A735="","",IF(_CALC_PNL!E735=1,H735-G735,""))</f>
        <v>#VALUE!</v>
      </c>
    </row>
    <row r="736" ht="14.25" customHeight="1">
      <c r="A736" t="s">
        <v>96</v>
      </c>
      <c r="B736" t="s">
        <v>253</v>
      </c>
      <c r="C736" t="s">
        <v>233</v>
      </c>
      <c r="D736" t="s">
        <v>231</v>
      </c>
      <c r="E736" t="s">
        <v>191</v>
      </c>
      <c r="F736" t="s">
        <v>192</v>
      </c>
      <c r="G736">
        <v>209306.968</v>
      </c>
      <c r="H736" t="e">
        <f>IF(PNL!A736="","",_CALC_PNL!P736)</f>
        <v>#VALUE!</v>
      </c>
      <c r="I736" t="e">
        <f>IF(PNL!A736="","",IF(_CALC_PNL!E736=1,H736-G736,""))</f>
        <v>#VALUE!</v>
      </c>
    </row>
    <row r="737" ht="14.25" customHeight="1">
      <c r="A737" t="s">
        <v>96</v>
      </c>
      <c r="B737" t="s">
        <v>253</v>
      </c>
      <c r="C737" t="s">
        <v>233</v>
      </c>
      <c r="D737" t="s">
        <v>9</v>
      </c>
      <c r="E737" t="s">
        <v>191</v>
      </c>
      <c r="F737" t="s">
        <v>192</v>
      </c>
      <c r="G737">
        <v>206283.2088</v>
      </c>
      <c r="H737" t="e">
        <f>IF(PNL!A737="","",_CALC_PNL!P737)</f>
        <v>#VALUE!</v>
      </c>
      <c r="I737" t="e">
        <f>IF(PNL!A737="","",IF(_CALC_PNL!E737=1,H737-G737,""))</f>
        <v>#VALUE!</v>
      </c>
    </row>
    <row r="738" ht="14.25" customHeight="1">
      <c r="A738" t="s">
        <v>96</v>
      </c>
      <c r="B738" t="s">
        <v>253</v>
      </c>
      <c r="C738" t="s">
        <v>233</v>
      </c>
      <c r="D738" t="s">
        <v>234</v>
      </c>
      <c r="E738" t="s">
        <v>191</v>
      </c>
      <c r="F738" t="s">
        <v>192</v>
      </c>
      <c r="G738">
        <v>212350.362</v>
      </c>
      <c r="H738" t="e">
        <f>IF(PNL!A738="","",_CALC_PNL!P738)</f>
        <v>#VALUE!</v>
      </c>
      <c r="I738" t="e">
        <f>IF(PNL!A738="","",IF(_CALC_PNL!E738=1,H738-G738,""))</f>
        <v>#VALUE!</v>
      </c>
    </row>
    <row r="739" ht="14.25" customHeight="1">
      <c r="A739" t="s">
        <v>97</v>
      </c>
      <c r="B739" t="s">
        <v>253</v>
      </c>
      <c r="C739" t="s">
        <v>233</v>
      </c>
      <c r="D739" t="s">
        <v>231</v>
      </c>
      <c r="E739" t="s">
        <v>191</v>
      </c>
      <c r="F739" t="s">
        <v>192</v>
      </c>
      <c r="G739">
        <v>122684.874</v>
      </c>
      <c r="H739" t="e">
        <f>IF(PNL!A739="","",_CALC_PNL!P739)</f>
        <v>#VALUE!</v>
      </c>
      <c r="I739" t="e">
        <f>IF(PNL!A739="","",IF(_CALC_PNL!E739=1,H739-G739,""))</f>
        <v>#VALUE!</v>
      </c>
    </row>
    <row r="740" ht="14.25" customHeight="1">
      <c r="A740" t="s">
        <v>97</v>
      </c>
      <c r="B740" t="s">
        <v>253</v>
      </c>
      <c r="C740" t="s">
        <v>233</v>
      </c>
      <c r="D740" t="s">
        <v>9</v>
      </c>
      <c r="E740" t="s">
        <v>191</v>
      </c>
      <c r="F740" t="s">
        <v>192</v>
      </c>
      <c r="G740">
        <v>120912.5034</v>
      </c>
      <c r="H740" t="e">
        <f>IF(PNL!A740="","",_CALC_PNL!P740)</f>
        <v>#VALUE!</v>
      </c>
      <c r="I740" t="e">
        <f>IF(PNL!A740="","",IF(_CALC_PNL!E740=1,H740-G740,""))</f>
        <v>#VALUE!</v>
      </c>
    </row>
    <row r="741" ht="14.25" customHeight="1">
      <c r="A741" t="s">
        <v>97</v>
      </c>
      <c r="B741" t="s">
        <v>253</v>
      </c>
      <c r="C741" t="s">
        <v>233</v>
      </c>
      <c r="D741" t="s">
        <v>234</v>
      </c>
      <c r="E741" t="s">
        <v>191</v>
      </c>
      <c r="F741" t="s">
        <v>192</v>
      </c>
      <c r="G741">
        <v>124468.7535</v>
      </c>
      <c r="H741" t="e">
        <f>IF(PNL!A741="","",_CALC_PNL!P741)</f>
        <v>#VALUE!</v>
      </c>
      <c r="I741" t="e">
        <f>IF(PNL!A741="","",IF(_CALC_PNL!E741=1,H741-G741,""))</f>
        <v>#VALUE!</v>
      </c>
    </row>
    <row r="742" ht="14.25" customHeight="1">
      <c r="A742" t="s">
        <v>75</v>
      </c>
      <c r="B742" t="s">
        <v>254</v>
      </c>
      <c r="C742" t="s">
        <v>233</v>
      </c>
      <c r="D742" t="s">
        <v>231</v>
      </c>
      <c r="E742" t="s">
        <v>191</v>
      </c>
      <c r="F742" t="s">
        <v>192</v>
      </c>
      <c r="G742">
        <v>377464.2498</v>
      </c>
      <c r="H742" t="e">
        <f>IF(PNL!A742="","",_CALC_PNL!P742)</f>
        <v>#VALUE!</v>
      </c>
      <c r="I742" t="e">
        <f>IF(PNL!A742="","",IF(_CALC_PNL!E742=1,H742-G742,""))</f>
        <v>#VALUE!</v>
      </c>
    </row>
    <row r="743" ht="14.25" customHeight="1">
      <c r="A743" t="s">
        <v>75</v>
      </c>
      <c r="B743" t="s">
        <v>254</v>
      </c>
      <c r="C743" t="s">
        <v>233</v>
      </c>
      <c r="D743" t="s">
        <v>9</v>
      </c>
      <c r="E743" t="s">
        <v>191</v>
      </c>
      <c r="F743" t="s">
        <v>192</v>
      </c>
      <c r="G743">
        <v>356985.0013135</v>
      </c>
      <c r="H743" t="e">
        <f>IF(PNL!A743="","",_CALC_PNL!P743)</f>
        <v>#VALUE!</v>
      </c>
      <c r="I743" t="e">
        <f>IF(PNL!A743="","",IF(_CALC_PNL!E743=1,H743-G743,""))</f>
        <v>#VALUE!</v>
      </c>
    </row>
    <row r="744" ht="14.25" customHeight="1">
      <c r="A744" t="s">
        <v>75</v>
      </c>
      <c r="B744" t="s">
        <v>254</v>
      </c>
      <c r="C744" t="s">
        <v>233</v>
      </c>
      <c r="D744" t="s">
        <v>234</v>
      </c>
      <c r="E744" t="s">
        <v>191</v>
      </c>
      <c r="F744" t="s">
        <v>192</v>
      </c>
      <c r="G744">
        <v>400415.6312</v>
      </c>
      <c r="H744" t="e">
        <f>IF(PNL!A744="","",_CALC_PNL!P744)</f>
        <v>#VALUE!</v>
      </c>
      <c r="I744" t="e">
        <f>IF(PNL!A744="","",IF(_CALC_PNL!E744=1,H744-G744,""))</f>
        <v>#VALUE!</v>
      </c>
    </row>
    <row r="745" ht="14.25" customHeight="1">
      <c r="A745" t="s">
        <v>77</v>
      </c>
      <c r="B745" t="s">
        <v>254</v>
      </c>
      <c r="C745" t="s">
        <v>233</v>
      </c>
      <c r="D745" t="s">
        <v>231</v>
      </c>
      <c r="E745" t="s">
        <v>191</v>
      </c>
      <c r="F745" t="s">
        <v>192</v>
      </c>
      <c r="G745">
        <v>226167.9354</v>
      </c>
      <c r="H745" t="e">
        <f>IF(PNL!A745="","",_CALC_PNL!P745)</f>
        <v>#VALUE!</v>
      </c>
      <c r="I745" t="e">
        <f>IF(PNL!A745="","",IF(_CALC_PNL!E745=1,H745-G745,""))</f>
        <v>#VALUE!</v>
      </c>
    </row>
    <row r="746" ht="14.25" customHeight="1">
      <c r="A746" t="s">
        <v>77</v>
      </c>
      <c r="B746" t="s">
        <v>254</v>
      </c>
      <c r="C746" t="s">
        <v>233</v>
      </c>
      <c r="D746" t="s">
        <v>9</v>
      </c>
      <c r="E746" t="s">
        <v>191</v>
      </c>
      <c r="F746" t="s">
        <v>192</v>
      </c>
      <c r="G746">
        <v>213897.2386355</v>
      </c>
      <c r="H746" t="e">
        <f>IF(PNL!A746="","",_CALC_PNL!P746)</f>
        <v>#VALUE!</v>
      </c>
      <c r="I746" t="e">
        <f>IF(PNL!A746="","",IF(_CALC_PNL!E746=1,H746-G746,""))</f>
        <v>#VALUE!</v>
      </c>
    </row>
    <row r="747" ht="14.25" customHeight="1">
      <c r="A747" t="s">
        <v>77</v>
      </c>
      <c r="B747" t="s">
        <v>254</v>
      </c>
      <c r="C747" t="s">
        <v>233</v>
      </c>
      <c r="D747" t="s">
        <v>234</v>
      </c>
      <c r="E747" t="s">
        <v>191</v>
      </c>
      <c r="F747" t="s">
        <v>192</v>
      </c>
      <c r="G747">
        <v>239919.8776</v>
      </c>
      <c r="H747" t="e">
        <f>IF(PNL!A747="","",_CALC_PNL!P747)</f>
        <v>#VALUE!</v>
      </c>
      <c r="I747" t="e">
        <f>IF(PNL!A747="","",IF(_CALC_PNL!E747=1,H747-G747,""))</f>
        <v>#VALUE!</v>
      </c>
    </row>
    <row r="748" ht="14.25" customHeight="1">
      <c r="A748" t="s">
        <v>79</v>
      </c>
      <c r="B748" t="s">
        <v>254</v>
      </c>
      <c r="C748" t="s">
        <v>233</v>
      </c>
      <c r="D748" t="s">
        <v>231</v>
      </c>
      <c r="E748" t="s">
        <v>191</v>
      </c>
      <c r="F748" t="s">
        <v>192</v>
      </c>
      <c r="G748">
        <v>186402.0114</v>
      </c>
      <c r="H748" t="e">
        <f>IF(PNL!A748="","",_CALC_PNL!P748)</f>
        <v>#VALUE!</v>
      </c>
      <c r="I748" t="e">
        <f>IF(PNL!A748="","",IF(_CALC_PNL!E748=1,H748-G748,""))</f>
        <v>#VALUE!</v>
      </c>
    </row>
    <row r="749" ht="14.25" customHeight="1">
      <c r="A749" t="s">
        <v>79</v>
      </c>
      <c r="B749" t="s">
        <v>254</v>
      </c>
      <c r="C749" t="s">
        <v>233</v>
      </c>
      <c r="D749" t="s">
        <v>9</v>
      </c>
      <c r="E749" t="s">
        <v>191</v>
      </c>
      <c r="F749" t="s">
        <v>192</v>
      </c>
      <c r="G749">
        <v>176288.8070055</v>
      </c>
      <c r="H749" t="e">
        <f>IF(PNL!A749="","",_CALC_PNL!P749)</f>
        <v>#VALUE!</v>
      </c>
      <c r="I749" t="e">
        <f>IF(PNL!A749="","",IF(_CALC_PNL!E749=1,H749-G749,""))</f>
        <v>#VALUE!</v>
      </c>
    </row>
    <row r="750" ht="14.25" customHeight="1">
      <c r="A750" t="s">
        <v>79</v>
      </c>
      <c r="B750" t="s">
        <v>254</v>
      </c>
      <c r="C750" t="s">
        <v>233</v>
      </c>
      <c r="D750" t="s">
        <v>234</v>
      </c>
      <c r="E750" t="s">
        <v>191</v>
      </c>
      <c r="F750" t="s">
        <v>192</v>
      </c>
      <c r="G750">
        <v>197736.0216</v>
      </c>
      <c r="H750" t="e">
        <f>IF(PNL!A750="","",_CALC_PNL!P750)</f>
        <v>#VALUE!</v>
      </c>
      <c r="I750" t="e">
        <f>IF(PNL!A750="","",IF(_CALC_PNL!E750=1,H750-G750,""))</f>
        <v>#VALUE!</v>
      </c>
    </row>
    <row r="751" ht="14.25" customHeight="1">
      <c r="A751" t="s">
        <v>81</v>
      </c>
      <c r="B751" t="s">
        <v>254</v>
      </c>
      <c r="C751" t="s">
        <v>233</v>
      </c>
      <c r="D751" t="s">
        <v>231</v>
      </c>
      <c r="E751" t="s">
        <v>191</v>
      </c>
      <c r="F751" t="s">
        <v>192</v>
      </c>
      <c r="G751">
        <v>163101.8862</v>
      </c>
      <c r="H751" t="e">
        <f>IF(PNL!A751="","",_CALC_PNL!P751)</f>
        <v>#VALUE!</v>
      </c>
      <c r="I751" t="e">
        <f>IF(PNL!A751="","",IF(_CALC_PNL!E751=1,H751-G751,""))</f>
        <v>#VALUE!</v>
      </c>
    </row>
    <row r="752" ht="14.25" customHeight="1">
      <c r="A752" t="s">
        <v>81</v>
      </c>
      <c r="B752" t="s">
        <v>254</v>
      </c>
      <c r="C752" t="s">
        <v>233</v>
      </c>
      <c r="D752" t="s">
        <v>9</v>
      </c>
      <c r="E752" t="s">
        <v>191</v>
      </c>
      <c r="F752" t="s">
        <v>192</v>
      </c>
      <c r="G752">
        <v>154252.8255065</v>
      </c>
      <c r="H752" t="e">
        <f>IF(PNL!A752="","",_CALC_PNL!P752)</f>
        <v>#VALUE!</v>
      </c>
      <c r="I752" t="e">
        <f>IF(PNL!A752="","",IF(_CALC_PNL!E752=1,H752-G752,""))</f>
        <v>#VALUE!</v>
      </c>
    </row>
    <row r="753" ht="14.25" customHeight="1">
      <c r="A753" t="s">
        <v>81</v>
      </c>
      <c r="B753" t="s">
        <v>254</v>
      </c>
      <c r="C753" t="s">
        <v>233</v>
      </c>
      <c r="D753" t="s">
        <v>234</v>
      </c>
      <c r="E753" t="s">
        <v>191</v>
      </c>
      <c r="F753" t="s">
        <v>192</v>
      </c>
      <c r="G753">
        <v>173019.1528</v>
      </c>
      <c r="H753" t="e">
        <f>IF(PNL!A753="","",_CALC_PNL!P753)</f>
        <v>#VALUE!</v>
      </c>
      <c r="I753" t="e">
        <f>IF(PNL!A753="","",IF(_CALC_PNL!E753=1,H753-G753,""))</f>
        <v>#VALUE!</v>
      </c>
    </row>
    <row r="754" ht="14.25" customHeight="1">
      <c r="A754" t="s">
        <v>83</v>
      </c>
      <c r="B754" t="s">
        <v>254</v>
      </c>
      <c r="C754" t="s">
        <v>233</v>
      </c>
      <c r="D754" t="s">
        <v>231</v>
      </c>
      <c r="E754" t="s">
        <v>191</v>
      </c>
      <c r="F754" t="s">
        <v>192</v>
      </c>
      <c r="G754">
        <v>377464.2498</v>
      </c>
      <c r="H754" t="e">
        <f>IF(PNL!A754="","",_CALC_PNL!P754)</f>
        <v>#VALUE!</v>
      </c>
      <c r="I754" t="e">
        <f>IF(PNL!A754="","",IF(_CALC_PNL!E754=1,H754-G754,""))</f>
        <v>#VALUE!</v>
      </c>
    </row>
    <row r="755" ht="14.25" customHeight="1">
      <c r="A755" t="s">
        <v>83</v>
      </c>
      <c r="B755" t="s">
        <v>254</v>
      </c>
      <c r="C755" t="s">
        <v>233</v>
      </c>
      <c r="D755" t="s">
        <v>9</v>
      </c>
      <c r="E755" t="s">
        <v>191</v>
      </c>
      <c r="F755" t="s">
        <v>192</v>
      </c>
      <c r="G755">
        <v>356985.0013135</v>
      </c>
      <c r="H755" t="e">
        <f>IF(PNL!A755="","",_CALC_PNL!P755)</f>
        <v>#VALUE!</v>
      </c>
      <c r="I755" t="e">
        <f>IF(PNL!A755="","",IF(_CALC_PNL!E755=1,H755-G755,""))</f>
        <v>#VALUE!</v>
      </c>
    </row>
    <row r="756" ht="14.25" customHeight="1">
      <c r="A756" t="s">
        <v>83</v>
      </c>
      <c r="B756" t="s">
        <v>254</v>
      </c>
      <c r="C756" t="s">
        <v>233</v>
      </c>
      <c r="D756" t="s">
        <v>234</v>
      </c>
      <c r="E756" t="s">
        <v>191</v>
      </c>
      <c r="F756" t="s">
        <v>192</v>
      </c>
      <c r="G756">
        <v>400415.6312</v>
      </c>
      <c r="H756" t="e">
        <f>IF(PNL!A756="","",_CALC_PNL!P756)</f>
        <v>#VALUE!</v>
      </c>
      <c r="I756" t="e">
        <f>IF(PNL!A756="","",IF(_CALC_PNL!E756=1,H756-G756,""))</f>
        <v>#VALUE!</v>
      </c>
    </row>
    <row r="757" ht="14.25" customHeight="1">
      <c r="A757" t="s">
        <v>84</v>
      </c>
      <c r="B757" t="s">
        <v>254</v>
      </c>
      <c r="C757" t="s">
        <v>233</v>
      </c>
      <c r="D757" t="s">
        <v>231</v>
      </c>
      <c r="E757" t="s">
        <v>191</v>
      </c>
      <c r="F757" t="s">
        <v>192</v>
      </c>
      <c r="G757">
        <v>142907.9058</v>
      </c>
      <c r="H757" t="e">
        <f>IF(PNL!A757="","",_CALC_PNL!P757)</f>
        <v>#VALUE!</v>
      </c>
      <c r="I757" t="e">
        <f>IF(PNL!A757="","",IF(_CALC_PNL!E757=1,H757-G757,""))</f>
        <v>#VALUE!</v>
      </c>
    </row>
    <row r="758" ht="14.25" customHeight="1">
      <c r="A758" t="s">
        <v>84</v>
      </c>
      <c r="B758" t="s">
        <v>254</v>
      </c>
      <c r="C758" t="s">
        <v>233</v>
      </c>
      <c r="D758" t="s">
        <v>9</v>
      </c>
      <c r="E758" t="s">
        <v>191</v>
      </c>
      <c r="F758" t="s">
        <v>192</v>
      </c>
      <c r="G758">
        <v>135154.4655335</v>
      </c>
      <c r="H758" t="e">
        <f>IF(PNL!A758="","",_CALC_PNL!P758)</f>
        <v>#VALUE!</v>
      </c>
      <c r="I758" t="e">
        <f>IF(PNL!A758="","",IF(_CALC_PNL!E758=1,H758-G758,""))</f>
        <v>#VALUE!</v>
      </c>
    </row>
    <row r="759" ht="14.25" customHeight="1">
      <c r="A759" t="s">
        <v>84</v>
      </c>
      <c r="B759" t="s">
        <v>254</v>
      </c>
      <c r="C759" t="s">
        <v>233</v>
      </c>
      <c r="D759" t="s">
        <v>234</v>
      </c>
      <c r="E759" t="s">
        <v>191</v>
      </c>
      <c r="F759" t="s">
        <v>192</v>
      </c>
      <c r="G759">
        <v>151597.2952</v>
      </c>
      <c r="H759" t="e">
        <f>IF(PNL!A759="","",_CALC_PNL!P759)</f>
        <v>#VALUE!</v>
      </c>
      <c r="I759" t="e">
        <f>IF(PNL!A759="","",IF(_CALC_PNL!E759=1,H759-G759,""))</f>
        <v>#VALUE!</v>
      </c>
    </row>
    <row r="760" ht="14.25" customHeight="1">
      <c r="A760" t="s">
        <v>86</v>
      </c>
      <c r="B760" t="s">
        <v>254</v>
      </c>
      <c r="C760" t="s">
        <v>233</v>
      </c>
      <c r="D760" t="s">
        <v>231</v>
      </c>
      <c r="E760" t="s">
        <v>191</v>
      </c>
      <c r="F760" t="s">
        <v>192</v>
      </c>
      <c r="G760">
        <v>139801.761</v>
      </c>
      <c r="H760" t="e">
        <f>IF(PNL!A760="","",_CALC_PNL!P760)</f>
        <v>#VALUE!</v>
      </c>
      <c r="I760" t="e">
        <f>IF(PNL!A760="","",IF(_CALC_PNL!E760=1,H760-G760,""))</f>
        <v>#VALUE!</v>
      </c>
    </row>
    <row r="761" ht="14.25" customHeight="1">
      <c r="A761" t="s">
        <v>86</v>
      </c>
      <c r="B761" t="s">
        <v>254</v>
      </c>
      <c r="C761" t="s">
        <v>233</v>
      </c>
      <c r="D761" t="s">
        <v>9</v>
      </c>
      <c r="E761" t="s">
        <v>191</v>
      </c>
      <c r="F761" t="s">
        <v>192</v>
      </c>
      <c r="G761">
        <v>132216.8440075</v>
      </c>
      <c r="H761" t="e">
        <f>IF(PNL!A761="","",_CALC_PNL!P761)</f>
        <v>#VALUE!</v>
      </c>
      <c r="I761" t="e">
        <f>IF(PNL!A761="","",IF(_CALC_PNL!E761=1,H761-G761,""))</f>
        <v>#VALUE!</v>
      </c>
    </row>
    <row r="762" ht="14.25" customHeight="1">
      <c r="A762" t="s">
        <v>86</v>
      </c>
      <c r="B762" t="s">
        <v>254</v>
      </c>
      <c r="C762" t="s">
        <v>233</v>
      </c>
      <c r="D762" t="s">
        <v>234</v>
      </c>
      <c r="E762" t="s">
        <v>191</v>
      </c>
      <c r="F762" t="s">
        <v>192</v>
      </c>
      <c r="G762">
        <v>148302.284</v>
      </c>
      <c r="H762" t="e">
        <f>IF(PNL!A762="","",_CALC_PNL!P762)</f>
        <v>#VALUE!</v>
      </c>
      <c r="I762" t="e">
        <f>IF(PNL!A762="","",IF(_CALC_PNL!E762=1,H762-G762,""))</f>
        <v>#VALUE!</v>
      </c>
    </row>
    <row r="763" ht="14.25" customHeight="1">
      <c r="A763" t="s">
        <v>88</v>
      </c>
      <c r="B763" t="s">
        <v>254</v>
      </c>
      <c r="C763" t="s">
        <v>233</v>
      </c>
      <c r="D763" t="s">
        <v>231</v>
      </c>
      <c r="E763" t="s">
        <v>191</v>
      </c>
      <c r="F763" t="s">
        <v>192</v>
      </c>
      <c r="G763">
        <v>93201.5106</v>
      </c>
      <c r="H763" t="e">
        <f>IF(PNL!A763="","",_CALC_PNL!P763)</f>
        <v>#VALUE!</v>
      </c>
      <c r="I763" t="e">
        <f>IF(PNL!A763="","",IF(_CALC_PNL!E763=1,H763-G763,""))</f>
        <v>#VALUE!</v>
      </c>
    </row>
    <row r="764" ht="14.25" customHeight="1">
      <c r="A764" t="s">
        <v>88</v>
      </c>
      <c r="B764" t="s">
        <v>254</v>
      </c>
      <c r="C764" t="s">
        <v>233</v>
      </c>
      <c r="D764" t="s">
        <v>9</v>
      </c>
      <c r="E764" t="s">
        <v>191</v>
      </c>
      <c r="F764" t="s">
        <v>192</v>
      </c>
      <c r="G764">
        <v>88144.8810095</v>
      </c>
      <c r="H764" t="e">
        <f>IF(PNL!A764="","",_CALC_PNL!P764)</f>
        <v>#VALUE!</v>
      </c>
      <c r="I764" t="e">
        <f>IF(PNL!A764="","",IF(_CALC_PNL!E764=1,H764-G764,""))</f>
        <v>#VALUE!</v>
      </c>
    </row>
    <row r="765" ht="14.25" customHeight="1">
      <c r="A765" t="s">
        <v>88</v>
      </c>
      <c r="B765" t="s">
        <v>254</v>
      </c>
      <c r="C765" t="s">
        <v>233</v>
      </c>
      <c r="D765" t="s">
        <v>234</v>
      </c>
      <c r="E765" t="s">
        <v>191</v>
      </c>
      <c r="F765" t="s">
        <v>192</v>
      </c>
      <c r="G765">
        <v>98868.5464</v>
      </c>
      <c r="H765" t="e">
        <f>IF(PNL!A765="","",_CALC_PNL!P765)</f>
        <v>#VALUE!</v>
      </c>
      <c r="I765" t="e">
        <f>IF(PNL!A765="","",IF(_CALC_PNL!E765=1,H765-G765,""))</f>
        <v>#VALUE!</v>
      </c>
    </row>
    <row r="766" ht="14.25" customHeight="1">
      <c r="A766" t="s">
        <v>90</v>
      </c>
      <c r="B766" t="s">
        <v>254</v>
      </c>
      <c r="C766" t="s">
        <v>233</v>
      </c>
      <c r="D766" t="s">
        <v>231</v>
      </c>
      <c r="E766" t="s">
        <v>191</v>
      </c>
      <c r="F766" t="s">
        <v>192</v>
      </c>
      <c r="G766">
        <v>82016.9658</v>
      </c>
      <c r="H766" t="e">
        <f>IF(PNL!A766="","",_CALC_PNL!P766)</f>
        <v>#VALUE!</v>
      </c>
      <c r="I766" t="e">
        <f>IF(PNL!A766="","",IF(_CALC_PNL!E766=1,H766-G766,""))</f>
        <v>#VALUE!</v>
      </c>
    </row>
    <row r="767" ht="14.25" customHeight="1">
      <c r="A767" t="s">
        <v>90</v>
      </c>
      <c r="B767" t="s">
        <v>254</v>
      </c>
      <c r="C767" t="s">
        <v>233</v>
      </c>
      <c r="D767" t="s">
        <v>9</v>
      </c>
      <c r="E767" t="s">
        <v>191</v>
      </c>
      <c r="F767" t="s">
        <v>192</v>
      </c>
      <c r="G767">
        <v>77567.1514835</v>
      </c>
      <c r="H767" t="e">
        <f>IF(PNL!A767="","",_CALC_PNL!P767)</f>
        <v>#VALUE!</v>
      </c>
      <c r="I767" t="e">
        <f>IF(PNL!A767="","",IF(_CALC_PNL!E767=1,H767-G767,""))</f>
        <v>#VALUE!</v>
      </c>
    </row>
    <row r="768" ht="14.25" customHeight="1">
      <c r="A768" t="s">
        <v>90</v>
      </c>
      <c r="B768" t="s">
        <v>254</v>
      </c>
      <c r="C768" t="s">
        <v>233</v>
      </c>
      <c r="D768" t="s">
        <v>234</v>
      </c>
      <c r="E768" t="s">
        <v>191</v>
      </c>
      <c r="F768" t="s">
        <v>192</v>
      </c>
      <c r="G768">
        <v>87003.9352</v>
      </c>
      <c r="H768" t="e">
        <f>IF(PNL!A768="","",_CALC_PNL!P768)</f>
        <v>#VALUE!</v>
      </c>
      <c r="I768" t="e">
        <f>IF(PNL!A768="","",IF(_CALC_PNL!E768=1,H768-G768,""))</f>
        <v>#VALUE!</v>
      </c>
    </row>
    <row r="769" ht="14.25" customHeight="1">
      <c r="A769" t="s">
        <v>92</v>
      </c>
      <c r="B769" t="s">
        <v>254</v>
      </c>
      <c r="C769" t="s">
        <v>233</v>
      </c>
      <c r="D769" t="s">
        <v>231</v>
      </c>
      <c r="E769" t="s">
        <v>191</v>
      </c>
      <c r="F769" t="s">
        <v>192</v>
      </c>
      <c r="G769">
        <v>82016.9658</v>
      </c>
      <c r="H769" t="e">
        <f>IF(PNL!A769="","",_CALC_PNL!P769)</f>
        <v>#VALUE!</v>
      </c>
      <c r="I769" t="e">
        <f>IF(PNL!A769="","",IF(_CALC_PNL!E769=1,H769-G769,""))</f>
        <v>#VALUE!</v>
      </c>
    </row>
    <row r="770" ht="14.25" customHeight="1">
      <c r="A770" t="s">
        <v>92</v>
      </c>
      <c r="B770" t="s">
        <v>254</v>
      </c>
      <c r="C770" t="s">
        <v>233</v>
      </c>
      <c r="D770" t="s">
        <v>9</v>
      </c>
      <c r="E770" t="s">
        <v>191</v>
      </c>
      <c r="F770" t="s">
        <v>192</v>
      </c>
      <c r="G770">
        <v>77567.1514835</v>
      </c>
      <c r="H770" t="e">
        <f>IF(PNL!A770="","",_CALC_PNL!P770)</f>
        <v>#VALUE!</v>
      </c>
      <c r="I770" t="e">
        <f>IF(PNL!A770="","",IF(_CALC_PNL!E770=1,H770-G770,""))</f>
        <v>#VALUE!</v>
      </c>
    </row>
    <row r="771" ht="14.25" customHeight="1">
      <c r="A771" t="s">
        <v>92</v>
      </c>
      <c r="B771" t="s">
        <v>254</v>
      </c>
      <c r="C771" t="s">
        <v>233</v>
      </c>
      <c r="D771" t="s">
        <v>234</v>
      </c>
      <c r="E771" t="s">
        <v>191</v>
      </c>
      <c r="F771" t="s">
        <v>192</v>
      </c>
      <c r="G771">
        <v>87003.9352</v>
      </c>
      <c r="H771" t="e">
        <f>IF(PNL!A771="","",_CALC_PNL!P771)</f>
        <v>#VALUE!</v>
      </c>
      <c r="I771" t="e">
        <f>IF(PNL!A771="","",IF(_CALC_PNL!E771=1,H771-G771,""))</f>
        <v>#VALUE!</v>
      </c>
    </row>
    <row r="772" ht="14.25" customHeight="1">
      <c r="A772" t="s">
        <v>94</v>
      </c>
      <c r="B772" t="s">
        <v>254</v>
      </c>
      <c r="C772" t="s">
        <v>233</v>
      </c>
      <c r="D772" t="s">
        <v>231</v>
      </c>
      <c r="E772" t="s">
        <v>191</v>
      </c>
      <c r="F772" t="s">
        <v>192</v>
      </c>
      <c r="G772">
        <v>139180.734</v>
      </c>
      <c r="H772" t="e">
        <f>IF(PNL!A772="","",_CALC_PNL!P772)</f>
        <v>#VALUE!</v>
      </c>
      <c r="I772" t="e">
        <f>IF(PNL!A772="","",IF(_CALC_PNL!E772=1,H772-G772,""))</f>
        <v>#VALUE!</v>
      </c>
    </row>
    <row r="773" ht="14.25" customHeight="1">
      <c r="A773" t="s">
        <v>94</v>
      </c>
      <c r="B773" t="s">
        <v>254</v>
      </c>
      <c r="C773" t="s">
        <v>233</v>
      </c>
      <c r="D773" t="s">
        <v>9</v>
      </c>
      <c r="E773" t="s">
        <v>191</v>
      </c>
      <c r="F773" t="s">
        <v>192</v>
      </c>
      <c r="G773">
        <v>131629.510705</v>
      </c>
      <c r="H773" t="e">
        <f>IF(PNL!A773="","",_CALC_PNL!P773)</f>
        <v>#VALUE!</v>
      </c>
      <c r="I773" t="e">
        <f>IF(PNL!A773="","",IF(_CALC_PNL!E773=1,H773-G773,""))</f>
        <v>#VALUE!</v>
      </c>
    </row>
    <row r="774" ht="14.25" customHeight="1">
      <c r="A774" t="s">
        <v>94</v>
      </c>
      <c r="B774" t="s">
        <v>254</v>
      </c>
      <c r="C774" t="s">
        <v>233</v>
      </c>
      <c r="D774" t="s">
        <v>234</v>
      </c>
      <c r="E774" t="s">
        <v>191</v>
      </c>
      <c r="F774" t="s">
        <v>192</v>
      </c>
      <c r="G774">
        <v>147643.496</v>
      </c>
      <c r="H774" t="e">
        <f>IF(PNL!A774="","",_CALC_PNL!P774)</f>
        <v>#VALUE!</v>
      </c>
      <c r="I774" t="e">
        <f>IF(PNL!A774="","",IF(_CALC_PNL!E774=1,H774-G774,""))</f>
        <v>#VALUE!</v>
      </c>
    </row>
    <row r="775" ht="14.25" customHeight="1">
      <c r="A775" t="s">
        <v>95</v>
      </c>
      <c r="B775" t="s">
        <v>254</v>
      </c>
      <c r="C775" t="s">
        <v>233</v>
      </c>
      <c r="D775" t="s">
        <v>231</v>
      </c>
      <c r="E775" t="s">
        <v>191</v>
      </c>
      <c r="F775" t="s">
        <v>192</v>
      </c>
      <c r="G775">
        <v>130481.307</v>
      </c>
      <c r="H775" t="e">
        <f>IF(PNL!A775="","",_CALC_PNL!P775)</f>
        <v>#VALUE!</v>
      </c>
      <c r="I775" t="e">
        <f>IF(PNL!A775="","",IF(_CALC_PNL!E775=1,H775-G775,""))</f>
        <v>#VALUE!</v>
      </c>
    </row>
    <row r="776" ht="14.25" customHeight="1">
      <c r="A776" t="s">
        <v>95</v>
      </c>
      <c r="B776" t="s">
        <v>254</v>
      </c>
      <c r="C776" t="s">
        <v>233</v>
      </c>
      <c r="D776" t="s">
        <v>9</v>
      </c>
      <c r="E776" t="s">
        <v>191</v>
      </c>
      <c r="F776" t="s">
        <v>192</v>
      </c>
      <c r="G776">
        <v>123402.0694025</v>
      </c>
      <c r="H776" t="e">
        <f>IF(PNL!A776="","",_CALC_PNL!P776)</f>
        <v>#VALUE!</v>
      </c>
      <c r="I776" t="e">
        <f>IF(PNL!A776="","",IF(_CALC_PNL!E776=1,H776-G776,""))</f>
        <v>#VALUE!</v>
      </c>
    </row>
    <row r="777" ht="14.25" customHeight="1">
      <c r="A777" t="s">
        <v>95</v>
      </c>
      <c r="B777" t="s">
        <v>254</v>
      </c>
      <c r="C777" t="s">
        <v>233</v>
      </c>
      <c r="D777" t="s">
        <v>234</v>
      </c>
      <c r="E777" t="s">
        <v>191</v>
      </c>
      <c r="F777" t="s">
        <v>192</v>
      </c>
      <c r="G777">
        <v>138415.108</v>
      </c>
      <c r="H777" t="e">
        <f>IF(PNL!A777="","",_CALC_PNL!P777)</f>
        <v>#VALUE!</v>
      </c>
      <c r="I777" t="e">
        <f>IF(PNL!A777="","",IF(_CALC_PNL!E777=1,H777-G777,""))</f>
        <v>#VALUE!</v>
      </c>
    </row>
    <row r="778" ht="14.25" customHeight="1">
      <c r="A778" t="s">
        <v>96</v>
      </c>
      <c r="B778" t="s">
        <v>254</v>
      </c>
      <c r="C778" t="s">
        <v>233</v>
      </c>
      <c r="D778" t="s">
        <v>231</v>
      </c>
      <c r="E778" t="s">
        <v>191</v>
      </c>
      <c r="F778" t="s">
        <v>192</v>
      </c>
      <c r="G778">
        <v>150985.296</v>
      </c>
      <c r="H778" t="e">
        <f>IF(PNL!A778="","",_CALC_PNL!P778)</f>
        <v>#VALUE!</v>
      </c>
      <c r="I778" t="e">
        <f>IF(PNL!A778="","",IF(_CALC_PNL!E778=1,H778-G778,""))</f>
        <v>#VALUE!</v>
      </c>
    </row>
    <row r="779" ht="14.25" customHeight="1">
      <c r="A779" t="s">
        <v>96</v>
      </c>
      <c r="B779" t="s">
        <v>254</v>
      </c>
      <c r="C779" t="s">
        <v>233</v>
      </c>
      <c r="D779" t="s">
        <v>9</v>
      </c>
      <c r="E779" t="s">
        <v>191</v>
      </c>
      <c r="F779" t="s">
        <v>192</v>
      </c>
      <c r="G779">
        <v>142793.61852</v>
      </c>
      <c r="H779" t="e">
        <f>IF(PNL!A779="","",_CALC_PNL!P779)</f>
        <v>#VALUE!</v>
      </c>
      <c r="I779" t="e">
        <f>IF(PNL!A779="","",IF(_CALC_PNL!E779=1,H779-G779,""))</f>
        <v>#VALUE!</v>
      </c>
    </row>
    <row r="780" ht="14.25" customHeight="1">
      <c r="A780" t="s">
        <v>96</v>
      </c>
      <c r="B780" t="s">
        <v>254</v>
      </c>
      <c r="C780" t="s">
        <v>233</v>
      </c>
      <c r="D780" t="s">
        <v>234</v>
      </c>
      <c r="E780" t="s">
        <v>191</v>
      </c>
      <c r="F780" t="s">
        <v>192</v>
      </c>
      <c r="G780">
        <v>160165.824</v>
      </c>
      <c r="H780" t="e">
        <f>IF(PNL!A780="","",_CALC_PNL!P780)</f>
        <v>#VALUE!</v>
      </c>
      <c r="I780" t="e">
        <f>IF(PNL!A780="","",IF(_CALC_PNL!E780=1,H780-G780,""))</f>
        <v>#VALUE!</v>
      </c>
    </row>
    <row r="781" ht="14.25" customHeight="1">
      <c r="A781" t="s">
        <v>97</v>
      </c>
      <c r="B781" t="s">
        <v>254</v>
      </c>
      <c r="C781" t="s">
        <v>233</v>
      </c>
      <c r="D781" t="s">
        <v>231</v>
      </c>
      <c r="E781" t="s">
        <v>191</v>
      </c>
      <c r="F781" t="s">
        <v>192</v>
      </c>
      <c r="G781">
        <v>104385.0456</v>
      </c>
      <c r="H781" t="e">
        <f>IF(PNL!A781="","",_CALC_PNL!P781)</f>
        <v>#VALUE!</v>
      </c>
      <c r="I781" t="e">
        <f>IF(PNL!A781="","",IF(_CALC_PNL!E781=1,H781-G781,""))</f>
        <v>#VALUE!</v>
      </c>
    </row>
    <row r="782" ht="14.25" customHeight="1">
      <c r="A782" t="s">
        <v>97</v>
      </c>
      <c r="B782" t="s">
        <v>254</v>
      </c>
      <c r="C782" t="s">
        <v>233</v>
      </c>
      <c r="D782" t="s">
        <v>9</v>
      </c>
      <c r="E782" t="s">
        <v>191</v>
      </c>
      <c r="F782" t="s">
        <v>192</v>
      </c>
      <c r="G782">
        <v>98721.655522</v>
      </c>
      <c r="H782" t="e">
        <f>IF(PNL!A782="","",_CALC_PNL!P782)</f>
        <v>#VALUE!</v>
      </c>
      <c r="I782" t="e">
        <f>IF(PNL!A782="","",IF(_CALC_PNL!E782=1,H782-G782,""))</f>
        <v>#VALUE!</v>
      </c>
    </row>
    <row r="783" ht="14.25" customHeight="1">
      <c r="A783" t="s">
        <v>97</v>
      </c>
      <c r="B783" t="s">
        <v>254</v>
      </c>
      <c r="C783" t="s">
        <v>233</v>
      </c>
      <c r="D783" t="s">
        <v>234</v>
      </c>
      <c r="E783" t="s">
        <v>191</v>
      </c>
      <c r="F783" t="s">
        <v>192</v>
      </c>
      <c r="G783">
        <v>110732.0864</v>
      </c>
      <c r="H783" t="e">
        <f>IF(PNL!A783="","",_CALC_PNL!P783)</f>
        <v>#VALUE!</v>
      </c>
      <c r="I783" t="e">
        <f>IF(PNL!A783="","",IF(_CALC_PNL!E783=1,H783-G783,""))</f>
        <v>#VALUE!</v>
      </c>
    </row>
    <row r="784" ht="14.25" customHeight="1">
      <c r="A784" t="s">
        <v>75</v>
      </c>
      <c r="B784" t="s">
        <v>255</v>
      </c>
      <c r="C784" t="s">
        <v>233</v>
      </c>
      <c r="D784" t="s">
        <v>231</v>
      </c>
      <c r="E784" t="s">
        <v>191</v>
      </c>
      <c r="F784" t="s">
        <v>192</v>
      </c>
      <c r="G784">
        <v>53923.32</v>
      </c>
      <c r="H784" t="e">
        <f>IF(PNL!A784="","",_CALC_PNL!P784)</f>
        <v>#VALUE!</v>
      </c>
      <c r="I784" t="e">
        <f>IF(PNL!A784="","",IF(_CALC_PNL!E784=1,H784-G784,""))</f>
        <v>#VALUE!</v>
      </c>
    </row>
    <row r="785" ht="14.25" customHeight="1">
      <c r="A785" t="s">
        <v>75</v>
      </c>
      <c r="B785" t="s">
        <v>255</v>
      </c>
      <c r="C785" t="s">
        <v>233</v>
      </c>
      <c r="D785" t="s">
        <v>9</v>
      </c>
      <c r="E785" t="s">
        <v>191</v>
      </c>
      <c r="F785" t="s">
        <v>192</v>
      </c>
      <c r="G785">
        <v>50997.7209</v>
      </c>
      <c r="H785" t="e">
        <f>IF(PNL!A785="","",_CALC_PNL!P785)</f>
        <v>#VALUE!</v>
      </c>
      <c r="I785" t="e">
        <f>IF(PNL!A785="","",IF(_CALC_PNL!E785=1,H785-G785,""))</f>
        <v>#VALUE!</v>
      </c>
    </row>
    <row r="786" ht="14.25" customHeight="1">
      <c r="A786" t="s">
        <v>75</v>
      </c>
      <c r="B786" t="s">
        <v>255</v>
      </c>
      <c r="C786" t="s">
        <v>233</v>
      </c>
      <c r="D786" t="s">
        <v>234</v>
      </c>
      <c r="E786" t="s">
        <v>191</v>
      </c>
      <c r="F786" t="s">
        <v>192</v>
      </c>
      <c r="G786">
        <v>57202.08</v>
      </c>
      <c r="H786" t="e">
        <f>IF(PNL!A786="","",_CALC_PNL!P786)</f>
        <v>#VALUE!</v>
      </c>
      <c r="I786" t="e">
        <f>IF(PNL!A786="","",IF(_CALC_PNL!E786=1,H786-G786,""))</f>
        <v>#VALUE!</v>
      </c>
    </row>
    <row r="787" ht="14.25" customHeight="1">
      <c r="A787" t="s">
        <v>77</v>
      </c>
      <c r="B787" t="s">
        <v>255</v>
      </c>
      <c r="C787" t="s">
        <v>233</v>
      </c>
      <c r="D787" t="s">
        <v>231</v>
      </c>
      <c r="E787" t="s">
        <v>191</v>
      </c>
      <c r="F787" t="s">
        <v>192</v>
      </c>
      <c r="G787">
        <v>32309.5608</v>
      </c>
      <c r="H787" t="e">
        <f>IF(PNL!A787="","",_CALC_PNL!P787)</f>
        <v>#VALUE!</v>
      </c>
      <c r="I787" t="e">
        <f>IF(PNL!A787="","",IF(_CALC_PNL!E787=1,H787-G787,""))</f>
        <v>#VALUE!</v>
      </c>
    </row>
    <row r="788" ht="14.25" customHeight="1">
      <c r="A788" t="s">
        <v>77</v>
      </c>
      <c r="B788" t="s">
        <v>255</v>
      </c>
      <c r="C788" t="s">
        <v>233</v>
      </c>
      <c r="D788" t="s">
        <v>9</v>
      </c>
      <c r="E788" t="s">
        <v>191</v>
      </c>
      <c r="F788" t="s">
        <v>192</v>
      </c>
      <c r="G788">
        <v>30556.611946</v>
      </c>
      <c r="H788" t="e">
        <f>IF(PNL!A788="","",_CALC_PNL!P788)</f>
        <v>#VALUE!</v>
      </c>
      <c r="I788" t="e">
        <f>IF(PNL!A788="","",IF(_CALC_PNL!E788=1,H788-G788,""))</f>
        <v>#VALUE!</v>
      </c>
    </row>
    <row r="789" ht="14.25" customHeight="1">
      <c r="A789" t="s">
        <v>77</v>
      </c>
      <c r="B789" t="s">
        <v>255</v>
      </c>
      <c r="C789" t="s">
        <v>233</v>
      </c>
      <c r="D789" t="s">
        <v>234</v>
      </c>
      <c r="E789" t="s">
        <v>191</v>
      </c>
      <c r="F789" t="s">
        <v>192</v>
      </c>
      <c r="G789">
        <v>34274.1152</v>
      </c>
      <c r="H789" t="e">
        <f>IF(PNL!A789="","",_CALC_PNL!P789)</f>
        <v>#VALUE!</v>
      </c>
      <c r="I789" t="e">
        <f>IF(PNL!A789="","",IF(_CALC_PNL!E789=1,H789-G789,""))</f>
        <v>#VALUE!</v>
      </c>
    </row>
    <row r="790" ht="14.25" customHeight="1">
      <c r="A790" t="s">
        <v>79</v>
      </c>
      <c r="B790" t="s">
        <v>255</v>
      </c>
      <c r="C790" t="s">
        <v>233</v>
      </c>
      <c r="D790" t="s">
        <v>231</v>
      </c>
      <c r="E790" t="s">
        <v>191</v>
      </c>
      <c r="F790" t="s">
        <v>192</v>
      </c>
      <c r="G790">
        <v>26628.426</v>
      </c>
      <c r="H790" t="e">
        <f>IF(PNL!A790="","",_CALC_PNL!P790)</f>
        <v>#VALUE!</v>
      </c>
      <c r="I790" t="e">
        <f>IF(PNL!A790="","",IF(_CALC_PNL!E790=1,H790-G790,""))</f>
        <v>#VALUE!</v>
      </c>
    </row>
    <row r="791" ht="14.25" customHeight="1">
      <c r="A791" t="s">
        <v>79</v>
      </c>
      <c r="B791" t="s">
        <v>255</v>
      </c>
      <c r="C791" t="s">
        <v>233</v>
      </c>
      <c r="D791" t="s">
        <v>9</v>
      </c>
      <c r="E791" t="s">
        <v>191</v>
      </c>
      <c r="F791" t="s">
        <v>192</v>
      </c>
      <c r="G791">
        <v>25183.705995</v>
      </c>
      <c r="H791" t="e">
        <f>IF(PNL!A791="","",_CALC_PNL!P791)</f>
        <v>#VALUE!</v>
      </c>
      <c r="I791" t="e">
        <f>IF(PNL!A791="","",IF(_CALC_PNL!E791=1,H791-G791,""))</f>
        <v>#VALUE!</v>
      </c>
    </row>
    <row r="792" ht="14.25" customHeight="1">
      <c r="A792" t="s">
        <v>79</v>
      </c>
      <c r="B792" t="s">
        <v>255</v>
      </c>
      <c r="C792" t="s">
        <v>233</v>
      </c>
      <c r="D792" t="s">
        <v>234</v>
      </c>
      <c r="E792" t="s">
        <v>191</v>
      </c>
      <c r="F792" t="s">
        <v>192</v>
      </c>
      <c r="G792">
        <v>28247.544</v>
      </c>
      <c r="H792" t="e">
        <f>IF(PNL!A792="","",_CALC_PNL!P792)</f>
        <v>#VALUE!</v>
      </c>
      <c r="I792" t="e">
        <f>IF(PNL!A792="","",IF(_CALC_PNL!E792=1,H792-G792,""))</f>
        <v>#VALUE!</v>
      </c>
    </row>
    <row r="793" ht="14.25" customHeight="1">
      <c r="A793" t="s">
        <v>81</v>
      </c>
      <c r="B793" t="s">
        <v>255</v>
      </c>
      <c r="C793" t="s">
        <v>233</v>
      </c>
      <c r="D793" t="s">
        <v>231</v>
      </c>
      <c r="E793" t="s">
        <v>191</v>
      </c>
      <c r="F793" t="s">
        <v>192</v>
      </c>
      <c r="G793">
        <v>23300.1252</v>
      </c>
      <c r="H793" t="e">
        <f>IF(PNL!A793="","",_CALC_PNL!P793)</f>
        <v>#VALUE!</v>
      </c>
      <c r="I793" t="e">
        <f>IF(PNL!A793="","",IF(_CALC_PNL!E793=1,H793-G793,""))</f>
        <v>#VALUE!</v>
      </c>
    </row>
    <row r="794" ht="14.25" customHeight="1">
      <c r="A794" t="s">
        <v>81</v>
      </c>
      <c r="B794" t="s">
        <v>255</v>
      </c>
      <c r="C794" t="s">
        <v>233</v>
      </c>
      <c r="D794" t="s">
        <v>9</v>
      </c>
      <c r="E794" t="s">
        <v>191</v>
      </c>
      <c r="F794" t="s">
        <v>192</v>
      </c>
      <c r="G794">
        <v>22035.981499</v>
      </c>
      <c r="H794" t="e">
        <f>IF(PNL!A794="","",_CALC_PNL!P794)</f>
        <v>#VALUE!</v>
      </c>
      <c r="I794" t="e">
        <f>IF(PNL!A794="","",IF(_CALC_PNL!E794=1,H794-G794,""))</f>
        <v>#VALUE!</v>
      </c>
    </row>
    <row r="795" ht="14.25" customHeight="1">
      <c r="A795" t="s">
        <v>81</v>
      </c>
      <c r="B795" t="s">
        <v>255</v>
      </c>
      <c r="C795" t="s">
        <v>233</v>
      </c>
      <c r="D795" t="s">
        <v>234</v>
      </c>
      <c r="E795" t="s">
        <v>191</v>
      </c>
      <c r="F795" t="s">
        <v>192</v>
      </c>
      <c r="G795">
        <v>24716.8688</v>
      </c>
      <c r="H795" t="e">
        <f>IF(PNL!A795="","",_CALC_PNL!P795)</f>
        <v>#VALUE!</v>
      </c>
      <c r="I795" t="e">
        <f>IF(PNL!A795="","",IF(_CALC_PNL!E795=1,H795-G795,""))</f>
        <v>#VALUE!</v>
      </c>
    </row>
    <row r="796" ht="14.25" customHeight="1">
      <c r="A796" t="s">
        <v>83</v>
      </c>
      <c r="B796" t="s">
        <v>255</v>
      </c>
      <c r="C796" t="s">
        <v>233</v>
      </c>
      <c r="D796" t="s">
        <v>231</v>
      </c>
      <c r="E796" t="s">
        <v>191</v>
      </c>
      <c r="F796" t="s">
        <v>192</v>
      </c>
      <c r="G796">
        <v>53923.32</v>
      </c>
      <c r="H796" t="e">
        <f>IF(PNL!A796="","",_CALC_PNL!P796)</f>
        <v>#VALUE!</v>
      </c>
      <c r="I796" t="e">
        <f>IF(PNL!A796="","",IF(_CALC_PNL!E796=1,H796-G796,""))</f>
        <v>#VALUE!</v>
      </c>
    </row>
    <row r="797" ht="14.25" customHeight="1">
      <c r="A797" t="s">
        <v>83</v>
      </c>
      <c r="B797" t="s">
        <v>255</v>
      </c>
      <c r="C797" t="s">
        <v>233</v>
      </c>
      <c r="D797" t="s">
        <v>9</v>
      </c>
      <c r="E797" t="s">
        <v>191</v>
      </c>
      <c r="F797" t="s">
        <v>192</v>
      </c>
      <c r="G797">
        <v>50997.7209</v>
      </c>
      <c r="H797" t="e">
        <f>IF(PNL!A797="","",_CALC_PNL!P797)</f>
        <v>#VALUE!</v>
      </c>
      <c r="I797" t="e">
        <f>IF(PNL!A797="","",IF(_CALC_PNL!E797=1,H797-G797,""))</f>
        <v>#VALUE!</v>
      </c>
    </row>
    <row r="798" ht="14.25" customHeight="1">
      <c r="A798" t="s">
        <v>83</v>
      </c>
      <c r="B798" t="s">
        <v>255</v>
      </c>
      <c r="C798" t="s">
        <v>233</v>
      </c>
      <c r="D798" t="s">
        <v>234</v>
      </c>
      <c r="E798" t="s">
        <v>191</v>
      </c>
      <c r="F798" t="s">
        <v>192</v>
      </c>
      <c r="G798">
        <v>57202.08</v>
      </c>
      <c r="H798" t="e">
        <f>IF(PNL!A798="","",_CALC_PNL!P798)</f>
        <v>#VALUE!</v>
      </c>
      <c r="I798" t="e">
        <f>IF(PNL!A798="","",IF(_CALC_PNL!E798=1,H798-G798,""))</f>
        <v>#VALUE!</v>
      </c>
    </row>
    <row r="799" ht="14.25" customHeight="1">
      <c r="A799" t="s">
        <v>84</v>
      </c>
      <c r="B799" t="s">
        <v>255</v>
      </c>
      <c r="C799" t="s">
        <v>233</v>
      </c>
      <c r="D799" t="s">
        <v>231</v>
      </c>
      <c r="E799" t="s">
        <v>191</v>
      </c>
      <c r="F799" t="s">
        <v>192</v>
      </c>
      <c r="G799">
        <v>20415.1266</v>
      </c>
      <c r="H799" t="e">
        <f>IF(PNL!A799="","",_CALC_PNL!P799)</f>
        <v>#VALUE!</v>
      </c>
      <c r="I799" t="e">
        <f>IF(PNL!A799="","",IF(_CALC_PNL!E799=1,H799-G799,""))</f>
        <v>#VALUE!</v>
      </c>
    </row>
    <row r="800" ht="14.25" customHeight="1">
      <c r="A800" t="s">
        <v>84</v>
      </c>
      <c r="B800" t="s">
        <v>255</v>
      </c>
      <c r="C800" t="s">
        <v>233</v>
      </c>
      <c r="D800" t="s">
        <v>9</v>
      </c>
      <c r="E800" t="s">
        <v>191</v>
      </c>
      <c r="F800" t="s">
        <v>192</v>
      </c>
      <c r="G800">
        <v>19307.5079295</v>
      </c>
      <c r="H800" t="e">
        <f>IF(PNL!A800="","",_CALC_PNL!P800)</f>
        <v>#VALUE!</v>
      </c>
      <c r="I800" t="e">
        <f>IF(PNL!A800="","",IF(_CALC_PNL!E800=1,H800-G800,""))</f>
        <v>#VALUE!</v>
      </c>
    </row>
    <row r="801" ht="14.25" customHeight="1">
      <c r="A801" t="s">
        <v>84</v>
      </c>
      <c r="B801" t="s">
        <v>255</v>
      </c>
      <c r="C801" t="s">
        <v>233</v>
      </c>
      <c r="D801" t="s">
        <v>234</v>
      </c>
      <c r="E801" t="s">
        <v>191</v>
      </c>
      <c r="F801" t="s">
        <v>192</v>
      </c>
      <c r="G801">
        <v>21656.4504</v>
      </c>
      <c r="H801" t="e">
        <f>IF(PNL!A801="","",_CALC_PNL!P801)</f>
        <v>#VALUE!</v>
      </c>
      <c r="I801" t="e">
        <f>IF(PNL!A801="","",IF(_CALC_PNL!E801=1,H801-G801,""))</f>
        <v>#VALUE!</v>
      </c>
    </row>
    <row r="802" ht="14.25" customHeight="1">
      <c r="A802" t="s">
        <v>86</v>
      </c>
      <c r="B802" t="s">
        <v>255</v>
      </c>
      <c r="C802" t="s">
        <v>233</v>
      </c>
      <c r="D802" t="s">
        <v>231</v>
      </c>
      <c r="E802" t="s">
        <v>191</v>
      </c>
      <c r="F802" t="s">
        <v>192</v>
      </c>
      <c r="G802">
        <v>19971.8244</v>
      </c>
      <c r="H802" t="e">
        <f>IF(PNL!A802="","",_CALC_PNL!P802)</f>
        <v>#VALUE!</v>
      </c>
      <c r="I802" t="e">
        <f>IF(PNL!A802="","",IF(_CALC_PNL!E802=1,H802-G802,""))</f>
        <v>#VALUE!</v>
      </c>
    </row>
    <row r="803" ht="14.25" customHeight="1">
      <c r="A803" t="s">
        <v>86</v>
      </c>
      <c r="B803" t="s">
        <v>255</v>
      </c>
      <c r="C803" t="s">
        <v>233</v>
      </c>
      <c r="D803" t="s">
        <v>9</v>
      </c>
      <c r="E803" t="s">
        <v>191</v>
      </c>
      <c r="F803" t="s">
        <v>192</v>
      </c>
      <c r="G803">
        <v>18888.257003</v>
      </c>
      <c r="H803" t="e">
        <f>IF(PNL!A803="","",_CALC_PNL!P803)</f>
        <v>#VALUE!</v>
      </c>
      <c r="I803" t="e">
        <f>IF(PNL!A803="","",IF(_CALC_PNL!E803=1,H803-G803,""))</f>
        <v>#VALUE!</v>
      </c>
    </row>
    <row r="804" ht="14.25" customHeight="1">
      <c r="A804" t="s">
        <v>86</v>
      </c>
      <c r="B804" t="s">
        <v>255</v>
      </c>
      <c r="C804" t="s">
        <v>233</v>
      </c>
      <c r="D804" t="s">
        <v>234</v>
      </c>
      <c r="E804" t="s">
        <v>191</v>
      </c>
      <c r="F804" t="s">
        <v>192</v>
      </c>
      <c r="G804">
        <v>21186.1936</v>
      </c>
      <c r="H804" t="e">
        <f>IF(PNL!A804="","",_CALC_PNL!P804)</f>
        <v>#VALUE!</v>
      </c>
      <c r="I804" t="e">
        <f>IF(PNL!A804="","",IF(_CALC_PNL!E804=1,H804-G804,""))</f>
        <v>#VALUE!</v>
      </c>
    </row>
    <row r="805" ht="14.25" customHeight="1">
      <c r="A805" t="s">
        <v>88</v>
      </c>
      <c r="B805" t="s">
        <v>255</v>
      </c>
      <c r="C805" t="s">
        <v>233</v>
      </c>
      <c r="D805" t="s">
        <v>231</v>
      </c>
      <c r="E805" t="s">
        <v>191</v>
      </c>
      <c r="F805" t="s">
        <v>192</v>
      </c>
      <c r="G805">
        <v>13314.213</v>
      </c>
      <c r="H805" t="e">
        <f>IF(PNL!A805="","",_CALC_PNL!P805)</f>
        <v>#VALUE!</v>
      </c>
      <c r="I805" t="e">
        <f>IF(PNL!A805="","",IF(_CALC_PNL!E805=1,H805-G805,""))</f>
        <v>#VALUE!</v>
      </c>
    </row>
    <row r="806" ht="14.25" customHeight="1">
      <c r="A806" t="s">
        <v>88</v>
      </c>
      <c r="B806" t="s">
        <v>255</v>
      </c>
      <c r="C806" t="s">
        <v>233</v>
      </c>
      <c r="D806" t="s">
        <v>9</v>
      </c>
      <c r="E806" t="s">
        <v>191</v>
      </c>
      <c r="F806" t="s">
        <v>192</v>
      </c>
      <c r="G806">
        <v>12591.8529975</v>
      </c>
      <c r="H806" t="e">
        <f>IF(PNL!A806="","",_CALC_PNL!P806)</f>
        <v>#VALUE!</v>
      </c>
      <c r="I806" t="e">
        <f>IF(PNL!A806="","",IF(_CALC_PNL!E806=1,H806-G806,""))</f>
        <v>#VALUE!</v>
      </c>
    </row>
    <row r="807" ht="14.25" customHeight="1">
      <c r="A807" t="s">
        <v>88</v>
      </c>
      <c r="B807" t="s">
        <v>255</v>
      </c>
      <c r="C807" t="s">
        <v>233</v>
      </c>
      <c r="D807" t="s">
        <v>234</v>
      </c>
      <c r="E807" t="s">
        <v>191</v>
      </c>
      <c r="F807" t="s">
        <v>192</v>
      </c>
      <c r="G807">
        <v>14123.772</v>
      </c>
      <c r="H807" t="e">
        <f>IF(PNL!A807="","",_CALC_PNL!P807)</f>
        <v>#VALUE!</v>
      </c>
      <c r="I807" t="e">
        <f>IF(PNL!A807="","",IF(_CALC_PNL!E807=1,H807-G807,""))</f>
        <v>#VALUE!</v>
      </c>
    </row>
    <row r="808" ht="14.25" customHeight="1">
      <c r="A808" t="s">
        <v>90</v>
      </c>
      <c r="B808" t="s">
        <v>255</v>
      </c>
      <c r="C808" t="s">
        <v>233</v>
      </c>
      <c r="D808" t="s">
        <v>231</v>
      </c>
      <c r="E808" t="s">
        <v>191</v>
      </c>
      <c r="F808" t="s">
        <v>192</v>
      </c>
      <c r="G808">
        <v>11716.7094</v>
      </c>
      <c r="H808" t="e">
        <f>IF(PNL!A808="","",_CALC_PNL!P808)</f>
        <v>#VALUE!</v>
      </c>
      <c r="I808" t="e">
        <f>IF(PNL!A808="","",IF(_CALC_PNL!E808=1,H808-G808,""))</f>
        <v>#VALUE!</v>
      </c>
    </row>
    <row r="809" ht="14.25" customHeight="1">
      <c r="A809" t="s">
        <v>90</v>
      </c>
      <c r="B809" t="s">
        <v>255</v>
      </c>
      <c r="C809" t="s">
        <v>233</v>
      </c>
      <c r="D809" t="s">
        <v>9</v>
      </c>
      <c r="E809" t="s">
        <v>191</v>
      </c>
      <c r="F809" t="s">
        <v>192</v>
      </c>
      <c r="G809">
        <v>11081.0216405</v>
      </c>
      <c r="H809" t="e">
        <f>IF(PNL!A809="","",_CALC_PNL!P809)</f>
        <v>#VALUE!</v>
      </c>
      <c r="I809" t="e">
        <f>IF(PNL!A809="","",IF(_CALC_PNL!E809=1,H809-G809,""))</f>
        <v>#VALUE!</v>
      </c>
    </row>
    <row r="810" ht="14.25" customHeight="1">
      <c r="A810" t="s">
        <v>90</v>
      </c>
      <c r="B810" t="s">
        <v>255</v>
      </c>
      <c r="C810" t="s">
        <v>233</v>
      </c>
      <c r="D810" t="s">
        <v>234</v>
      </c>
      <c r="E810" t="s">
        <v>191</v>
      </c>
      <c r="F810" t="s">
        <v>192</v>
      </c>
      <c r="G810">
        <v>12429.1336</v>
      </c>
      <c r="H810" t="e">
        <f>IF(PNL!A810="","",_CALC_PNL!P810)</f>
        <v>#VALUE!</v>
      </c>
      <c r="I810" t="e">
        <f>IF(PNL!A810="","",IF(_CALC_PNL!E810=1,H810-G810,""))</f>
        <v>#VALUE!</v>
      </c>
    </row>
    <row r="811" ht="14.25" customHeight="1">
      <c r="A811" t="s">
        <v>92</v>
      </c>
      <c r="B811" t="s">
        <v>255</v>
      </c>
      <c r="C811" t="s">
        <v>233</v>
      </c>
      <c r="D811" t="s">
        <v>231</v>
      </c>
      <c r="E811" t="s">
        <v>191</v>
      </c>
      <c r="F811" t="s">
        <v>192</v>
      </c>
      <c r="G811">
        <v>11716.7094</v>
      </c>
      <c r="H811" t="e">
        <f>IF(PNL!A811="","",_CALC_PNL!P811)</f>
        <v>#VALUE!</v>
      </c>
      <c r="I811" t="e">
        <f>IF(PNL!A811="","",IF(_CALC_PNL!E811=1,H811-G811,""))</f>
        <v>#VALUE!</v>
      </c>
    </row>
    <row r="812" ht="14.25" customHeight="1">
      <c r="A812" t="s">
        <v>92</v>
      </c>
      <c r="B812" t="s">
        <v>255</v>
      </c>
      <c r="C812" t="s">
        <v>233</v>
      </c>
      <c r="D812" t="s">
        <v>9</v>
      </c>
      <c r="E812" t="s">
        <v>191</v>
      </c>
      <c r="F812" t="s">
        <v>192</v>
      </c>
      <c r="G812">
        <v>11081.0216405</v>
      </c>
      <c r="H812" t="e">
        <f>IF(PNL!A812="","",_CALC_PNL!P812)</f>
        <v>#VALUE!</v>
      </c>
      <c r="I812" t="e">
        <f>IF(PNL!A812="","",IF(_CALC_PNL!E812=1,H812-G812,""))</f>
        <v>#VALUE!</v>
      </c>
    </row>
    <row r="813" ht="14.25" customHeight="1">
      <c r="A813" t="s">
        <v>92</v>
      </c>
      <c r="B813" t="s">
        <v>255</v>
      </c>
      <c r="C813" t="s">
        <v>233</v>
      </c>
      <c r="D813" t="s">
        <v>234</v>
      </c>
      <c r="E813" t="s">
        <v>191</v>
      </c>
      <c r="F813" t="s">
        <v>192</v>
      </c>
      <c r="G813">
        <v>12429.1336</v>
      </c>
      <c r="H813" t="e">
        <f>IF(PNL!A813="","",_CALC_PNL!P813)</f>
        <v>#VALUE!</v>
      </c>
      <c r="I813" t="e">
        <f>IF(PNL!A813="","",IF(_CALC_PNL!E813=1,H813-G813,""))</f>
        <v>#VALUE!</v>
      </c>
    </row>
    <row r="814" ht="14.25" customHeight="1">
      <c r="A814" t="s">
        <v>94</v>
      </c>
      <c r="B814" t="s">
        <v>255</v>
      </c>
      <c r="C814" t="s">
        <v>233</v>
      </c>
      <c r="D814" t="s">
        <v>231</v>
      </c>
      <c r="E814" t="s">
        <v>191</v>
      </c>
      <c r="F814" t="s">
        <v>192</v>
      </c>
      <c r="G814">
        <v>19882.962</v>
      </c>
      <c r="H814" t="e">
        <f>IF(PNL!A814="","",_CALC_PNL!P814)</f>
        <v>#VALUE!</v>
      </c>
      <c r="I814" t="e">
        <f>IF(PNL!A814="","",IF(_CALC_PNL!E814=1,H814-G814,""))</f>
        <v>#VALUE!</v>
      </c>
    </row>
    <row r="815" ht="14.25" customHeight="1">
      <c r="A815" t="s">
        <v>94</v>
      </c>
      <c r="B815" t="s">
        <v>255</v>
      </c>
      <c r="C815" t="s">
        <v>233</v>
      </c>
      <c r="D815" t="s">
        <v>9</v>
      </c>
      <c r="E815" t="s">
        <v>191</v>
      </c>
      <c r="F815" t="s">
        <v>192</v>
      </c>
      <c r="G815">
        <v>18804.215815</v>
      </c>
      <c r="H815" t="e">
        <f>IF(PNL!A815="","",_CALC_PNL!P815)</f>
        <v>#VALUE!</v>
      </c>
      <c r="I815" t="e">
        <f>IF(PNL!A815="","",IF(_CALC_PNL!E815=1,H815-G815,""))</f>
        <v>#VALUE!</v>
      </c>
    </row>
    <row r="816" ht="14.25" customHeight="1">
      <c r="A816" t="s">
        <v>94</v>
      </c>
      <c r="B816" t="s">
        <v>255</v>
      </c>
      <c r="C816" t="s">
        <v>233</v>
      </c>
      <c r="D816" t="s">
        <v>234</v>
      </c>
      <c r="E816" t="s">
        <v>191</v>
      </c>
      <c r="F816" t="s">
        <v>192</v>
      </c>
      <c r="G816">
        <v>21091.928</v>
      </c>
      <c r="H816" t="e">
        <f>IF(PNL!A816="","",_CALC_PNL!P816)</f>
        <v>#VALUE!</v>
      </c>
      <c r="I816" t="e">
        <f>IF(PNL!A816="","",IF(_CALC_PNL!E816=1,H816-G816,""))</f>
        <v>#VALUE!</v>
      </c>
    </row>
    <row r="817" ht="14.25" customHeight="1">
      <c r="A817" t="s">
        <v>95</v>
      </c>
      <c r="B817" t="s">
        <v>255</v>
      </c>
      <c r="C817" t="s">
        <v>233</v>
      </c>
      <c r="D817" t="s">
        <v>231</v>
      </c>
      <c r="E817" t="s">
        <v>191</v>
      </c>
      <c r="F817" t="s">
        <v>192</v>
      </c>
      <c r="G817">
        <v>18639.8982</v>
      </c>
      <c r="H817" t="e">
        <f>IF(PNL!A817="","",_CALC_PNL!P817)</f>
        <v>#VALUE!</v>
      </c>
      <c r="I817" t="e">
        <f>IF(PNL!A817="","",IF(_CALC_PNL!E817=1,H817-G817,""))</f>
        <v>#VALUE!</v>
      </c>
    </row>
    <row r="818" ht="14.25" customHeight="1">
      <c r="A818" t="s">
        <v>95</v>
      </c>
      <c r="B818" t="s">
        <v>255</v>
      </c>
      <c r="C818" t="s">
        <v>233</v>
      </c>
      <c r="D818" t="s">
        <v>9</v>
      </c>
      <c r="E818" t="s">
        <v>191</v>
      </c>
      <c r="F818" t="s">
        <v>192</v>
      </c>
      <c r="G818">
        <v>17628.5941965</v>
      </c>
      <c r="H818" t="e">
        <f>IF(PNL!A818="","",_CALC_PNL!P818)</f>
        <v>#VALUE!</v>
      </c>
      <c r="I818" t="e">
        <f>IF(PNL!A818="","",IF(_CALC_PNL!E818=1,H818-G818,""))</f>
        <v>#VALUE!</v>
      </c>
    </row>
    <row r="819" ht="14.25" customHeight="1">
      <c r="A819" t="s">
        <v>95</v>
      </c>
      <c r="B819" t="s">
        <v>255</v>
      </c>
      <c r="C819" t="s">
        <v>233</v>
      </c>
      <c r="D819" t="s">
        <v>234</v>
      </c>
      <c r="E819" t="s">
        <v>191</v>
      </c>
      <c r="F819" t="s">
        <v>192</v>
      </c>
      <c r="G819">
        <v>19773.2808</v>
      </c>
      <c r="H819" t="e">
        <f>IF(PNL!A819="","",_CALC_PNL!P819)</f>
        <v>#VALUE!</v>
      </c>
      <c r="I819" t="e">
        <f>IF(PNL!A819="","",IF(_CALC_PNL!E819=1,H819-G819,""))</f>
        <v>#VALUE!</v>
      </c>
    </row>
    <row r="820" ht="14.25" customHeight="1">
      <c r="A820" t="s">
        <v>96</v>
      </c>
      <c r="B820" t="s">
        <v>255</v>
      </c>
      <c r="C820" t="s">
        <v>233</v>
      </c>
      <c r="D820" t="s">
        <v>231</v>
      </c>
      <c r="E820" t="s">
        <v>191</v>
      </c>
      <c r="F820" t="s">
        <v>192</v>
      </c>
      <c r="G820">
        <v>21569.328</v>
      </c>
      <c r="H820" t="e">
        <f>IF(PNL!A820="","",_CALC_PNL!P820)</f>
        <v>#VALUE!</v>
      </c>
      <c r="I820" t="e">
        <f>IF(PNL!A820="","",IF(_CALC_PNL!E820=1,H820-G820,""))</f>
        <v>#VALUE!</v>
      </c>
    </row>
    <row r="821" ht="14.25" customHeight="1">
      <c r="A821" t="s">
        <v>96</v>
      </c>
      <c r="B821" t="s">
        <v>255</v>
      </c>
      <c r="C821" t="s">
        <v>233</v>
      </c>
      <c r="D821" t="s">
        <v>9</v>
      </c>
      <c r="E821" t="s">
        <v>191</v>
      </c>
      <c r="F821" t="s">
        <v>192</v>
      </c>
      <c r="G821">
        <v>20399.08836</v>
      </c>
      <c r="H821" t="e">
        <f>IF(PNL!A821="","",_CALC_PNL!P821)</f>
        <v>#VALUE!</v>
      </c>
      <c r="I821" t="e">
        <f>IF(PNL!A821="","",IF(_CALC_PNL!E821=1,H821-G821,""))</f>
        <v>#VALUE!</v>
      </c>
    </row>
    <row r="822" ht="14.25" customHeight="1">
      <c r="A822" t="s">
        <v>96</v>
      </c>
      <c r="B822" t="s">
        <v>255</v>
      </c>
      <c r="C822" t="s">
        <v>233</v>
      </c>
      <c r="D822" t="s">
        <v>234</v>
      </c>
      <c r="E822" t="s">
        <v>191</v>
      </c>
      <c r="F822" t="s">
        <v>192</v>
      </c>
      <c r="G822">
        <v>22880.832</v>
      </c>
      <c r="H822" t="e">
        <f>IF(PNL!A822="","",_CALC_PNL!P822)</f>
        <v>#VALUE!</v>
      </c>
      <c r="I822" t="e">
        <f>IF(PNL!A822="","",IF(_CALC_PNL!E822=1,H822-G822,""))</f>
        <v>#VALUE!</v>
      </c>
    </row>
    <row r="823" ht="14.25" customHeight="1">
      <c r="A823" t="s">
        <v>97</v>
      </c>
      <c r="B823" t="s">
        <v>255</v>
      </c>
      <c r="C823" t="s">
        <v>233</v>
      </c>
      <c r="D823" t="s">
        <v>231</v>
      </c>
      <c r="E823" t="s">
        <v>191</v>
      </c>
      <c r="F823" t="s">
        <v>192</v>
      </c>
      <c r="G823">
        <v>14911.7166</v>
      </c>
      <c r="H823" t="e">
        <f>IF(PNL!A823="","",_CALC_PNL!P823)</f>
        <v>#VALUE!</v>
      </c>
      <c r="I823" t="e">
        <f>IF(PNL!A823="","",IF(_CALC_PNL!E823=1,H823-G823,""))</f>
        <v>#VALUE!</v>
      </c>
    </row>
    <row r="824" ht="14.25" customHeight="1">
      <c r="A824" t="s">
        <v>97</v>
      </c>
      <c r="B824" t="s">
        <v>255</v>
      </c>
      <c r="C824" t="s">
        <v>233</v>
      </c>
      <c r="D824" t="s">
        <v>9</v>
      </c>
      <c r="E824" t="s">
        <v>191</v>
      </c>
      <c r="F824" t="s">
        <v>192</v>
      </c>
      <c r="G824">
        <v>14102.6843545</v>
      </c>
      <c r="H824" t="e">
        <f>IF(PNL!A824="","",_CALC_PNL!P824)</f>
        <v>#VALUE!</v>
      </c>
      <c r="I824" t="e">
        <f>IF(PNL!A824="","",IF(_CALC_PNL!E824=1,H824-G824,""))</f>
        <v>#VALUE!</v>
      </c>
    </row>
    <row r="825" ht="14.25" customHeight="1">
      <c r="A825" t="s">
        <v>97</v>
      </c>
      <c r="B825" t="s">
        <v>255</v>
      </c>
      <c r="C825" t="s">
        <v>233</v>
      </c>
      <c r="D825" t="s">
        <v>234</v>
      </c>
      <c r="E825" t="s">
        <v>191</v>
      </c>
      <c r="F825" t="s">
        <v>192</v>
      </c>
      <c r="G825">
        <v>15818.4104</v>
      </c>
      <c r="H825" t="e">
        <f>IF(PNL!A825="","",_CALC_PNL!P825)</f>
        <v>#VALUE!</v>
      </c>
      <c r="I825" t="e">
        <f>IF(PNL!A825="","",IF(_CALC_PNL!E825=1,H825-G825,""))</f>
        <v>#VALUE!</v>
      </c>
    </row>
    <row r="826" ht="14.25" customHeight="1">
      <c r="A826" t="s">
        <v>75</v>
      </c>
      <c r="B826" t="s">
        <v>256</v>
      </c>
      <c r="C826" t="s">
        <v>233</v>
      </c>
      <c r="D826" t="s">
        <v>231</v>
      </c>
      <c r="E826" t="s">
        <v>191</v>
      </c>
      <c r="F826" t="s">
        <v>192</v>
      </c>
      <c r="G826">
        <v>39202.4556</v>
      </c>
      <c r="H826" t="e">
        <f>IF(PNL!A826="","",_CALC_PNL!P826)</f>
        <v>#VALUE!</v>
      </c>
      <c r="I826" t="e">
        <f>IF(PNL!A826="","",IF(_CALC_PNL!E826=1,H826-G826,""))</f>
        <v>#VALUE!</v>
      </c>
    </row>
    <row r="827" ht="14.25" customHeight="1">
      <c r="A827" t="s">
        <v>75</v>
      </c>
      <c r="B827" t="s">
        <v>256</v>
      </c>
      <c r="C827" t="s">
        <v>233</v>
      </c>
      <c r="D827" t="s">
        <v>9</v>
      </c>
      <c r="E827" t="s">
        <v>191</v>
      </c>
      <c r="F827" t="s">
        <v>192</v>
      </c>
      <c r="G827">
        <v>37075.534097</v>
      </c>
      <c r="H827" t="e">
        <f>IF(PNL!A827="","",_CALC_PNL!P827)</f>
        <v>#VALUE!</v>
      </c>
      <c r="I827" t="e">
        <f>IF(PNL!A827="","",IF(_CALC_PNL!E827=1,H827-G827,""))</f>
        <v>#VALUE!</v>
      </c>
    </row>
    <row r="828" ht="14.25" customHeight="1">
      <c r="A828" t="s">
        <v>75</v>
      </c>
      <c r="B828" t="s">
        <v>256</v>
      </c>
      <c r="C828" t="s">
        <v>233</v>
      </c>
      <c r="D828" t="s">
        <v>234</v>
      </c>
      <c r="E828" t="s">
        <v>191</v>
      </c>
      <c r="F828" t="s">
        <v>192</v>
      </c>
      <c r="G828">
        <v>41586.1264</v>
      </c>
      <c r="H828" t="e">
        <f>IF(PNL!A828="","",_CALC_PNL!P828)</f>
        <v>#VALUE!</v>
      </c>
      <c r="I828" t="e">
        <f>IF(PNL!A828="","",IF(_CALC_PNL!E828=1,H828-G828,""))</f>
        <v>#VALUE!</v>
      </c>
    </row>
    <row r="829" ht="14.25" customHeight="1">
      <c r="A829" t="s">
        <v>77</v>
      </c>
      <c r="B829" t="s">
        <v>256</v>
      </c>
      <c r="C829" t="s">
        <v>233</v>
      </c>
      <c r="D829" t="s">
        <v>231</v>
      </c>
      <c r="E829" t="s">
        <v>191</v>
      </c>
      <c r="F829" t="s">
        <v>192</v>
      </c>
      <c r="G829">
        <v>22988.097</v>
      </c>
      <c r="H829" t="e">
        <f>IF(PNL!A829="","",_CALC_PNL!P829)</f>
        <v>#VALUE!</v>
      </c>
      <c r="I829" t="e">
        <f>IF(PNL!A829="","",IF(_CALC_PNL!E829=1,H829-G829,""))</f>
        <v>#VALUE!</v>
      </c>
    </row>
    <row r="830" ht="14.25" customHeight="1">
      <c r="A830" t="s">
        <v>77</v>
      </c>
      <c r="B830" t="s">
        <v>256</v>
      </c>
      <c r="C830" t="s">
        <v>233</v>
      </c>
      <c r="D830" t="s">
        <v>9</v>
      </c>
      <c r="E830" t="s">
        <v>191</v>
      </c>
      <c r="F830" t="s">
        <v>192</v>
      </c>
      <c r="G830">
        <v>21740.8823275</v>
      </c>
      <c r="H830" t="e">
        <f>IF(PNL!A830="","",_CALC_PNL!P830)</f>
        <v>#VALUE!</v>
      </c>
      <c r="I830" t="e">
        <f>IF(PNL!A830="","",IF(_CALC_PNL!E830=1,H830-G830,""))</f>
        <v>#VALUE!</v>
      </c>
    </row>
    <row r="831" ht="14.25" customHeight="1">
      <c r="A831" t="s">
        <v>77</v>
      </c>
      <c r="B831" t="s">
        <v>256</v>
      </c>
      <c r="C831" t="s">
        <v>233</v>
      </c>
      <c r="D831" t="s">
        <v>234</v>
      </c>
      <c r="E831" t="s">
        <v>191</v>
      </c>
      <c r="F831" t="s">
        <v>192</v>
      </c>
      <c r="G831">
        <v>24385.868</v>
      </c>
      <c r="H831" t="e">
        <f>IF(PNL!A831="","",_CALC_PNL!P831)</f>
        <v>#VALUE!</v>
      </c>
      <c r="I831" t="e">
        <f>IF(PNL!A831="","",IF(_CALC_PNL!E831=1,H831-G831,""))</f>
        <v>#VALUE!</v>
      </c>
    </row>
    <row r="832" ht="14.25" customHeight="1">
      <c r="A832" t="s">
        <v>79</v>
      </c>
      <c r="B832" t="s">
        <v>256</v>
      </c>
      <c r="C832" t="s">
        <v>233</v>
      </c>
      <c r="D832" t="s">
        <v>231</v>
      </c>
      <c r="E832" t="s">
        <v>191</v>
      </c>
      <c r="F832" t="s">
        <v>192</v>
      </c>
      <c r="G832">
        <v>18624.7512</v>
      </c>
      <c r="H832" t="e">
        <f>IF(PNL!A832="","",_CALC_PNL!P832)</f>
        <v>#VALUE!</v>
      </c>
      <c r="I832" t="e">
        <f>IF(PNL!A832="","",IF(_CALC_PNL!E832=1,H832-G832,""))</f>
        <v>#VALUE!</v>
      </c>
    </row>
    <row r="833" ht="14.25" customHeight="1">
      <c r="A833" t="s">
        <v>79</v>
      </c>
      <c r="B833" t="s">
        <v>256</v>
      </c>
      <c r="C833" t="s">
        <v>233</v>
      </c>
      <c r="D833" t="s">
        <v>9</v>
      </c>
      <c r="E833" t="s">
        <v>191</v>
      </c>
      <c r="F833" t="s">
        <v>192</v>
      </c>
      <c r="G833">
        <v>17614.268994</v>
      </c>
      <c r="H833" t="e">
        <f>IF(PNL!A833="","",_CALC_PNL!P833)</f>
        <v>#VALUE!</v>
      </c>
      <c r="I833" t="e">
        <f>IF(PNL!A833="","",IF(_CALC_PNL!E833=1,H833-G833,""))</f>
        <v>#VALUE!</v>
      </c>
    </row>
    <row r="834" ht="14.25" customHeight="1">
      <c r="A834" t="s">
        <v>79</v>
      </c>
      <c r="B834" t="s">
        <v>256</v>
      </c>
      <c r="C834" t="s">
        <v>233</v>
      </c>
      <c r="D834" t="s">
        <v>234</v>
      </c>
      <c r="E834" t="s">
        <v>191</v>
      </c>
      <c r="F834" t="s">
        <v>192</v>
      </c>
      <c r="G834">
        <v>19757.2128</v>
      </c>
      <c r="H834" t="e">
        <f>IF(PNL!A834="","",_CALC_PNL!P834)</f>
        <v>#VALUE!</v>
      </c>
      <c r="I834" t="e">
        <f>IF(PNL!A834="","",IF(_CALC_PNL!E834=1,H834-G834,""))</f>
        <v>#VALUE!</v>
      </c>
    </row>
    <row r="835" ht="14.25" customHeight="1">
      <c r="A835" t="s">
        <v>81</v>
      </c>
      <c r="B835" t="s">
        <v>256</v>
      </c>
      <c r="C835" t="s">
        <v>233</v>
      </c>
      <c r="D835" t="s">
        <v>231</v>
      </c>
      <c r="E835" t="s">
        <v>191</v>
      </c>
      <c r="F835" t="s">
        <v>192</v>
      </c>
      <c r="G835">
        <v>16562.7396</v>
      </c>
      <c r="H835" t="e">
        <f>IF(PNL!A835="","",_CALC_PNL!P835)</f>
        <v>#VALUE!</v>
      </c>
      <c r="I835" t="e">
        <f>IF(PNL!A835="","",IF(_CALC_PNL!E835=1,H835-G835,""))</f>
        <v>#VALUE!</v>
      </c>
    </row>
    <row r="836" ht="14.25" customHeight="1">
      <c r="A836" t="s">
        <v>81</v>
      </c>
      <c r="B836" t="s">
        <v>256</v>
      </c>
      <c r="C836" t="s">
        <v>233</v>
      </c>
      <c r="D836" t="s">
        <v>9</v>
      </c>
      <c r="E836" t="s">
        <v>191</v>
      </c>
      <c r="F836" t="s">
        <v>192</v>
      </c>
      <c r="G836">
        <v>15664.131427</v>
      </c>
      <c r="H836" t="e">
        <f>IF(PNL!A836="","",_CALC_PNL!P836)</f>
        <v>#VALUE!</v>
      </c>
      <c r="I836" t="e">
        <f>IF(PNL!A836="","",IF(_CALC_PNL!E836=1,H836-G836,""))</f>
        <v>#VALUE!</v>
      </c>
    </row>
    <row r="837" ht="14.25" customHeight="1">
      <c r="A837" t="s">
        <v>81</v>
      </c>
      <c r="B837" t="s">
        <v>256</v>
      </c>
      <c r="C837" t="s">
        <v>233</v>
      </c>
      <c r="D837" t="s">
        <v>234</v>
      </c>
      <c r="E837" t="s">
        <v>191</v>
      </c>
      <c r="F837" t="s">
        <v>192</v>
      </c>
      <c r="G837">
        <v>17569.8224</v>
      </c>
      <c r="H837" t="e">
        <f>IF(PNL!A837="","",_CALC_PNL!P837)</f>
        <v>#VALUE!</v>
      </c>
      <c r="I837" t="e">
        <f>IF(PNL!A837="","",IF(_CALC_PNL!E837=1,H837-G837,""))</f>
        <v>#VALUE!</v>
      </c>
    </row>
    <row r="838" ht="14.25" customHeight="1">
      <c r="A838" t="s">
        <v>83</v>
      </c>
      <c r="B838" t="s">
        <v>256</v>
      </c>
      <c r="C838" t="s">
        <v>233</v>
      </c>
      <c r="D838" t="s">
        <v>231</v>
      </c>
      <c r="E838" t="s">
        <v>191</v>
      </c>
      <c r="F838" t="s">
        <v>192</v>
      </c>
      <c r="G838">
        <v>36329.5746</v>
      </c>
      <c r="H838" t="e">
        <f>IF(PNL!A838="","",_CALC_PNL!P838)</f>
        <v>#VALUE!</v>
      </c>
      <c r="I838" t="e">
        <f>IF(PNL!A838="","",IF(_CALC_PNL!E838=1,H838-G838,""))</f>
        <v>#VALUE!</v>
      </c>
    </row>
    <row r="839" ht="14.25" customHeight="1">
      <c r="A839" t="s">
        <v>83</v>
      </c>
      <c r="B839" t="s">
        <v>256</v>
      </c>
      <c r="C839" t="s">
        <v>233</v>
      </c>
      <c r="D839" t="s">
        <v>9</v>
      </c>
      <c r="E839" t="s">
        <v>191</v>
      </c>
      <c r="F839" t="s">
        <v>192</v>
      </c>
      <c r="G839">
        <v>34358.5206895</v>
      </c>
      <c r="H839" t="e">
        <f>IF(PNL!A839="","",_CALC_PNL!P839)</f>
        <v>#VALUE!</v>
      </c>
      <c r="I839" t="e">
        <f>IF(PNL!A839="","",IF(_CALC_PNL!E839=1,H839-G839,""))</f>
        <v>#VALUE!</v>
      </c>
    </row>
    <row r="840" ht="14.25" customHeight="1">
      <c r="A840" t="s">
        <v>83</v>
      </c>
      <c r="B840" t="s">
        <v>256</v>
      </c>
      <c r="C840" t="s">
        <v>233</v>
      </c>
      <c r="D840" t="s">
        <v>234</v>
      </c>
      <c r="E840" t="s">
        <v>191</v>
      </c>
      <c r="F840" t="s">
        <v>192</v>
      </c>
      <c r="G840">
        <v>38538.5624</v>
      </c>
      <c r="H840" t="e">
        <f>IF(PNL!A840="","",_CALC_PNL!P840)</f>
        <v>#VALUE!</v>
      </c>
      <c r="I840" t="e">
        <f>IF(PNL!A840="","",IF(_CALC_PNL!E840=1,H840-G840,""))</f>
        <v>#VALUE!</v>
      </c>
    </row>
    <row r="841" ht="14.25" customHeight="1">
      <c r="A841" t="s">
        <v>84</v>
      </c>
      <c r="B841" t="s">
        <v>256</v>
      </c>
      <c r="C841" t="s">
        <v>233</v>
      </c>
      <c r="D841" t="s">
        <v>231</v>
      </c>
      <c r="E841" t="s">
        <v>191</v>
      </c>
      <c r="F841" t="s">
        <v>192</v>
      </c>
      <c r="G841">
        <v>14221.0134</v>
      </c>
      <c r="H841" t="e">
        <f>IF(PNL!A841="","",_CALC_PNL!P841)</f>
        <v>#VALUE!</v>
      </c>
      <c r="I841" t="e">
        <f>IF(PNL!A841="","",IF(_CALC_PNL!E841=1,H841-G841,""))</f>
        <v>#VALUE!</v>
      </c>
    </row>
    <row r="842" ht="14.25" customHeight="1">
      <c r="A842" t="s">
        <v>84</v>
      </c>
      <c r="B842" t="s">
        <v>256</v>
      </c>
      <c r="C842" t="s">
        <v>233</v>
      </c>
      <c r="D842" t="s">
        <v>9</v>
      </c>
      <c r="E842" t="s">
        <v>191</v>
      </c>
      <c r="F842" t="s">
        <v>192</v>
      </c>
      <c r="G842">
        <v>13449.4551205</v>
      </c>
      <c r="H842" t="e">
        <f>IF(PNL!A842="","",_CALC_PNL!P842)</f>
        <v>#VALUE!</v>
      </c>
      <c r="I842" t="e">
        <f>IF(PNL!A842="","",IF(_CALC_PNL!E842=1,H842-G842,""))</f>
        <v>#VALUE!</v>
      </c>
    </row>
    <row r="843" ht="14.25" customHeight="1">
      <c r="A843" t="s">
        <v>84</v>
      </c>
      <c r="B843" t="s">
        <v>256</v>
      </c>
      <c r="C843" t="s">
        <v>233</v>
      </c>
      <c r="D843" t="s">
        <v>234</v>
      </c>
      <c r="E843" t="s">
        <v>191</v>
      </c>
      <c r="F843" t="s">
        <v>192</v>
      </c>
      <c r="G843">
        <v>15085.7096</v>
      </c>
      <c r="H843" t="e">
        <f>IF(PNL!A843="","",_CALC_PNL!P843)</f>
        <v>#VALUE!</v>
      </c>
      <c r="I843" t="e">
        <f>IF(PNL!A843="","",IF(_CALC_PNL!E843=1,H843-G843,""))</f>
        <v>#VALUE!</v>
      </c>
    </row>
    <row r="844" ht="14.25" customHeight="1">
      <c r="A844" t="s">
        <v>86</v>
      </c>
      <c r="B844" t="s">
        <v>256</v>
      </c>
      <c r="C844" t="s">
        <v>233</v>
      </c>
      <c r="D844" t="s">
        <v>231</v>
      </c>
      <c r="E844" t="s">
        <v>191</v>
      </c>
      <c r="F844" t="s">
        <v>192</v>
      </c>
      <c r="G844">
        <v>13169.8116</v>
      </c>
      <c r="H844" t="e">
        <f>IF(PNL!A844="","",_CALC_PNL!P844)</f>
        <v>#VALUE!</v>
      </c>
      <c r="I844" t="e">
        <f>IF(PNL!A844="","",IF(_CALC_PNL!E844=1,H844-G844,""))</f>
        <v>#VALUE!</v>
      </c>
    </row>
    <row r="845" ht="14.25" customHeight="1">
      <c r="A845" t="s">
        <v>86</v>
      </c>
      <c r="B845" t="s">
        <v>256</v>
      </c>
      <c r="C845" t="s">
        <v>233</v>
      </c>
      <c r="D845" t="s">
        <v>9</v>
      </c>
      <c r="E845" t="s">
        <v>191</v>
      </c>
      <c r="F845" t="s">
        <v>192</v>
      </c>
      <c r="G845">
        <v>12455.286067</v>
      </c>
      <c r="H845" t="e">
        <f>IF(PNL!A845="","",_CALC_PNL!P845)</f>
        <v>#VALUE!</v>
      </c>
      <c r="I845" t="e">
        <f>IF(PNL!A845="","",IF(_CALC_PNL!E845=1,H845-G845,""))</f>
        <v>#VALUE!</v>
      </c>
    </row>
    <row r="846" ht="14.25" customHeight="1">
      <c r="A846" t="s">
        <v>86</v>
      </c>
      <c r="B846" t="s">
        <v>256</v>
      </c>
      <c r="C846" t="s">
        <v>233</v>
      </c>
      <c r="D846" t="s">
        <v>234</v>
      </c>
      <c r="E846" t="s">
        <v>191</v>
      </c>
      <c r="F846" t="s">
        <v>192</v>
      </c>
      <c r="G846">
        <v>13970.5904</v>
      </c>
      <c r="H846" t="e">
        <f>IF(PNL!A846="","",_CALC_PNL!P846)</f>
        <v>#VALUE!</v>
      </c>
      <c r="I846" t="e">
        <f>IF(PNL!A846="","",IF(_CALC_PNL!E846=1,H846-G846,""))</f>
        <v>#VALUE!</v>
      </c>
    </row>
    <row r="847" ht="14.25" customHeight="1">
      <c r="A847" t="s">
        <v>88</v>
      </c>
      <c r="B847" t="s">
        <v>256</v>
      </c>
      <c r="C847" t="s">
        <v>233</v>
      </c>
      <c r="D847" t="s">
        <v>231</v>
      </c>
      <c r="E847" t="s">
        <v>191</v>
      </c>
      <c r="F847" t="s">
        <v>192</v>
      </c>
      <c r="G847">
        <v>9185.1408</v>
      </c>
      <c r="H847" t="e">
        <f>IF(PNL!A847="","",_CALC_PNL!P847)</f>
        <v>#VALUE!</v>
      </c>
      <c r="I847" t="e">
        <f>IF(PNL!A847="","",IF(_CALC_PNL!E847=1,H847-G847,""))</f>
        <v>#VALUE!</v>
      </c>
    </row>
    <row r="848" ht="14.25" customHeight="1">
      <c r="A848" t="s">
        <v>88</v>
      </c>
      <c r="B848" t="s">
        <v>256</v>
      </c>
      <c r="C848" t="s">
        <v>233</v>
      </c>
      <c r="D848" t="s">
        <v>9</v>
      </c>
      <c r="E848" t="s">
        <v>191</v>
      </c>
      <c r="F848" t="s">
        <v>192</v>
      </c>
      <c r="G848">
        <v>8686.802796</v>
      </c>
      <c r="H848" t="e">
        <f>IF(PNL!A848="","",_CALC_PNL!P848)</f>
        <v>#VALUE!</v>
      </c>
      <c r="I848" t="e">
        <f>IF(PNL!A848="","",IF(_CALC_PNL!E848=1,H848-G848,""))</f>
        <v>#VALUE!</v>
      </c>
    </row>
    <row r="849" ht="14.25" customHeight="1">
      <c r="A849" t="s">
        <v>88</v>
      </c>
      <c r="B849" t="s">
        <v>256</v>
      </c>
      <c r="C849" t="s">
        <v>233</v>
      </c>
      <c r="D849" t="s">
        <v>234</v>
      </c>
      <c r="E849" t="s">
        <v>191</v>
      </c>
      <c r="F849" t="s">
        <v>192</v>
      </c>
      <c r="G849">
        <v>9743.6352</v>
      </c>
      <c r="H849" t="e">
        <f>IF(PNL!A849="","",_CALC_PNL!P849)</f>
        <v>#VALUE!</v>
      </c>
      <c r="I849" t="e">
        <f>IF(PNL!A849="","",IF(_CALC_PNL!E849=1,H849-G849,""))</f>
        <v>#VALUE!</v>
      </c>
    </row>
    <row r="850" ht="14.25" customHeight="1">
      <c r="A850" t="s">
        <v>90</v>
      </c>
      <c r="B850" t="s">
        <v>256</v>
      </c>
      <c r="C850" t="s">
        <v>233</v>
      </c>
      <c r="D850" t="s">
        <v>231</v>
      </c>
      <c r="E850" t="s">
        <v>191</v>
      </c>
      <c r="F850" t="s">
        <v>192</v>
      </c>
      <c r="G850">
        <v>6522.2982</v>
      </c>
      <c r="H850" t="e">
        <f>IF(PNL!A850="","",_CALC_PNL!P850)</f>
        <v>#VALUE!</v>
      </c>
      <c r="I850" t="e">
        <f>IF(PNL!A850="","",IF(_CALC_PNL!E850=1,H850-G850,""))</f>
        <v>#VALUE!</v>
      </c>
    </row>
    <row r="851" ht="14.25" customHeight="1">
      <c r="A851" t="s">
        <v>90</v>
      </c>
      <c r="B851" t="s">
        <v>256</v>
      </c>
      <c r="C851" t="s">
        <v>233</v>
      </c>
      <c r="D851" t="s">
        <v>9</v>
      </c>
      <c r="E851" t="s">
        <v>191</v>
      </c>
      <c r="F851" t="s">
        <v>192</v>
      </c>
      <c r="G851">
        <v>6168.4321965</v>
      </c>
      <c r="H851" t="e">
        <f>IF(PNL!A851="","",_CALC_PNL!P851)</f>
        <v>#VALUE!</v>
      </c>
      <c r="I851" t="e">
        <f>IF(PNL!A851="","",IF(_CALC_PNL!E851=1,H851-G851,""))</f>
        <v>#VALUE!</v>
      </c>
    </row>
    <row r="852" ht="14.25" customHeight="1">
      <c r="A852" t="s">
        <v>90</v>
      </c>
      <c r="B852" t="s">
        <v>256</v>
      </c>
      <c r="C852" t="s">
        <v>233</v>
      </c>
      <c r="D852" t="s">
        <v>234</v>
      </c>
      <c r="E852" t="s">
        <v>191</v>
      </c>
      <c r="F852" t="s">
        <v>192</v>
      </c>
      <c r="G852">
        <v>6918.8808</v>
      </c>
      <c r="H852" t="e">
        <f>IF(PNL!A852="","",_CALC_PNL!P852)</f>
        <v>#VALUE!</v>
      </c>
      <c r="I852" t="e">
        <f>IF(PNL!A852="","",IF(_CALC_PNL!E852=1,H852-G852,""))</f>
        <v>#VALUE!</v>
      </c>
    </row>
    <row r="853" ht="14.25" customHeight="1">
      <c r="A853" t="s">
        <v>92</v>
      </c>
      <c r="B853" t="s">
        <v>256</v>
      </c>
      <c r="C853" t="s">
        <v>233</v>
      </c>
      <c r="D853" t="s">
        <v>231</v>
      </c>
      <c r="E853" t="s">
        <v>191</v>
      </c>
      <c r="F853" t="s">
        <v>192</v>
      </c>
      <c r="G853">
        <v>6522.2982</v>
      </c>
      <c r="H853" t="e">
        <f>IF(PNL!A853="","",_CALC_PNL!P853)</f>
        <v>#VALUE!</v>
      </c>
      <c r="I853" t="e">
        <f>IF(PNL!A853="","",IF(_CALC_PNL!E853=1,H853-G853,""))</f>
        <v>#VALUE!</v>
      </c>
    </row>
    <row r="854" ht="14.25" customHeight="1">
      <c r="A854" t="s">
        <v>92</v>
      </c>
      <c r="B854" t="s">
        <v>256</v>
      </c>
      <c r="C854" t="s">
        <v>233</v>
      </c>
      <c r="D854" t="s">
        <v>9</v>
      </c>
      <c r="E854" t="s">
        <v>191</v>
      </c>
      <c r="F854" t="s">
        <v>192</v>
      </c>
      <c r="G854">
        <v>6168.4321965</v>
      </c>
      <c r="H854" t="e">
        <f>IF(PNL!A854="","",_CALC_PNL!P854)</f>
        <v>#VALUE!</v>
      </c>
      <c r="I854" t="e">
        <f>IF(PNL!A854="","",IF(_CALC_PNL!E854=1,H854-G854,""))</f>
        <v>#VALUE!</v>
      </c>
    </row>
    <row r="855" ht="14.25" customHeight="1">
      <c r="A855" t="s">
        <v>92</v>
      </c>
      <c r="B855" t="s">
        <v>256</v>
      </c>
      <c r="C855" t="s">
        <v>233</v>
      </c>
      <c r="D855" t="s">
        <v>234</v>
      </c>
      <c r="E855" t="s">
        <v>191</v>
      </c>
      <c r="F855" t="s">
        <v>192</v>
      </c>
      <c r="G855">
        <v>6918.8808</v>
      </c>
      <c r="H855" t="e">
        <f>IF(PNL!A855="","",_CALC_PNL!P855)</f>
        <v>#VALUE!</v>
      </c>
      <c r="I855" t="e">
        <f>IF(PNL!A855="","",IF(_CALC_PNL!E855=1,H855-G855,""))</f>
        <v>#VALUE!</v>
      </c>
    </row>
    <row r="856" ht="14.25" customHeight="1">
      <c r="A856" t="s">
        <v>94</v>
      </c>
      <c r="B856" t="s">
        <v>256</v>
      </c>
      <c r="C856" t="s">
        <v>233</v>
      </c>
      <c r="D856" t="s">
        <v>231</v>
      </c>
      <c r="E856" t="s">
        <v>191</v>
      </c>
      <c r="F856" t="s">
        <v>192</v>
      </c>
      <c r="G856">
        <v>12913.3224</v>
      </c>
      <c r="H856" t="e">
        <f>IF(PNL!A856="","",_CALC_PNL!P856)</f>
        <v>#VALUE!</v>
      </c>
      <c r="I856" t="e">
        <f>IF(PNL!A856="","",IF(_CALC_PNL!E856=1,H856-G856,""))</f>
        <v>#VALUE!</v>
      </c>
    </row>
    <row r="857" ht="14.25" customHeight="1">
      <c r="A857" t="s">
        <v>94</v>
      </c>
      <c r="B857" t="s">
        <v>256</v>
      </c>
      <c r="C857" t="s">
        <v>233</v>
      </c>
      <c r="D857" t="s">
        <v>9</v>
      </c>
      <c r="E857" t="s">
        <v>191</v>
      </c>
      <c r="F857" t="s">
        <v>192</v>
      </c>
      <c r="G857">
        <v>12212.712638</v>
      </c>
      <c r="H857" t="e">
        <f>IF(PNL!A857="","",_CALC_PNL!P857)</f>
        <v>#VALUE!</v>
      </c>
      <c r="I857" t="e">
        <f>IF(PNL!A857="","",IF(_CALC_PNL!E857=1,H857-G857,""))</f>
        <v>#VALUE!</v>
      </c>
    </row>
    <row r="858" ht="14.25" customHeight="1">
      <c r="A858" t="s">
        <v>94</v>
      </c>
      <c r="B858" t="s">
        <v>256</v>
      </c>
      <c r="C858" t="s">
        <v>233</v>
      </c>
      <c r="D858" t="s">
        <v>234</v>
      </c>
      <c r="E858" t="s">
        <v>191</v>
      </c>
      <c r="F858" t="s">
        <v>192</v>
      </c>
      <c r="G858">
        <v>13698.5056</v>
      </c>
      <c r="H858" t="e">
        <f>IF(PNL!A858="","",_CALC_PNL!P858)</f>
        <v>#VALUE!</v>
      </c>
      <c r="I858" t="e">
        <f>IF(PNL!A858="","",IF(_CALC_PNL!E858=1,H858-G858,""))</f>
        <v>#VALUE!</v>
      </c>
    </row>
    <row r="859" ht="14.25" customHeight="1">
      <c r="A859" t="s">
        <v>95</v>
      </c>
      <c r="B859" t="s">
        <v>256</v>
      </c>
      <c r="C859" t="s">
        <v>233</v>
      </c>
      <c r="D859" t="s">
        <v>231</v>
      </c>
      <c r="E859" t="s">
        <v>191</v>
      </c>
      <c r="F859" t="s">
        <v>192</v>
      </c>
      <c r="G859">
        <v>9445.6692</v>
      </c>
      <c r="H859" t="e">
        <f>IF(PNL!A859="","",_CALC_PNL!P859)</f>
        <v>#VALUE!</v>
      </c>
      <c r="I859" t="e">
        <f>IF(PNL!A859="","",IF(_CALC_PNL!E859=1,H859-G859,""))</f>
        <v>#VALUE!</v>
      </c>
    </row>
    <row r="860" ht="14.25" customHeight="1">
      <c r="A860" t="s">
        <v>95</v>
      </c>
      <c r="B860" t="s">
        <v>256</v>
      </c>
      <c r="C860" t="s">
        <v>233</v>
      </c>
      <c r="D860" t="s">
        <v>9</v>
      </c>
      <c r="E860" t="s">
        <v>191</v>
      </c>
      <c r="F860" t="s">
        <v>192</v>
      </c>
      <c r="G860">
        <v>8933.196279</v>
      </c>
      <c r="H860" t="e">
        <f>IF(PNL!A860="","",_CALC_PNL!P860)</f>
        <v>#VALUE!</v>
      </c>
      <c r="I860" t="e">
        <f>IF(PNL!A860="","",IF(_CALC_PNL!E860=1,H860-G860,""))</f>
        <v>#VALUE!</v>
      </c>
    </row>
    <row r="861" ht="14.25" customHeight="1">
      <c r="A861" t="s">
        <v>95</v>
      </c>
      <c r="B861" t="s">
        <v>256</v>
      </c>
      <c r="C861" t="s">
        <v>233</v>
      </c>
      <c r="D861" t="s">
        <v>234</v>
      </c>
      <c r="E861" t="s">
        <v>191</v>
      </c>
      <c r="F861" t="s">
        <v>192</v>
      </c>
      <c r="G861">
        <v>10020.0048</v>
      </c>
      <c r="H861" t="e">
        <f>IF(PNL!A861="","",_CALC_PNL!P861)</f>
        <v>#VALUE!</v>
      </c>
      <c r="I861" t="e">
        <f>IF(PNL!A861="","",IF(_CALC_PNL!E861=1,H861-G861,""))</f>
        <v>#VALUE!</v>
      </c>
    </row>
    <row r="862" ht="14.25" customHeight="1">
      <c r="A862" t="s">
        <v>96</v>
      </c>
      <c r="B862" t="s">
        <v>256</v>
      </c>
      <c r="C862" t="s">
        <v>233</v>
      </c>
      <c r="D862" t="s">
        <v>231</v>
      </c>
      <c r="E862" t="s">
        <v>191</v>
      </c>
      <c r="F862" t="s">
        <v>192</v>
      </c>
      <c r="G862">
        <v>14162.445</v>
      </c>
      <c r="H862" t="e">
        <f>IF(PNL!A862="","",_CALC_PNL!P862)</f>
        <v>#VALUE!</v>
      </c>
      <c r="I862" t="e">
        <f>IF(PNL!A862="","",IF(_CALC_PNL!E862=1,H862-G862,""))</f>
        <v>#VALUE!</v>
      </c>
    </row>
    <row r="863" ht="14.25" customHeight="1">
      <c r="A863" t="s">
        <v>96</v>
      </c>
      <c r="B863" t="s">
        <v>256</v>
      </c>
      <c r="C863" t="s">
        <v>233</v>
      </c>
      <c r="D863" t="s">
        <v>9</v>
      </c>
      <c r="E863" t="s">
        <v>191</v>
      </c>
      <c r="F863" t="s">
        <v>192</v>
      </c>
      <c r="G863">
        <v>13394.0643375</v>
      </c>
      <c r="H863" t="e">
        <f>IF(PNL!A863="","",_CALC_PNL!P863)</f>
        <v>#VALUE!</v>
      </c>
      <c r="I863" t="e">
        <f>IF(PNL!A863="","",IF(_CALC_PNL!E863=1,H863-G863,""))</f>
        <v>#VALUE!</v>
      </c>
    </row>
    <row r="864" ht="14.25" customHeight="1">
      <c r="A864" t="s">
        <v>96</v>
      </c>
      <c r="B864" t="s">
        <v>256</v>
      </c>
      <c r="C864" t="s">
        <v>233</v>
      </c>
      <c r="D864" t="s">
        <v>234</v>
      </c>
      <c r="E864" t="s">
        <v>191</v>
      </c>
      <c r="F864" t="s">
        <v>192</v>
      </c>
      <c r="G864">
        <v>15023.58</v>
      </c>
      <c r="H864" t="e">
        <f>IF(PNL!A864="","",_CALC_PNL!P864)</f>
        <v>#VALUE!</v>
      </c>
      <c r="I864" t="e">
        <f>IF(PNL!A864="","",IF(_CALC_PNL!E864=1,H864-G864,""))</f>
        <v>#VALUE!</v>
      </c>
    </row>
    <row r="865" ht="14.25" customHeight="1">
      <c r="A865" t="s">
        <v>97</v>
      </c>
      <c r="B865" t="s">
        <v>256</v>
      </c>
      <c r="C865" t="s">
        <v>233</v>
      </c>
      <c r="D865" t="s">
        <v>231</v>
      </c>
      <c r="E865" t="s">
        <v>191</v>
      </c>
      <c r="F865" t="s">
        <v>192</v>
      </c>
      <c r="G865">
        <v>8301.5658</v>
      </c>
      <c r="H865" t="e">
        <f>IF(PNL!A865="","",_CALC_PNL!P865)</f>
        <v>#VALUE!</v>
      </c>
      <c r="I865" t="e">
        <f>IF(PNL!A865="","",IF(_CALC_PNL!E865=1,H865-G865,""))</f>
        <v>#VALUE!</v>
      </c>
    </row>
    <row r="866" ht="14.25" customHeight="1">
      <c r="A866" t="s">
        <v>97</v>
      </c>
      <c r="B866" t="s">
        <v>256</v>
      </c>
      <c r="C866" t="s">
        <v>233</v>
      </c>
      <c r="D866" t="s">
        <v>9</v>
      </c>
      <c r="E866" t="s">
        <v>191</v>
      </c>
      <c r="F866" t="s">
        <v>192</v>
      </c>
      <c r="G866">
        <v>7851.1659835</v>
      </c>
      <c r="H866" t="e">
        <f>IF(PNL!A866="","",_CALC_PNL!P866)</f>
        <v>#VALUE!</v>
      </c>
      <c r="I866" t="e">
        <f>IF(PNL!A866="","",IF(_CALC_PNL!E866=1,H866-G866,""))</f>
        <v>#VALUE!</v>
      </c>
    </row>
    <row r="867" ht="14.25" customHeight="1">
      <c r="A867" t="s">
        <v>97</v>
      </c>
      <c r="B867" t="s">
        <v>256</v>
      </c>
      <c r="C867" t="s">
        <v>233</v>
      </c>
      <c r="D867" t="s">
        <v>234</v>
      </c>
      <c r="E867" t="s">
        <v>191</v>
      </c>
      <c r="F867" t="s">
        <v>192</v>
      </c>
      <c r="G867">
        <v>8806.3352</v>
      </c>
      <c r="H867" t="e">
        <f>IF(PNL!A867="","",_CALC_PNL!P867)</f>
        <v>#VALUE!</v>
      </c>
      <c r="I867" t="e">
        <f>IF(PNL!A867="","",IF(_CALC_PNL!E867=1,H867-G867,""))</f>
        <v>#VALUE!</v>
      </c>
    </row>
    <row r="868" ht="14.25" customHeight="1">
      <c r="A868" t="s">
        <v>251</v>
      </c>
      <c r="B868" t="s">
        <v>257</v>
      </c>
      <c r="C868" t="s">
        <v>233</v>
      </c>
      <c r="D868" t="s">
        <v>231</v>
      </c>
      <c r="E868" t="s">
        <v>191</v>
      </c>
      <c r="F868" t="s">
        <v>192</v>
      </c>
      <c r="G868">
        <v>570376.4418</v>
      </c>
      <c r="H868" t="e">
        <f>IF(PNL!A868="","",_CALC_PNL!P868)</f>
        <v>#VALUE!</v>
      </c>
      <c r="I868" t="e">
        <f>IF(PNL!A868="","",IF(_CALC_PNL!E868=1,H868-G868,""))</f>
        <v>#VALUE!</v>
      </c>
    </row>
    <row r="869" ht="14.25" customHeight="1">
      <c r="A869" t="s">
        <v>251</v>
      </c>
      <c r="B869" t="s">
        <v>257</v>
      </c>
      <c r="C869" t="s">
        <v>233</v>
      </c>
      <c r="D869" t="s">
        <v>9</v>
      </c>
      <c r="E869" t="s">
        <v>191</v>
      </c>
      <c r="F869" t="s">
        <v>192</v>
      </c>
      <c r="G869">
        <v>539430.7803535</v>
      </c>
      <c r="H869" t="e">
        <f>IF(PNL!A869="","",_CALC_PNL!P869)</f>
        <v>#VALUE!</v>
      </c>
      <c r="I869" t="e">
        <f>IF(PNL!A869="","",IF(_CALC_PNL!E869=1,H869-G869,""))</f>
        <v>#VALUE!</v>
      </c>
    </row>
    <row r="870" ht="14.25" customHeight="1">
      <c r="A870" t="s">
        <v>251</v>
      </c>
      <c r="B870" t="s">
        <v>257</v>
      </c>
      <c r="C870" t="s">
        <v>233</v>
      </c>
      <c r="D870" t="s">
        <v>234</v>
      </c>
      <c r="E870" t="s">
        <v>191</v>
      </c>
      <c r="F870" t="s">
        <v>192</v>
      </c>
      <c r="G870">
        <v>605057.6792</v>
      </c>
      <c r="H870" t="e">
        <f>IF(PNL!A870="","",_CALC_PNL!P870)</f>
        <v>#VALUE!</v>
      </c>
      <c r="I870" t="e">
        <f>IF(PNL!A870="","",IF(_CALC_PNL!E870=1,H870-G870,""))</f>
        <v>#VALUE!</v>
      </c>
    </row>
    <row r="871" ht="14.25" customHeight="1">
      <c r="A871" t="s">
        <v>251</v>
      </c>
      <c r="B871" t="s">
        <v>258</v>
      </c>
      <c r="C871" t="s">
        <v>233</v>
      </c>
      <c r="D871" t="s">
        <v>231</v>
      </c>
      <c r="E871" t="s">
        <v>191</v>
      </c>
      <c r="F871" t="s">
        <v>192</v>
      </c>
      <c r="G871">
        <v>743978.4</v>
      </c>
      <c r="H871" t="e">
        <f>IF(PNL!A871="","",_CALC_PNL!P871)</f>
        <v>#VALUE!</v>
      </c>
      <c r="I871" t="e">
        <f>IF(PNL!A871="","",IF(_CALC_PNL!E871=1,H871-G871,""))</f>
        <v>#VALUE!</v>
      </c>
    </row>
    <row r="872" ht="14.25" customHeight="1">
      <c r="A872" t="s">
        <v>251</v>
      </c>
      <c r="B872" t="s">
        <v>258</v>
      </c>
      <c r="C872" t="s">
        <v>233</v>
      </c>
      <c r="D872" t="s">
        <v>9</v>
      </c>
      <c r="E872" t="s">
        <v>191</v>
      </c>
      <c r="F872" t="s">
        <v>192</v>
      </c>
      <c r="G872">
        <v>811612.8</v>
      </c>
      <c r="H872" t="e">
        <f>IF(PNL!A872="","",_CALC_PNL!P872)</f>
        <v>#VALUE!</v>
      </c>
      <c r="I872" t="e">
        <f>IF(PNL!A872="","",IF(_CALC_PNL!E872=1,H872-G872,""))</f>
        <v>#VALUE!</v>
      </c>
    </row>
    <row r="873" ht="14.25" customHeight="1">
      <c r="A873" t="s">
        <v>251</v>
      </c>
      <c r="B873" t="s">
        <v>258</v>
      </c>
      <c r="C873" t="s">
        <v>233</v>
      </c>
      <c r="D873" t="s">
        <v>234</v>
      </c>
      <c r="E873" t="s">
        <v>191</v>
      </c>
      <c r="F873" t="s">
        <v>192</v>
      </c>
      <c r="G873">
        <v>642526.8</v>
      </c>
      <c r="H873" t="e">
        <f>IF(PNL!A873="","",_CALC_PNL!P873)</f>
        <v>#VALUE!</v>
      </c>
      <c r="I873" t="e">
        <f>IF(PNL!A873="","",IF(_CALC_PNL!E873=1,H873-G873,""))</f>
        <v>#VALUE!</v>
      </c>
    </row>
    <row r="874" ht="14.25" customHeight="1">
      <c r="A874" t="s">
        <v>75</v>
      </c>
      <c r="B874" t="s">
        <v>259</v>
      </c>
      <c r="C874" t="s">
        <v>233</v>
      </c>
      <c r="D874" t="s">
        <v>231</v>
      </c>
      <c r="E874" t="s">
        <v>191</v>
      </c>
      <c r="F874" t="s">
        <v>192</v>
      </c>
      <c r="G874">
        <v>58804.6932</v>
      </c>
      <c r="H874" t="e">
        <f>IF(PNL!A874="","",_CALC_PNL!P874)</f>
        <v>#VALUE!</v>
      </c>
      <c r="I874" t="e">
        <f>IF(PNL!A874="","",IF(_CALC_PNL!E874=1,H874-G874,""))</f>
        <v>#VALUE!</v>
      </c>
    </row>
    <row r="875" ht="14.25" customHeight="1">
      <c r="A875" t="s">
        <v>75</v>
      </c>
      <c r="B875" t="s">
        <v>259</v>
      </c>
      <c r="C875" t="s">
        <v>233</v>
      </c>
      <c r="D875" t="s">
        <v>9</v>
      </c>
      <c r="E875" t="s">
        <v>191</v>
      </c>
      <c r="F875" t="s">
        <v>192</v>
      </c>
      <c r="G875">
        <v>55614.256159</v>
      </c>
      <c r="H875" t="e">
        <f>IF(PNL!A875="","",_CALC_PNL!P875)</f>
        <v>#VALUE!</v>
      </c>
      <c r="I875" t="e">
        <f>IF(PNL!A875="","",IF(_CALC_PNL!E875=1,H875-G875,""))</f>
        <v>#VALUE!</v>
      </c>
    </row>
    <row r="876" ht="14.25" customHeight="1">
      <c r="A876" t="s">
        <v>75</v>
      </c>
      <c r="B876" t="s">
        <v>259</v>
      </c>
      <c r="C876" t="s">
        <v>233</v>
      </c>
      <c r="D876" t="s">
        <v>234</v>
      </c>
      <c r="E876" t="s">
        <v>191</v>
      </c>
      <c r="F876" t="s">
        <v>192</v>
      </c>
      <c r="G876">
        <v>62380.2608</v>
      </c>
      <c r="H876" t="e">
        <f>IF(PNL!A876="","",_CALC_PNL!P876)</f>
        <v>#VALUE!</v>
      </c>
      <c r="I876" t="e">
        <f>IF(PNL!A876="","",IF(_CALC_PNL!E876=1,H876-G876,""))</f>
        <v>#VALUE!</v>
      </c>
    </row>
    <row r="877" ht="14.25" customHeight="1">
      <c r="A877" t="s">
        <v>77</v>
      </c>
      <c r="B877" t="s">
        <v>259</v>
      </c>
      <c r="C877" t="s">
        <v>233</v>
      </c>
      <c r="D877" t="s">
        <v>231</v>
      </c>
      <c r="E877" t="s">
        <v>191</v>
      </c>
      <c r="F877" t="s">
        <v>192</v>
      </c>
      <c r="G877">
        <v>34481.6406</v>
      </c>
      <c r="H877" t="e">
        <f>IF(PNL!A877="","",_CALC_PNL!P877)</f>
        <v>#VALUE!</v>
      </c>
      <c r="I877" t="e">
        <f>IF(PNL!A877="","",IF(_CALC_PNL!E877=1,H877-G877,""))</f>
        <v>#VALUE!</v>
      </c>
    </row>
    <row r="878" ht="14.25" customHeight="1">
      <c r="A878" t="s">
        <v>77</v>
      </c>
      <c r="B878" t="s">
        <v>259</v>
      </c>
      <c r="C878" t="s">
        <v>233</v>
      </c>
      <c r="D878" t="s">
        <v>9</v>
      </c>
      <c r="E878" t="s">
        <v>191</v>
      </c>
      <c r="F878" t="s">
        <v>192</v>
      </c>
      <c r="G878">
        <v>32610.8459845</v>
      </c>
      <c r="H878" t="e">
        <f>IF(PNL!A878="","",_CALC_PNL!P878)</f>
        <v>#VALUE!</v>
      </c>
      <c r="I878" t="e">
        <f>IF(PNL!A878="","",IF(_CALC_PNL!E878=1,H878-G878,""))</f>
        <v>#VALUE!</v>
      </c>
    </row>
    <row r="879" ht="14.25" customHeight="1">
      <c r="A879" t="s">
        <v>77</v>
      </c>
      <c r="B879" t="s">
        <v>259</v>
      </c>
      <c r="C879" t="s">
        <v>233</v>
      </c>
      <c r="D879" t="s">
        <v>234</v>
      </c>
      <c r="E879" t="s">
        <v>191</v>
      </c>
      <c r="F879" t="s">
        <v>192</v>
      </c>
      <c r="G879">
        <v>36578.2664</v>
      </c>
      <c r="H879" t="e">
        <f>IF(PNL!A879="","",_CALC_PNL!P879)</f>
        <v>#VALUE!</v>
      </c>
      <c r="I879" t="e">
        <f>IF(PNL!A879="","",IF(_CALC_PNL!E879=1,H879-G879,""))</f>
        <v>#VALUE!</v>
      </c>
    </row>
    <row r="880" ht="14.25" customHeight="1">
      <c r="A880" t="s">
        <v>79</v>
      </c>
      <c r="B880" t="s">
        <v>259</v>
      </c>
      <c r="C880" t="s">
        <v>233</v>
      </c>
      <c r="D880" t="s">
        <v>231</v>
      </c>
      <c r="E880" t="s">
        <v>191</v>
      </c>
      <c r="F880" t="s">
        <v>192</v>
      </c>
      <c r="G880">
        <v>27937.1268</v>
      </c>
      <c r="H880" t="e">
        <f>IF(PNL!A880="","",_CALC_PNL!P880)</f>
        <v>#VALUE!</v>
      </c>
      <c r="I880" t="e">
        <f>IF(PNL!A880="","",IF(_CALC_PNL!E880=1,H880-G880,""))</f>
        <v>#VALUE!</v>
      </c>
    </row>
    <row r="881" ht="14.25" customHeight="1">
      <c r="A881" t="s">
        <v>79</v>
      </c>
      <c r="B881" t="s">
        <v>259</v>
      </c>
      <c r="C881" t="s">
        <v>233</v>
      </c>
      <c r="D881" t="s">
        <v>9</v>
      </c>
      <c r="E881" t="s">
        <v>191</v>
      </c>
      <c r="F881" t="s">
        <v>192</v>
      </c>
      <c r="G881">
        <v>26421.403491</v>
      </c>
      <c r="H881" t="e">
        <f>IF(PNL!A881="","",_CALC_PNL!P881)</f>
        <v>#VALUE!</v>
      </c>
      <c r="I881" t="e">
        <f>IF(PNL!A881="","",IF(_CALC_PNL!E881=1,H881-G881,""))</f>
        <v>#VALUE!</v>
      </c>
    </row>
    <row r="882" ht="14.25" customHeight="1">
      <c r="A882" t="s">
        <v>79</v>
      </c>
      <c r="B882" t="s">
        <v>259</v>
      </c>
      <c r="C882" t="s">
        <v>233</v>
      </c>
      <c r="D882" t="s">
        <v>234</v>
      </c>
      <c r="E882" t="s">
        <v>191</v>
      </c>
      <c r="F882" t="s">
        <v>192</v>
      </c>
      <c r="G882">
        <v>29635.8192</v>
      </c>
      <c r="H882" t="e">
        <f>IF(PNL!A882="","",_CALC_PNL!P882)</f>
        <v>#VALUE!</v>
      </c>
      <c r="I882" t="e">
        <f>IF(PNL!A882="","",IF(_CALC_PNL!E882=1,H882-G882,""))</f>
        <v>#VALUE!</v>
      </c>
    </row>
    <row r="883" ht="14.25" customHeight="1">
      <c r="A883" t="s">
        <v>81</v>
      </c>
      <c r="B883" t="s">
        <v>259</v>
      </c>
      <c r="C883" t="s">
        <v>233</v>
      </c>
      <c r="D883" t="s">
        <v>231</v>
      </c>
      <c r="E883" t="s">
        <v>191</v>
      </c>
      <c r="F883" t="s">
        <v>192</v>
      </c>
      <c r="G883">
        <v>24844.1094</v>
      </c>
      <c r="H883" t="e">
        <f>IF(PNL!A883="","",_CALC_PNL!P883)</f>
        <v>#VALUE!</v>
      </c>
      <c r="I883" t="e">
        <f>IF(PNL!A883="","",IF(_CALC_PNL!E883=1,H883-G883,""))</f>
        <v>#VALUE!</v>
      </c>
    </row>
    <row r="884" ht="14.25" customHeight="1">
      <c r="A884" t="s">
        <v>81</v>
      </c>
      <c r="B884" t="s">
        <v>259</v>
      </c>
      <c r="C884" t="s">
        <v>233</v>
      </c>
      <c r="D884" t="s">
        <v>9</v>
      </c>
      <c r="E884" t="s">
        <v>191</v>
      </c>
      <c r="F884" t="s">
        <v>192</v>
      </c>
      <c r="G884">
        <v>23496.1971405</v>
      </c>
      <c r="H884" t="e">
        <f>IF(PNL!A884="","",_CALC_PNL!P884)</f>
        <v>#VALUE!</v>
      </c>
      <c r="I884" t="e">
        <f>IF(PNL!A884="","",IF(_CALC_PNL!E884=1,H884-G884,""))</f>
        <v>#VALUE!</v>
      </c>
    </row>
    <row r="885" ht="14.25" customHeight="1">
      <c r="A885" t="s">
        <v>81</v>
      </c>
      <c r="B885" t="s">
        <v>259</v>
      </c>
      <c r="C885" t="s">
        <v>233</v>
      </c>
      <c r="D885" t="s">
        <v>234</v>
      </c>
      <c r="E885" t="s">
        <v>191</v>
      </c>
      <c r="F885" t="s">
        <v>192</v>
      </c>
      <c r="G885">
        <v>26354.7336</v>
      </c>
      <c r="H885" t="e">
        <f>IF(PNL!A885="","",_CALC_PNL!P885)</f>
        <v>#VALUE!</v>
      </c>
      <c r="I885" t="e">
        <f>IF(PNL!A885="","",IF(_CALC_PNL!E885=1,H885-G885,""))</f>
        <v>#VALUE!</v>
      </c>
    </row>
    <row r="886" ht="14.25" customHeight="1">
      <c r="A886" t="s">
        <v>83</v>
      </c>
      <c r="B886" t="s">
        <v>259</v>
      </c>
      <c r="C886" t="s">
        <v>233</v>
      </c>
      <c r="D886" t="s">
        <v>231</v>
      </c>
      <c r="E886" t="s">
        <v>191</v>
      </c>
      <c r="F886" t="s">
        <v>192</v>
      </c>
      <c r="G886">
        <v>54493.857</v>
      </c>
      <c r="H886" t="e">
        <f>IF(PNL!A886="","",_CALC_PNL!P886)</f>
        <v>#VALUE!</v>
      </c>
      <c r="I886" t="e">
        <f>IF(PNL!A886="","",IF(_CALC_PNL!E886=1,H886-G886,""))</f>
        <v>#VALUE!</v>
      </c>
    </row>
    <row r="887" ht="14.25" customHeight="1">
      <c r="A887" t="s">
        <v>83</v>
      </c>
      <c r="B887" t="s">
        <v>259</v>
      </c>
      <c r="C887" t="s">
        <v>233</v>
      </c>
      <c r="D887" t="s">
        <v>9</v>
      </c>
      <c r="E887" t="s">
        <v>191</v>
      </c>
      <c r="F887" t="s">
        <v>192</v>
      </c>
      <c r="G887">
        <v>51537.3035275</v>
      </c>
      <c r="H887" t="e">
        <f>IF(PNL!A887="","",_CALC_PNL!P887)</f>
        <v>#VALUE!</v>
      </c>
      <c r="I887" t="e">
        <f>IF(PNL!A887="","",IF(_CALC_PNL!E887=1,H887-G887,""))</f>
        <v>#VALUE!</v>
      </c>
    </row>
    <row r="888" ht="14.25" customHeight="1">
      <c r="A888" t="s">
        <v>83</v>
      </c>
      <c r="B888" t="s">
        <v>259</v>
      </c>
      <c r="C888" t="s">
        <v>233</v>
      </c>
      <c r="D888" t="s">
        <v>234</v>
      </c>
      <c r="E888" t="s">
        <v>191</v>
      </c>
      <c r="F888" t="s">
        <v>192</v>
      </c>
      <c r="G888">
        <v>57807.308</v>
      </c>
      <c r="H888" t="e">
        <f>IF(PNL!A888="","",_CALC_PNL!P888)</f>
        <v>#VALUE!</v>
      </c>
      <c r="I888" t="e">
        <f>IF(PNL!A888="","",IF(_CALC_PNL!E888=1,H888-G888,""))</f>
        <v>#VALUE!</v>
      </c>
    </row>
    <row r="889" ht="14.25" customHeight="1">
      <c r="A889" t="s">
        <v>84</v>
      </c>
      <c r="B889" t="s">
        <v>259</v>
      </c>
      <c r="C889" t="s">
        <v>233</v>
      </c>
      <c r="D889" t="s">
        <v>231</v>
      </c>
      <c r="E889" t="s">
        <v>191</v>
      </c>
      <c r="F889" t="s">
        <v>192</v>
      </c>
      <c r="G889">
        <v>21331.0152</v>
      </c>
      <c r="H889" t="e">
        <f>IF(PNL!A889="","",_CALC_PNL!P889)</f>
        <v>#VALUE!</v>
      </c>
      <c r="I889" t="e">
        <f>IF(PNL!A889="","",IF(_CALC_PNL!E889=1,H889-G889,""))</f>
        <v>#VALUE!</v>
      </c>
    </row>
    <row r="890" ht="14.25" customHeight="1">
      <c r="A890" t="s">
        <v>84</v>
      </c>
      <c r="B890" t="s">
        <v>259</v>
      </c>
      <c r="C890" t="s">
        <v>233</v>
      </c>
      <c r="D890" t="s">
        <v>9</v>
      </c>
      <c r="E890" t="s">
        <v>191</v>
      </c>
      <c r="F890" t="s">
        <v>192</v>
      </c>
      <c r="G890">
        <v>20173.705174</v>
      </c>
      <c r="H890" t="e">
        <f>IF(PNL!A890="","",_CALC_PNL!P890)</f>
        <v>#VALUE!</v>
      </c>
      <c r="I890" t="e">
        <f>IF(PNL!A890="","",IF(_CALC_PNL!E890=1,H890-G890,""))</f>
        <v>#VALUE!</v>
      </c>
    </row>
    <row r="891" ht="14.25" customHeight="1">
      <c r="A891" t="s">
        <v>84</v>
      </c>
      <c r="B891" t="s">
        <v>259</v>
      </c>
      <c r="C891" t="s">
        <v>233</v>
      </c>
      <c r="D891" t="s">
        <v>234</v>
      </c>
      <c r="E891" t="s">
        <v>191</v>
      </c>
      <c r="F891" t="s">
        <v>192</v>
      </c>
      <c r="G891">
        <v>22628.0288</v>
      </c>
      <c r="H891" t="e">
        <f>IF(PNL!A891="","",_CALC_PNL!P891)</f>
        <v>#VALUE!</v>
      </c>
      <c r="I891" t="e">
        <f>IF(PNL!A891="","",IF(_CALC_PNL!E891=1,H891-G891,""))</f>
        <v>#VALUE!</v>
      </c>
    </row>
    <row r="892" ht="14.25" customHeight="1">
      <c r="A892" t="s">
        <v>86</v>
      </c>
      <c r="B892" t="s">
        <v>259</v>
      </c>
      <c r="C892" t="s">
        <v>233</v>
      </c>
      <c r="D892" t="s">
        <v>231</v>
      </c>
      <c r="E892" t="s">
        <v>191</v>
      </c>
      <c r="F892" t="s">
        <v>192</v>
      </c>
      <c r="G892">
        <v>19755.7272</v>
      </c>
      <c r="H892" t="e">
        <f>IF(PNL!A892="","",_CALC_PNL!P892)</f>
        <v>#VALUE!</v>
      </c>
      <c r="I892" t="e">
        <f>IF(PNL!A892="","",IF(_CALC_PNL!E892=1,H892-G892,""))</f>
        <v>#VALUE!</v>
      </c>
    </row>
    <row r="893" ht="14.25" customHeight="1">
      <c r="A893" t="s">
        <v>86</v>
      </c>
      <c r="B893" t="s">
        <v>259</v>
      </c>
      <c r="C893" t="s">
        <v>233</v>
      </c>
      <c r="D893" t="s">
        <v>9</v>
      </c>
      <c r="E893" t="s">
        <v>191</v>
      </c>
      <c r="F893" t="s">
        <v>192</v>
      </c>
      <c r="G893">
        <v>18683.884114</v>
      </c>
      <c r="H893" t="e">
        <f>IF(PNL!A893="","",_CALC_PNL!P893)</f>
        <v>#VALUE!</v>
      </c>
      <c r="I893" t="e">
        <f>IF(PNL!A893="","",IF(_CALC_PNL!E893=1,H893-G893,""))</f>
        <v>#VALUE!</v>
      </c>
    </row>
    <row r="894" ht="14.25" customHeight="1">
      <c r="A894" t="s">
        <v>86</v>
      </c>
      <c r="B894" t="s">
        <v>259</v>
      </c>
      <c r="C894" t="s">
        <v>233</v>
      </c>
      <c r="D894" t="s">
        <v>234</v>
      </c>
      <c r="E894" t="s">
        <v>191</v>
      </c>
      <c r="F894" t="s">
        <v>192</v>
      </c>
      <c r="G894">
        <v>20956.9568</v>
      </c>
      <c r="H894" t="e">
        <f>IF(PNL!A894="","",_CALC_PNL!P894)</f>
        <v>#VALUE!</v>
      </c>
      <c r="I894" t="e">
        <f>IF(PNL!A894="","",IF(_CALC_PNL!E894=1,H894-G894,""))</f>
        <v>#VALUE!</v>
      </c>
    </row>
    <row r="895" ht="14.25" customHeight="1">
      <c r="A895" t="s">
        <v>88</v>
      </c>
      <c r="B895" t="s">
        <v>259</v>
      </c>
      <c r="C895" t="s">
        <v>233</v>
      </c>
      <c r="D895" t="s">
        <v>231</v>
      </c>
      <c r="E895" t="s">
        <v>191</v>
      </c>
      <c r="F895" t="s">
        <v>192</v>
      </c>
      <c r="G895">
        <v>13778.721</v>
      </c>
      <c r="H895" t="e">
        <f>IF(PNL!A895="","",_CALC_PNL!P895)</f>
        <v>#VALUE!</v>
      </c>
      <c r="I895" t="e">
        <f>IF(PNL!A895="","",IF(_CALC_PNL!E895=1,H895-G895,""))</f>
        <v>#VALUE!</v>
      </c>
    </row>
    <row r="896" ht="14.25" customHeight="1">
      <c r="A896" t="s">
        <v>88</v>
      </c>
      <c r="B896" t="s">
        <v>259</v>
      </c>
      <c r="C896" t="s">
        <v>233</v>
      </c>
      <c r="D896" t="s">
        <v>9</v>
      </c>
      <c r="E896" t="s">
        <v>191</v>
      </c>
      <c r="F896" t="s">
        <v>192</v>
      </c>
      <c r="G896">
        <v>13031.1592075</v>
      </c>
      <c r="H896" t="e">
        <f>IF(PNL!A896="","",_CALC_PNL!P896)</f>
        <v>#VALUE!</v>
      </c>
      <c r="I896" t="e">
        <f>IF(PNL!A896="","",IF(_CALC_PNL!E896=1,H896-G896,""))</f>
        <v>#VALUE!</v>
      </c>
    </row>
    <row r="897" ht="14.25" customHeight="1">
      <c r="A897" t="s">
        <v>88</v>
      </c>
      <c r="B897" t="s">
        <v>259</v>
      </c>
      <c r="C897" t="s">
        <v>233</v>
      </c>
      <c r="D897" t="s">
        <v>234</v>
      </c>
      <c r="E897" t="s">
        <v>191</v>
      </c>
      <c r="F897" t="s">
        <v>192</v>
      </c>
      <c r="G897">
        <v>14616.524</v>
      </c>
      <c r="H897" t="e">
        <f>IF(PNL!A897="","",_CALC_PNL!P897)</f>
        <v>#VALUE!</v>
      </c>
      <c r="I897" t="e">
        <f>IF(PNL!A897="","",IF(_CALC_PNL!E897=1,H897-G897,""))</f>
        <v>#VALUE!</v>
      </c>
    </row>
    <row r="898" ht="14.25" customHeight="1">
      <c r="A898" t="s">
        <v>90</v>
      </c>
      <c r="B898" t="s">
        <v>259</v>
      </c>
      <c r="C898" t="s">
        <v>233</v>
      </c>
      <c r="D898" t="s">
        <v>231</v>
      </c>
      <c r="E898" t="s">
        <v>191</v>
      </c>
      <c r="F898" t="s">
        <v>192</v>
      </c>
      <c r="G898">
        <v>9783.9522</v>
      </c>
      <c r="H898" t="e">
        <f>IF(PNL!A898="","",_CALC_PNL!P898)</f>
        <v>#VALUE!</v>
      </c>
      <c r="I898" t="e">
        <f>IF(PNL!A898="","",IF(_CALC_PNL!E898=1,H898-G898,""))</f>
        <v>#VALUE!</v>
      </c>
    </row>
    <row r="899" ht="14.25" customHeight="1">
      <c r="A899" t="s">
        <v>90</v>
      </c>
      <c r="B899" t="s">
        <v>259</v>
      </c>
      <c r="C899" t="s">
        <v>233</v>
      </c>
      <c r="D899" t="s">
        <v>9</v>
      </c>
      <c r="E899" t="s">
        <v>191</v>
      </c>
      <c r="F899" t="s">
        <v>192</v>
      </c>
      <c r="G899">
        <v>9253.1258015</v>
      </c>
      <c r="H899" t="e">
        <f>IF(PNL!A899="","",_CALC_PNL!P899)</f>
        <v>#VALUE!</v>
      </c>
      <c r="I899" t="e">
        <f>IF(PNL!A899="","",IF(_CALC_PNL!E899=1,H899-G899,""))</f>
        <v>#VALUE!</v>
      </c>
    </row>
    <row r="900" ht="14.25" customHeight="1">
      <c r="A900" t="s">
        <v>90</v>
      </c>
      <c r="B900" t="s">
        <v>259</v>
      </c>
      <c r="C900" t="s">
        <v>233</v>
      </c>
      <c r="D900" t="s">
        <v>234</v>
      </c>
      <c r="E900" t="s">
        <v>191</v>
      </c>
      <c r="F900" t="s">
        <v>192</v>
      </c>
      <c r="G900">
        <v>10378.8568</v>
      </c>
      <c r="H900" t="e">
        <f>IF(PNL!A900="","",_CALC_PNL!P900)</f>
        <v>#VALUE!</v>
      </c>
      <c r="I900" t="e">
        <f>IF(PNL!A900="","",IF(_CALC_PNL!E900=1,H900-G900,""))</f>
        <v>#VALUE!</v>
      </c>
    </row>
    <row r="901" ht="14.25" customHeight="1">
      <c r="A901" t="s">
        <v>92</v>
      </c>
      <c r="B901" t="s">
        <v>259</v>
      </c>
      <c r="C901" t="s">
        <v>233</v>
      </c>
      <c r="D901" t="s">
        <v>231</v>
      </c>
      <c r="E901" t="s">
        <v>191</v>
      </c>
      <c r="F901" t="s">
        <v>192</v>
      </c>
      <c r="G901">
        <v>9783.9522</v>
      </c>
      <c r="H901" t="e">
        <f>IF(PNL!A901="","",_CALC_PNL!P901)</f>
        <v>#VALUE!</v>
      </c>
      <c r="I901" t="e">
        <f>IF(PNL!A901="","",IF(_CALC_PNL!E901=1,H901-G901,""))</f>
        <v>#VALUE!</v>
      </c>
    </row>
    <row r="902" ht="14.25" customHeight="1">
      <c r="A902" t="s">
        <v>92</v>
      </c>
      <c r="B902" t="s">
        <v>259</v>
      </c>
      <c r="C902" t="s">
        <v>233</v>
      </c>
      <c r="D902" t="s">
        <v>9</v>
      </c>
      <c r="E902" t="s">
        <v>191</v>
      </c>
      <c r="F902" t="s">
        <v>192</v>
      </c>
      <c r="G902">
        <v>9253.1258015</v>
      </c>
      <c r="H902" t="e">
        <f>IF(PNL!A902="","",_CALC_PNL!P902)</f>
        <v>#VALUE!</v>
      </c>
      <c r="I902" t="e">
        <f>IF(PNL!A902="","",IF(_CALC_PNL!E902=1,H902-G902,""))</f>
        <v>#VALUE!</v>
      </c>
    </row>
    <row r="903" ht="14.25" customHeight="1">
      <c r="A903" t="s">
        <v>92</v>
      </c>
      <c r="B903" t="s">
        <v>259</v>
      </c>
      <c r="C903" t="s">
        <v>233</v>
      </c>
      <c r="D903" t="s">
        <v>234</v>
      </c>
      <c r="E903" t="s">
        <v>191</v>
      </c>
      <c r="F903" t="s">
        <v>192</v>
      </c>
      <c r="G903">
        <v>10378.8568</v>
      </c>
      <c r="H903" t="e">
        <f>IF(PNL!A903="","",_CALC_PNL!P903)</f>
        <v>#VALUE!</v>
      </c>
      <c r="I903" t="e">
        <f>IF(PNL!A903="","",IF(_CALC_PNL!E903=1,H903-G903,""))</f>
        <v>#VALUE!</v>
      </c>
    </row>
    <row r="904" ht="14.25" customHeight="1">
      <c r="A904" t="s">
        <v>94</v>
      </c>
      <c r="B904" t="s">
        <v>259</v>
      </c>
      <c r="C904" t="s">
        <v>233</v>
      </c>
      <c r="D904" t="s">
        <v>231</v>
      </c>
      <c r="E904" t="s">
        <v>191</v>
      </c>
      <c r="F904" t="s">
        <v>192</v>
      </c>
      <c r="G904">
        <v>19369.9836</v>
      </c>
      <c r="H904" t="e">
        <f>IF(PNL!A904="","",_CALC_PNL!P904)</f>
        <v>#VALUE!</v>
      </c>
      <c r="I904" t="e">
        <f>IF(PNL!A904="","",IF(_CALC_PNL!E904=1,H904-G904,""))</f>
        <v>#VALUE!</v>
      </c>
    </row>
    <row r="905" ht="14.25" customHeight="1">
      <c r="A905" t="s">
        <v>94</v>
      </c>
      <c r="B905" t="s">
        <v>259</v>
      </c>
      <c r="C905" t="s">
        <v>233</v>
      </c>
      <c r="D905" t="s">
        <v>9</v>
      </c>
      <c r="E905" t="s">
        <v>191</v>
      </c>
      <c r="F905" t="s">
        <v>192</v>
      </c>
      <c r="G905">
        <v>18319.068957</v>
      </c>
      <c r="H905" t="e">
        <f>IF(PNL!A905="","",_CALC_PNL!P905)</f>
        <v>#VALUE!</v>
      </c>
      <c r="I905" t="e">
        <f>IF(PNL!A905="","",IF(_CALC_PNL!E905=1,H905-G905,""))</f>
        <v>#VALUE!</v>
      </c>
    </row>
    <row r="906" ht="14.25" customHeight="1">
      <c r="A906" t="s">
        <v>94</v>
      </c>
      <c r="B906" t="s">
        <v>259</v>
      </c>
      <c r="C906" t="s">
        <v>233</v>
      </c>
      <c r="D906" t="s">
        <v>234</v>
      </c>
      <c r="E906" t="s">
        <v>191</v>
      </c>
      <c r="F906" t="s">
        <v>192</v>
      </c>
      <c r="G906">
        <v>20547.7584</v>
      </c>
      <c r="H906" t="e">
        <f>IF(PNL!A906="","",_CALC_PNL!P906)</f>
        <v>#VALUE!</v>
      </c>
      <c r="I906" t="e">
        <f>IF(PNL!A906="","",IF(_CALC_PNL!E906=1,H906-G906,""))</f>
        <v>#VALUE!</v>
      </c>
    </row>
    <row r="907" ht="14.25" customHeight="1">
      <c r="A907" t="s">
        <v>95</v>
      </c>
      <c r="B907" t="s">
        <v>259</v>
      </c>
      <c r="C907" t="s">
        <v>233</v>
      </c>
      <c r="D907" t="s">
        <v>231</v>
      </c>
      <c r="E907" t="s">
        <v>191</v>
      </c>
      <c r="F907" t="s">
        <v>192</v>
      </c>
      <c r="G907">
        <v>14167.494</v>
      </c>
      <c r="H907" t="e">
        <f>IF(PNL!A907="","",_CALC_PNL!P907)</f>
        <v>#VALUE!</v>
      </c>
      <c r="I907" t="e">
        <f>IF(PNL!A907="","",IF(_CALC_PNL!E907=1,H907-G907,""))</f>
        <v>#VALUE!</v>
      </c>
    </row>
    <row r="908" ht="14.25" customHeight="1">
      <c r="A908" t="s">
        <v>95</v>
      </c>
      <c r="B908" t="s">
        <v>259</v>
      </c>
      <c r="C908" t="s">
        <v>233</v>
      </c>
      <c r="D908" t="s">
        <v>9</v>
      </c>
      <c r="E908" t="s">
        <v>191</v>
      </c>
      <c r="F908" t="s">
        <v>192</v>
      </c>
      <c r="G908">
        <v>13398.839405</v>
      </c>
      <c r="H908" t="e">
        <f>IF(PNL!A908="","",_CALC_PNL!P908)</f>
        <v>#VALUE!</v>
      </c>
      <c r="I908" t="e">
        <f>IF(PNL!A908="","",IF(_CALC_PNL!E908=1,H908-G908,""))</f>
        <v>#VALUE!</v>
      </c>
    </row>
    <row r="909" ht="14.25" customHeight="1">
      <c r="A909" t="s">
        <v>95</v>
      </c>
      <c r="B909" t="s">
        <v>259</v>
      </c>
      <c r="C909" t="s">
        <v>233</v>
      </c>
      <c r="D909" t="s">
        <v>234</v>
      </c>
      <c r="E909" t="s">
        <v>191</v>
      </c>
      <c r="F909" t="s">
        <v>192</v>
      </c>
      <c r="G909">
        <v>15028.936</v>
      </c>
      <c r="H909" t="e">
        <f>IF(PNL!A909="","",_CALC_PNL!P909)</f>
        <v>#VALUE!</v>
      </c>
      <c r="I909" t="e">
        <f>IF(PNL!A909="","",IF(_CALC_PNL!E909=1,H909-G909,""))</f>
        <v>#VALUE!</v>
      </c>
    </row>
    <row r="910" ht="14.25" customHeight="1">
      <c r="A910" t="s">
        <v>96</v>
      </c>
      <c r="B910" t="s">
        <v>259</v>
      </c>
      <c r="C910" t="s">
        <v>233</v>
      </c>
      <c r="D910" t="s">
        <v>231</v>
      </c>
      <c r="E910" t="s">
        <v>191</v>
      </c>
      <c r="F910" t="s">
        <v>192</v>
      </c>
      <c r="G910">
        <v>21243.1626</v>
      </c>
      <c r="H910" t="e">
        <f>IF(PNL!A910="","",_CALC_PNL!P910)</f>
        <v>#VALUE!</v>
      </c>
      <c r="I910" t="e">
        <f>IF(PNL!A910="","",IF(_CALC_PNL!E910=1,H910-G910,""))</f>
        <v>#VALUE!</v>
      </c>
    </row>
    <row r="911" ht="14.25" customHeight="1">
      <c r="A911" t="s">
        <v>96</v>
      </c>
      <c r="B911" t="s">
        <v>259</v>
      </c>
      <c r="C911" t="s">
        <v>233</v>
      </c>
      <c r="D911" t="s">
        <v>9</v>
      </c>
      <c r="E911" t="s">
        <v>191</v>
      </c>
      <c r="F911" t="s">
        <v>192</v>
      </c>
      <c r="G911">
        <v>20090.6189995</v>
      </c>
      <c r="H911" t="e">
        <f>IF(PNL!A911="","",_CALC_PNL!P911)</f>
        <v>#VALUE!</v>
      </c>
      <c r="I911" t="e">
        <f>IF(PNL!A911="","",IF(_CALC_PNL!E911=1,H911-G911,""))</f>
        <v>#VALUE!</v>
      </c>
    </row>
    <row r="912" ht="14.25" customHeight="1">
      <c r="A912" t="s">
        <v>96</v>
      </c>
      <c r="B912" t="s">
        <v>259</v>
      </c>
      <c r="C912" t="s">
        <v>233</v>
      </c>
      <c r="D912" t="s">
        <v>234</v>
      </c>
      <c r="E912" t="s">
        <v>191</v>
      </c>
      <c r="F912" t="s">
        <v>192</v>
      </c>
      <c r="G912">
        <v>22534.8344</v>
      </c>
      <c r="H912" t="e">
        <f>IF(PNL!A912="","",_CALC_PNL!P912)</f>
        <v>#VALUE!</v>
      </c>
      <c r="I912" t="e">
        <f>IF(PNL!A912="","",IF(_CALC_PNL!E912=1,H912-G912,""))</f>
        <v>#VALUE!</v>
      </c>
    </row>
    <row r="913" ht="14.25" customHeight="1">
      <c r="A913" t="s">
        <v>97</v>
      </c>
      <c r="B913" t="s">
        <v>259</v>
      </c>
      <c r="C913" t="s">
        <v>233</v>
      </c>
      <c r="D913" t="s">
        <v>231</v>
      </c>
      <c r="E913" t="s">
        <v>191</v>
      </c>
      <c r="F913" t="s">
        <v>192</v>
      </c>
      <c r="G913">
        <v>12451.8438</v>
      </c>
      <c r="H913" t="e">
        <f>IF(PNL!A913="","",_CALC_PNL!P913)</f>
        <v>#VALUE!</v>
      </c>
      <c r="I913" t="e">
        <f>IF(PNL!A913="","",IF(_CALC_PNL!E913=1,H913-G913,""))</f>
        <v>#VALUE!</v>
      </c>
    </row>
    <row r="914" ht="14.25" customHeight="1">
      <c r="A914" t="s">
        <v>97</v>
      </c>
      <c r="B914" t="s">
        <v>259</v>
      </c>
      <c r="C914" t="s">
        <v>233</v>
      </c>
      <c r="D914" t="s">
        <v>9</v>
      </c>
      <c r="E914" t="s">
        <v>191</v>
      </c>
      <c r="F914" t="s">
        <v>192</v>
      </c>
      <c r="G914">
        <v>11776.2714685</v>
      </c>
      <c r="H914" t="e">
        <f>IF(PNL!A914="","",_CALC_PNL!P914)</f>
        <v>#VALUE!</v>
      </c>
      <c r="I914" t="e">
        <f>IF(PNL!A914="","",IF(_CALC_PNL!E914=1,H914-G914,""))</f>
        <v>#VALUE!</v>
      </c>
    </row>
    <row r="915" ht="14.25" customHeight="1">
      <c r="A915" t="s">
        <v>97</v>
      </c>
      <c r="B915" t="s">
        <v>259</v>
      </c>
      <c r="C915" t="s">
        <v>233</v>
      </c>
      <c r="D915" t="s">
        <v>234</v>
      </c>
      <c r="E915" t="s">
        <v>191</v>
      </c>
      <c r="F915" t="s">
        <v>192</v>
      </c>
      <c r="G915">
        <v>13208.9672</v>
      </c>
      <c r="H915" t="e">
        <f>IF(PNL!A915="","",_CALC_PNL!P915)</f>
        <v>#VALUE!</v>
      </c>
      <c r="I915" t="e">
        <f>IF(PNL!A915="","",IF(_CALC_PNL!E915=1,H915-G915,""))</f>
        <v>#VALUE!</v>
      </c>
    </row>
    <row r="916" ht="14.25" customHeight="1">
      <c r="A916" t="s">
        <v>251</v>
      </c>
      <c r="B916" t="s">
        <v>260</v>
      </c>
      <c r="C916" t="s">
        <v>233</v>
      </c>
      <c r="D916" t="s">
        <v>231</v>
      </c>
      <c r="E916" t="s">
        <v>191</v>
      </c>
      <c r="F916" t="s">
        <v>192</v>
      </c>
      <c r="G916">
        <v>456300.3456</v>
      </c>
      <c r="H916" t="e">
        <f>IF(PNL!A916="","",_CALC_PNL!P916)</f>
        <v>#VALUE!</v>
      </c>
      <c r="I916" t="e">
        <f>IF(PNL!A916="","",IF(_CALC_PNL!E916=1,H916-G916,""))</f>
        <v>#VALUE!</v>
      </c>
    </row>
    <row r="917" ht="14.25" customHeight="1">
      <c r="A917" t="s">
        <v>251</v>
      </c>
      <c r="B917" t="s">
        <v>260</v>
      </c>
      <c r="C917" t="s">
        <v>233</v>
      </c>
      <c r="D917" t="s">
        <v>9</v>
      </c>
      <c r="E917" t="s">
        <v>191</v>
      </c>
      <c r="F917" t="s">
        <v>192</v>
      </c>
      <c r="G917">
        <v>431543.860272</v>
      </c>
      <c r="H917" t="e">
        <f>IF(PNL!A917="","",_CALC_PNL!P917)</f>
        <v>#VALUE!</v>
      </c>
      <c r="I917" t="e">
        <f>IF(PNL!A917="","",IF(_CALC_PNL!E917=1,H917-G917,""))</f>
        <v>#VALUE!</v>
      </c>
    </row>
    <row r="918" ht="14.25" customHeight="1">
      <c r="A918" t="s">
        <v>251</v>
      </c>
      <c r="B918" t="s">
        <v>260</v>
      </c>
      <c r="C918" t="s">
        <v>233</v>
      </c>
      <c r="D918" t="s">
        <v>234</v>
      </c>
      <c r="E918" t="s">
        <v>191</v>
      </c>
      <c r="F918" t="s">
        <v>192</v>
      </c>
      <c r="G918">
        <v>484045.2864</v>
      </c>
      <c r="H918" t="e">
        <f>IF(PNL!A918="","",_CALC_PNL!P918)</f>
        <v>#VALUE!</v>
      </c>
      <c r="I918" t="e">
        <f>IF(PNL!A918="","",IF(_CALC_PNL!E918=1,H918-G918,""))</f>
        <v>#VALUE!</v>
      </c>
    </row>
    <row r="919" ht="14.25" customHeight="1">
      <c r="A919" t="s">
        <v>251</v>
      </c>
      <c r="B919" t="s">
        <v>261</v>
      </c>
      <c r="C919" t="s">
        <v>233</v>
      </c>
      <c r="D919" t="s">
        <v>231</v>
      </c>
      <c r="E919" t="s">
        <v>191</v>
      </c>
      <c r="F919" t="s">
        <v>192</v>
      </c>
      <c r="G919">
        <v>182520.3402</v>
      </c>
      <c r="H919" t="e">
        <f>IF(PNL!A919="","",_CALC_PNL!P919)</f>
        <v>#VALUE!</v>
      </c>
      <c r="I919" t="e">
        <f>IF(PNL!A919="","",IF(_CALC_PNL!E919=1,H919-G919,""))</f>
        <v>#VALUE!</v>
      </c>
    </row>
    <row r="920" ht="14.25" customHeight="1">
      <c r="A920" t="s">
        <v>251</v>
      </c>
      <c r="B920" t="s">
        <v>261</v>
      </c>
      <c r="C920" t="s">
        <v>233</v>
      </c>
      <c r="D920" t="s">
        <v>9</v>
      </c>
      <c r="E920" t="s">
        <v>191</v>
      </c>
      <c r="F920" t="s">
        <v>192</v>
      </c>
      <c r="G920">
        <v>172617.7351115</v>
      </c>
      <c r="H920" t="e">
        <f>IF(PNL!A920="","",_CALC_PNL!P920)</f>
        <v>#VALUE!</v>
      </c>
      <c r="I920" t="e">
        <f>IF(PNL!A920="","",IF(_CALC_PNL!E920=1,H920-G920,""))</f>
        <v>#VALUE!</v>
      </c>
    </row>
    <row r="921" ht="14.25" customHeight="1">
      <c r="A921" t="s">
        <v>251</v>
      </c>
      <c r="B921" t="s">
        <v>261</v>
      </c>
      <c r="C921" t="s">
        <v>233</v>
      </c>
      <c r="D921" t="s">
        <v>234</v>
      </c>
      <c r="E921" t="s">
        <v>191</v>
      </c>
      <c r="F921" t="s">
        <v>192</v>
      </c>
      <c r="G921">
        <v>193618.3288</v>
      </c>
      <c r="H921" t="e">
        <f>IF(PNL!A921="","",_CALC_PNL!P921)</f>
        <v>#VALUE!</v>
      </c>
      <c r="I921" t="e">
        <f>IF(PNL!A921="","",IF(_CALC_PNL!E921=1,H921-G921,""))</f>
        <v>#VALUE!</v>
      </c>
    </row>
    <row r="922" ht="14.25" customHeight="1">
      <c r="A922" t="s">
        <v>251</v>
      </c>
      <c r="B922" t="s">
        <v>262</v>
      </c>
      <c r="C922" t="s">
        <v>233</v>
      </c>
      <c r="D922" t="s">
        <v>231</v>
      </c>
      <c r="E922" t="s">
        <v>191</v>
      </c>
      <c r="F922" t="s">
        <v>192</v>
      </c>
      <c r="G922">
        <v>342225.2592</v>
      </c>
      <c r="H922" t="e">
        <f>IF(PNL!A922="","",_CALC_PNL!P922)</f>
        <v>#VALUE!</v>
      </c>
      <c r="I922" t="e">
        <f>IF(PNL!A922="","",IF(_CALC_PNL!E922=1,H922-G922,""))</f>
        <v>#VALUE!</v>
      </c>
    </row>
    <row r="923" ht="14.25" customHeight="1">
      <c r="A923" t="s">
        <v>251</v>
      </c>
      <c r="B923" t="s">
        <v>262</v>
      </c>
      <c r="C923" t="s">
        <v>233</v>
      </c>
      <c r="D923" t="s">
        <v>9</v>
      </c>
      <c r="E923" t="s">
        <v>191</v>
      </c>
      <c r="F923" t="s">
        <v>192</v>
      </c>
      <c r="G923">
        <v>333667.9332</v>
      </c>
      <c r="H923" t="e">
        <f>IF(PNL!A923="","",_CALC_PNL!P923)</f>
        <v>#VALUE!</v>
      </c>
      <c r="I923" t="e">
        <f>IF(PNL!A923="","",IF(_CALC_PNL!E923=1,H923-G923,""))</f>
        <v>#VALUE!</v>
      </c>
    </row>
    <row r="924" ht="14.25" customHeight="1">
      <c r="A924" t="s">
        <v>251</v>
      </c>
      <c r="B924" t="s">
        <v>262</v>
      </c>
      <c r="C924" t="s">
        <v>233</v>
      </c>
      <c r="D924" t="s">
        <v>234</v>
      </c>
      <c r="E924" t="s">
        <v>191</v>
      </c>
      <c r="F924" t="s">
        <v>192</v>
      </c>
      <c r="G924">
        <v>349071.12</v>
      </c>
      <c r="H924" t="e">
        <f>IF(PNL!A924="","",_CALC_PNL!P924)</f>
        <v>#VALUE!</v>
      </c>
      <c r="I924" t="e">
        <f>IF(PNL!A924="","",IF(_CALC_PNL!E924=1,H924-G924,""))</f>
        <v>#VALUE!</v>
      </c>
    </row>
    <row r="925" ht="14.25" customHeight="1">
      <c r="A925" t="s">
        <v>75</v>
      </c>
      <c r="B925" t="s">
        <v>263</v>
      </c>
      <c r="C925" t="s">
        <v>233</v>
      </c>
      <c r="D925" t="s">
        <v>231</v>
      </c>
      <c r="E925" t="s">
        <v>191</v>
      </c>
      <c r="F925" t="s">
        <v>192</v>
      </c>
      <c r="G925">
        <v>35948.88</v>
      </c>
      <c r="H925" t="e">
        <f>IF(PNL!A925="","",_CALC_PNL!P925)</f>
        <v>#VALUE!</v>
      </c>
      <c r="I925" t="e">
        <f>IF(PNL!A925="","",IF(_CALC_PNL!E925=1,H925-G925,""))</f>
        <v>#VALUE!</v>
      </c>
    </row>
    <row r="926" ht="14.25" customHeight="1">
      <c r="A926" t="s">
        <v>75</v>
      </c>
      <c r="B926" t="s">
        <v>263</v>
      </c>
      <c r="C926" t="s">
        <v>233</v>
      </c>
      <c r="D926" t="s">
        <v>9</v>
      </c>
      <c r="E926" t="s">
        <v>191</v>
      </c>
      <c r="F926" t="s">
        <v>192</v>
      </c>
      <c r="G926">
        <v>35049.98</v>
      </c>
      <c r="H926" t="e">
        <f>IF(PNL!A926="","",_CALC_PNL!P926)</f>
        <v>#VALUE!</v>
      </c>
      <c r="I926" t="e">
        <f>IF(PNL!A926="","",IF(_CALC_PNL!E926=1,H926-G926,""))</f>
        <v>#VALUE!</v>
      </c>
    </row>
    <row r="927" ht="14.25" customHeight="1">
      <c r="A927" t="s">
        <v>75</v>
      </c>
      <c r="B927" t="s">
        <v>263</v>
      </c>
      <c r="C927" t="s">
        <v>233</v>
      </c>
      <c r="D927" t="s">
        <v>234</v>
      </c>
      <c r="E927" t="s">
        <v>191</v>
      </c>
      <c r="F927" t="s">
        <v>192</v>
      </c>
      <c r="G927">
        <v>36668</v>
      </c>
      <c r="H927" t="e">
        <f>IF(PNL!A927="","",_CALC_PNL!P927)</f>
        <v>#VALUE!</v>
      </c>
      <c r="I927" t="e">
        <f>IF(PNL!A927="","",IF(_CALC_PNL!E927=1,H927-G927,""))</f>
        <v>#VALUE!</v>
      </c>
    </row>
    <row r="928" ht="14.25" customHeight="1">
      <c r="A928" t="s">
        <v>77</v>
      </c>
      <c r="B928" t="s">
        <v>263</v>
      </c>
      <c r="C928" t="s">
        <v>233</v>
      </c>
      <c r="D928" t="s">
        <v>231</v>
      </c>
      <c r="E928" t="s">
        <v>191</v>
      </c>
      <c r="F928" t="s">
        <v>192</v>
      </c>
      <c r="G928">
        <v>21540.0438</v>
      </c>
      <c r="H928" t="e">
        <f>IF(PNL!A928="","",_CALC_PNL!P928)</f>
        <v>#VALUE!</v>
      </c>
      <c r="I928" t="e">
        <f>IF(PNL!A928="","",IF(_CALC_PNL!E928=1,H928-G928,""))</f>
        <v>#VALUE!</v>
      </c>
    </row>
    <row r="929" ht="14.25" customHeight="1">
      <c r="A929" t="s">
        <v>77</v>
      </c>
      <c r="B929" t="s">
        <v>263</v>
      </c>
      <c r="C929" t="s">
        <v>233</v>
      </c>
      <c r="D929" t="s">
        <v>9</v>
      </c>
      <c r="E929" t="s">
        <v>191</v>
      </c>
      <c r="F929" t="s">
        <v>192</v>
      </c>
      <c r="G929">
        <v>21001.43605</v>
      </c>
      <c r="H929" t="e">
        <f>IF(PNL!A929="","",_CALC_PNL!P929)</f>
        <v>#VALUE!</v>
      </c>
      <c r="I929" t="e">
        <f>IF(PNL!A929="","",IF(_CALC_PNL!E929=1,H929-G929,""))</f>
        <v>#VALUE!</v>
      </c>
    </row>
    <row r="930" ht="14.25" customHeight="1">
      <c r="A930" t="s">
        <v>77</v>
      </c>
      <c r="B930" t="s">
        <v>263</v>
      </c>
      <c r="C930" t="s">
        <v>233</v>
      </c>
      <c r="D930" t="s">
        <v>234</v>
      </c>
      <c r="E930" t="s">
        <v>191</v>
      </c>
      <c r="F930" t="s">
        <v>192</v>
      </c>
      <c r="G930">
        <v>21970.93</v>
      </c>
      <c r="H930" t="e">
        <f>IF(PNL!A930="","",_CALC_PNL!P930)</f>
        <v>#VALUE!</v>
      </c>
      <c r="I930" t="e">
        <f>IF(PNL!A930="","",IF(_CALC_PNL!E930=1,H930-G930,""))</f>
        <v>#VALUE!</v>
      </c>
    </row>
    <row r="931" ht="14.25" customHeight="1">
      <c r="A931" t="s">
        <v>79</v>
      </c>
      <c r="B931" t="s">
        <v>263</v>
      </c>
      <c r="C931" t="s">
        <v>233</v>
      </c>
      <c r="D931" t="s">
        <v>231</v>
      </c>
      <c r="E931" t="s">
        <v>191</v>
      </c>
      <c r="F931" t="s">
        <v>192</v>
      </c>
      <c r="G931">
        <v>17752.284</v>
      </c>
      <c r="H931" t="e">
        <f>IF(PNL!A931="","",_CALC_PNL!P931)</f>
        <v>#VALUE!</v>
      </c>
      <c r="I931" t="e">
        <f>IF(PNL!A931="","",IF(_CALC_PNL!E931=1,H931-G931,""))</f>
        <v>#VALUE!</v>
      </c>
    </row>
    <row r="932" ht="14.25" customHeight="1">
      <c r="A932" t="s">
        <v>79</v>
      </c>
      <c r="B932" t="s">
        <v>263</v>
      </c>
      <c r="C932" t="s">
        <v>233</v>
      </c>
      <c r="D932" t="s">
        <v>9</v>
      </c>
      <c r="E932" t="s">
        <v>191</v>
      </c>
      <c r="F932" t="s">
        <v>192</v>
      </c>
      <c r="G932">
        <v>17308.389</v>
      </c>
      <c r="H932" t="e">
        <f>IF(PNL!A932="","",_CALC_PNL!P932)</f>
        <v>#VALUE!</v>
      </c>
      <c r="I932" t="e">
        <f>IF(PNL!A932="","",IF(_CALC_PNL!E932=1,H932-G932,""))</f>
        <v>#VALUE!</v>
      </c>
    </row>
    <row r="933" ht="14.25" customHeight="1">
      <c r="A933" t="s">
        <v>79</v>
      </c>
      <c r="B933" t="s">
        <v>263</v>
      </c>
      <c r="C933" t="s">
        <v>233</v>
      </c>
      <c r="D933" t="s">
        <v>234</v>
      </c>
      <c r="E933" t="s">
        <v>191</v>
      </c>
      <c r="F933" t="s">
        <v>192</v>
      </c>
      <c r="G933">
        <v>18107.4</v>
      </c>
      <c r="H933" t="e">
        <f>IF(PNL!A933="","",_CALC_PNL!P933)</f>
        <v>#VALUE!</v>
      </c>
      <c r="I933" t="e">
        <f>IF(PNL!A933="","",IF(_CALC_PNL!E933=1,H933-G933,""))</f>
        <v>#VALUE!</v>
      </c>
    </row>
    <row r="934" ht="14.25" customHeight="1">
      <c r="A934" t="s">
        <v>81</v>
      </c>
      <c r="B934" t="s">
        <v>263</v>
      </c>
      <c r="C934" t="s">
        <v>233</v>
      </c>
      <c r="D934" t="s">
        <v>231</v>
      </c>
      <c r="E934" t="s">
        <v>191</v>
      </c>
      <c r="F934" t="s">
        <v>192</v>
      </c>
      <c r="G934">
        <v>15533.7534</v>
      </c>
      <c r="H934" t="e">
        <f>IF(PNL!A934="","",_CALC_PNL!P934)</f>
        <v>#VALUE!</v>
      </c>
      <c r="I934" t="e">
        <f>IF(PNL!A934="","",IF(_CALC_PNL!E934=1,H934-G934,""))</f>
        <v>#VALUE!</v>
      </c>
    </row>
    <row r="935" ht="14.25" customHeight="1">
      <c r="A935" t="s">
        <v>81</v>
      </c>
      <c r="B935" t="s">
        <v>263</v>
      </c>
      <c r="C935" t="s">
        <v>233</v>
      </c>
      <c r="D935" t="s">
        <v>9</v>
      </c>
      <c r="E935" t="s">
        <v>191</v>
      </c>
      <c r="F935" t="s">
        <v>192</v>
      </c>
      <c r="G935">
        <v>15145.33265</v>
      </c>
      <c r="H935" t="e">
        <f>IF(PNL!A935="","",_CALC_PNL!P935)</f>
        <v>#VALUE!</v>
      </c>
      <c r="I935" t="e">
        <f>IF(PNL!A935="","",IF(_CALC_PNL!E935=1,H935-G935,""))</f>
        <v>#VALUE!</v>
      </c>
    </row>
    <row r="936" ht="14.25" customHeight="1">
      <c r="A936" t="s">
        <v>81</v>
      </c>
      <c r="B936" t="s">
        <v>263</v>
      </c>
      <c r="C936" t="s">
        <v>233</v>
      </c>
      <c r="D936" t="s">
        <v>234</v>
      </c>
      <c r="E936" t="s">
        <v>191</v>
      </c>
      <c r="F936" t="s">
        <v>192</v>
      </c>
      <c r="G936">
        <v>15844.49</v>
      </c>
      <c r="H936" t="e">
        <f>IF(PNL!A936="","",_CALC_PNL!P936)</f>
        <v>#VALUE!</v>
      </c>
      <c r="I936" t="e">
        <f>IF(PNL!A936="","",IF(_CALC_PNL!E936=1,H936-G936,""))</f>
        <v>#VALUE!</v>
      </c>
    </row>
    <row r="937" ht="14.25" customHeight="1">
      <c r="A937" t="s">
        <v>83</v>
      </c>
      <c r="B937" t="s">
        <v>263</v>
      </c>
      <c r="C937" t="s">
        <v>233</v>
      </c>
      <c r="D937" t="s">
        <v>231</v>
      </c>
      <c r="E937" t="s">
        <v>191</v>
      </c>
      <c r="F937" t="s">
        <v>192</v>
      </c>
      <c r="G937">
        <v>35948.88</v>
      </c>
      <c r="H937" t="e">
        <f>IF(PNL!A937="","",_CALC_PNL!P937)</f>
        <v>#VALUE!</v>
      </c>
      <c r="I937" t="e">
        <f>IF(PNL!A937="","",IF(_CALC_PNL!E937=1,H937-G937,""))</f>
        <v>#VALUE!</v>
      </c>
    </row>
    <row r="938" ht="14.25" customHeight="1">
      <c r="A938" t="s">
        <v>83</v>
      </c>
      <c r="B938" t="s">
        <v>263</v>
      </c>
      <c r="C938" t="s">
        <v>233</v>
      </c>
      <c r="D938" t="s">
        <v>9</v>
      </c>
      <c r="E938" t="s">
        <v>191</v>
      </c>
      <c r="F938" t="s">
        <v>192</v>
      </c>
      <c r="G938">
        <v>35049.98</v>
      </c>
      <c r="H938" t="e">
        <f>IF(PNL!A938="","",_CALC_PNL!P938)</f>
        <v>#VALUE!</v>
      </c>
      <c r="I938" t="e">
        <f>IF(PNL!A938="","",IF(_CALC_PNL!E938=1,H938-G938,""))</f>
        <v>#VALUE!</v>
      </c>
    </row>
    <row r="939" ht="14.25" customHeight="1">
      <c r="A939" t="s">
        <v>83</v>
      </c>
      <c r="B939" t="s">
        <v>263</v>
      </c>
      <c r="C939" t="s">
        <v>233</v>
      </c>
      <c r="D939" t="s">
        <v>234</v>
      </c>
      <c r="E939" t="s">
        <v>191</v>
      </c>
      <c r="F939" t="s">
        <v>192</v>
      </c>
      <c r="G939">
        <v>36668</v>
      </c>
      <c r="H939" t="e">
        <f>IF(PNL!A939="","",_CALC_PNL!P939)</f>
        <v>#VALUE!</v>
      </c>
      <c r="I939" t="e">
        <f>IF(PNL!A939="","",IF(_CALC_PNL!E939=1,H939-G939,""))</f>
        <v>#VALUE!</v>
      </c>
    </row>
    <row r="940" ht="14.25" customHeight="1">
      <c r="A940" t="s">
        <v>84</v>
      </c>
      <c r="B940" t="s">
        <v>263</v>
      </c>
      <c r="C940" t="s">
        <v>233</v>
      </c>
      <c r="D940" t="s">
        <v>231</v>
      </c>
      <c r="E940" t="s">
        <v>191</v>
      </c>
      <c r="F940" t="s">
        <v>192</v>
      </c>
      <c r="G940">
        <v>13610.0844</v>
      </c>
      <c r="H940" t="e">
        <f>IF(PNL!A940="","",_CALC_PNL!P940)</f>
        <v>#VALUE!</v>
      </c>
      <c r="I940" t="e">
        <f>IF(PNL!A940="","",IF(_CALC_PNL!E940=1,H940-G940,""))</f>
        <v>#VALUE!</v>
      </c>
    </row>
    <row r="941" ht="14.25" customHeight="1">
      <c r="A941" t="s">
        <v>84</v>
      </c>
      <c r="B941" t="s">
        <v>263</v>
      </c>
      <c r="C941" t="s">
        <v>233</v>
      </c>
      <c r="D941" t="s">
        <v>9</v>
      </c>
      <c r="E941" t="s">
        <v>191</v>
      </c>
      <c r="F941" t="s">
        <v>192</v>
      </c>
      <c r="G941">
        <v>13269.7649</v>
      </c>
      <c r="H941" t="e">
        <f>IF(PNL!A941="","",_CALC_PNL!P941)</f>
        <v>#VALUE!</v>
      </c>
      <c r="I941" t="e">
        <f>IF(PNL!A941="","",IF(_CALC_PNL!E941=1,H941-G941,""))</f>
        <v>#VALUE!</v>
      </c>
    </row>
    <row r="942" ht="14.25" customHeight="1">
      <c r="A942" t="s">
        <v>84</v>
      </c>
      <c r="B942" t="s">
        <v>263</v>
      </c>
      <c r="C942" t="s">
        <v>233</v>
      </c>
      <c r="D942" t="s">
        <v>234</v>
      </c>
      <c r="E942" t="s">
        <v>191</v>
      </c>
      <c r="F942" t="s">
        <v>192</v>
      </c>
      <c r="G942">
        <v>13882.34</v>
      </c>
      <c r="H942" t="e">
        <f>IF(PNL!A942="","",_CALC_PNL!P942)</f>
        <v>#VALUE!</v>
      </c>
      <c r="I942" t="e">
        <f>IF(PNL!A942="","",IF(_CALC_PNL!E942=1,H942-G942,""))</f>
        <v>#VALUE!</v>
      </c>
    </row>
    <row r="943" ht="14.25" customHeight="1">
      <c r="A943" t="s">
        <v>86</v>
      </c>
      <c r="B943" t="s">
        <v>263</v>
      </c>
      <c r="C943" t="s">
        <v>233</v>
      </c>
      <c r="D943" t="s">
        <v>231</v>
      </c>
      <c r="E943" t="s">
        <v>191</v>
      </c>
      <c r="F943" t="s">
        <v>192</v>
      </c>
      <c r="G943">
        <v>13314.213</v>
      </c>
      <c r="H943" t="e">
        <f>IF(PNL!A943="","",_CALC_PNL!P943)</f>
        <v>#VALUE!</v>
      </c>
      <c r="I943" t="e">
        <f>IF(PNL!A943="","",IF(_CALC_PNL!E943=1,H943-G943,""))</f>
        <v>#VALUE!</v>
      </c>
    </row>
    <row r="944" ht="14.25" customHeight="1">
      <c r="A944" t="s">
        <v>86</v>
      </c>
      <c r="B944" t="s">
        <v>263</v>
      </c>
      <c r="C944" t="s">
        <v>233</v>
      </c>
      <c r="D944" t="s">
        <v>9</v>
      </c>
      <c r="E944" t="s">
        <v>191</v>
      </c>
      <c r="F944" t="s">
        <v>192</v>
      </c>
      <c r="G944">
        <v>12981.29175</v>
      </c>
      <c r="H944" t="e">
        <f>IF(PNL!A944="","",_CALC_PNL!P944)</f>
        <v>#VALUE!</v>
      </c>
      <c r="I944" t="e">
        <f>IF(PNL!A944="","",IF(_CALC_PNL!E944=1,H944-G944,""))</f>
        <v>#VALUE!</v>
      </c>
    </row>
    <row r="945" ht="14.25" customHeight="1">
      <c r="A945" t="s">
        <v>86</v>
      </c>
      <c r="B945" t="s">
        <v>263</v>
      </c>
      <c r="C945" t="s">
        <v>233</v>
      </c>
      <c r="D945" t="s">
        <v>234</v>
      </c>
      <c r="E945" t="s">
        <v>191</v>
      </c>
      <c r="F945" t="s">
        <v>192</v>
      </c>
      <c r="G945">
        <v>13580.55</v>
      </c>
      <c r="H945" t="e">
        <f>IF(PNL!A945="","",_CALC_PNL!P945)</f>
        <v>#VALUE!</v>
      </c>
      <c r="I945" t="e">
        <f>IF(PNL!A945="","",IF(_CALC_PNL!E945=1,H945-G945,""))</f>
        <v>#VALUE!</v>
      </c>
    </row>
    <row r="946" ht="14.25" customHeight="1">
      <c r="A946" t="s">
        <v>88</v>
      </c>
      <c r="B946" t="s">
        <v>263</v>
      </c>
      <c r="C946" t="s">
        <v>233</v>
      </c>
      <c r="D946" t="s">
        <v>231</v>
      </c>
      <c r="E946" t="s">
        <v>191</v>
      </c>
      <c r="F946" t="s">
        <v>192</v>
      </c>
      <c r="G946">
        <v>8876.142</v>
      </c>
      <c r="H946" t="e">
        <f>IF(PNL!A946="","",_CALC_PNL!P946)</f>
        <v>#VALUE!</v>
      </c>
      <c r="I946" t="e">
        <f>IF(PNL!A946="","",IF(_CALC_PNL!E946=1,H946-G946,""))</f>
        <v>#VALUE!</v>
      </c>
    </row>
    <row r="947" ht="14.25" customHeight="1">
      <c r="A947" t="s">
        <v>88</v>
      </c>
      <c r="B947" t="s">
        <v>263</v>
      </c>
      <c r="C947" t="s">
        <v>233</v>
      </c>
      <c r="D947" t="s">
        <v>9</v>
      </c>
      <c r="E947" t="s">
        <v>191</v>
      </c>
      <c r="F947" t="s">
        <v>192</v>
      </c>
      <c r="G947">
        <v>8654.1945</v>
      </c>
      <c r="H947" t="e">
        <f>IF(PNL!A947="","",_CALC_PNL!P947)</f>
        <v>#VALUE!</v>
      </c>
      <c r="I947" t="e">
        <f>IF(PNL!A947="","",IF(_CALC_PNL!E947=1,H947-G947,""))</f>
        <v>#VALUE!</v>
      </c>
    </row>
    <row r="948" ht="14.25" customHeight="1">
      <c r="A948" t="s">
        <v>88</v>
      </c>
      <c r="B948" t="s">
        <v>263</v>
      </c>
      <c r="C948" t="s">
        <v>233</v>
      </c>
      <c r="D948" t="s">
        <v>234</v>
      </c>
      <c r="E948" t="s">
        <v>191</v>
      </c>
      <c r="F948" t="s">
        <v>192</v>
      </c>
      <c r="G948">
        <v>9053.7</v>
      </c>
      <c r="H948" t="e">
        <f>IF(PNL!A948="","",_CALC_PNL!P948)</f>
        <v>#VALUE!</v>
      </c>
      <c r="I948" t="e">
        <f>IF(PNL!A948="","",IF(_CALC_PNL!E948=1,H948-G948,""))</f>
        <v>#VALUE!</v>
      </c>
    </row>
    <row r="949" ht="14.25" customHeight="1">
      <c r="A949" t="s">
        <v>90</v>
      </c>
      <c r="B949" t="s">
        <v>263</v>
      </c>
      <c r="C949" t="s">
        <v>233</v>
      </c>
      <c r="D949" t="s">
        <v>231</v>
      </c>
      <c r="E949" t="s">
        <v>191</v>
      </c>
      <c r="F949" t="s">
        <v>192</v>
      </c>
      <c r="G949">
        <v>7810.803</v>
      </c>
      <c r="H949" t="e">
        <f>IF(PNL!A949="","",_CALC_PNL!P949)</f>
        <v>#VALUE!</v>
      </c>
      <c r="I949" t="e">
        <f>IF(PNL!A949="","",IF(_CALC_PNL!E949=1,H949-G949,""))</f>
        <v>#VALUE!</v>
      </c>
    </row>
    <row r="950" ht="14.25" customHeight="1">
      <c r="A950" t="s">
        <v>90</v>
      </c>
      <c r="B950" t="s">
        <v>263</v>
      </c>
      <c r="C950" t="s">
        <v>233</v>
      </c>
      <c r="D950" t="s">
        <v>9</v>
      </c>
      <c r="E950" t="s">
        <v>191</v>
      </c>
      <c r="F950" t="s">
        <v>192</v>
      </c>
      <c r="G950">
        <v>7615.49425</v>
      </c>
      <c r="H950" t="e">
        <f>IF(PNL!A950="","",_CALC_PNL!P950)</f>
        <v>#VALUE!</v>
      </c>
      <c r="I950" t="e">
        <f>IF(PNL!A950="","",IF(_CALC_PNL!E950=1,H950-G950,""))</f>
        <v>#VALUE!</v>
      </c>
    </row>
    <row r="951" ht="14.25" customHeight="1">
      <c r="A951" t="s">
        <v>90</v>
      </c>
      <c r="B951" t="s">
        <v>263</v>
      </c>
      <c r="C951" t="s">
        <v>233</v>
      </c>
      <c r="D951" t="s">
        <v>234</v>
      </c>
      <c r="E951" t="s">
        <v>191</v>
      </c>
      <c r="F951" t="s">
        <v>192</v>
      </c>
      <c r="G951">
        <v>7967.05</v>
      </c>
      <c r="H951" t="e">
        <f>IF(PNL!A951="","",_CALC_PNL!P951)</f>
        <v>#VALUE!</v>
      </c>
      <c r="I951" t="e">
        <f>IF(PNL!A951="","",IF(_CALC_PNL!E951=1,H951-G951,""))</f>
        <v>#VALUE!</v>
      </c>
    </row>
    <row r="952" ht="14.25" customHeight="1">
      <c r="A952" t="s">
        <v>92</v>
      </c>
      <c r="B952" t="s">
        <v>263</v>
      </c>
      <c r="C952" t="s">
        <v>233</v>
      </c>
      <c r="D952" t="s">
        <v>231</v>
      </c>
      <c r="E952" t="s">
        <v>191</v>
      </c>
      <c r="F952" t="s">
        <v>192</v>
      </c>
      <c r="G952">
        <v>7810.803</v>
      </c>
      <c r="H952" t="e">
        <f>IF(PNL!A952="","",_CALC_PNL!P952)</f>
        <v>#VALUE!</v>
      </c>
      <c r="I952" t="e">
        <f>IF(PNL!A952="","",IF(_CALC_PNL!E952=1,H952-G952,""))</f>
        <v>#VALUE!</v>
      </c>
    </row>
    <row r="953" ht="14.25" customHeight="1">
      <c r="A953" t="s">
        <v>92</v>
      </c>
      <c r="B953" t="s">
        <v>263</v>
      </c>
      <c r="C953" t="s">
        <v>233</v>
      </c>
      <c r="D953" t="s">
        <v>9</v>
      </c>
      <c r="E953" t="s">
        <v>191</v>
      </c>
      <c r="F953" t="s">
        <v>192</v>
      </c>
      <c r="G953">
        <v>7615.49425</v>
      </c>
      <c r="H953" t="e">
        <f>IF(PNL!A953="","",_CALC_PNL!P953)</f>
        <v>#VALUE!</v>
      </c>
      <c r="I953" t="e">
        <f>IF(PNL!A953="","",IF(_CALC_PNL!E953=1,H953-G953,""))</f>
        <v>#VALUE!</v>
      </c>
    </row>
    <row r="954" ht="14.25" customHeight="1">
      <c r="A954" t="s">
        <v>92</v>
      </c>
      <c r="B954" t="s">
        <v>263</v>
      </c>
      <c r="C954" t="s">
        <v>233</v>
      </c>
      <c r="D954" t="s">
        <v>234</v>
      </c>
      <c r="E954" t="s">
        <v>191</v>
      </c>
      <c r="F954" t="s">
        <v>192</v>
      </c>
      <c r="G954">
        <v>7967.05</v>
      </c>
      <c r="H954" t="e">
        <f>IF(PNL!A954="","",_CALC_PNL!P954)</f>
        <v>#VALUE!</v>
      </c>
      <c r="I954" t="e">
        <f>IF(PNL!A954="","",IF(_CALC_PNL!E954=1,H954-G954,""))</f>
        <v>#VALUE!</v>
      </c>
    </row>
    <row r="955" ht="14.25" customHeight="1">
      <c r="A955" t="s">
        <v>94</v>
      </c>
      <c r="B955" t="s">
        <v>263</v>
      </c>
      <c r="C955" t="s">
        <v>233</v>
      </c>
      <c r="D955" t="s">
        <v>231</v>
      </c>
      <c r="E955" t="s">
        <v>191</v>
      </c>
      <c r="F955" t="s">
        <v>192</v>
      </c>
      <c r="G955">
        <v>13255.6446</v>
      </c>
      <c r="H955" t="e">
        <f>IF(PNL!A955="","",_CALC_PNL!P955)</f>
        <v>#VALUE!</v>
      </c>
      <c r="I955" t="e">
        <f>IF(PNL!A955="","",IF(_CALC_PNL!E955=1,H955-G955,""))</f>
        <v>#VALUE!</v>
      </c>
    </row>
    <row r="956" ht="14.25" customHeight="1">
      <c r="A956" t="s">
        <v>94</v>
      </c>
      <c r="B956" t="s">
        <v>263</v>
      </c>
      <c r="C956" t="s">
        <v>233</v>
      </c>
      <c r="D956" t="s">
        <v>9</v>
      </c>
      <c r="E956" t="s">
        <v>191</v>
      </c>
      <c r="F956" t="s">
        <v>192</v>
      </c>
      <c r="G956">
        <v>12924.18785</v>
      </c>
      <c r="H956" t="e">
        <f>IF(PNL!A956="","",_CALC_PNL!P956)</f>
        <v>#VALUE!</v>
      </c>
      <c r="I956" t="e">
        <f>IF(PNL!A956="","",IF(_CALC_PNL!E956=1,H956-G956,""))</f>
        <v>#VALUE!</v>
      </c>
    </row>
    <row r="957" ht="14.25" customHeight="1">
      <c r="A957" t="s">
        <v>94</v>
      </c>
      <c r="B957" t="s">
        <v>263</v>
      </c>
      <c r="C957" t="s">
        <v>233</v>
      </c>
      <c r="D957" t="s">
        <v>234</v>
      </c>
      <c r="E957" t="s">
        <v>191</v>
      </c>
      <c r="F957" t="s">
        <v>192</v>
      </c>
      <c r="G957">
        <v>13520.81</v>
      </c>
      <c r="H957" t="e">
        <f>IF(PNL!A957="","",_CALC_PNL!P957)</f>
        <v>#VALUE!</v>
      </c>
      <c r="I957" t="e">
        <f>IF(PNL!A957="","",IF(_CALC_PNL!E957=1,H957-G957,""))</f>
        <v>#VALUE!</v>
      </c>
    </row>
    <row r="958" ht="14.25" customHeight="1">
      <c r="A958" t="s">
        <v>95</v>
      </c>
      <c r="B958" t="s">
        <v>263</v>
      </c>
      <c r="C958" t="s">
        <v>233</v>
      </c>
      <c r="D958" t="s">
        <v>231</v>
      </c>
      <c r="E958" t="s">
        <v>191</v>
      </c>
      <c r="F958" t="s">
        <v>192</v>
      </c>
      <c r="G958">
        <v>12426.5988</v>
      </c>
      <c r="H958" t="e">
        <f>IF(PNL!A958="","",_CALC_PNL!P958)</f>
        <v>#VALUE!</v>
      </c>
      <c r="I958" t="e">
        <f>IF(PNL!A958="","",IF(_CALC_PNL!E958=1,H958-G958,""))</f>
        <v>#VALUE!</v>
      </c>
    </row>
    <row r="959" ht="14.25" customHeight="1">
      <c r="A959" t="s">
        <v>95</v>
      </c>
      <c r="B959" t="s">
        <v>263</v>
      </c>
      <c r="C959" t="s">
        <v>233</v>
      </c>
      <c r="D959" t="s">
        <v>9</v>
      </c>
      <c r="E959" t="s">
        <v>191</v>
      </c>
      <c r="F959" t="s">
        <v>192</v>
      </c>
      <c r="G959">
        <v>12115.8723</v>
      </c>
      <c r="H959" t="e">
        <f>IF(PNL!A959="","",_CALC_PNL!P959)</f>
        <v>#VALUE!</v>
      </c>
      <c r="I959" t="e">
        <f>IF(PNL!A959="","",IF(_CALC_PNL!E959=1,H959-G959,""))</f>
        <v>#VALUE!</v>
      </c>
    </row>
    <row r="960" ht="14.25" customHeight="1">
      <c r="A960" t="s">
        <v>95</v>
      </c>
      <c r="B960" t="s">
        <v>263</v>
      </c>
      <c r="C960" t="s">
        <v>233</v>
      </c>
      <c r="D960" t="s">
        <v>234</v>
      </c>
      <c r="E960" t="s">
        <v>191</v>
      </c>
      <c r="F960" t="s">
        <v>192</v>
      </c>
      <c r="G960">
        <v>12675.18</v>
      </c>
      <c r="H960" t="e">
        <f>IF(PNL!A960="","",_CALC_PNL!P960)</f>
        <v>#VALUE!</v>
      </c>
      <c r="I960" t="e">
        <f>IF(PNL!A960="","",IF(_CALC_PNL!E960=1,H960-G960,""))</f>
        <v>#VALUE!</v>
      </c>
    </row>
    <row r="961" ht="14.25" customHeight="1">
      <c r="A961" t="s">
        <v>96</v>
      </c>
      <c r="B961" t="s">
        <v>263</v>
      </c>
      <c r="C961" t="s">
        <v>233</v>
      </c>
      <c r="D961" t="s">
        <v>231</v>
      </c>
      <c r="E961" t="s">
        <v>191</v>
      </c>
      <c r="F961" t="s">
        <v>192</v>
      </c>
      <c r="G961">
        <v>14379.552</v>
      </c>
      <c r="H961" t="e">
        <f>IF(PNL!A961="","",_CALC_PNL!P961)</f>
        <v>#VALUE!</v>
      </c>
      <c r="I961" t="e">
        <f>IF(PNL!A961="","",IF(_CALC_PNL!E961=1,H961-G961,""))</f>
        <v>#VALUE!</v>
      </c>
    </row>
    <row r="962" ht="14.25" customHeight="1">
      <c r="A962" t="s">
        <v>96</v>
      </c>
      <c r="B962" t="s">
        <v>263</v>
      </c>
      <c r="C962" t="s">
        <v>233</v>
      </c>
      <c r="D962" t="s">
        <v>9</v>
      </c>
      <c r="E962" t="s">
        <v>191</v>
      </c>
      <c r="F962" t="s">
        <v>192</v>
      </c>
      <c r="G962">
        <v>14019.992</v>
      </c>
      <c r="H962" t="e">
        <f>IF(PNL!A962="","",_CALC_PNL!P962)</f>
        <v>#VALUE!</v>
      </c>
      <c r="I962" t="e">
        <f>IF(PNL!A962="","",IF(_CALC_PNL!E962=1,H962-G962,""))</f>
        <v>#VALUE!</v>
      </c>
    </row>
    <row r="963" ht="14.25" customHeight="1">
      <c r="A963" t="s">
        <v>96</v>
      </c>
      <c r="B963" t="s">
        <v>263</v>
      </c>
      <c r="C963" t="s">
        <v>233</v>
      </c>
      <c r="D963" t="s">
        <v>234</v>
      </c>
      <c r="E963" t="s">
        <v>191</v>
      </c>
      <c r="F963" t="s">
        <v>192</v>
      </c>
      <c r="G963">
        <v>14667.2</v>
      </c>
      <c r="H963" t="e">
        <f>IF(PNL!A963="","",_CALC_PNL!P963)</f>
        <v>#VALUE!</v>
      </c>
      <c r="I963" t="e">
        <f>IF(PNL!A963="","",IF(_CALC_PNL!E963=1,H963-G963,""))</f>
        <v>#VALUE!</v>
      </c>
    </row>
    <row r="964" ht="14.25" customHeight="1">
      <c r="A964" t="s">
        <v>97</v>
      </c>
      <c r="B964" t="s">
        <v>263</v>
      </c>
      <c r="C964" t="s">
        <v>233</v>
      </c>
      <c r="D964" t="s">
        <v>231</v>
      </c>
      <c r="E964" t="s">
        <v>191</v>
      </c>
      <c r="F964" t="s">
        <v>192</v>
      </c>
      <c r="G964">
        <v>9941.481</v>
      </c>
      <c r="H964" t="e">
        <f>IF(PNL!A964="","",_CALC_PNL!P964)</f>
        <v>#VALUE!</v>
      </c>
      <c r="I964" t="e">
        <f>IF(PNL!A964="","",IF(_CALC_PNL!E964=1,H964-G964,""))</f>
        <v>#VALUE!</v>
      </c>
    </row>
    <row r="965" ht="14.25" customHeight="1">
      <c r="A965" t="s">
        <v>97</v>
      </c>
      <c r="B965" t="s">
        <v>263</v>
      </c>
      <c r="C965" t="s">
        <v>233</v>
      </c>
      <c r="D965" t="s">
        <v>9</v>
      </c>
      <c r="E965" t="s">
        <v>191</v>
      </c>
      <c r="F965" t="s">
        <v>192</v>
      </c>
      <c r="G965">
        <v>9692.89475</v>
      </c>
      <c r="H965" t="e">
        <f>IF(PNL!A965="","",_CALC_PNL!P965)</f>
        <v>#VALUE!</v>
      </c>
      <c r="I965" t="e">
        <f>IF(PNL!A965="","",IF(_CALC_PNL!E965=1,H965-G965,""))</f>
        <v>#VALUE!</v>
      </c>
    </row>
    <row r="966" ht="14.25" customHeight="1">
      <c r="A966" t="s">
        <v>97</v>
      </c>
      <c r="B966" t="s">
        <v>263</v>
      </c>
      <c r="C966" t="s">
        <v>233</v>
      </c>
      <c r="D966" t="s">
        <v>234</v>
      </c>
      <c r="E966" t="s">
        <v>191</v>
      </c>
      <c r="F966" t="s">
        <v>192</v>
      </c>
      <c r="G966">
        <v>10140.35</v>
      </c>
      <c r="H966" t="e">
        <f>IF(PNL!A966="","",_CALC_PNL!P966)</f>
        <v>#VALUE!</v>
      </c>
      <c r="I966" t="e">
        <f>IF(PNL!A966="","",IF(_CALC_PNL!E966=1,H966-G966,""))</f>
        <v>#VALUE!</v>
      </c>
    </row>
    <row r="967" ht="14.25" customHeight="1">
      <c r="A967" t="s">
        <v>251</v>
      </c>
      <c r="B967" t="s">
        <v>264</v>
      </c>
      <c r="C967" t="s">
        <v>233</v>
      </c>
      <c r="D967" t="s">
        <v>231</v>
      </c>
      <c r="E967" t="s">
        <v>191</v>
      </c>
      <c r="F967" t="s">
        <v>192</v>
      </c>
      <c r="G967">
        <v>114075.0864</v>
      </c>
      <c r="H967" t="e">
        <f>IF(PNL!A967="","",_CALC_PNL!P967)</f>
        <v>#VALUE!</v>
      </c>
      <c r="I967" t="e">
        <f>IF(PNL!A967="","",IF(_CALC_PNL!E967=1,H967-G967,""))</f>
        <v>#VALUE!</v>
      </c>
    </row>
    <row r="968" ht="14.25" customHeight="1">
      <c r="A968" t="s">
        <v>251</v>
      </c>
      <c r="B968" t="s">
        <v>264</v>
      </c>
      <c r="C968" t="s">
        <v>233</v>
      </c>
      <c r="D968" t="s">
        <v>9</v>
      </c>
      <c r="E968" t="s">
        <v>191</v>
      </c>
      <c r="F968" t="s">
        <v>192</v>
      </c>
      <c r="G968">
        <v>111222.6444</v>
      </c>
      <c r="H968" t="e">
        <f>IF(PNL!A968="","",_CALC_PNL!P968)</f>
        <v>#VALUE!</v>
      </c>
      <c r="I968" t="e">
        <f>IF(PNL!A968="","",IF(_CALC_PNL!E968=1,H968-G968,""))</f>
        <v>#VALUE!</v>
      </c>
    </row>
    <row r="969" ht="14.25" customHeight="1">
      <c r="A969" t="s">
        <v>251</v>
      </c>
      <c r="B969" t="s">
        <v>264</v>
      </c>
      <c r="C969" t="s">
        <v>233</v>
      </c>
      <c r="D969" t="s">
        <v>234</v>
      </c>
      <c r="E969" t="s">
        <v>191</v>
      </c>
      <c r="F969" t="s">
        <v>192</v>
      </c>
      <c r="G969">
        <v>116357.04</v>
      </c>
      <c r="H969" t="e">
        <f>IF(PNL!A969="","",_CALC_PNL!P969)</f>
        <v>#VALUE!</v>
      </c>
      <c r="I969" t="e">
        <f>IF(PNL!A969="","",IF(_CALC_PNL!E969=1,H969-G969,""))</f>
        <v>#VALUE!</v>
      </c>
    </row>
    <row r="970" ht="14.25" customHeight="1">
      <c r="A970" t="s">
        <v>75</v>
      </c>
      <c r="B970" t="s">
        <v>265</v>
      </c>
      <c r="C970" t="s">
        <v>233</v>
      </c>
      <c r="D970" t="s">
        <v>231</v>
      </c>
      <c r="E970" t="s">
        <v>191</v>
      </c>
      <c r="F970" t="s">
        <v>192</v>
      </c>
      <c r="G970">
        <v>157984.74</v>
      </c>
      <c r="H970" t="e">
        <f>IF(PNL!A970="","",_CALC_PNL!P970)</f>
        <v>#VALUE!</v>
      </c>
      <c r="I970" t="e">
        <f>IF(PNL!A970="","",IF(_CALC_PNL!E970=1,H970-G970,""))</f>
        <v>#VALUE!</v>
      </c>
    </row>
    <row r="971" ht="14.25" customHeight="1">
      <c r="A971" t="s">
        <v>75</v>
      </c>
      <c r="B971" t="s">
        <v>265</v>
      </c>
      <c r="C971" t="s">
        <v>233</v>
      </c>
      <c r="D971" t="s">
        <v>9</v>
      </c>
      <c r="E971" t="s">
        <v>191</v>
      </c>
      <c r="F971" t="s">
        <v>192</v>
      </c>
      <c r="G971">
        <v>157210.305</v>
      </c>
      <c r="H971" t="e">
        <f>IF(PNL!A971="","",_CALC_PNL!P971)</f>
        <v>#VALUE!</v>
      </c>
      <c r="I971" t="e">
        <f>IF(PNL!A971="","",IF(_CALC_PNL!E971=1,H971-G971,""))</f>
        <v>#VALUE!</v>
      </c>
    </row>
    <row r="972" ht="14.25" customHeight="1">
      <c r="A972" t="s">
        <v>75</v>
      </c>
      <c r="B972" t="s">
        <v>265</v>
      </c>
      <c r="C972" t="s">
        <v>233</v>
      </c>
      <c r="D972" t="s">
        <v>234</v>
      </c>
      <c r="E972" t="s">
        <v>191</v>
      </c>
      <c r="F972" t="s">
        <v>192</v>
      </c>
      <c r="G972">
        <v>159533.61</v>
      </c>
      <c r="H972" t="e">
        <f>IF(PNL!A972="","",_CALC_PNL!P972)</f>
        <v>#VALUE!</v>
      </c>
      <c r="I972" t="e">
        <f>IF(PNL!A972="","",IF(_CALC_PNL!E972=1,H972-G972,""))</f>
        <v>#VALUE!</v>
      </c>
    </row>
    <row r="973" ht="14.25" customHeight="1">
      <c r="A973" t="s">
        <v>77</v>
      </c>
      <c r="B973" t="s">
        <v>265</v>
      </c>
      <c r="C973" t="s">
        <v>233</v>
      </c>
      <c r="D973" t="s">
        <v>231</v>
      </c>
      <c r="E973" t="s">
        <v>191</v>
      </c>
      <c r="F973" t="s">
        <v>192</v>
      </c>
      <c r="G973">
        <v>136920.72</v>
      </c>
      <c r="H973" t="e">
        <f>IF(PNL!A973="","",_CALC_PNL!P973)</f>
        <v>#VALUE!</v>
      </c>
      <c r="I973" t="e">
        <f>IF(PNL!A973="","",IF(_CALC_PNL!E973=1,H973-G973,""))</f>
        <v>#VALUE!</v>
      </c>
    </row>
    <row r="974" ht="14.25" customHeight="1">
      <c r="A974" t="s">
        <v>77</v>
      </c>
      <c r="B974" t="s">
        <v>265</v>
      </c>
      <c r="C974" t="s">
        <v>233</v>
      </c>
      <c r="D974" t="s">
        <v>9</v>
      </c>
      <c r="E974" t="s">
        <v>191</v>
      </c>
      <c r="F974" t="s">
        <v>192</v>
      </c>
      <c r="G974">
        <v>136249.54</v>
      </c>
      <c r="H974" t="e">
        <f>IF(PNL!A974="","",_CALC_PNL!P974)</f>
        <v>#VALUE!</v>
      </c>
      <c r="I974" t="e">
        <f>IF(PNL!A974="","",IF(_CALC_PNL!E974=1,H974-G974,""))</f>
        <v>#VALUE!</v>
      </c>
    </row>
    <row r="975" ht="14.25" customHeight="1">
      <c r="A975" t="s">
        <v>77</v>
      </c>
      <c r="B975" t="s">
        <v>265</v>
      </c>
      <c r="C975" t="s">
        <v>233</v>
      </c>
      <c r="D975" t="s">
        <v>234</v>
      </c>
      <c r="E975" t="s">
        <v>191</v>
      </c>
      <c r="F975" t="s">
        <v>192</v>
      </c>
      <c r="G975">
        <v>138263.08</v>
      </c>
      <c r="H975" t="e">
        <f>IF(PNL!A975="","",_CALC_PNL!P975)</f>
        <v>#VALUE!</v>
      </c>
      <c r="I975" t="e">
        <f>IF(PNL!A975="","",IF(_CALC_PNL!E975=1,H975-G975,""))</f>
        <v>#VALUE!</v>
      </c>
    </row>
    <row r="976" ht="14.25" customHeight="1">
      <c r="A976" t="s">
        <v>79</v>
      </c>
      <c r="B976" t="s">
        <v>265</v>
      </c>
      <c r="C976" t="s">
        <v>233</v>
      </c>
      <c r="D976" t="s">
        <v>231</v>
      </c>
      <c r="E976" t="s">
        <v>191</v>
      </c>
      <c r="F976" t="s">
        <v>192</v>
      </c>
      <c r="G976">
        <v>126388.2</v>
      </c>
      <c r="H976" t="e">
        <f>IF(PNL!A976="","",_CALC_PNL!P976)</f>
        <v>#VALUE!</v>
      </c>
      <c r="I976" t="e">
        <f>IF(PNL!A976="","",IF(_CALC_PNL!E976=1,H976-G976,""))</f>
        <v>#VALUE!</v>
      </c>
    </row>
    <row r="977" ht="14.25" customHeight="1">
      <c r="A977" t="s">
        <v>79</v>
      </c>
      <c r="B977" t="s">
        <v>265</v>
      </c>
      <c r="C977" t="s">
        <v>233</v>
      </c>
      <c r="D977" t="s">
        <v>9</v>
      </c>
      <c r="E977" t="s">
        <v>191</v>
      </c>
      <c r="F977" t="s">
        <v>192</v>
      </c>
      <c r="G977">
        <v>125768.65</v>
      </c>
      <c r="H977" t="e">
        <f>IF(PNL!A977="","",_CALC_PNL!P977)</f>
        <v>#VALUE!</v>
      </c>
      <c r="I977" t="e">
        <f>IF(PNL!A977="","",IF(_CALC_PNL!E977=1,H977-G977,""))</f>
        <v>#VALUE!</v>
      </c>
    </row>
    <row r="978" ht="14.25" customHeight="1">
      <c r="A978" t="s">
        <v>79</v>
      </c>
      <c r="B978" t="s">
        <v>265</v>
      </c>
      <c r="C978" t="s">
        <v>233</v>
      </c>
      <c r="D978" t="s">
        <v>234</v>
      </c>
      <c r="E978" t="s">
        <v>191</v>
      </c>
      <c r="F978" t="s">
        <v>192</v>
      </c>
      <c r="G978">
        <v>127627.3</v>
      </c>
      <c r="H978" t="e">
        <f>IF(PNL!A978="","",_CALC_PNL!P978)</f>
        <v>#VALUE!</v>
      </c>
      <c r="I978" t="e">
        <f>IF(PNL!A978="","",IF(_CALC_PNL!E978=1,H978-G978,""))</f>
        <v>#VALUE!</v>
      </c>
    </row>
    <row r="979" ht="14.25" customHeight="1">
      <c r="A979" t="s">
        <v>81</v>
      </c>
      <c r="B979" t="s">
        <v>265</v>
      </c>
      <c r="C979" t="s">
        <v>233</v>
      </c>
      <c r="D979" t="s">
        <v>231</v>
      </c>
      <c r="E979" t="s">
        <v>191</v>
      </c>
      <c r="F979" t="s">
        <v>192</v>
      </c>
      <c r="G979">
        <v>105323.16</v>
      </c>
      <c r="H979" t="e">
        <f>IF(PNL!A979="","",_CALC_PNL!P979)</f>
        <v>#VALUE!</v>
      </c>
      <c r="I979" t="e">
        <f>IF(PNL!A979="","",IF(_CALC_PNL!E979=1,H979-G979,""))</f>
        <v>#VALUE!</v>
      </c>
    </row>
    <row r="980" ht="14.25" customHeight="1">
      <c r="A980" t="s">
        <v>81</v>
      </c>
      <c r="B980" t="s">
        <v>265</v>
      </c>
      <c r="C980" t="s">
        <v>233</v>
      </c>
      <c r="D980" t="s">
        <v>9</v>
      </c>
      <c r="E980" t="s">
        <v>191</v>
      </c>
      <c r="F980" t="s">
        <v>192</v>
      </c>
      <c r="G980">
        <v>104806.87</v>
      </c>
      <c r="H980" t="e">
        <f>IF(PNL!A980="","",_CALC_PNL!P980)</f>
        <v>#VALUE!</v>
      </c>
      <c r="I980" t="e">
        <f>IF(PNL!A980="","",IF(_CALC_PNL!E980=1,H980-G980,""))</f>
        <v>#VALUE!</v>
      </c>
    </row>
    <row r="981" ht="14.25" customHeight="1">
      <c r="A981" t="s">
        <v>81</v>
      </c>
      <c r="B981" t="s">
        <v>265</v>
      </c>
      <c r="C981" t="s">
        <v>233</v>
      </c>
      <c r="D981" t="s">
        <v>234</v>
      </c>
      <c r="E981" t="s">
        <v>191</v>
      </c>
      <c r="F981" t="s">
        <v>192</v>
      </c>
      <c r="G981">
        <v>106355.74</v>
      </c>
      <c r="H981" t="e">
        <f>IF(PNL!A981="","",_CALC_PNL!P981)</f>
        <v>#VALUE!</v>
      </c>
      <c r="I981" t="e">
        <f>IF(PNL!A981="","",IF(_CALC_PNL!E981=1,H981-G981,""))</f>
        <v>#VALUE!</v>
      </c>
    </row>
    <row r="982" ht="14.25" customHeight="1">
      <c r="A982" t="s">
        <v>83</v>
      </c>
      <c r="B982" t="s">
        <v>265</v>
      </c>
      <c r="C982" t="s">
        <v>233</v>
      </c>
      <c r="D982" t="s">
        <v>231</v>
      </c>
      <c r="E982" t="s">
        <v>191</v>
      </c>
      <c r="F982" t="s">
        <v>192</v>
      </c>
      <c r="G982">
        <v>157984.74</v>
      </c>
      <c r="H982" t="e">
        <f>IF(PNL!A982="","",_CALC_PNL!P982)</f>
        <v>#VALUE!</v>
      </c>
      <c r="I982" t="e">
        <f>IF(PNL!A982="","",IF(_CALC_PNL!E982=1,H982-G982,""))</f>
        <v>#VALUE!</v>
      </c>
    </row>
    <row r="983" ht="14.25" customHeight="1">
      <c r="A983" t="s">
        <v>83</v>
      </c>
      <c r="B983" t="s">
        <v>265</v>
      </c>
      <c r="C983" t="s">
        <v>233</v>
      </c>
      <c r="D983" t="s">
        <v>9</v>
      </c>
      <c r="E983" t="s">
        <v>191</v>
      </c>
      <c r="F983" t="s">
        <v>192</v>
      </c>
      <c r="G983">
        <v>157210.305</v>
      </c>
      <c r="H983" t="e">
        <f>IF(PNL!A983="","",_CALC_PNL!P983)</f>
        <v>#VALUE!</v>
      </c>
      <c r="I983" t="e">
        <f>IF(PNL!A983="","",IF(_CALC_PNL!E983=1,H983-G983,""))</f>
        <v>#VALUE!</v>
      </c>
    </row>
    <row r="984" ht="14.25" customHeight="1">
      <c r="A984" t="s">
        <v>83</v>
      </c>
      <c r="B984" t="s">
        <v>265</v>
      </c>
      <c r="C984" t="s">
        <v>233</v>
      </c>
      <c r="D984" t="s">
        <v>234</v>
      </c>
      <c r="E984" t="s">
        <v>191</v>
      </c>
      <c r="F984" t="s">
        <v>192</v>
      </c>
      <c r="G984">
        <v>159533.61</v>
      </c>
      <c r="H984" t="e">
        <f>IF(PNL!A984="","",_CALC_PNL!P984)</f>
        <v>#VALUE!</v>
      </c>
      <c r="I984" t="e">
        <f>IF(PNL!A984="","",IF(_CALC_PNL!E984=1,H984-G984,""))</f>
        <v>#VALUE!</v>
      </c>
    </row>
    <row r="985" ht="14.25" customHeight="1">
      <c r="A985" t="s">
        <v>84</v>
      </c>
      <c r="B985" t="s">
        <v>265</v>
      </c>
      <c r="C985" t="s">
        <v>233</v>
      </c>
      <c r="D985" t="s">
        <v>231</v>
      </c>
      <c r="E985" t="s">
        <v>191</v>
      </c>
      <c r="F985" t="s">
        <v>192</v>
      </c>
      <c r="G985">
        <v>105323.16</v>
      </c>
      <c r="H985" t="e">
        <f>IF(PNL!A985="","",_CALC_PNL!P985)</f>
        <v>#VALUE!</v>
      </c>
      <c r="I985" t="e">
        <f>IF(PNL!A985="","",IF(_CALC_PNL!E985=1,H985-G985,""))</f>
        <v>#VALUE!</v>
      </c>
    </row>
    <row r="986" ht="14.25" customHeight="1">
      <c r="A986" t="s">
        <v>84</v>
      </c>
      <c r="B986" t="s">
        <v>265</v>
      </c>
      <c r="C986" t="s">
        <v>233</v>
      </c>
      <c r="D986" t="s">
        <v>9</v>
      </c>
      <c r="E986" t="s">
        <v>191</v>
      </c>
      <c r="F986" t="s">
        <v>192</v>
      </c>
      <c r="G986">
        <v>104806.87</v>
      </c>
      <c r="H986" t="e">
        <f>IF(PNL!A986="","",_CALC_PNL!P986)</f>
        <v>#VALUE!</v>
      </c>
      <c r="I986" t="e">
        <f>IF(PNL!A986="","",IF(_CALC_PNL!E986=1,H986-G986,""))</f>
        <v>#VALUE!</v>
      </c>
    </row>
    <row r="987" ht="14.25" customHeight="1">
      <c r="A987" t="s">
        <v>84</v>
      </c>
      <c r="B987" t="s">
        <v>265</v>
      </c>
      <c r="C987" t="s">
        <v>233</v>
      </c>
      <c r="D987" t="s">
        <v>234</v>
      </c>
      <c r="E987" t="s">
        <v>191</v>
      </c>
      <c r="F987" t="s">
        <v>192</v>
      </c>
      <c r="G987">
        <v>106355.74</v>
      </c>
      <c r="H987" t="e">
        <f>IF(PNL!A987="","",_CALC_PNL!P987)</f>
        <v>#VALUE!</v>
      </c>
      <c r="I987" t="e">
        <f>IF(PNL!A987="","",IF(_CALC_PNL!E987=1,H987-G987,""))</f>
        <v>#VALUE!</v>
      </c>
    </row>
    <row r="988" ht="14.25" customHeight="1">
      <c r="A988" t="s">
        <v>86</v>
      </c>
      <c r="B988" t="s">
        <v>265</v>
      </c>
      <c r="C988" t="s">
        <v>233</v>
      </c>
      <c r="D988" t="s">
        <v>231</v>
      </c>
      <c r="E988" t="s">
        <v>191</v>
      </c>
      <c r="F988" t="s">
        <v>192</v>
      </c>
      <c r="G988">
        <v>105323.16</v>
      </c>
      <c r="H988" t="e">
        <f>IF(PNL!A988="","",_CALC_PNL!P988)</f>
        <v>#VALUE!</v>
      </c>
      <c r="I988" t="e">
        <f>IF(PNL!A988="","",IF(_CALC_PNL!E988=1,H988-G988,""))</f>
        <v>#VALUE!</v>
      </c>
    </row>
    <row r="989" ht="14.25" customHeight="1">
      <c r="A989" t="s">
        <v>86</v>
      </c>
      <c r="B989" t="s">
        <v>265</v>
      </c>
      <c r="C989" t="s">
        <v>233</v>
      </c>
      <c r="D989" t="s">
        <v>9</v>
      </c>
      <c r="E989" t="s">
        <v>191</v>
      </c>
      <c r="F989" t="s">
        <v>192</v>
      </c>
      <c r="G989">
        <v>104806.87</v>
      </c>
      <c r="H989" t="e">
        <f>IF(PNL!A989="","",_CALC_PNL!P989)</f>
        <v>#VALUE!</v>
      </c>
      <c r="I989" t="e">
        <f>IF(PNL!A989="","",IF(_CALC_PNL!E989=1,H989-G989,""))</f>
        <v>#VALUE!</v>
      </c>
    </row>
    <row r="990" ht="14.25" customHeight="1">
      <c r="A990" t="s">
        <v>86</v>
      </c>
      <c r="B990" t="s">
        <v>265</v>
      </c>
      <c r="C990" t="s">
        <v>233</v>
      </c>
      <c r="D990" t="s">
        <v>234</v>
      </c>
      <c r="E990" t="s">
        <v>191</v>
      </c>
      <c r="F990" t="s">
        <v>192</v>
      </c>
      <c r="G990">
        <v>106355.74</v>
      </c>
      <c r="H990" t="e">
        <f>IF(PNL!A990="","",_CALC_PNL!P990)</f>
        <v>#VALUE!</v>
      </c>
      <c r="I990" t="e">
        <f>IF(PNL!A990="","",IF(_CALC_PNL!E990=1,H990-G990,""))</f>
        <v>#VALUE!</v>
      </c>
    </row>
    <row r="991" ht="14.25" customHeight="1">
      <c r="A991" t="s">
        <v>88</v>
      </c>
      <c r="B991" t="s">
        <v>265</v>
      </c>
      <c r="C991" t="s">
        <v>233</v>
      </c>
      <c r="D991" t="s">
        <v>231</v>
      </c>
      <c r="E991" t="s">
        <v>191</v>
      </c>
      <c r="F991" t="s">
        <v>192</v>
      </c>
      <c r="G991">
        <v>63194.1</v>
      </c>
      <c r="H991" t="e">
        <f>IF(PNL!A991="","",_CALC_PNL!P991)</f>
        <v>#VALUE!</v>
      </c>
      <c r="I991" t="e">
        <f>IF(PNL!A991="","",IF(_CALC_PNL!E991=1,H991-G991,""))</f>
        <v>#VALUE!</v>
      </c>
    </row>
    <row r="992" ht="14.25" customHeight="1">
      <c r="A992" t="s">
        <v>88</v>
      </c>
      <c r="B992" t="s">
        <v>265</v>
      </c>
      <c r="C992" t="s">
        <v>233</v>
      </c>
      <c r="D992" t="s">
        <v>9</v>
      </c>
      <c r="E992" t="s">
        <v>191</v>
      </c>
      <c r="F992" t="s">
        <v>192</v>
      </c>
      <c r="G992">
        <v>62884.325</v>
      </c>
      <c r="H992" t="e">
        <f>IF(PNL!A992="","",_CALC_PNL!P992)</f>
        <v>#VALUE!</v>
      </c>
      <c r="I992" t="e">
        <f>IF(PNL!A992="","",IF(_CALC_PNL!E992=1,H992-G992,""))</f>
        <v>#VALUE!</v>
      </c>
    </row>
    <row r="993" ht="14.25" customHeight="1">
      <c r="A993" t="s">
        <v>88</v>
      </c>
      <c r="B993" t="s">
        <v>265</v>
      </c>
      <c r="C993" t="s">
        <v>233</v>
      </c>
      <c r="D993" t="s">
        <v>234</v>
      </c>
      <c r="E993" t="s">
        <v>191</v>
      </c>
      <c r="F993" t="s">
        <v>192</v>
      </c>
      <c r="G993">
        <v>63813.65</v>
      </c>
      <c r="H993" t="e">
        <f>IF(PNL!A993="","",_CALC_PNL!P993)</f>
        <v>#VALUE!</v>
      </c>
      <c r="I993" t="e">
        <f>IF(PNL!A993="","",IF(_CALC_PNL!E993=1,H993-G993,""))</f>
        <v>#VALUE!</v>
      </c>
    </row>
    <row r="994" ht="14.25" customHeight="1">
      <c r="A994" t="s">
        <v>90</v>
      </c>
      <c r="B994" t="s">
        <v>265</v>
      </c>
      <c r="C994" t="s">
        <v>233</v>
      </c>
      <c r="D994" t="s">
        <v>231</v>
      </c>
      <c r="E994" t="s">
        <v>191</v>
      </c>
      <c r="F994" t="s">
        <v>192</v>
      </c>
      <c r="G994">
        <v>63194.1</v>
      </c>
      <c r="H994" t="e">
        <f>IF(PNL!A994="","",_CALC_PNL!P994)</f>
        <v>#VALUE!</v>
      </c>
      <c r="I994" t="e">
        <f>IF(PNL!A994="","",IF(_CALC_PNL!E994=1,H994-G994,""))</f>
        <v>#VALUE!</v>
      </c>
    </row>
    <row r="995" ht="14.25" customHeight="1">
      <c r="A995" t="s">
        <v>90</v>
      </c>
      <c r="B995" t="s">
        <v>265</v>
      </c>
      <c r="C995" t="s">
        <v>233</v>
      </c>
      <c r="D995" t="s">
        <v>9</v>
      </c>
      <c r="E995" t="s">
        <v>191</v>
      </c>
      <c r="F995" t="s">
        <v>192</v>
      </c>
      <c r="G995">
        <v>62884.325</v>
      </c>
      <c r="H995" t="e">
        <f>IF(PNL!A995="","",_CALC_PNL!P995)</f>
        <v>#VALUE!</v>
      </c>
      <c r="I995" t="e">
        <f>IF(PNL!A995="","",IF(_CALC_PNL!E995=1,H995-G995,""))</f>
        <v>#VALUE!</v>
      </c>
    </row>
    <row r="996" ht="14.25" customHeight="1">
      <c r="A996" t="s">
        <v>90</v>
      </c>
      <c r="B996" t="s">
        <v>265</v>
      </c>
      <c r="C996" t="s">
        <v>233</v>
      </c>
      <c r="D996" t="s">
        <v>234</v>
      </c>
      <c r="E996" t="s">
        <v>191</v>
      </c>
      <c r="F996" t="s">
        <v>192</v>
      </c>
      <c r="G996">
        <v>63813.65</v>
      </c>
      <c r="H996" t="e">
        <f>IF(PNL!A996="","",_CALC_PNL!P996)</f>
        <v>#VALUE!</v>
      </c>
      <c r="I996" t="e">
        <f>IF(PNL!A996="","",IF(_CALC_PNL!E996=1,H996-G996,""))</f>
        <v>#VALUE!</v>
      </c>
    </row>
    <row r="997" ht="14.25" customHeight="1">
      <c r="A997" t="s">
        <v>92</v>
      </c>
      <c r="B997" t="s">
        <v>265</v>
      </c>
      <c r="C997" t="s">
        <v>233</v>
      </c>
      <c r="D997" t="s">
        <v>231</v>
      </c>
      <c r="E997" t="s">
        <v>191</v>
      </c>
      <c r="F997" t="s">
        <v>192</v>
      </c>
      <c r="G997">
        <v>63194.1</v>
      </c>
      <c r="H997" t="e">
        <f>IF(PNL!A997="","",_CALC_PNL!P997)</f>
        <v>#VALUE!</v>
      </c>
      <c r="I997" t="e">
        <f>IF(PNL!A997="","",IF(_CALC_PNL!E997=1,H997-G997,""))</f>
        <v>#VALUE!</v>
      </c>
    </row>
    <row r="998" ht="14.25" customHeight="1">
      <c r="A998" t="s">
        <v>92</v>
      </c>
      <c r="B998" t="s">
        <v>265</v>
      </c>
      <c r="C998" t="s">
        <v>233</v>
      </c>
      <c r="D998" t="s">
        <v>9</v>
      </c>
      <c r="E998" t="s">
        <v>191</v>
      </c>
      <c r="F998" t="s">
        <v>192</v>
      </c>
      <c r="G998">
        <v>62884.325</v>
      </c>
      <c r="H998" t="e">
        <f>IF(PNL!A998="","",_CALC_PNL!P998)</f>
        <v>#VALUE!</v>
      </c>
      <c r="I998" t="e">
        <f>IF(PNL!A998="","",IF(_CALC_PNL!E998=1,H998-G998,""))</f>
        <v>#VALUE!</v>
      </c>
    </row>
    <row r="999" ht="14.25" customHeight="1">
      <c r="A999" t="s">
        <v>92</v>
      </c>
      <c r="B999" t="s">
        <v>265</v>
      </c>
      <c r="C999" t="s">
        <v>233</v>
      </c>
      <c r="D999" t="s">
        <v>234</v>
      </c>
      <c r="E999" t="s">
        <v>191</v>
      </c>
      <c r="F999" t="s">
        <v>192</v>
      </c>
      <c r="G999">
        <v>63813.65</v>
      </c>
      <c r="H999" t="e">
        <f>IF(PNL!A999="","",_CALC_PNL!P999)</f>
        <v>#VALUE!</v>
      </c>
      <c r="I999" t="e">
        <f>IF(PNL!A999="","",IF(_CALC_PNL!E999=1,H999-G999,""))</f>
        <v>#VALUE!</v>
      </c>
    </row>
    <row r="1000" ht="14.25" customHeight="1">
      <c r="A1000" t="s">
        <v>94</v>
      </c>
      <c r="B1000" t="s">
        <v>265</v>
      </c>
      <c r="C1000" t="s">
        <v>233</v>
      </c>
      <c r="D1000" t="s">
        <v>231</v>
      </c>
      <c r="E1000" t="s">
        <v>191</v>
      </c>
      <c r="F1000" t="s">
        <v>192</v>
      </c>
      <c r="G1000">
        <v>84259.14</v>
      </c>
      <c r="H1000" t="e">
        <f>IF(PNL!A1000="","",_CALC_PNL!P1000)</f>
        <v>#VALUE!</v>
      </c>
      <c r="I1000" t="e">
        <f>IF(PNL!A1000="","",IF(_CALC_PNL!E1000=1,H1000-G1000,""))</f>
        <v>#VALUE!</v>
      </c>
    </row>
    <row r="1001" ht="14.25" customHeight="1">
      <c r="A1001" t="s">
        <v>94</v>
      </c>
      <c r="B1001" t="s">
        <v>265</v>
      </c>
      <c r="C1001" t="s">
        <v>233</v>
      </c>
      <c r="D1001" t="s">
        <v>9</v>
      </c>
      <c r="E1001" t="s">
        <v>191</v>
      </c>
      <c r="F1001" t="s">
        <v>192</v>
      </c>
      <c r="G1001">
        <v>83846.105</v>
      </c>
      <c r="H1001" t="e">
        <f>IF(PNL!A1001="","",_CALC_PNL!P1001)</f>
        <v>#VALUE!</v>
      </c>
      <c r="I1001" t="e">
        <f>IF(PNL!A1001="","",IF(_CALC_PNL!E1001=1,H1001-G1001,""))</f>
        <v>#VALUE!</v>
      </c>
    </row>
    <row r="1002" ht="14.25" customHeight="1">
      <c r="A1002" t="s">
        <v>94</v>
      </c>
      <c r="B1002" t="s">
        <v>265</v>
      </c>
      <c r="C1002" t="s">
        <v>233</v>
      </c>
      <c r="D1002" t="s">
        <v>234</v>
      </c>
      <c r="E1002" t="s">
        <v>191</v>
      </c>
      <c r="F1002" t="s">
        <v>192</v>
      </c>
      <c r="G1002">
        <v>85085.21</v>
      </c>
      <c r="H1002" t="e">
        <f>IF(PNL!A1002="","",_CALC_PNL!P1002)</f>
        <v>#VALUE!</v>
      </c>
      <c r="I1002" t="e">
        <f>IF(PNL!A1002="","",IF(_CALC_PNL!E1002=1,H1002-G1002,""))</f>
        <v>#VALUE!</v>
      </c>
    </row>
    <row r="1003" ht="14.25" customHeight="1">
      <c r="A1003" t="s">
        <v>95</v>
      </c>
      <c r="B1003" t="s">
        <v>265</v>
      </c>
      <c r="C1003" t="s">
        <v>233</v>
      </c>
      <c r="D1003" t="s">
        <v>231</v>
      </c>
      <c r="E1003" t="s">
        <v>191</v>
      </c>
      <c r="F1003" t="s">
        <v>192</v>
      </c>
      <c r="G1003">
        <v>84259.14</v>
      </c>
      <c r="H1003" t="e">
        <f>IF(PNL!A1003="","",_CALC_PNL!P1003)</f>
        <v>#VALUE!</v>
      </c>
      <c r="I1003" t="e">
        <f>IF(PNL!A1003="","",IF(_CALC_PNL!E1003=1,H1003-G1003,""))</f>
        <v>#VALUE!</v>
      </c>
    </row>
    <row r="1004" ht="14.25" customHeight="1">
      <c r="A1004" t="s">
        <v>95</v>
      </c>
      <c r="B1004" t="s">
        <v>265</v>
      </c>
      <c r="C1004" t="s">
        <v>233</v>
      </c>
      <c r="D1004" t="s">
        <v>9</v>
      </c>
      <c r="E1004" t="s">
        <v>191</v>
      </c>
      <c r="F1004" t="s">
        <v>192</v>
      </c>
      <c r="G1004">
        <v>83846.105</v>
      </c>
      <c r="H1004" t="e">
        <f>IF(PNL!A1004="","",_CALC_PNL!P1004)</f>
        <v>#VALUE!</v>
      </c>
      <c r="I1004" t="e">
        <f>IF(PNL!A1004="","",IF(_CALC_PNL!E1004=1,H1004-G1004,""))</f>
        <v>#VALUE!</v>
      </c>
    </row>
    <row r="1005" ht="14.25" customHeight="1">
      <c r="A1005" t="s">
        <v>95</v>
      </c>
      <c r="B1005" t="s">
        <v>265</v>
      </c>
      <c r="C1005" t="s">
        <v>233</v>
      </c>
      <c r="D1005" t="s">
        <v>234</v>
      </c>
      <c r="E1005" t="s">
        <v>191</v>
      </c>
      <c r="F1005" t="s">
        <v>192</v>
      </c>
      <c r="G1005">
        <v>85085.21</v>
      </c>
      <c r="H1005" t="e">
        <f>IF(PNL!A1005="","",_CALC_PNL!P1005)</f>
        <v>#VALUE!</v>
      </c>
      <c r="I1005" t="e">
        <f>IF(PNL!A1005="","",IF(_CALC_PNL!E1005=1,H1005-G1005,""))</f>
        <v>#VALUE!</v>
      </c>
    </row>
    <row r="1006" ht="14.25" customHeight="1">
      <c r="A1006" t="s">
        <v>96</v>
      </c>
      <c r="B1006" t="s">
        <v>265</v>
      </c>
      <c r="C1006" t="s">
        <v>233</v>
      </c>
      <c r="D1006" t="s">
        <v>231</v>
      </c>
      <c r="E1006" t="s">
        <v>191</v>
      </c>
      <c r="F1006" t="s">
        <v>192</v>
      </c>
      <c r="G1006">
        <v>63194.1</v>
      </c>
      <c r="H1006" t="e">
        <f>IF(PNL!A1006="","",_CALC_PNL!P1006)</f>
        <v>#VALUE!</v>
      </c>
      <c r="I1006" t="e">
        <f>IF(PNL!A1006="","",IF(_CALC_PNL!E1006=1,H1006-G1006,""))</f>
        <v>#VALUE!</v>
      </c>
    </row>
    <row r="1007" ht="14.25" customHeight="1">
      <c r="A1007" t="s">
        <v>96</v>
      </c>
      <c r="B1007" t="s">
        <v>265</v>
      </c>
      <c r="C1007" t="s">
        <v>233</v>
      </c>
      <c r="D1007" t="s">
        <v>9</v>
      </c>
      <c r="E1007" t="s">
        <v>191</v>
      </c>
      <c r="F1007" t="s">
        <v>192</v>
      </c>
      <c r="G1007">
        <v>62884.325</v>
      </c>
      <c r="H1007" t="e">
        <f>IF(PNL!A1007="","",_CALC_PNL!P1007)</f>
        <v>#VALUE!</v>
      </c>
      <c r="I1007" t="e">
        <f>IF(PNL!A1007="","",IF(_CALC_PNL!E1007=1,H1007-G1007,""))</f>
        <v>#VALUE!</v>
      </c>
    </row>
    <row r="1008" ht="14.25" customHeight="1">
      <c r="A1008" t="s">
        <v>96</v>
      </c>
      <c r="B1008" t="s">
        <v>265</v>
      </c>
      <c r="C1008" t="s">
        <v>233</v>
      </c>
      <c r="D1008" t="s">
        <v>234</v>
      </c>
      <c r="E1008" t="s">
        <v>191</v>
      </c>
      <c r="F1008" t="s">
        <v>192</v>
      </c>
      <c r="G1008">
        <v>63813.65</v>
      </c>
      <c r="H1008" t="e">
        <f>IF(PNL!A1008="","",_CALC_PNL!P1008)</f>
        <v>#VALUE!</v>
      </c>
      <c r="I1008" t="e">
        <f>IF(PNL!A1008="","",IF(_CALC_PNL!E1008=1,H1008-G1008,""))</f>
        <v>#VALUE!</v>
      </c>
    </row>
    <row r="1009" ht="14.25" customHeight="1">
      <c r="A1009" t="s">
        <v>97</v>
      </c>
      <c r="B1009" t="s">
        <v>265</v>
      </c>
      <c r="C1009" t="s">
        <v>233</v>
      </c>
      <c r="D1009" t="s">
        <v>231</v>
      </c>
      <c r="E1009" t="s">
        <v>191</v>
      </c>
      <c r="F1009" t="s">
        <v>192</v>
      </c>
      <c r="G1009">
        <v>63194.1</v>
      </c>
      <c r="H1009" t="e">
        <f>IF(PNL!A1009="","",_CALC_PNL!P1009)</f>
        <v>#VALUE!</v>
      </c>
      <c r="I1009" t="e">
        <f>IF(PNL!A1009="","",IF(_CALC_PNL!E1009=1,H1009-G1009,""))</f>
        <v>#VALUE!</v>
      </c>
    </row>
    <row r="1010" ht="14.25" customHeight="1">
      <c r="A1010" t="s">
        <v>97</v>
      </c>
      <c r="B1010" t="s">
        <v>265</v>
      </c>
      <c r="C1010" t="s">
        <v>233</v>
      </c>
      <c r="D1010" t="s">
        <v>9</v>
      </c>
      <c r="E1010" t="s">
        <v>191</v>
      </c>
      <c r="F1010" t="s">
        <v>192</v>
      </c>
      <c r="G1010">
        <v>62884.325</v>
      </c>
      <c r="H1010" t="e">
        <f>IF(PNL!A1010="","",_CALC_PNL!P1010)</f>
        <v>#VALUE!</v>
      </c>
      <c r="I1010" t="e">
        <f>IF(PNL!A1010="","",IF(_CALC_PNL!E1010=1,H1010-G1010,""))</f>
        <v>#VALUE!</v>
      </c>
    </row>
    <row r="1011" ht="14.25" customHeight="1">
      <c r="A1011" t="s">
        <v>97</v>
      </c>
      <c r="B1011" t="s">
        <v>265</v>
      </c>
      <c r="C1011" t="s">
        <v>233</v>
      </c>
      <c r="D1011" t="s">
        <v>234</v>
      </c>
      <c r="E1011" t="s">
        <v>191</v>
      </c>
      <c r="F1011" t="s">
        <v>192</v>
      </c>
      <c r="G1011">
        <v>63813.65</v>
      </c>
      <c r="H1011" t="e">
        <f>IF(PNL!A1011="","",_CALC_PNL!P1011)</f>
        <v>#VALUE!</v>
      </c>
      <c r="I1011" t="e">
        <f>IF(PNL!A1011="","",IF(_CALC_PNL!E1011=1,H1011-G1011,""))</f>
        <v>#VALUE!</v>
      </c>
    </row>
    <row r="1012" ht="14.25" customHeight="1">
      <c r="A1012" t="s">
        <v>75</v>
      </c>
      <c r="B1012" t="s">
        <v>242</v>
      </c>
      <c r="C1012" t="s">
        <v>233</v>
      </c>
      <c r="D1012" t="s">
        <v>231</v>
      </c>
      <c r="E1012" t="s">
        <v>191</v>
      </c>
      <c r="F1012" t="s">
        <v>192</v>
      </c>
      <c r="G1012">
        <v>2642266.64392793</v>
      </c>
      <c r="H1012" t="e">
        <f>IF(PNL!A1012="","",_CALC_PNL!P1012)</f>
        <v>#VALUE!</v>
      </c>
      <c r="I1012" t="e">
        <f>IF(PNL!A1012="","",IF(_CALC_PNL!E1012=1,H1012-G1012,""))</f>
        <v>#VALUE!</v>
      </c>
    </row>
    <row r="1013" ht="14.25" customHeight="1">
      <c r="A1013" t="s">
        <v>75</v>
      </c>
      <c r="B1013" t="s">
        <v>242</v>
      </c>
      <c r="C1013" t="s">
        <v>233</v>
      </c>
      <c r="D1013" t="s">
        <v>9</v>
      </c>
      <c r="E1013" t="s">
        <v>191</v>
      </c>
      <c r="F1013" t="s">
        <v>192</v>
      </c>
      <c r="G1013">
        <v>2881840.071346413</v>
      </c>
      <c r="H1013" t="e">
        <f>IF(PNL!A1013="","",_CALC_PNL!P1013)</f>
        <v>#VALUE!</v>
      </c>
      <c r="I1013" t="e">
        <f>IF(PNL!A1013="","",IF(_CALC_PNL!E1013=1,H1013-G1013,""))</f>
        <v>#VALUE!</v>
      </c>
    </row>
    <row r="1014" ht="14.25" customHeight="1">
      <c r="A1014" t="s">
        <v>75</v>
      </c>
      <c r="B1014" t="s">
        <v>242</v>
      </c>
      <c r="C1014" t="s">
        <v>233</v>
      </c>
      <c r="D1014" t="s">
        <v>234</v>
      </c>
      <c r="E1014" t="s">
        <v>191</v>
      </c>
      <c r="F1014" t="s">
        <v>192</v>
      </c>
      <c r="G1014">
        <v>2420108.736833028</v>
      </c>
      <c r="H1014" t="e">
        <f>IF(PNL!A1014="","",_CALC_PNL!P1014)</f>
        <v>#VALUE!</v>
      </c>
      <c r="I1014" t="e">
        <f>IF(PNL!A1014="","",IF(_CALC_PNL!E1014=1,H1014-G1014,""))</f>
        <v>#VALUE!</v>
      </c>
    </row>
    <row r="1015" ht="14.25" customHeight="1">
      <c r="A1015" t="s">
        <v>77</v>
      </c>
      <c r="B1015" t="s">
        <v>242</v>
      </c>
      <c r="C1015" t="s">
        <v>233</v>
      </c>
      <c r="D1015" t="s">
        <v>231</v>
      </c>
      <c r="E1015" t="s">
        <v>191</v>
      </c>
      <c r="F1015" t="s">
        <v>192</v>
      </c>
      <c r="G1015">
        <v>2102466.846986021</v>
      </c>
      <c r="H1015" t="e">
        <f>IF(PNL!A1015="","",_CALC_PNL!P1015)</f>
        <v>#VALUE!</v>
      </c>
      <c r="I1015" t="e">
        <f>IF(PNL!A1015="","",IF(_CALC_PNL!E1015=1,H1015-G1015,""))</f>
        <v>#VALUE!</v>
      </c>
    </row>
    <row r="1016" ht="14.25" customHeight="1">
      <c r="A1016" t="s">
        <v>77</v>
      </c>
      <c r="B1016" t="s">
        <v>242</v>
      </c>
      <c r="C1016" t="s">
        <v>233</v>
      </c>
      <c r="D1016" t="s">
        <v>9</v>
      </c>
      <c r="E1016" t="s">
        <v>191</v>
      </c>
      <c r="F1016" t="s">
        <v>192</v>
      </c>
      <c r="G1016">
        <v>2293096.808471434</v>
      </c>
      <c r="H1016" t="e">
        <f>IF(PNL!A1016="","",_CALC_PNL!P1016)</f>
        <v>#VALUE!</v>
      </c>
      <c r="I1016" t="e">
        <f>IF(PNL!A1016="","",IF(_CALC_PNL!E1016=1,H1016-G1016,""))</f>
        <v>#VALUE!</v>
      </c>
    </row>
    <row r="1017" ht="14.25" customHeight="1">
      <c r="A1017" t="s">
        <v>77</v>
      </c>
      <c r="B1017" t="s">
        <v>242</v>
      </c>
      <c r="C1017" t="s">
        <v>233</v>
      </c>
      <c r="D1017" t="s">
        <v>234</v>
      </c>
      <c r="E1017" t="s">
        <v>191</v>
      </c>
      <c r="F1017" t="s">
        <v>192</v>
      </c>
      <c r="G1017">
        <v>1925694.51572407</v>
      </c>
      <c r="H1017" t="e">
        <f>IF(PNL!A1017="","",_CALC_PNL!P1017)</f>
        <v>#VALUE!</v>
      </c>
      <c r="I1017" t="e">
        <f>IF(PNL!A1017="","",IF(_CALC_PNL!E1017=1,H1017-G1017,""))</f>
        <v>#VALUE!</v>
      </c>
    </row>
    <row r="1018" ht="14.25" customHeight="1">
      <c r="A1018" t="s">
        <v>79</v>
      </c>
      <c r="B1018" t="s">
        <v>242</v>
      </c>
      <c r="C1018" t="s">
        <v>233</v>
      </c>
      <c r="D1018" t="s">
        <v>231</v>
      </c>
      <c r="E1018" t="s">
        <v>191</v>
      </c>
      <c r="F1018" t="s">
        <v>192</v>
      </c>
      <c r="G1018">
        <v>1816183.846804204</v>
      </c>
      <c r="H1018" t="e">
        <f>IF(PNL!A1018="","",_CALC_PNL!P1018)</f>
        <v>#VALUE!</v>
      </c>
      <c r="I1018" t="e">
        <f>IF(PNL!A1018="","",IF(_CALC_PNL!E1018=1,H1018-G1018,""))</f>
        <v>#VALUE!</v>
      </c>
    </row>
    <row r="1019" ht="14.25" customHeight="1">
      <c r="A1019" t="s">
        <v>79</v>
      </c>
      <c r="B1019" t="s">
        <v>242</v>
      </c>
      <c r="C1019" t="s">
        <v>233</v>
      </c>
      <c r="D1019" t="s">
        <v>9</v>
      </c>
      <c r="E1019" t="s">
        <v>191</v>
      </c>
      <c r="F1019" t="s">
        <v>192</v>
      </c>
      <c r="G1019">
        <v>1980856.625004266</v>
      </c>
      <c r="H1019" t="e">
        <f>IF(PNL!A1019="","",_CALC_PNL!P1019)</f>
        <v>#VALUE!</v>
      </c>
      <c r="I1019" t="e">
        <f>IF(PNL!A1019="","",IF(_CALC_PNL!E1019=1,H1019-G1019,""))</f>
        <v>#VALUE!</v>
      </c>
    </row>
    <row r="1020" ht="14.25" customHeight="1">
      <c r="A1020" t="s">
        <v>79</v>
      </c>
      <c r="B1020" t="s">
        <v>242</v>
      </c>
      <c r="C1020" t="s">
        <v>233</v>
      </c>
      <c r="D1020" t="s">
        <v>234</v>
      </c>
      <c r="E1020" t="s">
        <v>191</v>
      </c>
      <c r="F1020" t="s">
        <v>192</v>
      </c>
      <c r="G1020">
        <v>1663481.770640616</v>
      </c>
      <c r="H1020" t="e">
        <f>IF(PNL!A1020="","",_CALC_PNL!P1020)</f>
        <v>#VALUE!</v>
      </c>
      <c r="I1020" t="e">
        <f>IF(PNL!A1020="","",IF(_CALC_PNL!E1020=1,H1020-G1020,""))</f>
        <v>#VALUE!</v>
      </c>
    </row>
    <row r="1021" ht="14.25" customHeight="1">
      <c r="A1021" t="s">
        <v>81</v>
      </c>
      <c r="B1021" t="s">
        <v>242</v>
      </c>
      <c r="C1021" t="s">
        <v>233</v>
      </c>
      <c r="D1021" t="s">
        <v>231</v>
      </c>
      <c r="E1021" t="s">
        <v>191</v>
      </c>
      <c r="F1021" t="s">
        <v>192</v>
      </c>
      <c r="G1021">
        <v>1490827.483390994</v>
      </c>
      <c r="H1021" t="e">
        <f>IF(PNL!A1021="","",_CALC_PNL!P1021)</f>
        <v>#VALUE!</v>
      </c>
      <c r="I1021" t="e">
        <f>IF(PNL!A1021="","",IF(_CALC_PNL!E1021=1,H1021-G1021,""))</f>
        <v>#VALUE!</v>
      </c>
    </row>
    <row r="1022" ht="14.25" customHeight="1">
      <c r="A1022" t="s">
        <v>81</v>
      </c>
      <c r="B1022" t="s">
        <v>242</v>
      </c>
      <c r="C1022" t="s">
        <v>233</v>
      </c>
      <c r="D1022" t="s">
        <v>9</v>
      </c>
      <c r="E1022" t="s">
        <v>191</v>
      </c>
      <c r="F1022" t="s">
        <v>192</v>
      </c>
      <c r="G1022">
        <v>1626000.309610645</v>
      </c>
      <c r="H1022" t="e">
        <f>IF(PNL!A1022="","",_CALC_PNL!P1022)</f>
        <v>#VALUE!</v>
      </c>
      <c r="I1022" t="e">
        <f>IF(PNL!A1022="","",IF(_CALC_PNL!E1022=1,H1022-G1022,""))</f>
        <v>#VALUE!</v>
      </c>
    </row>
    <row r="1023" ht="14.25" customHeight="1">
      <c r="A1023" t="s">
        <v>81</v>
      </c>
      <c r="B1023" t="s">
        <v>242</v>
      </c>
      <c r="C1023" t="s">
        <v>233</v>
      </c>
      <c r="D1023" t="s">
        <v>234</v>
      </c>
      <c r="E1023" t="s">
        <v>191</v>
      </c>
      <c r="F1023" t="s">
        <v>192</v>
      </c>
      <c r="G1023">
        <v>1365480.893442997</v>
      </c>
      <c r="H1023" t="e">
        <f>IF(PNL!A1023="","",_CALC_PNL!P1023)</f>
        <v>#VALUE!</v>
      </c>
      <c r="I1023" t="e">
        <f>IF(PNL!A1023="","",IF(_CALC_PNL!E1023=1,H1023-G1023,""))</f>
        <v>#VALUE!</v>
      </c>
    </row>
    <row r="1024" ht="14.25" customHeight="1">
      <c r="A1024" t="s">
        <v>83</v>
      </c>
      <c r="B1024" t="s">
        <v>242</v>
      </c>
      <c r="C1024" t="s">
        <v>233</v>
      </c>
      <c r="D1024" t="s">
        <v>231</v>
      </c>
      <c r="E1024" t="s">
        <v>191</v>
      </c>
      <c r="F1024" t="s">
        <v>192</v>
      </c>
      <c r="G1024">
        <v>2451136.698482804</v>
      </c>
      <c r="H1024" t="e">
        <f>IF(PNL!A1024="","",_CALC_PNL!P1024)</f>
        <v>#VALUE!</v>
      </c>
      <c r="I1024" t="e">
        <f>IF(PNL!A1024="","",IF(_CALC_PNL!E1024=1,H1024-G1024,""))</f>
        <v>#VALUE!</v>
      </c>
    </row>
    <row r="1025" ht="14.25" customHeight="1">
      <c r="A1025" t="s">
        <v>83</v>
      </c>
      <c r="B1025" t="s">
        <v>242</v>
      </c>
      <c r="C1025" t="s">
        <v>233</v>
      </c>
      <c r="D1025" t="s">
        <v>9</v>
      </c>
      <c r="E1025" t="s">
        <v>191</v>
      </c>
      <c r="F1025" t="s">
        <v>192</v>
      </c>
      <c r="G1025">
        <v>2673380.438067614</v>
      </c>
      <c r="H1025" t="e">
        <f>IF(PNL!A1025="","",_CALC_PNL!P1025)</f>
        <v>#VALUE!</v>
      </c>
      <c r="I1025" t="e">
        <f>IF(PNL!A1025="","",IF(_CALC_PNL!E1025=1,H1025-G1025,""))</f>
        <v>#VALUE!</v>
      </c>
    </row>
    <row r="1026" ht="14.25" customHeight="1">
      <c r="A1026" t="s">
        <v>83</v>
      </c>
      <c r="B1026" t="s">
        <v>242</v>
      </c>
      <c r="C1026" t="s">
        <v>233</v>
      </c>
      <c r="D1026" t="s">
        <v>234</v>
      </c>
      <c r="E1026" t="s">
        <v>191</v>
      </c>
      <c r="F1026" t="s">
        <v>192</v>
      </c>
      <c r="G1026">
        <v>2245048.717093859</v>
      </c>
      <c r="H1026" t="e">
        <f>IF(PNL!A1026="","",_CALC_PNL!P1026)</f>
        <v>#VALUE!</v>
      </c>
      <c r="I1026" t="e">
        <f>IF(PNL!A1026="","",IF(_CALC_PNL!E1026=1,H1026-G1026,""))</f>
        <v>#VALUE!</v>
      </c>
    </row>
    <row r="1027" ht="14.25" customHeight="1">
      <c r="A1027" t="s">
        <v>84</v>
      </c>
      <c r="B1027" t="s">
        <v>242</v>
      </c>
      <c r="C1027" t="s">
        <v>233</v>
      </c>
      <c r="D1027" t="s">
        <v>231</v>
      </c>
      <c r="E1027" t="s">
        <v>191</v>
      </c>
      <c r="F1027" t="s">
        <v>192</v>
      </c>
      <c r="G1027">
        <v>1475789.802114509</v>
      </c>
      <c r="H1027" t="e">
        <f>IF(PNL!A1027="","",_CALC_PNL!P1027)</f>
        <v>#VALUE!</v>
      </c>
      <c r="I1027" t="e">
        <f>IF(PNL!A1027="","",IF(_CALC_PNL!E1027=1,H1027-G1027,""))</f>
        <v>#VALUE!</v>
      </c>
    </row>
    <row r="1028" ht="14.25" customHeight="1">
      <c r="A1028" t="s">
        <v>84</v>
      </c>
      <c r="B1028" t="s">
        <v>242</v>
      </c>
      <c r="C1028" t="s">
        <v>233</v>
      </c>
      <c r="D1028" t="s">
        <v>9</v>
      </c>
      <c r="E1028" t="s">
        <v>191</v>
      </c>
      <c r="F1028" t="s">
        <v>192</v>
      </c>
      <c r="G1028">
        <v>1609599.166833364</v>
      </c>
      <c r="H1028" t="e">
        <f>IF(PNL!A1028="","",_CALC_PNL!P1028)</f>
        <v>#VALUE!</v>
      </c>
      <c r="I1028" t="e">
        <f>IF(PNL!A1028="","",IF(_CALC_PNL!E1028=1,H1028-G1028,""))</f>
        <v>#VALUE!</v>
      </c>
    </row>
    <row r="1029" ht="14.25" customHeight="1">
      <c r="A1029" t="s">
        <v>84</v>
      </c>
      <c r="B1029" t="s">
        <v>242</v>
      </c>
      <c r="C1029" t="s">
        <v>233</v>
      </c>
      <c r="D1029" t="s">
        <v>234</v>
      </c>
      <c r="E1029" t="s">
        <v>191</v>
      </c>
      <c r="F1029" t="s">
        <v>192</v>
      </c>
      <c r="G1029">
        <v>1351707.558370034</v>
      </c>
      <c r="H1029" t="e">
        <f>IF(PNL!A1029="","",_CALC_PNL!P1029)</f>
        <v>#VALUE!</v>
      </c>
      <c r="I1029" t="e">
        <f>IF(PNL!A1029="","",IF(_CALC_PNL!E1029=1,H1029-G1029,""))</f>
        <v>#VALUE!</v>
      </c>
    </row>
    <row r="1030" ht="14.25" customHeight="1">
      <c r="A1030" t="s">
        <v>86</v>
      </c>
      <c r="B1030" t="s">
        <v>242</v>
      </c>
      <c r="C1030" t="s">
        <v>233</v>
      </c>
      <c r="D1030" t="s">
        <v>231</v>
      </c>
      <c r="E1030" t="s">
        <v>191</v>
      </c>
      <c r="F1030" t="s">
        <v>192</v>
      </c>
      <c r="G1030">
        <v>1370691.87029031</v>
      </c>
      <c r="H1030" t="e">
        <f>IF(PNL!A1030="","",_CALC_PNL!P1030)</f>
        <v>#VALUE!</v>
      </c>
      <c r="I1030" t="e">
        <f>IF(PNL!A1030="","",IF(_CALC_PNL!E1030=1,H1030-G1030,""))</f>
        <v>#VALUE!</v>
      </c>
    </row>
    <row r="1031" ht="14.25" customHeight="1">
      <c r="A1031" t="s">
        <v>86</v>
      </c>
      <c r="B1031" t="s">
        <v>242</v>
      </c>
      <c r="C1031" t="s">
        <v>233</v>
      </c>
      <c r="D1031" t="s">
        <v>9</v>
      </c>
      <c r="E1031" t="s">
        <v>191</v>
      </c>
      <c r="F1031" t="s">
        <v>192</v>
      </c>
      <c r="G1031">
        <v>1494972.040898654</v>
      </c>
      <c r="H1031" t="e">
        <f>IF(PNL!A1031="","",_CALC_PNL!P1031)</f>
        <v>#VALUE!</v>
      </c>
      <c r="I1031" t="e">
        <f>IF(PNL!A1031="","",IF(_CALC_PNL!E1031=1,H1031-G1031,""))</f>
        <v>#VALUE!</v>
      </c>
    </row>
    <row r="1032" ht="14.25" customHeight="1">
      <c r="A1032" t="s">
        <v>86</v>
      </c>
      <c r="B1032" t="s">
        <v>242</v>
      </c>
      <c r="C1032" t="s">
        <v>233</v>
      </c>
      <c r="D1032" t="s">
        <v>234</v>
      </c>
      <c r="E1032" t="s">
        <v>191</v>
      </c>
      <c r="F1032" t="s">
        <v>192</v>
      </c>
      <c r="G1032">
        <v>1255446.106629223</v>
      </c>
      <c r="H1032" t="e">
        <f>IF(PNL!A1032="","",_CALC_PNL!P1032)</f>
        <v>#VALUE!</v>
      </c>
      <c r="I1032" t="e">
        <f>IF(PNL!A1032="","",IF(_CALC_PNL!E1032=1,H1032-G1032,""))</f>
        <v>#VALUE!</v>
      </c>
    </row>
    <row r="1033" ht="14.25" customHeight="1">
      <c r="A1033" t="s">
        <v>88</v>
      </c>
      <c r="B1033" t="s">
        <v>242</v>
      </c>
      <c r="C1033" t="s">
        <v>233</v>
      </c>
      <c r="D1033" t="s">
        <v>231</v>
      </c>
      <c r="E1033" t="s">
        <v>191</v>
      </c>
      <c r="F1033" t="s">
        <v>192</v>
      </c>
      <c r="G1033">
        <v>1085965.59912004</v>
      </c>
      <c r="H1033" t="e">
        <f>IF(PNL!A1033="","",_CALC_PNL!P1033)</f>
        <v>#VALUE!</v>
      </c>
      <c r="I1033" t="e">
        <f>IF(PNL!A1033="","",IF(_CALC_PNL!E1033=1,H1033-G1033,""))</f>
        <v>#VALUE!</v>
      </c>
    </row>
    <row r="1034" ht="14.25" customHeight="1">
      <c r="A1034" t="s">
        <v>88</v>
      </c>
      <c r="B1034" t="s">
        <v>242</v>
      </c>
      <c r="C1034" t="s">
        <v>233</v>
      </c>
      <c r="D1034" t="s">
        <v>9</v>
      </c>
      <c r="E1034" t="s">
        <v>191</v>
      </c>
      <c r="F1034" t="s">
        <v>192</v>
      </c>
      <c r="G1034">
        <v>1184429.734538634</v>
      </c>
      <c r="H1034" t="e">
        <f>IF(PNL!A1034="","",_CALC_PNL!P1034)</f>
        <v>#VALUE!</v>
      </c>
      <c r="I1034" t="e">
        <f>IF(PNL!A1034="","",IF(_CALC_PNL!E1034=1,H1034-G1034,""))</f>
        <v>#VALUE!</v>
      </c>
    </row>
    <row r="1035" ht="14.25" customHeight="1">
      <c r="A1035" t="s">
        <v>88</v>
      </c>
      <c r="B1035" t="s">
        <v>242</v>
      </c>
      <c r="C1035" t="s">
        <v>233</v>
      </c>
      <c r="D1035" t="s">
        <v>234</v>
      </c>
      <c r="E1035" t="s">
        <v>191</v>
      </c>
      <c r="F1035" t="s">
        <v>192</v>
      </c>
      <c r="G1035">
        <v>994659.203063461</v>
      </c>
      <c r="H1035" t="e">
        <f>IF(PNL!A1035="","",_CALC_PNL!P1035)</f>
        <v>#VALUE!</v>
      </c>
      <c r="I1035" t="e">
        <f>IF(PNL!A1035="","",IF(_CALC_PNL!E1035=1,H1035-G1035,""))</f>
        <v>#VALUE!</v>
      </c>
    </row>
    <row r="1036" ht="14.25" customHeight="1">
      <c r="A1036" t="s">
        <v>90</v>
      </c>
      <c r="B1036" t="s">
        <v>242</v>
      </c>
      <c r="C1036" t="s">
        <v>233</v>
      </c>
      <c r="D1036" t="s">
        <v>231</v>
      </c>
      <c r="E1036" t="s">
        <v>191</v>
      </c>
      <c r="F1036" t="s">
        <v>192</v>
      </c>
      <c r="G1036">
        <v>832448.802359948</v>
      </c>
      <c r="H1036" t="e">
        <f>IF(PNL!A1036="","",_CALC_PNL!P1036)</f>
        <v>#VALUE!</v>
      </c>
      <c r="I1036" t="e">
        <f>IF(PNL!A1036="","",IF(_CALC_PNL!E1036=1,H1036-G1036,""))</f>
        <v>#VALUE!</v>
      </c>
    </row>
    <row r="1037" ht="14.25" customHeight="1">
      <c r="A1037" t="s">
        <v>90</v>
      </c>
      <c r="B1037" t="s">
        <v>242</v>
      </c>
      <c r="C1037" t="s">
        <v>233</v>
      </c>
      <c r="D1037" t="s">
        <v>9</v>
      </c>
      <c r="E1037" t="s">
        <v>191</v>
      </c>
      <c r="F1037" t="s">
        <v>192</v>
      </c>
      <c r="G1037">
        <v>907926.655130822</v>
      </c>
      <c r="H1037" t="e">
        <f>IF(PNL!A1037="","",_CALC_PNL!P1037)</f>
        <v>#VALUE!</v>
      </c>
      <c r="I1037" t="e">
        <f>IF(PNL!A1037="","",IF(_CALC_PNL!E1037=1,H1037-G1037,""))</f>
        <v>#VALUE!</v>
      </c>
    </row>
    <row r="1038" ht="14.25" customHeight="1">
      <c r="A1038" t="s">
        <v>90</v>
      </c>
      <c r="B1038" t="s">
        <v>242</v>
      </c>
      <c r="C1038" t="s">
        <v>233</v>
      </c>
      <c r="D1038" t="s">
        <v>234</v>
      </c>
      <c r="E1038" t="s">
        <v>191</v>
      </c>
      <c r="F1038" t="s">
        <v>192</v>
      </c>
      <c r="G1038">
        <v>762457.727037956</v>
      </c>
      <c r="H1038" t="e">
        <f>IF(PNL!A1038="","",_CALC_PNL!P1038)</f>
        <v>#VALUE!</v>
      </c>
      <c r="I1038" t="e">
        <f>IF(PNL!A1038="","",IF(_CALC_PNL!E1038=1,H1038-G1038,""))</f>
        <v>#VALUE!</v>
      </c>
    </row>
    <row r="1039" ht="14.25" customHeight="1">
      <c r="A1039" t="s">
        <v>92</v>
      </c>
      <c r="B1039" t="s">
        <v>242</v>
      </c>
      <c r="C1039" t="s">
        <v>233</v>
      </c>
      <c r="D1039" t="s">
        <v>231</v>
      </c>
      <c r="E1039" t="s">
        <v>191</v>
      </c>
      <c r="F1039" t="s">
        <v>192</v>
      </c>
      <c r="G1039">
        <v>832448.802359948</v>
      </c>
      <c r="H1039" t="e">
        <f>IF(PNL!A1039="","",_CALC_PNL!P1039)</f>
        <v>#VALUE!</v>
      </c>
      <c r="I1039" t="e">
        <f>IF(PNL!A1039="","",IF(_CALC_PNL!E1039=1,H1039-G1039,""))</f>
        <v>#VALUE!</v>
      </c>
    </row>
    <row r="1040" ht="14.25" customHeight="1">
      <c r="A1040" t="s">
        <v>92</v>
      </c>
      <c r="B1040" t="s">
        <v>242</v>
      </c>
      <c r="C1040" t="s">
        <v>233</v>
      </c>
      <c r="D1040" t="s">
        <v>9</v>
      </c>
      <c r="E1040" t="s">
        <v>191</v>
      </c>
      <c r="F1040" t="s">
        <v>192</v>
      </c>
      <c r="G1040">
        <v>907926.655130822</v>
      </c>
      <c r="H1040" t="e">
        <f>IF(PNL!A1040="","",_CALC_PNL!P1040)</f>
        <v>#VALUE!</v>
      </c>
      <c r="I1040" t="e">
        <f>IF(PNL!A1040="","",IF(_CALC_PNL!E1040=1,H1040-G1040,""))</f>
        <v>#VALUE!</v>
      </c>
    </row>
    <row r="1041" ht="14.25" customHeight="1">
      <c r="A1041" t="s">
        <v>92</v>
      </c>
      <c r="B1041" t="s">
        <v>242</v>
      </c>
      <c r="C1041" t="s">
        <v>233</v>
      </c>
      <c r="D1041" t="s">
        <v>234</v>
      </c>
      <c r="E1041" t="s">
        <v>191</v>
      </c>
      <c r="F1041" t="s">
        <v>192</v>
      </c>
      <c r="G1041">
        <v>762457.727037956</v>
      </c>
      <c r="H1041" t="e">
        <f>IF(PNL!A1041="","",_CALC_PNL!P1041)</f>
        <v>#VALUE!</v>
      </c>
      <c r="I1041" t="e">
        <f>IF(PNL!A1041="","",IF(_CALC_PNL!E1041=1,H1041-G1041,""))</f>
        <v>#VALUE!</v>
      </c>
    </row>
    <row r="1042" ht="14.25" customHeight="1">
      <c r="A1042" t="s">
        <v>94</v>
      </c>
      <c r="B1042" t="s">
        <v>242</v>
      </c>
      <c r="C1042" t="s">
        <v>233</v>
      </c>
      <c r="D1042" t="s">
        <v>231</v>
      </c>
      <c r="E1042" t="s">
        <v>191</v>
      </c>
      <c r="F1042" t="s">
        <v>192</v>
      </c>
      <c r="G1042">
        <v>1328997.210785179</v>
      </c>
      <c r="H1042" t="e">
        <f>IF(PNL!A1042="","",_CALC_PNL!P1042)</f>
        <v>#VALUE!</v>
      </c>
      <c r="I1042" t="e">
        <f>IF(PNL!A1042="","",IF(_CALC_PNL!E1042=1,H1042-G1042,""))</f>
        <v>#VALUE!</v>
      </c>
    </row>
    <row r="1043" ht="14.25" customHeight="1">
      <c r="A1043" t="s">
        <v>94</v>
      </c>
      <c r="B1043" t="s">
        <v>242</v>
      </c>
      <c r="C1043" t="s">
        <v>233</v>
      </c>
      <c r="D1043" t="s">
        <v>9</v>
      </c>
      <c r="E1043" t="s">
        <v>191</v>
      </c>
      <c r="F1043" t="s">
        <v>192</v>
      </c>
      <c r="G1043">
        <v>1449496.940647452</v>
      </c>
      <c r="H1043" t="e">
        <f>IF(PNL!A1043="","",_CALC_PNL!P1043)</f>
        <v>#VALUE!</v>
      </c>
      <c r="I1043" t="e">
        <f>IF(PNL!A1043="","",IF(_CALC_PNL!E1043=1,H1043-G1043,""))</f>
        <v>#VALUE!</v>
      </c>
    </row>
    <row r="1044" ht="14.25" customHeight="1">
      <c r="A1044" t="s">
        <v>94</v>
      </c>
      <c r="B1044" t="s">
        <v>242</v>
      </c>
      <c r="C1044" t="s">
        <v>233</v>
      </c>
      <c r="D1044" t="s">
        <v>234</v>
      </c>
      <c r="E1044" t="s">
        <v>191</v>
      </c>
      <c r="F1044" t="s">
        <v>192</v>
      </c>
      <c r="G1044">
        <v>1217257.072990422</v>
      </c>
      <c r="H1044" t="e">
        <f>IF(PNL!A1044="","",_CALC_PNL!P1044)</f>
        <v>#VALUE!</v>
      </c>
      <c r="I1044" t="e">
        <f>IF(PNL!A1044="","",IF(_CALC_PNL!E1044=1,H1044-G1044,""))</f>
        <v>#VALUE!</v>
      </c>
    </row>
    <row r="1045" ht="14.25" customHeight="1">
      <c r="A1045" t="s">
        <v>95</v>
      </c>
      <c r="B1045" t="s">
        <v>242</v>
      </c>
      <c r="C1045" t="s">
        <v>233</v>
      </c>
      <c r="D1045" t="s">
        <v>231</v>
      </c>
      <c r="E1045" t="s">
        <v>191</v>
      </c>
      <c r="F1045" t="s">
        <v>192</v>
      </c>
      <c r="G1045">
        <v>957907.251771589</v>
      </c>
      <c r="H1045" t="e">
        <f>IF(PNL!A1045="","",_CALC_PNL!P1045)</f>
        <v>#VALUE!</v>
      </c>
      <c r="I1045" t="e">
        <f>IF(PNL!A1045="","",IF(_CALC_PNL!E1045=1,H1045-G1045,""))</f>
        <v>#VALUE!</v>
      </c>
    </row>
    <row r="1046" ht="14.25" customHeight="1">
      <c r="A1046" t="s">
        <v>95</v>
      </c>
      <c r="B1046" t="s">
        <v>242</v>
      </c>
      <c r="C1046" t="s">
        <v>233</v>
      </c>
      <c r="D1046" t="s">
        <v>9</v>
      </c>
      <c r="E1046" t="s">
        <v>191</v>
      </c>
      <c r="F1046" t="s">
        <v>192</v>
      </c>
      <c r="G1046">
        <v>1044760.379930822</v>
      </c>
      <c r="H1046" t="e">
        <f>IF(PNL!A1046="","",_CALC_PNL!P1046)</f>
        <v>#VALUE!</v>
      </c>
      <c r="I1046" t="e">
        <f>IF(PNL!A1046="","",IF(_CALC_PNL!E1046=1,H1046-G1046,""))</f>
        <v>#VALUE!</v>
      </c>
    </row>
    <row r="1047" ht="14.25" customHeight="1">
      <c r="A1047" t="s">
        <v>95</v>
      </c>
      <c r="B1047" t="s">
        <v>242</v>
      </c>
      <c r="C1047" t="s">
        <v>233</v>
      </c>
      <c r="D1047" t="s">
        <v>234</v>
      </c>
      <c r="E1047" t="s">
        <v>191</v>
      </c>
      <c r="F1047" t="s">
        <v>192</v>
      </c>
      <c r="G1047">
        <v>877367.81388645</v>
      </c>
      <c r="H1047" t="e">
        <f>IF(PNL!A1047="","",_CALC_PNL!P1047)</f>
        <v>#VALUE!</v>
      </c>
      <c r="I1047" t="e">
        <f>IF(PNL!A1047="","",IF(_CALC_PNL!E1047=1,H1047-G1047,""))</f>
        <v>#VALUE!</v>
      </c>
    </row>
    <row r="1048" ht="14.25" customHeight="1">
      <c r="A1048" t="s">
        <v>96</v>
      </c>
      <c r="B1048" t="s">
        <v>242</v>
      </c>
      <c r="C1048" t="s">
        <v>233</v>
      </c>
      <c r="D1048" t="s">
        <v>231</v>
      </c>
      <c r="E1048" t="s">
        <v>191</v>
      </c>
      <c r="F1048" t="s">
        <v>192</v>
      </c>
      <c r="G1048">
        <v>1157564.434482712</v>
      </c>
      <c r="H1048" t="e">
        <f>IF(PNL!A1048="","",_CALC_PNL!P1048)</f>
        <v>#VALUE!</v>
      </c>
      <c r="I1048" t="e">
        <f>IF(PNL!A1048="","",IF(_CALC_PNL!E1048=1,H1048-G1048,""))</f>
        <v>#VALUE!</v>
      </c>
    </row>
    <row r="1049" ht="14.25" customHeight="1">
      <c r="A1049" t="s">
        <v>96</v>
      </c>
      <c r="B1049" t="s">
        <v>242</v>
      </c>
      <c r="C1049" t="s">
        <v>233</v>
      </c>
      <c r="D1049" t="s">
        <v>9</v>
      </c>
      <c r="E1049" t="s">
        <v>191</v>
      </c>
      <c r="F1049" t="s">
        <v>192</v>
      </c>
      <c r="G1049">
        <v>1262520.412208905</v>
      </c>
      <c r="H1049" t="e">
        <f>IF(PNL!A1049="","",_CALC_PNL!P1049)</f>
        <v>#VALUE!</v>
      </c>
      <c r="I1049" t="e">
        <f>IF(PNL!A1049="","",IF(_CALC_PNL!E1049=1,H1049-G1049,""))</f>
        <v>#VALUE!</v>
      </c>
    </row>
    <row r="1050" ht="14.25" customHeight="1">
      <c r="A1050" t="s">
        <v>96</v>
      </c>
      <c r="B1050" t="s">
        <v>242</v>
      </c>
      <c r="C1050" t="s">
        <v>233</v>
      </c>
      <c r="D1050" t="s">
        <v>234</v>
      </c>
      <c r="E1050" t="s">
        <v>191</v>
      </c>
      <c r="F1050" t="s">
        <v>192</v>
      </c>
      <c r="G1050">
        <v>1060238.113279231</v>
      </c>
      <c r="H1050" t="e">
        <f>IF(PNL!A1050="","",_CALC_PNL!P1050)</f>
        <v>#VALUE!</v>
      </c>
      <c r="I1050" t="e">
        <f>IF(PNL!A1050="","",IF(_CALC_PNL!E1050=1,H1050-G1050,""))</f>
        <v>#VALUE!</v>
      </c>
    </row>
    <row r="1051" ht="14.25" customHeight="1">
      <c r="A1051" t="s">
        <v>97</v>
      </c>
      <c r="B1051" t="s">
        <v>242</v>
      </c>
      <c r="C1051" t="s">
        <v>233</v>
      </c>
      <c r="D1051" t="s">
        <v>231</v>
      </c>
      <c r="E1051" t="s">
        <v>191</v>
      </c>
      <c r="F1051" t="s">
        <v>192</v>
      </c>
      <c r="G1051">
        <v>920074.992082047</v>
      </c>
      <c r="H1051" t="e">
        <f>IF(PNL!A1051="","",_CALC_PNL!P1051)</f>
        <v>#VALUE!</v>
      </c>
      <c r="I1051" t="e">
        <f>IF(PNL!A1051="","",IF(_CALC_PNL!E1051=1,H1051-G1051,""))</f>
        <v>#VALUE!</v>
      </c>
    </row>
    <row r="1052" ht="14.25" customHeight="1">
      <c r="A1052" t="s">
        <v>97</v>
      </c>
      <c r="B1052" t="s">
        <v>242</v>
      </c>
      <c r="C1052" t="s">
        <v>233</v>
      </c>
      <c r="D1052" t="s">
        <v>9</v>
      </c>
      <c r="E1052" t="s">
        <v>191</v>
      </c>
      <c r="F1052" t="s">
        <v>192</v>
      </c>
      <c r="G1052">
        <v>1003497.881986697</v>
      </c>
      <c r="H1052" t="e">
        <f>IF(PNL!A1052="","",_CALC_PNL!P1052)</f>
        <v>#VALUE!</v>
      </c>
      <c r="I1052" t="e">
        <f>IF(PNL!A1052="","",IF(_CALC_PNL!E1052=1,H1052-G1052,""))</f>
        <v>#VALUE!</v>
      </c>
    </row>
    <row r="1053" ht="14.25" customHeight="1">
      <c r="A1053" t="s">
        <v>97</v>
      </c>
      <c r="B1053" t="s">
        <v>242</v>
      </c>
      <c r="C1053" t="s">
        <v>233</v>
      </c>
      <c r="D1053" t="s">
        <v>234</v>
      </c>
      <c r="E1053" t="s">
        <v>191</v>
      </c>
      <c r="F1053" t="s">
        <v>192</v>
      </c>
      <c r="G1053">
        <v>842716.435147215</v>
      </c>
      <c r="H1053" t="e">
        <f>IF(PNL!A1053="","",_CALC_PNL!P1053)</f>
        <v>#VALUE!</v>
      </c>
      <c r="I1053" t="e">
        <f>IF(PNL!A1053="","",IF(_CALC_PNL!E1053=1,H1053-G1053,""))</f>
        <v>#VALUE!</v>
      </c>
    </row>
    <row r="1054" ht="14.25" customHeight="1">
      <c r="A1054" t="s">
        <v>75</v>
      </c>
      <c r="B1054" t="s">
        <v>243</v>
      </c>
      <c r="C1054" t="s">
        <v>233</v>
      </c>
      <c r="D1054" t="s">
        <v>231</v>
      </c>
      <c r="E1054" t="s">
        <v>191</v>
      </c>
      <c r="F1054" t="s">
        <v>192</v>
      </c>
      <c r="G1054">
        <v>701009.517776798</v>
      </c>
      <c r="H1054" t="e">
        <f>IF(PNL!A1054="","",_CALC_PNL!P1054)</f>
        <v>#VALUE!</v>
      </c>
      <c r="I1054" t="e">
        <f>IF(PNL!A1054="","",IF(_CALC_PNL!E1054=1,H1054-G1054,""))</f>
        <v>#VALUE!</v>
      </c>
    </row>
    <row r="1055" ht="14.25" customHeight="1">
      <c r="A1055" t="s">
        <v>75</v>
      </c>
      <c r="B1055" t="s">
        <v>243</v>
      </c>
      <c r="C1055" t="s">
        <v>233</v>
      </c>
      <c r="D1055" t="s">
        <v>9</v>
      </c>
      <c r="E1055" t="s">
        <v>191</v>
      </c>
      <c r="F1055" t="s">
        <v>192</v>
      </c>
      <c r="G1055">
        <v>764569.814847008</v>
      </c>
      <c r="H1055" t="e">
        <f>IF(PNL!A1055="","",_CALC_PNL!P1055)</f>
        <v>#VALUE!</v>
      </c>
      <c r="I1055" t="e">
        <f>IF(PNL!A1055="","",IF(_CALC_PNL!E1055=1,H1055-G1055,""))</f>
        <v>#VALUE!</v>
      </c>
    </row>
    <row r="1056" ht="14.25" customHeight="1">
      <c r="A1056" t="s">
        <v>75</v>
      </c>
      <c r="B1056" t="s">
        <v>243</v>
      </c>
      <c r="C1056" t="s">
        <v>233</v>
      </c>
      <c r="D1056" t="s">
        <v>234</v>
      </c>
      <c r="E1056" t="s">
        <v>191</v>
      </c>
      <c r="F1056" t="s">
        <v>192</v>
      </c>
      <c r="G1056">
        <v>642069.664874069</v>
      </c>
      <c r="H1056" t="e">
        <f>IF(PNL!A1056="","",_CALC_PNL!P1056)</f>
        <v>#VALUE!</v>
      </c>
      <c r="I1056" t="e">
        <f>IF(PNL!A1056="","",IF(_CALC_PNL!E1056=1,H1056-G1056,""))</f>
        <v>#VALUE!</v>
      </c>
    </row>
    <row r="1057" ht="14.25" customHeight="1">
      <c r="A1057" t="s">
        <v>77</v>
      </c>
      <c r="B1057" t="s">
        <v>243</v>
      </c>
      <c r="C1057" t="s">
        <v>233</v>
      </c>
      <c r="D1057" t="s">
        <v>231</v>
      </c>
      <c r="E1057" t="s">
        <v>191</v>
      </c>
      <c r="F1057" t="s">
        <v>192</v>
      </c>
      <c r="G1057">
        <v>556089.28092871</v>
      </c>
      <c r="H1057" t="e">
        <f>IF(PNL!A1057="","",_CALC_PNL!P1057)</f>
        <v>#VALUE!</v>
      </c>
      <c r="I1057" t="e">
        <f>IF(PNL!A1057="","",IF(_CALC_PNL!E1057=1,H1057-G1057,""))</f>
        <v>#VALUE!</v>
      </c>
    </row>
    <row r="1058" ht="14.25" customHeight="1">
      <c r="A1058" t="s">
        <v>77</v>
      </c>
      <c r="B1058" t="s">
        <v>243</v>
      </c>
      <c r="C1058" t="s">
        <v>233</v>
      </c>
      <c r="D1058" t="s">
        <v>9</v>
      </c>
      <c r="E1058" t="s">
        <v>191</v>
      </c>
      <c r="F1058" t="s">
        <v>192</v>
      </c>
      <c r="G1058">
        <v>606509.708893059</v>
      </c>
      <c r="H1058" t="e">
        <f>IF(PNL!A1058="","",_CALC_PNL!P1058)</f>
        <v>#VALUE!</v>
      </c>
      <c r="I1058" t="e">
        <f>IF(PNL!A1058="","",IF(_CALC_PNL!E1058=1,H1058-G1058,""))</f>
        <v>#VALUE!</v>
      </c>
    </row>
    <row r="1059" ht="14.25" customHeight="1">
      <c r="A1059" t="s">
        <v>77</v>
      </c>
      <c r="B1059" t="s">
        <v>243</v>
      </c>
      <c r="C1059" t="s">
        <v>233</v>
      </c>
      <c r="D1059" t="s">
        <v>234</v>
      </c>
      <c r="E1059" t="s">
        <v>191</v>
      </c>
      <c r="F1059" t="s">
        <v>192</v>
      </c>
      <c r="G1059">
        <v>509334.10915491</v>
      </c>
      <c r="H1059" t="e">
        <f>IF(PNL!A1059="","",_CALC_PNL!P1059)</f>
        <v>#VALUE!</v>
      </c>
      <c r="I1059" t="e">
        <f>IF(PNL!A1059="","",IF(_CALC_PNL!E1059=1,H1059-G1059,""))</f>
        <v>#VALUE!</v>
      </c>
    </row>
    <row r="1060" ht="14.25" customHeight="1">
      <c r="A1060" t="s">
        <v>79</v>
      </c>
      <c r="B1060" t="s">
        <v>243</v>
      </c>
      <c r="C1060" t="s">
        <v>233</v>
      </c>
      <c r="D1060" t="s">
        <v>231</v>
      </c>
      <c r="E1060" t="s">
        <v>191</v>
      </c>
      <c r="F1060" t="s">
        <v>192</v>
      </c>
      <c r="G1060">
        <v>481462.580890658</v>
      </c>
      <c r="H1060" t="e">
        <f>IF(PNL!A1060="","",_CALC_PNL!P1060)</f>
        <v>#VALUE!</v>
      </c>
      <c r="I1060" t="e">
        <f>IF(PNL!A1060="","",IF(_CALC_PNL!E1060=1,H1060-G1060,""))</f>
        <v>#VALUE!</v>
      </c>
    </row>
    <row r="1061" ht="14.25" customHeight="1">
      <c r="A1061" t="s">
        <v>79</v>
      </c>
      <c r="B1061" t="s">
        <v>243</v>
      </c>
      <c r="C1061" t="s">
        <v>233</v>
      </c>
      <c r="D1061" t="s">
        <v>9</v>
      </c>
      <c r="E1061" t="s">
        <v>191</v>
      </c>
      <c r="F1061" t="s">
        <v>192</v>
      </c>
      <c r="G1061">
        <v>525116.631076242</v>
      </c>
      <c r="H1061" t="e">
        <f>IF(PNL!A1061="","",_CALC_PNL!P1061)</f>
        <v>#VALUE!</v>
      </c>
      <c r="I1061" t="e">
        <f>IF(PNL!A1061="","",IF(_CALC_PNL!E1061=1,H1061-G1061,""))</f>
        <v>#VALUE!</v>
      </c>
    </row>
    <row r="1062" ht="14.25" customHeight="1">
      <c r="A1062" t="s">
        <v>79</v>
      </c>
      <c r="B1062" t="s">
        <v>243</v>
      </c>
      <c r="C1062" t="s">
        <v>233</v>
      </c>
      <c r="D1062" t="s">
        <v>234</v>
      </c>
      <c r="E1062" t="s">
        <v>191</v>
      </c>
      <c r="F1062" t="s">
        <v>192</v>
      </c>
      <c r="G1062">
        <v>440981.912688234</v>
      </c>
      <c r="H1062" t="e">
        <f>IF(PNL!A1062="","",_CALC_PNL!P1062)</f>
        <v>#VALUE!</v>
      </c>
      <c r="I1062" t="e">
        <f>IF(PNL!A1062="","",IF(_CALC_PNL!E1062=1,H1062-G1062,""))</f>
        <v>#VALUE!</v>
      </c>
    </row>
    <row r="1063" ht="14.25" customHeight="1">
      <c r="A1063" t="s">
        <v>81</v>
      </c>
      <c r="B1063" t="s">
        <v>243</v>
      </c>
      <c r="C1063" t="s">
        <v>233</v>
      </c>
      <c r="D1063" t="s">
        <v>231</v>
      </c>
      <c r="E1063" t="s">
        <v>191</v>
      </c>
      <c r="F1063" t="s">
        <v>192</v>
      </c>
      <c r="G1063">
        <v>396965.897944347</v>
      </c>
      <c r="H1063" t="e">
        <f>IF(PNL!A1063="","",_CALC_PNL!P1063)</f>
        <v>#VALUE!</v>
      </c>
      <c r="I1063" t="e">
        <f>IF(PNL!A1063="","",IF(_CALC_PNL!E1063=1,H1063-G1063,""))</f>
        <v>#VALUE!</v>
      </c>
    </row>
    <row r="1064" ht="14.25" customHeight="1">
      <c r="A1064" t="s">
        <v>81</v>
      </c>
      <c r="B1064" t="s">
        <v>243</v>
      </c>
      <c r="C1064" t="s">
        <v>233</v>
      </c>
      <c r="D1064" t="s">
        <v>9</v>
      </c>
      <c r="E1064" t="s">
        <v>191</v>
      </c>
      <c r="F1064" t="s">
        <v>192</v>
      </c>
      <c r="G1064">
        <v>432958.662322361</v>
      </c>
      <c r="H1064" t="e">
        <f>IF(PNL!A1064="","",_CALC_PNL!P1064)</f>
        <v>#VALUE!</v>
      </c>
      <c r="I1064" t="e">
        <f>IF(PNL!A1064="","",IF(_CALC_PNL!E1064=1,H1064-G1064,""))</f>
        <v>#VALUE!</v>
      </c>
    </row>
    <row r="1065" ht="14.25" customHeight="1">
      <c r="A1065" t="s">
        <v>81</v>
      </c>
      <c r="B1065" t="s">
        <v>243</v>
      </c>
      <c r="C1065" t="s">
        <v>233</v>
      </c>
      <c r="D1065" t="s">
        <v>234</v>
      </c>
      <c r="E1065" t="s">
        <v>191</v>
      </c>
      <c r="F1065" t="s">
        <v>192</v>
      </c>
      <c r="G1065">
        <v>363589.587011449</v>
      </c>
      <c r="H1065" t="e">
        <f>IF(PNL!A1065="","",_CALC_PNL!P1065)</f>
        <v>#VALUE!</v>
      </c>
      <c r="I1065" t="e">
        <f>IF(PNL!A1065="","",IF(_CALC_PNL!E1065=1,H1065-G1065,""))</f>
        <v>#VALUE!</v>
      </c>
    </row>
    <row r="1066" ht="14.25" customHeight="1">
      <c r="A1066" t="s">
        <v>83</v>
      </c>
      <c r="B1066" t="s">
        <v>243</v>
      </c>
      <c r="C1066" t="s">
        <v>233</v>
      </c>
      <c r="D1066" t="s">
        <v>231</v>
      </c>
      <c r="E1066" t="s">
        <v>191</v>
      </c>
      <c r="F1066" t="s">
        <v>192</v>
      </c>
      <c r="G1066">
        <v>647085.708717044</v>
      </c>
      <c r="H1066" t="e">
        <f>IF(PNL!A1066="","",_CALC_PNL!P1066)</f>
        <v>#VALUE!</v>
      </c>
      <c r="I1066" t="e">
        <f>IF(PNL!A1066="","",IF(_CALC_PNL!E1066=1,H1066-G1066,""))</f>
        <v>#VALUE!</v>
      </c>
    </row>
    <row r="1067" ht="14.25" customHeight="1">
      <c r="A1067" t="s">
        <v>83</v>
      </c>
      <c r="B1067" t="s">
        <v>243</v>
      </c>
      <c r="C1067" t="s">
        <v>233</v>
      </c>
      <c r="D1067" t="s">
        <v>9</v>
      </c>
      <c r="E1067" t="s">
        <v>191</v>
      </c>
      <c r="F1067" t="s">
        <v>192</v>
      </c>
      <c r="G1067">
        <v>705756.752166468</v>
      </c>
      <c r="H1067" t="e">
        <f>IF(PNL!A1067="","",_CALC_PNL!P1067)</f>
        <v>#VALUE!</v>
      </c>
      <c r="I1067" t="e">
        <f>IF(PNL!A1067="","",IF(_CALC_PNL!E1067=1,H1067-G1067,""))</f>
        <v>#VALUE!</v>
      </c>
    </row>
    <row r="1068" ht="14.25" customHeight="1">
      <c r="A1068" t="s">
        <v>83</v>
      </c>
      <c r="B1068" t="s">
        <v>243</v>
      </c>
      <c r="C1068" t="s">
        <v>233</v>
      </c>
      <c r="D1068" t="s">
        <v>234</v>
      </c>
      <c r="E1068" t="s">
        <v>191</v>
      </c>
      <c r="F1068" t="s">
        <v>192</v>
      </c>
      <c r="G1068">
        <v>592679.690652986</v>
      </c>
      <c r="H1068" t="e">
        <f>IF(PNL!A1068="","",_CALC_PNL!P1068)</f>
        <v>#VALUE!</v>
      </c>
      <c r="I1068" t="e">
        <f>IF(PNL!A1068="","",IF(_CALC_PNL!E1068=1,H1068-G1068,""))</f>
        <v>#VALUE!</v>
      </c>
    </row>
    <row r="1069" ht="14.25" customHeight="1">
      <c r="A1069" t="s">
        <v>84</v>
      </c>
      <c r="B1069" t="s">
        <v>243</v>
      </c>
      <c r="C1069" t="s">
        <v>233</v>
      </c>
      <c r="D1069" t="s">
        <v>231</v>
      </c>
      <c r="E1069" t="s">
        <v>191</v>
      </c>
      <c r="F1069" t="s">
        <v>192</v>
      </c>
      <c r="G1069">
        <v>393194.441060704</v>
      </c>
      <c r="H1069" t="e">
        <f>IF(PNL!A1069="","",_CALC_PNL!P1069)</f>
        <v>#VALUE!</v>
      </c>
      <c r="I1069" t="e">
        <f>IF(PNL!A1069="","",IF(_CALC_PNL!E1069=1,H1069-G1069,""))</f>
        <v>#VALUE!</v>
      </c>
    </row>
    <row r="1070" ht="14.25" customHeight="1">
      <c r="A1070" t="s">
        <v>84</v>
      </c>
      <c r="B1070" t="s">
        <v>243</v>
      </c>
      <c r="C1070" t="s">
        <v>233</v>
      </c>
      <c r="D1070" t="s">
        <v>9</v>
      </c>
      <c r="E1070" t="s">
        <v>191</v>
      </c>
      <c r="F1070" t="s">
        <v>192</v>
      </c>
      <c r="G1070">
        <v>428845.248712264</v>
      </c>
      <c r="H1070" t="e">
        <f>IF(PNL!A1070="","",_CALC_PNL!P1070)</f>
        <v>#VALUE!</v>
      </c>
      <c r="I1070" t="e">
        <f>IF(PNL!A1070="","",IF(_CALC_PNL!E1070=1,H1070-G1070,""))</f>
        <v>#VALUE!</v>
      </c>
    </row>
    <row r="1071" ht="14.25" customHeight="1">
      <c r="A1071" t="s">
        <v>84</v>
      </c>
      <c r="B1071" t="s">
        <v>243</v>
      </c>
      <c r="C1071" t="s">
        <v>233</v>
      </c>
      <c r="D1071" t="s">
        <v>234</v>
      </c>
      <c r="E1071" t="s">
        <v>191</v>
      </c>
      <c r="F1071" t="s">
        <v>192</v>
      </c>
      <c r="G1071">
        <v>360135.228695391</v>
      </c>
      <c r="H1071" t="e">
        <f>IF(PNL!A1071="","",_CALC_PNL!P1071)</f>
        <v>#VALUE!</v>
      </c>
      <c r="I1071" t="e">
        <f>IF(PNL!A1071="","",IF(_CALC_PNL!E1071=1,H1071-G1071,""))</f>
        <v>#VALUE!</v>
      </c>
    </row>
    <row r="1072" ht="14.25" customHeight="1">
      <c r="A1072" t="s">
        <v>86</v>
      </c>
      <c r="B1072" t="s">
        <v>243</v>
      </c>
      <c r="C1072" t="s">
        <v>233</v>
      </c>
      <c r="D1072" t="s">
        <v>231</v>
      </c>
      <c r="E1072" t="s">
        <v>191</v>
      </c>
      <c r="F1072" t="s">
        <v>192</v>
      </c>
      <c r="G1072">
        <v>362059.860829775</v>
      </c>
      <c r="H1072" t="e">
        <f>IF(PNL!A1072="","",_CALC_PNL!P1072)</f>
        <v>#VALUE!</v>
      </c>
      <c r="I1072" t="e">
        <f>IF(PNL!A1072="","",IF(_CALC_PNL!E1072=1,H1072-G1072,""))</f>
        <v>#VALUE!</v>
      </c>
    </row>
    <row r="1073" ht="14.25" customHeight="1">
      <c r="A1073" t="s">
        <v>86</v>
      </c>
      <c r="B1073" t="s">
        <v>243</v>
      </c>
      <c r="C1073" t="s">
        <v>233</v>
      </c>
      <c r="D1073" t="s">
        <v>9</v>
      </c>
      <c r="E1073" t="s">
        <v>191</v>
      </c>
      <c r="F1073" t="s">
        <v>192</v>
      </c>
      <c r="G1073">
        <v>394887.706569334</v>
      </c>
      <c r="H1073" t="e">
        <f>IF(PNL!A1073="","",_CALC_PNL!P1073)</f>
        <v>#VALUE!</v>
      </c>
      <c r="I1073" t="e">
        <f>IF(PNL!A1073="","",IF(_CALC_PNL!E1073=1,H1073-G1073,""))</f>
        <v>#VALUE!</v>
      </c>
    </row>
    <row r="1074" ht="14.25" customHeight="1">
      <c r="A1074" t="s">
        <v>86</v>
      </c>
      <c r="B1074" t="s">
        <v>243</v>
      </c>
      <c r="C1074" t="s">
        <v>233</v>
      </c>
      <c r="D1074" t="s">
        <v>234</v>
      </c>
      <c r="E1074" t="s">
        <v>191</v>
      </c>
      <c r="F1074" t="s">
        <v>192</v>
      </c>
      <c r="G1074">
        <v>331618.398341552</v>
      </c>
      <c r="H1074" t="e">
        <f>IF(PNL!A1074="","",_CALC_PNL!P1074)</f>
        <v>#VALUE!</v>
      </c>
      <c r="I1074" t="e">
        <f>IF(PNL!A1074="","",IF(_CALC_PNL!E1074=1,H1074-G1074,""))</f>
        <v>#VALUE!</v>
      </c>
    </row>
    <row r="1075" ht="14.25" customHeight="1">
      <c r="A1075" t="s">
        <v>75</v>
      </c>
      <c r="B1075" t="s">
        <v>244</v>
      </c>
      <c r="C1075" t="s">
        <v>233</v>
      </c>
      <c r="D1075" t="s">
        <v>231</v>
      </c>
      <c r="E1075" t="s">
        <v>191</v>
      </c>
      <c r="F1075" t="s">
        <v>192</v>
      </c>
      <c r="G1075">
        <v>15021.632523789</v>
      </c>
      <c r="H1075" t="e">
        <f>IF(PNL!A1075="","",_CALC_PNL!P1075)</f>
        <v>#VALUE!</v>
      </c>
      <c r="I1075" t="e">
        <f>IF(PNL!A1075="","",IF(_CALC_PNL!E1075=1,H1075-G1075,""))</f>
        <v>#VALUE!</v>
      </c>
    </row>
    <row r="1076" ht="14.25" customHeight="1">
      <c r="A1076" t="s">
        <v>75</v>
      </c>
      <c r="B1076" t="s">
        <v>244</v>
      </c>
      <c r="C1076" t="s">
        <v>233</v>
      </c>
      <c r="D1076" t="s">
        <v>9</v>
      </c>
      <c r="E1076" t="s">
        <v>191</v>
      </c>
      <c r="F1076" t="s">
        <v>192</v>
      </c>
      <c r="G1076">
        <v>16383.638889579</v>
      </c>
      <c r="H1076" t="e">
        <f>IF(PNL!A1076="","",_CALC_PNL!P1076)</f>
        <v>#VALUE!</v>
      </c>
      <c r="I1076" t="e">
        <f>IF(PNL!A1076="","",IF(_CALC_PNL!E1076=1,H1076-G1076,""))</f>
        <v>#VALUE!</v>
      </c>
    </row>
    <row r="1077" ht="14.25" customHeight="1">
      <c r="A1077" t="s">
        <v>75</v>
      </c>
      <c r="B1077" t="s">
        <v>244</v>
      </c>
      <c r="C1077" t="s">
        <v>233</v>
      </c>
      <c r="D1077" t="s">
        <v>234</v>
      </c>
      <c r="E1077" t="s">
        <v>191</v>
      </c>
      <c r="F1077" t="s">
        <v>192</v>
      </c>
      <c r="G1077">
        <v>13758.635675873</v>
      </c>
      <c r="H1077" t="e">
        <f>IF(PNL!A1077="","",_CALC_PNL!P1077)</f>
        <v>#VALUE!</v>
      </c>
      <c r="I1077" t="e">
        <f>IF(PNL!A1077="","",IF(_CALC_PNL!E1077=1,H1077-G1077,""))</f>
        <v>#VALUE!</v>
      </c>
    </row>
    <row r="1078" ht="14.25" customHeight="1">
      <c r="A1078" t="s">
        <v>77</v>
      </c>
      <c r="B1078" t="s">
        <v>244</v>
      </c>
      <c r="C1078" t="s">
        <v>233</v>
      </c>
      <c r="D1078" t="s">
        <v>231</v>
      </c>
      <c r="E1078" t="s">
        <v>191</v>
      </c>
      <c r="F1078" t="s">
        <v>192</v>
      </c>
      <c r="G1078">
        <v>12710.612135513</v>
      </c>
      <c r="H1078" t="e">
        <f>IF(PNL!A1078="","",_CALC_PNL!P1078)</f>
        <v>#VALUE!</v>
      </c>
      <c r="I1078" t="e">
        <f>IF(PNL!A1078="","",IF(_CALC_PNL!E1078=1,H1078-G1078,""))</f>
        <v>#VALUE!</v>
      </c>
    </row>
    <row r="1079" ht="14.25" customHeight="1">
      <c r="A1079" t="s">
        <v>77</v>
      </c>
      <c r="B1079" t="s">
        <v>244</v>
      </c>
      <c r="C1079" t="s">
        <v>233</v>
      </c>
      <c r="D1079" t="s">
        <v>9</v>
      </c>
      <c r="E1079" t="s">
        <v>191</v>
      </c>
      <c r="F1079" t="s">
        <v>192</v>
      </c>
      <c r="G1079">
        <v>13863.079060413</v>
      </c>
      <c r="H1079" t="e">
        <f>IF(PNL!A1079="","",_CALC_PNL!P1079)</f>
        <v>#VALUE!</v>
      </c>
      <c r="I1079" t="e">
        <f>IF(PNL!A1079="","",IF(_CALC_PNL!E1079=1,H1079-G1079,""))</f>
        <v>#VALUE!</v>
      </c>
    </row>
    <row r="1080" ht="14.25" customHeight="1">
      <c r="A1080" t="s">
        <v>77</v>
      </c>
      <c r="B1080" t="s">
        <v>244</v>
      </c>
      <c r="C1080" t="s">
        <v>233</v>
      </c>
      <c r="D1080" t="s">
        <v>234</v>
      </c>
      <c r="E1080" t="s">
        <v>191</v>
      </c>
      <c r="F1080" t="s">
        <v>192</v>
      </c>
      <c r="G1080">
        <v>11641.922494969</v>
      </c>
      <c r="H1080" t="e">
        <f>IF(PNL!A1080="","",_CALC_PNL!P1080)</f>
        <v>#VALUE!</v>
      </c>
      <c r="I1080" t="e">
        <f>IF(PNL!A1080="","",IF(_CALC_PNL!E1080=1,H1080-G1080,""))</f>
        <v>#VALUE!</v>
      </c>
    </row>
    <row r="1081" ht="14.25" customHeight="1">
      <c r="A1081" t="s">
        <v>79</v>
      </c>
      <c r="B1081" t="s">
        <v>244</v>
      </c>
      <c r="C1081" t="s">
        <v>233</v>
      </c>
      <c r="D1081" t="s">
        <v>231</v>
      </c>
      <c r="E1081" t="s">
        <v>191</v>
      </c>
      <c r="F1081" t="s">
        <v>192</v>
      </c>
      <c r="G1081">
        <v>11555.101941376</v>
      </c>
      <c r="H1081" t="e">
        <f>IF(PNL!A1081="","",_CALC_PNL!P1081)</f>
        <v>#VALUE!</v>
      </c>
      <c r="I1081" t="e">
        <f>IF(PNL!A1081="","",IF(_CALC_PNL!E1081=1,H1081-G1081,""))</f>
        <v>#VALUE!</v>
      </c>
    </row>
    <row r="1082" ht="14.25" customHeight="1">
      <c r="A1082" t="s">
        <v>79</v>
      </c>
      <c r="B1082" t="s">
        <v>244</v>
      </c>
      <c r="C1082" t="s">
        <v>233</v>
      </c>
      <c r="D1082" t="s">
        <v>9</v>
      </c>
      <c r="E1082" t="s">
        <v>191</v>
      </c>
      <c r="F1082" t="s">
        <v>192</v>
      </c>
      <c r="G1082">
        <v>12602.79914583</v>
      </c>
      <c r="H1082" t="e">
        <f>IF(PNL!A1082="","",_CALC_PNL!P1082)</f>
        <v>#VALUE!</v>
      </c>
      <c r="I1082" t="e">
        <f>IF(PNL!A1082="","",IF(_CALC_PNL!E1082=1,H1082-G1082,""))</f>
        <v>#VALUE!</v>
      </c>
    </row>
    <row r="1083" ht="14.25" customHeight="1">
      <c r="A1083" t="s">
        <v>79</v>
      </c>
      <c r="B1083" t="s">
        <v>244</v>
      </c>
      <c r="C1083" t="s">
        <v>233</v>
      </c>
      <c r="D1083" t="s">
        <v>234</v>
      </c>
      <c r="E1083" t="s">
        <v>191</v>
      </c>
      <c r="F1083" t="s">
        <v>192</v>
      </c>
      <c r="G1083">
        <v>10583.565904518</v>
      </c>
      <c r="H1083" t="e">
        <f>IF(PNL!A1083="","",_CALC_PNL!P1083)</f>
        <v>#VALUE!</v>
      </c>
      <c r="I1083" t="e">
        <f>IF(PNL!A1083="","",IF(_CALC_PNL!E1083=1,H1083-G1083,""))</f>
        <v>#VALUE!</v>
      </c>
    </row>
    <row r="1084" ht="14.25" customHeight="1">
      <c r="A1084" t="s">
        <v>81</v>
      </c>
      <c r="B1084" t="s">
        <v>244</v>
      </c>
      <c r="C1084" t="s">
        <v>233</v>
      </c>
      <c r="D1084" t="s">
        <v>231</v>
      </c>
      <c r="E1084" t="s">
        <v>191</v>
      </c>
      <c r="F1084" t="s">
        <v>192</v>
      </c>
      <c r="G1084">
        <v>9821.836650169</v>
      </c>
      <c r="H1084" t="e">
        <f>IF(PNL!A1084="","",_CALC_PNL!P1084)</f>
        <v>#VALUE!</v>
      </c>
      <c r="I1084" t="e">
        <f>IF(PNL!A1084="","",IF(_CALC_PNL!E1084=1,H1084-G1084,""))</f>
        <v>#VALUE!</v>
      </c>
    </row>
    <row r="1085" ht="14.25" customHeight="1">
      <c r="A1085" t="s">
        <v>81</v>
      </c>
      <c r="B1085" t="s">
        <v>244</v>
      </c>
      <c r="C1085" t="s">
        <v>233</v>
      </c>
      <c r="D1085" t="s">
        <v>9</v>
      </c>
      <c r="E1085" t="s">
        <v>191</v>
      </c>
      <c r="F1085" t="s">
        <v>192</v>
      </c>
      <c r="G1085">
        <v>10712.379273955</v>
      </c>
      <c r="H1085" t="e">
        <f>IF(PNL!A1085="","",_CALC_PNL!P1085)</f>
        <v>#VALUE!</v>
      </c>
      <c r="I1085" t="e">
        <f>IF(PNL!A1085="","",IF(_CALC_PNL!E1085=1,H1085-G1085,""))</f>
        <v>#VALUE!</v>
      </c>
    </row>
    <row r="1086" ht="14.25" customHeight="1">
      <c r="A1086" t="s">
        <v>81</v>
      </c>
      <c r="B1086" t="s">
        <v>244</v>
      </c>
      <c r="C1086" t="s">
        <v>233</v>
      </c>
      <c r="D1086" t="s">
        <v>234</v>
      </c>
      <c r="E1086" t="s">
        <v>191</v>
      </c>
      <c r="F1086" t="s">
        <v>192</v>
      </c>
      <c r="G1086">
        <v>8996.03101884</v>
      </c>
      <c r="H1086" t="e">
        <f>IF(PNL!A1086="","",_CALC_PNL!P1086)</f>
        <v>#VALUE!</v>
      </c>
      <c r="I1086" t="e">
        <f>IF(PNL!A1086="","",IF(_CALC_PNL!E1086=1,H1086-G1086,""))</f>
        <v>#VALUE!</v>
      </c>
    </row>
    <row r="1087" ht="14.25" customHeight="1">
      <c r="A1087" t="s">
        <v>83</v>
      </c>
      <c r="B1087" t="s">
        <v>244</v>
      </c>
      <c r="C1087" t="s">
        <v>233</v>
      </c>
      <c r="D1087" t="s">
        <v>231</v>
      </c>
      <c r="E1087" t="s">
        <v>191</v>
      </c>
      <c r="F1087" t="s">
        <v>192</v>
      </c>
      <c r="G1087">
        <v>13866.122329651</v>
      </c>
      <c r="H1087" t="e">
        <f>IF(PNL!A1087="","",_CALC_PNL!P1087)</f>
        <v>#VALUE!</v>
      </c>
      <c r="I1087" t="e">
        <f>IF(PNL!A1087="","",IF(_CALC_PNL!E1087=1,H1087-G1087,""))</f>
        <v>#VALUE!</v>
      </c>
    </row>
    <row r="1088" ht="14.25" customHeight="1">
      <c r="A1088" t="s">
        <v>83</v>
      </c>
      <c r="B1088" t="s">
        <v>244</v>
      </c>
      <c r="C1088" t="s">
        <v>233</v>
      </c>
      <c r="D1088" t="s">
        <v>9</v>
      </c>
      <c r="E1088" t="s">
        <v>191</v>
      </c>
      <c r="F1088" t="s">
        <v>192</v>
      </c>
      <c r="G1088">
        <v>15123.358974996</v>
      </c>
      <c r="H1088" t="e">
        <f>IF(PNL!A1088="","",_CALC_PNL!P1088)</f>
        <v>#VALUE!</v>
      </c>
      <c r="I1088" t="e">
        <f>IF(PNL!A1088="","",IF(_CALC_PNL!E1088=1,H1088-G1088,""))</f>
        <v>#VALUE!</v>
      </c>
    </row>
    <row r="1089" ht="14.25" customHeight="1">
      <c r="A1089" t="s">
        <v>83</v>
      </c>
      <c r="B1089" t="s">
        <v>244</v>
      </c>
      <c r="C1089" t="s">
        <v>233</v>
      </c>
      <c r="D1089" t="s">
        <v>234</v>
      </c>
      <c r="E1089" t="s">
        <v>191</v>
      </c>
      <c r="F1089" t="s">
        <v>192</v>
      </c>
      <c r="G1089">
        <v>12700.279085421</v>
      </c>
      <c r="H1089" t="e">
        <f>IF(PNL!A1089="","",_CALC_PNL!P1089)</f>
        <v>#VALUE!</v>
      </c>
      <c r="I1089" t="e">
        <f>IF(PNL!A1089="","",IF(_CALC_PNL!E1089=1,H1089-G1089,""))</f>
        <v>#VALUE!</v>
      </c>
    </row>
    <row r="1090" ht="14.25" customHeight="1">
      <c r="A1090" t="s">
        <v>84</v>
      </c>
      <c r="B1090" t="s">
        <v>244</v>
      </c>
      <c r="C1090" t="s">
        <v>233</v>
      </c>
      <c r="D1090" t="s">
        <v>231</v>
      </c>
      <c r="E1090" t="s">
        <v>191</v>
      </c>
      <c r="F1090" t="s">
        <v>192</v>
      </c>
      <c r="G1090">
        <v>9629.251617813</v>
      </c>
      <c r="H1090" t="e">
        <f>IF(PNL!A1090="","",_CALC_PNL!P1090)</f>
        <v>#VALUE!</v>
      </c>
      <c r="I1090" t="e">
        <f>IF(PNL!A1090="","",IF(_CALC_PNL!E1090=1,H1090-G1090,""))</f>
        <v>#VALUE!</v>
      </c>
    </row>
    <row r="1091" ht="14.25" customHeight="1">
      <c r="A1091" t="s">
        <v>84</v>
      </c>
      <c r="B1091" t="s">
        <v>244</v>
      </c>
      <c r="C1091" t="s">
        <v>233</v>
      </c>
      <c r="D1091" t="s">
        <v>9</v>
      </c>
      <c r="E1091" t="s">
        <v>191</v>
      </c>
      <c r="F1091" t="s">
        <v>192</v>
      </c>
      <c r="G1091">
        <v>10502.332621525</v>
      </c>
      <c r="H1091" t="e">
        <f>IF(PNL!A1091="","",_CALC_PNL!P1091)</f>
        <v>#VALUE!</v>
      </c>
      <c r="I1091" t="e">
        <f>IF(PNL!A1091="","",IF(_CALC_PNL!E1091=1,H1091-G1091,""))</f>
        <v>#VALUE!</v>
      </c>
    </row>
    <row r="1092" ht="14.25" customHeight="1">
      <c r="A1092" t="s">
        <v>84</v>
      </c>
      <c r="B1092" t="s">
        <v>244</v>
      </c>
      <c r="C1092" t="s">
        <v>233</v>
      </c>
      <c r="D1092" t="s">
        <v>234</v>
      </c>
      <c r="E1092" t="s">
        <v>191</v>
      </c>
      <c r="F1092" t="s">
        <v>192</v>
      </c>
      <c r="G1092">
        <v>8819.638253765</v>
      </c>
      <c r="H1092" t="e">
        <f>IF(PNL!A1092="","",_CALC_PNL!P1092)</f>
        <v>#VALUE!</v>
      </c>
      <c r="I1092" t="e">
        <f>IF(PNL!A1092="","",IF(_CALC_PNL!E1092=1,H1092-G1092,""))</f>
        <v>#VALUE!</v>
      </c>
    </row>
    <row r="1093" ht="14.25" customHeight="1">
      <c r="A1093" t="s">
        <v>86</v>
      </c>
      <c r="B1093" t="s">
        <v>244</v>
      </c>
      <c r="C1093" t="s">
        <v>233</v>
      </c>
      <c r="D1093" t="s">
        <v>231</v>
      </c>
      <c r="E1093" t="s">
        <v>191</v>
      </c>
      <c r="F1093" t="s">
        <v>192</v>
      </c>
      <c r="G1093">
        <v>9051.496520744</v>
      </c>
      <c r="H1093" t="e">
        <f>IF(PNL!A1093="","",_CALC_PNL!P1093)</f>
        <v>#VALUE!</v>
      </c>
      <c r="I1093" t="e">
        <f>IF(PNL!A1093="","",IF(_CALC_PNL!E1093=1,H1093-G1093,""))</f>
        <v>#VALUE!</v>
      </c>
    </row>
    <row r="1094" ht="14.25" customHeight="1">
      <c r="A1094" t="s">
        <v>86</v>
      </c>
      <c r="B1094" t="s">
        <v>244</v>
      </c>
      <c r="C1094" t="s">
        <v>233</v>
      </c>
      <c r="D1094" t="s">
        <v>9</v>
      </c>
      <c r="E1094" t="s">
        <v>191</v>
      </c>
      <c r="F1094" t="s">
        <v>192</v>
      </c>
      <c r="G1094">
        <v>9872.192664233</v>
      </c>
      <c r="H1094" t="e">
        <f>IF(PNL!A1094="","",_CALC_PNL!P1094)</f>
        <v>#VALUE!</v>
      </c>
      <c r="I1094" t="e">
        <f>IF(PNL!A1094="","",IF(_CALC_PNL!E1094=1,H1094-G1094,""))</f>
        <v>#VALUE!</v>
      </c>
    </row>
    <row r="1095" ht="14.25" customHeight="1">
      <c r="A1095" t="s">
        <v>86</v>
      </c>
      <c r="B1095" t="s">
        <v>244</v>
      </c>
      <c r="C1095" t="s">
        <v>233</v>
      </c>
      <c r="D1095" t="s">
        <v>234</v>
      </c>
      <c r="E1095" t="s">
        <v>191</v>
      </c>
      <c r="F1095" t="s">
        <v>192</v>
      </c>
      <c r="G1095">
        <v>8290.459958539</v>
      </c>
      <c r="H1095" t="e">
        <f>IF(PNL!A1095="","",_CALC_PNL!P1095)</f>
        <v>#VALUE!</v>
      </c>
      <c r="I1095" t="e">
        <f>IF(PNL!A1095="","",IF(_CALC_PNL!E1095=1,H1095-G1095,""))</f>
        <v>#VALUE!</v>
      </c>
    </row>
    <row r="1096" ht="14.25" customHeight="1">
      <c r="A1096" t="s">
        <v>88</v>
      </c>
      <c r="B1096" t="s">
        <v>244</v>
      </c>
      <c r="C1096" t="s">
        <v>233</v>
      </c>
      <c r="D1096" t="s">
        <v>231</v>
      </c>
      <c r="E1096" t="s">
        <v>191</v>
      </c>
      <c r="F1096" t="s">
        <v>192</v>
      </c>
      <c r="G1096">
        <v>4814.625808907</v>
      </c>
      <c r="H1096" t="e">
        <f>IF(PNL!A1096="","",_CALC_PNL!P1096)</f>
        <v>#VALUE!</v>
      </c>
      <c r="I1096" t="e">
        <f>IF(PNL!A1096="","",IF(_CALC_PNL!E1096=1,H1096-G1096,""))</f>
        <v>#VALUE!</v>
      </c>
    </row>
    <row r="1097" ht="14.25" customHeight="1">
      <c r="A1097" t="s">
        <v>88</v>
      </c>
      <c r="B1097" t="s">
        <v>244</v>
      </c>
      <c r="C1097" t="s">
        <v>233</v>
      </c>
      <c r="D1097" t="s">
        <v>9</v>
      </c>
      <c r="E1097" t="s">
        <v>191</v>
      </c>
      <c r="F1097" t="s">
        <v>192</v>
      </c>
      <c r="G1097">
        <v>5251.166310762</v>
      </c>
      <c r="H1097" t="e">
        <f>IF(PNL!A1097="","",_CALC_PNL!P1097)</f>
        <v>#VALUE!</v>
      </c>
      <c r="I1097" t="e">
        <f>IF(PNL!A1097="","",IF(_CALC_PNL!E1097=1,H1097-G1097,""))</f>
        <v>#VALUE!</v>
      </c>
    </row>
    <row r="1098" ht="14.25" customHeight="1">
      <c r="A1098" t="s">
        <v>88</v>
      </c>
      <c r="B1098" t="s">
        <v>244</v>
      </c>
      <c r="C1098" t="s">
        <v>233</v>
      </c>
      <c r="D1098" t="s">
        <v>234</v>
      </c>
      <c r="E1098" t="s">
        <v>191</v>
      </c>
      <c r="F1098" t="s">
        <v>192</v>
      </c>
      <c r="G1098">
        <v>4409.819126882</v>
      </c>
      <c r="H1098" t="e">
        <f>IF(PNL!A1098="","",_CALC_PNL!P1098)</f>
        <v>#VALUE!</v>
      </c>
      <c r="I1098" t="e">
        <f>IF(PNL!A1098="","",IF(_CALC_PNL!E1098=1,H1098-G1098,""))</f>
        <v>#VALUE!</v>
      </c>
    </row>
    <row r="1099" ht="14.25" customHeight="1">
      <c r="A1099" t="s">
        <v>90</v>
      </c>
      <c r="B1099" t="s">
        <v>244</v>
      </c>
      <c r="C1099" t="s">
        <v>233</v>
      </c>
      <c r="D1099" t="s">
        <v>231</v>
      </c>
      <c r="E1099" t="s">
        <v>191</v>
      </c>
      <c r="F1099" t="s">
        <v>192</v>
      </c>
      <c r="G1099">
        <v>3851.700647125</v>
      </c>
      <c r="H1099" t="e">
        <f>IF(PNL!A1099="","",_CALC_PNL!P1099)</f>
        <v>#VALUE!</v>
      </c>
      <c r="I1099" t="e">
        <f>IF(PNL!A1099="","",IF(_CALC_PNL!E1099=1,H1099-G1099,""))</f>
        <v>#VALUE!</v>
      </c>
    </row>
    <row r="1100" ht="14.25" customHeight="1">
      <c r="A1100" t="s">
        <v>90</v>
      </c>
      <c r="B1100" t="s">
        <v>244</v>
      </c>
      <c r="C1100" t="s">
        <v>233</v>
      </c>
      <c r="D1100" t="s">
        <v>9</v>
      </c>
      <c r="E1100" t="s">
        <v>191</v>
      </c>
      <c r="F1100" t="s">
        <v>192</v>
      </c>
      <c r="G1100">
        <v>4200.93304861</v>
      </c>
      <c r="H1100" t="e">
        <f>IF(PNL!A1100="","",_CALC_PNL!P1100)</f>
        <v>#VALUE!</v>
      </c>
      <c r="I1100" t="e">
        <f>IF(PNL!A1100="","",IF(_CALC_PNL!E1100=1,H1100-G1100,""))</f>
        <v>#VALUE!</v>
      </c>
    </row>
    <row r="1101" ht="14.25" customHeight="1">
      <c r="A1101" t="s">
        <v>90</v>
      </c>
      <c r="B1101" t="s">
        <v>244</v>
      </c>
      <c r="C1101" t="s">
        <v>233</v>
      </c>
      <c r="D1101" t="s">
        <v>234</v>
      </c>
      <c r="E1101" t="s">
        <v>191</v>
      </c>
      <c r="F1101" t="s">
        <v>192</v>
      </c>
      <c r="G1101">
        <v>3527.855301506</v>
      </c>
      <c r="H1101" t="e">
        <f>IF(PNL!A1101="","",_CALC_PNL!P1101)</f>
        <v>#VALUE!</v>
      </c>
      <c r="I1101" t="e">
        <f>IF(PNL!A1101="","",IF(_CALC_PNL!E1101=1,H1101-G1101,""))</f>
        <v>#VALUE!</v>
      </c>
    </row>
    <row r="1102" ht="14.25" customHeight="1">
      <c r="A1102" t="s">
        <v>92</v>
      </c>
      <c r="B1102" t="s">
        <v>244</v>
      </c>
      <c r="C1102" t="s">
        <v>233</v>
      </c>
      <c r="D1102" t="s">
        <v>231</v>
      </c>
      <c r="E1102" t="s">
        <v>191</v>
      </c>
      <c r="F1102" t="s">
        <v>192</v>
      </c>
      <c r="G1102">
        <v>3851.700647125</v>
      </c>
      <c r="H1102" t="e">
        <f>IF(PNL!A1102="","",_CALC_PNL!P1102)</f>
        <v>#VALUE!</v>
      </c>
      <c r="I1102" t="e">
        <f>IF(PNL!A1102="","",IF(_CALC_PNL!E1102=1,H1102-G1102,""))</f>
        <v>#VALUE!</v>
      </c>
    </row>
    <row r="1103" ht="14.25" customHeight="1">
      <c r="A1103" t="s">
        <v>92</v>
      </c>
      <c r="B1103" t="s">
        <v>244</v>
      </c>
      <c r="C1103" t="s">
        <v>233</v>
      </c>
      <c r="D1103" t="s">
        <v>9</v>
      </c>
      <c r="E1103" t="s">
        <v>191</v>
      </c>
      <c r="F1103" t="s">
        <v>192</v>
      </c>
      <c r="G1103">
        <v>4200.93304861</v>
      </c>
      <c r="H1103" t="e">
        <f>IF(PNL!A1103="","",_CALC_PNL!P1103)</f>
        <v>#VALUE!</v>
      </c>
      <c r="I1103" t="e">
        <f>IF(PNL!A1103="","",IF(_CALC_PNL!E1103=1,H1103-G1103,""))</f>
        <v>#VALUE!</v>
      </c>
    </row>
    <row r="1104" ht="14.25" customHeight="1">
      <c r="A1104" t="s">
        <v>92</v>
      </c>
      <c r="B1104" t="s">
        <v>244</v>
      </c>
      <c r="C1104" t="s">
        <v>233</v>
      </c>
      <c r="D1104" t="s">
        <v>234</v>
      </c>
      <c r="E1104" t="s">
        <v>191</v>
      </c>
      <c r="F1104" t="s">
        <v>192</v>
      </c>
      <c r="G1104">
        <v>3527.855301506</v>
      </c>
      <c r="H1104" t="e">
        <f>IF(PNL!A1104="","",_CALC_PNL!P1104)</f>
        <v>#VALUE!</v>
      </c>
      <c r="I1104" t="e">
        <f>IF(PNL!A1104="","",IF(_CALC_PNL!E1104=1,H1104-G1104,""))</f>
        <v>#VALUE!</v>
      </c>
    </row>
    <row r="1105" ht="14.25" customHeight="1">
      <c r="A1105" t="s">
        <v>94</v>
      </c>
      <c r="B1105" t="s">
        <v>244</v>
      </c>
      <c r="C1105" t="s">
        <v>233</v>
      </c>
      <c r="D1105" t="s">
        <v>231</v>
      </c>
      <c r="E1105" t="s">
        <v>191</v>
      </c>
      <c r="F1105" t="s">
        <v>192</v>
      </c>
      <c r="G1105">
        <v>8858.911488388</v>
      </c>
      <c r="H1105" t="e">
        <f>IF(PNL!A1105="","",_CALC_PNL!P1105)</f>
        <v>#VALUE!</v>
      </c>
      <c r="I1105" t="e">
        <f>IF(PNL!A1105="","",IF(_CALC_PNL!E1105=1,H1105-G1105,""))</f>
        <v>#VALUE!</v>
      </c>
    </row>
    <row r="1106" ht="14.25" customHeight="1">
      <c r="A1106" t="s">
        <v>94</v>
      </c>
      <c r="B1106" t="s">
        <v>244</v>
      </c>
      <c r="C1106" t="s">
        <v>233</v>
      </c>
      <c r="D1106" t="s">
        <v>9</v>
      </c>
      <c r="E1106" t="s">
        <v>191</v>
      </c>
      <c r="F1106" t="s">
        <v>192</v>
      </c>
      <c r="G1106">
        <v>9662.146011803</v>
      </c>
      <c r="H1106" t="e">
        <f>IF(PNL!A1106="","",_CALC_PNL!P1106)</f>
        <v>#VALUE!</v>
      </c>
      <c r="I1106" t="e">
        <f>IF(PNL!A1106="","",IF(_CALC_PNL!E1106=1,H1106-G1106,""))</f>
        <v>#VALUE!</v>
      </c>
    </row>
    <row r="1107" ht="14.25" customHeight="1">
      <c r="A1107" t="s">
        <v>94</v>
      </c>
      <c r="B1107" t="s">
        <v>244</v>
      </c>
      <c r="C1107" t="s">
        <v>233</v>
      </c>
      <c r="D1107" t="s">
        <v>234</v>
      </c>
      <c r="E1107" t="s">
        <v>191</v>
      </c>
      <c r="F1107" t="s">
        <v>192</v>
      </c>
      <c r="G1107">
        <v>8114.067193464</v>
      </c>
      <c r="H1107" t="e">
        <f>IF(PNL!A1107="","",_CALC_PNL!P1107)</f>
        <v>#VALUE!</v>
      </c>
      <c r="I1107" t="e">
        <f>IF(PNL!A1107="","",IF(_CALC_PNL!E1107=1,H1107-G1107,""))</f>
        <v>#VALUE!</v>
      </c>
    </row>
    <row r="1108" ht="14.25" customHeight="1">
      <c r="A1108" t="s">
        <v>95</v>
      </c>
      <c r="B1108" t="s">
        <v>244</v>
      </c>
      <c r="C1108" t="s">
        <v>233</v>
      </c>
      <c r="D1108" t="s">
        <v>231</v>
      </c>
      <c r="E1108" t="s">
        <v>191</v>
      </c>
      <c r="F1108" t="s">
        <v>192</v>
      </c>
      <c r="G1108">
        <v>6933.061164825</v>
      </c>
      <c r="H1108" t="e">
        <f>IF(PNL!A1108="","",_CALC_PNL!P1108)</f>
        <v>#VALUE!</v>
      </c>
      <c r="I1108" t="e">
        <f>IF(PNL!A1108="","",IF(_CALC_PNL!E1108=1,H1108-G1108,""))</f>
        <v>#VALUE!</v>
      </c>
    </row>
    <row r="1109" ht="14.25" customHeight="1">
      <c r="A1109" t="s">
        <v>95</v>
      </c>
      <c r="B1109" t="s">
        <v>244</v>
      </c>
      <c r="C1109" t="s">
        <v>233</v>
      </c>
      <c r="D1109" t="s">
        <v>9</v>
      </c>
      <c r="E1109" t="s">
        <v>191</v>
      </c>
      <c r="F1109" t="s">
        <v>192</v>
      </c>
      <c r="G1109">
        <v>7561.679487498</v>
      </c>
      <c r="H1109" t="e">
        <f>IF(PNL!A1109="","",_CALC_PNL!P1109)</f>
        <v>#VALUE!</v>
      </c>
      <c r="I1109" t="e">
        <f>IF(PNL!A1109="","",IF(_CALC_PNL!E1109=1,H1109-G1109,""))</f>
        <v>#VALUE!</v>
      </c>
    </row>
    <row r="1110" ht="14.25" customHeight="1">
      <c r="A1110" t="s">
        <v>95</v>
      </c>
      <c r="B1110" t="s">
        <v>244</v>
      </c>
      <c r="C1110" t="s">
        <v>233</v>
      </c>
      <c r="D1110" t="s">
        <v>234</v>
      </c>
      <c r="E1110" t="s">
        <v>191</v>
      </c>
      <c r="F1110" t="s">
        <v>192</v>
      </c>
      <c r="G1110">
        <v>6350.139542711</v>
      </c>
      <c r="H1110" t="e">
        <f>IF(PNL!A1110="","",_CALC_PNL!P1110)</f>
        <v>#VALUE!</v>
      </c>
      <c r="I1110" t="e">
        <f>IF(PNL!A1110="","",IF(_CALC_PNL!E1110=1,H1110-G1110,""))</f>
        <v>#VALUE!</v>
      </c>
    </row>
    <row r="1111" ht="14.25" customHeight="1">
      <c r="A1111" t="s">
        <v>96</v>
      </c>
      <c r="B1111" t="s">
        <v>244</v>
      </c>
      <c r="C1111" t="s">
        <v>233</v>
      </c>
      <c r="D1111" t="s">
        <v>231</v>
      </c>
      <c r="E1111" t="s">
        <v>191</v>
      </c>
      <c r="F1111" t="s">
        <v>192</v>
      </c>
      <c r="G1111">
        <v>4525.748260372</v>
      </c>
      <c r="H1111" t="e">
        <f>IF(PNL!A1111="","",_CALC_PNL!P1111)</f>
        <v>#VALUE!</v>
      </c>
      <c r="I1111" t="e">
        <f>IF(PNL!A1111="","",IF(_CALC_PNL!E1111=1,H1111-G1111,""))</f>
        <v>#VALUE!</v>
      </c>
    </row>
    <row r="1112" ht="14.25" customHeight="1">
      <c r="A1112" t="s">
        <v>96</v>
      </c>
      <c r="B1112" t="s">
        <v>244</v>
      </c>
      <c r="C1112" t="s">
        <v>233</v>
      </c>
      <c r="D1112" t="s">
        <v>9</v>
      </c>
      <c r="E1112" t="s">
        <v>191</v>
      </c>
      <c r="F1112" t="s">
        <v>192</v>
      </c>
      <c r="G1112">
        <v>4936.096332117</v>
      </c>
      <c r="H1112" t="e">
        <f>IF(PNL!A1112="","",_CALC_PNL!P1112)</f>
        <v>#VALUE!</v>
      </c>
      <c r="I1112" t="e">
        <f>IF(PNL!A1112="","",IF(_CALC_PNL!E1112=1,H1112-G1112,""))</f>
        <v>#VALUE!</v>
      </c>
    </row>
    <row r="1113" ht="14.25" customHeight="1">
      <c r="A1113" t="s">
        <v>96</v>
      </c>
      <c r="B1113" t="s">
        <v>244</v>
      </c>
      <c r="C1113" t="s">
        <v>233</v>
      </c>
      <c r="D1113" t="s">
        <v>234</v>
      </c>
      <c r="E1113" t="s">
        <v>191</v>
      </c>
      <c r="F1113" t="s">
        <v>192</v>
      </c>
      <c r="G1113">
        <v>4145.229979269</v>
      </c>
      <c r="H1113" t="e">
        <f>IF(PNL!A1113="","",_CALC_PNL!P1113)</f>
        <v>#VALUE!</v>
      </c>
      <c r="I1113" t="e">
        <f>IF(PNL!A1113="","",IF(_CALC_PNL!E1113=1,H1113-G1113,""))</f>
        <v>#VALUE!</v>
      </c>
    </row>
    <row r="1114" ht="14.25" customHeight="1">
      <c r="A1114" t="s">
        <v>97</v>
      </c>
      <c r="B1114" t="s">
        <v>244</v>
      </c>
      <c r="C1114" t="s">
        <v>233</v>
      </c>
      <c r="D1114" t="s">
        <v>231</v>
      </c>
      <c r="E1114" t="s">
        <v>191</v>
      </c>
      <c r="F1114" t="s">
        <v>192</v>
      </c>
      <c r="G1114">
        <v>3851.700647125</v>
      </c>
      <c r="H1114" t="e">
        <f>IF(PNL!A1114="","",_CALC_PNL!P1114)</f>
        <v>#VALUE!</v>
      </c>
      <c r="I1114" t="e">
        <f>IF(PNL!A1114="","",IF(_CALC_PNL!E1114=1,H1114-G1114,""))</f>
        <v>#VALUE!</v>
      </c>
    </row>
    <row r="1115" ht="14.25" customHeight="1">
      <c r="A1115" t="s">
        <v>97</v>
      </c>
      <c r="B1115" t="s">
        <v>244</v>
      </c>
      <c r="C1115" t="s">
        <v>233</v>
      </c>
      <c r="D1115" t="s">
        <v>9</v>
      </c>
      <c r="E1115" t="s">
        <v>191</v>
      </c>
      <c r="F1115" t="s">
        <v>192</v>
      </c>
      <c r="G1115">
        <v>4200.93304861</v>
      </c>
      <c r="H1115" t="e">
        <f>IF(PNL!A1115="","",_CALC_PNL!P1115)</f>
        <v>#VALUE!</v>
      </c>
      <c r="I1115" t="e">
        <f>IF(PNL!A1115="","",IF(_CALC_PNL!E1115=1,H1115-G1115,""))</f>
        <v>#VALUE!</v>
      </c>
    </row>
    <row r="1116" ht="14.25" customHeight="1">
      <c r="A1116" t="s">
        <v>97</v>
      </c>
      <c r="B1116" t="s">
        <v>244</v>
      </c>
      <c r="C1116" t="s">
        <v>233</v>
      </c>
      <c r="D1116" t="s">
        <v>234</v>
      </c>
      <c r="E1116" t="s">
        <v>191</v>
      </c>
      <c r="F1116" t="s">
        <v>192</v>
      </c>
      <c r="G1116">
        <v>3527.855301506</v>
      </c>
      <c r="H1116" t="e">
        <f>IF(PNL!A1116="","",_CALC_PNL!P1116)</f>
        <v>#VALUE!</v>
      </c>
      <c r="I1116" t="e">
        <f>IF(PNL!A1116="","",IF(_CALC_PNL!E1116=1,H1116-G1116,""))</f>
        <v>#VALUE!</v>
      </c>
    </row>
    <row r="1117" ht="14.25" customHeight="1">
      <c r="A1117" t="s">
        <v>75</v>
      </c>
      <c r="B1117" t="s">
        <v>245</v>
      </c>
      <c r="C1117" t="s">
        <v>233</v>
      </c>
      <c r="D1117" t="s">
        <v>231</v>
      </c>
      <c r="E1117" t="s">
        <v>191</v>
      </c>
      <c r="F1117" t="s">
        <v>192</v>
      </c>
      <c r="G1117">
        <v>191817.966172388</v>
      </c>
      <c r="H1117" t="e">
        <f>IF(PNL!A1117="","",_CALC_PNL!P1117)</f>
        <v>#VALUE!</v>
      </c>
      <c r="I1117" t="e">
        <f>IF(PNL!A1117="","",IF(_CALC_PNL!E1117=1,H1117-G1117,""))</f>
        <v>#VALUE!</v>
      </c>
    </row>
    <row r="1118" ht="14.25" customHeight="1">
      <c r="A1118" t="s">
        <v>75</v>
      </c>
      <c r="B1118" t="s">
        <v>245</v>
      </c>
      <c r="C1118" t="s">
        <v>233</v>
      </c>
      <c r="D1118" t="s">
        <v>9</v>
      </c>
      <c r="E1118" t="s">
        <v>191</v>
      </c>
      <c r="F1118" t="s">
        <v>192</v>
      </c>
      <c r="G1118">
        <v>204983.571227727</v>
      </c>
      <c r="H1118" t="e">
        <f>IF(PNL!A1118="","",_CALC_PNL!P1118)</f>
        <v>#VALUE!</v>
      </c>
      <c r="I1118" t="e">
        <f>IF(PNL!A1118="","",IF(_CALC_PNL!E1118=1,H1118-G1118,""))</f>
        <v>#VALUE!</v>
      </c>
    </row>
    <row r="1119" ht="14.25" customHeight="1">
      <c r="A1119" t="s">
        <v>75</v>
      </c>
      <c r="B1119" t="s">
        <v>245</v>
      </c>
      <c r="C1119" t="s">
        <v>233</v>
      </c>
      <c r="D1119" t="s">
        <v>234</v>
      </c>
      <c r="E1119" t="s">
        <v>191</v>
      </c>
      <c r="F1119" t="s">
        <v>192</v>
      </c>
      <c r="G1119">
        <v>177464.841103029</v>
      </c>
      <c r="H1119" t="e">
        <f>IF(PNL!A1119="","",_CALC_PNL!P1119)</f>
        <v>#VALUE!</v>
      </c>
      <c r="I1119" t="e">
        <f>IF(PNL!A1119="","",IF(_CALC_PNL!E1119=1,H1119-G1119,""))</f>
        <v>#VALUE!</v>
      </c>
    </row>
    <row r="1120" ht="14.25" customHeight="1">
      <c r="A1120" t="s">
        <v>77</v>
      </c>
      <c r="B1120" t="s">
        <v>245</v>
      </c>
      <c r="C1120" t="s">
        <v>233</v>
      </c>
      <c r="D1120" t="s">
        <v>231</v>
      </c>
      <c r="E1120" t="s">
        <v>191</v>
      </c>
      <c r="F1120" t="s">
        <v>192</v>
      </c>
      <c r="G1120">
        <v>166242.096120379</v>
      </c>
      <c r="H1120" t="e">
        <f>IF(PNL!A1120="","",_CALC_PNL!P1120)</f>
        <v>#VALUE!</v>
      </c>
      <c r="I1120" t="e">
        <f>IF(PNL!A1120="","",IF(_CALC_PNL!E1120=1,H1120-G1120,""))</f>
        <v>#VALUE!</v>
      </c>
    </row>
    <row r="1121" ht="14.25" customHeight="1">
      <c r="A1121" t="s">
        <v>77</v>
      </c>
      <c r="B1121" t="s">
        <v>245</v>
      </c>
      <c r="C1121" t="s">
        <v>233</v>
      </c>
      <c r="D1121" t="s">
        <v>9</v>
      </c>
      <c r="E1121" t="s">
        <v>191</v>
      </c>
      <c r="F1121" t="s">
        <v>192</v>
      </c>
      <c r="G1121">
        <v>177652.277474954</v>
      </c>
      <c r="H1121" t="e">
        <f>IF(PNL!A1121="","",_CALC_PNL!P1121)</f>
        <v>#VALUE!</v>
      </c>
      <c r="I1121" t="e">
        <f>IF(PNL!A1121="","",IF(_CALC_PNL!E1121=1,H1121-G1121,""))</f>
        <v>#VALUE!</v>
      </c>
    </row>
    <row r="1122" ht="14.25" customHeight="1">
      <c r="A1122" t="s">
        <v>77</v>
      </c>
      <c r="B1122" t="s">
        <v>245</v>
      </c>
      <c r="C1122" t="s">
        <v>233</v>
      </c>
      <c r="D1122" t="s">
        <v>234</v>
      </c>
      <c r="E1122" t="s">
        <v>191</v>
      </c>
      <c r="F1122" t="s">
        <v>192</v>
      </c>
      <c r="G1122">
        <v>153802.731627984</v>
      </c>
      <c r="H1122" t="e">
        <f>IF(PNL!A1122="","",_CALC_PNL!P1122)</f>
        <v>#VALUE!</v>
      </c>
      <c r="I1122" t="e">
        <f>IF(PNL!A1122="","",IF(_CALC_PNL!E1122=1,H1122-G1122,""))</f>
        <v>#VALUE!</v>
      </c>
    </row>
    <row r="1123" ht="14.25" customHeight="1">
      <c r="A1123" t="s">
        <v>79</v>
      </c>
      <c r="B1123" t="s">
        <v>245</v>
      </c>
      <c r="C1123" t="s">
        <v>233</v>
      </c>
      <c r="D1123" t="s">
        <v>231</v>
      </c>
      <c r="E1123" t="s">
        <v>191</v>
      </c>
      <c r="F1123" t="s">
        <v>192</v>
      </c>
      <c r="G1123">
        <v>153454.161094375</v>
      </c>
      <c r="H1123" t="e">
        <f>IF(PNL!A1123="","",_CALC_PNL!P1123)</f>
        <v>#VALUE!</v>
      </c>
      <c r="I1123" t="e">
        <f>IF(PNL!A1123="","",IF(_CALC_PNL!E1123=1,H1123-G1123,""))</f>
        <v>#VALUE!</v>
      </c>
    </row>
    <row r="1124" ht="14.25" customHeight="1">
      <c r="A1124" t="s">
        <v>79</v>
      </c>
      <c r="B1124" t="s">
        <v>245</v>
      </c>
      <c r="C1124" t="s">
        <v>233</v>
      </c>
      <c r="D1124" t="s">
        <v>9</v>
      </c>
      <c r="E1124" t="s">
        <v>191</v>
      </c>
      <c r="F1124" t="s">
        <v>192</v>
      </c>
      <c r="G1124">
        <v>163986.630598567</v>
      </c>
      <c r="H1124" t="e">
        <f>IF(PNL!A1124="","",_CALC_PNL!P1124)</f>
        <v>#VALUE!</v>
      </c>
      <c r="I1124" t="e">
        <f>IF(PNL!A1124="","",IF(_CALC_PNL!E1124=1,H1124-G1124,""))</f>
        <v>#VALUE!</v>
      </c>
    </row>
    <row r="1125" ht="14.25" customHeight="1">
      <c r="A1125" t="s">
        <v>79</v>
      </c>
      <c r="B1125" t="s">
        <v>245</v>
      </c>
      <c r="C1125" t="s">
        <v>233</v>
      </c>
      <c r="D1125" t="s">
        <v>234</v>
      </c>
      <c r="E1125" t="s">
        <v>191</v>
      </c>
      <c r="F1125" t="s">
        <v>192</v>
      </c>
      <c r="G1125">
        <v>141971.676890462</v>
      </c>
      <c r="H1125" t="e">
        <f>IF(PNL!A1125="","",_CALC_PNL!P1125)</f>
        <v>#VALUE!</v>
      </c>
      <c r="I1125" t="e">
        <f>IF(PNL!A1125="","",IF(_CALC_PNL!E1125=1,H1125-G1125,""))</f>
        <v>#VALUE!</v>
      </c>
    </row>
    <row r="1126" ht="14.25" customHeight="1">
      <c r="A1126" t="s">
        <v>81</v>
      </c>
      <c r="B1126" t="s">
        <v>245</v>
      </c>
      <c r="C1126" t="s">
        <v>233</v>
      </c>
      <c r="D1126" t="s">
        <v>231</v>
      </c>
      <c r="E1126" t="s">
        <v>191</v>
      </c>
      <c r="F1126" t="s">
        <v>192</v>
      </c>
      <c r="G1126">
        <v>127878.291042366</v>
      </c>
      <c r="H1126" t="e">
        <f>IF(PNL!A1126="","",_CALC_PNL!P1126)</f>
        <v>#VALUE!</v>
      </c>
      <c r="I1126" t="e">
        <f>IF(PNL!A1126="","",IF(_CALC_PNL!E1126=1,H1126-G1126,""))</f>
        <v>#VALUE!</v>
      </c>
    </row>
    <row r="1127" ht="14.25" customHeight="1">
      <c r="A1127" t="s">
        <v>81</v>
      </c>
      <c r="B1127" t="s">
        <v>245</v>
      </c>
      <c r="C1127" t="s">
        <v>233</v>
      </c>
      <c r="D1127" t="s">
        <v>9</v>
      </c>
      <c r="E1127" t="s">
        <v>191</v>
      </c>
      <c r="F1127" t="s">
        <v>192</v>
      </c>
      <c r="G1127">
        <v>136655.336845794</v>
      </c>
      <c r="H1127" t="e">
        <f>IF(PNL!A1127="","",_CALC_PNL!P1127)</f>
        <v>#VALUE!</v>
      </c>
      <c r="I1127" t="e">
        <f>IF(PNL!A1127="","",IF(_CALC_PNL!E1127=1,H1127-G1127,""))</f>
        <v>#VALUE!</v>
      </c>
    </row>
    <row r="1128" ht="14.25" customHeight="1">
      <c r="A1128" t="s">
        <v>81</v>
      </c>
      <c r="B1128" t="s">
        <v>245</v>
      </c>
      <c r="C1128" t="s">
        <v>233</v>
      </c>
      <c r="D1128" t="s">
        <v>234</v>
      </c>
      <c r="E1128" t="s">
        <v>191</v>
      </c>
      <c r="F1128" t="s">
        <v>192</v>
      </c>
      <c r="G1128">
        <v>118309.567415417</v>
      </c>
      <c r="H1128" t="e">
        <f>IF(PNL!A1128="","",_CALC_PNL!P1128)</f>
        <v>#VALUE!</v>
      </c>
      <c r="I1128" t="e">
        <f>IF(PNL!A1128="","",IF(_CALC_PNL!E1128=1,H1128-G1128,""))</f>
        <v>#VALUE!</v>
      </c>
    </row>
    <row r="1129" ht="14.25" customHeight="1">
      <c r="A1129" t="s">
        <v>83</v>
      </c>
      <c r="B1129" t="s">
        <v>245</v>
      </c>
      <c r="C1129" t="s">
        <v>233</v>
      </c>
      <c r="D1129" t="s">
        <v>231</v>
      </c>
      <c r="E1129" t="s">
        <v>191</v>
      </c>
      <c r="F1129" t="s">
        <v>192</v>
      </c>
      <c r="G1129">
        <v>191817.966172388</v>
      </c>
      <c r="H1129" t="e">
        <f>IF(PNL!A1129="","",_CALC_PNL!P1129)</f>
        <v>#VALUE!</v>
      </c>
      <c r="I1129" t="e">
        <f>IF(PNL!A1129="","",IF(_CALC_PNL!E1129=1,H1129-G1129,""))</f>
        <v>#VALUE!</v>
      </c>
    </row>
    <row r="1130" ht="14.25" customHeight="1">
      <c r="A1130" t="s">
        <v>83</v>
      </c>
      <c r="B1130" t="s">
        <v>245</v>
      </c>
      <c r="C1130" t="s">
        <v>233</v>
      </c>
      <c r="D1130" t="s">
        <v>9</v>
      </c>
      <c r="E1130" t="s">
        <v>191</v>
      </c>
      <c r="F1130" t="s">
        <v>192</v>
      </c>
      <c r="G1130">
        <v>204983.571227727</v>
      </c>
      <c r="H1130" t="e">
        <f>IF(PNL!A1130="","",_CALC_PNL!P1130)</f>
        <v>#VALUE!</v>
      </c>
      <c r="I1130" t="e">
        <f>IF(PNL!A1130="","",IF(_CALC_PNL!E1130=1,H1130-G1130,""))</f>
        <v>#VALUE!</v>
      </c>
    </row>
    <row r="1131" ht="14.25" customHeight="1">
      <c r="A1131" t="s">
        <v>83</v>
      </c>
      <c r="B1131" t="s">
        <v>245</v>
      </c>
      <c r="C1131" t="s">
        <v>233</v>
      </c>
      <c r="D1131" t="s">
        <v>234</v>
      </c>
      <c r="E1131" t="s">
        <v>191</v>
      </c>
      <c r="F1131" t="s">
        <v>192</v>
      </c>
      <c r="G1131">
        <v>177464.841103029</v>
      </c>
      <c r="H1131" t="e">
        <f>IF(PNL!A1131="","",_CALC_PNL!P1131)</f>
        <v>#VALUE!</v>
      </c>
      <c r="I1131" t="e">
        <f>IF(PNL!A1131="","",IF(_CALC_PNL!E1131=1,H1131-G1131,""))</f>
        <v>#VALUE!</v>
      </c>
    </row>
    <row r="1132" ht="14.25" customHeight="1">
      <c r="A1132" t="s">
        <v>84</v>
      </c>
      <c r="B1132" t="s">
        <v>245</v>
      </c>
      <c r="C1132" t="s">
        <v>233</v>
      </c>
      <c r="D1132" t="s">
        <v>231</v>
      </c>
      <c r="E1132" t="s">
        <v>191</v>
      </c>
      <c r="F1132" t="s">
        <v>192</v>
      </c>
      <c r="G1132">
        <v>127878.291042366</v>
      </c>
      <c r="H1132" t="e">
        <f>IF(PNL!A1132="","",_CALC_PNL!P1132)</f>
        <v>#VALUE!</v>
      </c>
      <c r="I1132" t="e">
        <f>IF(PNL!A1132="","",IF(_CALC_PNL!E1132=1,H1132-G1132,""))</f>
        <v>#VALUE!</v>
      </c>
    </row>
    <row r="1133" ht="14.25" customHeight="1">
      <c r="A1133" t="s">
        <v>84</v>
      </c>
      <c r="B1133" t="s">
        <v>245</v>
      </c>
      <c r="C1133" t="s">
        <v>233</v>
      </c>
      <c r="D1133" t="s">
        <v>9</v>
      </c>
      <c r="E1133" t="s">
        <v>191</v>
      </c>
      <c r="F1133" t="s">
        <v>192</v>
      </c>
      <c r="G1133">
        <v>136655.336845794</v>
      </c>
      <c r="H1133" t="e">
        <f>IF(PNL!A1133="","",_CALC_PNL!P1133)</f>
        <v>#VALUE!</v>
      </c>
      <c r="I1133" t="e">
        <f>IF(PNL!A1133="","",IF(_CALC_PNL!E1133=1,H1133-G1133,""))</f>
        <v>#VALUE!</v>
      </c>
    </row>
    <row r="1134" ht="14.25" customHeight="1">
      <c r="A1134" t="s">
        <v>84</v>
      </c>
      <c r="B1134" t="s">
        <v>245</v>
      </c>
      <c r="C1134" t="s">
        <v>233</v>
      </c>
      <c r="D1134" t="s">
        <v>234</v>
      </c>
      <c r="E1134" t="s">
        <v>191</v>
      </c>
      <c r="F1134" t="s">
        <v>192</v>
      </c>
      <c r="G1134">
        <v>118309.567415417</v>
      </c>
      <c r="H1134" t="e">
        <f>IF(PNL!A1134="","",_CALC_PNL!P1134)</f>
        <v>#VALUE!</v>
      </c>
      <c r="I1134" t="e">
        <f>IF(PNL!A1134="","",IF(_CALC_PNL!E1134=1,H1134-G1134,""))</f>
        <v>#VALUE!</v>
      </c>
    </row>
    <row r="1135" ht="14.25" customHeight="1">
      <c r="A1135" t="s">
        <v>86</v>
      </c>
      <c r="B1135" t="s">
        <v>245</v>
      </c>
      <c r="C1135" t="s">
        <v>233</v>
      </c>
      <c r="D1135" t="s">
        <v>231</v>
      </c>
      <c r="E1135" t="s">
        <v>191</v>
      </c>
      <c r="F1135" t="s">
        <v>192</v>
      </c>
      <c r="G1135">
        <v>127878.291042366</v>
      </c>
      <c r="H1135" t="e">
        <f>IF(PNL!A1135="","",_CALC_PNL!P1135)</f>
        <v>#VALUE!</v>
      </c>
      <c r="I1135" t="e">
        <f>IF(PNL!A1135="","",IF(_CALC_PNL!E1135=1,H1135-G1135,""))</f>
        <v>#VALUE!</v>
      </c>
    </row>
    <row r="1136" ht="14.25" customHeight="1">
      <c r="A1136" t="s">
        <v>86</v>
      </c>
      <c r="B1136" t="s">
        <v>245</v>
      </c>
      <c r="C1136" t="s">
        <v>233</v>
      </c>
      <c r="D1136" t="s">
        <v>9</v>
      </c>
      <c r="E1136" t="s">
        <v>191</v>
      </c>
      <c r="F1136" t="s">
        <v>192</v>
      </c>
      <c r="G1136">
        <v>136655.336845794</v>
      </c>
      <c r="H1136" t="e">
        <f>IF(PNL!A1136="","",_CALC_PNL!P1136)</f>
        <v>#VALUE!</v>
      </c>
      <c r="I1136" t="e">
        <f>IF(PNL!A1136="","",IF(_CALC_PNL!E1136=1,H1136-G1136,""))</f>
        <v>#VALUE!</v>
      </c>
    </row>
    <row r="1137" ht="14.25" customHeight="1">
      <c r="A1137" t="s">
        <v>86</v>
      </c>
      <c r="B1137" t="s">
        <v>245</v>
      </c>
      <c r="C1137" t="s">
        <v>233</v>
      </c>
      <c r="D1137" t="s">
        <v>234</v>
      </c>
      <c r="E1137" t="s">
        <v>191</v>
      </c>
      <c r="F1137" t="s">
        <v>192</v>
      </c>
      <c r="G1137">
        <v>118309.567415417</v>
      </c>
      <c r="H1137" t="e">
        <f>IF(PNL!A1137="","",_CALC_PNL!P1137)</f>
        <v>#VALUE!</v>
      </c>
      <c r="I1137" t="e">
        <f>IF(PNL!A1137="","",IF(_CALC_PNL!E1137=1,H1137-G1137,""))</f>
        <v>#VALUE!</v>
      </c>
    </row>
    <row r="1138" ht="14.25" customHeight="1">
      <c r="A1138" t="s">
        <v>88</v>
      </c>
      <c r="B1138" t="s">
        <v>245</v>
      </c>
      <c r="C1138" t="s">
        <v>233</v>
      </c>
      <c r="D1138" t="s">
        <v>231</v>
      </c>
      <c r="E1138" t="s">
        <v>191</v>
      </c>
      <c r="F1138" t="s">
        <v>192</v>
      </c>
      <c r="G1138">
        <v>76727.610156026</v>
      </c>
      <c r="H1138" t="e">
        <f>IF(PNL!A1138="","",_CALC_PNL!P1138)</f>
        <v>#VALUE!</v>
      </c>
      <c r="I1138" t="e">
        <f>IF(PNL!A1138="","",IF(_CALC_PNL!E1138=1,H1138-G1138,""))</f>
        <v>#VALUE!</v>
      </c>
    </row>
    <row r="1139" ht="14.25" customHeight="1">
      <c r="A1139" t="s">
        <v>88</v>
      </c>
      <c r="B1139" t="s">
        <v>245</v>
      </c>
      <c r="C1139" t="s">
        <v>233</v>
      </c>
      <c r="D1139" t="s">
        <v>9</v>
      </c>
      <c r="E1139" t="s">
        <v>191</v>
      </c>
      <c r="F1139" t="s">
        <v>192</v>
      </c>
      <c r="G1139">
        <v>81993.881258319</v>
      </c>
      <c r="H1139" t="e">
        <f>IF(PNL!A1139="","",_CALC_PNL!P1139)</f>
        <v>#VALUE!</v>
      </c>
      <c r="I1139" t="e">
        <f>IF(PNL!A1139="","",IF(_CALC_PNL!E1139=1,H1139-G1139,""))</f>
        <v>#VALUE!</v>
      </c>
    </row>
    <row r="1140" ht="14.25" customHeight="1">
      <c r="A1140" t="s">
        <v>88</v>
      </c>
      <c r="B1140" t="s">
        <v>245</v>
      </c>
      <c r="C1140" t="s">
        <v>233</v>
      </c>
      <c r="D1140" t="s">
        <v>234</v>
      </c>
      <c r="E1140" t="s">
        <v>191</v>
      </c>
      <c r="F1140" t="s">
        <v>192</v>
      </c>
      <c r="G1140">
        <v>70986.328425134</v>
      </c>
      <c r="H1140" t="e">
        <f>IF(PNL!A1140="","",_CALC_PNL!P1140)</f>
        <v>#VALUE!</v>
      </c>
      <c r="I1140" t="e">
        <f>IF(PNL!A1140="","",IF(_CALC_PNL!E1140=1,H1140-G1140,""))</f>
        <v>#VALUE!</v>
      </c>
    </row>
    <row r="1141" ht="14.25" customHeight="1">
      <c r="A1141" t="s">
        <v>90</v>
      </c>
      <c r="B1141" t="s">
        <v>245</v>
      </c>
      <c r="C1141" t="s">
        <v>233</v>
      </c>
      <c r="D1141" t="s">
        <v>231</v>
      </c>
      <c r="E1141" t="s">
        <v>191</v>
      </c>
      <c r="F1141" t="s">
        <v>192</v>
      </c>
      <c r="G1141">
        <v>76727.610156026</v>
      </c>
      <c r="H1141" t="e">
        <f>IF(PNL!A1141="","",_CALC_PNL!P1141)</f>
        <v>#VALUE!</v>
      </c>
      <c r="I1141" t="e">
        <f>IF(PNL!A1141="","",IF(_CALC_PNL!E1141=1,H1141-G1141,""))</f>
        <v>#VALUE!</v>
      </c>
    </row>
    <row r="1142" ht="14.25" customHeight="1">
      <c r="A1142" t="s">
        <v>90</v>
      </c>
      <c r="B1142" t="s">
        <v>245</v>
      </c>
      <c r="C1142" t="s">
        <v>233</v>
      </c>
      <c r="D1142" t="s">
        <v>9</v>
      </c>
      <c r="E1142" t="s">
        <v>191</v>
      </c>
      <c r="F1142" t="s">
        <v>192</v>
      </c>
      <c r="G1142">
        <v>81993.881258319</v>
      </c>
      <c r="H1142" t="e">
        <f>IF(PNL!A1142="","",_CALC_PNL!P1142)</f>
        <v>#VALUE!</v>
      </c>
      <c r="I1142" t="e">
        <f>IF(PNL!A1142="","",IF(_CALC_PNL!E1142=1,H1142-G1142,""))</f>
        <v>#VALUE!</v>
      </c>
    </row>
    <row r="1143" ht="14.25" customHeight="1">
      <c r="A1143" t="s">
        <v>90</v>
      </c>
      <c r="B1143" t="s">
        <v>245</v>
      </c>
      <c r="C1143" t="s">
        <v>233</v>
      </c>
      <c r="D1143" t="s">
        <v>234</v>
      </c>
      <c r="E1143" t="s">
        <v>191</v>
      </c>
      <c r="F1143" t="s">
        <v>192</v>
      </c>
      <c r="G1143">
        <v>70986.328425134</v>
      </c>
      <c r="H1143" t="e">
        <f>IF(PNL!A1143="","",_CALC_PNL!P1143)</f>
        <v>#VALUE!</v>
      </c>
      <c r="I1143" t="e">
        <f>IF(PNL!A1143="","",IF(_CALC_PNL!E1143=1,H1143-G1143,""))</f>
        <v>#VALUE!</v>
      </c>
    </row>
    <row r="1144" ht="14.25" customHeight="1">
      <c r="A1144" t="s">
        <v>92</v>
      </c>
      <c r="B1144" t="s">
        <v>245</v>
      </c>
      <c r="C1144" t="s">
        <v>233</v>
      </c>
      <c r="D1144" t="s">
        <v>231</v>
      </c>
      <c r="E1144" t="s">
        <v>191</v>
      </c>
      <c r="F1144" t="s">
        <v>192</v>
      </c>
      <c r="G1144">
        <v>76727.610156026</v>
      </c>
      <c r="H1144" t="e">
        <f>IF(PNL!A1144="","",_CALC_PNL!P1144)</f>
        <v>#VALUE!</v>
      </c>
      <c r="I1144" t="e">
        <f>IF(PNL!A1144="","",IF(_CALC_PNL!E1144=1,H1144-G1144,""))</f>
        <v>#VALUE!</v>
      </c>
    </row>
    <row r="1145" ht="14.25" customHeight="1">
      <c r="A1145" t="s">
        <v>92</v>
      </c>
      <c r="B1145" t="s">
        <v>245</v>
      </c>
      <c r="C1145" t="s">
        <v>233</v>
      </c>
      <c r="D1145" t="s">
        <v>9</v>
      </c>
      <c r="E1145" t="s">
        <v>191</v>
      </c>
      <c r="F1145" t="s">
        <v>192</v>
      </c>
      <c r="G1145">
        <v>81993.881258319</v>
      </c>
      <c r="H1145" t="e">
        <f>IF(PNL!A1145="","",_CALC_PNL!P1145)</f>
        <v>#VALUE!</v>
      </c>
      <c r="I1145" t="e">
        <f>IF(PNL!A1145="","",IF(_CALC_PNL!E1145=1,H1145-G1145,""))</f>
        <v>#VALUE!</v>
      </c>
    </row>
    <row r="1146" ht="14.25" customHeight="1">
      <c r="A1146" t="s">
        <v>92</v>
      </c>
      <c r="B1146" t="s">
        <v>245</v>
      </c>
      <c r="C1146" t="s">
        <v>233</v>
      </c>
      <c r="D1146" t="s">
        <v>234</v>
      </c>
      <c r="E1146" t="s">
        <v>191</v>
      </c>
      <c r="F1146" t="s">
        <v>192</v>
      </c>
      <c r="G1146">
        <v>70986.328425134</v>
      </c>
      <c r="H1146" t="e">
        <f>IF(PNL!A1146="","",_CALC_PNL!P1146)</f>
        <v>#VALUE!</v>
      </c>
      <c r="I1146" t="e">
        <f>IF(PNL!A1146="","",IF(_CALC_PNL!E1146=1,H1146-G1146,""))</f>
        <v>#VALUE!</v>
      </c>
    </row>
    <row r="1147" ht="14.25" customHeight="1">
      <c r="A1147" t="s">
        <v>94</v>
      </c>
      <c r="B1147" t="s">
        <v>245</v>
      </c>
      <c r="C1147" t="s">
        <v>233</v>
      </c>
      <c r="D1147" t="s">
        <v>231</v>
      </c>
      <c r="E1147" t="s">
        <v>191</v>
      </c>
      <c r="F1147" t="s">
        <v>192</v>
      </c>
      <c r="G1147">
        <v>102302.420990357</v>
      </c>
      <c r="H1147" t="e">
        <f>IF(PNL!A1147="","",_CALC_PNL!P1147)</f>
        <v>#VALUE!</v>
      </c>
      <c r="I1147" t="e">
        <f>IF(PNL!A1147="","",IF(_CALC_PNL!E1147=1,H1147-G1147,""))</f>
        <v>#VALUE!</v>
      </c>
    </row>
    <row r="1148" ht="14.25" customHeight="1">
      <c r="A1148" t="s">
        <v>94</v>
      </c>
      <c r="B1148" t="s">
        <v>245</v>
      </c>
      <c r="C1148" t="s">
        <v>233</v>
      </c>
      <c r="D1148" t="s">
        <v>9</v>
      </c>
      <c r="E1148" t="s">
        <v>191</v>
      </c>
      <c r="F1148" t="s">
        <v>192</v>
      </c>
      <c r="G1148">
        <v>109324.043093021</v>
      </c>
      <c r="H1148" t="e">
        <f>IF(PNL!A1148="","",_CALC_PNL!P1148)</f>
        <v>#VALUE!</v>
      </c>
      <c r="I1148" t="e">
        <f>IF(PNL!A1148="","",IF(_CALC_PNL!E1148=1,H1148-G1148,""))</f>
        <v>#VALUE!</v>
      </c>
    </row>
    <row r="1149" ht="14.25" customHeight="1">
      <c r="A1149" t="s">
        <v>94</v>
      </c>
      <c r="B1149" t="s">
        <v>245</v>
      </c>
      <c r="C1149" t="s">
        <v>233</v>
      </c>
      <c r="D1149" t="s">
        <v>234</v>
      </c>
      <c r="E1149" t="s">
        <v>191</v>
      </c>
      <c r="F1149" t="s">
        <v>192</v>
      </c>
      <c r="G1149">
        <v>94647.457940373</v>
      </c>
      <c r="H1149" t="e">
        <f>IF(PNL!A1149="","",_CALC_PNL!P1149)</f>
        <v>#VALUE!</v>
      </c>
      <c r="I1149" t="e">
        <f>IF(PNL!A1149="","",IF(_CALC_PNL!E1149=1,H1149-G1149,""))</f>
        <v>#VALUE!</v>
      </c>
    </row>
    <row r="1150" ht="14.25" customHeight="1">
      <c r="A1150" t="s">
        <v>95</v>
      </c>
      <c r="B1150" t="s">
        <v>245</v>
      </c>
      <c r="C1150" t="s">
        <v>233</v>
      </c>
      <c r="D1150" t="s">
        <v>231</v>
      </c>
      <c r="E1150" t="s">
        <v>191</v>
      </c>
      <c r="F1150" t="s">
        <v>192</v>
      </c>
      <c r="G1150">
        <v>102302.420990357</v>
      </c>
      <c r="H1150" t="e">
        <f>IF(PNL!A1150="","",_CALC_PNL!P1150)</f>
        <v>#VALUE!</v>
      </c>
      <c r="I1150" t="e">
        <f>IF(PNL!A1150="","",IF(_CALC_PNL!E1150=1,H1150-G1150,""))</f>
        <v>#VALUE!</v>
      </c>
    </row>
    <row r="1151" ht="14.25" customHeight="1">
      <c r="A1151" t="s">
        <v>95</v>
      </c>
      <c r="B1151" t="s">
        <v>245</v>
      </c>
      <c r="C1151" t="s">
        <v>233</v>
      </c>
      <c r="D1151" t="s">
        <v>9</v>
      </c>
      <c r="E1151" t="s">
        <v>191</v>
      </c>
      <c r="F1151" t="s">
        <v>192</v>
      </c>
      <c r="G1151">
        <v>109324.043093021</v>
      </c>
      <c r="H1151" t="e">
        <f>IF(PNL!A1151="","",_CALC_PNL!P1151)</f>
        <v>#VALUE!</v>
      </c>
      <c r="I1151" t="e">
        <f>IF(PNL!A1151="","",IF(_CALC_PNL!E1151=1,H1151-G1151,""))</f>
        <v>#VALUE!</v>
      </c>
    </row>
    <row r="1152" ht="14.25" customHeight="1">
      <c r="A1152" t="s">
        <v>95</v>
      </c>
      <c r="B1152" t="s">
        <v>245</v>
      </c>
      <c r="C1152" t="s">
        <v>233</v>
      </c>
      <c r="D1152" t="s">
        <v>234</v>
      </c>
      <c r="E1152" t="s">
        <v>191</v>
      </c>
      <c r="F1152" t="s">
        <v>192</v>
      </c>
      <c r="G1152">
        <v>94647.457940373</v>
      </c>
      <c r="H1152" t="e">
        <f>IF(PNL!A1152="","",_CALC_PNL!P1152)</f>
        <v>#VALUE!</v>
      </c>
      <c r="I1152" t="e">
        <f>IF(PNL!A1152="","",IF(_CALC_PNL!E1152=1,H1152-G1152,""))</f>
        <v>#VALUE!</v>
      </c>
    </row>
    <row r="1153" ht="14.25" customHeight="1">
      <c r="A1153" t="s">
        <v>96</v>
      </c>
      <c r="B1153" t="s">
        <v>245</v>
      </c>
      <c r="C1153" t="s">
        <v>233</v>
      </c>
      <c r="D1153" t="s">
        <v>231</v>
      </c>
      <c r="E1153" t="s">
        <v>191</v>
      </c>
      <c r="F1153" t="s">
        <v>192</v>
      </c>
      <c r="G1153">
        <v>76727.610156026</v>
      </c>
      <c r="H1153" t="e">
        <f>IF(PNL!A1153="","",_CALC_PNL!P1153)</f>
        <v>#VALUE!</v>
      </c>
      <c r="I1153" t="e">
        <f>IF(PNL!A1153="","",IF(_CALC_PNL!E1153=1,H1153-G1153,""))</f>
        <v>#VALUE!</v>
      </c>
    </row>
    <row r="1154" ht="14.25" customHeight="1">
      <c r="A1154" t="s">
        <v>96</v>
      </c>
      <c r="B1154" t="s">
        <v>245</v>
      </c>
      <c r="C1154" t="s">
        <v>233</v>
      </c>
      <c r="D1154" t="s">
        <v>9</v>
      </c>
      <c r="E1154" t="s">
        <v>191</v>
      </c>
      <c r="F1154" t="s">
        <v>192</v>
      </c>
      <c r="G1154">
        <v>81993.881258319</v>
      </c>
      <c r="H1154" t="e">
        <f>IF(PNL!A1154="","",_CALC_PNL!P1154)</f>
        <v>#VALUE!</v>
      </c>
      <c r="I1154" t="e">
        <f>IF(PNL!A1154="","",IF(_CALC_PNL!E1154=1,H1154-G1154,""))</f>
        <v>#VALUE!</v>
      </c>
    </row>
    <row r="1155" ht="14.25" customHeight="1">
      <c r="A1155" t="s">
        <v>96</v>
      </c>
      <c r="B1155" t="s">
        <v>245</v>
      </c>
      <c r="C1155" t="s">
        <v>233</v>
      </c>
      <c r="D1155" t="s">
        <v>234</v>
      </c>
      <c r="E1155" t="s">
        <v>191</v>
      </c>
      <c r="F1155" t="s">
        <v>192</v>
      </c>
      <c r="G1155">
        <v>70986.328425134</v>
      </c>
      <c r="H1155" t="e">
        <f>IF(PNL!A1155="","",_CALC_PNL!P1155)</f>
        <v>#VALUE!</v>
      </c>
      <c r="I1155" t="e">
        <f>IF(PNL!A1155="","",IF(_CALC_PNL!E1155=1,H1155-G1155,""))</f>
        <v>#VALUE!</v>
      </c>
    </row>
    <row r="1156" ht="14.25" customHeight="1">
      <c r="A1156" t="s">
        <v>97</v>
      </c>
      <c r="B1156" t="s">
        <v>245</v>
      </c>
      <c r="C1156" t="s">
        <v>233</v>
      </c>
      <c r="D1156" t="s">
        <v>231</v>
      </c>
      <c r="E1156" t="s">
        <v>191</v>
      </c>
      <c r="F1156" t="s">
        <v>192</v>
      </c>
      <c r="G1156">
        <v>76727.610156026</v>
      </c>
      <c r="H1156" t="e">
        <f>IF(PNL!A1156="","",_CALC_PNL!P1156)</f>
        <v>#VALUE!</v>
      </c>
      <c r="I1156" t="e">
        <f>IF(PNL!A1156="","",IF(_CALC_PNL!E1156=1,H1156-G1156,""))</f>
        <v>#VALUE!</v>
      </c>
    </row>
    <row r="1157" ht="14.25" customHeight="1">
      <c r="A1157" t="s">
        <v>97</v>
      </c>
      <c r="B1157" t="s">
        <v>245</v>
      </c>
      <c r="C1157" t="s">
        <v>233</v>
      </c>
      <c r="D1157" t="s">
        <v>9</v>
      </c>
      <c r="E1157" t="s">
        <v>191</v>
      </c>
      <c r="F1157" t="s">
        <v>192</v>
      </c>
      <c r="G1157">
        <v>81993.881258319</v>
      </c>
      <c r="H1157" t="e">
        <f>IF(PNL!A1157="","",_CALC_PNL!P1157)</f>
        <v>#VALUE!</v>
      </c>
      <c r="I1157" t="e">
        <f>IF(PNL!A1157="","",IF(_CALC_PNL!E1157=1,H1157-G1157,""))</f>
        <v>#VALUE!</v>
      </c>
    </row>
    <row r="1158" ht="14.25" customHeight="1">
      <c r="A1158" t="s">
        <v>97</v>
      </c>
      <c r="B1158" t="s">
        <v>245</v>
      </c>
      <c r="C1158" t="s">
        <v>233</v>
      </c>
      <c r="D1158" t="s">
        <v>234</v>
      </c>
      <c r="E1158" t="s">
        <v>191</v>
      </c>
      <c r="F1158" t="s">
        <v>192</v>
      </c>
      <c r="G1158">
        <v>70986.328425134</v>
      </c>
      <c r="H1158" t="e">
        <f>IF(PNL!A1158="","",_CALC_PNL!P1158)</f>
        <v>#VALUE!</v>
      </c>
      <c r="I1158" t="e">
        <f>IF(PNL!A1158="","",IF(_CALC_PNL!E1158=1,H1158-G1158,""))</f>
        <v>#VALUE!</v>
      </c>
    </row>
    <row r="1159" ht="14.25" customHeight="1">
      <c r="A1159" t="s">
        <v>75</v>
      </c>
      <c r="B1159" t="s">
        <v>246</v>
      </c>
      <c r="C1159" t="s">
        <v>233</v>
      </c>
      <c r="D1159" t="s">
        <v>231</v>
      </c>
      <c r="E1159" t="s">
        <v>191</v>
      </c>
      <c r="F1159" t="s">
        <v>192</v>
      </c>
      <c r="G1159">
        <v>90334.320447094</v>
      </c>
      <c r="H1159" t="e">
        <f>IF(PNL!A1159="","",_CALC_PNL!P1159)</f>
        <v>#VALUE!</v>
      </c>
      <c r="I1159" t="e">
        <f>IF(PNL!A1159="","",IF(_CALC_PNL!E1159=1,H1159-G1159,""))</f>
        <v>#VALUE!</v>
      </c>
    </row>
    <row r="1160" ht="14.25" customHeight="1">
      <c r="A1160" t="s">
        <v>75</v>
      </c>
      <c r="B1160" t="s">
        <v>246</v>
      </c>
      <c r="C1160" t="s">
        <v>233</v>
      </c>
      <c r="D1160" t="s">
        <v>9</v>
      </c>
      <c r="E1160" t="s">
        <v>191</v>
      </c>
      <c r="F1160" t="s">
        <v>192</v>
      </c>
      <c r="G1160">
        <v>96534.500803922</v>
      </c>
      <c r="H1160" t="e">
        <f>IF(PNL!A1160="","",_CALC_PNL!P1160)</f>
        <v>#VALUE!</v>
      </c>
      <c r="I1160" t="e">
        <f>IF(PNL!A1160="","",IF(_CALC_PNL!E1160=1,H1160-G1160,""))</f>
        <v>#VALUE!</v>
      </c>
    </row>
    <row r="1161" ht="14.25" customHeight="1">
      <c r="A1161" t="s">
        <v>75</v>
      </c>
      <c r="B1161" t="s">
        <v>246</v>
      </c>
      <c r="C1161" t="s">
        <v>233</v>
      </c>
      <c r="D1161" t="s">
        <v>234</v>
      </c>
      <c r="E1161" t="s">
        <v>191</v>
      </c>
      <c r="F1161" t="s">
        <v>192</v>
      </c>
      <c r="G1161">
        <v>83574.892092674</v>
      </c>
      <c r="H1161" t="e">
        <f>IF(PNL!A1161="","",_CALC_PNL!P1161)</f>
        <v>#VALUE!</v>
      </c>
      <c r="I1161" t="e">
        <f>IF(PNL!A1161="","",IF(_CALC_PNL!E1161=1,H1161-G1161,""))</f>
        <v>#VALUE!</v>
      </c>
    </row>
    <row r="1162" ht="14.25" customHeight="1">
      <c r="A1162" t="s">
        <v>77</v>
      </c>
      <c r="B1162" t="s">
        <v>246</v>
      </c>
      <c r="C1162" t="s">
        <v>233</v>
      </c>
      <c r="D1162" t="s">
        <v>231</v>
      </c>
      <c r="E1162" t="s">
        <v>191</v>
      </c>
      <c r="F1162" t="s">
        <v>192</v>
      </c>
      <c r="G1162">
        <v>76618.510735197</v>
      </c>
      <c r="H1162" t="e">
        <f>IF(PNL!A1162="","",_CALC_PNL!P1162)</f>
        <v>#VALUE!</v>
      </c>
      <c r="I1162" t="e">
        <f>IF(PNL!A1162="","",IF(_CALC_PNL!E1162=1,H1162-G1162,""))</f>
        <v>#VALUE!</v>
      </c>
    </row>
    <row r="1163" ht="14.25" customHeight="1">
      <c r="A1163" t="s">
        <v>77</v>
      </c>
      <c r="B1163" t="s">
        <v>246</v>
      </c>
      <c r="C1163" t="s">
        <v>233</v>
      </c>
      <c r="D1163" t="s">
        <v>9</v>
      </c>
      <c r="E1163" t="s">
        <v>191</v>
      </c>
      <c r="F1163" t="s">
        <v>192</v>
      </c>
      <c r="G1163">
        <v>81877.293696962</v>
      </c>
      <c r="H1163" t="e">
        <f>IF(PNL!A1163="","",_CALC_PNL!P1163)</f>
        <v>#VALUE!</v>
      </c>
      <c r="I1163" t="e">
        <f>IF(PNL!A1163="","",IF(_CALC_PNL!E1163=1,H1163-G1163,""))</f>
        <v>#VALUE!</v>
      </c>
    </row>
    <row r="1164" ht="14.25" customHeight="1">
      <c r="A1164" t="s">
        <v>77</v>
      </c>
      <c r="B1164" t="s">
        <v>246</v>
      </c>
      <c r="C1164" t="s">
        <v>233</v>
      </c>
      <c r="D1164" t="s">
        <v>234</v>
      </c>
      <c r="E1164" t="s">
        <v>191</v>
      </c>
      <c r="F1164" t="s">
        <v>192</v>
      </c>
      <c r="G1164">
        <v>70885.392565119</v>
      </c>
      <c r="H1164" t="e">
        <f>IF(PNL!A1164="","",_CALC_PNL!P1164)</f>
        <v>#VALUE!</v>
      </c>
      <c r="I1164" t="e">
        <f>IF(PNL!A1164="","",IF(_CALC_PNL!E1164=1,H1164-G1164,""))</f>
        <v>#VALUE!</v>
      </c>
    </row>
    <row r="1165" ht="14.25" customHeight="1">
      <c r="A1165" t="s">
        <v>79</v>
      </c>
      <c r="B1165" t="s">
        <v>246</v>
      </c>
      <c r="C1165" t="s">
        <v>233</v>
      </c>
      <c r="D1165" t="s">
        <v>231</v>
      </c>
      <c r="E1165" t="s">
        <v>191</v>
      </c>
      <c r="F1165" t="s">
        <v>192</v>
      </c>
      <c r="G1165">
        <v>69524.929945902</v>
      </c>
      <c r="H1165" t="e">
        <f>IF(PNL!A1165="","",_CALC_PNL!P1165)</f>
        <v>#VALUE!</v>
      </c>
      <c r="I1165" t="e">
        <f>IF(PNL!A1165="","",IF(_CALC_PNL!E1165=1,H1165-G1165,""))</f>
        <v>#VALUE!</v>
      </c>
    </row>
    <row r="1166" ht="14.25" customHeight="1">
      <c r="A1166" t="s">
        <v>79</v>
      </c>
      <c r="B1166" t="s">
        <v>246</v>
      </c>
      <c r="C1166" t="s">
        <v>233</v>
      </c>
      <c r="D1166" t="s">
        <v>9</v>
      </c>
      <c r="E1166" t="s">
        <v>191</v>
      </c>
      <c r="F1166" t="s">
        <v>192</v>
      </c>
      <c r="G1166">
        <v>74296.838372589</v>
      </c>
      <c r="H1166" t="e">
        <f>IF(PNL!A1166="","",_CALC_PNL!P1166)</f>
        <v>#VALUE!</v>
      </c>
      <c r="I1166" t="e">
        <f>IF(PNL!A1166="","",IF(_CALC_PNL!E1166=1,H1166-G1166,""))</f>
        <v>#VALUE!</v>
      </c>
    </row>
    <row r="1167" ht="14.25" customHeight="1">
      <c r="A1167" t="s">
        <v>79</v>
      </c>
      <c r="B1167" t="s">
        <v>246</v>
      </c>
      <c r="C1167" t="s">
        <v>233</v>
      </c>
      <c r="D1167" t="s">
        <v>234</v>
      </c>
      <c r="E1167" t="s">
        <v>191</v>
      </c>
      <c r="F1167" t="s">
        <v>192</v>
      </c>
      <c r="G1167">
        <v>64322.601744512</v>
      </c>
      <c r="H1167" t="e">
        <f>IF(PNL!A1167="","",_CALC_PNL!P1167)</f>
        <v>#VALUE!</v>
      </c>
      <c r="I1167" t="e">
        <f>IF(PNL!A1167="","",IF(_CALC_PNL!E1167=1,H1167-G1167,""))</f>
        <v>#VALUE!</v>
      </c>
    </row>
    <row r="1168" ht="14.25" customHeight="1">
      <c r="A1168" t="s">
        <v>81</v>
      </c>
      <c r="B1168" t="s">
        <v>246</v>
      </c>
      <c r="C1168" t="s">
        <v>233</v>
      </c>
      <c r="D1168" t="s">
        <v>231</v>
      </c>
      <c r="E1168" t="s">
        <v>191</v>
      </c>
      <c r="F1168" t="s">
        <v>192</v>
      </c>
      <c r="G1168">
        <v>58882.969935444</v>
      </c>
      <c r="H1168" t="e">
        <f>IF(PNL!A1168="","",_CALC_PNL!P1168)</f>
        <v>#VALUE!</v>
      </c>
      <c r="I1168" t="e">
        <f>IF(PNL!A1168="","",IF(_CALC_PNL!E1168=1,H1168-G1168,""))</f>
        <v>#VALUE!</v>
      </c>
    </row>
    <row r="1169" ht="14.25" customHeight="1">
      <c r="A1169" t="s">
        <v>81</v>
      </c>
      <c r="B1169" t="s">
        <v>246</v>
      </c>
      <c r="C1169" t="s">
        <v>233</v>
      </c>
      <c r="D1169" t="s">
        <v>9</v>
      </c>
      <c r="E1169" t="s">
        <v>191</v>
      </c>
      <c r="F1169" t="s">
        <v>192</v>
      </c>
      <c r="G1169">
        <v>62924.457508921</v>
      </c>
      <c r="H1169" t="e">
        <f>IF(PNL!A1169="","",_CALC_PNL!P1169)</f>
        <v>#VALUE!</v>
      </c>
      <c r="I1169" t="e">
        <f>IF(PNL!A1169="","",IF(_CALC_PNL!E1169=1,H1169-G1169,""))</f>
        <v>#VALUE!</v>
      </c>
    </row>
    <row r="1170" ht="14.25" customHeight="1">
      <c r="A1170" t="s">
        <v>81</v>
      </c>
      <c r="B1170" t="s">
        <v>246</v>
      </c>
      <c r="C1170" t="s">
        <v>233</v>
      </c>
      <c r="D1170" t="s">
        <v>234</v>
      </c>
      <c r="E1170" t="s">
        <v>191</v>
      </c>
      <c r="F1170" t="s">
        <v>192</v>
      </c>
      <c r="G1170">
        <v>54476.945573892</v>
      </c>
      <c r="H1170" t="e">
        <f>IF(PNL!A1170="","",_CALC_PNL!P1170)</f>
        <v>#VALUE!</v>
      </c>
      <c r="I1170" t="e">
        <f>IF(PNL!A1170="","",IF(_CALC_PNL!E1170=1,H1170-G1170,""))</f>
        <v>#VALUE!</v>
      </c>
    </row>
    <row r="1171" ht="14.25" customHeight="1">
      <c r="A1171" t="s">
        <v>83</v>
      </c>
      <c r="B1171" t="s">
        <v>246</v>
      </c>
      <c r="C1171" t="s">
        <v>233</v>
      </c>
      <c r="D1171" t="s">
        <v>231</v>
      </c>
      <c r="E1171" t="s">
        <v>191</v>
      </c>
      <c r="F1171" t="s">
        <v>192</v>
      </c>
      <c r="G1171">
        <v>83713.150742169</v>
      </c>
      <c r="H1171" t="e">
        <f>IF(PNL!A1171="","",_CALC_PNL!P1171)</f>
        <v>#VALUE!</v>
      </c>
      <c r="I1171" t="e">
        <f>IF(PNL!A1171="","",IF(_CALC_PNL!E1171=1,H1171-G1171,""))</f>
        <v>#VALUE!</v>
      </c>
    </row>
    <row r="1172" ht="14.25" customHeight="1">
      <c r="A1172" t="s">
        <v>83</v>
      </c>
      <c r="B1172" t="s">
        <v>246</v>
      </c>
      <c r="C1172" t="s">
        <v>233</v>
      </c>
      <c r="D1172" t="s">
        <v>9</v>
      </c>
      <c r="E1172" t="s">
        <v>191</v>
      </c>
      <c r="F1172" t="s">
        <v>192</v>
      </c>
      <c r="G1172">
        <v>89458.880939407</v>
      </c>
      <c r="H1172" t="e">
        <f>IF(PNL!A1172="","",_CALC_PNL!P1172)</f>
        <v>#VALUE!</v>
      </c>
      <c r="I1172" t="e">
        <f>IF(PNL!A1172="","",IF(_CALC_PNL!E1172=1,H1172-G1172,""))</f>
        <v>#VALUE!</v>
      </c>
    </row>
    <row r="1173" ht="14.25" customHeight="1">
      <c r="A1173" t="s">
        <v>83</v>
      </c>
      <c r="B1173" t="s">
        <v>246</v>
      </c>
      <c r="C1173" t="s">
        <v>233</v>
      </c>
      <c r="D1173" t="s">
        <v>234</v>
      </c>
      <c r="E1173" t="s">
        <v>191</v>
      </c>
      <c r="F1173" t="s">
        <v>192</v>
      </c>
      <c r="G1173">
        <v>77449.163345532</v>
      </c>
      <c r="H1173" t="e">
        <f>IF(PNL!A1173="","",_CALC_PNL!P1173)</f>
        <v>#VALUE!</v>
      </c>
      <c r="I1173" t="e">
        <f>IF(PNL!A1173="","",IF(_CALC_PNL!E1173=1,H1173-G1173,""))</f>
        <v>#VALUE!</v>
      </c>
    </row>
    <row r="1174" ht="14.25" customHeight="1">
      <c r="A1174" t="s">
        <v>84</v>
      </c>
      <c r="B1174" t="s">
        <v>246</v>
      </c>
      <c r="C1174" t="s">
        <v>233</v>
      </c>
      <c r="D1174" t="s">
        <v>231</v>
      </c>
      <c r="E1174" t="s">
        <v>191</v>
      </c>
      <c r="F1174" t="s">
        <v>192</v>
      </c>
      <c r="G1174">
        <v>57700.883006841</v>
      </c>
      <c r="H1174" t="e">
        <f>IF(PNL!A1174="","",_CALC_PNL!P1174)</f>
        <v>#VALUE!</v>
      </c>
      <c r="I1174" t="e">
        <f>IF(PNL!A1174="","",IF(_CALC_PNL!E1174=1,H1174-G1174,""))</f>
        <v>#VALUE!</v>
      </c>
    </row>
    <row r="1175" ht="14.25" customHeight="1">
      <c r="A1175" t="s">
        <v>84</v>
      </c>
      <c r="B1175" t="s">
        <v>246</v>
      </c>
      <c r="C1175" t="s">
        <v>233</v>
      </c>
      <c r="D1175" t="s">
        <v>9</v>
      </c>
      <c r="E1175" t="s">
        <v>191</v>
      </c>
      <c r="F1175" t="s">
        <v>192</v>
      </c>
      <c r="G1175">
        <v>61661.236941204</v>
      </c>
      <c r="H1175" t="e">
        <f>IF(PNL!A1175="","",_CALC_PNL!P1175)</f>
        <v>#VALUE!</v>
      </c>
      <c r="I1175" t="e">
        <f>IF(PNL!A1175="","",IF(_CALC_PNL!E1175=1,H1175-G1175,""))</f>
        <v>#VALUE!</v>
      </c>
    </row>
    <row r="1176" ht="14.25" customHeight="1">
      <c r="A1176" t="s">
        <v>84</v>
      </c>
      <c r="B1176" t="s">
        <v>246</v>
      </c>
      <c r="C1176" t="s">
        <v>233</v>
      </c>
      <c r="D1176" t="s">
        <v>234</v>
      </c>
      <c r="E1176" t="s">
        <v>191</v>
      </c>
      <c r="F1176" t="s">
        <v>192</v>
      </c>
      <c r="G1176">
        <v>53383.310430426</v>
      </c>
      <c r="H1176" t="e">
        <f>IF(PNL!A1176="","",_CALC_PNL!P1176)</f>
        <v>#VALUE!</v>
      </c>
      <c r="I1176" t="e">
        <f>IF(PNL!A1176="","",IF(_CALC_PNL!E1176=1,H1176-G1176,""))</f>
        <v>#VALUE!</v>
      </c>
    </row>
    <row r="1177" ht="14.25" customHeight="1">
      <c r="A1177" t="s">
        <v>86</v>
      </c>
      <c r="B1177" t="s">
        <v>246</v>
      </c>
      <c r="C1177" t="s">
        <v>233</v>
      </c>
      <c r="D1177" t="s">
        <v>231</v>
      </c>
      <c r="E1177" t="s">
        <v>191</v>
      </c>
      <c r="F1177" t="s">
        <v>192</v>
      </c>
      <c r="G1177">
        <v>54625.974087725</v>
      </c>
      <c r="H1177" t="e">
        <f>IF(PNL!A1177="","",_CALC_PNL!P1177)</f>
        <v>#VALUE!</v>
      </c>
      <c r="I1177" t="e">
        <f>IF(PNL!A1177="","",IF(_CALC_PNL!E1177=1,H1177-G1177,""))</f>
        <v>#VALUE!</v>
      </c>
    </row>
    <row r="1178" ht="14.25" customHeight="1">
      <c r="A1178" t="s">
        <v>86</v>
      </c>
      <c r="B1178" t="s">
        <v>246</v>
      </c>
      <c r="C1178" t="s">
        <v>233</v>
      </c>
      <c r="D1178" t="s">
        <v>9</v>
      </c>
      <c r="E1178" t="s">
        <v>191</v>
      </c>
      <c r="F1178" t="s">
        <v>192</v>
      </c>
      <c r="G1178">
        <v>58375.27877984</v>
      </c>
      <c r="H1178" t="e">
        <f>IF(PNL!A1178="","",_CALC_PNL!P1178)</f>
        <v>#VALUE!</v>
      </c>
      <c r="I1178" t="e">
        <f>IF(PNL!A1178="","",IF(_CALC_PNL!E1178=1,H1178-G1178,""))</f>
        <v>#VALUE!</v>
      </c>
    </row>
    <row r="1179" ht="14.25" customHeight="1">
      <c r="A1179" t="s">
        <v>86</v>
      </c>
      <c r="B1179" t="s">
        <v>246</v>
      </c>
      <c r="C1179" t="s">
        <v>233</v>
      </c>
      <c r="D1179" t="s">
        <v>234</v>
      </c>
      <c r="E1179" t="s">
        <v>191</v>
      </c>
      <c r="F1179" t="s">
        <v>192</v>
      </c>
      <c r="G1179">
        <v>50538.487113684</v>
      </c>
      <c r="H1179" t="e">
        <f>IF(PNL!A1179="","",_CALC_PNL!P1179)</f>
        <v>#VALUE!</v>
      </c>
      <c r="I1179" t="e">
        <f>IF(PNL!A1179="","",IF(_CALC_PNL!E1179=1,H1179-G1179,""))</f>
        <v>#VALUE!</v>
      </c>
    </row>
    <row r="1180" ht="14.25" customHeight="1">
      <c r="A1180" t="s">
        <v>88</v>
      </c>
      <c r="B1180" t="s">
        <v>246</v>
      </c>
      <c r="C1180" t="s">
        <v>233</v>
      </c>
      <c r="D1180" t="s">
        <v>231</v>
      </c>
      <c r="E1180" t="s">
        <v>191</v>
      </c>
      <c r="F1180" t="s">
        <v>192</v>
      </c>
      <c r="G1180">
        <v>34288.994670903</v>
      </c>
      <c r="H1180" t="e">
        <f>IF(PNL!A1180="","",_CALC_PNL!P1180)</f>
        <v>#VALUE!</v>
      </c>
      <c r="I1180" t="e">
        <f>IF(PNL!A1180="","",IF(_CALC_PNL!E1180=1,H1180-G1180,""))</f>
        <v>#VALUE!</v>
      </c>
    </row>
    <row r="1181" ht="14.25" customHeight="1">
      <c r="A1181" t="s">
        <v>88</v>
      </c>
      <c r="B1181" t="s">
        <v>246</v>
      </c>
      <c r="C1181" t="s">
        <v>233</v>
      </c>
      <c r="D1181" t="s">
        <v>9</v>
      </c>
      <c r="E1181" t="s">
        <v>191</v>
      </c>
      <c r="F1181" t="s">
        <v>192</v>
      </c>
      <c r="G1181">
        <v>36642.451808365</v>
      </c>
      <c r="H1181" t="e">
        <f>IF(PNL!A1181="","",_CALC_PNL!P1181)</f>
        <v>#VALUE!</v>
      </c>
      <c r="I1181" t="e">
        <f>IF(PNL!A1181="","",IF(_CALC_PNL!E1181=1,H1181-G1181,""))</f>
        <v>#VALUE!</v>
      </c>
    </row>
    <row r="1182" ht="14.25" customHeight="1">
      <c r="A1182" t="s">
        <v>88</v>
      </c>
      <c r="B1182" t="s">
        <v>246</v>
      </c>
      <c r="C1182" t="s">
        <v>233</v>
      </c>
      <c r="D1182" t="s">
        <v>234</v>
      </c>
      <c r="E1182" t="s">
        <v>191</v>
      </c>
      <c r="F1182" t="s">
        <v>192</v>
      </c>
      <c r="G1182">
        <v>31723.258838986</v>
      </c>
      <c r="H1182" t="e">
        <f>IF(PNL!A1182="","",_CALC_PNL!P1182)</f>
        <v>#VALUE!</v>
      </c>
      <c r="I1182" t="e">
        <f>IF(PNL!A1182="","",IF(_CALC_PNL!E1182=1,H1182-G1182,""))</f>
        <v>#VALUE!</v>
      </c>
    </row>
    <row r="1183" ht="14.25" customHeight="1">
      <c r="A1183" t="s">
        <v>90</v>
      </c>
      <c r="B1183" t="s">
        <v>246</v>
      </c>
      <c r="C1183" t="s">
        <v>233</v>
      </c>
      <c r="D1183" t="s">
        <v>231</v>
      </c>
      <c r="E1183" t="s">
        <v>191</v>
      </c>
      <c r="F1183" t="s">
        <v>192</v>
      </c>
      <c r="G1183">
        <v>27667.824965979</v>
      </c>
      <c r="H1183" t="e">
        <f>IF(PNL!A1183="","",_CALC_PNL!P1183)</f>
        <v>#VALUE!</v>
      </c>
      <c r="I1183" t="e">
        <f>IF(PNL!A1183="","",IF(_CALC_PNL!E1183=1,H1183-G1183,""))</f>
        <v>#VALUE!</v>
      </c>
    </row>
    <row r="1184" ht="14.25" customHeight="1">
      <c r="A1184" t="s">
        <v>90</v>
      </c>
      <c r="B1184" t="s">
        <v>246</v>
      </c>
      <c r="C1184" t="s">
        <v>233</v>
      </c>
      <c r="D1184" t="s">
        <v>9</v>
      </c>
      <c r="E1184" t="s">
        <v>191</v>
      </c>
      <c r="F1184" t="s">
        <v>192</v>
      </c>
      <c r="G1184">
        <v>29566.831943849</v>
      </c>
      <c r="H1184" t="e">
        <f>IF(PNL!A1184="","",_CALC_PNL!P1184)</f>
        <v>#VALUE!</v>
      </c>
      <c r="I1184" t="e">
        <f>IF(PNL!A1184="","",IF(_CALC_PNL!E1184=1,H1184-G1184,""))</f>
        <v>#VALUE!</v>
      </c>
    </row>
    <row r="1185" ht="14.25" customHeight="1">
      <c r="A1185" t="s">
        <v>90</v>
      </c>
      <c r="B1185" t="s">
        <v>246</v>
      </c>
      <c r="C1185" t="s">
        <v>233</v>
      </c>
      <c r="D1185" t="s">
        <v>234</v>
      </c>
      <c r="E1185" t="s">
        <v>191</v>
      </c>
      <c r="F1185" t="s">
        <v>192</v>
      </c>
      <c r="G1185">
        <v>25597.530091843</v>
      </c>
      <c r="H1185" t="e">
        <f>IF(PNL!A1185="","",_CALC_PNL!P1185)</f>
        <v>#VALUE!</v>
      </c>
      <c r="I1185" t="e">
        <f>IF(PNL!A1185="","",IF(_CALC_PNL!E1185=1,H1185-G1185,""))</f>
        <v>#VALUE!</v>
      </c>
    </row>
    <row r="1186" ht="14.25" customHeight="1">
      <c r="A1186" t="s">
        <v>92</v>
      </c>
      <c r="B1186" t="s">
        <v>246</v>
      </c>
      <c r="C1186" t="s">
        <v>233</v>
      </c>
      <c r="D1186" t="s">
        <v>231</v>
      </c>
      <c r="E1186" t="s">
        <v>191</v>
      </c>
      <c r="F1186" t="s">
        <v>192</v>
      </c>
      <c r="G1186">
        <v>27667.824965979</v>
      </c>
      <c r="H1186" t="e">
        <f>IF(PNL!A1186="","",_CALC_PNL!P1186)</f>
        <v>#VALUE!</v>
      </c>
      <c r="I1186" t="e">
        <f>IF(PNL!A1186="","",IF(_CALC_PNL!E1186=1,H1186-G1186,""))</f>
        <v>#VALUE!</v>
      </c>
    </row>
    <row r="1187" ht="14.25" customHeight="1">
      <c r="A1187" t="s">
        <v>92</v>
      </c>
      <c r="B1187" t="s">
        <v>246</v>
      </c>
      <c r="C1187" t="s">
        <v>233</v>
      </c>
      <c r="D1187" t="s">
        <v>9</v>
      </c>
      <c r="E1187" t="s">
        <v>191</v>
      </c>
      <c r="F1187" t="s">
        <v>192</v>
      </c>
      <c r="G1187">
        <v>29566.831943849</v>
      </c>
      <c r="H1187" t="e">
        <f>IF(PNL!A1187="","",_CALC_PNL!P1187)</f>
        <v>#VALUE!</v>
      </c>
      <c r="I1187" t="e">
        <f>IF(PNL!A1187="","",IF(_CALC_PNL!E1187=1,H1187-G1187,""))</f>
        <v>#VALUE!</v>
      </c>
    </row>
    <row r="1188" ht="14.25" customHeight="1">
      <c r="A1188" t="s">
        <v>92</v>
      </c>
      <c r="B1188" t="s">
        <v>246</v>
      </c>
      <c r="C1188" t="s">
        <v>233</v>
      </c>
      <c r="D1188" t="s">
        <v>234</v>
      </c>
      <c r="E1188" t="s">
        <v>191</v>
      </c>
      <c r="F1188" t="s">
        <v>192</v>
      </c>
      <c r="G1188">
        <v>25597.530091843</v>
      </c>
      <c r="H1188" t="e">
        <f>IF(PNL!A1188="","",_CALC_PNL!P1188)</f>
        <v>#VALUE!</v>
      </c>
      <c r="I1188" t="e">
        <f>IF(PNL!A1188="","",IF(_CALC_PNL!E1188=1,H1188-G1188,""))</f>
        <v>#VALUE!</v>
      </c>
    </row>
    <row r="1189" ht="14.25" customHeight="1">
      <c r="A1189" t="s">
        <v>94</v>
      </c>
      <c r="B1189" t="s">
        <v>246</v>
      </c>
      <c r="C1189" t="s">
        <v>233</v>
      </c>
      <c r="D1189" t="s">
        <v>231</v>
      </c>
      <c r="E1189" t="s">
        <v>191</v>
      </c>
      <c r="F1189" t="s">
        <v>192</v>
      </c>
      <c r="G1189">
        <v>43039.191908526</v>
      </c>
      <c r="H1189" t="e">
        <f>IF(PNL!A1189="","",_CALC_PNL!P1189)</f>
        <v>#VALUE!</v>
      </c>
      <c r="I1189" t="e">
        <f>IF(PNL!A1189="","",IF(_CALC_PNL!E1189=1,H1189-G1189,""))</f>
        <v>#VALUE!</v>
      </c>
    </row>
    <row r="1190" ht="14.25" customHeight="1">
      <c r="A1190" t="s">
        <v>94</v>
      </c>
      <c r="B1190" t="s">
        <v>246</v>
      </c>
      <c r="C1190" t="s">
        <v>233</v>
      </c>
      <c r="D1190" t="s">
        <v>9</v>
      </c>
      <c r="E1190" t="s">
        <v>191</v>
      </c>
      <c r="F1190" t="s">
        <v>192</v>
      </c>
      <c r="G1190">
        <v>45993.226996456</v>
      </c>
      <c r="H1190" t="e">
        <f>IF(PNL!A1190="","",_CALC_PNL!P1190)</f>
        <v>#VALUE!</v>
      </c>
      <c r="I1190" t="e">
        <f>IF(PNL!A1190="","",IF(_CALC_PNL!E1190=1,H1190-G1190,""))</f>
        <v>#VALUE!</v>
      </c>
    </row>
    <row r="1191" ht="14.25" customHeight="1">
      <c r="A1191" t="s">
        <v>94</v>
      </c>
      <c r="B1191" t="s">
        <v>246</v>
      </c>
      <c r="C1191" t="s">
        <v>233</v>
      </c>
      <c r="D1191" t="s">
        <v>234</v>
      </c>
      <c r="E1191" t="s">
        <v>191</v>
      </c>
      <c r="F1191" t="s">
        <v>192</v>
      </c>
      <c r="G1191">
        <v>39818.706796136</v>
      </c>
      <c r="H1191" t="e">
        <f>IF(PNL!A1191="","",_CALC_PNL!P1191)</f>
        <v>#VALUE!</v>
      </c>
      <c r="I1191" t="e">
        <f>IF(PNL!A1191="","",IF(_CALC_PNL!E1191=1,H1191-G1191,""))</f>
        <v>#VALUE!</v>
      </c>
    </row>
    <row r="1192" ht="14.25" customHeight="1">
      <c r="A1192" t="s">
        <v>95</v>
      </c>
      <c r="B1192" t="s">
        <v>246</v>
      </c>
      <c r="C1192" t="s">
        <v>233</v>
      </c>
      <c r="D1192" t="s">
        <v>231</v>
      </c>
      <c r="E1192" t="s">
        <v>191</v>
      </c>
      <c r="F1192" t="s">
        <v>192</v>
      </c>
      <c r="G1192">
        <v>33580.378044348</v>
      </c>
      <c r="H1192" t="e">
        <f>IF(PNL!A1192="","",_CALC_PNL!P1192)</f>
        <v>#VALUE!</v>
      </c>
      <c r="I1192" t="e">
        <f>IF(PNL!A1192="","",IF(_CALC_PNL!E1192=1,H1192-G1192,""))</f>
        <v>#VALUE!</v>
      </c>
    </row>
    <row r="1193" ht="14.25" customHeight="1">
      <c r="A1193" t="s">
        <v>95</v>
      </c>
      <c r="B1193" t="s">
        <v>246</v>
      </c>
      <c r="C1193" t="s">
        <v>233</v>
      </c>
      <c r="D1193" t="s">
        <v>9</v>
      </c>
      <c r="E1193" t="s">
        <v>191</v>
      </c>
      <c r="F1193" t="s">
        <v>192</v>
      </c>
      <c r="G1193">
        <v>35885.198618577</v>
      </c>
      <c r="H1193" t="e">
        <f>IF(PNL!A1193="","",_CALC_PNL!P1193)</f>
        <v>#VALUE!</v>
      </c>
      <c r="I1193" t="e">
        <f>IF(PNL!A1193="","",IF(_CALC_PNL!E1193=1,H1193-G1193,""))</f>
        <v>#VALUE!</v>
      </c>
    </row>
    <row r="1194" ht="14.25" customHeight="1">
      <c r="A1194" t="s">
        <v>95</v>
      </c>
      <c r="B1194" t="s">
        <v>246</v>
      </c>
      <c r="C1194" t="s">
        <v>233</v>
      </c>
      <c r="D1194" t="s">
        <v>234</v>
      </c>
      <c r="E1194" t="s">
        <v>191</v>
      </c>
      <c r="F1194" t="s">
        <v>192</v>
      </c>
      <c r="G1194">
        <v>31067.665728789</v>
      </c>
      <c r="H1194" t="e">
        <f>IF(PNL!A1194="","",_CALC_PNL!P1194)</f>
        <v>#VALUE!</v>
      </c>
      <c r="I1194" t="e">
        <f>IF(PNL!A1194="","",IF(_CALC_PNL!E1194=1,H1194-G1194,""))</f>
        <v>#VALUE!</v>
      </c>
    </row>
    <row r="1195" ht="14.25" customHeight="1">
      <c r="A1195" t="s">
        <v>96</v>
      </c>
      <c r="B1195" t="s">
        <v>246</v>
      </c>
      <c r="C1195" t="s">
        <v>233</v>
      </c>
      <c r="D1195" t="s">
        <v>231</v>
      </c>
      <c r="E1195" t="s">
        <v>191</v>
      </c>
      <c r="F1195" t="s">
        <v>192</v>
      </c>
      <c r="G1195">
        <v>32633.437440253</v>
      </c>
      <c r="H1195" t="e">
        <f>IF(PNL!A1195="","",_CALC_PNL!P1195)</f>
        <v>#VALUE!</v>
      </c>
      <c r="I1195" t="e">
        <f>IF(PNL!A1195="","",IF(_CALC_PNL!E1195=1,H1195-G1195,""))</f>
        <v>#VALUE!</v>
      </c>
    </row>
    <row r="1196" ht="14.25" customHeight="1">
      <c r="A1196" t="s">
        <v>96</v>
      </c>
      <c r="B1196" t="s">
        <v>246</v>
      </c>
      <c r="C1196" t="s">
        <v>233</v>
      </c>
      <c r="D1196" t="s">
        <v>9</v>
      </c>
      <c r="E1196" t="s">
        <v>191</v>
      </c>
      <c r="F1196" t="s">
        <v>192</v>
      </c>
      <c r="G1196">
        <v>34873.263862718</v>
      </c>
      <c r="H1196" t="e">
        <f>IF(PNL!A1196="","",_CALC_PNL!P1196)</f>
        <v>#VALUE!</v>
      </c>
      <c r="I1196" t="e">
        <f>IF(PNL!A1196="","",IF(_CALC_PNL!E1196=1,H1196-G1196,""))</f>
        <v>#VALUE!</v>
      </c>
    </row>
    <row r="1197" ht="14.25" customHeight="1">
      <c r="A1197" t="s">
        <v>96</v>
      </c>
      <c r="B1197" t="s">
        <v>246</v>
      </c>
      <c r="C1197" t="s">
        <v>233</v>
      </c>
      <c r="D1197" t="s">
        <v>234</v>
      </c>
      <c r="E1197" t="s">
        <v>191</v>
      </c>
      <c r="F1197" t="s">
        <v>192</v>
      </c>
      <c r="G1197">
        <v>30191.581662248</v>
      </c>
      <c r="H1197" t="e">
        <f>IF(PNL!A1197="","",_CALC_PNL!P1197)</f>
        <v>#VALUE!</v>
      </c>
      <c r="I1197" t="e">
        <f>IF(PNL!A1197="","",IF(_CALC_PNL!E1197=1,H1197-G1197,""))</f>
        <v>#VALUE!</v>
      </c>
    </row>
    <row r="1198" ht="14.25" customHeight="1">
      <c r="A1198" t="s">
        <v>97</v>
      </c>
      <c r="B1198" t="s">
        <v>246</v>
      </c>
      <c r="C1198" t="s">
        <v>233</v>
      </c>
      <c r="D1198" t="s">
        <v>231</v>
      </c>
      <c r="E1198" t="s">
        <v>191</v>
      </c>
      <c r="F1198" t="s">
        <v>192</v>
      </c>
      <c r="G1198">
        <v>27667.824965979</v>
      </c>
      <c r="H1198" t="e">
        <f>IF(PNL!A1198="","",_CALC_PNL!P1198)</f>
        <v>#VALUE!</v>
      </c>
      <c r="I1198" t="e">
        <f>IF(PNL!A1198="","",IF(_CALC_PNL!E1198=1,H1198-G1198,""))</f>
        <v>#VALUE!</v>
      </c>
    </row>
    <row r="1199" ht="14.25" customHeight="1">
      <c r="A1199" t="s">
        <v>97</v>
      </c>
      <c r="B1199" t="s">
        <v>246</v>
      </c>
      <c r="C1199" t="s">
        <v>233</v>
      </c>
      <c r="D1199" t="s">
        <v>9</v>
      </c>
      <c r="E1199" t="s">
        <v>191</v>
      </c>
      <c r="F1199" t="s">
        <v>192</v>
      </c>
      <c r="G1199">
        <v>29566.831943849</v>
      </c>
      <c r="H1199" t="e">
        <f>IF(PNL!A1199="","",_CALC_PNL!P1199)</f>
        <v>#VALUE!</v>
      </c>
      <c r="I1199" t="e">
        <f>IF(PNL!A1199="","",IF(_CALC_PNL!E1199=1,H1199-G1199,""))</f>
        <v>#VALUE!</v>
      </c>
    </row>
    <row r="1200" ht="14.25" customHeight="1">
      <c r="A1200" t="s">
        <v>97</v>
      </c>
      <c r="B1200" t="s">
        <v>246</v>
      </c>
      <c r="C1200" t="s">
        <v>233</v>
      </c>
      <c r="D1200" t="s">
        <v>234</v>
      </c>
      <c r="E1200" t="s">
        <v>191</v>
      </c>
      <c r="F1200" t="s">
        <v>192</v>
      </c>
      <c r="G1200">
        <v>25597.530091843</v>
      </c>
      <c r="H1200" t="e">
        <f>IF(PNL!A1200="","",_CALC_PNL!P1200)</f>
        <v>#VALUE!</v>
      </c>
      <c r="I1200" t="e">
        <f>IF(PNL!A1200="","",IF(_CALC_PNL!E1200=1,H1200-G1200,""))</f>
        <v>#VALUE!</v>
      </c>
    </row>
    <row r="1201" ht="14.25" customHeight="1">
      <c r="A1201" t="s">
        <v>75</v>
      </c>
      <c r="B1201" t="s">
        <v>247</v>
      </c>
      <c r="C1201" t="s">
        <v>233</v>
      </c>
      <c r="D1201" t="s">
        <v>231</v>
      </c>
      <c r="E1201" t="s">
        <v>191</v>
      </c>
      <c r="F1201" t="s">
        <v>192</v>
      </c>
      <c r="G1201">
        <v>60222.880298062</v>
      </c>
      <c r="H1201" t="e">
        <f>IF(PNL!A1201="","",_CALC_PNL!P1201)</f>
        <v>#VALUE!</v>
      </c>
      <c r="I1201" t="e">
        <f>IF(PNL!A1201="","",IF(_CALC_PNL!E1201=1,H1201-G1201,""))</f>
        <v>#VALUE!</v>
      </c>
    </row>
    <row r="1202" ht="14.25" customHeight="1">
      <c r="A1202" t="s">
        <v>75</v>
      </c>
      <c r="B1202" t="s">
        <v>247</v>
      </c>
      <c r="C1202" t="s">
        <v>233</v>
      </c>
      <c r="D1202" t="s">
        <v>9</v>
      </c>
      <c r="E1202" t="s">
        <v>191</v>
      </c>
      <c r="F1202" t="s">
        <v>192</v>
      </c>
      <c r="G1202">
        <v>64356.333869281</v>
      </c>
      <c r="H1202" t="e">
        <f>IF(PNL!A1202="","",_CALC_PNL!P1202)</f>
        <v>#VALUE!</v>
      </c>
      <c r="I1202" t="e">
        <f>IF(PNL!A1202="","",IF(_CALC_PNL!E1202=1,H1202-G1202,""))</f>
        <v>#VALUE!</v>
      </c>
    </row>
    <row r="1203" ht="14.25" customHeight="1">
      <c r="A1203" t="s">
        <v>75</v>
      </c>
      <c r="B1203" t="s">
        <v>247</v>
      </c>
      <c r="C1203" t="s">
        <v>233</v>
      </c>
      <c r="D1203" t="s">
        <v>234</v>
      </c>
      <c r="E1203" t="s">
        <v>191</v>
      </c>
      <c r="F1203" t="s">
        <v>192</v>
      </c>
      <c r="G1203">
        <v>55716.594728449</v>
      </c>
      <c r="H1203" t="e">
        <f>IF(PNL!A1203="","",_CALC_PNL!P1203)</f>
        <v>#VALUE!</v>
      </c>
      <c r="I1203" t="e">
        <f>IF(PNL!A1203="","",IF(_CALC_PNL!E1203=1,H1203-G1203,""))</f>
        <v>#VALUE!</v>
      </c>
    </row>
    <row r="1204" ht="14.25" customHeight="1">
      <c r="A1204" t="s">
        <v>77</v>
      </c>
      <c r="B1204" t="s">
        <v>247</v>
      </c>
      <c r="C1204" t="s">
        <v>233</v>
      </c>
      <c r="D1204" t="s">
        <v>231</v>
      </c>
      <c r="E1204" t="s">
        <v>191</v>
      </c>
      <c r="F1204" t="s">
        <v>192</v>
      </c>
      <c r="G1204">
        <v>51079.713301916</v>
      </c>
      <c r="H1204" t="e">
        <f>IF(PNL!A1204="","",_CALC_PNL!P1204)</f>
        <v>#VALUE!</v>
      </c>
      <c r="I1204" t="e">
        <f>IF(PNL!A1204="","",IF(_CALC_PNL!E1204=1,H1204-G1204,""))</f>
        <v>#VALUE!</v>
      </c>
    </row>
    <row r="1205" ht="14.25" customHeight="1">
      <c r="A1205" t="s">
        <v>77</v>
      </c>
      <c r="B1205" t="s">
        <v>247</v>
      </c>
      <c r="C1205" t="s">
        <v>233</v>
      </c>
      <c r="D1205" t="s">
        <v>9</v>
      </c>
      <c r="E1205" t="s">
        <v>191</v>
      </c>
      <c r="F1205" t="s">
        <v>192</v>
      </c>
      <c r="G1205">
        <v>54585.617076689</v>
      </c>
      <c r="H1205" t="e">
        <f>IF(PNL!A1205="","",_CALC_PNL!P1205)</f>
        <v>#VALUE!</v>
      </c>
      <c r="I1205" t="e">
        <f>IF(PNL!A1205="","",IF(_CALC_PNL!E1205=1,H1205-G1205,""))</f>
        <v>#VALUE!</v>
      </c>
    </row>
    <row r="1206" ht="14.25" customHeight="1">
      <c r="A1206" t="s">
        <v>77</v>
      </c>
      <c r="B1206" t="s">
        <v>247</v>
      </c>
      <c r="C1206" t="s">
        <v>233</v>
      </c>
      <c r="D1206" t="s">
        <v>234</v>
      </c>
      <c r="E1206" t="s">
        <v>191</v>
      </c>
      <c r="F1206" t="s">
        <v>192</v>
      </c>
      <c r="G1206">
        <v>47257.581683283</v>
      </c>
      <c r="H1206" t="e">
        <f>IF(PNL!A1206="","",_CALC_PNL!P1206)</f>
        <v>#VALUE!</v>
      </c>
      <c r="I1206" t="e">
        <f>IF(PNL!A1206="","",IF(_CALC_PNL!E1206=1,H1206-G1206,""))</f>
        <v>#VALUE!</v>
      </c>
    </row>
    <row r="1207" ht="14.25" customHeight="1">
      <c r="A1207" t="s">
        <v>79</v>
      </c>
      <c r="B1207" t="s">
        <v>247</v>
      </c>
      <c r="C1207" t="s">
        <v>233</v>
      </c>
      <c r="D1207" t="s">
        <v>231</v>
      </c>
      <c r="E1207" t="s">
        <v>191</v>
      </c>
      <c r="F1207" t="s">
        <v>192</v>
      </c>
      <c r="G1207">
        <v>46349.247152149</v>
      </c>
      <c r="H1207" t="e">
        <f>IF(PNL!A1207="","",_CALC_PNL!P1207)</f>
        <v>#VALUE!</v>
      </c>
      <c r="I1207" t="e">
        <f>IF(PNL!A1207="","",IF(_CALC_PNL!E1207=1,H1207-G1207,""))</f>
        <v>#VALUE!</v>
      </c>
    </row>
    <row r="1208" ht="14.25" customHeight="1">
      <c r="A1208" t="s">
        <v>79</v>
      </c>
      <c r="B1208" t="s">
        <v>247</v>
      </c>
      <c r="C1208" t="s">
        <v>233</v>
      </c>
      <c r="D1208" t="s">
        <v>9</v>
      </c>
      <c r="E1208" t="s">
        <v>191</v>
      </c>
      <c r="F1208" t="s">
        <v>192</v>
      </c>
      <c r="G1208">
        <v>49530.470969678</v>
      </c>
      <c r="H1208" t="e">
        <f>IF(PNL!A1208="","",_CALC_PNL!P1208)</f>
        <v>#VALUE!</v>
      </c>
      <c r="I1208" t="e">
        <f>IF(PNL!A1208="","",IF(_CALC_PNL!E1208=1,H1208-G1208,""))</f>
        <v>#VALUE!</v>
      </c>
    </row>
    <row r="1209" ht="14.25" customHeight="1">
      <c r="A1209" t="s">
        <v>79</v>
      </c>
      <c r="B1209" t="s">
        <v>247</v>
      </c>
      <c r="C1209" t="s">
        <v>233</v>
      </c>
      <c r="D1209" t="s">
        <v>234</v>
      </c>
      <c r="E1209" t="s">
        <v>191</v>
      </c>
      <c r="F1209" t="s">
        <v>192</v>
      </c>
      <c r="G1209">
        <v>42881.081189804</v>
      </c>
      <c r="H1209" t="e">
        <f>IF(PNL!A1209="","",_CALC_PNL!P1209)</f>
        <v>#VALUE!</v>
      </c>
      <c r="I1209" t="e">
        <f>IF(PNL!A1209="","",IF(_CALC_PNL!E1209=1,H1209-G1209,""))</f>
        <v>#VALUE!</v>
      </c>
    </row>
    <row r="1210" ht="14.25" customHeight="1">
      <c r="A1210" t="s">
        <v>81</v>
      </c>
      <c r="B1210" t="s">
        <v>247</v>
      </c>
      <c r="C1210" t="s">
        <v>233</v>
      </c>
      <c r="D1210" t="s">
        <v>231</v>
      </c>
      <c r="E1210" t="s">
        <v>191</v>
      </c>
      <c r="F1210" t="s">
        <v>192</v>
      </c>
      <c r="G1210">
        <v>39255.666362855</v>
      </c>
      <c r="H1210" t="e">
        <f>IF(PNL!A1210="","",_CALC_PNL!P1210)</f>
        <v>#VALUE!</v>
      </c>
      <c r="I1210" t="e">
        <f>IF(PNL!A1210="","",IF(_CALC_PNL!E1210=1,H1210-G1210,""))</f>
        <v>#VALUE!</v>
      </c>
    </row>
    <row r="1211" ht="14.25" customHeight="1">
      <c r="A1211" t="s">
        <v>81</v>
      </c>
      <c r="B1211" t="s">
        <v>247</v>
      </c>
      <c r="C1211" t="s">
        <v>233</v>
      </c>
      <c r="D1211" t="s">
        <v>9</v>
      </c>
      <c r="E1211" t="s">
        <v>191</v>
      </c>
      <c r="F1211" t="s">
        <v>192</v>
      </c>
      <c r="G1211">
        <v>41950.015645305</v>
      </c>
      <c r="H1211" t="e">
        <f>IF(PNL!A1211="","",_CALC_PNL!P1211)</f>
        <v>#VALUE!</v>
      </c>
      <c r="I1211" t="e">
        <f>IF(PNL!A1211="","",IF(_CALC_PNL!E1211=1,H1211-G1211,""))</f>
        <v>#VALUE!</v>
      </c>
    </row>
    <row r="1212" ht="14.25" customHeight="1">
      <c r="A1212" t="s">
        <v>81</v>
      </c>
      <c r="B1212" t="s">
        <v>247</v>
      </c>
      <c r="C1212" t="s">
        <v>233</v>
      </c>
      <c r="D1212" t="s">
        <v>234</v>
      </c>
      <c r="E1212" t="s">
        <v>191</v>
      </c>
      <c r="F1212" t="s">
        <v>192</v>
      </c>
      <c r="G1212">
        <v>36318.290369197</v>
      </c>
      <c r="H1212" t="e">
        <f>IF(PNL!A1212="","",_CALC_PNL!P1212)</f>
        <v>#VALUE!</v>
      </c>
      <c r="I1212" t="e">
        <f>IF(PNL!A1212="","",IF(_CALC_PNL!E1212=1,H1212-G1212,""))</f>
        <v>#VALUE!</v>
      </c>
    </row>
    <row r="1213" ht="14.25" customHeight="1">
      <c r="A1213" t="s">
        <v>83</v>
      </c>
      <c r="B1213" t="s">
        <v>247</v>
      </c>
      <c r="C1213" t="s">
        <v>233</v>
      </c>
      <c r="D1213" t="s">
        <v>231</v>
      </c>
      <c r="E1213" t="s">
        <v>191</v>
      </c>
      <c r="F1213" t="s">
        <v>192</v>
      </c>
      <c r="G1213">
        <v>55809.120234005</v>
      </c>
      <c r="H1213" t="e">
        <f>IF(PNL!A1213="","",_CALC_PNL!P1213)</f>
        <v>#VALUE!</v>
      </c>
      <c r="I1213" t="e">
        <f>IF(PNL!A1213="","",IF(_CALC_PNL!E1213=1,H1213-G1213,""))</f>
        <v>#VALUE!</v>
      </c>
    </row>
    <row r="1214" ht="14.25" customHeight="1">
      <c r="A1214" t="s">
        <v>83</v>
      </c>
      <c r="B1214" t="s">
        <v>247</v>
      </c>
      <c r="C1214" t="s">
        <v>233</v>
      </c>
      <c r="D1214" t="s">
        <v>9</v>
      </c>
      <c r="E1214" t="s">
        <v>191</v>
      </c>
      <c r="F1214" t="s">
        <v>192</v>
      </c>
      <c r="G1214">
        <v>59639.631265628</v>
      </c>
      <c r="H1214" t="e">
        <f>IF(PNL!A1214="","",_CALC_PNL!P1214)</f>
        <v>#VALUE!</v>
      </c>
      <c r="I1214" t="e">
        <f>IF(PNL!A1214="","",IF(_CALC_PNL!E1214=1,H1214-G1214,""))</f>
        <v>#VALUE!</v>
      </c>
    </row>
    <row r="1215" ht="14.25" customHeight="1">
      <c r="A1215" t="s">
        <v>83</v>
      </c>
      <c r="B1215" t="s">
        <v>247</v>
      </c>
      <c r="C1215" t="s">
        <v>233</v>
      </c>
      <c r="D1215" t="s">
        <v>234</v>
      </c>
      <c r="E1215" t="s">
        <v>191</v>
      </c>
      <c r="F1215" t="s">
        <v>192</v>
      </c>
      <c r="G1215">
        <v>51633.102216956</v>
      </c>
      <c r="H1215" t="e">
        <f>IF(PNL!A1215="","",_CALC_PNL!P1215)</f>
        <v>#VALUE!</v>
      </c>
      <c r="I1215" t="e">
        <f>IF(PNL!A1215="","",IF(_CALC_PNL!E1215=1,H1215-G1215,""))</f>
        <v>#VALUE!</v>
      </c>
    </row>
    <row r="1216" ht="14.25" customHeight="1">
      <c r="A1216" t="s">
        <v>84</v>
      </c>
      <c r="B1216" t="s">
        <v>247</v>
      </c>
      <c r="C1216" t="s">
        <v>233</v>
      </c>
      <c r="D1216" t="s">
        <v>231</v>
      </c>
      <c r="E1216" t="s">
        <v>191</v>
      </c>
      <c r="F1216" t="s">
        <v>192</v>
      </c>
      <c r="G1216">
        <v>38466.549192775</v>
      </c>
      <c r="H1216" t="e">
        <f>IF(PNL!A1216="","",_CALC_PNL!P1216)</f>
        <v>#VALUE!</v>
      </c>
      <c r="I1216" t="e">
        <f>IF(PNL!A1216="","",IF(_CALC_PNL!E1216=1,H1216-G1216,""))</f>
        <v>#VALUE!</v>
      </c>
    </row>
    <row r="1217" ht="14.25" customHeight="1">
      <c r="A1217" t="s">
        <v>84</v>
      </c>
      <c r="B1217" t="s">
        <v>247</v>
      </c>
      <c r="C1217" t="s">
        <v>233</v>
      </c>
      <c r="D1217" t="s">
        <v>9</v>
      </c>
      <c r="E1217" t="s">
        <v>191</v>
      </c>
      <c r="F1217" t="s">
        <v>192</v>
      </c>
      <c r="G1217">
        <v>41106.736682089</v>
      </c>
      <c r="H1217" t="e">
        <f>IF(PNL!A1217="","",_CALC_PNL!P1217)</f>
        <v>#VALUE!</v>
      </c>
      <c r="I1217" t="e">
        <f>IF(PNL!A1217="","",IF(_CALC_PNL!E1217=1,H1217-G1217,""))</f>
        <v>#VALUE!</v>
      </c>
    </row>
    <row r="1218" ht="14.25" customHeight="1">
      <c r="A1218" t="s">
        <v>84</v>
      </c>
      <c r="B1218" t="s">
        <v>247</v>
      </c>
      <c r="C1218" t="s">
        <v>233</v>
      </c>
      <c r="D1218" t="s">
        <v>234</v>
      </c>
      <c r="E1218" t="s">
        <v>191</v>
      </c>
      <c r="F1218" t="s">
        <v>192</v>
      </c>
      <c r="G1218">
        <v>35588.220313746</v>
      </c>
      <c r="H1218" t="e">
        <f>IF(PNL!A1218="","",_CALC_PNL!P1218)</f>
        <v>#VALUE!</v>
      </c>
      <c r="I1218" t="e">
        <f>IF(PNL!A1218="","",IF(_CALC_PNL!E1218=1,H1218-G1218,""))</f>
        <v>#VALUE!</v>
      </c>
    </row>
    <row r="1219" ht="14.25" customHeight="1">
      <c r="A1219" t="s">
        <v>86</v>
      </c>
      <c r="B1219" t="s">
        <v>247</v>
      </c>
      <c r="C1219" t="s">
        <v>233</v>
      </c>
      <c r="D1219" t="s">
        <v>231</v>
      </c>
      <c r="E1219" t="s">
        <v>191</v>
      </c>
      <c r="F1219" t="s">
        <v>192</v>
      </c>
      <c r="G1219">
        <v>36418.022203602</v>
      </c>
      <c r="H1219" t="e">
        <f>IF(PNL!A1219="","",_CALC_PNL!P1219)</f>
        <v>#VALUE!</v>
      </c>
      <c r="I1219" t="e">
        <f>IF(PNL!A1219="","",IF(_CALC_PNL!E1219=1,H1219-G1219,""))</f>
        <v>#VALUE!</v>
      </c>
    </row>
    <row r="1220" ht="14.25" customHeight="1">
      <c r="A1220" t="s">
        <v>86</v>
      </c>
      <c r="B1220" t="s">
        <v>247</v>
      </c>
      <c r="C1220" t="s">
        <v>233</v>
      </c>
      <c r="D1220" t="s">
        <v>9</v>
      </c>
      <c r="E1220" t="s">
        <v>191</v>
      </c>
      <c r="F1220" t="s">
        <v>192</v>
      </c>
      <c r="G1220">
        <v>38917.607131941</v>
      </c>
      <c r="H1220" t="e">
        <f>IF(PNL!A1220="","",_CALC_PNL!P1220)</f>
        <v>#VALUE!</v>
      </c>
      <c r="I1220" t="e">
        <f>IF(PNL!A1220="","",IF(_CALC_PNL!E1220=1,H1220-G1220,""))</f>
        <v>#VALUE!</v>
      </c>
    </row>
    <row r="1221" ht="14.25" customHeight="1">
      <c r="A1221" t="s">
        <v>86</v>
      </c>
      <c r="B1221" t="s">
        <v>247</v>
      </c>
      <c r="C1221" t="s">
        <v>233</v>
      </c>
      <c r="D1221" t="s">
        <v>234</v>
      </c>
      <c r="E1221" t="s">
        <v>191</v>
      </c>
      <c r="F1221" t="s">
        <v>192</v>
      </c>
      <c r="G1221">
        <v>33692.978048993</v>
      </c>
      <c r="H1221" t="e">
        <f>IF(PNL!A1221="","",_CALC_PNL!P1221)</f>
        <v>#VALUE!</v>
      </c>
      <c r="I1221" t="e">
        <f>IF(PNL!A1221="","",IF(_CALC_PNL!E1221=1,H1221-G1221,""))</f>
        <v>#VALUE!</v>
      </c>
    </row>
    <row r="1222" ht="14.25" customHeight="1">
      <c r="A1222" t="s">
        <v>88</v>
      </c>
      <c r="B1222" t="s">
        <v>247</v>
      </c>
      <c r="C1222" t="s">
        <v>233</v>
      </c>
      <c r="D1222" t="s">
        <v>231</v>
      </c>
      <c r="E1222" t="s">
        <v>191</v>
      </c>
      <c r="F1222" t="s">
        <v>192</v>
      </c>
      <c r="G1222">
        <v>22860.035925721</v>
      </c>
      <c r="H1222" t="e">
        <f>IF(PNL!A1222="","",_CALC_PNL!P1222)</f>
        <v>#VALUE!</v>
      </c>
      <c r="I1222" t="e">
        <f>IF(PNL!A1222="","",IF(_CALC_PNL!E1222=1,H1222-G1222,""))</f>
        <v>#VALUE!</v>
      </c>
    </row>
    <row r="1223" ht="14.25" customHeight="1">
      <c r="A1223" t="s">
        <v>88</v>
      </c>
      <c r="B1223" t="s">
        <v>247</v>
      </c>
      <c r="C1223" t="s">
        <v>233</v>
      </c>
      <c r="D1223" t="s">
        <v>9</v>
      </c>
      <c r="E1223" t="s">
        <v>191</v>
      </c>
      <c r="F1223" t="s">
        <v>192</v>
      </c>
      <c r="G1223">
        <v>24429.055817624</v>
      </c>
      <c r="H1223" t="e">
        <f>IF(PNL!A1223="","",_CALC_PNL!P1223)</f>
        <v>#VALUE!</v>
      </c>
      <c r="I1223" t="e">
        <f>IF(PNL!A1223="","",IF(_CALC_PNL!E1223=1,H1223-G1223,""))</f>
        <v>#VALUE!</v>
      </c>
    </row>
    <row r="1224" ht="14.25" customHeight="1">
      <c r="A1224" t="s">
        <v>88</v>
      </c>
      <c r="B1224" t="s">
        <v>247</v>
      </c>
      <c r="C1224" t="s">
        <v>233</v>
      </c>
      <c r="D1224" t="s">
        <v>234</v>
      </c>
      <c r="E1224" t="s">
        <v>191</v>
      </c>
      <c r="F1224" t="s">
        <v>192</v>
      </c>
      <c r="G1224">
        <v>21149.492532528</v>
      </c>
      <c r="H1224" t="e">
        <f>IF(PNL!A1224="","",_CALC_PNL!P1224)</f>
        <v>#VALUE!</v>
      </c>
      <c r="I1224" t="e">
        <f>IF(PNL!A1224="","",IF(_CALC_PNL!E1224=1,H1224-G1224,""))</f>
        <v>#VALUE!</v>
      </c>
    </row>
    <row r="1225" ht="14.25" customHeight="1">
      <c r="A1225" t="s">
        <v>90</v>
      </c>
      <c r="B1225" t="s">
        <v>247</v>
      </c>
      <c r="C1225" t="s">
        <v>233</v>
      </c>
      <c r="D1225" t="s">
        <v>231</v>
      </c>
      <c r="E1225" t="s">
        <v>191</v>
      </c>
      <c r="F1225" t="s">
        <v>192</v>
      </c>
      <c r="G1225">
        <v>18445.216643986</v>
      </c>
      <c r="H1225" t="e">
        <f>IF(PNL!A1225="","",_CALC_PNL!P1225)</f>
        <v>#VALUE!</v>
      </c>
      <c r="I1225" t="e">
        <f>IF(PNL!A1225="","",IF(_CALC_PNL!E1225=1,H1225-G1225,""))</f>
        <v>#VALUE!</v>
      </c>
    </row>
    <row r="1226" ht="14.25" customHeight="1">
      <c r="A1226" t="s">
        <v>90</v>
      </c>
      <c r="B1226" t="s">
        <v>247</v>
      </c>
      <c r="C1226" t="s">
        <v>233</v>
      </c>
      <c r="D1226" t="s">
        <v>9</v>
      </c>
      <c r="E1226" t="s">
        <v>191</v>
      </c>
      <c r="F1226" t="s">
        <v>192</v>
      </c>
      <c r="G1226">
        <v>19711.2212959</v>
      </c>
      <c r="H1226" t="e">
        <f>IF(PNL!A1226="","",_CALC_PNL!P1226)</f>
        <v>#VALUE!</v>
      </c>
      <c r="I1226" t="e">
        <f>IF(PNL!A1226="","",IF(_CALC_PNL!E1226=1,H1226-G1226,""))</f>
        <v>#VALUE!</v>
      </c>
    </row>
    <row r="1227" ht="14.25" customHeight="1">
      <c r="A1227" t="s">
        <v>90</v>
      </c>
      <c r="B1227" t="s">
        <v>247</v>
      </c>
      <c r="C1227" t="s">
        <v>233</v>
      </c>
      <c r="D1227" t="s">
        <v>234</v>
      </c>
      <c r="E1227" t="s">
        <v>191</v>
      </c>
      <c r="F1227" t="s">
        <v>192</v>
      </c>
      <c r="G1227">
        <v>17065.020061229</v>
      </c>
      <c r="H1227" t="e">
        <f>IF(PNL!A1227="","",_CALC_PNL!P1227)</f>
        <v>#VALUE!</v>
      </c>
      <c r="I1227" t="e">
        <f>IF(PNL!A1227="","",IF(_CALC_PNL!E1227=1,H1227-G1227,""))</f>
        <v>#VALUE!</v>
      </c>
    </row>
    <row r="1228" ht="14.25" customHeight="1">
      <c r="A1228" t="s">
        <v>92</v>
      </c>
      <c r="B1228" t="s">
        <v>247</v>
      </c>
      <c r="C1228" t="s">
        <v>233</v>
      </c>
      <c r="D1228" t="s">
        <v>231</v>
      </c>
      <c r="E1228" t="s">
        <v>191</v>
      </c>
      <c r="F1228" t="s">
        <v>192</v>
      </c>
      <c r="G1228">
        <v>18445.216643986</v>
      </c>
      <c r="H1228" t="e">
        <f>IF(PNL!A1228="","",_CALC_PNL!P1228)</f>
        <v>#VALUE!</v>
      </c>
      <c r="I1228" t="e">
        <f>IF(PNL!A1228="","",IF(_CALC_PNL!E1228=1,H1228-G1228,""))</f>
        <v>#VALUE!</v>
      </c>
    </row>
    <row r="1229" ht="14.25" customHeight="1">
      <c r="A1229" t="s">
        <v>92</v>
      </c>
      <c r="B1229" t="s">
        <v>247</v>
      </c>
      <c r="C1229" t="s">
        <v>233</v>
      </c>
      <c r="D1229" t="s">
        <v>9</v>
      </c>
      <c r="E1229" t="s">
        <v>191</v>
      </c>
      <c r="F1229" t="s">
        <v>192</v>
      </c>
      <c r="G1229">
        <v>19711.2212959</v>
      </c>
      <c r="H1229" t="e">
        <f>IF(PNL!A1229="","",_CALC_PNL!P1229)</f>
        <v>#VALUE!</v>
      </c>
      <c r="I1229" t="e">
        <f>IF(PNL!A1229="","",IF(_CALC_PNL!E1229=1,H1229-G1229,""))</f>
        <v>#VALUE!</v>
      </c>
    </row>
    <row r="1230" ht="14.25" customHeight="1">
      <c r="A1230" t="s">
        <v>92</v>
      </c>
      <c r="B1230" t="s">
        <v>247</v>
      </c>
      <c r="C1230" t="s">
        <v>233</v>
      </c>
      <c r="D1230" t="s">
        <v>234</v>
      </c>
      <c r="E1230" t="s">
        <v>191</v>
      </c>
      <c r="F1230" t="s">
        <v>192</v>
      </c>
      <c r="G1230">
        <v>17065.020061229</v>
      </c>
      <c r="H1230" t="e">
        <f>IF(PNL!A1230="","",_CALC_PNL!P1230)</f>
        <v>#VALUE!</v>
      </c>
      <c r="I1230" t="e">
        <f>IF(PNL!A1230="","",IF(_CALC_PNL!E1230=1,H1230-G1230,""))</f>
        <v>#VALUE!</v>
      </c>
    </row>
    <row r="1231" ht="14.25" customHeight="1">
      <c r="A1231" t="s">
        <v>94</v>
      </c>
      <c r="B1231" t="s">
        <v>247</v>
      </c>
      <c r="C1231" t="s">
        <v>233</v>
      </c>
      <c r="D1231" t="s">
        <v>231</v>
      </c>
      <c r="E1231" t="s">
        <v>191</v>
      </c>
      <c r="F1231" t="s">
        <v>192</v>
      </c>
      <c r="G1231">
        <v>28693.147678243</v>
      </c>
      <c r="H1231" t="e">
        <f>IF(PNL!A1231="","",_CALC_PNL!P1231)</f>
        <v>#VALUE!</v>
      </c>
      <c r="I1231" t="e">
        <f>IF(PNL!A1231="","",IF(_CALC_PNL!E1231=1,H1231-G1231,""))</f>
        <v>#VALUE!</v>
      </c>
    </row>
    <row r="1232" ht="14.25" customHeight="1">
      <c r="A1232" t="s">
        <v>94</v>
      </c>
      <c r="B1232" t="s">
        <v>247</v>
      </c>
      <c r="C1232" t="s">
        <v>233</v>
      </c>
      <c r="D1232" t="s">
        <v>9</v>
      </c>
      <c r="E1232" t="s">
        <v>191</v>
      </c>
      <c r="F1232" t="s">
        <v>192</v>
      </c>
      <c r="G1232">
        <v>30662.528636995</v>
      </c>
      <c r="H1232" t="e">
        <f>IF(PNL!A1232="","",_CALC_PNL!P1232)</f>
        <v>#VALUE!</v>
      </c>
      <c r="I1232" t="e">
        <f>IF(PNL!A1232="","",IF(_CALC_PNL!E1232=1,H1232-G1232,""))</f>
        <v>#VALUE!</v>
      </c>
    </row>
    <row r="1233" ht="14.25" customHeight="1">
      <c r="A1233" t="s">
        <v>94</v>
      </c>
      <c r="B1233" t="s">
        <v>247</v>
      </c>
      <c r="C1233" t="s">
        <v>233</v>
      </c>
      <c r="D1233" t="s">
        <v>234</v>
      </c>
      <c r="E1233" t="s">
        <v>191</v>
      </c>
      <c r="F1233" t="s">
        <v>192</v>
      </c>
      <c r="G1233">
        <v>26546.131184026</v>
      </c>
      <c r="H1233" t="e">
        <f>IF(PNL!A1233="","",_CALC_PNL!P1233)</f>
        <v>#VALUE!</v>
      </c>
      <c r="I1233" t="e">
        <f>IF(PNL!A1233="","",IF(_CALC_PNL!E1233=1,H1233-G1233,""))</f>
        <v>#VALUE!</v>
      </c>
    </row>
    <row r="1234" ht="14.25" customHeight="1">
      <c r="A1234" t="s">
        <v>95</v>
      </c>
      <c r="B1234" t="s">
        <v>247</v>
      </c>
      <c r="C1234" t="s">
        <v>233</v>
      </c>
      <c r="D1234" t="s">
        <v>231</v>
      </c>
      <c r="E1234" t="s">
        <v>191</v>
      </c>
      <c r="F1234" t="s">
        <v>192</v>
      </c>
      <c r="G1234">
        <v>22386.565623673</v>
      </c>
      <c r="H1234" t="e">
        <f>IF(PNL!A1234="","",_CALC_PNL!P1234)</f>
        <v>#VALUE!</v>
      </c>
      <c r="I1234" t="e">
        <f>IF(PNL!A1234="","",IF(_CALC_PNL!E1234=1,H1234-G1234,""))</f>
        <v>#VALUE!</v>
      </c>
    </row>
    <row r="1235" ht="14.25" customHeight="1">
      <c r="A1235" t="s">
        <v>95</v>
      </c>
      <c r="B1235" t="s">
        <v>247</v>
      </c>
      <c r="C1235" t="s">
        <v>233</v>
      </c>
      <c r="D1235" t="s">
        <v>9</v>
      </c>
      <c r="E1235" t="s">
        <v>191</v>
      </c>
      <c r="F1235" t="s">
        <v>192</v>
      </c>
      <c r="G1235">
        <v>23923.088439694</v>
      </c>
      <c r="H1235" t="e">
        <f>IF(PNL!A1235="","",_CALC_PNL!P1235)</f>
        <v>#VALUE!</v>
      </c>
      <c r="I1235" t="e">
        <f>IF(PNL!A1235="","",IF(_CALC_PNL!E1235=1,H1235-G1235,""))</f>
        <v>#VALUE!</v>
      </c>
    </row>
    <row r="1236" ht="14.25" customHeight="1">
      <c r="A1236" t="s">
        <v>95</v>
      </c>
      <c r="B1236" t="s">
        <v>247</v>
      </c>
      <c r="C1236" t="s">
        <v>233</v>
      </c>
      <c r="D1236" t="s">
        <v>234</v>
      </c>
      <c r="E1236" t="s">
        <v>191</v>
      </c>
      <c r="F1236" t="s">
        <v>192</v>
      </c>
      <c r="G1236">
        <v>20711.450499257</v>
      </c>
      <c r="H1236" t="e">
        <f>IF(PNL!A1236="","",_CALC_PNL!P1236)</f>
        <v>#VALUE!</v>
      </c>
      <c r="I1236" t="e">
        <f>IF(PNL!A1236="","",IF(_CALC_PNL!E1236=1,H1236-G1236,""))</f>
        <v>#VALUE!</v>
      </c>
    </row>
    <row r="1237" ht="14.25" customHeight="1">
      <c r="A1237" t="s">
        <v>96</v>
      </c>
      <c r="B1237" t="s">
        <v>247</v>
      </c>
      <c r="C1237" t="s">
        <v>233</v>
      </c>
      <c r="D1237" t="s">
        <v>231</v>
      </c>
      <c r="E1237" t="s">
        <v>191</v>
      </c>
      <c r="F1237" t="s">
        <v>192</v>
      </c>
      <c r="G1237">
        <v>21756.331105287</v>
      </c>
      <c r="H1237" t="e">
        <f>IF(PNL!A1237="","",_CALC_PNL!P1237)</f>
        <v>#VALUE!</v>
      </c>
      <c r="I1237" t="e">
        <f>IF(PNL!A1237="","",IF(_CALC_PNL!E1237=1,H1237-G1237,""))</f>
        <v>#VALUE!</v>
      </c>
    </row>
    <row r="1238" ht="14.25" customHeight="1">
      <c r="A1238" t="s">
        <v>96</v>
      </c>
      <c r="B1238" t="s">
        <v>247</v>
      </c>
      <c r="C1238" t="s">
        <v>233</v>
      </c>
      <c r="D1238" t="s">
        <v>9</v>
      </c>
      <c r="E1238" t="s">
        <v>191</v>
      </c>
      <c r="F1238" t="s">
        <v>192</v>
      </c>
      <c r="G1238">
        <v>23249.597187193</v>
      </c>
      <c r="H1238" t="e">
        <f>IF(PNL!A1238="","",_CALC_PNL!P1238)</f>
        <v>#VALUE!</v>
      </c>
      <c r="I1238" t="e">
        <f>IF(PNL!A1238="","",IF(_CALC_PNL!E1238=1,H1238-G1238,""))</f>
        <v>#VALUE!</v>
      </c>
    </row>
    <row r="1239" ht="14.25" customHeight="1">
      <c r="A1239" t="s">
        <v>96</v>
      </c>
      <c r="B1239" t="s">
        <v>247</v>
      </c>
      <c r="C1239" t="s">
        <v>233</v>
      </c>
      <c r="D1239" t="s">
        <v>234</v>
      </c>
      <c r="E1239" t="s">
        <v>191</v>
      </c>
      <c r="F1239" t="s">
        <v>192</v>
      </c>
      <c r="G1239">
        <v>20128.374414703</v>
      </c>
      <c r="H1239" t="e">
        <f>IF(PNL!A1239="","",_CALC_PNL!P1239)</f>
        <v>#VALUE!</v>
      </c>
      <c r="I1239" t="e">
        <f>IF(PNL!A1239="","",IF(_CALC_PNL!E1239=1,H1239-G1239,""))</f>
        <v>#VALUE!</v>
      </c>
    </row>
    <row r="1240" ht="14.25" customHeight="1">
      <c r="A1240" t="s">
        <v>97</v>
      </c>
      <c r="B1240" t="s">
        <v>247</v>
      </c>
      <c r="C1240" t="s">
        <v>233</v>
      </c>
      <c r="D1240" t="s">
        <v>231</v>
      </c>
      <c r="E1240" t="s">
        <v>191</v>
      </c>
      <c r="F1240" t="s">
        <v>192</v>
      </c>
      <c r="G1240">
        <v>18445.216643986</v>
      </c>
      <c r="H1240" t="e">
        <f>IF(PNL!A1240="","",_CALC_PNL!P1240)</f>
        <v>#VALUE!</v>
      </c>
      <c r="I1240" t="e">
        <f>IF(PNL!A1240="","",IF(_CALC_PNL!E1240=1,H1240-G1240,""))</f>
        <v>#VALUE!</v>
      </c>
    </row>
    <row r="1241" ht="14.25" customHeight="1">
      <c r="A1241" t="s">
        <v>97</v>
      </c>
      <c r="B1241" t="s">
        <v>247</v>
      </c>
      <c r="C1241" t="s">
        <v>233</v>
      </c>
      <c r="D1241" t="s">
        <v>9</v>
      </c>
      <c r="E1241" t="s">
        <v>191</v>
      </c>
      <c r="F1241" t="s">
        <v>192</v>
      </c>
      <c r="G1241">
        <v>19711.2212959</v>
      </c>
      <c r="H1241" t="e">
        <f>IF(PNL!A1241="","",_CALC_PNL!P1241)</f>
        <v>#VALUE!</v>
      </c>
      <c r="I1241" t="e">
        <f>IF(PNL!A1241="","",IF(_CALC_PNL!E1241=1,H1241-G1241,""))</f>
        <v>#VALUE!</v>
      </c>
    </row>
    <row r="1242" ht="14.25" customHeight="1">
      <c r="A1242" t="s">
        <v>97</v>
      </c>
      <c r="B1242" t="s">
        <v>247</v>
      </c>
      <c r="C1242" t="s">
        <v>233</v>
      </c>
      <c r="D1242" t="s">
        <v>234</v>
      </c>
      <c r="E1242" t="s">
        <v>191</v>
      </c>
      <c r="F1242" t="s">
        <v>192</v>
      </c>
      <c r="G1242">
        <v>17065.020061229</v>
      </c>
      <c r="H1242" t="e">
        <f>IF(PNL!A1242="","",_CALC_PNL!P1242)</f>
        <v>#VALUE!</v>
      </c>
      <c r="I1242" t="e">
        <f>IF(PNL!A1242="","",IF(_CALC_PNL!E1242=1,H1242-G1242,""))</f>
        <v>#VALUE!</v>
      </c>
    </row>
    <row r="1243" ht="14.25" customHeight="1">
      <c r="A1243" t="s">
        <v>75</v>
      </c>
      <c r="B1243" t="s">
        <v>248</v>
      </c>
      <c r="C1243" t="s">
        <v>233</v>
      </c>
      <c r="D1243" t="s">
        <v>231</v>
      </c>
      <c r="E1243" t="s">
        <v>191</v>
      </c>
      <c r="F1243" t="s">
        <v>192</v>
      </c>
      <c r="G1243">
        <v>73754.28</v>
      </c>
      <c r="H1243" t="e">
        <f>IF(PNL!A1243="","",_CALC_PNL!P1243)</f>
        <v>#VALUE!</v>
      </c>
      <c r="I1243" t="e">
        <f>IF(PNL!A1243="","",IF(_CALC_PNL!E1243=1,H1243-G1243,""))</f>
        <v>#VALUE!</v>
      </c>
    </row>
    <row r="1244" ht="14.25" customHeight="1">
      <c r="A1244" t="s">
        <v>75</v>
      </c>
      <c r="B1244" t="s">
        <v>248</v>
      </c>
      <c r="C1244" t="s">
        <v>233</v>
      </c>
      <c r="D1244" t="s">
        <v>9</v>
      </c>
      <c r="E1244" t="s">
        <v>191</v>
      </c>
      <c r="F1244" t="s">
        <v>192</v>
      </c>
      <c r="G1244">
        <v>78534.65</v>
      </c>
      <c r="H1244" t="e">
        <f>IF(PNL!A1244="","",_CALC_PNL!P1244)</f>
        <v>#VALUE!</v>
      </c>
      <c r="I1244" t="e">
        <f>IF(PNL!A1244="","",IF(_CALC_PNL!E1244=1,H1244-G1244,""))</f>
        <v>#VALUE!</v>
      </c>
    </row>
    <row r="1245" ht="14.25" customHeight="1">
      <c r="A1245" t="s">
        <v>75</v>
      </c>
      <c r="B1245" t="s">
        <v>248</v>
      </c>
      <c r="C1245" t="s">
        <v>233</v>
      </c>
      <c r="D1245" t="s">
        <v>234</v>
      </c>
      <c r="E1245" t="s">
        <v>191</v>
      </c>
      <c r="F1245" t="s">
        <v>192</v>
      </c>
      <c r="G1245">
        <v>64876.45</v>
      </c>
      <c r="H1245" t="e">
        <f>IF(PNL!A1245="","",_CALC_PNL!P1245)</f>
        <v>#VALUE!</v>
      </c>
      <c r="I1245" t="e">
        <f>IF(PNL!A1245="","",IF(_CALC_PNL!E1245=1,H1245-G1245,""))</f>
        <v>#VALUE!</v>
      </c>
    </row>
    <row r="1246" ht="14.25" customHeight="1">
      <c r="A1246" t="s">
        <v>77</v>
      </c>
      <c r="B1246" t="s">
        <v>248</v>
      </c>
      <c r="C1246" t="s">
        <v>233</v>
      </c>
      <c r="D1246" t="s">
        <v>231</v>
      </c>
      <c r="E1246" t="s">
        <v>191</v>
      </c>
      <c r="F1246" t="s">
        <v>192</v>
      </c>
      <c r="G1246">
        <v>45125.64</v>
      </c>
      <c r="H1246" t="e">
        <f>IF(PNL!A1246="","",_CALC_PNL!P1246)</f>
        <v>#VALUE!</v>
      </c>
      <c r="I1246" t="e">
        <f>IF(PNL!A1246="","",IF(_CALC_PNL!E1246=1,H1246-G1246,""))</f>
        <v>#VALUE!</v>
      </c>
    </row>
    <row r="1247" ht="14.25" customHeight="1">
      <c r="A1247" t="s">
        <v>77</v>
      </c>
      <c r="B1247" t="s">
        <v>248</v>
      </c>
      <c r="C1247" t="s">
        <v>233</v>
      </c>
      <c r="D1247" t="s">
        <v>9</v>
      </c>
      <c r="E1247" t="s">
        <v>191</v>
      </c>
      <c r="F1247" t="s">
        <v>192</v>
      </c>
      <c r="G1247">
        <v>48050.45</v>
      </c>
      <c r="H1247" t="e">
        <f>IF(PNL!A1247="","",_CALC_PNL!P1247)</f>
        <v>#VALUE!</v>
      </c>
      <c r="I1247" t="e">
        <f>IF(PNL!A1247="","",IF(_CALC_PNL!E1247=1,H1247-G1247,""))</f>
        <v>#VALUE!</v>
      </c>
    </row>
    <row r="1248" ht="14.25" customHeight="1">
      <c r="A1248" t="s">
        <v>77</v>
      </c>
      <c r="B1248" t="s">
        <v>248</v>
      </c>
      <c r="C1248" t="s">
        <v>233</v>
      </c>
      <c r="D1248" t="s">
        <v>234</v>
      </c>
      <c r="E1248" t="s">
        <v>191</v>
      </c>
      <c r="F1248" t="s">
        <v>192</v>
      </c>
      <c r="G1248">
        <v>39693.85</v>
      </c>
      <c r="H1248" t="e">
        <f>IF(PNL!A1248="","",_CALC_PNL!P1248)</f>
        <v>#VALUE!</v>
      </c>
      <c r="I1248" t="e">
        <f>IF(PNL!A1248="","",IF(_CALC_PNL!E1248=1,H1248-G1248,""))</f>
        <v>#VALUE!</v>
      </c>
    </row>
    <row r="1249" ht="14.25" customHeight="1">
      <c r="A1249" t="s">
        <v>79</v>
      </c>
      <c r="B1249" t="s">
        <v>248</v>
      </c>
      <c r="C1249" t="s">
        <v>233</v>
      </c>
      <c r="D1249" t="s">
        <v>231</v>
      </c>
      <c r="E1249" t="s">
        <v>191</v>
      </c>
      <c r="F1249" t="s">
        <v>192</v>
      </c>
      <c r="G1249">
        <v>34055.64</v>
      </c>
      <c r="H1249" t="e">
        <f>IF(PNL!A1249="","",_CALC_PNL!P1249)</f>
        <v>#VALUE!</v>
      </c>
      <c r="I1249" t="e">
        <f>IF(PNL!A1249="","",IF(_CALC_PNL!E1249=1,H1249-G1249,""))</f>
        <v>#VALUE!</v>
      </c>
    </row>
    <row r="1250" ht="14.25" customHeight="1">
      <c r="A1250" t="s">
        <v>79</v>
      </c>
      <c r="B1250" t="s">
        <v>248</v>
      </c>
      <c r="C1250" t="s">
        <v>233</v>
      </c>
      <c r="D1250" t="s">
        <v>9</v>
      </c>
      <c r="E1250" t="s">
        <v>191</v>
      </c>
      <c r="F1250" t="s">
        <v>192</v>
      </c>
      <c r="G1250">
        <v>36262.95</v>
      </c>
      <c r="H1250" t="e">
        <f>IF(PNL!A1250="","",_CALC_PNL!P1250)</f>
        <v>#VALUE!</v>
      </c>
      <c r="I1250" t="e">
        <f>IF(PNL!A1250="","",IF(_CALC_PNL!E1250=1,H1250-G1250,""))</f>
        <v>#VALUE!</v>
      </c>
    </row>
    <row r="1251" ht="14.25" customHeight="1">
      <c r="A1251" t="s">
        <v>79</v>
      </c>
      <c r="B1251" t="s">
        <v>248</v>
      </c>
      <c r="C1251" t="s">
        <v>233</v>
      </c>
      <c r="D1251" t="s">
        <v>234</v>
      </c>
      <c r="E1251" t="s">
        <v>191</v>
      </c>
      <c r="F1251" t="s">
        <v>192</v>
      </c>
      <c r="G1251">
        <v>29956.35</v>
      </c>
      <c r="H1251" t="e">
        <f>IF(PNL!A1251="","",_CALC_PNL!P1251)</f>
        <v>#VALUE!</v>
      </c>
      <c r="I1251" t="e">
        <f>IF(PNL!A1251="","",IF(_CALC_PNL!E1251=1,H1251-G1251,""))</f>
        <v>#VALUE!</v>
      </c>
    </row>
    <row r="1252" ht="14.25" customHeight="1">
      <c r="A1252" t="s">
        <v>81</v>
      </c>
      <c r="B1252" t="s">
        <v>248</v>
      </c>
      <c r="C1252" t="s">
        <v>233</v>
      </c>
      <c r="D1252" t="s">
        <v>231</v>
      </c>
      <c r="E1252" t="s">
        <v>191</v>
      </c>
      <c r="F1252" t="s">
        <v>192</v>
      </c>
      <c r="G1252">
        <v>26916.84</v>
      </c>
      <c r="H1252" t="e">
        <f>IF(PNL!A1252="","",_CALC_PNL!P1252)</f>
        <v>#VALUE!</v>
      </c>
      <c r="I1252" t="e">
        <f>IF(PNL!A1252="","",IF(_CALC_PNL!E1252=1,H1252-G1252,""))</f>
        <v>#VALUE!</v>
      </c>
    </row>
    <row r="1253" ht="14.25" customHeight="1">
      <c r="A1253" t="s">
        <v>81</v>
      </c>
      <c r="B1253" t="s">
        <v>248</v>
      </c>
      <c r="C1253" t="s">
        <v>233</v>
      </c>
      <c r="D1253" t="s">
        <v>9</v>
      </c>
      <c r="E1253" t="s">
        <v>191</v>
      </c>
      <c r="F1253" t="s">
        <v>192</v>
      </c>
      <c r="G1253">
        <v>28661.45</v>
      </c>
      <c r="H1253" t="e">
        <f>IF(PNL!A1253="","",_CALC_PNL!P1253)</f>
        <v>#VALUE!</v>
      </c>
      <c r="I1253" t="e">
        <f>IF(PNL!A1253="","",IF(_CALC_PNL!E1253=1,H1253-G1253,""))</f>
        <v>#VALUE!</v>
      </c>
    </row>
    <row r="1254" ht="14.25" customHeight="1">
      <c r="A1254" t="s">
        <v>81</v>
      </c>
      <c r="B1254" t="s">
        <v>248</v>
      </c>
      <c r="C1254" t="s">
        <v>233</v>
      </c>
      <c r="D1254" t="s">
        <v>234</v>
      </c>
      <c r="E1254" t="s">
        <v>191</v>
      </c>
      <c r="F1254" t="s">
        <v>192</v>
      </c>
      <c r="G1254">
        <v>23676.85</v>
      </c>
      <c r="H1254" t="e">
        <f>IF(PNL!A1254="","",_CALC_PNL!P1254)</f>
        <v>#VALUE!</v>
      </c>
      <c r="I1254" t="e">
        <f>IF(PNL!A1254="","",IF(_CALC_PNL!E1254=1,H1254-G1254,""))</f>
        <v>#VALUE!</v>
      </c>
    </row>
    <row r="1255" ht="14.25" customHeight="1">
      <c r="A1255" t="s">
        <v>83</v>
      </c>
      <c r="B1255" t="s">
        <v>248</v>
      </c>
      <c r="C1255" t="s">
        <v>233</v>
      </c>
      <c r="D1255" t="s">
        <v>231</v>
      </c>
      <c r="E1255" t="s">
        <v>191</v>
      </c>
      <c r="F1255" t="s">
        <v>192</v>
      </c>
      <c r="G1255">
        <v>65664</v>
      </c>
      <c r="H1255" t="e">
        <f>IF(PNL!A1255="","",_CALC_PNL!P1255)</f>
        <v>#VALUE!</v>
      </c>
      <c r="I1255" t="e">
        <f>IF(PNL!A1255="","",IF(_CALC_PNL!E1255=1,H1255-G1255,""))</f>
        <v>#VALUE!</v>
      </c>
    </row>
    <row r="1256" ht="14.25" customHeight="1">
      <c r="A1256" t="s">
        <v>83</v>
      </c>
      <c r="B1256" t="s">
        <v>248</v>
      </c>
      <c r="C1256" t="s">
        <v>233</v>
      </c>
      <c r="D1256" t="s">
        <v>9</v>
      </c>
      <c r="E1256" t="s">
        <v>191</v>
      </c>
      <c r="F1256" t="s">
        <v>192</v>
      </c>
      <c r="G1256">
        <v>69920</v>
      </c>
      <c r="H1256" t="e">
        <f>IF(PNL!A1256="","",_CALC_PNL!P1256)</f>
        <v>#VALUE!</v>
      </c>
      <c r="I1256" t="e">
        <f>IF(PNL!A1256="","",IF(_CALC_PNL!E1256=1,H1256-G1256,""))</f>
        <v>#VALUE!</v>
      </c>
    </row>
    <row r="1257" ht="14.25" customHeight="1">
      <c r="A1257" t="s">
        <v>83</v>
      </c>
      <c r="B1257" t="s">
        <v>248</v>
      </c>
      <c r="C1257" t="s">
        <v>233</v>
      </c>
      <c r="D1257" t="s">
        <v>234</v>
      </c>
      <c r="E1257" t="s">
        <v>191</v>
      </c>
      <c r="F1257" t="s">
        <v>192</v>
      </c>
      <c r="G1257">
        <v>57760</v>
      </c>
      <c r="H1257" t="e">
        <f>IF(PNL!A1257="","",_CALC_PNL!P1257)</f>
        <v>#VALUE!</v>
      </c>
      <c r="I1257" t="e">
        <f>IF(PNL!A1257="","",IF(_CALC_PNL!E1257=1,H1257-G1257,""))</f>
        <v>#VALUE!</v>
      </c>
    </row>
    <row r="1258" ht="14.25" customHeight="1">
      <c r="A1258" t="s">
        <v>84</v>
      </c>
      <c r="B1258" t="s">
        <v>248</v>
      </c>
      <c r="C1258" t="s">
        <v>233</v>
      </c>
      <c r="D1258" t="s">
        <v>231</v>
      </c>
      <c r="E1258" t="s">
        <v>191</v>
      </c>
      <c r="F1258" t="s">
        <v>192</v>
      </c>
      <c r="G1258">
        <v>27237.6</v>
      </c>
      <c r="H1258" t="e">
        <f>IF(PNL!A1258="","",_CALC_PNL!P1258)</f>
        <v>#VALUE!</v>
      </c>
      <c r="I1258" t="e">
        <f>IF(PNL!A1258="","",IF(_CALC_PNL!E1258=1,H1258-G1258,""))</f>
        <v>#VALUE!</v>
      </c>
    </row>
    <row r="1259" ht="14.25" customHeight="1">
      <c r="A1259" t="s">
        <v>84</v>
      </c>
      <c r="B1259" t="s">
        <v>248</v>
      </c>
      <c r="C1259" t="s">
        <v>233</v>
      </c>
      <c r="D1259" t="s">
        <v>9</v>
      </c>
      <c r="E1259" t="s">
        <v>191</v>
      </c>
      <c r="F1259" t="s">
        <v>192</v>
      </c>
      <c r="G1259">
        <v>29003</v>
      </c>
      <c r="H1259" t="e">
        <f>IF(PNL!A1259="","",_CALC_PNL!P1259)</f>
        <v>#VALUE!</v>
      </c>
      <c r="I1259" t="e">
        <f>IF(PNL!A1259="","",IF(_CALC_PNL!E1259=1,H1259-G1259,""))</f>
        <v>#VALUE!</v>
      </c>
    </row>
    <row r="1260" ht="14.25" customHeight="1">
      <c r="A1260" t="s">
        <v>84</v>
      </c>
      <c r="B1260" t="s">
        <v>248</v>
      </c>
      <c r="C1260" t="s">
        <v>233</v>
      </c>
      <c r="D1260" t="s">
        <v>234</v>
      </c>
      <c r="E1260" t="s">
        <v>191</v>
      </c>
      <c r="F1260" t="s">
        <v>192</v>
      </c>
      <c r="G1260">
        <v>23959</v>
      </c>
      <c r="H1260" t="e">
        <f>IF(PNL!A1260="","",_CALC_PNL!P1260)</f>
        <v>#VALUE!</v>
      </c>
      <c r="I1260" t="e">
        <f>IF(PNL!A1260="","",IF(_CALC_PNL!E1260=1,H1260-G1260,""))</f>
        <v>#VALUE!</v>
      </c>
    </row>
    <row r="1261" ht="14.25" customHeight="1">
      <c r="A1261" t="s">
        <v>86</v>
      </c>
      <c r="B1261" t="s">
        <v>248</v>
      </c>
      <c r="C1261" t="s">
        <v>233</v>
      </c>
      <c r="D1261" t="s">
        <v>231</v>
      </c>
      <c r="E1261" t="s">
        <v>191</v>
      </c>
      <c r="F1261" t="s">
        <v>192</v>
      </c>
      <c r="G1261">
        <v>23849.64</v>
      </c>
      <c r="H1261" t="e">
        <f>IF(PNL!A1261="","",_CALC_PNL!P1261)</f>
        <v>#VALUE!</v>
      </c>
      <c r="I1261" t="e">
        <f>IF(PNL!A1261="","",IF(_CALC_PNL!E1261=1,H1261-G1261,""))</f>
        <v>#VALUE!</v>
      </c>
    </row>
    <row r="1262" ht="14.25" customHeight="1">
      <c r="A1262" t="s">
        <v>86</v>
      </c>
      <c r="B1262" t="s">
        <v>248</v>
      </c>
      <c r="C1262" t="s">
        <v>233</v>
      </c>
      <c r="D1262" t="s">
        <v>9</v>
      </c>
      <c r="E1262" t="s">
        <v>191</v>
      </c>
      <c r="F1262" t="s">
        <v>192</v>
      </c>
      <c r="G1262">
        <v>25395.45</v>
      </c>
      <c r="H1262" t="e">
        <f>IF(PNL!A1262="","",_CALC_PNL!P1262)</f>
        <v>#VALUE!</v>
      </c>
      <c r="I1262" t="e">
        <f>IF(PNL!A1262="","",IF(_CALC_PNL!E1262=1,H1262-G1262,""))</f>
        <v>#VALUE!</v>
      </c>
    </row>
    <row r="1263" ht="14.25" customHeight="1">
      <c r="A1263" t="s">
        <v>86</v>
      </c>
      <c r="B1263" t="s">
        <v>248</v>
      </c>
      <c r="C1263" t="s">
        <v>233</v>
      </c>
      <c r="D1263" t="s">
        <v>234</v>
      </c>
      <c r="E1263" t="s">
        <v>191</v>
      </c>
      <c r="F1263" t="s">
        <v>192</v>
      </c>
      <c r="G1263">
        <v>20978.85</v>
      </c>
      <c r="H1263" t="e">
        <f>IF(PNL!A1263="","",_CALC_PNL!P1263)</f>
        <v>#VALUE!</v>
      </c>
      <c r="I1263" t="e">
        <f>IF(PNL!A1263="","",IF(_CALC_PNL!E1263=1,H1263-G1263,""))</f>
        <v>#VALUE!</v>
      </c>
    </row>
    <row r="1264" ht="14.25" customHeight="1">
      <c r="A1264" t="s">
        <v>88</v>
      </c>
      <c r="B1264" t="s">
        <v>248</v>
      </c>
      <c r="C1264" t="s">
        <v>233</v>
      </c>
      <c r="D1264" t="s">
        <v>231</v>
      </c>
      <c r="E1264" t="s">
        <v>191</v>
      </c>
      <c r="F1264" t="s">
        <v>192</v>
      </c>
      <c r="G1264">
        <v>23500.8</v>
      </c>
      <c r="H1264" t="e">
        <f>IF(PNL!A1264="","",_CALC_PNL!P1264)</f>
        <v>#VALUE!</v>
      </c>
      <c r="I1264" t="e">
        <f>IF(PNL!A1264="","",IF(_CALC_PNL!E1264=1,H1264-G1264,""))</f>
        <v>#VALUE!</v>
      </c>
    </row>
    <row r="1265" ht="14.25" customHeight="1">
      <c r="A1265" t="s">
        <v>88</v>
      </c>
      <c r="B1265" t="s">
        <v>248</v>
      </c>
      <c r="C1265" t="s">
        <v>233</v>
      </c>
      <c r="D1265" t="s">
        <v>9</v>
      </c>
      <c r="E1265" t="s">
        <v>191</v>
      </c>
      <c r="F1265" t="s">
        <v>192</v>
      </c>
      <c r="G1265">
        <v>25024</v>
      </c>
      <c r="H1265" t="e">
        <f>IF(PNL!A1265="","",_CALC_PNL!P1265)</f>
        <v>#VALUE!</v>
      </c>
      <c r="I1265" t="e">
        <f>IF(PNL!A1265="","",IF(_CALC_PNL!E1265=1,H1265-G1265,""))</f>
        <v>#VALUE!</v>
      </c>
    </row>
    <row r="1266" ht="14.25" customHeight="1">
      <c r="A1266" t="s">
        <v>88</v>
      </c>
      <c r="B1266" t="s">
        <v>248</v>
      </c>
      <c r="C1266" t="s">
        <v>233</v>
      </c>
      <c r="D1266" t="s">
        <v>234</v>
      </c>
      <c r="E1266" t="s">
        <v>191</v>
      </c>
      <c r="F1266" t="s">
        <v>192</v>
      </c>
      <c r="G1266">
        <v>20672</v>
      </c>
      <c r="H1266" t="e">
        <f>IF(PNL!A1266="","",_CALC_PNL!P1266)</f>
        <v>#VALUE!</v>
      </c>
      <c r="I1266" t="e">
        <f>IF(PNL!A1266="","",IF(_CALC_PNL!E1266=1,H1266-G1266,""))</f>
        <v>#VALUE!</v>
      </c>
    </row>
    <row r="1267" ht="14.25" customHeight="1">
      <c r="A1267" t="s">
        <v>90</v>
      </c>
      <c r="B1267" t="s">
        <v>248</v>
      </c>
      <c r="C1267" t="s">
        <v>233</v>
      </c>
      <c r="D1267" t="s">
        <v>231</v>
      </c>
      <c r="E1267" t="s">
        <v>191</v>
      </c>
      <c r="F1267" t="s">
        <v>192</v>
      </c>
      <c r="G1267">
        <v>16127.64</v>
      </c>
      <c r="H1267" t="e">
        <f>IF(PNL!A1267="","",_CALC_PNL!P1267)</f>
        <v>#VALUE!</v>
      </c>
      <c r="I1267" t="e">
        <f>IF(PNL!A1267="","",IF(_CALC_PNL!E1267=1,H1267-G1267,""))</f>
        <v>#VALUE!</v>
      </c>
    </row>
    <row r="1268" ht="14.25" customHeight="1">
      <c r="A1268" t="s">
        <v>90</v>
      </c>
      <c r="B1268" t="s">
        <v>248</v>
      </c>
      <c r="C1268" t="s">
        <v>233</v>
      </c>
      <c r="D1268" t="s">
        <v>9</v>
      </c>
      <c r="E1268" t="s">
        <v>191</v>
      </c>
      <c r="F1268" t="s">
        <v>192</v>
      </c>
      <c r="G1268">
        <v>17172.95</v>
      </c>
      <c r="H1268" t="e">
        <f>IF(PNL!A1268="","",_CALC_PNL!P1268)</f>
        <v>#VALUE!</v>
      </c>
      <c r="I1268" t="e">
        <f>IF(PNL!A1268="","",IF(_CALC_PNL!E1268=1,H1268-G1268,""))</f>
        <v>#VALUE!</v>
      </c>
    </row>
    <row r="1269" ht="14.25" customHeight="1">
      <c r="A1269" t="s">
        <v>90</v>
      </c>
      <c r="B1269" t="s">
        <v>248</v>
      </c>
      <c r="C1269" t="s">
        <v>233</v>
      </c>
      <c r="D1269" t="s">
        <v>234</v>
      </c>
      <c r="E1269" t="s">
        <v>191</v>
      </c>
      <c r="F1269" t="s">
        <v>192</v>
      </c>
      <c r="G1269">
        <v>14186.35</v>
      </c>
      <c r="H1269" t="e">
        <f>IF(PNL!A1269="","",_CALC_PNL!P1269)</f>
        <v>#VALUE!</v>
      </c>
      <c r="I1269" t="e">
        <f>IF(PNL!A1269="","",IF(_CALC_PNL!E1269=1,H1269-G1269,""))</f>
        <v>#VALUE!</v>
      </c>
    </row>
    <row r="1270" ht="14.25" customHeight="1">
      <c r="A1270" t="s">
        <v>92</v>
      </c>
      <c r="B1270" t="s">
        <v>248</v>
      </c>
      <c r="C1270" t="s">
        <v>233</v>
      </c>
      <c r="D1270" t="s">
        <v>231</v>
      </c>
      <c r="E1270" t="s">
        <v>191</v>
      </c>
      <c r="F1270" t="s">
        <v>192</v>
      </c>
      <c r="G1270">
        <v>16392.24</v>
      </c>
      <c r="H1270" t="e">
        <f>IF(PNL!A1270="","",_CALC_PNL!P1270)</f>
        <v>#VALUE!</v>
      </c>
      <c r="I1270" t="e">
        <f>IF(PNL!A1270="","",IF(_CALC_PNL!E1270=1,H1270-G1270,""))</f>
        <v>#VALUE!</v>
      </c>
    </row>
    <row r="1271" ht="14.25" customHeight="1">
      <c r="A1271" t="s">
        <v>92</v>
      </c>
      <c r="B1271" t="s">
        <v>248</v>
      </c>
      <c r="C1271" t="s">
        <v>233</v>
      </c>
      <c r="D1271" t="s">
        <v>9</v>
      </c>
      <c r="E1271" t="s">
        <v>191</v>
      </c>
      <c r="F1271" t="s">
        <v>192</v>
      </c>
      <c r="G1271">
        <v>17454.7</v>
      </c>
      <c r="H1271" t="e">
        <f>IF(PNL!A1271="","",_CALC_PNL!P1271)</f>
        <v>#VALUE!</v>
      </c>
      <c r="I1271" t="e">
        <f>IF(PNL!A1271="","",IF(_CALC_PNL!E1271=1,H1271-G1271,""))</f>
        <v>#VALUE!</v>
      </c>
    </row>
    <row r="1272" ht="14.25" customHeight="1">
      <c r="A1272" t="s">
        <v>92</v>
      </c>
      <c r="B1272" t="s">
        <v>248</v>
      </c>
      <c r="C1272" t="s">
        <v>233</v>
      </c>
      <c r="D1272" t="s">
        <v>234</v>
      </c>
      <c r="E1272" t="s">
        <v>191</v>
      </c>
      <c r="F1272" t="s">
        <v>192</v>
      </c>
      <c r="G1272">
        <v>14419.1</v>
      </c>
      <c r="H1272" t="e">
        <f>IF(PNL!A1272="","",_CALC_PNL!P1272)</f>
        <v>#VALUE!</v>
      </c>
      <c r="I1272" t="e">
        <f>IF(PNL!A1272="","",IF(_CALC_PNL!E1272=1,H1272-G1272,""))</f>
        <v>#VALUE!</v>
      </c>
    </row>
    <row r="1273" ht="14.25" customHeight="1">
      <c r="A1273" t="s">
        <v>94</v>
      </c>
      <c r="B1273" t="s">
        <v>248</v>
      </c>
      <c r="C1273" t="s">
        <v>233</v>
      </c>
      <c r="D1273" t="s">
        <v>231</v>
      </c>
      <c r="E1273" t="s">
        <v>191</v>
      </c>
      <c r="F1273" t="s">
        <v>192</v>
      </c>
      <c r="G1273">
        <v>39540.96</v>
      </c>
      <c r="H1273" t="e">
        <f>IF(PNL!A1273="","",_CALC_PNL!P1273)</f>
        <v>#VALUE!</v>
      </c>
      <c r="I1273" t="e">
        <f>IF(PNL!A1273="","",IF(_CALC_PNL!E1273=1,H1273-G1273,""))</f>
        <v>#VALUE!</v>
      </c>
    </row>
    <row r="1274" ht="14.25" customHeight="1">
      <c r="A1274" t="s">
        <v>94</v>
      </c>
      <c r="B1274" t="s">
        <v>248</v>
      </c>
      <c r="C1274" t="s">
        <v>233</v>
      </c>
      <c r="D1274" t="s">
        <v>9</v>
      </c>
      <c r="E1274" t="s">
        <v>191</v>
      </c>
      <c r="F1274" t="s">
        <v>192</v>
      </c>
      <c r="G1274">
        <v>42103.8</v>
      </c>
      <c r="H1274" t="e">
        <f>IF(PNL!A1274="","",_CALC_PNL!P1274)</f>
        <v>#VALUE!</v>
      </c>
      <c r="I1274" t="e">
        <f>IF(PNL!A1274="","",IF(_CALC_PNL!E1274=1,H1274-G1274,""))</f>
        <v>#VALUE!</v>
      </c>
    </row>
    <row r="1275" ht="14.25" customHeight="1">
      <c r="A1275" t="s">
        <v>94</v>
      </c>
      <c r="B1275" t="s">
        <v>248</v>
      </c>
      <c r="C1275" t="s">
        <v>233</v>
      </c>
      <c r="D1275" t="s">
        <v>234</v>
      </c>
      <c r="E1275" t="s">
        <v>191</v>
      </c>
      <c r="F1275" t="s">
        <v>192</v>
      </c>
      <c r="G1275">
        <v>34781.4</v>
      </c>
      <c r="H1275" t="e">
        <f>IF(PNL!A1275="","",_CALC_PNL!P1275)</f>
        <v>#VALUE!</v>
      </c>
      <c r="I1275" t="e">
        <f>IF(PNL!A1275="","",IF(_CALC_PNL!E1275=1,H1275-G1275,""))</f>
        <v>#VALUE!</v>
      </c>
    </row>
    <row r="1276" ht="14.25" customHeight="1">
      <c r="A1276" t="s">
        <v>95</v>
      </c>
      <c r="B1276" t="s">
        <v>248</v>
      </c>
      <c r="C1276" t="s">
        <v>233</v>
      </c>
      <c r="D1276" t="s">
        <v>231</v>
      </c>
      <c r="E1276" t="s">
        <v>191</v>
      </c>
      <c r="F1276" t="s">
        <v>192</v>
      </c>
      <c r="G1276">
        <v>23725.44</v>
      </c>
      <c r="H1276" t="e">
        <f>IF(PNL!A1276="","",_CALC_PNL!P1276)</f>
        <v>#VALUE!</v>
      </c>
      <c r="I1276" t="e">
        <f>IF(PNL!A1276="","",IF(_CALC_PNL!E1276=1,H1276-G1276,""))</f>
        <v>#VALUE!</v>
      </c>
    </row>
    <row r="1277" ht="14.25" customHeight="1">
      <c r="A1277" t="s">
        <v>95</v>
      </c>
      <c r="B1277" t="s">
        <v>248</v>
      </c>
      <c r="C1277" t="s">
        <v>233</v>
      </c>
      <c r="D1277" t="s">
        <v>9</v>
      </c>
      <c r="E1277" t="s">
        <v>191</v>
      </c>
      <c r="F1277" t="s">
        <v>192</v>
      </c>
      <c r="G1277">
        <v>25263.2</v>
      </c>
      <c r="H1277" t="e">
        <f>IF(PNL!A1277="","",_CALC_PNL!P1277)</f>
        <v>#VALUE!</v>
      </c>
      <c r="I1277" t="e">
        <f>IF(PNL!A1277="","",IF(_CALC_PNL!E1277=1,H1277-G1277,""))</f>
        <v>#VALUE!</v>
      </c>
    </row>
    <row r="1278" ht="14.25" customHeight="1">
      <c r="A1278" t="s">
        <v>95</v>
      </c>
      <c r="B1278" t="s">
        <v>248</v>
      </c>
      <c r="C1278" t="s">
        <v>233</v>
      </c>
      <c r="D1278" t="s">
        <v>234</v>
      </c>
      <c r="E1278" t="s">
        <v>191</v>
      </c>
      <c r="F1278" t="s">
        <v>192</v>
      </c>
      <c r="G1278">
        <v>20869.6</v>
      </c>
      <c r="H1278" t="e">
        <f>IF(PNL!A1278="","",_CALC_PNL!P1278)</f>
        <v>#VALUE!</v>
      </c>
      <c r="I1278" t="e">
        <f>IF(PNL!A1278="","",IF(_CALC_PNL!E1278=1,H1278-G1278,""))</f>
        <v>#VALUE!</v>
      </c>
    </row>
    <row r="1279" ht="14.25" customHeight="1">
      <c r="A1279" t="s">
        <v>96</v>
      </c>
      <c r="B1279" t="s">
        <v>248</v>
      </c>
      <c r="C1279" t="s">
        <v>233</v>
      </c>
      <c r="D1279" t="s">
        <v>231</v>
      </c>
      <c r="E1279" t="s">
        <v>191</v>
      </c>
      <c r="F1279" t="s">
        <v>192</v>
      </c>
      <c r="G1279">
        <v>32659.2</v>
      </c>
      <c r="H1279" t="e">
        <f>IF(PNL!A1279="","",_CALC_PNL!P1279)</f>
        <v>#VALUE!</v>
      </c>
      <c r="I1279" t="e">
        <f>IF(PNL!A1279="","",IF(_CALC_PNL!E1279=1,H1279-G1279,""))</f>
        <v>#VALUE!</v>
      </c>
    </row>
    <row r="1280" ht="14.25" customHeight="1">
      <c r="A1280" t="s">
        <v>96</v>
      </c>
      <c r="B1280" t="s">
        <v>248</v>
      </c>
      <c r="C1280" t="s">
        <v>233</v>
      </c>
      <c r="D1280" t="s">
        <v>9</v>
      </c>
      <c r="E1280" t="s">
        <v>191</v>
      </c>
      <c r="F1280" t="s">
        <v>192</v>
      </c>
      <c r="G1280">
        <v>34776</v>
      </c>
      <c r="H1280" t="e">
        <f>IF(PNL!A1280="","",_CALC_PNL!P1280)</f>
        <v>#VALUE!</v>
      </c>
      <c r="I1280" t="e">
        <f>IF(PNL!A1280="","",IF(_CALC_PNL!E1280=1,H1280-G1280,""))</f>
        <v>#VALUE!</v>
      </c>
    </row>
    <row r="1281" ht="14.25" customHeight="1">
      <c r="A1281" t="s">
        <v>96</v>
      </c>
      <c r="B1281" t="s">
        <v>248</v>
      </c>
      <c r="C1281" t="s">
        <v>233</v>
      </c>
      <c r="D1281" t="s">
        <v>234</v>
      </c>
      <c r="E1281" t="s">
        <v>191</v>
      </c>
      <c r="F1281" t="s">
        <v>192</v>
      </c>
      <c r="G1281">
        <v>28728</v>
      </c>
      <c r="H1281" t="e">
        <f>IF(PNL!A1281="","",_CALC_PNL!P1281)</f>
        <v>#VALUE!</v>
      </c>
      <c r="I1281" t="e">
        <f>IF(PNL!A1281="","",IF(_CALC_PNL!E1281=1,H1281-G1281,""))</f>
        <v>#VALUE!</v>
      </c>
    </row>
    <row r="1282" ht="14.25" customHeight="1">
      <c r="A1282" t="s">
        <v>97</v>
      </c>
      <c r="B1282" t="s">
        <v>248</v>
      </c>
      <c r="C1282" t="s">
        <v>233</v>
      </c>
      <c r="D1282" t="s">
        <v>231</v>
      </c>
      <c r="E1282" t="s">
        <v>191</v>
      </c>
      <c r="F1282" t="s">
        <v>192</v>
      </c>
      <c r="G1282">
        <v>20358</v>
      </c>
      <c r="H1282" t="e">
        <f>IF(PNL!A1282="","",_CALC_PNL!P1282)</f>
        <v>#VALUE!</v>
      </c>
      <c r="I1282" t="e">
        <f>IF(PNL!A1282="","",IF(_CALC_PNL!E1282=1,H1282-G1282,""))</f>
        <v>#VALUE!</v>
      </c>
    </row>
    <row r="1283" ht="14.25" customHeight="1">
      <c r="A1283" t="s">
        <v>97</v>
      </c>
      <c r="B1283" t="s">
        <v>248</v>
      </c>
      <c r="C1283" t="s">
        <v>233</v>
      </c>
      <c r="D1283" t="s">
        <v>9</v>
      </c>
      <c r="E1283" t="s">
        <v>191</v>
      </c>
      <c r="F1283" t="s">
        <v>192</v>
      </c>
      <c r="G1283">
        <v>21677.5</v>
      </c>
      <c r="H1283" t="e">
        <f>IF(PNL!A1283="","",_CALC_PNL!P1283)</f>
        <v>#VALUE!</v>
      </c>
      <c r="I1283" t="e">
        <f>IF(PNL!A1283="","",IF(_CALC_PNL!E1283=1,H1283-G1283,""))</f>
        <v>#VALUE!</v>
      </c>
    </row>
    <row r="1284" ht="14.25" customHeight="1">
      <c r="A1284" t="s">
        <v>97</v>
      </c>
      <c r="B1284" t="s">
        <v>248</v>
      </c>
      <c r="C1284" t="s">
        <v>233</v>
      </c>
      <c r="D1284" t="s">
        <v>234</v>
      </c>
      <c r="E1284" t="s">
        <v>191</v>
      </c>
      <c r="F1284" t="s">
        <v>192</v>
      </c>
      <c r="G1284">
        <v>17907.5</v>
      </c>
      <c r="H1284" t="e">
        <f>IF(PNL!A1284="","",_CALC_PNL!P1284)</f>
        <v>#VALUE!</v>
      </c>
      <c r="I1284" t="e">
        <f>IF(PNL!A1284="","",IF(_CALC_PNL!E1284=1,H1284-G1284,""))</f>
        <v>#VALUE!</v>
      </c>
    </row>
    <row r="1285" ht="14.25" customHeight="1">
      <c r="A1285" t="s">
        <v>75</v>
      </c>
      <c r="B1285" t="s">
        <v>249</v>
      </c>
      <c r="C1285" t="s">
        <v>233</v>
      </c>
      <c r="D1285" t="s">
        <v>231</v>
      </c>
      <c r="E1285" t="s">
        <v>191</v>
      </c>
      <c r="F1285" t="s">
        <v>192</v>
      </c>
      <c r="G1285">
        <v>645145.332</v>
      </c>
      <c r="H1285" t="e">
        <f>IF(PNL!A1285="","",_CALC_PNL!P1285)</f>
        <v>#VALUE!</v>
      </c>
      <c r="I1285" t="e">
        <f>IF(PNL!A1285="","",IF(_CALC_PNL!E1285=1,H1285-G1285,""))</f>
        <v>#VALUE!</v>
      </c>
    </row>
    <row r="1286" ht="14.25" customHeight="1">
      <c r="A1286" t="s">
        <v>75</v>
      </c>
      <c r="B1286" t="s">
        <v>249</v>
      </c>
      <c r="C1286" t="s">
        <v>233</v>
      </c>
      <c r="D1286" t="s">
        <v>9</v>
      </c>
      <c r="E1286" t="s">
        <v>191</v>
      </c>
      <c r="F1286" t="s">
        <v>192</v>
      </c>
      <c r="G1286">
        <v>635825.2212</v>
      </c>
      <c r="H1286" t="e">
        <f>IF(PNL!A1286="","",_CALC_PNL!P1286)</f>
        <v>#VALUE!</v>
      </c>
      <c r="I1286" t="e">
        <f>IF(PNL!A1286="","",IF(_CALC_PNL!E1286=1,H1286-G1286,""))</f>
        <v>#VALUE!</v>
      </c>
    </row>
    <row r="1287" ht="14.25" customHeight="1">
      <c r="A1287" t="s">
        <v>75</v>
      </c>
      <c r="B1287" t="s">
        <v>249</v>
      </c>
      <c r="C1287" t="s">
        <v>233</v>
      </c>
      <c r="D1287" t="s">
        <v>234</v>
      </c>
      <c r="E1287" t="s">
        <v>191</v>
      </c>
      <c r="F1287" t="s">
        <v>192</v>
      </c>
      <c r="G1287">
        <v>654525.963</v>
      </c>
      <c r="H1287" t="e">
        <f>IF(PNL!A1287="","",_CALC_PNL!P1287)</f>
        <v>#VALUE!</v>
      </c>
      <c r="I1287" t="e">
        <f>IF(PNL!A1287="","",IF(_CALC_PNL!E1287=1,H1287-G1287,""))</f>
        <v>#VALUE!</v>
      </c>
    </row>
    <row r="1288" ht="14.25" customHeight="1">
      <c r="A1288" t="s">
        <v>77</v>
      </c>
      <c r="B1288" t="s">
        <v>249</v>
      </c>
      <c r="C1288" t="s">
        <v>233</v>
      </c>
      <c r="D1288" t="s">
        <v>231</v>
      </c>
      <c r="E1288" t="s">
        <v>191</v>
      </c>
      <c r="F1288" t="s">
        <v>192</v>
      </c>
      <c r="G1288">
        <v>386556.118</v>
      </c>
      <c r="H1288" t="e">
        <f>IF(PNL!A1288="","",_CALC_PNL!P1288)</f>
        <v>#VALUE!</v>
      </c>
      <c r="I1288" t="e">
        <f>IF(PNL!A1288="","",IF(_CALC_PNL!E1288=1,H1288-G1288,""))</f>
        <v>#VALUE!</v>
      </c>
    </row>
    <row r="1289" ht="14.25" customHeight="1">
      <c r="A1289" t="s">
        <v>77</v>
      </c>
      <c r="B1289" t="s">
        <v>249</v>
      </c>
      <c r="C1289" t="s">
        <v>233</v>
      </c>
      <c r="D1289" t="s">
        <v>9</v>
      </c>
      <c r="E1289" t="s">
        <v>191</v>
      </c>
      <c r="F1289" t="s">
        <v>192</v>
      </c>
      <c r="G1289">
        <v>380971.7238</v>
      </c>
      <c r="H1289" t="e">
        <f>IF(PNL!A1289="","",_CALC_PNL!P1289)</f>
        <v>#VALUE!</v>
      </c>
      <c r="I1289" t="e">
        <f>IF(PNL!A1289="","",IF(_CALC_PNL!E1289=1,H1289-G1289,""))</f>
        <v>#VALUE!</v>
      </c>
    </row>
    <row r="1290" ht="14.25" customHeight="1">
      <c r="A1290" t="s">
        <v>77</v>
      </c>
      <c r="B1290" t="s">
        <v>249</v>
      </c>
      <c r="C1290" t="s">
        <v>233</v>
      </c>
      <c r="D1290" t="s">
        <v>234</v>
      </c>
      <c r="E1290" t="s">
        <v>191</v>
      </c>
      <c r="F1290" t="s">
        <v>192</v>
      </c>
      <c r="G1290">
        <v>392176.7745</v>
      </c>
      <c r="H1290" t="e">
        <f>IF(PNL!A1290="","",_CALC_PNL!P1290)</f>
        <v>#VALUE!</v>
      </c>
      <c r="I1290" t="e">
        <f>IF(PNL!A1290="","",IF(_CALC_PNL!E1290=1,H1290-G1290,""))</f>
        <v>#VALUE!</v>
      </c>
    </row>
    <row r="1291" ht="14.25" customHeight="1">
      <c r="A1291" t="s">
        <v>79</v>
      </c>
      <c r="B1291" t="s">
        <v>249</v>
      </c>
      <c r="C1291" t="s">
        <v>233</v>
      </c>
      <c r="D1291" t="s">
        <v>231</v>
      </c>
      <c r="E1291" t="s">
        <v>191</v>
      </c>
      <c r="F1291" t="s">
        <v>192</v>
      </c>
      <c r="G1291">
        <v>318590.09</v>
      </c>
      <c r="H1291" t="e">
        <f>IF(PNL!A1291="","",_CALC_PNL!P1291)</f>
        <v>#VALUE!</v>
      </c>
      <c r="I1291" t="e">
        <f>IF(PNL!A1291="","",IF(_CALC_PNL!E1291=1,H1291-G1291,""))</f>
        <v>#VALUE!</v>
      </c>
    </row>
    <row r="1292" ht="14.25" customHeight="1">
      <c r="A1292" t="s">
        <v>79</v>
      </c>
      <c r="B1292" t="s">
        <v>249</v>
      </c>
      <c r="C1292" t="s">
        <v>233</v>
      </c>
      <c r="D1292" t="s">
        <v>9</v>
      </c>
      <c r="E1292" t="s">
        <v>191</v>
      </c>
      <c r="F1292" t="s">
        <v>192</v>
      </c>
      <c r="G1292">
        <v>313987.569</v>
      </c>
      <c r="H1292" t="e">
        <f>IF(PNL!A1292="","",_CALC_PNL!P1292)</f>
        <v>#VALUE!</v>
      </c>
      <c r="I1292" t="e">
        <f>IF(PNL!A1292="","",IF(_CALC_PNL!E1292=1,H1292-G1292,""))</f>
        <v>#VALUE!</v>
      </c>
    </row>
    <row r="1293" ht="14.25" customHeight="1">
      <c r="A1293" t="s">
        <v>79</v>
      </c>
      <c r="B1293" t="s">
        <v>249</v>
      </c>
      <c r="C1293" t="s">
        <v>233</v>
      </c>
      <c r="D1293" t="s">
        <v>234</v>
      </c>
      <c r="E1293" t="s">
        <v>191</v>
      </c>
      <c r="F1293" t="s">
        <v>192</v>
      </c>
      <c r="G1293">
        <v>323222.4975</v>
      </c>
      <c r="H1293" t="e">
        <f>IF(PNL!A1293="","",_CALC_PNL!P1293)</f>
        <v>#VALUE!</v>
      </c>
      <c r="I1293" t="e">
        <f>IF(PNL!A1293="","",IF(_CALC_PNL!E1293=1,H1293-G1293,""))</f>
        <v>#VALUE!</v>
      </c>
    </row>
    <row r="1294" ht="14.25" customHeight="1">
      <c r="A1294" t="s">
        <v>81</v>
      </c>
      <c r="B1294" t="s">
        <v>249</v>
      </c>
      <c r="C1294" t="s">
        <v>233</v>
      </c>
      <c r="D1294" t="s">
        <v>231</v>
      </c>
      <c r="E1294" t="s">
        <v>191</v>
      </c>
      <c r="F1294" t="s">
        <v>192</v>
      </c>
      <c r="G1294">
        <v>278766.462</v>
      </c>
      <c r="H1294" t="e">
        <f>IF(PNL!A1294="","",_CALC_PNL!P1294)</f>
        <v>#VALUE!</v>
      </c>
      <c r="I1294" t="e">
        <f>IF(PNL!A1294="","",IF(_CALC_PNL!E1294=1,H1294-G1294,""))</f>
        <v>#VALUE!</v>
      </c>
    </row>
    <row r="1295" ht="14.25" customHeight="1">
      <c r="A1295" t="s">
        <v>81</v>
      </c>
      <c r="B1295" t="s">
        <v>249</v>
      </c>
      <c r="C1295" t="s">
        <v>233</v>
      </c>
      <c r="D1295" t="s">
        <v>9</v>
      </c>
      <c r="E1295" t="s">
        <v>191</v>
      </c>
      <c r="F1295" t="s">
        <v>192</v>
      </c>
      <c r="G1295">
        <v>274739.2542</v>
      </c>
      <c r="H1295" t="e">
        <f>IF(PNL!A1295="","",_CALC_PNL!P1295)</f>
        <v>#VALUE!</v>
      </c>
      <c r="I1295" t="e">
        <f>IF(PNL!A1295="","",IF(_CALC_PNL!E1295=1,H1295-G1295,""))</f>
        <v>#VALUE!</v>
      </c>
    </row>
    <row r="1296" ht="14.25" customHeight="1">
      <c r="A1296" t="s">
        <v>81</v>
      </c>
      <c r="B1296" t="s">
        <v>249</v>
      </c>
      <c r="C1296" t="s">
        <v>233</v>
      </c>
      <c r="D1296" t="s">
        <v>234</v>
      </c>
      <c r="E1296" t="s">
        <v>191</v>
      </c>
      <c r="F1296" t="s">
        <v>192</v>
      </c>
      <c r="G1296">
        <v>282819.8205</v>
      </c>
      <c r="H1296" t="e">
        <f>IF(PNL!A1296="","",_CALC_PNL!P1296)</f>
        <v>#VALUE!</v>
      </c>
      <c r="I1296" t="e">
        <f>IF(PNL!A1296="","",IF(_CALC_PNL!E1296=1,H1296-G1296,""))</f>
        <v>#VALUE!</v>
      </c>
    </row>
    <row r="1297" ht="14.25" customHeight="1">
      <c r="A1297" t="s">
        <v>83</v>
      </c>
      <c r="B1297" t="s">
        <v>249</v>
      </c>
      <c r="C1297" t="s">
        <v>233</v>
      </c>
      <c r="D1297" t="s">
        <v>231</v>
      </c>
      <c r="E1297" t="s">
        <v>191</v>
      </c>
      <c r="F1297" t="s">
        <v>192</v>
      </c>
      <c r="G1297">
        <v>645145.332</v>
      </c>
      <c r="H1297" t="e">
        <f>IF(PNL!A1297="","",_CALC_PNL!P1297)</f>
        <v>#VALUE!</v>
      </c>
      <c r="I1297" t="e">
        <f>IF(PNL!A1297="","",IF(_CALC_PNL!E1297=1,H1297-G1297,""))</f>
        <v>#VALUE!</v>
      </c>
    </row>
    <row r="1298" ht="14.25" customHeight="1">
      <c r="A1298" t="s">
        <v>83</v>
      </c>
      <c r="B1298" t="s">
        <v>249</v>
      </c>
      <c r="C1298" t="s">
        <v>233</v>
      </c>
      <c r="D1298" t="s">
        <v>9</v>
      </c>
      <c r="E1298" t="s">
        <v>191</v>
      </c>
      <c r="F1298" t="s">
        <v>192</v>
      </c>
      <c r="G1298">
        <v>635825.2212</v>
      </c>
      <c r="H1298" t="e">
        <f>IF(PNL!A1298="","",_CALC_PNL!P1298)</f>
        <v>#VALUE!</v>
      </c>
      <c r="I1298" t="e">
        <f>IF(PNL!A1298="","",IF(_CALC_PNL!E1298=1,H1298-G1298,""))</f>
        <v>#VALUE!</v>
      </c>
    </row>
    <row r="1299" ht="14.25" customHeight="1">
      <c r="A1299" t="s">
        <v>83</v>
      </c>
      <c r="B1299" t="s">
        <v>249</v>
      </c>
      <c r="C1299" t="s">
        <v>233</v>
      </c>
      <c r="D1299" t="s">
        <v>234</v>
      </c>
      <c r="E1299" t="s">
        <v>191</v>
      </c>
      <c r="F1299" t="s">
        <v>192</v>
      </c>
      <c r="G1299">
        <v>654525.963</v>
      </c>
      <c r="H1299" t="e">
        <f>IF(PNL!A1299="","",_CALC_PNL!P1299)</f>
        <v>#VALUE!</v>
      </c>
      <c r="I1299" t="e">
        <f>IF(PNL!A1299="","",IF(_CALC_PNL!E1299=1,H1299-G1299,""))</f>
        <v>#VALUE!</v>
      </c>
    </row>
    <row r="1300" ht="14.25" customHeight="1">
      <c r="A1300" t="s">
        <v>84</v>
      </c>
      <c r="B1300" t="s">
        <v>249</v>
      </c>
      <c r="C1300" t="s">
        <v>233</v>
      </c>
      <c r="D1300" t="s">
        <v>231</v>
      </c>
      <c r="E1300" t="s">
        <v>191</v>
      </c>
      <c r="F1300" t="s">
        <v>192</v>
      </c>
      <c r="G1300">
        <v>244252.58</v>
      </c>
      <c r="H1300" t="e">
        <f>IF(PNL!A1300="","",_CALC_PNL!P1300)</f>
        <v>#VALUE!</v>
      </c>
      <c r="I1300" t="e">
        <f>IF(PNL!A1300="","",IF(_CALC_PNL!E1300=1,H1300-G1300,""))</f>
        <v>#VALUE!</v>
      </c>
    </row>
    <row r="1301" ht="14.25" customHeight="1">
      <c r="A1301" t="s">
        <v>84</v>
      </c>
      <c r="B1301" t="s">
        <v>249</v>
      </c>
      <c r="C1301" t="s">
        <v>233</v>
      </c>
      <c r="D1301" t="s">
        <v>9</v>
      </c>
      <c r="E1301" t="s">
        <v>191</v>
      </c>
      <c r="F1301" t="s">
        <v>192</v>
      </c>
      <c r="G1301">
        <v>240723.978</v>
      </c>
      <c r="H1301" t="e">
        <f>IF(PNL!A1301="","",_CALC_PNL!P1301)</f>
        <v>#VALUE!</v>
      </c>
      <c r="I1301" t="e">
        <f>IF(PNL!A1301="","",IF(_CALC_PNL!E1301=1,H1301-G1301,""))</f>
        <v>#VALUE!</v>
      </c>
    </row>
    <row r="1302" ht="14.25" customHeight="1">
      <c r="A1302" t="s">
        <v>84</v>
      </c>
      <c r="B1302" t="s">
        <v>249</v>
      </c>
      <c r="C1302" t="s">
        <v>233</v>
      </c>
      <c r="D1302" t="s">
        <v>234</v>
      </c>
      <c r="E1302" t="s">
        <v>191</v>
      </c>
      <c r="F1302" t="s">
        <v>192</v>
      </c>
      <c r="G1302">
        <v>247804.095</v>
      </c>
      <c r="H1302" t="e">
        <f>IF(PNL!A1302="","",_CALC_PNL!P1302)</f>
        <v>#VALUE!</v>
      </c>
      <c r="I1302" t="e">
        <f>IF(PNL!A1302="","",IF(_CALC_PNL!E1302=1,H1302-G1302,""))</f>
        <v>#VALUE!</v>
      </c>
    </row>
    <row r="1303" ht="14.25" customHeight="1">
      <c r="A1303" t="s">
        <v>86</v>
      </c>
      <c r="B1303" t="s">
        <v>249</v>
      </c>
      <c r="C1303" t="s">
        <v>233</v>
      </c>
      <c r="D1303" t="s">
        <v>231</v>
      </c>
      <c r="E1303" t="s">
        <v>191</v>
      </c>
      <c r="F1303" t="s">
        <v>192</v>
      </c>
      <c r="G1303">
        <v>238942.834</v>
      </c>
      <c r="H1303" t="e">
        <f>IF(PNL!A1303="","",_CALC_PNL!P1303)</f>
        <v>#VALUE!</v>
      </c>
      <c r="I1303" t="e">
        <f>IF(PNL!A1303="","",IF(_CALC_PNL!E1303=1,H1303-G1303,""))</f>
        <v>#VALUE!</v>
      </c>
    </row>
    <row r="1304" ht="14.25" customHeight="1">
      <c r="A1304" t="s">
        <v>86</v>
      </c>
      <c r="B1304" t="s">
        <v>249</v>
      </c>
      <c r="C1304" t="s">
        <v>233</v>
      </c>
      <c r="D1304" t="s">
        <v>9</v>
      </c>
      <c r="E1304" t="s">
        <v>191</v>
      </c>
      <c r="F1304" t="s">
        <v>192</v>
      </c>
      <c r="G1304">
        <v>235490.9394</v>
      </c>
      <c r="H1304" t="e">
        <f>IF(PNL!A1304="","",_CALC_PNL!P1304)</f>
        <v>#VALUE!</v>
      </c>
      <c r="I1304" t="e">
        <f>IF(PNL!A1304="","",IF(_CALC_PNL!E1304=1,H1304-G1304,""))</f>
        <v>#VALUE!</v>
      </c>
    </row>
    <row r="1305" ht="14.25" customHeight="1">
      <c r="A1305" t="s">
        <v>86</v>
      </c>
      <c r="B1305" t="s">
        <v>249</v>
      </c>
      <c r="C1305" t="s">
        <v>233</v>
      </c>
      <c r="D1305" t="s">
        <v>234</v>
      </c>
      <c r="E1305" t="s">
        <v>191</v>
      </c>
      <c r="F1305" t="s">
        <v>192</v>
      </c>
      <c r="G1305">
        <v>242417.1435</v>
      </c>
      <c r="H1305" t="e">
        <f>IF(PNL!A1305="","",_CALC_PNL!P1305)</f>
        <v>#VALUE!</v>
      </c>
      <c r="I1305" t="e">
        <f>IF(PNL!A1305="","",IF(_CALC_PNL!E1305=1,H1305-G1305,""))</f>
        <v>#VALUE!</v>
      </c>
    </row>
    <row r="1306" ht="14.25" customHeight="1">
      <c r="A1306" t="s">
        <v>88</v>
      </c>
      <c r="B1306" t="s">
        <v>249</v>
      </c>
      <c r="C1306" t="s">
        <v>233</v>
      </c>
      <c r="D1306" t="s">
        <v>231</v>
      </c>
      <c r="E1306" t="s">
        <v>191</v>
      </c>
      <c r="F1306" t="s">
        <v>192</v>
      </c>
      <c r="G1306">
        <v>159295.578</v>
      </c>
      <c r="H1306" t="e">
        <f>IF(PNL!A1306="","",_CALC_PNL!P1306)</f>
        <v>#VALUE!</v>
      </c>
      <c r="I1306" t="e">
        <f>IF(PNL!A1306="","",IF(_CALC_PNL!E1306=1,H1306-G1306,""))</f>
        <v>#VALUE!</v>
      </c>
    </row>
    <row r="1307" ht="14.25" customHeight="1">
      <c r="A1307" t="s">
        <v>88</v>
      </c>
      <c r="B1307" t="s">
        <v>249</v>
      </c>
      <c r="C1307" t="s">
        <v>233</v>
      </c>
      <c r="D1307" t="s">
        <v>9</v>
      </c>
      <c r="E1307" t="s">
        <v>191</v>
      </c>
      <c r="F1307" t="s">
        <v>192</v>
      </c>
      <c r="G1307">
        <v>156994.3098</v>
      </c>
      <c r="H1307" t="e">
        <f>IF(PNL!A1307="","",_CALC_PNL!P1307)</f>
        <v>#VALUE!</v>
      </c>
      <c r="I1307" t="e">
        <f>IF(PNL!A1307="","",IF(_CALC_PNL!E1307=1,H1307-G1307,""))</f>
        <v>#VALUE!</v>
      </c>
    </row>
    <row r="1308" ht="14.25" customHeight="1">
      <c r="A1308" t="s">
        <v>88</v>
      </c>
      <c r="B1308" t="s">
        <v>249</v>
      </c>
      <c r="C1308" t="s">
        <v>233</v>
      </c>
      <c r="D1308" t="s">
        <v>234</v>
      </c>
      <c r="E1308" t="s">
        <v>191</v>
      </c>
      <c r="F1308" t="s">
        <v>192</v>
      </c>
      <c r="G1308">
        <v>161611.7895</v>
      </c>
      <c r="H1308" t="e">
        <f>IF(PNL!A1308="","",_CALC_PNL!P1308)</f>
        <v>#VALUE!</v>
      </c>
      <c r="I1308" t="e">
        <f>IF(PNL!A1308="","",IF(_CALC_PNL!E1308=1,H1308-G1308,""))</f>
        <v>#VALUE!</v>
      </c>
    </row>
    <row r="1309" ht="14.25" customHeight="1">
      <c r="A1309" t="s">
        <v>90</v>
      </c>
      <c r="B1309" t="s">
        <v>249</v>
      </c>
      <c r="C1309" t="s">
        <v>233</v>
      </c>
      <c r="D1309" t="s">
        <v>231</v>
      </c>
      <c r="E1309" t="s">
        <v>191</v>
      </c>
      <c r="F1309" t="s">
        <v>192</v>
      </c>
      <c r="G1309">
        <v>140180.066</v>
      </c>
      <c r="H1309" t="e">
        <f>IF(PNL!A1309="","",_CALC_PNL!P1309)</f>
        <v>#VALUE!</v>
      </c>
      <c r="I1309" t="e">
        <f>IF(PNL!A1309="","",IF(_CALC_PNL!E1309=1,H1309-G1309,""))</f>
        <v>#VALUE!</v>
      </c>
    </row>
    <row r="1310" ht="14.25" customHeight="1">
      <c r="A1310" t="s">
        <v>90</v>
      </c>
      <c r="B1310" t="s">
        <v>249</v>
      </c>
      <c r="C1310" t="s">
        <v>233</v>
      </c>
      <c r="D1310" t="s">
        <v>9</v>
      </c>
      <c r="E1310" t="s">
        <v>191</v>
      </c>
      <c r="F1310" t="s">
        <v>192</v>
      </c>
      <c r="G1310">
        <v>138154.9506</v>
      </c>
      <c r="H1310" t="e">
        <f>IF(PNL!A1310="","",_CALC_PNL!P1310)</f>
        <v>#VALUE!</v>
      </c>
      <c r="I1310" t="e">
        <f>IF(PNL!A1310="","",IF(_CALC_PNL!E1310=1,H1310-G1310,""))</f>
        <v>#VALUE!</v>
      </c>
    </row>
    <row r="1311" ht="14.25" customHeight="1">
      <c r="A1311" t="s">
        <v>90</v>
      </c>
      <c r="B1311" t="s">
        <v>249</v>
      </c>
      <c r="C1311" t="s">
        <v>233</v>
      </c>
      <c r="D1311" t="s">
        <v>234</v>
      </c>
      <c r="E1311" t="s">
        <v>191</v>
      </c>
      <c r="F1311" t="s">
        <v>192</v>
      </c>
      <c r="G1311">
        <v>142218.3315</v>
      </c>
      <c r="H1311" t="e">
        <f>IF(PNL!A1311="","",_CALC_PNL!P1311)</f>
        <v>#VALUE!</v>
      </c>
      <c r="I1311" t="e">
        <f>IF(PNL!A1311="","",IF(_CALC_PNL!E1311=1,H1311-G1311,""))</f>
        <v>#VALUE!</v>
      </c>
    </row>
    <row r="1312" ht="14.25" customHeight="1">
      <c r="A1312" t="s">
        <v>92</v>
      </c>
      <c r="B1312" t="s">
        <v>249</v>
      </c>
      <c r="C1312" t="s">
        <v>233</v>
      </c>
      <c r="D1312" t="s">
        <v>231</v>
      </c>
      <c r="E1312" t="s">
        <v>191</v>
      </c>
      <c r="F1312" t="s">
        <v>192</v>
      </c>
      <c r="G1312">
        <v>140180.066</v>
      </c>
      <c r="H1312" t="e">
        <f>IF(PNL!A1312="","",_CALC_PNL!P1312)</f>
        <v>#VALUE!</v>
      </c>
      <c r="I1312" t="e">
        <f>IF(PNL!A1312="","",IF(_CALC_PNL!E1312=1,H1312-G1312,""))</f>
        <v>#VALUE!</v>
      </c>
    </row>
    <row r="1313" ht="14.25" customHeight="1">
      <c r="A1313" t="s">
        <v>92</v>
      </c>
      <c r="B1313" t="s">
        <v>249</v>
      </c>
      <c r="C1313" t="s">
        <v>233</v>
      </c>
      <c r="D1313" t="s">
        <v>9</v>
      </c>
      <c r="E1313" t="s">
        <v>191</v>
      </c>
      <c r="F1313" t="s">
        <v>192</v>
      </c>
      <c r="G1313">
        <v>138154.9506</v>
      </c>
      <c r="H1313" t="e">
        <f>IF(PNL!A1313="","",_CALC_PNL!P1313)</f>
        <v>#VALUE!</v>
      </c>
      <c r="I1313" t="e">
        <f>IF(PNL!A1313="","",IF(_CALC_PNL!E1313=1,H1313-G1313,""))</f>
        <v>#VALUE!</v>
      </c>
    </row>
    <row r="1314" ht="14.25" customHeight="1">
      <c r="A1314" t="s">
        <v>92</v>
      </c>
      <c r="B1314" t="s">
        <v>249</v>
      </c>
      <c r="C1314" t="s">
        <v>233</v>
      </c>
      <c r="D1314" t="s">
        <v>234</v>
      </c>
      <c r="E1314" t="s">
        <v>191</v>
      </c>
      <c r="F1314" t="s">
        <v>192</v>
      </c>
      <c r="G1314">
        <v>142218.3315</v>
      </c>
      <c r="H1314" t="e">
        <f>IF(PNL!A1314="","",_CALC_PNL!P1314)</f>
        <v>#VALUE!</v>
      </c>
      <c r="I1314" t="e">
        <f>IF(PNL!A1314="","",IF(_CALC_PNL!E1314=1,H1314-G1314,""))</f>
        <v>#VALUE!</v>
      </c>
    </row>
    <row r="1315" ht="14.25" customHeight="1">
      <c r="A1315" t="s">
        <v>94</v>
      </c>
      <c r="B1315" t="s">
        <v>249</v>
      </c>
      <c r="C1315" t="s">
        <v>233</v>
      </c>
      <c r="D1315" t="s">
        <v>231</v>
      </c>
      <c r="E1315" t="s">
        <v>191</v>
      </c>
      <c r="F1315" t="s">
        <v>192</v>
      </c>
      <c r="G1315">
        <v>237881.098</v>
      </c>
      <c r="H1315" t="e">
        <f>IF(PNL!A1315="","",_CALC_PNL!P1315)</f>
        <v>#VALUE!</v>
      </c>
      <c r="I1315" t="e">
        <f>IF(PNL!A1315="","",IF(_CALC_PNL!E1315=1,H1315-G1315,""))</f>
        <v>#VALUE!</v>
      </c>
    </row>
    <row r="1316" ht="14.25" customHeight="1">
      <c r="A1316" t="s">
        <v>94</v>
      </c>
      <c r="B1316" t="s">
        <v>249</v>
      </c>
      <c r="C1316" t="s">
        <v>233</v>
      </c>
      <c r="D1316" t="s">
        <v>9</v>
      </c>
      <c r="E1316" t="s">
        <v>191</v>
      </c>
      <c r="F1316" t="s">
        <v>192</v>
      </c>
      <c r="G1316">
        <v>234444.5418</v>
      </c>
      <c r="H1316" t="e">
        <f>IF(PNL!A1316="","",_CALC_PNL!P1316)</f>
        <v>#VALUE!</v>
      </c>
      <c r="I1316" t="e">
        <f>IF(PNL!A1316="","",IF(_CALC_PNL!E1316=1,H1316-G1316,""))</f>
        <v>#VALUE!</v>
      </c>
    </row>
    <row r="1317" ht="14.25" customHeight="1">
      <c r="A1317" t="s">
        <v>94</v>
      </c>
      <c r="B1317" t="s">
        <v>249</v>
      </c>
      <c r="C1317" t="s">
        <v>233</v>
      </c>
      <c r="D1317" t="s">
        <v>234</v>
      </c>
      <c r="E1317" t="s">
        <v>191</v>
      </c>
      <c r="F1317" t="s">
        <v>192</v>
      </c>
      <c r="G1317">
        <v>241339.9695</v>
      </c>
      <c r="H1317" t="e">
        <f>IF(PNL!A1317="","",_CALC_PNL!P1317)</f>
        <v>#VALUE!</v>
      </c>
      <c r="I1317" t="e">
        <f>IF(PNL!A1317="","",IF(_CALC_PNL!E1317=1,H1317-G1317,""))</f>
        <v>#VALUE!</v>
      </c>
    </row>
    <row r="1318" ht="14.25" customHeight="1">
      <c r="A1318" t="s">
        <v>95</v>
      </c>
      <c r="B1318" t="s">
        <v>249</v>
      </c>
      <c r="C1318" t="s">
        <v>233</v>
      </c>
      <c r="D1318" t="s">
        <v>231</v>
      </c>
      <c r="E1318" t="s">
        <v>191</v>
      </c>
      <c r="F1318" t="s">
        <v>192</v>
      </c>
      <c r="G1318">
        <v>223013.596</v>
      </c>
      <c r="H1318" t="e">
        <f>IF(PNL!A1318="","",_CALC_PNL!P1318)</f>
        <v>#VALUE!</v>
      </c>
      <c r="I1318" t="e">
        <f>IF(PNL!A1318="","",IF(_CALC_PNL!E1318=1,H1318-G1318,""))</f>
        <v>#VALUE!</v>
      </c>
    </row>
    <row r="1319" ht="14.25" customHeight="1">
      <c r="A1319" t="s">
        <v>95</v>
      </c>
      <c r="B1319" t="s">
        <v>249</v>
      </c>
      <c r="C1319" t="s">
        <v>233</v>
      </c>
      <c r="D1319" t="s">
        <v>9</v>
      </c>
      <c r="E1319" t="s">
        <v>191</v>
      </c>
      <c r="F1319" t="s">
        <v>192</v>
      </c>
      <c r="G1319">
        <v>219791.8236</v>
      </c>
      <c r="H1319" t="e">
        <f>IF(PNL!A1319="","",_CALC_PNL!P1319)</f>
        <v>#VALUE!</v>
      </c>
      <c r="I1319" t="e">
        <f>IF(PNL!A1319="","",IF(_CALC_PNL!E1319=1,H1319-G1319,""))</f>
        <v>#VALUE!</v>
      </c>
    </row>
    <row r="1320" ht="14.25" customHeight="1">
      <c r="A1320" t="s">
        <v>95</v>
      </c>
      <c r="B1320" t="s">
        <v>249</v>
      </c>
      <c r="C1320" t="s">
        <v>233</v>
      </c>
      <c r="D1320" t="s">
        <v>234</v>
      </c>
      <c r="E1320" t="s">
        <v>191</v>
      </c>
      <c r="F1320" t="s">
        <v>192</v>
      </c>
      <c r="G1320">
        <v>226256.289</v>
      </c>
      <c r="H1320" t="e">
        <f>IF(PNL!A1320="","",_CALC_PNL!P1320)</f>
        <v>#VALUE!</v>
      </c>
      <c r="I1320" t="e">
        <f>IF(PNL!A1320="","",IF(_CALC_PNL!E1320=1,H1320-G1320,""))</f>
        <v>#VALUE!</v>
      </c>
    </row>
    <row r="1321" ht="14.25" customHeight="1">
      <c r="A1321" t="s">
        <v>96</v>
      </c>
      <c r="B1321" t="s">
        <v>249</v>
      </c>
      <c r="C1321" t="s">
        <v>233</v>
      </c>
      <c r="D1321" t="s">
        <v>231</v>
      </c>
      <c r="E1321" t="s">
        <v>191</v>
      </c>
      <c r="F1321" t="s">
        <v>192</v>
      </c>
      <c r="G1321">
        <v>258058.346</v>
      </c>
      <c r="H1321" t="e">
        <f>IF(PNL!A1321="","",_CALC_PNL!P1321)</f>
        <v>#VALUE!</v>
      </c>
      <c r="I1321" t="e">
        <f>IF(PNL!A1321="","",IF(_CALC_PNL!E1321=1,H1321-G1321,""))</f>
        <v>#VALUE!</v>
      </c>
    </row>
    <row r="1322" ht="14.25" customHeight="1">
      <c r="A1322" t="s">
        <v>96</v>
      </c>
      <c r="B1322" t="s">
        <v>249</v>
      </c>
      <c r="C1322" t="s">
        <v>233</v>
      </c>
      <c r="D1322" t="s">
        <v>9</v>
      </c>
      <c r="E1322" t="s">
        <v>191</v>
      </c>
      <c r="F1322" t="s">
        <v>192</v>
      </c>
      <c r="G1322">
        <v>254330.2986</v>
      </c>
      <c r="H1322" t="e">
        <f>IF(PNL!A1322="","",_CALC_PNL!P1322)</f>
        <v>#VALUE!</v>
      </c>
      <c r="I1322" t="e">
        <f>IF(PNL!A1322="","",IF(_CALC_PNL!E1322=1,H1322-G1322,""))</f>
        <v>#VALUE!</v>
      </c>
    </row>
    <row r="1323" ht="14.25" customHeight="1">
      <c r="A1323" t="s">
        <v>96</v>
      </c>
      <c r="B1323" t="s">
        <v>249</v>
      </c>
      <c r="C1323" t="s">
        <v>233</v>
      </c>
      <c r="D1323" t="s">
        <v>234</v>
      </c>
      <c r="E1323" t="s">
        <v>191</v>
      </c>
      <c r="F1323" t="s">
        <v>192</v>
      </c>
      <c r="G1323">
        <v>261810.6015</v>
      </c>
      <c r="H1323" t="e">
        <f>IF(PNL!A1323="","",_CALC_PNL!P1323)</f>
        <v>#VALUE!</v>
      </c>
      <c r="I1323" t="e">
        <f>IF(PNL!A1323="","",IF(_CALC_PNL!E1323=1,H1323-G1323,""))</f>
        <v>#VALUE!</v>
      </c>
    </row>
    <row r="1324" ht="14.25" customHeight="1">
      <c r="A1324" t="s">
        <v>97</v>
      </c>
      <c r="B1324" t="s">
        <v>249</v>
      </c>
      <c r="C1324" t="s">
        <v>233</v>
      </c>
      <c r="D1324" t="s">
        <v>231</v>
      </c>
      <c r="E1324" t="s">
        <v>191</v>
      </c>
      <c r="F1324" t="s">
        <v>192</v>
      </c>
      <c r="G1324">
        <v>178410.024</v>
      </c>
      <c r="H1324" t="e">
        <f>IF(PNL!A1324="","",_CALC_PNL!P1324)</f>
        <v>#VALUE!</v>
      </c>
      <c r="I1324" t="e">
        <f>IF(PNL!A1324="","",IF(_CALC_PNL!E1324=1,H1324-G1324,""))</f>
        <v>#VALUE!</v>
      </c>
    </row>
    <row r="1325" ht="14.25" customHeight="1">
      <c r="A1325" t="s">
        <v>97</v>
      </c>
      <c r="B1325" t="s">
        <v>249</v>
      </c>
      <c r="C1325" t="s">
        <v>233</v>
      </c>
      <c r="D1325" t="s">
        <v>9</v>
      </c>
      <c r="E1325" t="s">
        <v>191</v>
      </c>
      <c r="F1325" t="s">
        <v>192</v>
      </c>
      <c r="G1325">
        <v>175832.6184</v>
      </c>
      <c r="H1325" t="e">
        <f>IF(PNL!A1325="","",_CALC_PNL!P1325)</f>
        <v>#VALUE!</v>
      </c>
      <c r="I1325" t="e">
        <f>IF(PNL!A1325="","",IF(_CALC_PNL!E1325=1,H1325-G1325,""))</f>
        <v>#VALUE!</v>
      </c>
    </row>
    <row r="1326" ht="14.25" customHeight="1">
      <c r="A1326" t="s">
        <v>97</v>
      </c>
      <c r="B1326" t="s">
        <v>249</v>
      </c>
      <c r="C1326" t="s">
        <v>233</v>
      </c>
      <c r="D1326" t="s">
        <v>234</v>
      </c>
      <c r="E1326" t="s">
        <v>191</v>
      </c>
      <c r="F1326" t="s">
        <v>192</v>
      </c>
      <c r="G1326">
        <v>181004.166</v>
      </c>
      <c r="H1326" t="e">
        <f>IF(PNL!A1326="","",_CALC_PNL!P1326)</f>
        <v>#VALUE!</v>
      </c>
      <c r="I1326" t="e">
        <f>IF(PNL!A1326="","",IF(_CALC_PNL!E1326=1,H1326-G1326,""))</f>
        <v>#VALUE!</v>
      </c>
    </row>
    <row r="1327" ht="14.25" customHeight="1">
      <c r="A1327" t="s">
        <v>75</v>
      </c>
      <c r="B1327" t="s">
        <v>250</v>
      </c>
      <c r="C1327" t="s">
        <v>233</v>
      </c>
      <c r="D1327" t="s">
        <v>231</v>
      </c>
      <c r="E1327" t="s">
        <v>191</v>
      </c>
      <c r="F1327" t="s">
        <v>192</v>
      </c>
      <c r="G1327">
        <v>372461.466</v>
      </c>
      <c r="H1327" t="e">
        <f>IF(PNL!A1327="","",_CALC_PNL!P1327)</f>
        <v>#VALUE!</v>
      </c>
      <c r="I1327" t="e">
        <f>IF(PNL!A1327="","",IF(_CALC_PNL!E1327=1,H1327-G1327,""))</f>
        <v>#VALUE!</v>
      </c>
    </row>
    <row r="1328" ht="14.25" customHeight="1">
      <c r="A1328" t="s">
        <v>75</v>
      </c>
      <c r="B1328" t="s">
        <v>250</v>
      </c>
      <c r="C1328" t="s">
        <v>233</v>
      </c>
      <c r="D1328" t="s">
        <v>9</v>
      </c>
      <c r="E1328" t="s">
        <v>191</v>
      </c>
      <c r="F1328" t="s">
        <v>192</v>
      </c>
      <c r="G1328">
        <v>367080.6906</v>
      </c>
      <c r="H1328" t="e">
        <f>IF(PNL!A1328="","",_CALC_PNL!P1328)</f>
        <v>#VALUE!</v>
      </c>
      <c r="I1328" t="e">
        <f>IF(PNL!A1328="","",IF(_CALC_PNL!E1328=1,H1328-G1328,""))</f>
        <v>#VALUE!</v>
      </c>
    </row>
    <row r="1329" ht="14.25" customHeight="1">
      <c r="A1329" t="s">
        <v>75</v>
      </c>
      <c r="B1329" t="s">
        <v>250</v>
      </c>
      <c r="C1329" t="s">
        <v>233</v>
      </c>
      <c r="D1329" t="s">
        <v>234</v>
      </c>
      <c r="E1329" t="s">
        <v>191</v>
      </c>
      <c r="F1329" t="s">
        <v>192</v>
      </c>
      <c r="G1329">
        <v>377877.1815</v>
      </c>
      <c r="H1329" t="e">
        <f>IF(PNL!A1329="","",_CALC_PNL!P1329)</f>
        <v>#VALUE!</v>
      </c>
      <c r="I1329" t="e">
        <f>IF(PNL!A1329="","",IF(_CALC_PNL!E1329=1,H1329-G1329,""))</f>
        <v>#VALUE!</v>
      </c>
    </row>
    <row r="1330" ht="14.25" customHeight="1">
      <c r="A1330" t="s">
        <v>77</v>
      </c>
      <c r="B1330" t="s">
        <v>250</v>
      </c>
      <c r="C1330" t="s">
        <v>233</v>
      </c>
      <c r="D1330" t="s">
        <v>231</v>
      </c>
      <c r="E1330" t="s">
        <v>191</v>
      </c>
      <c r="F1330" t="s">
        <v>192</v>
      </c>
      <c r="G1330">
        <v>218407.41</v>
      </c>
      <c r="H1330" t="e">
        <f>IF(PNL!A1330="","",_CALC_PNL!P1330)</f>
        <v>#VALUE!</v>
      </c>
      <c r="I1330" t="e">
        <f>IF(PNL!A1330="","",IF(_CALC_PNL!E1330=1,H1330-G1330,""))</f>
        <v>#VALUE!</v>
      </c>
    </row>
    <row r="1331" ht="14.25" customHeight="1">
      <c r="A1331" t="s">
        <v>77</v>
      </c>
      <c r="B1331" t="s">
        <v>250</v>
      </c>
      <c r="C1331" t="s">
        <v>233</v>
      </c>
      <c r="D1331" t="s">
        <v>9</v>
      </c>
      <c r="E1331" t="s">
        <v>191</v>
      </c>
      <c r="F1331" t="s">
        <v>192</v>
      </c>
      <c r="G1331">
        <v>215252.181</v>
      </c>
      <c r="H1331" t="e">
        <f>IF(PNL!A1331="","",_CALC_PNL!P1331)</f>
        <v>#VALUE!</v>
      </c>
      <c r="I1331" t="e">
        <f>IF(PNL!A1331="","",IF(_CALC_PNL!E1331=1,H1331-G1331,""))</f>
        <v>#VALUE!</v>
      </c>
    </row>
    <row r="1332" ht="14.25" customHeight="1">
      <c r="A1332" t="s">
        <v>77</v>
      </c>
      <c r="B1332" t="s">
        <v>250</v>
      </c>
      <c r="C1332" t="s">
        <v>233</v>
      </c>
      <c r="D1332" t="s">
        <v>234</v>
      </c>
      <c r="E1332" t="s">
        <v>191</v>
      </c>
      <c r="F1332" t="s">
        <v>192</v>
      </c>
      <c r="G1332">
        <v>221583.1275</v>
      </c>
      <c r="H1332" t="e">
        <f>IF(PNL!A1332="","",_CALC_PNL!P1332)</f>
        <v>#VALUE!</v>
      </c>
      <c r="I1332" t="e">
        <f>IF(PNL!A1332="","",IF(_CALC_PNL!E1332=1,H1332-G1332,""))</f>
        <v>#VALUE!</v>
      </c>
    </row>
    <row r="1333" ht="14.25" customHeight="1">
      <c r="A1333" t="s">
        <v>79</v>
      </c>
      <c r="B1333" t="s">
        <v>250</v>
      </c>
      <c r="C1333" t="s">
        <v>233</v>
      </c>
      <c r="D1333" t="s">
        <v>231</v>
      </c>
      <c r="E1333" t="s">
        <v>191</v>
      </c>
      <c r="F1333" t="s">
        <v>192</v>
      </c>
      <c r="G1333">
        <v>176949.604</v>
      </c>
      <c r="H1333" t="e">
        <f>IF(PNL!A1333="","",_CALC_PNL!P1333)</f>
        <v>#VALUE!</v>
      </c>
      <c r="I1333" t="e">
        <f>IF(PNL!A1333="","",IF(_CALC_PNL!E1333=1,H1333-G1333,""))</f>
        <v>#VALUE!</v>
      </c>
    </row>
    <row r="1334" ht="14.25" customHeight="1">
      <c r="A1334" t="s">
        <v>79</v>
      </c>
      <c r="B1334" t="s">
        <v>250</v>
      </c>
      <c r="C1334" t="s">
        <v>233</v>
      </c>
      <c r="D1334" t="s">
        <v>9</v>
      </c>
      <c r="E1334" t="s">
        <v>191</v>
      </c>
      <c r="F1334" t="s">
        <v>192</v>
      </c>
      <c r="G1334">
        <v>174393.2964</v>
      </c>
      <c r="H1334" t="e">
        <f>IF(PNL!A1334="","",_CALC_PNL!P1334)</f>
        <v>#VALUE!</v>
      </c>
      <c r="I1334" t="e">
        <f>IF(PNL!A1334="","",IF(_CALC_PNL!E1334=1,H1334-G1334,""))</f>
        <v>#VALUE!</v>
      </c>
    </row>
    <row r="1335" ht="14.25" customHeight="1">
      <c r="A1335" t="s">
        <v>79</v>
      </c>
      <c r="B1335" t="s">
        <v>250</v>
      </c>
      <c r="C1335" t="s">
        <v>233</v>
      </c>
      <c r="D1335" t="s">
        <v>234</v>
      </c>
      <c r="E1335" t="s">
        <v>191</v>
      </c>
      <c r="F1335" t="s">
        <v>192</v>
      </c>
      <c r="G1335">
        <v>179522.511</v>
      </c>
      <c r="H1335" t="e">
        <f>IF(PNL!A1335="","",_CALC_PNL!P1335)</f>
        <v>#VALUE!</v>
      </c>
      <c r="I1335" t="e">
        <f>IF(PNL!A1335="","",IF(_CALC_PNL!E1335=1,H1335-G1335,""))</f>
        <v>#VALUE!</v>
      </c>
    </row>
    <row r="1336" ht="14.25" customHeight="1">
      <c r="A1336" t="s">
        <v>81</v>
      </c>
      <c r="B1336" t="s">
        <v>250</v>
      </c>
      <c r="C1336" t="s">
        <v>233</v>
      </c>
      <c r="D1336" t="s">
        <v>231</v>
      </c>
      <c r="E1336" t="s">
        <v>191</v>
      </c>
      <c r="F1336" t="s">
        <v>192</v>
      </c>
      <c r="G1336">
        <v>157358.656</v>
      </c>
      <c r="H1336" t="e">
        <f>IF(PNL!A1336="","",_CALC_PNL!P1336)</f>
        <v>#VALUE!</v>
      </c>
      <c r="I1336" t="e">
        <f>IF(PNL!A1336="","",IF(_CALC_PNL!E1336=1,H1336-G1336,""))</f>
        <v>#VALUE!</v>
      </c>
    </row>
    <row r="1337" ht="14.25" customHeight="1">
      <c r="A1337" t="s">
        <v>81</v>
      </c>
      <c r="B1337" t="s">
        <v>250</v>
      </c>
      <c r="C1337" t="s">
        <v>233</v>
      </c>
      <c r="D1337" t="s">
        <v>9</v>
      </c>
      <c r="E1337" t="s">
        <v>191</v>
      </c>
      <c r="F1337" t="s">
        <v>192</v>
      </c>
      <c r="G1337">
        <v>155085.3696</v>
      </c>
      <c r="H1337" t="e">
        <f>IF(PNL!A1337="","",_CALC_PNL!P1337)</f>
        <v>#VALUE!</v>
      </c>
      <c r="I1337" t="e">
        <f>IF(PNL!A1337="","",IF(_CALC_PNL!E1337=1,H1337-G1337,""))</f>
        <v>#VALUE!</v>
      </c>
    </row>
    <row r="1338" ht="14.25" customHeight="1">
      <c r="A1338" t="s">
        <v>81</v>
      </c>
      <c r="B1338" t="s">
        <v>250</v>
      </c>
      <c r="C1338" t="s">
        <v>233</v>
      </c>
      <c r="D1338" t="s">
        <v>234</v>
      </c>
      <c r="E1338" t="s">
        <v>191</v>
      </c>
      <c r="F1338" t="s">
        <v>192</v>
      </c>
      <c r="G1338">
        <v>159646.704</v>
      </c>
      <c r="H1338" t="e">
        <f>IF(PNL!A1338="","",_CALC_PNL!P1338)</f>
        <v>#VALUE!</v>
      </c>
      <c r="I1338" t="e">
        <f>IF(PNL!A1338="","",IF(_CALC_PNL!E1338=1,H1338-G1338,""))</f>
        <v>#VALUE!</v>
      </c>
    </row>
    <row r="1339" ht="14.25" customHeight="1">
      <c r="A1339" t="s">
        <v>83</v>
      </c>
      <c r="B1339" t="s">
        <v>250</v>
      </c>
      <c r="C1339" t="s">
        <v>233</v>
      </c>
      <c r="D1339" t="s">
        <v>231</v>
      </c>
      <c r="E1339" t="s">
        <v>191</v>
      </c>
      <c r="F1339" t="s">
        <v>192</v>
      </c>
      <c r="G1339">
        <v>345161.206</v>
      </c>
      <c r="H1339" t="e">
        <f>IF(PNL!A1339="","",_CALC_PNL!P1339)</f>
        <v>#VALUE!</v>
      </c>
      <c r="I1339" t="e">
        <f>IF(PNL!A1339="","",IF(_CALC_PNL!E1339=1,H1339-G1339,""))</f>
        <v>#VALUE!</v>
      </c>
    </row>
    <row r="1340" ht="14.25" customHeight="1">
      <c r="A1340" t="s">
        <v>83</v>
      </c>
      <c r="B1340" t="s">
        <v>250</v>
      </c>
      <c r="C1340" t="s">
        <v>233</v>
      </c>
      <c r="D1340" t="s">
        <v>9</v>
      </c>
      <c r="E1340" t="s">
        <v>191</v>
      </c>
      <c r="F1340" t="s">
        <v>192</v>
      </c>
      <c r="G1340">
        <v>340174.8246</v>
      </c>
      <c r="H1340" t="e">
        <f>IF(PNL!A1340="","",_CALC_PNL!P1340)</f>
        <v>#VALUE!</v>
      </c>
      <c r="I1340" t="e">
        <f>IF(PNL!A1340="","",IF(_CALC_PNL!E1340=1,H1340-G1340,""))</f>
        <v>#VALUE!</v>
      </c>
    </row>
    <row r="1341" ht="14.25" customHeight="1">
      <c r="A1341" t="s">
        <v>83</v>
      </c>
      <c r="B1341" t="s">
        <v>250</v>
      </c>
      <c r="C1341" t="s">
        <v>233</v>
      </c>
      <c r="D1341" t="s">
        <v>234</v>
      </c>
      <c r="E1341" t="s">
        <v>191</v>
      </c>
      <c r="F1341" t="s">
        <v>192</v>
      </c>
      <c r="G1341">
        <v>350179.9665</v>
      </c>
      <c r="H1341" t="e">
        <f>IF(PNL!A1341="","",_CALC_PNL!P1341)</f>
        <v>#VALUE!</v>
      </c>
      <c r="I1341" t="e">
        <f>IF(PNL!A1341="","",IF(_CALC_PNL!E1341=1,H1341-G1341,""))</f>
        <v>#VALUE!</v>
      </c>
    </row>
    <row r="1342" ht="14.25" customHeight="1">
      <c r="A1342" t="s">
        <v>84</v>
      </c>
      <c r="B1342" t="s">
        <v>250</v>
      </c>
      <c r="C1342" t="s">
        <v>233</v>
      </c>
      <c r="D1342" t="s">
        <v>231</v>
      </c>
      <c r="E1342" t="s">
        <v>191</v>
      </c>
      <c r="F1342" t="s">
        <v>192</v>
      </c>
      <c r="G1342">
        <v>135108.038</v>
      </c>
      <c r="H1342" t="e">
        <f>IF(PNL!A1342="","",_CALC_PNL!P1342)</f>
        <v>#VALUE!</v>
      </c>
      <c r="I1342" t="e">
        <f>IF(PNL!A1342="","",IF(_CALC_PNL!E1342=1,H1342-G1342,""))</f>
        <v>#VALUE!</v>
      </c>
    </row>
    <row r="1343" ht="14.25" customHeight="1">
      <c r="A1343" t="s">
        <v>84</v>
      </c>
      <c r="B1343" t="s">
        <v>250</v>
      </c>
      <c r="C1343" t="s">
        <v>233</v>
      </c>
      <c r="D1343" t="s">
        <v>9</v>
      </c>
      <c r="E1343" t="s">
        <v>191</v>
      </c>
      <c r="F1343" t="s">
        <v>192</v>
      </c>
      <c r="G1343">
        <v>133156.1958</v>
      </c>
      <c r="H1343" t="e">
        <f>IF(PNL!A1343="","",_CALC_PNL!P1343)</f>
        <v>#VALUE!</v>
      </c>
      <c r="I1343" t="e">
        <f>IF(PNL!A1343="","",IF(_CALC_PNL!E1343=1,H1343-G1343,""))</f>
        <v>#VALUE!</v>
      </c>
    </row>
    <row r="1344" ht="14.25" customHeight="1">
      <c r="A1344" t="s">
        <v>84</v>
      </c>
      <c r="B1344" t="s">
        <v>250</v>
      </c>
      <c r="C1344" t="s">
        <v>233</v>
      </c>
      <c r="D1344" t="s">
        <v>234</v>
      </c>
      <c r="E1344" t="s">
        <v>191</v>
      </c>
      <c r="F1344" t="s">
        <v>192</v>
      </c>
      <c r="G1344">
        <v>137072.5545</v>
      </c>
      <c r="H1344" t="e">
        <f>IF(PNL!A1344="","",_CALC_PNL!P1344)</f>
        <v>#VALUE!</v>
      </c>
      <c r="I1344" t="e">
        <f>IF(PNL!A1344="","",IF(_CALC_PNL!E1344=1,H1344-G1344,""))</f>
        <v>#VALUE!</v>
      </c>
    </row>
    <row r="1345" ht="14.25" customHeight="1">
      <c r="A1345" t="s">
        <v>86</v>
      </c>
      <c r="B1345" t="s">
        <v>250</v>
      </c>
      <c r="C1345" t="s">
        <v>233</v>
      </c>
      <c r="D1345" t="s">
        <v>231</v>
      </c>
      <c r="E1345" t="s">
        <v>191</v>
      </c>
      <c r="F1345" t="s">
        <v>192</v>
      </c>
      <c r="G1345">
        <v>125129.212</v>
      </c>
      <c r="H1345" t="e">
        <f>IF(PNL!A1345="","",_CALC_PNL!P1345)</f>
        <v>#VALUE!</v>
      </c>
      <c r="I1345" t="e">
        <f>IF(PNL!A1345="","",IF(_CALC_PNL!E1345=1,H1345-G1345,""))</f>
        <v>#VALUE!</v>
      </c>
    </row>
    <row r="1346" ht="14.25" customHeight="1">
      <c r="A1346" t="s">
        <v>86</v>
      </c>
      <c r="B1346" t="s">
        <v>250</v>
      </c>
      <c r="C1346" t="s">
        <v>233</v>
      </c>
      <c r="D1346" t="s">
        <v>9</v>
      </c>
      <c r="E1346" t="s">
        <v>191</v>
      </c>
      <c r="F1346" t="s">
        <v>192</v>
      </c>
      <c r="G1346">
        <v>123321.5292</v>
      </c>
      <c r="H1346" t="e">
        <f>IF(PNL!A1346="","",_CALC_PNL!P1346)</f>
        <v>#VALUE!</v>
      </c>
      <c r="I1346" t="e">
        <f>IF(PNL!A1346="","",IF(_CALC_PNL!E1346=1,H1346-G1346,""))</f>
        <v>#VALUE!</v>
      </c>
    </row>
    <row r="1347" ht="14.25" customHeight="1">
      <c r="A1347" t="s">
        <v>86</v>
      </c>
      <c r="B1347" t="s">
        <v>250</v>
      </c>
      <c r="C1347" t="s">
        <v>233</v>
      </c>
      <c r="D1347" t="s">
        <v>234</v>
      </c>
      <c r="E1347" t="s">
        <v>191</v>
      </c>
      <c r="F1347" t="s">
        <v>192</v>
      </c>
      <c r="G1347">
        <v>126948.633</v>
      </c>
      <c r="H1347" t="e">
        <f>IF(PNL!A1347="","",_CALC_PNL!P1347)</f>
        <v>#VALUE!</v>
      </c>
      <c r="I1347" t="e">
        <f>IF(PNL!A1347="","",IF(_CALC_PNL!E1347=1,H1347-G1347,""))</f>
        <v>#VALUE!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A66F1B8-7607-3C59-CC76-5F0F5C3FD888}" mc:Ignorable="x14ac xr xr2 xr3">
  <dimension ref="A1:AD448"/>
  <sheetViews>
    <sheetView topLeftCell="A1" workbookViewId="0">
      <selection activeCell="A1" sqref="A1"/>
    </sheetView>
  </sheetViews>
  <sheetFormatPr defaultRowHeight="14.25" defaultColWidth="9.140625" customHeight="1"/>
  <sheetData>
    <row r="1" ht="14.25" customHeight="1">
      <c r="A1" s="2" t="s">
        <v>164</v>
      </c>
      <c r="B1" s="2" t="s">
        <v>165</v>
      </c>
      <c r="C1" s="2" t="s">
        <v>170</v>
      </c>
      <c r="D1" s="2" t="s">
        <v>166</v>
      </c>
      <c r="E1" s="2" t="s">
        <v>222</v>
      </c>
      <c r="F1" s="2" t="s">
        <v>167</v>
      </c>
      <c r="G1" s="2" t="s">
        <v>168</v>
      </c>
      <c r="H1" s="2" t="s">
        <v>169</v>
      </c>
      <c r="I1" s="2" t="s">
        <v>109</v>
      </c>
      <c r="J1" s="2" t="s">
        <v>177</v>
      </c>
      <c r="K1" s="2" t="s">
        <v>119</v>
      </c>
      <c r="L1" s="2" t="s">
        <v>275</v>
      </c>
      <c r="M1" s="2" t="s">
        <v>276</v>
      </c>
      <c r="N1" s="2" t="s">
        <v>277</v>
      </c>
      <c r="O1" s="2" t="s">
        <v>278</v>
      </c>
      <c r="P1" s="2" t="s">
        <v>279</v>
      </c>
      <c r="Q1" s="2" t="s">
        <v>280</v>
      </c>
      <c r="R1" s="2" t="s">
        <v>281</v>
      </c>
      <c r="S1" s="2" t="s">
        <v>282</v>
      </c>
      <c r="T1" s="2" t="s">
        <v>283</v>
      </c>
      <c r="V1" t="s">
        <v>284</v>
      </c>
      <c r="W1" t="s">
        <v>276</v>
      </c>
      <c r="X1" t="s">
        <v>277</v>
      </c>
      <c r="Y1" t="s">
        <v>278</v>
      </c>
      <c r="Z1" t="s">
        <v>285</v>
      </c>
      <c r="AA1" t="s">
        <v>286</v>
      </c>
      <c r="AB1" t="s">
        <v>272</v>
      </c>
      <c r="AC1" t="s">
        <v>287</v>
      </c>
    </row>
    <row r="2" ht="14.25" customHeight="1">
      <c r="A2" t="s">
        <v>191</v>
      </c>
      <c r="B2" t="s">
        <v>192</v>
      </c>
      <c r="C2" t="s">
        <v>25</v>
      </c>
      <c r="D2" t="s">
        <v>75</v>
      </c>
      <c r="E2" t="s">
        <v>232</v>
      </c>
      <c r="F2" t="s">
        <v>193</v>
      </c>
      <c r="G2" t="s">
        <v>194</v>
      </c>
      <c r="H2" t="s">
        <v>195</v>
      </c>
      <c r="I2">
        <v>78</v>
      </c>
      <c r="J2">
        <v>3</v>
      </c>
      <c r="K2">
        <v>662220</v>
      </c>
      <c r="L2">
        <v>45273.5</v>
      </c>
      <c r="M2">
        <v>151300.5</v>
      </c>
      <c r="N2">
        <v>63168.85078534</v>
      </c>
      <c r="O2">
        <v>296639.104712042</v>
      </c>
      <c r="P2">
        <v>91236.232815258</v>
      </c>
      <c r="Q2">
        <v>108442.35078534</v>
      </c>
      <c r="R2">
        <v>539175.8375273</v>
      </c>
      <c r="S2">
        <v>647618.18831264</v>
      </c>
      <c r="T2">
        <v>14601.81168736</v>
      </c>
      <c r="V2">
        <f>IF(Allocation!D2="","",_CALC_ALLOC!AI2)</f>
        <v>45273.5</v>
      </c>
      <c r="W2">
        <f>IF(Allocation!D2="","",_CALC_ALLOC!AJ2)</f>
        <v>151300.5</v>
      </c>
      <c r="X2">
        <f>IF(Allocation!D2="","",_CALC_ALLOC!AK2)</f>
        <v>51787.017452007</v>
      </c>
      <c r="Y2">
        <f>IF(Allocation!D2="","",_CALC_ALLOC!AL2)</f>
        <v>1452771</v>
      </c>
      <c r="Z2">
        <f>IF(Allocation!D2="","",_CALC_ALLOC!AM2)</f>
        <v>2891983</v>
      </c>
      <c r="AA2">
        <f>IF(Allocation!D2="","",_CALC_ALLOC!AN2)</f>
        <v>-4607239.01745201</v>
      </c>
      <c r="AB2">
        <f>IF(Allocation!D2="","",AA2-T2)</f>
        <v>-4621840.82913937</v>
      </c>
      <c r="AC2">
        <f>IF(Allocation!D2="","",_CALC_ALLOC!AR2)</f>
        <v>676344</v>
      </c>
    </row>
    <row r="3" ht="14.25" customHeight="1">
      <c r="A3" t="s">
        <v>191</v>
      </c>
      <c r="B3" t="s">
        <v>192</v>
      </c>
      <c r="C3" t="s">
        <v>25</v>
      </c>
      <c r="D3" t="s">
        <v>75</v>
      </c>
      <c r="E3" t="s">
        <v>232</v>
      </c>
      <c r="F3" t="s">
        <v>193</v>
      </c>
      <c r="G3" t="s">
        <v>196</v>
      </c>
      <c r="H3" t="s">
        <v>197</v>
      </c>
      <c r="I3">
        <v>76</v>
      </c>
      <c r="J3">
        <v>3</v>
      </c>
      <c r="K3">
        <v>595840</v>
      </c>
      <c r="L3">
        <v>36218.8</v>
      </c>
      <c r="M3">
        <v>121040.4</v>
      </c>
      <c r="N3">
        <v>28279.162303665</v>
      </c>
      <c r="O3">
        <v>289032.97382199</v>
      </c>
      <c r="P3">
        <v>88896.842230251</v>
      </c>
      <c r="Q3">
        <v>64497.962303665</v>
      </c>
      <c r="R3">
        <v>498970.216052241</v>
      </c>
      <c r="S3">
        <v>563468.178355906</v>
      </c>
      <c r="T3">
        <v>32371.821644094</v>
      </c>
      <c r="V3">
        <f>IF(Allocation!D3="","",_CALC_ALLOC!AI3)</f>
        <v>36218.8</v>
      </c>
      <c r="W3">
        <f>IF(Allocation!D3="","",_CALC_ALLOC!AJ3)</f>
        <v>121040.4</v>
      </c>
      <c r="X3">
        <f>IF(Allocation!D3="","",_CALC_ALLOC!AK3)</f>
        <v>28279.1623036649</v>
      </c>
      <c r="Y3">
        <f>IF(Allocation!D3="","",_CALC_ALLOC!AL3)</f>
        <v>0</v>
      </c>
      <c r="Z3">
        <f>IF(Allocation!D3="","",_CALC_ALLOC!AM3)</f>
        <v>0</v>
      </c>
      <c r="AA3">
        <f>IF(Allocation!D3="","",_CALC_ALLOC!AN3)</f>
        <v>410301.637696335</v>
      </c>
      <c r="AB3">
        <f>IF(Allocation!D3="","",AA3-T3)</f>
        <v>377929.816052241</v>
      </c>
      <c r="AC3">
        <f>IF(Allocation!D3="","",_CALC_ALLOC!AR3)</f>
        <v>0</v>
      </c>
    </row>
    <row r="4" ht="14.25" customHeight="1">
      <c r="A4" t="s">
        <v>191</v>
      </c>
      <c r="B4" t="s">
        <v>192</v>
      </c>
      <c r="C4" t="s">
        <v>25</v>
      </c>
      <c r="D4" t="s">
        <v>75</v>
      </c>
      <c r="E4" t="s">
        <v>232</v>
      </c>
      <c r="F4" t="s">
        <v>193</v>
      </c>
      <c r="G4" t="s">
        <v>198</v>
      </c>
      <c r="H4" t="s">
        <v>197</v>
      </c>
      <c r="I4">
        <v>74</v>
      </c>
      <c r="J4">
        <v>3</v>
      </c>
      <c r="K4">
        <v>580160</v>
      </c>
      <c r="L4">
        <v>36218.8</v>
      </c>
      <c r="M4">
        <v>121040.4</v>
      </c>
      <c r="N4">
        <v>27534.97382199</v>
      </c>
      <c r="O4">
        <v>281426.842931937</v>
      </c>
      <c r="P4">
        <v>86557.451645245</v>
      </c>
      <c r="Q4">
        <v>63753.77382199</v>
      </c>
      <c r="R4">
        <v>489024.694577182</v>
      </c>
      <c r="S4">
        <v>552778.468399171</v>
      </c>
      <c r="T4">
        <v>27381.531600829</v>
      </c>
      <c r="V4">
        <f>IF(Allocation!D4="","",_CALC_ALLOC!AI4)</f>
        <v>36218.8</v>
      </c>
      <c r="W4">
        <f>IF(Allocation!D4="","",_CALC_ALLOC!AJ4)</f>
        <v>121040.4</v>
      </c>
      <c r="X4">
        <f>IF(Allocation!D4="","",_CALC_ALLOC!AK4)</f>
        <v>27534.9738219895</v>
      </c>
      <c r="Y4">
        <f>IF(Allocation!D4="","",_CALC_ALLOC!AL4)</f>
        <v>0</v>
      </c>
      <c r="Z4">
        <f>IF(Allocation!D4="","",_CALC_ALLOC!AM4)</f>
        <v>0</v>
      </c>
      <c r="AA4">
        <f>IF(Allocation!D4="","",_CALC_ALLOC!AN4)</f>
        <v>395365.82617801</v>
      </c>
      <c r="AB4">
        <f>IF(Allocation!D4="","",AA4-T4)</f>
        <v>367984.294577181</v>
      </c>
      <c r="AC4">
        <f>IF(Allocation!D4="","",_CALC_ALLOC!AR4)</f>
        <v>0</v>
      </c>
    </row>
    <row r="5" ht="14.25" customHeight="1">
      <c r="A5" t="s">
        <v>191</v>
      </c>
      <c r="B5" t="s">
        <v>192</v>
      </c>
      <c r="C5" t="s">
        <v>25</v>
      </c>
      <c r="D5" t="s">
        <v>75</v>
      </c>
      <c r="E5" t="s">
        <v>232</v>
      </c>
      <c r="F5" t="s">
        <v>199</v>
      </c>
      <c r="G5" t="s">
        <v>200</v>
      </c>
      <c r="H5" t="s">
        <v>197</v>
      </c>
      <c r="I5">
        <v>78</v>
      </c>
      <c r="J5">
        <v>3</v>
      </c>
      <c r="K5">
        <v>662220</v>
      </c>
      <c r="L5">
        <v>31691.45</v>
      </c>
      <c r="M5">
        <v>105910.35</v>
      </c>
      <c r="N5">
        <v>63168.85078534</v>
      </c>
      <c r="O5">
        <v>296639.104712042</v>
      </c>
      <c r="P5">
        <v>91236.232815258</v>
      </c>
      <c r="Q5">
        <v>94860.30078534</v>
      </c>
      <c r="R5">
        <v>493785.6875273</v>
      </c>
      <c r="S5">
        <v>588645.98831264</v>
      </c>
      <c r="T5">
        <v>73574.01168736</v>
      </c>
      <c r="V5">
        <f>IF(Allocation!D5="","",_CALC_ALLOC!AI5)</f>
        <v>31691.45</v>
      </c>
      <c r="W5">
        <f>IF(Allocation!D5="","",_CALC_ALLOC!AJ5)</f>
        <v>105910.35</v>
      </c>
      <c r="X5">
        <f>IF(Allocation!D5="","",_CALC_ALLOC!AK5)</f>
        <v>74550.6841186736</v>
      </c>
      <c r="Y5">
        <f>IF(Allocation!D5="","",_CALC_ALLOC!AL5)</f>
        <v>0</v>
      </c>
      <c r="Z5">
        <f>IF(Allocation!D5="","",_CALC_ALLOC!AM5)</f>
        <v>0</v>
      </c>
      <c r="AA5">
        <f>IF(Allocation!D5="","",_CALC_ALLOC!AN5)</f>
        <v>450067.515881326</v>
      </c>
      <c r="AB5">
        <f>IF(Allocation!D5="","",AA5-T5)</f>
        <v>376493.504193966</v>
      </c>
      <c r="AC5">
        <f>IF(Allocation!D5="","",_CALC_ALLOC!AR5)</f>
        <v>0</v>
      </c>
    </row>
    <row r="6" ht="14.25" customHeight="1">
      <c r="A6" t="s">
        <v>191</v>
      </c>
      <c r="B6" t="s">
        <v>192</v>
      </c>
      <c r="C6" t="s">
        <v>25</v>
      </c>
      <c r="D6" t="s">
        <v>75</v>
      </c>
      <c r="E6" t="s">
        <v>232</v>
      </c>
      <c r="F6" t="s">
        <v>199</v>
      </c>
      <c r="G6" t="s">
        <v>201</v>
      </c>
      <c r="H6" t="s">
        <v>197</v>
      </c>
      <c r="I6">
        <v>76</v>
      </c>
      <c r="J6">
        <v>3</v>
      </c>
      <c r="K6">
        <v>638400</v>
      </c>
      <c r="L6">
        <v>31691.45</v>
      </c>
      <c r="M6">
        <v>105910.35</v>
      </c>
      <c r="N6">
        <v>28279.162303665</v>
      </c>
      <c r="O6">
        <v>289032.97382199</v>
      </c>
      <c r="P6">
        <v>88896.842230251</v>
      </c>
      <c r="Q6">
        <v>59970.612303665</v>
      </c>
      <c r="R6">
        <v>483840.166052241</v>
      </c>
      <c r="S6">
        <v>543810.778355906</v>
      </c>
      <c r="T6">
        <v>94589.221644094</v>
      </c>
      <c r="V6">
        <f>IF(Allocation!D6="","",_CALC_ALLOC!AI6)</f>
        <v>31691.45</v>
      </c>
      <c r="W6">
        <f>IF(Allocation!D6="","",_CALC_ALLOC!AJ6)</f>
        <v>105910.35</v>
      </c>
      <c r="X6">
        <f>IF(Allocation!D6="","",_CALC_ALLOC!AK6)</f>
        <v>28279.1623036649</v>
      </c>
      <c r="Y6">
        <f>IF(Allocation!D6="","",_CALC_ALLOC!AL6)</f>
        <v>0</v>
      </c>
      <c r="Z6">
        <f>IF(Allocation!D6="","",_CALC_ALLOC!AM6)</f>
        <v>0</v>
      </c>
      <c r="AA6">
        <f>IF(Allocation!D6="","",_CALC_ALLOC!AN6)</f>
        <v>472519.037696335</v>
      </c>
      <c r="AB6">
        <f>IF(Allocation!D6="","",AA6-T6)</f>
        <v>377929.816052241</v>
      </c>
      <c r="AC6">
        <f>IF(Allocation!D6="","",_CALC_ALLOC!AR6)</f>
        <v>0</v>
      </c>
    </row>
    <row r="7" ht="14.25" customHeight="1">
      <c r="A7" t="s">
        <v>191</v>
      </c>
      <c r="B7" t="s">
        <v>192</v>
      </c>
      <c r="C7" t="s">
        <v>210</v>
      </c>
      <c r="D7" t="s">
        <v>75</v>
      </c>
      <c r="E7" t="s">
        <v>232</v>
      </c>
      <c r="F7" t="s">
        <v>193</v>
      </c>
      <c r="G7" t="s">
        <v>194</v>
      </c>
      <c r="H7" t="s">
        <v>195</v>
      </c>
      <c r="I7">
        <v>74</v>
      </c>
      <c r="J7">
        <v>3</v>
      </c>
      <c r="K7">
        <v>628260</v>
      </c>
      <c r="L7">
        <v>43211</v>
      </c>
      <c r="M7">
        <v>144407.5</v>
      </c>
      <c r="N7">
        <v>58773.624309392</v>
      </c>
      <c r="O7">
        <v>283445.961325967</v>
      </c>
      <c r="P7">
        <v>85831.284980759</v>
      </c>
      <c r="Q7">
        <v>101984.624309392</v>
      </c>
      <c r="R7">
        <v>513684.746306726</v>
      </c>
      <c r="S7">
        <v>615669.370616118</v>
      </c>
      <c r="T7">
        <v>12590.629383882</v>
      </c>
      <c r="V7">
        <f>IF(Allocation!D7="","",_CALC_ALLOC!AI7)</f>
        <v>43211</v>
      </c>
      <c r="W7">
        <f>IF(Allocation!D7="","",_CALC_ALLOC!AJ7)</f>
        <v>144407.5</v>
      </c>
      <c r="X7">
        <f>IF(Allocation!D7="","",_CALC_ALLOC!AK7)</f>
        <v>58773.6243093923</v>
      </c>
      <c r="Y7">
        <f>IF(Allocation!D7="","",_CALC_ALLOC!AL7)</f>
        <v>0</v>
      </c>
      <c r="Z7">
        <f>IF(Allocation!D7="","",_CALC_ALLOC!AM7)</f>
        <v>0</v>
      </c>
      <c r="AA7">
        <f>IF(Allocation!D7="","",_CALC_ALLOC!AN7)</f>
        <v>381867.875690608</v>
      </c>
      <c r="AB7">
        <f>IF(Allocation!D7="","",AA7-T7)</f>
        <v>369277.246306726</v>
      </c>
      <c r="AC7">
        <f>IF(Allocation!D7="","",_CALC_ALLOC!AR7)</f>
        <v>0</v>
      </c>
    </row>
    <row r="8" ht="14.25" customHeight="1">
      <c r="A8" t="s">
        <v>191</v>
      </c>
      <c r="B8" t="s">
        <v>192</v>
      </c>
      <c r="C8" t="s">
        <v>210</v>
      </c>
      <c r="D8" t="s">
        <v>75</v>
      </c>
      <c r="E8" t="s">
        <v>232</v>
      </c>
      <c r="F8" t="s">
        <v>193</v>
      </c>
      <c r="G8" t="s">
        <v>196</v>
      </c>
      <c r="H8" t="s">
        <v>197</v>
      </c>
      <c r="I8">
        <v>72</v>
      </c>
      <c r="J8">
        <v>3</v>
      </c>
      <c r="K8">
        <v>564480</v>
      </c>
      <c r="L8">
        <v>34568.8</v>
      </c>
      <c r="M8">
        <v>115526</v>
      </c>
      <c r="N8">
        <v>26983.093922652</v>
      </c>
      <c r="O8">
        <v>275785.259668508</v>
      </c>
      <c r="P8">
        <v>83511.52052182</v>
      </c>
      <c r="Q8">
        <v>61551.893922652</v>
      </c>
      <c r="R8">
        <v>474822.780190328</v>
      </c>
      <c r="S8">
        <v>536374.67411298</v>
      </c>
      <c r="T8">
        <v>28105.32588702</v>
      </c>
      <c r="V8">
        <f>IF(Allocation!D8="","",_CALC_ALLOC!AI8)</f>
        <v>34568.8</v>
      </c>
      <c r="W8">
        <f>IF(Allocation!D8="","",_CALC_ALLOC!AJ8)</f>
        <v>115526</v>
      </c>
      <c r="X8">
        <f>IF(Allocation!D8="","",_CALC_ALLOC!AK8)</f>
        <v>26983.0939226519</v>
      </c>
      <c r="Y8">
        <f>IF(Allocation!D8="","",_CALC_ALLOC!AL8)</f>
        <v>0</v>
      </c>
      <c r="Z8">
        <f>IF(Allocation!D8="","",_CALC_ALLOC!AM8)</f>
        <v>0</v>
      </c>
      <c r="AA8">
        <f>IF(Allocation!D8="","",_CALC_ALLOC!AN8)</f>
        <v>387402.106077348</v>
      </c>
      <c r="AB8">
        <f>IF(Allocation!D8="","",AA8-T8)</f>
        <v>359296.780190328</v>
      </c>
      <c r="AC8">
        <f>IF(Allocation!D8="","",_CALC_ALLOC!AR8)</f>
        <v>0</v>
      </c>
    </row>
    <row r="9" ht="14.25" customHeight="1">
      <c r="A9" t="s">
        <v>191</v>
      </c>
      <c r="B9" t="s">
        <v>192</v>
      </c>
      <c r="C9" t="s">
        <v>210</v>
      </c>
      <c r="D9" t="s">
        <v>75</v>
      </c>
      <c r="E9" t="s">
        <v>232</v>
      </c>
      <c r="F9" t="s">
        <v>193</v>
      </c>
      <c r="G9" t="s">
        <v>198</v>
      </c>
      <c r="H9" t="s">
        <v>197</v>
      </c>
      <c r="I9">
        <v>70</v>
      </c>
      <c r="J9">
        <v>3</v>
      </c>
      <c r="K9">
        <v>548800</v>
      </c>
      <c r="L9">
        <v>34568.8</v>
      </c>
      <c r="M9">
        <v>115526</v>
      </c>
      <c r="N9">
        <v>26233.563535912</v>
      </c>
      <c r="O9">
        <v>268124.55801105</v>
      </c>
      <c r="P9">
        <v>81191.75606288</v>
      </c>
      <c r="Q9">
        <v>60802.363535912</v>
      </c>
      <c r="R9">
        <v>464842.31407393</v>
      </c>
      <c r="S9">
        <v>525644.677609842</v>
      </c>
      <c r="T9">
        <v>23155.322390158</v>
      </c>
      <c r="V9">
        <f>IF(Allocation!D9="","",_CALC_ALLOC!AI9)</f>
        <v>34568.8</v>
      </c>
      <c r="W9">
        <f>IF(Allocation!D9="","",_CALC_ALLOC!AJ9)</f>
        <v>115526</v>
      </c>
      <c r="X9">
        <f>IF(Allocation!D9="","",_CALC_ALLOC!AK9)</f>
        <v>26233.5635359116</v>
      </c>
      <c r="Y9">
        <f>IF(Allocation!D9="","",_CALC_ALLOC!AL9)</f>
        <v>0</v>
      </c>
      <c r="Z9">
        <f>IF(Allocation!D9="","",_CALC_ALLOC!AM9)</f>
        <v>0</v>
      </c>
      <c r="AA9">
        <f>IF(Allocation!D9="","",_CALC_ALLOC!AN9)</f>
        <v>372471.636464088</v>
      </c>
      <c r="AB9">
        <f>IF(Allocation!D9="","",AA9-T9)</f>
        <v>349316.31407393</v>
      </c>
      <c r="AC9">
        <f>IF(Allocation!D9="","",_CALC_ALLOC!AR9)</f>
        <v>0</v>
      </c>
    </row>
    <row r="10" ht="14.25" customHeight="1">
      <c r="A10" t="s">
        <v>191</v>
      </c>
      <c r="B10" t="s">
        <v>192</v>
      </c>
      <c r="C10" t="s">
        <v>210</v>
      </c>
      <c r="D10" t="s">
        <v>75</v>
      </c>
      <c r="E10" t="s">
        <v>232</v>
      </c>
      <c r="F10" t="s">
        <v>199</v>
      </c>
      <c r="G10" t="s">
        <v>200</v>
      </c>
      <c r="H10" t="s">
        <v>197</v>
      </c>
      <c r="I10">
        <v>74</v>
      </c>
      <c r="J10">
        <v>3</v>
      </c>
      <c r="K10">
        <v>628260</v>
      </c>
      <c r="L10">
        <v>30247.7</v>
      </c>
      <c r="M10">
        <v>101085.25</v>
      </c>
      <c r="N10">
        <v>58773.624309392</v>
      </c>
      <c r="O10">
        <v>283445.961325967</v>
      </c>
      <c r="P10">
        <v>85831.284980759</v>
      </c>
      <c r="Q10">
        <v>89021.324309392</v>
      </c>
      <c r="R10">
        <v>470362.496306726</v>
      </c>
      <c r="S10">
        <v>559383.820616118</v>
      </c>
      <c r="T10">
        <v>68876.179383882</v>
      </c>
      <c r="V10">
        <f>IF(Allocation!D10="","",_CALC_ALLOC!AI10)</f>
        <v>30247.7</v>
      </c>
      <c r="W10">
        <f>IF(Allocation!D10="","",_CALC_ALLOC!AJ10)</f>
        <v>101085.25</v>
      </c>
      <c r="X10">
        <f>IF(Allocation!D10="","",_CALC_ALLOC!AK10)</f>
        <v>58773.6243093923</v>
      </c>
      <c r="Y10">
        <f>IF(Allocation!D10="","",_CALC_ALLOC!AL10)</f>
        <v>0</v>
      </c>
      <c r="Z10">
        <f>IF(Allocation!D10="","",_CALC_ALLOC!AM10)</f>
        <v>0</v>
      </c>
      <c r="AA10">
        <f>IF(Allocation!D10="","",_CALC_ALLOC!AN10)</f>
        <v>438153.425690608</v>
      </c>
      <c r="AB10">
        <f>IF(Allocation!D10="","",AA10-T10)</f>
        <v>369277.246306726</v>
      </c>
      <c r="AC10">
        <f>IF(Allocation!D10="","",_CALC_ALLOC!AR10)</f>
        <v>0</v>
      </c>
    </row>
    <row r="11" ht="14.25" customHeight="1">
      <c r="A11" t="s">
        <v>191</v>
      </c>
      <c r="B11" t="s">
        <v>192</v>
      </c>
      <c r="C11" t="s">
        <v>210</v>
      </c>
      <c r="D11" t="s">
        <v>75</v>
      </c>
      <c r="E11" t="s">
        <v>232</v>
      </c>
      <c r="F11" t="s">
        <v>199</v>
      </c>
      <c r="G11" t="s">
        <v>201</v>
      </c>
      <c r="H11" t="s">
        <v>197</v>
      </c>
      <c r="I11">
        <v>72</v>
      </c>
      <c r="J11">
        <v>3</v>
      </c>
      <c r="K11">
        <v>604800</v>
      </c>
      <c r="L11">
        <v>30247.7</v>
      </c>
      <c r="M11">
        <v>101085.25</v>
      </c>
      <c r="N11">
        <v>26983.093922652</v>
      </c>
      <c r="O11">
        <v>275785.259668508</v>
      </c>
      <c r="P11">
        <v>83511.52052182</v>
      </c>
      <c r="Q11">
        <v>57230.793922652</v>
      </c>
      <c r="R11">
        <v>460382.030190328</v>
      </c>
      <c r="S11">
        <v>517612.82411298</v>
      </c>
      <c r="T11">
        <v>87187.17588702</v>
      </c>
      <c r="V11">
        <f>IF(Allocation!D11="","",_CALC_ALLOC!AI11)</f>
        <v>30247.7</v>
      </c>
      <c r="W11">
        <f>IF(Allocation!D11="","",_CALC_ALLOC!AJ11)</f>
        <v>101085.25</v>
      </c>
      <c r="X11">
        <f>IF(Allocation!D11="","",_CALC_ALLOC!AK11)</f>
        <v>26983.0939226519</v>
      </c>
      <c r="Y11">
        <f>IF(Allocation!D11="","",_CALC_ALLOC!AL11)</f>
        <v>0</v>
      </c>
      <c r="Z11">
        <f>IF(Allocation!D11="","",_CALC_ALLOC!AM11)</f>
        <v>0</v>
      </c>
      <c r="AA11">
        <f>IF(Allocation!D11="","",_CALC_ALLOC!AN11)</f>
        <v>446483.956077348</v>
      </c>
      <c r="AB11">
        <f>IF(Allocation!D11="","",AA11-T11)</f>
        <v>359296.780190328</v>
      </c>
      <c r="AC11">
        <f>IF(Allocation!D11="","",_CALC_ALLOC!AR11)</f>
        <v>0</v>
      </c>
    </row>
    <row r="12" ht="14.25" customHeight="1">
      <c r="A12" t="s">
        <v>191</v>
      </c>
      <c r="B12" t="s">
        <v>192</v>
      </c>
      <c r="C12" t="s">
        <v>211</v>
      </c>
      <c r="D12" t="s">
        <v>75</v>
      </c>
      <c r="E12" t="s">
        <v>232</v>
      </c>
      <c r="F12" t="s">
        <v>193</v>
      </c>
      <c r="G12" t="s">
        <v>194</v>
      </c>
      <c r="H12" t="s">
        <v>195</v>
      </c>
      <c r="I12">
        <v>69</v>
      </c>
      <c r="J12">
        <v>3</v>
      </c>
      <c r="K12">
        <v>585810</v>
      </c>
      <c r="L12">
        <v>41317.75</v>
      </c>
      <c r="M12">
        <v>138080.5</v>
      </c>
      <c r="N12">
        <v>54544.529411765</v>
      </c>
      <c r="O12">
        <v>269066.311764706</v>
      </c>
      <c r="P12">
        <v>79748.029881862</v>
      </c>
      <c r="Q12">
        <v>95862.279411765</v>
      </c>
      <c r="R12">
        <v>486894.841646568</v>
      </c>
      <c r="S12">
        <v>582757.121058333</v>
      </c>
      <c r="T12">
        <v>3052.878941667</v>
      </c>
      <c r="V12">
        <f>IF(Allocation!D12="","",_CALC_ALLOC!AI12)</f>
        <v>41317.75</v>
      </c>
      <c r="W12">
        <f>IF(Allocation!D12="","",_CALC_ALLOC!AJ12)</f>
        <v>138080.5</v>
      </c>
      <c r="X12">
        <f>IF(Allocation!D12="","",_CALC_ALLOC!AK12)</f>
        <v>54544.5294117647</v>
      </c>
      <c r="Y12">
        <f>IF(Allocation!D12="","",_CALC_ALLOC!AL12)</f>
        <v>0</v>
      </c>
      <c r="Z12">
        <f>IF(Allocation!D12="","",_CALC_ALLOC!AM12)</f>
        <v>0</v>
      </c>
      <c r="AA12">
        <f>IF(Allocation!D12="","",_CALC_ALLOC!AN12)</f>
        <v>351867.220588235</v>
      </c>
      <c r="AB12">
        <f>IF(Allocation!D12="","",AA12-T12)</f>
        <v>348814.341646568</v>
      </c>
      <c r="AC12">
        <f>IF(Allocation!D12="","",_CALC_ALLOC!AR12)</f>
        <v>0</v>
      </c>
    </row>
    <row r="13" ht="14.25" customHeight="1">
      <c r="A13" t="s">
        <v>191</v>
      </c>
      <c r="B13" t="s">
        <v>192</v>
      </c>
      <c r="C13" t="s">
        <v>211</v>
      </c>
      <c r="D13" t="s">
        <v>75</v>
      </c>
      <c r="E13" t="s">
        <v>232</v>
      </c>
      <c r="F13" t="s">
        <v>193</v>
      </c>
      <c r="G13" t="s">
        <v>196</v>
      </c>
      <c r="H13" t="s">
        <v>197</v>
      </c>
      <c r="I13">
        <v>68</v>
      </c>
      <c r="J13">
        <v>3</v>
      </c>
      <c r="K13">
        <v>533120</v>
      </c>
      <c r="L13">
        <v>33054.2</v>
      </c>
      <c r="M13">
        <v>110464.4</v>
      </c>
      <c r="N13">
        <v>25944</v>
      </c>
      <c r="O13">
        <v>265166.8</v>
      </c>
      <c r="P13">
        <v>78592.26133285</v>
      </c>
      <c r="Q13">
        <v>58998.2</v>
      </c>
      <c r="R13">
        <v>454223.46133285</v>
      </c>
      <c r="S13">
        <v>513221.66133285</v>
      </c>
      <c r="T13">
        <v>19898.33866715</v>
      </c>
      <c r="V13">
        <f>IF(Allocation!D13="","",_CALC_ALLOC!AI13)</f>
        <v>33054.2</v>
      </c>
      <c r="W13">
        <f>IF(Allocation!D13="","",_CALC_ALLOC!AJ13)</f>
        <v>110464.4</v>
      </c>
      <c r="X13">
        <f>IF(Allocation!D13="","",_CALC_ALLOC!AK13)</f>
        <v>25944</v>
      </c>
      <c r="Y13">
        <f>IF(Allocation!D13="","",_CALC_ALLOC!AL13)</f>
        <v>0</v>
      </c>
      <c r="Z13">
        <f>IF(Allocation!D13="","",_CALC_ALLOC!AM13)</f>
        <v>0</v>
      </c>
      <c r="AA13">
        <f>IF(Allocation!D13="","",_CALC_ALLOC!AN13)</f>
        <v>363657.4</v>
      </c>
      <c r="AB13">
        <f>IF(Allocation!D13="","",AA13-T13)</f>
        <v>343759.06133285</v>
      </c>
      <c r="AC13">
        <f>IF(Allocation!D13="","",_CALC_ALLOC!AR13)</f>
        <v>0</v>
      </c>
    </row>
    <row r="14" ht="14.25" customHeight="1">
      <c r="A14" t="s">
        <v>191</v>
      </c>
      <c r="B14" t="s">
        <v>192</v>
      </c>
      <c r="C14" t="s">
        <v>211</v>
      </c>
      <c r="D14" t="s">
        <v>75</v>
      </c>
      <c r="E14" t="s">
        <v>232</v>
      </c>
      <c r="F14" t="s">
        <v>193</v>
      </c>
      <c r="G14" t="s">
        <v>198</v>
      </c>
      <c r="H14" t="s">
        <v>197</v>
      </c>
      <c r="I14">
        <v>66</v>
      </c>
      <c r="J14">
        <v>3</v>
      </c>
      <c r="K14">
        <v>517440</v>
      </c>
      <c r="L14">
        <v>33054.2</v>
      </c>
      <c r="M14">
        <v>110464.4</v>
      </c>
      <c r="N14">
        <v>25180.941176471</v>
      </c>
      <c r="O14">
        <v>257367.776470588</v>
      </c>
      <c r="P14">
        <v>76280.724234825</v>
      </c>
      <c r="Q14">
        <v>58235.141176471</v>
      </c>
      <c r="R14">
        <v>444112.900705413</v>
      </c>
      <c r="S14">
        <v>502348.041881884</v>
      </c>
      <c r="T14">
        <v>15091.958118116</v>
      </c>
      <c r="V14">
        <f>IF(Allocation!D14="","",_CALC_ALLOC!AI14)</f>
        <v>33054.2</v>
      </c>
      <c r="W14">
        <f>IF(Allocation!D14="","",_CALC_ALLOC!AJ14)</f>
        <v>110464.4</v>
      </c>
      <c r="X14">
        <f>IF(Allocation!D14="","",_CALC_ALLOC!AK14)</f>
        <v>25180.9411764706</v>
      </c>
      <c r="Y14">
        <f>IF(Allocation!D14="","",_CALC_ALLOC!AL14)</f>
        <v>0</v>
      </c>
      <c r="Z14">
        <f>IF(Allocation!D14="","",_CALC_ALLOC!AM14)</f>
        <v>0</v>
      </c>
      <c r="AA14">
        <f>IF(Allocation!D14="","",_CALC_ALLOC!AN14)</f>
        <v>348740.458823529</v>
      </c>
      <c r="AB14">
        <f>IF(Allocation!D14="","",AA14-T14)</f>
        <v>333648.500705413</v>
      </c>
      <c r="AC14">
        <f>IF(Allocation!D14="","",_CALC_ALLOC!AR14)</f>
        <v>0</v>
      </c>
    </row>
    <row r="15" ht="14.25" customHeight="1">
      <c r="A15" t="s">
        <v>191</v>
      </c>
      <c r="B15" t="s">
        <v>192</v>
      </c>
      <c r="C15" t="s">
        <v>211</v>
      </c>
      <c r="D15" t="s">
        <v>75</v>
      </c>
      <c r="E15" t="s">
        <v>232</v>
      </c>
      <c r="F15" t="s">
        <v>199</v>
      </c>
      <c r="G15" t="s">
        <v>200</v>
      </c>
      <c r="H15" t="s">
        <v>197</v>
      </c>
      <c r="I15">
        <v>69</v>
      </c>
      <c r="J15">
        <v>3</v>
      </c>
      <c r="K15">
        <v>585810</v>
      </c>
      <c r="L15">
        <v>28922.425</v>
      </c>
      <c r="M15">
        <v>96656.35</v>
      </c>
      <c r="N15">
        <v>54544.529411765</v>
      </c>
      <c r="O15">
        <v>269066.311764706</v>
      </c>
      <c r="P15">
        <v>79748.029881862</v>
      </c>
      <c r="Q15">
        <v>83466.954411765</v>
      </c>
      <c r="R15">
        <v>445470.691646568</v>
      </c>
      <c r="S15">
        <v>528937.646058333</v>
      </c>
      <c r="T15">
        <v>56872.353941667</v>
      </c>
      <c r="V15">
        <f>IF(Allocation!D15="","",_CALC_ALLOC!AI15)</f>
        <v>28922.425</v>
      </c>
      <c r="W15">
        <f>IF(Allocation!D15="","",_CALC_ALLOC!AJ15)</f>
        <v>96656.35</v>
      </c>
      <c r="X15">
        <f>IF(Allocation!D15="","",_CALC_ALLOC!AK15)</f>
        <v>54544.5294117647</v>
      </c>
      <c r="Y15">
        <f>IF(Allocation!D15="","",_CALC_ALLOC!AL15)</f>
        <v>0</v>
      </c>
      <c r="Z15">
        <f>IF(Allocation!D15="","",_CALC_ALLOC!AM15)</f>
        <v>0</v>
      </c>
      <c r="AA15">
        <f>IF(Allocation!D15="","",_CALC_ALLOC!AN15)</f>
        <v>405686.695588235</v>
      </c>
      <c r="AB15">
        <f>IF(Allocation!D15="","",AA15-T15)</f>
        <v>348814.341646568</v>
      </c>
      <c r="AC15">
        <f>IF(Allocation!D15="","",_CALC_ALLOC!AR15)</f>
        <v>0</v>
      </c>
    </row>
    <row r="16" ht="14.25" customHeight="1">
      <c r="A16" t="s">
        <v>191</v>
      </c>
      <c r="B16" t="s">
        <v>192</v>
      </c>
      <c r="C16" t="s">
        <v>211</v>
      </c>
      <c r="D16" t="s">
        <v>75</v>
      </c>
      <c r="E16" t="s">
        <v>232</v>
      </c>
      <c r="F16" t="s">
        <v>199</v>
      </c>
      <c r="G16" t="s">
        <v>201</v>
      </c>
      <c r="H16" t="s">
        <v>197</v>
      </c>
      <c r="I16">
        <v>68</v>
      </c>
      <c r="J16">
        <v>3</v>
      </c>
      <c r="K16">
        <v>571200</v>
      </c>
      <c r="L16">
        <v>28922.425</v>
      </c>
      <c r="M16">
        <v>96656.35</v>
      </c>
      <c r="N16">
        <v>25944</v>
      </c>
      <c r="O16">
        <v>265166.8</v>
      </c>
      <c r="P16">
        <v>78592.26133285</v>
      </c>
      <c r="Q16">
        <v>54866.425</v>
      </c>
      <c r="R16">
        <v>440415.41133285</v>
      </c>
      <c r="S16">
        <v>495281.83633285</v>
      </c>
      <c r="T16">
        <v>75918.16366715</v>
      </c>
      <c r="V16">
        <f>IF(Allocation!D16="","",_CALC_ALLOC!AI16)</f>
        <v>28922.425</v>
      </c>
      <c r="W16">
        <f>IF(Allocation!D16="","",_CALC_ALLOC!AJ16)</f>
        <v>96656.35</v>
      </c>
      <c r="X16">
        <f>IF(Allocation!D16="","",_CALC_ALLOC!AK16)</f>
        <v>25944</v>
      </c>
      <c r="Y16">
        <f>IF(Allocation!D16="","",_CALC_ALLOC!AL16)</f>
        <v>0</v>
      </c>
      <c r="Z16">
        <f>IF(Allocation!D16="","",_CALC_ALLOC!AM16)</f>
        <v>0</v>
      </c>
      <c r="AA16">
        <f>IF(Allocation!D16="","",_CALC_ALLOC!AN16)</f>
        <v>419677.225</v>
      </c>
      <c r="AB16">
        <f>IF(Allocation!D16="","",AA16-T16)</f>
        <v>343759.06133285</v>
      </c>
      <c r="AC16">
        <f>IF(Allocation!D16="","",_CALC_ALLOC!AR16)</f>
        <v>0</v>
      </c>
    </row>
    <row r="17" ht="14.25" customHeight="1">
      <c r="A17" t="s">
        <v>191</v>
      </c>
      <c r="B17" t="s">
        <v>192</v>
      </c>
      <c r="C17" t="s">
        <v>25</v>
      </c>
      <c r="D17" t="s">
        <v>77</v>
      </c>
      <c r="E17" t="s">
        <v>232</v>
      </c>
      <c r="F17" t="s">
        <v>193</v>
      </c>
      <c r="G17" t="s">
        <v>194</v>
      </c>
      <c r="H17" t="s">
        <v>195</v>
      </c>
      <c r="I17">
        <v>66</v>
      </c>
      <c r="J17">
        <v>3</v>
      </c>
      <c r="K17">
        <v>525690</v>
      </c>
      <c r="L17">
        <v>45273.461538462</v>
      </c>
      <c r="M17">
        <v>104602.788461538</v>
      </c>
      <c r="N17">
        <v>45449.814814815</v>
      </c>
      <c r="O17">
        <v>174738.259259259</v>
      </c>
      <c r="P17">
        <v>72399.085899051</v>
      </c>
      <c r="Q17">
        <v>90723.276353276</v>
      </c>
      <c r="R17">
        <v>351740.133619848</v>
      </c>
      <c r="S17">
        <v>442463.409973125</v>
      </c>
      <c r="T17">
        <v>83226.590026875</v>
      </c>
      <c r="V17">
        <f>IF(Allocation!D17="","",_CALC_ALLOC!AI17)</f>
        <v>45273.4615384615</v>
      </c>
      <c r="W17">
        <f>IF(Allocation!D17="","",_CALC_ALLOC!AJ17)</f>
        <v>104602.788461538</v>
      </c>
      <c r="X17">
        <f>IF(Allocation!D17="","",_CALC_ALLOC!AK17)</f>
        <v>45449.8148148148</v>
      </c>
      <c r="Y17">
        <f>IF(Allocation!D17="","",_CALC_ALLOC!AL17)</f>
        <v>0</v>
      </c>
      <c r="Z17">
        <f>IF(Allocation!D17="","",_CALC_ALLOC!AM17)</f>
        <v>0</v>
      </c>
      <c r="AA17">
        <f>IF(Allocation!D17="","",_CALC_ALLOC!AN17)</f>
        <v>330363.935185186</v>
      </c>
      <c r="AB17">
        <f>IF(Allocation!D17="","",AA17-T17)</f>
        <v>247137.345158311</v>
      </c>
      <c r="AC17">
        <f>IF(Allocation!D17="","",_CALC_ALLOC!AR17)</f>
        <v>0</v>
      </c>
    </row>
    <row r="18" ht="14.25" customHeight="1">
      <c r="A18" t="s">
        <v>191</v>
      </c>
      <c r="B18" t="s">
        <v>192</v>
      </c>
      <c r="C18" t="s">
        <v>25</v>
      </c>
      <c r="D18" t="s">
        <v>77</v>
      </c>
      <c r="E18" t="s">
        <v>232</v>
      </c>
      <c r="F18" t="s">
        <v>193</v>
      </c>
      <c r="G18" t="s">
        <v>196</v>
      </c>
      <c r="H18" t="s">
        <v>197</v>
      </c>
      <c r="I18">
        <v>64</v>
      </c>
      <c r="J18">
        <v>2</v>
      </c>
      <c r="K18">
        <v>470400</v>
      </c>
      <c r="L18">
        <v>24145.846153846</v>
      </c>
      <c r="M18">
        <v>55788.153846154</v>
      </c>
      <c r="N18">
        <v>23814.12345679</v>
      </c>
      <c r="O18">
        <v>169443.160493827</v>
      </c>
      <c r="P18">
        <v>70205.17420514</v>
      </c>
      <c r="Q18">
        <v>47959.969610636</v>
      </c>
      <c r="R18">
        <v>295436.488545121</v>
      </c>
      <c r="S18">
        <v>343396.458155757</v>
      </c>
      <c r="T18">
        <v>127003.541844243</v>
      </c>
      <c r="V18">
        <f>IF(Allocation!D18="","",_CALC_ALLOC!AI18)</f>
        <v>24145.8461538462</v>
      </c>
      <c r="W18">
        <f>IF(Allocation!D18="","",_CALC_ALLOC!AJ18)</f>
        <v>55788.1538461539</v>
      </c>
      <c r="X18">
        <f>IF(Allocation!D18="","",_CALC_ALLOC!AK18)</f>
        <v>23814.1234567901</v>
      </c>
      <c r="Y18">
        <f>IF(Allocation!D18="","",_CALC_ALLOC!AL18)</f>
        <v>0</v>
      </c>
      <c r="Z18">
        <f>IF(Allocation!D18="","",_CALC_ALLOC!AM18)</f>
        <v>0</v>
      </c>
      <c r="AA18">
        <f>IF(Allocation!D18="","",_CALC_ALLOC!AN18)</f>
        <v>366651.87654321</v>
      </c>
      <c r="AB18">
        <f>IF(Allocation!D18="","",AA18-T18)</f>
        <v>239648.334698967</v>
      </c>
      <c r="AC18">
        <f>IF(Allocation!D18="","",_CALC_ALLOC!AR18)</f>
        <v>0</v>
      </c>
    </row>
    <row r="19" ht="14.25" customHeight="1">
      <c r="A19" t="s">
        <v>191</v>
      </c>
      <c r="B19" t="s">
        <v>192</v>
      </c>
      <c r="C19" t="s">
        <v>25</v>
      </c>
      <c r="D19" t="s">
        <v>77</v>
      </c>
      <c r="E19" t="s">
        <v>232</v>
      </c>
      <c r="F19" t="s">
        <v>193</v>
      </c>
      <c r="G19" t="s">
        <v>198</v>
      </c>
      <c r="H19" t="s">
        <v>197</v>
      </c>
      <c r="I19">
        <v>63</v>
      </c>
      <c r="J19">
        <v>2</v>
      </c>
      <c r="K19">
        <v>463050</v>
      </c>
      <c r="L19">
        <v>24145.846153846</v>
      </c>
      <c r="M19">
        <v>55788.153846154</v>
      </c>
      <c r="N19">
        <v>23442.027777778</v>
      </c>
      <c r="O19">
        <v>166795.611111111</v>
      </c>
      <c r="P19">
        <v>69108.218358185</v>
      </c>
      <c r="Q19">
        <v>47587.873931624</v>
      </c>
      <c r="R19">
        <v>291691.98331545</v>
      </c>
      <c r="S19">
        <v>339279.857247074</v>
      </c>
      <c r="T19">
        <v>123770.142752926</v>
      </c>
      <c r="V19">
        <f>IF(Allocation!D19="","",_CALC_ALLOC!AI19)</f>
        <v>24145.8461538462</v>
      </c>
      <c r="W19">
        <f>IF(Allocation!D19="","",_CALC_ALLOC!AJ19)</f>
        <v>55788.1538461539</v>
      </c>
      <c r="X19">
        <f>IF(Allocation!D19="","",_CALC_ALLOC!AK19)</f>
        <v>23442.0277777778</v>
      </c>
      <c r="Y19">
        <f>IF(Allocation!D19="","",_CALC_ALLOC!AL19)</f>
        <v>0</v>
      </c>
      <c r="Z19">
        <f>IF(Allocation!D19="","",_CALC_ALLOC!AM19)</f>
        <v>0</v>
      </c>
      <c r="AA19">
        <f>IF(Allocation!D19="","",_CALC_ALLOC!AN19)</f>
        <v>359673.972222222</v>
      </c>
      <c r="AB19">
        <f>IF(Allocation!D19="","",AA19-T19)</f>
        <v>235903.829469296</v>
      </c>
      <c r="AC19">
        <f>IF(Allocation!D19="","",_CALC_ALLOC!AR19)</f>
        <v>0</v>
      </c>
    </row>
    <row r="20" ht="14.25" customHeight="1">
      <c r="A20" t="s">
        <v>191</v>
      </c>
      <c r="B20" t="s">
        <v>192</v>
      </c>
      <c r="C20" t="s">
        <v>25</v>
      </c>
      <c r="D20" t="s">
        <v>77</v>
      </c>
      <c r="E20" t="s">
        <v>232</v>
      </c>
      <c r="F20" t="s">
        <v>199</v>
      </c>
      <c r="G20" t="s">
        <v>200</v>
      </c>
      <c r="H20" t="s">
        <v>197</v>
      </c>
      <c r="I20">
        <v>66</v>
      </c>
      <c r="J20">
        <v>3</v>
      </c>
      <c r="K20">
        <v>525690</v>
      </c>
      <c r="L20">
        <v>31691.423076923</v>
      </c>
      <c r="M20">
        <v>73221.951923077</v>
      </c>
      <c r="N20">
        <v>45449.814814815</v>
      </c>
      <c r="O20">
        <v>174738.259259259</v>
      </c>
      <c r="P20">
        <v>72399.085899051</v>
      </c>
      <c r="Q20">
        <v>77141.237891738</v>
      </c>
      <c r="R20">
        <v>320359.297081387</v>
      </c>
      <c r="S20">
        <v>397500.534973125</v>
      </c>
      <c r="T20">
        <v>128189.465026875</v>
      </c>
      <c r="V20">
        <f>IF(Allocation!D20="","",_CALC_ALLOC!AI20)</f>
        <v>31691.4230769231</v>
      </c>
      <c r="W20">
        <f>IF(Allocation!D20="","",_CALC_ALLOC!AJ20)</f>
        <v>73221.9519230769</v>
      </c>
      <c r="X20">
        <f>IF(Allocation!D20="","",_CALC_ALLOC!AK20)</f>
        <v>45449.8148148148</v>
      </c>
      <c r="Y20">
        <f>IF(Allocation!D20="","",_CALC_ALLOC!AL20)</f>
        <v>0</v>
      </c>
      <c r="Z20">
        <f>IF(Allocation!D20="","",_CALC_ALLOC!AM20)</f>
        <v>0</v>
      </c>
      <c r="AA20">
        <f>IF(Allocation!D20="","",_CALC_ALLOC!AN20)</f>
        <v>375326.810185185</v>
      </c>
      <c r="AB20">
        <f>IF(Allocation!D20="","",AA20-T20)</f>
        <v>247137.34515831</v>
      </c>
      <c r="AC20">
        <f>IF(Allocation!D20="","",_CALC_ALLOC!AR20)</f>
        <v>0</v>
      </c>
    </row>
    <row r="21" ht="14.25" customHeight="1">
      <c r="A21" t="s">
        <v>191</v>
      </c>
      <c r="B21" t="s">
        <v>192</v>
      </c>
      <c r="C21" t="s">
        <v>25</v>
      </c>
      <c r="D21" t="s">
        <v>77</v>
      </c>
      <c r="E21" t="s">
        <v>232</v>
      </c>
      <c r="F21" t="s">
        <v>199</v>
      </c>
      <c r="G21" t="s">
        <v>201</v>
      </c>
      <c r="H21" t="s">
        <v>197</v>
      </c>
      <c r="I21">
        <v>65</v>
      </c>
      <c r="J21">
        <v>3</v>
      </c>
      <c r="K21">
        <v>511875</v>
      </c>
      <c r="L21">
        <v>31691.423076923</v>
      </c>
      <c r="M21">
        <v>73221.951923077</v>
      </c>
      <c r="N21">
        <v>24186.219135802</v>
      </c>
      <c r="O21">
        <v>172090.709876543</v>
      </c>
      <c r="P21">
        <v>71302.130052095</v>
      </c>
      <c r="Q21">
        <v>55877.642212726</v>
      </c>
      <c r="R21">
        <v>316614.791851715</v>
      </c>
      <c r="S21">
        <v>372492.434064441</v>
      </c>
      <c r="T21">
        <v>139382.565935559</v>
      </c>
      <c r="V21">
        <f>IF(Allocation!D21="","",_CALC_ALLOC!AI21)</f>
        <v>31691.4230769231</v>
      </c>
      <c r="W21">
        <f>IF(Allocation!D21="","",_CALC_ALLOC!AJ21)</f>
        <v>73221.9519230769</v>
      </c>
      <c r="X21">
        <f>IF(Allocation!D21="","",_CALC_ALLOC!AK21)</f>
        <v>24186.2191358025</v>
      </c>
      <c r="Y21">
        <f>IF(Allocation!D21="","",_CALC_ALLOC!AL21)</f>
        <v>0</v>
      </c>
      <c r="Z21">
        <f>IF(Allocation!D21="","",_CALC_ALLOC!AM21)</f>
        <v>0</v>
      </c>
      <c r="AA21">
        <f>IF(Allocation!D21="","",_CALC_ALLOC!AN21)</f>
        <v>382775.405864198</v>
      </c>
      <c r="AB21">
        <f>IF(Allocation!D21="","",AA21-T21)</f>
        <v>243392.839928639</v>
      </c>
      <c r="AC21">
        <f>IF(Allocation!D21="","",_CALC_ALLOC!AR21)</f>
        <v>0</v>
      </c>
    </row>
    <row r="22" ht="14.25" customHeight="1">
      <c r="A22" t="s">
        <v>191</v>
      </c>
      <c r="B22" t="s">
        <v>192</v>
      </c>
      <c r="C22" t="s">
        <v>210</v>
      </c>
      <c r="D22" t="s">
        <v>77</v>
      </c>
      <c r="E22" t="s">
        <v>232</v>
      </c>
      <c r="F22" t="s">
        <v>193</v>
      </c>
      <c r="G22" t="s">
        <v>194</v>
      </c>
      <c r="H22" t="s">
        <v>195</v>
      </c>
      <c r="I22">
        <v>62</v>
      </c>
      <c r="J22">
        <v>3</v>
      </c>
      <c r="K22">
        <v>493830</v>
      </c>
      <c r="L22">
        <v>43210.961538462</v>
      </c>
      <c r="M22">
        <v>99837.403846154</v>
      </c>
      <c r="N22">
        <v>42460.111842105</v>
      </c>
      <c r="O22">
        <v>166977.013157895</v>
      </c>
      <c r="P22">
        <v>67441.293963813</v>
      </c>
      <c r="Q22">
        <v>85671.073380567</v>
      </c>
      <c r="R22">
        <v>334255.710967862</v>
      </c>
      <c r="S22">
        <v>419926.784348429</v>
      </c>
      <c r="T22">
        <v>73903.215651571</v>
      </c>
      <c r="V22">
        <f>IF(Allocation!D22="","",_CALC_ALLOC!AI22)</f>
        <v>43210.9615384615</v>
      </c>
      <c r="W22">
        <f>IF(Allocation!D22="","",_CALC_ALLOC!AJ22)</f>
        <v>99837.4038461538</v>
      </c>
      <c r="X22">
        <f>IF(Allocation!D22="","",_CALC_ALLOC!AK22)</f>
        <v>42460.1118421053</v>
      </c>
      <c r="Y22">
        <f>IF(Allocation!D22="","",_CALC_ALLOC!AL22)</f>
        <v>0</v>
      </c>
      <c r="Z22">
        <f>IF(Allocation!D22="","",_CALC_ALLOC!AM22)</f>
        <v>0</v>
      </c>
      <c r="AA22">
        <f>IF(Allocation!D22="","",_CALC_ALLOC!AN22)</f>
        <v>308321.522773279</v>
      </c>
      <c r="AB22">
        <f>IF(Allocation!D22="","",AA22-T22)</f>
        <v>234418.307121708</v>
      </c>
      <c r="AC22">
        <f>IF(Allocation!D22="","",_CALC_ALLOC!AR22)</f>
        <v>0</v>
      </c>
    </row>
    <row r="23" ht="14.25" customHeight="1">
      <c r="A23" t="s">
        <v>191</v>
      </c>
      <c r="B23" t="s">
        <v>192</v>
      </c>
      <c r="C23" t="s">
        <v>210</v>
      </c>
      <c r="D23" t="s">
        <v>77</v>
      </c>
      <c r="E23" t="s">
        <v>232</v>
      </c>
      <c r="F23" t="s">
        <v>193</v>
      </c>
      <c r="G23" t="s">
        <v>196</v>
      </c>
      <c r="H23" t="s">
        <v>197</v>
      </c>
      <c r="I23">
        <v>60</v>
      </c>
      <c r="J23">
        <v>2</v>
      </c>
      <c r="K23">
        <v>441000</v>
      </c>
      <c r="L23">
        <v>23045.846153846</v>
      </c>
      <c r="M23">
        <v>53246.615384615</v>
      </c>
      <c r="N23">
        <v>22710.592105263</v>
      </c>
      <c r="O23">
        <v>161590.657894737</v>
      </c>
      <c r="P23">
        <v>65265.768352077</v>
      </c>
      <c r="Q23">
        <v>45756.438259109</v>
      </c>
      <c r="R23">
        <v>280103.04163143</v>
      </c>
      <c r="S23">
        <v>325859.479890539</v>
      </c>
      <c r="T23">
        <v>115140.520109461</v>
      </c>
      <c r="V23">
        <f>IF(Allocation!D23="","",_CALC_ALLOC!AI23)</f>
        <v>23045.8461538462</v>
      </c>
      <c r="W23">
        <f>IF(Allocation!D23="","",_CALC_ALLOC!AJ23)</f>
        <v>53246.6153846154</v>
      </c>
      <c r="X23">
        <f>IF(Allocation!D23="","",_CALC_ALLOC!AK23)</f>
        <v>22710.5921052632</v>
      </c>
      <c r="Y23">
        <f>IF(Allocation!D23="","",_CALC_ALLOC!AL23)</f>
        <v>0</v>
      </c>
      <c r="Z23">
        <f>IF(Allocation!D23="","",_CALC_ALLOC!AM23)</f>
        <v>0</v>
      </c>
      <c r="AA23">
        <f>IF(Allocation!D23="","",_CALC_ALLOC!AN23)</f>
        <v>341996.946356275</v>
      </c>
      <c r="AB23">
        <f>IF(Allocation!D23="","",AA23-T23)</f>
        <v>226856.426246814</v>
      </c>
      <c r="AC23">
        <f>IF(Allocation!D23="","",_CALC_ALLOC!AR23)</f>
        <v>0</v>
      </c>
    </row>
    <row r="24" ht="14.25" customHeight="1">
      <c r="A24" t="s">
        <v>191</v>
      </c>
      <c r="B24" t="s">
        <v>192</v>
      </c>
      <c r="C24" t="s">
        <v>210</v>
      </c>
      <c r="D24" t="s">
        <v>77</v>
      </c>
      <c r="E24" t="s">
        <v>232</v>
      </c>
      <c r="F24" t="s">
        <v>193</v>
      </c>
      <c r="G24" t="s">
        <v>198</v>
      </c>
      <c r="H24" t="s">
        <v>197</v>
      </c>
      <c r="I24">
        <v>59</v>
      </c>
      <c r="J24">
        <v>2</v>
      </c>
      <c r="K24">
        <v>433650</v>
      </c>
      <c r="L24">
        <v>23045.846153846</v>
      </c>
      <c r="M24">
        <v>53246.615384615</v>
      </c>
      <c r="N24">
        <v>22332.082236842</v>
      </c>
      <c r="O24">
        <v>158897.480263158</v>
      </c>
      <c r="P24">
        <v>64178.005546209</v>
      </c>
      <c r="Q24">
        <v>45377.928390688</v>
      </c>
      <c r="R24">
        <v>276322.101193983</v>
      </c>
      <c r="S24">
        <v>321700.029584671</v>
      </c>
      <c r="T24">
        <v>111949.970415329</v>
      </c>
      <c r="V24">
        <f>IF(Allocation!D24="","",_CALC_ALLOC!AI24)</f>
        <v>23045.8461538462</v>
      </c>
      <c r="W24">
        <f>IF(Allocation!D24="","",_CALC_ALLOC!AJ24)</f>
        <v>53246.6153846154</v>
      </c>
      <c r="X24">
        <f>IF(Allocation!D24="","",_CALC_ALLOC!AK24)</f>
        <v>22332.0822368421</v>
      </c>
      <c r="Y24">
        <f>IF(Allocation!D24="","",_CALC_ALLOC!AL24)</f>
        <v>0</v>
      </c>
      <c r="Z24">
        <f>IF(Allocation!D24="","",_CALC_ALLOC!AM24)</f>
        <v>0</v>
      </c>
      <c r="AA24">
        <f>IF(Allocation!D24="","",_CALC_ALLOC!AN24)</f>
        <v>335025.456224696</v>
      </c>
      <c r="AB24">
        <f>IF(Allocation!D24="","",AA24-T24)</f>
        <v>223075.485809367</v>
      </c>
      <c r="AC24">
        <f>IF(Allocation!D24="","",_CALC_ALLOC!AR24)</f>
        <v>0</v>
      </c>
    </row>
    <row r="25" ht="14.25" customHeight="1">
      <c r="A25" t="s">
        <v>191</v>
      </c>
      <c r="B25" t="s">
        <v>192</v>
      </c>
      <c r="C25" t="s">
        <v>210</v>
      </c>
      <c r="D25" t="s">
        <v>77</v>
      </c>
      <c r="E25" t="s">
        <v>232</v>
      </c>
      <c r="F25" t="s">
        <v>199</v>
      </c>
      <c r="G25" t="s">
        <v>200</v>
      </c>
      <c r="H25" t="s">
        <v>197</v>
      </c>
      <c r="I25">
        <v>62</v>
      </c>
      <c r="J25">
        <v>3</v>
      </c>
      <c r="K25">
        <v>493830</v>
      </c>
      <c r="L25">
        <v>30247.673076923</v>
      </c>
      <c r="M25">
        <v>69886.182692308</v>
      </c>
      <c r="N25">
        <v>42460.111842105</v>
      </c>
      <c r="O25">
        <v>166977.013157895</v>
      </c>
      <c r="P25">
        <v>67441.293963813</v>
      </c>
      <c r="Q25">
        <v>72707.784919028</v>
      </c>
      <c r="R25">
        <v>304304.489814016</v>
      </c>
      <c r="S25">
        <v>377012.274733044</v>
      </c>
      <c r="T25">
        <v>116817.725266956</v>
      </c>
      <c r="V25">
        <f>IF(Allocation!D25="","",_CALC_ALLOC!AI25)</f>
        <v>30247.6730769231</v>
      </c>
      <c r="W25">
        <f>IF(Allocation!D25="","",_CALC_ALLOC!AJ25)</f>
        <v>69886.1826923077</v>
      </c>
      <c r="X25">
        <f>IF(Allocation!D25="","",_CALC_ALLOC!AK25)</f>
        <v>42460.1118421053</v>
      </c>
      <c r="Y25">
        <f>IF(Allocation!D25="","",_CALC_ALLOC!AL25)</f>
        <v>0</v>
      </c>
      <c r="Z25">
        <f>IF(Allocation!D25="","",_CALC_ALLOC!AM25)</f>
        <v>0</v>
      </c>
      <c r="AA25">
        <f>IF(Allocation!D25="","",_CALC_ALLOC!AN25)</f>
        <v>351236.032388664</v>
      </c>
      <c r="AB25">
        <f>IF(Allocation!D25="","",AA25-T25)</f>
        <v>234418.307121708</v>
      </c>
      <c r="AC25">
        <f>IF(Allocation!D25="","",_CALC_ALLOC!AR25)</f>
        <v>0</v>
      </c>
    </row>
    <row r="26" ht="14.25" customHeight="1">
      <c r="A26" t="s">
        <v>191</v>
      </c>
      <c r="B26" t="s">
        <v>192</v>
      </c>
      <c r="C26" t="s">
        <v>210</v>
      </c>
      <c r="D26" t="s">
        <v>77</v>
      </c>
      <c r="E26" t="s">
        <v>232</v>
      </c>
      <c r="F26" t="s">
        <v>199</v>
      </c>
      <c r="G26" t="s">
        <v>201</v>
      </c>
      <c r="H26" t="s">
        <v>197</v>
      </c>
      <c r="I26">
        <v>61</v>
      </c>
      <c r="J26">
        <v>3</v>
      </c>
      <c r="K26">
        <v>480375</v>
      </c>
      <c r="L26">
        <v>30247.673076923</v>
      </c>
      <c r="M26">
        <v>69886.182692308</v>
      </c>
      <c r="N26">
        <v>23089.101973684</v>
      </c>
      <c r="O26">
        <v>164283.835526316</v>
      </c>
      <c r="P26">
        <v>66353.531157945</v>
      </c>
      <c r="Q26">
        <v>53336.775050607</v>
      </c>
      <c r="R26">
        <v>300523.549376569</v>
      </c>
      <c r="S26">
        <v>353860.324427176</v>
      </c>
      <c r="T26">
        <v>126514.675572824</v>
      </c>
      <c r="V26">
        <f>IF(Allocation!D26="","",_CALC_ALLOC!AI26)</f>
        <v>30247.6730769231</v>
      </c>
      <c r="W26">
        <f>IF(Allocation!D26="","",_CALC_ALLOC!AJ26)</f>
        <v>69886.1826923077</v>
      </c>
      <c r="X26">
        <f>IF(Allocation!D26="","",_CALC_ALLOC!AK26)</f>
        <v>23089.1019736842</v>
      </c>
      <c r="Y26">
        <f>IF(Allocation!D26="","",_CALC_ALLOC!AL26)</f>
        <v>0</v>
      </c>
      <c r="Z26">
        <f>IF(Allocation!D26="","",_CALC_ALLOC!AM26)</f>
        <v>0</v>
      </c>
      <c r="AA26">
        <f>IF(Allocation!D26="","",_CALC_ALLOC!AN26)</f>
        <v>357152.042257085</v>
      </c>
      <c r="AB26">
        <f>IF(Allocation!D26="","",AA26-T26)</f>
        <v>230637.366684261</v>
      </c>
      <c r="AC26">
        <f>IF(Allocation!D26="","",_CALC_ALLOC!AR26)</f>
        <v>0</v>
      </c>
    </row>
    <row r="27" ht="14.25" customHeight="1">
      <c r="A27" t="s">
        <v>191</v>
      </c>
      <c r="B27" t="s">
        <v>192</v>
      </c>
      <c r="C27" t="s">
        <v>211</v>
      </c>
      <c r="D27" t="s">
        <v>77</v>
      </c>
      <c r="E27" t="s">
        <v>232</v>
      </c>
      <c r="F27" t="s">
        <v>193</v>
      </c>
      <c r="G27" t="s">
        <v>194</v>
      </c>
      <c r="H27" t="s">
        <v>195</v>
      </c>
      <c r="I27">
        <v>59</v>
      </c>
      <c r="J27">
        <v>3</v>
      </c>
      <c r="K27">
        <v>469935</v>
      </c>
      <c r="L27">
        <v>41317.788461538</v>
      </c>
      <c r="M27">
        <v>95462.884615385</v>
      </c>
      <c r="N27">
        <v>39727.851211073</v>
      </c>
      <c r="O27">
        <v>159821.404844291</v>
      </c>
      <c r="P27">
        <v>63962.776412529</v>
      </c>
      <c r="Q27">
        <v>81045.639672611</v>
      </c>
      <c r="R27">
        <v>319247.065872204</v>
      </c>
      <c r="S27">
        <v>400292.705544815</v>
      </c>
      <c r="T27">
        <v>69642.294455185</v>
      </c>
      <c r="V27">
        <f>IF(Allocation!D27="","",_CALC_ALLOC!AI27)</f>
        <v>41317.7884615385</v>
      </c>
      <c r="W27">
        <f>IF(Allocation!D27="","",_CALC_ALLOC!AJ27)</f>
        <v>95462.8846153846</v>
      </c>
      <c r="X27">
        <f>IF(Allocation!D27="","",_CALC_ALLOC!AK27)</f>
        <v>39727.8512110727</v>
      </c>
      <c r="Y27">
        <f>IF(Allocation!D27="","",_CALC_ALLOC!AL27)</f>
        <v>0</v>
      </c>
      <c r="Z27">
        <f>IF(Allocation!D27="","",_CALC_ALLOC!AM27)</f>
        <v>0</v>
      </c>
      <c r="AA27">
        <f>IF(Allocation!D27="","",_CALC_ALLOC!AN27)</f>
        <v>293426.475712004</v>
      </c>
      <c r="AB27">
        <f>IF(Allocation!D27="","",AA27-T27)</f>
        <v>223784.181256819</v>
      </c>
      <c r="AC27">
        <f>IF(Allocation!D27="","",_CALC_ALLOC!AR27)</f>
        <v>0</v>
      </c>
    </row>
    <row r="28" ht="14.25" customHeight="1">
      <c r="A28" t="s">
        <v>191</v>
      </c>
      <c r="B28" t="s">
        <v>192</v>
      </c>
      <c r="C28" t="s">
        <v>211</v>
      </c>
      <c r="D28" t="s">
        <v>77</v>
      </c>
      <c r="E28" t="s">
        <v>232</v>
      </c>
      <c r="F28" t="s">
        <v>193</v>
      </c>
      <c r="G28" t="s">
        <v>196</v>
      </c>
      <c r="H28" t="s">
        <v>197</v>
      </c>
      <c r="I28">
        <v>57</v>
      </c>
      <c r="J28">
        <v>2</v>
      </c>
      <c r="K28">
        <v>418950</v>
      </c>
      <c r="L28">
        <v>22036.153846154</v>
      </c>
      <c r="M28">
        <v>50913.538461538</v>
      </c>
      <c r="N28">
        <v>21700.432525952</v>
      </c>
      <c r="O28">
        <v>154403.730103806</v>
      </c>
      <c r="P28">
        <v>61794.54670363</v>
      </c>
      <c r="Q28">
        <v>43736.586372105</v>
      </c>
      <c r="R28">
        <v>267111.815268974</v>
      </c>
      <c r="S28">
        <v>310848.40164108</v>
      </c>
      <c r="T28">
        <v>108101.59835892</v>
      </c>
      <c r="V28">
        <f>IF(Allocation!D28="","",_CALC_ALLOC!AI28)</f>
        <v>22036.1538461538</v>
      </c>
      <c r="W28">
        <f>IF(Allocation!D28="","",_CALC_ALLOC!AJ28)</f>
        <v>50913.5384615385</v>
      </c>
      <c r="X28">
        <f>IF(Allocation!D28="","",_CALC_ALLOC!AK28)</f>
        <v>21700.4325259516</v>
      </c>
      <c r="Y28">
        <f>IF(Allocation!D28="","",_CALC_ALLOC!AL28)</f>
        <v>0</v>
      </c>
      <c r="Z28">
        <f>IF(Allocation!D28="","",_CALC_ALLOC!AM28)</f>
        <v>0</v>
      </c>
      <c r="AA28">
        <f>IF(Allocation!D28="","",_CALC_ALLOC!AN28)</f>
        <v>324299.875166356</v>
      </c>
      <c r="AB28">
        <f>IF(Allocation!D28="","",AA28-T28)</f>
        <v>216198.276807436</v>
      </c>
      <c r="AC28">
        <f>IF(Allocation!D28="","",_CALC_ALLOC!AR28)</f>
        <v>0</v>
      </c>
    </row>
    <row r="29" ht="14.25" customHeight="1">
      <c r="A29" t="s">
        <v>191</v>
      </c>
      <c r="B29" t="s">
        <v>192</v>
      </c>
      <c r="C29" t="s">
        <v>211</v>
      </c>
      <c r="D29" t="s">
        <v>77</v>
      </c>
      <c r="E29" t="s">
        <v>232</v>
      </c>
      <c r="F29" t="s">
        <v>193</v>
      </c>
      <c r="G29" t="s">
        <v>198</v>
      </c>
      <c r="H29" t="s">
        <v>197</v>
      </c>
      <c r="I29">
        <v>56</v>
      </c>
      <c r="J29">
        <v>2</v>
      </c>
      <c r="K29">
        <v>411600</v>
      </c>
      <c r="L29">
        <v>22036.153846154</v>
      </c>
      <c r="M29">
        <v>50913.538461538</v>
      </c>
      <c r="N29">
        <v>21319.723183391</v>
      </c>
      <c r="O29">
        <v>151694.892733564</v>
      </c>
      <c r="P29">
        <v>60710.43184918</v>
      </c>
      <c r="Q29">
        <v>43355.877029545</v>
      </c>
      <c r="R29">
        <v>263318.863044283</v>
      </c>
      <c r="S29">
        <v>306674.740073827</v>
      </c>
      <c r="T29">
        <v>104925.259926173</v>
      </c>
      <c r="V29">
        <f>IF(Allocation!D29="","",_CALC_ALLOC!AI29)</f>
        <v>22036.1538461538</v>
      </c>
      <c r="W29">
        <f>IF(Allocation!D29="","",_CALC_ALLOC!AJ29)</f>
        <v>50913.5384615385</v>
      </c>
      <c r="X29">
        <f>IF(Allocation!D29="","",_CALC_ALLOC!AK29)</f>
        <v>21319.723183391</v>
      </c>
      <c r="Y29">
        <f>IF(Allocation!D29="","",_CALC_ALLOC!AL29)</f>
        <v>0</v>
      </c>
      <c r="Z29">
        <f>IF(Allocation!D29="","",_CALC_ALLOC!AM29)</f>
        <v>0</v>
      </c>
      <c r="AA29">
        <f>IF(Allocation!D29="","",_CALC_ALLOC!AN29)</f>
        <v>317330.584508917</v>
      </c>
      <c r="AB29">
        <f>IF(Allocation!D29="","",AA29-T29)</f>
        <v>212405.324582744</v>
      </c>
      <c r="AC29">
        <f>IF(Allocation!D29="","",_CALC_ALLOC!AR29)</f>
        <v>0</v>
      </c>
    </row>
    <row r="30" ht="14.25" customHeight="1">
      <c r="A30" t="s">
        <v>191</v>
      </c>
      <c r="B30" t="s">
        <v>192</v>
      </c>
      <c r="C30" t="s">
        <v>211</v>
      </c>
      <c r="D30" t="s">
        <v>77</v>
      </c>
      <c r="E30" t="s">
        <v>232</v>
      </c>
      <c r="F30" t="s">
        <v>199</v>
      </c>
      <c r="G30" t="s">
        <v>200</v>
      </c>
      <c r="H30" t="s">
        <v>197</v>
      </c>
      <c r="I30">
        <v>59</v>
      </c>
      <c r="J30">
        <v>3</v>
      </c>
      <c r="K30">
        <v>469935</v>
      </c>
      <c r="L30">
        <v>28922.451923077</v>
      </c>
      <c r="M30">
        <v>66824.019230769</v>
      </c>
      <c r="N30">
        <v>39727.851211073</v>
      </c>
      <c r="O30">
        <v>159821.404844291</v>
      </c>
      <c r="P30">
        <v>63962.776412529</v>
      </c>
      <c r="Q30">
        <v>68650.30313415</v>
      </c>
      <c r="R30">
        <v>290608.200487589</v>
      </c>
      <c r="S30">
        <v>359258.503621739</v>
      </c>
      <c r="T30">
        <v>110676.496378261</v>
      </c>
      <c r="V30">
        <f>IF(Allocation!D30="","",_CALC_ALLOC!AI30)</f>
        <v>28922.4519230769</v>
      </c>
      <c r="W30">
        <f>IF(Allocation!D30="","",_CALC_ALLOC!AJ30)</f>
        <v>66824.0192307692</v>
      </c>
      <c r="X30">
        <f>IF(Allocation!D30="","",_CALC_ALLOC!AK30)</f>
        <v>39727.8512110727</v>
      </c>
      <c r="Y30">
        <f>IF(Allocation!D30="","",_CALC_ALLOC!AL30)</f>
        <v>0</v>
      </c>
      <c r="Z30">
        <f>IF(Allocation!D30="","",_CALC_ALLOC!AM30)</f>
        <v>0</v>
      </c>
      <c r="AA30">
        <f>IF(Allocation!D30="","",_CALC_ALLOC!AN30)</f>
        <v>334460.677635081</v>
      </c>
      <c r="AB30">
        <f>IF(Allocation!D30="","",AA30-T30)</f>
        <v>223784.18125682</v>
      </c>
      <c r="AC30">
        <f>IF(Allocation!D30="","",_CALC_ALLOC!AR30)</f>
        <v>0</v>
      </c>
    </row>
    <row r="31" ht="14.25" customHeight="1">
      <c r="A31" t="s">
        <v>191</v>
      </c>
      <c r="B31" t="s">
        <v>192</v>
      </c>
      <c r="C31" t="s">
        <v>211</v>
      </c>
      <c r="D31" t="s">
        <v>77</v>
      </c>
      <c r="E31" t="s">
        <v>232</v>
      </c>
      <c r="F31" t="s">
        <v>199</v>
      </c>
      <c r="G31" t="s">
        <v>201</v>
      </c>
      <c r="H31" t="s">
        <v>197</v>
      </c>
      <c r="I31">
        <v>58</v>
      </c>
      <c r="J31">
        <v>3</v>
      </c>
      <c r="K31">
        <v>456750</v>
      </c>
      <c r="L31">
        <v>28922.451923077</v>
      </c>
      <c r="M31">
        <v>66824.019230769</v>
      </c>
      <c r="N31">
        <v>22081.141868512</v>
      </c>
      <c r="O31">
        <v>157112.567474048</v>
      </c>
      <c r="P31">
        <v>62878.661558079</v>
      </c>
      <c r="Q31">
        <v>51003.593791589</v>
      </c>
      <c r="R31">
        <v>286815.248262897</v>
      </c>
      <c r="S31">
        <v>337818.842054486</v>
      </c>
      <c r="T31">
        <v>118931.157945514</v>
      </c>
      <c r="V31">
        <f>IF(Allocation!D31="","",_CALC_ALLOC!AI31)</f>
        <v>28922.4519230769</v>
      </c>
      <c r="W31">
        <f>IF(Allocation!D31="","",_CALC_ALLOC!AJ31)</f>
        <v>66824.0192307692</v>
      </c>
      <c r="X31">
        <f>IF(Allocation!D31="","",_CALC_ALLOC!AK31)</f>
        <v>22081.1418685121</v>
      </c>
      <c r="Y31">
        <f>IF(Allocation!D31="","",_CALC_ALLOC!AL31)</f>
        <v>0</v>
      </c>
      <c r="Z31">
        <f>IF(Allocation!D31="","",_CALC_ALLOC!AM31)</f>
        <v>0</v>
      </c>
      <c r="AA31">
        <f>IF(Allocation!D31="","",_CALC_ALLOC!AN31)</f>
        <v>338922.386977642</v>
      </c>
      <c r="AB31">
        <f>IF(Allocation!D31="","",AA31-T31)</f>
        <v>219991.229032128</v>
      </c>
      <c r="AC31">
        <f>IF(Allocation!D31="","",_CALC_ALLOC!AR31)</f>
        <v>0</v>
      </c>
    </row>
    <row r="32" ht="14.25" customHeight="1">
      <c r="A32" t="s">
        <v>191</v>
      </c>
      <c r="B32" t="s">
        <v>192</v>
      </c>
      <c r="C32" t="s">
        <v>25</v>
      </c>
      <c r="D32" t="s">
        <v>79</v>
      </c>
      <c r="E32" t="s">
        <v>232</v>
      </c>
      <c r="F32" t="s">
        <v>193</v>
      </c>
      <c r="G32" t="s">
        <v>194</v>
      </c>
      <c r="H32" t="s">
        <v>195</v>
      </c>
      <c r="I32">
        <v>60</v>
      </c>
      <c r="J32">
        <v>2</v>
      </c>
      <c r="K32">
        <v>455400</v>
      </c>
      <c r="L32">
        <v>30824.468085106</v>
      </c>
      <c r="M32">
        <v>63588.29787234</v>
      </c>
      <c r="N32">
        <v>38092.214285714</v>
      </c>
      <c r="O32">
        <v>142624.693877551</v>
      </c>
      <c r="P32">
        <v>62702.182427681</v>
      </c>
      <c r="Q32">
        <v>68916.682370821</v>
      </c>
      <c r="R32">
        <v>268915.174177572</v>
      </c>
      <c r="S32">
        <v>337831.856548393</v>
      </c>
      <c r="T32">
        <v>117568.143451607</v>
      </c>
      <c r="V32">
        <f>IF(Allocation!D32="","",_CALC_ALLOC!AI32)</f>
        <v>30824.4680851064</v>
      </c>
      <c r="W32">
        <f>IF(Allocation!D32="","",_CALC_ALLOC!AJ32)</f>
        <v>63588.2978723404</v>
      </c>
      <c r="X32">
        <f>IF(Allocation!D32="","",_CALC_ALLOC!AK32)</f>
        <v>38092.2142857143</v>
      </c>
      <c r="Y32">
        <f>IF(Allocation!D32="","",_CALC_ALLOC!AL32)</f>
        <v>0</v>
      </c>
      <c r="Z32">
        <f>IF(Allocation!D32="","",_CALC_ALLOC!AM32)</f>
        <v>0</v>
      </c>
      <c r="AA32">
        <f>IF(Allocation!D32="","",_CALC_ALLOC!AN32)</f>
        <v>322895.019756839</v>
      </c>
      <c r="AB32">
        <f>IF(Allocation!D32="","",AA32-T32)</f>
        <v>205326.876305232</v>
      </c>
      <c r="AC32">
        <f>IF(Allocation!D32="","",_CALC_ALLOC!AR32)</f>
        <v>0</v>
      </c>
    </row>
    <row r="33" ht="14.25" customHeight="1">
      <c r="A33" t="s">
        <v>191</v>
      </c>
      <c r="B33" t="s">
        <v>192</v>
      </c>
      <c r="C33" t="s">
        <v>25</v>
      </c>
      <c r="D33" t="s">
        <v>79</v>
      </c>
      <c r="E33" t="s">
        <v>232</v>
      </c>
      <c r="F33" t="s">
        <v>193</v>
      </c>
      <c r="G33" t="s">
        <v>196</v>
      </c>
      <c r="H33" t="s">
        <v>197</v>
      </c>
      <c r="I33">
        <v>58</v>
      </c>
      <c r="J33">
        <v>2</v>
      </c>
      <c r="K33">
        <v>406000</v>
      </c>
      <c r="L33">
        <v>24659.574468085</v>
      </c>
      <c r="M33">
        <v>50870.638297872</v>
      </c>
      <c r="N33">
        <v>21581.523809524</v>
      </c>
      <c r="O33">
        <v>137870.537414966</v>
      </c>
      <c r="P33">
        <v>60612.109680091</v>
      </c>
      <c r="Q33">
        <v>46241.098277609</v>
      </c>
      <c r="R33">
        <v>249353.28539293</v>
      </c>
      <c r="S33">
        <v>295594.383670539</v>
      </c>
      <c r="T33">
        <v>110405.616329461</v>
      </c>
      <c r="V33">
        <f>IF(Allocation!D33="","",_CALC_ALLOC!AI33)</f>
        <v>24659.5744680851</v>
      </c>
      <c r="W33">
        <f>IF(Allocation!D33="","",_CALC_ALLOC!AJ33)</f>
        <v>50870.6382978723</v>
      </c>
      <c r="X33">
        <f>IF(Allocation!D33="","",_CALC_ALLOC!AK33)</f>
        <v>21581.5238095238</v>
      </c>
      <c r="Y33">
        <f>IF(Allocation!D33="","",_CALC_ALLOC!AL33)</f>
        <v>0</v>
      </c>
      <c r="Z33">
        <f>IF(Allocation!D33="","",_CALC_ALLOC!AM33)</f>
        <v>0</v>
      </c>
      <c r="AA33">
        <f>IF(Allocation!D33="","",_CALC_ALLOC!AN33)</f>
        <v>308888.263424519</v>
      </c>
      <c r="AB33">
        <f>IF(Allocation!D33="","",AA33-T33)</f>
        <v>198482.647095058</v>
      </c>
      <c r="AC33">
        <f>IF(Allocation!D33="","",_CALC_ALLOC!AR33)</f>
        <v>0</v>
      </c>
    </row>
    <row r="34" ht="14.25" customHeight="1">
      <c r="A34" t="s">
        <v>191</v>
      </c>
      <c r="B34" t="s">
        <v>192</v>
      </c>
      <c r="C34" t="s">
        <v>25</v>
      </c>
      <c r="D34" t="s">
        <v>79</v>
      </c>
      <c r="E34" t="s">
        <v>232</v>
      </c>
      <c r="F34" t="s">
        <v>193</v>
      </c>
      <c r="G34" t="s">
        <v>198</v>
      </c>
      <c r="H34" t="s">
        <v>197</v>
      </c>
      <c r="I34">
        <v>57</v>
      </c>
      <c r="J34">
        <v>2</v>
      </c>
      <c r="K34">
        <v>399000</v>
      </c>
      <c r="L34">
        <v>24659.574468085</v>
      </c>
      <c r="M34">
        <v>50870.638297872</v>
      </c>
      <c r="N34">
        <v>21209.428571429</v>
      </c>
      <c r="O34">
        <v>135493.459183673</v>
      </c>
      <c r="P34">
        <v>59567.073306297</v>
      </c>
      <c r="Q34">
        <v>45869.003039514</v>
      </c>
      <c r="R34">
        <v>245931.170787842</v>
      </c>
      <c r="S34">
        <v>291800.173827356</v>
      </c>
      <c r="T34">
        <v>107199.826172644</v>
      </c>
      <c r="V34">
        <f>IF(Allocation!D34="","",_CALC_ALLOC!AI34)</f>
        <v>24659.5744680851</v>
      </c>
      <c r="W34">
        <f>IF(Allocation!D34="","",_CALC_ALLOC!AJ34)</f>
        <v>50870.6382978723</v>
      </c>
      <c r="X34">
        <f>IF(Allocation!D34="","",_CALC_ALLOC!AK34)</f>
        <v>21209.4285714286</v>
      </c>
      <c r="Y34">
        <f>IF(Allocation!D34="","",_CALC_ALLOC!AL34)</f>
        <v>0</v>
      </c>
      <c r="Z34">
        <f>IF(Allocation!D34="","",_CALC_ALLOC!AM34)</f>
        <v>0</v>
      </c>
      <c r="AA34">
        <f>IF(Allocation!D34="","",_CALC_ALLOC!AN34)</f>
        <v>302260.358662614</v>
      </c>
      <c r="AB34">
        <f>IF(Allocation!D34="","",AA34-T34)</f>
        <v>195060.53248997</v>
      </c>
      <c r="AC34">
        <f>IF(Allocation!D34="","",_CALC_ALLOC!AR34)</f>
        <v>0</v>
      </c>
    </row>
    <row r="35" ht="14.25" customHeight="1">
      <c r="A35" t="s">
        <v>191</v>
      </c>
      <c r="B35" t="s">
        <v>192</v>
      </c>
      <c r="C35" t="s">
        <v>25</v>
      </c>
      <c r="D35" t="s">
        <v>79</v>
      </c>
      <c r="E35" t="s">
        <v>232</v>
      </c>
      <c r="F35" t="s">
        <v>199</v>
      </c>
      <c r="G35" t="s">
        <v>200</v>
      </c>
      <c r="H35" t="s">
        <v>197</v>
      </c>
      <c r="I35">
        <v>60</v>
      </c>
      <c r="J35">
        <v>3</v>
      </c>
      <c r="K35">
        <v>455400</v>
      </c>
      <c r="L35">
        <v>32365.691489362</v>
      </c>
      <c r="M35">
        <v>66767.712765957</v>
      </c>
      <c r="N35">
        <v>38092.214285714</v>
      </c>
      <c r="O35">
        <v>142624.693877551</v>
      </c>
      <c r="P35">
        <v>62702.182427681</v>
      </c>
      <c r="Q35">
        <v>70457.905775076</v>
      </c>
      <c r="R35">
        <v>272094.589071189</v>
      </c>
      <c r="S35">
        <v>342552.494846265</v>
      </c>
      <c r="T35">
        <v>112847.505153735</v>
      </c>
      <c r="V35">
        <f>IF(Allocation!D35="","",_CALC_ALLOC!AI35)</f>
        <v>32365.6914893617</v>
      </c>
      <c r="W35">
        <f>IF(Allocation!D35="","",_CALC_ALLOC!AJ35)</f>
        <v>66767.7127659574</v>
      </c>
      <c r="X35">
        <f>IF(Allocation!D35="","",_CALC_ALLOC!AK35)</f>
        <v>38092.2142857143</v>
      </c>
      <c r="Y35">
        <f>IF(Allocation!D35="","",_CALC_ALLOC!AL35)</f>
        <v>0</v>
      </c>
      <c r="Z35">
        <f>IF(Allocation!D35="","",_CALC_ALLOC!AM35)</f>
        <v>0</v>
      </c>
      <c r="AA35">
        <f>IF(Allocation!D35="","",_CALC_ALLOC!AN35)</f>
        <v>318174.381458967</v>
      </c>
      <c r="AB35">
        <f>IF(Allocation!D35="","",AA35-T35)</f>
        <v>205326.876305232</v>
      </c>
      <c r="AC35">
        <f>IF(Allocation!D35="","",_CALC_ALLOC!AR35)</f>
        <v>0</v>
      </c>
    </row>
    <row r="36" ht="14.25" customHeight="1">
      <c r="A36" t="s">
        <v>191</v>
      </c>
      <c r="B36" t="s">
        <v>192</v>
      </c>
      <c r="C36" t="s">
        <v>25</v>
      </c>
      <c r="D36" t="s">
        <v>79</v>
      </c>
      <c r="E36" t="s">
        <v>232</v>
      </c>
      <c r="F36" t="s">
        <v>199</v>
      </c>
      <c r="G36" t="s">
        <v>201</v>
      </c>
      <c r="H36" t="s">
        <v>197</v>
      </c>
      <c r="I36">
        <v>59</v>
      </c>
      <c r="J36">
        <v>3</v>
      </c>
      <c r="K36">
        <v>442500</v>
      </c>
      <c r="L36">
        <v>32365.691489362</v>
      </c>
      <c r="M36">
        <v>66767.712765957</v>
      </c>
      <c r="N36">
        <v>21953.619047619</v>
      </c>
      <c r="O36">
        <v>140247.615646259</v>
      </c>
      <c r="P36">
        <v>61657.146053886</v>
      </c>
      <c r="Q36">
        <v>54319.310536981</v>
      </c>
      <c r="R36">
        <v>268672.474466102</v>
      </c>
      <c r="S36">
        <v>322991.785003083</v>
      </c>
      <c r="T36">
        <v>119508.214996917</v>
      </c>
      <c r="V36">
        <f>IF(Allocation!D36="","",_CALC_ALLOC!AI36)</f>
        <v>32365.6914893617</v>
      </c>
      <c r="W36">
        <f>IF(Allocation!D36="","",_CALC_ALLOC!AJ36)</f>
        <v>66767.7127659574</v>
      </c>
      <c r="X36">
        <f>IF(Allocation!D36="","",_CALC_ALLOC!AK36)</f>
        <v>21953.619047619</v>
      </c>
      <c r="Y36">
        <f>IF(Allocation!D36="","",_CALC_ALLOC!AL36)</f>
        <v>0</v>
      </c>
      <c r="Z36">
        <f>IF(Allocation!D36="","",_CALC_ALLOC!AM36)</f>
        <v>0</v>
      </c>
      <c r="AA36">
        <f>IF(Allocation!D36="","",_CALC_ALLOC!AN36)</f>
        <v>321412.976697062</v>
      </c>
      <c r="AB36">
        <f>IF(Allocation!D36="","",AA36-T36)</f>
        <v>201904.761700145</v>
      </c>
      <c r="AC36">
        <f>IF(Allocation!D36="","",_CALC_ALLOC!AR36)</f>
        <v>0</v>
      </c>
    </row>
    <row r="37" ht="14.25" customHeight="1">
      <c r="A37" t="s">
        <v>191</v>
      </c>
      <c r="B37" t="s">
        <v>192</v>
      </c>
      <c r="C37" t="s">
        <v>210</v>
      </c>
      <c r="D37" t="s">
        <v>79</v>
      </c>
      <c r="E37" t="s">
        <v>232</v>
      </c>
      <c r="F37" t="s">
        <v>193</v>
      </c>
      <c r="G37" t="s">
        <v>194</v>
      </c>
      <c r="H37" t="s">
        <v>195</v>
      </c>
      <c r="I37">
        <v>57</v>
      </c>
      <c r="J37">
        <v>2</v>
      </c>
      <c r="K37">
        <v>432630</v>
      </c>
      <c r="L37">
        <v>29420.212765957</v>
      </c>
      <c r="M37">
        <v>60691.276595745</v>
      </c>
      <c r="N37">
        <v>35664.483870968</v>
      </c>
      <c r="O37">
        <v>136273.516129032</v>
      </c>
      <c r="P37">
        <v>59067.641159468</v>
      </c>
      <c r="Q37">
        <v>65084.696636925</v>
      </c>
      <c r="R37">
        <v>256032.433884245</v>
      </c>
      <c r="S37">
        <v>321117.130521171</v>
      </c>
      <c r="T37">
        <v>111512.869478829</v>
      </c>
      <c r="V37">
        <f>IF(Allocation!D37="","",_CALC_ALLOC!AI37)</f>
        <v>29420.2127659574</v>
      </c>
      <c r="W37">
        <f>IF(Allocation!D37="","",_CALC_ALLOC!AJ37)</f>
        <v>60691.2765957447</v>
      </c>
      <c r="X37">
        <f>IF(Allocation!D37="","",_CALC_ALLOC!AK37)</f>
        <v>35664.4838709677</v>
      </c>
      <c r="Y37">
        <f>IF(Allocation!D37="","",_CALC_ALLOC!AL37)</f>
        <v>0</v>
      </c>
      <c r="Z37">
        <f>IF(Allocation!D37="","",_CALC_ALLOC!AM37)</f>
        <v>0</v>
      </c>
      <c r="AA37">
        <f>IF(Allocation!D37="","",_CALC_ALLOC!AN37)</f>
        <v>306854.02676733</v>
      </c>
      <c r="AB37">
        <f>IF(Allocation!D37="","",AA37-T37)</f>
        <v>195341.157288501</v>
      </c>
      <c r="AC37">
        <f>IF(Allocation!D37="","",_CALC_ALLOC!AR37)</f>
        <v>0</v>
      </c>
    </row>
    <row r="38" ht="14.25" customHeight="1">
      <c r="A38" t="s">
        <v>191</v>
      </c>
      <c r="B38" t="s">
        <v>192</v>
      </c>
      <c r="C38" t="s">
        <v>210</v>
      </c>
      <c r="D38" t="s">
        <v>79</v>
      </c>
      <c r="E38" t="s">
        <v>232</v>
      </c>
      <c r="F38" t="s">
        <v>193</v>
      </c>
      <c r="G38" t="s">
        <v>196</v>
      </c>
      <c r="H38" t="s">
        <v>197</v>
      </c>
      <c r="I38">
        <v>55</v>
      </c>
      <c r="J38">
        <v>2</v>
      </c>
      <c r="K38">
        <v>385000</v>
      </c>
      <c r="L38">
        <v>23536.170212766</v>
      </c>
      <c r="M38">
        <v>48553.021276596</v>
      </c>
      <c r="N38">
        <v>20583.010752688</v>
      </c>
      <c r="O38">
        <v>131491.989247312</v>
      </c>
      <c r="P38">
        <v>56995.092346856</v>
      </c>
      <c r="Q38">
        <v>44119.180965454</v>
      </c>
      <c r="R38">
        <v>237040.102870763</v>
      </c>
      <c r="S38">
        <v>281159.283836217</v>
      </c>
      <c r="T38">
        <v>103840.716163783</v>
      </c>
      <c r="V38">
        <f>IF(Allocation!D38="","",_CALC_ALLOC!AI38)</f>
        <v>23536.170212766</v>
      </c>
      <c r="W38">
        <f>IF(Allocation!D38="","",_CALC_ALLOC!AJ38)</f>
        <v>48553.0212765957</v>
      </c>
      <c r="X38">
        <f>IF(Allocation!D38="","",_CALC_ALLOC!AK38)</f>
        <v>20583.0107526882</v>
      </c>
      <c r="Y38">
        <f>IF(Allocation!D38="","",_CALC_ALLOC!AL38)</f>
        <v>0</v>
      </c>
      <c r="Z38">
        <f>IF(Allocation!D38="","",_CALC_ALLOC!AM38)</f>
        <v>0</v>
      </c>
      <c r="AA38">
        <f>IF(Allocation!D38="","",_CALC_ALLOC!AN38)</f>
        <v>292327.79775795</v>
      </c>
      <c r="AB38">
        <f>IF(Allocation!D38="","",AA38-T38)</f>
        <v>188487.081594167</v>
      </c>
      <c r="AC38">
        <f>IF(Allocation!D38="","",_CALC_ALLOC!AR38)</f>
        <v>0</v>
      </c>
    </row>
    <row r="39" ht="14.25" customHeight="1">
      <c r="A39" t="s">
        <v>191</v>
      </c>
      <c r="B39" t="s">
        <v>192</v>
      </c>
      <c r="C39" t="s">
        <v>210</v>
      </c>
      <c r="D39" t="s">
        <v>79</v>
      </c>
      <c r="E39" t="s">
        <v>232</v>
      </c>
      <c r="F39" t="s">
        <v>193</v>
      </c>
      <c r="G39" t="s">
        <v>198</v>
      </c>
      <c r="H39" t="s">
        <v>197</v>
      </c>
      <c r="I39">
        <v>54</v>
      </c>
      <c r="J39">
        <v>2</v>
      </c>
      <c r="K39">
        <v>378000</v>
      </c>
      <c r="L39">
        <v>23536.170212766</v>
      </c>
      <c r="M39">
        <v>48553.021276596</v>
      </c>
      <c r="N39">
        <v>20208.774193548</v>
      </c>
      <c r="O39">
        <v>129101.225806452</v>
      </c>
      <c r="P39">
        <v>55958.817940549</v>
      </c>
      <c r="Q39">
        <v>43744.944406314</v>
      </c>
      <c r="R39">
        <v>233613.065023596</v>
      </c>
      <c r="S39">
        <v>277358.009429911</v>
      </c>
      <c r="T39">
        <v>100641.990570089</v>
      </c>
      <c r="V39">
        <f>IF(Allocation!D39="","",_CALC_ALLOC!AI39)</f>
        <v>23536.170212766</v>
      </c>
      <c r="W39">
        <f>IF(Allocation!D39="","",_CALC_ALLOC!AJ39)</f>
        <v>48553.0212765957</v>
      </c>
      <c r="X39">
        <f>IF(Allocation!D39="","",_CALC_ALLOC!AK39)</f>
        <v>20208.7741935484</v>
      </c>
      <c r="Y39">
        <f>IF(Allocation!D39="","",_CALC_ALLOC!AL39)</f>
        <v>0</v>
      </c>
      <c r="Z39">
        <f>IF(Allocation!D39="","",_CALC_ALLOC!AM39)</f>
        <v>0</v>
      </c>
      <c r="AA39">
        <f>IF(Allocation!D39="","",_CALC_ALLOC!AN39)</f>
        <v>285702.03431709</v>
      </c>
      <c r="AB39">
        <f>IF(Allocation!D39="","",AA39-T39)</f>
        <v>185060.043747001</v>
      </c>
      <c r="AC39">
        <f>IF(Allocation!D39="","",_CALC_ALLOC!AR39)</f>
        <v>0</v>
      </c>
    </row>
    <row r="40" ht="14.25" customHeight="1">
      <c r="A40" t="s">
        <v>191</v>
      </c>
      <c r="B40" t="s">
        <v>192</v>
      </c>
      <c r="C40" t="s">
        <v>210</v>
      </c>
      <c r="D40" t="s">
        <v>79</v>
      </c>
      <c r="E40" t="s">
        <v>232</v>
      </c>
      <c r="F40" t="s">
        <v>199</v>
      </c>
      <c r="G40" t="s">
        <v>200</v>
      </c>
      <c r="H40" t="s">
        <v>197</v>
      </c>
      <c r="I40">
        <v>57</v>
      </c>
      <c r="J40">
        <v>3</v>
      </c>
      <c r="K40">
        <v>432630</v>
      </c>
      <c r="L40">
        <v>30891.223404255</v>
      </c>
      <c r="M40">
        <v>63725.840425532</v>
      </c>
      <c r="N40">
        <v>35664.483870968</v>
      </c>
      <c r="O40">
        <v>136273.516129032</v>
      </c>
      <c r="P40">
        <v>59067.641159468</v>
      </c>
      <c r="Q40">
        <v>66555.707275223</v>
      </c>
      <c r="R40">
        <v>259066.997714033</v>
      </c>
      <c r="S40">
        <v>325622.704989256</v>
      </c>
      <c r="T40">
        <v>107007.295010744</v>
      </c>
      <c r="V40">
        <f>IF(Allocation!D40="","",_CALC_ALLOC!AI40)</f>
        <v>30891.2234042553</v>
      </c>
      <c r="W40">
        <f>IF(Allocation!D40="","",_CALC_ALLOC!AJ40)</f>
        <v>63725.8404255319</v>
      </c>
      <c r="X40">
        <f>IF(Allocation!D40="","",_CALC_ALLOC!AK40)</f>
        <v>35664.4838709677</v>
      </c>
      <c r="Y40">
        <f>IF(Allocation!D40="","",_CALC_ALLOC!AL40)</f>
        <v>0</v>
      </c>
      <c r="Z40">
        <f>IF(Allocation!D40="","",_CALC_ALLOC!AM40)</f>
        <v>0</v>
      </c>
      <c r="AA40">
        <f>IF(Allocation!D40="","",_CALC_ALLOC!AN40)</f>
        <v>302348.452299245</v>
      </c>
      <c r="AB40">
        <f>IF(Allocation!D40="","",AA40-T40)</f>
        <v>195341.157288501</v>
      </c>
      <c r="AC40">
        <f>IF(Allocation!D40="","",_CALC_ALLOC!AR40)</f>
        <v>0</v>
      </c>
    </row>
    <row r="41" ht="14.25" customHeight="1">
      <c r="A41" t="s">
        <v>191</v>
      </c>
      <c r="B41" t="s">
        <v>192</v>
      </c>
      <c r="C41" t="s">
        <v>210</v>
      </c>
      <c r="D41" t="s">
        <v>79</v>
      </c>
      <c r="E41" t="s">
        <v>232</v>
      </c>
      <c r="F41" t="s">
        <v>199</v>
      </c>
      <c r="G41" t="s">
        <v>201</v>
      </c>
      <c r="H41" t="s">
        <v>197</v>
      </c>
      <c r="I41">
        <v>56</v>
      </c>
      <c r="J41">
        <v>3</v>
      </c>
      <c r="K41">
        <v>420000</v>
      </c>
      <c r="L41">
        <v>30891.223404255</v>
      </c>
      <c r="M41">
        <v>63725.840425532</v>
      </c>
      <c r="N41">
        <v>20957.247311828</v>
      </c>
      <c r="O41">
        <v>133882.752688172</v>
      </c>
      <c r="P41">
        <v>58031.366753162</v>
      </c>
      <c r="Q41">
        <v>51848.470716083</v>
      </c>
      <c r="R41">
        <v>255639.959866866</v>
      </c>
      <c r="S41">
        <v>307488.430582949</v>
      </c>
      <c r="T41">
        <v>112511.569417051</v>
      </c>
      <c r="V41">
        <f>IF(Allocation!D41="","",_CALC_ALLOC!AI41)</f>
        <v>30891.2234042553</v>
      </c>
      <c r="W41">
        <f>IF(Allocation!D41="","",_CALC_ALLOC!AJ41)</f>
        <v>63725.8404255319</v>
      </c>
      <c r="X41">
        <f>IF(Allocation!D41="","",_CALC_ALLOC!AK41)</f>
        <v>20957.247311828</v>
      </c>
      <c r="Y41">
        <f>IF(Allocation!D41="","",_CALC_ALLOC!AL41)</f>
        <v>0</v>
      </c>
      <c r="Z41">
        <f>IF(Allocation!D41="","",_CALC_ALLOC!AM41)</f>
        <v>0</v>
      </c>
      <c r="AA41">
        <f>IF(Allocation!D41="","",_CALC_ALLOC!AN41)</f>
        <v>304425.688858385</v>
      </c>
      <c r="AB41">
        <f>IF(Allocation!D41="","",AA41-T41)</f>
        <v>191914.119441334</v>
      </c>
      <c r="AC41">
        <f>IF(Allocation!D41="","",_CALC_ALLOC!AR41)</f>
        <v>0</v>
      </c>
    </row>
    <row r="42" ht="14.25" customHeight="1">
      <c r="A42" t="s">
        <v>191</v>
      </c>
      <c r="B42" t="s">
        <v>192</v>
      </c>
      <c r="C42" t="s">
        <v>211</v>
      </c>
      <c r="D42" t="s">
        <v>79</v>
      </c>
      <c r="E42" t="s">
        <v>232</v>
      </c>
      <c r="F42" t="s">
        <v>193</v>
      </c>
      <c r="G42" t="s">
        <v>194</v>
      </c>
      <c r="H42" t="s">
        <v>195</v>
      </c>
      <c r="I42">
        <v>53</v>
      </c>
      <c r="J42">
        <v>2</v>
      </c>
      <c r="K42">
        <v>402270</v>
      </c>
      <c r="L42">
        <v>28131.063829787</v>
      </c>
      <c r="M42">
        <v>58032.127659574</v>
      </c>
      <c r="N42">
        <v>33226.034351145</v>
      </c>
      <c r="O42">
        <v>129019.801526718</v>
      </c>
      <c r="P42">
        <v>54724.60883647</v>
      </c>
      <c r="Q42">
        <v>61357.098180932</v>
      </c>
      <c r="R42">
        <v>241776.538022762</v>
      </c>
      <c r="S42">
        <v>303133.636203694</v>
      </c>
      <c r="T42">
        <v>99136.363796306</v>
      </c>
      <c r="V42">
        <f>IF(Allocation!D42="","",_CALC_ALLOC!AI42)</f>
        <v>28131.0638297872</v>
      </c>
      <c r="W42">
        <f>IF(Allocation!D42="","",_CALC_ALLOC!AJ42)</f>
        <v>58032.1276595745</v>
      </c>
      <c r="X42">
        <f>IF(Allocation!D42="","",_CALC_ALLOC!AK42)</f>
        <v>33226.034351145</v>
      </c>
      <c r="Y42">
        <f>IF(Allocation!D42="","",_CALC_ALLOC!AL42)</f>
        <v>0</v>
      </c>
      <c r="Z42">
        <f>IF(Allocation!D42="","",_CALC_ALLOC!AM42)</f>
        <v>0</v>
      </c>
      <c r="AA42">
        <f>IF(Allocation!D42="","",_CALC_ALLOC!AN42)</f>
        <v>282880.774159493</v>
      </c>
      <c r="AB42">
        <f>IF(Allocation!D42="","",AA42-T42)</f>
        <v>183744.410363187</v>
      </c>
      <c r="AC42">
        <f>IF(Allocation!D42="","",_CALC_ALLOC!AR42)</f>
        <v>0</v>
      </c>
    </row>
    <row r="43" ht="14.25" customHeight="1">
      <c r="A43" t="s">
        <v>191</v>
      </c>
      <c r="B43" t="s">
        <v>192</v>
      </c>
      <c r="C43" t="s">
        <v>211</v>
      </c>
      <c r="D43" t="s">
        <v>79</v>
      </c>
      <c r="E43" t="s">
        <v>232</v>
      </c>
      <c r="F43" t="s">
        <v>193</v>
      </c>
      <c r="G43" t="s">
        <v>196</v>
      </c>
      <c r="H43" t="s">
        <v>197</v>
      </c>
      <c r="I43">
        <v>52</v>
      </c>
      <c r="J43">
        <v>2</v>
      </c>
      <c r="K43">
        <v>364000</v>
      </c>
      <c r="L43">
        <v>22504.85106383</v>
      </c>
      <c r="M43">
        <v>46425.70212766</v>
      </c>
      <c r="N43">
        <v>19814.977099237</v>
      </c>
      <c r="O43">
        <v>126585.465648855</v>
      </c>
      <c r="P43">
        <v>53692.069047102</v>
      </c>
      <c r="Q43">
        <v>42319.828163066</v>
      </c>
      <c r="R43">
        <v>226703.236823617</v>
      </c>
      <c r="S43">
        <v>269023.064986683</v>
      </c>
      <c r="T43">
        <v>94976.935013317</v>
      </c>
      <c r="V43">
        <f>IF(Allocation!D43="","",_CALC_ALLOC!AI43)</f>
        <v>22504.8510638298</v>
      </c>
      <c r="W43">
        <f>IF(Allocation!D43="","",_CALC_ALLOC!AJ43)</f>
        <v>46425.7021276596</v>
      </c>
      <c r="X43">
        <f>IF(Allocation!D43="","",_CALC_ALLOC!AK43)</f>
        <v>19814.9770992366</v>
      </c>
      <c r="Y43">
        <f>IF(Allocation!D43="","",_CALC_ALLOC!AL43)</f>
        <v>0</v>
      </c>
      <c r="Z43">
        <f>IF(Allocation!D43="","",_CALC_ALLOC!AM43)</f>
        <v>0</v>
      </c>
      <c r="AA43">
        <f>IF(Allocation!D43="","",_CALC_ALLOC!AN43)</f>
        <v>275254.469709274</v>
      </c>
      <c r="AB43">
        <f>IF(Allocation!D43="","",AA43-T43)</f>
        <v>180277.534695957</v>
      </c>
      <c r="AC43">
        <f>IF(Allocation!D43="","",_CALC_ALLOC!AR43)</f>
        <v>0</v>
      </c>
    </row>
    <row r="44" ht="14.25" customHeight="1">
      <c r="A44" t="s">
        <v>191</v>
      </c>
      <c r="B44" t="s">
        <v>192</v>
      </c>
      <c r="C44" t="s">
        <v>211</v>
      </c>
      <c r="D44" t="s">
        <v>79</v>
      </c>
      <c r="E44" t="s">
        <v>232</v>
      </c>
      <c r="F44" t="s">
        <v>193</v>
      </c>
      <c r="G44" t="s">
        <v>198</v>
      </c>
      <c r="H44" t="s">
        <v>197</v>
      </c>
      <c r="I44">
        <v>51</v>
      </c>
      <c r="J44">
        <v>2</v>
      </c>
      <c r="K44">
        <v>357000</v>
      </c>
      <c r="L44">
        <v>22504.85106383</v>
      </c>
      <c r="M44">
        <v>46425.70212766</v>
      </c>
      <c r="N44">
        <v>19433.919847328</v>
      </c>
      <c r="O44">
        <v>124151.129770992</v>
      </c>
      <c r="P44">
        <v>52659.529257735</v>
      </c>
      <c r="Q44">
        <v>41938.770911158</v>
      </c>
      <c r="R44">
        <v>223236.361156387</v>
      </c>
      <c r="S44">
        <v>265175.132067545</v>
      </c>
      <c r="T44">
        <v>91824.867932455</v>
      </c>
      <c r="V44">
        <f>IF(Allocation!D44="","",_CALC_ALLOC!AI44)</f>
        <v>22504.8510638298</v>
      </c>
      <c r="W44">
        <f>IF(Allocation!D44="","",_CALC_ALLOC!AJ44)</f>
        <v>46425.7021276596</v>
      </c>
      <c r="X44">
        <f>IF(Allocation!D44="","",_CALC_ALLOC!AK44)</f>
        <v>19433.9198473282</v>
      </c>
      <c r="Y44">
        <f>IF(Allocation!D44="","",_CALC_ALLOC!AL44)</f>
        <v>0</v>
      </c>
      <c r="Z44">
        <f>IF(Allocation!D44="","",_CALC_ALLOC!AM44)</f>
        <v>0</v>
      </c>
      <c r="AA44">
        <f>IF(Allocation!D44="","",_CALC_ALLOC!AN44)</f>
        <v>268635.526961182</v>
      </c>
      <c r="AB44">
        <f>IF(Allocation!D44="","",AA44-T44)</f>
        <v>176810.659028727</v>
      </c>
      <c r="AC44">
        <f>IF(Allocation!D44="","",_CALC_ALLOC!AR44)</f>
        <v>0</v>
      </c>
    </row>
    <row r="45" ht="14.25" customHeight="1">
      <c r="A45" t="s">
        <v>191</v>
      </c>
      <c r="B45" t="s">
        <v>192</v>
      </c>
      <c r="C45" t="s">
        <v>211</v>
      </c>
      <c r="D45" t="s">
        <v>79</v>
      </c>
      <c r="E45" t="s">
        <v>232</v>
      </c>
      <c r="F45" t="s">
        <v>199</v>
      </c>
      <c r="G45" t="s">
        <v>200</v>
      </c>
      <c r="H45" t="s">
        <v>197</v>
      </c>
      <c r="I45">
        <v>53</v>
      </c>
      <c r="J45">
        <v>3</v>
      </c>
      <c r="K45">
        <v>402270</v>
      </c>
      <c r="L45">
        <v>29537.617021277</v>
      </c>
      <c r="M45">
        <v>60933.734042553</v>
      </c>
      <c r="N45">
        <v>33226.034351145</v>
      </c>
      <c r="O45">
        <v>129019.801526718</v>
      </c>
      <c r="P45">
        <v>54724.60883647</v>
      </c>
      <c r="Q45">
        <v>62763.651372422</v>
      </c>
      <c r="R45">
        <v>244678.14440574</v>
      </c>
      <c r="S45">
        <v>307441.795778162</v>
      </c>
      <c r="T45">
        <v>94828.204221838</v>
      </c>
      <c r="V45">
        <f>IF(Allocation!D45="","",_CALC_ALLOC!AI45)</f>
        <v>29537.6170212766</v>
      </c>
      <c r="W45">
        <f>IF(Allocation!D45="","",_CALC_ALLOC!AJ45)</f>
        <v>60933.7340425532</v>
      </c>
      <c r="X45">
        <f>IF(Allocation!D45="","",_CALC_ALLOC!AK45)</f>
        <v>33226.034351145</v>
      </c>
      <c r="Y45">
        <f>IF(Allocation!D45="","",_CALC_ALLOC!AL45)</f>
        <v>0</v>
      </c>
      <c r="Z45">
        <f>IF(Allocation!D45="","",_CALC_ALLOC!AM45)</f>
        <v>0</v>
      </c>
      <c r="AA45">
        <f>IF(Allocation!D45="","",_CALC_ALLOC!AN45)</f>
        <v>278572.614585025</v>
      </c>
      <c r="AB45">
        <f>IF(Allocation!D45="","",AA45-T45)</f>
        <v>183744.410363187</v>
      </c>
      <c r="AC45">
        <f>IF(Allocation!D45="","",_CALC_ALLOC!AR45)</f>
        <v>0</v>
      </c>
    </row>
    <row r="46" ht="14.25" customHeight="1">
      <c r="A46" t="s">
        <v>191</v>
      </c>
      <c r="B46" t="s">
        <v>192</v>
      </c>
      <c r="C46" t="s">
        <v>211</v>
      </c>
      <c r="D46" t="s">
        <v>79</v>
      </c>
      <c r="E46" t="s">
        <v>232</v>
      </c>
      <c r="F46" t="s">
        <v>199</v>
      </c>
      <c r="G46" t="s">
        <v>201</v>
      </c>
      <c r="H46" t="s">
        <v>197</v>
      </c>
      <c r="I46">
        <v>53</v>
      </c>
      <c r="J46">
        <v>3</v>
      </c>
      <c r="K46">
        <v>397500</v>
      </c>
      <c r="L46">
        <v>29537.617021277</v>
      </c>
      <c r="M46">
        <v>60933.734042553</v>
      </c>
      <c r="N46">
        <v>20196.034351145</v>
      </c>
      <c r="O46">
        <v>129019.801526718</v>
      </c>
      <c r="P46">
        <v>54724.60883647</v>
      </c>
      <c r="Q46">
        <v>49733.651372422</v>
      </c>
      <c r="R46">
        <v>244678.14440574</v>
      </c>
      <c r="S46">
        <v>294411.795778162</v>
      </c>
      <c r="T46">
        <v>103088.204221838</v>
      </c>
      <c r="V46">
        <f>IF(Allocation!D46="","",_CALC_ALLOC!AI46)</f>
        <v>29537.6170212766</v>
      </c>
      <c r="W46">
        <f>IF(Allocation!D46="","",_CALC_ALLOC!AJ46)</f>
        <v>60933.7340425532</v>
      </c>
      <c r="X46">
        <f>IF(Allocation!D46="","",_CALC_ALLOC!AK46)</f>
        <v>20196.034351145</v>
      </c>
      <c r="Y46">
        <f>IF(Allocation!D46="","",_CALC_ALLOC!AL46)</f>
        <v>0</v>
      </c>
      <c r="Z46">
        <f>IF(Allocation!D46="","",_CALC_ALLOC!AM46)</f>
        <v>0</v>
      </c>
      <c r="AA46">
        <f>IF(Allocation!D46="","",_CALC_ALLOC!AN46)</f>
        <v>286832.614585025</v>
      </c>
      <c r="AB46">
        <f>IF(Allocation!D46="","",AA46-T46)</f>
        <v>183744.410363187</v>
      </c>
      <c r="AC46">
        <f>IF(Allocation!D46="","",_CALC_ALLOC!AR46)</f>
        <v>0</v>
      </c>
    </row>
    <row r="47" ht="14.25" customHeight="1">
      <c r="A47" t="s">
        <v>191</v>
      </c>
      <c r="B47" t="s">
        <v>192</v>
      </c>
      <c r="C47" t="s">
        <v>25</v>
      </c>
      <c r="D47" t="s">
        <v>81</v>
      </c>
      <c r="E47" t="s">
        <v>232</v>
      </c>
      <c r="F47" t="s">
        <v>193</v>
      </c>
      <c r="G47" t="s">
        <v>194</v>
      </c>
      <c r="H47" t="s">
        <v>195</v>
      </c>
      <c r="I47">
        <v>51</v>
      </c>
      <c r="J47">
        <v>2</v>
      </c>
      <c r="K47">
        <v>375615</v>
      </c>
      <c r="L47">
        <v>30182.25</v>
      </c>
      <c r="M47">
        <v>65376.75</v>
      </c>
      <c r="N47">
        <v>31438.415662651</v>
      </c>
      <c r="O47">
        <v>126623.987951807</v>
      </c>
      <c r="P47">
        <v>51712.541724349</v>
      </c>
      <c r="Q47">
        <v>61620.665662651</v>
      </c>
      <c r="R47">
        <v>243713.279676157</v>
      </c>
      <c r="S47">
        <v>305333.945338807</v>
      </c>
      <c r="T47">
        <v>70281.054661193</v>
      </c>
      <c r="V47">
        <f>IF(Allocation!D47="","",_CALC_ALLOC!AI47)</f>
        <v>30182.25</v>
      </c>
      <c r="W47">
        <f>IF(Allocation!D47="","",_CALC_ALLOC!AJ47)</f>
        <v>65376.75</v>
      </c>
      <c r="X47">
        <f>IF(Allocation!D47="","",_CALC_ALLOC!AK47)</f>
        <v>31438.4156626506</v>
      </c>
      <c r="Y47">
        <f>IF(Allocation!D47="","",_CALC_ALLOC!AL47)</f>
        <v>0</v>
      </c>
      <c r="Z47">
        <f>IF(Allocation!D47="","",_CALC_ALLOC!AM47)</f>
        <v>0</v>
      </c>
      <c r="AA47">
        <f>IF(Allocation!D47="","",_CALC_ALLOC!AN47)</f>
        <v>248617.584337349</v>
      </c>
      <c r="AB47">
        <f>IF(Allocation!D47="","",AA47-T47)</f>
        <v>178336.529676156</v>
      </c>
      <c r="AC47">
        <f>IF(Allocation!D47="","",_CALC_ALLOC!AR47)</f>
        <v>0</v>
      </c>
    </row>
    <row r="48" ht="14.25" customHeight="1">
      <c r="A48" t="s">
        <v>191</v>
      </c>
      <c r="B48" t="s">
        <v>192</v>
      </c>
      <c r="C48" t="s">
        <v>25</v>
      </c>
      <c r="D48" t="s">
        <v>81</v>
      </c>
      <c r="E48" t="s">
        <v>232</v>
      </c>
      <c r="F48" t="s">
        <v>193</v>
      </c>
      <c r="G48" t="s">
        <v>196</v>
      </c>
      <c r="H48" t="s">
        <v>197</v>
      </c>
      <c r="I48">
        <v>49</v>
      </c>
      <c r="J48">
        <v>2</v>
      </c>
      <c r="K48">
        <v>332710</v>
      </c>
      <c r="L48">
        <v>24145.8</v>
      </c>
      <c r="M48">
        <v>52301.4</v>
      </c>
      <c r="N48">
        <v>18232.722891566</v>
      </c>
      <c r="O48">
        <v>121658.341365462</v>
      </c>
      <c r="P48">
        <v>49684.59891163</v>
      </c>
      <c r="Q48">
        <v>42378.522891566</v>
      </c>
      <c r="R48">
        <v>223644.340277092</v>
      </c>
      <c r="S48">
        <v>266022.863168658</v>
      </c>
      <c r="T48">
        <v>66687.136831342</v>
      </c>
      <c r="V48">
        <f>IF(Allocation!D48="","",_CALC_ALLOC!AI48)</f>
        <v>24145.8</v>
      </c>
      <c r="W48">
        <f>IF(Allocation!D48="","",_CALC_ALLOC!AJ48)</f>
        <v>52301.4</v>
      </c>
      <c r="X48">
        <f>IF(Allocation!D48="","",_CALC_ALLOC!AK48)</f>
        <v>18232.7228915663</v>
      </c>
      <c r="Y48">
        <f>IF(Allocation!D48="","",_CALC_ALLOC!AL48)</f>
        <v>0</v>
      </c>
      <c r="Z48">
        <f>IF(Allocation!D48="","",_CALC_ALLOC!AM48)</f>
        <v>0</v>
      </c>
      <c r="AA48">
        <f>IF(Allocation!D48="","",_CALC_ALLOC!AN48)</f>
        <v>238030.077108434</v>
      </c>
      <c r="AB48">
        <f>IF(Allocation!D48="","",AA48-T48)</f>
        <v>171342.940277092</v>
      </c>
      <c r="AC48">
        <f>IF(Allocation!D48="","",_CALC_ALLOC!AR48)</f>
        <v>0</v>
      </c>
    </row>
    <row r="49" ht="14.25" customHeight="1">
      <c r="A49" t="s">
        <v>191</v>
      </c>
      <c r="B49" t="s">
        <v>192</v>
      </c>
      <c r="C49" t="s">
        <v>25</v>
      </c>
      <c r="D49" t="s">
        <v>81</v>
      </c>
      <c r="E49" t="s">
        <v>232</v>
      </c>
      <c r="F49" t="s">
        <v>193</v>
      </c>
      <c r="G49" t="s">
        <v>198</v>
      </c>
      <c r="H49" t="s">
        <v>197</v>
      </c>
      <c r="I49">
        <v>48</v>
      </c>
      <c r="J49">
        <v>2</v>
      </c>
      <c r="K49">
        <v>325920</v>
      </c>
      <c r="L49">
        <v>24145.8</v>
      </c>
      <c r="M49">
        <v>52301.4</v>
      </c>
      <c r="N49">
        <v>17860.626506024</v>
      </c>
      <c r="O49">
        <v>119175.518072289</v>
      </c>
      <c r="P49">
        <v>48670.62750527</v>
      </c>
      <c r="Q49">
        <v>42006.426506024</v>
      </c>
      <c r="R49">
        <v>220147.545577559</v>
      </c>
      <c r="S49">
        <v>262153.972083583</v>
      </c>
      <c r="T49">
        <v>63766.027916417</v>
      </c>
      <c r="V49">
        <f>IF(Allocation!D49="","",_CALC_ALLOC!AI49)</f>
        <v>24145.8</v>
      </c>
      <c r="W49">
        <f>IF(Allocation!D49="","",_CALC_ALLOC!AJ49)</f>
        <v>52301.4</v>
      </c>
      <c r="X49">
        <f>IF(Allocation!D49="","",_CALC_ALLOC!AK49)</f>
        <v>17860.6265060241</v>
      </c>
      <c r="Y49">
        <f>IF(Allocation!D49="","",_CALC_ALLOC!AL49)</f>
        <v>0</v>
      </c>
      <c r="Z49">
        <f>IF(Allocation!D49="","",_CALC_ALLOC!AM49)</f>
        <v>0</v>
      </c>
      <c r="AA49">
        <f>IF(Allocation!D49="","",_CALC_ALLOC!AN49)</f>
        <v>231612.173493976</v>
      </c>
      <c r="AB49">
        <f>IF(Allocation!D49="","",AA49-T49)</f>
        <v>167846.145577559</v>
      </c>
      <c r="AC49">
        <f>IF(Allocation!D49="","",_CALC_ALLOC!AR49)</f>
        <v>0</v>
      </c>
    </row>
    <row r="50" ht="14.25" customHeight="1">
      <c r="A50" t="s">
        <v>191</v>
      </c>
      <c r="B50" t="s">
        <v>192</v>
      </c>
      <c r="C50" t="s">
        <v>25</v>
      </c>
      <c r="D50" t="s">
        <v>81</v>
      </c>
      <c r="E50" t="s">
        <v>232</v>
      </c>
      <c r="F50" t="s">
        <v>199</v>
      </c>
      <c r="G50" t="s">
        <v>200</v>
      </c>
      <c r="H50" t="s">
        <v>197</v>
      </c>
      <c r="I50">
        <v>51</v>
      </c>
      <c r="J50">
        <v>2</v>
      </c>
      <c r="K50">
        <v>375615</v>
      </c>
      <c r="L50">
        <v>21127.575</v>
      </c>
      <c r="M50">
        <v>45763.725</v>
      </c>
      <c r="N50">
        <v>31438.415662651</v>
      </c>
      <c r="O50">
        <v>126623.987951807</v>
      </c>
      <c r="P50">
        <v>51712.541724349</v>
      </c>
      <c r="Q50">
        <v>52565.990662651</v>
      </c>
      <c r="R50">
        <v>224100.254676157</v>
      </c>
      <c r="S50">
        <v>276666.245338807</v>
      </c>
      <c r="T50">
        <v>98948.754661193</v>
      </c>
      <c r="V50">
        <f>IF(Allocation!D50="","",_CALC_ALLOC!AI50)</f>
        <v>21127.575</v>
      </c>
      <c r="W50">
        <f>IF(Allocation!D50="","",_CALC_ALLOC!AJ50)</f>
        <v>45763.725</v>
      </c>
      <c r="X50">
        <f>IF(Allocation!D50="","",_CALC_ALLOC!AK50)</f>
        <v>31438.4156626506</v>
      </c>
      <c r="Y50">
        <f>IF(Allocation!D50="","",_CALC_ALLOC!AL50)</f>
        <v>0</v>
      </c>
      <c r="Z50">
        <f>IF(Allocation!D50="","",_CALC_ALLOC!AM50)</f>
        <v>0</v>
      </c>
      <c r="AA50">
        <f>IF(Allocation!D50="","",_CALC_ALLOC!AN50)</f>
        <v>277285.284337349</v>
      </c>
      <c r="AB50">
        <f>IF(Allocation!D50="","",AA50-T50)</f>
        <v>178336.529676156</v>
      </c>
      <c r="AC50">
        <f>IF(Allocation!D50="","",_CALC_ALLOC!AR50)</f>
        <v>0</v>
      </c>
    </row>
    <row r="51" ht="14.25" customHeight="1">
      <c r="A51" t="s">
        <v>191</v>
      </c>
      <c r="B51" t="s">
        <v>192</v>
      </c>
      <c r="C51" t="s">
        <v>25</v>
      </c>
      <c r="D51" t="s">
        <v>81</v>
      </c>
      <c r="E51" t="s">
        <v>232</v>
      </c>
      <c r="F51" t="s">
        <v>199</v>
      </c>
      <c r="G51" t="s">
        <v>201</v>
      </c>
      <c r="H51" t="s">
        <v>197</v>
      </c>
      <c r="I51">
        <v>50</v>
      </c>
      <c r="J51">
        <v>2</v>
      </c>
      <c r="K51">
        <v>363750</v>
      </c>
      <c r="L51">
        <v>21127.575</v>
      </c>
      <c r="M51">
        <v>45763.725</v>
      </c>
      <c r="N51">
        <v>18604.819277108</v>
      </c>
      <c r="O51">
        <v>124141.164658635</v>
      </c>
      <c r="P51">
        <v>50698.57031799</v>
      </c>
      <c r="Q51">
        <v>39732.394277108</v>
      </c>
      <c r="R51">
        <v>220603.459976624</v>
      </c>
      <c r="S51">
        <v>260335.854253733</v>
      </c>
      <c r="T51">
        <v>103414.145746267</v>
      </c>
      <c r="V51">
        <f>IF(Allocation!D51="","",_CALC_ALLOC!AI51)</f>
        <v>21127.575</v>
      </c>
      <c r="W51">
        <f>IF(Allocation!D51="","",_CALC_ALLOC!AJ51)</f>
        <v>45763.725</v>
      </c>
      <c r="X51">
        <f>IF(Allocation!D51="","",_CALC_ALLOC!AK51)</f>
        <v>18604.8192771084</v>
      </c>
      <c r="Y51">
        <f>IF(Allocation!D51="","",_CALC_ALLOC!AL51)</f>
        <v>0</v>
      </c>
      <c r="Z51">
        <f>IF(Allocation!D51="","",_CALC_ALLOC!AM51)</f>
        <v>0</v>
      </c>
      <c r="AA51">
        <f>IF(Allocation!D51="","",_CALC_ALLOC!AN51)</f>
        <v>278253.880722892</v>
      </c>
      <c r="AB51">
        <f>IF(Allocation!D51="","",AA51-T51)</f>
        <v>174839.734976625</v>
      </c>
      <c r="AC51">
        <f>IF(Allocation!D51="","",_CALC_ALLOC!AR51)</f>
        <v>0</v>
      </c>
    </row>
    <row r="52" ht="14.25" customHeight="1">
      <c r="A52" t="s">
        <v>191</v>
      </c>
      <c r="B52" t="s">
        <v>192</v>
      </c>
      <c r="C52" t="s">
        <v>210</v>
      </c>
      <c r="D52" t="s">
        <v>81</v>
      </c>
      <c r="E52" t="s">
        <v>232</v>
      </c>
      <c r="F52" t="s">
        <v>193</v>
      </c>
      <c r="G52" t="s">
        <v>194</v>
      </c>
      <c r="H52" t="s">
        <v>195</v>
      </c>
      <c r="I52">
        <v>48</v>
      </c>
      <c r="J52">
        <v>2</v>
      </c>
      <c r="K52">
        <v>353520</v>
      </c>
      <c r="L52">
        <v>28807.25</v>
      </c>
      <c r="M52">
        <v>62398.25</v>
      </c>
      <c r="N52">
        <v>29467.987179487</v>
      </c>
      <c r="O52">
        <v>121037.538461538</v>
      </c>
      <c r="P52">
        <v>48263.30891698</v>
      </c>
      <c r="Q52">
        <v>58275.237179487</v>
      </c>
      <c r="R52">
        <v>231699.097378519</v>
      </c>
      <c r="S52">
        <v>289974.334558006</v>
      </c>
      <c r="T52">
        <v>63545.665441994</v>
      </c>
      <c r="V52">
        <f>IF(Allocation!D52="","",_CALC_ALLOC!AI52)</f>
        <v>28807.25</v>
      </c>
      <c r="W52">
        <f>IF(Allocation!D52="","",_CALC_ALLOC!AJ52)</f>
        <v>62398.25</v>
      </c>
      <c r="X52">
        <f>IF(Allocation!D52="","",_CALC_ALLOC!AK52)</f>
        <v>29467.9871794872</v>
      </c>
      <c r="Y52">
        <f>IF(Allocation!D52="","",_CALC_ALLOC!AL52)</f>
        <v>0</v>
      </c>
      <c r="Z52">
        <f>IF(Allocation!D52="","",_CALC_ALLOC!AM52)</f>
        <v>0</v>
      </c>
      <c r="AA52">
        <f>IF(Allocation!D52="","",_CALC_ALLOC!AN52)</f>
        <v>232846.512820513</v>
      </c>
      <c r="AB52">
        <f>IF(Allocation!D52="","",AA52-T52)</f>
        <v>169300.847378519</v>
      </c>
      <c r="AC52">
        <f>IF(Allocation!D52="","",_CALC_ALLOC!AR52)</f>
        <v>0</v>
      </c>
    </row>
    <row r="53" ht="14.25" customHeight="1">
      <c r="A53" t="s">
        <v>191</v>
      </c>
      <c r="B53" t="s">
        <v>192</v>
      </c>
      <c r="C53" t="s">
        <v>210</v>
      </c>
      <c r="D53" t="s">
        <v>81</v>
      </c>
      <c r="E53" t="s">
        <v>232</v>
      </c>
      <c r="F53" t="s">
        <v>193</v>
      </c>
      <c r="G53" t="s">
        <v>196</v>
      </c>
      <c r="H53" t="s">
        <v>197</v>
      </c>
      <c r="I53">
        <v>46</v>
      </c>
      <c r="J53">
        <v>2</v>
      </c>
      <c r="K53">
        <v>312340</v>
      </c>
      <c r="L53">
        <v>23045.8</v>
      </c>
      <c r="M53">
        <v>49918.6</v>
      </c>
      <c r="N53">
        <v>17383.675213675</v>
      </c>
      <c r="O53">
        <v>115994.307692308</v>
      </c>
      <c r="P53">
        <v>46252.337712106</v>
      </c>
      <c r="Q53">
        <v>40429.475213675</v>
      </c>
      <c r="R53">
        <v>212165.245404414</v>
      </c>
      <c r="S53">
        <v>252594.720618089</v>
      </c>
      <c r="T53">
        <v>59745.279381911</v>
      </c>
      <c r="V53">
        <f>IF(Allocation!D53="","",_CALC_ALLOC!AI53)</f>
        <v>23045.8</v>
      </c>
      <c r="W53">
        <f>IF(Allocation!D53="","",_CALC_ALLOC!AJ53)</f>
        <v>49918.6</v>
      </c>
      <c r="X53">
        <f>IF(Allocation!D53="","",_CALC_ALLOC!AK53)</f>
        <v>17383.6752136752</v>
      </c>
      <c r="Y53">
        <f>IF(Allocation!D53="","",_CALC_ALLOC!AL53)</f>
        <v>0</v>
      </c>
      <c r="Z53">
        <f>IF(Allocation!D53="","",_CALC_ALLOC!AM53)</f>
        <v>0</v>
      </c>
      <c r="AA53">
        <f>IF(Allocation!D53="","",_CALC_ALLOC!AN53)</f>
        <v>221991.924786325</v>
      </c>
      <c r="AB53">
        <f>IF(Allocation!D53="","",AA53-T53)</f>
        <v>162246.645404414</v>
      </c>
      <c r="AC53">
        <f>IF(Allocation!D53="","",_CALC_ALLOC!AR53)</f>
        <v>0</v>
      </c>
    </row>
    <row r="54" ht="14.25" customHeight="1">
      <c r="A54" t="s">
        <v>191</v>
      </c>
      <c r="B54" t="s">
        <v>192</v>
      </c>
      <c r="C54" t="s">
        <v>210</v>
      </c>
      <c r="D54" t="s">
        <v>81</v>
      </c>
      <c r="E54" t="s">
        <v>232</v>
      </c>
      <c r="F54" t="s">
        <v>193</v>
      </c>
      <c r="G54" t="s">
        <v>198</v>
      </c>
      <c r="H54" t="s">
        <v>197</v>
      </c>
      <c r="I54">
        <v>45</v>
      </c>
      <c r="J54">
        <v>2</v>
      </c>
      <c r="K54">
        <v>305550</v>
      </c>
      <c r="L54">
        <v>23045.8</v>
      </c>
      <c r="M54">
        <v>49918.6</v>
      </c>
      <c r="N54">
        <v>17005.769230769</v>
      </c>
      <c r="O54">
        <v>113472.692307692</v>
      </c>
      <c r="P54">
        <v>45246.852109669</v>
      </c>
      <c r="Q54">
        <v>40051.569230769</v>
      </c>
      <c r="R54">
        <v>208638.144417361</v>
      </c>
      <c r="S54">
        <v>248689.713648131</v>
      </c>
      <c r="T54">
        <v>56860.286351869</v>
      </c>
      <c r="V54">
        <f>IF(Allocation!D54="","",_CALC_ALLOC!AI54)</f>
        <v>23045.8</v>
      </c>
      <c r="W54">
        <f>IF(Allocation!D54="","",_CALC_ALLOC!AJ54)</f>
        <v>49918.6</v>
      </c>
      <c r="X54">
        <f>IF(Allocation!D54="","",_CALC_ALLOC!AK54)</f>
        <v>17005.7692307692</v>
      </c>
      <c r="Y54">
        <f>IF(Allocation!D54="","",_CALC_ALLOC!AL54)</f>
        <v>0</v>
      </c>
      <c r="Z54">
        <f>IF(Allocation!D54="","",_CALC_ALLOC!AM54)</f>
        <v>0</v>
      </c>
      <c r="AA54">
        <f>IF(Allocation!D54="","",_CALC_ALLOC!AN54)</f>
        <v>215579.830769231</v>
      </c>
      <c r="AB54">
        <f>IF(Allocation!D54="","",AA54-T54)</f>
        <v>158719.544417362</v>
      </c>
      <c r="AC54">
        <f>IF(Allocation!D54="","",_CALC_ALLOC!AR54)</f>
        <v>0</v>
      </c>
    </row>
    <row r="55" ht="14.25" customHeight="1">
      <c r="A55" t="s">
        <v>191</v>
      </c>
      <c r="B55" t="s">
        <v>192</v>
      </c>
      <c r="C55" t="s">
        <v>210</v>
      </c>
      <c r="D55" t="s">
        <v>81</v>
      </c>
      <c r="E55" t="s">
        <v>232</v>
      </c>
      <c r="F55" t="s">
        <v>199</v>
      </c>
      <c r="G55" t="s">
        <v>200</v>
      </c>
      <c r="H55" t="s">
        <v>197</v>
      </c>
      <c r="I55">
        <v>48</v>
      </c>
      <c r="J55">
        <v>2</v>
      </c>
      <c r="K55">
        <v>353520</v>
      </c>
      <c r="L55">
        <v>20165.075</v>
      </c>
      <c r="M55">
        <v>43678.775</v>
      </c>
      <c r="N55">
        <v>29467.987179487</v>
      </c>
      <c r="O55">
        <v>121037.538461538</v>
      </c>
      <c r="P55">
        <v>48263.30891698</v>
      </c>
      <c r="Q55">
        <v>49633.062179487</v>
      </c>
      <c r="R55">
        <v>212979.622378519</v>
      </c>
      <c r="S55">
        <v>262612.684558006</v>
      </c>
      <c r="T55">
        <v>90907.315441994</v>
      </c>
      <c r="V55">
        <f>IF(Allocation!D55="","",_CALC_ALLOC!AI55)</f>
        <v>20165.075</v>
      </c>
      <c r="W55">
        <f>IF(Allocation!D55="","",_CALC_ALLOC!AJ55)</f>
        <v>43678.775</v>
      </c>
      <c r="X55">
        <f>IF(Allocation!D55="","",_CALC_ALLOC!AK55)</f>
        <v>29467.9871794872</v>
      </c>
      <c r="Y55">
        <f>IF(Allocation!D55="","",_CALC_ALLOC!AL55)</f>
        <v>0</v>
      </c>
      <c r="Z55">
        <f>IF(Allocation!D55="","",_CALC_ALLOC!AM55)</f>
        <v>0</v>
      </c>
      <c r="AA55">
        <f>IF(Allocation!D55="","",_CALC_ALLOC!AN55)</f>
        <v>260208.162820513</v>
      </c>
      <c r="AB55">
        <f>IF(Allocation!D55="","",AA55-T55)</f>
        <v>169300.847378519</v>
      </c>
      <c r="AC55">
        <f>IF(Allocation!D55="","",_CALC_ALLOC!AR55)</f>
        <v>0</v>
      </c>
    </row>
    <row r="56" ht="14.25" customHeight="1">
      <c r="A56" t="s">
        <v>191</v>
      </c>
      <c r="B56" t="s">
        <v>192</v>
      </c>
      <c r="C56" t="s">
        <v>210</v>
      </c>
      <c r="D56" t="s">
        <v>81</v>
      </c>
      <c r="E56" t="s">
        <v>232</v>
      </c>
      <c r="F56" t="s">
        <v>199</v>
      </c>
      <c r="G56" t="s">
        <v>201</v>
      </c>
      <c r="H56" t="s">
        <v>197</v>
      </c>
      <c r="I56">
        <v>47</v>
      </c>
      <c r="J56">
        <v>2</v>
      </c>
      <c r="K56">
        <v>341925</v>
      </c>
      <c r="L56">
        <v>20165.075</v>
      </c>
      <c r="M56">
        <v>43678.775</v>
      </c>
      <c r="N56">
        <v>17761.581196581</v>
      </c>
      <c r="O56">
        <v>118515.923076923</v>
      </c>
      <c r="P56">
        <v>47257.823314543</v>
      </c>
      <c r="Q56">
        <v>37926.656196581</v>
      </c>
      <c r="R56">
        <v>209452.521391466</v>
      </c>
      <c r="S56">
        <v>247379.177588048</v>
      </c>
      <c r="T56">
        <v>94545.822411952</v>
      </c>
      <c r="V56">
        <f>IF(Allocation!D56="","",_CALC_ALLOC!AI56)</f>
        <v>20165.075</v>
      </c>
      <c r="W56">
        <f>IF(Allocation!D56="","",_CALC_ALLOC!AJ56)</f>
        <v>43678.775</v>
      </c>
      <c r="X56">
        <f>IF(Allocation!D56="","",_CALC_ALLOC!AK56)</f>
        <v>17761.5811965812</v>
      </c>
      <c r="Y56">
        <f>IF(Allocation!D56="","",_CALC_ALLOC!AL56)</f>
        <v>0</v>
      </c>
      <c r="Z56">
        <f>IF(Allocation!D56="","",_CALC_ALLOC!AM56)</f>
        <v>0</v>
      </c>
      <c r="AA56">
        <f>IF(Allocation!D56="","",_CALC_ALLOC!AN56)</f>
        <v>260319.568803419</v>
      </c>
      <c r="AB56">
        <f>IF(Allocation!D56="","",AA56-T56)</f>
        <v>165773.746391467</v>
      </c>
      <c r="AC56">
        <f>IF(Allocation!D56="","",_CALC_ALLOC!AR56)</f>
        <v>0</v>
      </c>
    </row>
    <row r="57" ht="14.25" customHeight="1">
      <c r="A57" t="s">
        <v>191</v>
      </c>
      <c r="B57" t="s">
        <v>192</v>
      </c>
      <c r="C57" t="s">
        <v>211</v>
      </c>
      <c r="D57" t="s">
        <v>81</v>
      </c>
      <c r="E57" t="s">
        <v>232</v>
      </c>
      <c r="F57" t="s">
        <v>193</v>
      </c>
      <c r="G57" t="s">
        <v>194</v>
      </c>
      <c r="H57" t="s">
        <v>195</v>
      </c>
      <c r="I57">
        <v>45</v>
      </c>
      <c r="J57">
        <v>2</v>
      </c>
      <c r="K57">
        <v>331425</v>
      </c>
      <c r="L57">
        <v>27545</v>
      </c>
      <c r="M57">
        <v>59664.25</v>
      </c>
      <c r="N57">
        <v>27515.785067873</v>
      </c>
      <c r="O57">
        <v>114883.371040724</v>
      </c>
      <c r="P57">
        <v>45077.148477664</v>
      </c>
      <c r="Q57">
        <v>55060.785067873</v>
      </c>
      <c r="R57">
        <v>219624.769518388</v>
      </c>
      <c r="S57">
        <v>274685.554586262</v>
      </c>
      <c r="T57">
        <v>56739.445413738</v>
      </c>
      <c r="V57">
        <f>IF(Allocation!D57="","",_CALC_ALLOC!AI57)</f>
        <v>27545</v>
      </c>
      <c r="W57">
        <f>IF(Allocation!D57="","",_CALC_ALLOC!AJ57)</f>
        <v>59664.25</v>
      </c>
      <c r="X57">
        <f>IF(Allocation!D57="","",_CALC_ALLOC!AK57)</f>
        <v>27515.7850678733</v>
      </c>
      <c r="Y57">
        <f>IF(Allocation!D57="","",_CALC_ALLOC!AL57)</f>
        <v>0</v>
      </c>
      <c r="Z57">
        <f>IF(Allocation!D57="","",_CALC_ALLOC!AM57)</f>
        <v>0</v>
      </c>
      <c r="AA57">
        <f>IF(Allocation!D57="","",_CALC_ALLOC!AN57)</f>
        <v>216699.964932127</v>
      </c>
      <c r="AB57">
        <f>IF(Allocation!D57="","",AA57-T57)</f>
        <v>159960.519518389</v>
      </c>
      <c r="AC57">
        <f>IF(Allocation!D57="","",_CALC_ALLOC!AR57)</f>
        <v>0</v>
      </c>
    </row>
    <row r="58" ht="14.25" customHeight="1">
      <c r="A58" t="s">
        <v>191</v>
      </c>
      <c r="B58" t="s">
        <v>192</v>
      </c>
      <c r="C58" t="s">
        <v>211</v>
      </c>
      <c r="D58" t="s">
        <v>81</v>
      </c>
      <c r="E58" t="s">
        <v>232</v>
      </c>
      <c r="F58" t="s">
        <v>193</v>
      </c>
      <c r="G58" t="s">
        <v>196</v>
      </c>
      <c r="H58" t="s">
        <v>197</v>
      </c>
      <c r="I58">
        <v>44</v>
      </c>
      <c r="J58">
        <v>2</v>
      </c>
      <c r="K58">
        <v>298760</v>
      </c>
      <c r="L58">
        <v>22036</v>
      </c>
      <c r="M58">
        <v>47731.4</v>
      </c>
      <c r="N58">
        <v>16834.678733032</v>
      </c>
      <c r="O58">
        <v>112330.407239819</v>
      </c>
      <c r="P58">
        <v>44075.434067049</v>
      </c>
      <c r="Q58">
        <v>38870.678733032</v>
      </c>
      <c r="R58">
        <v>204137.241306868</v>
      </c>
      <c r="S58">
        <v>243007.9200399</v>
      </c>
      <c r="T58">
        <v>55752.0799601</v>
      </c>
      <c r="V58">
        <f>IF(Allocation!D58="","",_CALC_ALLOC!AI58)</f>
        <v>22036</v>
      </c>
      <c r="W58">
        <f>IF(Allocation!D58="","",_CALC_ALLOC!AJ58)</f>
        <v>47731.4</v>
      </c>
      <c r="X58">
        <f>IF(Allocation!D58="","",_CALC_ALLOC!AK58)</f>
        <v>16834.6787330317</v>
      </c>
      <c r="Y58">
        <f>IF(Allocation!D58="","",_CALC_ALLOC!AL58)</f>
        <v>0</v>
      </c>
      <c r="Z58">
        <f>IF(Allocation!D58="","",_CALC_ALLOC!AM58)</f>
        <v>0</v>
      </c>
      <c r="AA58">
        <f>IF(Allocation!D58="","",_CALC_ALLOC!AN58)</f>
        <v>212157.921266968</v>
      </c>
      <c r="AB58">
        <f>IF(Allocation!D58="","",AA58-T58)</f>
        <v>156405.841306868</v>
      </c>
      <c r="AC58">
        <f>IF(Allocation!D58="","",_CALC_ALLOC!AR58)</f>
        <v>0</v>
      </c>
    </row>
    <row r="59" ht="14.25" customHeight="1">
      <c r="A59" t="s">
        <v>191</v>
      </c>
      <c r="B59" t="s">
        <v>192</v>
      </c>
      <c r="C59" t="s">
        <v>211</v>
      </c>
      <c r="D59" t="s">
        <v>81</v>
      </c>
      <c r="E59" t="s">
        <v>232</v>
      </c>
      <c r="F59" t="s">
        <v>193</v>
      </c>
      <c r="G59" t="s">
        <v>198</v>
      </c>
      <c r="H59" t="s">
        <v>197</v>
      </c>
      <c r="I59">
        <v>43</v>
      </c>
      <c r="J59">
        <v>2</v>
      </c>
      <c r="K59">
        <v>291970</v>
      </c>
      <c r="L59">
        <v>22036</v>
      </c>
      <c r="M59">
        <v>47731.4</v>
      </c>
      <c r="N59">
        <v>16452.07239819</v>
      </c>
      <c r="O59">
        <v>109777.443438914</v>
      </c>
      <c r="P59">
        <v>43073.719656435</v>
      </c>
      <c r="Q59">
        <v>38488.07239819</v>
      </c>
      <c r="R59">
        <v>200582.563095349</v>
      </c>
      <c r="S59">
        <v>239070.635493539</v>
      </c>
      <c r="T59">
        <v>52899.364506461</v>
      </c>
      <c r="V59">
        <f>IF(Allocation!D59="","",_CALC_ALLOC!AI59)</f>
        <v>22036</v>
      </c>
      <c r="W59">
        <f>IF(Allocation!D59="","",_CALC_ALLOC!AJ59)</f>
        <v>47731.4</v>
      </c>
      <c r="X59">
        <f>IF(Allocation!D59="","",_CALC_ALLOC!AK59)</f>
        <v>16452.07239819</v>
      </c>
      <c r="Y59">
        <f>IF(Allocation!D59="","",_CALC_ALLOC!AL59)</f>
        <v>0</v>
      </c>
      <c r="Z59">
        <f>IF(Allocation!D59="","",_CALC_ALLOC!AM59)</f>
        <v>0</v>
      </c>
      <c r="AA59">
        <f>IF(Allocation!D59="","",_CALC_ALLOC!AN59)</f>
        <v>205750.52760181</v>
      </c>
      <c r="AB59">
        <f>IF(Allocation!D59="","",AA59-T59)</f>
        <v>152851.163095349</v>
      </c>
      <c r="AC59">
        <f>IF(Allocation!D59="","",_CALC_ALLOC!AR59)</f>
        <v>0</v>
      </c>
    </row>
    <row r="60" ht="14.25" customHeight="1">
      <c r="A60" t="s">
        <v>191</v>
      </c>
      <c r="B60" t="s">
        <v>192</v>
      </c>
      <c r="C60" t="s">
        <v>211</v>
      </c>
      <c r="D60" t="s">
        <v>81</v>
      </c>
      <c r="E60" t="s">
        <v>232</v>
      </c>
      <c r="F60" t="s">
        <v>199</v>
      </c>
      <c r="G60" t="s">
        <v>200</v>
      </c>
      <c r="H60" t="s">
        <v>197</v>
      </c>
      <c r="I60">
        <v>45</v>
      </c>
      <c r="J60">
        <v>2</v>
      </c>
      <c r="K60">
        <v>331425</v>
      </c>
      <c r="L60">
        <v>19281.5</v>
      </c>
      <c r="M60">
        <v>41764.975</v>
      </c>
      <c r="N60">
        <v>27515.785067873</v>
      </c>
      <c r="O60">
        <v>114883.371040724</v>
      </c>
      <c r="P60">
        <v>45077.148477664</v>
      </c>
      <c r="Q60">
        <v>46797.285067873</v>
      </c>
      <c r="R60">
        <v>201725.494518388</v>
      </c>
      <c r="S60">
        <v>248522.779586262</v>
      </c>
      <c r="T60">
        <v>82902.220413738</v>
      </c>
      <c r="V60">
        <f>IF(Allocation!D60="","",_CALC_ALLOC!AI60)</f>
        <v>19281.5</v>
      </c>
      <c r="W60">
        <f>IF(Allocation!D60="","",_CALC_ALLOC!AJ60)</f>
        <v>41764.975</v>
      </c>
      <c r="X60">
        <f>IF(Allocation!D60="","",_CALC_ALLOC!AK60)</f>
        <v>27515.7850678733</v>
      </c>
      <c r="Y60">
        <f>IF(Allocation!D60="","",_CALC_ALLOC!AL60)</f>
        <v>0</v>
      </c>
      <c r="Z60">
        <f>IF(Allocation!D60="","",_CALC_ALLOC!AM60)</f>
        <v>0</v>
      </c>
      <c r="AA60">
        <f>IF(Allocation!D60="","",_CALC_ALLOC!AN60)</f>
        <v>242862.739932127</v>
      </c>
      <c r="AB60">
        <f>IF(Allocation!D60="","",AA60-T60)</f>
        <v>159960.519518389</v>
      </c>
      <c r="AC60">
        <f>IF(Allocation!D60="","",_CALC_ALLOC!AR60)</f>
        <v>0</v>
      </c>
    </row>
    <row r="61" ht="14.25" customHeight="1">
      <c r="A61" t="s">
        <v>191</v>
      </c>
      <c r="B61" t="s">
        <v>192</v>
      </c>
      <c r="C61" t="s">
        <v>211</v>
      </c>
      <c r="D61" t="s">
        <v>81</v>
      </c>
      <c r="E61" t="s">
        <v>232</v>
      </c>
      <c r="F61" t="s">
        <v>199</v>
      </c>
      <c r="G61" t="s">
        <v>201</v>
      </c>
      <c r="H61" t="s">
        <v>197</v>
      </c>
      <c r="I61">
        <v>44</v>
      </c>
      <c r="J61">
        <v>2</v>
      </c>
      <c r="K61">
        <v>320100</v>
      </c>
      <c r="L61">
        <v>19281.5</v>
      </c>
      <c r="M61">
        <v>41764.975</v>
      </c>
      <c r="N61">
        <v>16834.678733032</v>
      </c>
      <c r="O61">
        <v>112330.407239819</v>
      </c>
      <c r="P61">
        <v>44075.434067049</v>
      </c>
      <c r="Q61">
        <v>36116.178733032</v>
      </c>
      <c r="R61">
        <v>198170.816306868</v>
      </c>
      <c r="S61">
        <v>234286.9950399</v>
      </c>
      <c r="T61">
        <v>85813.0049601</v>
      </c>
      <c r="V61">
        <f>IF(Allocation!D61="","",_CALC_ALLOC!AI61)</f>
        <v>19281.5</v>
      </c>
      <c r="W61">
        <f>IF(Allocation!D61="","",_CALC_ALLOC!AJ61)</f>
        <v>41764.975</v>
      </c>
      <c r="X61">
        <f>IF(Allocation!D61="","",_CALC_ALLOC!AK61)</f>
        <v>16834.6787330317</v>
      </c>
      <c r="Y61">
        <f>IF(Allocation!D61="","",_CALC_ALLOC!AL61)</f>
        <v>0</v>
      </c>
      <c r="Z61">
        <f>IF(Allocation!D61="","",_CALC_ALLOC!AM61)</f>
        <v>0</v>
      </c>
      <c r="AA61">
        <f>IF(Allocation!D61="","",_CALC_ALLOC!AN61)</f>
        <v>242218.846266968</v>
      </c>
      <c r="AB61">
        <f>IF(Allocation!D61="","",AA61-T61)</f>
        <v>156405.841306868</v>
      </c>
      <c r="AC61">
        <f>IF(Allocation!D61="","",_CALC_ALLOC!AR61)</f>
        <v>0</v>
      </c>
    </row>
    <row r="62" ht="14.25" customHeight="1">
      <c r="A62" t="s">
        <v>191</v>
      </c>
      <c r="B62" t="s">
        <v>192</v>
      </c>
      <c r="C62" t="s">
        <v>25</v>
      </c>
      <c r="D62" t="s">
        <v>83</v>
      </c>
      <c r="E62" t="s">
        <v>29</v>
      </c>
      <c r="F62" t="s">
        <v>202</v>
      </c>
      <c r="G62" t="s">
        <v>194</v>
      </c>
      <c r="H62" t="s">
        <v>195</v>
      </c>
      <c r="I62">
        <v>72</v>
      </c>
      <c r="J62">
        <v>3</v>
      </c>
      <c r="K62">
        <v>611280</v>
      </c>
      <c r="L62">
        <v>45273.5</v>
      </c>
      <c r="M62">
        <v>151300.5</v>
      </c>
      <c r="N62">
        <v>57190.915254237</v>
      </c>
      <c r="O62">
        <v>280720.271186441</v>
      </c>
      <c r="P62">
        <v>89632.57458641</v>
      </c>
      <c r="Q62">
        <v>102464.415254237</v>
      </c>
      <c r="R62">
        <v>521653.345772851</v>
      </c>
      <c r="S62">
        <v>624117.761027088</v>
      </c>
      <c r="T62">
        <v>-12837.761027088</v>
      </c>
      <c r="V62">
        <f>IF(Allocation!D62="","",_CALC_ALLOC!AI62)</f>
        <v>45273.5</v>
      </c>
      <c r="W62">
        <f>IF(Allocation!D62="","",_CALC_ALLOC!AJ62)</f>
        <v>151300.5</v>
      </c>
      <c r="X62">
        <f>IF(Allocation!D62="","",_CALC_ALLOC!AK62)</f>
        <v>57190.9152542373</v>
      </c>
      <c r="Y62">
        <f>IF(Allocation!D62="","",_CALC_ALLOC!AL62)</f>
        <v>0</v>
      </c>
      <c r="Z62">
        <f>IF(Allocation!D62="","",_CALC_ALLOC!AM62)</f>
        <v>0</v>
      </c>
      <c r="AA62">
        <f>IF(Allocation!D62="","",_CALC_ALLOC!AN62)</f>
        <v>357515.084745763</v>
      </c>
      <c r="AB62">
        <f>IF(Allocation!D62="","",AA62-T62)</f>
        <v>370352.845772851</v>
      </c>
      <c r="AC62">
        <f>IF(Allocation!D62="","",_CALC_ALLOC!AR62)</f>
        <v>0</v>
      </c>
    </row>
    <row r="63" ht="14.25" customHeight="1">
      <c r="A63" t="s">
        <v>191</v>
      </c>
      <c r="B63" t="s">
        <v>192</v>
      </c>
      <c r="C63" t="s">
        <v>25</v>
      </c>
      <c r="D63" t="s">
        <v>83</v>
      </c>
      <c r="E63" t="s">
        <v>29</v>
      </c>
      <c r="F63" t="s">
        <v>202</v>
      </c>
      <c r="G63" t="s">
        <v>196</v>
      </c>
      <c r="H63" t="s">
        <v>197</v>
      </c>
      <c r="I63">
        <v>70</v>
      </c>
      <c r="J63">
        <v>3</v>
      </c>
      <c r="K63">
        <v>548800</v>
      </c>
      <c r="L63">
        <v>36218.8</v>
      </c>
      <c r="M63">
        <v>121040.4</v>
      </c>
      <c r="N63">
        <v>26046.723163842</v>
      </c>
      <c r="O63">
        <v>272922.485875706</v>
      </c>
      <c r="P63">
        <v>87142.780847899</v>
      </c>
      <c r="Q63">
        <v>62265.523163842</v>
      </c>
      <c r="R63">
        <v>481105.666723605</v>
      </c>
      <c r="S63">
        <v>543371.189887447</v>
      </c>
      <c r="T63">
        <v>5428.810112553</v>
      </c>
      <c r="V63">
        <f>IF(Allocation!D63="","",_CALC_ALLOC!AI63)</f>
        <v>36218.8</v>
      </c>
      <c r="W63">
        <f>IF(Allocation!D63="","",_CALC_ALLOC!AJ63)</f>
        <v>121040.4</v>
      </c>
      <c r="X63">
        <f>IF(Allocation!D63="","",_CALC_ALLOC!AK63)</f>
        <v>26046.7231638418</v>
      </c>
      <c r="Y63">
        <f>IF(Allocation!D63="","",_CALC_ALLOC!AL63)</f>
        <v>0</v>
      </c>
      <c r="Z63">
        <f>IF(Allocation!D63="","",_CALC_ALLOC!AM63)</f>
        <v>0</v>
      </c>
      <c r="AA63">
        <f>IF(Allocation!D63="","",_CALC_ALLOC!AN63)</f>
        <v>365494.076836158</v>
      </c>
      <c r="AB63">
        <f>IF(Allocation!D63="","",AA63-T63)</f>
        <v>360065.266723605</v>
      </c>
      <c r="AC63">
        <f>IF(Allocation!D63="","",_CALC_ALLOC!AR63)</f>
        <v>0</v>
      </c>
    </row>
    <row r="64" ht="14.25" customHeight="1">
      <c r="A64" t="s">
        <v>191</v>
      </c>
      <c r="B64" t="s">
        <v>192</v>
      </c>
      <c r="C64" t="s">
        <v>25</v>
      </c>
      <c r="D64" t="s">
        <v>83</v>
      </c>
      <c r="E64" t="s">
        <v>29</v>
      </c>
      <c r="F64" t="s">
        <v>202</v>
      </c>
      <c r="G64" t="s">
        <v>198</v>
      </c>
      <c r="H64" t="s">
        <v>197</v>
      </c>
      <c r="I64">
        <v>69</v>
      </c>
      <c r="J64">
        <v>3</v>
      </c>
      <c r="K64">
        <v>540960</v>
      </c>
      <c r="L64">
        <v>36218.8</v>
      </c>
      <c r="M64">
        <v>121040.4</v>
      </c>
      <c r="N64">
        <v>25674.627118644</v>
      </c>
      <c r="O64">
        <v>269023.593220339</v>
      </c>
      <c r="P64">
        <v>85897.883978643</v>
      </c>
      <c r="Q64">
        <v>61893.427118644</v>
      </c>
      <c r="R64">
        <v>475961.877198982</v>
      </c>
      <c r="S64">
        <v>537855.304317626</v>
      </c>
      <c r="T64">
        <v>3104.695682374</v>
      </c>
      <c r="V64">
        <f>IF(Allocation!D64="","",_CALC_ALLOC!AI64)</f>
        <v>36218.8</v>
      </c>
      <c r="W64">
        <f>IF(Allocation!D64="","",_CALC_ALLOC!AJ64)</f>
        <v>121040.4</v>
      </c>
      <c r="X64">
        <f>IF(Allocation!D64="","",_CALC_ALLOC!AK64)</f>
        <v>25674.6271186441</v>
      </c>
      <c r="Y64">
        <f>IF(Allocation!D64="","",_CALC_ALLOC!AL64)</f>
        <v>0</v>
      </c>
      <c r="Z64">
        <f>IF(Allocation!D64="","",_CALC_ALLOC!AM64)</f>
        <v>0</v>
      </c>
      <c r="AA64">
        <f>IF(Allocation!D64="","",_CALC_ALLOC!AN64)</f>
        <v>358026.172881356</v>
      </c>
      <c r="AB64">
        <f>IF(Allocation!D64="","",AA64-T64)</f>
        <v>354921.477198982</v>
      </c>
      <c r="AC64">
        <f>IF(Allocation!D64="","",_CALC_ALLOC!AR64)</f>
        <v>0</v>
      </c>
    </row>
    <row r="65" ht="14.25" customHeight="1">
      <c r="A65" t="s">
        <v>191</v>
      </c>
      <c r="B65" t="s">
        <v>192</v>
      </c>
      <c r="C65" t="s">
        <v>25</v>
      </c>
      <c r="D65" t="s">
        <v>83</v>
      </c>
      <c r="E65" t="s">
        <v>29</v>
      </c>
      <c r="F65" t="s">
        <v>203</v>
      </c>
      <c r="G65" t="s">
        <v>200</v>
      </c>
      <c r="H65" t="s">
        <v>197</v>
      </c>
      <c r="I65">
        <v>72</v>
      </c>
      <c r="J65">
        <v>3</v>
      </c>
      <c r="K65">
        <v>611280</v>
      </c>
      <c r="L65">
        <v>31691.45</v>
      </c>
      <c r="M65">
        <v>105910.35</v>
      </c>
      <c r="N65">
        <v>57190.915254237</v>
      </c>
      <c r="O65">
        <v>280720.271186441</v>
      </c>
      <c r="P65">
        <v>89632.57458641</v>
      </c>
      <c r="Q65">
        <v>88882.365254237</v>
      </c>
      <c r="R65">
        <v>476263.195772851</v>
      </c>
      <c r="S65">
        <v>565145.561027088</v>
      </c>
      <c r="T65">
        <v>46134.438972912</v>
      </c>
      <c r="V65">
        <f>IF(Allocation!D65="","",_CALC_ALLOC!AI65)</f>
        <v>31691.45</v>
      </c>
      <c r="W65">
        <f>IF(Allocation!D65="","",_CALC_ALLOC!AJ65)</f>
        <v>105910.35</v>
      </c>
      <c r="X65">
        <f>IF(Allocation!D65="","",_CALC_ALLOC!AK65)</f>
        <v>57190.9152542373</v>
      </c>
      <c r="Y65">
        <f>IF(Allocation!D65="","",_CALC_ALLOC!AL65)</f>
        <v>0</v>
      </c>
      <c r="Z65">
        <f>IF(Allocation!D65="","",_CALC_ALLOC!AM65)</f>
        <v>0</v>
      </c>
      <c r="AA65">
        <f>IF(Allocation!D65="","",_CALC_ALLOC!AN65)</f>
        <v>416487.284745763</v>
      </c>
      <c r="AB65">
        <f>IF(Allocation!D65="","",AA65-T65)</f>
        <v>370352.845772851</v>
      </c>
      <c r="AC65">
        <f>IF(Allocation!D65="","",_CALC_ALLOC!AR65)</f>
        <v>0</v>
      </c>
    </row>
    <row r="66" ht="14.25" customHeight="1">
      <c r="A66" t="s">
        <v>191</v>
      </c>
      <c r="B66" t="s">
        <v>192</v>
      </c>
      <c r="C66" t="s">
        <v>25</v>
      </c>
      <c r="D66" t="s">
        <v>83</v>
      </c>
      <c r="E66" t="s">
        <v>29</v>
      </c>
      <c r="F66" t="s">
        <v>203</v>
      </c>
      <c r="G66" t="s">
        <v>201</v>
      </c>
      <c r="H66" t="s">
        <v>197</v>
      </c>
      <c r="I66">
        <v>71</v>
      </c>
      <c r="J66">
        <v>3</v>
      </c>
      <c r="K66">
        <v>596400</v>
      </c>
      <c r="L66">
        <v>31691.45</v>
      </c>
      <c r="M66">
        <v>105910.35</v>
      </c>
      <c r="N66">
        <v>26418.81920904</v>
      </c>
      <c r="O66">
        <v>276821.378531073</v>
      </c>
      <c r="P66">
        <v>88387.677717154</v>
      </c>
      <c r="Q66">
        <v>58110.26920904</v>
      </c>
      <c r="R66">
        <v>471119.406248228</v>
      </c>
      <c r="S66">
        <v>529229.675457267</v>
      </c>
      <c r="T66">
        <v>67170.324542733</v>
      </c>
      <c r="V66">
        <f>IF(Allocation!D66="","",_CALC_ALLOC!AI66)</f>
        <v>31691.45</v>
      </c>
      <c r="W66">
        <f>IF(Allocation!D66="","",_CALC_ALLOC!AJ66)</f>
        <v>105910.35</v>
      </c>
      <c r="X66">
        <f>IF(Allocation!D66="","",_CALC_ALLOC!AK66)</f>
        <v>26418.8192090395</v>
      </c>
      <c r="Y66">
        <f>IF(Allocation!D66="","",_CALC_ALLOC!AL66)</f>
        <v>0</v>
      </c>
      <c r="Z66">
        <f>IF(Allocation!D66="","",_CALC_ALLOC!AM66)</f>
        <v>0</v>
      </c>
      <c r="AA66">
        <f>IF(Allocation!D66="","",_CALC_ALLOC!AN66)</f>
        <v>432379.380790961</v>
      </c>
      <c r="AB66">
        <f>IF(Allocation!D66="","",AA66-T66)</f>
        <v>365209.056248228</v>
      </c>
      <c r="AC66">
        <f>IF(Allocation!D66="","",_CALC_ALLOC!AR66)</f>
        <v>0</v>
      </c>
    </row>
    <row r="67" ht="14.25" customHeight="1">
      <c r="A67" t="s">
        <v>191</v>
      </c>
      <c r="B67" t="s">
        <v>192</v>
      </c>
      <c r="C67" t="s">
        <v>210</v>
      </c>
      <c r="D67" t="s">
        <v>83</v>
      </c>
      <c r="E67" t="s">
        <v>29</v>
      </c>
      <c r="F67" t="s">
        <v>202</v>
      </c>
      <c r="G67" t="s">
        <v>194</v>
      </c>
      <c r="H67" t="s">
        <v>195</v>
      </c>
      <c r="I67">
        <v>68</v>
      </c>
      <c r="J67">
        <v>3</v>
      </c>
      <c r="K67">
        <v>577320</v>
      </c>
      <c r="L67">
        <v>43211</v>
      </c>
      <c r="M67">
        <v>144407.5</v>
      </c>
      <c r="N67">
        <v>53231.688622754</v>
      </c>
      <c r="O67">
        <v>268198.718562874</v>
      </c>
      <c r="P67">
        <v>84309.700331509</v>
      </c>
      <c r="Q67">
        <v>96442.688622754</v>
      </c>
      <c r="R67">
        <v>496915.918894384</v>
      </c>
      <c r="S67">
        <v>593358.607517138</v>
      </c>
      <c r="T67">
        <v>-16038.607517138</v>
      </c>
      <c r="V67">
        <f>IF(Allocation!D67="","",_CALC_ALLOC!AI67)</f>
        <v>43211</v>
      </c>
      <c r="W67">
        <f>IF(Allocation!D67="","",_CALC_ALLOC!AJ67)</f>
        <v>144407.5</v>
      </c>
      <c r="X67">
        <f>IF(Allocation!D67="","",_CALC_ALLOC!AK67)</f>
        <v>53231.6886227545</v>
      </c>
      <c r="Y67">
        <f>IF(Allocation!D67="","",_CALC_ALLOC!AL67)</f>
        <v>0</v>
      </c>
      <c r="Z67">
        <f>IF(Allocation!D67="","",_CALC_ALLOC!AM67)</f>
        <v>0</v>
      </c>
      <c r="AA67">
        <f>IF(Allocation!D67="","",_CALC_ALLOC!AN67)</f>
        <v>336469.811377245</v>
      </c>
      <c r="AB67">
        <f>IF(Allocation!D67="","",AA67-T67)</f>
        <v>352508.418894383</v>
      </c>
      <c r="AC67">
        <f>IF(Allocation!D67="","",_CALC_ALLOC!AR67)</f>
        <v>0</v>
      </c>
    </row>
    <row r="68" ht="14.25" customHeight="1">
      <c r="A68" t="s">
        <v>191</v>
      </c>
      <c r="B68" t="s">
        <v>192</v>
      </c>
      <c r="C68" t="s">
        <v>210</v>
      </c>
      <c r="D68" t="s">
        <v>83</v>
      </c>
      <c r="E68" t="s">
        <v>29</v>
      </c>
      <c r="F68" t="s">
        <v>202</v>
      </c>
      <c r="G68" t="s">
        <v>196</v>
      </c>
      <c r="H68" t="s">
        <v>197</v>
      </c>
      <c r="I68">
        <v>66</v>
      </c>
      <c r="J68">
        <v>3</v>
      </c>
      <c r="K68">
        <v>517440</v>
      </c>
      <c r="L68">
        <v>34568.8</v>
      </c>
      <c r="M68">
        <v>115526</v>
      </c>
      <c r="N68">
        <v>24842.874251497</v>
      </c>
      <c r="O68">
        <v>260310.520958084</v>
      </c>
      <c r="P68">
        <v>81830.003262936</v>
      </c>
      <c r="Q68">
        <v>59411.674251497</v>
      </c>
      <c r="R68">
        <v>457666.524221019</v>
      </c>
      <c r="S68">
        <v>517078.198472516</v>
      </c>
      <c r="T68">
        <v>361.801527484</v>
      </c>
      <c r="V68">
        <f>IF(Allocation!D68="","",_CALC_ALLOC!AI68)</f>
        <v>34568.8</v>
      </c>
      <c r="W68">
        <f>IF(Allocation!D68="","",_CALC_ALLOC!AJ68)</f>
        <v>115526</v>
      </c>
      <c r="X68">
        <f>IF(Allocation!D68="","",_CALC_ALLOC!AK68)</f>
        <v>24842.874251497</v>
      </c>
      <c r="Y68">
        <f>IF(Allocation!D68="","",_CALC_ALLOC!AL68)</f>
        <v>0</v>
      </c>
      <c r="Z68">
        <f>IF(Allocation!D68="","",_CALC_ALLOC!AM68)</f>
        <v>0</v>
      </c>
      <c r="AA68">
        <f>IF(Allocation!D68="","",_CALC_ALLOC!AN68)</f>
        <v>342502.325748503</v>
      </c>
      <c r="AB68">
        <f>IF(Allocation!D68="","",AA68-T68)</f>
        <v>342140.524221019</v>
      </c>
      <c r="AC68">
        <f>IF(Allocation!D68="","",_CALC_ALLOC!AR68)</f>
        <v>0</v>
      </c>
    </row>
    <row r="69" ht="14.25" customHeight="1">
      <c r="A69" t="s">
        <v>191</v>
      </c>
      <c r="B69" t="s">
        <v>192</v>
      </c>
      <c r="C69" t="s">
        <v>210</v>
      </c>
      <c r="D69" t="s">
        <v>83</v>
      </c>
      <c r="E69" t="s">
        <v>29</v>
      </c>
      <c r="F69" t="s">
        <v>202</v>
      </c>
      <c r="G69" t="s">
        <v>198</v>
      </c>
      <c r="H69" t="s">
        <v>197</v>
      </c>
      <c r="I69">
        <v>65</v>
      </c>
      <c r="J69">
        <v>3</v>
      </c>
      <c r="K69">
        <v>509600</v>
      </c>
      <c r="L69">
        <v>34568.8</v>
      </c>
      <c r="M69">
        <v>115526</v>
      </c>
      <c r="N69">
        <v>24466.467065868</v>
      </c>
      <c r="O69">
        <v>256366.422155689</v>
      </c>
      <c r="P69">
        <v>80590.154728649</v>
      </c>
      <c r="Q69">
        <v>59035.267065868</v>
      </c>
      <c r="R69">
        <v>452482.576884337</v>
      </c>
      <c r="S69">
        <v>511517.843950206</v>
      </c>
      <c r="T69">
        <v>-1917.843950206</v>
      </c>
      <c r="V69">
        <f>IF(Allocation!D69="","",_CALC_ALLOC!AI69)</f>
        <v>34568.8</v>
      </c>
      <c r="W69">
        <f>IF(Allocation!D69="","",_CALC_ALLOC!AJ69)</f>
        <v>115526</v>
      </c>
      <c r="X69">
        <f>IF(Allocation!D69="","",_CALC_ALLOC!AK69)</f>
        <v>24466.4670658683</v>
      </c>
      <c r="Y69">
        <f>IF(Allocation!D69="","",_CALC_ALLOC!AL69)</f>
        <v>0</v>
      </c>
      <c r="Z69">
        <f>IF(Allocation!D69="","",_CALC_ALLOC!AM69)</f>
        <v>0</v>
      </c>
      <c r="AA69">
        <f>IF(Allocation!D69="","",_CALC_ALLOC!AN69)</f>
        <v>335038.732934132</v>
      </c>
      <c r="AB69">
        <f>IF(Allocation!D69="","",AA69-T69)</f>
        <v>336956.576884338</v>
      </c>
      <c r="AC69">
        <f>IF(Allocation!D69="","",_CALC_ALLOC!AR69)</f>
        <v>0</v>
      </c>
    </row>
    <row r="70" ht="14.25" customHeight="1">
      <c r="A70" t="s">
        <v>191</v>
      </c>
      <c r="B70" t="s">
        <v>192</v>
      </c>
      <c r="C70" t="s">
        <v>210</v>
      </c>
      <c r="D70" t="s">
        <v>83</v>
      </c>
      <c r="E70" t="s">
        <v>29</v>
      </c>
      <c r="F70" t="s">
        <v>203</v>
      </c>
      <c r="G70" t="s">
        <v>200</v>
      </c>
      <c r="H70" t="s">
        <v>197</v>
      </c>
      <c r="I70">
        <v>68</v>
      </c>
      <c r="J70">
        <v>3</v>
      </c>
      <c r="K70">
        <v>577320</v>
      </c>
      <c r="L70">
        <v>30247.7</v>
      </c>
      <c r="M70">
        <v>101085.25</v>
      </c>
      <c r="N70">
        <v>53231.688622754</v>
      </c>
      <c r="O70">
        <v>268198.718562874</v>
      </c>
      <c r="P70">
        <v>84309.700331509</v>
      </c>
      <c r="Q70">
        <v>83479.388622754</v>
      </c>
      <c r="R70">
        <v>453593.668894384</v>
      </c>
      <c r="S70">
        <v>537073.057517138</v>
      </c>
      <c r="T70">
        <v>40246.942482862</v>
      </c>
      <c r="V70">
        <f>IF(Allocation!D70="","",_CALC_ALLOC!AI70)</f>
        <v>30247.7</v>
      </c>
      <c r="W70">
        <f>IF(Allocation!D70="","",_CALC_ALLOC!AJ70)</f>
        <v>101085.25</v>
      </c>
      <c r="X70">
        <f>IF(Allocation!D70="","",_CALC_ALLOC!AK70)</f>
        <v>53231.6886227545</v>
      </c>
      <c r="Y70">
        <f>IF(Allocation!D70="","",_CALC_ALLOC!AL70)</f>
        <v>0</v>
      </c>
      <c r="Z70">
        <f>IF(Allocation!D70="","",_CALC_ALLOC!AM70)</f>
        <v>0</v>
      </c>
      <c r="AA70">
        <f>IF(Allocation!D70="","",_CALC_ALLOC!AN70)</f>
        <v>392755.361377246</v>
      </c>
      <c r="AB70">
        <f>IF(Allocation!D70="","",AA70-T70)</f>
        <v>352508.418894384</v>
      </c>
      <c r="AC70">
        <f>IF(Allocation!D70="","",_CALC_ALLOC!AR70)</f>
        <v>0</v>
      </c>
    </row>
    <row r="71" ht="14.25" customHeight="1">
      <c r="A71" t="s">
        <v>191</v>
      </c>
      <c r="B71" t="s">
        <v>192</v>
      </c>
      <c r="C71" t="s">
        <v>210</v>
      </c>
      <c r="D71" t="s">
        <v>83</v>
      </c>
      <c r="E71" t="s">
        <v>29</v>
      </c>
      <c r="F71" t="s">
        <v>203</v>
      </c>
      <c r="G71" t="s">
        <v>201</v>
      </c>
      <c r="H71" t="s">
        <v>197</v>
      </c>
      <c r="I71">
        <v>67</v>
      </c>
      <c r="J71">
        <v>3</v>
      </c>
      <c r="K71">
        <v>562800</v>
      </c>
      <c r="L71">
        <v>30247.7</v>
      </c>
      <c r="M71">
        <v>101085.25</v>
      </c>
      <c r="N71">
        <v>25219.281437126</v>
      </c>
      <c r="O71">
        <v>264254.619760479</v>
      </c>
      <c r="P71">
        <v>83069.851797222</v>
      </c>
      <c r="Q71">
        <v>55466.981437126</v>
      </c>
      <c r="R71">
        <v>448409.721557702</v>
      </c>
      <c r="S71">
        <v>503876.702994827</v>
      </c>
      <c r="T71">
        <v>58923.297005173</v>
      </c>
      <c r="V71">
        <f>IF(Allocation!D71="","",_CALC_ALLOC!AI71)</f>
        <v>30247.7</v>
      </c>
      <c r="W71">
        <f>IF(Allocation!D71="","",_CALC_ALLOC!AJ71)</f>
        <v>101085.25</v>
      </c>
      <c r="X71">
        <f>IF(Allocation!D71="","",_CALC_ALLOC!AK71)</f>
        <v>25219.2814371257</v>
      </c>
      <c r="Y71">
        <f>IF(Allocation!D71="","",_CALC_ALLOC!AL71)</f>
        <v>0</v>
      </c>
      <c r="Z71">
        <f>IF(Allocation!D71="","",_CALC_ALLOC!AM71)</f>
        <v>0</v>
      </c>
      <c r="AA71">
        <f>IF(Allocation!D71="","",_CALC_ALLOC!AN71)</f>
        <v>406247.768562874</v>
      </c>
      <c r="AB71">
        <f>IF(Allocation!D71="","",AA71-T71)</f>
        <v>347324.471557701</v>
      </c>
      <c r="AC71">
        <f>IF(Allocation!D71="","",_CALC_ALLOC!AR71)</f>
        <v>0</v>
      </c>
    </row>
    <row r="72" ht="14.25" customHeight="1">
      <c r="A72" t="s">
        <v>191</v>
      </c>
      <c r="B72" t="s">
        <v>192</v>
      </c>
      <c r="C72" t="s">
        <v>211</v>
      </c>
      <c r="D72" t="s">
        <v>83</v>
      </c>
      <c r="E72" t="s">
        <v>29</v>
      </c>
      <c r="F72" t="s">
        <v>202</v>
      </c>
      <c r="G72" t="s">
        <v>194</v>
      </c>
      <c r="H72" t="s">
        <v>195</v>
      </c>
      <c r="I72">
        <v>64</v>
      </c>
      <c r="J72">
        <v>3</v>
      </c>
      <c r="K72">
        <v>543360</v>
      </c>
      <c r="L72">
        <v>41317.75</v>
      </c>
      <c r="M72">
        <v>138080.5</v>
      </c>
      <c r="N72">
        <v>49625.808917197</v>
      </c>
      <c r="O72">
        <v>256736</v>
      </c>
      <c r="P72">
        <v>78860.120197506</v>
      </c>
      <c r="Q72">
        <v>90943.558917197</v>
      </c>
      <c r="R72">
        <v>473676.620197506</v>
      </c>
      <c r="S72">
        <v>564620.179114704</v>
      </c>
      <c r="T72">
        <v>-21260.179114704</v>
      </c>
      <c r="V72">
        <f>IF(Allocation!D72="","",_CALC_ALLOC!AI72)</f>
        <v>41317.75</v>
      </c>
      <c r="W72">
        <f>IF(Allocation!D72="","",_CALC_ALLOC!AJ72)</f>
        <v>138080.5</v>
      </c>
      <c r="X72">
        <f>IF(Allocation!D72="","",_CALC_ALLOC!AK72)</f>
        <v>49625.8089171975</v>
      </c>
      <c r="Y72">
        <f>IF(Allocation!D72="","",_CALC_ALLOC!AL72)</f>
        <v>0</v>
      </c>
      <c r="Z72">
        <f>IF(Allocation!D72="","",_CALC_ALLOC!AM72)</f>
        <v>0</v>
      </c>
      <c r="AA72">
        <f>IF(Allocation!D72="","",_CALC_ALLOC!AN72)</f>
        <v>314335.941082802</v>
      </c>
      <c r="AB72">
        <f>IF(Allocation!D72="","",AA72-T72)</f>
        <v>335596.120197506</v>
      </c>
      <c r="AC72">
        <f>IF(Allocation!D72="","",_CALC_ALLOC!AR72)</f>
        <v>0</v>
      </c>
    </row>
    <row r="73" ht="14.25" customHeight="1">
      <c r="A73" t="s">
        <v>191</v>
      </c>
      <c r="B73" t="s">
        <v>192</v>
      </c>
      <c r="C73" t="s">
        <v>211</v>
      </c>
      <c r="D73" t="s">
        <v>83</v>
      </c>
      <c r="E73" t="s">
        <v>29</v>
      </c>
      <c r="F73" t="s">
        <v>202</v>
      </c>
      <c r="G73" t="s">
        <v>196</v>
      </c>
      <c r="H73" t="s">
        <v>197</v>
      </c>
      <c r="I73">
        <v>62</v>
      </c>
      <c r="J73">
        <v>3</v>
      </c>
      <c r="K73">
        <v>486080</v>
      </c>
      <c r="L73">
        <v>33054.2</v>
      </c>
      <c r="M73">
        <v>110464.4</v>
      </c>
      <c r="N73">
        <v>23736.127388535</v>
      </c>
      <c r="O73">
        <v>248713</v>
      </c>
      <c r="P73">
        <v>76395.741441334</v>
      </c>
      <c r="Q73">
        <v>56790.327388535</v>
      </c>
      <c r="R73">
        <v>435573.141441334</v>
      </c>
      <c r="S73">
        <v>492363.468829869</v>
      </c>
      <c r="T73">
        <v>-6283.468829869</v>
      </c>
      <c r="V73">
        <f>IF(Allocation!D73="","",_CALC_ALLOC!AI73)</f>
        <v>33054.2</v>
      </c>
      <c r="W73">
        <f>IF(Allocation!D73="","",_CALC_ALLOC!AJ73)</f>
        <v>110464.4</v>
      </c>
      <c r="X73">
        <f>IF(Allocation!D73="","",_CALC_ALLOC!AK73)</f>
        <v>23736.127388535</v>
      </c>
      <c r="Y73">
        <f>IF(Allocation!D73="","",_CALC_ALLOC!AL73)</f>
        <v>0</v>
      </c>
      <c r="Z73">
        <f>IF(Allocation!D73="","",_CALC_ALLOC!AM73)</f>
        <v>0</v>
      </c>
      <c r="AA73">
        <f>IF(Allocation!D73="","",_CALC_ALLOC!AN73)</f>
        <v>318825.272611465</v>
      </c>
      <c r="AB73">
        <f>IF(Allocation!D73="","",AA73-T73)</f>
        <v>325108.741441334</v>
      </c>
      <c r="AC73">
        <f>IF(Allocation!D73="","",_CALC_ALLOC!AR73)</f>
        <v>0</v>
      </c>
    </row>
    <row r="74" ht="14.25" customHeight="1">
      <c r="A74" t="s">
        <v>191</v>
      </c>
      <c r="B74" t="s">
        <v>192</v>
      </c>
      <c r="C74" t="s">
        <v>211</v>
      </c>
      <c r="D74" t="s">
        <v>83</v>
      </c>
      <c r="E74" t="s">
        <v>29</v>
      </c>
      <c r="F74" t="s">
        <v>202</v>
      </c>
      <c r="G74" t="s">
        <v>198</v>
      </c>
      <c r="H74" t="s">
        <v>197</v>
      </c>
      <c r="I74">
        <v>61</v>
      </c>
      <c r="J74">
        <v>3</v>
      </c>
      <c r="K74">
        <v>478240</v>
      </c>
      <c r="L74">
        <v>33054.2</v>
      </c>
      <c r="M74">
        <v>110464.4</v>
      </c>
      <c r="N74">
        <v>23353.286624204</v>
      </c>
      <c r="O74">
        <v>244701.5</v>
      </c>
      <c r="P74">
        <v>75163.552063248</v>
      </c>
      <c r="Q74">
        <v>56407.486624204</v>
      </c>
      <c r="R74">
        <v>430329.452063248</v>
      </c>
      <c r="S74">
        <v>486736.938687452</v>
      </c>
      <c r="T74">
        <v>-8496.938687452</v>
      </c>
      <c r="V74">
        <f>IF(Allocation!D74="","",_CALC_ALLOC!AI74)</f>
        <v>33054.2</v>
      </c>
      <c r="W74">
        <f>IF(Allocation!D74="","",_CALC_ALLOC!AJ74)</f>
        <v>110464.4</v>
      </c>
      <c r="X74">
        <f>IF(Allocation!D74="","",_CALC_ALLOC!AK74)</f>
        <v>23353.2866242038</v>
      </c>
      <c r="Y74">
        <f>IF(Allocation!D74="","",_CALC_ALLOC!AL74)</f>
        <v>0</v>
      </c>
      <c r="Z74">
        <f>IF(Allocation!D74="","",_CALC_ALLOC!AM74)</f>
        <v>0</v>
      </c>
      <c r="AA74">
        <f>IF(Allocation!D74="","",_CALC_ALLOC!AN74)</f>
        <v>311368.113375796</v>
      </c>
      <c r="AB74">
        <f>IF(Allocation!D74="","",AA74-T74)</f>
        <v>319865.052063248</v>
      </c>
      <c r="AC74">
        <f>IF(Allocation!D74="","",_CALC_ALLOC!AR74)</f>
        <v>0</v>
      </c>
    </row>
    <row r="75" ht="14.25" customHeight="1">
      <c r="A75" t="s">
        <v>191</v>
      </c>
      <c r="B75" t="s">
        <v>192</v>
      </c>
      <c r="C75" t="s">
        <v>211</v>
      </c>
      <c r="D75" t="s">
        <v>83</v>
      </c>
      <c r="E75" t="s">
        <v>29</v>
      </c>
      <c r="F75" t="s">
        <v>203</v>
      </c>
      <c r="G75" t="s">
        <v>200</v>
      </c>
      <c r="H75" t="s">
        <v>197</v>
      </c>
      <c r="I75">
        <v>64</v>
      </c>
      <c r="J75">
        <v>3</v>
      </c>
      <c r="K75">
        <v>543360</v>
      </c>
      <c r="L75">
        <v>28922.425</v>
      </c>
      <c r="M75">
        <v>96656.35</v>
      </c>
      <c r="N75">
        <v>49625.808917197</v>
      </c>
      <c r="O75">
        <v>256736</v>
      </c>
      <c r="P75">
        <v>78860.120197506</v>
      </c>
      <c r="Q75">
        <v>78548.233917197</v>
      </c>
      <c r="R75">
        <v>432252.470197506</v>
      </c>
      <c r="S75">
        <v>510800.704114704</v>
      </c>
      <c r="T75">
        <v>32559.295885296</v>
      </c>
      <c r="V75">
        <f>IF(Allocation!D75="","",_CALC_ALLOC!AI75)</f>
        <v>28922.425</v>
      </c>
      <c r="W75">
        <f>IF(Allocation!D75="","",_CALC_ALLOC!AJ75)</f>
        <v>96656.35</v>
      </c>
      <c r="X75">
        <f>IF(Allocation!D75="","",_CALC_ALLOC!AK75)</f>
        <v>49625.8089171975</v>
      </c>
      <c r="Y75">
        <f>IF(Allocation!D75="","",_CALC_ALLOC!AL75)</f>
        <v>0</v>
      </c>
      <c r="Z75">
        <f>IF(Allocation!D75="","",_CALC_ALLOC!AM75)</f>
        <v>0</v>
      </c>
      <c r="AA75">
        <f>IF(Allocation!D75="","",_CALC_ALLOC!AN75)</f>
        <v>368155.416082802</v>
      </c>
      <c r="AB75">
        <f>IF(Allocation!D75="","",AA75-T75)</f>
        <v>335596.120197506</v>
      </c>
      <c r="AC75">
        <f>IF(Allocation!D75="","",_CALC_ALLOC!AR75)</f>
        <v>0</v>
      </c>
    </row>
    <row r="76" ht="14.25" customHeight="1">
      <c r="A76" t="s">
        <v>191</v>
      </c>
      <c r="B76" t="s">
        <v>192</v>
      </c>
      <c r="C76" t="s">
        <v>211</v>
      </c>
      <c r="D76" t="s">
        <v>83</v>
      </c>
      <c r="E76" t="s">
        <v>29</v>
      </c>
      <c r="F76" t="s">
        <v>203</v>
      </c>
      <c r="G76" t="s">
        <v>201</v>
      </c>
      <c r="H76" t="s">
        <v>197</v>
      </c>
      <c r="I76">
        <v>63</v>
      </c>
      <c r="J76">
        <v>3</v>
      </c>
      <c r="K76">
        <v>529200</v>
      </c>
      <c r="L76">
        <v>28922.425</v>
      </c>
      <c r="M76">
        <v>96656.35</v>
      </c>
      <c r="N76">
        <v>24118.968152866</v>
      </c>
      <c r="O76">
        <v>252724.5</v>
      </c>
      <c r="P76">
        <v>77627.93081942</v>
      </c>
      <c r="Q76">
        <v>53041.393152866</v>
      </c>
      <c r="R76">
        <v>427008.78081942</v>
      </c>
      <c r="S76">
        <v>480050.173972286</v>
      </c>
      <c r="T76">
        <v>49149.826027714</v>
      </c>
      <c r="V76">
        <f>IF(Allocation!D76="","",_CALC_ALLOC!AI76)</f>
        <v>28922.425</v>
      </c>
      <c r="W76">
        <f>IF(Allocation!D76="","",_CALC_ALLOC!AJ76)</f>
        <v>96656.35</v>
      </c>
      <c r="X76">
        <f>IF(Allocation!D76="","",_CALC_ALLOC!AK76)</f>
        <v>24118.9681528662</v>
      </c>
      <c r="Y76">
        <f>IF(Allocation!D76="","",_CALC_ALLOC!AL76)</f>
        <v>0</v>
      </c>
      <c r="Z76">
        <f>IF(Allocation!D76="","",_CALC_ALLOC!AM76)</f>
        <v>0</v>
      </c>
      <c r="AA76">
        <f>IF(Allocation!D76="","",_CALC_ALLOC!AN76)</f>
        <v>379502.256847134</v>
      </c>
      <c r="AB76">
        <f>IF(Allocation!D76="","",AA76-T76)</f>
        <v>330352.43081942</v>
      </c>
      <c r="AC76">
        <f>IF(Allocation!D76="","",_CALC_ALLOC!AR76)</f>
        <v>0</v>
      </c>
    </row>
    <row r="77" ht="14.25" customHeight="1">
      <c r="A77" t="s">
        <v>191</v>
      </c>
      <c r="B77" t="s">
        <v>192</v>
      </c>
      <c r="C77" t="s">
        <v>25</v>
      </c>
      <c r="D77" t="s">
        <v>84</v>
      </c>
      <c r="E77" t="s">
        <v>29</v>
      </c>
      <c r="F77" t="s">
        <v>202</v>
      </c>
      <c r="G77" t="s">
        <v>194</v>
      </c>
      <c r="H77" t="s">
        <v>195</v>
      </c>
      <c r="I77">
        <v>50</v>
      </c>
      <c r="J77">
        <v>2</v>
      </c>
      <c r="K77">
        <v>372000</v>
      </c>
      <c r="L77">
        <v>30182.25</v>
      </c>
      <c r="M77">
        <v>57282.5</v>
      </c>
      <c r="N77">
        <v>31214.713114754</v>
      </c>
      <c r="O77">
        <v>109492.213114754</v>
      </c>
      <c r="P77">
        <v>54513.279475759</v>
      </c>
      <c r="Q77">
        <v>61396.963114754</v>
      </c>
      <c r="R77">
        <v>221287.992590513</v>
      </c>
      <c r="S77">
        <v>282684.955705267</v>
      </c>
      <c r="T77">
        <v>89315.044294733</v>
      </c>
      <c r="V77">
        <f>IF(Allocation!D77="","",_CALC_ALLOC!AI77)</f>
        <v>30182.25</v>
      </c>
      <c r="W77">
        <f>IF(Allocation!D77="","",_CALC_ALLOC!AJ77)</f>
        <v>57282.5</v>
      </c>
      <c r="X77">
        <f>IF(Allocation!D77="","",_CALC_ALLOC!AK77)</f>
        <v>31214.7131147541</v>
      </c>
      <c r="Y77">
        <f>IF(Allocation!D77="","",_CALC_ALLOC!AL77)</f>
        <v>0</v>
      </c>
      <c r="Z77">
        <f>IF(Allocation!D77="","",_CALC_ALLOC!AM77)</f>
        <v>0</v>
      </c>
      <c r="AA77">
        <f>IF(Allocation!D77="","",_CALC_ALLOC!AN77)</f>
        <v>253320.536885246</v>
      </c>
      <c r="AB77">
        <f>IF(Allocation!D77="","",AA77-T77)</f>
        <v>164005.492590513</v>
      </c>
      <c r="AC77">
        <f>IF(Allocation!D77="","",_CALC_ALLOC!AR77)</f>
        <v>0</v>
      </c>
    </row>
    <row r="78" ht="14.25" customHeight="1">
      <c r="A78" t="s">
        <v>191</v>
      </c>
      <c r="B78" t="s">
        <v>192</v>
      </c>
      <c r="C78" t="s">
        <v>25</v>
      </c>
      <c r="D78" t="s">
        <v>84</v>
      </c>
      <c r="E78" t="s">
        <v>29</v>
      </c>
      <c r="F78" t="s">
        <v>202</v>
      </c>
      <c r="G78" t="s">
        <v>196</v>
      </c>
      <c r="H78" t="s">
        <v>197</v>
      </c>
      <c r="I78">
        <v>48</v>
      </c>
      <c r="J78">
        <v>2</v>
      </c>
      <c r="K78">
        <v>329280</v>
      </c>
      <c r="L78">
        <v>24145.8</v>
      </c>
      <c r="M78">
        <v>45826</v>
      </c>
      <c r="N78">
        <v>17860.524590164</v>
      </c>
      <c r="O78">
        <v>105112.524590164</v>
      </c>
      <c r="P78">
        <v>52332.748296729</v>
      </c>
      <c r="Q78">
        <v>42006.324590164</v>
      </c>
      <c r="R78">
        <v>203271.272886893</v>
      </c>
      <c r="S78">
        <v>245277.597477057</v>
      </c>
      <c r="T78">
        <v>84002.402522943</v>
      </c>
      <c r="V78">
        <f>IF(Allocation!D78="","",_CALC_ALLOC!AI78)</f>
        <v>24145.8</v>
      </c>
      <c r="W78">
        <f>IF(Allocation!D78="","",_CALC_ALLOC!AJ78)</f>
        <v>45826</v>
      </c>
      <c r="X78">
        <f>IF(Allocation!D78="","",_CALC_ALLOC!AK78)</f>
        <v>17860.5245901639</v>
      </c>
      <c r="Y78">
        <f>IF(Allocation!D78="","",_CALC_ALLOC!AL78)</f>
        <v>0</v>
      </c>
      <c r="Z78">
        <f>IF(Allocation!D78="","",_CALC_ALLOC!AM78)</f>
        <v>0</v>
      </c>
      <c r="AA78">
        <f>IF(Allocation!D78="","",_CALC_ALLOC!AN78)</f>
        <v>241447.675409836</v>
      </c>
      <c r="AB78">
        <f>IF(Allocation!D78="","",AA78-T78)</f>
        <v>157445.272886893</v>
      </c>
      <c r="AC78">
        <f>IF(Allocation!D78="","",_CALC_ALLOC!AR78)</f>
        <v>0</v>
      </c>
    </row>
    <row r="79" ht="14.25" customHeight="1">
      <c r="A79" t="s">
        <v>191</v>
      </c>
      <c r="B79" t="s">
        <v>192</v>
      </c>
      <c r="C79" t="s">
        <v>25</v>
      </c>
      <c r="D79" t="s">
        <v>84</v>
      </c>
      <c r="E79" t="s">
        <v>29</v>
      </c>
      <c r="F79" t="s">
        <v>202</v>
      </c>
      <c r="G79" t="s">
        <v>198</v>
      </c>
      <c r="H79" t="s">
        <v>197</v>
      </c>
      <c r="I79">
        <v>47</v>
      </c>
      <c r="J79">
        <v>2</v>
      </c>
      <c r="K79">
        <v>322420</v>
      </c>
      <c r="L79">
        <v>24145.8</v>
      </c>
      <c r="M79">
        <v>45826</v>
      </c>
      <c r="N79">
        <v>17488.430327869</v>
      </c>
      <c r="O79">
        <v>102922.680327869</v>
      </c>
      <c r="P79">
        <v>51242.482707214</v>
      </c>
      <c r="Q79">
        <v>41634.230327869</v>
      </c>
      <c r="R79">
        <v>199991.163035083</v>
      </c>
      <c r="S79">
        <v>241625.393362951</v>
      </c>
      <c r="T79">
        <v>80794.606637049</v>
      </c>
      <c r="V79">
        <f>IF(Allocation!D79="","",_CALC_ALLOC!AI79)</f>
        <v>24145.8</v>
      </c>
      <c r="W79">
        <f>IF(Allocation!D79="","",_CALC_ALLOC!AJ79)</f>
        <v>45826</v>
      </c>
      <c r="X79">
        <f>IF(Allocation!D79="","",_CALC_ALLOC!AK79)</f>
        <v>17488.4303278689</v>
      </c>
      <c r="Y79">
        <f>IF(Allocation!D79="","",_CALC_ALLOC!AL79)</f>
        <v>0</v>
      </c>
      <c r="Z79">
        <f>IF(Allocation!D79="","",_CALC_ALLOC!AM79)</f>
        <v>0</v>
      </c>
      <c r="AA79">
        <f>IF(Allocation!D79="","",_CALC_ALLOC!AN79)</f>
        <v>234959.769672131</v>
      </c>
      <c r="AB79">
        <f>IF(Allocation!D79="","",AA79-T79)</f>
        <v>154165.163035082</v>
      </c>
      <c r="AC79">
        <f>IF(Allocation!D79="","",_CALC_ALLOC!AR79)</f>
        <v>0</v>
      </c>
    </row>
    <row r="80" ht="14.25" customHeight="1">
      <c r="A80" t="s">
        <v>191</v>
      </c>
      <c r="B80" t="s">
        <v>192</v>
      </c>
      <c r="C80" t="s">
        <v>25</v>
      </c>
      <c r="D80" t="s">
        <v>84</v>
      </c>
      <c r="E80" t="s">
        <v>29</v>
      </c>
      <c r="F80" t="s">
        <v>203</v>
      </c>
      <c r="G80" t="s">
        <v>200</v>
      </c>
      <c r="H80" t="s">
        <v>197</v>
      </c>
      <c r="I80">
        <v>50</v>
      </c>
      <c r="J80">
        <v>2</v>
      </c>
      <c r="K80">
        <v>372000</v>
      </c>
      <c r="L80">
        <v>21127.575</v>
      </c>
      <c r="M80">
        <v>40097.75</v>
      </c>
      <c r="N80">
        <v>31214.713114754</v>
      </c>
      <c r="O80">
        <v>109492.213114754</v>
      </c>
      <c r="P80">
        <v>54513.279475759</v>
      </c>
      <c r="Q80">
        <v>52342.288114754</v>
      </c>
      <c r="R80">
        <v>204103.242590513</v>
      </c>
      <c r="S80">
        <v>256445.530705267</v>
      </c>
      <c r="T80">
        <v>115554.469294733</v>
      </c>
      <c r="V80">
        <f>IF(Allocation!D80="","",_CALC_ALLOC!AI80)</f>
        <v>21127.575</v>
      </c>
      <c r="W80">
        <f>IF(Allocation!D80="","",_CALC_ALLOC!AJ80)</f>
        <v>40097.75</v>
      </c>
      <c r="X80">
        <f>IF(Allocation!D80="","",_CALC_ALLOC!AK80)</f>
        <v>31214.7131147541</v>
      </c>
      <c r="Y80">
        <f>IF(Allocation!D80="","",_CALC_ALLOC!AL80)</f>
        <v>0</v>
      </c>
      <c r="Z80">
        <f>IF(Allocation!D80="","",_CALC_ALLOC!AM80)</f>
        <v>0</v>
      </c>
      <c r="AA80">
        <f>IF(Allocation!D80="","",_CALC_ALLOC!AN80)</f>
        <v>279559.961885246</v>
      </c>
      <c r="AB80">
        <f>IF(Allocation!D80="","",AA80-T80)</f>
        <v>164005.492590513</v>
      </c>
      <c r="AC80">
        <f>IF(Allocation!D80="","",_CALC_ALLOC!AR80)</f>
        <v>0</v>
      </c>
    </row>
    <row r="81" ht="14.25" customHeight="1">
      <c r="A81" t="s">
        <v>191</v>
      </c>
      <c r="B81" t="s">
        <v>192</v>
      </c>
      <c r="C81" t="s">
        <v>25</v>
      </c>
      <c r="D81" t="s">
        <v>84</v>
      </c>
      <c r="E81" t="s">
        <v>29</v>
      </c>
      <c r="F81" t="s">
        <v>203</v>
      </c>
      <c r="G81" t="s">
        <v>201</v>
      </c>
      <c r="H81" t="s">
        <v>197</v>
      </c>
      <c r="I81">
        <v>49</v>
      </c>
      <c r="J81">
        <v>2</v>
      </c>
      <c r="K81">
        <v>360150</v>
      </c>
      <c r="L81">
        <v>21127.575</v>
      </c>
      <c r="M81">
        <v>40097.75</v>
      </c>
      <c r="N81">
        <v>18232.618852459</v>
      </c>
      <c r="O81">
        <v>107302.368852459</v>
      </c>
      <c r="P81">
        <v>53423.013886244</v>
      </c>
      <c r="Q81">
        <v>39360.193852459</v>
      </c>
      <c r="R81">
        <v>200823.132738703</v>
      </c>
      <c r="S81">
        <v>240183.326591162</v>
      </c>
      <c r="T81">
        <v>119966.673408838</v>
      </c>
      <c r="V81">
        <f>IF(Allocation!D81="","",_CALC_ALLOC!AI81)</f>
        <v>21127.575</v>
      </c>
      <c r="W81">
        <f>IF(Allocation!D81="","",_CALC_ALLOC!AJ81)</f>
        <v>40097.75</v>
      </c>
      <c r="X81">
        <f>IF(Allocation!D81="","",_CALC_ALLOC!AK81)</f>
        <v>18232.618852459</v>
      </c>
      <c r="Y81">
        <f>IF(Allocation!D81="","",_CALC_ALLOC!AL81)</f>
        <v>0</v>
      </c>
      <c r="Z81">
        <f>IF(Allocation!D81="","",_CALC_ALLOC!AM81)</f>
        <v>0</v>
      </c>
      <c r="AA81">
        <f>IF(Allocation!D81="","",_CALC_ALLOC!AN81)</f>
        <v>280692.056147541</v>
      </c>
      <c r="AB81">
        <f>IF(Allocation!D81="","",AA81-T81)</f>
        <v>160725.382738703</v>
      </c>
      <c r="AC81">
        <f>IF(Allocation!D81="","",_CALC_ALLOC!AR81)</f>
        <v>0</v>
      </c>
    </row>
    <row r="82" ht="14.25" customHeight="1">
      <c r="A82" t="s">
        <v>191</v>
      </c>
      <c r="B82" t="s">
        <v>192</v>
      </c>
      <c r="C82" t="s">
        <v>210</v>
      </c>
      <c r="D82" t="s">
        <v>84</v>
      </c>
      <c r="E82" t="s">
        <v>29</v>
      </c>
      <c r="F82" t="s">
        <v>202</v>
      </c>
      <c r="G82" t="s">
        <v>194</v>
      </c>
      <c r="H82" t="s">
        <v>195</v>
      </c>
      <c r="I82">
        <v>47</v>
      </c>
      <c r="J82">
        <v>2</v>
      </c>
      <c r="K82">
        <v>349680</v>
      </c>
      <c r="L82">
        <v>28807.25</v>
      </c>
      <c r="M82">
        <v>54672.75</v>
      </c>
      <c r="N82">
        <v>29248.587336245</v>
      </c>
      <c r="O82">
        <v>104668.179039301</v>
      </c>
      <c r="P82">
        <v>51035.763054098</v>
      </c>
      <c r="Q82">
        <v>58055.837336245</v>
      </c>
      <c r="R82">
        <v>210376.692093399</v>
      </c>
      <c r="S82">
        <v>268432.529429644</v>
      </c>
      <c r="T82">
        <v>81247.470570356</v>
      </c>
      <c r="V82">
        <f>IF(Allocation!D82="","",_CALC_ALLOC!AI82)</f>
        <v>28807.25</v>
      </c>
      <c r="W82">
        <f>IF(Allocation!D82="","",_CALC_ALLOC!AJ82)</f>
        <v>54672.75</v>
      </c>
      <c r="X82">
        <f>IF(Allocation!D82="","",_CALC_ALLOC!AK82)</f>
        <v>29248.5873362445</v>
      </c>
      <c r="Y82">
        <f>IF(Allocation!D82="","",_CALC_ALLOC!AL82)</f>
        <v>0</v>
      </c>
      <c r="Z82">
        <f>IF(Allocation!D82="","",_CALC_ALLOC!AM82)</f>
        <v>0</v>
      </c>
      <c r="AA82">
        <f>IF(Allocation!D82="","",_CALC_ALLOC!AN82)</f>
        <v>236951.412663756</v>
      </c>
      <c r="AB82">
        <f>IF(Allocation!D82="","",AA82-T82)</f>
        <v>155703.9420934</v>
      </c>
      <c r="AC82">
        <f>IF(Allocation!D82="","",_CALC_ALLOC!AR82)</f>
        <v>0</v>
      </c>
    </row>
    <row r="83" ht="14.25" customHeight="1">
      <c r="A83" t="s">
        <v>191</v>
      </c>
      <c r="B83" t="s">
        <v>192</v>
      </c>
      <c r="C83" t="s">
        <v>210</v>
      </c>
      <c r="D83" t="s">
        <v>84</v>
      </c>
      <c r="E83" t="s">
        <v>29</v>
      </c>
      <c r="F83" t="s">
        <v>202</v>
      </c>
      <c r="G83" t="s">
        <v>196</v>
      </c>
      <c r="H83" t="s">
        <v>197</v>
      </c>
      <c r="I83">
        <v>45</v>
      </c>
      <c r="J83">
        <v>2</v>
      </c>
      <c r="K83">
        <v>308700</v>
      </c>
      <c r="L83">
        <v>23045.8</v>
      </c>
      <c r="M83">
        <v>43738.2</v>
      </c>
      <c r="N83">
        <v>17028.27510917</v>
      </c>
      <c r="O83">
        <v>100214.213973799</v>
      </c>
      <c r="P83">
        <v>48864.028456051</v>
      </c>
      <c r="Q83">
        <v>40074.07510917</v>
      </c>
      <c r="R83">
        <v>192816.44242985</v>
      </c>
      <c r="S83">
        <v>232890.51753902</v>
      </c>
      <c r="T83">
        <v>75809.48246098</v>
      </c>
      <c r="V83">
        <f>IF(Allocation!D83="","",_CALC_ALLOC!AI83)</f>
        <v>23045.8</v>
      </c>
      <c r="W83">
        <f>IF(Allocation!D83="","",_CALC_ALLOC!AJ83)</f>
        <v>43738.2</v>
      </c>
      <c r="X83">
        <f>IF(Allocation!D83="","",_CALC_ALLOC!AK83)</f>
        <v>17028.2751091703</v>
      </c>
      <c r="Y83">
        <f>IF(Allocation!D83="","",_CALC_ALLOC!AL83)</f>
        <v>0</v>
      </c>
      <c r="Z83">
        <f>IF(Allocation!D83="","",_CALC_ALLOC!AM83)</f>
        <v>0</v>
      </c>
      <c r="AA83">
        <f>IF(Allocation!D83="","",_CALC_ALLOC!AN83)</f>
        <v>224887.72489083</v>
      </c>
      <c r="AB83">
        <f>IF(Allocation!D83="","",AA83-T83)</f>
        <v>149078.24242985</v>
      </c>
      <c r="AC83">
        <f>IF(Allocation!D83="","",_CALC_ALLOC!AR83)</f>
        <v>0</v>
      </c>
    </row>
    <row r="84" ht="14.25" customHeight="1">
      <c r="A84" t="s">
        <v>191</v>
      </c>
      <c r="B84" t="s">
        <v>192</v>
      </c>
      <c r="C84" t="s">
        <v>210</v>
      </c>
      <c r="D84" t="s">
        <v>84</v>
      </c>
      <c r="E84" t="s">
        <v>29</v>
      </c>
      <c r="F84" t="s">
        <v>202</v>
      </c>
      <c r="G84" t="s">
        <v>198</v>
      </c>
      <c r="H84" t="s">
        <v>197</v>
      </c>
      <c r="I84">
        <v>44</v>
      </c>
      <c r="J84">
        <v>2</v>
      </c>
      <c r="K84">
        <v>301840</v>
      </c>
      <c r="L84">
        <v>23045.8</v>
      </c>
      <c r="M84">
        <v>43738.2</v>
      </c>
      <c r="N84">
        <v>16649.868995633</v>
      </c>
      <c r="O84">
        <v>97987.231441048</v>
      </c>
      <c r="P84">
        <v>47778.161157028</v>
      </c>
      <c r="Q84">
        <v>39695.668995633</v>
      </c>
      <c r="R84">
        <v>189503.592598076</v>
      </c>
      <c r="S84">
        <v>229199.261593709</v>
      </c>
      <c r="T84">
        <v>72640.738406291</v>
      </c>
      <c r="V84">
        <f>IF(Allocation!D84="","",_CALC_ALLOC!AI84)</f>
        <v>23045.8</v>
      </c>
      <c r="W84">
        <f>IF(Allocation!D84="","",_CALC_ALLOC!AJ84)</f>
        <v>43738.2</v>
      </c>
      <c r="X84">
        <f>IF(Allocation!D84="","",_CALC_ALLOC!AK84)</f>
        <v>16649.8689956332</v>
      </c>
      <c r="Y84">
        <f>IF(Allocation!D84="","",_CALC_ALLOC!AL84)</f>
        <v>0</v>
      </c>
      <c r="Z84">
        <f>IF(Allocation!D84="","",_CALC_ALLOC!AM84)</f>
        <v>0</v>
      </c>
      <c r="AA84">
        <f>IF(Allocation!D84="","",_CALC_ALLOC!AN84)</f>
        <v>218406.131004367</v>
      </c>
      <c r="AB84">
        <f>IF(Allocation!D84="","",AA84-T84)</f>
        <v>145765.392598076</v>
      </c>
      <c r="AC84">
        <f>IF(Allocation!D84="","",_CALC_ALLOC!AR84)</f>
        <v>0</v>
      </c>
    </row>
    <row r="85" ht="14.25" customHeight="1">
      <c r="A85" t="s">
        <v>191</v>
      </c>
      <c r="B85" t="s">
        <v>192</v>
      </c>
      <c r="C85" t="s">
        <v>210</v>
      </c>
      <c r="D85" t="s">
        <v>84</v>
      </c>
      <c r="E85" t="s">
        <v>29</v>
      </c>
      <c r="F85" t="s">
        <v>203</v>
      </c>
      <c r="G85" t="s">
        <v>200</v>
      </c>
      <c r="H85" t="s">
        <v>197</v>
      </c>
      <c r="I85">
        <v>47</v>
      </c>
      <c r="J85">
        <v>2</v>
      </c>
      <c r="K85">
        <v>349680</v>
      </c>
      <c r="L85">
        <v>20165.075</v>
      </c>
      <c r="M85">
        <v>38270.925</v>
      </c>
      <c r="N85">
        <v>29248.587336245</v>
      </c>
      <c r="O85">
        <v>104668.179039301</v>
      </c>
      <c r="P85">
        <v>51035.763054098</v>
      </c>
      <c r="Q85">
        <v>49413.662336245</v>
      </c>
      <c r="R85">
        <v>193974.867093399</v>
      </c>
      <c r="S85">
        <v>243388.529429644</v>
      </c>
      <c r="T85">
        <v>106291.470570356</v>
      </c>
      <c r="V85">
        <f>IF(Allocation!D85="","",_CALC_ALLOC!AI85)</f>
        <v>20165.075</v>
      </c>
      <c r="W85">
        <f>IF(Allocation!D85="","",_CALC_ALLOC!AJ85)</f>
        <v>38270.925</v>
      </c>
      <c r="X85">
        <f>IF(Allocation!D85="","",_CALC_ALLOC!AK85)</f>
        <v>29248.5873362445</v>
      </c>
      <c r="Y85">
        <f>IF(Allocation!D85="","",_CALC_ALLOC!AL85)</f>
        <v>0</v>
      </c>
      <c r="Z85">
        <f>IF(Allocation!D85="","",_CALC_ALLOC!AM85)</f>
        <v>0</v>
      </c>
      <c r="AA85">
        <f>IF(Allocation!D85="","",_CALC_ALLOC!AN85)</f>
        <v>261995.412663756</v>
      </c>
      <c r="AB85">
        <f>IF(Allocation!D85="","",AA85-T85)</f>
        <v>155703.9420934</v>
      </c>
      <c r="AC85">
        <f>IF(Allocation!D85="","",_CALC_ALLOC!AR85)</f>
        <v>0</v>
      </c>
    </row>
    <row r="86" ht="14.25" customHeight="1">
      <c r="A86" t="s">
        <v>191</v>
      </c>
      <c r="B86" t="s">
        <v>192</v>
      </c>
      <c r="C86" t="s">
        <v>210</v>
      </c>
      <c r="D86" t="s">
        <v>84</v>
      </c>
      <c r="E86" t="s">
        <v>29</v>
      </c>
      <c r="F86" t="s">
        <v>203</v>
      </c>
      <c r="G86" t="s">
        <v>201</v>
      </c>
      <c r="H86" t="s">
        <v>197</v>
      </c>
      <c r="I86">
        <v>46</v>
      </c>
      <c r="J86">
        <v>2</v>
      </c>
      <c r="K86">
        <v>338100</v>
      </c>
      <c r="L86">
        <v>20165.075</v>
      </c>
      <c r="M86">
        <v>38270.925</v>
      </c>
      <c r="N86">
        <v>17406.681222707</v>
      </c>
      <c r="O86">
        <v>102441.19650655</v>
      </c>
      <c r="P86">
        <v>49949.895755074</v>
      </c>
      <c r="Q86">
        <v>37571.756222707</v>
      </c>
      <c r="R86">
        <v>190662.017261625</v>
      </c>
      <c r="S86">
        <v>228233.773484332</v>
      </c>
      <c r="T86">
        <v>109866.226515668</v>
      </c>
      <c r="V86">
        <f>IF(Allocation!D86="","",_CALC_ALLOC!AI86)</f>
        <v>20165.075</v>
      </c>
      <c r="W86">
        <f>IF(Allocation!D86="","",_CALC_ALLOC!AJ86)</f>
        <v>38270.925</v>
      </c>
      <c r="X86">
        <f>IF(Allocation!D86="","",_CALC_ALLOC!AK86)</f>
        <v>17406.6812227074</v>
      </c>
      <c r="Y86">
        <f>IF(Allocation!D86="","",_CALC_ALLOC!AL86)</f>
        <v>0</v>
      </c>
      <c r="Z86">
        <f>IF(Allocation!D86="","",_CALC_ALLOC!AM86)</f>
        <v>0</v>
      </c>
      <c r="AA86">
        <f>IF(Allocation!D86="","",_CALC_ALLOC!AN86)</f>
        <v>262257.318777293</v>
      </c>
      <c r="AB86">
        <f>IF(Allocation!D86="","",AA86-T86)</f>
        <v>152391.092261625</v>
      </c>
      <c r="AC86">
        <f>IF(Allocation!D86="","",_CALC_ALLOC!AR86)</f>
        <v>0</v>
      </c>
    </row>
    <row r="87" ht="14.25" customHeight="1">
      <c r="A87" t="s">
        <v>191</v>
      </c>
      <c r="B87" t="s">
        <v>192</v>
      </c>
      <c r="C87" t="s">
        <v>211</v>
      </c>
      <c r="D87" t="s">
        <v>84</v>
      </c>
      <c r="E87" t="s">
        <v>29</v>
      </c>
      <c r="F87" t="s">
        <v>202</v>
      </c>
      <c r="G87" t="s">
        <v>194</v>
      </c>
      <c r="H87" t="s">
        <v>195</v>
      </c>
      <c r="I87">
        <v>44</v>
      </c>
      <c r="J87">
        <v>2</v>
      </c>
      <c r="K87">
        <v>327360</v>
      </c>
      <c r="L87">
        <v>27545</v>
      </c>
      <c r="M87">
        <v>52277.25</v>
      </c>
      <c r="N87">
        <v>27222.200460829</v>
      </c>
      <c r="O87">
        <v>98875.502304147</v>
      </c>
      <c r="P87">
        <v>47468.341049222</v>
      </c>
      <c r="Q87">
        <v>54767.200460829</v>
      </c>
      <c r="R87">
        <v>198621.093353369</v>
      </c>
      <c r="S87">
        <v>253388.293814199</v>
      </c>
      <c r="T87">
        <v>73971.706185801</v>
      </c>
      <c r="V87">
        <f>IF(Allocation!D87="","",_CALC_ALLOC!AI87)</f>
        <v>27545</v>
      </c>
      <c r="W87">
        <f>IF(Allocation!D87="","",_CALC_ALLOC!AJ87)</f>
        <v>52277.25</v>
      </c>
      <c r="X87">
        <f>IF(Allocation!D87="","",_CALC_ALLOC!AK87)</f>
        <v>27222.2004608295</v>
      </c>
      <c r="Y87">
        <f>IF(Allocation!D87="","",_CALC_ALLOC!AL87)</f>
        <v>0</v>
      </c>
      <c r="Z87">
        <f>IF(Allocation!D87="","",_CALC_ALLOC!AM87)</f>
        <v>0</v>
      </c>
      <c r="AA87">
        <f>IF(Allocation!D87="","",_CALC_ALLOC!AN87)</f>
        <v>220315.549539171</v>
      </c>
      <c r="AB87">
        <f>IF(Allocation!D87="","",AA87-T87)</f>
        <v>146343.84335337</v>
      </c>
      <c r="AC87">
        <f>IF(Allocation!D87="","",_CALC_ALLOC!AR87)</f>
        <v>0</v>
      </c>
    </row>
    <row r="88" ht="14.25" customHeight="1">
      <c r="A88" t="s">
        <v>191</v>
      </c>
      <c r="B88" t="s">
        <v>192</v>
      </c>
      <c r="C88" t="s">
        <v>211</v>
      </c>
      <c r="D88" t="s">
        <v>84</v>
      </c>
      <c r="E88" t="s">
        <v>29</v>
      </c>
      <c r="F88" t="s">
        <v>202</v>
      </c>
      <c r="G88" t="s">
        <v>196</v>
      </c>
      <c r="H88" t="s">
        <v>197</v>
      </c>
      <c r="I88">
        <v>43</v>
      </c>
      <c r="J88">
        <v>2</v>
      </c>
      <c r="K88">
        <v>294980</v>
      </c>
      <c r="L88">
        <v>22036</v>
      </c>
      <c r="M88">
        <v>41821.8</v>
      </c>
      <c r="N88">
        <v>16418.866359447</v>
      </c>
      <c r="O88">
        <v>96628.331797235</v>
      </c>
      <c r="P88">
        <v>46389.515116285</v>
      </c>
      <c r="Q88">
        <v>38454.866359447</v>
      </c>
      <c r="R88">
        <v>184839.64691352</v>
      </c>
      <c r="S88">
        <v>223294.513272967</v>
      </c>
      <c r="T88">
        <v>71685.486727033</v>
      </c>
      <c r="V88">
        <f>IF(Allocation!D88="","",_CALC_ALLOC!AI88)</f>
        <v>22036</v>
      </c>
      <c r="W88">
        <f>IF(Allocation!D88="","",_CALC_ALLOC!AJ88)</f>
        <v>41821.8</v>
      </c>
      <c r="X88">
        <f>IF(Allocation!D88="","",_CALC_ALLOC!AK88)</f>
        <v>16418.866359447</v>
      </c>
      <c r="Y88">
        <f>IF(Allocation!D88="","",_CALC_ALLOC!AL88)</f>
        <v>0</v>
      </c>
      <c r="Z88">
        <f>IF(Allocation!D88="","",_CALC_ALLOC!AM88)</f>
        <v>0</v>
      </c>
      <c r="AA88">
        <f>IF(Allocation!D88="","",_CALC_ALLOC!AN88)</f>
        <v>214703.333640553</v>
      </c>
      <c r="AB88">
        <f>IF(Allocation!D88="","",AA88-T88)</f>
        <v>143017.84691352</v>
      </c>
      <c r="AC88">
        <f>IF(Allocation!D88="","",_CALC_ALLOC!AR88)</f>
        <v>0</v>
      </c>
    </row>
    <row r="89" ht="14.25" customHeight="1">
      <c r="A89" t="s">
        <v>191</v>
      </c>
      <c r="B89" t="s">
        <v>192</v>
      </c>
      <c r="C89" t="s">
        <v>211</v>
      </c>
      <c r="D89" t="s">
        <v>84</v>
      </c>
      <c r="E89" t="s">
        <v>29</v>
      </c>
      <c r="F89" t="s">
        <v>202</v>
      </c>
      <c r="G89" t="s">
        <v>198</v>
      </c>
      <c r="H89" t="s">
        <v>197</v>
      </c>
      <c r="I89">
        <v>42</v>
      </c>
      <c r="J89">
        <v>2</v>
      </c>
      <c r="K89">
        <v>288120</v>
      </c>
      <c r="L89">
        <v>22036</v>
      </c>
      <c r="M89">
        <v>41821.8</v>
      </c>
      <c r="N89">
        <v>16037.032258065</v>
      </c>
      <c r="O89">
        <v>94381.161290323</v>
      </c>
      <c r="P89">
        <v>45310.689183348</v>
      </c>
      <c r="Q89">
        <v>38073.032258065</v>
      </c>
      <c r="R89">
        <v>181513.650473671</v>
      </c>
      <c r="S89">
        <v>219586.682731735</v>
      </c>
      <c r="T89">
        <v>68533.317268265</v>
      </c>
      <c r="V89">
        <f>IF(Allocation!D89="","",_CALC_ALLOC!AI89)</f>
        <v>22036</v>
      </c>
      <c r="W89">
        <f>IF(Allocation!D89="","",_CALC_ALLOC!AJ89)</f>
        <v>41821.8</v>
      </c>
      <c r="X89">
        <f>IF(Allocation!D89="","",_CALC_ALLOC!AK89)</f>
        <v>16037.0322580645</v>
      </c>
      <c r="Y89">
        <f>IF(Allocation!D89="","",_CALC_ALLOC!AL89)</f>
        <v>0</v>
      </c>
      <c r="Z89">
        <f>IF(Allocation!D89="","",_CALC_ALLOC!AM89)</f>
        <v>0</v>
      </c>
      <c r="AA89">
        <f>IF(Allocation!D89="","",_CALC_ALLOC!AN89)</f>
        <v>208225.167741935</v>
      </c>
      <c r="AB89">
        <f>IF(Allocation!D89="","",AA89-T89)</f>
        <v>139691.85047367</v>
      </c>
      <c r="AC89">
        <f>IF(Allocation!D89="","",_CALC_ALLOC!AR89)</f>
        <v>0</v>
      </c>
    </row>
    <row r="90" ht="14.25" customHeight="1">
      <c r="A90" t="s">
        <v>191</v>
      </c>
      <c r="B90" t="s">
        <v>192</v>
      </c>
      <c r="C90" t="s">
        <v>211</v>
      </c>
      <c r="D90" t="s">
        <v>84</v>
      </c>
      <c r="E90" t="s">
        <v>29</v>
      </c>
      <c r="F90" t="s">
        <v>203</v>
      </c>
      <c r="G90" t="s">
        <v>200</v>
      </c>
      <c r="H90" t="s">
        <v>197</v>
      </c>
      <c r="I90">
        <v>44</v>
      </c>
      <c r="J90">
        <v>2</v>
      </c>
      <c r="K90">
        <v>327360</v>
      </c>
      <c r="L90">
        <v>19281.5</v>
      </c>
      <c r="M90">
        <v>36594.075</v>
      </c>
      <c r="N90">
        <v>27222.200460829</v>
      </c>
      <c r="O90">
        <v>98875.502304147</v>
      </c>
      <c r="P90">
        <v>47468.341049222</v>
      </c>
      <c r="Q90">
        <v>46503.700460829</v>
      </c>
      <c r="R90">
        <v>182937.918353369</v>
      </c>
      <c r="S90">
        <v>229441.618814199</v>
      </c>
      <c r="T90">
        <v>97918.381185801</v>
      </c>
      <c r="V90">
        <f>IF(Allocation!D90="","",_CALC_ALLOC!AI90)</f>
        <v>19281.5</v>
      </c>
      <c r="W90">
        <f>IF(Allocation!D90="","",_CALC_ALLOC!AJ90)</f>
        <v>36594.075</v>
      </c>
      <c r="X90">
        <f>IF(Allocation!D90="","",_CALC_ALLOC!AK90)</f>
        <v>27222.2004608295</v>
      </c>
      <c r="Y90">
        <f>IF(Allocation!D90="","",_CALC_ALLOC!AL90)</f>
        <v>0</v>
      </c>
      <c r="Z90">
        <f>IF(Allocation!D90="","",_CALC_ALLOC!AM90)</f>
        <v>0</v>
      </c>
      <c r="AA90">
        <f>IF(Allocation!D90="","",_CALC_ALLOC!AN90)</f>
        <v>244262.224539171</v>
      </c>
      <c r="AB90">
        <f>IF(Allocation!D90="","",AA90-T90)</f>
        <v>146343.84335337</v>
      </c>
      <c r="AC90">
        <f>IF(Allocation!D90="","",_CALC_ALLOC!AR90)</f>
        <v>0</v>
      </c>
    </row>
    <row r="91" ht="14.25" customHeight="1">
      <c r="A91" t="s">
        <v>191</v>
      </c>
      <c r="B91" t="s">
        <v>192</v>
      </c>
      <c r="C91" t="s">
        <v>211</v>
      </c>
      <c r="D91" t="s">
        <v>84</v>
      </c>
      <c r="E91" t="s">
        <v>29</v>
      </c>
      <c r="F91" t="s">
        <v>203</v>
      </c>
      <c r="G91" t="s">
        <v>201</v>
      </c>
      <c r="H91" t="s">
        <v>197</v>
      </c>
      <c r="I91">
        <v>44</v>
      </c>
      <c r="J91">
        <v>2</v>
      </c>
      <c r="K91">
        <v>323400</v>
      </c>
      <c r="L91">
        <v>19281.5</v>
      </c>
      <c r="M91">
        <v>36594.075</v>
      </c>
      <c r="N91">
        <v>16800.700460829</v>
      </c>
      <c r="O91">
        <v>98875.502304147</v>
      </c>
      <c r="P91">
        <v>47468.341049222</v>
      </c>
      <c r="Q91">
        <v>36082.200460829</v>
      </c>
      <c r="R91">
        <v>182937.918353369</v>
      </c>
      <c r="S91">
        <v>219020.118814199</v>
      </c>
      <c r="T91">
        <v>104379.881185801</v>
      </c>
      <c r="V91">
        <f>IF(Allocation!D91="","",_CALC_ALLOC!AI91)</f>
        <v>19281.5</v>
      </c>
      <c r="W91">
        <f>IF(Allocation!D91="","",_CALC_ALLOC!AJ91)</f>
        <v>36594.075</v>
      </c>
      <c r="X91">
        <f>IF(Allocation!D91="","",_CALC_ALLOC!AK91)</f>
        <v>16800.7004608295</v>
      </c>
      <c r="Y91">
        <f>IF(Allocation!D91="","",_CALC_ALLOC!AL91)</f>
        <v>0</v>
      </c>
      <c r="Z91">
        <f>IF(Allocation!D91="","",_CALC_ALLOC!AM91)</f>
        <v>0</v>
      </c>
      <c r="AA91">
        <f>IF(Allocation!D91="","",_CALC_ALLOC!AN91)</f>
        <v>250723.724539171</v>
      </c>
      <c r="AB91">
        <f>IF(Allocation!D91="","",AA91-T91)</f>
        <v>146343.84335337</v>
      </c>
      <c r="AC91">
        <f>IF(Allocation!D91="","",_CALC_ALLOC!AR91)</f>
        <v>0</v>
      </c>
    </row>
    <row r="92" ht="14.25" customHeight="1">
      <c r="A92" t="s">
        <v>191</v>
      </c>
      <c r="B92" t="s">
        <v>192</v>
      </c>
      <c r="C92" t="s">
        <v>25</v>
      </c>
      <c r="D92" t="s">
        <v>86</v>
      </c>
      <c r="E92" t="s">
        <v>29</v>
      </c>
      <c r="F92" t="s">
        <v>202</v>
      </c>
      <c r="G92" t="s">
        <v>194</v>
      </c>
      <c r="H92" t="s">
        <v>195</v>
      </c>
      <c r="I92">
        <v>47</v>
      </c>
      <c r="J92">
        <v>2</v>
      </c>
      <c r="K92">
        <v>342630</v>
      </c>
      <c r="L92">
        <v>30182.25</v>
      </c>
      <c r="M92">
        <v>56037.25</v>
      </c>
      <c r="N92">
        <v>28529.976190476</v>
      </c>
      <c r="O92">
        <v>102543.41991342</v>
      </c>
      <c r="P92">
        <v>50184.507096528</v>
      </c>
      <c r="Q92">
        <v>58712.226190476</v>
      </c>
      <c r="R92">
        <v>208765.177009948</v>
      </c>
      <c r="S92">
        <v>267477.403200424</v>
      </c>
      <c r="T92">
        <v>75152.596799576</v>
      </c>
      <c r="V92">
        <f>IF(Allocation!D92="","",_CALC_ALLOC!AI92)</f>
        <v>30182.25</v>
      </c>
      <c r="W92">
        <f>IF(Allocation!D92="","",_CALC_ALLOC!AJ92)</f>
        <v>56037.25</v>
      </c>
      <c r="X92">
        <f>IF(Allocation!D92="","",_CALC_ALLOC!AK92)</f>
        <v>28529.9761904762</v>
      </c>
      <c r="Y92">
        <f>IF(Allocation!D92="","",_CALC_ALLOC!AL92)</f>
        <v>0</v>
      </c>
      <c r="Z92">
        <f>IF(Allocation!D92="","",_CALC_ALLOC!AM92)</f>
        <v>0</v>
      </c>
      <c r="AA92">
        <f>IF(Allocation!D92="","",_CALC_ALLOC!AN92)</f>
        <v>227880.523809524</v>
      </c>
      <c r="AB92">
        <f>IF(Allocation!D92="","",AA92-T92)</f>
        <v>152727.927009948</v>
      </c>
      <c r="AC92">
        <f>IF(Allocation!D92="","",_CALC_ALLOC!AR92)</f>
        <v>0</v>
      </c>
    </row>
    <row r="93" ht="14.25" customHeight="1">
      <c r="A93" t="s">
        <v>191</v>
      </c>
      <c r="B93" t="s">
        <v>192</v>
      </c>
      <c r="C93" t="s">
        <v>25</v>
      </c>
      <c r="D93" t="s">
        <v>86</v>
      </c>
      <c r="E93" t="s">
        <v>29</v>
      </c>
      <c r="F93" t="s">
        <v>202</v>
      </c>
      <c r="G93" t="s">
        <v>196</v>
      </c>
      <c r="H93" t="s">
        <v>197</v>
      </c>
      <c r="I93">
        <v>46</v>
      </c>
      <c r="J93">
        <v>2</v>
      </c>
      <c r="K93">
        <v>309120</v>
      </c>
      <c r="L93">
        <v>24145.8</v>
      </c>
      <c r="M93">
        <v>44829.8</v>
      </c>
      <c r="N93">
        <v>17116.380952381</v>
      </c>
      <c r="O93">
        <v>100361.645021645</v>
      </c>
      <c r="P93">
        <v>49116.751626389</v>
      </c>
      <c r="Q93">
        <v>41262.180952381</v>
      </c>
      <c r="R93">
        <v>194308.196648034</v>
      </c>
      <c r="S93">
        <v>235570.377600415</v>
      </c>
      <c r="T93">
        <v>73549.622399585</v>
      </c>
      <c r="V93">
        <f>IF(Allocation!D93="","",_CALC_ALLOC!AI93)</f>
        <v>24145.8</v>
      </c>
      <c r="W93">
        <f>IF(Allocation!D93="","",_CALC_ALLOC!AJ93)</f>
        <v>44829.8</v>
      </c>
      <c r="X93">
        <f>IF(Allocation!D93="","",_CALC_ALLOC!AK93)</f>
        <v>17116.380952381</v>
      </c>
      <c r="Y93">
        <f>IF(Allocation!D93="","",_CALC_ALLOC!AL93)</f>
        <v>0</v>
      </c>
      <c r="Z93">
        <f>IF(Allocation!D93="","",_CALC_ALLOC!AM93)</f>
        <v>0</v>
      </c>
      <c r="AA93">
        <f>IF(Allocation!D93="","",_CALC_ALLOC!AN93)</f>
        <v>223028.019047619</v>
      </c>
      <c r="AB93">
        <f>IF(Allocation!D93="","",AA93-T93)</f>
        <v>149478.396648034</v>
      </c>
      <c r="AC93">
        <f>IF(Allocation!D93="","",_CALC_ALLOC!AR93)</f>
        <v>0</v>
      </c>
    </row>
    <row r="94" ht="14.25" customHeight="1">
      <c r="A94" t="s">
        <v>191</v>
      </c>
      <c r="B94" t="s">
        <v>192</v>
      </c>
      <c r="C94" t="s">
        <v>25</v>
      </c>
      <c r="D94" t="s">
        <v>86</v>
      </c>
      <c r="E94" t="s">
        <v>29</v>
      </c>
      <c r="F94" t="s">
        <v>202</v>
      </c>
      <c r="G94" t="s">
        <v>198</v>
      </c>
      <c r="H94" t="s">
        <v>197</v>
      </c>
      <c r="I94">
        <v>45</v>
      </c>
      <c r="J94">
        <v>2</v>
      </c>
      <c r="K94">
        <v>302400</v>
      </c>
      <c r="L94">
        <v>24145.8</v>
      </c>
      <c r="M94">
        <v>44829.8</v>
      </c>
      <c r="N94">
        <v>16744.285714286</v>
      </c>
      <c r="O94">
        <v>98179.87012987</v>
      </c>
      <c r="P94">
        <v>48048.99615625</v>
      </c>
      <c r="Q94">
        <v>40890.085714286</v>
      </c>
      <c r="R94">
        <v>191058.66628612</v>
      </c>
      <c r="S94">
        <v>231948.752000406</v>
      </c>
      <c r="T94">
        <v>70451.247999594</v>
      </c>
      <c r="V94">
        <f>IF(Allocation!D94="","",_CALC_ALLOC!AI94)</f>
        <v>24145.8</v>
      </c>
      <c r="W94">
        <f>IF(Allocation!D94="","",_CALC_ALLOC!AJ94)</f>
        <v>44829.8</v>
      </c>
      <c r="X94">
        <f>IF(Allocation!D94="","",_CALC_ALLOC!AK94)</f>
        <v>16744.2857142857</v>
      </c>
      <c r="Y94">
        <f>IF(Allocation!D94="","",_CALC_ALLOC!AL94)</f>
        <v>0</v>
      </c>
      <c r="Z94">
        <f>IF(Allocation!D94="","",_CALC_ALLOC!AM94)</f>
        <v>0</v>
      </c>
      <c r="AA94">
        <f>IF(Allocation!D94="","",_CALC_ALLOC!AN94)</f>
        <v>216680.114285714</v>
      </c>
      <c r="AB94">
        <f>IF(Allocation!D94="","",AA94-T94)</f>
        <v>146228.86628612</v>
      </c>
      <c r="AC94">
        <f>IF(Allocation!D94="","",_CALC_ALLOC!AR94)</f>
        <v>0</v>
      </c>
    </row>
    <row r="95" ht="14.25" customHeight="1">
      <c r="A95" t="s">
        <v>191</v>
      </c>
      <c r="B95" t="s">
        <v>192</v>
      </c>
      <c r="C95" t="s">
        <v>25</v>
      </c>
      <c r="D95" t="s">
        <v>86</v>
      </c>
      <c r="E95" t="s">
        <v>29</v>
      </c>
      <c r="F95" t="s">
        <v>203</v>
      </c>
      <c r="G95" t="s">
        <v>200</v>
      </c>
      <c r="H95" t="s">
        <v>197</v>
      </c>
      <c r="I95">
        <v>47</v>
      </c>
      <c r="J95">
        <v>2</v>
      </c>
      <c r="K95">
        <v>342630</v>
      </c>
      <c r="L95">
        <v>21127.575</v>
      </c>
      <c r="M95">
        <v>39226.075</v>
      </c>
      <c r="N95">
        <v>28529.976190476</v>
      </c>
      <c r="O95">
        <v>102543.41991342</v>
      </c>
      <c r="P95">
        <v>50184.507096528</v>
      </c>
      <c r="Q95">
        <v>49657.551190476</v>
      </c>
      <c r="R95">
        <v>191954.002009948</v>
      </c>
      <c r="S95">
        <v>241611.553200424</v>
      </c>
      <c r="T95">
        <v>101018.446799576</v>
      </c>
      <c r="V95">
        <f>IF(Allocation!D95="","",_CALC_ALLOC!AI95)</f>
        <v>21127.575</v>
      </c>
      <c r="W95">
        <f>IF(Allocation!D95="","",_CALC_ALLOC!AJ95)</f>
        <v>39226.075</v>
      </c>
      <c r="X95">
        <f>IF(Allocation!D95="","",_CALC_ALLOC!AK95)</f>
        <v>28529.9761904762</v>
      </c>
      <c r="Y95">
        <f>IF(Allocation!D95="","",_CALC_ALLOC!AL95)</f>
        <v>0</v>
      </c>
      <c r="Z95">
        <f>IF(Allocation!D95="","",_CALC_ALLOC!AM95)</f>
        <v>0</v>
      </c>
      <c r="AA95">
        <f>IF(Allocation!D95="","",_CALC_ALLOC!AN95)</f>
        <v>253746.373809524</v>
      </c>
      <c r="AB95">
        <f>IF(Allocation!D95="","",AA95-T95)</f>
        <v>152727.927009948</v>
      </c>
      <c r="AC95">
        <f>IF(Allocation!D95="","",_CALC_ALLOC!AR95)</f>
        <v>0</v>
      </c>
    </row>
    <row r="96" ht="14.25" customHeight="1">
      <c r="A96" t="s">
        <v>191</v>
      </c>
      <c r="B96" t="s">
        <v>192</v>
      </c>
      <c r="C96" t="s">
        <v>25</v>
      </c>
      <c r="D96" t="s">
        <v>86</v>
      </c>
      <c r="E96" t="s">
        <v>29</v>
      </c>
      <c r="F96" t="s">
        <v>203</v>
      </c>
      <c r="G96" t="s">
        <v>201</v>
      </c>
      <c r="H96" t="s">
        <v>197</v>
      </c>
      <c r="I96">
        <v>46</v>
      </c>
      <c r="J96">
        <v>2</v>
      </c>
      <c r="K96">
        <v>331200</v>
      </c>
      <c r="L96">
        <v>21127.575</v>
      </c>
      <c r="M96">
        <v>39226.075</v>
      </c>
      <c r="N96">
        <v>17116.380952381</v>
      </c>
      <c r="O96">
        <v>100361.645021645</v>
      </c>
      <c r="P96">
        <v>49116.751626389</v>
      </c>
      <c r="Q96">
        <v>38243.955952381</v>
      </c>
      <c r="R96">
        <v>188704.471648034</v>
      </c>
      <c r="S96">
        <v>226948.427600415</v>
      </c>
      <c r="T96">
        <v>104251.572399585</v>
      </c>
      <c r="V96">
        <f>IF(Allocation!D96="","",_CALC_ALLOC!AI96)</f>
        <v>21127.575</v>
      </c>
      <c r="W96">
        <f>IF(Allocation!D96="","",_CALC_ALLOC!AJ96)</f>
        <v>39226.075</v>
      </c>
      <c r="X96">
        <f>IF(Allocation!D96="","",_CALC_ALLOC!AK96)</f>
        <v>17116.380952381</v>
      </c>
      <c r="Y96">
        <f>IF(Allocation!D96="","",_CALC_ALLOC!AL96)</f>
        <v>0</v>
      </c>
      <c r="Z96">
        <f>IF(Allocation!D96="","",_CALC_ALLOC!AM96)</f>
        <v>0</v>
      </c>
      <c r="AA96">
        <f>IF(Allocation!D96="","",_CALC_ALLOC!AN96)</f>
        <v>253729.969047619</v>
      </c>
      <c r="AB96">
        <f>IF(Allocation!D96="","",AA96-T96)</f>
        <v>149478.396648034</v>
      </c>
      <c r="AC96">
        <f>IF(Allocation!D96="","",_CALC_ALLOC!AR96)</f>
        <v>0</v>
      </c>
    </row>
    <row r="97" ht="14.25" customHeight="1">
      <c r="A97" t="s">
        <v>191</v>
      </c>
      <c r="B97" t="s">
        <v>192</v>
      </c>
      <c r="C97" t="s">
        <v>210</v>
      </c>
      <c r="D97" t="s">
        <v>86</v>
      </c>
      <c r="E97" t="s">
        <v>29</v>
      </c>
      <c r="F97" t="s">
        <v>202</v>
      </c>
      <c r="G97" t="s">
        <v>194</v>
      </c>
      <c r="H97" t="s">
        <v>195</v>
      </c>
      <c r="I97">
        <v>44</v>
      </c>
      <c r="J97">
        <v>2</v>
      </c>
      <c r="K97">
        <v>320760</v>
      </c>
      <c r="L97">
        <v>28807.25</v>
      </c>
      <c r="M97">
        <v>53484.25</v>
      </c>
      <c r="N97">
        <v>26749.444444444</v>
      </c>
      <c r="O97">
        <v>97987.388888889</v>
      </c>
      <c r="P97">
        <v>46790.739383871</v>
      </c>
      <c r="Q97">
        <v>55556.694444444</v>
      </c>
      <c r="R97">
        <v>198262.37827276</v>
      </c>
      <c r="S97">
        <v>253819.072717204</v>
      </c>
      <c r="T97">
        <v>66940.927282796</v>
      </c>
      <c r="V97">
        <f>IF(Allocation!D97="","",_CALC_ALLOC!AI97)</f>
        <v>28807.25</v>
      </c>
      <c r="W97">
        <f>IF(Allocation!D97="","",_CALC_ALLOC!AJ97)</f>
        <v>53484.25</v>
      </c>
      <c r="X97">
        <f>IF(Allocation!D97="","",_CALC_ALLOC!AK97)</f>
        <v>26749.4444444444</v>
      </c>
      <c r="Y97">
        <f>IF(Allocation!D97="","",_CALC_ALLOC!AL97)</f>
        <v>0</v>
      </c>
      <c r="Z97">
        <f>IF(Allocation!D97="","",_CALC_ALLOC!AM97)</f>
        <v>0</v>
      </c>
      <c r="AA97">
        <f>IF(Allocation!D97="","",_CALC_ALLOC!AN97)</f>
        <v>211719.055555556</v>
      </c>
      <c r="AB97">
        <f>IF(Allocation!D97="","",AA97-T97)</f>
        <v>144778.12827276</v>
      </c>
      <c r="AC97">
        <f>IF(Allocation!D97="","",_CALC_ALLOC!AR97)</f>
        <v>0</v>
      </c>
    </row>
    <row r="98" ht="14.25" customHeight="1">
      <c r="A98" t="s">
        <v>191</v>
      </c>
      <c r="B98" t="s">
        <v>192</v>
      </c>
      <c r="C98" t="s">
        <v>210</v>
      </c>
      <c r="D98" t="s">
        <v>86</v>
      </c>
      <c r="E98" t="s">
        <v>29</v>
      </c>
      <c r="F98" t="s">
        <v>202</v>
      </c>
      <c r="G98" t="s">
        <v>196</v>
      </c>
      <c r="H98" t="s">
        <v>197</v>
      </c>
      <c r="I98">
        <v>43</v>
      </c>
      <c r="J98">
        <v>2</v>
      </c>
      <c r="K98">
        <v>288960</v>
      </c>
      <c r="L98">
        <v>23045.8</v>
      </c>
      <c r="M98">
        <v>42787.4</v>
      </c>
      <c r="N98">
        <v>16331.638888889</v>
      </c>
      <c r="O98">
        <v>95760.402777778</v>
      </c>
      <c r="P98">
        <v>45727.313488783</v>
      </c>
      <c r="Q98">
        <v>39377.438888889</v>
      </c>
      <c r="R98">
        <v>184275.116266561</v>
      </c>
      <c r="S98">
        <v>223652.555155449</v>
      </c>
      <c r="T98">
        <v>65307.444844551</v>
      </c>
      <c r="V98">
        <f>IF(Allocation!D98="","",_CALC_ALLOC!AI98)</f>
        <v>23045.8</v>
      </c>
      <c r="W98">
        <f>IF(Allocation!D98="","",_CALC_ALLOC!AJ98)</f>
        <v>42787.4</v>
      </c>
      <c r="X98">
        <f>IF(Allocation!D98="","",_CALC_ALLOC!AK98)</f>
        <v>16331.6388888889</v>
      </c>
      <c r="Y98">
        <f>IF(Allocation!D98="","",_CALC_ALLOC!AL98)</f>
        <v>0</v>
      </c>
      <c r="Z98">
        <f>IF(Allocation!D98="","",_CALC_ALLOC!AM98)</f>
        <v>0</v>
      </c>
      <c r="AA98">
        <f>IF(Allocation!D98="","",_CALC_ALLOC!AN98)</f>
        <v>206795.161111111</v>
      </c>
      <c r="AB98">
        <f>IF(Allocation!D98="","",AA98-T98)</f>
        <v>141487.71626656</v>
      </c>
      <c r="AC98">
        <f>IF(Allocation!D98="","",_CALC_ALLOC!AR98)</f>
        <v>0</v>
      </c>
    </row>
    <row r="99" ht="14.25" customHeight="1">
      <c r="A99" t="s">
        <v>191</v>
      </c>
      <c r="B99" t="s">
        <v>192</v>
      </c>
      <c r="C99" t="s">
        <v>210</v>
      </c>
      <c r="D99" t="s">
        <v>86</v>
      </c>
      <c r="E99" t="s">
        <v>29</v>
      </c>
      <c r="F99" t="s">
        <v>202</v>
      </c>
      <c r="G99" t="s">
        <v>198</v>
      </c>
      <c r="H99" t="s">
        <v>197</v>
      </c>
      <c r="I99">
        <v>42</v>
      </c>
      <c r="J99">
        <v>2</v>
      </c>
      <c r="K99">
        <v>282240</v>
      </c>
      <c r="L99">
        <v>23045.8</v>
      </c>
      <c r="M99">
        <v>42787.4</v>
      </c>
      <c r="N99">
        <v>15951.833333333</v>
      </c>
      <c r="O99">
        <v>93533.416666667</v>
      </c>
      <c r="P99">
        <v>44663.887593695</v>
      </c>
      <c r="Q99">
        <v>38997.633333333</v>
      </c>
      <c r="R99">
        <v>180984.704260361</v>
      </c>
      <c r="S99">
        <v>219982.337593695</v>
      </c>
      <c r="T99">
        <v>62257.662406305</v>
      </c>
      <c r="V99">
        <f>IF(Allocation!D99="","",_CALC_ALLOC!AI99)</f>
        <v>23045.8</v>
      </c>
      <c r="W99">
        <f>IF(Allocation!D99="","",_CALC_ALLOC!AJ99)</f>
        <v>42787.4</v>
      </c>
      <c r="X99">
        <f>IF(Allocation!D99="","",_CALC_ALLOC!AK99)</f>
        <v>15951.8333333333</v>
      </c>
      <c r="Y99">
        <f>IF(Allocation!D99="","",_CALC_ALLOC!AL99)</f>
        <v>0</v>
      </c>
      <c r="Z99">
        <f>IF(Allocation!D99="","",_CALC_ALLOC!AM99)</f>
        <v>0</v>
      </c>
      <c r="AA99">
        <f>IF(Allocation!D99="","",_CALC_ALLOC!AN99)</f>
        <v>200454.966666667</v>
      </c>
      <c r="AB99">
        <f>IF(Allocation!D99="","",AA99-T99)</f>
        <v>138197.304260362</v>
      </c>
      <c r="AC99">
        <f>IF(Allocation!D99="","",_CALC_ALLOC!AR99)</f>
        <v>0</v>
      </c>
    </row>
    <row r="100" ht="14.25" customHeight="1">
      <c r="A100" t="s">
        <v>191</v>
      </c>
      <c r="B100" t="s">
        <v>192</v>
      </c>
      <c r="C100" t="s">
        <v>210</v>
      </c>
      <c r="D100" t="s">
        <v>86</v>
      </c>
      <c r="E100" t="s">
        <v>29</v>
      </c>
      <c r="F100" t="s">
        <v>203</v>
      </c>
      <c r="G100" t="s">
        <v>200</v>
      </c>
      <c r="H100" t="s">
        <v>197</v>
      </c>
      <c r="I100">
        <v>44</v>
      </c>
      <c r="J100">
        <v>2</v>
      </c>
      <c r="K100">
        <v>320760</v>
      </c>
      <c r="L100">
        <v>20165.075</v>
      </c>
      <c r="M100">
        <v>37438.975</v>
      </c>
      <c r="N100">
        <v>26749.444444444</v>
      </c>
      <c r="O100">
        <v>97987.388888889</v>
      </c>
      <c r="P100">
        <v>46790.739383871</v>
      </c>
      <c r="Q100">
        <v>46914.519444444</v>
      </c>
      <c r="R100">
        <v>182217.10327276</v>
      </c>
      <c r="S100">
        <v>229131.622717204</v>
      </c>
      <c r="T100">
        <v>91628.377282796</v>
      </c>
      <c r="V100">
        <f>IF(Allocation!D100="","",_CALC_ALLOC!AI100)</f>
        <v>20165.075</v>
      </c>
      <c r="W100">
        <f>IF(Allocation!D100="","",_CALC_ALLOC!AJ100)</f>
        <v>37438.975</v>
      </c>
      <c r="X100">
        <f>IF(Allocation!D100="","",_CALC_ALLOC!AK100)</f>
        <v>26749.4444444444</v>
      </c>
      <c r="Y100">
        <f>IF(Allocation!D100="","",_CALC_ALLOC!AL100)</f>
        <v>0</v>
      </c>
      <c r="Z100">
        <f>IF(Allocation!D100="","",_CALC_ALLOC!AM100)</f>
        <v>0</v>
      </c>
      <c r="AA100">
        <f>IF(Allocation!D100="","",_CALC_ALLOC!AN100)</f>
        <v>236406.505555556</v>
      </c>
      <c r="AB100">
        <f>IF(Allocation!D100="","",AA100-T100)</f>
        <v>144778.12827276</v>
      </c>
      <c r="AC100">
        <f>IF(Allocation!D100="","",_CALC_ALLOC!AR100)</f>
        <v>0</v>
      </c>
    </row>
    <row r="101" ht="14.25" customHeight="1">
      <c r="A101" t="s">
        <v>191</v>
      </c>
      <c r="B101" t="s">
        <v>192</v>
      </c>
      <c r="C101" t="s">
        <v>210</v>
      </c>
      <c r="D101" t="s">
        <v>86</v>
      </c>
      <c r="E101" t="s">
        <v>29</v>
      </c>
      <c r="F101" t="s">
        <v>203</v>
      </c>
      <c r="G101" t="s">
        <v>201</v>
      </c>
      <c r="H101" t="s">
        <v>197</v>
      </c>
      <c r="I101">
        <v>43</v>
      </c>
      <c r="J101">
        <v>2</v>
      </c>
      <c r="K101">
        <v>309600</v>
      </c>
      <c r="L101">
        <v>20165.075</v>
      </c>
      <c r="M101">
        <v>37438.975</v>
      </c>
      <c r="N101">
        <v>16331.638888889</v>
      </c>
      <c r="O101">
        <v>95760.402777778</v>
      </c>
      <c r="P101">
        <v>45727.313488783</v>
      </c>
      <c r="Q101">
        <v>36496.713888889</v>
      </c>
      <c r="R101">
        <v>178926.691266561</v>
      </c>
      <c r="S101">
        <v>215423.405155449</v>
      </c>
      <c r="T101">
        <v>94176.594844551</v>
      </c>
      <c r="V101">
        <f>IF(Allocation!D101="","",_CALC_ALLOC!AI101)</f>
        <v>20165.075</v>
      </c>
      <c r="W101">
        <f>IF(Allocation!D101="","",_CALC_ALLOC!AJ101)</f>
        <v>37438.975</v>
      </c>
      <c r="X101">
        <f>IF(Allocation!D101="","",_CALC_ALLOC!AK101)</f>
        <v>16331.6388888889</v>
      </c>
      <c r="Y101">
        <f>IF(Allocation!D101="","",_CALC_ALLOC!AL101)</f>
        <v>0</v>
      </c>
      <c r="Z101">
        <f>IF(Allocation!D101="","",_CALC_ALLOC!AM101)</f>
        <v>0</v>
      </c>
      <c r="AA101">
        <f>IF(Allocation!D101="","",_CALC_ALLOC!AN101)</f>
        <v>235664.311111111</v>
      </c>
      <c r="AB101">
        <f>IF(Allocation!D101="","",AA101-T101)</f>
        <v>141487.71626656</v>
      </c>
      <c r="AC101">
        <f>IF(Allocation!D101="","",_CALC_ALLOC!AR101)</f>
        <v>0</v>
      </c>
    </row>
    <row r="102" ht="14.25" customHeight="1">
      <c r="A102" t="s">
        <v>191</v>
      </c>
      <c r="B102" t="s">
        <v>192</v>
      </c>
      <c r="C102" t="s">
        <v>211</v>
      </c>
      <c r="D102" t="s">
        <v>86</v>
      </c>
      <c r="E102" t="s">
        <v>29</v>
      </c>
      <c r="F102" t="s">
        <v>202</v>
      </c>
      <c r="G102" t="s">
        <v>194</v>
      </c>
      <c r="H102" t="s">
        <v>195</v>
      </c>
      <c r="I102">
        <v>42</v>
      </c>
      <c r="J102">
        <v>2</v>
      </c>
      <c r="K102">
        <v>306180</v>
      </c>
      <c r="L102">
        <v>27545</v>
      </c>
      <c r="M102">
        <v>51141</v>
      </c>
      <c r="N102">
        <v>25118.733009709</v>
      </c>
      <c r="O102">
        <v>93776.621359223</v>
      </c>
      <c r="P102">
        <v>44387.409312271</v>
      </c>
      <c r="Q102">
        <v>52663.733009709</v>
      </c>
      <c r="R102">
        <v>189305.030671494</v>
      </c>
      <c r="S102">
        <v>241968.763681203</v>
      </c>
      <c r="T102">
        <v>64211.236318797</v>
      </c>
      <c r="V102">
        <f>IF(Allocation!D102="","",_CALC_ALLOC!AI102)</f>
        <v>27545</v>
      </c>
      <c r="W102">
        <f>IF(Allocation!D102="","",_CALC_ALLOC!AJ102)</f>
        <v>51141</v>
      </c>
      <c r="X102">
        <f>IF(Allocation!D102="","",_CALC_ALLOC!AK102)</f>
        <v>25118.7330097087</v>
      </c>
      <c r="Y102">
        <f>IF(Allocation!D102="","",_CALC_ALLOC!AL102)</f>
        <v>0</v>
      </c>
      <c r="Z102">
        <f>IF(Allocation!D102="","",_CALC_ALLOC!AM102)</f>
        <v>0</v>
      </c>
      <c r="AA102">
        <f>IF(Allocation!D102="","",_CALC_ALLOC!AN102)</f>
        <v>202375.266990291</v>
      </c>
      <c r="AB102">
        <f>IF(Allocation!D102="","",AA102-T102)</f>
        <v>138164.030671494</v>
      </c>
      <c r="AC102">
        <f>IF(Allocation!D102="","",_CALC_ALLOC!AR102)</f>
        <v>0</v>
      </c>
    </row>
    <row r="103" ht="14.25" customHeight="1">
      <c r="A103" t="s">
        <v>191</v>
      </c>
      <c r="B103" t="s">
        <v>192</v>
      </c>
      <c r="C103" t="s">
        <v>211</v>
      </c>
      <c r="D103" t="s">
        <v>86</v>
      </c>
      <c r="E103" t="s">
        <v>29</v>
      </c>
      <c r="F103" t="s">
        <v>202</v>
      </c>
      <c r="G103" t="s">
        <v>196</v>
      </c>
      <c r="H103" t="s">
        <v>197</v>
      </c>
      <c r="I103">
        <v>41</v>
      </c>
      <c r="J103">
        <v>2</v>
      </c>
      <c r="K103">
        <v>275520</v>
      </c>
      <c r="L103">
        <v>22036</v>
      </c>
      <c r="M103">
        <v>40912.8</v>
      </c>
      <c r="N103">
        <v>15612.441747573</v>
      </c>
      <c r="O103">
        <v>91543.844660194</v>
      </c>
      <c r="P103">
        <v>43330.566233407</v>
      </c>
      <c r="Q103">
        <v>37648.441747573</v>
      </c>
      <c r="R103">
        <v>175787.210893602</v>
      </c>
      <c r="S103">
        <v>213435.652641174</v>
      </c>
      <c r="T103">
        <v>62084.347358826</v>
      </c>
      <c r="V103">
        <f>IF(Allocation!D103="","",_CALC_ALLOC!AI103)</f>
        <v>22036</v>
      </c>
      <c r="W103">
        <f>IF(Allocation!D103="","",_CALC_ALLOC!AJ103)</f>
        <v>40912.8</v>
      </c>
      <c r="X103">
        <f>IF(Allocation!D103="","",_CALC_ALLOC!AK103)</f>
        <v>15612.4417475728</v>
      </c>
      <c r="Y103">
        <f>IF(Allocation!D103="","",_CALC_ALLOC!AL103)</f>
        <v>0</v>
      </c>
      <c r="Z103">
        <f>IF(Allocation!D103="","",_CALC_ALLOC!AM103)</f>
        <v>0</v>
      </c>
      <c r="AA103">
        <f>IF(Allocation!D103="","",_CALC_ALLOC!AN103)</f>
        <v>196958.758252427</v>
      </c>
      <c r="AB103">
        <f>IF(Allocation!D103="","",AA103-T103)</f>
        <v>134874.410893601</v>
      </c>
      <c r="AC103">
        <f>IF(Allocation!D103="","",_CALC_ALLOC!AR103)</f>
        <v>0</v>
      </c>
    </row>
    <row r="104" ht="14.25" customHeight="1">
      <c r="A104" t="s">
        <v>191</v>
      </c>
      <c r="B104" t="s">
        <v>192</v>
      </c>
      <c r="C104" t="s">
        <v>211</v>
      </c>
      <c r="D104" t="s">
        <v>86</v>
      </c>
      <c r="E104" t="s">
        <v>29</v>
      </c>
      <c r="F104" t="s">
        <v>202</v>
      </c>
      <c r="G104" t="s">
        <v>198</v>
      </c>
      <c r="H104" t="s">
        <v>197</v>
      </c>
      <c r="I104">
        <v>40</v>
      </c>
      <c r="J104">
        <v>2</v>
      </c>
      <c r="K104">
        <v>268800</v>
      </c>
      <c r="L104">
        <v>22036</v>
      </c>
      <c r="M104">
        <v>40912.8</v>
      </c>
      <c r="N104">
        <v>15231.650485437</v>
      </c>
      <c r="O104">
        <v>89311.067961165</v>
      </c>
      <c r="P104">
        <v>42273.723154544</v>
      </c>
      <c r="Q104">
        <v>37267.650485437</v>
      </c>
      <c r="R104">
        <v>172497.591115709</v>
      </c>
      <c r="S104">
        <v>209765.241601146</v>
      </c>
      <c r="T104">
        <v>59034.758398854</v>
      </c>
      <c r="V104">
        <f>IF(Allocation!D104="","",_CALC_ALLOC!AI104)</f>
        <v>22036</v>
      </c>
      <c r="W104">
        <f>IF(Allocation!D104="","",_CALC_ALLOC!AJ104)</f>
        <v>40912.8</v>
      </c>
      <c r="X104">
        <f>IF(Allocation!D104="","",_CALC_ALLOC!AK104)</f>
        <v>15231.6504854369</v>
      </c>
      <c r="Y104">
        <f>IF(Allocation!D104="","",_CALC_ALLOC!AL104)</f>
        <v>0</v>
      </c>
      <c r="Z104">
        <f>IF(Allocation!D104="","",_CALC_ALLOC!AM104)</f>
        <v>0</v>
      </c>
      <c r="AA104">
        <f>IF(Allocation!D104="","",_CALC_ALLOC!AN104)</f>
        <v>190619.549514563</v>
      </c>
      <c r="AB104">
        <f>IF(Allocation!D104="","",AA104-T104)</f>
        <v>131584.791115709</v>
      </c>
      <c r="AC104">
        <f>IF(Allocation!D104="","",_CALC_ALLOC!AR104)</f>
        <v>0</v>
      </c>
    </row>
    <row r="105" ht="14.25" customHeight="1">
      <c r="A105" t="s">
        <v>191</v>
      </c>
      <c r="B105" t="s">
        <v>192</v>
      </c>
      <c r="C105" t="s">
        <v>211</v>
      </c>
      <c r="D105" t="s">
        <v>86</v>
      </c>
      <c r="E105" t="s">
        <v>29</v>
      </c>
      <c r="F105" t="s">
        <v>203</v>
      </c>
      <c r="G105" t="s">
        <v>200</v>
      </c>
      <c r="H105" t="s">
        <v>197</v>
      </c>
      <c r="I105">
        <v>42</v>
      </c>
      <c r="J105">
        <v>2</v>
      </c>
      <c r="K105">
        <v>306180</v>
      </c>
      <c r="L105">
        <v>19281.5</v>
      </c>
      <c r="M105">
        <v>35798.7</v>
      </c>
      <c r="N105">
        <v>25118.733009709</v>
      </c>
      <c r="O105">
        <v>93776.621359223</v>
      </c>
      <c r="P105">
        <v>44387.409312271</v>
      </c>
      <c r="Q105">
        <v>44400.233009709</v>
      </c>
      <c r="R105">
        <v>173962.730671494</v>
      </c>
      <c r="S105">
        <v>218362.963681203</v>
      </c>
      <c r="T105">
        <v>87817.036318797</v>
      </c>
      <c r="V105">
        <f>IF(Allocation!D105="","",_CALC_ALLOC!AI105)</f>
        <v>19281.5</v>
      </c>
      <c r="W105">
        <f>IF(Allocation!D105="","",_CALC_ALLOC!AJ105)</f>
        <v>35798.7</v>
      </c>
      <c r="X105">
        <f>IF(Allocation!D105="","",_CALC_ALLOC!AK105)</f>
        <v>25118.7330097087</v>
      </c>
      <c r="Y105">
        <f>IF(Allocation!D105="","",_CALC_ALLOC!AL105)</f>
        <v>0</v>
      </c>
      <c r="Z105">
        <f>IF(Allocation!D105="","",_CALC_ALLOC!AM105)</f>
        <v>0</v>
      </c>
      <c r="AA105">
        <f>IF(Allocation!D105="","",_CALC_ALLOC!AN105)</f>
        <v>225981.066990291</v>
      </c>
      <c r="AB105">
        <f>IF(Allocation!D105="","",AA105-T105)</f>
        <v>138164.030671494</v>
      </c>
      <c r="AC105">
        <f>IF(Allocation!D105="","",_CALC_ALLOC!AR105)</f>
        <v>0</v>
      </c>
    </row>
    <row r="106" ht="14.25" customHeight="1">
      <c r="A106" t="s">
        <v>191</v>
      </c>
      <c r="B106" t="s">
        <v>192</v>
      </c>
      <c r="C106" t="s">
        <v>211</v>
      </c>
      <c r="D106" t="s">
        <v>86</v>
      </c>
      <c r="E106" t="s">
        <v>29</v>
      </c>
      <c r="F106" t="s">
        <v>203</v>
      </c>
      <c r="G106" t="s">
        <v>201</v>
      </c>
      <c r="H106" t="s">
        <v>197</v>
      </c>
      <c r="I106">
        <v>41</v>
      </c>
      <c r="J106">
        <v>2</v>
      </c>
      <c r="K106">
        <v>295200</v>
      </c>
      <c r="L106">
        <v>19281.5</v>
      </c>
      <c r="M106">
        <v>35798.7</v>
      </c>
      <c r="N106">
        <v>15612.441747573</v>
      </c>
      <c r="O106">
        <v>91543.844660194</v>
      </c>
      <c r="P106">
        <v>43330.566233407</v>
      </c>
      <c r="Q106">
        <v>34893.941747573</v>
      </c>
      <c r="R106">
        <v>170673.110893602</v>
      </c>
      <c r="S106">
        <v>205567.052641174</v>
      </c>
      <c r="T106">
        <v>89632.947358826</v>
      </c>
      <c r="V106">
        <f>IF(Allocation!D106="","",_CALC_ALLOC!AI106)</f>
        <v>19281.5</v>
      </c>
      <c r="W106">
        <f>IF(Allocation!D106="","",_CALC_ALLOC!AJ106)</f>
        <v>35798.7</v>
      </c>
      <c r="X106">
        <f>IF(Allocation!D106="","",_CALC_ALLOC!AK106)</f>
        <v>15612.4417475728</v>
      </c>
      <c r="Y106">
        <f>IF(Allocation!D106="","",_CALC_ALLOC!AL106)</f>
        <v>0</v>
      </c>
      <c r="Z106">
        <f>IF(Allocation!D106="","",_CALC_ALLOC!AM106)</f>
        <v>0</v>
      </c>
      <c r="AA106">
        <f>IF(Allocation!D106="","",_CALC_ALLOC!AN106)</f>
        <v>224507.358252427</v>
      </c>
      <c r="AB106">
        <f>IF(Allocation!D106="","",AA106-T106)</f>
        <v>134874.410893601</v>
      </c>
      <c r="AC106">
        <f>IF(Allocation!D106="","",_CALC_ALLOC!AR106)</f>
        <v>0</v>
      </c>
    </row>
    <row r="107" ht="14.25" customHeight="1">
      <c r="A107" t="s">
        <v>191</v>
      </c>
      <c r="B107" t="s">
        <v>192</v>
      </c>
      <c r="C107" t="s">
        <v>25</v>
      </c>
      <c r="D107" t="s">
        <v>88</v>
      </c>
      <c r="E107" t="s">
        <v>235</v>
      </c>
      <c r="F107" t="s">
        <v>204</v>
      </c>
      <c r="G107" t="s">
        <v>194</v>
      </c>
      <c r="H107" t="s">
        <v>197</v>
      </c>
      <c r="I107">
        <v>50</v>
      </c>
      <c r="J107">
        <v>2</v>
      </c>
      <c r="K107">
        <v>354500</v>
      </c>
      <c r="L107">
        <v>24146</v>
      </c>
      <c r="M107">
        <v>49811</v>
      </c>
      <c r="N107">
        <v>40364.827586207</v>
      </c>
      <c r="O107">
        <v>119390</v>
      </c>
      <c r="P107">
        <v>66736.635796416</v>
      </c>
      <c r="Q107">
        <v>64510.827586207</v>
      </c>
      <c r="R107">
        <v>235937.635796416</v>
      </c>
      <c r="S107">
        <v>300448.463382623</v>
      </c>
      <c r="T107">
        <v>54051.536617377</v>
      </c>
      <c r="V107">
        <f>IF(Allocation!D107="","",_CALC_ALLOC!AI107)</f>
        <v>24146</v>
      </c>
      <c r="W107">
        <f>IF(Allocation!D107="","",_CALC_ALLOC!AJ107)</f>
        <v>49811</v>
      </c>
      <c r="X107">
        <f>IF(Allocation!D107="","",_CALC_ALLOC!AK107)</f>
        <v>40364.8275862069</v>
      </c>
      <c r="Y107">
        <f>IF(Allocation!D107="","",_CALC_ALLOC!AL107)</f>
        <v>0</v>
      </c>
      <c r="Z107">
        <f>IF(Allocation!D107="","",_CALC_ALLOC!AM107)</f>
        <v>0</v>
      </c>
      <c r="AA107">
        <f>IF(Allocation!D107="","",_CALC_ALLOC!AN107)</f>
        <v>240178.172413793</v>
      </c>
      <c r="AB107">
        <f>IF(Allocation!D107="","",AA107-T107)</f>
        <v>186126.635796416</v>
      </c>
      <c r="AC107">
        <f>IF(Allocation!D107="","",_CALC_ALLOC!AR107)</f>
        <v>0</v>
      </c>
    </row>
    <row r="108" ht="14.25" customHeight="1">
      <c r="A108" t="s">
        <v>191</v>
      </c>
      <c r="B108" t="s">
        <v>192</v>
      </c>
      <c r="C108" t="s">
        <v>25</v>
      </c>
      <c r="D108" t="s">
        <v>88</v>
      </c>
      <c r="E108" t="s">
        <v>235</v>
      </c>
      <c r="F108" t="s">
        <v>204</v>
      </c>
      <c r="G108" t="s">
        <v>196</v>
      </c>
      <c r="H108" t="s">
        <v>197</v>
      </c>
      <c r="I108">
        <v>48</v>
      </c>
      <c r="J108">
        <v>2</v>
      </c>
      <c r="K108">
        <v>336000</v>
      </c>
      <c r="L108">
        <v>24146</v>
      </c>
      <c r="M108">
        <v>49811</v>
      </c>
      <c r="N108">
        <v>17860.634482759</v>
      </c>
      <c r="O108">
        <v>114614.4</v>
      </c>
      <c r="P108">
        <v>64067.170364559</v>
      </c>
      <c r="Q108">
        <v>42006.634482759</v>
      </c>
      <c r="R108">
        <v>228492.570364559</v>
      </c>
      <c r="S108">
        <v>270499.204847318</v>
      </c>
      <c r="T108">
        <v>65500.795152682</v>
      </c>
      <c r="V108">
        <f>IF(Allocation!D108="","",_CALC_ALLOC!AI108)</f>
        <v>24146</v>
      </c>
      <c r="W108">
        <f>IF(Allocation!D108="","",_CALC_ALLOC!AJ108)</f>
        <v>49811</v>
      </c>
      <c r="X108">
        <f>IF(Allocation!D108="","",_CALC_ALLOC!AK108)</f>
        <v>17860.6344827586</v>
      </c>
      <c r="Y108">
        <f>IF(Allocation!D108="","",_CALC_ALLOC!AL108)</f>
        <v>0</v>
      </c>
      <c r="Z108">
        <f>IF(Allocation!D108="","",_CALC_ALLOC!AM108)</f>
        <v>0</v>
      </c>
      <c r="AA108">
        <f>IF(Allocation!D108="","",_CALC_ALLOC!AN108)</f>
        <v>244182.365517241</v>
      </c>
      <c r="AB108">
        <f>IF(Allocation!D108="","",AA108-T108)</f>
        <v>178681.570364559</v>
      </c>
      <c r="AC108">
        <f>IF(Allocation!D108="","",_CALC_ALLOC!AR108)</f>
        <v>0</v>
      </c>
    </row>
    <row r="109" ht="14.25" customHeight="1">
      <c r="A109" t="s">
        <v>191</v>
      </c>
      <c r="B109" t="s">
        <v>192</v>
      </c>
      <c r="C109" t="s">
        <v>25</v>
      </c>
      <c r="D109" t="s">
        <v>88</v>
      </c>
      <c r="E109" t="s">
        <v>235</v>
      </c>
      <c r="F109" t="s">
        <v>204</v>
      </c>
      <c r="G109" t="s">
        <v>198</v>
      </c>
      <c r="H109" t="s">
        <v>197</v>
      </c>
      <c r="I109">
        <v>47</v>
      </c>
      <c r="J109">
        <v>2</v>
      </c>
      <c r="K109">
        <v>329000</v>
      </c>
      <c r="L109">
        <v>24146</v>
      </c>
      <c r="M109">
        <v>49811</v>
      </c>
      <c r="N109">
        <v>17488.537931034</v>
      </c>
      <c r="O109">
        <v>112226.6</v>
      </c>
      <c r="P109">
        <v>62732.437648631</v>
      </c>
      <c r="Q109">
        <v>41634.537931034</v>
      </c>
      <c r="R109">
        <v>224770.037648631</v>
      </c>
      <c r="S109">
        <v>266404.575579665</v>
      </c>
      <c r="T109">
        <v>62595.424420335</v>
      </c>
      <c r="V109">
        <f>IF(Allocation!D109="","",_CALC_ALLOC!AI109)</f>
        <v>24146</v>
      </c>
      <c r="W109">
        <f>IF(Allocation!D109="","",_CALC_ALLOC!AJ109)</f>
        <v>49811</v>
      </c>
      <c r="X109">
        <f>IF(Allocation!D109="","",_CALC_ALLOC!AK109)</f>
        <v>17488.5379310345</v>
      </c>
      <c r="Y109">
        <f>IF(Allocation!D109="","",_CALC_ALLOC!AL109)</f>
        <v>0</v>
      </c>
      <c r="Z109">
        <f>IF(Allocation!D109="","",_CALC_ALLOC!AM109)</f>
        <v>0</v>
      </c>
      <c r="AA109">
        <f>IF(Allocation!D109="","",_CALC_ALLOC!AN109)</f>
        <v>237554.462068965</v>
      </c>
      <c r="AB109">
        <f>IF(Allocation!D109="","",AA109-T109)</f>
        <v>174959.03764863</v>
      </c>
      <c r="AC109">
        <f>IF(Allocation!D109="","",_CALC_ALLOC!AR109)</f>
        <v>0</v>
      </c>
    </row>
    <row r="110" ht="14.25" customHeight="1">
      <c r="A110" t="s">
        <v>191</v>
      </c>
      <c r="B110" t="s">
        <v>192</v>
      </c>
      <c r="C110" t="s">
        <v>210</v>
      </c>
      <c r="D110" t="s">
        <v>88</v>
      </c>
      <c r="E110" t="s">
        <v>235</v>
      </c>
      <c r="F110" t="s">
        <v>204</v>
      </c>
      <c r="G110" t="s">
        <v>194</v>
      </c>
      <c r="H110" t="s">
        <v>197</v>
      </c>
      <c r="I110">
        <v>47</v>
      </c>
      <c r="J110">
        <v>2</v>
      </c>
      <c r="K110">
        <v>333230</v>
      </c>
      <c r="L110">
        <v>23045.666666667</v>
      </c>
      <c r="M110">
        <v>47541.666666667</v>
      </c>
      <c r="N110">
        <v>37578.066176471</v>
      </c>
      <c r="O110">
        <v>114202.397058824</v>
      </c>
      <c r="P110">
        <v>62178.922281579</v>
      </c>
      <c r="Q110">
        <v>60623.732843137</v>
      </c>
      <c r="R110">
        <v>223922.986007069</v>
      </c>
      <c r="S110">
        <v>284546.718850207</v>
      </c>
      <c r="T110">
        <v>48683.281149793</v>
      </c>
      <c r="V110">
        <f>IF(Allocation!D110="","",_CALC_ALLOC!AI110)</f>
        <v>23045.6666666667</v>
      </c>
      <c r="W110">
        <f>IF(Allocation!D110="","",_CALC_ALLOC!AJ110)</f>
        <v>47541.6666666667</v>
      </c>
      <c r="X110">
        <f>IF(Allocation!D110="","",_CALC_ALLOC!AK110)</f>
        <v>37578.0661764706</v>
      </c>
      <c r="Y110">
        <f>IF(Allocation!D110="","",_CALC_ALLOC!AL110)</f>
        <v>0</v>
      </c>
      <c r="Z110">
        <f>IF(Allocation!D110="","",_CALC_ALLOC!AM110)</f>
        <v>0</v>
      </c>
      <c r="AA110">
        <f>IF(Allocation!D110="","",_CALC_ALLOC!AN110)</f>
        <v>225064.600490196</v>
      </c>
      <c r="AB110">
        <f>IF(Allocation!D110="","",AA110-T110)</f>
        <v>176381.319340403</v>
      </c>
      <c r="AC110">
        <f>IF(Allocation!D110="","",_CALC_ALLOC!AR110)</f>
        <v>0</v>
      </c>
    </row>
    <row r="111" ht="14.25" customHeight="1">
      <c r="A111" t="s">
        <v>191</v>
      </c>
      <c r="B111" t="s">
        <v>192</v>
      </c>
      <c r="C111" t="s">
        <v>210</v>
      </c>
      <c r="D111" t="s">
        <v>88</v>
      </c>
      <c r="E111" t="s">
        <v>235</v>
      </c>
      <c r="F111" t="s">
        <v>204</v>
      </c>
      <c r="G111" t="s">
        <v>196</v>
      </c>
      <c r="H111" t="s">
        <v>197</v>
      </c>
      <c r="I111">
        <v>45</v>
      </c>
      <c r="J111">
        <v>2</v>
      </c>
      <c r="K111">
        <v>315000</v>
      </c>
      <c r="L111">
        <v>23045.666666667</v>
      </c>
      <c r="M111">
        <v>47541.666666667</v>
      </c>
      <c r="N111">
        <v>17038.786764706</v>
      </c>
      <c r="O111">
        <v>109342.720588235</v>
      </c>
      <c r="P111">
        <v>59533.010695129</v>
      </c>
      <c r="Q111">
        <v>40084.453431373</v>
      </c>
      <c r="R111">
        <v>216417.397950031</v>
      </c>
      <c r="S111">
        <v>256501.851381404</v>
      </c>
      <c r="T111">
        <v>58498.148618596</v>
      </c>
      <c r="V111">
        <f>IF(Allocation!D111="","",_CALC_ALLOC!AI111)</f>
        <v>23045.6666666667</v>
      </c>
      <c r="W111">
        <f>IF(Allocation!D111="","",_CALC_ALLOC!AJ111)</f>
        <v>47541.6666666667</v>
      </c>
      <c r="X111">
        <f>IF(Allocation!D111="","",_CALC_ALLOC!AK111)</f>
        <v>17038.7867647059</v>
      </c>
      <c r="Y111">
        <f>IF(Allocation!D111="","",_CALC_ALLOC!AL111)</f>
        <v>0</v>
      </c>
      <c r="Z111">
        <f>IF(Allocation!D111="","",_CALC_ALLOC!AM111)</f>
        <v>0</v>
      </c>
      <c r="AA111">
        <f>IF(Allocation!D111="","",_CALC_ALLOC!AN111)</f>
        <v>227373.879901961</v>
      </c>
      <c r="AB111">
        <f>IF(Allocation!D111="","",AA111-T111)</f>
        <v>168875.731283365</v>
      </c>
      <c r="AC111">
        <f>IF(Allocation!D111="","",_CALC_ALLOC!AR111)</f>
        <v>0</v>
      </c>
    </row>
    <row r="112" ht="14.25" customHeight="1">
      <c r="A112" t="s">
        <v>191</v>
      </c>
      <c r="B112" t="s">
        <v>192</v>
      </c>
      <c r="C112" t="s">
        <v>210</v>
      </c>
      <c r="D112" t="s">
        <v>88</v>
      </c>
      <c r="E112" t="s">
        <v>235</v>
      </c>
      <c r="F112" t="s">
        <v>204</v>
      </c>
      <c r="G112" t="s">
        <v>198</v>
      </c>
      <c r="H112" t="s">
        <v>197</v>
      </c>
      <c r="I112">
        <v>44</v>
      </c>
      <c r="J112">
        <v>2</v>
      </c>
      <c r="K112">
        <v>308000</v>
      </c>
      <c r="L112">
        <v>23045.666666667</v>
      </c>
      <c r="M112">
        <v>47541.666666667</v>
      </c>
      <c r="N112">
        <v>16660.147058824</v>
      </c>
      <c r="O112">
        <v>106912.882352941</v>
      </c>
      <c r="P112">
        <v>58210.054901904</v>
      </c>
      <c r="Q112">
        <v>39705.81372549</v>
      </c>
      <c r="R112">
        <v>212664.603921512</v>
      </c>
      <c r="S112">
        <v>252370.417647002</v>
      </c>
      <c r="T112">
        <v>55629.582352998</v>
      </c>
      <c r="V112">
        <f>IF(Allocation!D112="","",_CALC_ALLOC!AI112)</f>
        <v>23045.6666666667</v>
      </c>
      <c r="W112">
        <f>IF(Allocation!D112="","",_CALC_ALLOC!AJ112)</f>
        <v>47541.6666666667</v>
      </c>
      <c r="X112">
        <f>IF(Allocation!D112="","",_CALC_ALLOC!AK112)</f>
        <v>16660.1470588235</v>
      </c>
      <c r="Y112">
        <f>IF(Allocation!D112="","",_CALC_ALLOC!AL112)</f>
        <v>0</v>
      </c>
      <c r="Z112">
        <f>IF(Allocation!D112="","",_CALC_ALLOC!AM112)</f>
        <v>0</v>
      </c>
      <c r="AA112">
        <f>IF(Allocation!D112="","",_CALC_ALLOC!AN112)</f>
        <v>220752.519607843</v>
      </c>
      <c r="AB112">
        <f>IF(Allocation!D112="","",AA112-T112)</f>
        <v>165122.937254845</v>
      </c>
      <c r="AC112">
        <f>IF(Allocation!D112="","",_CALC_ALLOC!AR112)</f>
        <v>0</v>
      </c>
    </row>
    <row r="113" ht="14.25" customHeight="1">
      <c r="A113" t="s">
        <v>191</v>
      </c>
      <c r="B113" t="s">
        <v>192</v>
      </c>
      <c r="C113" t="s">
        <v>211</v>
      </c>
      <c r="D113" t="s">
        <v>88</v>
      </c>
      <c r="E113" t="s">
        <v>235</v>
      </c>
      <c r="F113" t="s">
        <v>204</v>
      </c>
      <c r="G113" t="s">
        <v>194</v>
      </c>
      <c r="H113" t="s">
        <v>197</v>
      </c>
      <c r="I113">
        <v>44</v>
      </c>
      <c r="J113">
        <v>2</v>
      </c>
      <c r="K113">
        <v>311960</v>
      </c>
      <c r="L113">
        <v>22036</v>
      </c>
      <c r="M113">
        <v>45458.666666667</v>
      </c>
      <c r="N113">
        <v>34778.03875969</v>
      </c>
      <c r="O113">
        <v>107775.782945736</v>
      </c>
      <c r="P113">
        <v>57766.105065013</v>
      </c>
      <c r="Q113">
        <v>56814.03875969</v>
      </c>
      <c r="R113">
        <v>211000.554677416</v>
      </c>
      <c r="S113">
        <v>267814.593437106</v>
      </c>
      <c r="T113">
        <v>44145.406562894</v>
      </c>
      <c r="V113">
        <f>IF(Allocation!D113="","",_CALC_ALLOC!AI113)</f>
        <v>22036</v>
      </c>
      <c r="W113">
        <f>IF(Allocation!D113="","",_CALC_ALLOC!AJ113)</f>
        <v>45458.6666666667</v>
      </c>
      <c r="X113">
        <f>IF(Allocation!D113="","",_CALC_ALLOC!AK113)</f>
        <v>34778.0387596899</v>
      </c>
      <c r="Y113">
        <f>IF(Allocation!D113="","",_CALC_ALLOC!AL113)</f>
        <v>0</v>
      </c>
      <c r="Z113">
        <f>IF(Allocation!D113="","",_CALC_ALLOC!AM113)</f>
        <v>0</v>
      </c>
      <c r="AA113">
        <f>IF(Allocation!D113="","",_CALC_ALLOC!AN113)</f>
        <v>209687.294573643</v>
      </c>
      <c r="AB113">
        <f>IF(Allocation!D113="","",AA113-T113)</f>
        <v>165541.888010749</v>
      </c>
      <c r="AC113">
        <f>IF(Allocation!D113="","",_CALC_ALLOC!AR113)</f>
        <v>0</v>
      </c>
    </row>
    <row r="114" ht="14.25" customHeight="1">
      <c r="A114" t="s">
        <v>191</v>
      </c>
      <c r="B114" t="s">
        <v>192</v>
      </c>
      <c r="C114" t="s">
        <v>211</v>
      </c>
      <c r="D114" t="s">
        <v>88</v>
      </c>
      <c r="E114" t="s">
        <v>235</v>
      </c>
      <c r="F114" t="s">
        <v>204</v>
      </c>
      <c r="G114" t="s">
        <v>196</v>
      </c>
      <c r="H114" t="s">
        <v>197</v>
      </c>
      <c r="I114">
        <v>43</v>
      </c>
      <c r="J114">
        <v>2</v>
      </c>
      <c r="K114">
        <v>301000</v>
      </c>
      <c r="L114">
        <v>22036</v>
      </c>
      <c r="M114">
        <v>45458.666666667</v>
      </c>
      <c r="N114">
        <v>16413.333333333</v>
      </c>
      <c r="O114">
        <v>105326.333333333</v>
      </c>
      <c r="P114">
        <v>56453.239040808</v>
      </c>
      <c r="Q114">
        <v>38449.333333333</v>
      </c>
      <c r="R114">
        <v>207238.239040808</v>
      </c>
      <c r="S114">
        <v>245687.572374141</v>
      </c>
      <c r="T114">
        <v>55312.427625859</v>
      </c>
      <c r="V114">
        <f>IF(Allocation!D114="","",_CALC_ALLOC!AI114)</f>
        <v>22036</v>
      </c>
      <c r="W114">
        <f>IF(Allocation!D114="","",_CALC_ALLOC!AJ114)</f>
        <v>45458.6666666667</v>
      </c>
      <c r="X114">
        <f>IF(Allocation!D114="","",_CALC_ALLOC!AK114)</f>
        <v>16413.3333333333</v>
      </c>
      <c r="Y114">
        <f>IF(Allocation!D114="","",_CALC_ALLOC!AL114)</f>
        <v>0</v>
      </c>
      <c r="Z114">
        <f>IF(Allocation!D114="","",_CALC_ALLOC!AM114)</f>
        <v>0</v>
      </c>
      <c r="AA114">
        <f>IF(Allocation!D114="","",_CALC_ALLOC!AN114)</f>
        <v>217092</v>
      </c>
      <c r="AB114">
        <f>IF(Allocation!D114="","",AA114-T114)</f>
        <v>161779.572374141</v>
      </c>
      <c r="AC114">
        <f>IF(Allocation!D114="","",_CALC_ALLOC!AR114)</f>
        <v>0</v>
      </c>
    </row>
    <row r="115" ht="14.25" customHeight="1">
      <c r="A115" t="s">
        <v>191</v>
      </c>
      <c r="B115" t="s">
        <v>192</v>
      </c>
      <c r="C115" t="s">
        <v>211</v>
      </c>
      <c r="D115" t="s">
        <v>88</v>
      </c>
      <c r="E115" t="s">
        <v>235</v>
      </c>
      <c r="F115" t="s">
        <v>204</v>
      </c>
      <c r="G115" t="s">
        <v>198</v>
      </c>
      <c r="H115" t="s">
        <v>197</v>
      </c>
      <c r="I115">
        <v>42</v>
      </c>
      <c r="J115">
        <v>2</v>
      </c>
      <c r="K115">
        <v>294000</v>
      </c>
      <c r="L115">
        <v>22036</v>
      </c>
      <c r="M115">
        <v>45458.666666667</v>
      </c>
      <c r="N115">
        <v>16031.627906977</v>
      </c>
      <c r="O115">
        <v>102876.88372093</v>
      </c>
      <c r="P115">
        <v>55140.373016603</v>
      </c>
      <c r="Q115">
        <v>38067.627906977</v>
      </c>
      <c r="R115">
        <v>203475.9234042</v>
      </c>
      <c r="S115">
        <v>241543.551311177</v>
      </c>
      <c r="T115">
        <v>52456.448688823</v>
      </c>
      <c r="V115">
        <f>IF(Allocation!D115="","",_CALC_ALLOC!AI115)</f>
        <v>22036</v>
      </c>
      <c r="W115">
        <f>IF(Allocation!D115="","",_CALC_ALLOC!AJ115)</f>
        <v>45458.6666666667</v>
      </c>
      <c r="X115">
        <f>IF(Allocation!D115="","",_CALC_ALLOC!AK115)</f>
        <v>16031.6279069767</v>
      </c>
      <c r="Y115">
        <f>IF(Allocation!D115="","",_CALC_ALLOC!AL115)</f>
        <v>0</v>
      </c>
      <c r="Z115">
        <f>IF(Allocation!D115="","",_CALC_ALLOC!AM115)</f>
        <v>0</v>
      </c>
      <c r="AA115">
        <f>IF(Allocation!D115="","",_CALC_ALLOC!AN115)</f>
        <v>210473.705426357</v>
      </c>
      <c r="AB115">
        <f>IF(Allocation!D115="","",AA115-T115)</f>
        <v>158017.256737534</v>
      </c>
      <c r="AC115">
        <f>IF(Allocation!D115="","",_CALC_ALLOC!AR115)</f>
        <v>0</v>
      </c>
    </row>
    <row r="116" ht="14.25" customHeight="1">
      <c r="A116" t="s">
        <v>191</v>
      </c>
      <c r="B116" t="s">
        <v>192</v>
      </c>
      <c r="C116" t="s">
        <v>25</v>
      </c>
      <c r="D116" t="s">
        <v>90</v>
      </c>
      <c r="E116" t="s">
        <v>235</v>
      </c>
      <c r="F116" t="s">
        <v>204</v>
      </c>
      <c r="G116" t="s">
        <v>194</v>
      </c>
      <c r="H116" t="s">
        <v>197</v>
      </c>
      <c r="I116">
        <v>40</v>
      </c>
      <c r="J116">
        <v>2</v>
      </c>
      <c r="K116">
        <v>269600</v>
      </c>
      <c r="L116">
        <v>24146</v>
      </c>
      <c r="M116">
        <v>43833.666666667</v>
      </c>
      <c r="N116">
        <v>29816.760683761</v>
      </c>
      <c r="O116">
        <v>90689.230769231</v>
      </c>
      <c r="P116">
        <v>50729.611875699</v>
      </c>
      <c r="Q116">
        <v>53962.760683761</v>
      </c>
      <c r="R116">
        <v>185252.509311596</v>
      </c>
      <c r="S116">
        <v>239215.269995357</v>
      </c>
      <c r="T116">
        <v>30384.730004643</v>
      </c>
      <c r="V116">
        <f>IF(Allocation!D116="","",_CALC_ALLOC!AI116)</f>
        <v>24146</v>
      </c>
      <c r="W116">
        <f>IF(Allocation!D116="","",_CALC_ALLOC!AJ116)</f>
        <v>43833.6666666667</v>
      </c>
      <c r="X116">
        <f>IF(Allocation!D116="","",_CALC_ALLOC!AK116)</f>
        <v>29816.7606837607</v>
      </c>
      <c r="Y116">
        <f>IF(Allocation!D116="","",_CALC_ALLOC!AL116)</f>
        <v>0</v>
      </c>
      <c r="Z116">
        <f>IF(Allocation!D116="","",_CALC_ALLOC!AM116)</f>
        <v>0</v>
      </c>
      <c r="AA116">
        <f>IF(Allocation!D116="","",_CALC_ALLOC!AN116)</f>
        <v>171803.572649573</v>
      </c>
      <c r="AB116">
        <f>IF(Allocation!D116="","",AA116-T116)</f>
        <v>141418.84264493</v>
      </c>
      <c r="AC116">
        <f>IF(Allocation!D116="","",_CALC_ALLOC!AR116)</f>
        <v>0</v>
      </c>
    </row>
    <row r="117" ht="14.25" customHeight="1">
      <c r="A117" t="s">
        <v>191</v>
      </c>
      <c r="B117" t="s">
        <v>192</v>
      </c>
      <c r="C117" t="s">
        <v>25</v>
      </c>
      <c r="D117" t="s">
        <v>90</v>
      </c>
      <c r="E117" t="s">
        <v>235</v>
      </c>
      <c r="F117" t="s">
        <v>204</v>
      </c>
      <c r="G117" t="s">
        <v>196</v>
      </c>
      <c r="H117" t="s">
        <v>197</v>
      </c>
      <c r="I117">
        <v>39</v>
      </c>
      <c r="J117">
        <v>2</v>
      </c>
      <c r="K117">
        <v>259350</v>
      </c>
      <c r="L117">
        <v>24146</v>
      </c>
      <c r="M117">
        <v>43833.666666667</v>
      </c>
      <c r="N117">
        <v>14511.666666667</v>
      </c>
      <c r="O117">
        <v>88422</v>
      </c>
      <c r="P117">
        <v>49461.371578806</v>
      </c>
      <c r="Q117">
        <v>38657.666666667</v>
      </c>
      <c r="R117">
        <v>181717.038245473</v>
      </c>
      <c r="S117">
        <v>220374.704912139</v>
      </c>
      <c r="T117">
        <v>38975.295087861</v>
      </c>
      <c r="V117">
        <f>IF(Allocation!D117="","",_CALC_ALLOC!AI117)</f>
        <v>24146</v>
      </c>
      <c r="W117">
        <f>IF(Allocation!D117="","",_CALC_ALLOC!AJ117)</f>
        <v>43833.6666666667</v>
      </c>
      <c r="X117">
        <f>IF(Allocation!D117="","",_CALC_ALLOC!AK117)</f>
        <v>14511.6666666667</v>
      </c>
      <c r="Y117">
        <f>IF(Allocation!D117="","",_CALC_ALLOC!AL117)</f>
        <v>0</v>
      </c>
      <c r="Z117">
        <f>IF(Allocation!D117="","",_CALC_ALLOC!AM117)</f>
        <v>0</v>
      </c>
      <c r="AA117">
        <f>IF(Allocation!D117="","",_CALC_ALLOC!AN117)</f>
        <v>176858.666666667</v>
      </c>
      <c r="AB117">
        <f>IF(Allocation!D117="","",AA117-T117)</f>
        <v>137883.371578806</v>
      </c>
      <c r="AC117">
        <f>IF(Allocation!D117="","",_CALC_ALLOC!AR117)</f>
        <v>0</v>
      </c>
    </row>
    <row r="118" ht="14.25" customHeight="1">
      <c r="A118" t="s">
        <v>191</v>
      </c>
      <c r="B118" t="s">
        <v>192</v>
      </c>
      <c r="C118" t="s">
        <v>25</v>
      </c>
      <c r="D118" t="s">
        <v>90</v>
      </c>
      <c r="E118" t="s">
        <v>235</v>
      </c>
      <c r="F118" t="s">
        <v>204</v>
      </c>
      <c r="G118" t="s">
        <v>198</v>
      </c>
      <c r="H118" t="s">
        <v>197</v>
      </c>
      <c r="I118">
        <v>38</v>
      </c>
      <c r="J118">
        <v>2</v>
      </c>
      <c r="K118">
        <v>252700</v>
      </c>
      <c r="L118">
        <v>24146</v>
      </c>
      <c r="M118">
        <v>43833.666666667</v>
      </c>
      <c r="N118">
        <v>14139.572649573</v>
      </c>
      <c r="O118">
        <v>86154.769230769</v>
      </c>
      <c r="P118">
        <v>48193.131281914</v>
      </c>
      <c r="Q118">
        <v>38285.572649573</v>
      </c>
      <c r="R118">
        <v>178181.56717935</v>
      </c>
      <c r="S118">
        <v>216467.139828922</v>
      </c>
      <c r="T118">
        <v>36232.860171078</v>
      </c>
      <c r="V118">
        <f>IF(Allocation!D118="","",_CALC_ALLOC!AI118)</f>
        <v>24146</v>
      </c>
      <c r="W118">
        <f>IF(Allocation!D118="","",_CALC_ALLOC!AJ118)</f>
        <v>43833.6666666667</v>
      </c>
      <c r="X118">
        <f>IF(Allocation!D118="","",_CALC_ALLOC!AK118)</f>
        <v>14139.5726495727</v>
      </c>
      <c r="Y118">
        <f>IF(Allocation!D118="","",_CALC_ALLOC!AL118)</f>
        <v>0</v>
      </c>
      <c r="Z118">
        <f>IF(Allocation!D118="","",_CALC_ALLOC!AM118)</f>
        <v>0</v>
      </c>
      <c r="AA118">
        <f>IF(Allocation!D118="","",_CALC_ALLOC!AN118)</f>
        <v>170580.760683761</v>
      </c>
      <c r="AB118">
        <f>IF(Allocation!D118="","",AA118-T118)</f>
        <v>134347.900512683</v>
      </c>
      <c r="AC118">
        <f>IF(Allocation!D118="","",_CALC_ALLOC!AR118)</f>
        <v>0</v>
      </c>
    </row>
    <row r="119" ht="14.25" customHeight="1">
      <c r="A119" t="s">
        <v>191</v>
      </c>
      <c r="B119" t="s">
        <v>192</v>
      </c>
      <c r="C119" t="s">
        <v>210</v>
      </c>
      <c r="D119" t="s">
        <v>90</v>
      </c>
      <c r="E119" t="s">
        <v>235</v>
      </c>
      <c r="F119" t="s">
        <v>204</v>
      </c>
      <c r="G119" t="s">
        <v>194</v>
      </c>
      <c r="H119" t="s">
        <v>197</v>
      </c>
      <c r="I119">
        <v>38</v>
      </c>
      <c r="J119">
        <v>2</v>
      </c>
      <c r="K119">
        <v>256120</v>
      </c>
      <c r="L119">
        <v>23045.666666667</v>
      </c>
      <c r="M119">
        <v>41836.666666667</v>
      </c>
      <c r="N119">
        <v>27800.009009009</v>
      </c>
      <c r="O119">
        <v>86674.918918919</v>
      </c>
      <c r="P119">
        <v>47767.734692946</v>
      </c>
      <c r="Q119">
        <v>50845.675675676</v>
      </c>
      <c r="R119">
        <v>176279.320278532</v>
      </c>
      <c r="S119">
        <v>227124.995954208</v>
      </c>
      <c r="T119">
        <v>28995.004045792</v>
      </c>
      <c r="V119">
        <f>IF(Allocation!D119="","",_CALC_ALLOC!AI119)</f>
        <v>23045.6666666667</v>
      </c>
      <c r="W119">
        <f>IF(Allocation!D119="","",_CALC_ALLOC!AJ119)</f>
        <v>41836.6666666667</v>
      </c>
      <c r="X119">
        <f>IF(Allocation!D119="","",_CALC_ALLOC!AK119)</f>
        <v>27800.009009009</v>
      </c>
      <c r="Y119">
        <f>IF(Allocation!D119="","",_CALC_ALLOC!AL119)</f>
        <v>0</v>
      </c>
      <c r="Z119">
        <f>IF(Allocation!D119="","",_CALC_ALLOC!AM119)</f>
        <v>0</v>
      </c>
      <c r="AA119">
        <f>IF(Allocation!D119="","",_CALC_ALLOC!AN119)</f>
        <v>163437.657657658</v>
      </c>
      <c r="AB119">
        <f>IF(Allocation!D119="","",AA119-T119)</f>
        <v>134442.653611866</v>
      </c>
      <c r="AC119">
        <f>IF(Allocation!D119="","",_CALC_ALLOC!AR119)</f>
        <v>0</v>
      </c>
    </row>
    <row r="120" ht="14.25" customHeight="1">
      <c r="A120" t="s">
        <v>191</v>
      </c>
      <c r="B120" t="s">
        <v>192</v>
      </c>
      <c r="C120" t="s">
        <v>210</v>
      </c>
      <c r="D120" t="s">
        <v>90</v>
      </c>
      <c r="E120" t="s">
        <v>235</v>
      </c>
      <c r="F120" t="s">
        <v>204</v>
      </c>
      <c r="G120" t="s">
        <v>196</v>
      </c>
      <c r="H120" t="s">
        <v>197</v>
      </c>
      <c r="I120">
        <v>37</v>
      </c>
      <c r="J120">
        <v>2</v>
      </c>
      <c r="K120">
        <v>246050</v>
      </c>
      <c r="L120">
        <v>23045.666666667</v>
      </c>
      <c r="M120">
        <v>41836.666666667</v>
      </c>
      <c r="N120">
        <v>13850.666666667</v>
      </c>
      <c r="O120">
        <v>84394</v>
      </c>
      <c r="P120">
        <v>46510.689043132</v>
      </c>
      <c r="Q120">
        <v>36896.333333333</v>
      </c>
      <c r="R120">
        <v>172741.355709799</v>
      </c>
      <c r="S120">
        <v>209637.689043132</v>
      </c>
      <c r="T120">
        <v>36412.310956868</v>
      </c>
      <c r="V120">
        <f>IF(Allocation!D120="","",_CALC_ALLOC!AI120)</f>
        <v>23045.6666666667</v>
      </c>
      <c r="W120">
        <f>IF(Allocation!D120="","",_CALC_ALLOC!AJ120)</f>
        <v>41836.6666666667</v>
      </c>
      <c r="X120">
        <f>IF(Allocation!D120="","",_CALC_ALLOC!AK120)</f>
        <v>13850.6666666667</v>
      </c>
      <c r="Y120">
        <f>IF(Allocation!D120="","",_CALC_ALLOC!AL120)</f>
        <v>0</v>
      </c>
      <c r="Z120">
        <f>IF(Allocation!D120="","",_CALC_ALLOC!AM120)</f>
        <v>0</v>
      </c>
      <c r="AA120">
        <f>IF(Allocation!D120="","",_CALC_ALLOC!AN120)</f>
        <v>167317</v>
      </c>
      <c r="AB120">
        <f>IF(Allocation!D120="","",AA120-T120)</f>
        <v>130904.689043132</v>
      </c>
      <c r="AC120">
        <f>IF(Allocation!D120="","",_CALC_ALLOC!AR120)</f>
        <v>0</v>
      </c>
    </row>
    <row r="121" ht="14.25" customHeight="1">
      <c r="A121" t="s">
        <v>191</v>
      </c>
      <c r="B121" t="s">
        <v>192</v>
      </c>
      <c r="C121" t="s">
        <v>210</v>
      </c>
      <c r="D121" t="s">
        <v>90</v>
      </c>
      <c r="E121" t="s">
        <v>235</v>
      </c>
      <c r="F121" t="s">
        <v>204</v>
      </c>
      <c r="G121" t="s">
        <v>198</v>
      </c>
      <c r="H121" t="s">
        <v>197</v>
      </c>
      <c r="I121">
        <v>36</v>
      </c>
      <c r="J121">
        <v>2</v>
      </c>
      <c r="K121">
        <v>239400</v>
      </c>
      <c r="L121">
        <v>23045.666666667</v>
      </c>
      <c r="M121">
        <v>41836.666666667</v>
      </c>
      <c r="N121">
        <v>13476.324324324</v>
      </c>
      <c r="O121">
        <v>82113.081081081</v>
      </c>
      <c r="P121">
        <v>45253.643393318</v>
      </c>
      <c r="Q121">
        <v>36521.990990991</v>
      </c>
      <c r="R121">
        <v>169203.391141065</v>
      </c>
      <c r="S121">
        <v>205725.382132056</v>
      </c>
      <c r="T121">
        <v>33674.617867944</v>
      </c>
      <c r="V121">
        <f>IF(Allocation!D121="","",_CALC_ALLOC!AI121)</f>
        <v>23045.6666666667</v>
      </c>
      <c r="W121">
        <f>IF(Allocation!D121="","",_CALC_ALLOC!AJ121)</f>
        <v>41836.6666666667</v>
      </c>
      <c r="X121">
        <f>IF(Allocation!D121="","",_CALC_ALLOC!AK121)</f>
        <v>13476.3243243243</v>
      </c>
      <c r="Y121">
        <f>IF(Allocation!D121="","",_CALC_ALLOC!AL121)</f>
        <v>0</v>
      </c>
      <c r="Z121">
        <f>IF(Allocation!D121="","",_CALC_ALLOC!AM121)</f>
        <v>0</v>
      </c>
      <c r="AA121">
        <f>IF(Allocation!D121="","",_CALC_ALLOC!AN121)</f>
        <v>161041.342342342</v>
      </c>
      <c r="AB121">
        <f>IF(Allocation!D121="","",AA121-T121)</f>
        <v>127366.724474398</v>
      </c>
      <c r="AC121">
        <f>IF(Allocation!D121="","",_CALC_ALLOC!AR121)</f>
        <v>0</v>
      </c>
    </row>
    <row r="122" ht="14.25" customHeight="1">
      <c r="A122" t="s">
        <v>191</v>
      </c>
      <c r="B122" t="s">
        <v>192</v>
      </c>
      <c r="C122" t="s">
        <v>211</v>
      </c>
      <c r="D122" t="s">
        <v>90</v>
      </c>
      <c r="E122" t="s">
        <v>235</v>
      </c>
      <c r="F122" t="s">
        <v>204</v>
      </c>
      <c r="G122" t="s">
        <v>194</v>
      </c>
      <c r="H122" t="s">
        <v>197</v>
      </c>
      <c r="I122">
        <v>36</v>
      </c>
      <c r="J122">
        <v>2</v>
      </c>
      <c r="K122">
        <v>242640</v>
      </c>
      <c r="L122">
        <v>22036</v>
      </c>
      <c r="M122">
        <v>40003.666666667</v>
      </c>
      <c r="N122">
        <v>25963.057142857</v>
      </c>
      <c r="O122">
        <v>83001.6</v>
      </c>
      <c r="P122">
        <v>44911.408144335</v>
      </c>
      <c r="Q122">
        <v>47999.057142857</v>
      </c>
      <c r="R122">
        <v>167916.674811001</v>
      </c>
      <c r="S122">
        <v>215915.731953859</v>
      </c>
      <c r="T122">
        <v>26724.268046141</v>
      </c>
      <c r="V122">
        <f>IF(Allocation!D122="","",_CALC_ALLOC!AI122)</f>
        <v>22036</v>
      </c>
      <c r="W122">
        <f>IF(Allocation!D122="","",_CALC_ALLOC!AJ122)</f>
        <v>40003.6666666667</v>
      </c>
      <c r="X122">
        <f>IF(Allocation!D122="","",_CALC_ALLOC!AK122)</f>
        <v>25963.0571428571</v>
      </c>
      <c r="Y122">
        <f>IF(Allocation!D122="","",_CALC_ALLOC!AL122)</f>
        <v>0</v>
      </c>
      <c r="Z122">
        <f>IF(Allocation!D122="","",_CALC_ALLOC!AM122)</f>
        <v>0</v>
      </c>
      <c r="AA122">
        <f>IF(Allocation!D122="","",_CALC_ALLOC!AN122)</f>
        <v>154637.276190476</v>
      </c>
      <c r="AB122">
        <f>IF(Allocation!D122="","",AA122-T122)</f>
        <v>127913.008144335</v>
      </c>
      <c r="AC122">
        <f>IF(Allocation!D122="","",_CALC_ALLOC!AR122)</f>
        <v>0</v>
      </c>
    </row>
    <row r="123" ht="14.25" customHeight="1">
      <c r="A123" t="s">
        <v>191</v>
      </c>
      <c r="B123" t="s">
        <v>192</v>
      </c>
      <c r="C123" t="s">
        <v>211</v>
      </c>
      <c r="D123" t="s">
        <v>90</v>
      </c>
      <c r="E123" t="s">
        <v>235</v>
      </c>
      <c r="F123" t="s">
        <v>204</v>
      </c>
      <c r="G123" t="s">
        <v>196</v>
      </c>
      <c r="H123" t="s">
        <v>197</v>
      </c>
      <c r="I123">
        <v>35</v>
      </c>
      <c r="J123">
        <v>2</v>
      </c>
      <c r="K123">
        <v>232750</v>
      </c>
      <c r="L123">
        <v>22036</v>
      </c>
      <c r="M123">
        <v>40003.666666667</v>
      </c>
      <c r="N123">
        <v>13243.666666667</v>
      </c>
      <c r="O123">
        <v>80696</v>
      </c>
      <c r="P123">
        <v>43663.869029214</v>
      </c>
      <c r="Q123">
        <v>35279.666666667</v>
      </c>
      <c r="R123">
        <v>164363.535695881</v>
      </c>
      <c r="S123">
        <v>199643.202362548</v>
      </c>
      <c r="T123">
        <v>33106.797637452</v>
      </c>
      <c r="V123">
        <f>IF(Allocation!D123="","",_CALC_ALLOC!AI123)</f>
        <v>22036</v>
      </c>
      <c r="W123">
        <f>IF(Allocation!D123="","",_CALC_ALLOC!AJ123)</f>
        <v>40003.6666666667</v>
      </c>
      <c r="X123">
        <f>IF(Allocation!D123="","",_CALC_ALLOC!AK123)</f>
        <v>13243.6666666667</v>
      </c>
      <c r="Y123">
        <f>IF(Allocation!D123="","",_CALC_ALLOC!AL123)</f>
        <v>0</v>
      </c>
      <c r="Z123">
        <f>IF(Allocation!D123="","",_CALC_ALLOC!AM123)</f>
        <v>0</v>
      </c>
      <c r="AA123">
        <f>IF(Allocation!D123="","",_CALC_ALLOC!AN123)</f>
        <v>157466.666666667</v>
      </c>
      <c r="AB123">
        <f>IF(Allocation!D123="","",AA123-T123)</f>
        <v>124359.869029215</v>
      </c>
      <c r="AC123">
        <f>IF(Allocation!D123="","",_CALC_ALLOC!AR123)</f>
        <v>0</v>
      </c>
    </row>
    <row r="124" ht="14.25" customHeight="1">
      <c r="A124" t="s">
        <v>191</v>
      </c>
      <c r="B124" t="s">
        <v>192</v>
      </c>
      <c r="C124" t="s">
        <v>211</v>
      </c>
      <c r="D124" t="s">
        <v>90</v>
      </c>
      <c r="E124" t="s">
        <v>235</v>
      </c>
      <c r="F124" t="s">
        <v>204</v>
      </c>
      <c r="G124" t="s">
        <v>198</v>
      </c>
      <c r="H124" t="s">
        <v>197</v>
      </c>
      <c r="I124">
        <v>34</v>
      </c>
      <c r="J124">
        <v>2</v>
      </c>
      <c r="K124">
        <v>226100</v>
      </c>
      <c r="L124">
        <v>22036</v>
      </c>
      <c r="M124">
        <v>40003.666666667</v>
      </c>
      <c r="N124">
        <v>12865.276190476</v>
      </c>
      <c r="O124">
        <v>78390.4</v>
      </c>
      <c r="P124">
        <v>42416.329914094</v>
      </c>
      <c r="Q124">
        <v>34901.276190476</v>
      </c>
      <c r="R124">
        <v>160810.396580761</v>
      </c>
      <c r="S124">
        <v>195711.672771237</v>
      </c>
      <c r="T124">
        <v>30388.327228763</v>
      </c>
      <c r="V124">
        <f>IF(Allocation!D124="","",_CALC_ALLOC!AI124)</f>
        <v>22036</v>
      </c>
      <c r="W124">
        <f>IF(Allocation!D124="","",_CALC_ALLOC!AJ124)</f>
        <v>40003.6666666667</v>
      </c>
      <c r="X124">
        <f>IF(Allocation!D124="","",_CALC_ALLOC!AK124)</f>
        <v>12865.2761904762</v>
      </c>
      <c r="Y124">
        <f>IF(Allocation!D124="","",_CALC_ALLOC!AL124)</f>
        <v>0</v>
      </c>
      <c r="Z124">
        <f>IF(Allocation!D124="","",_CALC_ALLOC!AM124)</f>
        <v>0</v>
      </c>
      <c r="AA124">
        <f>IF(Allocation!D124="","",_CALC_ALLOC!AN124)</f>
        <v>151195.057142857</v>
      </c>
      <c r="AB124">
        <f>IF(Allocation!D124="","",AA124-T124)</f>
        <v>120806.729914094</v>
      </c>
      <c r="AC124">
        <f>IF(Allocation!D124="","",_CALC_ALLOC!AR124)</f>
        <v>0</v>
      </c>
    </row>
    <row r="125" ht="14.25" customHeight="1">
      <c r="A125" t="s">
        <v>191</v>
      </c>
      <c r="B125" t="s">
        <v>192</v>
      </c>
      <c r="C125" t="s">
        <v>25</v>
      </c>
      <c r="D125" t="s">
        <v>92</v>
      </c>
      <c r="E125" t="s">
        <v>235</v>
      </c>
      <c r="F125" t="s">
        <v>204</v>
      </c>
      <c r="G125" t="s">
        <v>194</v>
      </c>
      <c r="H125" t="s">
        <v>197</v>
      </c>
      <c r="I125">
        <v>40</v>
      </c>
      <c r="J125">
        <v>2</v>
      </c>
      <c r="K125">
        <v>269600</v>
      </c>
      <c r="L125">
        <v>24146</v>
      </c>
      <c r="M125">
        <v>43833.666666667</v>
      </c>
      <c r="N125">
        <v>30061.760683761</v>
      </c>
      <c r="O125">
        <v>90689.230769231</v>
      </c>
      <c r="P125">
        <v>50729.611875699</v>
      </c>
      <c r="Q125">
        <v>54207.760683761</v>
      </c>
      <c r="R125">
        <v>185252.509311596</v>
      </c>
      <c r="S125">
        <v>239460.269995357</v>
      </c>
      <c r="T125">
        <v>30139.730004643</v>
      </c>
      <c r="V125">
        <f>IF(Allocation!D125="","",_CALC_ALLOC!AI125)</f>
        <v>24146</v>
      </c>
      <c r="W125">
        <f>IF(Allocation!D125="","",_CALC_ALLOC!AJ125)</f>
        <v>43833.6666666667</v>
      </c>
      <c r="X125">
        <f>IF(Allocation!D125="","",_CALC_ALLOC!AK125)</f>
        <v>30061.7606837607</v>
      </c>
      <c r="Y125">
        <f>IF(Allocation!D125="","",_CALC_ALLOC!AL125)</f>
        <v>0</v>
      </c>
      <c r="Z125">
        <f>IF(Allocation!D125="","",_CALC_ALLOC!AM125)</f>
        <v>0</v>
      </c>
      <c r="AA125">
        <f>IF(Allocation!D125="","",_CALC_ALLOC!AN125)</f>
        <v>171558.572649573</v>
      </c>
      <c r="AB125">
        <f>IF(Allocation!D125="","",AA125-T125)</f>
        <v>141418.84264493</v>
      </c>
      <c r="AC125">
        <f>IF(Allocation!D125="","",_CALC_ALLOC!AR125)</f>
        <v>0</v>
      </c>
    </row>
    <row r="126" ht="14.25" customHeight="1">
      <c r="A126" t="s">
        <v>191</v>
      </c>
      <c r="B126" t="s">
        <v>192</v>
      </c>
      <c r="C126" t="s">
        <v>25</v>
      </c>
      <c r="D126" t="s">
        <v>92</v>
      </c>
      <c r="E126" t="s">
        <v>235</v>
      </c>
      <c r="F126" t="s">
        <v>204</v>
      </c>
      <c r="G126" t="s">
        <v>196</v>
      </c>
      <c r="H126" t="s">
        <v>197</v>
      </c>
      <c r="I126">
        <v>39</v>
      </c>
      <c r="J126">
        <v>2</v>
      </c>
      <c r="K126">
        <v>259350</v>
      </c>
      <c r="L126">
        <v>24146</v>
      </c>
      <c r="M126">
        <v>43833.666666667</v>
      </c>
      <c r="N126">
        <v>14511.666666667</v>
      </c>
      <c r="O126">
        <v>88422</v>
      </c>
      <c r="P126">
        <v>49461.371578806</v>
      </c>
      <c r="Q126">
        <v>38657.666666667</v>
      </c>
      <c r="R126">
        <v>181717.038245473</v>
      </c>
      <c r="S126">
        <v>220374.704912139</v>
      </c>
      <c r="T126">
        <v>38975.295087861</v>
      </c>
      <c r="V126">
        <f>IF(Allocation!D126="","",_CALC_ALLOC!AI126)</f>
        <v>24146</v>
      </c>
      <c r="W126">
        <f>IF(Allocation!D126="","",_CALC_ALLOC!AJ126)</f>
        <v>43833.6666666667</v>
      </c>
      <c r="X126">
        <f>IF(Allocation!D126="","",_CALC_ALLOC!AK126)</f>
        <v>14511.6666666667</v>
      </c>
      <c r="Y126">
        <f>IF(Allocation!D126="","",_CALC_ALLOC!AL126)</f>
        <v>0</v>
      </c>
      <c r="Z126">
        <f>IF(Allocation!D126="","",_CALC_ALLOC!AM126)</f>
        <v>0</v>
      </c>
      <c r="AA126">
        <f>IF(Allocation!D126="","",_CALC_ALLOC!AN126)</f>
        <v>176858.666666667</v>
      </c>
      <c r="AB126">
        <f>IF(Allocation!D126="","",AA126-T126)</f>
        <v>137883.371578806</v>
      </c>
      <c r="AC126">
        <f>IF(Allocation!D126="","",_CALC_ALLOC!AR126)</f>
        <v>0</v>
      </c>
    </row>
    <row r="127" ht="14.25" customHeight="1">
      <c r="A127" t="s">
        <v>191</v>
      </c>
      <c r="B127" t="s">
        <v>192</v>
      </c>
      <c r="C127" t="s">
        <v>25</v>
      </c>
      <c r="D127" t="s">
        <v>92</v>
      </c>
      <c r="E127" t="s">
        <v>235</v>
      </c>
      <c r="F127" t="s">
        <v>204</v>
      </c>
      <c r="G127" t="s">
        <v>198</v>
      </c>
      <c r="H127" t="s">
        <v>197</v>
      </c>
      <c r="I127">
        <v>38</v>
      </c>
      <c r="J127">
        <v>2</v>
      </c>
      <c r="K127">
        <v>252700</v>
      </c>
      <c r="L127">
        <v>24146</v>
      </c>
      <c r="M127">
        <v>43833.666666667</v>
      </c>
      <c r="N127">
        <v>14139.572649573</v>
      </c>
      <c r="O127">
        <v>86154.769230769</v>
      </c>
      <c r="P127">
        <v>48193.131281914</v>
      </c>
      <c r="Q127">
        <v>38285.572649573</v>
      </c>
      <c r="R127">
        <v>178181.56717935</v>
      </c>
      <c r="S127">
        <v>216467.139828922</v>
      </c>
      <c r="T127">
        <v>36232.860171078</v>
      </c>
      <c r="V127">
        <f>IF(Allocation!D127="","",_CALC_ALLOC!AI127)</f>
        <v>24146</v>
      </c>
      <c r="W127">
        <f>IF(Allocation!D127="","",_CALC_ALLOC!AJ127)</f>
        <v>43833.6666666667</v>
      </c>
      <c r="X127">
        <f>IF(Allocation!D127="","",_CALC_ALLOC!AK127)</f>
        <v>14139.5726495727</v>
      </c>
      <c r="Y127">
        <f>IF(Allocation!D127="","",_CALC_ALLOC!AL127)</f>
        <v>0</v>
      </c>
      <c r="Z127">
        <f>IF(Allocation!D127="","",_CALC_ALLOC!AM127)</f>
        <v>0</v>
      </c>
      <c r="AA127">
        <f>IF(Allocation!D127="","",_CALC_ALLOC!AN127)</f>
        <v>170580.760683761</v>
      </c>
      <c r="AB127">
        <f>IF(Allocation!D127="","",AA127-T127)</f>
        <v>134347.900512683</v>
      </c>
      <c r="AC127">
        <f>IF(Allocation!D127="","",_CALC_ALLOC!AR127)</f>
        <v>0</v>
      </c>
    </row>
    <row r="128" ht="14.25" customHeight="1">
      <c r="A128" t="s">
        <v>191</v>
      </c>
      <c r="B128" t="s">
        <v>192</v>
      </c>
      <c r="C128" t="s">
        <v>210</v>
      </c>
      <c r="D128" t="s">
        <v>92</v>
      </c>
      <c r="E128" t="s">
        <v>235</v>
      </c>
      <c r="F128" t="s">
        <v>204</v>
      </c>
      <c r="G128" t="s">
        <v>194</v>
      </c>
      <c r="H128" t="s">
        <v>197</v>
      </c>
      <c r="I128">
        <v>38</v>
      </c>
      <c r="J128">
        <v>2</v>
      </c>
      <c r="K128">
        <v>256120</v>
      </c>
      <c r="L128">
        <v>23045.666666667</v>
      </c>
      <c r="M128">
        <v>41836.666666667</v>
      </c>
      <c r="N128">
        <v>28023.009009009</v>
      </c>
      <c r="O128">
        <v>86674.918918919</v>
      </c>
      <c r="P128">
        <v>47767.734692946</v>
      </c>
      <c r="Q128">
        <v>51068.675675676</v>
      </c>
      <c r="R128">
        <v>176279.320278532</v>
      </c>
      <c r="S128">
        <v>227347.995954208</v>
      </c>
      <c r="T128">
        <v>28772.004045792</v>
      </c>
      <c r="V128">
        <f>IF(Allocation!D128="","",_CALC_ALLOC!AI128)</f>
        <v>23045.6666666667</v>
      </c>
      <c r="W128">
        <f>IF(Allocation!D128="","",_CALC_ALLOC!AJ128)</f>
        <v>41836.6666666667</v>
      </c>
      <c r="X128">
        <f>IF(Allocation!D128="","",_CALC_ALLOC!AK128)</f>
        <v>28023.009009009</v>
      </c>
      <c r="Y128">
        <f>IF(Allocation!D128="","",_CALC_ALLOC!AL128)</f>
        <v>0</v>
      </c>
      <c r="Z128">
        <f>IF(Allocation!D128="","",_CALC_ALLOC!AM128)</f>
        <v>0</v>
      </c>
      <c r="AA128">
        <f>IF(Allocation!D128="","",_CALC_ALLOC!AN128)</f>
        <v>163214.657657658</v>
      </c>
      <c r="AB128">
        <f>IF(Allocation!D128="","",AA128-T128)</f>
        <v>134442.653611866</v>
      </c>
      <c r="AC128">
        <f>IF(Allocation!D128="","",_CALC_ALLOC!AR128)</f>
        <v>0</v>
      </c>
    </row>
    <row r="129" ht="14.25" customHeight="1">
      <c r="A129" t="s">
        <v>191</v>
      </c>
      <c r="B129" t="s">
        <v>192</v>
      </c>
      <c r="C129" t="s">
        <v>210</v>
      </c>
      <c r="D129" t="s">
        <v>92</v>
      </c>
      <c r="E129" t="s">
        <v>235</v>
      </c>
      <c r="F129" t="s">
        <v>204</v>
      </c>
      <c r="G129" t="s">
        <v>196</v>
      </c>
      <c r="H129" t="s">
        <v>197</v>
      </c>
      <c r="I129">
        <v>37</v>
      </c>
      <c r="J129">
        <v>2</v>
      </c>
      <c r="K129">
        <v>246050</v>
      </c>
      <c r="L129">
        <v>23045.666666667</v>
      </c>
      <c r="M129">
        <v>41836.666666667</v>
      </c>
      <c r="N129">
        <v>13850.666666667</v>
      </c>
      <c r="O129">
        <v>84394</v>
      </c>
      <c r="P129">
        <v>46510.689043132</v>
      </c>
      <c r="Q129">
        <v>36896.333333333</v>
      </c>
      <c r="R129">
        <v>172741.355709799</v>
      </c>
      <c r="S129">
        <v>209637.689043132</v>
      </c>
      <c r="T129">
        <v>36412.310956868</v>
      </c>
      <c r="V129">
        <f>IF(Allocation!D129="","",_CALC_ALLOC!AI129)</f>
        <v>23045.6666666667</v>
      </c>
      <c r="W129">
        <f>IF(Allocation!D129="","",_CALC_ALLOC!AJ129)</f>
        <v>41836.6666666667</v>
      </c>
      <c r="X129">
        <f>IF(Allocation!D129="","",_CALC_ALLOC!AK129)</f>
        <v>13850.6666666667</v>
      </c>
      <c r="Y129">
        <f>IF(Allocation!D129="","",_CALC_ALLOC!AL129)</f>
        <v>0</v>
      </c>
      <c r="Z129">
        <f>IF(Allocation!D129="","",_CALC_ALLOC!AM129)</f>
        <v>0</v>
      </c>
      <c r="AA129">
        <f>IF(Allocation!D129="","",_CALC_ALLOC!AN129)</f>
        <v>167317</v>
      </c>
      <c r="AB129">
        <f>IF(Allocation!D129="","",AA129-T129)</f>
        <v>130904.689043132</v>
      </c>
      <c r="AC129">
        <f>IF(Allocation!D129="","",_CALC_ALLOC!AR129)</f>
        <v>0</v>
      </c>
    </row>
    <row r="130" ht="14.25" customHeight="1">
      <c r="A130" t="s">
        <v>191</v>
      </c>
      <c r="B130" t="s">
        <v>192</v>
      </c>
      <c r="C130" t="s">
        <v>210</v>
      </c>
      <c r="D130" t="s">
        <v>92</v>
      </c>
      <c r="E130" t="s">
        <v>235</v>
      </c>
      <c r="F130" t="s">
        <v>204</v>
      </c>
      <c r="G130" t="s">
        <v>198</v>
      </c>
      <c r="H130" t="s">
        <v>197</v>
      </c>
      <c r="I130">
        <v>36</v>
      </c>
      <c r="J130">
        <v>2</v>
      </c>
      <c r="K130">
        <v>239400</v>
      </c>
      <c r="L130">
        <v>23045.666666667</v>
      </c>
      <c r="M130">
        <v>41836.666666667</v>
      </c>
      <c r="N130">
        <v>13476.324324324</v>
      </c>
      <c r="O130">
        <v>82113.081081081</v>
      </c>
      <c r="P130">
        <v>45253.643393318</v>
      </c>
      <c r="Q130">
        <v>36521.990990991</v>
      </c>
      <c r="R130">
        <v>169203.391141065</v>
      </c>
      <c r="S130">
        <v>205725.382132056</v>
      </c>
      <c r="T130">
        <v>33674.617867944</v>
      </c>
      <c r="V130">
        <f>IF(Allocation!D130="","",_CALC_ALLOC!AI130)</f>
        <v>23045.6666666667</v>
      </c>
      <c r="W130">
        <f>IF(Allocation!D130="","",_CALC_ALLOC!AJ130)</f>
        <v>41836.6666666667</v>
      </c>
      <c r="X130">
        <f>IF(Allocation!D130="","",_CALC_ALLOC!AK130)</f>
        <v>13476.3243243243</v>
      </c>
      <c r="Y130">
        <f>IF(Allocation!D130="","",_CALC_ALLOC!AL130)</f>
        <v>0</v>
      </c>
      <c r="Z130">
        <f>IF(Allocation!D130="","",_CALC_ALLOC!AM130)</f>
        <v>0</v>
      </c>
      <c r="AA130">
        <f>IF(Allocation!D130="","",_CALC_ALLOC!AN130)</f>
        <v>161041.342342342</v>
      </c>
      <c r="AB130">
        <f>IF(Allocation!D130="","",AA130-T130)</f>
        <v>127366.724474398</v>
      </c>
      <c r="AC130">
        <f>IF(Allocation!D130="","",_CALC_ALLOC!AR130)</f>
        <v>0</v>
      </c>
    </row>
    <row r="131" ht="14.25" customHeight="1">
      <c r="A131" t="s">
        <v>191</v>
      </c>
      <c r="B131" t="s">
        <v>192</v>
      </c>
      <c r="C131" t="s">
        <v>211</v>
      </c>
      <c r="D131" t="s">
        <v>92</v>
      </c>
      <c r="E131" t="s">
        <v>235</v>
      </c>
      <c r="F131" t="s">
        <v>204</v>
      </c>
      <c r="G131" t="s">
        <v>194</v>
      </c>
      <c r="H131" t="s">
        <v>197</v>
      </c>
      <c r="I131">
        <v>36</v>
      </c>
      <c r="J131">
        <v>2</v>
      </c>
      <c r="K131">
        <v>242640</v>
      </c>
      <c r="L131">
        <v>22036</v>
      </c>
      <c r="M131">
        <v>40003.666666667</v>
      </c>
      <c r="N131">
        <v>26165.057142857</v>
      </c>
      <c r="O131">
        <v>83001.6</v>
      </c>
      <c r="P131">
        <v>44911.408144335</v>
      </c>
      <c r="Q131">
        <v>48201.057142857</v>
      </c>
      <c r="R131">
        <v>167916.674811001</v>
      </c>
      <c r="S131">
        <v>216117.731953859</v>
      </c>
      <c r="T131">
        <v>26522.268046141</v>
      </c>
      <c r="V131">
        <f>IF(Allocation!D131="","",_CALC_ALLOC!AI131)</f>
        <v>22036</v>
      </c>
      <c r="W131">
        <f>IF(Allocation!D131="","",_CALC_ALLOC!AJ131)</f>
        <v>40003.6666666667</v>
      </c>
      <c r="X131">
        <f>IF(Allocation!D131="","",_CALC_ALLOC!AK131)</f>
        <v>26165.0571428571</v>
      </c>
      <c r="Y131">
        <f>IF(Allocation!D131="","",_CALC_ALLOC!AL131)</f>
        <v>0</v>
      </c>
      <c r="Z131">
        <f>IF(Allocation!D131="","",_CALC_ALLOC!AM131)</f>
        <v>0</v>
      </c>
      <c r="AA131">
        <f>IF(Allocation!D131="","",_CALC_ALLOC!AN131)</f>
        <v>154435.276190476</v>
      </c>
      <c r="AB131">
        <f>IF(Allocation!D131="","",AA131-T131)</f>
        <v>127913.008144335</v>
      </c>
      <c r="AC131">
        <f>IF(Allocation!D131="","",_CALC_ALLOC!AR131)</f>
        <v>0</v>
      </c>
    </row>
    <row r="132" ht="14.25" customHeight="1">
      <c r="A132" t="s">
        <v>191</v>
      </c>
      <c r="B132" t="s">
        <v>192</v>
      </c>
      <c r="C132" t="s">
        <v>211</v>
      </c>
      <c r="D132" t="s">
        <v>92</v>
      </c>
      <c r="E132" t="s">
        <v>235</v>
      </c>
      <c r="F132" t="s">
        <v>204</v>
      </c>
      <c r="G132" t="s">
        <v>196</v>
      </c>
      <c r="H132" t="s">
        <v>197</v>
      </c>
      <c r="I132">
        <v>35</v>
      </c>
      <c r="J132">
        <v>2</v>
      </c>
      <c r="K132">
        <v>232750</v>
      </c>
      <c r="L132">
        <v>22036</v>
      </c>
      <c r="M132">
        <v>40003.666666667</v>
      </c>
      <c r="N132">
        <v>13243.666666667</v>
      </c>
      <c r="O132">
        <v>80696</v>
      </c>
      <c r="P132">
        <v>43663.869029214</v>
      </c>
      <c r="Q132">
        <v>35279.666666667</v>
      </c>
      <c r="R132">
        <v>164363.535695881</v>
      </c>
      <c r="S132">
        <v>199643.202362548</v>
      </c>
      <c r="T132">
        <v>33106.797637452</v>
      </c>
      <c r="V132">
        <f>IF(Allocation!D132="","",_CALC_ALLOC!AI132)</f>
        <v>22036</v>
      </c>
      <c r="W132">
        <f>IF(Allocation!D132="","",_CALC_ALLOC!AJ132)</f>
        <v>40003.6666666667</v>
      </c>
      <c r="X132">
        <f>IF(Allocation!D132="","",_CALC_ALLOC!AK132)</f>
        <v>13243.6666666667</v>
      </c>
      <c r="Y132">
        <f>IF(Allocation!D132="","",_CALC_ALLOC!AL132)</f>
        <v>0</v>
      </c>
      <c r="Z132">
        <f>IF(Allocation!D132="","",_CALC_ALLOC!AM132)</f>
        <v>0</v>
      </c>
      <c r="AA132">
        <f>IF(Allocation!D132="","",_CALC_ALLOC!AN132)</f>
        <v>157466.666666667</v>
      </c>
      <c r="AB132">
        <f>IF(Allocation!D132="","",AA132-T132)</f>
        <v>124359.869029215</v>
      </c>
      <c r="AC132">
        <f>IF(Allocation!D132="","",_CALC_ALLOC!AR132)</f>
        <v>0</v>
      </c>
    </row>
    <row r="133" ht="14.25" customHeight="1">
      <c r="A133" t="s">
        <v>191</v>
      </c>
      <c r="B133" t="s">
        <v>192</v>
      </c>
      <c r="C133" t="s">
        <v>211</v>
      </c>
      <c r="D133" t="s">
        <v>92</v>
      </c>
      <c r="E133" t="s">
        <v>235</v>
      </c>
      <c r="F133" t="s">
        <v>204</v>
      </c>
      <c r="G133" t="s">
        <v>198</v>
      </c>
      <c r="H133" t="s">
        <v>197</v>
      </c>
      <c r="I133">
        <v>34</v>
      </c>
      <c r="J133">
        <v>2</v>
      </c>
      <c r="K133">
        <v>226100</v>
      </c>
      <c r="L133">
        <v>22036</v>
      </c>
      <c r="M133">
        <v>40003.666666667</v>
      </c>
      <c r="N133">
        <v>12865.276190476</v>
      </c>
      <c r="O133">
        <v>78390.4</v>
      </c>
      <c r="P133">
        <v>42416.329914094</v>
      </c>
      <c r="Q133">
        <v>34901.276190476</v>
      </c>
      <c r="R133">
        <v>160810.396580761</v>
      </c>
      <c r="S133">
        <v>195711.672771237</v>
      </c>
      <c r="T133">
        <v>30388.327228763</v>
      </c>
      <c r="V133">
        <f>IF(Allocation!D133="","",_CALC_ALLOC!AI133)</f>
        <v>22036</v>
      </c>
      <c r="W133">
        <f>IF(Allocation!D133="","",_CALC_ALLOC!AJ133)</f>
        <v>40003.6666666667</v>
      </c>
      <c r="X133">
        <f>IF(Allocation!D133="","",_CALC_ALLOC!AK133)</f>
        <v>12865.2761904762</v>
      </c>
      <c r="Y133">
        <f>IF(Allocation!D133="","",_CALC_ALLOC!AL133)</f>
        <v>0</v>
      </c>
      <c r="Z133">
        <f>IF(Allocation!D133="","",_CALC_ALLOC!AM133)</f>
        <v>0</v>
      </c>
      <c r="AA133">
        <f>IF(Allocation!D133="","",_CALC_ALLOC!AN133)</f>
        <v>151195.057142857</v>
      </c>
      <c r="AB133">
        <f>IF(Allocation!D133="","",AA133-T133)</f>
        <v>120806.729914094</v>
      </c>
      <c r="AC133">
        <f>IF(Allocation!D133="","",_CALC_ALLOC!AR133)</f>
        <v>0</v>
      </c>
    </row>
    <row r="134" ht="14.25" customHeight="1">
      <c r="A134" t="s">
        <v>191</v>
      </c>
      <c r="B134" t="s">
        <v>192</v>
      </c>
      <c r="C134" t="s">
        <v>25</v>
      </c>
      <c r="D134" t="s">
        <v>94</v>
      </c>
      <c r="E134" t="s">
        <v>236</v>
      </c>
      <c r="F134" t="s">
        <v>205</v>
      </c>
      <c r="G134" t="s">
        <v>206</v>
      </c>
      <c r="H134" t="s">
        <v>197</v>
      </c>
      <c r="I134">
        <v>46</v>
      </c>
      <c r="J134">
        <v>2</v>
      </c>
      <c r="K134">
        <v>293940</v>
      </c>
      <c r="L134">
        <v>28647.5</v>
      </c>
      <c r="M134">
        <v>66189.449152542</v>
      </c>
      <c r="N134">
        <v>35422.549450549</v>
      </c>
      <c r="O134">
        <v>125548.153846154</v>
      </c>
      <c r="P134">
        <v>63998.898388742</v>
      </c>
      <c r="Q134">
        <v>64070.049450549</v>
      </c>
      <c r="R134">
        <v>255736.501387438</v>
      </c>
      <c r="S134">
        <v>319806.550837987</v>
      </c>
      <c r="T134">
        <v>-25866.550837987</v>
      </c>
      <c r="V134">
        <f>IF(Allocation!D134="","",_CALC_ALLOC!AI134)</f>
        <v>28647.5</v>
      </c>
      <c r="W134">
        <f>IF(Allocation!D134="","",_CALC_ALLOC!AJ134)</f>
        <v>66189.4491525424</v>
      </c>
      <c r="X134">
        <f>IF(Allocation!D134="","",_CALC_ALLOC!AK134)</f>
        <v>35422.5494505494</v>
      </c>
      <c r="Y134">
        <f>IF(Allocation!D134="","",_CALC_ALLOC!AL134)</f>
        <v>0</v>
      </c>
      <c r="Z134">
        <f>IF(Allocation!D134="","",_CALC_ALLOC!AM134)</f>
        <v>0</v>
      </c>
      <c r="AA134">
        <f>IF(Allocation!D134="","",_CALC_ALLOC!AN134)</f>
        <v>163680.501396908</v>
      </c>
      <c r="AB134">
        <f>IF(Allocation!D134="","",AA134-T134)</f>
        <v>189547.052234895</v>
      </c>
      <c r="AC134">
        <f>IF(Allocation!D134="","",_CALC_ALLOC!AR134)</f>
        <v>0</v>
      </c>
    </row>
    <row r="135" ht="14.25" customHeight="1">
      <c r="A135" t="s">
        <v>191</v>
      </c>
      <c r="B135" t="s">
        <v>192</v>
      </c>
      <c r="C135" t="s">
        <v>25</v>
      </c>
      <c r="D135" t="s">
        <v>94</v>
      </c>
      <c r="E135" t="s">
        <v>236</v>
      </c>
      <c r="F135" t="s">
        <v>205</v>
      </c>
      <c r="G135" t="s">
        <v>207</v>
      </c>
      <c r="H135" t="s">
        <v>197</v>
      </c>
      <c r="I135">
        <v>45</v>
      </c>
      <c r="J135">
        <v>2</v>
      </c>
      <c r="K135">
        <v>283500</v>
      </c>
      <c r="L135">
        <v>28647.5</v>
      </c>
      <c r="M135">
        <v>66189.449152542</v>
      </c>
      <c r="N135">
        <v>16744.450549451</v>
      </c>
      <c r="O135">
        <v>122818.846153846</v>
      </c>
      <c r="P135">
        <v>62607.617988986</v>
      </c>
      <c r="Q135">
        <v>45391.950549451</v>
      </c>
      <c r="R135">
        <v>251615.913295375</v>
      </c>
      <c r="S135">
        <v>297007.863844825</v>
      </c>
      <c r="T135">
        <v>-13507.863844825</v>
      </c>
      <c r="V135">
        <f>IF(Allocation!D135="","",_CALC_ALLOC!AI135)</f>
        <v>28647.5</v>
      </c>
      <c r="W135">
        <f>IF(Allocation!D135="","",_CALC_ALLOC!AJ135)</f>
        <v>66189.4491525424</v>
      </c>
      <c r="X135">
        <f>IF(Allocation!D135="","",_CALC_ALLOC!AK135)</f>
        <v>16744.4505494506</v>
      </c>
      <c r="Y135">
        <f>IF(Allocation!D135="","",_CALC_ALLOC!AL135)</f>
        <v>0</v>
      </c>
      <c r="Z135">
        <f>IF(Allocation!D135="","",_CALC_ALLOC!AM135)</f>
        <v>0</v>
      </c>
      <c r="AA135">
        <f>IF(Allocation!D135="","",_CALC_ALLOC!AN135)</f>
        <v>171918.600298007</v>
      </c>
      <c r="AB135">
        <f>IF(Allocation!D135="","",AA135-T135)</f>
        <v>185426.464142832</v>
      </c>
      <c r="AC135">
        <f>IF(Allocation!D135="","",_CALC_ALLOC!AR135)</f>
        <v>0</v>
      </c>
    </row>
    <row r="136" ht="14.25" customHeight="1">
      <c r="A136" t="s">
        <v>191</v>
      </c>
      <c r="B136" t="s">
        <v>192</v>
      </c>
      <c r="C136" t="s">
        <v>25</v>
      </c>
      <c r="D136" t="s">
        <v>94</v>
      </c>
      <c r="E136" t="s">
        <v>236</v>
      </c>
      <c r="F136" t="s">
        <v>208</v>
      </c>
      <c r="G136" t="s">
        <v>194</v>
      </c>
      <c r="H136" t="s">
        <v>197</v>
      </c>
      <c r="I136">
        <v>46</v>
      </c>
      <c r="J136">
        <v>2</v>
      </c>
      <c r="K136">
        <v>342240</v>
      </c>
      <c r="L136">
        <v>19644</v>
      </c>
      <c r="M136">
        <v>45387.050847458</v>
      </c>
      <c r="N136">
        <v>35422.549450549</v>
      </c>
      <c r="O136">
        <v>125548.153846154</v>
      </c>
      <c r="P136">
        <v>63998.898388742</v>
      </c>
      <c r="Q136">
        <v>55066.549450549</v>
      </c>
      <c r="R136">
        <v>234934.103082353</v>
      </c>
      <c r="S136">
        <v>290000.652532902</v>
      </c>
      <c r="T136">
        <v>52239.347467098</v>
      </c>
      <c r="V136">
        <f>IF(Allocation!D136="","",_CALC_ALLOC!AI136)</f>
        <v>19644</v>
      </c>
      <c r="W136">
        <f>IF(Allocation!D136="","",_CALC_ALLOC!AJ136)</f>
        <v>45387.0508474576</v>
      </c>
      <c r="X136">
        <f>IF(Allocation!D136="","",_CALC_ALLOC!AK136)</f>
        <v>35422.5494505494</v>
      </c>
      <c r="Y136">
        <f>IF(Allocation!D136="","",_CALC_ALLOC!AL136)</f>
        <v>0</v>
      </c>
      <c r="Z136">
        <f>IF(Allocation!D136="","",_CALC_ALLOC!AM136)</f>
        <v>0</v>
      </c>
      <c r="AA136">
        <f>IF(Allocation!D136="","",_CALC_ALLOC!AN136)</f>
        <v>241786.399701993</v>
      </c>
      <c r="AB136">
        <f>IF(Allocation!D136="","",AA136-T136)</f>
        <v>189547.052234895</v>
      </c>
      <c r="AC136">
        <f>IF(Allocation!D136="","",_CALC_ALLOC!AR136)</f>
        <v>0</v>
      </c>
    </row>
    <row r="137" ht="14.25" customHeight="1">
      <c r="A137" t="s">
        <v>191</v>
      </c>
      <c r="B137" t="s">
        <v>192</v>
      </c>
      <c r="C137" t="s">
        <v>25</v>
      </c>
      <c r="D137" t="s">
        <v>94</v>
      </c>
      <c r="E137" t="s">
        <v>236</v>
      </c>
      <c r="F137" t="s">
        <v>208</v>
      </c>
      <c r="G137" t="s">
        <v>198</v>
      </c>
      <c r="H137" t="s">
        <v>197</v>
      </c>
      <c r="I137">
        <v>45</v>
      </c>
      <c r="J137">
        <v>2</v>
      </c>
      <c r="K137">
        <v>330750</v>
      </c>
      <c r="L137">
        <v>19644</v>
      </c>
      <c r="M137">
        <v>45387.050847458</v>
      </c>
      <c r="N137">
        <v>16744.450549451</v>
      </c>
      <c r="O137">
        <v>122818.846153846</v>
      </c>
      <c r="P137">
        <v>62607.617988986</v>
      </c>
      <c r="Q137">
        <v>36388.450549451</v>
      </c>
      <c r="R137">
        <v>230813.51499029</v>
      </c>
      <c r="S137">
        <v>267201.965539741</v>
      </c>
      <c r="T137">
        <v>63548.034460259</v>
      </c>
      <c r="V137">
        <f>IF(Allocation!D137="","",_CALC_ALLOC!AI137)</f>
        <v>19644</v>
      </c>
      <c r="W137">
        <f>IF(Allocation!D137="","",_CALC_ALLOC!AJ137)</f>
        <v>45387.0508474576</v>
      </c>
      <c r="X137">
        <f>IF(Allocation!D137="","",_CALC_ALLOC!AK137)</f>
        <v>16744.4505494506</v>
      </c>
      <c r="Y137">
        <f>IF(Allocation!D137="","",_CALC_ALLOC!AL137)</f>
        <v>0</v>
      </c>
      <c r="Z137">
        <f>IF(Allocation!D137="","",_CALC_ALLOC!AM137)</f>
        <v>0</v>
      </c>
      <c r="AA137">
        <f>IF(Allocation!D137="","",_CALC_ALLOC!AN137)</f>
        <v>248974.498603092</v>
      </c>
      <c r="AB137">
        <f>IF(Allocation!D137="","",AA137-T137)</f>
        <v>185426.464142833</v>
      </c>
      <c r="AC137">
        <f>IF(Allocation!D137="","",_CALC_ALLOC!AR137)</f>
        <v>0</v>
      </c>
    </row>
    <row r="138" ht="14.25" customHeight="1">
      <c r="A138" t="s">
        <v>191</v>
      </c>
      <c r="B138" t="s">
        <v>192</v>
      </c>
      <c r="C138" t="s">
        <v>210</v>
      </c>
      <c r="D138" t="s">
        <v>94</v>
      </c>
      <c r="E138" t="s">
        <v>236</v>
      </c>
      <c r="F138" t="s">
        <v>205</v>
      </c>
      <c r="G138" t="s">
        <v>206</v>
      </c>
      <c r="H138" t="s">
        <v>197</v>
      </c>
      <c r="I138">
        <v>43</v>
      </c>
      <c r="J138">
        <v>2</v>
      </c>
      <c r="K138">
        <v>274770</v>
      </c>
      <c r="L138">
        <v>27342.415254237</v>
      </c>
      <c r="M138">
        <v>63173.813559322</v>
      </c>
      <c r="N138">
        <v>32991.105882353</v>
      </c>
      <c r="O138">
        <v>119920.170588235</v>
      </c>
      <c r="P138">
        <v>59699.909646206</v>
      </c>
      <c r="Q138">
        <v>60333.52113659</v>
      </c>
      <c r="R138">
        <v>242793.893793764</v>
      </c>
      <c r="S138">
        <v>303127.414930354</v>
      </c>
      <c r="T138">
        <v>-28357.414930354</v>
      </c>
      <c r="V138">
        <f>IF(Allocation!D138="","",_CALC_ALLOC!AI138)</f>
        <v>27342.4152542373</v>
      </c>
      <c r="W138">
        <f>IF(Allocation!D138="","",_CALC_ALLOC!AJ138)</f>
        <v>63173.813559322</v>
      </c>
      <c r="X138">
        <f>IF(Allocation!D138="","",_CALC_ALLOC!AK138)</f>
        <v>32991.1058823529</v>
      </c>
      <c r="Y138">
        <f>IF(Allocation!D138="","",_CALC_ALLOC!AL138)</f>
        <v>0</v>
      </c>
      <c r="Z138">
        <f>IF(Allocation!D138="","",_CALC_ALLOC!AM138)</f>
        <v>0</v>
      </c>
      <c r="AA138">
        <f>IF(Allocation!D138="","",_CALC_ALLOC!AN138)</f>
        <v>151262.665304088</v>
      </c>
      <c r="AB138">
        <f>IF(Allocation!D138="","",AA138-T138)</f>
        <v>179620.080234442</v>
      </c>
      <c r="AC138">
        <f>IF(Allocation!D138="","",_CALC_ALLOC!AR138)</f>
        <v>0</v>
      </c>
    </row>
    <row r="139" ht="14.25" customHeight="1">
      <c r="A139" t="s">
        <v>191</v>
      </c>
      <c r="B139" t="s">
        <v>192</v>
      </c>
      <c r="C139" t="s">
        <v>210</v>
      </c>
      <c r="D139" t="s">
        <v>94</v>
      </c>
      <c r="E139" t="s">
        <v>236</v>
      </c>
      <c r="F139" t="s">
        <v>205</v>
      </c>
      <c r="G139" t="s">
        <v>207</v>
      </c>
      <c r="H139" t="s">
        <v>197</v>
      </c>
      <c r="I139">
        <v>42</v>
      </c>
      <c r="J139">
        <v>2</v>
      </c>
      <c r="K139">
        <v>264600</v>
      </c>
      <c r="L139">
        <v>27342.415254237</v>
      </c>
      <c r="M139">
        <v>63173.813559322</v>
      </c>
      <c r="N139">
        <v>15968.894117647</v>
      </c>
      <c r="O139">
        <v>117131.329411765</v>
      </c>
      <c r="P139">
        <v>58311.539654434</v>
      </c>
      <c r="Q139">
        <v>43311.309371884</v>
      </c>
      <c r="R139">
        <v>238616.682625521</v>
      </c>
      <c r="S139">
        <v>281927.991997405</v>
      </c>
      <c r="T139">
        <v>-17327.991997405</v>
      </c>
      <c r="V139">
        <f>IF(Allocation!D139="","",_CALC_ALLOC!AI139)</f>
        <v>27342.4152542373</v>
      </c>
      <c r="W139">
        <f>IF(Allocation!D139="","",_CALC_ALLOC!AJ139)</f>
        <v>63173.813559322</v>
      </c>
      <c r="X139">
        <f>IF(Allocation!D139="","",_CALC_ALLOC!AK139)</f>
        <v>15968.8941176471</v>
      </c>
      <c r="Y139">
        <f>IF(Allocation!D139="","",_CALC_ALLOC!AL139)</f>
        <v>0</v>
      </c>
      <c r="Z139">
        <f>IF(Allocation!D139="","",_CALC_ALLOC!AM139)</f>
        <v>0</v>
      </c>
      <c r="AA139">
        <f>IF(Allocation!D139="","",_CALC_ALLOC!AN139)</f>
        <v>158114.877068794</v>
      </c>
      <c r="AB139">
        <f>IF(Allocation!D139="","",AA139-T139)</f>
        <v>175442.869066199</v>
      </c>
      <c r="AC139">
        <f>IF(Allocation!D139="","",_CALC_ALLOC!AR139)</f>
        <v>0</v>
      </c>
    </row>
    <row r="140" ht="14.25" customHeight="1">
      <c r="A140" t="s">
        <v>191</v>
      </c>
      <c r="B140" t="s">
        <v>192</v>
      </c>
      <c r="C140" t="s">
        <v>210</v>
      </c>
      <c r="D140" t="s">
        <v>94</v>
      </c>
      <c r="E140" t="s">
        <v>236</v>
      </c>
      <c r="F140" t="s">
        <v>208</v>
      </c>
      <c r="G140" t="s">
        <v>194</v>
      </c>
      <c r="H140" t="s">
        <v>197</v>
      </c>
      <c r="I140">
        <v>43</v>
      </c>
      <c r="J140">
        <v>2</v>
      </c>
      <c r="K140">
        <v>319920</v>
      </c>
      <c r="L140">
        <v>18749.084745763</v>
      </c>
      <c r="M140">
        <v>43319.186440678</v>
      </c>
      <c r="N140">
        <v>32991.105882353</v>
      </c>
      <c r="O140">
        <v>119920.170588235</v>
      </c>
      <c r="P140">
        <v>59699.909646206</v>
      </c>
      <c r="Q140">
        <v>51740.190628116</v>
      </c>
      <c r="R140">
        <v>222939.26667512</v>
      </c>
      <c r="S140">
        <v>274679.457303235</v>
      </c>
      <c r="T140">
        <v>45240.542696765</v>
      </c>
      <c r="V140">
        <f>IF(Allocation!D140="","",_CALC_ALLOC!AI140)</f>
        <v>18749.0847457627</v>
      </c>
      <c r="W140">
        <f>IF(Allocation!D140="","",_CALC_ALLOC!AJ140)</f>
        <v>43319.186440678</v>
      </c>
      <c r="X140">
        <f>IF(Allocation!D140="","",_CALC_ALLOC!AK140)</f>
        <v>32991.1058823529</v>
      </c>
      <c r="Y140">
        <f>IF(Allocation!D140="","",_CALC_ALLOC!AL140)</f>
        <v>0</v>
      </c>
      <c r="Z140">
        <f>IF(Allocation!D140="","",_CALC_ALLOC!AM140)</f>
        <v>0</v>
      </c>
      <c r="AA140">
        <f>IF(Allocation!D140="","",_CALC_ALLOC!AN140)</f>
        <v>224860.622931206</v>
      </c>
      <c r="AB140">
        <f>IF(Allocation!D140="","",AA140-T140)</f>
        <v>179620.080234441</v>
      </c>
      <c r="AC140">
        <f>IF(Allocation!D140="","",_CALC_ALLOC!AR140)</f>
        <v>0</v>
      </c>
    </row>
    <row r="141" ht="14.25" customHeight="1">
      <c r="A141" t="s">
        <v>191</v>
      </c>
      <c r="B141" t="s">
        <v>192</v>
      </c>
      <c r="C141" t="s">
        <v>210</v>
      </c>
      <c r="D141" t="s">
        <v>94</v>
      </c>
      <c r="E141" t="s">
        <v>236</v>
      </c>
      <c r="F141" t="s">
        <v>208</v>
      </c>
      <c r="G141" t="s">
        <v>198</v>
      </c>
      <c r="H141" t="s">
        <v>197</v>
      </c>
      <c r="I141">
        <v>42</v>
      </c>
      <c r="J141">
        <v>2</v>
      </c>
      <c r="K141">
        <v>308700</v>
      </c>
      <c r="L141">
        <v>18749.084745763</v>
      </c>
      <c r="M141">
        <v>43319.186440678</v>
      </c>
      <c r="N141">
        <v>15968.894117647</v>
      </c>
      <c r="O141">
        <v>117131.329411765</v>
      </c>
      <c r="P141">
        <v>58311.539654434</v>
      </c>
      <c r="Q141">
        <v>34717.97886341</v>
      </c>
      <c r="R141">
        <v>218762.055506877</v>
      </c>
      <c r="S141">
        <v>253480.034370287</v>
      </c>
      <c r="T141">
        <v>55219.965629713</v>
      </c>
      <c r="V141">
        <f>IF(Allocation!D141="","",_CALC_ALLOC!AI141)</f>
        <v>18749.0847457627</v>
      </c>
      <c r="W141">
        <f>IF(Allocation!D141="","",_CALC_ALLOC!AJ141)</f>
        <v>43319.186440678</v>
      </c>
      <c r="X141">
        <f>IF(Allocation!D141="","",_CALC_ALLOC!AK141)</f>
        <v>15968.8941176471</v>
      </c>
      <c r="Y141">
        <f>IF(Allocation!D141="","",_CALC_ALLOC!AL141)</f>
        <v>0</v>
      </c>
      <c r="Z141">
        <f>IF(Allocation!D141="","",_CALC_ALLOC!AM141)</f>
        <v>0</v>
      </c>
      <c r="AA141">
        <f>IF(Allocation!D141="","",_CALC_ALLOC!AN141)</f>
        <v>230662.834695912</v>
      </c>
      <c r="AB141">
        <f>IF(Allocation!D141="","",AA141-T141)</f>
        <v>175442.869066199</v>
      </c>
      <c r="AC141">
        <f>IF(Allocation!D141="","",_CALC_ALLOC!AR141)</f>
        <v>0</v>
      </c>
    </row>
    <row r="142" ht="14.25" customHeight="1">
      <c r="A142" t="s">
        <v>191</v>
      </c>
      <c r="B142" t="s">
        <v>192</v>
      </c>
      <c r="C142" t="s">
        <v>211</v>
      </c>
      <c r="D142" t="s">
        <v>94</v>
      </c>
      <c r="E142" t="s">
        <v>236</v>
      </c>
      <c r="F142" t="s">
        <v>205</v>
      </c>
      <c r="G142" t="s">
        <v>206</v>
      </c>
      <c r="H142" t="s">
        <v>197</v>
      </c>
      <c r="I142">
        <v>41</v>
      </c>
      <c r="J142">
        <v>2</v>
      </c>
      <c r="K142">
        <v>261990</v>
      </c>
      <c r="L142">
        <v>26144.406779661</v>
      </c>
      <c r="M142">
        <v>60405.847457627</v>
      </c>
      <c r="N142">
        <v>30770.75308642</v>
      </c>
      <c r="O142">
        <v>114731.919753086</v>
      </c>
      <c r="P142">
        <v>56452.211915949</v>
      </c>
      <c r="Q142">
        <v>56915.159866081</v>
      </c>
      <c r="R142">
        <v>231589.979126663</v>
      </c>
      <c r="S142">
        <v>288505.138992743</v>
      </c>
      <c r="T142">
        <v>-26515.138992743</v>
      </c>
      <c r="V142">
        <f>IF(Allocation!D142="","",_CALC_ALLOC!AI142)</f>
        <v>26144.406779661</v>
      </c>
      <c r="W142">
        <f>IF(Allocation!D142="","",_CALC_ALLOC!AJ142)</f>
        <v>60405.8474576271</v>
      </c>
      <c r="X142">
        <f>IF(Allocation!D142="","",_CALC_ALLOC!AK142)</f>
        <v>30770.7530864198</v>
      </c>
      <c r="Y142">
        <f>IF(Allocation!D142="","",_CALC_ALLOC!AL142)</f>
        <v>0</v>
      </c>
      <c r="Z142">
        <f>IF(Allocation!D142="","",_CALC_ALLOC!AM142)</f>
        <v>0</v>
      </c>
      <c r="AA142">
        <f>IF(Allocation!D142="","",_CALC_ALLOC!AN142)</f>
        <v>144668.992676292</v>
      </c>
      <c r="AB142">
        <f>IF(Allocation!D142="","",AA142-T142)</f>
        <v>171184.131669035</v>
      </c>
      <c r="AC142">
        <f>IF(Allocation!D142="","",_CALC_ALLOC!AR142)</f>
        <v>0</v>
      </c>
    </row>
    <row r="143" ht="14.25" customHeight="1">
      <c r="A143" t="s">
        <v>191</v>
      </c>
      <c r="B143" t="s">
        <v>192</v>
      </c>
      <c r="C143" t="s">
        <v>211</v>
      </c>
      <c r="D143" t="s">
        <v>94</v>
      </c>
      <c r="E143" t="s">
        <v>236</v>
      </c>
      <c r="F143" t="s">
        <v>205</v>
      </c>
      <c r="G143" t="s">
        <v>207</v>
      </c>
      <c r="H143" t="s">
        <v>197</v>
      </c>
      <c r="I143">
        <v>40</v>
      </c>
      <c r="J143">
        <v>2</v>
      </c>
      <c r="K143">
        <v>252000</v>
      </c>
      <c r="L143">
        <v>26144.406779661</v>
      </c>
      <c r="M143">
        <v>60405.847457627</v>
      </c>
      <c r="N143">
        <v>15260.24691358</v>
      </c>
      <c r="O143">
        <v>111933.580246914</v>
      </c>
      <c r="P143">
        <v>55075.328698487</v>
      </c>
      <c r="Q143">
        <v>41404.653693241</v>
      </c>
      <c r="R143">
        <v>227414.756403028</v>
      </c>
      <c r="S143">
        <v>268819.410096269</v>
      </c>
      <c r="T143">
        <v>-16819.410096269</v>
      </c>
      <c r="V143">
        <f>IF(Allocation!D143="","",_CALC_ALLOC!AI143)</f>
        <v>26144.406779661</v>
      </c>
      <c r="W143">
        <f>IF(Allocation!D143="","",_CALC_ALLOC!AJ143)</f>
        <v>60405.8474576271</v>
      </c>
      <c r="X143">
        <f>IF(Allocation!D143="","",_CALC_ALLOC!AK143)</f>
        <v>15260.2469135802</v>
      </c>
      <c r="Y143">
        <f>IF(Allocation!D143="","",_CALC_ALLOC!AL143)</f>
        <v>0</v>
      </c>
      <c r="Z143">
        <f>IF(Allocation!D143="","",_CALC_ALLOC!AM143)</f>
        <v>0</v>
      </c>
      <c r="AA143">
        <f>IF(Allocation!D143="","",_CALC_ALLOC!AN143)</f>
        <v>150189.498849132</v>
      </c>
      <c r="AB143">
        <f>IF(Allocation!D143="","",AA143-T143)</f>
        <v>167008.908945401</v>
      </c>
      <c r="AC143">
        <f>IF(Allocation!D143="","",_CALC_ALLOC!AR143)</f>
        <v>0</v>
      </c>
    </row>
    <row r="144" ht="14.25" customHeight="1">
      <c r="A144" t="s">
        <v>191</v>
      </c>
      <c r="B144" t="s">
        <v>192</v>
      </c>
      <c r="C144" t="s">
        <v>211</v>
      </c>
      <c r="D144" t="s">
        <v>94</v>
      </c>
      <c r="E144" t="s">
        <v>236</v>
      </c>
      <c r="F144" t="s">
        <v>208</v>
      </c>
      <c r="G144" t="s">
        <v>194</v>
      </c>
      <c r="H144" t="s">
        <v>197</v>
      </c>
      <c r="I144">
        <v>41</v>
      </c>
      <c r="J144">
        <v>2</v>
      </c>
      <c r="K144">
        <v>305040</v>
      </c>
      <c r="L144">
        <v>17927.593220339</v>
      </c>
      <c r="M144">
        <v>41421.152542373</v>
      </c>
      <c r="N144">
        <v>30770.75308642</v>
      </c>
      <c r="O144">
        <v>114731.919753086</v>
      </c>
      <c r="P144">
        <v>56452.211915949</v>
      </c>
      <c r="Q144">
        <v>48698.346306759</v>
      </c>
      <c r="R144">
        <v>212605.284211408</v>
      </c>
      <c r="S144">
        <v>261303.630518167</v>
      </c>
      <c r="T144">
        <v>43736.369481833</v>
      </c>
      <c r="V144">
        <f>IF(Allocation!D144="","",_CALC_ALLOC!AI144)</f>
        <v>17927.593220339</v>
      </c>
      <c r="W144">
        <f>IF(Allocation!D144="","",_CALC_ALLOC!AJ144)</f>
        <v>41421.1525423729</v>
      </c>
      <c r="X144">
        <f>IF(Allocation!D144="","",_CALC_ALLOC!AK144)</f>
        <v>30770.7530864198</v>
      </c>
      <c r="Y144">
        <f>IF(Allocation!D144="","",_CALC_ALLOC!AL144)</f>
        <v>0</v>
      </c>
      <c r="Z144">
        <f>IF(Allocation!D144="","",_CALC_ALLOC!AM144)</f>
        <v>0</v>
      </c>
      <c r="AA144">
        <f>IF(Allocation!D144="","",_CALC_ALLOC!AN144)</f>
        <v>214920.501150868</v>
      </c>
      <c r="AB144">
        <f>IF(Allocation!D144="","",AA144-T144)</f>
        <v>171184.131669035</v>
      </c>
      <c r="AC144">
        <f>IF(Allocation!D144="","",_CALC_ALLOC!AR144)</f>
        <v>0</v>
      </c>
    </row>
    <row r="145" ht="14.25" customHeight="1">
      <c r="A145" t="s">
        <v>191</v>
      </c>
      <c r="B145" t="s">
        <v>192</v>
      </c>
      <c r="C145" t="s">
        <v>211</v>
      </c>
      <c r="D145" t="s">
        <v>94</v>
      </c>
      <c r="E145" t="s">
        <v>236</v>
      </c>
      <c r="F145" t="s">
        <v>208</v>
      </c>
      <c r="G145" t="s">
        <v>198</v>
      </c>
      <c r="H145" t="s">
        <v>197</v>
      </c>
      <c r="I145">
        <v>40</v>
      </c>
      <c r="J145">
        <v>2</v>
      </c>
      <c r="K145">
        <v>294000</v>
      </c>
      <c r="L145">
        <v>17927.593220339</v>
      </c>
      <c r="M145">
        <v>41421.152542373</v>
      </c>
      <c r="N145">
        <v>15260.24691358</v>
      </c>
      <c r="O145">
        <v>111933.580246914</v>
      </c>
      <c r="P145">
        <v>55075.328698487</v>
      </c>
      <c r="Q145">
        <v>33187.840133919</v>
      </c>
      <c r="R145">
        <v>208430.061487773</v>
      </c>
      <c r="S145">
        <v>241617.901621693</v>
      </c>
      <c r="T145">
        <v>52382.098378307</v>
      </c>
      <c r="V145">
        <f>IF(Allocation!D145="","",_CALC_ALLOC!AI145)</f>
        <v>17927.593220339</v>
      </c>
      <c r="W145">
        <f>IF(Allocation!D145="","",_CALC_ALLOC!AJ145)</f>
        <v>41421.1525423729</v>
      </c>
      <c r="X145">
        <f>IF(Allocation!D145="","",_CALC_ALLOC!AK145)</f>
        <v>15260.2469135802</v>
      </c>
      <c r="Y145">
        <f>IF(Allocation!D145="","",_CALC_ALLOC!AL145)</f>
        <v>0</v>
      </c>
      <c r="Z145">
        <f>IF(Allocation!D145="","",_CALC_ALLOC!AM145)</f>
        <v>0</v>
      </c>
      <c r="AA145">
        <f>IF(Allocation!D145="","",_CALC_ALLOC!AN145)</f>
        <v>219391.007323708</v>
      </c>
      <c r="AB145">
        <f>IF(Allocation!D145="","",AA145-T145)</f>
        <v>167008.908945401</v>
      </c>
      <c r="AC145">
        <f>IF(Allocation!D145="","",_CALC_ALLOC!AR145)</f>
        <v>0</v>
      </c>
    </row>
    <row r="146" ht="14.25" customHeight="1">
      <c r="A146" t="s">
        <v>191</v>
      </c>
      <c r="B146" t="s">
        <v>192</v>
      </c>
      <c r="C146" t="s">
        <v>25</v>
      </c>
      <c r="D146" t="s">
        <v>95</v>
      </c>
      <c r="E146" t="s">
        <v>236</v>
      </c>
      <c r="F146" t="s">
        <v>205</v>
      </c>
      <c r="G146" t="s">
        <v>206</v>
      </c>
      <c r="H146" t="s">
        <v>197</v>
      </c>
      <c r="I146">
        <v>36</v>
      </c>
      <c r="J146">
        <v>2</v>
      </c>
      <c r="K146">
        <v>212760</v>
      </c>
      <c r="L146">
        <v>28647.5</v>
      </c>
      <c r="M146">
        <v>62052.627118644</v>
      </c>
      <c r="N146">
        <v>24379.549295775</v>
      </c>
      <c r="O146">
        <v>101027.661971831</v>
      </c>
      <c r="P146">
        <v>46296.295534097</v>
      </c>
      <c r="Q146">
        <v>53027.049295775</v>
      </c>
      <c r="R146">
        <v>209376.584624572</v>
      </c>
      <c r="S146">
        <v>262403.633920347</v>
      </c>
      <c r="T146">
        <v>-49643.633920347</v>
      </c>
      <c r="V146">
        <f>IF(Allocation!D146="","",_CALC_ALLOC!AI146)</f>
        <v>28647.5</v>
      </c>
      <c r="W146">
        <f>IF(Allocation!D146="","",_CALC_ALLOC!AJ146)</f>
        <v>62052.6271186441</v>
      </c>
      <c r="X146">
        <f>IF(Allocation!D146="","",_CALC_ALLOC!AK146)</f>
        <v>24379.5492957746</v>
      </c>
      <c r="Y146">
        <f>IF(Allocation!D146="","",_CALC_ALLOC!AL146)</f>
        <v>0</v>
      </c>
      <c r="Z146">
        <f>IF(Allocation!D146="","",_CALC_ALLOC!AM146)</f>
        <v>0</v>
      </c>
      <c r="AA146">
        <f>IF(Allocation!D146="","",_CALC_ALLOC!AN146)</f>
        <v>97680.3235855813</v>
      </c>
      <c r="AB146">
        <f>IF(Allocation!D146="","",AA146-T146)</f>
        <v>147323.957505928</v>
      </c>
      <c r="AC146">
        <f>IF(Allocation!D146="","",_CALC_ALLOC!AR146)</f>
        <v>0</v>
      </c>
    </row>
    <row r="147" ht="14.25" customHeight="1">
      <c r="A147" t="s">
        <v>191</v>
      </c>
      <c r="B147" t="s">
        <v>192</v>
      </c>
      <c r="C147" t="s">
        <v>25</v>
      </c>
      <c r="D147" t="s">
        <v>95</v>
      </c>
      <c r="E147" t="s">
        <v>236</v>
      </c>
      <c r="F147" t="s">
        <v>205</v>
      </c>
      <c r="G147" t="s">
        <v>207</v>
      </c>
      <c r="H147" t="s">
        <v>197</v>
      </c>
      <c r="I147">
        <v>35</v>
      </c>
      <c r="J147">
        <v>2</v>
      </c>
      <c r="K147">
        <v>203700</v>
      </c>
      <c r="L147">
        <v>28647.5</v>
      </c>
      <c r="M147">
        <v>62052.627118644</v>
      </c>
      <c r="N147">
        <v>13023.450704225</v>
      </c>
      <c r="O147">
        <v>98221.338028169</v>
      </c>
      <c r="P147">
        <v>45010.287324816</v>
      </c>
      <c r="Q147">
        <v>41670.950704225</v>
      </c>
      <c r="R147">
        <v>205284.25247163</v>
      </c>
      <c r="S147">
        <v>246955.203175855</v>
      </c>
      <c r="T147">
        <v>-43255.203175855</v>
      </c>
      <c r="V147">
        <f>IF(Allocation!D147="","",_CALC_ALLOC!AI147)</f>
        <v>28647.5</v>
      </c>
      <c r="W147">
        <f>IF(Allocation!D147="","",_CALC_ALLOC!AJ147)</f>
        <v>62052.6271186441</v>
      </c>
      <c r="X147">
        <f>IF(Allocation!D147="","",_CALC_ALLOC!AK147)</f>
        <v>13023.4507042254</v>
      </c>
      <c r="Y147">
        <f>IF(Allocation!D147="","",_CALC_ALLOC!AL147)</f>
        <v>0</v>
      </c>
      <c r="Z147">
        <f>IF(Allocation!D147="","",_CALC_ALLOC!AM147)</f>
        <v>0</v>
      </c>
      <c r="AA147">
        <f>IF(Allocation!D147="","",_CALC_ALLOC!AN147)</f>
        <v>99976.4221771305</v>
      </c>
      <c r="AB147">
        <f>IF(Allocation!D147="","",AA147-T147)</f>
        <v>143231.625352986</v>
      </c>
      <c r="AC147">
        <f>IF(Allocation!D147="","",_CALC_ALLOC!AR147)</f>
        <v>0</v>
      </c>
    </row>
    <row r="148" ht="14.25" customHeight="1">
      <c r="A148" t="s">
        <v>191</v>
      </c>
      <c r="B148" t="s">
        <v>192</v>
      </c>
      <c r="C148" t="s">
        <v>25</v>
      </c>
      <c r="D148" t="s">
        <v>95</v>
      </c>
      <c r="E148" t="s">
        <v>236</v>
      </c>
      <c r="F148" t="s">
        <v>208</v>
      </c>
      <c r="G148" t="s">
        <v>194</v>
      </c>
      <c r="H148" t="s">
        <v>197</v>
      </c>
      <c r="I148">
        <v>36</v>
      </c>
      <c r="J148">
        <v>2</v>
      </c>
      <c r="K148">
        <v>247680</v>
      </c>
      <c r="L148">
        <v>19644</v>
      </c>
      <c r="M148">
        <v>42550.372881356</v>
      </c>
      <c r="N148">
        <v>24379.549295775</v>
      </c>
      <c r="O148">
        <v>101027.661971831</v>
      </c>
      <c r="P148">
        <v>46296.295534097</v>
      </c>
      <c r="Q148">
        <v>44023.549295775</v>
      </c>
      <c r="R148">
        <v>189874.330387284</v>
      </c>
      <c r="S148">
        <v>233897.879683059</v>
      </c>
      <c r="T148">
        <v>13782.120316941</v>
      </c>
      <c r="V148">
        <f>IF(Allocation!D148="","",_CALC_ALLOC!AI148)</f>
        <v>19644</v>
      </c>
      <c r="W148">
        <f>IF(Allocation!D148="","",_CALC_ALLOC!AJ148)</f>
        <v>42550.3728813559</v>
      </c>
      <c r="X148">
        <f>IF(Allocation!D148="","",_CALC_ALLOC!AK148)</f>
        <v>24379.5492957746</v>
      </c>
      <c r="Y148">
        <f>IF(Allocation!D148="","",_CALC_ALLOC!AL148)</f>
        <v>0</v>
      </c>
      <c r="Z148">
        <f>IF(Allocation!D148="","",_CALC_ALLOC!AM148)</f>
        <v>0</v>
      </c>
      <c r="AA148">
        <f>IF(Allocation!D148="","",_CALC_ALLOC!AN148)</f>
        <v>161106.077822869</v>
      </c>
      <c r="AB148">
        <f>IF(Allocation!D148="","",AA148-T148)</f>
        <v>147323.957505928</v>
      </c>
      <c r="AC148">
        <f>IF(Allocation!D148="","",_CALC_ALLOC!AR148)</f>
        <v>0</v>
      </c>
    </row>
    <row r="149" ht="14.25" customHeight="1">
      <c r="A149" t="s">
        <v>191</v>
      </c>
      <c r="B149" t="s">
        <v>192</v>
      </c>
      <c r="C149" t="s">
        <v>25</v>
      </c>
      <c r="D149" t="s">
        <v>95</v>
      </c>
      <c r="E149" t="s">
        <v>236</v>
      </c>
      <c r="F149" t="s">
        <v>208</v>
      </c>
      <c r="G149" t="s">
        <v>198</v>
      </c>
      <c r="H149" t="s">
        <v>197</v>
      </c>
      <c r="I149">
        <v>35</v>
      </c>
      <c r="J149">
        <v>2</v>
      </c>
      <c r="K149">
        <v>237650</v>
      </c>
      <c r="L149">
        <v>19644</v>
      </c>
      <c r="M149">
        <v>42550.372881356</v>
      </c>
      <c r="N149">
        <v>13023.450704225</v>
      </c>
      <c r="O149">
        <v>98221.338028169</v>
      </c>
      <c r="P149">
        <v>45010.287324816</v>
      </c>
      <c r="Q149">
        <v>32667.450704225</v>
      </c>
      <c r="R149">
        <v>185781.998234341</v>
      </c>
      <c r="S149">
        <v>218449.448938567</v>
      </c>
      <c r="T149">
        <v>19200.551061433</v>
      </c>
      <c r="V149">
        <f>IF(Allocation!D149="","",_CALC_ALLOC!AI149)</f>
        <v>19644</v>
      </c>
      <c r="W149">
        <f>IF(Allocation!D149="","",_CALC_ALLOC!AJ149)</f>
        <v>42550.3728813559</v>
      </c>
      <c r="X149">
        <f>IF(Allocation!D149="","",_CALC_ALLOC!AK149)</f>
        <v>13023.4507042254</v>
      </c>
      <c r="Y149">
        <f>IF(Allocation!D149="","",_CALC_ALLOC!AL149)</f>
        <v>0</v>
      </c>
      <c r="Z149">
        <f>IF(Allocation!D149="","",_CALC_ALLOC!AM149)</f>
        <v>0</v>
      </c>
      <c r="AA149">
        <f>IF(Allocation!D149="","",_CALC_ALLOC!AN149)</f>
        <v>162432.176414419</v>
      </c>
      <c r="AB149">
        <f>IF(Allocation!D149="","",AA149-T149)</f>
        <v>143231.625352986</v>
      </c>
      <c r="AC149">
        <f>IF(Allocation!D149="","",_CALC_ALLOC!AR149)</f>
        <v>0</v>
      </c>
    </row>
    <row r="150" ht="14.25" customHeight="1">
      <c r="A150" t="s">
        <v>191</v>
      </c>
      <c r="B150" t="s">
        <v>192</v>
      </c>
      <c r="C150" t="s">
        <v>210</v>
      </c>
      <c r="D150" t="s">
        <v>95</v>
      </c>
      <c r="E150" t="s">
        <v>236</v>
      </c>
      <c r="F150" t="s">
        <v>205</v>
      </c>
      <c r="G150" t="s">
        <v>206</v>
      </c>
      <c r="H150" t="s">
        <v>197</v>
      </c>
      <c r="I150">
        <v>34</v>
      </c>
      <c r="J150">
        <v>2</v>
      </c>
      <c r="K150">
        <v>200940</v>
      </c>
      <c r="L150">
        <v>27342.415254237</v>
      </c>
      <c r="M150">
        <v>59225.63559322</v>
      </c>
      <c r="N150">
        <v>22781.171641791</v>
      </c>
      <c r="O150">
        <v>96505.194029851</v>
      </c>
      <c r="P150">
        <v>43632.850953053</v>
      </c>
      <c r="Q150">
        <v>50123.586896028</v>
      </c>
      <c r="R150">
        <v>199363.680576124</v>
      </c>
      <c r="S150">
        <v>249487.267472152</v>
      </c>
      <c r="T150">
        <v>-48547.267472152</v>
      </c>
      <c r="V150">
        <f>IF(Allocation!D150="","",_CALC_ALLOC!AI150)</f>
        <v>27342.4152542373</v>
      </c>
      <c r="W150">
        <f>IF(Allocation!D150="","",_CALC_ALLOC!AJ150)</f>
        <v>59225.6355932203</v>
      </c>
      <c r="X150">
        <f>IF(Allocation!D150="","",_CALC_ALLOC!AK150)</f>
        <v>22781.171641791</v>
      </c>
      <c r="Y150">
        <f>IF(Allocation!D150="","",_CALC_ALLOC!AL150)</f>
        <v>0</v>
      </c>
      <c r="Z150">
        <f>IF(Allocation!D150="","",_CALC_ALLOC!AM150)</f>
        <v>0</v>
      </c>
      <c r="AA150">
        <f>IF(Allocation!D150="","",_CALC_ALLOC!AN150)</f>
        <v>91590.7775107514</v>
      </c>
      <c r="AB150">
        <f>IF(Allocation!D150="","",AA150-T150)</f>
        <v>140138.044982903</v>
      </c>
      <c r="AC150">
        <f>IF(Allocation!D150="","",_CALC_ALLOC!AR150)</f>
        <v>0</v>
      </c>
    </row>
    <row r="151" ht="14.25" customHeight="1">
      <c r="A151" t="s">
        <v>191</v>
      </c>
      <c r="B151" t="s">
        <v>192</v>
      </c>
      <c r="C151" t="s">
        <v>210</v>
      </c>
      <c r="D151" t="s">
        <v>95</v>
      </c>
      <c r="E151" t="s">
        <v>236</v>
      </c>
      <c r="F151" t="s">
        <v>205</v>
      </c>
      <c r="G151" t="s">
        <v>207</v>
      </c>
      <c r="H151" t="s">
        <v>197</v>
      </c>
      <c r="I151">
        <v>33</v>
      </c>
      <c r="J151">
        <v>2</v>
      </c>
      <c r="K151">
        <v>192060</v>
      </c>
      <c r="L151">
        <v>27342.415254237</v>
      </c>
      <c r="M151">
        <v>59225.63559322</v>
      </c>
      <c r="N151">
        <v>12419.328358209</v>
      </c>
      <c r="O151">
        <v>93666.805970149</v>
      </c>
      <c r="P151">
        <v>42349.531807375</v>
      </c>
      <c r="Q151">
        <v>39761.743612446</v>
      </c>
      <c r="R151">
        <v>195241.973370745</v>
      </c>
      <c r="S151">
        <v>235003.716983191</v>
      </c>
      <c r="T151">
        <v>-42943.716983191</v>
      </c>
      <c r="V151">
        <f>IF(Allocation!D151="","",_CALC_ALLOC!AI151)</f>
        <v>27342.4152542373</v>
      </c>
      <c r="W151">
        <f>IF(Allocation!D151="","",_CALC_ALLOC!AJ151)</f>
        <v>59225.6355932203</v>
      </c>
      <c r="X151">
        <f>IF(Allocation!D151="","",_CALC_ALLOC!AK151)</f>
        <v>12419.328358209</v>
      </c>
      <c r="Y151">
        <f>IF(Allocation!D151="","",_CALC_ALLOC!AL151)</f>
        <v>0</v>
      </c>
      <c r="Z151">
        <f>IF(Allocation!D151="","",_CALC_ALLOC!AM151)</f>
        <v>0</v>
      </c>
      <c r="AA151">
        <f>IF(Allocation!D151="","",_CALC_ALLOC!AN151)</f>
        <v>93072.6207943334</v>
      </c>
      <c r="AB151">
        <f>IF(Allocation!D151="","",AA151-T151)</f>
        <v>136016.337777524</v>
      </c>
      <c r="AC151">
        <f>IF(Allocation!D151="","",_CALC_ALLOC!AR151)</f>
        <v>0</v>
      </c>
    </row>
    <row r="152" ht="14.25" customHeight="1">
      <c r="A152" t="s">
        <v>191</v>
      </c>
      <c r="B152" t="s">
        <v>192</v>
      </c>
      <c r="C152" t="s">
        <v>210</v>
      </c>
      <c r="D152" t="s">
        <v>95</v>
      </c>
      <c r="E152" t="s">
        <v>236</v>
      </c>
      <c r="F152" t="s">
        <v>208</v>
      </c>
      <c r="G152" t="s">
        <v>194</v>
      </c>
      <c r="H152" t="s">
        <v>197</v>
      </c>
      <c r="I152">
        <v>34</v>
      </c>
      <c r="J152">
        <v>2</v>
      </c>
      <c r="K152">
        <v>233920</v>
      </c>
      <c r="L152">
        <v>18749.084745763</v>
      </c>
      <c r="M152">
        <v>40611.86440678</v>
      </c>
      <c r="N152">
        <v>22781.171641791</v>
      </c>
      <c r="O152">
        <v>96505.194029851</v>
      </c>
      <c r="P152">
        <v>43632.850953053</v>
      </c>
      <c r="Q152">
        <v>41530.256387554</v>
      </c>
      <c r="R152">
        <v>180749.909389683</v>
      </c>
      <c r="S152">
        <v>222280.165777237</v>
      </c>
      <c r="T152">
        <v>11639.834222763</v>
      </c>
      <c r="V152">
        <f>IF(Allocation!D152="","",_CALC_ALLOC!AI152)</f>
        <v>18749.0847457627</v>
      </c>
      <c r="W152">
        <f>IF(Allocation!D152="","",_CALC_ALLOC!AJ152)</f>
        <v>40611.8644067797</v>
      </c>
      <c r="X152">
        <f>IF(Allocation!D152="","",_CALC_ALLOC!AK152)</f>
        <v>22781.171641791</v>
      </c>
      <c r="Y152">
        <f>IF(Allocation!D152="","",_CALC_ALLOC!AL152)</f>
        <v>0</v>
      </c>
      <c r="Z152">
        <f>IF(Allocation!D152="","",_CALC_ALLOC!AM152)</f>
        <v>0</v>
      </c>
      <c r="AA152">
        <f>IF(Allocation!D152="","",_CALC_ALLOC!AN152)</f>
        <v>151777.879205667</v>
      </c>
      <c r="AB152">
        <f>IF(Allocation!D152="","",AA152-T152)</f>
        <v>140138.044982904</v>
      </c>
      <c r="AC152">
        <f>IF(Allocation!D152="","",_CALC_ALLOC!AR152)</f>
        <v>0</v>
      </c>
    </row>
    <row r="153" ht="14.25" customHeight="1">
      <c r="A153" t="s">
        <v>191</v>
      </c>
      <c r="B153" t="s">
        <v>192</v>
      </c>
      <c r="C153" t="s">
        <v>210</v>
      </c>
      <c r="D153" t="s">
        <v>95</v>
      </c>
      <c r="E153" t="s">
        <v>236</v>
      </c>
      <c r="F153" t="s">
        <v>208</v>
      </c>
      <c r="G153" t="s">
        <v>198</v>
      </c>
      <c r="H153" t="s">
        <v>197</v>
      </c>
      <c r="I153">
        <v>33</v>
      </c>
      <c r="J153">
        <v>2</v>
      </c>
      <c r="K153">
        <v>224070</v>
      </c>
      <c r="L153">
        <v>18749.084745763</v>
      </c>
      <c r="M153">
        <v>40611.86440678</v>
      </c>
      <c r="N153">
        <v>12419.328358209</v>
      </c>
      <c r="O153">
        <v>93666.805970149</v>
      </c>
      <c r="P153">
        <v>42349.531807375</v>
      </c>
      <c r="Q153">
        <v>31168.413103972</v>
      </c>
      <c r="R153">
        <v>176628.202184304</v>
      </c>
      <c r="S153">
        <v>207796.615288276</v>
      </c>
      <c r="T153">
        <v>16273.384711724</v>
      </c>
      <c r="V153">
        <f>IF(Allocation!D153="","",_CALC_ALLOC!AI153)</f>
        <v>18749.0847457627</v>
      </c>
      <c r="W153">
        <f>IF(Allocation!D153="","",_CALC_ALLOC!AJ153)</f>
        <v>40611.8644067797</v>
      </c>
      <c r="X153">
        <f>IF(Allocation!D153="","",_CALC_ALLOC!AK153)</f>
        <v>12419.328358209</v>
      </c>
      <c r="Y153">
        <f>IF(Allocation!D153="","",_CALC_ALLOC!AL153)</f>
        <v>0</v>
      </c>
      <c r="Z153">
        <f>IF(Allocation!D153="","",_CALC_ALLOC!AM153)</f>
        <v>0</v>
      </c>
      <c r="AA153">
        <f>IF(Allocation!D153="","",_CALC_ALLOC!AN153)</f>
        <v>152289.722489249</v>
      </c>
      <c r="AB153">
        <f>IF(Allocation!D153="","",AA153-T153)</f>
        <v>136016.337777525</v>
      </c>
      <c r="AC153">
        <f>IF(Allocation!D153="","",_CALC_ALLOC!AR153)</f>
        <v>0</v>
      </c>
    </row>
    <row r="154" ht="14.25" customHeight="1">
      <c r="A154" t="s">
        <v>191</v>
      </c>
      <c r="B154" t="s">
        <v>192</v>
      </c>
      <c r="C154" t="s">
        <v>211</v>
      </c>
      <c r="D154" t="s">
        <v>95</v>
      </c>
      <c r="E154" t="s">
        <v>236</v>
      </c>
      <c r="F154" t="s">
        <v>205</v>
      </c>
      <c r="G154" t="s">
        <v>206</v>
      </c>
      <c r="H154" t="s">
        <v>197</v>
      </c>
      <c r="I154">
        <v>32</v>
      </c>
      <c r="J154">
        <v>2</v>
      </c>
      <c r="K154">
        <v>189120</v>
      </c>
      <c r="L154">
        <v>26144.406779661</v>
      </c>
      <c r="M154">
        <v>56630.593220339</v>
      </c>
      <c r="N154">
        <v>21323.849206349</v>
      </c>
      <c r="O154">
        <v>92362.920634921</v>
      </c>
      <c r="P154">
        <v>40726.567035537</v>
      </c>
      <c r="Q154">
        <v>47468.25598601</v>
      </c>
      <c r="R154">
        <v>189720.080890796</v>
      </c>
      <c r="S154">
        <v>237188.336876807</v>
      </c>
      <c r="T154">
        <v>-48068.336876807</v>
      </c>
      <c r="V154">
        <f>IF(Allocation!D154="","",_CALC_ALLOC!AI154)</f>
        <v>26144.406779661</v>
      </c>
      <c r="W154">
        <f>IF(Allocation!D154="","",_CALC_ALLOC!AJ154)</f>
        <v>56630.593220339</v>
      </c>
      <c r="X154">
        <f>IF(Allocation!D154="","",_CALC_ALLOC!AK154)</f>
        <v>21323.8492063492</v>
      </c>
      <c r="Y154">
        <f>IF(Allocation!D154="","",_CALC_ALLOC!AL154)</f>
        <v>0</v>
      </c>
      <c r="Z154">
        <f>IF(Allocation!D154="","",_CALC_ALLOC!AM154)</f>
        <v>0</v>
      </c>
      <c r="AA154">
        <f>IF(Allocation!D154="","",_CALC_ALLOC!AN154)</f>
        <v>85021.1507936508</v>
      </c>
      <c r="AB154">
        <f>IF(Allocation!D154="","",AA154-T154)</f>
        <v>133089.487670458</v>
      </c>
      <c r="AC154">
        <f>IF(Allocation!D154="","",_CALC_ALLOC!AR154)</f>
        <v>0</v>
      </c>
    </row>
    <row r="155" ht="14.25" customHeight="1">
      <c r="A155" t="s">
        <v>191</v>
      </c>
      <c r="B155" t="s">
        <v>192</v>
      </c>
      <c r="C155" t="s">
        <v>211</v>
      </c>
      <c r="D155" t="s">
        <v>95</v>
      </c>
      <c r="E155" t="s">
        <v>236</v>
      </c>
      <c r="F155" t="s">
        <v>205</v>
      </c>
      <c r="G155" t="s">
        <v>207</v>
      </c>
      <c r="H155" t="s">
        <v>197</v>
      </c>
      <c r="I155">
        <v>31</v>
      </c>
      <c r="J155">
        <v>2</v>
      </c>
      <c r="K155">
        <v>180420</v>
      </c>
      <c r="L155">
        <v>26144.406779661</v>
      </c>
      <c r="M155">
        <v>56630.593220339</v>
      </c>
      <c r="N155">
        <v>11863.650793651</v>
      </c>
      <c r="O155">
        <v>89476.579365079</v>
      </c>
      <c r="P155">
        <v>39453.861815676</v>
      </c>
      <c r="Q155">
        <v>38008.057573312</v>
      </c>
      <c r="R155">
        <v>185561.034401095</v>
      </c>
      <c r="S155">
        <v>223569.091974406</v>
      </c>
      <c r="T155">
        <v>-43149.091974406</v>
      </c>
      <c r="V155">
        <f>IF(Allocation!D155="","",_CALC_ALLOC!AI155)</f>
        <v>26144.406779661</v>
      </c>
      <c r="W155">
        <f>IF(Allocation!D155="","",_CALC_ALLOC!AJ155)</f>
        <v>56630.593220339</v>
      </c>
      <c r="X155">
        <f>IF(Allocation!D155="","",_CALC_ALLOC!AK155)</f>
        <v>11863.6507936508</v>
      </c>
      <c r="Y155">
        <f>IF(Allocation!D155="","",_CALC_ALLOC!AL155)</f>
        <v>0</v>
      </c>
      <c r="Z155">
        <f>IF(Allocation!D155="","",_CALC_ALLOC!AM155)</f>
        <v>0</v>
      </c>
      <c r="AA155">
        <f>IF(Allocation!D155="","",_CALC_ALLOC!AN155)</f>
        <v>85781.3492063492</v>
      </c>
      <c r="AB155">
        <f>IF(Allocation!D155="","",AA155-T155)</f>
        <v>128930.441180755</v>
      </c>
      <c r="AC155">
        <f>IF(Allocation!D155="","",_CALC_ALLOC!AR155)</f>
        <v>0</v>
      </c>
    </row>
    <row r="156" ht="14.25" customHeight="1">
      <c r="A156" t="s">
        <v>191</v>
      </c>
      <c r="B156" t="s">
        <v>192</v>
      </c>
      <c r="C156" t="s">
        <v>211</v>
      </c>
      <c r="D156" t="s">
        <v>95</v>
      </c>
      <c r="E156" t="s">
        <v>236</v>
      </c>
      <c r="F156" t="s">
        <v>208</v>
      </c>
      <c r="G156" t="s">
        <v>194</v>
      </c>
      <c r="H156" t="s">
        <v>197</v>
      </c>
      <c r="I156">
        <v>32</v>
      </c>
      <c r="J156">
        <v>2</v>
      </c>
      <c r="K156">
        <v>220160</v>
      </c>
      <c r="L156">
        <v>17927.593220339</v>
      </c>
      <c r="M156">
        <v>38832.406779661</v>
      </c>
      <c r="N156">
        <v>21323.849206349</v>
      </c>
      <c r="O156">
        <v>92362.920634921</v>
      </c>
      <c r="P156">
        <v>40726.567035537</v>
      </c>
      <c r="Q156">
        <v>39251.442426688</v>
      </c>
      <c r="R156">
        <v>171921.894450118</v>
      </c>
      <c r="S156">
        <v>211173.336876807</v>
      </c>
      <c r="T156">
        <v>8986.663123193</v>
      </c>
      <c r="V156">
        <f>IF(Allocation!D156="","",_CALC_ALLOC!AI156)</f>
        <v>17927.593220339</v>
      </c>
      <c r="W156">
        <f>IF(Allocation!D156="","",_CALC_ALLOC!AJ156)</f>
        <v>38832.406779661</v>
      </c>
      <c r="X156">
        <f>IF(Allocation!D156="","",_CALC_ALLOC!AK156)</f>
        <v>21323.8492063492</v>
      </c>
      <c r="Y156">
        <f>IF(Allocation!D156="","",_CALC_ALLOC!AL156)</f>
        <v>0</v>
      </c>
      <c r="Z156">
        <f>IF(Allocation!D156="","",_CALC_ALLOC!AM156)</f>
        <v>0</v>
      </c>
      <c r="AA156">
        <f>IF(Allocation!D156="","",_CALC_ALLOC!AN156)</f>
        <v>142076.150793651</v>
      </c>
      <c r="AB156">
        <f>IF(Allocation!D156="","",AA156-T156)</f>
        <v>133089.487670458</v>
      </c>
      <c r="AC156">
        <f>IF(Allocation!D156="","",_CALC_ALLOC!AR156)</f>
        <v>0</v>
      </c>
    </row>
    <row r="157" ht="14.25" customHeight="1">
      <c r="A157" t="s">
        <v>191</v>
      </c>
      <c r="B157" t="s">
        <v>192</v>
      </c>
      <c r="C157" t="s">
        <v>211</v>
      </c>
      <c r="D157" t="s">
        <v>95</v>
      </c>
      <c r="E157" t="s">
        <v>236</v>
      </c>
      <c r="F157" t="s">
        <v>208</v>
      </c>
      <c r="G157" t="s">
        <v>198</v>
      </c>
      <c r="H157" t="s">
        <v>197</v>
      </c>
      <c r="I157">
        <v>31</v>
      </c>
      <c r="J157">
        <v>2</v>
      </c>
      <c r="K157">
        <v>210490</v>
      </c>
      <c r="L157">
        <v>17927.593220339</v>
      </c>
      <c r="M157">
        <v>38832.406779661</v>
      </c>
      <c r="N157">
        <v>11863.650793651</v>
      </c>
      <c r="O157">
        <v>89476.579365079</v>
      </c>
      <c r="P157">
        <v>39453.861815676</v>
      </c>
      <c r="Q157">
        <v>29791.24401399</v>
      </c>
      <c r="R157">
        <v>167762.847960417</v>
      </c>
      <c r="S157">
        <v>197554.091974406</v>
      </c>
      <c r="T157">
        <v>12935.908025594</v>
      </c>
      <c r="V157">
        <f>IF(Allocation!D157="","",_CALC_ALLOC!AI157)</f>
        <v>17927.593220339</v>
      </c>
      <c r="W157">
        <f>IF(Allocation!D157="","",_CALC_ALLOC!AJ157)</f>
        <v>38832.406779661</v>
      </c>
      <c r="X157">
        <f>IF(Allocation!D157="","",_CALC_ALLOC!AK157)</f>
        <v>11863.6507936508</v>
      </c>
      <c r="Y157">
        <f>IF(Allocation!D157="","",_CALC_ALLOC!AL157)</f>
        <v>0</v>
      </c>
      <c r="Z157">
        <f>IF(Allocation!D157="","",_CALC_ALLOC!AM157)</f>
        <v>0</v>
      </c>
      <c r="AA157">
        <f>IF(Allocation!D157="","",_CALC_ALLOC!AN157)</f>
        <v>141866.349206349</v>
      </c>
      <c r="AB157">
        <f>IF(Allocation!D157="","",AA157-T157)</f>
        <v>128930.441180755</v>
      </c>
      <c r="AC157">
        <f>IF(Allocation!D157="","",_CALC_ALLOC!AR157)</f>
        <v>0</v>
      </c>
    </row>
    <row r="158" ht="14.25" customHeight="1">
      <c r="A158" t="s">
        <v>191</v>
      </c>
      <c r="B158" t="s">
        <v>192</v>
      </c>
      <c r="C158" t="s">
        <v>25</v>
      </c>
      <c r="D158" t="s">
        <v>96</v>
      </c>
      <c r="E158" t="s">
        <v>237</v>
      </c>
      <c r="F158" t="s">
        <v>209</v>
      </c>
      <c r="G158" t="s">
        <v>194</v>
      </c>
      <c r="H158" t="s">
        <v>197</v>
      </c>
      <c r="I158">
        <v>47</v>
      </c>
      <c r="J158">
        <v>2</v>
      </c>
      <c r="K158">
        <v>372710</v>
      </c>
      <c r="L158">
        <v>24146</v>
      </c>
      <c r="M158">
        <v>80693.666666667</v>
      </c>
      <c r="N158">
        <v>47728.427536232</v>
      </c>
      <c r="O158">
        <v>184851</v>
      </c>
      <c r="P158">
        <v>62017.661014661</v>
      </c>
      <c r="Q158">
        <v>71874.427536232</v>
      </c>
      <c r="R158">
        <v>327562.327681328</v>
      </c>
      <c r="S158">
        <v>399436.75521756</v>
      </c>
      <c r="T158">
        <v>-26726.75521756</v>
      </c>
      <c r="V158">
        <f>IF(Allocation!D158="","",_CALC_ALLOC!AI158)</f>
        <v>24146</v>
      </c>
      <c r="W158">
        <f>IF(Allocation!D158="","",_CALC_ALLOC!AJ158)</f>
        <v>80693.6666666667</v>
      </c>
      <c r="X158">
        <f>IF(Allocation!D158="","",_CALC_ALLOC!AK158)</f>
        <v>47728.4275362319</v>
      </c>
      <c r="Y158">
        <f>IF(Allocation!D158="","",_CALC_ALLOC!AL158)</f>
        <v>0</v>
      </c>
      <c r="Z158">
        <f>IF(Allocation!D158="","",_CALC_ALLOC!AM158)</f>
        <v>0</v>
      </c>
      <c r="AA158">
        <f>IF(Allocation!D158="","",_CALC_ALLOC!AN158)</f>
        <v>220141.905797101</v>
      </c>
      <c r="AB158">
        <f>IF(Allocation!D158="","",AA158-T158)</f>
        <v>246868.661014661</v>
      </c>
      <c r="AC158">
        <f>IF(Allocation!D158="","",_CALC_ALLOC!AR158)</f>
        <v>0</v>
      </c>
    </row>
    <row r="159" ht="14.25" customHeight="1">
      <c r="A159" t="s">
        <v>191</v>
      </c>
      <c r="B159" t="s">
        <v>192</v>
      </c>
      <c r="C159" t="s">
        <v>25</v>
      </c>
      <c r="D159" t="s">
        <v>96</v>
      </c>
      <c r="E159" t="s">
        <v>237</v>
      </c>
      <c r="F159" t="s">
        <v>209</v>
      </c>
      <c r="G159" t="s">
        <v>196</v>
      </c>
      <c r="H159" t="s">
        <v>197</v>
      </c>
      <c r="I159">
        <v>46</v>
      </c>
      <c r="J159">
        <v>2</v>
      </c>
      <c r="K159">
        <v>360640</v>
      </c>
      <c r="L159">
        <v>24146</v>
      </c>
      <c r="M159">
        <v>80693.666666667</v>
      </c>
      <c r="N159">
        <v>17116.333333333</v>
      </c>
      <c r="O159">
        <v>180918</v>
      </c>
      <c r="P159">
        <v>60698.136312222</v>
      </c>
      <c r="Q159">
        <v>41262.333333333</v>
      </c>
      <c r="R159">
        <v>322309.802978889</v>
      </c>
      <c r="S159">
        <v>363572.136312222</v>
      </c>
      <c r="T159">
        <v>-2932.136312222</v>
      </c>
      <c r="V159">
        <f>IF(Allocation!D159="","",_CALC_ALLOC!AI159)</f>
        <v>24146</v>
      </c>
      <c r="W159">
        <f>IF(Allocation!D159="","",_CALC_ALLOC!AJ159)</f>
        <v>80693.6666666667</v>
      </c>
      <c r="X159">
        <f>IF(Allocation!D159="","",_CALC_ALLOC!AK159)</f>
        <v>17116.3333333333</v>
      </c>
      <c r="Y159">
        <f>IF(Allocation!D159="","",_CALC_ALLOC!AL159)</f>
        <v>0</v>
      </c>
      <c r="Z159">
        <f>IF(Allocation!D159="","",_CALC_ALLOC!AM159)</f>
        <v>0</v>
      </c>
      <c r="AA159">
        <f>IF(Allocation!D159="","",_CALC_ALLOC!AN159)</f>
        <v>238684</v>
      </c>
      <c r="AB159">
        <f>IF(Allocation!D159="","",AA159-T159)</f>
        <v>241616.136312222</v>
      </c>
      <c r="AC159">
        <f>IF(Allocation!D159="","",_CALC_ALLOC!AR159)</f>
        <v>0</v>
      </c>
    </row>
    <row r="160" ht="14.25" customHeight="1">
      <c r="A160" t="s">
        <v>191</v>
      </c>
      <c r="B160" t="s">
        <v>192</v>
      </c>
      <c r="C160" t="s">
        <v>25</v>
      </c>
      <c r="D160" t="s">
        <v>96</v>
      </c>
      <c r="E160" t="s">
        <v>237</v>
      </c>
      <c r="F160" t="s">
        <v>209</v>
      </c>
      <c r="G160" t="s">
        <v>198</v>
      </c>
      <c r="H160" t="s">
        <v>197</v>
      </c>
      <c r="I160">
        <v>45</v>
      </c>
      <c r="J160">
        <v>2</v>
      </c>
      <c r="K160">
        <v>352800</v>
      </c>
      <c r="L160">
        <v>24146</v>
      </c>
      <c r="M160">
        <v>80693.666666667</v>
      </c>
      <c r="N160">
        <v>16744.239130435</v>
      </c>
      <c r="O160">
        <v>176985</v>
      </c>
      <c r="P160">
        <v>59378.611609782</v>
      </c>
      <c r="Q160">
        <v>40890.239130435</v>
      </c>
      <c r="R160">
        <v>317057.278276449</v>
      </c>
      <c r="S160">
        <v>357947.517406884</v>
      </c>
      <c r="T160">
        <v>-5147.517406884</v>
      </c>
      <c r="V160">
        <f>IF(Allocation!D160="","",_CALC_ALLOC!AI160)</f>
        <v>24146</v>
      </c>
      <c r="W160">
        <f>IF(Allocation!D160="","",_CALC_ALLOC!AJ160)</f>
        <v>80693.6666666667</v>
      </c>
      <c r="X160">
        <f>IF(Allocation!D160="","",_CALC_ALLOC!AK160)</f>
        <v>16744.2391304348</v>
      </c>
      <c r="Y160">
        <f>IF(Allocation!D160="","",_CALC_ALLOC!AL160)</f>
        <v>0</v>
      </c>
      <c r="Z160">
        <f>IF(Allocation!D160="","",_CALC_ALLOC!AM160)</f>
        <v>0</v>
      </c>
      <c r="AA160">
        <f>IF(Allocation!D160="","",_CALC_ALLOC!AN160)</f>
        <v>231216.094202899</v>
      </c>
      <c r="AB160">
        <f>IF(Allocation!D160="","",AA160-T160)</f>
        <v>236363.611609783</v>
      </c>
      <c r="AC160">
        <f>IF(Allocation!D160="","",_CALC_ALLOC!AR160)</f>
        <v>0</v>
      </c>
    </row>
    <row r="161" ht="14.25" customHeight="1">
      <c r="A161" t="s">
        <v>191</v>
      </c>
      <c r="B161" t="s">
        <v>192</v>
      </c>
      <c r="C161" t="s">
        <v>210</v>
      </c>
      <c r="D161" t="s">
        <v>96</v>
      </c>
      <c r="E161" t="s">
        <v>237</v>
      </c>
      <c r="F161" t="s">
        <v>209</v>
      </c>
      <c r="G161" t="s">
        <v>194</v>
      </c>
      <c r="H161" t="s">
        <v>197</v>
      </c>
      <c r="I161">
        <v>44</v>
      </c>
      <c r="J161">
        <v>2</v>
      </c>
      <c r="K161">
        <v>348920</v>
      </c>
      <c r="L161">
        <v>23045.666666667</v>
      </c>
      <c r="M161">
        <v>77017.333333333</v>
      </c>
      <c r="N161">
        <v>44207.589147287</v>
      </c>
      <c r="O161">
        <v>176691.379844961</v>
      </c>
      <c r="P161">
        <v>57761.063482042</v>
      </c>
      <c r="Q161">
        <v>67253.255813953</v>
      </c>
      <c r="R161">
        <v>311469.776660337</v>
      </c>
      <c r="S161">
        <v>378723.032474291</v>
      </c>
      <c r="T161">
        <v>-29803.032474291</v>
      </c>
      <c r="V161">
        <f>IF(Allocation!D161="","",_CALC_ALLOC!AI161)</f>
        <v>23045.6666666667</v>
      </c>
      <c r="W161">
        <f>IF(Allocation!D161="","",_CALC_ALLOC!AJ161)</f>
        <v>77017.3333333333</v>
      </c>
      <c r="X161">
        <f>IF(Allocation!D161="","",_CALC_ALLOC!AK161)</f>
        <v>44207.5891472868</v>
      </c>
      <c r="Y161">
        <f>IF(Allocation!D161="","",_CALC_ALLOC!AL161)</f>
        <v>0</v>
      </c>
      <c r="Z161">
        <f>IF(Allocation!D161="","",_CALC_ALLOC!AM161)</f>
        <v>0</v>
      </c>
      <c r="AA161">
        <f>IF(Allocation!D161="","",_CALC_ALLOC!AN161)</f>
        <v>204649.410852713</v>
      </c>
      <c r="AB161">
        <f>IF(Allocation!D161="","",AA161-T161)</f>
        <v>234452.443327004</v>
      </c>
      <c r="AC161">
        <f>IF(Allocation!D161="","",_CALC_ALLOC!AR161)</f>
        <v>0</v>
      </c>
    </row>
    <row r="162" ht="14.25" customHeight="1">
      <c r="A162" t="s">
        <v>191</v>
      </c>
      <c r="B162" t="s">
        <v>192</v>
      </c>
      <c r="C162" t="s">
        <v>210</v>
      </c>
      <c r="D162" t="s">
        <v>96</v>
      </c>
      <c r="E162" t="s">
        <v>237</v>
      </c>
      <c r="F162" t="s">
        <v>209</v>
      </c>
      <c r="G162" t="s">
        <v>196</v>
      </c>
      <c r="H162" t="s">
        <v>197</v>
      </c>
      <c r="I162">
        <v>43</v>
      </c>
      <c r="J162">
        <v>2</v>
      </c>
      <c r="K162">
        <v>337120</v>
      </c>
      <c r="L162">
        <v>23045.666666667</v>
      </c>
      <c r="M162">
        <v>77017.333333333</v>
      </c>
      <c r="N162">
        <v>16336.666666667</v>
      </c>
      <c r="O162">
        <v>172675.666666667</v>
      </c>
      <c r="P162">
        <v>56448.312039269</v>
      </c>
      <c r="Q162">
        <v>39382.333333333</v>
      </c>
      <c r="R162">
        <v>306141.312039269</v>
      </c>
      <c r="S162">
        <v>345523.645372602</v>
      </c>
      <c r="T162">
        <v>-8403.645372602</v>
      </c>
      <c r="V162">
        <f>IF(Allocation!D162="","",_CALC_ALLOC!AI162)</f>
        <v>23045.6666666667</v>
      </c>
      <c r="W162">
        <f>IF(Allocation!D162="","",_CALC_ALLOC!AJ162)</f>
        <v>77017.3333333333</v>
      </c>
      <c r="X162">
        <f>IF(Allocation!D162="","",_CALC_ALLOC!AK162)</f>
        <v>16336.6666666667</v>
      </c>
      <c r="Y162">
        <f>IF(Allocation!D162="","",_CALC_ALLOC!AL162)</f>
        <v>0</v>
      </c>
      <c r="Z162">
        <f>IF(Allocation!D162="","",_CALC_ALLOC!AM162)</f>
        <v>0</v>
      </c>
      <c r="AA162">
        <f>IF(Allocation!D162="","",_CALC_ALLOC!AN162)</f>
        <v>220720.333333333</v>
      </c>
      <c r="AB162">
        <f>IF(Allocation!D162="","",AA162-T162)</f>
        <v>229123.978705935</v>
      </c>
      <c r="AC162">
        <f>IF(Allocation!D162="","",_CALC_ALLOC!AR162)</f>
        <v>0</v>
      </c>
    </row>
    <row r="163" ht="14.25" customHeight="1">
      <c r="A163" t="s">
        <v>191</v>
      </c>
      <c r="B163" t="s">
        <v>192</v>
      </c>
      <c r="C163" t="s">
        <v>210</v>
      </c>
      <c r="D163" t="s">
        <v>96</v>
      </c>
      <c r="E163" t="s">
        <v>237</v>
      </c>
      <c r="F163" t="s">
        <v>209</v>
      </c>
      <c r="G163" t="s">
        <v>198</v>
      </c>
      <c r="H163" t="s">
        <v>197</v>
      </c>
      <c r="I163">
        <v>42</v>
      </c>
      <c r="J163">
        <v>2</v>
      </c>
      <c r="K163">
        <v>329280</v>
      </c>
      <c r="L163">
        <v>23045.666666667</v>
      </c>
      <c r="M163">
        <v>77017.333333333</v>
      </c>
      <c r="N163">
        <v>15956.744186047</v>
      </c>
      <c r="O163">
        <v>168659.953488372</v>
      </c>
      <c r="P163">
        <v>55135.560596495</v>
      </c>
      <c r="Q163">
        <v>39002.410852713</v>
      </c>
      <c r="R163">
        <v>300812.847418201</v>
      </c>
      <c r="S163">
        <v>339815.258270914</v>
      </c>
      <c r="T163">
        <v>-10535.258270914</v>
      </c>
      <c r="V163">
        <f>IF(Allocation!D163="","",_CALC_ALLOC!AI163)</f>
        <v>23045.6666666667</v>
      </c>
      <c r="W163">
        <f>IF(Allocation!D163="","",_CALC_ALLOC!AJ163)</f>
        <v>77017.3333333333</v>
      </c>
      <c r="X163">
        <f>IF(Allocation!D163="","",_CALC_ALLOC!AK163)</f>
        <v>15956.7441860465</v>
      </c>
      <c r="Y163">
        <f>IF(Allocation!D163="","",_CALC_ALLOC!AL163)</f>
        <v>0</v>
      </c>
      <c r="Z163">
        <f>IF(Allocation!D163="","",_CALC_ALLOC!AM163)</f>
        <v>0</v>
      </c>
      <c r="AA163">
        <f>IF(Allocation!D163="","",_CALC_ALLOC!AN163)</f>
        <v>213260.255813953</v>
      </c>
      <c r="AB163">
        <f>IF(Allocation!D163="","",AA163-T163)</f>
        <v>223795.514084867</v>
      </c>
      <c r="AC163">
        <f>IF(Allocation!D163="","",_CALC_ALLOC!AR163)</f>
        <v>0</v>
      </c>
    </row>
    <row r="164" ht="14.25" customHeight="1">
      <c r="A164" t="s">
        <v>191</v>
      </c>
      <c r="B164" t="s">
        <v>192</v>
      </c>
      <c r="C164" t="s">
        <v>211</v>
      </c>
      <c r="D164" t="s">
        <v>96</v>
      </c>
      <c r="E164" t="s">
        <v>237</v>
      </c>
      <c r="F164" t="s">
        <v>209</v>
      </c>
      <c r="G164" t="s">
        <v>194</v>
      </c>
      <c r="H164" t="s">
        <v>197</v>
      </c>
      <c r="I164">
        <v>42</v>
      </c>
      <c r="J164">
        <v>2</v>
      </c>
      <c r="K164">
        <v>333060</v>
      </c>
      <c r="L164">
        <v>22036</v>
      </c>
      <c r="M164">
        <v>73643</v>
      </c>
      <c r="N164">
        <v>40993.658536585</v>
      </c>
      <c r="O164">
        <v>169137.414634146</v>
      </c>
      <c r="P164">
        <v>54535.087465693</v>
      </c>
      <c r="Q164">
        <v>63029.658536585</v>
      </c>
      <c r="R164">
        <v>297315.50209984</v>
      </c>
      <c r="S164">
        <v>360345.160636425</v>
      </c>
      <c r="T164">
        <v>-27285.160636425</v>
      </c>
      <c r="V164">
        <f>IF(Allocation!D164="","",_CALC_ALLOC!AI164)</f>
        <v>22036</v>
      </c>
      <c r="W164">
        <f>IF(Allocation!D164="","",_CALC_ALLOC!AJ164)</f>
        <v>73643</v>
      </c>
      <c r="X164">
        <f>IF(Allocation!D164="","",_CALC_ALLOC!AK164)</f>
        <v>40993.6585365854</v>
      </c>
      <c r="Y164">
        <f>IF(Allocation!D164="","",_CALC_ALLOC!AL164)</f>
        <v>0</v>
      </c>
      <c r="Z164">
        <f>IF(Allocation!D164="","",_CALC_ALLOC!AM164)</f>
        <v>0</v>
      </c>
      <c r="AA164">
        <f>IF(Allocation!D164="","",_CALC_ALLOC!AN164)</f>
        <v>196387.341463415</v>
      </c>
      <c r="AB164">
        <f>IF(Allocation!D164="","",AA164-T164)</f>
        <v>223672.50209984</v>
      </c>
      <c r="AC164">
        <f>IF(Allocation!D164="","",_CALC_ALLOC!AR164)</f>
        <v>0</v>
      </c>
    </row>
    <row r="165" ht="14.25" customHeight="1">
      <c r="A165" t="s">
        <v>191</v>
      </c>
      <c r="B165" t="s">
        <v>192</v>
      </c>
      <c r="C165" t="s">
        <v>211</v>
      </c>
      <c r="D165" t="s">
        <v>96</v>
      </c>
      <c r="E165" t="s">
        <v>237</v>
      </c>
      <c r="F165" t="s">
        <v>209</v>
      </c>
      <c r="G165" t="s">
        <v>196</v>
      </c>
      <c r="H165" t="s">
        <v>197</v>
      </c>
      <c r="I165">
        <v>41</v>
      </c>
      <c r="J165">
        <v>2</v>
      </c>
      <c r="K165">
        <v>321440</v>
      </c>
      <c r="L165">
        <v>22036</v>
      </c>
      <c r="M165">
        <v>73643</v>
      </c>
      <c r="N165">
        <v>15620.666666667</v>
      </c>
      <c r="O165">
        <v>165110.333333333</v>
      </c>
      <c r="P165">
        <v>53236.633002224</v>
      </c>
      <c r="Q165">
        <v>37656.666666667</v>
      </c>
      <c r="R165">
        <v>291989.966335558</v>
      </c>
      <c r="S165">
        <v>329646.633002224</v>
      </c>
      <c r="T165">
        <v>-8206.633002224</v>
      </c>
      <c r="V165">
        <f>IF(Allocation!D165="","",_CALC_ALLOC!AI165)</f>
        <v>22036</v>
      </c>
      <c r="W165">
        <f>IF(Allocation!D165="","",_CALC_ALLOC!AJ165)</f>
        <v>73643</v>
      </c>
      <c r="X165">
        <f>IF(Allocation!D165="","",_CALC_ALLOC!AK165)</f>
        <v>15620.6666666667</v>
      </c>
      <c r="Y165">
        <f>IF(Allocation!D165="","",_CALC_ALLOC!AL165)</f>
        <v>0</v>
      </c>
      <c r="Z165">
        <f>IF(Allocation!D165="","",_CALC_ALLOC!AM165)</f>
        <v>0</v>
      </c>
      <c r="AA165">
        <f>IF(Allocation!D165="","",_CALC_ALLOC!AN165)</f>
        <v>210140.333333333</v>
      </c>
      <c r="AB165">
        <f>IF(Allocation!D165="","",AA165-T165)</f>
        <v>218346.966335557</v>
      </c>
      <c r="AC165">
        <f>IF(Allocation!D165="","",_CALC_ALLOC!AR165)</f>
        <v>0</v>
      </c>
    </row>
    <row r="166" ht="14.25" customHeight="1">
      <c r="A166" t="s">
        <v>191</v>
      </c>
      <c r="B166" t="s">
        <v>192</v>
      </c>
      <c r="C166" t="s">
        <v>211</v>
      </c>
      <c r="D166" t="s">
        <v>96</v>
      </c>
      <c r="E166" t="s">
        <v>237</v>
      </c>
      <c r="F166" t="s">
        <v>209</v>
      </c>
      <c r="G166" t="s">
        <v>198</v>
      </c>
      <c r="H166" t="s">
        <v>197</v>
      </c>
      <c r="I166">
        <v>40</v>
      </c>
      <c r="J166">
        <v>2</v>
      </c>
      <c r="K166">
        <v>313600</v>
      </c>
      <c r="L166">
        <v>22036</v>
      </c>
      <c r="M166">
        <v>73643</v>
      </c>
      <c r="N166">
        <v>15239.674796748</v>
      </c>
      <c r="O166">
        <v>161083.25203252</v>
      </c>
      <c r="P166">
        <v>51938.178538756</v>
      </c>
      <c r="Q166">
        <v>37275.674796748</v>
      </c>
      <c r="R166">
        <v>286664.430571276</v>
      </c>
      <c r="S166">
        <v>323940.105368024</v>
      </c>
      <c r="T166">
        <v>-10340.105368024</v>
      </c>
      <c r="V166">
        <f>IF(Allocation!D166="","",_CALC_ALLOC!AI166)</f>
        <v>22036</v>
      </c>
      <c r="W166">
        <f>IF(Allocation!D166="","",_CALC_ALLOC!AJ166)</f>
        <v>73643</v>
      </c>
      <c r="X166">
        <f>IF(Allocation!D166="","",_CALC_ALLOC!AK166)</f>
        <v>15239.674796748</v>
      </c>
      <c r="Y166">
        <f>IF(Allocation!D166="","",_CALC_ALLOC!AL166)</f>
        <v>0</v>
      </c>
      <c r="Z166">
        <f>IF(Allocation!D166="","",_CALC_ALLOC!AM166)</f>
        <v>0</v>
      </c>
      <c r="AA166">
        <f>IF(Allocation!D166="","",_CALC_ALLOC!AN166)</f>
        <v>202681.325203252</v>
      </c>
      <c r="AB166">
        <f>IF(Allocation!D166="","",AA166-T166)</f>
        <v>213021.430571276</v>
      </c>
      <c r="AC166">
        <f>IF(Allocation!D166="","",_CALC_ALLOC!AR166)</f>
        <v>0</v>
      </c>
    </row>
    <row r="167" ht="14.25" customHeight="1">
      <c r="A167" t="s">
        <v>191</v>
      </c>
      <c r="B167" t="s">
        <v>192</v>
      </c>
      <c r="C167" t="s">
        <v>25</v>
      </c>
      <c r="D167" t="s">
        <v>97</v>
      </c>
      <c r="E167" t="s">
        <v>237</v>
      </c>
      <c r="F167" t="s">
        <v>209</v>
      </c>
      <c r="G167" t="s">
        <v>194</v>
      </c>
      <c r="H167" t="s">
        <v>197</v>
      </c>
      <c r="I167">
        <v>40</v>
      </c>
      <c r="J167">
        <v>2</v>
      </c>
      <c r="K167">
        <v>297600</v>
      </c>
      <c r="L167">
        <v>24146</v>
      </c>
      <c r="M167">
        <v>55788</v>
      </c>
      <c r="N167">
        <v>33733.760683761</v>
      </c>
      <c r="O167">
        <v>115422.564102564</v>
      </c>
      <c r="P167">
        <v>49495.808519076</v>
      </c>
      <c r="Q167">
        <v>57879.760683761</v>
      </c>
      <c r="R167">
        <v>220706.37262164</v>
      </c>
      <c r="S167">
        <v>278586.1333054</v>
      </c>
      <c r="T167">
        <v>19013.8666946</v>
      </c>
      <c r="V167">
        <f>IF(Allocation!D167="","",_CALC_ALLOC!AI167)</f>
        <v>24146</v>
      </c>
      <c r="W167">
        <f>IF(Allocation!D167="","",_CALC_ALLOC!AJ167)</f>
        <v>55788</v>
      </c>
      <c r="X167">
        <f>IF(Allocation!D167="","",_CALC_ALLOC!AK167)</f>
        <v>33733.7606837607</v>
      </c>
      <c r="Y167">
        <f>IF(Allocation!D167="","",_CALC_ALLOC!AL167)</f>
        <v>0</v>
      </c>
      <c r="Z167">
        <f>IF(Allocation!D167="","",_CALC_ALLOC!AM167)</f>
        <v>0</v>
      </c>
      <c r="AA167">
        <f>IF(Allocation!D167="","",_CALC_ALLOC!AN167)</f>
        <v>183932.239316239</v>
      </c>
      <c r="AB167">
        <f>IF(Allocation!D167="","",AA167-T167)</f>
        <v>164918.372621639</v>
      </c>
      <c r="AC167">
        <f>IF(Allocation!D167="","",_CALC_ALLOC!AR167)</f>
        <v>0</v>
      </c>
    </row>
    <row r="168" ht="14.25" customHeight="1">
      <c r="A168" t="s">
        <v>191</v>
      </c>
      <c r="B168" t="s">
        <v>192</v>
      </c>
      <c r="C168" t="s">
        <v>25</v>
      </c>
      <c r="D168" t="s">
        <v>97</v>
      </c>
      <c r="E168" t="s">
        <v>237</v>
      </c>
      <c r="F168" t="s">
        <v>209</v>
      </c>
      <c r="G168" t="s">
        <v>196</v>
      </c>
      <c r="H168" t="s">
        <v>197</v>
      </c>
      <c r="I168">
        <v>39</v>
      </c>
      <c r="J168">
        <v>2</v>
      </c>
      <c r="K168">
        <v>286650</v>
      </c>
      <c r="L168">
        <v>24146</v>
      </c>
      <c r="M168">
        <v>55788</v>
      </c>
      <c r="N168">
        <v>14511.666666667</v>
      </c>
      <c r="O168">
        <v>112537</v>
      </c>
      <c r="P168">
        <v>48258.413306099</v>
      </c>
      <c r="Q168">
        <v>38657.666666667</v>
      </c>
      <c r="R168">
        <v>216583.413306099</v>
      </c>
      <c r="S168">
        <v>255241.079972765</v>
      </c>
      <c r="T168">
        <v>31408.920027235</v>
      </c>
      <c r="V168">
        <f>IF(Allocation!D168="","",_CALC_ALLOC!AI168)</f>
        <v>24146</v>
      </c>
      <c r="W168">
        <f>IF(Allocation!D168="","",_CALC_ALLOC!AJ168)</f>
        <v>55788</v>
      </c>
      <c r="X168">
        <f>IF(Allocation!D168="","",_CALC_ALLOC!AK168)</f>
        <v>14511.6666666667</v>
      </c>
      <c r="Y168">
        <f>IF(Allocation!D168="","",_CALC_ALLOC!AL168)</f>
        <v>0</v>
      </c>
      <c r="Z168">
        <f>IF(Allocation!D168="","",_CALC_ALLOC!AM168)</f>
        <v>0</v>
      </c>
      <c r="AA168">
        <f>IF(Allocation!D168="","",_CALC_ALLOC!AN168)</f>
        <v>192204.333333333</v>
      </c>
      <c r="AB168">
        <f>IF(Allocation!D168="","",AA168-T168)</f>
        <v>160795.413306098</v>
      </c>
      <c r="AC168">
        <f>IF(Allocation!D168="","",_CALC_ALLOC!AR168)</f>
        <v>0</v>
      </c>
    </row>
    <row r="169" ht="14.25" customHeight="1">
      <c r="A169" t="s">
        <v>191</v>
      </c>
      <c r="B169" t="s">
        <v>192</v>
      </c>
      <c r="C169" t="s">
        <v>25</v>
      </c>
      <c r="D169" t="s">
        <v>97</v>
      </c>
      <c r="E169" t="s">
        <v>237</v>
      </c>
      <c r="F169" t="s">
        <v>209</v>
      </c>
      <c r="G169" t="s">
        <v>198</v>
      </c>
      <c r="H169" t="s">
        <v>197</v>
      </c>
      <c r="I169">
        <v>38</v>
      </c>
      <c r="J169">
        <v>2</v>
      </c>
      <c r="K169">
        <v>279300</v>
      </c>
      <c r="L169">
        <v>24146</v>
      </c>
      <c r="M169">
        <v>55788</v>
      </c>
      <c r="N169">
        <v>14139.572649573</v>
      </c>
      <c r="O169">
        <v>109651.435897436</v>
      </c>
      <c r="P169">
        <v>47021.018093122</v>
      </c>
      <c r="Q169">
        <v>38285.572649573</v>
      </c>
      <c r="R169">
        <v>212460.453990558</v>
      </c>
      <c r="S169">
        <v>250746.02664013</v>
      </c>
      <c r="T169">
        <v>28553.97335987</v>
      </c>
      <c r="V169">
        <f>IF(Allocation!D169="","",_CALC_ALLOC!AI169)</f>
        <v>24146</v>
      </c>
      <c r="W169">
        <f>IF(Allocation!D169="","",_CALC_ALLOC!AJ169)</f>
        <v>55788</v>
      </c>
      <c r="X169">
        <f>IF(Allocation!D169="","",_CALC_ALLOC!AK169)</f>
        <v>14139.5726495727</v>
      </c>
      <c r="Y169">
        <f>IF(Allocation!D169="","",_CALC_ALLOC!AL169)</f>
        <v>0</v>
      </c>
      <c r="Z169">
        <f>IF(Allocation!D169="","",_CALC_ALLOC!AM169)</f>
        <v>0</v>
      </c>
      <c r="AA169">
        <f>IF(Allocation!D169="","",_CALC_ALLOC!AN169)</f>
        <v>185226.427350427</v>
      </c>
      <c r="AB169">
        <f>IF(Allocation!D169="","",AA169-T169)</f>
        <v>156672.453990557</v>
      </c>
      <c r="AC169">
        <f>IF(Allocation!D169="","",_CALC_ALLOC!AR169)</f>
        <v>0</v>
      </c>
    </row>
    <row r="170" ht="14.25" customHeight="1">
      <c r="A170" t="s">
        <v>191</v>
      </c>
      <c r="B170" t="s">
        <v>192</v>
      </c>
      <c r="C170" t="s">
        <v>210</v>
      </c>
      <c r="D170" t="s">
        <v>97</v>
      </c>
      <c r="E170" t="s">
        <v>237</v>
      </c>
      <c r="F170" t="s">
        <v>209</v>
      </c>
      <c r="G170" t="s">
        <v>194</v>
      </c>
      <c r="H170" t="s">
        <v>197</v>
      </c>
      <c r="I170">
        <v>38</v>
      </c>
      <c r="J170">
        <v>2</v>
      </c>
      <c r="K170">
        <v>282720</v>
      </c>
      <c r="L170">
        <v>23045.666666667</v>
      </c>
      <c r="M170">
        <v>53246.666666667</v>
      </c>
      <c r="N170">
        <v>31361.009009009</v>
      </c>
      <c r="O170">
        <v>110312.972972973</v>
      </c>
      <c r="P170">
        <v>46779.647342381</v>
      </c>
      <c r="Q170">
        <v>54406.675675676</v>
      </c>
      <c r="R170">
        <v>210339.28698202</v>
      </c>
      <c r="S170">
        <v>264745.962657696</v>
      </c>
      <c r="T170">
        <v>17974.037342304</v>
      </c>
      <c r="V170">
        <f>IF(Allocation!D170="","",_CALC_ALLOC!AI170)</f>
        <v>23045.6666666667</v>
      </c>
      <c r="W170">
        <f>IF(Allocation!D170="","",_CALC_ALLOC!AJ170)</f>
        <v>53246.6666666667</v>
      </c>
      <c r="X170">
        <f>IF(Allocation!D170="","",_CALC_ALLOC!AK170)</f>
        <v>31361.009009009</v>
      </c>
      <c r="Y170">
        <f>IF(Allocation!D170="","",_CALC_ALLOC!AL170)</f>
        <v>0</v>
      </c>
      <c r="Z170">
        <f>IF(Allocation!D170="","",_CALC_ALLOC!AM170)</f>
        <v>0</v>
      </c>
      <c r="AA170">
        <f>IF(Allocation!D170="","",_CALC_ALLOC!AN170)</f>
        <v>175066.657657658</v>
      </c>
      <c r="AB170">
        <f>IF(Allocation!D170="","",AA170-T170)</f>
        <v>157092.620315354</v>
      </c>
      <c r="AC170">
        <f>IF(Allocation!D170="","",_CALC_ALLOC!AR170)</f>
        <v>0</v>
      </c>
    </row>
    <row r="171" ht="14.25" customHeight="1">
      <c r="A171" t="s">
        <v>191</v>
      </c>
      <c r="B171" t="s">
        <v>192</v>
      </c>
      <c r="C171" t="s">
        <v>210</v>
      </c>
      <c r="D171" t="s">
        <v>97</v>
      </c>
      <c r="E171" t="s">
        <v>237</v>
      </c>
      <c r="F171" t="s">
        <v>209</v>
      </c>
      <c r="G171" t="s">
        <v>196</v>
      </c>
      <c r="H171" t="s">
        <v>197</v>
      </c>
      <c r="I171">
        <v>37</v>
      </c>
      <c r="J171">
        <v>2</v>
      </c>
      <c r="K171">
        <v>271950</v>
      </c>
      <c r="L171">
        <v>23045.666666667</v>
      </c>
      <c r="M171">
        <v>53246.666666667</v>
      </c>
      <c r="N171">
        <v>13850.666666667</v>
      </c>
      <c r="O171">
        <v>107410</v>
      </c>
      <c r="P171">
        <v>45548.603991266</v>
      </c>
      <c r="Q171">
        <v>36896.333333333</v>
      </c>
      <c r="R171">
        <v>206205.270657932</v>
      </c>
      <c r="S171">
        <v>243101.603991266</v>
      </c>
      <c r="T171">
        <v>28848.396008734</v>
      </c>
      <c r="V171">
        <f>IF(Allocation!D171="","",_CALC_ALLOC!AI171)</f>
        <v>23045.6666666667</v>
      </c>
      <c r="W171">
        <f>IF(Allocation!D171="","",_CALC_ALLOC!AJ171)</f>
        <v>53246.6666666667</v>
      </c>
      <c r="X171">
        <f>IF(Allocation!D171="","",_CALC_ALLOC!AK171)</f>
        <v>13850.6666666667</v>
      </c>
      <c r="Y171">
        <f>IF(Allocation!D171="","",_CALC_ALLOC!AL171)</f>
        <v>0</v>
      </c>
      <c r="Z171">
        <f>IF(Allocation!D171="","",_CALC_ALLOC!AM171)</f>
        <v>0</v>
      </c>
      <c r="AA171">
        <f>IF(Allocation!D171="","",_CALC_ALLOC!AN171)</f>
        <v>181807</v>
      </c>
      <c r="AB171">
        <f>IF(Allocation!D171="","",AA171-T171)</f>
        <v>152958.603991266</v>
      </c>
      <c r="AC171">
        <f>IF(Allocation!D171="","",_CALC_ALLOC!AR171)</f>
        <v>0</v>
      </c>
    </row>
    <row r="172" ht="14.25" customHeight="1">
      <c r="A172" t="s">
        <v>191</v>
      </c>
      <c r="B172" t="s">
        <v>192</v>
      </c>
      <c r="C172" t="s">
        <v>210</v>
      </c>
      <c r="D172" t="s">
        <v>97</v>
      </c>
      <c r="E172" t="s">
        <v>237</v>
      </c>
      <c r="F172" t="s">
        <v>209</v>
      </c>
      <c r="G172" t="s">
        <v>198</v>
      </c>
      <c r="H172" t="s">
        <v>197</v>
      </c>
      <c r="I172">
        <v>36</v>
      </c>
      <c r="J172">
        <v>2</v>
      </c>
      <c r="K172">
        <v>264600</v>
      </c>
      <c r="L172">
        <v>23045.666666667</v>
      </c>
      <c r="M172">
        <v>53246.666666667</v>
      </c>
      <c r="N172">
        <v>13476.324324324</v>
      </c>
      <c r="O172">
        <v>104507.027027027</v>
      </c>
      <c r="P172">
        <v>44317.56064015</v>
      </c>
      <c r="Q172">
        <v>36521.990990991</v>
      </c>
      <c r="R172">
        <v>202071.254333844</v>
      </c>
      <c r="S172">
        <v>238593.245324835</v>
      </c>
      <c r="T172">
        <v>26006.754675165</v>
      </c>
      <c r="V172">
        <f>IF(Allocation!D172="","",_CALC_ALLOC!AI172)</f>
        <v>23045.6666666667</v>
      </c>
      <c r="W172">
        <f>IF(Allocation!D172="","",_CALC_ALLOC!AJ172)</f>
        <v>53246.6666666667</v>
      </c>
      <c r="X172">
        <f>IF(Allocation!D172="","",_CALC_ALLOC!AK172)</f>
        <v>13476.3243243243</v>
      </c>
      <c r="Y172">
        <f>IF(Allocation!D172="","",_CALC_ALLOC!AL172)</f>
        <v>0</v>
      </c>
      <c r="Z172">
        <f>IF(Allocation!D172="","",_CALC_ALLOC!AM172)</f>
        <v>0</v>
      </c>
      <c r="AA172">
        <f>IF(Allocation!D172="","",_CALC_ALLOC!AN172)</f>
        <v>174831.342342342</v>
      </c>
      <c r="AB172">
        <f>IF(Allocation!D172="","",AA172-T172)</f>
        <v>148824.587667177</v>
      </c>
      <c r="AC172">
        <f>IF(Allocation!D172="","",_CALC_ALLOC!AR172)</f>
        <v>0</v>
      </c>
    </row>
    <row r="173" ht="14.25" customHeight="1">
      <c r="A173" t="s">
        <v>191</v>
      </c>
      <c r="B173" t="s">
        <v>192</v>
      </c>
      <c r="C173" t="s">
        <v>211</v>
      </c>
      <c r="D173" t="s">
        <v>97</v>
      </c>
      <c r="E173" t="s">
        <v>237</v>
      </c>
      <c r="F173" t="s">
        <v>209</v>
      </c>
      <c r="G173" t="s">
        <v>194</v>
      </c>
      <c r="H173" t="s">
        <v>197</v>
      </c>
      <c r="I173">
        <v>36</v>
      </c>
      <c r="J173">
        <v>2</v>
      </c>
      <c r="K173">
        <v>267840</v>
      </c>
      <c r="L173">
        <v>22036</v>
      </c>
      <c r="M173">
        <v>50913.666666667</v>
      </c>
      <c r="N173">
        <v>29200.057142857</v>
      </c>
      <c r="O173">
        <v>105638.4</v>
      </c>
      <c r="P173">
        <v>43834.990351474</v>
      </c>
      <c r="Q173">
        <v>51236.057142857</v>
      </c>
      <c r="R173">
        <v>200387.057018141</v>
      </c>
      <c r="S173">
        <v>251623.114160998</v>
      </c>
      <c r="T173">
        <v>16216.885839002</v>
      </c>
      <c r="V173">
        <f>IF(Allocation!D173="","",_CALC_ALLOC!AI173)</f>
        <v>22036</v>
      </c>
      <c r="W173">
        <f>IF(Allocation!D173="","",_CALC_ALLOC!AJ173)</f>
        <v>50913.6666666667</v>
      </c>
      <c r="X173">
        <f>IF(Allocation!D173="","",_CALC_ALLOC!AK173)</f>
        <v>29200.0571428571</v>
      </c>
      <c r="Y173">
        <f>IF(Allocation!D173="","",_CALC_ALLOC!AL173)</f>
        <v>0</v>
      </c>
      <c r="Z173">
        <f>IF(Allocation!D173="","",_CALC_ALLOC!AM173)</f>
        <v>0</v>
      </c>
      <c r="AA173">
        <f>IF(Allocation!D173="","",_CALC_ALLOC!AN173)</f>
        <v>165690.276190476</v>
      </c>
      <c r="AB173">
        <f>IF(Allocation!D173="","",AA173-T173)</f>
        <v>149473.390351474</v>
      </c>
      <c r="AC173">
        <f>IF(Allocation!D173="","",_CALC_ALLOC!AR173)</f>
        <v>0</v>
      </c>
    </row>
    <row r="174" ht="14.25" customHeight="1">
      <c r="A174" t="s">
        <v>191</v>
      </c>
      <c r="B174" t="s">
        <v>192</v>
      </c>
      <c r="C174" t="s">
        <v>211</v>
      </c>
      <c r="D174" t="s">
        <v>97</v>
      </c>
      <c r="E174" t="s">
        <v>237</v>
      </c>
      <c r="F174" t="s">
        <v>209</v>
      </c>
      <c r="G174" t="s">
        <v>196</v>
      </c>
      <c r="H174" t="s">
        <v>197</v>
      </c>
      <c r="I174">
        <v>35</v>
      </c>
      <c r="J174">
        <v>2</v>
      </c>
      <c r="K174">
        <v>257250</v>
      </c>
      <c r="L174">
        <v>22036</v>
      </c>
      <c r="M174">
        <v>50913.666666667</v>
      </c>
      <c r="N174">
        <v>13243.666666667</v>
      </c>
      <c r="O174">
        <v>102704</v>
      </c>
      <c r="P174">
        <v>42617.3517306</v>
      </c>
      <c r="Q174">
        <v>35279.666666667</v>
      </c>
      <c r="R174">
        <v>196235.018397267</v>
      </c>
      <c r="S174">
        <v>231514.685063933</v>
      </c>
      <c r="T174">
        <v>25735.314936067</v>
      </c>
      <c r="V174">
        <f>IF(Allocation!D174="","",_CALC_ALLOC!AI174)</f>
        <v>22036</v>
      </c>
      <c r="W174">
        <f>IF(Allocation!D174="","",_CALC_ALLOC!AJ174)</f>
        <v>50913.6666666667</v>
      </c>
      <c r="X174">
        <f>IF(Allocation!D174="","",_CALC_ALLOC!AK174)</f>
        <v>13243.6666666667</v>
      </c>
      <c r="Y174">
        <f>IF(Allocation!D174="","",_CALC_ALLOC!AL174)</f>
        <v>0</v>
      </c>
      <c r="Z174">
        <f>IF(Allocation!D174="","",_CALC_ALLOC!AM174)</f>
        <v>0</v>
      </c>
      <c r="AA174">
        <f>IF(Allocation!D174="","",_CALC_ALLOC!AN174)</f>
        <v>171056.666666667</v>
      </c>
      <c r="AB174">
        <f>IF(Allocation!D174="","",AA174-T174)</f>
        <v>145321.3517306</v>
      </c>
      <c r="AC174">
        <f>IF(Allocation!D174="","",_CALC_ALLOC!AR174)</f>
        <v>0</v>
      </c>
    </row>
    <row r="175" ht="14.25" customHeight="1">
      <c r="A175" t="s">
        <v>191</v>
      </c>
      <c r="B175" t="s">
        <v>192</v>
      </c>
      <c r="C175" t="s">
        <v>211</v>
      </c>
      <c r="D175" t="s">
        <v>97</v>
      </c>
      <c r="E175" t="s">
        <v>237</v>
      </c>
      <c r="F175" t="s">
        <v>209</v>
      </c>
      <c r="G175" t="s">
        <v>198</v>
      </c>
      <c r="H175" t="s">
        <v>197</v>
      </c>
      <c r="I175">
        <v>34</v>
      </c>
      <c r="J175">
        <v>2</v>
      </c>
      <c r="K175">
        <v>249900</v>
      </c>
      <c r="L175">
        <v>22036</v>
      </c>
      <c r="M175">
        <v>50913.666666667</v>
      </c>
      <c r="N175">
        <v>12865.276190476</v>
      </c>
      <c r="O175">
        <v>99769.6</v>
      </c>
      <c r="P175">
        <v>41399.713109726</v>
      </c>
      <c r="Q175">
        <v>34901.276190476</v>
      </c>
      <c r="R175">
        <v>192082.979776392</v>
      </c>
      <c r="S175">
        <v>226984.255966869</v>
      </c>
      <c r="T175">
        <v>22915.744033131</v>
      </c>
      <c r="V175">
        <f>IF(Allocation!D175="","",_CALC_ALLOC!AI175)</f>
        <v>22036</v>
      </c>
      <c r="W175">
        <f>IF(Allocation!D175="","",_CALC_ALLOC!AJ175)</f>
        <v>50913.6666666667</v>
      </c>
      <c r="X175">
        <f>IF(Allocation!D175="","",_CALC_ALLOC!AK175)</f>
        <v>12865.2761904762</v>
      </c>
      <c r="Y175">
        <f>IF(Allocation!D175="","",_CALC_ALLOC!AL175)</f>
        <v>0</v>
      </c>
      <c r="Z175">
        <f>IF(Allocation!D175="","",_CALC_ALLOC!AM175)</f>
        <v>0</v>
      </c>
      <c r="AA175">
        <f>IF(Allocation!D175="","",_CALC_ALLOC!AN175)</f>
        <v>164085.057142857</v>
      </c>
      <c r="AB175">
        <f>IF(Allocation!D175="","",AA175-T175)</f>
        <v>141169.313109726</v>
      </c>
      <c r="AC175">
        <f>IF(Allocation!D175="","",_CALC_ALLOC!AR175)</f>
        <v>0</v>
      </c>
    </row>
  </sheetData>
  <sheetProtection sheet="1" sort="1" autoFilter="0" objects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58388E8-4AB8-0F58-CF88-EE4C4540F10D}" mc:Ignorable="x14ac xr xr2 xr3">
  <dimension ref="A1:AK175"/>
  <sheetViews>
    <sheetView topLeftCell="A1" workbookViewId="0">
      <selection activeCell="A1" sqref="A1"/>
    </sheetView>
  </sheetViews>
  <sheetFormatPr defaultRowHeight="14.25" defaultColWidth="9.00390625" customHeight="1"/>
  <sheetData>
    <row r="1" ht="14.25" customHeight="1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171</v>
      </c>
      <c r="H1" t="s">
        <v>176</v>
      </c>
      <c r="I1" t="s">
        <v>178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212</v>
      </c>
      <c r="P1" t="s">
        <v>213</v>
      </c>
      <c r="Q1" t="s">
        <v>214</v>
      </c>
      <c r="R1" t="s">
        <v>217</v>
      </c>
      <c r="S1" t="s">
        <v>219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  <c r="Y1" t="s">
        <v>304</v>
      </c>
      <c r="Z1" t="s">
        <v>305</v>
      </c>
      <c r="AA1" t="s">
        <v>306</v>
      </c>
      <c r="AB1" t="s">
        <v>307</v>
      </c>
      <c r="AC1" t="s">
        <v>308</v>
      </c>
      <c r="AD1" t="s">
        <v>309</v>
      </c>
      <c r="AE1" t="s">
        <v>223</v>
      </c>
      <c r="AF1" t="s">
        <v>224</v>
      </c>
      <c r="AG1" t="s">
        <v>225</v>
      </c>
      <c r="AH1" t="s">
        <v>119</v>
      </c>
      <c r="AJ1" t="s">
        <v>310</v>
      </c>
    </row>
    <row r="2" ht="14.25" customHeight="1">
      <c r="A2" t="str">
        <f>IF(Moteur!D2="","",Moteur!D2)</f>
        <v>MBWAY_PAR</v>
      </c>
      <c r="B2" t="str">
        <f>IF(Moteur!B2="","",Moteur!B2)</f>
        <v>V01</v>
      </c>
      <c r="C2" t="str">
        <f>IF(Moteur!F2="","",Moteur!F2)</f>
        <v>BAC_MGT</v>
      </c>
      <c r="D2" t="str">
        <f>IF(Moteur!G2="","",Moteur!G2)</f>
        <v>B1</v>
      </c>
      <c r="E2" t="str">
        <f>IF(Moteur!H2="","",Moteur!H2)</f>
        <v>INIT</v>
      </c>
      <c r="F2" t="str">
        <f>IF(Moteur!E2="","",Moteur!E2)</f>
        <v>MBWAY</v>
      </c>
      <c r="G2">
        <f>IF($A2="","",_xlfn.SUMIFS(Socle!$H$1:$H$448,Socle!$C$1:$C$448,$A2,Socle!$D$1:$D$448,$C2,Socle!$E$1:$E$448,$D2,Socle!$F$1:$F$448,$E2,Socle!$G$1:$G$448,"2026"))</f>
        <v>646</v>
      </c>
      <c r="H2">
        <f>IF($A2="","",_xlfn.SUMIFS(Socle!$N$1:$N$448,Socle!$C$1:$C$448,$A2,Socle!$D$1:$D$448,$C2,Socle!$E$1:$E$448,$D2,Socle!$F$1:$F$448,$E2,Socle!$G$1:$G$448,"2026"))</f>
        <v>0</v>
      </c>
      <c r="I2">
        <f>IF($A2="","",_xlfn.SUMIFS(Socle!$P$1:$P$448,Socle!$C$1:$C$448,$A2,Socle!$D$1:$D$448,$C2,Socle!$E$1:$E$448,$D2,Socle!$F$1:$F$448,$E2,Socle!$G$1:$G$448,"2026"))</f>
        <v>8400</v>
      </c>
      <c r="J2">
        <f>IF($A2="","",_xlfn.SUMIFS(Socle!$W$1:$W$448,Socle!$C$1:$C$448,$A2,Socle!$D$1:$D$448,$C2,Socle!$E$1:$E$448,$D2,Socle!$F$1:$F$448,$E2,Socle!$G$1:$G$448,"2026"))</f>
        <v>0.280185759</v>
      </c>
      <c r="K2">
        <f>IF($A2="","",_xlfn.SUMIFS(Socle!$X$1:$X$448,Socle!$C$1:$C$448,$A2,Socle!$D$1:$D$448,$C2,Socle!$E$1:$E$448,$D2,Socle!$F$1:$F$448,$E2,Socle!$G$1:$G$448,"2026"))</f>
        <v>0.718232044</v>
      </c>
      <c r="L2">
        <f>IF($A2="","",_xlfn.SUMIFS(Socle!$Y$1:$Y$448,Socle!$C$1:$C$448,$A2,Socle!$D$1:$D$448,$C2,Socle!$E$1:$E$448,$D2,Socle!$F$1:$F$448,$E2,Socle!$G$1:$G$448,"2026"))</f>
        <v>0.6</v>
      </c>
      <c r="M2">
        <f>IF($A2="","",_xlfn.SUMIFS(Socle!$V$1:$V$448,Socle!$C$1:$C$448,$A2,Socle!$D$1:$D$448,$C2,Socle!$E$1:$E$448,$D2,Socle!$F$1:$F$448,$E2,Socle!$G$1:$G$448,"2026"))</f>
        <v>0</v>
      </c>
      <c r="N2">
        <f t="shared" si="0" ref="N2:N175">IF($A2="","",IF(OR($D2="B1",$D2="M1",$D2="BTS1"),1,0))</f>
        <v>1</v>
      </c>
      <c r="O2">
        <f>IF($A2="","",_xlfn.SUMIFS(Campagne!$D$1:$D$128,Campagne!$C$1:$C$128,$A2))</f>
        <v>711</v>
      </c>
      <c r="P2">
        <f>IF($A2="","",_xlfn.SUMIFS(Campagne!$E$1:$E$128,Campagne!$C$1:$C$128,$A2))</f>
        <v>1265</v>
      </c>
      <c r="Q2">
        <f>IF($A2="","",_xlfn.SUMIFS(Campagne!$F$1:$F$128,Campagne!$C$1:$C$128,$A2))</f>
        <v>1976</v>
      </c>
      <c r="R2">
        <f>IF($A2="","",_xlfn.SUMIFS(Campagne!$K$1:$K$128,Campagne!$C$1:$C$128,$A2))</f>
        <v>0.463595908</v>
      </c>
      <c r="S2">
        <f>IF($A2="","",_xlfn.SUMIFS(Campagne!$M$1:$M$128,Campagne!$C$1:$C$128,$A2))</f>
        <v>0.308054154</v>
      </c>
      <c r="T2">
        <f>IF($A2="","",_xlfn.SUMIFS(PIL!$K$15:$K$28,PIL!$A$15:$A$28,$A2)*_xlfn.SUMIFS(PIL!$J$15:$J$28,PIL!$A$15:$A$28,$A2)*(SUM(PIL!$K$15:$K$28)/SUMPRODUCT(PIL!$K$15:$K$28,PIL!$J$15:$J$28)))</f>
        <v>68291</v>
      </c>
      <c r="U2">
        <f>IF($A2="","",_xlfn.SUMIFS(PIL!$K$15:$K$28,PIL!$A$15:$A$28,$A2))</f>
        <v>68291</v>
      </c>
      <c r="V2">
        <v>1000</v>
      </c>
      <c r="W2">
        <v>1000</v>
      </c>
      <c r="X2">
        <v>1000</v>
      </c>
      <c r="Y2">
        <v>1000</v>
      </c>
      <c r="Z2">
        <v>1000</v>
      </c>
      <c r="AA2">
        <v>1000</v>
      </c>
      <c r="AB2">
        <v>90</v>
      </c>
      <c r="AC2">
        <v>1000</v>
      </c>
      <c r="AD2">
        <f t="shared" si="1" ref="AD2:AD175">IF($A2="","",($O2*(1+$W2)^$S2+$P2*_xlfn.IFERROR((($T2/$U2)*(1+$V2))^$R2,0))*_xlfn.IFERROR($G2/$Q2,0)*($J2+$Y2)*$K2*($L2+$Z2))</f>
        <v>8717935435.06457</v>
      </c>
      <c r="AE2">
        <f t="shared" si="2" ref="AE2:AE175">IF($A2="","",IF($N2=1,$AD2,0))</f>
        <v>8717935435.06457</v>
      </c>
      <c r="AF2">
        <f t="shared" si="3" ref="AF2:AF175">IF($A2="","",IF($N2=1,$AD2,$H2*($M2+$AA2)))</f>
        <v>8717935435.06457</v>
      </c>
      <c r="AG2">
        <f t="shared" si="4" ref="AG2:AG175">IF($A2="","",$I2*(1+$X2*$AC2))</f>
        <v>8400008400</v>
      </c>
      <c r="AH2">
        <f t="shared" si="5" ref="AH2:AH175">IF($A2="","",$AF2*$AG2+$AE2*$AB2)</f>
        <v>73230731669814200000</v>
      </c>
    </row>
    <row r="3" ht="14.25" customHeight="1">
      <c r="A3" t="str">
        <f>IF(Moteur!D3="","",Moteur!D3)</f>
        <v>MBWAY_PAR</v>
      </c>
      <c r="B3" t="str">
        <f>IF(Moteur!B3="","",Moteur!B3)</f>
        <v>V02</v>
      </c>
      <c r="C3" t="str">
        <f>IF(Moteur!F3="","",Moteur!F3)</f>
        <v>BAC_MGT</v>
      </c>
      <c r="D3" t="str">
        <f>IF(Moteur!G3="","",Moteur!G3)</f>
        <v>B1</v>
      </c>
      <c r="E3" t="str">
        <f>IF(Moteur!H3="","",Moteur!H3)</f>
        <v>INIT</v>
      </c>
      <c r="F3" t="str">
        <f>IF(Moteur!E3="","",Moteur!E3)</f>
        <v>MBWAY</v>
      </c>
      <c r="G3">
        <f>IF($A3="","",_xlfn.SUMIFS(Socle!$H$1:$H$448,Socle!$C$1:$C$448,$A3,Socle!$D$1:$D$448,$C3,Socle!$E$1:$E$448,$D3,Socle!$F$1:$F$448,$E3,Socle!$G$1:$G$448,"2026"))</f>
        <v>646</v>
      </c>
      <c r="H3">
        <f>IF($A3="","",_xlfn.SUMIFS(Socle!$N$1:$N$448,Socle!$C$1:$C$448,$A3,Socle!$D$1:$D$448,$C3,Socle!$E$1:$E$448,$D3,Socle!$F$1:$F$448,$E3,Socle!$G$1:$G$448,"2026"))</f>
        <v>0</v>
      </c>
      <c r="I3">
        <f>IF($A3="","",_xlfn.SUMIFS(Socle!$P$1:$P$448,Socle!$C$1:$C$448,$A3,Socle!$D$1:$D$448,$C3,Socle!$E$1:$E$448,$D3,Socle!$F$1:$F$448,$E3,Socle!$G$1:$G$448,"2026"))</f>
        <v>8400</v>
      </c>
      <c r="J3">
        <f>IF($A3="","",_xlfn.SUMIFS(Socle!$W$1:$W$448,Socle!$C$1:$C$448,$A3,Socle!$D$1:$D$448,$C3,Socle!$E$1:$E$448,$D3,Socle!$F$1:$F$448,$E3,Socle!$G$1:$G$448,"2026"))</f>
        <v>0.280185759</v>
      </c>
      <c r="K3">
        <f>IF($A3="","",_xlfn.SUMIFS(Socle!$X$1:$X$448,Socle!$C$1:$C$448,$A3,Socle!$D$1:$D$448,$C3,Socle!$E$1:$E$448,$D3,Socle!$F$1:$F$448,$E3,Socle!$G$1:$G$448,"2026"))</f>
        <v>0.718232044</v>
      </c>
      <c r="L3">
        <f>IF($A3="","",_xlfn.SUMIFS(Socle!$Y$1:$Y$448,Socle!$C$1:$C$448,$A3,Socle!$D$1:$D$448,$C3,Socle!$E$1:$E$448,$D3,Socle!$F$1:$F$448,$E3,Socle!$G$1:$G$448,"2026"))</f>
        <v>0.6</v>
      </c>
      <c r="M3">
        <f>IF($A3="","",_xlfn.SUMIFS(Socle!$V$1:$V$448,Socle!$C$1:$C$448,$A3,Socle!$D$1:$D$448,$C3,Socle!$E$1:$E$448,$D3,Socle!$F$1:$F$448,$E3,Socle!$G$1:$G$448,"2026"))</f>
        <v>0</v>
      </c>
      <c r="N3">
        <f t="shared" si="0"/>
        <v>1</v>
      </c>
      <c r="O3">
        <f>IF($A3="","",_xlfn.SUMIFS(Campagne!$D$1:$D$128,Campagne!$C$1:$C$128,$A3))</f>
        <v>711</v>
      </c>
      <c r="P3">
        <f>IF($A3="","",_xlfn.SUMIFS(Campagne!$E$1:$E$128,Campagne!$C$1:$C$128,$A3))</f>
        <v>1265</v>
      </c>
      <c r="Q3">
        <f>IF($A3="","",_xlfn.SUMIFS(Campagne!$F$1:$F$128,Campagne!$C$1:$C$128,$A3))</f>
        <v>1976</v>
      </c>
      <c r="R3">
        <f>IF($A3="","",_xlfn.SUMIFS(Campagne!$K$1:$K$128,Campagne!$C$1:$C$128,$A3))</f>
        <v>0.463595908</v>
      </c>
      <c r="S3">
        <f>IF($A3="","",_xlfn.SUMIFS(Campagne!$M$1:$M$128,Campagne!$C$1:$C$128,$A3))</f>
        <v>0.308054154</v>
      </c>
      <c r="T3">
        <f>IF($A3="","",_xlfn.SUMIFS(PIL!$K$15:$K$28,PIL!$A$15:$A$28,$A3)*_xlfn.SUMIFS(PIL!$J$15:$J$28,PIL!$A$15:$A$28,$A3)*(SUM(PIL!$K$15:$K$28)/SUMPRODUCT(PIL!$K$15:$K$28,PIL!$J$15:$J$28)))</f>
        <v>68291</v>
      </c>
      <c r="U3">
        <f>IF($A3="","",_xlfn.SUMIFS(PIL!$K$15:$K$28,PIL!$A$15:$A$28,$A3))</f>
        <v>68291</v>
      </c>
      <c r="V3" t="s">
        <v>274</v>
      </c>
      <c r="W3" t="s">
        <v>274</v>
      </c>
      <c r="X3" t="s">
        <v>274</v>
      </c>
      <c r="Y3" t="s">
        <v>274</v>
      </c>
      <c r="Z3" t="s">
        <v>274</v>
      </c>
      <c r="AA3" t="s">
        <v>274</v>
      </c>
      <c r="AB3" t="s">
        <v>274</v>
      </c>
      <c r="AC3" t="s">
        <v>274</v>
      </c>
      <c r="AD3" t="e">
        <f t="shared" si="1"/>
        <v>#VALUE!</v>
      </c>
      <c r="AE3" t="e">
        <f t="shared" si="2"/>
        <v>#VALUE!</v>
      </c>
      <c r="AF3" t="e">
        <f t="shared" si="3"/>
        <v>#VALUE!</v>
      </c>
      <c r="AG3" t="e">
        <f t="shared" si="4"/>
        <v>#VALUE!</v>
      </c>
      <c r="AH3" t="e">
        <f t="shared" si="5"/>
        <v>#VALUE!</v>
      </c>
    </row>
    <row r="4" ht="14.25" customHeight="1">
      <c r="A4" t="str">
        <f>IF(Moteur!D4="","",Moteur!D4)</f>
        <v>MBWAY_PAR</v>
      </c>
      <c r="B4" t="str">
        <f>IF(Moteur!B4="","",Moteur!B4)</f>
        <v>V03</v>
      </c>
      <c r="C4" t="str">
        <f>IF(Moteur!F4="","",Moteur!F4)</f>
        <v>BAC_MGT</v>
      </c>
      <c r="D4" t="str">
        <f>IF(Moteur!G4="","",Moteur!G4)</f>
        <v>B1</v>
      </c>
      <c r="E4" t="str">
        <f>IF(Moteur!H4="","",Moteur!H4)</f>
        <v>INIT</v>
      </c>
      <c r="F4" t="str">
        <f>IF(Moteur!E4="","",Moteur!E4)</f>
        <v>MBWAY</v>
      </c>
      <c r="G4">
        <f>IF($A4="","",_xlfn.SUMIFS(Socle!$H$1:$H$448,Socle!$C$1:$C$448,$A4,Socle!$D$1:$D$448,$C4,Socle!$E$1:$E$448,$D4,Socle!$F$1:$F$448,$E4,Socle!$G$1:$G$448,"2026"))</f>
        <v>646</v>
      </c>
      <c r="H4">
        <f>IF($A4="","",_xlfn.SUMIFS(Socle!$N$1:$N$448,Socle!$C$1:$C$448,$A4,Socle!$D$1:$D$448,$C4,Socle!$E$1:$E$448,$D4,Socle!$F$1:$F$448,$E4,Socle!$G$1:$G$448,"2026"))</f>
        <v>0</v>
      </c>
      <c r="I4">
        <f>IF($A4="","",_xlfn.SUMIFS(Socle!$P$1:$P$448,Socle!$C$1:$C$448,$A4,Socle!$D$1:$D$448,$C4,Socle!$E$1:$E$448,$D4,Socle!$F$1:$F$448,$E4,Socle!$G$1:$G$448,"2026"))</f>
        <v>8400</v>
      </c>
      <c r="J4">
        <f>IF($A4="","",_xlfn.SUMIFS(Socle!$W$1:$W$448,Socle!$C$1:$C$448,$A4,Socle!$D$1:$D$448,$C4,Socle!$E$1:$E$448,$D4,Socle!$F$1:$F$448,$E4,Socle!$G$1:$G$448,"2026"))</f>
        <v>0.280185759</v>
      </c>
      <c r="K4">
        <f>IF($A4="","",_xlfn.SUMIFS(Socle!$X$1:$X$448,Socle!$C$1:$C$448,$A4,Socle!$D$1:$D$448,$C4,Socle!$E$1:$E$448,$D4,Socle!$F$1:$F$448,$E4,Socle!$G$1:$G$448,"2026"))</f>
        <v>0.718232044</v>
      </c>
      <c r="L4">
        <f>IF($A4="","",_xlfn.SUMIFS(Socle!$Y$1:$Y$448,Socle!$C$1:$C$448,$A4,Socle!$D$1:$D$448,$C4,Socle!$E$1:$E$448,$D4,Socle!$F$1:$F$448,$E4,Socle!$G$1:$G$448,"2026"))</f>
        <v>0.6</v>
      </c>
      <c r="M4">
        <f>IF($A4="","",_xlfn.SUMIFS(Socle!$V$1:$V$448,Socle!$C$1:$C$448,$A4,Socle!$D$1:$D$448,$C4,Socle!$E$1:$E$448,$D4,Socle!$F$1:$F$448,$E4,Socle!$G$1:$G$448,"2026"))</f>
        <v>0</v>
      </c>
      <c r="N4">
        <f t="shared" si="0"/>
        <v>1</v>
      </c>
      <c r="O4">
        <f>IF($A4="","",_xlfn.SUMIFS(Campagne!$D$1:$D$128,Campagne!$C$1:$C$128,$A4))</f>
        <v>711</v>
      </c>
      <c r="P4">
        <f>IF($A4="","",_xlfn.SUMIFS(Campagne!$E$1:$E$128,Campagne!$C$1:$C$128,$A4))</f>
        <v>1265</v>
      </c>
      <c r="Q4">
        <f>IF($A4="","",_xlfn.SUMIFS(Campagne!$F$1:$F$128,Campagne!$C$1:$C$128,$A4))</f>
        <v>1976</v>
      </c>
      <c r="R4">
        <f>IF($A4="","",_xlfn.SUMIFS(Campagne!$K$1:$K$128,Campagne!$C$1:$C$128,$A4))</f>
        <v>0.463595908</v>
      </c>
      <c r="S4">
        <f>IF($A4="","",_xlfn.SUMIFS(Campagne!$M$1:$M$128,Campagne!$C$1:$C$128,$A4))</f>
        <v>0.308054154</v>
      </c>
      <c r="T4">
        <f>IF($A4="","",_xlfn.SUMIFS(PIL!$K$15:$K$28,PIL!$A$15:$A$28,$A4)*_xlfn.SUMIFS(PIL!$J$15:$J$28,PIL!$A$15:$A$28,$A4)*(SUM(PIL!$K$15:$K$28)/SUMPRODUCT(PIL!$K$15:$K$28,PIL!$J$15:$J$28)))</f>
        <v>68291</v>
      </c>
      <c r="U4">
        <f>IF($A4="","",_xlfn.SUMIFS(PIL!$K$15:$K$28,PIL!$A$15:$A$28,$A4))</f>
        <v>68291</v>
      </c>
      <c r="V4" t="s">
        <v>274</v>
      </c>
      <c r="W4" t="s">
        <v>274</v>
      </c>
      <c r="X4" t="s">
        <v>274</v>
      </c>
      <c r="Y4" t="s">
        <v>274</v>
      </c>
      <c r="Z4" t="s">
        <v>274</v>
      </c>
      <c r="AA4" t="s">
        <v>274</v>
      </c>
      <c r="AB4" t="s">
        <v>274</v>
      </c>
      <c r="AC4" t="s">
        <v>274</v>
      </c>
      <c r="AD4" t="e">
        <f t="shared" si="1"/>
        <v>#VALUE!</v>
      </c>
      <c r="AE4" t="e">
        <f t="shared" si="2"/>
        <v>#VALUE!</v>
      </c>
      <c r="AF4" t="e">
        <f t="shared" si="3"/>
        <v>#VALUE!</v>
      </c>
      <c r="AG4" t="e">
        <f t="shared" si="4"/>
        <v>#VALUE!</v>
      </c>
      <c r="AH4" t="e">
        <f t="shared" si="5"/>
        <v>#VALUE!</v>
      </c>
    </row>
    <row r="5" ht="14.25" customHeight="1">
      <c r="A5" t="str">
        <f>IF(Moteur!D5="","",Moteur!D5)</f>
        <v>MBWAY_PAR</v>
      </c>
      <c r="B5" t="str">
        <f>IF(Moteur!B5="","",Moteur!B5)</f>
        <v>V01</v>
      </c>
      <c r="C5" t="str">
        <f>IF(Moteur!F5="","",Moteur!F5)</f>
        <v>BAC_MGT</v>
      </c>
      <c r="D5" t="str">
        <f>IF(Moteur!G5="","",Moteur!G5)</f>
        <v>B2</v>
      </c>
      <c r="E5" t="str">
        <f>IF(Moteur!H5="","",Moteur!H5)</f>
        <v>ALT</v>
      </c>
      <c r="F5" t="str">
        <f>IF(Moteur!E5="","",Moteur!E5)</f>
        <v>MBWAY</v>
      </c>
      <c r="G5">
        <f>IF($A5="","",_xlfn.SUMIFS(Socle!$H$1:$H$448,Socle!$C$1:$C$448,$A5,Socle!$D$1:$D$448,$C5,Socle!$E$1:$E$448,$D5,Socle!$F$1:$F$448,$E5,Socle!$G$1:$G$448,"2026"))</f>
        <v>0</v>
      </c>
      <c r="H5">
        <f>IF($A5="","",_xlfn.SUMIFS(Socle!$N$1:$N$448,Socle!$C$1:$C$448,$A5,Socle!$D$1:$D$448,$C5,Socle!$E$1:$E$448,$D5,Socle!$F$1:$F$448,$E5,Socle!$G$1:$G$448,"2026"))</f>
        <v>156</v>
      </c>
      <c r="I5">
        <f>IF($A5="","",_xlfn.SUMIFS(Socle!$P$1:$P$448,Socle!$C$1:$C$448,$A5,Socle!$D$1:$D$448,$C5,Socle!$E$1:$E$448,$D5,Socle!$F$1:$F$448,$E5,Socle!$G$1:$G$448,"2026"))</f>
        <v>15680</v>
      </c>
      <c r="J5">
        <f>IF($A5="","",_xlfn.SUMIFS(Socle!$W$1:$W$448,Socle!$C$1:$C$448,$A5,Socle!$D$1:$D$448,$C5,Socle!$E$1:$E$448,$D5,Socle!$F$1:$F$448,$E5,Socle!$G$1:$G$448,"2026"))</f>
        <v>0</v>
      </c>
      <c r="K5">
        <f>IF($A5="","",_xlfn.SUMIFS(Socle!$X$1:$X$448,Socle!$C$1:$C$448,$A5,Socle!$D$1:$D$448,$C5,Socle!$E$1:$E$448,$D5,Socle!$F$1:$F$448,$E5,Socle!$G$1:$G$448,"2026"))</f>
        <v>0</v>
      </c>
      <c r="L5">
        <f>IF($A5="","",_xlfn.SUMIFS(Socle!$Y$1:$Y$448,Socle!$C$1:$C$448,$A5,Socle!$D$1:$D$448,$C5,Socle!$E$1:$E$448,$D5,Socle!$F$1:$F$448,$E5,Socle!$G$1:$G$448,"2026"))</f>
        <v>0</v>
      </c>
      <c r="M5">
        <f>IF($A5="","",_xlfn.SUMIFS(Socle!$V$1:$V$448,Socle!$C$1:$C$448,$A5,Socle!$D$1:$D$448,$C5,Socle!$E$1:$E$448,$D5,Socle!$F$1:$F$448,$E5,Socle!$G$1:$G$448,"2026"))</f>
        <v>1.948717948</v>
      </c>
      <c r="N5">
        <f t="shared" si="0"/>
        <v>0</v>
      </c>
      <c r="O5">
        <f>IF($A5="","",_xlfn.SUMIFS(Campagne!$D$1:$D$128,Campagne!$C$1:$C$128,$A5))</f>
        <v>711</v>
      </c>
      <c r="P5">
        <f>IF($A5="","",_xlfn.SUMIFS(Campagne!$E$1:$E$128,Campagne!$C$1:$C$128,$A5))</f>
        <v>1265</v>
      </c>
      <c r="Q5">
        <f>IF($A5="","",_xlfn.SUMIFS(Campagne!$F$1:$F$128,Campagne!$C$1:$C$128,$A5))</f>
        <v>1976</v>
      </c>
      <c r="R5">
        <f>IF($A5="","",_xlfn.SUMIFS(Campagne!$K$1:$K$128,Campagne!$C$1:$C$128,$A5))</f>
        <v>0.463595908</v>
      </c>
      <c r="S5">
        <f>IF($A5="","",_xlfn.SUMIFS(Campagne!$M$1:$M$128,Campagne!$C$1:$C$128,$A5))</f>
        <v>0.308054154</v>
      </c>
      <c r="T5">
        <f>IF($A5="","",_xlfn.SUMIFS(PIL!$K$15:$K$28,PIL!$A$15:$A$28,$A5)*_xlfn.SUMIFS(PIL!$J$15:$J$28,PIL!$A$15:$A$28,$A5)*(SUM(PIL!$K$15:$K$28)/SUMPRODUCT(PIL!$K$15:$K$28,PIL!$J$15:$J$28)))</f>
        <v>68291</v>
      </c>
      <c r="U5">
        <f>IF($A5="","",_xlfn.SUMIFS(PIL!$K$15:$K$28,PIL!$A$15:$A$28,$A5))</f>
        <v>68291</v>
      </c>
      <c r="V5" t="s">
        <v>274</v>
      </c>
      <c r="W5" t="s">
        <v>274</v>
      </c>
      <c r="X5" t="s">
        <v>274</v>
      </c>
      <c r="Y5" t="s">
        <v>274</v>
      </c>
      <c r="Z5" t="s">
        <v>274</v>
      </c>
      <c r="AA5" t="s">
        <v>274</v>
      </c>
      <c r="AB5" t="s">
        <v>274</v>
      </c>
      <c r="AC5" t="s">
        <v>274</v>
      </c>
      <c r="AD5" t="e">
        <f t="shared" si="1"/>
        <v>#VALUE!</v>
      </c>
      <c r="AE5">
        <f t="shared" si="2"/>
        <v>0</v>
      </c>
      <c r="AF5" t="e">
        <f t="shared" si="3"/>
        <v>#VALUE!</v>
      </c>
      <c r="AG5" t="e">
        <f t="shared" si="4"/>
        <v>#VALUE!</v>
      </c>
      <c r="AH5" t="e">
        <f t="shared" si="5"/>
        <v>#VALUE!</v>
      </c>
    </row>
    <row r="6" ht="14.25" customHeight="1">
      <c r="A6" t="str">
        <f>IF(Moteur!D6="","",Moteur!D6)</f>
        <v>MBWAY_PAR</v>
      </c>
      <c r="B6" t="str">
        <f>IF(Moteur!B6="","",Moteur!B6)</f>
        <v>V02</v>
      </c>
      <c r="C6" t="str">
        <f>IF(Moteur!F6="","",Moteur!F6)</f>
        <v>BAC_MGT</v>
      </c>
      <c r="D6" t="str">
        <f>IF(Moteur!G6="","",Moteur!G6)</f>
        <v>B2</v>
      </c>
      <c r="E6" t="str">
        <f>IF(Moteur!H6="","",Moteur!H6)</f>
        <v>ALT</v>
      </c>
      <c r="F6" t="str">
        <f>IF(Moteur!E6="","",Moteur!E6)</f>
        <v>MBWAY</v>
      </c>
      <c r="G6">
        <f>IF($A6="","",_xlfn.SUMIFS(Socle!$H$1:$H$448,Socle!$C$1:$C$448,$A6,Socle!$D$1:$D$448,$C6,Socle!$E$1:$E$448,$D6,Socle!$F$1:$F$448,$E6,Socle!$G$1:$G$448,"2026"))</f>
        <v>0</v>
      </c>
      <c r="H6">
        <f>IF($A6="","",_xlfn.SUMIFS(Socle!$N$1:$N$448,Socle!$C$1:$C$448,$A6,Socle!$D$1:$D$448,$C6,Socle!$E$1:$E$448,$D6,Socle!$F$1:$F$448,$E6,Socle!$G$1:$G$448,"2026"))</f>
        <v>156</v>
      </c>
      <c r="I6">
        <f>IF($A6="","",_xlfn.SUMIFS(Socle!$P$1:$P$448,Socle!$C$1:$C$448,$A6,Socle!$D$1:$D$448,$C6,Socle!$E$1:$E$448,$D6,Socle!$F$1:$F$448,$E6,Socle!$G$1:$G$448,"2026"))</f>
        <v>15680</v>
      </c>
      <c r="J6">
        <f>IF($A6="","",_xlfn.SUMIFS(Socle!$W$1:$W$448,Socle!$C$1:$C$448,$A6,Socle!$D$1:$D$448,$C6,Socle!$E$1:$E$448,$D6,Socle!$F$1:$F$448,$E6,Socle!$G$1:$G$448,"2026"))</f>
        <v>0</v>
      </c>
      <c r="K6">
        <f>IF($A6="","",_xlfn.SUMIFS(Socle!$X$1:$X$448,Socle!$C$1:$C$448,$A6,Socle!$D$1:$D$448,$C6,Socle!$E$1:$E$448,$D6,Socle!$F$1:$F$448,$E6,Socle!$G$1:$G$448,"2026"))</f>
        <v>0</v>
      </c>
      <c r="L6">
        <f>IF($A6="","",_xlfn.SUMIFS(Socle!$Y$1:$Y$448,Socle!$C$1:$C$448,$A6,Socle!$D$1:$D$448,$C6,Socle!$E$1:$E$448,$D6,Socle!$F$1:$F$448,$E6,Socle!$G$1:$G$448,"2026"))</f>
        <v>0</v>
      </c>
      <c r="M6">
        <f>IF($A6="","",_xlfn.SUMIFS(Socle!$V$1:$V$448,Socle!$C$1:$C$448,$A6,Socle!$D$1:$D$448,$C6,Socle!$E$1:$E$448,$D6,Socle!$F$1:$F$448,$E6,Socle!$G$1:$G$448,"2026"))</f>
        <v>1.948717948</v>
      </c>
      <c r="N6">
        <f t="shared" si="0"/>
        <v>0</v>
      </c>
      <c r="O6">
        <f>IF($A6="","",_xlfn.SUMIFS(Campagne!$D$1:$D$128,Campagne!$C$1:$C$128,$A6))</f>
        <v>711</v>
      </c>
      <c r="P6">
        <f>IF($A6="","",_xlfn.SUMIFS(Campagne!$E$1:$E$128,Campagne!$C$1:$C$128,$A6))</f>
        <v>1265</v>
      </c>
      <c r="Q6">
        <f>IF($A6="","",_xlfn.SUMIFS(Campagne!$F$1:$F$128,Campagne!$C$1:$C$128,$A6))</f>
        <v>1976</v>
      </c>
      <c r="R6">
        <f>IF($A6="","",_xlfn.SUMIFS(Campagne!$K$1:$K$128,Campagne!$C$1:$C$128,$A6))</f>
        <v>0.463595908</v>
      </c>
      <c r="S6">
        <f>IF($A6="","",_xlfn.SUMIFS(Campagne!$M$1:$M$128,Campagne!$C$1:$C$128,$A6))</f>
        <v>0.308054154</v>
      </c>
      <c r="T6">
        <f>IF($A6="","",_xlfn.SUMIFS(PIL!$K$15:$K$28,PIL!$A$15:$A$28,$A6)*_xlfn.SUMIFS(PIL!$J$15:$J$28,PIL!$A$15:$A$28,$A6)*(SUM(PIL!$K$15:$K$28)/SUMPRODUCT(PIL!$K$15:$K$28,PIL!$J$15:$J$28)))</f>
        <v>68291</v>
      </c>
      <c r="U6">
        <f>IF($A6="","",_xlfn.SUMIFS(PIL!$K$15:$K$28,PIL!$A$15:$A$28,$A6))</f>
        <v>68291</v>
      </c>
      <c r="V6" t="s">
        <v>274</v>
      </c>
      <c r="W6" t="s">
        <v>274</v>
      </c>
      <c r="X6" t="s">
        <v>274</v>
      </c>
      <c r="Y6" t="s">
        <v>274</v>
      </c>
      <c r="Z6" t="s">
        <v>274</v>
      </c>
      <c r="AA6" t="s">
        <v>274</v>
      </c>
      <c r="AB6" t="s">
        <v>274</v>
      </c>
      <c r="AC6" t="s">
        <v>274</v>
      </c>
      <c r="AD6" t="e">
        <f t="shared" si="1"/>
        <v>#VALUE!</v>
      </c>
      <c r="AE6">
        <f t="shared" si="2"/>
        <v>0</v>
      </c>
      <c r="AF6" t="e">
        <f t="shared" si="3"/>
        <v>#VALUE!</v>
      </c>
      <c r="AG6" t="e">
        <f t="shared" si="4"/>
        <v>#VALUE!</v>
      </c>
      <c r="AH6" t="e">
        <f t="shared" si="5"/>
        <v>#VALUE!</v>
      </c>
    </row>
    <row r="7" ht="14.25" customHeight="1">
      <c r="A7" t="str">
        <f>IF(Moteur!D7="","",Moteur!D7)</f>
        <v>MBWAY_PAR</v>
      </c>
      <c r="B7" t="str">
        <f>IF(Moteur!B7="","",Moteur!B7)</f>
        <v>V03</v>
      </c>
      <c r="C7" t="str">
        <f>IF(Moteur!F7="","",Moteur!F7)</f>
        <v>BAC_MGT</v>
      </c>
      <c r="D7" t="str">
        <f>IF(Moteur!G7="","",Moteur!G7)</f>
        <v>B2</v>
      </c>
      <c r="E7" t="str">
        <f>IF(Moteur!H7="","",Moteur!H7)</f>
        <v>ALT</v>
      </c>
      <c r="F7" t="str">
        <f>IF(Moteur!E7="","",Moteur!E7)</f>
        <v>MBWAY</v>
      </c>
      <c r="G7">
        <f>IF($A7="","",_xlfn.SUMIFS(Socle!$H$1:$H$448,Socle!$C$1:$C$448,$A7,Socle!$D$1:$D$448,$C7,Socle!$E$1:$E$448,$D7,Socle!$F$1:$F$448,$E7,Socle!$G$1:$G$448,"2026"))</f>
        <v>0</v>
      </c>
      <c r="H7">
        <f>IF($A7="","",_xlfn.SUMIFS(Socle!$N$1:$N$448,Socle!$C$1:$C$448,$A7,Socle!$D$1:$D$448,$C7,Socle!$E$1:$E$448,$D7,Socle!$F$1:$F$448,$E7,Socle!$G$1:$G$448,"2026"))</f>
        <v>156</v>
      </c>
      <c r="I7">
        <f>IF($A7="","",_xlfn.SUMIFS(Socle!$P$1:$P$448,Socle!$C$1:$C$448,$A7,Socle!$D$1:$D$448,$C7,Socle!$E$1:$E$448,$D7,Socle!$F$1:$F$448,$E7,Socle!$G$1:$G$448,"2026"))</f>
        <v>15680</v>
      </c>
      <c r="J7">
        <f>IF($A7="","",_xlfn.SUMIFS(Socle!$W$1:$W$448,Socle!$C$1:$C$448,$A7,Socle!$D$1:$D$448,$C7,Socle!$E$1:$E$448,$D7,Socle!$F$1:$F$448,$E7,Socle!$G$1:$G$448,"2026"))</f>
        <v>0</v>
      </c>
      <c r="K7">
        <f>IF($A7="","",_xlfn.SUMIFS(Socle!$X$1:$X$448,Socle!$C$1:$C$448,$A7,Socle!$D$1:$D$448,$C7,Socle!$E$1:$E$448,$D7,Socle!$F$1:$F$448,$E7,Socle!$G$1:$G$448,"2026"))</f>
        <v>0</v>
      </c>
      <c r="L7">
        <f>IF($A7="","",_xlfn.SUMIFS(Socle!$Y$1:$Y$448,Socle!$C$1:$C$448,$A7,Socle!$D$1:$D$448,$C7,Socle!$E$1:$E$448,$D7,Socle!$F$1:$F$448,$E7,Socle!$G$1:$G$448,"2026"))</f>
        <v>0</v>
      </c>
      <c r="M7">
        <f>IF($A7="","",_xlfn.SUMIFS(Socle!$V$1:$V$448,Socle!$C$1:$C$448,$A7,Socle!$D$1:$D$448,$C7,Socle!$E$1:$E$448,$D7,Socle!$F$1:$F$448,$E7,Socle!$G$1:$G$448,"2026"))</f>
        <v>1.948717948</v>
      </c>
      <c r="N7">
        <f t="shared" si="0"/>
        <v>0</v>
      </c>
      <c r="O7">
        <f>IF($A7="","",_xlfn.SUMIFS(Campagne!$D$1:$D$128,Campagne!$C$1:$C$128,$A7))</f>
        <v>711</v>
      </c>
      <c r="P7">
        <f>IF($A7="","",_xlfn.SUMIFS(Campagne!$E$1:$E$128,Campagne!$C$1:$C$128,$A7))</f>
        <v>1265</v>
      </c>
      <c r="Q7">
        <f>IF($A7="","",_xlfn.SUMIFS(Campagne!$F$1:$F$128,Campagne!$C$1:$C$128,$A7))</f>
        <v>1976</v>
      </c>
      <c r="R7">
        <f>IF($A7="","",_xlfn.SUMIFS(Campagne!$K$1:$K$128,Campagne!$C$1:$C$128,$A7))</f>
        <v>0.463595908</v>
      </c>
      <c r="S7">
        <f>IF($A7="","",_xlfn.SUMIFS(Campagne!$M$1:$M$128,Campagne!$C$1:$C$128,$A7))</f>
        <v>0.308054154</v>
      </c>
      <c r="T7">
        <f>IF($A7="","",_xlfn.SUMIFS(PIL!$K$15:$K$28,PIL!$A$15:$A$28,$A7)*_xlfn.SUMIFS(PIL!$J$15:$J$28,PIL!$A$15:$A$28,$A7)*(SUM(PIL!$K$15:$K$28)/SUMPRODUCT(PIL!$K$15:$K$28,PIL!$J$15:$J$28)))</f>
        <v>68291</v>
      </c>
      <c r="U7">
        <f>IF($A7="","",_xlfn.SUMIFS(PIL!$K$15:$K$28,PIL!$A$15:$A$28,$A7))</f>
        <v>68291</v>
      </c>
      <c r="V7" t="s">
        <v>274</v>
      </c>
      <c r="W7" t="s">
        <v>274</v>
      </c>
      <c r="X7" t="s">
        <v>274</v>
      </c>
      <c r="Y7" t="s">
        <v>274</v>
      </c>
      <c r="Z7" t="s">
        <v>274</v>
      </c>
      <c r="AA7" t="s">
        <v>274</v>
      </c>
      <c r="AB7" t="s">
        <v>274</v>
      </c>
      <c r="AC7" t="s">
        <v>274</v>
      </c>
      <c r="AD7" t="e">
        <f t="shared" si="1"/>
        <v>#VALUE!</v>
      </c>
      <c r="AE7">
        <f t="shared" si="2"/>
        <v>0</v>
      </c>
      <c r="AF7" t="e">
        <f t="shared" si="3"/>
        <v>#VALUE!</v>
      </c>
      <c r="AG7" t="e">
        <f t="shared" si="4"/>
        <v>#VALUE!</v>
      </c>
      <c r="AH7" t="e">
        <f t="shared" si="5"/>
        <v>#VALUE!</v>
      </c>
    </row>
    <row r="8" ht="14.25" customHeight="1">
      <c r="A8" t="str">
        <f>IF(Moteur!D8="","",Moteur!D8)</f>
        <v>MBWAY_PAR</v>
      </c>
      <c r="B8" t="str">
        <f>IF(Moteur!B8="","",Moteur!B8)</f>
        <v>V01</v>
      </c>
      <c r="C8" t="str">
        <f>IF(Moteur!F8="","",Moteur!F8)</f>
        <v>BAC_MGT</v>
      </c>
      <c r="D8" t="str">
        <f>IF(Moteur!G8="","",Moteur!G8)</f>
        <v>B3</v>
      </c>
      <c r="E8" t="str">
        <f>IF(Moteur!H8="","",Moteur!H8)</f>
        <v>ALT</v>
      </c>
      <c r="F8" t="str">
        <f>IF(Moteur!E8="","",Moteur!E8)</f>
        <v>MBWAY</v>
      </c>
      <c r="G8">
        <f>IF($A8="","",_xlfn.SUMIFS(Socle!$H$1:$H$448,Socle!$C$1:$C$448,$A8,Socle!$D$1:$D$448,$C8,Socle!$E$1:$E$448,$D8,Socle!$F$1:$F$448,$E8,Socle!$G$1:$G$448,"2026"))</f>
        <v>0</v>
      </c>
      <c r="H8">
        <f>IF($A8="","",_xlfn.SUMIFS(Socle!$N$1:$N$448,Socle!$C$1:$C$448,$A8,Socle!$D$1:$D$448,$C8,Socle!$E$1:$E$448,$D8,Socle!$F$1:$F$448,$E8,Socle!$G$1:$G$448,"2026"))</f>
        <v>152</v>
      </c>
      <c r="I8">
        <f>IF($A8="","",_xlfn.SUMIFS(Socle!$P$1:$P$448,Socle!$C$1:$C$448,$A8,Socle!$D$1:$D$448,$C8,Socle!$E$1:$E$448,$D8,Socle!$F$1:$F$448,$E8,Socle!$G$1:$G$448,"2026"))</f>
        <v>15680</v>
      </c>
      <c r="J8">
        <f>IF($A8="","",_xlfn.SUMIFS(Socle!$W$1:$W$448,Socle!$C$1:$C$448,$A8,Socle!$D$1:$D$448,$C8,Socle!$E$1:$E$448,$D8,Socle!$F$1:$F$448,$E8,Socle!$G$1:$G$448,"2026"))</f>
        <v>0</v>
      </c>
      <c r="K8">
        <f>IF($A8="","",_xlfn.SUMIFS(Socle!$X$1:$X$448,Socle!$C$1:$C$448,$A8,Socle!$D$1:$D$448,$C8,Socle!$E$1:$E$448,$D8,Socle!$F$1:$F$448,$E8,Socle!$G$1:$G$448,"2026"))</f>
        <v>0</v>
      </c>
      <c r="L8">
        <f>IF($A8="","",_xlfn.SUMIFS(Socle!$Y$1:$Y$448,Socle!$C$1:$C$448,$A8,Socle!$D$1:$D$448,$C8,Socle!$E$1:$E$448,$D8,Socle!$F$1:$F$448,$E8,Socle!$G$1:$G$448,"2026"))</f>
        <v>0</v>
      </c>
      <c r="M8">
        <f>IF($A8="","",_xlfn.SUMIFS(Socle!$V$1:$V$448,Socle!$C$1:$C$448,$A8,Socle!$D$1:$D$448,$C8,Socle!$E$1:$E$448,$D8,Socle!$F$1:$F$448,$E8,Socle!$G$1:$G$448,"2026"))</f>
        <v>1.947368422</v>
      </c>
      <c r="N8">
        <f t="shared" si="0"/>
        <v>0</v>
      </c>
      <c r="O8">
        <f>IF($A8="","",_xlfn.SUMIFS(Campagne!$D$1:$D$128,Campagne!$C$1:$C$128,$A8))</f>
        <v>711</v>
      </c>
      <c r="P8">
        <f>IF($A8="","",_xlfn.SUMIFS(Campagne!$E$1:$E$128,Campagne!$C$1:$C$128,$A8))</f>
        <v>1265</v>
      </c>
      <c r="Q8">
        <f>IF($A8="","",_xlfn.SUMIFS(Campagne!$F$1:$F$128,Campagne!$C$1:$C$128,$A8))</f>
        <v>1976</v>
      </c>
      <c r="R8">
        <f>IF($A8="","",_xlfn.SUMIFS(Campagne!$K$1:$K$128,Campagne!$C$1:$C$128,$A8))</f>
        <v>0.463595908</v>
      </c>
      <c r="S8">
        <f>IF($A8="","",_xlfn.SUMIFS(Campagne!$M$1:$M$128,Campagne!$C$1:$C$128,$A8))</f>
        <v>0.308054154</v>
      </c>
      <c r="T8">
        <f>IF($A8="","",_xlfn.SUMIFS(PIL!$K$15:$K$28,PIL!$A$15:$A$28,$A8)*_xlfn.SUMIFS(PIL!$J$15:$J$28,PIL!$A$15:$A$28,$A8)*(SUM(PIL!$K$15:$K$28)/SUMPRODUCT(PIL!$K$15:$K$28,PIL!$J$15:$J$28)))</f>
        <v>68291</v>
      </c>
      <c r="U8">
        <f>IF($A8="","",_xlfn.SUMIFS(PIL!$K$15:$K$28,PIL!$A$15:$A$28,$A8))</f>
        <v>68291</v>
      </c>
      <c r="V8" t="s">
        <v>274</v>
      </c>
      <c r="W8" t="s">
        <v>274</v>
      </c>
      <c r="X8" t="s">
        <v>274</v>
      </c>
      <c r="Y8" t="s">
        <v>274</v>
      </c>
      <c r="Z8" t="s">
        <v>274</v>
      </c>
      <c r="AA8" t="s">
        <v>274</v>
      </c>
      <c r="AB8" t="s">
        <v>274</v>
      </c>
      <c r="AC8" t="s">
        <v>274</v>
      </c>
      <c r="AD8" t="e">
        <f t="shared" si="1"/>
        <v>#VALUE!</v>
      </c>
      <c r="AE8">
        <f t="shared" si="2"/>
        <v>0</v>
      </c>
      <c r="AF8" t="e">
        <f t="shared" si="3"/>
        <v>#VALUE!</v>
      </c>
      <c r="AG8" t="e">
        <f t="shared" si="4"/>
        <v>#VALUE!</v>
      </c>
      <c r="AH8" t="e">
        <f t="shared" si="5"/>
        <v>#VALUE!</v>
      </c>
    </row>
    <row r="9" ht="14.25" customHeight="1">
      <c r="A9" t="str">
        <f>IF(Moteur!D9="","",Moteur!D9)</f>
        <v>MBWAY_PAR</v>
      </c>
      <c r="B9" t="str">
        <f>IF(Moteur!B9="","",Moteur!B9)</f>
        <v>V02</v>
      </c>
      <c r="C9" t="str">
        <f>IF(Moteur!F9="","",Moteur!F9)</f>
        <v>BAC_MGT</v>
      </c>
      <c r="D9" t="str">
        <f>IF(Moteur!G9="","",Moteur!G9)</f>
        <v>B3</v>
      </c>
      <c r="E9" t="str">
        <f>IF(Moteur!H9="","",Moteur!H9)</f>
        <v>ALT</v>
      </c>
      <c r="F9" t="str">
        <f>IF(Moteur!E9="","",Moteur!E9)</f>
        <v>MBWAY</v>
      </c>
      <c r="G9">
        <f>IF($A9="","",_xlfn.SUMIFS(Socle!$H$1:$H$448,Socle!$C$1:$C$448,$A9,Socle!$D$1:$D$448,$C9,Socle!$E$1:$E$448,$D9,Socle!$F$1:$F$448,$E9,Socle!$G$1:$G$448,"2026"))</f>
        <v>0</v>
      </c>
      <c r="H9">
        <f>IF($A9="","",_xlfn.SUMIFS(Socle!$N$1:$N$448,Socle!$C$1:$C$448,$A9,Socle!$D$1:$D$448,$C9,Socle!$E$1:$E$448,$D9,Socle!$F$1:$F$448,$E9,Socle!$G$1:$G$448,"2026"))</f>
        <v>152</v>
      </c>
      <c r="I9">
        <f>IF($A9="","",_xlfn.SUMIFS(Socle!$P$1:$P$448,Socle!$C$1:$C$448,$A9,Socle!$D$1:$D$448,$C9,Socle!$E$1:$E$448,$D9,Socle!$F$1:$F$448,$E9,Socle!$G$1:$G$448,"2026"))</f>
        <v>15680</v>
      </c>
      <c r="J9">
        <f>IF($A9="","",_xlfn.SUMIFS(Socle!$W$1:$W$448,Socle!$C$1:$C$448,$A9,Socle!$D$1:$D$448,$C9,Socle!$E$1:$E$448,$D9,Socle!$F$1:$F$448,$E9,Socle!$G$1:$G$448,"2026"))</f>
        <v>0</v>
      </c>
      <c r="K9">
        <f>IF($A9="","",_xlfn.SUMIFS(Socle!$X$1:$X$448,Socle!$C$1:$C$448,$A9,Socle!$D$1:$D$448,$C9,Socle!$E$1:$E$448,$D9,Socle!$F$1:$F$448,$E9,Socle!$G$1:$G$448,"2026"))</f>
        <v>0</v>
      </c>
      <c r="L9">
        <f>IF($A9="","",_xlfn.SUMIFS(Socle!$Y$1:$Y$448,Socle!$C$1:$C$448,$A9,Socle!$D$1:$D$448,$C9,Socle!$E$1:$E$448,$D9,Socle!$F$1:$F$448,$E9,Socle!$G$1:$G$448,"2026"))</f>
        <v>0</v>
      </c>
      <c r="M9">
        <f>IF($A9="","",_xlfn.SUMIFS(Socle!$V$1:$V$448,Socle!$C$1:$C$448,$A9,Socle!$D$1:$D$448,$C9,Socle!$E$1:$E$448,$D9,Socle!$F$1:$F$448,$E9,Socle!$G$1:$G$448,"2026"))</f>
        <v>1.947368422</v>
      </c>
      <c r="N9">
        <f t="shared" si="0"/>
        <v>0</v>
      </c>
      <c r="O9">
        <f>IF($A9="","",_xlfn.SUMIFS(Campagne!$D$1:$D$128,Campagne!$C$1:$C$128,$A9))</f>
        <v>711</v>
      </c>
      <c r="P9">
        <f>IF($A9="","",_xlfn.SUMIFS(Campagne!$E$1:$E$128,Campagne!$C$1:$C$128,$A9))</f>
        <v>1265</v>
      </c>
      <c r="Q9">
        <f>IF($A9="","",_xlfn.SUMIFS(Campagne!$F$1:$F$128,Campagne!$C$1:$C$128,$A9))</f>
        <v>1976</v>
      </c>
      <c r="R9">
        <f>IF($A9="","",_xlfn.SUMIFS(Campagne!$K$1:$K$128,Campagne!$C$1:$C$128,$A9))</f>
        <v>0.463595908</v>
      </c>
      <c r="S9">
        <f>IF($A9="","",_xlfn.SUMIFS(Campagne!$M$1:$M$128,Campagne!$C$1:$C$128,$A9))</f>
        <v>0.308054154</v>
      </c>
      <c r="T9">
        <f>IF($A9="","",_xlfn.SUMIFS(PIL!$K$15:$K$28,PIL!$A$15:$A$28,$A9)*_xlfn.SUMIFS(PIL!$J$15:$J$28,PIL!$A$15:$A$28,$A9)*(SUM(PIL!$K$15:$K$28)/SUMPRODUCT(PIL!$K$15:$K$28,PIL!$J$15:$J$28)))</f>
        <v>68291</v>
      </c>
      <c r="U9">
        <f>IF($A9="","",_xlfn.SUMIFS(PIL!$K$15:$K$28,PIL!$A$15:$A$28,$A9))</f>
        <v>68291</v>
      </c>
      <c r="V9" t="s">
        <v>274</v>
      </c>
      <c r="W9" t="s">
        <v>274</v>
      </c>
      <c r="X9" t="s">
        <v>274</v>
      </c>
      <c r="Y9" t="s">
        <v>274</v>
      </c>
      <c r="Z9" t="s">
        <v>274</v>
      </c>
      <c r="AA9" t="s">
        <v>274</v>
      </c>
      <c r="AB9" t="s">
        <v>274</v>
      </c>
      <c r="AC9" t="s">
        <v>274</v>
      </c>
      <c r="AD9" t="e">
        <f t="shared" si="1"/>
        <v>#VALUE!</v>
      </c>
      <c r="AE9">
        <f t="shared" si="2"/>
        <v>0</v>
      </c>
      <c r="AF9" t="e">
        <f t="shared" si="3"/>
        <v>#VALUE!</v>
      </c>
      <c r="AG9" t="e">
        <f t="shared" si="4"/>
        <v>#VALUE!</v>
      </c>
      <c r="AH9" t="e">
        <f t="shared" si="5"/>
        <v>#VALUE!</v>
      </c>
    </row>
    <row r="10" ht="14.25" customHeight="1">
      <c r="A10" t="str">
        <f>IF(Moteur!D10="","",Moteur!D10)</f>
        <v>MBWAY_PAR</v>
      </c>
      <c r="B10" t="str">
        <f>IF(Moteur!B10="","",Moteur!B10)</f>
        <v>V03</v>
      </c>
      <c r="C10" t="str">
        <f>IF(Moteur!F10="","",Moteur!F10)</f>
        <v>BAC_MGT</v>
      </c>
      <c r="D10" t="str">
        <f>IF(Moteur!G10="","",Moteur!G10)</f>
        <v>B3</v>
      </c>
      <c r="E10" t="str">
        <f>IF(Moteur!H10="","",Moteur!H10)</f>
        <v>ALT</v>
      </c>
      <c r="F10" t="str">
        <f>IF(Moteur!E10="","",Moteur!E10)</f>
        <v>MBWAY</v>
      </c>
      <c r="G10">
        <f>IF($A10="","",_xlfn.SUMIFS(Socle!$H$1:$H$448,Socle!$C$1:$C$448,$A10,Socle!$D$1:$D$448,$C10,Socle!$E$1:$E$448,$D10,Socle!$F$1:$F$448,$E10,Socle!$G$1:$G$448,"2026"))</f>
        <v>0</v>
      </c>
      <c r="H10">
        <f>IF($A10="","",_xlfn.SUMIFS(Socle!$N$1:$N$448,Socle!$C$1:$C$448,$A10,Socle!$D$1:$D$448,$C10,Socle!$E$1:$E$448,$D10,Socle!$F$1:$F$448,$E10,Socle!$G$1:$G$448,"2026"))</f>
        <v>152</v>
      </c>
      <c r="I10">
        <f>IF($A10="","",_xlfn.SUMIFS(Socle!$P$1:$P$448,Socle!$C$1:$C$448,$A10,Socle!$D$1:$D$448,$C10,Socle!$E$1:$E$448,$D10,Socle!$F$1:$F$448,$E10,Socle!$G$1:$G$448,"2026"))</f>
        <v>15680</v>
      </c>
      <c r="J10">
        <f>IF($A10="","",_xlfn.SUMIFS(Socle!$W$1:$W$448,Socle!$C$1:$C$448,$A10,Socle!$D$1:$D$448,$C10,Socle!$E$1:$E$448,$D10,Socle!$F$1:$F$448,$E10,Socle!$G$1:$G$448,"2026"))</f>
        <v>0</v>
      </c>
      <c r="K10">
        <f>IF($A10="","",_xlfn.SUMIFS(Socle!$X$1:$X$448,Socle!$C$1:$C$448,$A10,Socle!$D$1:$D$448,$C10,Socle!$E$1:$E$448,$D10,Socle!$F$1:$F$448,$E10,Socle!$G$1:$G$448,"2026"))</f>
        <v>0</v>
      </c>
      <c r="L10">
        <f>IF($A10="","",_xlfn.SUMIFS(Socle!$Y$1:$Y$448,Socle!$C$1:$C$448,$A10,Socle!$D$1:$D$448,$C10,Socle!$E$1:$E$448,$D10,Socle!$F$1:$F$448,$E10,Socle!$G$1:$G$448,"2026"))</f>
        <v>0</v>
      </c>
      <c r="M10">
        <f>IF($A10="","",_xlfn.SUMIFS(Socle!$V$1:$V$448,Socle!$C$1:$C$448,$A10,Socle!$D$1:$D$448,$C10,Socle!$E$1:$E$448,$D10,Socle!$F$1:$F$448,$E10,Socle!$G$1:$G$448,"2026"))</f>
        <v>1.947368422</v>
      </c>
      <c r="N10">
        <f t="shared" si="0"/>
        <v>0</v>
      </c>
      <c r="O10">
        <f>IF($A10="","",_xlfn.SUMIFS(Campagne!$D$1:$D$128,Campagne!$C$1:$C$128,$A10))</f>
        <v>711</v>
      </c>
      <c r="P10">
        <f>IF($A10="","",_xlfn.SUMIFS(Campagne!$E$1:$E$128,Campagne!$C$1:$C$128,$A10))</f>
        <v>1265</v>
      </c>
      <c r="Q10">
        <f>IF($A10="","",_xlfn.SUMIFS(Campagne!$F$1:$F$128,Campagne!$C$1:$C$128,$A10))</f>
        <v>1976</v>
      </c>
      <c r="R10">
        <f>IF($A10="","",_xlfn.SUMIFS(Campagne!$K$1:$K$128,Campagne!$C$1:$C$128,$A10))</f>
        <v>0.463595908</v>
      </c>
      <c r="S10">
        <f>IF($A10="","",_xlfn.SUMIFS(Campagne!$M$1:$M$128,Campagne!$C$1:$C$128,$A10))</f>
        <v>0.308054154</v>
      </c>
      <c r="T10">
        <f>IF($A10="","",_xlfn.SUMIFS(PIL!$K$15:$K$28,PIL!$A$15:$A$28,$A10)*_xlfn.SUMIFS(PIL!$J$15:$J$28,PIL!$A$15:$A$28,$A10)*(SUM(PIL!$K$15:$K$28)/SUMPRODUCT(PIL!$K$15:$K$28,PIL!$J$15:$J$28)))</f>
        <v>68291</v>
      </c>
      <c r="U10">
        <f>IF($A10="","",_xlfn.SUMIFS(PIL!$K$15:$K$28,PIL!$A$15:$A$28,$A10))</f>
        <v>68291</v>
      </c>
      <c r="V10" t="s">
        <v>274</v>
      </c>
      <c r="W10" t="s">
        <v>274</v>
      </c>
      <c r="X10" t="s">
        <v>274</v>
      </c>
      <c r="Y10" t="s">
        <v>274</v>
      </c>
      <c r="Z10" t="s">
        <v>274</v>
      </c>
      <c r="AA10" t="s">
        <v>274</v>
      </c>
      <c r="AB10" t="s">
        <v>274</v>
      </c>
      <c r="AC10" t="s">
        <v>274</v>
      </c>
      <c r="AD10" t="e">
        <f t="shared" si="1"/>
        <v>#VALUE!</v>
      </c>
      <c r="AE10">
        <f t="shared" si="2"/>
        <v>0</v>
      </c>
      <c r="AF10" t="e">
        <f t="shared" si="3"/>
        <v>#VALUE!</v>
      </c>
      <c r="AG10" t="e">
        <f t="shared" si="4"/>
        <v>#VALUE!</v>
      </c>
      <c r="AH10" t="e">
        <f t="shared" si="5"/>
        <v>#VALUE!</v>
      </c>
    </row>
    <row r="11" ht="14.25" customHeight="1">
      <c r="A11" t="str">
        <f>IF(Moteur!D11="","",Moteur!D11)</f>
        <v>MBWAY_PAR</v>
      </c>
      <c r="B11" t="str">
        <f>IF(Moteur!B11="","",Moteur!B11)</f>
        <v>V01</v>
      </c>
      <c r="C11" t="str">
        <f>IF(Moteur!F11="","",Moteur!F11)</f>
        <v>MAS_MGT</v>
      </c>
      <c r="D11" t="str">
        <f>IF(Moteur!G11="","",Moteur!G11)</f>
        <v>M1</v>
      </c>
      <c r="E11" t="str">
        <f>IF(Moteur!H11="","",Moteur!H11)</f>
        <v>ALT</v>
      </c>
      <c r="F11" t="str">
        <f>IF(Moteur!E11="","",Moteur!E11)</f>
        <v>MBWAY</v>
      </c>
      <c r="G11">
        <f>IF($A11="","",_xlfn.SUMIFS(Socle!$H$1:$H$448,Socle!$C$1:$C$448,$A11,Socle!$D$1:$D$448,$C11,Socle!$E$1:$E$448,$D11,Socle!$F$1:$F$448,$E11,Socle!$G$1:$G$448,"2026"))</f>
        <v>2660</v>
      </c>
      <c r="H11">
        <f>IF($A11="","",_xlfn.SUMIFS(Socle!$N$1:$N$448,Socle!$C$1:$C$448,$A11,Socle!$D$1:$D$448,$C11,Socle!$E$1:$E$448,$D11,Socle!$F$1:$F$448,$E11,Socle!$G$1:$G$448,"2026"))</f>
        <v>0</v>
      </c>
      <c r="I11">
        <f>IF($A11="","",_xlfn.SUMIFS(Socle!$P$1:$P$448,Socle!$C$1:$C$448,$A11,Socle!$D$1:$D$448,$C11,Socle!$E$1:$E$448,$D11,Socle!$F$1:$F$448,$E11,Socle!$G$1:$G$448,"2026"))</f>
        <v>16800</v>
      </c>
      <c r="J11">
        <f>IF($A11="","",_xlfn.SUMIFS(Socle!$W$1:$W$448,Socle!$C$1:$C$448,$A11,Socle!$D$1:$D$448,$C11,Socle!$E$1:$E$448,$D11,Socle!$F$1:$F$448,$E11,Socle!$G$1:$G$448,"2026"))</f>
        <v>0.4</v>
      </c>
      <c r="K11">
        <f>IF($A11="","",_xlfn.SUMIFS(Socle!$X$1:$X$448,Socle!$C$1:$C$448,$A11,Socle!$D$1:$D$448,$C11,Socle!$E$1:$E$448,$D11,Socle!$F$1:$F$448,$E11,Socle!$G$1:$G$448,"2026"))</f>
        <v>1.39849624</v>
      </c>
      <c r="L11">
        <f>IF($A11="","",_xlfn.SUMIFS(Socle!$Y$1:$Y$448,Socle!$C$1:$C$448,$A11,Socle!$D$1:$D$448,$C11,Socle!$E$1:$E$448,$D11,Socle!$F$1:$F$448,$E11,Socle!$G$1:$G$448,"2026"))</f>
        <v>0.838709678</v>
      </c>
      <c r="M11">
        <f>IF($A11="","",_xlfn.SUMIFS(Socle!$V$1:$V$448,Socle!$C$1:$C$448,$A11,Socle!$D$1:$D$448,$C11,Socle!$E$1:$E$448,$D11,Socle!$F$1:$F$448,$E11,Socle!$G$1:$G$448,"2026"))</f>
        <v>0</v>
      </c>
      <c r="N11">
        <f t="shared" si="0"/>
        <v>1</v>
      </c>
      <c r="O11">
        <f>IF($A11="","",_xlfn.SUMIFS(Campagne!$D$1:$D$128,Campagne!$C$1:$C$128,$A11))</f>
        <v>711</v>
      </c>
      <c r="P11">
        <f>IF($A11="","",_xlfn.SUMIFS(Campagne!$E$1:$E$128,Campagne!$C$1:$C$128,$A11))</f>
        <v>1265</v>
      </c>
      <c r="Q11">
        <f>IF($A11="","",_xlfn.SUMIFS(Campagne!$F$1:$F$128,Campagne!$C$1:$C$128,$A11))</f>
        <v>1976</v>
      </c>
      <c r="R11">
        <f>IF($A11="","",_xlfn.SUMIFS(Campagne!$K$1:$K$128,Campagne!$C$1:$C$128,$A11))</f>
        <v>0.463595908</v>
      </c>
      <c r="S11">
        <f>IF($A11="","",_xlfn.SUMIFS(Campagne!$M$1:$M$128,Campagne!$C$1:$C$128,$A11))</f>
        <v>0.308054154</v>
      </c>
      <c r="T11">
        <f>IF($A11="","",_xlfn.SUMIFS(PIL!$K$15:$K$28,PIL!$A$15:$A$28,$A11)*_xlfn.SUMIFS(PIL!$J$15:$J$28,PIL!$A$15:$A$28,$A11)*(SUM(PIL!$K$15:$K$28)/SUMPRODUCT(PIL!$K$15:$K$28,PIL!$J$15:$J$28)))</f>
        <v>68291</v>
      </c>
      <c r="U11">
        <f>IF($A11="","",_xlfn.SUMIFS(PIL!$K$15:$K$28,PIL!$A$15:$A$28,$A11))</f>
        <v>68291</v>
      </c>
      <c r="V11" t="s">
        <v>274</v>
      </c>
      <c r="W11" t="s">
        <v>274</v>
      </c>
      <c r="X11" t="s">
        <v>274</v>
      </c>
      <c r="Y11" t="s">
        <v>274</v>
      </c>
      <c r="Z11" t="s">
        <v>274</v>
      </c>
      <c r="AA11" t="s">
        <v>274</v>
      </c>
      <c r="AB11" t="s">
        <v>274</v>
      </c>
      <c r="AC11" t="s">
        <v>274</v>
      </c>
      <c r="AD11" t="e">
        <f t="shared" si="1"/>
        <v>#VALUE!</v>
      </c>
      <c r="AE11" t="e">
        <f t="shared" si="2"/>
        <v>#VALUE!</v>
      </c>
      <c r="AF11" t="e">
        <f t="shared" si="3"/>
        <v>#VALUE!</v>
      </c>
      <c r="AG11" t="e">
        <f t="shared" si="4"/>
        <v>#VALUE!</v>
      </c>
      <c r="AH11" t="e">
        <f t="shared" si="5"/>
        <v>#VALUE!</v>
      </c>
    </row>
    <row r="12" ht="14.25" customHeight="1">
      <c r="A12" t="str">
        <f>IF(Moteur!D12="","",Moteur!D12)</f>
        <v>MBWAY_PAR</v>
      </c>
      <c r="B12" t="str">
        <f>IF(Moteur!B12="","",Moteur!B12)</f>
        <v>V02</v>
      </c>
      <c r="C12" t="str">
        <f>IF(Moteur!F12="","",Moteur!F12)</f>
        <v>MAS_MGT</v>
      </c>
      <c r="D12" t="str">
        <f>IF(Moteur!G12="","",Moteur!G12)</f>
        <v>M1</v>
      </c>
      <c r="E12" t="str">
        <f>IF(Moteur!H12="","",Moteur!H12)</f>
        <v>ALT</v>
      </c>
      <c r="F12" t="str">
        <f>IF(Moteur!E12="","",Moteur!E12)</f>
        <v>MBWAY</v>
      </c>
      <c r="G12">
        <f>IF($A12="","",_xlfn.SUMIFS(Socle!$H$1:$H$448,Socle!$C$1:$C$448,$A12,Socle!$D$1:$D$448,$C12,Socle!$E$1:$E$448,$D12,Socle!$F$1:$F$448,$E12,Socle!$G$1:$G$448,"2026"))</f>
        <v>2660</v>
      </c>
      <c r="H12">
        <f>IF($A12="","",_xlfn.SUMIFS(Socle!$N$1:$N$448,Socle!$C$1:$C$448,$A12,Socle!$D$1:$D$448,$C12,Socle!$E$1:$E$448,$D12,Socle!$F$1:$F$448,$E12,Socle!$G$1:$G$448,"2026"))</f>
        <v>0</v>
      </c>
      <c r="I12">
        <f>IF($A12="","",_xlfn.SUMIFS(Socle!$P$1:$P$448,Socle!$C$1:$C$448,$A12,Socle!$D$1:$D$448,$C12,Socle!$E$1:$E$448,$D12,Socle!$F$1:$F$448,$E12,Socle!$G$1:$G$448,"2026"))</f>
        <v>16800</v>
      </c>
      <c r="J12">
        <f>IF($A12="","",_xlfn.SUMIFS(Socle!$W$1:$W$448,Socle!$C$1:$C$448,$A12,Socle!$D$1:$D$448,$C12,Socle!$E$1:$E$448,$D12,Socle!$F$1:$F$448,$E12,Socle!$G$1:$G$448,"2026"))</f>
        <v>0.4</v>
      </c>
      <c r="K12">
        <f>IF($A12="","",_xlfn.SUMIFS(Socle!$X$1:$X$448,Socle!$C$1:$C$448,$A12,Socle!$D$1:$D$448,$C12,Socle!$E$1:$E$448,$D12,Socle!$F$1:$F$448,$E12,Socle!$G$1:$G$448,"2026"))</f>
        <v>1.39849624</v>
      </c>
      <c r="L12">
        <f>IF($A12="","",_xlfn.SUMIFS(Socle!$Y$1:$Y$448,Socle!$C$1:$C$448,$A12,Socle!$D$1:$D$448,$C12,Socle!$E$1:$E$448,$D12,Socle!$F$1:$F$448,$E12,Socle!$G$1:$G$448,"2026"))</f>
        <v>0.838709678</v>
      </c>
      <c r="M12">
        <f>IF($A12="","",_xlfn.SUMIFS(Socle!$V$1:$V$448,Socle!$C$1:$C$448,$A12,Socle!$D$1:$D$448,$C12,Socle!$E$1:$E$448,$D12,Socle!$F$1:$F$448,$E12,Socle!$G$1:$G$448,"2026"))</f>
        <v>0</v>
      </c>
      <c r="N12">
        <f t="shared" si="0"/>
        <v>1</v>
      </c>
      <c r="O12">
        <f>IF($A12="","",_xlfn.SUMIFS(Campagne!$D$1:$D$128,Campagne!$C$1:$C$128,$A12))</f>
        <v>711</v>
      </c>
      <c r="P12">
        <f>IF($A12="","",_xlfn.SUMIFS(Campagne!$E$1:$E$128,Campagne!$C$1:$C$128,$A12))</f>
        <v>1265</v>
      </c>
      <c r="Q12">
        <f>IF($A12="","",_xlfn.SUMIFS(Campagne!$F$1:$F$128,Campagne!$C$1:$C$128,$A12))</f>
        <v>1976</v>
      </c>
      <c r="R12">
        <f>IF($A12="","",_xlfn.SUMIFS(Campagne!$K$1:$K$128,Campagne!$C$1:$C$128,$A12))</f>
        <v>0.463595908</v>
      </c>
      <c r="S12">
        <f>IF($A12="","",_xlfn.SUMIFS(Campagne!$M$1:$M$128,Campagne!$C$1:$C$128,$A12))</f>
        <v>0.308054154</v>
      </c>
      <c r="T12">
        <f>IF($A12="","",_xlfn.SUMIFS(PIL!$K$15:$K$28,PIL!$A$15:$A$28,$A12)*_xlfn.SUMIFS(PIL!$J$15:$J$28,PIL!$A$15:$A$28,$A12)*(SUM(PIL!$K$15:$K$28)/SUMPRODUCT(PIL!$K$15:$K$28,PIL!$J$15:$J$28)))</f>
        <v>68291</v>
      </c>
      <c r="U12">
        <f>IF($A12="","",_xlfn.SUMIFS(PIL!$K$15:$K$28,PIL!$A$15:$A$28,$A12))</f>
        <v>68291</v>
      </c>
      <c r="V12" t="s">
        <v>274</v>
      </c>
      <c r="W12" t="s">
        <v>274</v>
      </c>
      <c r="X12" t="s">
        <v>274</v>
      </c>
      <c r="Y12" t="s">
        <v>274</v>
      </c>
      <c r="Z12" t="s">
        <v>274</v>
      </c>
      <c r="AA12" t="s">
        <v>274</v>
      </c>
      <c r="AB12" t="s">
        <v>274</v>
      </c>
      <c r="AC12" t="s">
        <v>274</v>
      </c>
      <c r="AD12" t="e">
        <f t="shared" si="1"/>
        <v>#VALUE!</v>
      </c>
      <c r="AE12" t="e">
        <f t="shared" si="2"/>
        <v>#VALUE!</v>
      </c>
      <c r="AF12" t="e">
        <f t="shared" si="3"/>
        <v>#VALUE!</v>
      </c>
      <c r="AG12" t="e">
        <f t="shared" si="4"/>
        <v>#VALUE!</v>
      </c>
      <c r="AH12" t="e">
        <f t="shared" si="5"/>
        <v>#VALUE!</v>
      </c>
    </row>
    <row r="13" ht="14.25" customHeight="1">
      <c r="A13" t="str">
        <f>IF(Moteur!D13="","",Moteur!D13)</f>
        <v>MBWAY_PAR</v>
      </c>
      <c r="B13" t="str">
        <f>IF(Moteur!B13="","",Moteur!B13)</f>
        <v>V03</v>
      </c>
      <c r="C13" t="str">
        <f>IF(Moteur!F13="","",Moteur!F13)</f>
        <v>MAS_MGT</v>
      </c>
      <c r="D13" t="str">
        <f>IF(Moteur!G13="","",Moteur!G13)</f>
        <v>M1</v>
      </c>
      <c r="E13" t="str">
        <f>IF(Moteur!H13="","",Moteur!H13)</f>
        <v>ALT</v>
      </c>
      <c r="F13" t="str">
        <f>IF(Moteur!E13="","",Moteur!E13)</f>
        <v>MBWAY</v>
      </c>
      <c r="G13">
        <f>IF($A13="","",_xlfn.SUMIFS(Socle!$H$1:$H$448,Socle!$C$1:$C$448,$A13,Socle!$D$1:$D$448,$C13,Socle!$E$1:$E$448,$D13,Socle!$F$1:$F$448,$E13,Socle!$G$1:$G$448,"2026"))</f>
        <v>2660</v>
      </c>
      <c r="H13">
        <f>IF($A13="","",_xlfn.SUMIFS(Socle!$N$1:$N$448,Socle!$C$1:$C$448,$A13,Socle!$D$1:$D$448,$C13,Socle!$E$1:$E$448,$D13,Socle!$F$1:$F$448,$E13,Socle!$G$1:$G$448,"2026"))</f>
        <v>0</v>
      </c>
      <c r="I13">
        <f>IF($A13="","",_xlfn.SUMIFS(Socle!$P$1:$P$448,Socle!$C$1:$C$448,$A13,Socle!$D$1:$D$448,$C13,Socle!$E$1:$E$448,$D13,Socle!$F$1:$F$448,$E13,Socle!$G$1:$G$448,"2026"))</f>
        <v>16800</v>
      </c>
      <c r="J13">
        <f>IF($A13="","",_xlfn.SUMIFS(Socle!$W$1:$W$448,Socle!$C$1:$C$448,$A13,Socle!$D$1:$D$448,$C13,Socle!$E$1:$E$448,$D13,Socle!$F$1:$F$448,$E13,Socle!$G$1:$G$448,"2026"))</f>
        <v>0.4</v>
      </c>
      <c r="K13">
        <f>IF($A13="","",_xlfn.SUMIFS(Socle!$X$1:$X$448,Socle!$C$1:$C$448,$A13,Socle!$D$1:$D$448,$C13,Socle!$E$1:$E$448,$D13,Socle!$F$1:$F$448,$E13,Socle!$G$1:$G$448,"2026"))</f>
        <v>1.39849624</v>
      </c>
      <c r="L13">
        <f>IF($A13="","",_xlfn.SUMIFS(Socle!$Y$1:$Y$448,Socle!$C$1:$C$448,$A13,Socle!$D$1:$D$448,$C13,Socle!$E$1:$E$448,$D13,Socle!$F$1:$F$448,$E13,Socle!$G$1:$G$448,"2026"))</f>
        <v>0.838709678</v>
      </c>
      <c r="M13">
        <f>IF($A13="","",_xlfn.SUMIFS(Socle!$V$1:$V$448,Socle!$C$1:$C$448,$A13,Socle!$D$1:$D$448,$C13,Socle!$E$1:$E$448,$D13,Socle!$F$1:$F$448,$E13,Socle!$G$1:$G$448,"2026"))</f>
        <v>0</v>
      </c>
      <c r="N13">
        <f t="shared" si="0"/>
        <v>1</v>
      </c>
      <c r="O13">
        <f>IF($A13="","",_xlfn.SUMIFS(Campagne!$D$1:$D$128,Campagne!$C$1:$C$128,$A13))</f>
        <v>711</v>
      </c>
      <c r="P13">
        <f>IF($A13="","",_xlfn.SUMIFS(Campagne!$E$1:$E$128,Campagne!$C$1:$C$128,$A13))</f>
        <v>1265</v>
      </c>
      <c r="Q13">
        <f>IF($A13="","",_xlfn.SUMIFS(Campagne!$F$1:$F$128,Campagne!$C$1:$C$128,$A13))</f>
        <v>1976</v>
      </c>
      <c r="R13">
        <f>IF($A13="","",_xlfn.SUMIFS(Campagne!$K$1:$K$128,Campagne!$C$1:$C$128,$A13))</f>
        <v>0.463595908</v>
      </c>
      <c r="S13">
        <f>IF($A13="","",_xlfn.SUMIFS(Campagne!$M$1:$M$128,Campagne!$C$1:$C$128,$A13))</f>
        <v>0.308054154</v>
      </c>
      <c r="T13">
        <f>IF($A13="","",_xlfn.SUMIFS(PIL!$K$15:$K$28,PIL!$A$15:$A$28,$A13)*_xlfn.SUMIFS(PIL!$J$15:$J$28,PIL!$A$15:$A$28,$A13)*(SUM(PIL!$K$15:$K$28)/SUMPRODUCT(PIL!$K$15:$K$28,PIL!$J$15:$J$28)))</f>
        <v>68291</v>
      </c>
      <c r="U13">
        <f>IF($A13="","",_xlfn.SUMIFS(PIL!$K$15:$K$28,PIL!$A$15:$A$28,$A13))</f>
        <v>68291</v>
      </c>
      <c r="V13" t="s">
        <v>274</v>
      </c>
      <c r="W13" t="s">
        <v>274</v>
      </c>
      <c r="X13" t="s">
        <v>274</v>
      </c>
      <c r="Y13" t="s">
        <v>274</v>
      </c>
      <c r="Z13" t="s">
        <v>274</v>
      </c>
      <c r="AA13" t="s">
        <v>274</v>
      </c>
      <c r="AB13" t="s">
        <v>274</v>
      </c>
      <c r="AC13" t="s">
        <v>274</v>
      </c>
      <c r="AD13" t="e">
        <f t="shared" si="1"/>
        <v>#VALUE!</v>
      </c>
      <c r="AE13" t="e">
        <f t="shared" si="2"/>
        <v>#VALUE!</v>
      </c>
      <c r="AF13" t="e">
        <f t="shared" si="3"/>
        <v>#VALUE!</v>
      </c>
      <c r="AG13" t="e">
        <f t="shared" si="4"/>
        <v>#VALUE!</v>
      </c>
      <c r="AH13" t="e">
        <f t="shared" si="5"/>
        <v>#VALUE!</v>
      </c>
    </row>
    <row r="14" ht="14.25" customHeight="1">
      <c r="A14" t="str">
        <f>IF(Moteur!D14="","",Moteur!D14)</f>
        <v>MBWAY_PAR</v>
      </c>
      <c r="B14" t="str">
        <f>IF(Moteur!B14="","",Moteur!B14)</f>
        <v>V01</v>
      </c>
      <c r="C14" t="str">
        <f>IF(Moteur!F14="","",Moteur!F14)</f>
        <v>MAS_MGT</v>
      </c>
      <c r="D14" t="str">
        <f>IF(Moteur!G14="","",Moteur!G14)</f>
        <v>M2</v>
      </c>
      <c r="E14" t="str">
        <f>IF(Moteur!H14="","",Moteur!H14)</f>
        <v>ALT</v>
      </c>
      <c r="F14" t="str">
        <f>IF(Moteur!E14="","",Moteur!E14)</f>
        <v>MBWAY</v>
      </c>
      <c r="G14">
        <f>IF($A14="","",_xlfn.SUMIFS(Socle!$H$1:$H$448,Socle!$C$1:$C$448,$A14,Socle!$D$1:$D$448,$C14,Socle!$E$1:$E$448,$D14,Socle!$F$1:$F$448,$E14,Socle!$G$1:$G$448,"2026"))</f>
        <v>0</v>
      </c>
      <c r="H14">
        <f>IF($A14="","",_xlfn.SUMIFS(Socle!$N$1:$N$448,Socle!$C$1:$C$448,$A14,Socle!$D$1:$D$448,$C14,Socle!$E$1:$E$448,$D14,Socle!$F$1:$F$448,$E14,Socle!$G$1:$G$448,"2026"))</f>
        <v>156</v>
      </c>
      <c r="I14">
        <f>IF($A14="","",_xlfn.SUMIFS(Socle!$P$1:$P$448,Socle!$C$1:$C$448,$A14,Socle!$D$1:$D$448,$C14,Socle!$E$1:$E$448,$D14,Socle!$F$1:$F$448,$E14,Socle!$G$1:$G$448,"2026"))</f>
        <v>16800</v>
      </c>
      <c r="J14">
        <f>IF($A14="","",_xlfn.SUMIFS(Socle!$W$1:$W$448,Socle!$C$1:$C$448,$A14,Socle!$D$1:$D$448,$C14,Socle!$E$1:$E$448,$D14,Socle!$F$1:$F$448,$E14,Socle!$G$1:$G$448,"2026"))</f>
        <v>0</v>
      </c>
      <c r="K14">
        <f>IF($A14="","",_xlfn.SUMIFS(Socle!$X$1:$X$448,Socle!$C$1:$C$448,$A14,Socle!$D$1:$D$448,$C14,Socle!$E$1:$E$448,$D14,Socle!$F$1:$F$448,$E14,Socle!$G$1:$G$448,"2026"))</f>
        <v>0</v>
      </c>
      <c r="L14">
        <f>IF($A14="","",_xlfn.SUMIFS(Socle!$Y$1:$Y$448,Socle!$C$1:$C$448,$A14,Socle!$D$1:$D$448,$C14,Socle!$E$1:$E$448,$D14,Socle!$F$1:$F$448,$E14,Socle!$G$1:$G$448,"2026"))</f>
        <v>0</v>
      </c>
      <c r="M14">
        <f>IF($A14="","",_xlfn.SUMIFS(Socle!$V$1:$V$448,Socle!$C$1:$C$448,$A14,Socle!$D$1:$D$448,$C14,Socle!$E$1:$E$448,$D14,Socle!$F$1:$F$448,$E14,Socle!$G$1:$G$448,"2026"))</f>
        <v>1.948717948</v>
      </c>
      <c r="N14">
        <f t="shared" si="0"/>
        <v>0</v>
      </c>
      <c r="O14">
        <f>IF($A14="","",_xlfn.SUMIFS(Campagne!$D$1:$D$128,Campagne!$C$1:$C$128,$A14))</f>
        <v>711</v>
      </c>
      <c r="P14">
        <f>IF($A14="","",_xlfn.SUMIFS(Campagne!$E$1:$E$128,Campagne!$C$1:$C$128,$A14))</f>
        <v>1265</v>
      </c>
      <c r="Q14">
        <f>IF($A14="","",_xlfn.SUMIFS(Campagne!$F$1:$F$128,Campagne!$C$1:$C$128,$A14))</f>
        <v>1976</v>
      </c>
      <c r="R14">
        <f>IF($A14="","",_xlfn.SUMIFS(Campagne!$K$1:$K$128,Campagne!$C$1:$C$128,$A14))</f>
        <v>0.463595908</v>
      </c>
      <c r="S14">
        <f>IF($A14="","",_xlfn.SUMIFS(Campagne!$M$1:$M$128,Campagne!$C$1:$C$128,$A14))</f>
        <v>0.308054154</v>
      </c>
      <c r="T14">
        <f>IF($A14="","",_xlfn.SUMIFS(PIL!$K$15:$K$28,PIL!$A$15:$A$28,$A14)*_xlfn.SUMIFS(PIL!$J$15:$J$28,PIL!$A$15:$A$28,$A14)*(SUM(PIL!$K$15:$K$28)/SUMPRODUCT(PIL!$K$15:$K$28,PIL!$J$15:$J$28)))</f>
        <v>68291</v>
      </c>
      <c r="U14">
        <f>IF($A14="","",_xlfn.SUMIFS(PIL!$K$15:$K$28,PIL!$A$15:$A$28,$A14))</f>
        <v>68291</v>
      </c>
      <c r="V14" t="s">
        <v>274</v>
      </c>
      <c r="W14" t="s">
        <v>274</v>
      </c>
      <c r="X14" t="s">
        <v>274</v>
      </c>
      <c r="Y14" t="s">
        <v>274</v>
      </c>
      <c r="Z14" t="s">
        <v>274</v>
      </c>
      <c r="AA14" t="s">
        <v>274</v>
      </c>
      <c r="AB14" t="s">
        <v>274</v>
      </c>
      <c r="AC14" t="s">
        <v>274</v>
      </c>
      <c r="AD14" t="e">
        <f t="shared" si="1"/>
        <v>#VALUE!</v>
      </c>
      <c r="AE14">
        <f t="shared" si="2"/>
        <v>0</v>
      </c>
      <c r="AF14" t="e">
        <f t="shared" si="3"/>
        <v>#VALUE!</v>
      </c>
      <c r="AG14" t="e">
        <f t="shared" si="4"/>
        <v>#VALUE!</v>
      </c>
      <c r="AH14" t="e">
        <f t="shared" si="5"/>
        <v>#VALUE!</v>
      </c>
    </row>
    <row r="15" ht="14.25" customHeight="1">
      <c r="A15" t="str">
        <f>IF(Moteur!D15="","",Moteur!D15)</f>
        <v>MBWAY_PAR</v>
      </c>
      <c r="B15" t="str">
        <f>IF(Moteur!B15="","",Moteur!B15)</f>
        <v>V02</v>
      </c>
      <c r="C15" t="str">
        <f>IF(Moteur!F15="","",Moteur!F15)</f>
        <v>MAS_MGT</v>
      </c>
      <c r="D15" t="str">
        <f>IF(Moteur!G15="","",Moteur!G15)</f>
        <v>M2</v>
      </c>
      <c r="E15" t="str">
        <f>IF(Moteur!H15="","",Moteur!H15)</f>
        <v>ALT</v>
      </c>
      <c r="F15" t="str">
        <f>IF(Moteur!E15="","",Moteur!E15)</f>
        <v>MBWAY</v>
      </c>
      <c r="G15">
        <f>IF($A15="","",_xlfn.SUMIFS(Socle!$H$1:$H$448,Socle!$C$1:$C$448,$A15,Socle!$D$1:$D$448,$C15,Socle!$E$1:$E$448,$D15,Socle!$F$1:$F$448,$E15,Socle!$G$1:$G$448,"2026"))</f>
        <v>0</v>
      </c>
      <c r="H15">
        <f>IF($A15="","",_xlfn.SUMIFS(Socle!$N$1:$N$448,Socle!$C$1:$C$448,$A15,Socle!$D$1:$D$448,$C15,Socle!$E$1:$E$448,$D15,Socle!$F$1:$F$448,$E15,Socle!$G$1:$G$448,"2026"))</f>
        <v>156</v>
      </c>
      <c r="I15">
        <f>IF($A15="","",_xlfn.SUMIFS(Socle!$P$1:$P$448,Socle!$C$1:$C$448,$A15,Socle!$D$1:$D$448,$C15,Socle!$E$1:$E$448,$D15,Socle!$F$1:$F$448,$E15,Socle!$G$1:$G$448,"2026"))</f>
        <v>16800</v>
      </c>
      <c r="J15">
        <f>IF($A15="","",_xlfn.SUMIFS(Socle!$W$1:$W$448,Socle!$C$1:$C$448,$A15,Socle!$D$1:$D$448,$C15,Socle!$E$1:$E$448,$D15,Socle!$F$1:$F$448,$E15,Socle!$G$1:$G$448,"2026"))</f>
        <v>0</v>
      </c>
      <c r="K15">
        <f>IF($A15="","",_xlfn.SUMIFS(Socle!$X$1:$X$448,Socle!$C$1:$C$448,$A15,Socle!$D$1:$D$448,$C15,Socle!$E$1:$E$448,$D15,Socle!$F$1:$F$448,$E15,Socle!$G$1:$G$448,"2026"))</f>
        <v>0</v>
      </c>
      <c r="L15">
        <f>IF($A15="","",_xlfn.SUMIFS(Socle!$Y$1:$Y$448,Socle!$C$1:$C$448,$A15,Socle!$D$1:$D$448,$C15,Socle!$E$1:$E$448,$D15,Socle!$F$1:$F$448,$E15,Socle!$G$1:$G$448,"2026"))</f>
        <v>0</v>
      </c>
      <c r="M15">
        <f>IF($A15="","",_xlfn.SUMIFS(Socle!$V$1:$V$448,Socle!$C$1:$C$448,$A15,Socle!$D$1:$D$448,$C15,Socle!$E$1:$E$448,$D15,Socle!$F$1:$F$448,$E15,Socle!$G$1:$G$448,"2026"))</f>
        <v>1.948717948</v>
      </c>
      <c r="N15">
        <f t="shared" si="0"/>
        <v>0</v>
      </c>
      <c r="O15">
        <f>IF($A15="","",_xlfn.SUMIFS(Campagne!$D$1:$D$128,Campagne!$C$1:$C$128,$A15))</f>
        <v>711</v>
      </c>
      <c r="P15">
        <f>IF($A15="","",_xlfn.SUMIFS(Campagne!$E$1:$E$128,Campagne!$C$1:$C$128,$A15))</f>
        <v>1265</v>
      </c>
      <c r="Q15">
        <f>IF($A15="","",_xlfn.SUMIFS(Campagne!$F$1:$F$128,Campagne!$C$1:$C$128,$A15))</f>
        <v>1976</v>
      </c>
      <c r="R15">
        <f>IF($A15="","",_xlfn.SUMIFS(Campagne!$K$1:$K$128,Campagne!$C$1:$C$128,$A15))</f>
        <v>0.463595908</v>
      </c>
      <c r="S15">
        <f>IF($A15="","",_xlfn.SUMIFS(Campagne!$M$1:$M$128,Campagne!$C$1:$C$128,$A15))</f>
        <v>0.308054154</v>
      </c>
      <c r="T15">
        <f>IF($A15="","",_xlfn.SUMIFS(PIL!$K$15:$K$28,PIL!$A$15:$A$28,$A15)*_xlfn.SUMIFS(PIL!$J$15:$J$28,PIL!$A$15:$A$28,$A15)*(SUM(PIL!$K$15:$K$28)/SUMPRODUCT(PIL!$K$15:$K$28,PIL!$J$15:$J$28)))</f>
        <v>68291</v>
      </c>
      <c r="U15">
        <f>IF($A15="","",_xlfn.SUMIFS(PIL!$K$15:$K$28,PIL!$A$15:$A$28,$A15))</f>
        <v>68291</v>
      </c>
      <c r="V15" t="s">
        <v>274</v>
      </c>
      <c r="W15" t="s">
        <v>274</v>
      </c>
      <c r="X15" t="s">
        <v>274</v>
      </c>
      <c r="Y15" t="s">
        <v>274</v>
      </c>
      <c r="Z15" t="s">
        <v>274</v>
      </c>
      <c r="AA15" t="s">
        <v>274</v>
      </c>
      <c r="AB15" t="s">
        <v>274</v>
      </c>
      <c r="AC15" t="s">
        <v>274</v>
      </c>
      <c r="AD15" t="e">
        <f t="shared" si="1"/>
        <v>#VALUE!</v>
      </c>
      <c r="AE15">
        <f t="shared" si="2"/>
        <v>0</v>
      </c>
      <c r="AF15" t="e">
        <f t="shared" si="3"/>
        <v>#VALUE!</v>
      </c>
      <c r="AG15" t="e">
        <f t="shared" si="4"/>
        <v>#VALUE!</v>
      </c>
      <c r="AH15" t="e">
        <f t="shared" si="5"/>
        <v>#VALUE!</v>
      </c>
    </row>
    <row r="16" ht="14.25" customHeight="1">
      <c r="A16" t="str">
        <f>IF(Moteur!D16="","",Moteur!D16)</f>
        <v>MBWAY_PAR</v>
      </c>
      <c r="B16" t="str">
        <f>IF(Moteur!B16="","",Moteur!B16)</f>
        <v>V03</v>
      </c>
      <c r="C16" t="str">
        <f>IF(Moteur!F16="","",Moteur!F16)</f>
        <v>MAS_MGT</v>
      </c>
      <c r="D16" t="str">
        <f>IF(Moteur!G16="","",Moteur!G16)</f>
        <v>M2</v>
      </c>
      <c r="E16" t="str">
        <f>IF(Moteur!H16="","",Moteur!H16)</f>
        <v>ALT</v>
      </c>
      <c r="F16" t="str">
        <f>IF(Moteur!E16="","",Moteur!E16)</f>
        <v>MBWAY</v>
      </c>
      <c r="G16">
        <f>IF($A16="","",_xlfn.SUMIFS(Socle!$H$1:$H$448,Socle!$C$1:$C$448,$A16,Socle!$D$1:$D$448,$C16,Socle!$E$1:$E$448,$D16,Socle!$F$1:$F$448,$E16,Socle!$G$1:$G$448,"2026"))</f>
        <v>0</v>
      </c>
      <c r="H16">
        <f>IF($A16="","",_xlfn.SUMIFS(Socle!$N$1:$N$448,Socle!$C$1:$C$448,$A16,Socle!$D$1:$D$448,$C16,Socle!$E$1:$E$448,$D16,Socle!$F$1:$F$448,$E16,Socle!$G$1:$G$448,"2026"))</f>
        <v>156</v>
      </c>
      <c r="I16">
        <f>IF($A16="","",_xlfn.SUMIFS(Socle!$P$1:$P$448,Socle!$C$1:$C$448,$A16,Socle!$D$1:$D$448,$C16,Socle!$E$1:$E$448,$D16,Socle!$F$1:$F$448,$E16,Socle!$G$1:$G$448,"2026"))</f>
        <v>16800</v>
      </c>
      <c r="J16">
        <f>IF($A16="","",_xlfn.SUMIFS(Socle!$W$1:$W$448,Socle!$C$1:$C$448,$A16,Socle!$D$1:$D$448,$C16,Socle!$E$1:$E$448,$D16,Socle!$F$1:$F$448,$E16,Socle!$G$1:$G$448,"2026"))</f>
        <v>0</v>
      </c>
      <c r="K16">
        <f>IF($A16="","",_xlfn.SUMIFS(Socle!$X$1:$X$448,Socle!$C$1:$C$448,$A16,Socle!$D$1:$D$448,$C16,Socle!$E$1:$E$448,$D16,Socle!$F$1:$F$448,$E16,Socle!$G$1:$G$448,"2026"))</f>
        <v>0</v>
      </c>
      <c r="L16">
        <f>IF($A16="","",_xlfn.SUMIFS(Socle!$Y$1:$Y$448,Socle!$C$1:$C$448,$A16,Socle!$D$1:$D$448,$C16,Socle!$E$1:$E$448,$D16,Socle!$F$1:$F$448,$E16,Socle!$G$1:$G$448,"2026"))</f>
        <v>0</v>
      </c>
      <c r="M16">
        <f>IF($A16="","",_xlfn.SUMIFS(Socle!$V$1:$V$448,Socle!$C$1:$C$448,$A16,Socle!$D$1:$D$448,$C16,Socle!$E$1:$E$448,$D16,Socle!$F$1:$F$448,$E16,Socle!$G$1:$G$448,"2026"))</f>
        <v>1.948717948</v>
      </c>
      <c r="N16">
        <f t="shared" si="0"/>
        <v>0</v>
      </c>
      <c r="O16">
        <f>IF($A16="","",_xlfn.SUMIFS(Campagne!$D$1:$D$128,Campagne!$C$1:$C$128,$A16))</f>
        <v>711</v>
      </c>
      <c r="P16">
        <f>IF($A16="","",_xlfn.SUMIFS(Campagne!$E$1:$E$128,Campagne!$C$1:$C$128,$A16))</f>
        <v>1265</v>
      </c>
      <c r="Q16">
        <f>IF($A16="","",_xlfn.SUMIFS(Campagne!$F$1:$F$128,Campagne!$C$1:$C$128,$A16))</f>
        <v>1976</v>
      </c>
      <c r="R16">
        <f>IF($A16="","",_xlfn.SUMIFS(Campagne!$K$1:$K$128,Campagne!$C$1:$C$128,$A16))</f>
        <v>0.463595908</v>
      </c>
      <c r="S16">
        <f>IF($A16="","",_xlfn.SUMIFS(Campagne!$M$1:$M$128,Campagne!$C$1:$C$128,$A16))</f>
        <v>0.308054154</v>
      </c>
      <c r="T16">
        <f>IF($A16="","",_xlfn.SUMIFS(PIL!$K$15:$K$28,PIL!$A$15:$A$28,$A16)*_xlfn.SUMIFS(PIL!$J$15:$J$28,PIL!$A$15:$A$28,$A16)*(SUM(PIL!$K$15:$K$28)/SUMPRODUCT(PIL!$K$15:$K$28,PIL!$J$15:$J$28)))</f>
        <v>68291</v>
      </c>
      <c r="U16">
        <f>IF($A16="","",_xlfn.SUMIFS(PIL!$K$15:$K$28,PIL!$A$15:$A$28,$A16))</f>
        <v>68291</v>
      </c>
      <c r="V16" t="s">
        <v>274</v>
      </c>
      <c r="W16" t="s">
        <v>274</v>
      </c>
      <c r="X16" t="s">
        <v>274</v>
      </c>
      <c r="Y16" t="s">
        <v>274</v>
      </c>
      <c r="Z16" t="s">
        <v>274</v>
      </c>
      <c r="AA16" t="s">
        <v>274</v>
      </c>
      <c r="AB16" t="s">
        <v>274</v>
      </c>
      <c r="AC16" t="s">
        <v>274</v>
      </c>
      <c r="AD16" t="e">
        <f t="shared" si="1"/>
        <v>#VALUE!</v>
      </c>
      <c r="AE16">
        <f t="shared" si="2"/>
        <v>0</v>
      </c>
      <c r="AF16" t="e">
        <f t="shared" si="3"/>
        <v>#VALUE!</v>
      </c>
      <c r="AG16" t="e">
        <f t="shared" si="4"/>
        <v>#VALUE!</v>
      </c>
      <c r="AH16" t="e">
        <f t="shared" si="5"/>
        <v>#VALUE!</v>
      </c>
    </row>
    <row r="17" ht="14.25" customHeight="1">
      <c r="A17" t="str">
        <f>IF(Moteur!D17="","",Moteur!D17)</f>
        <v>MBWAY_LYO</v>
      </c>
      <c r="B17" t="str">
        <f>IF(Moteur!B17="","",Moteur!B17)</f>
        <v>V01</v>
      </c>
      <c r="C17" t="str">
        <f>IF(Moteur!F17="","",Moteur!F17)</f>
        <v>BAC_MGT</v>
      </c>
      <c r="D17" t="str">
        <f>IF(Moteur!G17="","",Moteur!G17)</f>
        <v>B1</v>
      </c>
      <c r="E17" t="str">
        <f>IF(Moteur!H17="","",Moteur!H17)</f>
        <v>INIT</v>
      </c>
      <c r="F17" t="str">
        <f>IF(Moteur!E17="","",Moteur!E17)</f>
        <v>MBWAY</v>
      </c>
      <c r="G17">
        <f>IF($A17="","",_xlfn.SUMIFS(Socle!$H$1:$H$448,Socle!$C$1:$C$448,$A17,Socle!$D$1:$D$448,$C17,Socle!$E$1:$E$448,$D17,Socle!$F$1:$F$448,$E17,Socle!$G$1:$G$448,"2026"))</f>
        <v>1092</v>
      </c>
      <c r="H17">
        <f>IF($A17="","",_xlfn.SUMIFS(Socle!$N$1:$N$448,Socle!$C$1:$C$448,$A17,Socle!$D$1:$D$448,$C17,Socle!$E$1:$E$448,$D17,Socle!$F$1:$F$448,$E17,Socle!$G$1:$G$448,"2026"))</f>
        <v>0</v>
      </c>
      <c r="I17">
        <f>IF($A17="","",_xlfn.SUMIFS(Socle!$P$1:$P$448,Socle!$C$1:$C$448,$A17,Socle!$D$1:$D$448,$C17,Socle!$E$1:$E$448,$D17,Socle!$F$1:$F$448,$E17,Socle!$G$1:$G$448,"2026"))</f>
        <v>15750</v>
      </c>
      <c r="J17">
        <f>IF($A17="","",_xlfn.SUMIFS(Socle!$W$1:$W$448,Socle!$C$1:$C$448,$A17,Socle!$D$1:$D$448,$C17,Socle!$E$1:$E$448,$D17,Socle!$F$1:$F$448,$E17,Socle!$G$1:$G$448,"2026"))</f>
        <v>0.56043956</v>
      </c>
      <c r="K17">
        <f>IF($A17="","",_xlfn.SUMIFS(Socle!$X$1:$X$448,Socle!$C$1:$C$448,$A17,Socle!$D$1:$D$448,$C17,Socle!$E$1:$E$448,$D17,Socle!$F$1:$F$448,$E17,Socle!$G$1:$G$448,"2026"))</f>
        <v>1.437908496</v>
      </c>
      <c r="L17">
        <f>IF($A17="","",_xlfn.SUMIFS(Socle!$Y$1:$Y$448,Socle!$C$1:$C$448,$A17,Socle!$D$1:$D$448,$C17,Socle!$E$1:$E$448,$D17,Socle!$F$1:$F$448,$E17,Socle!$G$1:$G$448,"2026"))</f>
        <v>1.2</v>
      </c>
      <c r="M17">
        <f>IF($A17="","",_xlfn.SUMIFS(Socle!$V$1:$V$448,Socle!$C$1:$C$448,$A17,Socle!$D$1:$D$448,$C17,Socle!$E$1:$E$448,$D17,Socle!$F$1:$F$448,$E17,Socle!$G$1:$G$448,"2026"))</f>
        <v>0</v>
      </c>
      <c r="N17">
        <f t="shared" si="0"/>
        <v>1</v>
      </c>
      <c r="O17">
        <f>IF($A17="","",_xlfn.SUMIFS(Campagne!$D$1:$D$128,Campagne!$C$1:$C$128,$A17))</f>
        <v>716</v>
      </c>
      <c r="P17">
        <f>IF($A17="","",_xlfn.SUMIFS(Campagne!$E$1:$E$128,Campagne!$C$1:$C$128,$A17))</f>
        <v>950</v>
      </c>
      <c r="Q17">
        <f>IF($A17="","",_xlfn.SUMIFS(Campagne!$F$1:$F$128,Campagne!$C$1:$C$128,$A17))</f>
        <v>1666</v>
      </c>
      <c r="R17">
        <f>IF($A17="","",_xlfn.SUMIFS(Campagne!$K$1:$K$128,Campagne!$C$1:$C$128,$A17))</f>
        <v>0.503912473</v>
      </c>
      <c r="S17">
        <f>IF($A17="","",_xlfn.SUMIFS(Campagne!$M$1:$M$128,Campagne!$C$1:$C$128,$A17))</f>
        <v>0.326593775</v>
      </c>
      <c r="T17">
        <f>IF($A17="","",_xlfn.SUMIFS(PIL!$K$15:$K$28,PIL!$A$15:$A$28,$A17)*_xlfn.SUMIFS(PIL!$J$15:$J$28,PIL!$A$15:$A$28,$A17)*(SUM(PIL!$K$15:$K$28)/SUMPRODUCT(PIL!$K$15:$K$28,PIL!$J$15:$J$28)))</f>
        <v>41783</v>
      </c>
      <c r="U17">
        <f>IF($A17="","",_xlfn.SUMIFS(PIL!$K$15:$K$28,PIL!$A$15:$A$28,$A17))</f>
        <v>41783</v>
      </c>
      <c r="V17" t="s">
        <v>274</v>
      </c>
      <c r="W17" t="s">
        <v>274</v>
      </c>
      <c r="X17" t="s">
        <v>274</v>
      </c>
      <c r="Y17" t="s">
        <v>274</v>
      </c>
      <c r="Z17" t="s">
        <v>274</v>
      </c>
      <c r="AA17" t="s">
        <v>274</v>
      </c>
      <c r="AB17" t="s">
        <v>274</v>
      </c>
      <c r="AC17" t="s">
        <v>274</v>
      </c>
      <c r="AD17" t="e">
        <f t="shared" si="1"/>
        <v>#VALUE!</v>
      </c>
      <c r="AE17" t="e">
        <f t="shared" si="2"/>
        <v>#VALUE!</v>
      </c>
      <c r="AF17" t="e">
        <f t="shared" si="3"/>
        <v>#VALUE!</v>
      </c>
      <c r="AG17" t="e">
        <f t="shared" si="4"/>
        <v>#VALUE!</v>
      </c>
      <c r="AH17" t="e">
        <f t="shared" si="5"/>
        <v>#VALUE!</v>
      </c>
    </row>
    <row r="18" ht="14.25" customHeight="1">
      <c r="A18" t="str">
        <f>IF(Moteur!D18="","",Moteur!D18)</f>
        <v>MBWAY_LYO</v>
      </c>
      <c r="B18" t="str">
        <f>IF(Moteur!B18="","",Moteur!B18)</f>
        <v>V02</v>
      </c>
      <c r="C18" t="str">
        <f>IF(Moteur!F18="","",Moteur!F18)</f>
        <v>BAC_MGT</v>
      </c>
      <c r="D18" t="str">
        <f>IF(Moteur!G18="","",Moteur!G18)</f>
        <v>B1</v>
      </c>
      <c r="E18" t="str">
        <f>IF(Moteur!H18="","",Moteur!H18)</f>
        <v>INIT</v>
      </c>
      <c r="F18" t="str">
        <f>IF(Moteur!E18="","",Moteur!E18)</f>
        <v>MBWAY</v>
      </c>
      <c r="G18">
        <f>IF($A18="","",_xlfn.SUMIFS(Socle!$H$1:$H$448,Socle!$C$1:$C$448,$A18,Socle!$D$1:$D$448,$C18,Socle!$E$1:$E$448,$D18,Socle!$F$1:$F$448,$E18,Socle!$G$1:$G$448,"2026"))</f>
        <v>1092</v>
      </c>
      <c r="H18">
        <f>IF($A18="","",_xlfn.SUMIFS(Socle!$N$1:$N$448,Socle!$C$1:$C$448,$A18,Socle!$D$1:$D$448,$C18,Socle!$E$1:$E$448,$D18,Socle!$F$1:$F$448,$E18,Socle!$G$1:$G$448,"2026"))</f>
        <v>0</v>
      </c>
      <c r="I18">
        <f>IF($A18="","",_xlfn.SUMIFS(Socle!$P$1:$P$448,Socle!$C$1:$C$448,$A18,Socle!$D$1:$D$448,$C18,Socle!$E$1:$E$448,$D18,Socle!$F$1:$F$448,$E18,Socle!$G$1:$G$448,"2026"))</f>
        <v>15750</v>
      </c>
      <c r="J18">
        <f>IF($A18="","",_xlfn.SUMIFS(Socle!$W$1:$W$448,Socle!$C$1:$C$448,$A18,Socle!$D$1:$D$448,$C18,Socle!$E$1:$E$448,$D18,Socle!$F$1:$F$448,$E18,Socle!$G$1:$G$448,"2026"))</f>
        <v>0.56043956</v>
      </c>
      <c r="K18">
        <f>IF($A18="","",_xlfn.SUMIFS(Socle!$X$1:$X$448,Socle!$C$1:$C$448,$A18,Socle!$D$1:$D$448,$C18,Socle!$E$1:$E$448,$D18,Socle!$F$1:$F$448,$E18,Socle!$G$1:$G$448,"2026"))</f>
        <v>1.437908496</v>
      </c>
      <c r="L18">
        <f>IF($A18="","",_xlfn.SUMIFS(Socle!$Y$1:$Y$448,Socle!$C$1:$C$448,$A18,Socle!$D$1:$D$448,$C18,Socle!$E$1:$E$448,$D18,Socle!$F$1:$F$448,$E18,Socle!$G$1:$G$448,"2026"))</f>
        <v>1.2</v>
      </c>
      <c r="M18">
        <f>IF($A18="","",_xlfn.SUMIFS(Socle!$V$1:$V$448,Socle!$C$1:$C$448,$A18,Socle!$D$1:$D$448,$C18,Socle!$E$1:$E$448,$D18,Socle!$F$1:$F$448,$E18,Socle!$G$1:$G$448,"2026"))</f>
        <v>0</v>
      </c>
      <c r="N18">
        <f t="shared" si="0"/>
        <v>1</v>
      </c>
      <c r="O18">
        <f>IF($A18="","",_xlfn.SUMIFS(Campagne!$D$1:$D$128,Campagne!$C$1:$C$128,$A18))</f>
        <v>716</v>
      </c>
      <c r="P18">
        <f>IF($A18="","",_xlfn.SUMIFS(Campagne!$E$1:$E$128,Campagne!$C$1:$C$128,$A18))</f>
        <v>950</v>
      </c>
      <c r="Q18">
        <f>IF($A18="","",_xlfn.SUMIFS(Campagne!$F$1:$F$128,Campagne!$C$1:$C$128,$A18))</f>
        <v>1666</v>
      </c>
      <c r="R18">
        <f>IF($A18="","",_xlfn.SUMIFS(Campagne!$K$1:$K$128,Campagne!$C$1:$C$128,$A18))</f>
        <v>0.503912473</v>
      </c>
      <c r="S18">
        <f>IF($A18="","",_xlfn.SUMIFS(Campagne!$M$1:$M$128,Campagne!$C$1:$C$128,$A18))</f>
        <v>0.326593775</v>
      </c>
      <c r="T18">
        <f>IF($A18="","",_xlfn.SUMIFS(PIL!$K$15:$K$28,PIL!$A$15:$A$28,$A18)*_xlfn.SUMIFS(PIL!$J$15:$J$28,PIL!$A$15:$A$28,$A18)*(SUM(PIL!$K$15:$K$28)/SUMPRODUCT(PIL!$K$15:$K$28,PIL!$J$15:$J$28)))</f>
        <v>41783</v>
      </c>
      <c r="U18">
        <f>IF($A18="","",_xlfn.SUMIFS(PIL!$K$15:$K$28,PIL!$A$15:$A$28,$A18))</f>
        <v>41783</v>
      </c>
      <c r="V18" t="s">
        <v>274</v>
      </c>
      <c r="W18" t="s">
        <v>274</v>
      </c>
      <c r="X18" t="s">
        <v>274</v>
      </c>
      <c r="Y18" t="s">
        <v>274</v>
      </c>
      <c r="Z18" t="s">
        <v>274</v>
      </c>
      <c r="AA18" t="s">
        <v>274</v>
      </c>
      <c r="AB18" t="s">
        <v>274</v>
      </c>
      <c r="AC18" t="s">
        <v>274</v>
      </c>
      <c r="AD18" t="e">
        <f t="shared" si="1"/>
        <v>#VALUE!</v>
      </c>
      <c r="AE18" t="e">
        <f t="shared" si="2"/>
        <v>#VALUE!</v>
      </c>
      <c r="AF18" t="e">
        <f t="shared" si="3"/>
        <v>#VALUE!</v>
      </c>
      <c r="AG18" t="e">
        <f t="shared" si="4"/>
        <v>#VALUE!</v>
      </c>
      <c r="AH18" t="e">
        <f t="shared" si="5"/>
        <v>#VALUE!</v>
      </c>
    </row>
    <row r="19" ht="14.25" customHeight="1">
      <c r="A19" t="str">
        <f>IF(Moteur!D19="","",Moteur!D19)</f>
        <v>MBWAY_LYO</v>
      </c>
      <c r="B19" t="str">
        <f>IF(Moteur!B19="","",Moteur!B19)</f>
        <v>V03</v>
      </c>
      <c r="C19" t="str">
        <f>IF(Moteur!F19="","",Moteur!F19)</f>
        <v>BAC_MGT</v>
      </c>
      <c r="D19" t="str">
        <f>IF(Moteur!G19="","",Moteur!G19)</f>
        <v>B1</v>
      </c>
      <c r="E19" t="str">
        <f>IF(Moteur!H19="","",Moteur!H19)</f>
        <v>INIT</v>
      </c>
      <c r="F19" t="str">
        <f>IF(Moteur!E19="","",Moteur!E19)</f>
        <v>MBWAY</v>
      </c>
      <c r="G19">
        <f>IF($A19="","",_xlfn.SUMIFS(Socle!$H$1:$H$448,Socle!$C$1:$C$448,$A19,Socle!$D$1:$D$448,$C19,Socle!$E$1:$E$448,$D19,Socle!$F$1:$F$448,$E19,Socle!$G$1:$G$448,"2026"))</f>
        <v>1092</v>
      </c>
      <c r="H19">
        <f>IF($A19="","",_xlfn.SUMIFS(Socle!$N$1:$N$448,Socle!$C$1:$C$448,$A19,Socle!$D$1:$D$448,$C19,Socle!$E$1:$E$448,$D19,Socle!$F$1:$F$448,$E19,Socle!$G$1:$G$448,"2026"))</f>
        <v>0</v>
      </c>
      <c r="I19">
        <f>IF($A19="","",_xlfn.SUMIFS(Socle!$P$1:$P$448,Socle!$C$1:$C$448,$A19,Socle!$D$1:$D$448,$C19,Socle!$E$1:$E$448,$D19,Socle!$F$1:$F$448,$E19,Socle!$G$1:$G$448,"2026"))</f>
        <v>15750</v>
      </c>
      <c r="J19">
        <f>IF($A19="","",_xlfn.SUMIFS(Socle!$W$1:$W$448,Socle!$C$1:$C$448,$A19,Socle!$D$1:$D$448,$C19,Socle!$E$1:$E$448,$D19,Socle!$F$1:$F$448,$E19,Socle!$G$1:$G$448,"2026"))</f>
        <v>0.56043956</v>
      </c>
      <c r="K19">
        <f>IF($A19="","",_xlfn.SUMIFS(Socle!$X$1:$X$448,Socle!$C$1:$C$448,$A19,Socle!$D$1:$D$448,$C19,Socle!$E$1:$E$448,$D19,Socle!$F$1:$F$448,$E19,Socle!$G$1:$G$448,"2026"))</f>
        <v>1.437908496</v>
      </c>
      <c r="L19">
        <f>IF($A19="","",_xlfn.SUMIFS(Socle!$Y$1:$Y$448,Socle!$C$1:$C$448,$A19,Socle!$D$1:$D$448,$C19,Socle!$E$1:$E$448,$D19,Socle!$F$1:$F$448,$E19,Socle!$G$1:$G$448,"2026"))</f>
        <v>1.2</v>
      </c>
      <c r="M19">
        <f>IF($A19="","",_xlfn.SUMIFS(Socle!$V$1:$V$448,Socle!$C$1:$C$448,$A19,Socle!$D$1:$D$448,$C19,Socle!$E$1:$E$448,$D19,Socle!$F$1:$F$448,$E19,Socle!$G$1:$G$448,"2026"))</f>
        <v>0</v>
      </c>
      <c r="N19">
        <f t="shared" si="0"/>
        <v>1</v>
      </c>
      <c r="O19">
        <f>IF($A19="","",_xlfn.SUMIFS(Campagne!$D$1:$D$128,Campagne!$C$1:$C$128,$A19))</f>
        <v>716</v>
      </c>
      <c r="P19">
        <f>IF($A19="","",_xlfn.SUMIFS(Campagne!$E$1:$E$128,Campagne!$C$1:$C$128,$A19))</f>
        <v>950</v>
      </c>
      <c r="Q19">
        <f>IF($A19="","",_xlfn.SUMIFS(Campagne!$F$1:$F$128,Campagne!$C$1:$C$128,$A19))</f>
        <v>1666</v>
      </c>
      <c r="R19">
        <f>IF($A19="","",_xlfn.SUMIFS(Campagne!$K$1:$K$128,Campagne!$C$1:$C$128,$A19))</f>
        <v>0.503912473</v>
      </c>
      <c r="S19">
        <f>IF($A19="","",_xlfn.SUMIFS(Campagne!$M$1:$M$128,Campagne!$C$1:$C$128,$A19))</f>
        <v>0.326593775</v>
      </c>
      <c r="T19">
        <f>IF($A19="","",_xlfn.SUMIFS(PIL!$K$15:$K$28,PIL!$A$15:$A$28,$A19)*_xlfn.SUMIFS(PIL!$J$15:$J$28,PIL!$A$15:$A$28,$A19)*(SUM(PIL!$K$15:$K$28)/SUMPRODUCT(PIL!$K$15:$K$28,PIL!$J$15:$J$28)))</f>
        <v>41783</v>
      </c>
      <c r="U19">
        <f>IF($A19="","",_xlfn.SUMIFS(PIL!$K$15:$K$28,PIL!$A$15:$A$28,$A19))</f>
        <v>41783</v>
      </c>
      <c r="V19" t="s">
        <v>274</v>
      </c>
      <c r="W19" t="s">
        <v>274</v>
      </c>
      <c r="X19" t="s">
        <v>274</v>
      </c>
      <c r="Y19" t="s">
        <v>274</v>
      </c>
      <c r="Z19" t="s">
        <v>274</v>
      </c>
      <c r="AA19" t="s">
        <v>274</v>
      </c>
      <c r="AB19" t="s">
        <v>274</v>
      </c>
      <c r="AC19" t="s">
        <v>274</v>
      </c>
      <c r="AD19" t="e">
        <f t="shared" si="1"/>
        <v>#VALUE!</v>
      </c>
      <c r="AE19" t="e">
        <f t="shared" si="2"/>
        <v>#VALUE!</v>
      </c>
      <c r="AF19" t="e">
        <f t="shared" si="3"/>
        <v>#VALUE!</v>
      </c>
      <c r="AG19" t="e">
        <f t="shared" si="4"/>
        <v>#VALUE!</v>
      </c>
      <c r="AH19" t="e">
        <f t="shared" si="5"/>
        <v>#VALUE!</v>
      </c>
    </row>
    <row r="20" ht="14.25" customHeight="1">
      <c r="A20" t="str">
        <f>IF(Moteur!D20="","",Moteur!D20)</f>
        <v>MBWAY_LYO</v>
      </c>
      <c r="B20" t="str">
        <f>IF(Moteur!B20="","",Moteur!B20)</f>
        <v>V01</v>
      </c>
      <c r="C20" t="str">
        <f>IF(Moteur!F20="","",Moteur!F20)</f>
        <v>BAC_MGT</v>
      </c>
      <c r="D20" t="str">
        <f>IF(Moteur!G20="","",Moteur!G20)</f>
        <v>B2</v>
      </c>
      <c r="E20" t="str">
        <f>IF(Moteur!H20="","",Moteur!H20)</f>
        <v>ALT</v>
      </c>
      <c r="F20" t="str">
        <f>IF(Moteur!E20="","",Moteur!E20)</f>
        <v>MBWAY</v>
      </c>
      <c r="G20">
        <f>IF($A20="","",_xlfn.SUMIFS(Socle!$H$1:$H$448,Socle!$C$1:$C$448,$A20,Socle!$D$1:$D$448,$C20,Socle!$E$1:$E$448,$D20,Socle!$F$1:$F$448,$E20,Socle!$G$1:$G$448,"2026"))</f>
        <v>0</v>
      </c>
      <c r="H20">
        <f>IF($A20="","",_xlfn.SUMIFS(Socle!$N$1:$N$448,Socle!$C$1:$C$448,$A20,Socle!$D$1:$D$448,$C20,Socle!$E$1:$E$448,$D20,Socle!$F$1:$F$448,$E20,Socle!$G$1:$G$448,"2026"))</f>
        <v>132</v>
      </c>
      <c r="I20">
        <f>IF($A20="","",_xlfn.SUMIFS(Socle!$P$1:$P$448,Socle!$C$1:$C$448,$A20,Socle!$D$1:$D$448,$C20,Socle!$E$1:$E$448,$D20,Socle!$F$1:$F$448,$E20,Socle!$G$1:$G$448,"2026"))</f>
        <v>14700</v>
      </c>
      <c r="J20">
        <f>IF($A20="","",_xlfn.SUMIFS(Socle!$W$1:$W$448,Socle!$C$1:$C$448,$A20,Socle!$D$1:$D$448,$C20,Socle!$E$1:$E$448,$D20,Socle!$F$1:$F$448,$E20,Socle!$G$1:$G$448,"2026"))</f>
        <v>0</v>
      </c>
      <c r="K20">
        <f>IF($A20="","",_xlfn.SUMIFS(Socle!$X$1:$X$448,Socle!$C$1:$C$448,$A20,Socle!$D$1:$D$448,$C20,Socle!$E$1:$E$448,$D20,Socle!$F$1:$F$448,$E20,Socle!$G$1:$G$448,"2026"))</f>
        <v>0</v>
      </c>
      <c r="L20">
        <f>IF($A20="","",_xlfn.SUMIFS(Socle!$Y$1:$Y$448,Socle!$C$1:$C$448,$A20,Socle!$D$1:$D$448,$C20,Socle!$E$1:$E$448,$D20,Socle!$F$1:$F$448,$E20,Socle!$G$1:$G$448,"2026"))</f>
        <v>0</v>
      </c>
      <c r="M20">
        <f>IF($A20="","",_xlfn.SUMIFS(Socle!$V$1:$V$448,Socle!$C$1:$C$448,$A20,Socle!$D$1:$D$448,$C20,Socle!$E$1:$E$448,$D20,Socle!$F$1:$F$448,$E20,Socle!$G$1:$G$448,"2026"))</f>
        <v>1.93939394</v>
      </c>
      <c r="N20">
        <f t="shared" si="0"/>
        <v>0</v>
      </c>
      <c r="O20">
        <f>IF($A20="","",_xlfn.SUMIFS(Campagne!$D$1:$D$128,Campagne!$C$1:$C$128,$A20))</f>
        <v>716</v>
      </c>
      <c r="P20">
        <f>IF($A20="","",_xlfn.SUMIFS(Campagne!$E$1:$E$128,Campagne!$C$1:$C$128,$A20))</f>
        <v>950</v>
      </c>
      <c r="Q20">
        <f>IF($A20="","",_xlfn.SUMIFS(Campagne!$F$1:$F$128,Campagne!$C$1:$C$128,$A20))</f>
        <v>1666</v>
      </c>
      <c r="R20">
        <f>IF($A20="","",_xlfn.SUMIFS(Campagne!$K$1:$K$128,Campagne!$C$1:$C$128,$A20))</f>
        <v>0.503912473</v>
      </c>
      <c r="S20">
        <f>IF($A20="","",_xlfn.SUMIFS(Campagne!$M$1:$M$128,Campagne!$C$1:$C$128,$A20))</f>
        <v>0.326593775</v>
      </c>
      <c r="T20">
        <f>IF($A20="","",_xlfn.SUMIFS(PIL!$K$15:$K$28,PIL!$A$15:$A$28,$A20)*_xlfn.SUMIFS(PIL!$J$15:$J$28,PIL!$A$15:$A$28,$A20)*(SUM(PIL!$K$15:$K$28)/SUMPRODUCT(PIL!$K$15:$K$28,PIL!$J$15:$J$28)))</f>
        <v>41783</v>
      </c>
      <c r="U20">
        <f>IF($A20="","",_xlfn.SUMIFS(PIL!$K$15:$K$28,PIL!$A$15:$A$28,$A20))</f>
        <v>41783</v>
      </c>
      <c r="V20" t="s">
        <v>274</v>
      </c>
      <c r="W20" t="s">
        <v>274</v>
      </c>
      <c r="X20" t="s">
        <v>274</v>
      </c>
      <c r="Y20" t="s">
        <v>274</v>
      </c>
      <c r="Z20" t="s">
        <v>274</v>
      </c>
      <c r="AA20" t="s">
        <v>274</v>
      </c>
      <c r="AB20" t="s">
        <v>274</v>
      </c>
      <c r="AC20" t="s">
        <v>274</v>
      </c>
      <c r="AD20" t="e">
        <f t="shared" si="1"/>
        <v>#VALUE!</v>
      </c>
      <c r="AE20">
        <f t="shared" si="2"/>
        <v>0</v>
      </c>
      <c r="AF20" t="e">
        <f t="shared" si="3"/>
        <v>#VALUE!</v>
      </c>
      <c r="AG20" t="e">
        <f t="shared" si="4"/>
        <v>#VALUE!</v>
      </c>
      <c r="AH20" t="e">
        <f t="shared" si="5"/>
        <v>#VALUE!</v>
      </c>
    </row>
    <row r="21" ht="14.25" customHeight="1">
      <c r="A21" t="str">
        <f>IF(Moteur!D21="","",Moteur!D21)</f>
        <v>MBWAY_LYO</v>
      </c>
      <c r="B21" t="str">
        <f>IF(Moteur!B21="","",Moteur!B21)</f>
        <v>V02</v>
      </c>
      <c r="C21" t="str">
        <f>IF(Moteur!F21="","",Moteur!F21)</f>
        <v>BAC_MGT</v>
      </c>
      <c r="D21" t="str">
        <f>IF(Moteur!G21="","",Moteur!G21)</f>
        <v>B2</v>
      </c>
      <c r="E21" t="str">
        <f>IF(Moteur!H21="","",Moteur!H21)</f>
        <v>ALT</v>
      </c>
      <c r="F21" t="str">
        <f>IF(Moteur!E21="","",Moteur!E21)</f>
        <v>MBWAY</v>
      </c>
      <c r="G21">
        <f>IF($A21="","",_xlfn.SUMIFS(Socle!$H$1:$H$448,Socle!$C$1:$C$448,$A21,Socle!$D$1:$D$448,$C21,Socle!$E$1:$E$448,$D21,Socle!$F$1:$F$448,$E21,Socle!$G$1:$G$448,"2026"))</f>
        <v>0</v>
      </c>
      <c r="H21">
        <f>IF($A21="","",_xlfn.SUMIFS(Socle!$N$1:$N$448,Socle!$C$1:$C$448,$A21,Socle!$D$1:$D$448,$C21,Socle!$E$1:$E$448,$D21,Socle!$F$1:$F$448,$E21,Socle!$G$1:$G$448,"2026"))</f>
        <v>132</v>
      </c>
      <c r="I21">
        <f>IF($A21="","",_xlfn.SUMIFS(Socle!$P$1:$P$448,Socle!$C$1:$C$448,$A21,Socle!$D$1:$D$448,$C21,Socle!$E$1:$E$448,$D21,Socle!$F$1:$F$448,$E21,Socle!$G$1:$G$448,"2026"))</f>
        <v>14700</v>
      </c>
      <c r="J21">
        <f>IF($A21="","",_xlfn.SUMIFS(Socle!$W$1:$W$448,Socle!$C$1:$C$448,$A21,Socle!$D$1:$D$448,$C21,Socle!$E$1:$E$448,$D21,Socle!$F$1:$F$448,$E21,Socle!$G$1:$G$448,"2026"))</f>
        <v>0</v>
      </c>
      <c r="K21">
        <f>IF($A21="","",_xlfn.SUMIFS(Socle!$X$1:$X$448,Socle!$C$1:$C$448,$A21,Socle!$D$1:$D$448,$C21,Socle!$E$1:$E$448,$D21,Socle!$F$1:$F$448,$E21,Socle!$G$1:$G$448,"2026"))</f>
        <v>0</v>
      </c>
      <c r="L21">
        <f>IF($A21="","",_xlfn.SUMIFS(Socle!$Y$1:$Y$448,Socle!$C$1:$C$448,$A21,Socle!$D$1:$D$448,$C21,Socle!$E$1:$E$448,$D21,Socle!$F$1:$F$448,$E21,Socle!$G$1:$G$448,"2026"))</f>
        <v>0</v>
      </c>
      <c r="M21">
        <f>IF($A21="","",_xlfn.SUMIFS(Socle!$V$1:$V$448,Socle!$C$1:$C$448,$A21,Socle!$D$1:$D$448,$C21,Socle!$E$1:$E$448,$D21,Socle!$F$1:$F$448,$E21,Socle!$G$1:$G$448,"2026"))</f>
        <v>1.93939394</v>
      </c>
      <c r="N21">
        <f t="shared" si="0"/>
        <v>0</v>
      </c>
      <c r="O21">
        <f>IF($A21="","",_xlfn.SUMIFS(Campagne!$D$1:$D$128,Campagne!$C$1:$C$128,$A21))</f>
        <v>716</v>
      </c>
      <c r="P21">
        <f>IF($A21="","",_xlfn.SUMIFS(Campagne!$E$1:$E$128,Campagne!$C$1:$C$128,$A21))</f>
        <v>950</v>
      </c>
      <c r="Q21">
        <f>IF($A21="","",_xlfn.SUMIFS(Campagne!$F$1:$F$128,Campagne!$C$1:$C$128,$A21))</f>
        <v>1666</v>
      </c>
      <c r="R21">
        <f>IF($A21="","",_xlfn.SUMIFS(Campagne!$K$1:$K$128,Campagne!$C$1:$C$128,$A21))</f>
        <v>0.503912473</v>
      </c>
      <c r="S21">
        <f>IF($A21="","",_xlfn.SUMIFS(Campagne!$M$1:$M$128,Campagne!$C$1:$C$128,$A21))</f>
        <v>0.326593775</v>
      </c>
      <c r="T21">
        <f>IF($A21="","",_xlfn.SUMIFS(PIL!$K$15:$K$28,PIL!$A$15:$A$28,$A21)*_xlfn.SUMIFS(PIL!$J$15:$J$28,PIL!$A$15:$A$28,$A21)*(SUM(PIL!$K$15:$K$28)/SUMPRODUCT(PIL!$K$15:$K$28,PIL!$J$15:$J$28)))</f>
        <v>41783</v>
      </c>
      <c r="U21">
        <f>IF($A21="","",_xlfn.SUMIFS(PIL!$K$15:$K$28,PIL!$A$15:$A$28,$A21))</f>
        <v>41783</v>
      </c>
      <c r="V21" t="s">
        <v>274</v>
      </c>
      <c r="W21" t="s">
        <v>274</v>
      </c>
      <c r="X21" t="s">
        <v>274</v>
      </c>
      <c r="Y21" t="s">
        <v>274</v>
      </c>
      <c r="Z21" t="s">
        <v>274</v>
      </c>
      <c r="AA21" t="s">
        <v>274</v>
      </c>
      <c r="AB21" t="s">
        <v>274</v>
      </c>
      <c r="AC21" t="s">
        <v>274</v>
      </c>
      <c r="AD21" t="e">
        <f t="shared" si="1"/>
        <v>#VALUE!</v>
      </c>
      <c r="AE21">
        <f t="shared" si="2"/>
        <v>0</v>
      </c>
      <c r="AF21" t="e">
        <f t="shared" si="3"/>
        <v>#VALUE!</v>
      </c>
      <c r="AG21" t="e">
        <f t="shared" si="4"/>
        <v>#VALUE!</v>
      </c>
      <c r="AH21" t="e">
        <f t="shared" si="5"/>
        <v>#VALUE!</v>
      </c>
    </row>
    <row r="22" ht="14.25" customHeight="1">
      <c r="A22" t="str">
        <f>IF(Moteur!D22="","",Moteur!D22)</f>
        <v>MBWAY_LYO</v>
      </c>
      <c r="B22" t="str">
        <f>IF(Moteur!B22="","",Moteur!B22)</f>
        <v>V03</v>
      </c>
      <c r="C22" t="str">
        <f>IF(Moteur!F22="","",Moteur!F22)</f>
        <v>BAC_MGT</v>
      </c>
      <c r="D22" t="str">
        <f>IF(Moteur!G22="","",Moteur!G22)</f>
        <v>B2</v>
      </c>
      <c r="E22" t="str">
        <f>IF(Moteur!H22="","",Moteur!H22)</f>
        <v>ALT</v>
      </c>
      <c r="F22" t="str">
        <f>IF(Moteur!E22="","",Moteur!E22)</f>
        <v>MBWAY</v>
      </c>
      <c r="G22">
        <f>IF($A22="","",_xlfn.SUMIFS(Socle!$H$1:$H$448,Socle!$C$1:$C$448,$A22,Socle!$D$1:$D$448,$C22,Socle!$E$1:$E$448,$D22,Socle!$F$1:$F$448,$E22,Socle!$G$1:$G$448,"2026"))</f>
        <v>0</v>
      </c>
      <c r="H22">
        <f>IF($A22="","",_xlfn.SUMIFS(Socle!$N$1:$N$448,Socle!$C$1:$C$448,$A22,Socle!$D$1:$D$448,$C22,Socle!$E$1:$E$448,$D22,Socle!$F$1:$F$448,$E22,Socle!$G$1:$G$448,"2026"))</f>
        <v>132</v>
      </c>
      <c r="I22">
        <f>IF($A22="","",_xlfn.SUMIFS(Socle!$P$1:$P$448,Socle!$C$1:$C$448,$A22,Socle!$D$1:$D$448,$C22,Socle!$E$1:$E$448,$D22,Socle!$F$1:$F$448,$E22,Socle!$G$1:$G$448,"2026"))</f>
        <v>14700</v>
      </c>
      <c r="J22">
        <f>IF($A22="","",_xlfn.SUMIFS(Socle!$W$1:$W$448,Socle!$C$1:$C$448,$A22,Socle!$D$1:$D$448,$C22,Socle!$E$1:$E$448,$D22,Socle!$F$1:$F$448,$E22,Socle!$G$1:$G$448,"2026"))</f>
        <v>0</v>
      </c>
      <c r="K22">
        <f>IF($A22="","",_xlfn.SUMIFS(Socle!$X$1:$X$448,Socle!$C$1:$C$448,$A22,Socle!$D$1:$D$448,$C22,Socle!$E$1:$E$448,$D22,Socle!$F$1:$F$448,$E22,Socle!$G$1:$G$448,"2026"))</f>
        <v>0</v>
      </c>
      <c r="L22">
        <f>IF($A22="","",_xlfn.SUMIFS(Socle!$Y$1:$Y$448,Socle!$C$1:$C$448,$A22,Socle!$D$1:$D$448,$C22,Socle!$E$1:$E$448,$D22,Socle!$F$1:$F$448,$E22,Socle!$G$1:$G$448,"2026"))</f>
        <v>0</v>
      </c>
      <c r="M22">
        <f>IF($A22="","",_xlfn.SUMIFS(Socle!$V$1:$V$448,Socle!$C$1:$C$448,$A22,Socle!$D$1:$D$448,$C22,Socle!$E$1:$E$448,$D22,Socle!$F$1:$F$448,$E22,Socle!$G$1:$G$448,"2026"))</f>
        <v>1.93939394</v>
      </c>
      <c r="N22">
        <f t="shared" si="0"/>
        <v>0</v>
      </c>
      <c r="O22">
        <f>IF($A22="","",_xlfn.SUMIFS(Campagne!$D$1:$D$128,Campagne!$C$1:$C$128,$A22))</f>
        <v>716</v>
      </c>
      <c r="P22">
        <f>IF($A22="","",_xlfn.SUMIFS(Campagne!$E$1:$E$128,Campagne!$C$1:$C$128,$A22))</f>
        <v>950</v>
      </c>
      <c r="Q22">
        <f>IF($A22="","",_xlfn.SUMIFS(Campagne!$F$1:$F$128,Campagne!$C$1:$C$128,$A22))</f>
        <v>1666</v>
      </c>
      <c r="R22">
        <f>IF($A22="","",_xlfn.SUMIFS(Campagne!$K$1:$K$128,Campagne!$C$1:$C$128,$A22))</f>
        <v>0.503912473</v>
      </c>
      <c r="S22">
        <f>IF($A22="","",_xlfn.SUMIFS(Campagne!$M$1:$M$128,Campagne!$C$1:$C$128,$A22))</f>
        <v>0.326593775</v>
      </c>
      <c r="T22">
        <f>IF($A22="","",_xlfn.SUMIFS(PIL!$K$15:$K$28,PIL!$A$15:$A$28,$A22)*_xlfn.SUMIFS(PIL!$J$15:$J$28,PIL!$A$15:$A$28,$A22)*(SUM(PIL!$K$15:$K$28)/SUMPRODUCT(PIL!$K$15:$K$28,PIL!$J$15:$J$28)))</f>
        <v>41783</v>
      </c>
      <c r="U22">
        <f>IF($A22="","",_xlfn.SUMIFS(PIL!$K$15:$K$28,PIL!$A$15:$A$28,$A22))</f>
        <v>41783</v>
      </c>
      <c r="V22" t="s">
        <v>274</v>
      </c>
      <c r="W22" t="s">
        <v>274</v>
      </c>
      <c r="X22" t="s">
        <v>274</v>
      </c>
      <c r="Y22" t="s">
        <v>274</v>
      </c>
      <c r="Z22" t="s">
        <v>274</v>
      </c>
      <c r="AA22" t="s">
        <v>274</v>
      </c>
      <c r="AB22" t="s">
        <v>274</v>
      </c>
      <c r="AC22" t="s">
        <v>274</v>
      </c>
      <c r="AD22" t="e">
        <f t="shared" si="1"/>
        <v>#VALUE!</v>
      </c>
      <c r="AE22">
        <f t="shared" si="2"/>
        <v>0</v>
      </c>
      <c r="AF22" t="e">
        <f t="shared" si="3"/>
        <v>#VALUE!</v>
      </c>
      <c r="AG22" t="e">
        <f t="shared" si="4"/>
        <v>#VALUE!</v>
      </c>
      <c r="AH22" t="e">
        <f t="shared" si="5"/>
        <v>#VALUE!</v>
      </c>
    </row>
    <row r="23" ht="14.25" customHeight="1">
      <c r="A23" t="str">
        <f>IF(Moteur!D23="","",Moteur!D23)</f>
        <v>MBWAY_LYO</v>
      </c>
      <c r="B23" t="str">
        <f>IF(Moteur!B23="","",Moteur!B23)</f>
        <v>V01</v>
      </c>
      <c r="C23" t="str">
        <f>IF(Moteur!F23="","",Moteur!F23)</f>
        <v>BAC_MGT</v>
      </c>
      <c r="D23" t="str">
        <f>IF(Moteur!G23="","",Moteur!G23)</f>
        <v>B3</v>
      </c>
      <c r="E23" t="str">
        <f>IF(Moteur!H23="","",Moteur!H23)</f>
        <v>ALT</v>
      </c>
      <c r="F23" t="str">
        <f>IF(Moteur!E23="","",Moteur!E23)</f>
        <v>MBWAY</v>
      </c>
      <c r="G23">
        <f>IF($A23="","",_xlfn.SUMIFS(Socle!$H$1:$H$448,Socle!$C$1:$C$448,$A23,Socle!$D$1:$D$448,$C23,Socle!$E$1:$E$448,$D23,Socle!$F$1:$F$448,$E23,Socle!$G$1:$G$448,"2026"))</f>
        <v>0</v>
      </c>
      <c r="H23">
        <f>IF($A23="","",_xlfn.SUMIFS(Socle!$N$1:$N$448,Socle!$C$1:$C$448,$A23,Socle!$D$1:$D$448,$C23,Socle!$E$1:$E$448,$D23,Socle!$F$1:$F$448,$E23,Socle!$G$1:$G$448,"2026"))</f>
        <v>128</v>
      </c>
      <c r="I23">
        <f>IF($A23="","",_xlfn.SUMIFS(Socle!$P$1:$P$448,Socle!$C$1:$C$448,$A23,Socle!$D$1:$D$448,$C23,Socle!$E$1:$E$448,$D23,Socle!$F$1:$F$448,$E23,Socle!$G$1:$G$448,"2026"))</f>
        <v>14700</v>
      </c>
      <c r="J23">
        <f>IF($A23="","",_xlfn.SUMIFS(Socle!$W$1:$W$448,Socle!$C$1:$C$448,$A23,Socle!$D$1:$D$448,$C23,Socle!$E$1:$E$448,$D23,Socle!$F$1:$F$448,$E23,Socle!$G$1:$G$448,"2026"))</f>
        <v>0</v>
      </c>
      <c r="K23">
        <f>IF($A23="","",_xlfn.SUMIFS(Socle!$X$1:$X$448,Socle!$C$1:$C$448,$A23,Socle!$D$1:$D$448,$C23,Socle!$E$1:$E$448,$D23,Socle!$F$1:$F$448,$E23,Socle!$G$1:$G$448,"2026"))</f>
        <v>0</v>
      </c>
      <c r="L23">
        <f>IF($A23="","",_xlfn.SUMIFS(Socle!$Y$1:$Y$448,Socle!$C$1:$C$448,$A23,Socle!$D$1:$D$448,$C23,Socle!$E$1:$E$448,$D23,Socle!$F$1:$F$448,$E23,Socle!$G$1:$G$448,"2026"))</f>
        <v>0</v>
      </c>
      <c r="M23">
        <f>IF($A23="","",_xlfn.SUMIFS(Socle!$V$1:$V$448,Socle!$C$1:$C$448,$A23,Socle!$D$1:$D$448,$C23,Socle!$E$1:$E$448,$D23,Socle!$F$1:$F$448,$E23,Socle!$G$1:$G$448,"2026"))</f>
        <v>1.96875</v>
      </c>
      <c r="N23">
        <f t="shared" si="0"/>
        <v>0</v>
      </c>
      <c r="O23">
        <f>IF($A23="","",_xlfn.SUMIFS(Campagne!$D$1:$D$128,Campagne!$C$1:$C$128,$A23))</f>
        <v>716</v>
      </c>
      <c r="P23">
        <f>IF($A23="","",_xlfn.SUMIFS(Campagne!$E$1:$E$128,Campagne!$C$1:$C$128,$A23))</f>
        <v>950</v>
      </c>
      <c r="Q23">
        <f>IF($A23="","",_xlfn.SUMIFS(Campagne!$F$1:$F$128,Campagne!$C$1:$C$128,$A23))</f>
        <v>1666</v>
      </c>
      <c r="R23">
        <f>IF($A23="","",_xlfn.SUMIFS(Campagne!$K$1:$K$128,Campagne!$C$1:$C$128,$A23))</f>
        <v>0.503912473</v>
      </c>
      <c r="S23">
        <f>IF($A23="","",_xlfn.SUMIFS(Campagne!$M$1:$M$128,Campagne!$C$1:$C$128,$A23))</f>
        <v>0.326593775</v>
      </c>
      <c r="T23">
        <f>IF($A23="","",_xlfn.SUMIFS(PIL!$K$15:$K$28,PIL!$A$15:$A$28,$A23)*_xlfn.SUMIFS(PIL!$J$15:$J$28,PIL!$A$15:$A$28,$A23)*(SUM(PIL!$K$15:$K$28)/SUMPRODUCT(PIL!$K$15:$K$28,PIL!$J$15:$J$28)))</f>
        <v>41783</v>
      </c>
      <c r="U23">
        <f>IF($A23="","",_xlfn.SUMIFS(PIL!$K$15:$K$28,PIL!$A$15:$A$28,$A23))</f>
        <v>41783</v>
      </c>
      <c r="V23" t="s">
        <v>274</v>
      </c>
      <c r="W23" t="s">
        <v>274</v>
      </c>
      <c r="X23" t="s">
        <v>274</v>
      </c>
      <c r="Y23" t="s">
        <v>274</v>
      </c>
      <c r="Z23" t="s">
        <v>274</v>
      </c>
      <c r="AA23" t="s">
        <v>274</v>
      </c>
      <c r="AB23" t="s">
        <v>274</v>
      </c>
      <c r="AC23" t="s">
        <v>274</v>
      </c>
      <c r="AD23" t="e">
        <f t="shared" si="1"/>
        <v>#VALUE!</v>
      </c>
      <c r="AE23">
        <f t="shared" si="2"/>
        <v>0</v>
      </c>
      <c r="AF23" t="e">
        <f t="shared" si="3"/>
        <v>#VALUE!</v>
      </c>
      <c r="AG23" t="e">
        <f t="shared" si="4"/>
        <v>#VALUE!</v>
      </c>
      <c r="AH23" t="e">
        <f t="shared" si="5"/>
        <v>#VALUE!</v>
      </c>
    </row>
    <row r="24" ht="14.25" customHeight="1">
      <c r="A24" t="str">
        <f>IF(Moteur!D24="","",Moteur!D24)</f>
        <v>MBWAY_LYO</v>
      </c>
      <c r="B24" t="str">
        <f>IF(Moteur!B24="","",Moteur!B24)</f>
        <v>V02</v>
      </c>
      <c r="C24" t="str">
        <f>IF(Moteur!F24="","",Moteur!F24)</f>
        <v>BAC_MGT</v>
      </c>
      <c r="D24" t="str">
        <f>IF(Moteur!G24="","",Moteur!G24)</f>
        <v>B3</v>
      </c>
      <c r="E24" t="str">
        <f>IF(Moteur!H24="","",Moteur!H24)</f>
        <v>ALT</v>
      </c>
      <c r="F24" t="str">
        <f>IF(Moteur!E24="","",Moteur!E24)</f>
        <v>MBWAY</v>
      </c>
      <c r="G24">
        <f>IF($A24="","",_xlfn.SUMIFS(Socle!$H$1:$H$448,Socle!$C$1:$C$448,$A24,Socle!$D$1:$D$448,$C24,Socle!$E$1:$E$448,$D24,Socle!$F$1:$F$448,$E24,Socle!$G$1:$G$448,"2026"))</f>
        <v>0</v>
      </c>
      <c r="H24">
        <f>IF($A24="","",_xlfn.SUMIFS(Socle!$N$1:$N$448,Socle!$C$1:$C$448,$A24,Socle!$D$1:$D$448,$C24,Socle!$E$1:$E$448,$D24,Socle!$F$1:$F$448,$E24,Socle!$G$1:$G$448,"2026"))</f>
        <v>128</v>
      </c>
      <c r="I24">
        <f>IF($A24="","",_xlfn.SUMIFS(Socle!$P$1:$P$448,Socle!$C$1:$C$448,$A24,Socle!$D$1:$D$448,$C24,Socle!$E$1:$E$448,$D24,Socle!$F$1:$F$448,$E24,Socle!$G$1:$G$448,"2026"))</f>
        <v>14700</v>
      </c>
      <c r="J24">
        <f>IF($A24="","",_xlfn.SUMIFS(Socle!$W$1:$W$448,Socle!$C$1:$C$448,$A24,Socle!$D$1:$D$448,$C24,Socle!$E$1:$E$448,$D24,Socle!$F$1:$F$448,$E24,Socle!$G$1:$G$448,"2026"))</f>
        <v>0</v>
      </c>
      <c r="K24">
        <f>IF($A24="","",_xlfn.SUMIFS(Socle!$X$1:$X$448,Socle!$C$1:$C$448,$A24,Socle!$D$1:$D$448,$C24,Socle!$E$1:$E$448,$D24,Socle!$F$1:$F$448,$E24,Socle!$G$1:$G$448,"2026"))</f>
        <v>0</v>
      </c>
      <c r="L24">
        <f>IF($A24="","",_xlfn.SUMIFS(Socle!$Y$1:$Y$448,Socle!$C$1:$C$448,$A24,Socle!$D$1:$D$448,$C24,Socle!$E$1:$E$448,$D24,Socle!$F$1:$F$448,$E24,Socle!$G$1:$G$448,"2026"))</f>
        <v>0</v>
      </c>
      <c r="M24">
        <f>IF($A24="","",_xlfn.SUMIFS(Socle!$V$1:$V$448,Socle!$C$1:$C$448,$A24,Socle!$D$1:$D$448,$C24,Socle!$E$1:$E$448,$D24,Socle!$F$1:$F$448,$E24,Socle!$G$1:$G$448,"2026"))</f>
        <v>1.96875</v>
      </c>
      <c r="N24">
        <f t="shared" si="0"/>
        <v>0</v>
      </c>
      <c r="O24">
        <f>IF($A24="","",_xlfn.SUMIFS(Campagne!$D$1:$D$128,Campagne!$C$1:$C$128,$A24))</f>
        <v>716</v>
      </c>
      <c r="P24">
        <f>IF($A24="","",_xlfn.SUMIFS(Campagne!$E$1:$E$128,Campagne!$C$1:$C$128,$A24))</f>
        <v>950</v>
      </c>
      <c r="Q24">
        <f>IF($A24="","",_xlfn.SUMIFS(Campagne!$F$1:$F$128,Campagne!$C$1:$C$128,$A24))</f>
        <v>1666</v>
      </c>
      <c r="R24">
        <f>IF($A24="","",_xlfn.SUMIFS(Campagne!$K$1:$K$128,Campagne!$C$1:$C$128,$A24))</f>
        <v>0.503912473</v>
      </c>
      <c r="S24">
        <f>IF($A24="","",_xlfn.SUMIFS(Campagne!$M$1:$M$128,Campagne!$C$1:$C$128,$A24))</f>
        <v>0.326593775</v>
      </c>
      <c r="T24">
        <f>IF($A24="","",_xlfn.SUMIFS(PIL!$K$15:$K$28,PIL!$A$15:$A$28,$A24)*_xlfn.SUMIFS(PIL!$J$15:$J$28,PIL!$A$15:$A$28,$A24)*(SUM(PIL!$K$15:$K$28)/SUMPRODUCT(PIL!$K$15:$K$28,PIL!$J$15:$J$28)))</f>
        <v>41783</v>
      </c>
      <c r="U24">
        <f>IF($A24="","",_xlfn.SUMIFS(PIL!$K$15:$K$28,PIL!$A$15:$A$28,$A24))</f>
        <v>41783</v>
      </c>
      <c r="V24" t="s">
        <v>274</v>
      </c>
      <c r="W24" t="s">
        <v>274</v>
      </c>
      <c r="X24" t="s">
        <v>274</v>
      </c>
      <c r="Y24" t="s">
        <v>274</v>
      </c>
      <c r="Z24" t="s">
        <v>274</v>
      </c>
      <c r="AA24" t="s">
        <v>274</v>
      </c>
      <c r="AB24" t="s">
        <v>274</v>
      </c>
      <c r="AC24" t="s">
        <v>274</v>
      </c>
      <c r="AD24" t="e">
        <f t="shared" si="1"/>
        <v>#VALUE!</v>
      </c>
      <c r="AE24">
        <f t="shared" si="2"/>
        <v>0</v>
      </c>
      <c r="AF24" t="e">
        <f t="shared" si="3"/>
        <v>#VALUE!</v>
      </c>
      <c r="AG24" t="e">
        <f t="shared" si="4"/>
        <v>#VALUE!</v>
      </c>
      <c r="AH24" t="e">
        <f t="shared" si="5"/>
        <v>#VALUE!</v>
      </c>
    </row>
    <row r="25" ht="14.25" customHeight="1">
      <c r="A25" t="str">
        <f>IF(Moteur!D25="","",Moteur!D25)</f>
        <v>MBWAY_LYO</v>
      </c>
      <c r="B25" t="str">
        <f>IF(Moteur!B25="","",Moteur!B25)</f>
        <v>V03</v>
      </c>
      <c r="C25" t="str">
        <f>IF(Moteur!F25="","",Moteur!F25)</f>
        <v>BAC_MGT</v>
      </c>
      <c r="D25" t="str">
        <f>IF(Moteur!G25="","",Moteur!G25)</f>
        <v>B3</v>
      </c>
      <c r="E25" t="str">
        <f>IF(Moteur!H25="","",Moteur!H25)</f>
        <v>ALT</v>
      </c>
      <c r="F25" t="str">
        <f>IF(Moteur!E25="","",Moteur!E25)</f>
        <v>MBWAY</v>
      </c>
      <c r="G25">
        <f>IF($A25="","",_xlfn.SUMIFS(Socle!$H$1:$H$448,Socle!$C$1:$C$448,$A25,Socle!$D$1:$D$448,$C25,Socle!$E$1:$E$448,$D25,Socle!$F$1:$F$448,$E25,Socle!$G$1:$G$448,"2026"))</f>
        <v>0</v>
      </c>
      <c r="H25">
        <f>IF($A25="","",_xlfn.SUMIFS(Socle!$N$1:$N$448,Socle!$C$1:$C$448,$A25,Socle!$D$1:$D$448,$C25,Socle!$E$1:$E$448,$D25,Socle!$F$1:$F$448,$E25,Socle!$G$1:$G$448,"2026"))</f>
        <v>128</v>
      </c>
      <c r="I25">
        <f>IF($A25="","",_xlfn.SUMIFS(Socle!$P$1:$P$448,Socle!$C$1:$C$448,$A25,Socle!$D$1:$D$448,$C25,Socle!$E$1:$E$448,$D25,Socle!$F$1:$F$448,$E25,Socle!$G$1:$G$448,"2026"))</f>
        <v>14700</v>
      </c>
      <c r="J25">
        <f>IF($A25="","",_xlfn.SUMIFS(Socle!$W$1:$W$448,Socle!$C$1:$C$448,$A25,Socle!$D$1:$D$448,$C25,Socle!$E$1:$E$448,$D25,Socle!$F$1:$F$448,$E25,Socle!$G$1:$G$448,"2026"))</f>
        <v>0</v>
      </c>
      <c r="K25">
        <f>IF($A25="","",_xlfn.SUMIFS(Socle!$X$1:$X$448,Socle!$C$1:$C$448,$A25,Socle!$D$1:$D$448,$C25,Socle!$E$1:$E$448,$D25,Socle!$F$1:$F$448,$E25,Socle!$G$1:$G$448,"2026"))</f>
        <v>0</v>
      </c>
      <c r="L25">
        <f>IF($A25="","",_xlfn.SUMIFS(Socle!$Y$1:$Y$448,Socle!$C$1:$C$448,$A25,Socle!$D$1:$D$448,$C25,Socle!$E$1:$E$448,$D25,Socle!$F$1:$F$448,$E25,Socle!$G$1:$G$448,"2026"))</f>
        <v>0</v>
      </c>
      <c r="M25">
        <f>IF($A25="","",_xlfn.SUMIFS(Socle!$V$1:$V$448,Socle!$C$1:$C$448,$A25,Socle!$D$1:$D$448,$C25,Socle!$E$1:$E$448,$D25,Socle!$F$1:$F$448,$E25,Socle!$G$1:$G$448,"2026"))</f>
        <v>1.96875</v>
      </c>
      <c r="N25">
        <f t="shared" si="0"/>
        <v>0</v>
      </c>
      <c r="O25">
        <f>IF($A25="","",_xlfn.SUMIFS(Campagne!$D$1:$D$128,Campagne!$C$1:$C$128,$A25))</f>
        <v>716</v>
      </c>
      <c r="P25">
        <f>IF($A25="","",_xlfn.SUMIFS(Campagne!$E$1:$E$128,Campagne!$C$1:$C$128,$A25))</f>
        <v>950</v>
      </c>
      <c r="Q25">
        <f>IF($A25="","",_xlfn.SUMIFS(Campagne!$F$1:$F$128,Campagne!$C$1:$C$128,$A25))</f>
        <v>1666</v>
      </c>
      <c r="R25">
        <f>IF($A25="","",_xlfn.SUMIFS(Campagne!$K$1:$K$128,Campagne!$C$1:$C$128,$A25))</f>
        <v>0.503912473</v>
      </c>
      <c r="S25">
        <f>IF($A25="","",_xlfn.SUMIFS(Campagne!$M$1:$M$128,Campagne!$C$1:$C$128,$A25))</f>
        <v>0.326593775</v>
      </c>
      <c r="T25">
        <f>IF($A25="","",_xlfn.SUMIFS(PIL!$K$15:$K$28,PIL!$A$15:$A$28,$A25)*_xlfn.SUMIFS(PIL!$J$15:$J$28,PIL!$A$15:$A$28,$A25)*(SUM(PIL!$K$15:$K$28)/SUMPRODUCT(PIL!$K$15:$K$28,PIL!$J$15:$J$28)))</f>
        <v>41783</v>
      </c>
      <c r="U25">
        <f>IF($A25="","",_xlfn.SUMIFS(PIL!$K$15:$K$28,PIL!$A$15:$A$28,$A25))</f>
        <v>41783</v>
      </c>
      <c r="V25" t="s">
        <v>274</v>
      </c>
      <c r="W25" t="s">
        <v>274</v>
      </c>
      <c r="X25" t="s">
        <v>274</v>
      </c>
      <c r="Y25" t="s">
        <v>274</v>
      </c>
      <c r="Z25" t="s">
        <v>274</v>
      </c>
      <c r="AA25" t="s">
        <v>274</v>
      </c>
      <c r="AB25" t="s">
        <v>274</v>
      </c>
      <c r="AC25" t="s">
        <v>274</v>
      </c>
      <c r="AD25" t="e">
        <f t="shared" si="1"/>
        <v>#VALUE!</v>
      </c>
      <c r="AE25">
        <f t="shared" si="2"/>
        <v>0</v>
      </c>
      <c r="AF25" t="e">
        <f t="shared" si="3"/>
        <v>#VALUE!</v>
      </c>
      <c r="AG25" t="e">
        <f t="shared" si="4"/>
        <v>#VALUE!</v>
      </c>
      <c r="AH25" t="e">
        <f t="shared" si="5"/>
        <v>#VALUE!</v>
      </c>
    </row>
    <row r="26" ht="14.25" customHeight="1">
      <c r="A26" t="str">
        <f>IF(Moteur!D26="","",Moteur!D26)</f>
        <v>MBWAY_LYO</v>
      </c>
      <c r="B26" t="str">
        <f>IF(Moteur!B26="","",Moteur!B26)</f>
        <v>V01</v>
      </c>
      <c r="C26" t="str">
        <f>IF(Moteur!F26="","",Moteur!F26)</f>
        <v>MAS_MGT</v>
      </c>
      <c r="D26" t="str">
        <f>IF(Moteur!G26="","",Moteur!G26)</f>
        <v>M1</v>
      </c>
      <c r="E26" t="str">
        <f>IF(Moteur!H26="","",Moteur!H26)</f>
        <v>ALT</v>
      </c>
      <c r="F26" t="str">
        <f>IF(Moteur!E26="","",Moteur!E26)</f>
        <v>MBWAY</v>
      </c>
      <c r="G26">
        <f>IF($A26="","",_xlfn.SUMIFS(Socle!$H$1:$H$448,Socle!$C$1:$C$448,$A26,Socle!$D$1:$D$448,$C26,Socle!$E$1:$E$448,$D26,Socle!$F$1:$F$448,$E26,Socle!$G$1:$G$448,"2026"))</f>
        <v>2240</v>
      </c>
      <c r="H26">
        <f>IF($A26="","",_xlfn.SUMIFS(Socle!$N$1:$N$448,Socle!$C$1:$C$448,$A26,Socle!$D$1:$D$448,$C26,Socle!$E$1:$E$448,$D26,Socle!$F$1:$F$448,$E26,Socle!$G$1:$G$448,"2026"))</f>
        <v>0</v>
      </c>
      <c r="I26">
        <f>IF($A26="","",_xlfn.SUMIFS(Socle!$P$1:$P$448,Socle!$C$1:$C$448,$A26,Socle!$D$1:$D$448,$C26,Socle!$E$1:$E$448,$D26,Socle!$F$1:$F$448,$E26,Socle!$G$1:$G$448,"2026"))</f>
        <v>15750</v>
      </c>
      <c r="J26">
        <f>IF($A26="","",_xlfn.SUMIFS(Socle!$W$1:$W$448,Socle!$C$1:$C$448,$A26,Socle!$D$1:$D$448,$C26,Socle!$E$1:$E$448,$D26,Socle!$F$1:$F$448,$E26,Socle!$G$1:$G$448,"2026"))</f>
        <v>0.4</v>
      </c>
      <c r="K26">
        <f>IF($A26="","",_xlfn.SUMIFS(Socle!$X$1:$X$448,Socle!$C$1:$C$448,$A26,Socle!$D$1:$D$448,$C26,Socle!$E$1:$E$448,$D26,Socle!$F$1:$F$448,$E26,Socle!$G$1:$G$448,"2026"))</f>
        <v>1.401785714</v>
      </c>
      <c r="L26">
        <f>IF($A26="","",_xlfn.SUMIFS(Socle!$Y$1:$Y$448,Socle!$C$1:$C$448,$A26,Socle!$D$1:$D$448,$C26,Socle!$E$1:$E$448,$D26,Socle!$F$1:$F$448,$E26,Socle!$G$1:$G$448,"2026"))</f>
        <v>0.840764332</v>
      </c>
      <c r="M26">
        <f>IF($A26="","",_xlfn.SUMIFS(Socle!$V$1:$V$448,Socle!$C$1:$C$448,$A26,Socle!$D$1:$D$448,$C26,Socle!$E$1:$E$448,$D26,Socle!$F$1:$F$448,$E26,Socle!$G$1:$G$448,"2026"))</f>
        <v>0</v>
      </c>
      <c r="N26">
        <f t="shared" si="0"/>
        <v>1</v>
      </c>
      <c r="O26">
        <f>IF($A26="","",_xlfn.SUMIFS(Campagne!$D$1:$D$128,Campagne!$C$1:$C$128,$A26))</f>
        <v>716</v>
      </c>
      <c r="P26">
        <f>IF($A26="","",_xlfn.SUMIFS(Campagne!$E$1:$E$128,Campagne!$C$1:$C$128,$A26))</f>
        <v>950</v>
      </c>
      <c r="Q26">
        <f>IF($A26="","",_xlfn.SUMIFS(Campagne!$F$1:$F$128,Campagne!$C$1:$C$128,$A26))</f>
        <v>1666</v>
      </c>
      <c r="R26">
        <f>IF($A26="","",_xlfn.SUMIFS(Campagne!$K$1:$K$128,Campagne!$C$1:$C$128,$A26))</f>
        <v>0.503912473</v>
      </c>
      <c r="S26">
        <f>IF($A26="","",_xlfn.SUMIFS(Campagne!$M$1:$M$128,Campagne!$C$1:$C$128,$A26))</f>
        <v>0.326593775</v>
      </c>
      <c r="T26">
        <f>IF($A26="","",_xlfn.SUMIFS(PIL!$K$15:$K$28,PIL!$A$15:$A$28,$A26)*_xlfn.SUMIFS(PIL!$J$15:$J$28,PIL!$A$15:$A$28,$A26)*(SUM(PIL!$K$15:$K$28)/SUMPRODUCT(PIL!$K$15:$K$28,PIL!$J$15:$J$28)))</f>
        <v>41783</v>
      </c>
      <c r="U26">
        <f>IF($A26="","",_xlfn.SUMIFS(PIL!$K$15:$K$28,PIL!$A$15:$A$28,$A26))</f>
        <v>41783</v>
      </c>
      <c r="V26" t="s">
        <v>274</v>
      </c>
      <c r="W26" t="s">
        <v>274</v>
      </c>
      <c r="X26" t="s">
        <v>274</v>
      </c>
      <c r="Y26" t="s">
        <v>274</v>
      </c>
      <c r="Z26" t="s">
        <v>274</v>
      </c>
      <c r="AA26" t="s">
        <v>274</v>
      </c>
      <c r="AB26" t="s">
        <v>274</v>
      </c>
      <c r="AC26" t="s">
        <v>274</v>
      </c>
      <c r="AD26" t="e">
        <f t="shared" si="1"/>
        <v>#VALUE!</v>
      </c>
      <c r="AE26" t="e">
        <f t="shared" si="2"/>
        <v>#VALUE!</v>
      </c>
      <c r="AF26" t="e">
        <f t="shared" si="3"/>
        <v>#VALUE!</v>
      </c>
      <c r="AG26" t="e">
        <f t="shared" si="4"/>
        <v>#VALUE!</v>
      </c>
      <c r="AH26" t="e">
        <f t="shared" si="5"/>
        <v>#VALUE!</v>
      </c>
    </row>
    <row r="27" ht="14.25" customHeight="1">
      <c r="A27" t="str">
        <f>IF(Moteur!D27="","",Moteur!D27)</f>
        <v>MBWAY_LYO</v>
      </c>
      <c r="B27" t="str">
        <f>IF(Moteur!B27="","",Moteur!B27)</f>
        <v>V02</v>
      </c>
      <c r="C27" t="str">
        <f>IF(Moteur!F27="","",Moteur!F27)</f>
        <v>MAS_MGT</v>
      </c>
      <c r="D27" t="str">
        <f>IF(Moteur!G27="","",Moteur!G27)</f>
        <v>M1</v>
      </c>
      <c r="E27" t="str">
        <f>IF(Moteur!H27="","",Moteur!H27)</f>
        <v>ALT</v>
      </c>
      <c r="F27" t="str">
        <f>IF(Moteur!E27="","",Moteur!E27)</f>
        <v>MBWAY</v>
      </c>
      <c r="G27">
        <f>IF($A27="","",_xlfn.SUMIFS(Socle!$H$1:$H$448,Socle!$C$1:$C$448,$A27,Socle!$D$1:$D$448,$C27,Socle!$E$1:$E$448,$D27,Socle!$F$1:$F$448,$E27,Socle!$G$1:$G$448,"2026"))</f>
        <v>2240</v>
      </c>
      <c r="H27">
        <f>IF($A27="","",_xlfn.SUMIFS(Socle!$N$1:$N$448,Socle!$C$1:$C$448,$A27,Socle!$D$1:$D$448,$C27,Socle!$E$1:$E$448,$D27,Socle!$F$1:$F$448,$E27,Socle!$G$1:$G$448,"2026"))</f>
        <v>0</v>
      </c>
      <c r="I27">
        <f>IF($A27="","",_xlfn.SUMIFS(Socle!$P$1:$P$448,Socle!$C$1:$C$448,$A27,Socle!$D$1:$D$448,$C27,Socle!$E$1:$E$448,$D27,Socle!$F$1:$F$448,$E27,Socle!$G$1:$G$448,"2026"))</f>
        <v>15750</v>
      </c>
      <c r="J27">
        <f>IF($A27="","",_xlfn.SUMIFS(Socle!$W$1:$W$448,Socle!$C$1:$C$448,$A27,Socle!$D$1:$D$448,$C27,Socle!$E$1:$E$448,$D27,Socle!$F$1:$F$448,$E27,Socle!$G$1:$G$448,"2026"))</f>
        <v>0.4</v>
      </c>
      <c r="K27">
        <f>IF($A27="","",_xlfn.SUMIFS(Socle!$X$1:$X$448,Socle!$C$1:$C$448,$A27,Socle!$D$1:$D$448,$C27,Socle!$E$1:$E$448,$D27,Socle!$F$1:$F$448,$E27,Socle!$G$1:$G$448,"2026"))</f>
        <v>1.401785714</v>
      </c>
      <c r="L27">
        <f>IF($A27="","",_xlfn.SUMIFS(Socle!$Y$1:$Y$448,Socle!$C$1:$C$448,$A27,Socle!$D$1:$D$448,$C27,Socle!$E$1:$E$448,$D27,Socle!$F$1:$F$448,$E27,Socle!$G$1:$G$448,"2026"))</f>
        <v>0.840764332</v>
      </c>
      <c r="M27">
        <f>IF($A27="","",_xlfn.SUMIFS(Socle!$V$1:$V$448,Socle!$C$1:$C$448,$A27,Socle!$D$1:$D$448,$C27,Socle!$E$1:$E$448,$D27,Socle!$F$1:$F$448,$E27,Socle!$G$1:$G$448,"2026"))</f>
        <v>0</v>
      </c>
      <c r="N27">
        <f t="shared" si="0"/>
        <v>1</v>
      </c>
      <c r="O27">
        <f>IF($A27="","",_xlfn.SUMIFS(Campagne!$D$1:$D$128,Campagne!$C$1:$C$128,$A27))</f>
        <v>716</v>
      </c>
      <c r="P27">
        <f>IF($A27="","",_xlfn.SUMIFS(Campagne!$E$1:$E$128,Campagne!$C$1:$C$128,$A27))</f>
        <v>950</v>
      </c>
      <c r="Q27">
        <f>IF($A27="","",_xlfn.SUMIFS(Campagne!$F$1:$F$128,Campagne!$C$1:$C$128,$A27))</f>
        <v>1666</v>
      </c>
      <c r="R27">
        <f>IF($A27="","",_xlfn.SUMIFS(Campagne!$K$1:$K$128,Campagne!$C$1:$C$128,$A27))</f>
        <v>0.503912473</v>
      </c>
      <c r="S27">
        <f>IF($A27="","",_xlfn.SUMIFS(Campagne!$M$1:$M$128,Campagne!$C$1:$C$128,$A27))</f>
        <v>0.326593775</v>
      </c>
      <c r="T27">
        <f>IF($A27="","",_xlfn.SUMIFS(PIL!$K$15:$K$28,PIL!$A$15:$A$28,$A27)*_xlfn.SUMIFS(PIL!$J$15:$J$28,PIL!$A$15:$A$28,$A27)*(SUM(PIL!$K$15:$K$28)/SUMPRODUCT(PIL!$K$15:$K$28,PIL!$J$15:$J$28)))</f>
        <v>41783</v>
      </c>
      <c r="U27">
        <f>IF($A27="","",_xlfn.SUMIFS(PIL!$K$15:$K$28,PIL!$A$15:$A$28,$A27))</f>
        <v>41783</v>
      </c>
      <c r="V27" t="s">
        <v>274</v>
      </c>
      <c r="W27" t="s">
        <v>274</v>
      </c>
      <c r="X27" t="s">
        <v>274</v>
      </c>
      <c r="Y27" t="s">
        <v>274</v>
      </c>
      <c r="Z27" t="s">
        <v>274</v>
      </c>
      <c r="AA27" t="s">
        <v>274</v>
      </c>
      <c r="AB27" t="s">
        <v>274</v>
      </c>
      <c r="AC27" t="s">
        <v>274</v>
      </c>
      <c r="AD27" t="e">
        <f t="shared" si="1"/>
        <v>#VALUE!</v>
      </c>
      <c r="AE27" t="e">
        <f t="shared" si="2"/>
        <v>#VALUE!</v>
      </c>
      <c r="AF27" t="e">
        <f t="shared" si="3"/>
        <v>#VALUE!</v>
      </c>
      <c r="AG27" t="e">
        <f t="shared" si="4"/>
        <v>#VALUE!</v>
      </c>
      <c r="AH27" t="e">
        <f t="shared" si="5"/>
        <v>#VALUE!</v>
      </c>
    </row>
    <row r="28" ht="14.25" customHeight="1">
      <c r="A28" t="str">
        <f>IF(Moteur!D28="","",Moteur!D28)</f>
        <v>MBWAY_LYO</v>
      </c>
      <c r="B28" t="str">
        <f>IF(Moteur!B28="","",Moteur!B28)</f>
        <v>V03</v>
      </c>
      <c r="C28" t="str">
        <f>IF(Moteur!F28="","",Moteur!F28)</f>
        <v>MAS_MGT</v>
      </c>
      <c r="D28" t="str">
        <f>IF(Moteur!G28="","",Moteur!G28)</f>
        <v>M1</v>
      </c>
      <c r="E28" t="str">
        <f>IF(Moteur!H28="","",Moteur!H28)</f>
        <v>ALT</v>
      </c>
      <c r="F28" t="str">
        <f>IF(Moteur!E28="","",Moteur!E28)</f>
        <v>MBWAY</v>
      </c>
      <c r="G28">
        <f>IF($A28="","",_xlfn.SUMIFS(Socle!$H$1:$H$448,Socle!$C$1:$C$448,$A28,Socle!$D$1:$D$448,$C28,Socle!$E$1:$E$448,$D28,Socle!$F$1:$F$448,$E28,Socle!$G$1:$G$448,"2026"))</f>
        <v>2240</v>
      </c>
      <c r="H28">
        <f>IF($A28="","",_xlfn.SUMIFS(Socle!$N$1:$N$448,Socle!$C$1:$C$448,$A28,Socle!$D$1:$D$448,$C28,Socle!$E$1:$E$448,$D28,Socle!$F$1:$F$448,$E28,Socle!$G$1:$G$448,"2026"))</f>
        <v>0</v>
      </c>
      <c r="I28">
        <f>IF($A28="","",_xlfn.SUMIFS(Socle!$P$1:$P$448,Socle!$C$1:$C$448,$A28,Socle!$D$1:$D$448,$C28,Socle!$E$1:$E$448,$D28,Socle!$F$1:$F$448,$E28,Socle!$G$1:$G$448,"2026"))</f>
        <v>15750</v>
      </c>
      <c r="J28">
        <f>IF($A28="","",_xlfn.SUMIFS(Socle!$W$1:$W$448,Socle!$C$1:$C$448,$A28,Socle!$D$1:$D$448,$C28,Socle!$E$1:$E$448,$D28,Socle!$F$1:$F$448,$E28,Socle!$G$1:$G$448,"2026"))</f>
        <v>0.4</v>
      </c>
      <c r="K28">
        <f>IF($A28="","",_xlfn.SUMIFS(Socle!$X$1:$X$448,Socle!$C$1:$C$448,$A28,Socle!$D$1:$D$448,$C28,Socle!$E$1:$E$448,$D28,Socle!$F$1:$F$448,$E28,Socle!$G$1:$G$448,"2026"))</f>
        <v>1.401785714</v>
      </c>
      <c r="L28">
        <f>IF($A28="","",_xlfn.SUMIFS(Socle!$Y$1:$Y$448,Socle!$C$1:$C$448,$A28,Socle!$D$1:$D$448,$C28,Socle!$E$1:$E$448,$D28,Socle!$F$1:$F$448,$E28,Socle!$G$1:$G$448,"2026"))</f>
        <v>0.840764332</v>
      </c>
      <c r="M28">
        <f>IF($A28="","",_xlfn.SUMIFS(Socle!$V$1:$V$448,Socle!$C$1:$C$448,$A28,Socle!$D$1:$D$448,$C28,Socle!$E$1:$E$448,$D28,Socle!$F$1:$F$448,$E28,Socle!$G$1:$G$448,"2026"))</f>
        <v>0</v>
      </c>
      <c r="N28">
        <f t="shared" si="0"/>
        <v>1</v>
      </c>
      <c r="O28">
        <f>IF($A28="","",_xlfn.SUMIFS(Campagne!$D$1:$D$128,Campagne!$C$1:$C$128,$A28))</f>
        <v>716</v>
      </c>
      <c r="P28">
        <f>IF($A28="","",_xlfn.SUMIFS(Campagne!$E$1:$E$128,Campagne!$C$1:$C$128,$A28))</f>
        <v>950</v>
      </c>
      <c r="Q28">
        <f>IF($A28="","",_xlfn.SUMIFS(Campagne!$F$1:$F$128,Campagne!$C$1:$C$128,$A28))</f>
        <v>1666</v>
      </c>
      <c r="R28">
        <f>IF($A28="","",_xlfn.SUMIFS(Campagne!$K$1:$K$128,Campagne!$C$1:$C$128,$A28))</f>
        <v>0.503912473</v>
      </c>
      <c r="S28">
        <f>IF($A28="","",_xlfn.SUMIFS(Campagne!$M$1:$M$128,Campagne!$C$1:$C$128,$A28))</f>
        <v>0.326593775</v>
      </c>
      <c r="T28">
        <f>IF($A28="","",_xlfn.SUMIFS(PIL!$K$15:$K$28,PIL!$A$15:$A$28,$A28)*_xlfn.SUMIFS(PIL!$J$15:$J$28,PIL!$A$15:$A$28,$A28)*(SUM(PIL!$K$15:$K$28)/SUMPRODUCT(PIL!$K$15:$K$28,PIL!$J$15:$J$28)))</f>
        <v>41783</v>
      </c>
      <c r="U28">
        <f>IF($A28="","",_xlfn.SUMIFS(PIL!$K$15:$K$28,PIL!$A$15:$A$28,$A28))</f>
        <v>41783</v>
      </c>
      <c r="V28" t="s">
        <v>274</v>
      </c>
      <c r="W28" t="s">
        <v>274</v>
      </c>
      <c r="X28" t="s">
        <v>274</v>
      </c>
      <c r="Y28" t="s">
        <v>274</v>
      </c>
      <c r="Z28" t="s">
        <v>274</v>
      </c>
      <c r="AA28" t="s">
        <v>274</v>
      </c>
      <c r="AB28" t="s">
        <v>274</v>
      </c>
      <c r="AC28" t="s">
        <v>274</v>
      </c>
      <c r="AD28" t="e">
        <f t="shared" si="1"/>
        <v>#VALUE!</v>
      </c>
      <c r="AE28" t="e">
        <f t="shared" si="2"/>
        <v>#VALUE!</v>
      </c>
      <c r="AF28" t="e">
        <f t="shared" si="3"/>
        <v>#VALUE!</v>
      </c>
      <c r="AG28" t="e">
        <f t="shared" si="4"/>
        <v>#VALUE!</v>
      </c>
      <c r="AH28" t="e">
        <f t="shared" si="5"/>
        <v>#VALUE!</v>
      </c>
    </row>
    <row r="29" ht="14.25" customHeight="1">
      <c r="A29" t="str">
        <f>IF(Moteur!D29="","",Moteur!D29)</f>
        <v>MBWAY_LYO</v>
      </c>
      <c r="B29" t="str">
        <f>IF(Moteur!B29="","",Moteur!B29)</f>
        <v>V01</v>
      </c>
      <c r="C29" t="str">
        <f>IF(Moteur!F29="","",Moteur!F29)</f>
        <v>MAS_MGT</v>
      </c>
      <c r="D29" t="str">
        <f>IF(Moteur!G29="","",Moteur!G29)</f>
        <v>M2</v>
      </c>
      <c r="E29" t="str">
        <f>IF(Moteur!H29="","",Moteur!H29)</f>
        <v>ALT</v>
      </c>
      <c r="F29" t="str">
        <f>IF(Moteur!E29="","",Moteur!E29)</f>
        <v>MBWAY</v>
      </c>
      <c r="G29">
        <f>IF($A29="","",_xlfn.SUMIFS(Socle!$H$1:$H$448,Socle!$C$1:$C$448,$A29,Socle!$D$1:$D$448,$C29,Socle!$E$1:$E$448,$D29,Socle!$F$1:$F$448,$E29,Socle!$G$1:$G$448,"2026"))</f>
        <v>0</v>
      </c>
      <c r="H29">
        <f>IF($A29="","",_xlfn.SUMIFS(Socle!$N$1:$N$448,Socle!$C$1:$C$448,$A29,Socle!$D$1:$D$448,$C29,Socle!$E$1:$E$448,$D29,Socle!$F$1:$F$448,$E29,Socle!$G$1:$G$448,"2026"))</f>
        <v>132</v>
      </c>
      <c r="I29">
        <f>IF($A29="","",_xlfn.SUMIFS(Socle!$P$1:$P$448,Socle!$C$1:$C$448,$A29,Socle!$D$1:$D$448,$C29,Socle!$E$1:$E$448,$D29,Socle!$F$1:$F$448,$E29,Socle!$G$1:$G$448,"2026"))</f>
        <v>15750</v>
      </c>
      <c r="J29">
        <f>IF($A29="","",_xlfn.SUMIFS(Socle!$W$1:$W$448,Socle!$C$1:$C$448,$A29,Socle!$D$1:$D$448,$C29,Socle!$E$1:$E$448,$D29,Socle!$F$1:$F$448,$E29,Socle!$G$1:$G$448,"2026"))</f>
        <v>0</v>
      </c>
      <c r="K29">
        <f>IF($A29="","",_xlfn.SUMIFS(Socle!$X$1:$X$448,Socle!$C$1:$C$448,$A29,Socle!$D$1:$D$448,$C29,Socle!$E$1:$E$448,$D29,Socle!$F$1:$F$448,$E29,Socle!$G$1:$G$448,"2026"))</f>
        <v>0</v>
      </c>
      <c r="L29">
        <f>IF($A29="","",_xlfn.SUMIFS(Socle!$Y$1:$Y$448,Socle!$C$1:$C$448,$A29,Socle!$D$1:$D$448,$C29,Socle!$E$1:$E$448,$D29,Socle!$F$1:$F$448,$E29,Socle!$G$1:$G$448,"2026"))</f>
        <v>0</v>
      </c>
      <c r="M29">
        <f>IF($A29="","",_xlfn.SUMIFS(Socle!$V$1:$V$448,Socle!$C$1:$C$448,$A29,Socle!$D$1:$D$448,$C29,Socle!$E$1:$E$448,$D29,Socle!$F$1:$F$448,$E29,Socle!$G$1:$G$448,"2026"))</f>
        <v>1.96969697</v>
      </c>
      <c r="N29">
        <f t="shared" si="0"/>
        <v>0</v>
      </c>
      <c r="O29">
        <f>IF($A29="","",_xlfn.SUMIFS(Campagne!$D$1:$D$128,Campagne!$C$1:$C$128,$A29))</f>
        <v>716</v>
      </c>
      <c r="P29">
        <f>IF($A29="","",_xlfn.SUMIFS(Campagne!$E$1:$E$128,Campagne!$C$1:$C$128,$A29))</f>
        <v>950</v>
      </c>
      <c r="Q29">
        <f>IF($A29="","",_xlfn.SUMIFS(Campagne!$F$1:$F$128,Campagne!$C$1:$C$128,$A29))</f>
        <v>1666</v>
      </c>
      <c r="R29">
        <f>IF($A29="","",_xlfn.SUMIFS(Campagne!$K$1:$K$128,Campagne!$C$1:$C$128,$A29))</f>
        <v>0.503912473</v>
      </c>
      <c r="S29">
        <f>IF($A29="","",_xlfn.SUMIFS(Campagne!$M$1:$M$128,Campagne!$C$1:$C$128,$A29))</f>
        <v>0.326593775</v>
      </c>
      <c r="T29">
        <f>IF($A29="","",_xlfn.SUMIFS(PIL!$K$15:$K$28,PIL!$A$15:$A$28,$A29)*_xlfn.SUMIFS(PIL!$J$15:$J$28,PIL!$A$15:$A$28,$A29)*(SUM(PIL!$K$15:$K$28)/SUMPRODUCT(PIL!$K$15:$K$28,PIL!$J$15:$J$28)))</f>
        <v>41783</v>
      </c>
      <c r="U29">
        <f>IF($A29="","",_xlfn.SUMIFS(PIL!$K$15:$K$28,PIL!$A$15:$A$28,$A29))</f>
        <v>41783</v>
      </c>
      <c r="V29" t="s">
        <v>274</v>
      </c>
      <c r="W29" t="s">
        <v>274</v>
      </c>
      <c r="X29" t="s">
        <v>274</v>
      </c>
      <c r="Y29" t="s">
        <v>274</v>
      </c>
      <c r="Z29" t="s">
        <v>274</v>
      </c>
      <c r="AA29" t="s">
        <v>274</v>
      </c>
      <c r="AB29" t="s">
        <v>274</v>
      </c>
      <c r="AC29" t="s">
        <v>274</v>
      </c>
      <c r="AD29" t="e">
        <f t="shared" si="1"/>
        <v>#VALUE!</v>
      </c>
      <c r="AE29">
        <f t="shared" si="2"/>
        <v>0</v>
      </c>
      <c r="AF29" t="e">
        <f t="shared" si="3"/>
        <v>#VALUE!</v>
      </c>
      <c r="AG29" t="e">
        <f t="shared" si="4"/>
        <v>#VALUE!</v>
      </c>
      <c r="AH29" t="e">
        <f t="shared" si="5"/>
        <v>#VALUE!</v>
      </c>
    </row>
    <row r="30" ht="14.25" customHeight="1">
      <c r="A30" t="str">
        <f>IF(Moteur!D30="","",Moteur!D30)</f>
        <v>MBWAY_LYO</v>
      </c>
      <c r="B30" t="str">
        <f>IF(Moteur!B30="","",Moteur!B30)</f>
        <v>V02</v>
      </c>
      <c r="C30" t="str">
        <f>IF(Moteur!F30="","",Moteur!F30)</f>
        <v>MAS_MGT</v>
      </c>
      <c r="D30" t="str">
        <f>IF(Moteur!G30="","",Moteur!G30)</f>
        <v>M2</v>
      </c>
      <c r="E30" t="str">
        <f>IF(Moteur!H30="","",Moteur!H30)</f>
        <v>ALT</v>
      </c>
      <c r="F30" t="str">
        <f>IF(Moteur!E30="","",Moteur!E30)</f>
        <v>MBWAY</v>
      </c>
      <c r="G30">
        <f>IF($A30="","",_xlfn.SUMIFS(Socle!$H$1:$H$448,Socle!$C$1:$C$448,$A30,Socle!$D$1:$D$448,$C30,Socle!$E$1:$E$448,$D30,Socle!$F$1:$F$448,$E30,Socle!$G$1:$G$448,"2026"))</f>
        <v>0</v>
      </c>
      <c r="H30">
        <f>IF($A30="","",_xlfn.SUMIFS(Socle!$N$1:$N$448,Socle!$C$1:$C$448,$A30,Socle!$D$1:$D$448,$C30,Socle!$E$1:$E$448,$D30,Socle!$F$1:$F$448,$E30,Socle!$G$1:$G$448,"2026"))</f>
        <v>132</v>
      </c>
      <c r="I30">
        <f>IF($A30="","",_xlfn.SUMIFS(Socle!$P$1:$P$448,Socle!$C$1:$C$448,$A30,Socle!$D$1:$D$448,$C30,Socle!$E$1:$E$448,$D30,Socle!$F$1:$F$448,$E30,Socle!$G$1:$G$448,"2026"))</f>
        <v>15750</v>
      </c>
      <c r="J30">
        <f>IF($A30="","",_xlfn.SUMIFS(Socle!$W$1:$W$448,Socle!$C$1:$C$448,$A30,Socle!$D$1:$D$448,$C30,Socle!$E$1:$E$448,$D30,Socle!$F$1:$F$448,$E30,Socle!$G$1:$G$448,"2026"))</f>
        <v>0</v>
      </c>
      <c r="K30">
        <f>IF($A30="","",_xlfn.SUMIFS(Socle!$X$1:$X$448,Socle!$C$1:$C$448,$A30,Socle!$D$1:$D$448,$C30,Socle!$E$1:$E$448,$D30,Socle!$F$1:$F$448,$E30,Socle!$G$1:$G$448,"2026"))</f>
        <v>0</v>
      </c>
      <c r="L30">
        <f>IF($A30="","",_xlfn.SUMIFS(Socle!$Y$1:$Y$448,Socle!$C$1:$C$448,$A30,Socle!$D$1:$D$448,$C30,Socle!$E$1:$E$448,$D30,Socle!$F$1:$F$448,$E30,Socle!$G$1:$G$448,"2026"))</f>
        <v>0</v>
      </c>
      <c r="M30">
        <f>IF($A30="","",_xlfn.SUMIFS(Socle!$V$1:$V$448,Socle!$C$1:$C$448,$A30,Socle!$D$1:$D$448,$C30,Socle!$E$1:$E$448,$D30,Socle!$F$1:$F$448,$E30,Socle!$G$1:$G$448,"2026"))</f>
        <v>1.96969697</v>
      </c>
      <c r="N30">
        <f t="shared" si="0"/>
        <v>0</v>
      </c>
      <c r="O30">
        <f>IF($A30="","",_xlfn.SUMIFS(Campagne!$D$1:$D$128,Campagne!$C$1:$C$128,$A30))</f>
        <v>716</v>
      </c>
      <c r="P30">
        <f>IF($A30="","",_xlfn.SUMIFS(Campagne!$E$1:$E$128,Campagne!$C$1:$C$128,$A30))</f>
        <v>950</v>
      </c>
      <c r="Q30">
        <f>IF($A30="","",_xlfn.SUMIFS(Campagne!$F$1:$F$128,Campagne!$C$1:$C$128,$A30))</f>
        <v>1666</v>
      </c>
      <c r="R30">
        <f>IF($A30="","",_xlfn.SUMIFS(Campagne!$K$1:$K$128,Campagne!$C$1:$C$128,$A30))</f>
        <v>0.503912473</v>
      </c>
      <c r="S30">
        <f>IF($A30="","",_xlfn.SUMIFS(Campagne!$M$1:$M$128,Campagne!$C$1:$C$128,$A30))</f>
        <v>0.326593775</v>
      </c>
      <c r="T30">
        <f>IF($A30="","",_xlfn.SUMIFS(PIL!$K$15:$K$28,PIL!$A$15:$A$28,$A30)*_xlfn.SUMIFS(PIL!$J$15:$J$28,PIL!$A$15:$A$28,$A30)*(SUM(PIL!$K$15:$K$28)/SUMPRODUCT(PIL!$K$15:$K$28,PIL!$J$15:$J$28)))</f>
        <v>41783</v>
      </c>
      <c r="U30">
        <f>IF($A30="","",_xlfn.SUMIFS(PIL!$K$15:$K$28,PIL!$A$15:$A$28,$A30))</f>
        <v>41783</v>
      </c>
      <c r="V30" t="s">
        <v>274</v>
      </c>
      <c r="W30" t="s">
        <v>274</v>
      </c>
      <c r="X30" t="s">
        <v>274</v>
      </c>
      <c r="Y30" t="s">
        <v>274</v>
      </c>
      <c r="Z30" t="s">
        <v>274</v>
      </c>
      <c r="AA30" t="s">
        <v>274</v>
      </c>
      <c r="AB30" t="s">
        <v>274</v>
      </c>
      <c r="AC30" t="s">
        <v>274</v>
      </c>
      <c r="AD30" t="e">
        <f t="shared" si="1"/>
        <v>#VALUE!</v>
      </c>
      <c r="AE30">
        <f t="shared" si="2"/>
        <v>0</v>
      </c>
      <c r="AF30" t="e">
        <f t="shared" si="3"/>
        <v>#VALUE!</v>
      </c>
      <c r="AG30" t="e">
        <f t="shared" si="4"/>
        <v>#VALUE!</v>
      </c>
      <c r="AH30" t="e">
        <f t="shared" si="5"/>
        <v>#VALUE!</v>
      </c>
    </row>
    <row r="31" ht="14.25" customHeight="1">
      <c r="A31" t="str">
        <f>IF(Moteur!D31="","",Moteur!D31)</f>
        <v>MBWAY_LYO</v>
      </c>
      <c r="B31" t="str">
        <f>IF(Moteur!B31="","",Moteur!B31)</f>
        <v>V03</v>
      </c>
      <c r="C31" t="str">
        <f>IF(Moteur!F31="","",Moteur!F31)</f>
        <v>MAS_MGT</v>
      </c>
      <c r="D31" t="str">
        <f>IF(Moteur!G31="","",Moteur!G31)</f>
        <v>M2</v>
      </c>
      <c r="E31" t="str">
        <f>IF(Moteur!H31="","",Moteur!H31)</f>
        <v>ALT</v>
      </c>
      <c r="F31" t="str">
        <f>IF(Moteur!E31="","",Moteur!E31)</f>
        <v>MBWAY</v>
      </c>
      <c r="G31">
        <f>IF($A31="","",_xlfn.SUMIFS(Socle!$H$1:$H$448,Socle!$C$1:$C$448,$A31,Socle!$D$1:$D$448,$C31,Socle!$E$1:$E$448,$D31,Socle!$F$1:$F$448,$E31,Socle!$G$1:$G$448,"2026"))</f>
        <v>0</v>
      </c>
      <c r="H31">
        <f>IF($A31="","",_xlfn.SUMIFS(Socle!$N$1:$N$448,Socle!$C$1:$C$448,$A31,Socle!$D$1:$D$448,$C31,Socle!$E$1:$E$448,$D31,Socle!$F$1:$F$448,$E31,Socle!$G$1:$G$448,"2026"))</f>
        <v>132</v>
      </c>
      <c r="I31">
        <f>IF($A31="","",_xlfn.SUMIFS(Socle!$P$1:$P$448,Socle!$C$1:$C$448,$A31,Socle!$D$1:$D$448,$C31,Socle!$E$1:$E$448,$D31,Socle!$F$1:$F$448,$E31,Socle!$G$1:$G$448,"2026"))</f>
        <v>15750</v>
      </c>
      <c r="J31">
        <f>IF($A31="","",_xlfn.SUMIFS(Socle!$W$1:$W$448,Socle!$C$1:$C$448,$A31,Socle!$D$1:$D$448,$C31,Socle!$E$1:$E$448,$D31,Socle!$F$1:$F$448,$E31,Socle!$G$1:$G$448,"2026"))</f>
        <v>0</v>
      </c>
      <c r="K31">
        <f>IF($A31="","",_xlfn.SUMIFS(Socle!$X$1:$X$448,Socle!$C$1:$C$448,$A31,Socle!$D$1:$D$448,$C31,Socle!$E$1:$E$448,$D31,Socle!$F$1:$F$448,$E31,Socle!$G$1:$G$448,"2026"))</f>
        <v>0</v>
      </c>
      <c r="L31">
        <f>IF($A31="","",_xlfn.SUMIFS(Socle!$Y$1:$Y$448,Socle!$C$1:$C$448,$A31,Socle!$D$1:$D$448,$C31,Socle!$E$1:$E$448,$D31,Socle!$F$1:$F$448,$E31,Socle!$G$1:$G$448,"2026"))</f>
        <v>0</v>
      </c>
      <c r="M31">
        <f>IF($A31="","",_xlfn.SUMIFS(Socle!$V$1:$V$448,Socle!$C$1:$C$448,$A31,Socle!$D$1:$D$448,$C31,Socle!$E$1:$E$448,$D31,Socle!$F$1:$F$448,$E31,Socle!$G$1:$G$448,"2026"))</f>
        <v>1.96969697</v>
      </c>
      <c r="N31">
        <f t="shared" si="0"/>
        <v>0</v>
      </c>
      <c r="O31">
        <f>IF($A31="","",_xlfn.SUMIFS(Campagne!$D$1:$D$128,Campagne!$C$1:$C$128,$A31))</f>
        <v>716</v>
      </c>
      <c r="P31">
        <f>IF($A31="","",_xlfn.SUMIFS(Campagne!$E$1:$E$128,Campagne!$C$1:$C$128,$A31))</f>
        <v>950</v>
      </c>
      <c r="Q31">
        <f>IF($A31="","",_xlfn.SUMIFS(Campagne!$F$1:$F$128,Campagne!$C$1:$C$128,$A31))</f>
        <v>1666</v>
      </c>
      <c r="R31">
        <f>IF($A31="","",_xlfn.SUMIFS(Campagne!$K$1:$K$128,Campagne!$C$1:$C$128,$A31))</f>
        <v>0.503912473</v>
      </c>
      <c r="S31">
        <f>IF($A31="","",_xlfn.SUMIFS(Campagne!$M$1:$M$128,Campagne!$C$1:$C$128,$A31))</f>
        <v>0.326593775</v>
      </c>
      <c r="T31">
        <f>IF($A31="","",_xlfn.SUMIFS(PIL!$K$15:$K$28,PIL!$A$15:$A$28,$A31)*_xlfn.SUMIFS(PIL!$J$15:$J$28,PIL!$A$15:$A$28,$A31)*(SUM(PIL!$K$15:$K$28)/SUMPRODUCT(PIL!$K$15:$K$28,PIL!$J$15:$J$28)))</f>
        <v>41783</v>
      </c>
      <c r="U31">
        <f>IF($A31="","",_xlfn.SUMIFS(PIL!$K$15:$K$28,PIL!$A$15:$A$28,$A31))</f>
        <v>41783</v>
      </c>
      <c r="V31" t="s">
        <v>274</v>
      </c>
      <c r="W31" t="s">
        <v>274</v>
      </c>
      <c r="X31" t="s">
        <v>274</v>
      </c>
      <c r="Y31" t="s">
        <v>274</v>
      </c>
      <c r="Z31" t="s">
        <v>274</v>
      </c>
      <c r="AA31" t="s">
        <v>274</v>
      </c>
      <c r="AB31" t="s">
        <v>274</v>
      </c>
      <c r="AC31" t="s">
        <v>274</v>
      </c>
      <c r="AD31" t="e">
        <f t="shared" si="1"/>
        <v>#VALUE!</v>
      </c>
      <c r="AE31">
        <f t="shared" si="2"/>
        <v>0</v>
      </c>
      <c r="AF31" t="e">
        <f t="shared" si="3"/>
        <v>#VALUE!</v>
      </c>
      <c r="AG31" t="e">
        <f t="shared" si="4"/>
        <v>#VALUE!</v>
      </c>
      <c r="AH31" t="e">
        <f t="shared" si="5"/>
        <v>#VALUE!</v>
      </c>
    </row>
    <row r="32" ht="14.25" customHeight="1">
      <c r="A32" t="str">
        <f>IF(Moteur!D32="","",Moteur!D32)</f>
        <v>MBWAY_NAN</v>
      </c>
      <c r="B32" t="str">
        <f>IF(Moteur!B32="","",Moteur!B32)</f>
        <v>V01</v>
      </c>
      <c r="C32" t="str">
        <f>IF(Moteur!F32="","",Moteur!F32)</f>
        <v>BAC_MGT</v>
      </c>
      <c r="D32" t="str">
        <f>IF(Moteur!G32="","",Moteur!G32)</f>
        <v>B1</v>
      </c>
      <c r="E32" t="str">
        <f>IF(Moteur!H32="","",Moteur!H32)</f>
        <v>INIT</v>
      </c>
      <c r="F32" t="str">
        <f>IF(Moteur!E32="","",Moteur!E32)</f>
        <v>MBWAY</v>
      </c>
      <c r="G32">
        <f>IF($A32="","",_xlfn.SUMIFS(Socle!$H$1:$H$448,Socle!$C$1:$C$448,$A32,Socle!$D$1:$D$448,$C32,Socle!$E$1:$E$448,$D32,Socle!$F$1:$F$448,$E32,Socle!$G$1:$G$448,"2026"))</f>
        <v>992</v>
      </c>
      <c r="H32">
        <f>IF($A32="","",_xlfn.SUMIFS(Socle!$N$1:$N$448,Socle!$C$1:$C$448,$A32,Socle!$D$1:$D$448,$C32,Socle!$E$1:$E$448,$D32,Socle!$F$1:$F$448,$E32,Socle!$G$1:$G$448,"2026"))</f>
        <v>0</v>
      </c>
      <c r="I32">
        <f>IF($A32="","",_xlfn.SUMIFS(Socle!$P$1:$P$448,Socle!$C$1:$C$448,$A32,Socle!$D$1:$D$448,$C32,Socle!$E$1:$E$448,$D32,Socle!$F$1:$F$448,$E32,Socle!$G$1:$G$448,"2026"))</f>
        <v>15000</v>
      </c>
      <c r="J32">
        <f>IF($A32="","",_xlfn.SUMIFS(Socle!$W$1:$W$448,Socle!$C$1:$C$448,$A32,Socle!$D$1:$D$448,$C32,Socle!$E$1:$E$448,$D32,Socle!$F$1:$F$448,$E32,Socle!$G$1:$G$448,"2026"))</f>
        <v>0.56048387</v>
      </c>
      <c r="K32">
        <f>IF($A32="","",_xlfn.SUMIFS(Socle!$X$1:$X$448,Socle!$C$1:$C$448,$A32,Socle!$D$1:$D$448,$C32,Socle!$E$1:$E$448,$D32,Socle!$F$1:$F$448,$E32,Socle!$G$1:$G$448,"2026"))</f>
        <v>1.43884892</v>
      </c>
      <c r="L32">
        <f>IF($A32="","",_xlfn.SUMIFS(Socle!$Y$1:$Y$448,Socle!$C$1:$C$448,$A32,Socle!$D$1:$D$448,$C32,Socle!$E$1:$E$448,$D32,Socle!$F$1:$F$448,$E32,Socle!$G$1:$G$448,"2026"))</f>
        <v>1.2</v>
      </c>
      <c r="M32">
        <f>IF($A32="","",_xlfn.SUMIFS(Socle!$V$1:$V$448,Socle!$C$1:$C$448,$A32,Socle!$D$1:$D$448,$C32,Socle!$E$1:$E$448,$D32,Socle!$F$1:$F$448,$E32,Socle!$G$1:$G$448,"2026"))</f>
        <v>0</v>
      </c>
      <c r="N32">
        <f t="shared" si="0"/>
        <v>1</v>
      </c>
      <c r="O32">
        <f>IF($A32="","",_xlfn.SUMIFS(Campagne!$D$1:$D$128,Campagne!$C$1:$C$128,$A32))</f>
        <v>728</v>
      </c>
      <c r="P32">
        <f>IF($A32="","",_xlfn.SUMIFS(Campagne!$E$1:$E$128,Campagne!$C$1:$C$128,$A32))</f>
        <v>788</v>
      </c>
      <c r="Q32">
        <f>IF($A32="","",_xlfn.SUMIFS(Campagne!$F$1:$F$128,Campagne!$C$1:$C$128,$A32))</f>
        <v>1516</v>
      </c>
      <c r="R32">
        <f>IF($A32="","",_xlfn.SUMIFS(Campagne!$K$1:$K$128,Campagne!$C$1:$C$128,$A32))</f>
        <v>0.524655469</v>
      </c>
      <c r="S32">
        <f>IF($A32="","",_xlfn.SUMIFS(Campagne!$M$1:$M$128,Campagne!$C$1:$C$128,$A32))</f>
        <v>0.343450553</v>
      </c>
      <c r="T32">
        <f>IF($A32="","",_xlfn.SUMIFS(PIL!$K$15:$K$28,PIL!$A$15:$A$28,$A32)*_xlfn.SUMIFS(PIL!$J$15:$J$28,PIL!$A$15:$A$28,$A32)*(SUM(PIL!$K$15:$K$28)/SUMPRODUCT(PIL!$K$15:$K$28,PIL!$J$15:$J$28)))</f>
        <v>31533</v>
      </c>
      <c r="U32">
        <f>IF($A32="","",_xlfn.SUMIFS(PIL!$K$15:$K$28,PIL!$A$15:$A$28,$A32))</f>
        <v>31533</v>
      </c>
      <c r="V32" t="s">
        <v>274</v>
      </c>
      <c r="W32" t="s">
        <v>274</v>
      </c>
      <c r="X32" t="s">
        <v>274</v>
      </c>
      <c r="Y32" t="s">
        <v>274</v>
      </c>
      <c r="Z32" t="s">
        <v>274</v>
      </c>
      <c r="AA32" t="s">
        <v>274</v>
      </c>
      <c r="AB32" t="s">
        <v>274</v>
      </c>
      <c r="AC32" t="s">
        <v>274</v>
      </c>
      <c r="AD32" t="e">
        <f t="shared" si="1"/>
        <v>#VALUE!</v>
      </c>
      <c r="AE32" t="e">
        <f t="shared" si="2"/>
        <v>#VALUE!</v>
      </c>
      <c r="AF32" t="e">
        <f t="shared" si="3"/>
        <v>#VALUE!</v>
      </c>
      <c r="AG32" t="e">
        <f t="shared" si="4"/>
        <v>#VALUE!</v>
      </c>
      <c r="AH32" t="e">
        <f t="shared" si="5"/>
        <v>#VALUE!</v>
      </c>
    </row>
    <row r="33" ht="14.25" customHeight="1">
      <c r="A33" t="str">
        <f>IF(Moteur!D33="","",Moteur!D33)</f>
        <v>MBWAY_NAN</v>
      </c>
      <c r="B33" t="str">
        <f>IF(Moteur!B33="","",Moteur!B33)</f>
        <v>V02</v>
      </c>
      <c r="C33" t="str">
        <f>IF(Moteur!F33="","",Moteur!F33)</f>
        <v>BAC_MGT</v>
      </c>
      <c r="D33" t="str">
        <f>IF(Moteur!G33="","",Moteur!G33)</f>
        <v>B1</v>
      </c>
      <c r="E33" t="str">
        <f>IF(Moteur!H33="","",Moteur!H33)</f>
        <v>INIT</v>
      </c>
      <c r="F33" t="str">
        <f>IF(Moteur!E33="","",Moteur!E33)</f>
        <v>MBWAY</v>
      </c>
      <c r="G33">
        <f>IF($A33="","",_xlfn.SUMIFS(Socle!$H$1:$H$448,Socle!$C$1:$C$448,$A33,Socle!$D$1:$D$448,$C33,Socle!$E$1:$E$448,$D33,Socle!$F$1:$F$448,$E33,Socle!$G$1:$G$448,"2026"))</f>
        <v>992</v>
      </c>
      <c r="H33">
        <f>IF($A33="","",_xlfn.SUMIFS(Socle!$N$1:$N$448,Socle!$C$1:$C$448,$A33,Socle!$D$1:$D$448,$C33,Socle!$E$1:$E$448,$D33,Socle!$F$1:$F$448,$E33,Socle!$G$1:$G$448,"2026"))</f>
        <v>0</v>
      </c>
      <c r="I33">
        <f>IF($A33="","",_xlfn.SUMIFS(Socle!$P$1:$P$448,Socle!$C$1:$C$448,$A33,Socle!$D$1:$D$448,$C33,Socle!$E$1:$E$448,$D33,Socle!$F$1:$F$448,$E33,Socle!$G$1:$G$448,"2026"))</f>
        <v>15000</v>
      </c>
      <c r="J33">
        <f>IF($A33="","",_xlfn.SUMIFS(Socle!$W$1:$W$448,Socle!$C$1:$C$448,$A33,Socle!$D$1:$D$448,$C33,Socle!$E$1:$E$448,$D33,Socle!$F$1:$F$448,$E33,Socle!$G$1:$G$448,"2026"))</f>
        <v>0.56048387</v>
      </c>
      <c r="K33">
        <f>IF($A33="","",_xlfn.SUMIFS(Socle!$X$1:$X$448,Socle!$C$1:$C$448,$A33,Socle!$D$1:$D$448,$C33,Socle!$E$1:$E$448,$D33,Socle!$F$1:$F$448,$E33,Socle!$G$1:$G$448,"2026"))</f>
        <v>1.43884892</v>
      </c>
      <c r="L33">
        <f>IF($A33="","",_xlfn.SUMIFS(Socle!$Y$1:$Y$448,Socle!$C$1:$C$448,$A33,Socle!$D$1:$D$448,$C33,Socle!$E$1:$E$448,$D33,Socle!$F$1:$F$448,$E33,Socle!$G$1:$G$448,"2026"))</f>
        <v>1.2</v>
      </c>
      <c r="M33">
        <f>IF($A33="","",_xlfn.SUMIFS(Socle!$V$1:$V$448,Socle!$C$1:$C$448,$A33,Socle!$D$1:$D$448,$C33,Socle!$E$1:$E$448,$D33,Socle!$F$1:$F$448,$E33,Socle!$G$1:$G$448,"2026"))</f>
        <v>0</v>
      </c>
      <c r="N33">
        <f t="shared" si="0"/>
        <v>1</v>
      </c>
      <c r="O33">
        <f>IF($A33="","",_xlfn.SUMIFS(Campagne!$D$1:$D$128,Campagne!$C$1:$C$128,$A33))</f>
        <v>728</v>
      </c>
      <c r="P33">
        <f>IF($A33="","",_xlfn.SUMIFS(Campagne!$E$1:$E$128,Campagne!$C$1:$C$128,$A33))</f>
        <v>788</v>
      </c>
      <c r="Q33">
        <f>IF($A33="","",_xlfn.SUMIFS(Campagne!$F$1:$F$128,Campagne!$C$1:$C$128,$A33))</f>
        <v>1516</v>
      </c>
      <c r="R33">
        <f>IF($A33="","",_xlfn.SUMIFS(Campagne!$K$1:$K$128,Campagne!$C$1:$C$128,$A33))</f>
        <v>0.524655469</v>
      </c>
      <c r="S33">
        <f>IF($A33="","",_xlfn.SUMIFS(Campagne!$M$1:$M$128,Campagne!$C$1:$C$128,$A33))</f>
        <v>0.343450553</v>
      </c>
      <c r="T33">
        <f>IF($A33="","",_xlfn.SUMIFS(PIL!$K$15:$K$28,PIL!$A$15:$A$28,$A33)*_xlfn.SUMIFS(PIL!$J$15:$J$28,PIL!$A$15:$A$28,$A33)*(SUM(PIL!$K$15:$K$28)/SUMPRODUCT(PIL!$K$15:$K$28,PIL!$J$15:$J$28)))</f>
        <v>31533</v>
      </c>
      <c r="U33">
        <f>IF($A33="","",_xlfn.SUMIFS(PIL!$K$15:$K$28,PIL!$A$15:$A$28,$A33))</f>
        <v>31533</v>
      </c>
      <c r="V33" t="s">
        <v>274</v>
      </c>
      <c r="W33" t="s">
        <v>274</v>
      </c>
      <c r="X33" t="s">
        <v>274</v>
      </c>
      <c r="Y33" t="s">
        <v>274</v>
      </c>
      <c r="Z33" t="s">
        <v>274</v>
      </c>
      <c r="AA33" t="s">
        <v>274</v>
      </c>
      <c r="AB33" t="s">
        <v>274</v>
      </c>
      <c r="AC33" t="s">
        <v>274</v>
      </c>
      <c r="AD33" t="e">
        <f t="shared" si="1"/>
        <v>#VALUE!</v>
      </c>
      <c r="AE33" t="e">
        <f t="shared" si="2"/>
        <v>#VALUE!</v>
      </c>
      <c r="AF33" t="e">
        <f t="shared" si="3"/>
        <v>#VALUE!</v>
      </c>
      <c r="AG33" t="e">
        <f t="shared" si="4"/>
        <v>#VALUE!</v>
      </c>
      <c r="AH33" t="e">
        <f t="shared" si="5"/>
        <v>#VALUE!</v>
      </c>
    </row>
    <row r="34" ht="14.25" customHeight="1">
      <c r="A34" t="str">
        <f>IF(Moteur!D34="","",Moteur!D34)</f>
        <v>MBWAY_NAN</v>
      </c>
      <c r="B34" t="str">
        <f>IF(Moteur!B34="","",Moteur!B34)</f>
        <v>V03</v>
      </c>
      <c r="C34" t="str">
        <f>IF(Moteur!F34="","",Moteur!F34)</f>
        <v>BAC_MGT</v>
      </c>
      <c r="D34" t="str">
        <f>IF(Moteur!G34="","",Moteur!G34)</f>
        <v>B1</v>
      </c>
      <c r="E34" t="str">
        <f>IF(Moteur!H34="","",Moteur!H34)</f>
        <v>INIT</v>
      </c>
      <c r="F34" t="str">
        <f>IF(Moteur!E34="","",Moteur!E34)</f>
        <v>MBWAY</v>
      </c>
      <c r="G34">
        <f>IF($A34="","",_xlfn.SUMIFS(Socle!$H$1:$H$448,Socle!$C$1:$C$448,$A34,Socle!$D$1:$D$448,$C34,Socle!$E$1:$E$448,$D34,Socle!$F$1:$F$448,$E34,Socle!$G$1:$G$448,"2026"))</f>
        <v>992</v>
      </c>
      <c r="H34">
        <f>IF($A34="","",_xlfn.SUMIFS(Socle!$N$1:$N$448,Socle!$C$1:$C$448,$A34,Socle!$D$1:$D$448,$C34,Socle!$E$1:$E$448,$D34,Socle!$F$1:$F$448,$E34,Socle!$G$1:$G$448,"2026"))</f>
        <v>0</v>
      </c>
      <c r="I34">
        <f>IF($A34="","",_xlfn.SUMIFS(Socle!$P$1:$P$448,Socle!$C$1:$C$448,$A34,Socle!$D$1:$D$448,$C34,Socle!$E$1:$E$448,$D34,Socle!$F$1:$F$448,$E34,Socle!$G$1:$G$448,"2026"))</f>
        <v>15000</v>
      </c>
      <c r="J34">
        <f>IF($A34="","",_xlfn.SUMIFS(Socle!$W$1:$W$448,Socle!$C$1:$C$448,$A34,Socle!$D$1:$D$448,$C34,Socle!$E$1:$E$448,$D34,Socle!$F$1:$F$448,$E34,Socle!$G$1:$G$448,"2026"))</f>
        <v>0.56048387</v>
      </c>
      <c r="K34">
        <f>IF($A34="","",_xlfn.SUMIFS(Socle!$X$1:$X$448,Socle!$C$1:$C$448,$A34,Socle!$D$1:$D$448,$C34,Socle!$E$1:$E$448,$D34,Socle!$F$1:$F$448,$E34,Socle!$G$1:$G$448,"2026"))</f>
        <v>1.43884892</v>
      </c>
      <c r="L34">
        <f>IF($A34="","",_xlfn.SUMIFS(Socle!$Y$1:$Y$448,Socle!$C$1:$C$448,$A34,Socle!$D$1:$D$448,$C34,Socle!$E$1:$E$448,$D34,Socle!$F$1:$F$448,$E34,Socle!$G$1:$G$448,"2026"))</f>
        <v>1.2</v>
      </c>
      <c r="M34">
        <f>IF($A34="","",_xlfn.SUMIFS(Socle!$V$1:$V$448,Socle!$C$1:$C$448,$A34,Socle!$D$1:$D$448,$C34,Socle!$E$1:$E$448,$D34,Socle!$F$1:$F$448,$E34,Socle!$G$1:$G$448,"2026"))</f>
        <v>0</v>
      </c>
      <c r="N34">
        <f t="shared" si="0"/>
        <v>1</v>
      </c>
      <c r="O34">
        <f>IF($A34="","",_xlfn.SUMIFS(Campagne!$D$1:$D$128,Campagne!$C$1:$C$128,$A34))</f>
        <v>728</v>
      </c>
      <c r="P34">
        <f>IF($A34="","",_xlfn.SUMIFS(Campagne!$E$1:$E$128,Campagne!$C$1:$C$128,$A34))</f>
        <v>788</v>
      </c>
      <c r="Q34">
        <f>IF($A34="","",_xlfn.SUMIFS(Campagne!$F$1:$F$128,Campagne!$C$1:$C$128,$A34))</f>
        <v>1516</v>
      </c>
      <c r="R34">
        <f>IF($A34="","",_xlfn.SUMIFS(Campagne!$K$1:$K$128,Campagne!$C$1:$C$128,$A34))</f>
        <v>0.524655469</v>
      </c>
      <c r="S34">
        <f>IF($A34="","",_xlfn.SUMIFS(Campagne!$M$1:$M$128,Campagne!$C$1:$C$128,$A34))</f>
        <v>0.343450553</v>
      </c>
      <c r="T34">
        <f>IF($A34="","",_xlfn.SUMIFS(PIL!$K$15:$K$28,PIL!$A$15:$A$28,$A34)*_xlfn.SUMIFS(PIL!$J$15:$J$28,PIL!$A$15:$A$28,$A34)*(SUM(PIL!$K$15:$K$28)/SUMPRODUCT(PIL!$K$15:$K$28,PIL!$J$15:$J$28)))</f>
        <v>31533</v>
      </c>
      <c r="U34">
        <f>IF($A34="","",_xlfn.SUMIFS(PIL!$K$15:$K$28,PIL!$A$15:$A$28,$A34))</f>
        <v>31533</v>
      </c>
      <c r="V34" t="s">
        <v>274</v>
      </c>
      <c r="W34" t="s">
        <v>274</v>
      </c>
      <c r="X34" t="s">
        <v>274</v>
      </c>
      <c r="Y34" t="s">
        <v>274</v>
      </c>
      <c r="Z34" t="s">
        <v>274</v>
      </c>
      <c r="AA34" t="s">
        <v>274</v>
      </c>
      <c r="AB34" t="s">
        <v>274</v>
      </c>
      <c r="AC34" t="s">
        <v>274</v>
      </c>
      <c r="AD34" t="e">
        <f t="shared" si="1"/>
        <v>#VALUE!</v>
      </c>
      <c r="AE34" t="e">
        <f t="shared" si="2"/>
        <v>#VALUE!</v>
      </c>
      <c r="AF34" t="e">
        <f t="shared" si="3"/>
        <v>#VALUE!</v>
      </c>
      <c r="AG34" t="e">
        <f t="shared" si="4"/>
        <v>#VALUE!</v>
      </c>
      <c r="AH34" t="e">
        <f t="shared" si="5"/>
        <v>#VALUE!</v>
      </c>
    </row>
    <row r="35" ht="14.25" customHeight="1">
      <c r="A35" t="str">
        <f>IF(Moteur!D35="","",Moteur!D35)</f>
        <v>MBWAY_NAN</v>
      </c>
      <c r="B35" t="str">
        <f>IF(Moteur!B35="","",Moteur!B35)</f>
        <v>V01</v>
      </c>
      <c r="C35" t="str">
        <f>IF(Moteur!F35="","",Moteur!F35)</f>
        <v>BAC_MGT</v>
      </c>
      <c r="D35" t="str">
        <f>IF(Moteur!G35="","",Moteur!G35)</f>
        <v>B2</v>
      </c>
      <c r="E35" t="str">
        <f>IF(Moteur!H35="","",Moteur!H35)</f>
        <v>ALT</v>
      </c>
      <c r="F35" t="str">
        <f>IF(Moteur!E35="","",Moteur!E35)</f>
        <v>MBWAY</v>
      </c>
      <c r="G35">
        <f>IF($A35="","",_xlfn.SUMIFS(Socle!$H$1:$H$448,Socle!$C$1:$C$448,$A35,Socle!$D$1:$D$448,$C35,Socle!$E$1:$E$448,$D35,Socle!$F$1:$F$448,$E35,Socle!$G$1:$G$448,"2026"))</f>
        <v>0</v>
      </c>
      <c r="H35">
        <f>IF($A35="","",_xlfn.SUMIFS(Socle!$N$1:$N$448,Socle!$C$1:$C$448,$A35,Socle!$D$1:$D$448,$C35,Socle!$E$1:$E$448,$D35,Socle!$F$1:$F$448,$E35,Socle!$G$1:$G$448,"2026"))</f>
        <v>120</v>
      </c>
      <c r="I35">
        <f>IF($A35="","",_xlfn.SUMIFS(Socle!$P$1:$P$448,Socle!$C$1:$C$448,$A35,Socle!$D$1:$D$448,$C35,Socle!$E$1:$E$448,$D35,Socle!$F$1:$F$448,$E35,Socle!$G$1:$G$448,"2026"))</f>
        <v>14000</v>
      </c>
      <c r="J35">
        <f>IF($A35="","",_xlfn.SUMIFS(Socle!$W$1:$W$448,Socle!$C$1:$C$448,$A35,Socle!$D$1:$D$448,$C35,Socle!$E$1:$E$448,$D35,Socle!$F$1:$F$448,$E35,Socle!$G$1:$G$448,"2026"))</f>
        <v>0</v>
      </c>
      <c r="K35">
        <f>IF($A35="","",_xlfn.SUMIFS(Socle!$X$1:$X$448,Socle!$C$1:$C$448,$A35,Socle!$D$1:$D$448,$C35,Socle!$E$1:$E$448,$D35,Socle!$F$1:$F$448,$E35,Socle!$G$1:$G$448,"2026"))</f>
        <v>0</v>
      </c>
      <c r="L35">
        <f>IF($A35="","",_xlfn.SUMIFS(Socle!$Y$1:$Y$448,Socle!$C$1:$C$448,$A35,Socle!$D$1:$D$448,$C35,Socle!$E$1:$E$448,$D35,Socle!$F$1:$F$448,$E35,Socle!$G$1:$G$448,"2026"))</f>
        <v>0</v>
      </c>
      <c r="M35">
        <f>IF($A35="","",_xlfn.SUMIFS(Socle!$V$1:$V$448,Socle!$C$1:$C$448,$A35,Socle!$D$1:$D$448,$C35,Socle!$E$1:$E$448,$D35,Socle!$F$1:$F$448,$E35,Socle!$G$1:$G$448,"2026"))</f>
        <v>1.933333334</v>
      </c>
      <c r="N35">
        <f t="shared" si="0"/>
        <v>0</v>
      </c>
      <c r="O35">
        <f>IF($A35="","",_xlfn.SUMIFS(Campagne!$D$1:$D$128,Campagne!$C$1:$C$128,$A35))</f>
        <v>728</v>
      </c>
      <c r="P35">
        <f>IF($A35="","",_xlfn.SUMIFS(Campagne!$E$1:$E$128,Campagne!$C$1:$C$128,$A35))</f>
        <v>788</v>
      </c>
      <c r="Q35">
        <f>IF($A35="","",_xlfn.SUMIFS(Campagne!$F$1:$F$128,Campagne!$C$1:$C$128,$A35))</f>
        <v>1516</v>
      </c>
      <c r="R35">
        <f>IF($A35="","",_xlfn.SUMIFS(Campagne!$K$1:$K$128,Campagne!$C$1:$C$128,$A35))</f>
        <v>0.524655469</v>
      </c>
      <c r="S35">
        <f>IF($A35="","",_xlfn.SUMIFS(Campagne!$M$1:$M$128,Campagne!$C$1:$C$128,$A35))</f>
        <v>0.343450553</v>
      </c>
      <c r="T35">
        <f>IF($A35="","",_xlfn.SUMIFS(PIL!$K$15:$K$28,PIL!$A$15:$A$28,$A35)*_xlfn.SUMIFS(PIL!$J$15:$J$28,PIL!$A$15:$A$28,$A35)*(SUM(PIL!$K$15:$K$28)/SUMPRODUCT(PIL!$K$15:$K$28,PIL!$J$15:$J$28)))</f>
        <v>31533</v>
      </c>
      <c r="U35">
        <f>IF($A35="","",_xlfn.SUMIFS(PIL!$K$15:$K$28,PIL!$A$15:$A$28,$A35))</f>
        <v>31533</v>
      </c>
      <c r="V35" t="s">
        <v>274</v>
      </c>
      <c r="W35" t="s">
        <v>274</v>
      </c>
      <c r="X35" t="s">
        <v>274</v>
      </c>
      <c r="Y35" t="s">
        <v>274</v>
      </c>
      <c r="Z35" t="s">
        <v>274</v>
      </c>
      <c r="AA35" t="s">
        <v>274</v>
      </c>
      <c r="AB35" t="s">
        <v>274</v>
      </c>
      <c r="AC35" t="s">
        <v>274</v>
      </c>
      <c r="AD35" t="e">
        <f t="shared" si="1"/>
        <v>#VALUE!</v>
      </c>
      <c r="AE35">
        <f t="shared" si="2"/>
        <v>0</v>
      </c>
      <c r="AF35" t="e">
        <f t="shared" si="3"/>
        <v>#VALUE!</v>
      </c>
      <c r="AG35" t="e">
        <f t="shared" si="4"/>
        <v>#VALUE!</v>
      </c>
      <c r="AH35" t="e">
        <f t="shared" si="5"/>
        <v>#VALUE!</v>
      </c>
    </row>
    <row r="36" ht="14.25" customHeight="1">
      <c r="A36" t="str">
        <f>IF(Moteur!D36="","",Moteur!D36)</f>
        <v>MBWAY_NAN</v>
      </c>
      <c r="B36" t="str">
        <f>IF(Moteur!B36="","",Moteur!B36)</f>
        <v>V02</v>
      </c>
      <c r="C36" t="str">
        <f>IF(Moteur!F36="","",Moteur!F36)</f>
        <v>BAC_MGT</v>
      </c>
      <c r="D36" t="str">
        <f>IF(Moteur!G36="","",Moteur!G36)</f>
        <v>B2</v>
      </c>
      <c r="E36" t="str">
        <f>IF(Moteur!H36="","",Moteur!H36)</f>
        <v>ALT</v>
      </c>
      <c r="F36" t="str">
        <f>IF(Moteur!E36="","",Moteur!E36)</f>
        <v>MBWAY</v>
      </c>
      <c r="G36">
        <f>IF($A36="","",_xlfn.SUMIFS(Socle!$H$1:$H$448,Socle!$C$1:$C$448,$A36,Socle!$D$1:$D$448,$C36,Socle!$E$1:$E$448,$D36,Socle!$F$1:$F$448,$E36,Socle!$G$1:$G$448,"2026"))</f>
        <v>0</v>
      </c>
      <c r="H36">
        <f>IF($A36="","",_xlfn.SUMIFS(Socle!$N$1:$N$448,Socle!$C$1:$C$448,$A36,Socle!$D$1:$D$448,$C36,Socle!$E$1:$E$448,$D36,Socle!$F$1:$F$448,$E36,Socle!$G$1:$G$448,"2026"))</f>
        <v>120</v>
      </c>
      <c r="I36">
        <f>IF($A36="","",_xlfn.SUMIFS(Socle!$P$1:$P$448,Socle!$C$1:$C$448,$A36,Socle!$D$1:$D$448,$C36,Socle!$E$1:$E$448,$D36,Socle!$F$1:$F$448,$E36,Socle!$G$1:$G$448,"2026"))</f>
        <v>14000</v>
      </c>
      <c r="J36">
        <f>IF($A36="","",_xlfn.SUMIFS(Socle!$W$1:$W$448,Socle!$C$1:$C$448,$A36,Socle!$D$1:$D$448,$C36,Socle!$E$1:$E$448,$D36,Socle!$F$1:$F$448,$E36,Socle!$G$1:$G$448,"2026"))</f>
        <v>0</v>
      </c>
      <c r="K36">
        <f>IF($A36="","",_xlfn.SUMIFS(Socle!$X$1:$X$448,Socle!$C$1:$C$448,$A36,Socle!$D$1:$D$448,$C36,Socle!$E$1:$E$448,$D36,Socle!$F$1:$F$448,$E36,Socle!$G$1:$G$448,"2026"))</f>
        <v>0</v>
      </c>
      <c r="L36">
        <f>IF($A36="","",_xlfn.SUMIFS(Socle!$Y$1:$Y$448,Socle!$C$1:$C$448,$A36,Socle!$D$1:$D$448,$C36,Socle!$E$1:$E$448,$D36,Socle!$F$1:$F$448,$E36,Socle!$G$1:$G$448,"2026"))</f>
        <v>0</v>
      </c>
      <c r="M36">
        <f>IF($A36="","",_xlfn.SUMIFS(Socle!$V$1:$V$448,Socle!$C$1:$C$448,$A36,Socle!$D$1:$D$448,$C36,Socle!$E$1:$E$448,$D36,Socle!$F$1:$F$448,$E36,Socle!$G$1:$G$448,"2026"))</f>
        <v>1.933333334</v>
      </c>
      <c r="N36">
        <f t="shared" si="0"/>
        <v>0</v>
      </c>
      <c r="O36">
        <f>IF($A36="","",_xlfn.SUMIFS(Campagne!$D$1:$D$128,Campagne!$C$1:$C$128,$A36))</f>
        <v>728</v>
      </c>
      <c r="P36">
        <f>IF($A36="","",_xlfn.SUMIFS(Campagne!$E$1:$E$128,Campagne!$C$1:$C$128,$A36))</f>
        <v>788</v>
      </c>
      <c r="Q36">
        <f>IF($A36="","",_xlfn.SUMIFS(Campagne!$F$1:$F$128,Campagne!$C$1:$C$128,$A36))</f>
        <v>1516</v>
      </c>
      <c r="R36">
        <f>IF($A36="","",_xlfn.SUMIFS(Campagne!$K$1:$K$128,Campagne!$C$1:$C$128,$A36))</f>
        <v>0.524655469</v>
      </c>
      <c r="S36">
        <f>IF($A36="","",_xlfn.SUMIFS(Campagne!$M$1:$M$128,Campagne!$C$1:$C$128,$A36))</f>
        <v>0.343450553</v>
      </c>
      <c r="T36">
        <f>IF($A36="","",_xlfn.SUMIFS(PIL!$K$15:$K$28,PIL!$A$15:$A$28,$A36)*_xlfn.SUMIFS(PIL!$J$15:$J$28,PIL!$A$15:$A$28,$A36)*(SUM(PIL!$K$15:$K$28)/SUMPRODUCT(PIL!$K$15:$K$28,PIL!$J$15:$J$28)))</f>
        <v>31533</v>
      </c>
      <c r="U36">
        <f>IF($A36="","",_xlfn.SUMIFS(PIL!$K$15:$K$28,PIL!$A$15:$A$28,$A36))</f>
        <v>31533</v>
      </c>
      <c r="V36" t="s">
        <v>274</v>
      </c>
      <c r="W36" t="s">
        <v>274</v>
      </c>
      <c r="X36" t="s">
        <v>274</v>
      </c>
      <c r="Y36" t="s">
        <v>274</v>
      </c>
      <c r="Z36" t="s">
        <v>274</v>
      </c>
      <c r="AA36" t="s">
        <v>274</v>
      </c>
      <c r="AB36" t="s">
        <v>274</v>
      </c>
      <c r="AC36" t="s">
        <v>274</v>
      </c>
      <c r="AD36" t="e">
        <f t="shared" si="1"/>
        <v>#VALUE!</v>
      </c>
      <c r="AE36">
        <f t="shared" si="2"/>
        <v>0</v>
      </c>
      <c r="AF36" t="e">
        <f t="shared" si="3"/>
        <v>#VALUE!</v>
      </c>
      <c r="AG36" t="e">
        <f t="shared" si="4"/>
        <v>#VALUE!</v>
      </c>
      <c r="AH36" t="e">
        <f t="shared" si="5"/>
        <v>#VALUE!</v>
      </c>
    </row>
    <row r="37" ht="14.25" customHeight="1">
      <c r="A37" t="str">
        <f>IF(Moteur!D37="","",Moteur!D37)</f>
        <v>MBWAY_NAN</v>
      </c>
      <c r="B37" t="str">
        <f>IF(Moteur!B37="","",Moteur!B37)</f>
        <v>V03</v>
      </c>
      <c r="C37" t="str">
        <f>IF(Moteur!F37="","",Moteur!F37)</f>
        <v>BAC_MGT</v>
      </c>
      <c r="D37" t="str">
        <f>IF(Moteur!G37="","",Moteur!G37)</f>
        <v>B2</v>
      </c>
      <c r="E37" t="str">
        <f>IF(Moteur!H37="","",Moteur!H37)</f>
        <v>ALT</v>
      </c>
      <c r="F37" t="str">
        <f>IF(Moteur!E37="","",Moteur!E37)</f>
        <v>MBWAY</v>
      </c>
      <c r="G37">
        <f>IF($A37="","",_xlfn.SUMIFS(Socle!$H$1:$H$448,Socle!$C$1:$C$448,$A37,Socle!$D$1:$D$448,$C37,Socle!$E$1:$E$448,$D37,Socle!$F$1:$F$448,$E37,Socle!$G$1:$G$448,"2026"))</f>
        <v>0</v>
      </c>
      <c r="H37">
        <f>IF($A37="","",_xlfn.SUMIFS(Socle!$N$1:$N$448,Socle!$C$1:$C$448,$A37,Socle!$D$1:$D$448,$C37,Socle!$E$1:$E$448,$D37,Socle!$F$1:$F$448,$E37,Socle!$G$1:$G$448,"2026"))</f>
        <v>120</v>
      </c>
      <c r="I37">
        <f>IF($A37="","",_xlfn.SUMIFS(Socle!$P$1:$P$448,Socle!$C$1:$C$448,$A37,Socle!$D$1:$D$448,$C37,Socle!$E$1:$E$448,$D37,Socle!$F$1:$F$448,$E37,Socle!$G$1:$G$448,"2026"))</f>
        <v>14000</v>
      </c>
      <c r="J37">
        <f>IF($A37="","",_xlfn.SUMIFS(Socle!$W$1:$W$448,Socle!$C$1:$C$448,$A37,Socle!$D$1:$D$448,$C37,Socle!$E$1:$E$448,$D37,Socle!$F$1:$F$448,$E37,Socle!$G$1:$G$448,"2026"))</f>
        <v>0</v>
      </c>
      <c r="K37">
        <f>IF($A37="","",_xlfn.SUMIFS(Socle!$X$1:$X$448,Socle!$C$1:$C$448,$A37,Socle!$D$1:$D$448,$C37,Socle!$E$1:$E$448,$D37,Socle!$F$1:$F$448,$E37,Socle!$G$1:$G$448,"2026"))</f>
        <v>0</v>
      </c>
      <c r="L37">
        <f>IF($A37="","",_xlfn.SUMIFS(Socle!$Y$1:$Y$448,Socle!$C$1:$C$448,$A37,Socle!$D$1:$D$448,$C37,Socle!$E$1:$E$448,$D37,Socle!$F$1:$F$448,$E37,Socle!$G$1:$G$448,"2026"))</f>
        <v>0</v>
      </c>
      <c r="M37">
        <f>IF($A37="","",_xlfn.SUMIFS(Socle!$V$1:$V$448,Socle!$C$1:$C$448,$A37,Socle!$D$1:$D$448,$C37,Socle!$E$1:$E$448,$D37,Socle!$F$1:$F$448,$E37,Socle!$G$1:$G$448,"2026"))</f>
        <v>1.933333334</v>
      </c>
      <c r="N37">
        <f t="shared" si="0"/>
        <v>0</v>
      </c>
      <c r="O37">
        <f>IF($A37="","",_xlfn.SUMIFS(Campagne!$D$1:$D$128,Campagne!$C$1:$C$128,$A37))</f>
        <v>728</v>
      </c>
      <c r="P37">
        <f>IF($A37="","",_xlfn.SUMIFS(Campagne!$E$1:$E$128,Campagne!$C$1:$C$128,$A37))</f>
        <v>788</v>
      </c>
      <c r="Q37">
        <f>IF($A37="","",_xlfn.SUMIFS(Campagne!$F$1:$F$128,Campagne!$C$1:$C$128,$A37))</f>
        <v>1516</v>
      </c>
      <c r="R37">
        <f>IF($A37="","",_xlfn.SUMIFS(Campagne!$K$1:$K$128,Campagne!$C$1:$C$128,$A37))</f>
        <v>0.524655469</v>
      </c>
      <c r="S37">
        <f>IF($A37="","",_xlfn.SUMIFS(Campagne!$M$1:$M$128,Campagne!$C$1:$C$128,$A37))</f>
        <v>0.343450553</v>
      </c>
      <c r="T37">
        <f>IF($A37="","",_xlfn.SUMIFS(PIL!$K$15:$K$28,PIL!$A$15:$A$28,$A37)*_xlfn.SUMIFS(PIL!$J$15:$J$28,PIL!$A$15:$A$28,$A37)*(SUM(PIL!$K$15:$K$28)/SUMPRODUCT(PIL!$K$15:$K$28,PIL!$J$15:$J$28)))</f>
        <v>31533</v>
      </c>
      <c r="U37">
        <f>IF($A37="","",_xlfn.SUMIFS(PIL!$K$15:$K$28,PIL!$A$15:$A$28,$A37))</f>
        <v>31533</v>
      </c>
      <c r="V37" t="s">
        <v>274</v>
      </c>
      <c r="W37" t="s">
        <v>274</v>
      </c>
      <c r="X37" t="s">
        <v>274</v>
      </c>
      <c r="Y37" t="s">
        <v>274</v>
      </c>
      <c r="Z37" t="s">
        <v>274</v>
      </c>
      <c r="AA37" t="s">
        <v>274</v>
      </c>
      <c r="AB37" t="s">
        <v>274</v>
      </c>
      <c r="AC37" t="s">
        <v>274</v>
      </c>
      <c r="AD37" t="e">
        <f t="shared" si="1"/>
        <v>#VALUE!</v>
      </c>
      <c r="AE37">
        <f t="shared" si="2"/>
        <v>0</v>
      </c>
      <c r="AF37" t="e">
        <f t="shared" si="3"/>
        <v>#VALUE!</v>
      </c>
      <c r="AG37" t="e">
        <f t="shared" si="4"/>
        <v>#VALUE!</v>
      </c>
      <c r="AH37" t="e">
        <f t="shared" si="5"/>
        <v>#VALUE!</v>
      </c>
    </row>
    <row r="38" ht="14.25" customHeight="1">
      <c r="A38" t="str">
        <f>IF(Moteur!D38="","",Moteur!D38)</f>
        <v>MBWAY_NAN</v>
      </c>
      <c r="B38" t="str">
        <f>IF(Moteur!B38="","",Moteur!B38)</f>
        <v>V01</v>
      </c>
      <c r="C38" t="str">
        <f>IF(Moteur!F38="","",Moteur!F38)</f>
        <v>BAC_MGT</v>
      </c>
      <c r="D38" t="str">
        <f>IF(Moteur!G38="","",Moteur!G38)</f>
        <v>B3</v>
      </c>
      <c r="E38" t="str">
        <f>IF(Moteur!H38="","",Moteur!H38)</f>
        <v>ALT</v>
      </c>
      <c r="F38" t="str">
        <f>IF(Moteur!E38="","",Moteur!E38)</f>
        <v>MBWAY</v>
      </c>
      <c r="G38">
        <f>IF($A38="","",_xlfn.SUMIFS(Socle!$H$1:$H$448,Socle!$C$1:$C$448,$A38,Socle!$D$1:$D$448,$C38,Socle!$E$1:$E$448,$D38,Socle!$F$1:$F$448,$E38,Socle!$G$1:$G$448,"2026"))</f>
        <v>0</v>
      </c>
      <c r="H38">
        <f>IF($A38="","",_xlfn.SUMIFS(Socle!$N$1:$N$448,Socle!$C$1:$C$448,$A38,Socle!$D$1:$D$448,$C38,Socle!$E$1:$E$448,$D38,Socle!$F$1:$F$448,$E38,Socle!$G$1:$G$448,"2026"))</f>
        <v>116</v>
      </c>
      <c r="I38">
        <f>IF($A38="","",_xlfn.SUMIFS(Socle!$P$1:$P$448,Socle!$C$1:$C$448,$A38,Socle!$D$1:$D$448,$C38,Socle!$E$1:$E$448,$D38,Socle!$F$1:$F$448,$E38,Socle!$G$1:$G$448,"2026"))</f>
        <v>14000</v>
      </c>
      <c r="J38">
        <f>IF($A38="","",_xlfn.SUMIFS(Socle!$W$1:$W$448,Socle!$C$1:$C$448,$A38,Socle!$D$1:$D$448,$C38,Socle!$E$1:$E$448,$D38,Socle!$F$1:$F$448,$E38,Socle!$G$1:$G$448,"2026"))</f>
        <v>0</v>
      </c>
      <c r="K38">
        <f>IF($A38="","",_xlfn.SUMIFS(Socle!$X$1:$X$448,Socle!$C$1:$C$448,$A38,Socle!$D$1:$D$448,$C38,Socle!$E$1:$E$448,$D38,Socle!$F$1:$F$448,$E38,Socle!$G$1:$G$448,"2026"))</f>
        <v>0</v>
      </c>
      <c r="L38">
        <f>IF($A38="","",_xlfn.SUMIFS(Socle!$Y$1:$Y$448,Socle!$C$1:$C$448,$A38,Socle!$D$1:$D$448,$C38,Socle!$E$1:$E$448,$D38,Socle!$F$1:$F$448,$E38,Socle!$G$1:$G$448,"2026"))</f>
        <v>0</v>
      </c>
      <c r="M38">
        <f>IF($A38="","",_xlfn.SUMIFS(Socle!$V$1:$V$448,Socle!$C$1:$C$448,$A38,Socle!$D$1:$D$448,$C38,Socle!$E$1:$E$448,$D38,Socle!$F$1:$F$448,$E38,Socle!$G$1:$G$448,"2026"))</f>
        <v>1.965517242</v>
      </c>
      <c r="N38">
        <f t="shared" si="0"/>
        <v>0</v>
      </c>
      <c r="O38">
        <f>IF($A38="","",_xlfn.SUMIFS(Campagne!$D$1:$D$128,Campagne!$C$1:$C$128,$A38))</f>
        <v>728</v>
      </c>
      <c r="P38">
        <f>IF($A38="","",_xlfn.SUMIFS(Campagne!$E$1:$E$128,Campagne!$C$1:$C$128,$A38))</f>
        <v>788</v>
      </c>
      <c r="Q38">
        <f>IF($A38="","",_xlfn.SUMIFS(Campagne!$F$1:$F$128,Campagne!$C$1:$C$128,$A38))</f>
        <v>1516</v>
      </c>
      <c r="R38">
        <f>IF($A38="","",_xlfn.SUMIFS(Campagne!$K$1:$K$128,Campagne!$C$1:$C$128,$A38))</f>
        <v>0.524655469</v>
      </c>
      <c r="S38">
        <f>IF($A38="","",_xlfn.SUMIFS(Campagne!$M$1:$M$128,Campagne!$C$1:$C$128,$A38))</f>
        <v>0.343450553</v>
      </c>
      <c r="T38">
        <f>IF($A38="","",_xlfn.SUMIFS(PIL!$K$15:$K$28,PIL!$A$15:$A$28,$A38)*_xlfn.SUMIFS(PIL!$J$15:$J$28,PIL!$A$15:$A$28,$A38)*(SUM(PIL!$K$15:$K$28)/SUMPRODUCT(PIL!$K$15:$K$28,PIL!$J$15:$J$28)))</f>
        <v>31533</v>
      </c>
      <c r="U38">
        <f>IF($A38="","",_xlfn.SUMIFS(PIL!$K$15:$K$28,PIL!$A$15:$A$28,$A38))</f>
        <v>31533</v>
      </c>
      <c r="V38" t="s">
        <v>274</v>
      </c>
      <c r="W38" t="s">
        <v>274</v>
      </c>
      <c r="X38" t="s">
        <v>274</v>
      </c>
      <c r="Y38" t="s">
        <v>274</v>
      </c>
      <c r="Z38" t="s">
        <v>274</v>
      </c>
      <c r="AA38" t="s">
        <v>274</v>
      </c>
      <c r="AB38" t="s">
        <v>274</v>
      </c>
      <c r="AC38" t="s">
        <v>274</v>
      </c>
      <c r="AD38" t="e">
        <f t="shared" si="1"/>
        <v>#VALUE!</v>
      </c>
      <c r="AE38">
        <f t="shared" si="2"/>
        <v>0</v>
      </c>
      <c r="AF38" t="e">
        <f t="shared" si="3"/>
        <v>#VALUE!</v>
      </c>
      <c r="AG38" t="e">
        <f t="shared" si="4"/>
        <v>#VALUE!</v>
      </c>
      <c r="AH38" t="e">
        <f t="shared" si="5"/>
        <v>#VALUE!</v>
      </c>
    </row>
    <row r="39" ht="14.25" customHeight="1">
      <c r="A39" t="str">
        <f>IF(Moteur!D39="","",Moteur!D39)</f>
        <v>MBWAY_NAN</v>
      </c>
      <c r="B39" t="str">
        <f>IF(Moteur!B39="","",Moteur!B39)</f>
        <v>V02</v>
      </c>
      <c r="C39" t="str">
        <f>IF(Moteur!F39="","",Moteur!F39)</f>
        <v>BAC_MGT</v>
      </c>
      <c r="D39" t="str">
        <f>IF(Moteur!G39="","",Moteur!G39)</f>
        <v>B3</v>
      </c>
      <c r="E39" t="str">
        <f>IF(Moteur!H39="","",Moteur!H39)</f>
        <v>ALT</v>
      </c>
      <c r="F39" t="str">
        <f>IF(Moteur!E39="","",Moteur!E39)</f>
        <v>MBWAY</v>
      </c>
      <c r="G39">
        <f>IF($A39="","",_xlfn.SUMIFS(Socle!$H$1:$H$448,Socle!$C$1:$C$448,$A39,Socle!$D$1:$D$448,$C39,Socle!$E$1:$E$448,$D39,Socle!$F$1:$F$448,$E39,Socle!$G$1:$G$448,"2026"))</f>
        <v>0</v>
      </c>
      <c r="H39">
        <f>IF($A39="","",_xlfn.SUMIFS(Socle!$N$1:$N$448,Socle!$C$1:$C$448,$A39,Socle!$D$1:$D$448,$C39,Socle!$E$1:$E$448,$D39,Socle!$F$1:$F$448,$E39,Socle!$G$1:$G$448,"2026"))</f>
        <v>116</v>
      </c>
      <c r="I39">
        <f>IF($A39="","",_xlfn.SUMIFS(Socle!$P$1:$P$448,Socle!$C$1:$C$448,$A39,Socle!$D$1:$D$448,$C39,Socle!$E$1:$E$448,$D39,Socle!$F$1:$F$448,$E39,Socle!$G$1:$G$448,"2026"))</f>
        <v>14000</v>
      </c>
      <c r="J39">
        <f>IF($A39="","",_xlfn.SUMIFS(Socle!$W$1:$W$448,Socle!$C$1:$C$448,$A39,Socle!$D$1:$D$448,$C39,Socle!$E$1:$E$448,$D39,Socle!$F$1:$F$448,$E39,Socle!$G$1:$G$448,"2026"))</f>
        <v>0</v>
      </c>
      <c r="K39">
        <f>IF($A39="","",_xlfn.SUMIFS(Socle!$X$1:$X$448,Socle!$C$1:$C$448,$A39,Socle!$D$1:$D$448,$C39,Socle!$E$1:$E$448,$D39,Socle!$F$1:$F$448,$E39,Socle!$G$1:$G$448,"2026"))</f>
        <v>0</v>
      </c>
      <c r="L39">
        <f>IF($A39="","",_xlfn.SUMIFS(Socle!$Y$1:$Y$448,Socle!$C$1:$C$448,$A39,Socle!$D$1:$D$448,$C39,Socle!$E$1:$E$448,$D39,Socle!$F$1:$F$448,$E39,Socle!$G$1:$G$448,"2026"))</f>
        <v>0</v>
      </c>
      <c r="M39">
        <f>IF($A39="","",_xlfn.SUMIFS(Socle!$V$1:$V$448,Socle!$C$1:$C$448,$A39,Socle!$D$1:$D$448,$C39,Socle!$E$1:$E$448,$D39,Socle!$F$1:$F$448,$E39,Socle!$G$1:$G$448,"2026"))</f>
        <v>1.965517242</v>
      </c>
      <c r="N39">
        <f t="shared" si="0"/>
        <v>0</v>
      </c>
      <c r="O39">
        <f>IF($A39="","",_xlfn.SUMIFS(Campagne!$D$1:$D$128,Campagne!$C$1:$C$128,$A39))</f>
        <v>728</v>
      </c>
      <c r="P39">
        <f>IF($A39="","",_xlfn.SUMIFS(Campagne!$E$1:$E$128,Campagne!$C$1:$C$128,$A39))</f>
        <v>788</v>
      </c>
      <c r="Q39">
        <f>IF($A39="","",_xlfn.SUMIFS(Campagne!$F$1:$F$128,Campagne!$C$1:$C$128,$A39))</f>
        <v>1516</v>
      </c>
      <c r="R39">
        <f>IF($A39="","",_xlfn.SUMIFS(Campagne!$K$1:$K$128,Campagne!$C$1:$C$128,$A39))</f>
        <v>0.524655469</v>
      </c>
      <c r="S39">
        <f>IF($A39="","",_xlfn.SUMIFS(Campagne!$M$1:$M$128,Campagne!$C$1:$C$128,$A39))</f>
        <v>0.343450553</v>
      </c>
      <c r="T39">
        <f>IF($A39="","",_xlfn.SUMIFS(PIL!$K$15:$K$28,PIL!$A$15:$A$28,$A39)*_xlfn.SUMIFS(PIL!$J$15:$J$28,PIL!$A$15:$A$28,$A39)*(SUM(PIL!$K$15:$K$28)/SUMPRODUCT(PIL!$K$15:$K$28,PIL!$J$15:$J$28)))</f>
        <v>31533</v>
      </c>
      <c r="U39">
        <f>IF($A39="","",_xlfn.SUMIFS(PIL!$K$15:$K$28,PIL!$A$15:$A$28,$A39))</f>
        <v>31533</v>
      </c>
      <c r="V39" t="s">
        <v>274</v>
      </c>
      <c r="W39" t="s">
        <v>274</v>
      </c>
      <c r="X39" t="s">
        <v>274</v>
      </c>
      <c r="Y39" t="s">
        <v>274</v>
      </c>
      <c r="Z39" t="s">
        <v>274</v>
      </c>
      <c r="AA39" t="s">
        <v>274</v>
      </c>
      <c r="AB39" t="s">
        <v>274</v>
      </c>
      <c r="AC39" t="s">
        <v>274</v>
      </c>
      <c r="AD39" t="e">
        <f t="shared" si="1"/>
        <v>#VALUE!</v>
      </c>
      <c r="AE39">
        <f t="shared" si="2"/>
        <v>0</v>
      </c>
      <c r="AF39" t="e">
        <f t="shared" si="3"/>
        <v>#VALUE!</v>
      </c>
      <c r="AG39" t="e">
        <f t="shared" si="4"/>
        <v>#VALUE!</v>
      </c>
      <c r="AH39" t="e">
        <f t="shared" si="5"/>
        <v>#VALUE!</v>
      </c>
    </row>
    <row r="40" ht="14.25" customHeight="1">
      <c r="A40" t="str">
        <f>IF(Moteur!D40="","",Moteur!D40)</f>
        <v>MBWAY_NAN</v>
      </c>
      <c r="B40" t="str">
        <f>IF(Moteur!B40="","",Moteur!B40)</f>
        <v>V03</v>
      </c>
      <c r="C40" t="str">
        <f>IF(Moteur!F40="","",Moteur!F40)</f>
        <v>BAC_MGT</v>
      </c>
      <c r="D40" t="str">
        <f>IF(Moteur!G40="","",Moteur!G40)</f>
        <v>B3</v>
      </c>
      <c r="E40" t="str">
        <f>IF(Moteur!H40="","",Moteur!H40)</f>
        <v>ALT</v>
      </c>
      <c r="F40" t="str">
        <f>IF(Moteur!E40="","",Moteur!E40)</f>
        <v>MBWAY</v>
      </c>
      <c r="G40">
        <f>IF($A40="","",_xlfn.SUMIFS(Socle!$H$1:$H$448,Socle!$C$1:$C$448,$A40,Socle!$D$1:$D$448,$C40,Socle!$E$1:$E$448,$D40,Socle!$F$1:$F$448,$E40,Socle!$G$1:$G$448,"2026"))</f>
        <v>0</v>
      </c>
      <c r="H40">
        <f>IF($A40="","",_xlfn.SUMIFS(Socle!$N$1:$N$448,Socle!$C$1:$C$448,$A40,Socle!$D$1:$D$448,$C40,Socle!$E$1:$E$448,$D40,Socle!$F$1:$F$448,$E40,Socle!$G$1:$G$448,"2026"))</f>
        <v>116</v>
      </c>
      <c r="I40">
        <f>IF($A40="","",_xlfn.SUMIFS(Socle!$P$1:$P$448,Socle!$C$1:$C$448,$A40,Socle!$D$1:$D$448,$C40,Socle!$E$1:$E$448,$D40,Socle!$F$1:$F$448,$E40,Socle!$G$1:$G$448,"2026"))</f>
        <v>14000</v>
      </c>
      <c r="J40">
        <f>IF($A40="","",_xlfn.SUMIFS(Socle!$W$1:$W$448,Socle!$C$1:$C$448,$A40,Socle!$D$1:$D$448,$C40,Socle!$E$1:$E$448,$D40,Socle!$F$1:$F$448,$E40,Socle!$G$1:$G$448,"2026"))</f>
        <v>0</v>
      </c>
      <c r="K40">
        <f>IF($A40="","",_xlfn.SUMIFS(Socle!$X$1:$X$448,Socle!$C$1:$C$448,$A40,Socle!$D$1:$D$448,$C40,Socle!$E$1:$E$448,$D40,Socle!$F$1:$F$448,$E40,Socle!$G$1:$G$448,"2026"))</f>
        <v>0</v>
      </c>
      <c r="L40">
        <f>IF($A40="","",_xlfn.SUMIFS(Socle!$Y$1:$Y$448,Socle!$C$1:$C$448,$A40,Socle!$D$1:$D$448,$C40,Socle!$E$1:$E$448,$D40,Socle!$F$1:$F$448,$E40,Socle!$G$1:$G$448,"2026"))</f>
        <v>0</v>
      </c>
      <c r="M40">
        <f>IF($A40="","",_xlfn.SUMIFS(Socle!$V$1:$V$448,Socle!$C$1:$C$448,$A40,Socle!$D$1:$D$448,$C40,Socle!$E$1:$E$448,$D40,Socle!$F$1:$F$448,$E40,Socle!$G$1:$G$448,"2026"))</f>
        <v>1.965517242</v>
      </c>
      <c r="N40">
        <f t="shared" si="0"/>
        <v>0</v>
      </c>
      <c r="O40">
        <f>IF($A40="","",_xlfn.SUMIFS(Campagne!$D$1:$D$128,Campagne!$C$1:$C$128,$A40))</f>
        <v>728</v>
      </c>
      <c r="P40">
        <f>IF($A40="","",_xlfn.SUMIFS(Campagne!$E$1:$E$128,Campagne!$C$1:$C$128,$A40))</f>
        <v>788</v>
      </c>
      <c r="Q40">
        <f>IF($A40="","",_xlfn.SUMIFS(Campagne!$F$1:$F$128,Campagne!$C$1:$C$128,$A40))</f>
        <v>1516</v>
      </c>
      <c r="R40">
        <f>IF($A40="","",_xlfn.SUMIFS(Campagne!$K$1:$K$128,Campagne!$C$1:$C$128,$A40))</f>
        <v>0.524655469</v>
      </c>
      <c r="S40">
        <f>IF($A40="","",_xlfn.SUMIFS(Campagne!$M$1:$M$128,Campagne!$C$1:$C$128,$A40))</f>
        <v>0.343450553</v>
      </c>
      <c r="T40">
        <f>IF($A40="","",_xlfn.SUMIFS(PIL!$K$15:$K$28,PIL!$A$15:$A$28,$A40)*_xlfn.SUMIFS(PIL!$J$15:$J$28,PIL!$A$15:$A$28,$A40)*(SUM(PIL!$K$15:$K$28)/SUMPRODUCT(PIL!$K$15:$K$28,PIL!$J$15:$J$28)))</f>
        <v>31533</v>
      </c>
      <c r="U40">
        <f>IF($A40="","",_xlfn.SUMIFS(PIL!$K$15:$K$28,PIL!$A$15:$A$28,$A40))</f>
        <v>31533</v>
      </c>
      <c r="V40" t="s">
        <v>274</v>
      </c>
      <c r="W40" t="s">
        <v>274</v>
      </c>
      <c r="X40" t="s">
        <v>274</v>
      </c>
      <c r="Y40" t="s">
        <v>274</v>
      </c>
      <c r="Z40" t="s">
        <v>274</v>
      </c>
      <c r="AA40" t="s">
        <v>274</v>
      </c>
      <c r="AB40" t="s">
        <v>274</v>
      </c>
      <c r="AC40" t="s">
        <v>274</v>
      </c>
      <c r="AD40" t="e">
        <f t="shared" si="1"/>
        <v>#VALUE!</v>
      </c>
      <c r="AE40">
        <f t="shared" si="2"/>
        <v>0</v>
      </c>
      <c r="AF40" t="e">
        <f t="shared" si="3"/>
        <v>#VALUE!</v>
      </c>
      <c r="AG40" t="e">
        <f t="shared" si="4"/>
        <v>#VALUE!</v>
      </c>
      <c r="AH40" t="e">
        <f t="shared" si="5"/>
        <v>#VALUE!</v>
      </c>
    </row>
    <row r="41" ht="14.25" customHeight="1">
      <c r="A41" t="str">
        <f>IF(Moteur!D41="","",Moteur!D41)</f>
        <v>MBWAY_NAN</v>
      </c>
      <c r="B41" t="str">
        <f>IF(Moteur!B41="","",Moteur!B41)</f>
        <v>V01</v>
      </c>
      <c r="C41" t="str">
        <f>IF(Moteur!F41="","",Moteur!F41)</f>
        <v>MAS_MGT</v>
      </c>
      <c r="D41" t="str">
        <f>IF(Moteur!G41="","",Moteur!G41)</f>
        <v>M1</v>
      </c>
      <c r="E41" t="str">
        <f>IF(Moteur!H41="","",Moteur!H41)</f>
        <v>ALT</v>
      </c>
      <c r="F41" t="str">
        <f>IF(Moteur!E41="","",Moteur!E41)</f>
        <v>MBWAY</v>
      </c>
      <c r="G41">
        <f>IF($A41="","",_xlfn.SUMIFS(Socle!$H$1:$H$448,Socle!$C$1:$C$448,$A41,Socle!$D$1:$D$448,$C41,Socle!$E$1:$E$448,$D41,Socle!$F$1:$F$448,$E41,Socle!$G$1:$G$448,"2026"))</f>
        <v>2040</v>
      </c>
      <c r="H41">
        <f>IF($A41="","",_xlfn.SUMIFS(Socle!$N$1:$N$448,Socle!$C$1:$C$448,$A41,Socle!$D$1:$D$448,$C41,Socle!$E$1:$E$448,$D41,Socle!$F$1:$F$448,$E41,Socle!$G$1:$G$448,"2026"))</f>
        <v>0</v>
      </c>
      <c r="I41">
        <f>IF($A41="","",_xlfn.SUMIFS(Socle!$P$1:$P$448,Socle!$C$1:$C$448,$A41,Socle!$D$1:$D$448,$C41,Socle!$E$1:$E$448,$D41,Socle!$F$1:$F$448,$E41,Socle!$G$1:$G$448,"2026"))</f>
        <v>15000</v>
      </c>
      <c r="J41">
        <f>IF($A41="","",_xlfn.SUMIFS(Socle!$W$1:$W$448,Socle!$C$1:$C$448,$A41,Socle!$D$1:$D$448,$C41,Socle!$E$1:$E$448,$D41,Socle!$F$1:$F$448,$E41,Socle!$G$1:$G$448,"2026"))</f>
        <v>0.4</v>
      </c>
      <c r="K41">
        <f>IF($A41="","",_xlfn.SUMIFS(Socle!$X$1:$X$448,Socle!$C$1:$C$448,$A41,Socle!$D$1:$D$448,$C41,Socle!$E$1:$E$448,$D41,Socle!$F$1:$F$448,$E41,Socle!$G$1:$G$448,"2026"))</f>
        <v>1.401960784</v>
      </c>
      <c r="L41">
        <f>IF($A41="","",_xlfn.SUMIFS(Socle!$Y$1:$Y$448,Socle!$C$1:$C$448,$A41,Socle!$D$1:$D$448,$C41,Socle!$E$1:$E$448,$D41,Socle!$F$1:$F$448,$E41,Socle!$G$1:$G$448,"2026"))</f>
        <v>0.83916084</v>
      </c>
      <c r="M41">
        <f>IF($A41="","",_xlfn.SUMIFS(Socle!$V$1:$V$448,Socle!$C$1:$C$448,$A41,Socle!$D$1:$D$448,$C41,Socle!$E$1:$E$448,$D41,Socle!$F$1:$F$448,$E41,Socle!$G$1:$G$448,"2026"))</f>
        <v>0</v>
      </c>
      <c r="N41">
        <f t="shared" si="0"/>
        <v>1</v>
      </c>
      <c r="O41">
        <f>IF($A41="","",_xlfn.SUMIFS(Campagne!$D$1:$D$128,Campagne!$C$1:$C$128,$A41))</f>
        <v>728</v>
      </c>
      <c r="P41">
        <f>IF($A41="","",_xlfn.SUMIFS(Campagne!$E$1:$E$128,Campagne!$C$1:$C$128,$A41))</f>
        <v>788</v>
      </c>
      <c r="Q41">
        <f>IF($A41="","",_xlfn.SUMIFS(Campagne!$F$1:$F$128,Campagne!$C$1:$C$128,$A41))</f>
        <v>1516</v>
      </c>
      <c r="R41">
        <f>IF($A41="","",_xlfn.SUMIFS(Campagne!$K$1:$K$128,Campagne!$C$1:$C$128,$A41))</f>
        <v>0.524655469</v>
      </c>
      <c r="S41">
        <f>IF($A41="","",_xlfn.SUMIFS(Campagne!$M$1:$M$128,Campagne!$C$1:$C$128,$A41))</f>
        <v>0.343450553</v>
      </c>
      <c r="T41">
        <f>IF($A41="","",_xlfn.SUMIFS(PIL!$K$15:$K$28,PIL!$A$15:$A$28,$A41)*_xlfn.SUMIFS(PIL!$J$15:$J$28,PIL!$A$15:$A$28,$A41)*(SUM(PIL!$K$15:$K$28)/SUMPRODUCT(PIL!$K$15:$K$28,PIL!$J$15:$J$28)))</f>
        <v>31533</v>
      </c>
      <c r="U41">
        <f>IF($A41="","",_xlfn.SUMIFS(PIL!$K$15:$K$28,PIL!$A$15:$A$28,$A41))</f>
        <v>31533</v>
      </c>
      <c r="V41" t="s">
        <v>274</v>
      </c>
      <c r="W41" t="s">
        <v>274</v>
      </c>
      <c r="X41" t="s">
        <v>274</v>
      </c>
      <c r="Y41" t="s">
        <v>274</v>
      </c>
      <c r="Z41" t="s">
        <v>274</v>
      </c>
      <c r="AA41" t="s">
        <v>274</v>
      </c>
      <c r="AB41" t="s">
        <v>274</v>
      </c>
      <c r="AC41" t="s">
        <v>274</v>
      </c>
      <c r="AD41" t="e">
        <f t="shared" si="1"/>
        <v>#VALUE!</v>
      </c>
      <c r="AE41" t="e">
        <f t="shared" si="2"/>
        <v>#VALUE!</v>
      </c>
      <c r="AF41" t="e">
        <f t="shared" si="3"/>
        <v>#VALUE!</v>
      </c>
      <c r="AG41" t="e">
        <f t="shared" si="4"/>
        <v>#VALUE!</v>
      </c>
      <c r="AH41" t="e">
        <f t="shared" si="5"/>
        <v>#VALUE!</v>
      </c>
    </row>
    <row r="42" ht="14.25" customHeight="1">
      <c r="A42" t="str">
        <f>IF(Moteur!D42="","",Moteur!D42)</f>
        <v>MBWAY_NAN</v>
      </c>
      <c r="B42" t="str">
        <f>IF(Moteur!B42="","",Moteur!B42)</f>
        <v>V02</v>
      </c>
      <c r="C42" t="str">
        <f>IF(Moteur!F42="","",Moteur!F42)</f>
        <v>MAS_MGT</v>
      </c>
      <c r="D42" t="str">
        <f>IF(Moteur!G42="","",Moteur!G42)</f>
        <v>M1</v>
      </c>
      <c r="E42" t="str">
        <f>IF(Moteur!H42="","",Moteur!H42)</f>
        <v>ALT</v>
      </c>
      <c r="F42" t="str">
        <f>IF(Moteur!E42="","",Moteur!E42)</f>
        <v>MBWAY</v>
      </c>
      <c r="G42">
        <f>IF($A42="","",_xlfn.SUMIFS(Socle!$H$1:$H$448,Socle!$C$1:$C$448,$A42,Socle!$D$1:$D$448,$C42,Socle!$E$1:$E$448,$D42,Socle!$F$1:$F$448,$E42,Socle!$G$1:$G$448,"2026"))</f>
        <v>2040</v>
      </c>
      <c r="H42">
        <f>IF($A42="","",_xlfn.SUMIFS(Socle!$N$1:$N$448,Socle!$C$1:$C$448,$A42,Socle!$D$1:$D$448,$C42,Socle!$E$1:$E$448,$D42,Socle!$F$1:$F$448,$E42,Socle!$G$1:$G$448,"2026"))</f>
        <v>0</v>
      </c>
      <c r="I42">
        <f>IF($A42="","",_xlfn.SUMIFS(Socle!$P$1:$P$448,Socle!$C$1:$C$448,$A42,Socle!$D$1:$D$448,$C42,Socle!$E$1:$E$448,$D42,Socle!$F$1:$F$448,$E42,Socle!$G$1:$G$448,"2026"))</f>
        <v>15000</v>
      </c>
      <c r="J42">
        <f>IF($A42="","",_xlfn.SUMIFS(Socle!$W$1:$W$448,Socle!$C$1:$C$448,$A42,Socle!$D$1:$D$448,$C42,Socle!$E$1:$E$448,$D42,Socle!$F$1:$F$448,$E42,Socle!$G$1:$G$448,"2026"))</f>
        <v>0.4</v>
      </c>
      <c r="K42">
        <f>IF($A42="","",_xlfn.SUMIFS(Socle!$X$1:$X$448,Socle!$C$1:$C$448,$A42,Socle!$D$1:$D$448,$C42,Socle!$E$1:$E$448,$D42,Socle!$F$1:$F$448,$E42,Socle!$G$1:$G$448,"2026"))</f>
        <v>1.401960784</v>
      </c>
      <c r="L42">
        <f>IF($A42="","",_xlfn.SUMIFS(Socle!$Y$1:$Y$448,Socle!$C$1:$C$448,$A42,Socle!$D$1:$D$448,$C42,Socle!$E$1:$E$448,$D42,Socle!$F$1:$F$448,$E42,Socle!$G$1:$G$448,"2026"))</f>
        <v>0.83916084</v>
      </c>
      <c r="M42">
        <f>IF($A42="","",_xlfn.SUMIFS(Socle!$V$1:$V$448,Socle!$C$1:$C$448,$A42,Socle!$D$1:$D$448,$C42,Socle!$E$1:$E$448,$D42,Socle!$F$1:$F$448,$E42,Socle!$G$1:$G$448,"2026"))</f>
        <v>0</v>
      </c>
      <c r="N42">
        <f t="shared" si="0"/>
        <v>1</v>
      </c>
      <c r="O42">
        <f>IF($A42="","",_xlfn.SUMIFS(Campagne!$D$1:$D$128,Campagne!$C$1:$C$128,$A42))</f>
        <v>728</v>
      </c>
      <c r="P42">
        <f>IF($A42="","",_xlfn.SUMIFS(Campagne!$E$1:$E$128,Campagne!$C$1:$C$128,$A42))</f>
        <v>788</v>
      </c>
      <c r="Q42">
        <f>IF($A42="","",_xlfn.SUMIFS(Campagne!$F$1:$F$128,Campagne!$C$1:$C$128,$A42))</f>
        <v>1516</v>
      </c>
      <c r="R42">
        <f>IF($A42="","",_xlfn.SUMIFS(Campagne!$K$1:$K$128,Campagne!$C$1:$C$128,$A42))</f>
        <v>0.524655469</v>
      </c>
      <c r="S42">
        <f>IF($A42="","",_xlfn.SUMIFS(Campagne!$M$1:$M$128,Campagne!$C$1:$C$128,$A42))</f>
        <v>0.343450553</v>
      </c>
      <c r="T42">
        <f>IF($A42="","",_xlfn.SUMIFS(PIL!$K$15:$K$28,PIL!$A$15:$A$28,$A42)*_xlfn.SUMIFS(PIL!$J$15:$J$28,PIL!$A$15:$A$28,$A42)*(SUM(PIL!$K$15:$K$28)/SUMPRODUCT(PIL!$K$15:$K$28,PIL!$J$15:$J$28)))</f>
        <v>31533</v>
      </c>
      <c r="U42">
        <f>IF($A42="","",_xlfn.SUMIFS(PIL!$K$15:$K$28,PIL!$A$15:$A$28,$A42))</f>
        <v>31533</v>
      </c>
      <c r="V42" t="s">
        <v>274</v>
      </c>
      <c r="W42" t="s">
        <v>274</v>
      </c>
      <c r="X42" t="s">
        <v>274</v>
      </c>
      <c r="Y42" t="s">
        <v>274</v>
      </c>
      <c r="Z42" t="s">
        <v>274</v>
      </c>
      <c r="AA42" t="s">
        <v>274</v>
      </c>
      <c r="AB42" t="s">
        <v>274</v>
      </c>
      <c r="AC42" t="s">
        <v>274</v>
      </c>
      <c r="AD42" t="e">
        <f t="shared" si="1"/>
        <v>#VALUE!</v>
      </c>
      <c r="AE42" t="e">
        <f t="shared" si="2"/>
        <v>#VALUE!</v>
      </c>
      <c r="AF42" t="e">
        <f t="shared" si="3"/>
        <v>#VALUE!</v>
      </c>
      <c r="AG42" t="e">
        <f t="shared" si="4"/>
        <v>#VALUE!</v>
      </c>
      <c r="AH42" t="e">
        <f t="shared" si="5"/>
        <v>#VALUE!</v>
      </c>
    </row>
    <row r="43" ht="14.25" customHeight="1">
      <c r="A43" t="str">
        <f>IF(Moteur!D43="","",Moteur!D43)</f>
        <v>MBWAY_NAN</v>
      </c>
      <c r="B43" t="str">
        <f>IF(Moteur!B43="","",Moteur!B43)</f>
        <v>V03</v>
      </c>
      <c r="C43" t="str">
        <f>IF(Moteur!F43="","",Moteur!F43)</f>
        <v>MAS_MGT</v>
      </c>
      <c r="D43" t="str">
        <f>IF(Moteur!G43="","",Moteur!G43)</f>
        <v>M1</v>
      </c>
      <c r="E43" t="str">
        <f>IF(Moteur!H43="","",Moteur!H43)</f>
        <v>ALT</v>
      </c>
      <c r="F43" t="str">
        <f>IF(Moteur!E43="","",Moteur!E43)</f>
        <v>MBWAY</v>
      </c>
      <c r="G43">
        <f>IF($A43="","",_xlfn.SUMIFS(Socle!$H$1:$H$448,Socle!$C$1:$C$448,$A43,Socle!$D$1:$D$448,$C43,Socle!$E$1:$E$448,$D43,Socle!$F$1:$F$448,$E43,Socle!$G$1:$G$448,"2026"))</f>
        <v>2040</v>
      </c>
      <c r="H43">
        <f>IF($A43="","",_xlfn.SUMIFS(Socle!$N$1:$N$448,Socle!$C$1:$C$448,$A43,Socle!$D$1:$D$448,$C43,Socle!$E$1:$E$448,$D43,Socle!$F$1:$F$448,$E43,Socle!$G$1:$G$448,"2026"))</f>
        <v>0</v>
      </c>
      <c r="I43">
        <f>IF($A43="","",_xlfn.SUMIFS(Socle!$P$1:$P$448,Socle!$C$1:$C$448,$A43,Socle!$D$1:$D$448,$C43,Socle!$E$1:$E$448,$D43,Socle!$F$1:$F$448,$E43,Socle!$G$1:$G$448,"2026"))</f>
        <v>15000</v>
      </c>
      <c r="J43">
        <f>IF($A43="","",_xlfn.SUMIFS(Socle!$W$1:$W$448,Socle!$C$1:$C$448,$A43,Socle!$D$1:$D$448,$C43,Socle!$E$1:$E$448,$D43,Socle!$F$1:$F$448,$E43,Socle!$G$1:$G$448,"2026"))</f>
        <v>0.4</v>
      </c>
      <c r="K43">
        <f>IF($A43="","",_xlfn.SUMIFS(Socle!$X$1:$X$448,Socle!$C$1:$C$448,$A43,Socle!$D$1:$D$448,$C43,Socle!$E$1:$E$448,$D43,Socle!$F$1:$F$448,$E43,Socle!$G$1:$G$448,"2026"))</f>
        <v>1.401960784</v>
      </c>
      <c r="L43">
        <f>IF($A43="","",_xlfn.SUMIFS(Socle!$Y$1:$Y$448,Socle!$C$1:$C$448,$A43,Socle!$D$1:$D$448,$C43,Socle!$E$1:$E$448,$D43,Socle!$F$1:$F$448,$E43,Socle!$G$1:$G$448,"2026"))</f>
        <v>0.83916084</v>
      </c>
      <c r="M43">
        <f>IF($A43="","",_xlfn.SUMIFS(Socle!$V$1:$V$448,Socle!$C$1:$C$448,$A43,Socle!$D$1:$D$448,$C43,Socle!$E$1:$E$448,$D43,Socle!$F$1:$F$448,$E43,Socle!$G$1:$G$448,"2026"))</f>
        <v>0</v>
      </c>
      <c r="N43">
        <f t="shared" si="0"/>
        <v>1</v>
      </c>
      <c r="O43">
        <f>IF($A43="","",_xlfn.SUMIFS(Campagne!$D$1:$D$128,Campagne!$C$1:$C$128,$A43))</f>
        <v>728</v>
      </c>
      <c r="P43">
        <f>IF($A43="","",_xlfn.SUMIFS(Campagne!$E$1:$E$128,Campagne!$C$1:$C$128,$A43))</f>
        <v>788</v>
      </c>
      <c r="Q43">
        <f>IF($A43="","",_xlfn.SUMIFS(Campagne!$F$1:$F$128,Campagne!$C$1:$C$128,$A43))</f>
        <v>1516</v>
      </c>
      <c r="R43">
        <f>IF($A43="","",_xlfn.SUMIFS(Campagne!$K$1:$K$128,Campagne!$C$1:$C$128,$A43))</f>
        <v>0.524655469</v>
      </c>
      <c r="S43">
        <f>IF($A43="","",_xlfn.SUMIFS(Campagne!$M$1:$M$128,Campagne!$C$1:$C$128,$A43))</f>
        <v>0.343450553</v>
      </c>
      <c r="T43">
        <f>IF($A43="","",_xlfn.SUMIFS(PIL!$K$15:$K$28,PIL!$A$15:$A$28,$A43)*_xlfn.SUMIFS(PIL!$J$15:$J$28,PIL!$A$15:$A$28,$A43)*(SUM(PIL!$K$15:$K$28)/SUMPRODUCT(PIL!$K$15:$K$28,PIL!$J$15:$J$28)))</f>
        <v>31533</v>
      </c>
      <c r="U43">
        <f>IF($A43="","",_xlfn.SUMIFS(PIL!$K$15:$K$28,PIL!$A$15:$A$28,$A43))</f>
        <v>31533</v>
      </c>
      <c r="V43" t="s">
        <v>274</v>
      </c>
      <c r="W43" t="s">
        <v>274</v>
      </c>
      <c r="X43" t="s">
        <v>274</v>
      </c>
      <c r="Y43" t="s">
        <v>274</v>
      </c>
      <c r="Z43" t="s">
        <v>274</v>
      </c>
      <c r="AA43" t="s">
        <v>274</v>
      </c>
      <c r="AB43" t="s">
        <v>274</v>
      </c>
      <c r="AC43" t="s">
        <v>274</v>
      </c>
      <c r="AD43" t="e">
        <f t="shared" si="1"/>
        <v>#VALUE!</v>
      </c>
      <c r="AE43" t="e">
        <f t="shared" si="2"/>
        <v>#VALUE!</v>
      </c>
      <c r="AF43" t="e">
        <f t="shared" si="3"/>
        <v>#VALUE!</v>
      </c>
      <c r="AG43" t="e">
        <f t="shared" si="4"/>
        <v>#VALUE!</v>
      </c>
      <c r="AH43" t="e">
        <f t="shared" si="5"/>
        <v>#VALUE!</v>
      </c>
    </row>
    <row r="44" ht="14.25" customHeight="1">
      <c r="A44" t="str">
        <f>IF(Moteur!D44="","",Moteur!D44)</f>
        <v>MBWAY_NAN</v>
      </c>
      <c r="B44" t="str">
        <f>IF(Moteur!B44="","",Moteur!B44)</f>
        <v>V01</v>
      </c>
      <c r="C44" t="str">
        <f>IF(Moteur!F44="","",Moteur!F44)</f>
        <v>MAS_MGT</v>
      </c>
      <c r="D44" t="str">
        <f>IF(Moteur!G44="","",Moteur!G44)</f>
        <v>M2</v>
      </c>
      <c r="E44" t="str">
        <f>IF(Moteur!H44="","",Moteur!H44)</f>
        <v>ALT</v>
      </c>
      <c r="F44" t="str">
        <f>IF(Moteur!E44="","",Moteur!E44)</f>
        <v>MBWAY</v>
      </c>
      <c r="G44">
        <f>IF($A44="","",_xlfn.SUMIFS(Socle!$H$1:$H$448,Socle!$C$1:$C$448,$A44,Socle!$D$1:$D$448,$C44,Socle!$E$1:$E$448,$D44,Socle!$F$1:$F$448,$E44,Socle!$G$1:$G$448,"2026"))</f>
        <v>0</v>
      </c>
      <c r="H44">
        <f>IF($A44="","",_xlfn.SUMIFS(Socle!$N$1:$N$448,Socle!$C$1:$C$448,$A44,Socle!$D$1:$D$448,$C44,Socle!$E$1:$E$448,$D44,Socle!$F$1:$F$448,$E44,Socle!$G$1:$G$448,"2026"))</f>
        <v>120</v>
      </c>
      <c r="I44">
        <f>IF($A44="","",_xlfn.SUMIFS(Socle!$P$1:$P$448,Socle!$C$1:$C$448,$A44,Socle!$D$1:$D$448,$C44,Socle!$E$1:$E$448,$D44,Socle!$F$1:$F$448,$E44,Socle!$G$1:$G$448,"2026"))</f>
        <v>15000</v>
      </c>
      <c r="J44">
        <f>IF($A44="","",_xlfn.SUMIFS(Socle!$W$1:$W$448,Socle!$C$1:$C$448,$A44,Socle!$D$1:$D$448,$C44,Socle!$E$1:$E$448,$D44,Socle!$F$1:$F$448,$E44,Socle!$G$1:$G$448,"2026"))</f>
        <v>0</v>
      </c>
      <c r="K44">
        <f>IF($A44="","",_xlfn.SUMIFS(Socle!$X$1:$X$448,Socle!$C$1:$C$448,$A44,Socle!$D$1:$D$448,$C44,Socle!$E$1:$E$448,$D44,Socle!$F$1:$F$448,$E44,Socle!$G$1:$G$448,"2026"))</f>
        <v>0</v>
      </c>
      <c r="L44">
        <f>IF($A44="","",_xlfn.SUMIFS(Socle!$Y$1:$Y$448,Socle!$C$1:$C$448,$A44,Socle!$D$1:$D$448,$C44,Socle!$E$1:$E$448,$D44,Socle!$F$1:$F$448,$E44,Socle!$G$1:$G$448,"2026"))</f>
        <v>0</v>
      </c>
      <c r="M44">
        <f>IF($A44="","",_xlfn.SUMIFS(Socle!$V$1:$V$448,Socle!$C$1:$C$448,$A44,Socle!$D$1:$D$448,$C44,Socle!$E$1:$E$448,$D44,Socle!$F$1:$F$448,$E44,Socle!$G$1:$G$448,"2026"))</f>
        <v>1.966666666</v>
      </c>
      <c r="N44">
        <f t="shared" si="0"/>
        <v>0</v>
      </c>
      <c r="O44">
        <f>IF($A44="","",_xlfn.SUMIFS(Campagne!$D$1:$D$128,Campagne!$C$1:$C$128,$A44))</f>
        <v>728</v>
      </c>
      <c r="P44">
        <f>IF($A44="","",_xlfn.SUMIFS(Campagne!$E$1:$E$128,Campagne!$C$1:$C$128,$A44))</f>
        <v>788</v>
      </c>
      <c r="Q44">
        <f>IF($A44="","",_xlfn.SUMIFS(Campagne!$F$1:$F$128,Campagne!$C$1:$C$128,$A44))</f>
        <v>1516</v>
      </c>
      <c r="R44">
        <f>IF($A44="","",_xlfn.SUMIFS(Campagne!$K$1:$K$128,Campagne!$C$1:$C$128,$A44))</f>
        <v>0.524655469</v>
      </c>
      <c r="S44">
        <f>IF($A44="","",_xlfn.SUMIFS(Campagne!$M$1:$M$128,Campagne!$C$1:$C$128,$A44))</f>
        <v>0.343450553</v>
      </c>
      <c r="T44">
        <f>IF($A44="","",_xlfn.SUMIFS(PIL!$K$15:$K$28,PIL!$A$15:$A$28,$A44)*_xlfn.SUMIFS(PIL!$J$15:$J$28,PIL!$A$15:$A$28,$A44)*(SUM(PIL!$K$15:$K$28)/SUMPRODUCT(PIL!$K$15:$K$28,PIL!$J$15:$J$28)))</f>
        <v>31533</v>
      </c>
      <c r="U44">
        <f>IF($A44="","",_xlfn.SUMIFS(PIL!$K$15:$K$28,PIL!$A$15:$A$28,$A44))</f>
        <v>31533</v>
      </c>
      <c r="V44" t="s">
        <v>274</v>
      </c>
      <c r="W44" t="s">
        <v>274</v>
      </c>
      <c r="X44" t="s">
        <v>274</v>
      </c>
      <c r="Y44" t="s">
        <v>274</v>
      </c>
      <c r="Z44" t="s">
        <v>274</v>
      </c>
      <c r="AA44" t="s">
        <v>274</v>
      </c>
      <c r="AB44" t="s">
        <v>274</v>
      </c>
      <c r="AC44" t="s">
        <v>274</v>
      </c>
      <c r="AD44" t="e">
        <f t="shared" si="1"/>
        <v>#VALUE!</v>
      </c>
      <c r="AE44">
        <f t="shared" si="2"/>
        <v>0</v>
      </c>
      <c r="AF44" t="e">
        <f t="shared" si="3"/>
        <v>#VALUE!</v>
      </c>
      <c r="AG44" t="e">
        <f t="shared" si="4"/>
        <v>#VALUE!</v>
      </c>
      <c r="AH44" t="e">
        <f t="shared" si="5"/>
        <v>#VALUE!</v>
      </c>
    </row>
    <row r="45" ht="14.25" customHeight="1">
      <c r="A45" t="str">
        <f>IF(Moteur!D45="","",Moteur!D45)</f>
        <v>MBWAY_NAN</v>
      </c>
      <c r="B45" t="str">
        <f>IF(Moteur!B45="","",Moteur!B45)</f>
        <v>V02</v>
      </c>
      <c r="C45" t="str">
        <f>IF(Moteur!F45="","",Moteur!F45)</f>
        <v>MAS_MGT</v>
      </c>
      <c r="D45" t="str">
        <f>IF(Moteur!G45="","",Moteur!G45)</f>
        <v>M2</v>
      </c>
      <c r="E45" t="str">
        <f>IF(Moteur!H45="","",Moteur!H45)</f>
        <v>ALT</v>
      </c>
      <c r="F45" t="str">
        <f>IF(Moteur!E45="","",Moteur!E45)</f>
        <v>MBWAY</v>
      </c>
      <c r="G45">
        <f>IF($A45="","",_xlfn.SUMIFS(Socle!$H$1:$H$448,Socle!$C$1:$C$448,$A45,Socle!$D$1:$D$448,$C45,Socle!$E$1:$E$448,$D45,Socle!$F$1:$F$448,$E45,Socle!$G$1:$G$448,"2026"))</f>
        <v>0</v>
      </c>
      <c r="H45">
        <f>IF($A45="","",_xlfn.SUMIFS(Socle!$N$1:$N$448,Socle!$C$1:$C$448,$A45,Socle!$D$1:$D$448,$C45,Socle!$E$1:$E$448,$D45,Socle!$F$1:$F$448,$E45,Socle!$G$1:$G$448,"2026"))</f>
        <v>120</v>
      </c>
      <c r="I45">
        <f>IF($A45="","",_xlfn.SUMIFS(Socle!$P$1:$P$448,Socle!$C$1:$C$448,$A45,Socle!$D$1:$D$448,$C45,Socle!$E$1:$E$448,$D45,Socle!$F$1:$F$448,$E45,Socle!$G$1:$G$448,"2026"))</f>
        <v>15000</v>
      </c>
      <c r="J45">
        <f>IF($A45="","",_xlfn.SUMIFS(Socle!$W$1:$W$448,Socle!$C$1:$C$448,$A45,Socle!$D$1:$D$448,$C45,Socle!$E$1:$E$448,$D45,Socle!$F$1:$F$448,$E45,Socle!$G$1:$G$448,"2026"))</f>
        <v>0</v>
      </c>
      <c r="K45">
        <f>IF($A45="","",_xlfn.SUMIFS(Socle!$X$1:$X$448,Socle!$C$1:$C$448,$A45,Socle!$D$1:$D$448,$C45,Socle!$E$1:$E$448,$D45,Socle!$F$1:$F$448,$E45,Socle!$G$1:$G$448,"2026"))</f>
        <v>0</v>
      </c>
      <c r="L45">
        <f>IF($A45="","",_xlfn.SUMIFS(Socle!$Y$1:$Y$448,Socle!$C$1:$C$448,$A45,Socle!$D$1:$D$448,$C45,Socle!$E$1:$E$448,$D45,Socle!$F$1:$F$448,$E45,Socle!$G$1:$G$448,"2026"))</f>
        <v>0</v>
      </c>
      <c r="M45">
        <f>IF($A45="","",_xlfn.SUMIFS(Socle!$V$1:$V$448,Socle!$C$1:$C$448,$A45,Socle!$D$1:$D$448,$C45,Socle!$E$1:$E$448,$D45,Socle!$F$1:$F$448,$E45,Socle!$G$1:$G$448,"2026"))</f>
        <v>1.966666666</v>
      </c>
      <c r="N45">
        <f t="shared" si="0"/>
        <v>0</v>
      </c>
      <c r="O45">
        <f>IF($A45="","",_xlfn.SUMIFS(Campagne!$D$1:$D$128,Campagne!$C$1:$C$128,$A45))</f>
        <v>728</v>
      </c>
      <c r="P45">
        <f>IF($A45="","",_xlfn.SUMIFS(Campagne!$E$1:$E$128,Campagne!$C$1:$C$128,$A45))</f>
        <v>788</v>
      </c>
      <c r="Q45">
        <f>IF($A45="","",_xlfn.SUMIFS(Campagne!$F$1:$F$128,Campagne!$C$1:$C$128,$A45))</f>
        <v>1516</v>
      </c>
      <c r="R45">
        <f>IF($A45="","",_xlfn.SUMIFS(Campagne!$K$1:$K$128,Campagne!$C$1:$C$128,$A45))</f>
        <v>0.524655469</v>
      </c>
      <c r="S45">
        <f>IF($A45="","",_xlfn.SUMIFS(Campagne!$M$1:$M$128,Campagne!$C$1:$C$128,$A45))</f>
        <v>0.343450553</v>
      </c>
      <c r="T45">
        <f>IF($A45="","",_xlfn.SUMIFS(PIL!$K$15:$K$28,PIL!$A$15:$A$28,$A45)*_xlfn.SUMIFS(PIL!$J$15:$J$28,PIL!$A$15:$A$28,$A45)*(SUM(PIL!$K$15:$K$28)/SUMPRODUCT(PIL!$K$15:$K$28,PIL!$J$15:$J$28)))</f>
        <v>31533</v>
      </c>
      <c r="U45">
        <f>IF($A45="","",_xlfn.SUMIFS(PIL!$K$15:$K$28,PIL!$A$15:$A$28,$A45))</f>
        <v>31533</v>
      </c>
      <c r="V45" t="s">
        <v>274</v>
      </c>
      <c r="W45" t="s">
        <v>274</v>
      </c>
      <c r="X45" t="s">
        <v>274</v>
      </c>
      <c r="Y45" t="s">
        <v>274</v>
      </c>
      <c r="Z45" t="s">
        <v>274</v>
      </c>
      <c r="AA45" t="s">
        <v>274</v>
      </c>
      <c r="AB45" t="s">
        <v>274</v>
      </c>
      <c r="AC45" t="s">
        <v>274</v>
      </c>
      <c r="AD45" t="e">
        <f t="shared" si="1"/>
        <v>#VALUE!</v>
      </c>
      <c r="AE45">
        <f t="shared" si="2"/>
        <v>0</v>
      </c>
      <c r="AF45" t="e">
        <f t="shared" si="3"/>
        <v>#VALUE!</v>
      </c>
      <c r="AG45" t="e">
        <f t="shared" si="4"/>
        <v>#VALUE!</v>
      </c>
      <c r="AH45" t="e">
        <f t="shared" si="5"/>
        <v>#VALUE!</v>
      </c>
    </row>
    <row r="46" ht="14.25" customHeight="1">
      <c r="A46" t="str">
        <f>IF(Moteur!D46="","",Moteur!D46)</f>
        <v>MBWAY_NAN</v>
      </c>
      <c r="B46" t="str">
        <f>IF(Moteur!B46="","",Moteur!B46)</f>
        <v>V03</v>
      </c>
      <c r="C46" t="str">
        <f>IF(Moteur!F46="","",Moteur!F46)</f>
        <v>MAS_MGT</v>
      </c>
      <c r="D46" t="str">
        <f>IF(Moteur!G46="","",Moteur!G46)</f>
        <v>M2</v>
      </c>
      <c r="E46" t="str">
        <f>IF(Moteur!H46="","",Moteur!H46)</f>
        <v>ALT</v>
      </c>
      <c r="F46" t="str">
        <f>IF(Moteur!E46="","",Moteur!E46)</f>
        <v>MBWAY</v>
      </c>
      <c r="G46">
        <f>IF($A46="","",_xlfn.SUMIFS(Socle!$H$1:$H$448,Socle!$C$1:$C$448,$A46,Socle!$D$1:$D$448,$C46,Socle!$E$1:$E$448,$D46,Socle!$F$1:$F$448,$E46,Socle!$G$1:$G$448,"2026"))</f>
        <v>0</v>
      </c>
      <c r="H46">
        <f>IF($A46="","",_xlfn.SUMIFS(Socle!$N$1:$N$448,Socle!$C$1:$C$448,$A46,Socle!$D$1:$D$448,$C46,Socle!$E$1:$E$448,$D46,Socle!$F$1:$F$448,$E46,Socle!$G$1:$G$448,"2026"))</f>
        <v>120</v>
      </c>
      <c r="I46">
        <f>IF($A46="","",_xlfn.SUMIFS(Socle!$P$1:$P$448,Socle!$C$1:$C$448,$A46,Socle!$D$1:$D$448,$C46,Socle!$E$1:$E$448,$D46,Socle!$F$1:$F$448,$E46,Socle!$G$1:$G$448,"2026"))</f>
        <v>15000</v>
      </c>
      <c r="J46">
        <f>IF($A46="","",_xlfn.SUMIFS(Socle!$W$1:$W$448,Socle!$C$1:$C$448,$A46,Socle!$D$1:$D$448,$C46,Socle!$E$1:$E$448,$D46,Socle!$F$1:$F$448,$E46,Socle!$G$1:$G$448,"2026"))</f>
        <v>0</v>
      </c>
      <c r="K46">
        <f>IF($A46="","",_xlfn.SUMIFS(Socle!$X$1:$X$448,Socle!$C$1:$C$448,$A46,Socle!$D$1:$D$448,$C46,Socle!$E$1:$E$448,$D46,Socle!$F$1:$F$448,$E46,Socle!$G$1:$G$448,"2026"))</f>
        <v>0</v>
      </c>
      <c r="L46">
        <f>IF($A46="","",_xlfn.SUMIFS(Socle!$Y$1:$Y$448,Socle!$C$1:$C$448,$A46,Socle!$D$1:$D$448,$C46,Socle!$E$1:$E$448,$D46,Socle!$F$1:$F$448,$E46,Socle!$G$1:$G$448,"2026"))</f>
        <v>0</v>
      </c>
      <c r="M46">
        <f>IF($A46="","",_xlfn.SUMIFS(Socle!$V$1:$V$448,Socle!$C$1:$C$448,$A46,Socle!$D$1:$D$448,$C46,Socle!$E$1:$E$448,$D46,Socle!$F$1:$F$448,$E46,Socle!$G$1:$G$448,"2026"))</f>
        <v>1.966666666</v>
      </c>
      <c r="N46">
        <f t="shared" si="0"/>
        <v>0</v>
      </c>
      <c r="O46">
        <f>IF($A46="","",_xlfn.SUMIFS(Campagne!$D$1:$D$128,Campagne!$C$1:$C$128,$A46))</f>
        <v>728</v>
      </c>
      <c r="P46">
        <f>IF($A46="","",_xlfn.SUMIFS(Campagne!$E$1:$E$128,Campagne!$C$1:$C$128,$A46))</f>
        <v>788</v>
      </c>
      <c r="Q46">
        <f>IF($A46="","",_xlfn.SUMIFS(Campagne!$F$1:$F$128,Campagne!$C$1:$C$128,$A46))</f>
        <v>1516</v>
      </c>
      <c r="R46">
        <f>IF($A46="","",_xlfn.SUMIFS(Campagne!$K$1:$K$128,Campagne!$C$1:$C$128,$A46))</f>
        <v>0.524655469</v>
      </c>
      <c r="S46">
        <f>IF($A46="","",_xlfn.SUMIFS(Campagne!$M$1:$M$128,Campagne!$C$1:$C$128,$A46))</f>
        <v>0.343450553</v>
      </c>
      <c r="T46">
        <f>IF($A46="","",_xlfn.SUMIFS(PIL!$K$15:$K$28,PIL!$A$15:$A$28,$A46)*_xlfn.SUMIFS(PIL!$J$15:$J$28,PIL!$A$15:$A$28,$A46)*(SUM(PIL!$K$15:$K$28)/SUMPRODUCT(PIL!$K$15:$K$28,PIL!$J$15:$J$28)))</f>
        <v>31533</v>
      </c>
      <c r="U46">
        <f>IF($A46="","",_xlfn.SUMIFS(PIL!$K$15:$K$28,PIL!$A$15:$A$28,$A46))</f>
        <v>31533</v>
      </c>
      <c r="V46" t="s">
        <v>274</v>
      </c>
      <c r="W46" t="s">
        <v>274</v>
      </c>
      <c r="X46" t="s">
        <v>274</v>
      </c>
      <c r="Y46" t="s">
        <v>274</v>
      </c>
      <c r="Z46" t="s">
        <v>274</v>
      </c>
      <c r="AA46" t="s">
        <v>274</v>
      </c>
      <c r="AB46" t="s">
        <v>274</v>
      </c>
      <c r="AC46" t="s">
        <v>274</v>
      </c>
      <c r="AD46" t="e">
        <f t="shared" si="1"/>
        <v>#VALUE!</v>
      </c>
      <c r="AE46">
        <f t="shared" si="2"/>
        <v>0</v>
      </c>
      <c r="AF46" t="e">
        <f t="shared" si="3"/>
        <v>#VALUE!</v>
      </c>
      <c r="AG46" t="e">
        <f t="shared" si="4"/>
        <v>#VALUE!</v>
      </c>
      <c r="AH46" t="e">
        <f t="shared" si="5"/>
        <v>#VALUE!</v>
      </c>
    </row>
    <row r="47" ht="14.25" customHeight="1">
      <c r="A47" t="str">
        <f>IF(Moteur!D47="","",Moteur!D47)</f>
        <v>MBWAY_BOR</v>
      </c>
      <c r="B47" t="str">
        <f>IF(Moteur!B47="","",Moteur!B47)</f>
        <v>V01</v>
      </c>
      <c r="C47" t="str">
        <f>IF(Moteur!F47="","",Moteur!F47)</f>
        <v>BAC_MGT</v>
      </c>
      <c r="D47" t="str">
        <f>IF(Moteur!G47="","",Moteur!G47)</f>
        <v>B1</v>
      </c>
      <c r="E47" t="str">
        <f>IF(Moteur!H47="","",Moteur!H47)</f>
        <v>INIT</v>
      </c>
      <c r="F47" t="str">
        <f>IF(Moteur!E47="","",Moteur!E47)</f>
        <v>MBWAY</v>
      </c>
      <c r="G47">
        <f>IF($A47="","",_xlfn.SUMIFS(Socle!$H$1:$H$448,Socle!$C$1:$C$448,$A47,Socle!$D$1:$D$448,$C47,Socle!$E$1:$E$448,$D47,Socle!$F$1:$F$448,$E47,Socle!$G$1:$G$448,"2026"))</f>
        <v>842</v>
      </c>
      <c r="H47">
        <f>IF($A47="","",_xlfn.SUMIFS(Socle!$N$1:$N$448,Socle!$C$1:$C$448,$A47,Socle!$D$1:$D$448,$C47,Socle!$E$1:$E$448,$D47,Socle!$F$1:$F$448,$E47,Socle!$G$1:$G$448,"2026"))</f>
        <v>0</v>
      </c>
      <c r="I47">
        <f>IF($A47="","",_xlfn.SUMIFS(Socle!$P$1:$P$448,Socle!$C$1:$C$448,$A47,Socle!$D$1:$D$448,$C47,Socle!$E$1:$E$448,$D47,Socle!$F$1:$F$448,$E47,Socle!$G$1:$G$448,"2026"))</f>
        <v>14550</v>
      </c>
      <c r="J47">
        <f>IF($A47="","",_xlfn.SUMIFS(Socle!$W$1:$W$448,Socle!$C$1:$C$448,$A47,Socle!$D$1:$D$448,$C47,Socle!$E$1:$E$448,$D47,Socle!$F$1:$F$448,$E47,Socle!$G$1:$G$448,"2026"))</f>
        <v>0.560570072</v>
      </c>
      <c r="K47">
        <f>IF($A47="","",_xlfn.SUMIFS(Socle!$X$1:$X$448,Socle!$C$1:$C$448,$A47,Socle!$D$1:$D$448,$C47,Socle!$E$1:$E$448,$D47,Socle!$F$1:$F$448,$E47,Socle!$G$1:$G$448,"2026"))</f>
        <v>1.440677966</v>
      </c>
      <c r="L47">
        <f>IF($A47="","",_xlfn.SUMIFS(Socle!$Y$1:$Y$448,Socle!$C$1:$C$448,$A47,Socle!$D$1:$D$448,$C47,Socle!$E$1:$E$448,$D47,Socle!$F$1:$F$448,$E47,Socle!$G$1:$G$448,"2026"))</f>
        <v>1.2</v>
      </c>
      <c r="M47">
        <f>IF($A47="","",_xlfn.SUMIFS(Socle!$V$1:$V$448,Socle!$C$1:$C$448,$A47,Socle!$D$1:$D$448,$C47,Socle!$E$1:$E$448,$D47,Socle!$F$1:$F$448,$E47,Socle!$G$1:$G$448,"2026"))</f>
        <v>0</v>
      </c>
      <c r="N47">
        <f t="shared" si="0"/>
        <v>1</v>
      </c>
      <c r="O47">
        <f>IF($A47="","",_xlfn.SUMIFS(Campagne!$D$1:$D$128,Campagne!$C$1:$C$128,$A47))</f>
        <v>630</v>
      </c>
      <c r="P47">
        <f>IF($A47="","",_xlfn.SUMIFS(Campagne!$E$1:$E$128,Campagne!$C$1:$C$128,$A47))</f>
        <v>656</v>
      </c>
      <c r="Q47">
        <f>IF($A47="","",_xlfn.SUMIFS(Campagne!$F$1:$F$128,Campagne!$C$1:$C$128,$A47))</f>
        <v>1286</v>
      </c>
      <c r="R47">
        <f>IF($A47="","",_xlfn.SUMIFS(Campagne!$K$1:$K$128,Campagne!$C$1:$C$128,$A47))</f>
        <v>0.5384553</v>
      </c>
      <c r="S47">
        <f>IF($A47="","",_xlfn.SUMIFS(Campagne!$M$1:$M$128,Campagne!$C$1:$C$128,$A47))</f>
        <v>0.348249238</v>
      </c>
      <c r="T47">
        <f>IF($A47="","",_xlfn.SUMIFS(PIL!$K$15:$K$28,PIL!$A$15:$A$28,$A47)*_xlfn.SUMIFS(PIL!$J$15:$J$28,PIL!$A$15:$A$28,$A47)*(SUM(PIL!$K$15:$K$28)/SUMPRODUCT(PIL!$K$15:$K$28,PIL!$J$15:$J$28)))</f>
        <v>24923</v>
      </c>
      <c r="U47">
        <f>IF($A47="","",_xlfn.SUMIFS(PIL!$K$15:$K$28,PIL!$A$15:$A$28,$A47))</f>
        <v>24923</v>
      </c>
      <c r="V47" t="s">
        <v>274</v>
      </c>
      <c r="W47" t="s">
        <v>274</v>
      </c>
      <c r="X47" t="s">
        <v>274</v>
      </c>
      <c r="Y47" t="s">
        <v>274</v>
      </c>
      <c r="Z47" t="s">
        <v>274</v>
      </c>
      <c r="AA47" t="s">
        <v>274</v>
      </c>
      <c r="AB47" t="s">
        <v>274</v>
      </c>
      <c r="AC47" t="s">
        <v>274</v>
      </c>
      <c r="AD47" t="e">
        <f t="shared" si="1"/>
        <v>#VALUE!</v>
      </c>
      <c r="AE47" t="e">
        <f t="shared" si="2"/>
        <v>#VALUE!</v>
      </c>
      <c r="AF47" t="e">
        <f t="shared" si="3"/>
        <v>#VALUE!</v>
      </c>
      <c r="AG47" t="e">
        <f t="shared" si="4"/>
        <v>#VALUE!</v>
      </c>
      <c r="AH47" t="e">
        <f t="shared" si="5"/>
        <v>#VALUE!</v>
      </c>
    </row>
    <row r="48" ht="14.25" customHeight="1">
      <c r="A48" t="str">
        <f>IF(Moteur!D48="","",Moteur!D48)</f>
        <v>MBWAY_BOR</v>
      </c>
      <c r="B48" t="str">
        <f>IF(Moteur!B48="","",Moteur!B48)</f>
        <v>V02</v>
      </c>
      <c r="C48" t="str">
        <f>IF(Moteur!F48="","",Moteur!F48)</f>
        <v>BAC_MGT</v>
      </c>
      <c r="D48" t="str">
        <f>IF(Moteur!G48="","",Moteur!G48)</f>
        <v>B1</v>
      </c>
      <c r="E48" t="str">
        <f>IF(Moteur!H48="","",Moteur!H48)</f>
        <v>INIT</v>
      </c>
      <c r="F48" t="str">
        <f>IF(Moteur!E48="","",Moteur!E48)</f>
        <v>MBWAY</v>
      </c>
      <c r="G48">
        <f>IF($A48="","",_xlfn.SUMIFS(Socle!$H$1:$H$448,Socle!$C$1:$C$448,$A48,Socle!$D$1:$D$448,$C48,Socle!$E$1:$E$448,$D48,Socle!$F$1:$F$448,$E48,Socle!$G$1:$G$448,"2026"))</f>
        <v>842</v>
      </c>
      <c r="H48">
        <f>IF($A48="","",_xlfn.SUMIFS(Socle!$N$1:$N$448,Socle!$C$1:$C$448,$A48,Socle!$D$1:$D$448,$C48,Socle!$E$1:$E$448,$D48,Socle!$F$1:$F$448,$E48,Socle!$G$1:$G$448,"2026"))</f>
        <v>0</v>
      </c>
      <c r="I48">
        <f>IF($A48="","",_xlfn.SUMIFS(Socle!$P$1:$P$448,Socle!$C$1:$C$448,$A48,Socle!$D$1:$D$448,$C48,Socle!$E$1:$E$448,$D48,Socle!$F$1:$F$448,$E48,Socle!$G$1:$G$448,"2026"))</f>
        <v>14550</v>
      </c>
      <c r="J48">
        <f>IF($A48="","",_xlfn.SUMIFS(Socle!$W$1:$W$448,Socle!$C$1:$C$448,$A48,Socle!$D$1:$D$448,$C48,Socle!$E$1:$E$448,$D48,Socle!$F$1:$F$448,$E48,Socle!$G$1:$G$448,"2026"))</f>
        <v>0.560570072</v>
      </c>
      <c r="K48">
        <f>IF($A48="","",_xlfn.SUMIFS(Socle!$X$1:$X$448,Socle!$C$1:$C$448,$A48,Socle!$D$1:$D$448,$C48,Socle!$E$1:$E$448,$D48,Socle!$F$1:$F$448,$E48,Socle!$G$1:$G$448,"2026"))</f>
        <v>1.440677966</v>
      </c>
      <c r="L48">
        <f>IF($A48="","",_xlfn.SUMIFS(Socle!$Y$1:$Y$448,Socle!$C$1:$C$448,$A48,Socle!$D$1:$D$448,$C48,Socle!$E$1:$E$448,$D48,Socle!$F$1:$F$448,$E48,Socle!$G$1:$G$448,"2026"))</f>
        <v>1.2</v>
      </c>
      <c r="M48">
        <f>IF($A48="","",_xlfn.SUMIFS(Socle!$V$1:$V$448,Socle!$C$1:$C$448,$A48,Socle!$D$1:$D$448,$C48,Socle!$E$1:$E$448,$D48,Socle!$F$1:$F$448,$E48,Socle!$G$1:$G$448,"2026"))</f>
        <v>0</v>
      </c>
      <c r="N48">
        <f t="shared" si="0"/>
        <v>1</v>
      </c>
      <c r="O48">
        <f>IF($A48="","",_xlfn.SUMIFS(Campagne!$D$1:$D$128,Campagne!$C$1:$C$128,$A48))</f>
        <v>630</v>
      </c>
      <c r="P48">
        <f>IF($A48="","",_xlfn.SUMIFS(Campagne!$E$1:$E$128,Campagne!$C$1:$C$128,$A48))</f>
        <v>656</v>
      </c>
      <c r="Q48">
        <f>IF($A48="","",_xlfn.SUMIFS(Campagne!$F$1:$F$128,Campagne!$C$1:$C$128,$A48))</f>
        <v>1286</v>
      </c>
      <c r="R48">
        <f>IF($A48="","",_xlfn.SUMIFS(Campagne!$K$1:$K$128,Campagne!$C$1:$C$128,$A48))</f>
        <v>0.5384553</v>
      </c>
      <c r="S48">
        <f>IF($A48="","",_xlfn.SUMIFS(Campagne!$M$1:$M$128,Campagne!$C$1:$C$128,$A48))</f>
        <v>0.348249238</v>
      </c>
      <c r="T48">
        <f>IF($A48="","",_xlfn.SUMIFS(PIL!$K$15:$K$28,PIL!$A$15:$A$28,$A48)*_xlfn.SUMIFS(PIL!$J$15:$J$28,PIL!$A$15:$A$28,$A48)*(SUM(PIL!$K$15:$K$28)/SUMPRODUCT(PIL!$K$15:$K$28,PIL!$J$15:$J$28)))</f>
        <v>24923</v>
      </c>
      <c r="U48">
        <f>IF($A48="","",_xlfn.SUMIFS(PIL!$K$15:$K$28,PIL!$A$15:$A$28,$A48))</f>
        <v>24923</v>
      </c>
      <c r="V48" t="s">
        <v>274</v>
      </c>
      <c r="W48" t="s">
        <v>274</v>
      </c>
      <c r="X48" t="s">
        <v>274</v>
      </c>
      <c r="Y48" t="s">
        <v>274</v>
      </c>
      <c r="Z48" t="s">
        <v>274</v>
      </c>
      <c r="AA48" t="s">
        <v>274</v>
      </c>
      <c r="AB48" t="s">
        <v>274</v>
      </c>
      <c r="AC48" t="s">
        <v>274</v>
      </c>
      <c r="AD48" t="e">
        <f t="shared" si="1"/>
        <v>#VALUE!</v>
      </c>
      <c r="AE48" t="e">
        <f t="shared" si="2"/>
        <v>#VALUE!</v>
      </c>
      <c r="AF48" t="e">
        <f t="shared" si="3"/>
        <v>#VALUE!</v>
      </c>
      <c r="AG48" t="e">
        <f t="shared" si="4"/>
        <v>#VALUE!</v>
      </c>
      <c r="AH48" t="e">
        <f t="shared" si="5"/>
        <v>#VALUE!</v>
      </c>
    </row>
    <row r="49" ht="14.25" customHeight="1">
      <c r="A49" t="str">
        <f>IF(Moteur!D49="","",Moteur!D49)</f>
        <v>MBWAY_BOR</v>
      </c>
      <c r="B49" t="str">
        <f>IF(Moteur!B49="","",Moteur!B49)</f>
        <v>V03</v>
      </c>
      <c r="C49" t="str">
        <f>IF(Moteur!F49="","",Moteur!F49)</f>
        <v>BAC_MGT</v>
      </c>
      <c r="D49" t="str">
        <f>IF(Moteur!G49="","",Moteur!G49)</f>
        <v>B1</v>
      </c>
      <c r="E49" t="str">
        <f>IF(Moteur!H49="","",Moteur!H49)</f>
        <v>INIT</v>
      </c>
      <c r="F49" t="str">
        <f>IF(Moteur!E49="","",Moteur!E49)</f>
        <v>MBWAY</v>
      </c>
      <c r="G49">
        <f>IF($A49="","",_xlfn.SUMIFS(Socle!$H$1:$H$448,Socle!$C$1:$C$448,$A49,Socle!$D$1:$D$448,$C49,Socle!$E$1:$E$448,$D49,Socle!$F$1:$F$448,$E49,Socle!$G$1:$G$448,"2026"))</f>
        <v>842</v>
      </c>
      <c r="H49">
        <f>IF($A49="","",_xlfn.SUMIFS(Socle!$N$1:$N$448,Socle!$C$1:$C$448,$A49,Socle!$D$1:$D$448,$C49,Socle!$E$1:$E$448,$D49,Socle!$F$1:$F$448,$E49,Socle!$G$1:$G$448,"2026"))</f>
        <v>0</v>
      </c>
      <c r="I49">
        <f>IF($A49="","",_xlfn.SUMIFS(Socle!$P$1:$P$448,Socle!$C$1:$C$448,$A49,Socle!$D$1:$D$448,$C49,Socle!$E$1:$E$448,$D49,Socle!$F$1:$F$448,$E49,Socle!$G$1:$G$448,"2026"))</f>
        <v>14550</v>
      </c>
      <c r="J49">
        <f>IF($A49="","",_xlfn.SUMIFS(Socle!$W$1:$W$448,Socle!$C$1:$C$448,$A49,Socle!$D$1:$D$448,$C49,Socle!$E$1:$E$448,$D49,Socle!$F$1:$F$448,$E49,Socle!$G$1:$G$448,"2026"))</f>
        <v>0.560570072</v>
      </c>
      <c r="K49">
        <f>IF($A49="","",_xlfn.SUMIFS(Socle!$X$1:$X$448,Socle!$C$1:$C$448,$A49,Socle!$D$1:$D$448,$C49,Socle!$E$1:$E$448,$D49,Socle!$F$1:$F$448,$E49,Socle!$G$1:$G$448,"2026"))</f>
        <v>1.440677966</v>
      </c>
      <c r="L49">
        <f>IF($A49="","",_xlfn.SUMIFS(Socle!$Y$1:$Y$448,Socle!$C$1:$C$448,$A49,Socle!$D$1:$D$448,$C49,Socle!$E$1:$E$448,$D49,Socle!$F$1:$F$448,$E49,Socle!$G$1:$G$448,"2026"))</f>
        <v>1.2</v>
      </c>
      <c r="M49">
        <f>IF($A49="","",_xlfn.SUMIFS(Socle!$V$1:$V$448,Socle!$C$1:$C$448,$A49,Socle!$D$1:$D$448,$C49,Socle!$E$1:$E$448,$D49,Socle!$F$1:$F$448,$E49,Socle!$G$1:$G$448,"2026"))</f>
        <v>0</v>
      </c>
      <c r="N49">
        <f t="shared" si="0"/>
        <v>1</v>
      </c>
      <c r="O49">
        <f>IF($A49="","",_xlfn.SUMIFS(Campagne!$D$1:$D$128,Campagne!$C$1:$C$128,$A49))</f>
        <v>630</v>
      </c>
      <c r="P49">
        <f>IF($A49="","",_xlfn.SUMIFS(Campagne!$E$1:$E$128,Campagne!$C$1:$C$128,$A49))</f>
        <v>656</v>
      </c>
      <c r="Q49">
        <f>IF($A49="","",_xlfn.SUMIFS(Campagne!$F$1:$F$128,Campagne!$C$1:$C$128,$A49))</f>
        <v>1286</v>
      </c>
      <c r="R49">
        <f>IF($A49="","",_xlfn.SUMIFS(Campagne!$K$1:$K$128,Campagne!$C$1:$C$128,$A49))</f>
        <v>0.5384553</v>
      </c>
      <c r="S49">
        <f>IF($A49="","",_xlfn.SUMIFS(Campagne!$M$1:$M$128,Campagne!$C$1:$C$128,$A49))</f>
        <v>0.348249238</v>
      </c>
      <c r="T49">
        <f>IF($A49="","",_xlfn.SUMIFS(PIL!$K$15:$K$28,PIL!$A$15:$A$28,$A49)*_xlfn.SUMIFS(PIL!$J$15:$J$28,PIL!$A$15:$A$28,$A49)*(SUM(PIL!$K$15:$K$28)/SUMPRODUCT(PIL!$K$15:$K$28,PIL!$J$15:$J$28)))</f>
        <v>24923</v>
      </c>
      <c r="U49">
        <f>IF($A49="","",_xlfn.SUMIFS(PIL!$K$15:$K$28,PIL!$A$15:$A$28,$A49))</f>
        <v>24923</v>
      </c>
      <c r="V49" t="s">
        <v>274</v>
      </c>
      <c r="W49" t="s">
        <v>274</v>
      </c>
      <c r="X49" t="s">
        <v>274</v>
      </c>
      <c r="Y49" t="s">
        <v>274</v>
      </c>
      <c r="Z49" t="s">
        <v>274</v>
      </c>
      <c r="AA49" t="s">
        <v>274</v>
      </c>
      <c r="AB49" t="s">
        <v>274</v>
      </c>
      <c r="AC49" t="s">
        <v>274</v>
      </c>
      <c r="AD49" t="e">
        <f t="shared" si="1"/>
        <v>#VALUE!</v>
      </c>
      <c r="AE49" t="e">
        <f t="shared" si="2"/>
        <v>#VALUE!</v>
      </c>
      <c r="AF49" t="e">
        <f t="shared" si="3"/>
        <v>#VALUE!</v>
      </c>
      <c r="AG49" t="e">
        <f t="shared" si="4"/>
        <v>#VALUE!</v>
      </c>
      <c r="AH49" t="e">
        <f t="shared" si="5"/>
        <v>#VALUE!</v>
      </c>
    </row>
    <row r="50" ht="14.25" customHeight="1">
      <c r="A50" t="str">
        <f>IF(Moteur!D50="","",Moteur!D50)</f>
        <v>MBWAY_BOR</v>
      </c>
      <c r="B50" t="str">
        <f>IF(Moteur!B50="","",Moteur!B50)</f>
        <v>V01</v>
      </c>
      <c r="C50" t="str">
        <f>IF(Moteur!F50="","",Moteur!F50)</f>
        <v>BAC_MGT</v>
      </c>
      <c r="D50" t="str">
        <f>IF(Moteur!G50="","",Moteur!G50)</f>
        <v>B2</v>
      </c>
      <c r="E50" t="str">
        <f>IF(Moteur!H50="","",Moteur!H50)</f>
        <v>ALT</v>
      </c>
      <c r="F50" t="str">
        <f>IF(Moteur!E50="","",Moteur!E50)</f>
        <v>MBWAY</v>
      </c>
      <c r="G50">
        <f>IF($A50="","",_xlfn.SUMIFS(Socle!$H$1:$H$448,Socle!$C$1:$C$448,$A50,Socle!$D$1:$D$448,$C50,Socle!$E$1:$E$448,$D50,Socle!$F$1:$F$448,$E50,Socle!$G$1:$G$448,"2026"))</f>
        <v>0</v>
      </c>
      <c r="H50">
        <f>IF($A50="","",_xlfn.SUMIFS(Socle!$N$1:$N$448,Socle!$C$1:$C$448,$A50,Socle!$D$1:$D$448,$C50,Socle!$E$1:$E$448,$D50,Socle!$F$1:$F$448,$E50,Socle!$G$1:$G$448,"2026"))</f>
        <v>102</v>
      </c>
      <c r="I50">
        <f>IF($A50="","",_xlfn.SUMIFS(Socle!$P$1:$P$448,Socle!$C$1:$C$448,$A50,Socle!$D$1:$D$448,$C50,Socle!$E$1:$E$448,$D50,Socle!$F$1:$F$448,$E50,Socle!$G$1:$G$448,"2026"))</f>
        <v>13580</v>
      </c>
      <c r="J50">
        <f>IF($A50="","",_xlfn.SUMIFS(Socle!$W$1:$W$448,Socle!$C$1:$C$448,$A50,Socle!$D$1:$D$448,$C50,Socle!$E$1:$E$448,$D50,Socle!$F$1:$F$448,$E50,Socle!$G$1:$G$448,"2026"))</f>
        <v>0</v>
      </c>
      <c r="K50">
        <f>IF($A50="","",_xlfn.SUMIFS(Socle!$X$1:$X$448,Socle!$C$1:$C$448,$A50,Socle!$D$1:$D$448,$C50,Socle!$E$1:$E$448,$D50,Socle!$F$1:$F$448,$E50,Socle!$G$1:$G$448,"2026"))</f>
        <v>0</v>
      </c>
      <c r="L50">
        <f>IF($A50="","",_xlfn.SUMIFS(Socle!$Y$1:$Y$448,Socle!$C$1:$C$448,$A50,Socle!$D$1:$D$448,$C50,Socle!$E$1:$E$448,$D50,Socle!$F$1:$F$448,$E50,Socle!$G$1:$G$448,"2026"))</f>
        <v>0</v>
      </c>
      <c r="M50">
        <f>IF($A50="","",_xlfn.SUMIFS(Socle!$V$1:$V$448,Socle!$C$1:$C$448,$A50,Socle!$D$1:$D$448,$C50,Socle!$E$1:$E$448,$D50,Socle!$F$1:$F$448,$E50,Socle!$G$1:$G$448,"2026"))</f>
        <v>1.921568628</v>
      </c>
      <c r="N50">
        <f t="shared" si="0"/>
        <v>0</v>
      </c>
      <c r="O50">
        <f>IF($A50="","",_xlfn.SUMIFS(Campagne!$D$1:$D$128,Campagne!$C$1:$C$128,$A50))</f>
        <v>630</v>
      </c>
      <c r="P50">
        <f>IF($A50="","",_xlfn.SUMIFS(Campagne!$E$1:$E$128,Campagne!$C$1:$C$128,$A50))</f>
        <v>656</v>
      </c>
      <c r="Q50">
        <f>IF($A50="","",_xlfn.SUMIFS(Campagne!$F$1:$F$128,Campagne!$C$1:$C$128,$A50))</f>
        <v>1286</v>
      </c>
      <c r="R50">
        <f>IF($A50="","",_xlfn.SUMIFS(Campagne!$K$1:$K$128,Campagne!$C$1:$C$128,$A50))</f>
        <v>0.5384553</v>
      </c>
      <c r="S50">
        <f>IF($A50="","",_xlfn.SUMIFS(Campagne!$M$1:$M$128,Campagne!$C$1:$C$128,$A50))</f>
        <v>0.348249238</v>
      </c>
      <c r="T50">
        <f>IF($A50="","",_xlfn.SUMIFS(PIL!$K$15:$K$28,PIL!$A$15:$A$28,$A50)*_xlfn.SUMIFS(PIL!$J$15:$J$28,PIL!$A$15:$A$28,$A50)*(SUM(PIL!$K$15:$K$28)/SUMPRODUCT(PIL!$K$15:$K$28,PIL!$J$15:$J$28)))</f>
        <v>24923</v>
      </c>
      <c r="U50">
        <f>IF($A50="","",_xlfn.SUMIFS(PIL!$K$15:$K$28,PIL!$A$15:$A$28,$A50))</f>
        <v>24923</v>
      </c>
      <c r="V50" t="s">
        <v>274</v>
      </c>
      <c r="W50" t="s">
        <v>274</v>
      </c>
      <c r="X50" t="s">
        <v>274</v>
      </c>
      <c r="Y50" t="s">
        <v>274</v>
      </c>
      <c r="Z50" t="s">
        <v>274</v>
      </c>
      <c r="AA50" t="s">
        <v>274</v>
      </c>
      <c r="AB50" t="s">
        <v>274</v>
      </c>
      <c r="AC50" t="s">
        <v>274</v>
      </c>
      <c r="AD50" t="e">
        <f t="shared" si="1"/>
        <v>#VALUE!</v>
      </c>
      <c r="AE50">
        <f t="shared" si="2"/>
        <v>0</v>
      </c>
      <c r="AF50" t="e">
        <f t="shared" si="3"/>
        <v>#VALUE!</v>
      </c>
      <c r="AG50" t="e">
        <f t="shared" si="4"/>
        <v>#VALUE!</v>
      </c>
      <c r="AH50" t="e">
        <f t="shared" si="5"/>
        <v>#VALUE!</v>
      </c>
    </row>
    <row r="51" ht="14.25" customHeight="1">
      <c r="A51" t="str">
        <f>IF(Moteur!D51="","",Moteur!D51)</f>
        <v>MBWAY_BOR</v>
      </c>
      <c r="B51" t="str">
        <f>IF(Moteur!B51="","",Moteur!B51)</f>
        <v>V02</v>
      </c>
      <c r="C51" t="str">
        <f>IF(Moteur!F51="","",Moteur!F51)</f>
        <v>BAC_MGT</v>
      </c>
      <c r="D51" t="str">
        <f>IF(Moteur!G51="","",Moteur!G51)</f>
        <v>B2</v>
      </c>
      <c r="E51" t="str">
        <f>IF(Moteur!H51="","",Moteur!H51)</f>
        <v>ALT</v>
      </c>
      <c r="F51" t="str">
        <f>IF(Moteur!E51="","",Moteur!E51)</f>
        <v>MBWAY</v>
      </c>
      <c r="G51">
        <f>IF($A51="","",_xlfn.SUMIFS(Socle!$H$1:$H$448,Socle!$C$1:$C$448,$A51,Socle!$D$1:$D$448,$C51,Socle!$E$1:$E$448,$D51,Socle!$F$1:$F$448,$E51,Socle!$G$1:$G$448,"2026"))</f>
        <v>0</v>
      </c>
      <c r="H51">
        <f>IF($A51="","",_xlfn.SUMIFS(Socle!$N$1:$N$448,Socle!$C$1:$C$448,$A51,Socle!$D$1:$D$448,$C51,Socle!$E$1:$E$448,$D51,Socle!$F$1:$F$448,$E51,Socle!$G$1:$G$448,"2026"))</f>
        <v>102</v>
      </c>
      <c r="I51">
        <f>IF($A51="","",_xlfn.SUMIFS(Socle!$P$1:$P$448,Socle!$C$1:$C$448,$A51,Socle!$D$1:$D$448,$C51,Socle!$E$1:$E$448,$D51,Socle!$F$1:$F$448,$E51,Socle!$G$1:$G$448,"2026"))</f>
        <v>13580</v>
      </c>
      <c r="J51">
        <f>IF($A51="","",_xlfn.SUMIFS(Socle!$W$1:$W$448,Socle!$C$1:$C$448,$A51,Socle!$D$1:$D$448,$C51,Socle!$E$1:$E$448,$D51,Socle!$F$1:$F$448,$E51,Socle!$G$1:$G$448,"2026"))</f>
        <v>0</v>
      </c>
      <c r="K51">
        <f>IF($A51="","",_xlfn.SUMIFS(Socle!$X$1:$X$448,Socle!$C$1:$C$448,$A51,Socle!$D$1:$D$448,$C51,Socle!$E$1:$E$448,$D51,Socle!$F$1:$F$448,$E51,Socle!$G$1:$G$448,"2026"))</f>
        <v>0</v>
      </c>
      <c r="L51">
        <f>IF($A51="","",_xlfn.SUMIFS(Socle!$Y$1:$Y$448,Socle!$C$1:$C$448,$A51,Socle!$D$1:$D$448,$C51,Socle!$E$1:$E$448,$D51,Socle!$F$1:$F$448,$E51,Socle!$G$1:$G$448,"2026"))</f>
        <v>0</v>
      </c>
      <c r="M51">
        <f>IF($A51="","",_xlfn.SUMIFS(Socle!$V$1:$V$448,Socle!$C$1:$C$448,$A51,Socle!$D$1:$D$448,$C51,Socle!$E$1:$E$448,$D51,Socle!$F$1:$F$448,$E51,Socle!$G$1:$G$448,"2026"))</f>
        <v>1.921568628</v>
      </c>
      <c r="N51">
        <f t="shared" si="0"/>
        <v>0</v>
      </c>
      <c r="O51">
        <f>IF($A51="","",_xlfn.SUMIFS(Campagne!$D$1:$D$128,Campagne!$C$1:$C$128,$A51))</f>
        <v>630</v>
      </c>
      <c r="P51">
        <f>IF($A51="","",_xlfn.SUMIFS(Campagne!$E$1:$E$128,Campagne!$C$1:$C$128,$A51))</f>
        <v>656</v>
      </c>
      <c r="Q51">
        <f>IF($A51="","",_xlfn.SUMIFS(Campagne!$F$1:$F$128,Campagne!$C$1:$C$128,$A51))</f>
        <v>1286</v>
      </c>
      <c r="R51">
        <f>IF($A51="","",_xlfn.SUMIFS(Campagne!$K$1:$K$128,Campagne!$C$1:$C$128,$A51))</f>
        <v>0.5384553</v>
      </c>
      <c r="S51">
        <f>IF($A51="","",_xlfn.SUMIFS(Campagne!$M$1:$M$128,Campagne!$C$1:$C$128,$A51))</f>
        <v>0.348249238</v>
      </c>
      <c r="T51">
        <f>IF($A51="","",_xlfn.SUMIFS(PIL!$K$15:$K$28,PIL!$A$15:$A$28,$A51)*_xlfn.SUMIFS(PIL!$J$15:$J$28,PIL!$A$15:$A$28,$A51)*(SUM(PIL!$K$15:$K$28)/SUMPRODUCT(PIL!$K$15:$K$28,PIL!$J$15:$J$28)))</f>
        <v>24923</v>
      </c>
      <c r="U51">
        <f>IF($A51="","",_xlfn.SUMIFS(PIL!$K$15:$K$28,PIL!$A$15:$A$28,$A51))</f>
        <v>24923</v>
      </c>
      <c r="V51" t="s">
        <v>274</v>
      </c>
      <c r="W51" t="s">
        <v>274</v>
      </c>
      <c r="X51" t="s">
        <v>274</v>
      </c>
      <c r="Y51" t="s">
        <v>274</v>
      </c>
      <c r="Z51" t="s">
        <v>274</v>
      </c>
      <c r="AA51" t="s">
        <v>274</v>
      </c>
      <c r="AB51" t="s">
        <v>274</v>
      </c>
      <c r="AC51" t="s">
        <v>274</v>
      </c>
      <c r="AD51" t="e">
        <f t="shared" si="1"/>
        <v>#VALUE!</v>
      </c>
      <c r="AE51">
        <f t="shared" si="2"/>
        <v>0</v>
      </c>
      <c r="AF51" t="e">
        <f t="shared" si="3"/>
        <v>#VALUE!</v>
      </c>
      <c r="AG51" t="e">
        <f t="shared" si="4"/>
        <v>#VALUE!</v>
      </c>
      <c r="AH51" t="e">
        <f t="shared" si="5"/>
        <v>#VALUE!</v>
      </c>
    </row>
    <row r="52" ht="14.25" customHeight="1">
      <c r="A52" t="str">
        <f>IF(Moteur!D52="","",Moteur!D52)</f>
        <v>MBWAY_BOR</v>
      </c>
      <c r="B52" t="str">
        <f>IF(Moteur!B52="","",Moteur!B52)</f>
        <v>V03</v>
      </c>
      <c r="C52" t="str">
        <f>IF(Moteur!F52="","",Moteur!F52)</f>
        <v>BAC_MGT</v>
      </c>
      <c r="D52" t="str">
        <f>IF(Moteur!G52="","",Moteur!G52)</f>
        <v>B2</v>
      </c>
      <c r="E52" t="str">
        <f>IF(Moteur!H52="","",Moteur!H52)</f>
        <v>ALT</v>
      </c>
      <c r="F52" t="str">
        <f>IF(Moteur!E52="","",Moteur!E52)</f>
        <v>MBWAY</v>
      </c>
      <c r="G52">
        <f>IF($A52="","",_xlfn.SUMIFS(Socle!$H$1:$H$448,Socle!$C$1:$C$448,$A52,Socle!$D$1:$D$448,$C52,Socle!$E$1:$E$448,$D52,Socle!$F$1:$F$448,$E52,Socle!$G$1:$G$448,"2026"))</f>
        <v>0</v>
      </c>
      <c r="H52">
        <f>IF($A52="","",_xlfn.SUMIFS(Socle!$N$1:$N$448,Socle!$C$1:$C$448,$A52,Socle!$D$1:$D$448,$C52,Socle!$E$1:$E$448,$D52,Socle!$F$1:$F$448,$E52,Socle!$G$1:$G$448,"2026"))</f>
        <v>102</v>
      </c>
      <c r="I52">
        <f>IF($A52="","",_xlfn.SUMIFS(Socle!$P$1:$P$448,Socle!$C$1:$C$448,$A52,Socle!$D$1:$D$448,$C52,Socle!$E$1:$E$448,$D52,Socle!$F$1:$F$448,$E52,Socle!$G$1:$G$448,"2026"))</f>
        <v>13580</v>
      </c>
      <c r="J52">
        <f>IF($A52="","",_xlfn.SUMIFS(Socle!$W$1:$W$448,Socle!$C$1:$C$448,$A52,Socle!$D$1:$D$448,$C52,Socle!$E$1:$E$448,$D52,Socle!$F$1:$F$448,$E52,Socle!$G$1:$G$448,"2026"))</f>
        <v>0</v>
      </c>
      <c r="K52">
        <f>IF($A52="","",_xlfn.SUMIFS(Socle!$X$1:$X$448,Socle!$C$1:$C$448,$A52,Socle!$D$1:$D$448,$C52,Socle!$E$1:$E$448,$D52,Socle!$F$1:$F$448,$E52,Socle!$G$1:$G$448,"2026"))</f>
        <v>0</v>
      </c>
      <c r="L52">
        <f>IF($A52="","",_xlfn.SUMIFS(Socle!$Y$1:$Y$448,Socle!$C$1:$C$448,$A52,Socle!$D$1:$D$448,$C52,Socle!$E$1:$E$448,$D52,Socle!$F$1:$F$448,$E52,Socle!$G$1:$G$448,"2026"))</f>
        <v>0</v>
      </c>
      <c r="M52">
        <f>IF($A52="","",_xlfn.SUMIFS(Socle!$V$1:$V$448,Socle!$C$1:$C$448,$A52,Socle!$D$1:$D$448,$C52,Socle!$E$1:$E$448,$D52,Socle!$F$1:$F$448,$E52,Socle!$G$1:$G$448,"2026"))</f>
        <v>1.921568628</v>
      </c>
      <c r="N52">
        <f t="shared" si="0"/>
        <v>0</v>
      </c>
      <c r="O52">
        <f>IF($A52="","",_xlfn.SUMIFS(Campagne!$D$1:$D$128,Campagne!$C$1:$C$128,$A52))</f>
        <v>630</v>
      </c>
      <c r="P52">
        <f>IF($A52="","",_xlfn.SUMIFS(Campagne!$E$1:$E$128,Campagne!$C$1:$C$128,$A52))</f>
        <v>656</v>
      </c>
      <c r="Q52">
        <f>IF($A52="","",_xlfn.SUMIFS(Campagne!$F$1:$F$128,Campagne!$C$1:$C$128,$A52))</f>
        <v>1286</v>
      </c>
      <c r="R52">
        <f>IF($A52="","",_xlfn.SUMIFS(Campagne!$K$1:$K$128,Campagne!$C$1:$C$128,$A52))</f>
        <v>0.5384553</v>
      </c>
      <c r="S52">
        <f>IF($A52="","",_xlfn.SUMIFS(Campagne!$M$1:$M$128,Campagne!$C$1:$C$128,$A52))</f>
        <v>0.348249238</v>
      </c>
      <c r="T52">
        <f>IF($A52="","",_xlfn.SUMIFS(PIL!$K$15:$K$28,PIL!$A$15:$A$28,$A52)*_xlfn.SUMIFS(PIL!$J$15:$J$28,PIL!$A$15:$A$28,$A52)*(SUM(PIL!$K$15:$K$28)/SUMPRODUCT(PIL!$K$15:$K$28,PIL!$J$15:$J$28)))</f>
        <v>24923</v>
      </c>
      <c r="U52">
        <f>IF($A52="","",_xlfn.SUMIFS(PIL!$K$15:$K$28,PIL!$A$15:$A$28,$A52))</f>
        <v>24923</v>
      </c>
      <c r="V52" t="s">
        <v>274</v>
      </c>
      <c r="W52" t="s">
        <v>274</v>
      </c>
      <c r="X52" t="s">
        <v>274</v>
      </c>
      <c r="Y52" t="s">
        <v>274</v>
      </c>
      <c r="Z52" t="s">
        <v>274</v>
      </c>
      <c r="AA52" t="s">
        <v>274</v>
      </c>
      <c r="AB52" t="s">
        <v>274</v>
      </c>
      <c r="AC52" t="s">
        <v>274</v>
      </c>
      <c r="AD52" t="e">
        <f t="shared" si="1"/>
        <v>#VALUE!</v>
      </c>
      <c r="AE52">
        <f t="shared" si="2"/>
        <v>0</v>
      </c>
      <c r="AF52" t="e">
        <f t="shared" si="3"/>
        <v>#VALUE!</v>
      </c>
      <c r="AG52" t="e">
        <f t="shared" si="4"/>
        <v>#VALUE!</v>
      </c>
      <c r="AH52" t="e">
        <f t="shared" si="5"/>
        <v>#VALUE!</v>
      </c>
    </row>
    <row r="53" ht="14.25" customHeight="1">
      <c r="A53" t="str">
        <f>IF(Moteur!D53="","",Moteur!D53)</f>
        <v>MBWAY_BOR</v>
      </c>
      <c r="B53" t="str">
        <f>IF(Moteur!B53="","",Moteur!B53)</f>
        <v>V01</v>
      </c>
      <c r="C53" t="str">
        <f>IF(Moteur!F53="","",Moteur!F53)</f>
        <v>BAC_MGT</v>
      </c>
      <c r="D53" t="str">
        <f>IF(Moteur!G53="","",Moteur!G53)</f>
        <v>B3</v>
      </c>
      <c r="E53" t="str">
        <f>IF(Moteur!H53="","",Moteur!H53)</f>
        <v>ALT</v>
      </c>
      <c r="F53" t="str">
        <f>IF(Moteur!E53="","",Moteur!E53)</f>
        <v>MBWAY</v>
      </c>
      <c r="G53">
        <f>IF($A53="","",_xlfn.SUMIFS(Socle!$H$1:$H$448,Socle!$C$1:$C$448,$A53,Socle!$D$1:$D$448,$C53,Socle!$E$1:$E$448,$D53,Socle!$F$1:$F$448,$E53,Socle!$G$1:$G$448,"2026"))</f>
        <v>0</v>
      </c>
      <c r="H53">
        <f>IF($A53="","",_xlfn.SUMIFS(Socle!$N$1:$N$448,Socle!$C$1:$C$448,$A53,Socle!$D$1:$D$448,$C53,Socle!$E$1:$E$448,$D53,Socle!$F$1:$F$448,$E53,Socle!$G$1:$G$448,"2026"))</f>
        <v>98</v>
      </c>
      <c r="I53">
        <f>IF($A53="","",_xlfn.SUMIFS(Socle!$P$1:$P$448,Socle!$C$1:$C$448,$A53,Socle!$D$1:$D$448,$C53,Socle!$E$1:$E$448,$D53,Socle!$F$1:$F$448,$E53,Socle!$G$1:$G$448,"2026"))</f>
        <v>13580</v>
      </c>
      <c r="J53">
        <f>IF($A53="","",_xlfn.SUMIFS(Socle!$W$1:$W$448,Socle!$C$1:$C$448,$A53,Socle!$D$1:$D$448,$C53,Socle!$E$1:$E$448,$D53,Socle!$F$1:$F$448,$E53,Socle!$G$1:$G$448,"2026"))</f>
        <v>0</v>
      </c>
      <c r="K53">
        <f>IF($A53="","",_xlfn.SUMIFS(Socle!$X$1:$X$448,Socle!$C$1:$C$448,$A53,Socle!$D$1:$D$448,$C53,Socle!$E$1:$E$448,$D53,Socle!$F$1:$F$448,$E53,Socle!$G$1:$G$448,"2026"))</f>
        <v>0</v>
      </c>
      <c r="L53">
        <f>IF($A53="","",_xlfn.SUMIFS(Socle!$Y$1:$Y$448,Socle!$C$1:$C$448,$A53,Socle!$D$1:$D$448,$C53,Socle!$E$1:$E$448,$D53,Socle!$F$1:$F$448,$E53,Socle!$G$1:$G$448,"2026"))</f>
        <v>0</v>
      </c>
      <c r="M53">
        <f>IF($A53="","",_xlfn.SUMIFS(Socle!$V$1:$V$448,Socle!$C$1:$C$448,$A53,Socle!$D$1:$D$448,$C53,Socle!$E$1:$E$448,$D53,Socle!$F$1:$F$448,$E53,Socle!$G$1:$G$448,"2026"))</f>
        <v>1.959183674</v>
      </c>
      <c r="N53">
        <f t="shared" si="0"/>
        <v>0</v>
      </c>
      <c r="O53">
        <f>IF($A53="","",_xlfn.SUMIFS(Campagne!$D$1:$D$128,Campagne!$C$1:$C$128,$A53))</f>
        <v>630</v>
      </c>
      <c r="P53">
        <f>IF($A53="","",_xlfn.SUMIFS(Campagne!$E$1:$E$128,Campagne!$C$1:$C$128,$A53))</f>
        <v>656</v>
      </c>
      <c r="Q53">
        <f>IF($A53="","",_xlfn.SUMIFS(Campagne!$F$1:$F$128,Campagne!$C$1:$C$128,$A53))</f>
        <v>1286</v>
      </c>
      <c r="R53">
        <f>IF($A53="","",_xlfn.SUMIFS(Campagne!$K$1:$K$128,Campagne!$C$1:$C$128,$A53))</f>
        <v>0.5384553</v>
      </c>
      <c r="S53">
        <f>IF($A53="","",_xlfn.SUMIFS(Campagne!$M$1:$M$128,Campagne!$C$1:$C$128,$A53))</f>
        <v>0.348249238</v>
      </c>
      <c r="T53">
        <f>IF($A53="","",_xlfn.SUMIFS(PIL!$K$15:$K$28,PIL!$A$15:$A$28,$A53)*_xlfn.SUMIFS(PIL!$J$15:$J$28,PIL!$A$15:$A$28,$A53)*(SUM(PIL!$K$15:$K$28)/SUMPRODUCT(PIL!$K$15:$K$28,PIL!$J$15:$J$28)))</f>
        <v>24923</v>
      </c>
      <c r="U53">
        <f>IF($A53="","",_xlfn.SUMIFS(PIL!$K$15:$K$28,PIL!$A$15:$A$28,$A53))</f>
        <v>24923</v>
      </c>
      <c r="V53" t="s">
        <v>274</v>
      </c>
      <c r="W53" t="s">
        <v>274</v>
      </c>
      <c r="X53" t="s">
        <v>274</v>
      </c>
      <c r="Y53" t="s">
        <v>274</v>
      </c>
      <c r="Z53" t="s">
        <v>274</v>
      </c>
      <c r="AA53" t="s">
        <v>274</v>
      </c>
      <c r="AB53" t="s">
        <v>274</v>
      </c>
      <c r="AC53" t="s">
        <v>274</v>
      </c>
      <c r="AD53" t="e">
        <f t="shared" si="1"/>
        <v>#VALUE!</v>
      </c>
      <c r="AE53">
        <f t="shared" si="2"/>
        <v>0</v>
      </c>
      <c r="AF53" t="e">
        <f t="shared" si="3"/>
        <v>#VALUE!</v>
      </c>
      <c r="AG53" t="e">
        <f t="shared" si="4"/>
        <v>#VALUE!</v>
      </c>
      <c r="AH53" t="e">
        <f t="shared" si="5"/>
        <v>#VALUE!</v>
      </c>
    </row>
    <row r="54" ht="14.25" customHeight="1">
      <c r="A54" t="str">
        <f>IF(Moteur!D54="","",Moteur!D54)</f>
        <v>MBWAY_BOR</v>
      </c>
      <c r="B54" t="str">
        <f>IF(Moteur!B54="","",Moteur!B54)</f>
        <v>V02</v>
      </c>
      <c r="C54" t="str">
        <f>IF(Moteur!F54="","",Moteur!F54)</f>
        <v>BAC_MGT</v>
      </c>
      <c r="D54" t="str">
        <f>IF(Moteur!G54="","",Moteur!G54)</f>
        <v>B3</v>
      </c>
      <c r="E54" t="str">
        <f>IF(Moteur!H54="","",Moteur!H54)</f>
        <v>ALT</v>
      </c>
      <c r="F54" t="str">
        <f>IF(Moteur!E54="","",Moteur!E54)</f>
        <v>MBWAY</v>
      </c>
      <c r="G54">
        <f>IF($A54="","",_xlfn.SUMIFS(Socle!$H$1:$H$448,Socle!$C$1:$C$448,$A54,Socle!$D$1:$D$448,$C54,Socle!$E$1:$E$448,$D54,Socle!$F$1:$F$448,$E54,Socle!$G$1:$G$448,"2026"))</f>
        <v>0</v>
      </c>
      <c r="H54">
        <f>IF($A54="","",_xlfn.SUMIFS(Socle!$N$1:$N$448,Socle!$C$1:$C$448,$A54,Socle!$D$1:$D$448,$C54,Socle!$E$1:$E$448,$D54,Socle!$F$1:$F$448,$E54,Socle!$G$1:$G$448,"2026"))</f>
        <v>98</v>
      </c>
      <c r="I54">
        <f>IF($A54="","",_xlfn.SUMIFS(Socle!$P$1:$P$448,Socle!$C$1:$C$448,$A54,Socle!$D$1:$D$448,$C54,Socle!$E$1:$E$448,$D54,Socle!$F$1:$F$448,$E54,Socle!$G$1:$G$448,"2026"))</f>
        <v>13580</v>
      </c>
      <c r="J54">
        <f>IF($A54="","",_xlfn.SUMIFS(Socle!$W$1:$W$448,Socle!$C$1:$C$448,$A54,Socle!$D$1:$D$448,$C54,Socle!$E$1:$E$448,$D54,Socle!$F$1:$F$448,$E54,Socle!$G$1:$G$448,"2026"))</f>
        <v>0</v>
      </c>
      <c r="K54">
        <f>IF($A54="","",_xlfn.SUMIFS(Socle!$X$1:$X$448,Socle!$C$1:$C$448,$A54,Socle!$D$1:$D$448,$C54,Socle!$E$1:$E$448,$D54,Socle!$F$1:$F$448,$E54,Socle!$G$1:$G$448,"2026"))</f>
        <v>0</v>
      </c>
      <c r="L54">
        <f>IF($A54="","",_xlfn.SUMIFS(Socle!$Y$1:$Y$448,Socle!$C$1:$C$448,$A54,Socle!$D$1:$D$448,$C54,Socle!$E$1:$E$448,$D54,Socle!$F$1:$F$448,$E54,Socle!$G$1:$G$448,"2026"))</f>
        <v>0</v>
      </c>
      <c r="M54">
        <f>IF($A54="","",_xlfn.SUMIFS(Socle!$V$1:$V$448,Socle!$C$1:$C$448,$A54,Socle!$D$1:$D$448,$C54,Socle!$E$1:$E$448,$D54,Socle!$F$1:$F$448,$E54,Socle!$G$1:$G$448,"2026"))</f>
        <v>1.959183674</v>
      </c>
      <c r="N54">
        <f t="shared" si="0"/>
        <v>0</v>
      </c>
      <c r="O54">
        <f>IF($A54="","",_xlfn.SUMIFS(Campagne!$D$1:$D$128,Campagne!$C$1:$C$128,$A54))</f>
        <v>630</v>
      </c>
      <c r="P54">
        <f>IF($A54="","",_xlfn.SUMIFS(Campagne!$E$1:$E$128,Campagne!$C$1:$C$128,$A54))</f>
        <v>656</v>
      </c>
      <c r="Q54">
        <f>IF($A54="","",_xlfn.SUMIFS(Campagne!$F$1:$F$128,Campagne!$C$1:$C$128,$A54))</f>
        <v>1286</v>
      </c>
      <c r="R54">
        <f>IF($A54="","",_xlfn.SUMIFS(Campagne!$K$1:$K$128,Campagne!$C$1:$C$128,$A54))</f>
        <v>0.5384553</v>
      </c>
      <c r="S54">
        <f>IF($A54="","",_xlfn.SUMIFS(Campagne!$M$1:$M$128,Campagne!$C$1:$C$128,$A54))</f>
        <v>0.348249238</v>
      </c>
      <c r="T54">
        <f>IF($A54="","",_xlfn.SUMIFS(PIL!$K$15:$K$28,PIL!$A$15:$A$28,$A54)*_xlfn.SUMIFS(PIL!$J$15:$J$28,PIL!$A$15:$A$28,$A54)*(SUM(PIL!$K$15:$K$28)/SUMPRODUCT(PIL!$K$15:$K$28,PIL!$J$15:$J$28)))</f>
        <v>24923</v>
      </c>
      <c r="U54">
        <f>IF($A54="","",_xlfn.SUMIFS(PIL!$K$15:$K$28,PIL!$A$15:$A$28,$A54))</f>
        <v>24923</v>
      </c>
      <c r="V54" t="s">
        <v>274</v>
      </c>
      <c r="W54" t="s">
        <v>274</v>
      </c>
      <c r="X54" t="s">
        <v>274</v>
      </c>
      <c r="Y54" t="s">
        <v>274</v>
      </c>
      <c r="Z54" t="s">
        <v>274</v>
      </c>
      <c r="AA54" t="s">
        <v>274</v>
      </c>
      <c r="AB54" t="s">
        <v>274</v>
      </c>
      <c r="AC54" t="s">
        <v>274</v>
      </c>
      <c r="AD54" t="e">
        <f t="shared" si="1"/>
        <v>#VALUE!</v>
      </c>
      <c r="AE54">
        <f t="shared" si="2"/>
        <v>0</v>
      </c>
      <c r="AF54" t="e">
        <f t="shared" si="3"/>
        <v>#VALUE!</v>
      </c>
      <c r="AG54" t="e">
        <f t="shared" si="4"/>
        <v>#VALUE!</v>
      </c>
      <c r="AH54" t="e">
        <f t="shared" si="5"/>
        <v>#VALUE!</v>
      </c>
    </row>
    <row r="55" ht="14.25" customHeight="1">
      <c r="A55" t="str">
        <f>IF(Moteur!D55="","",Moteur!D55)</f>
        <v>MBWAY_BOR</v>
      </c>
      <c r="B55" t="str">
        <f>IF(Moteur!B55="","",Moteur!B55)</f>
        <v>V03</v>
      </c>
      <c r="C55" t="str">
        <f>IF(Moteur!F55="","",Moteur!F55)</f>
        <v>BAC_MGT</v>
      </c>
      <c r="D55" t="str">
        <f>IF(Moteur!G55="","",Moteur!G55)</f>
        <v>B3</v>
      </c>
      <c r="E55" t="str">
        <f>IF(Moteur!H55="","",Moteur!H55)</f>
        <v>ALT</v>
      </c>
      <c r="F55" t="str">
        <f>IF(Moteur!E55="","",Moteur!E55)</f>
        <v>MBWAY</v>
      </c>
      <c r="G55">
        <f>IF($A55="","",_xlfn.SUMIFS(Socle!$H$1:$H$448,Socle!$C$1:$C$448,$A55,Socle!$D$1:$D$448,$C55,Socle!$E$1:$E$448,$D55,Socle!$F$1:$F$448,$E55,Socle!$G$1:$G$448,"2026"))</f>
        <v>0</v>
      </c>
      <c r="H55">
        <f>IF($A55="","",_xlfn.SUMIFS(Socle!$N$1:$N$448,Socle!$C$1:$C$448,$A55,Socle!$D$1:$D$448,$C55,Socle!$E$1:$E$448,$D55,Socle!$F$1:$F$448,$E55,Socle!$G$1:$G$448,"2026"))</f>
        <v>98</v>
      </c>
      <c r="I55">
        <f>IF($A55="","",_xlfn.SUMIFS(Socle!$P$1:$P$448,Socle!$C$1:$C$448,$A55,Socle!$D$1:$D$448,$C55,Socle!$E$1:$E$448,$D55,Socle!$F$1:$F$448,$E55,Socle!$G$1:$G$448,"2026"))</f>
        <v>13580</v>
      </c>
      <c r="J55">
        <f>IF($A55="","",_xlfn.SUMIFS(Socle!$W$1:$W$448,Socle!$C$1:$C$448,$A55,Socle!$D$1:$D$448,$C55,Socle!$E$1:$E$448,$D55,Socle!$F$1:$F$448,$E55,Socle!$G$1:$G$448,"2026"))</f>
        <v>0</v>
      </c>
      <c r="K55">
        <f>IF($A55="","",_xlfn.SUMIFS(Socle!$X$1:$X$448,Socle!$C$1:$C$448,$A55,Socle!$D$1:$D$448,$C55,Socle!$E$1:$E$448,$D55,Socle!$F$1:$F$448,$E55,Socle!$G$1:$G$448,"2026"))</f>
        <v>0</v>
      </c>
      <c r="L55">
        <f>IF($A55="","",_xlfn.SUMIFS(Socle!$Y$1:$Y$448,Socle!$C$1:$C$448,$A55,Socle!$D$1:$D$448,$C55,Socle!$E$1:$E$448,$D55,Socle!$F$1:$F$448,$E55,Socle!$G$1:$G$448,"2026"))</f>
        <v>0</v>
      </c>
      <c r="M55">
        <f>IF($A55="","",_xlfn.SUMIFS(Socle!$V$1:$V$448,Socle!$C$1:$C$448,$A55,Socle!$D$1:$D$448,$C55,Socle!$E$1:$E$448,$D55,Socle!$F$1:$F$448,$E55,Socle!$G$1:$G$448,"2026"))</f>
        <v>1.959183674</v>
      </c>
      <c r="N55">
        <f t="shared" si="0"/>
        <v>0</v>
      </c>
      <c r="O55">
        <f>IF($A55="","",_xlfn.SUMIFS(Campagne!$D$1:$D$128,Campagne!$C$1:$C$128,$A55))</f>
        <v>630</v>
      </c>
      <c r="P55">
        <f>IF($A55="","",_xlfn.SUMIFS(Campagne!$E$1:$E$128,Campagne!$C$1:$C$128,$A55))</f>
        <v>656</v>
      </c>
      <c r="Q55">
        <f>IF($A55="","",_xlfn.SUMIFS(Campagne!$F$1:$F$128,Campagne!$C$1:$C$128,$A55))</f>
        <v>1286</v>
      </c>
      <c r="R55">
        <f>IF($A55="","",_xlfn.SUMIFS(Campagne!$K$1:$K$128,Campagne!$C$1:$C$128,$A55))</f>
        <v>0.5384553</v>
      </c>
      <c r="S55">
        <f>IF($A55="","",_xlfn.SUMIFS(Campagne!$M$1:$M$128,Campagne!$C$1:$C$128,$A55))</f>
        <v>0.348249238</v>
      </c>
      <c r="T55">
        <f>IF($A55="","",_xlfn.SUMIFS(PIL!$K$15:$K$28,PIL!$A$15:$A$28,$A55)*_xlfn.SUMIFS(PIL!$J$15:$J$28,PIL!$A$15:$A$28,$A55)*(SUM(PIL!$K$15:$K$28)/SUMPRODUCT(PIL!$K$15:$K$28,PIL!$J$15:$J$28)))</f>
        <v>24923</v>
      </c>
      <c r="U55">
        <f>IF($A55="","",_xlfn.SUMIFS(PIL!$K$15:$K$28,PIL!$A$15:$A$28,$A55))</f>
        <v>24923</v>
      </c>
      <c r="V55" t="s">
        <v>274</v>
      </c>
      <c r="W55" t="s">
        <v>274</v>
      </c>
      <c r="X55" t="s">
        <v>274</v>
      </c>
      <c r="Y55" t="s">
        <v>274</v>
      </c>
      <c r="Z55" t="s">
        <v>274</v>
      </c>
      <c r="AA55" t="s">
        <v>274</v>
      </c>
      <c r="AB55" t="s">
        <v>274</v>
      </c>
      <c r="AC55" t="s">
        <v>274</v>
      </c>
      <c r="AD55" t="e">
        <f t="shared" si="1"/>
        <v>#VALUE!</v>
      </c>
      <c r="AE55">
        <f t="shared" si="2"/>
        <v>0</v>
      </c>
      <c r="AF55" t="e">
        <f t="shared" si="3"/>
        <v>#VALUE!</v>
      </c>
      <c r="AG55" t="e">
        <f t="shared" si="4"/>
        <v>#VALUE!</v>
      </c>
      <c r="AH55" t="e">
        <f t="shared" si="5"/>
        <v>#VALUE!</v>
      </c>
    </row>
    <row r="56" ht="14.25" customHeight="1">
      <c r="A56" t="str">
        <f>IF(Moteur!D56="","",Moteur!D56)</f>
        <v>MBWAY_BOR</v>
      </c>
      <c r="B56" t="str">
        <f>IF(Moteur!B56="","",Moteur!B56)</f>
        <v>V01</v>
      </c>
      <c r="C56" t="str">
        <f>IF(Moteur!F56="","",Moteur!F56)</f>
        <v>MAS_MGT</v>
      </c>
      <c r="D56" t="str">
        <f>IF(Moteur!G56="","",Moteur!G56)</f>
        <v>M1</v>
      </c>
      <c r="E56" t="str">
        <f>IF(Moteur!H56="","",Moteur!H56)</f>
        <v>ALT</v>
      </c>
      <c r="F56" t="str">
        <f>IF(Moteur!E56="","",Moteur!E56)</f>
        <v>MBWAY</v>
      </c>
      <c r="G56">
        <f>IF($A56="","",_xlfn.SUMIFS(Socle!$H$1:$H$448,Socle!$C$1:$C$448,$A56,Socle!$D$1:$D$448,$C56,Socle!$E$1:$E$448,$D56,Socle!$F$1:$F$448,$E56,Socle!$G$1:$G$448,"2026"))</f>
        <v>1730</v>
      </c>
      <c r="H56">
        <f>IF($A56="","",_xlfn.SUMIFS(Socle!$N$1:$N$448,Socle!$C$1:$C$448,$A56,Socle!$D$1:$D$448,$C56,Socle!$E$1:$E$448,$D56,Socle!$F$1:$F$448,$E56,Socle!$G$1:$G$448,"2026"))</f>
        <v>0</v>
      </c>
      <c r="I56">
        <f>IF($A56="","",_xlfn.SUMIFS(Socle!$P$1:$P$448,Socle!$C$1:$C$448,$A56,Socle!$D$1:$D$448,$C56,Socle!$E$1:$E$448,$D56,Socle!$F$1:$F$448,$E56,Socle!$G$1:$G$448,"2026"))</f>
        <v>14550</v>
      </c>
      <c r="J56">
        <f>IF($A56="","",_xlfn.SUMIFS(Socle!$W$1:$W$448,Socle!$C$1:$C$448,$A56,Socle!$D$1:$D$448,$C56,Socle!$E$1:$E$448,$D56,Socle!$F$1:$F$448,$E56,Socle!$G$1:$G$448,"2026"))</f>
        <v>0.4</v>
      </c>
      <c r="K56">
        <f>IF($A56="","",_xlfn.SUMIFS(Socle!$X$1:$X$448,Socle!$C$1:$C$448,$A56,Socle!$D$1:$D$448,$C56,Socle!$E$1:$E$448,$D56,Socle!$F$1:$F$448,$E56,Socle!$G$1:$G$448,"2026"))</f>
        <v>1.39884393</v>
      </c>
      <c r="L56">
        <f>IF($A56="","",_xlfn.SUMIFS(Socle!$Y$1:$Y$448,Socle!$C$1:$C$448,$A56,Socle!$D$1:$D$448,$C56,Socle!$E$1:$E$448,$D56,Socle!$F$1:$F$448,$E56,Socle!$G$1:$G$448,"2026"))</f>
        <v>0.842975206</v>
      </c>
      <c r="M56">
        <f>IF($A56="","",_xlfn.SUMIFS(Socle!$V$1:$V$448,Socle!$C$1:$C$448,$A56,Socle!$D$1:$D$448,$C56,Socle!$E$1:$E$448,$D56,Socle!$F$1:$F$448,$E56,Socle!$G$1:$G$448,"2026"))</f>
        <v>0</v>
      </c>
      <c r="N56">
        <f t="shared" si="0"/>
        <v>1</v>
      </c>
      <c r="O56">
        <f>IF($A56="","",_xlfn.SUMIFS(Campagne!$D$1:$D$128,Campagne!$C$1:$C$128,$A56))</f>
        <v>630</v>
      </c>
      <c r="P56">
        <f>IF($A56="","",_xlfn.SUMIFS(Campagne!$E$1:$E$128,Campagne!$C$1:$C$128,$A56))</f>
        <v>656</v>
      </c>
      <c r="Q56">
        <f>IF($A56="","",_xlfn.SUMIFS(Campagne!$F$1:$F$128,Campagne!$C$1:$C$128,$A56))</f>
        <v>1286</v>
      </c>
      <c r="R56">
        <f>IF($A56="","",_xlfn.SUMIFS(Campagne!$K$1:$K$128,Campagne!$C$1:$C$128,$A56))</f>
        <v>0.5384553</v>
      </c>
      <c r="S56">
        <f>IF($A56="","",_xlfn.SUMIFS(Campagne!$M$1:$M$128,Campagne!$C$1:$C$128,$A56))</f>
        <v>0.348249238</v>
      </c>
      <c r="T56">
        <f>IF($A56="","",_xlfn.SUMIFS(PIL!$K$15:$K$28,PIL!$A$15:$A$28,$A56)*_xlfn.SUMIFS(PIL!$J$15:$J$28,PIL!$A$15:$A$28,$A56)*(SUM(PIL!$K$15:$K$28)/SUMPRODUCT(PIL!$K$15:$K$28,PIL!$J$15:$J$28)))</f>
        <v>24923</v>
      </c>
      <c r="U56">
        <f>IF($A56="","",_xlfn.SUMIFS(PIL!$K$15:$K$28,PIL!$A$15:$A$28,$A56))</f>
        <v>24923</v>
      </c>
      <c r="V56" t="s">
        <v>274</v>
      </c>
      <c r="W56" t="s">
        <v>274</v>
      </c>
      <c r="X56" t="s">
        <v>274</v>
      </c>
      <c r="Y56" t="s">
        <v>274</v>
      </c>
      <c r="Z56" t="s">
        <v>274</v>
      </c>
      <c r="AA56" t="s">
        <v>274</v>
      </c>
      <c r="AB56" t="s">
        <v>274</v>
      </c>
      <c r="AC56" t="s">
        <v>274</v>
      </c>
      <c r="AD56" t="e">
        <f t="shared" si="1"/>
        <v>#VALUE!</v>
      </c>
      <c r="AE56" t="e">
        <f t="shared" si="2"/>
        <v>#VALUE!</v>
      </c>
      <c r="AF56" t="e">
        <f t="shared" si="3"/>
        <v>#VALUE!</v>
      </c>
      <c r="AG56" t="e">
        <f t="shared" si="4"/>
        <v>#VALUE!</v>
      </c>
      <c r="AH56" t="e">
        <f t="shared" si="5"/>
        <v>#VALUE!</v>
      </c>
    </row>
    <row r="57" ht="14.25" customHeight="1">
      <c r="A57" t="str">
        <f>IF(Moteur!D57="","",Moteur!D57)</f>
        <v>MBWAY_BOR</v>
      </c>
      <c r="B57" t="str">
        <f>IF(Moteur!B57="","",Moteur!B57)</f>
        <v>V02</v>
      </c>
      <c r="C57" t="str">
        <f>IF(Moteur!F57="","",Moteur!F57)</f>
        <v>MAS_MGT</v>
      </c>
      <c r="D57" t="str">
        <f>IF(Moteur!G57="","",Moteur!G57)</f>
        <v>M1</v>
      </c>
      <c r="E57" t="str">
        <f>IF(Moteur!H57="","",Moteur!H57)</f>
        <v>ALT</v>
      </c>
      <c r="F57" t="str">
        <f>IF(Moteur!E57="","",Moteur!E57)</f>
        <v>MBWAY</v>
      </c>
      <c r="G57">
        <f>IF($A57="","",_xlfn.SUMIFS(Socle!$H$1:$H$448,Socle!$C$1:$C$448,$A57,Socle!$D$1:$D$448,$C57,Socle!$E$1:$E$448,$D57,Socle!$F$1:$F$448,$E57,Socle!$G$1:$G$448,"2026"))</f>
        <v>1730</v>
      </c>
      <c r="H57">
        <f>IF($A57="","",_xlfn.SUMIFS(Socle!$N$1:$N$448,Socle!$C$1:$C$448,$A57,Socle!$D$1:$D$448,$C57,Socle!$E$1:$E$448,$D57,Socle!$F$1:$F$448,$E57,Socle!$G$1:$G$448,"2026"))</f>
        <v>0</v>
      </c>
      <c r="I57">
        <f>IF($A57="","",_xlfn.SUMIFS(Socle!$P$1:$P$448,Socle!$C$1:$C$448,$A57,Socle!$D$1:$D$448,$C57,Socle!$E$1:$E$448,$D57,Socle!$F$1:$F$448,$E57,Socle!$G$1:$G$448,"2026"))</f>
        <v>14550</v>
      </c>
      <c r="J57">
        <f>IF($A57="","",_xlfn.SUMIFS(Socle!$W$1:$W$448,Socle!$C$1:$C$448,$A57,Socle!$D$1:$D$448,$C57,Socle!$E$1:$E$448,$D57,Socle!$F$1:$F$448,$E57,Socle!$G$1:$G$448,"2026"))</f>
        <v>0.4</v>
      </c>
      <c r="K57">
        <f>IF($A57="","",_xlfn.SUMIFS(Socle!$X$1:$X$448,Socle!$C$1:$C$448,$A57,Socle!$D$1:$D$448,$C57,Socle!$E$1:$E$448,$D57,Socle!$F$1:$F$448,$E57,Socle!$G$1:$G$448,"2026"))</f>
        <v>1.39884393</v>
      </c>
      <c r="L57">
        <f>IF($A57="","",_xlfn.SUMIFS(Socle!$Y$1:$Y$448,Socle!$C$1:$C$448,$A57,Socle!$D$1:$D$448,$C57,Socle!$E$1:$E$448,$D57,Socle!$F$1:$F$448,$E57,Socle!$G$1:$G$448,"2026"))</f>
        <v>0.842975206</v>
      </c>
      <c r="M57">
        <f>IF($A57="","",_xlfn.SUMIFS(Socle!$V$1:$V$448,Socle!$C$1:$C$448,$A57,Socle!$D$1:$D$448,$C57,Socle!$E$1:$E$448,$D57,Socle!$F$1:$F$448,$E57,Socle!$G$1:$G$448,"2026"))</f>
        <v>0</v>
      </c>
      <c r="N57">
        <f t="shared" si="0"/>
        <v>1</v>
      </c>
      <c r="O57">
        <f>IF($A57="","",_xlfn.SUMIFS(Campagne!$D$1:$D$128,Campagne!$C$1:$C$128,$A57))</f>
        <v>630</v>
      </c>
      <c r="P57">
        <f>IF($A57="","",_xlfn.SUMIFS(Campagne!$E$1:$E$128,Campagne!$C$1:$C$128,$A57))</f>
        <v>656</v>
      </c>
      <c r="Q57">
        <f>IF($A57="","",_xlfn.SUMIFS(Campagne!$F$1:$F$128,Campagne!$C$1:$C$128,$A57))</f>
        <v>1286</v>
      </c>
      <c r="R57">
        <f>IF($A57="","",_xlfn.SUMIFS(Campagne!$K$1:$K$128,Campagne!$C$1:$C$128,$A57))</f>
        <v>0.5384553</v>
      </c>
      <c r="S57">
        <f>IF($A57="","",_xlfn.SUMIFS(Campagne!$M$1:$M$128,Campagne!$C$1:$C$128,$A57))</f>
        <v>0.348249238</v>
      </c>
      <c r="T57">
        <f>IF($A57="","",_xlfn.SUMIFS(PIL!$K$15:$K$28,PIL!$A$15:$A$28,$A57)*_xlfn.SUMIFS(PIL!$J$15:$J$28,PIL!$A$15:$A$28,$A57)*(SUM(PIL!$K$15:$K$28)/SUMPRODUCT(PIL!$K$15:$K$28,PIL!$J$15:$J$28)))</f>
        <v>24923</v>
      </c>
      <c r="U57">
        <f>IF($A57="","",_xlfn.SUMIFS(PIL!$K$15:$K$28,PIL!$A$15:$A$28,$A57))</f>
        <v>24923</v>
      </c>
      <c r="V57" t="s">
        <v>274</v>
      </c>
      <c r="W57" t="s">
        <v>274</v>
      </c>
      <c r="X57" t="s">
        <v>274</v>
      </c>
      <c r="Y57" t="s">
        <v>274</v>
      </c>
      <c r="Z57" t="s">
        <v>274</v>
      </c>
      <c r="AA57" t="s">
        <v>274</v>
      </c>
      <c r="AB57" t="s">
        <v>274</v>
      </c>
      <c r="AC57" t="s">
        <v>274</v>
      </c>
      <c r="AD57" t="e">
        <f t="shared" si="1"/>
        <v>#VALUE!</v>
      </c>
      <c r="AE57" t="e">
        <f t="shared" si="2"/>
        <v>#VALUE!</v>
      </c>
      <c r="AF57" t="e">
        <f t="shared" si="3"/>
        <v>#VALUE!</v>
      </c>
      <c r="AG57" t="e">
        <f t="shared" si="4"/>
        <v>#VALUE!</v>
      </c>
      <c r="AH57" t="e">
        <f t="shared" si="5"/>
        <v>#VALUE!</v>
      </c>
    </row>
    <row r="58" ht="14.25" customHeight="1">
      <c r="A58" t="str">
        <f>IF(Moteur!D58="","",Moteur!D58)</f>
        <v>MBWAY_BOR</v>
      </c>
      <c r="B58" t="str">
        <f>IF(Moteur!B58="","",Moteur!B58)</f>
        <v>V03</v>
      </c>
      <c r="C58" t="str">
        <f>IF(Moteur!F58="","",Moteur!F58)</f>
        <v>MAS_MGT</v>
      </c>
      <c r="D58" t="str">
        <f>IF(Moteur!G58="","",Moteur!G58)</f>
        <v>M1</v>
      </c>
      <c r="E58" t="str">
        <f>IF(Moteur!H58="","",Moteur!H58)</f>
        <v>ALT</v>
      </c>
      <c r="F58" t="str">
        <f>IF(Moteur!E58="","",Moteur!E58)</f>
        <v>MBWAY</v>
      </c>
      <c r="G58">
        <f>IF($A58="","",_xlfn.SUMIFS(Socle!$H$1:$H$448,Socle!$C$1:$C$448,$A58,Socle!$D$1:$D$448,$C58,Socle!$E$1:$E$448,$D58,Socle!$F$1:$F$448,$E58,Socle!$G$1:$G$448,"2026"))</f>
        <v>1730</v>
      </c>
      <c r="H58">
        <f>IF($A58="","",_xlfn.SUMIFS(Socle!$N$1:$N$448,Socle!$C$1:$C$448,$A58,Socle!$D$1:$D$448,$C58,Socle!$E$1:$E$448,$D58,Socle!$F$1:$F$448,$E58,Socle!$G$1:$G$448,"2026"))</f>
        <v>0</v>
      </c>
      <c r="I58">
        <f>IF($A58="","",_xlfn.SUMIFS(Socle!$P$1:$P$448,Socle!$C$1:$C$448,$A58,Socle!$D$1:$D$448,$C58,Socle!$E$1:$E$448,$D58,Socle!$F$1:$F$448,$E58,Socle!$G$1:$G$448,"2026"))</f>
        <v>14550</v>
      </c>
      <c r="J58">
        <f>IF($A58="","",_xlfn.SUMIFS(Socle!$W$1:$W$448,Socle!$C$1:$C$448,$A58,Socle!$D$1:$D$448,$C58,Socle!$E$1:$E$448,$D58,Socle!$F$1:$F$448,$E58,Socle!$G$1:$G$448,"2026"))</f>
        <v>0.4</v>
      </c>
      <c r="K58">
        <f>IF($A58="","",_xlfn.SUMIFS(Socle!$X$1:$X$448,Socle!$C$1:$C$448,$A58,Socle!$D$1:$D$448,$C58,Socle!$E$1:$E$448,$D58,Socle!$F$1:$F$448,$E58,Socle!$G$1:$G$448,"2026"))</f>
        <v>1.39884393</v>
      </c>
      <c r="L58">
        <f>IF($A58="","",_xlfn.SUMIFS(Socle!$Y$1:$Y$448,Socle!$C$1:$C$448,$A58,Socle!$D$1:$D$448,$C58,Socle!$E$1:$E$448,$D58,Socle!$F$1:$F$448,$E58,Socle!$G$1:$G$448,"2026"))</f>
        <v>0.842975206</v>
      </c>
      <c r="M58">
        <f>IF($A58="","",_xlfn.SUMIFS(Socle!$V$1:$V$448,Socle!$C$1:$C$448,$A58,Socle!$D$1:$D$448,$C58,Socle!$E$1:$E$448,$D58,Socle!$F$1:$F$448,$E58,Socle!$G$1:$G$448,"2026"))</f>
        <v>0</v>
      </c>
      <c r="N58">
        <f t="shared" si="0"/>
        <v>1</v>
      </c>
      <c r="O58">
        <f>IF($A58="","",_xlfn.SUMIFS(Campagne!$D$1:$D$128,Campagne!$C$1:$C$128,$A58))</f>
        <v>630</v>
      </c>
      <c r="P58">
        <f>IF($A58="","",_xlfn.SUMIFS(Campagne!$E$1:$E$128,Campagne!$C$1:$C$128,$A58))</f>
        <v>656</v>
      </c>
      <c r="Q58">
        <f>IF($A58="","",_xlfn.SUMIFS(Campagne!$F$1:$F$128,Campagne!$C$1:$C$128,$A58))</f>
        <v>1286</v>
      </c>
      <c r="R58">
        <f>IF($A58="","",_xlfn.SUMIFS(Campagne!$K$1:$K$128,Campagne!$C$1:$C$128,$A58))</f>
        <v>0.5384553</v>
      </c>
      <c r="S58">
        <f>IF($A58="","",_xlfn.SUMIFS(Campagne!$M$1:$M$128,Campagne!$C$1:$C$128,$A58))</f>
        <v>0.348249238</v>
      </c>
      <c r="T58">
        <f>IF($A58="","",_xlfn.SUMIFS(PIL!$K$15:$K$28,PIL!$A$15:$A$28,$A58)*_xlfn.SUMIFS(PIL!$J$15:$J$28,PIL!$A$15:$A$28,$A58)*(SUM(PIL!$K$15:$K$28)/SUMPRODUCT(PIL!$K$15:$K$28,PIL!$J$15:$J$28)))</f>
        <v>24923</v>
      </c>
      <c r="U58">
        <f>IF($A58="","",_xlfn.SUMIFS(PIL!$K$15:$K$28,PIL!$A$15:$A$28,$A58))</f>
        <v>24923</v>
      </c>
      <c r="V58" t="s">
        <v>274</v>
      </c>
      <c r="W58" t="s">
        <v>274</v>
      </c>
      <c r="X58" t="s">
        <v>274</v>
      </c>
      <c r="Y58" t="s">
        <v>274</v>
      </c>
      <c r="Z58" t="s">
        <v>274</v>
      </c>
      <c r="AA58" t="s">
        <v>274</v>
      </c>
      <c r="AB58" t="s">
        <v>274</v>
      </c>
      <c r="AC58" t="s">
        <v>274</v>
      </c>
      <c r="AD58" t="e">
        <f t="shared" si="1"/>
        <v>#VALUE!</v>
      </c>
      <c r="AE58" t="e">
        <f t="shared" si="2"/>
        <v>#VALUE!</v>
      </c>
      <c r="AF58" t="e">
        <f t="shared" si="3"/>
        <v>#VALUE!</v>
      </c>
      <c r="AG58" t="e">
        <f t="shared" si="4"/>
        <v>#VALUE!</v>
      </c>
      <c r="AH58" t="e">
        <f t="shared" si="5"/>
        <v>#VALUE!</v>
      </c>
    </row>
    <row r="59" ht="14.25" customHeight="1">
      <c r="A59" t="str">
        <f>IF(Moteur!D59="","",Moteur!D59)</f>
        <v>MBWAY_BOR</v>
      </c>
      <c r="B59" t="str">
        <f>IF(Moteur!B59="","",Moteur!B59)</f>
        <v>V01</v>
      </c>
      <c r="C59" t="str">
        <f>IF(Moteur!F59="","",Moteur!F59)</f>
        <v>MAS_MGT</v>
      </c>
      <c r="D59" t="str">
        <f>IF(Moteur!G59="","",Moteur!G59)</f>
        <v>M2</v>
      </c>
      <c r="E59" t="str">
        <f>IF(Moteur!H59="","",Moteur!H59)</f>
        <v>ALT</v>
      </c>
      <c r="F59" t="str">
        <f>IF(Moteur!E59="","",Moteur!E59)</f>
        <v>MBWAY</v>
      </c>
      <c r="G59">
        <f>IF($A59="","",_xlfn.SUMIFS(Socle!$H$1:$H$448,Socle!$C$1:$C$448,$A59,Socle!$D$1:$D$448,$C59,Socle!$E$1:$E$448,$D59,Socle!$F$1:$F$448,$E59,Socle!$G$1:$G$448,"2026"))</f>
        <v>0</v>
      </c>
      <c r="H59">
        <f>IF($A59="","",_xlfn.SUMIFS(Socle!$N$1:$N$448,Socle!$C$1:$C$448,$A59,Socle!$D$1:$D$448,$C59,Socle!$E$1:$E$448,$D59,Socle!$F$1:$F$448,$E59,Socle!$G$1:$G$448,"2026"))</f>
        <v>102</v>
      </c>
      <c r="I59">
        <f>IF($A59="","",_xlfn.SUMIFS(Socle!$P$1:$P$448,Socle!$C$1:$C$448,$A59,Socle!$D$1:$D$448,$C59,Socle!$E$1:$E$448,$D59,Socle!$F$1:$F$448,$E59,Socle!$G$1:$G$448,"2026"))</f>
        <v>14550</v>
      </c>
      <c r="J59">
        <f>IF($A59="","",_xlfn.SUMIFS(Socle!$W$1:$W$448,Socle!$C$1:$C$448,$A59,Socle!$D$1:$D$448,$C59,Socle!$E$1:$E$448,$D59,Socle!$F$1:$F$448,$E59,Socle!$G$1:$G$448,"2026"))</f>
        <v>0</v>
      </c>
      <c r="K59">
        <f>IF($A59="","",_xlfn.SUMIFS(Socle!$X$1:$X$448,Socle!$C$1:$C$448,$A59,Socle!$D$1:$D$448,$C59,Socle!$E$1:$E$448,$D59,Socle!$F$1:$F$448,$E59,Socle!$G$1:$G$448,"2026"))</f>
        <v>0</v>
      </c>
      <c r="L59">
        <f>IF($A59="","",_xlfn.SUMIFS(Socle!$Y$1:$Y$448,Socle!$C$1:$C$448,$A59,Socle!$D$1:$D$448,$C59,Socle!$E$1:$E$448,$D59,Socle!$F$1:$F$448,$E59,Socle!$G$1:$G$448,"2026"))</f>
        <v>0</v>
      </c>
      <c r="M59">
        <f>IF($A59="","",_xlfn.SUMIFS(Socle!$V$1:$V$448,Socle!$C$1:$C$448,$A59,Socle!$D$1:$D$448,$C59,Socle!$E$1:$E$448,$D59,Socle!$F$1:$F$448,$E59,Socle!$G$1:$G$448,"2026"))</f>
        <v>1.960784314</v>
      </c>
      <c r="N59">
        <f t="shared" si="0"/>
        <v>0</v>
      </c>
      <c r="O59">
        <f>IF($A59="","",_xlfn.SUMIFS(Campagne!$D$1:$D$128,Campagne!$C$1:$C$128,$A59))</f>
        <v>630</v>
      </c>
      <c r="P59">
        <f>IF($A59="","",_xlfn.SUMIFS(Campagne!$E$1:$E$128,Campagne!$C$1:$C$128,$A59))</f>
        <v>656</v>
      </c>
      <c r="Q59">
        <f>IF($A59="","",_xlfn.SUMIFS(Campagne!$F$1:$F$128,Campagne!$C$1:$C$128,$A59))</f>
        <v>1286</v>
      </c>
      <c r="R59">
        <f>IF($A59="","",_xlfn.SUMIFS(Campagne!$K$1:$K$128,Campagne!$C$1:$C$128,$A59))</f>
        <v>0.5384553</v>
      </c>
      <c r="S59">
        <f>IF($A59="","",_xlfn.SUMIFS(Campagne!$M$1:$M$128,Campagne!$C$1:$C$128,$A59))</f>
        <v>0.348249238</v>
      </c>
      <c r="T59">
        <f>IF($A59="","",_xlfn.SUMIFS(PIL!$K$15:$K$28,PIL!$A$15:$A$28,$A59)*_xlfn.SUMIFS(PIL!$J$15:$J$28,PIL!$A$15:$A$28,$A59)*(SUM(PIL!$K$15:$K$28)/SUMPRODUCT(PIL!$K$15:$K$28,PIL!$J$15:$J$28)))</f>
        <v>24923</v>
      </c>
      <c r="U59">
        <f>IF($A59="","",_xlfn.SUMIFS(PIL!$K$15:$K$28,PIL!$A$15:$A$28,$A59))</f>
        <v>24923</v>
      </c>
      <c r="V59" t="s">
        <v>274</v>
      </c>
      <c r="W59" t="s">
        <v>274</v>
      </c>
      <c r="X59" t="s">
        <v>274</v>
      </c>
      <c r="Y59" t="s">
        <v>274</v>
      </c>
      <c r="Z59" t="s">
        <v>274</v>
      </c>
      <c r="AA59" t="s">
        <v>274</v>
      </c>
      <c r="AB59" t="s">
        <v>274</v>
      </c>
      <c r="AC59" t="s">
        <v>274</v>
      </c>
      <c r="AD59" t="e">
        <f t="shared" si="1"/>
        <v>#VALUE!</v>
      </c>
      <c r="AE59">
        <f t="shared" si="2"/>
        <v>0</v>
      </c>
      <c r="AF59" t="e">
        <f t="shared" si="3"/>
        <v>#VALUE!</v>
      </c>
      <c r="AG59" t="e">
        <f t="shared" si="4"/>
        <v>#VALUE!</v>
      </c>
      <c r="AH59" t="e">
        <f t="shared" si="5"/>
        <v>#VALUE!</v>
      </c>
    </row>
    <row r="60" ht="14.25" customHeight="1">
      <c r="A60" t="str">
        <f>IF(Moteur!D60="","",Moteur!D60)</f>
        <v>MBWAY_BOR</v>
      </c>
      <c r="B60" t="str">
        <f>IF(Moteur!B60="","",Moteur!B60)</f>
        <v>V02</v>
      </c>
      <c r="C60" t="str">
        <f>IF(Moteur!F60="","",Moteur!F60)</f>
        <v>MAS_MGT</v>
      </c>
      <c r="D60" t="str">
        <f>IF(Moteur!G60="","",Moteur!G60)</f>
        <v>M2</v>
      </c>
      <c r="E60" t="str">
        <f>IF(Moteur!H60="","",Moteur!H60)</f>
        <v>ALT</v>
      </c>
      <c r="F60" t="str">
        <f>IF(Moteur!E60="","",Moteur!E60)</f>
        <v>MBWAY</v>
      </c>
      <c r="G60">
        <f>IF($A60="","",_xlfn.SUMIFS(Socle!$H$1:$H$448,Socle!$C$1:$C$448,$A60,Socle!$D$1:$D$448,$C60,Socle!$E$1:$E$448,$D60,Socle!$F$1:$F$448,$E60,Socle!$G$1:$G$448,"2026"))</f>
        <v>0</v>
      </c>
      <c r="H60">
        <f>IF($A60="","",_xlfn.SUMIFS(Socle!$N$1:$N$448,Socle!$C$1:$C$448,$A60,Socle!$D$1:$D$448,$C60,Socle!$E$1:$E$448,$D60,Socle!$F$1:$F$448,$E60,Socle!$G$1:$G$448,"2026"))</f>
        <v>102</v>
      </c>
      <c r="I60">
        <f>IF($A60="","",_xlfn.SUMIFS(Socle!$P$1:$P$448,Socle!$C$1:$C$448,$A60,Socle!$D$1:$D$448,$C60,Socle!$E$1:$E$448,$D60,Socle!$F$1:$F$448,$E60,Socle!$G$1:$G$448,"2026"))</f>
        <v>14550</v>
      </c>
      <c r="J60">
        <f>IF($A60="","",_xlfn.SUMIFS(Socle!$W$1:$W$448,Socle!$C$1:$C$448,$A60,Socle!$D$1:$D$448,$C60,Socle!$E$1:$E$448,$D60,Socle!$F$1:$F$448,$E60,Socle!$G$1:$G$448,"2026"))</f>
        <v>0</v>
      </c>
      <c r="K60">
        <f>IF($A60="","",_xlfn.SUMIFS(Socle!$X$1:$X$448,Socle!$C$1:$C$448,$A60,Socle!$D$1:$D$448,$C60,Socle!$E$1:$E$448,$D60,Socle!$F$1:$F$448,$E60,Socle!$G$1:$G$448,"2026"))</f>
        <v>0</v>
      </c>
      <c r="L60">
        <f>IF($A60="","",_xlfn.SUMIFS(Socle!$Y$1:$Y$448,Socle!$C$1:$C$448,$A60,Socle!$D$1:$D$448,$C60,Socle!$E$1:$E$448,$D60,Socle!$F$1:$F$448,$E60,Socle!$G$1:$G$448,"2026"))</f>
        <v>0</v>
      </c>
      <c r="M60">
        <f>IF($A60="","",_xlfn.SUMIFS(Socle!$V$1:$V$448,Socle!$C$1:$C$448,$A60,Socle!$D$1:$D$448,$C60,Socle!$E$1:$E$448,$D60,Socle!$F$1:$F$448,$E60,Socle!$G$1:$G$448,"2026"))</f>
        <v>1.960784314</v>
      </c>
      <c r="N60">
        <f t="shared" si="0"/>
        <v>0</v>
      </c>
      <c r="O60">
        <f>IF($A60="","",_xlfn.SUMIFS(Campagne!$D$1:$D$128,Campagne!$C$1:$C$128,$A60))</f>
        <v>630</v>
      </c>
      <c r="P60">
        <f>IF($A60="","",_xlfn.SUMIFS(Campagne!$E$1:$E$128,Campagne!$C$1:$C$128,$A60))</f>
        <v>656</v>
      </c>
      <c r="Q60">
        <f>IF($A60="","",_xlfn.SUMIFS(Campagne!$F$1:$F$128,Campagne!$C$1:$C$128,$A60))</f>
        <v>1286</v>
      </c>
      <c r="R60">
        <f>IF($A60="","",_xlfn.SUMIFS(Campagne!$K$1:$K$128,Campagne!$C$1:$C$128,$A60))</f>
        <v>0.5384553</v>
      </c>
      <c r="S60">
        <f>IF($A60="","",_xlfn.SUMIFS(Campagne!$M$1:$M$128,Campagne!$C$1:$C$128,$A60))</f>
        <v>0.348249238</v>
      </c>
      <c r="T60">
        <f>IF($A60="","",_xlfn.SUMIFS(PIL!$K$15:$K$28,PIL!$A$15:$A$28,$A60)*_xlfn.SUMIFS(PIL!$J$15:$J$28,PIL!$A$15:$A$28,$A60)*(SUM(PIL!$K$15:$K$28)/SUMPRODUCT(PIL!$K$15:$K$28,PIL!$J$15:$J$28)))</f>
        <v>24923</v>
      </c>
      <c r="U60">
        <f>IF($A60="","",_xlfn.SUMIFS(PIL!$K$15:$K$28,PIL!$A$15:$A$28,$A60))</f>
        <v>24923</v>
      </c>
      <c r="V60" t="s">
        <v>274</v>
      </c>
      <c r="W60" t="s">
        <v>274</v>
      </c>
      <c r="X60" t="s">
        <v>274</v>
      </c>
      <c r="Y60" t="s">
        <v>274</v>
      </c>
      <c r="Z60" t="s">
        <v>274</v>
      </c>
      <c r="AA60" t="s">
        <v>274</v>
      </c>
      <c r="AB60" t="s">
        <v>274</v>
      </c>
      <c r="AC60" t="s">
        <v>274</v>
      </c>
      <c r="AD60" t="e">
        <f t="shared" si="1"/>
        <v>#VALUE!</v>
      </c>
      <c r="AE60">
        <f t="shared" si="2"/>
        <v>0</v>
      </c>
      <c r="AF60" t="e">
        <f t="shared" si="3"/>
        <v>#VALUE!</v>
      </c>
      <c r="AG60" t="e">
        <f t="shared" si="4"/>
        <v>#VALUE!</v>
      </c>
      <c r="AH60" t="e">
        <f t="shared" si="5"/>
        <v>#VALUE!</v>
      </c>
    </row>
    <row r="61" ht="14.25" customHeight="1">
      <c r="A61" t="str">
        <f>IF(Moteur!D61="","",Moteur!D61)</f>
        <v>MBWAY_BOR</v>
      </c>
      <c r="B61" t="str">
        <f>IF(Moteur!B61="","",Moteur!B61)</f>
        <v>V03</v>
      </c>
      <c r="C61" t="str">
        <f>IF(Moteur!F61="","",Moteur!F61)</f>
        <v>MAS_MGT</v>
      </c>
      <c r="D61" t="str">
        <f>IF(Moteur!G61="","",Moteur!G61)</f>
        <v>M2</v>
      </c>
      <c r="E61" t="str">
        <f>IF(Moteur!H61="","",Moteur!H61)</f>
        <v>ALT</v>
      </c>
      <c r="F61" t="str">
        <f>IF(Moteur!E61="","",Moteur!E61)</f>
        <v>MBWAY</v>
      </c>
      <c r="G61">
        <f>IF($A61="","",_xlfn.SUMIFS(Socle!$H$1:$H$448,Socle!$C$1:$C$448,$A61,Socle!$D$1:$D$448,$C61,Socle!$E$1:$E$448,$D61,Socle!$F$1:$F$448,$E61,Socle!$G$1:$G$448,"2026"))</f>
        <v>0</v>
      </c>
      <c r="H61">
        <f>IF($A61="","",_xlfn.SUMIFS(Socle!$N$1:$N$448,Socle!$C$1:$C$448,$A61,Socle!$D$1:$D$448,$C61,Socle!$E$1:$E$448,$D61,Socle!$F$1:$F$448,$E61,Socle!$G$1:$G$448,"2026"))</f>
        <v>102</v>
      </c>
      <c r="I61">
        <f>IF($A61="","",_xlfn.SUMIFS(Socle!$P$1:$P$448,Socle!$C$1:$C$448,$A61,Socle!$D$1:$D$448,$C61,Socle!$E$1:$E$448,$D61,Socle!$F$1:$F$448,$E61,Socle!$G$1:$G$448,"2026"))</f>
        <v>14550</v>
      </c>
      <c r="J61">
        <f>IF($A61="","",_xlfn.SUMIFS(Socle!$W$1:$W$448,Socle!$C$1:$C$448,$A61,Socle!$D$1:$D$448,$C61,Socle!$E$1:$E$448,$D61,Socle!$F$1:$F$448,$E61,Socle!$G$1:$G$448,"2026"))</f>
        <v>0</v>
      </c>
      <c r="K61">
        <f>IF($A61="","",_xlfn.SUMIFS(Socle!$X$1:$X$448,Socle!$C$1:$C$448,$A61,Socle!$D$1:$D$448,$C61,Socle!$E$1:$E$448,$D61,Socle!$F$1:$F$448,$E61,Socle!$G$1:$G$448,"2026"))</f>
        <v>0</v>
      </c>
      <c r="L61">
        <f>IF($A61="","",_xlfn.SUMIFS(Socle!$Y$1:$Y$448,Socle!$C$1:$C$448,$A61,Socle!$D$1:$D$448,$C61,Socle!$E$1:$E$448,$D61,Socle!$F$1:$F$448,$E61,Socle!$G$1:$G$448,"2026"))</f>
        <v>0</v>
      </c>
      <c r="M61">
        <f>IF($A61="","",_xlfn.SUMIFS(Socle!$V$1:$V$448,Socle!$C$1:$C$448,$A61,Socle!$D$1:$D$448,$C61,Socle!$E$1:$E$448,$D61,Socle!$F$1:$F$448,$E61,Socle!$G$1:$G$448,"2026"))</f>
        <v>1.960784314</v>
      </c>
      <c r="N61">
        <f t="shared" si="0"/>
        <v>0</v>
      </c>
      <c r="O61">
        <f>IF($A61="","",_xlfn.SUMIFS(Campagne!$D$1:$D$128,Campagne!$C$1:$C$128,$A61))</f>
        <v>630</v>
      </c>
      <c r="P61">
        <f>IF($A61="","",_xlfn.SUMIFS(Campagne!$E$1:$E$128,Campagne!$C$1:$C$128,$A61))</f>
        <v>656</v>
      </c>
      <c r="Q61">
        <f>IF($A61="","",_xlfn.SUMIFS(Campagne!$F$1:$F$128,Campagne!$C$1:$C$128,$A61))</f>
        <v>1286</v>
      </c>
      <c r="R61">
        <f>IF($A61="","",_xlfn.SUMIFS(Campagne!$K$1:$K$128,Campagne!$C$1:$C$128,$A61))</f>
        <v>0.5384553</v>
      </c>
      <c r="S61">
        <f>IF($A61="","",_xlfn.SUMIFS(Campagne!$M$1:$M$128,Campagne!$C$1:$C$128,$A61))</f>
        <v>0.348249238</v>
      </c>
      <c r="T61">
        <f>IF($A61="","",_xlfn.SUMIFS(PIL!$K$15:$K$28,PIL!$A$15:$A$28,$A61)*_xlfn.SUMIFS(PIL!$J$15:$J$28,PIL!$A$15:$A$28,$A61)*(SUM(PIL!$K$15:$K$28)/SUMPRODUCT(PIL!$K$15:$K$28,PIL!$J$15:$J$28)))</f>
        <v>24923</v>
      </c>
      <c r="U61">
        <f>IF($A61="","",_xlfn.SUMIFS(PIL!$K$15:$K$28,PIL!$A$15:$A$28,$A61))</f>
        <v>24923</v>
      </c>
      <c r="V61" t="s">
        <v>274</v>
      </c>
      <c r="W61" t="s">
        <v>274</v>
      </c>
      <c r="X61" t="s">
        <v>274</v>
      </c>
      <c r="Y61" t="s">
        <v>274</v>
      </c>
      <c r="Z61" t="s">
        <v>274</v>
      </c>
      <c r="AA61" t="s">
        <v>274</v>
      </c>
      <c r="AB61" t="s">
        <v>274</v>
      </c>
      <c r="AC61" t="s">
        <v>274</v>
      </c>
      <c r="AD61" t="e">
        <f t="shared" si="1"/>
        <v>#VALUE!</v>
      </c>
      <c r="AE61">
        <f t="shared" si="2"/>
        <v>0</v>
      </c>
      <c r="AF61" t="e">
        <f t="shared" si="3"/>
        <v>#VALUE!</v>
      </c>
      <c r="AG61" t="e">
        <f t="shared" si="4"/>
        <v>#VALUE!</v>
      </c>
      <c r="AH61" t="e">
        <f t="shared" si="5"/>
        <v>#VALUE!</v>
      </c>
    </row>
    <row r="62" ht="14.25" customHeight="1">
      <c r="A62" t="str">
        <f>IF(Moteur!D62="","",Moteur!D62)</f>
        <v>ISCOM_PAR</v>
      </c>
      <c r="B62" t="str">
        <f>IF(Moteur!B62="","",Moteur!B62)</f>
        <v>V01</v>
      </c>
      <c r="C62" t="str">
        <f>IF(Moteur!F62="","",Moteur!F62)</f>
        <v>BAC_COM</v>
      </c>
      <c r="D62" t="str">
        <f>IF(Moteur!G62="","",Moteur!G62)</f>
        <v>B1</v>
      </c>
      <c r="E62" t="str">
        <f>IF(Moteur!H62="","",Moteur!H62)</f>
        <v>INIT</v>
      </c>
      <c r="F62" t="str">
        <f>IF(Moteur!E62="","",Moteur!E62)</f>
        <v>ISCOM</v>
      </c>
      <c r="G62">
        <f>IF($A62="","",_xlfn.SUMIFS(Socle!$H$1:$H$448,Socle!$C$1:$C$448,$A62,Socle!$D$1:$D$448,$C62,Socle!$E$1:$E$448,$D62,Socle!$F$1:$F$448,$E62,Socle!$G$1:$G$448,"2026"))</f>
        <v>1192</v>
      </c>
      <c r="H62">
        <f>IF($A62="","",_xlfn.SUMIFS(Socle!$N$1:$N$448,Socle!$C$1:$C$448,$A62,Socle!$D$1:$D$448,$C62,Socle!$E$1:$E$448,$D62,Socle!$F$1:$F$448,$E62,Socle!$G$1:$G$448,"2026"))</f>
        <v>0</v>
      </c>
      <c r="I62">
        <f>IF($A62="","",_xlfn.SUMIFS(Socle!$P$1:$P$448,Socle!$C$1:$C$448,$A62,Socle!$D$1:$D$448,$C62,Socle!$E$1:$E$448,$D62,Socle!$F$1:$F$448,$E62,Socle!$G$1:$G$448,"2026"))</f>
        <v>16800</v>
      </c>
      <c r="J62">
        <f>IF($A62="","",_xlfn.SUMIFS(Socle!$W$1:$W$448,Socle!$C$1:$C$448,$A62,Socle!$D$1:$D$448,$C62,Socle!$E$1:$E$448,$D62,Socle!$F$1:$F$448,$E62,Socle!$G$1:$G$448,"2026"))</f>
        <v>0.560402684</v>
      </c>
      <c r="K62">
        <f>IF($A62="","",_xlfn.SUMIFS(Socle!$X$1:$X$448,Socle!$C$1:$C$448,$A62,Socle!$D$1:$D$448,$C62,Socle!$E$1:$E$448,$D62,Socle!$F$1:$F$448,$E62,Socle!$G$1:$G$448,"2026"))</f>
        <v>1.437125748</v>
      </c>
      <c r="L62">
        <f>IF($A62="","",_xlfn.SUMIFS(Socle!$Y$1:$Y$448,Socle!$C$1:$C$448,$A62,Socle!$D$1:$D$448,$C62,Socle!$E$1:$E$448,$D62,Socle!$F$1:$F$448,$E62,Socle!$G$1:$G$448,"2026"))</f>
        <v>1.2</v>
      </c>
      <c r="M62">
        <f>IF($A62="","",_xlfn.SUMIFS(Socle!$V$1:$V$448,Socle!$C$1:$C$448,$A62,Socle!$D$1:$D$448,$C62,Socle!$E$1:$E$448,$D62,Socle!$F$1:$F$448,$E62,Socle!$G$1:$G$448,"2026"))</f>
        <v>0</v>
      </c>
      <c r="N62">
        <f t="shared" si="0"/>
        <v>1</v>
      </c>
      <c r="O62">
        <f>IF($A62="","",_xlfn.SUMIFS(Campagne!$D$1:$D$128,Campagne!$C$1:$C$128,$A62))</f>
        <v>690</v>
      </c>
      <c r="P62">
        <f>IF($A62="","",_xlfn.SUMIFS(Campagne!$E$1:$E$128,Campagne!$C$1:$C$128,$A62))</f>
        <v>1126</v>
      </c>
      <c r="Q62">
        <f>IF($A62="","",_xlfn.SUMIFS(Campagne!$F$1:$F$128,Campagne!$C$1:$C$128,$A62))</f>
        <v>1816</v>
      </c>
      <c r="R62">
        <f>IF($A62="","",_xlfn.SUMIFS(Campagne!$K$1:$K$128,Campagne!$C$1:$C$128,$A62))</f>
        <v>0.442086485</v>
      </c>
      <c r="S62">
        <f>IF($A62="","",_xlfn.SUMIFS(Campagne!$M$1:$M$128,Campagne!$C$1:$C$128,$A62))</f>
        <v>0.317193575</v>
      </c>
      <c r="T62">
        <f>IF($A62="","",_xlfn.SUMIFS(PIL!$K$15:$K$28,PIL!$A$15:$A$28,$A62)*_xlfn.SUMIFS(PIL!$J$15:$J$28,PIL!$A$15:$A$28,$A62)*(SUM(PIL!$K$15:$K$28)/SUMPRODUCT(PIL!$K$15:$K$28,PIL!$J$15:$J$28)))</f>
        <v>60800</v>
      </c>
      <c r="U62">
        <f>IF($A62="","",_xlfn.SUMIFS(PIL!$K$15:$K$28,PIL!$A$15:$A$28,$A62))</f>
        <v>60800</v>
      </c>
      <c r="V62" t="s">
        <v>274</v>
      </c>
      <c r="W62" t="s">
        <v>274</v>
      </c>
      <c r="X62" t="s">
        <v>274</v>
      </c>
      <c r="Y62" t="s">
        <v>274</v>
      </c>
      <c r="Z62" t="s">
        <v>274</v>
      </c>
      <c r="AA62" t="s">
        <v>274</v>
      </c>
      <c r="AB62" t="s">
        <v>274</v>
      </c>
      <c r="AC62" t="s">
        <v>274</v>
      </c>
      <c r="AD62" t="e">
        <f t="shared" si="1"/>
        <v>#VALUE!</v>
      </c>
      <c r="AE62" t="e">
        <f t="shared" si="2"/>
        <v>#VALUE!</v>
      </c>
      <c r="AF62" t="e">
        <f t="shared" si="3"/>
        <v>#VALUE!</v>
      </c>
      <c r="AG62" t="e">
        <f t="shared" si="4"/>
        <v>#VALUE!</v>
      </c>
      <c r="AH62" t="e">
        <f t="shared" si="5"/>
        <v>#VALUE!</v>
      </c>
    </row>
    <row r="63" ht="14.25" customHeight="1">
      <c r="A63" t="str">
        <f>IF(Moteur!D63="","",Moteur!D63)</f>
        <v>ISCOM_PAR</v>
      </c>
      <c r="B63" t="str">
        <f>IF(Moteur!B63="","",Moteur!B63)</f>
        <v>V02</v>
      </c>
      <c r="C63" t="str">
        <f>IF(Moteur!F63="","",Moteur!F63)</f>
        <v>BAC_COM</v>
      </c>
      <c r="D63" t="str">
        <f>IF(Moteur!G63="","",Moteur!G63)</f>
        <v>B1</v>
      </c>
      <c r="E63" t="str">
        <f>IF(Moteur!H63="","",Moteur!H63)</f>
        <v>INIT</v>
      </c>
      <c r="F63" t="str">
        <f>IF(Moteur!E63="","",Moteur!E63)</f>
        <v>ISCOM</v>
      </c>
      <c r="G63">
        <f>IF($A63="","",_xlfn.SUMIFS(Socle!$H$1:$H$448,Socle!$C$1:$C$448,$A63,Socle!$D$1:$D$448,$C63,Socle!$E$1:$E$448,$D63,Socle!$F$1:$F$448,$E63,Socle!$G$1:$G$448,"2026"))</f>
        <v>1192</v>
      </c>
      <c r="H63">
        <f>IF($A63="","",_xlfn.SUMIFS(Socle!$N$1:$N$448,Socle!$C$1:$C$448,$A63,Socle!$D$1:$D$448,$C63,Socle!$E$1:$E$448,$D63,Socle!$F$1:$F$448,$E63,Socle!$G$1:$G$448,"2026"))</f>
        <v>0</v>
      </c>
      <c r="I63">
        <f>IF($A63="","",_xlfn.SUMIFS(Socle!$P$1:$P$448,Socle!$C$1:$C$448,$A63,Socle!$D$1:$D$448,$C63,Socle!$E$1:$E$448,$D63,Socle!$F$1:$F$448,$E63,Socle!$G$1:$G$448,"2026"))</f>
        <v>16800</v>
      </c>
      <c r="J63">
        <f>IF($A63="","",_xlfn.SUMIFS(Socle!$W$1:$W$448,Socle!$C$1:$C$448,$A63,Socle!$D$1:$D$448,$C63,Socle!$E$1:$E$448,$D63,Socle!$F$1:$F$448,$E63,Socle!$G$1:$G$448,"2026"))</f>
        <v>0.560402684</v>
      </c>
      <c r="K63">
        <f>IF($A63="","",_xlfn.SUMIFS(Socle!$X$1:$X$448,Socle!$C$1:$C$448,$A63,Socle!$D$1:$D$448,$C63,Socle!$E$1:$E$448,$D63,Socle!$F$1:$F$448,$E63,Socle!$G$1:$G$448,"2026"))</f>
        <v>1.437125748</v>
      </c>
      <c r="L63">
        <f>IF($A63="","",_xlfn.SUMIFS(Socle!$Y$1:$Y$448,Socle!$C$1:$C$448,$A63,Socle!$D$1:$D$448,$C63,Socle!$E$1:$E$448,$D63,Socle!$F$1:$F$448,$E63,Socle!$G$1:$G$448,"2026"))</f>
        <v>1.2</v>
      </c>
      <c r="M63">
        <f>IF($A63="","",_xlfn.SUMIFS(Socle!$V$1:$V$448,Socle!$C$1:$C$448,$A63,Socle!$D$1:$D$448,$C63,Socle!$E$1:$E$448,$D63,Socle!$F$1:$F$448,$E63,Socle!$G$1:$G$448,"2026"))</f>
        <v>0</v>
      </c>
      <c r="N63">
        <f t="shared" si="0"/>
        <v>1</v>
      </c>
      <c r="O63">
        <f>IF($A63="","",_xlfn.SUMIFS(Campagne!$D$1:$D$128,Campagne!$C$1:$C$128,$A63))</f>
        <v>690</v>
      </c>
      <c r="P63">
        <f>IF($A63="","",_xlfn.SUMIFS(Campagne!$E$1:$E$128,Campagne!$C$1:$C$128,$A63))</f>
        <v>1126</v>
      </c>
      <c r="Q63">
        <f>IF($A63="","",_xlfn.SUMIFS(Campagne!$F$1:$F$128,Campagne!$C$1:$C$128,$A63))</f>
        <v>1816</v>
      </c>
      <c r="R63">
        <f>IF($A63="","",_xlfn.SUMIFS(Campagne!$K$1:$K$128,Campagne!$C$1:$C$128,$A63))</f>
        <v>0.442086485</v>
      </c>
      <c r="S63">
        <f>IF($A63="","",_xlfn.SUMIFS(Campagne!$M$1:$M$128,Campagne!$C$1:$C$128,$A63))</f>
        <v>0.317193575</v>
      </c>
      <c r="T63">
        <f>IF($A63="","",_xlfn.SUMIFS(PIL!$K$15:$K$28,PIL!$A$15:$A$28,$A63)*_xlfn.SUMIFS(PIL!$J$15:$J$28,PIL!$A$15:$A$28,$A63)*(SUM(PIL!$K$15:$K$28)/SUMPRODUCT(PIL!$K$15:$K$28,PIL!$J$15:$J$28)))</f>
        <v>60800</v>
      </c>
      <c r="U63">
        <f>IF($A63="","",_xlfn.SUMIFS(PIL!$K$15:$K$28,PIL!$A$15:$A$28,$A63))</f>
        <v>60800</v>
      </c>
      <c r="V63" t="s">
        <v>274</v>
      </c>
      <c r="W63" t="s">
        <v>274</v>
      </c>
      <c r="X63" t="s">
        <v>274</v>
      </c>
      <c r="Y63" t="s">
        <v>274</v>
      </c>
      <c r="Z63" t="s">
        <v>274</v>
      </c>
      <c r="AA63" t="s">
        <v>274</v>
      </c>
      <c r="AB63" t="s">
        <v>274</v>
      </c>
      <c r="AC63" t="s">
        <v>274</v>
      </c>
      <c r="AD63" t="e">
        <f t="shared" si="1"/>
        <v>#VALUE!</v>
      </c>
      <c r="AE63" t="e">
        <f t="shared" si="2"/>
        <v>#VALUE!</v>
      </c>
      <c r="AF63" t="e">
        <f t="shared" si="3"/>
        <v>#VALUE!</v>
      </c>
      <c r="AG63" t="e">
        <f t="shared" si="4"/>
        <v>#VALUE!</v>
      </c>
      <c r="AH63" t="e">
        <f t="shared" si="5"/>
        <v>#VALUE!</v>
      </c>
    </row>
    <row r="64" ht="14.25" customHeight="1">
      <c r="A64" t="str">
        <f>IF(Moteur!D64="","",Moteur!D64)</f>
        <v>ISCOM_PAR</v>
      </c>
      <c r="B64" t="str">
        <f>IF(Moteur!B64="","",Moteur!B64)</f>
        <v>V03</v>
      </c>
      <c r="C64" t="str">
        <f>IF(Moteur!F64="","",Moteur!F64)</f>
        <v>BAC_COM</v>
      </c>
      <c r="D64" t="str">
        <f>IF(Moteur!G64="","",Moteur!G64)</f>
        <v>B1</v>
      </c>
      <c r="E64" t="str">
        <f>IF(Moteur!H64="","",Moteur!H64)</f>
        <v>INIT</v>
      </c>
      <c r="F64" t="str">
        <f>IF(Moteur!E64="","",Moteur!E64)</f>
        <v>ISCOM</v>
      </c>
      <c r="G64">
        <f>IF($A64="","",_xlfn.SUMIFS(Socle!$H$1:$H$448,Socle!$C$1:$C$448,$A64,Socle!$D$1:$D$448,$C64,Socle!$E$1:$E$448,$D64,Socle!$F$1:$F$448,$E64,Socle!$G$1:$G$448,"2026"))</f>
        <v>1192</v>
      </c>
      <c r="H64">
        <f>IF($A64="","",_xlfn.SUMIFS(Socle!$N$1:$N$448,Socle!$C$1:$C$448,$A64,Socle!$D$1:$D$448,$C64,Socle!$E$1:$E$448,$D64,Socle!$F$1:$F$448,$E64,Socle!$G$1:$G$448,"2026"))</f>
        <v>0</v>
      </c>
      <c r="I64">
        <f>IF($A64="","",_xlfn.SUMIFS(Socle!$P$1:$P$448,Socle!$C$1:$C$448,$A64,Socle!$D$1:$D$448,$C64,Socle!$E$1:$E$448,$D64,Socle!$F$1:$F$448,$E64,Socle!$G$1:$G$448,"2026"))</f>
        <v>16800</v>
      </c>
      <c r="J64">
        <f>IF($A64="","",_xlfn.SUMIFS(Socle!$W$1:$W$448,Socle!$C$1:$C$448,$A64,Socle!$D$1:$D$448,$C64,Socle!$E$1:$E$448,$D64,Socle!$F$1:$F$448,$E64,Socle!$G$1:$G$448,"2026"))</f>
        <v>0.560402684</v>
      </c>
      <c r="K64">
        <f>IF($A64="","",_xlfn.SUMIFS(Socle!$X$1:$X$448,Socle!$C$1:$C$448,$A64,Socle!$D$1:$D$448,$C64,Socle!$E$1:$E$448,$D64,Socle!$F$1:$F$448,$E64,Socle!$G$1:$G$448,"2026"))</f>
        <v>1.437125748</v>
      </c>
      <c r="L64">
        <f>IF($A64="","",_xlfn.SUMIFS(Socle!$Y$1:$Y$448,Socle!$C$1:$C$448,$A64,Socle!$D$1:$D$448,$C64,Socle!$E$1:$E$448,$D64,Socle!$F$1:$F$448,$E64,Socle!$G$1:$G$448,"2026"))</f>
        <v>1.2</v>
      </c>
      <c r="M64">
        <f>IF($A64="","",_xlfn.SUMIFS(Socle!$V$1:$V$448,Socle!$C$1:$C$448,$A64,Socle!$D$1:$D$448,$C64,Socle!$E$1:$E$448,$D64,Socle!$F$1:$F$448,$E64,Socle!$G$1:$G$448,"2026"))</f>
        <v>0</v>
      </c>
      <c r="N64">
        <f t="shared" si="0"/>
        <v>1</v>
      </c>
      <c r="O64">
        <f>IF($A64="","",_xlfn.SUMIFS(Campagne!$D$1:$D$128,Campagne!$C$1:$C$128,$A64))</f>
        <v>690</v>
      </c>
      <c r="P64">
        <f>IF($A64="","",_xlfn.SUMIFS(Campagne!$E$1:$E$128,Campagne!$C$1:$C$128,$A64))</f>
        <v>1126</v>
      </c>
      <c r="Q64">
        <f>IF($A64="","",_xlfn.SUMIFS(Campagne!$F$1:$F$128,Campagne!$C$1:$C$128,$A64))</f>
        <v>1816</v>
      </c>
      <c r="R64">
        <f>IF($A64="","",_xlfn.SUMIFS(Campagne!$K$1:$K$128,Campagne!$C$1:$C$128,$A64))</f>
        <v>0.442086485</v>
      </c>
      <c r="S64">
        <f>IF($A64="","",_xlfn.SUMIFS(Campagne!$M$1:$M$128,Campagne!$C$1:$C$128,$A64))</f>
        <v>0.317193575</v>
      </c>
      <c r="T64">
        <f>IF($A64="","",_xlfn.SUMIFS(PIL!$K$15:$K$28,PIL!$A$15:$A$28,$A64)*_xlfn.SUMIFS(PIL!$J$15:$J$28,PIL!$A$15:$A$28,$A64)*(SUM(PIL!$K$15:$K$28)/SUMPRODUCT(PIL!$K$15:$K$28,PIL!$J$15:$J$28)))</f>
        <v>60800</v>
      </c>
      <c r="U64">
        <f>IF($A64="","",_xlfn.SUMIFS(PIL!$K$15:$K$28,PIL!$A$15:$A$28,$A64))</f>
        <v>60800</v>
      </c>
      <c r="V64" t="s">
        <v>274</v>
      </c>
      <c r="W64" t="s">
        <v>274</v>
      </c>
      <c r="X64" t="s">
        <v>274</v>
      </c>
      <c r="Y64" t="s">
        <v>274</v>
      </c>
      <c r="Z64" t="s">
        <v>274</v>
      </c>
      <c r="AA64" t="s">
        <v>274</v>
      </c>
      <c r="AB64" t="s">
        <v>274</v>
      </c>
      <c r="AC64" t="s">
        <v>274</v>
      </c>
      <c r="AD64" t="e">
        <f t="shared" si="1"/>
        <v>#VALUE!</v>
      </c>
      <c r="AE64" t="e">
        <f t="shared" si="2"/>
        <v>#VALUE!</v>
      </c>
      <c r="AF64" t="e">
        <f t="shared" si="3"/>
        <v>#VALUE!</v>
      </c>
      <c r="AG64" t="e">
        <f t="shared" si="4"/>
        <v>#VALUE!</v>
      </c>
      <c r="AH64" t="e">
        <f t="shared" si="5"/>
        <v>#VALUE!</v>
      </c>
    </row>
    <row r="65" ht="14.25" customHeight="1">
      <c r="A65" t="str">
        <f>IF(Moteur!D65="","",Moteur!D65)</f>
        <v>ISCOM_PAR</v>
      </c>
      <c r="B65" t="str">
        <f>IF(Moteur!B65="","",Moteur!B65)</f>
        <v>V01</v>
      </c>
      <c r="C65" t="str">
        <f>IF(Moteur!F65="","",Moteur!F65)</f>
        <v>BAC_COM</v>
      </c>
      <c r="D65" t="str">
        <f>IF(Moteur!G65="","",Moteur!G65)</f>
        <v>B2</v>
      </c>
      <c r="E65" t="str">
        <f>IF(Moteur!H65="","",Moteur!H65)</f>
        <v>ALT</v>
      </c>
      <c r="F65" t="str">
        <f>IF(Moteur!E65="","",Moteur!E65)</f>
        <v>ISCOM</v>
      </c>
      <c r="G65">
        <f>IF($A65="","",_xlfn.SUMIFS(Socle!$H$1:$H$448,Socle!$C$1:$C$448,$A65,Socle!$D$1:$D$448,$C65,Socle!$E$1:$E$448,$D65,Socle!$F$1:$F$448,$E65,Socle!$G$1:$G$448,"2026"))</f>
        <v>0</v>
      </c>
      <c r="H65">
        <f>IF($A65="","",_xlfn.SUMIFS(Socle!$N$1:$N$448,Socle!$C$1:$C$448,$A65,Socle!$D$1:$D$448,$C65,Socle!$E$1:$E$448,$D65,Socle!$F$1:$F$448,$E65,Socle!$G$1:$G$448,"2026"))</f>
        <v>144</v>
      </c>
      <c r="I65">
        <f>IF($A65="","",_xlfn.SUMIFS(Socle!$P$1:$P$448,Socle!$C$1:$C$448,$A65,Socle!$D$1:$D$448,$C65,Socle!$E$1:$E$448,$D65,Socle!$F$1:$F$448,$E65,Socle!$G$1:$G$448,"2026"))</f>
        <v>15680</v>
      </c>
      <c r="J65">
        <f>IF($A65="","",_xlfn.SUMIFS(Socle!$W$1:$W$448,Socle!$C$1:$C$448,$A65,Socle!$D$1:$D$448,$C65,Socle!$E$1:$E$448,$D65,Socle!$F$1:$F$448,$E65,Socle!$G$1:$G$448,"2026"))</f>
        <v>0</v>
      </c>
      <c r="K65">
        <f>IF($A65="","",_xlfn.SUMIFS(Socle!$X$1:$X$448,Socle!$C$1:$C$448,$A65,Socle!$D$1:$D$448,$C65,Socle!$E$1:$E$448,$D65,Socle!$F$1:$F$448,$E65,Socle!$G$1:$G$448,"2026"))</f>
        <v>0</v>
      </c>
      <c r="L65">
        <f>IF($A65="","",_xlfn.SUMIFS(Socle!$Y$1:$Y$448,Socle!$C$1:$C$448,$A65,Socle!$D$1:$D$448,$C65,Socle!$E$1:$E$448,$D65,Socle!$F$1:$F$448,$E65,Socle!$G$1:$G$448,"2026"))</f>
        <v>0</v>
      </c>
      <c r="M65">
        <f>IF($A65="","",_xlfn.SUMIFS(Socle!$V$1:$V$448,Socle!$C$1:$C$448,$A65,Socle!$D$1:$D$448,$C65,Socle!$E$1:$E$448,$D65,Socle!$F$1:$F$448,$E65,Socle!$G$1:$G$448,"2026"))</f>
        <v>1.944444444</v>
      </c>
      <c r="N65">
        <f t="shared" si="0"/>
        <v>0</v>
      </c>
      <c r="O65">
        <f>IF($A65="","",_xlfn.SUMIFS(Campagne!$D$1:$D$128,Campagne!$C$1:$C$128,$A65))</f>
        <v>690</v>
      </c>
      <c r="P65">
        <f>IF($A65="","",_xlfn.SUMIFS(Campagne!$E$1:$E$128,Campagne!$C$1:$C$128,$A65))</f>
        <v>1126</v>
      </c>
      <c r="Q65">
        <f>IF($A65="","",_xlfn.SUMIFS(Campagne!$F$1:$F$128,Campagne!$C$1:$C$128,$A65))</f>
        <v>1816</v>
      </c>
      <c r="R65">
        <f>IF($A65="","",_xlfn.SUMIFS(Campagne!$K$1:$K$128,Campagne!$C$1:$C$128,$A65))</f>
        <v>0.442086485</v>
      </c>
      <c r="S65">
        <f>IF($A65="","",_xlfn.SUMIFS(Campagne!$M$1:$M$128,Campagne!$C$1:$C$128,$A65))</f>
        <v>0.317193575</v>
      </c>
      <c r="T65">
        <f>IF($A65="","",_xlfn.SUMIFS(PIL!$K$15:$K$28,PIL!$A$15:$A$28,$A65)*_xlfn.SUMIFS(PIL!$J$15:$J$28,PIL!$A$15:$A$28,$A65)*(SUM(PIL!$K$15:$K$28)/SUMPRODUCT(PIL!$K$15:$K$28,PIL!$J$15:$J$28)))</f>
        <v>60800</v>
      </c>
      <c r="U65">
        <f>IF($A65="","",_xlfn.SUMIFS(PIL!$K$15:$K$28,PIL!$A$15:$A$28,$A65))</f>
        <v>60800</v>
      </c>
      <c r="V65" t="s">
        <v>274</v>
      </c>
      <c r="W65" t="s">
        <v>274</v>
      </c>
      <c r="X65" t="s">
        <v>274</v>
      </c>
      <c r="Y65" t="s">
        <v>274</v>
      </c>
      <c r="Z65" t="s">
        <v>274</v>
      </c>
      <c r="AA65" t="s">
        <v>274</v>
      </c>
      <c r="AB65" t="s">
        <v>274</v>
      </c>
      <c r="AC65" t="s">
        <v>274</v>
      </c>
      <c r="AD65" t="e">
        <f t="shared" si="1"/>
        <v>#VALUE!</v>
      </c>
      <c r="AE65">
        <f t="shared" si="2"/>
        <v>0</v>
      </c>
      <c r="AF65" t="e">
        <f t="shared" si="3"/>
        <v>#VALUE!</v>
      </c>
      <c r="AG65" t="e">
        <f t="shared" si="4"/>
        <v>#VALUE!</v>
      </c>
      <c r="AH65" t="e">
        <f t="shared" si="5"/>
        <v>#VALUE!</v>
      </c>
    </row>
    <row r="66" ht="14.25" customHeight="1">
      <c r="A66" t="str">
        <f>IF(Moteur!D66="","",Moteur!D66)</f>
        <v>ISCOM_PAR</v>
      </c>
      <c r="B66" t="str">
        <f>IF(Moteur!B66="","",Moteur!B66)</f>
        <v>V02</v>
      </c>
      <c r="C66" t="str">
        <f>IF(Moteur!F66="","",Moteur!F66)</f>
        <v>BAC_COM</v>
      </c>
      <c r="D66" t="str">
        <f>IF(Moteur!G66="","",Moteur!G66)</f>
        <v>B2</v>
      </c>
      <c r="E66" t="str">
        <f>IF(Moteur!H66="","",Moteur!H66)</f>
        <v>ALT</v>
      </c>
      <c r="F66" t="str">
        <f>IF(Moteur!E66="","",Moteur!E66)</f>
        <v>ISCOM</v>
      </c>
      <c r="G66">
        <f>IF($A66="","",_xlfn.SUMIFS(Socle!$H$1:$H$448,Socle!$C$1:$C$448,$A66,Socle!$D$1:$D$448,$C66,Socle!$E$1:$E$448,$D66,Socle!$F$1:$F$448,$E66,Socle!$G$1:$G$448,"2026"))</f>
        <v>0</v>
      </c>
      <c r="H66">
        <f>IF($A66="","",_xlfn.SUMIFS(Socle!$N$1:$N$448,Socle!$C$1:$C$448,$A66,Socle!$D$1:$D$448,$C66,Socle!$E$1:$E$448,$D66,Socle!$F$1:$F$448,$E66,Socle!$G$1:$G$448,"2026"))</f>
        <v>144</v>
      </c>
      <c r="I66">
        <f>IF($A66="","",_xlfn.SUMIFS(Socle!$P$1:$P$448,Socle!$C$1:$C$448,$A66,Socle!$D$1:$D$448,$C66,Socle!$E$1:$E$448,$D66,Socle!$F$1:$F$448,$E66,Socle!$G$1:$G$448,"2026"))</f>
        <v>15680</v>
      </c>
      <c r="J66">
        <f>IF($A66="","",_xlfn.SUMIFS(Socle!$W$1:$W$448,Socle!$C$1:$C$448,$A66,Socle!$D$1:$D$448,$C66,Socle!$E$1:$E$448,$D66,Socle!$F$1:$F$448,$E66,Socle!$G$1:$G$448,"2026"))</f>
        <v>0</v>
      </c>
      <c r="K66">
        <f>IF($A66="","",_xlfn.SUMIFS(Socle!$X$1:$X$448,Socle!$C$1:$C$448,$A66,Socle!$D$1:$D$448,$C66,Socle!$E$1:$E$448,$D66,Socle!$F$1:$F$448,$E66,Socle!$G$1:$G$448,"2026"))</f>
        <v>0</v>
      </c>
      <c r="L66">
        <f>IF($A66="","",_xlfn.SUMIFS(Socle!$Y$1:$Y$448,Socle!$C$1:$C$448,$A66,Socle!$D$1:$D$448,$C66,Socle!$E$1:$E$448,$D66,Socle!$F$1:$F$448,$E66,Socle!$G$1:$G$448,"2026"))</f>
        <v>0</v>
      </c>
      <c r="M66">
        <f>IF($A66="","",_xlfn.SUMIFS(Socle!$V$1:$V$448,Socle!$C$1:$C$448,$A66,Socle!$D$1:$D$448,$C66,Socle!$E$1:$E$448,$D66,Socle!$F$1:$F$448,$E66,Socle!$G$1:$G$448,"2026"))</f>
        <v>1.944444444</v>
      </c>
      <c r="N66">
        <f t="shared" si="0"/>
        <v>0</v>
      </c>
      <c r="O66">
        <f>IF($A66="","",_xlfn.SUMIFS(Campagne!$D$1:$D$128,Campagne!$C$1:$C$128,$A66))</f>
        <v>690</v>
      </c>
      <c r="P66">
        <f>IF($A66="","",_xlfn.SUMIFS(Campagne!$E$1:$E$128,Campagne!$C$1:$C$128,$A66))</f>
        <v>1126</v>
      </c>
      <c r="Q66">
        <f>IF($A66="","",_xlfn.SUMIFS(Campagne!$F$1:$F$128,Campagne!$C$1:$C$128,$A66))</f>
        <v>1816</v>
      </c>
      <c r="R66">
        <f>IF($A66="","",_xlfn.SUMIFS(Campagne!$K$1:$K$128,Campagne!$C$1:$C$128,$A66))</f>
        <v>0.442086485</v>
      </c>
      <c r="S66">
        <f>IF($A66="","",_xlfn.SUMIFS(Campagne!$M$1:$M$128,Campagne!$C$1:$C$128,$A66))</f>
        <v>0.317193575</v>
      </c>
      <c r="T66">
        <f>IF($A66="","",_xlfn.SUMIFS(PIL!$K$15:$K$28,PIL!$A$15:$A$28,$A66)*_xlfn.SUMIFS(PIL!$J$15:$J$28,PIL!$A$15:$A$28,$A66)*(SUM(PIL!$K$15:$K$28)/SUMPRODUCT(PIL!$K$15:$K$28,PIL!$J$15:$J$28)))</f>
        <v>60800</v>
      </c>
      <c r="U66">
        <f>IF($A66="","",_xlfn.SUMIFS(PIL!$K$15:$K$28,PIL!$A$15:$A$28,$A66))</f>
        <v>60800</v>
      </c>
      <c r="V66" t="s">
        <v>274</v>
      </c>
      <c r="W66" t="s">
        <v>274</v>
      </c>
      <c r="X66" t="s">
        <v>274</v>
      </c>
      <c r="Y66" t="s">
        <v>274</v>
      </c>
      <c r="Z66" t="s">
        <v>274</v>
      </c>
      <c r="AA66" t="s">
        <v>274</v>
      </c>
      <c r="AB66" t="s">
        <v>274</v>
      </c>
      <c r="AC66" t="s">
        <v>274</v>
      </c>
      <c r="AD66" t="e">
        <f t="shared" si="1"/>
        <v>#VALUE!</v>
      </c>
      <c r="AE66">
        <f t="shared" si="2"/>
        <v>0</v>
      </c>
      <c r="AF66" t="e">
        <f t="shared" si="3"/>
        <v>#VALUE!</v>
      </c>
      <c r="AG66" t="e">
        <f t="shared" si="4"/>
        <v>#VALUE!</v>
      </c>
      <c r="AH66" t="e">
        <f t="shared" si="5"/>
        <v>#VALUE!</v>
      </c>
    </row>
    <row r="67" ht="14.25" customHeight="1">
      <c r="A67" t="str">
        <f>IF(Moteur!D67="","",Moteur!D67)</f>
        <v>ISCOM_PAR</v>
      </c>
      <c r="B67" t="str">
        <f>IF(Moteur!B67="","",Moteur!B67)</f>
        <v>V03</v>
      </c>
      <c r="C67" t="str">
        <f>IF(Moteur!F67="","",Moteur!F67)</f>
        <v>BAC_COM</v>
      </c>
      <c r="D67" t="str">
        <f>IF(Moteur!G67="","",Moteur!G67)</f>
        <v>B2</v>
      </c>
      <c r="E67" t="str">
        <f>IF(Moteur!H67="","",Moteur!H67)</f>
        <v>ALT</v>
      </c>
      <c r="F67" t="str">
        <f>IF(Moteur!E67="","",Moteur!E67)</f>
        <v>ISCOM</v>
      </c>
      <c r="G67">
        <f>IF($A67="","",_xlfn.SUMIFS(Socle!$H$1:$H$448,Socle!$C$1:$C$448,$A67,Socle!$D$1:$D$448,$C67,Socle!$E$1:$E$448,$D67,Socle!$F$1:$F$448,$E67,Socle!$G$1:$G$448,"2026"))</f>
        <v>0</v>
      </c>
      <c r="H67">
        <f>IF($A67="","",_xlfn.SUMIFS(Socle!$N$1:$N$448,Socle!$C$1:$C$448,$A67,Socle!$D$1:$D$448,$C67,Socle!$E$1:$E$448,$D67,Socle!$F$1:$F$448,$E67,Socle!$G$1:$G$448,"2026"))</f>
        <v>144</v>
      </c>
      <c r="I67">
        <f>IF($A67="","",_xlfn.SUMIFS(Socle!$P$1:$P$448,Socle!$C$1:$C$448,$A67,Socle!$D$1:$D$448,$C67,Socle!$E$1:$E$448,$D67,Socle!$F$1:$F$448,$E67,Socle!$G$1:$G$448,"2026"))</f>
        <v>15680</v>
      </c>
      <c r="J67">
        <f>IF($A67="","",_xlfn.SUMIFS(Socle!$W$1:$W$448,Socle!$C$1:$C$448,$A67,Socle!$D$1:$D$448,$C67,Socle!$E$1:$E$448,$D67,Socle!$F$1:$F$448,$E67,Socle!$G$1:$G$448,"2026"))</f>
        <v>0</v>
      </c>
      <c r="K67">
        <f>IF($A67="","",_xlfn.SUMIFS(Socle!$X$1:$X$448,Socle!$C$1:$C$448,$A67,Socle!$D$1:$D$448,$C67,Socle!$E$1:$E$448,$D67,Socle!$F$1:$F$448,$E67,Socle!$G$1:$G$448,"2026"))</f>
        <v>0</v>
      </c>
      <c r="L67">
        <f>IF($A67="","",_xlfn.SUMIFS(Socle!$Y$1:$Y$448,Socle!$C$1:$C$448,$A67,Socle!$D$1:$D$448,$C67,Socle!$E$1:$E$448,$D67,Socle!$F$1:$F$448,$E67,Socle!$G$1:$G$448,"2026"))</f>
        <v>0</v>
      </c>
      <c r="M67">
        <f>IF($A67="","",_xlfn.SUMIFS(Socle!$V$1:$V$448,Socle!$C$1:$C$448,$A67,Socle!$D$1:$D$448,$C67,Socle!$E$1:$E$448,$D67,Socle!$F$1:$F$448,$E67,Socle!$G$1:$G$448,"2026"))</f>
        <v>1.944444444</v>
      </c>
      <c r="N67">
        <f t="shared" si="0"/>
        <v>0</v>
      </c>
      <c r="O67">
        <f>IF($A67="","",_xlfn.SUMIFS(Campagne!$D$1:$D$128,Campagne!$C$1:$C$128,$A67))</f>
        <v>690</v>
      </c>
      <c r="P67">
        <f>IF($A67="","",_xlfn.SUMIFS(Campagne!$E$1:$E$128,Campagne!$C$1:$C$128,$A67))</f>
        <v>1126</v>
      </c>
      <c r="Q67">
        <f>IF($A67="","",_xlfn.SUMIFS(Campagne!$F$1:$F$128,Campagne!$C$1:$C$128,$A67))</f>
        <v>1816</v>
      </c>
      <c r="R67">
        <f>IF($A67="","",_xlfn.SUMIFS(Campagne!$K$1:$K$128,Campagne!$C$1:$C$128,$A67))</f>
        <v>0.442086485</v>
      </c>
      <c r="S67">
        <f>IF($A67="","",_xlfn.SUMIFS(Campagne!$M$1:$M$128,Campagne!$C$1:$C$128,$A67))</f>
        <v>0.317193575</v>
      </c>
      <c r="T67">
        <f>IF($A67="","",_xlfn.SUMIFS(PIL!$K$15:$K$28,PIL!$A$15:$A$28,$A67)*_xlfn.SUMIFS(PIL!$J$15:$J$28,PIL!$A$15:$A$28,$A67)*(SUM(PIL!$K$15:$K$28)/SUMPRODUCT(PIL!$K$15:$K$28,PIL!$J$15:$J$28)))</f>
        <v>60800</v>
      </c>
      <c r="U67">
        <f>IF($A67="","",_xlfn.SUMIFS(PIL!$K$15:$K$28,PIL!$A$15:$A$28,$A67))</f>
        <v>60800</v>
      </c>
      <c r="V67" t="s">
        <v>274</v>
      </c>
      <c r="W67" t="s">
        <v>274</v>
      </c>
      <c r="X67" t="s">
        <v>274</v>
      </c>
      <c r="Y67" t="s">
        <v>274</v>
      </c>
      <c r="Z67" t="s">
        <v>274</v>
      </c>
      <c r="AA67" t="s">
        <v>274</v>
      </c>
      <c r="AB67" t="s">
        <v>274</v>
      </c>
      <c r="AC67" t="s">
        <v>274</v>
      </c>
      <c r="AD67" t="e">
        <f t="shared" si="1"/>
        <v>#VALUE!</v>
      </c>
      <c r="AE67">
        <f t="shared" si="2"/>
        <v>0</v>
      </c>
      <c r="AF67" t="e">
        <f t="shared" si="3"/>
        <v>#VALUE!</v>
      </c>
      <c r="AG67" t="e">
        <f t="shared" si="4"/>
        <v>#VALUE!</v>
      </c>
      <c r="AH67" t="e">
        <f t="shared" si="5"/>
        <v>#VALUE!</v>
      </c>
    </row>
    <row r="68" ht="14.25" customHeight="1">
      <c r="A68" t="str">
        <f>IF(Moteur!D68="","",Moteur!D68)</f>
        <v>ISCOM_PAR</v>
      </c>
      <c r="B68" t="str">
        <f>IF(Moteur!B68="","",Moteur!B68)</f>
        <v>V01</v>
      </c>
      <c r="C68" t="str">
        <f>IF(Moteur!F68="","",Moteur!F68)</f>
        <v>BAC_COM</v>
      </c>
      <c r="D68" t="str">
        <f>IF(Moteur!G68="","",Moteur!G68)</f>
        <v>B3</v>
      </c>
      <c r="E68" t="str">
        <f>IF(Moteur!H68="","",Moteur!H68)</f>
        <v>ALT</v>
      </c>
      <c r="F68" t="str">
        <f>IF(Moteur!E68="","",Moteur!E68)</f>
        <v>ISCOM</v>
      </c>
      <c r="G68">
        <f>IF($A68="","",_xlfn.SUMIFS(Socle!$H$1:$H$448,Socle!$C$1:$C$448,$A68,Socle!$D$1:$D$448,$C68,Socle!$E$1:$E$448,$D68,Socle!$F$1:$F$448,$E68,Socle!$G$1:$G$448,"2026"))</f>
        <v>0</v>
      </c>
      <c r="H68">
        <f>IF($A68="","",_xlfn.SUMIFS(Socle!$N$1:$N$448,Socle!$C$1:$C$448,$A68,Socle!$D$1:$D$448,$C68,Socle!$E$1:$E$448,$D68,Socle!$F$1:$F$448,$E68,Socle!$G$1:$G$448,"2026"))</f>
        <v>140</v>
      </c>
      <c r="I68">
        <f>IF($A68="","",_xlfn.SUMIFS(Socle!$P$1:$P$448,Socle!$C$1:$C$448,$A68,Socle!$D$1:$D$448,$C68,Socle!$E$1:$E$448,$D68,Socle!$F$1:$F$448,$E68,Socle!$G$1:$G$448,"2026"))</f>
        <v>15680</v>
      </c>
      <c r="J68">
        <f>IF($A68="","",_xlfn.SUMIFS(Socle!$W$1:$W$448,Socle!$C$1:$C$448,$A68,Socle!$D$1:$D$448,$C68,Socle!$E$1:$E$448,$D68,Socle!$F$1:$F$448,$E68,Socle!$G$1:$G$448,"2026"))</f>
        <v>0</v>
      </c>
      <c r="K68">
        <f>IF($A68="","",_xlfn.SUMIFS(Socle!$X$1:$X$448,Socle!$C$1:$C$448,$A68,Socle!$D$1:$D$448,$C68,Socle!$E$1:$E$448,$D68,Socle!$F$1:$F$448,$E68,Socle!$G$1:$G$448,"2026"))</f>
        <v>0</v>
      </c>
      <c r="L68">
        <f>IF($A68="","",_xlfn.SUMIFS(Socle!$Y$1:$Y$448,Socle!$C$1:$C$448,$A68,Socle!$D$1:$D$448,$C68,Socle!$E$1:$E$448,$D68,Socle!$F$1:$F$448,$E68,Socle!$G$1:$G$448,"2026"))</f>
        <v>0</v>
      </c>
      <c r="M68">
        <f>IF($A68="","",_xlfn.SUMIFS(Socle!$V$1:$V$448,Socle!$C$1:$C$448,$A68,Socle!$D$1:$D$448,$C68,Socle!$E$1:$E$448,$D68,Socle!$F$1:$F$448,$E68,Socle!$G$1:$G$448,"2026"))</f>
        <v>1.971428572</v>
      </c>
      <c r="N68">
        <f t="shared" si="0"/>
        <v>0</v>
      </c>
      <c r="O68">
        <f>IF($A68="","",_xlfn.SUMIFS(Campagne!$D$1:$D$128,Campagne!$C$1:$C$128,$A68))</f>
        <v>690</v>
      </c>
      <c r="P68">
        <f>IF($A68="","",_xlfn.SUMIFS(Campagne!$E$1:$E$128,Campagne!$C$1:$C$128,$A68))</f>
        <v>1126</v>
      </c>
      <c r="Q68">
        <f>IF($A68="","",_xlfn.SUMIFS(Campagne!$F$1:$F$128,Campagne!$C$1:$C$128,$A68))</f>
        <v>1816</v>
      </c>
      <c r="R68">
        <f>IF($A68="","",_xlfn.SUMIFS(Campagne!$K$1:$K$128,Campagne!$C$1:$C$128,$A68))</f>
        <v>0.442086485</v>
      </c>
      <c r="S68">
        <f>IF($A68="","",_xlfn.SUMIFS(Campagne!$M$1:$M$128,Campagne!$C$1:$C$128,$A68))</f>
        <v>0.317193575</v>
      </c>
      <c r="T68">
        <f>IF($A68="","",_xlfn.SUMIFS(PIL!$K$15:$K$28,PIL!$A$15:$A$28,$A68)*_xlfn.SUMIFS(PIL!$J$15:$J$28,PIL!$A$15:$A$28,$A68)*(SUM(PIL!$K$15:$K$28)/SUMPRODUCT(PIL!$K$15:$K$28,PIL!$J$15:$J$28)))</f>
        <v>60800</v>
      </c>
      <c r="U68">
        <f>IF($A68="","",_xlfn.SUMIFS(PIL!$K$15:$K$28,PIL!$A$15:$A$28,$A68))</f>
        <v>60800</v>
      </c>
      <c r="V68" t="s">
        <v>274</v>
      </c>
      <c r="W68" t="s">
        <v>274</v>
      </c>
      <c r="X68" t="s">
        <v>274</v>
      </c>
      <c r="Y68" t="s">
        <v>274</v>
      </c>
      <c r="Z68" t="s">
        <v>274</v>
      </c>
      <c r="AA68" t="s">
        <v>274</v>
      </c>
      <c r="AB68" t="s">
        <v>274</v>
      </c>
      <c r="AC68" t="s">
        <v>274</v>
      </c>
      <c r="AD68" t="e">
        <f t="shared" si="1"/>
        <v>#VALUE!</v>
      </c>
      <c r="AE68">
        <f t="shared" si="2"/>
        <v>0</v>
      </c>
      <c r="AF68" t="e">
        <f t="shared" si="3"/>
        <v>#VALUE!</v>
      </c>
      <c r="AG68" t="e">
        <f t="shared" si="4"/>
        <v>#VALUE!</v>
      </c>
      <c r="AH68" t="e">
        <f t="shared" si="5"/>
        <v>#VALUE!</v>
      </c>
    </row>
    <row r="69" ht="14.25" customHeight="1">
      <c r="A69" t="str">
        <f>IF(Moteur!D69="","",Moteur!D69)</f>
        <v>ISCOM_PAR</v>
      </c>
      <c r="B69" t="str">
        <f>IF(Moteur!B69="","",Moteur!B69)</f>
        <v>V02</v>
      </c>
      <c r="C69" t="str">
        <f>IF(Moteur!F69="","",Moteur!F69)</f>
        <v>BAC_COM</v>
      </c>
      <c r="D69" t="str">
        <f>IF(Moteur!G69="","",Moteur!G69)</f>
        <v>B3</v>
      </c>
      <c r="E69" t="str">
        <f>IF(Moteur!H69="","",Moteur!H69)</f>
        <v>ALT</v>
      </c>
      <c r="F69" t="str">
        <f>IF(Moteur!E69="","",Moteur!E69)</f>
        <v>ISCOM</v>
      </c>
      <c r="G69">
        <f>IF($A69="","",_xlfn.SUMIFS(Socle!$H$1:$H$448,Socle!$C$1:$C$448,$A69,Socle!$D$1:$D$448,$C69,Socle!$E$1:$E$448,$D69,Socle!$F$1:$F$448,$E69,Socle!$G$1:$G$448,"2026"))</f>
        <v>0</v>
      </c>
      <c r="H69">
        <f>IF($A69="","",_xlfn.SUMIFS(Socle!$N$1:$N$448,Socle!$C$1:$C$448,$A69,Socle!$D$1:$D$448,$C69,Socle!$E$1:$E$448,$D69,Socle!$F$1:$F$448,$E69,Socle!$G$1:$G$448,"2026"))</f>
        <v>140</v>
      </c>
      <c r="I69">
        <f>IF($A69="","",_xlfn.SUMIFS(Socle!$P$1:$P$448,Socle!$C$1:$C$448,$A69,Socle!$D$1:$D$448,$C69,Socle!$E$1:$E$448,$D69,Socle!$F$1:$F$448,$E69,Socle!$G$1:$G$448,"2026"))</f>
        <v>15680</v>
      </c>
      <c r="J69">
        <f>IF($A69="","",_xlfn.SUMIFS(Socle!$W$1:$W$448,Socle!$C$1:$C$448,$A69,Socle!$D$1:$D$448,$C69,Socle!$E$1:$E$448,$D69,Socle!$F$1:$F$448,$E69,Socle!$G$1:$G$448,"2026"))</f>
        <v>0</v>
      </c>
      <c r="K69">
        <f>IF($A69="","",_xlfn.SUMIFS(Socle!$X$1:$X$448,Socle!$C$1:$C$448,$A69,Socle!$D$1:$D$448,$C69,Socle!$E$1:$E$448,$D69,Socle!$F$1:$F$448,$E69,Socle!$G$1:$G$448,"2026"))</f>
        <v>0</v>
      </c>
      <c r="L69">
        <f>IF($A69="","",_xlfn.SUMIFS(Socle!$Y$1:$Y$448,Socle!$C$1:$C$448,$A69,Socle!$D$1:$D$448,$C69,Socle!$E$1:$E$448,$D69,Socle!$F$1:$F$448,$E69,Socle!$G$1:$G$448,"2026"))</f>
        <v>0</v>
      </c>
      <c r="M69">
        <f>IF($A69="","",_xlfn.SUMIFS(Socle!$V$1:$V$448,Socle!$C$1:$C$448,$A69,Socle!$D$1:$D$448,$C69,Socle!$E$1:$E$448,$D69,Socle!$F$1:$F$448,$E69,Socle!$G$1:$G$448,"2026"))</f>
        <v>1.971428572</v>
      </c>
      <c r="N69">
        <f t="shared" si="0"/>
        <v>0</v>
      </c>
      <c r="O69">
        <f>IF($A69="","",_xlfn.SUMIFS(Campagne!$D$1:$D$128,Campagne!$C$1:$C$128,$A69))</f>
        <v>690</v>
      </c>
      <c r="P69">
        <f>IF($A69="","",_xlfn.SUMIFS(Campagne!$E$1:$E$128,Campagne!$C$1:$C$128,$A69))</f>
        <v>1126</v>
      </c>
      <c r="Q69">
        <f>IF($A69="","",_xlfn.SUMIFS(Campagne!$F$1:$F$128,Campagne!$C$1:$C$128,$A69))</f>
        <v>1816</v>
      </c>
      <c r="R69">
        <f>IF($A69="","",_xlfn.SUMIFS(Campagne!$K$1:$K$128,Campagne!$C$1:$C$128,$A69))</f>
        <v>0.442086485</v>
      </c>
      <c r="S69">
        <f>IF($A69="","",_xlfn.SUMIFS(Campagne!$M$1:$M$128,Campagne!$C$1:$C$128,$A69))</f>
        <v>0.317193575</v>
      </c>
      <c r="T69">
        <f>IF($A69="","",_xlfn.SUMIFS(PIL!$K$15:$K$28,PIL!$A$15:$A$28,$A69)*_xlfn.SUMIFS(PIL!$J$15:$J$28,PIL!$A$15:$A$28,$A69)*(SUM(PIL!$K$15:$K$28)/SUMPRODUCT(PIL!$K$15:$K$28,PIL!$J$15:$J$28)))</f>
        <v>60800</v>
      </c>
      <c r="U69">
        <f>IF($A69="","",_xlfn.SUMIFS(PIL!$K$15:$K$28,PIL!$A$15:$A$28,$A69))</f>
        <v>60800</v>
      </c>
      <c r="V69" t="s">
        <v>274</v>
      </c>
      <c r="W69" t="s">
        <v>274</v>
      </c>
      <c r="X69" t="s">
        <v>274</v>
      </c>
      <c r="Y69" t="s">
        <v>274</v>
      </c>
      <c r="Z69" t="s">
        <v>274</v>
      </c>
      <c r="AA69" t="s">
        <v>274</v>
      </c>
      <c r="AB69" t="s">
        <v>274</v>
      </c>
      <c r="AC69" t="s">
        <v>274</v>
      </c>
      <c r="AD69" t="e">
        <f t="shared" si="1"/>
        <v>#VALUE!</v>
      </c>
      <c r="AE69">
        <f t="shared" si="2"/>
        <v>0</v>
      </c>
      <c r="AF69" t="e">
        <f t="shared" si="3"/>
        <v>#VALUE!</v>
      </c>
      <c r="AG69" t="e">
        <f t="shared" si="4"/>
        <v>#VALUE!</v>
      </c>
      <c r="AH69" t="e">
        <f t="shared" si="5"/>
        <v>#VALUE!</v>
      </c>
    </row>
    <row r="70" ht="14.25" customHeight="1">
      <c r="A70" t="str">
        <f>IF(Moteur!D70="","",Moteur!D70)</f>
        <v>ISCOM_PAR</v>
      </c>
      <c r="B70" t="str">
        <f>IF(Moteur!B70="","",Moteur!B70)</f>
        <v>V03</v>
      </c>
      <c r="C70" t="str">
        <f>IF(Moteur!F70="","",Moteur!F70)</f>
        <v>BAC_COM</v>
      </c>
      <c r="D70" t="str">
        <f>IF(Moteur!G70="","",Moteur!G70)</f>
        <v>B3</v>
      </c>
      <c r="E70" t="str">
        <f>IF(Moteur!H70="","",Moteur!H70)</f>
        <v>ALT</v>
      </c>
      <c r="F70" t="str">
        <f>IF(Moteur!E70="","",Moteur!E70)</f>
        <v>ISCOM</v>
      </c>
      <c r="G70">
        <f>IF($A70="","",_xlfn.SUMIFS(Socle!$H$1:$H$448,Socle!$C$1:$C$448,$A70,Socle!$D$1:$D$448,$C70,Socle!$E$1:$E$448,$D70,Socle!$F$1:$F$448,$E70,Socle!$G$1:$G$448,"2026"))</f>
        <v>0</v>
      </c>
      <c r="H70">
        <f>IF($A70="","",_xlfn.SUMIFS(Socle!$N$1:$N$448,Socle!$C$1:$C$448,$A70,Socle!$D$1:$D$448,$C70,Socle!$E$1:$E$448,$D70,Socle!$F$1:$F$448,$E70,Socle!$G$1:$G$448,"2026"))</f>
        <v>140</v>
      </c>
      <c r="I70">
        <f>IF($A70="","",_xlfn.SUMIFS(Socle!$P$1:$P$448,Socle!$C$1:$C$448,$A70,Socle!$D$1:$D$448,$C70,Socle!$E$1:$E$448,$D70,Socle!$F$1:$F$448,$E70,Socle!$G$1:$G$448,"2026"))</f>
        <v>15680</v>
      </c>
      <c r="J70">
        <f>IF($A70="","",_xlfn.SUMIFS(Socle!$W$1:$W$448,Socle!$C$1:$C$448,$A70,Socle!$D$1:$D$448,$C70,Socle!$E$1:$E$448,$D70,Socle!$F$1:$F$448,$E70,Socle!$G$1:$G$448,"2026"))</f>
        <v>0</v>
      </c>
      <c r="K70">
        <f>IF($A70="","",_xlfn.SUMIFS(Socle!$X$1:$X$448,Socle!$C$1:$C$448,$A70,Socle!$D$1:$D$448,$C70,Socle!$E$1:$E$448,$D70,Socle!$F$1:$F$448,$E70,Socle!$G$1:$G$448,"2026"))</f>
        <v>0</v>
      </c>
      <c r="L70">
        <f>IF($A70="","",_xlfn.SUMIFS(Socle!$Y$1:$Y$448,Socle!$C$1:$C$448,$A70,Socle!$D$1:$D$448,$C70,Socle!$E$1:$E$448,$D70,Socle!$F$1:$F$448,$E70,Socle!$G$1:$G$448,"2026"))</f>
        <v>0</v>
      </c>
      <c r="M70">
        <f>IF($A70="","",_xlfn.SUMIFS(Socle!$V$1:$V$448,Socle!$C$1:$C$448,$A70,Socle!$D$1:$D$448,$C70,Socle!$E$1:$E$448,$D70,Socle!$F$1:$F$448,$E70,Socle!$G$1:$G$448,"2026"))</f>
        <v>1.971428572</v>
      </c>
      <c r="N70">
        <f t="shared" si="0"/>
        <v>0</v>
      </c>
      <c r="O70">
        <f>IF($A70="","",_xlfn.SUMIFS(Campagne!$D$1:$D$128,Campagne!$C$1:$C$128,$A70))</f>
        <v>690</v>
      </c>
      <c r="P70">
        <f>IF($A70="","",_xlfn.SUMIFS(Campagne!$E$1:$E$128,Campagne!$C$1:$C$128,$A70))</f>
        <v>1126</v>
      </c>
      <c r="Q70">
        <f>IF($A70="","",_xlfn.SUMIFS(Campagne!$F$1:$F$128,Campagne!$C$1:$C$128,$A70))</f>
        <v>1816</v>
      </c>
      <c r="R70">
        <f>IF($A70="","",_xlfn.SUMIFS(Campagne!$K$1:$K$128,Campagne!$C$1:$C$128,$A70))</f>
        <v>0.442086485</v>
      </c>
      <c r="S70">
        <f>IF($A70="","",_xlfn.SUMIFS(Campagne!$M$1:$M$128,Campagne!$C$1:$C$128,$A70))</f>
        <v>0.317193575</v>
      </c>
      <c r="T70">
        <f>IF($A70="","",_xlfn.SUMIFS(PIL!$K$15:$K$28,PIL!$A$15:$A$28,$A70)*_xlfn.SUMIFS(PIL!$J$15:$J$28,PIL!$A$15:$A$28,$A70)*(SUM(PIL!$K$15:$K$28)/SUMPRODUCT(PIL!$K$15:$K$28,PIL!$J$15:$J$28)))</f>
        <v>60800</v>
      </c>
      <c r="U70">
        <f>IF($A70="","",_xlfn.SUMIFS(PIL!$K$15:$K$28,PIL!$A$15:$A$28,$A70))</f>
        <v>60800</v>
      </c>
      <c r="V70" t="s">
        <v>274</v>
      </c>
      <c r="W70" t="s">
        <v>274</v>
      </c>
      <c r="X70" t="s">
        <v>274</v>
      </c>
      <c r="Y70" t="s">
        <v>274</v>
      </c>
      <c r="Z70" t="s">
        <v>274</v>
      </c>
      <c r="AA70" t="s">
        <v>274</v>
      </c>
      <c r="AB70" t="s">
        <v>274</v>
      </c>
      <c r="AC70" t="s">
        <v>274</v>
      </c>
      <c r="AD70" t="e">
        <f t="shared" si="1"/>
        <v>#VALUE!</v>
      </c>
      <c r="AE70">
        <f t="shared" si="2"/>
        <v>0</v>
      </c>
      <c r="AF70" t="e">
        <f t="shared" si="3"/>
        <v>#VALUE!</v>
      </c>
      <c r="AG70" t="e">
        <f t="shared" si="4"/>
        <v>#VALUE!</v>
      </c>
      <c r="AH70" t="e">
        <f t="shared" si="5"/>
        <v>#VALUE!</v>
      </c>
    </row>
    <row r="71" ht="14.25" customHeight="1">
      <c r="A71" t="str">
        <f>IF(Moteur!D71="","",Moteur!D71)</f>
        <v>ISCOM_PAR</v>
      </c>
      <c r="B71" t="str">
        <f>IF(Moteur!B71="","",Moteur!B71)</f>
        <v>V01</v>
      </c>
      <c r="C71" t="str">
        <f>IF(Moteur!F71="","",Moteur!F71)</f>
        <v>MAS_COM</v>
      </c>
      <c r="D71" t="str">
        <f>IF(Moteur!G71="","",Moteur!G71)</f>
        <v>M1</v>
      </c>
      <c r="E71" t="str">
        <f>IF(Moteur!H71="","",Moteur!H71)</f>
        <v>ALT</v>
      </c>
      <c r="F71" t="str">
        <f>IF(Moteur!E71="","",Moteur!E71)</f>
        <v>ISCOM</v>
      </c>
      <c r="G71">
        <f>IF($A71="","",_xlfn.SUMIFS(Socle!$H$1:$H$448,Socle!$C$1:$C$448,$A71,Socle!$D$1:$D$448,$C71,Socle!$E$1:$E$448,$D71,Socle!$F$1:$F$448,$E71,Socle!$G$1:$G$448,"2026"))</f>
        <v>2440</v>
      </c>
      <c r="H71">
        <f>IF($A71="","",_xlfn.SUMIFS(Socle!$N$1:$N$448,Socle!$C$1:$C$448,$A71,Socle!$D$1:$D$448,$C71,Socle!$E$1:$E$448,$D71,Socle!$F$1:$F$448,$E71,Socle!$G$1:$G$448,"2026"))</f>
        <v>0</v>
      </c>
      <c r="I71">
        <f>IF($A71="","",_xlfn.SUMIFS(Socle!$P$1:$P$448,Socle!$C$1:$C$448,$A71,Socle!$D$1:$D$448,$C71,Socle!$E$1:$E$448,$D71,Socle!$F$1:$F$448,$E71,Socle!$G$1:$G$448,"2026"))</f>
        <v>16800</v>
      </c>
      <c r="J71">
        <f>IF($A71="","",_xlfn.SUMIFS(Socle!$W$1:$W$448,Socle!$C$1:$C$448,$A71,Socle!$D$1:$D$448,$C71,Socle!$E$1:$E$448,$D71,Socle!$F$1:$F$448,$E71,Socle!$G$1:$G$448,"2026"))</f>
        <v>0.4</v>
      </c>
      <c r="K71">
        <f>IF($A71="","",_xlfn.SUMIFS(Socle!$X$1:$X$448,Socle!$C$1:$C$448,$A71,Socle!$D$1:$D$448,$C71,Socle!$E$1:$E$448,$D71,Socle!$F$1:$F$448,$E71,Socle!$G$1:$G$448,"2026"))</f>
        <v>1.401639344</v>
      </c>
      <c r="L71">
        <f>IF($A71="","",_xlfn.SUMIFS(Socle!$Y$1:$Y$448,Socle!$C$1:$C$448,$A71,Socle!$D$1:$D$448,$C71,Socle!$E$1:$E$448,$D71,Socle!$F$1:$F$448,$E71,Socle!$G$1:$G$448,"2026"))</f>
        <v>0.842105264</v>
      </c>
      <c r="M71">
        <f>IF($A71="","",_xlfn.SUMIFS(Socle!$V$1:$V$448,Socle!$C$1:$C$448,$A71,Socle!$D$1:$D$448,$C71,Socle!$E$1:$E$448,$D71,Socle!$F$1:$F$448,$E71,Socle!$G$1:$G$448,"2026"))</f>
        <v>0</v>
      </c>
      <c r="N71">
        <f t="shared" si="0"/>
        <v>1</v>
      </c>
      <c r="O71">
        <f>IF($A71="","",_xlfn.SUMIFS(Campagne!$D$1:$D$128,Campagne!$C$1:$C$128,$A71))</f>
        <v>690</v>
      </c>
      <c r="P71">
        <f>IF($A71="","",_xlfn.SUMIFS(Campagne!$E$1:$E$128,Campagne!$C$1:$C$128,$A71))</f>
        <v>1126</v>
      </c>
      <c r="Q71">
        <f>IF($A71="","",_xlfn.SUMIFS(Campagne!$F$1:$F$128,Campagne!$C$1:$C$128,$A71))</f>
        <v>1816</v>
      </c>
      <c r="R71">
        <f>IF($A71="","",_xlfn.SUMIFS(Campagne!$K$1:$K$128,Campagne!$C$1:$C$128,$A71))</f>
        <v>0.442086485</v>
      </c>
      <c r="S71">
        <f>IF($A71="","",_xlfn.SUMIFS(Campagne!$M$1:$M$128,Campagne!$C$1:$C$128,$A71))</f>
        <v>0.317193575</v>
      </c>
      <c r="T71">
        <f>IF($A71="","",_xlfn.SUMIFS(PIL!$K$15:$K$28,PIL!$A$15:$A$28,$A71)*_xlfn.SUMIFS(PIL!$J$15:$J$28,PIL!$A$15:$A$28,$A71)*(SUM(PIL!$K$15:$K$28)/SUMPRODUCT(PIL!$K$15:$K$28,PIL!$J$15:$J$28)))</f>
        <v>60800</v>
      </c>
      <c r="U71">
        <f>IF($A71="","",_xlfn.SUMIFS(PIL!$K$15:$K$28,PIL!$A$15:$A$28,$A71))</f>
        <v>60800</v>
      </c>
      <c r="V71" t="s">
        <v>274</v>
      </c>
      <c r="W71" t="s">
        <v>274</v>
      </c>
      <c r="X71" t="s">
        <v>274</v>
      </c>
      <c r="Y71" t="s">
        <v>274</v>
      </c>
      <c r="Z71" t="s">
        <v>274</v>
      </c>
      <c r="AA71" t="s">
        <v>274</v>
      </c>
      <c r="AB71" t="s">
        <v>274</v>
      </c>
      <c r="AC71" t="s">
        <v>274</v>
      </c>
      <c r="AD71" t="e">
        <f t="shared" si="1"/>
        <v>#VALUE!</v>
      </c>
      <c r="AE71" t="e">
        <f t="shared" si="2"/>
        <v>#VALUE!</v>
      </c>
      <c r="AF71" t="e">
        <f t="shared" si="3"/>
        <v>#VALUE!</v>
      </c>
      <c r="AG71" t="e">
        <f t="shared" si="4"/>
        <v>#VALUE!</v>
      </c>
      <c r="AH71" t="e">
        <f t="shared" si="5"/>
        <v>#VALUE!</v>
      </c>
    </row>
    <row r="72" ht="14.25" customHeight="1">
      <c r="A72" t="str">
        <f>IF(Moteur!D72="","",Moteur!D72)</f>
        <v>ISCOM_PAR</v>
      </c>
      <c r="B72" t="str">
        <f>IF(Moteur!B72="","",Moteur!B72)</f>
        <v>V02</v>
      </c>
      <c r="C72" t="str">
        <f>IF(Moteur!F72="","",Moteur!F72)</f>
        <v>MAS_COM</v>
      </c>
      <c r="D72" t="str">
        <f>IF(Moteur!G72="","",Moteur!G72)</f>
        <v>M1</v>
      </c>
      <c r="E72" t="str">
        <f>IF(Moteur!H72="","",Moteur!H72)</f>
        <v>ALT</v>
      </c>
      <c r="F72" t="str">
        <f>IF(Moteur!E72="","",Moteur!E72)</f>
        <v>ISCOM</v>
      </c>
      <c r="G72">
        <f>IF($A72="","",_xlfn.SUMIFS(Socle!$H$1:$H$448,Socle!$C$1:$C$448,$A72,Socle!$D$1:$D$448,$C72,Socle!$E$1:$E$448,$D72,Socle!$F$1:$F$448,$E72,Socle!$G$1:$G$448,"2026"))</f>
        <v>2440</v>
      </c>
      <c r="H72">
        <f>IF($A72="","",_xlfn.SUMIFS(Socle!$N$1:$N$448,Socle!$C$1:$C$448,$A72,Socle!$D$1:$D$448,$C72,Socle!$E$1:$E$448,$D72,Socle!$F$1:$F$448,$E72,Socle!$G$1:$G$448,"2026"))</f>
        <v>0</v>
      </c>
      <c r="I72">
        <f>IF($A72="","",_xlfn.SUMIFS(Socle!$P$1:$P$448,Socle!$C$1:$C$448,$A72,Socle!$D$1:$D$448,$C72,Socle!$E$1:$E$448,$D72,Socle!$F$1:$F$448,$E72,Socle!$G$1:$G$448,"2026"))</f>
        <v>16800</v>
      </c>
      <c r="J72">
        <f>IF($A72="","",_xlfn.SUMIFS(Socle!$W$1:$W$448,Socle!$C$1:$C$448,$A72,Socle!$D$1:$D$448,$C72,Socle!$E$1:$E$448,$D72,Socle!$F$1:$F$448,$E72,Socle!$G$1:$G$448,"2026"))</f>
        <v>0.4</v>
      </c>
      <c r="K72">
        <f>IF($A72="","",_xlfn.SUMIFS(Socle!$X$1:$X$448,Socle!$C$1:$C$448,$A72,Socle!$D$1:$D$448,$C72,Socle!$E$1:$E$448,$D72,Socle!$F$1:$F$448,$E72,Socle!$G$1:$G$448,"2026"))</f>
        <v>1.401639344</v>
      </c>
      <c r="L72">
        <f>IF($A72="","",_xlfn.SUMIFS(Socle!$Y$1:$Y$448,Socle!$C$1:$C$448,$A72,Socle!$D$1:$D$448,$C72,Socle!$E$1:$E$448,$D72,Socle!$F$1:$F$448,$E72,Socle!$G$1:$G$448,"2026"))</f>
        <v>0.842105264</v>
      </c>
      <c r="M72">
        <f>IF($A72="","",_xlfn.SUMIFS(Socle!$V$1:$V$448,Socle!$C$1:$C$448,$A72,Socle!$D$1:$D$448,$C72,Socle!$E$1:$E$448,$D72,Socle!$F$1:$F$448,$E72,Socle!$G$1:$G$448,"2026"))</f>
        <v>0</v>
      </c>
      <c r="N72">
        <f t="shared" si="0"/>
        <v>1</v>
      </c>
      <c r="O72">
        <f>IF($A72="","",_xlfn.SUMIFS(Campagne!$D$1:$D$128,Campagne!$C$1:$C$128,$A72))</f>
        <v>690</v>
      </c>
      <c r="P72">
        <f>IF($A72="","",_xlfn.SUMIFS(Campagne!$E$1:$E$128,Campagne!$C$1:$C$128,$A72))</f>
        <v>1126</v>
      </c>
      <c r="Q72">
        <f>IF($A72="","",_xlfn.SUMIFS(Campagne!$F$1:$F$128,Campagne!$C$1:$C$128,$A72))</f>
        <v>1816</v>
      </c>
      <c r="R72">
        <f>IF($A72="","",_xlfn.SUMIFS(Campagne!$K$1:$K$128,Campagne!$C$1:$C$128,$A72))</f>
        <v>0.442086485</v>
      </c>
      <c r="S72">
        <f>IF($A72="","",_xlfn.SUMIFS(Campagne!$M$1:$M$128,Campagne!$C$1:$C$128,$A72))</f>
        <v>0.317193575</v>
      </c>
      <c r="T72">
        <f>IF($A72="","",_xlfn.SUMIFS(PIL!$K$15:$K$28,PIL!$A$15:$A$28,$A72)*_xlfn.SUMIFS(PIL!$J$15:$J$28,PIL!$A$15:$A$28,$A72)*(SUM(PIL!$K$15:$K$28)/SUMPRODUCT(PIL!$K$15:$K$28,PIL!$J$15:$J$28)))</f>
        <v>60800</v>
      </c>
      <c r="U72">
        <f>IF($A72="","",_xlfn.SUMIFS(PIL!$K$15:$K$28,PIL!$A$15:$A$28,$A72))</f>
        <v>60800</v>
      </c>
      <c r="V72" t="s">
        <v>274</v>
      </c>
      <c r="W72" t="s">
        <v>274</v>
      </c>
      <c r="X72" t="s">
        <v>274</v>
      </c>
      <c r="Y72" t="s">
        <v>274</v>
      </c>
      <c r="Z72" t="s">
        <v>274</v>
      </c>
      <c r="AA72" t="s">
        <v>274</v>
      </c>
      <c r="AB72" t="s">
        <v>274</v>
      </c>
      <c r="AC72" t="s">
        <v>274</v>
      </c>
      <c r="AD72" t="e">
        <f t="shared" si="1"/>
        <v>#VALUE!</v>
      </c>
      <c r="AE72" t="e">
        <f t="shared" si="2"/>
        <v>#VALUE!</v>
      </c>
      <c r="AF72" t="e">
        <f t="shared" si="3"/>
        <v>#VALUE!</v>
      </c>
      <c r="AG72" t="e">
        <f t="shared" si="4"/>
        <v>#VALUE!</v>
      </c>
      <c r="AH72" t="e">
        <f t="shared" si="5"/>
        <v>#VALUE!</v>
      </c>
    </row>
    <row r="73" ht="14.25" customHeight="1">
      <c r="A73" t="str">
        <f>IF(Moteur!D73="","",Moteur!D73)</f>
        <v>ISCOM_PAR</v>
      </c>
      <c r="B73" t="str">
        <f>IF(Moteur!B73="","",Moteur!B73)</f>
        <v>V03</v>
      </c>
      <c r="C73" t="str">
        <f>IF(Moteur!F73="","",Moteur!F73)</f>
        <v>MAS_COM</v>
      </c>
      <c r="D73" t="str">
        <f>IF(Moteur!G73="","",Moteur!G73)</f>
        <v>M1</v>
      </c>
      <c r="E73" t="str">
        <f>IF(Moteur!H73="","",Moteur!H73)</f>
        <v>ALT</v>
      </c>
      <c r="F73" t="str">
        <f>IF(Moteur!E73="","",Moteur!E73)</f>
        <v>ISCOM</v>
      </c>
      <c r="G73">
        <f>IF($A73="","",_xlfn.SUMIFS(Socle!$H$1:$H$448,Socle!$C$1:$C$448,$A73,Socle!$D$1:$D$448,$C73,Socle!$E$1:$E$448,$D73,Socle!$F$1:$F$448,$E73,Socle!$G$1:$G$448,"2026"))</f>
        <v>2440</v>
      </c>
      <c r="H73">
        <f>IF($A73="","",_xlfn.SUMIFS(Socle!$N$1:$N$448,Socle!$C$1:$C$448,$A73,Socle!$D$1:$D$448,$C73,Socle!$E$1:$E$448,$D73,Socle!$F$1:$F$448,$E73,Socle!$G$1:$G$448,"2026"))</f>
        <v>0</v>
      </c>
      <c r="I73">
        <f>IF($A73="","",_xlfn.SUMIFS(Socle!$P$1:$P$448,Socle!$C$1:$C$448,$A73,Socle!$D$1:$D$448,$C73,Socle!$E$1:$E$448,$D73,Socle!$F$1:$F$448,$E73,Socle!$G$1:$G$448,"2026"))</f>
        <v>16800</v>
      </c>
      <c r="J73">
        <f>IF($A73="","",_xlfn.SUMIFS(Socle!$W$1:$W$448,Socle!$C$1:$C$448,$A73,Socle!$D$1:$D$448,$C73,Socle!$E$1:$E$448,$D73,Socle!$F$1:$F$448,$E73,Socle!$G$1:$G$448,"2026"))</f>
        <v>0.4</v>
      </c>
      <c r="K73">
        <f>IF($A73="","",_xlfn.SUMIFS(Socle!$X$1:$X$448,Socle!$C$1:$C$448,$A73,Socle!$D$1:$D$448,$C73,Socle!$E$1:$E$448,$D73,Socle!$F$1:$F$448,$E73,Socle!$G$1:$G$448,"2026"))</f>
        <v>1.401639344</v>
      </c>
      <c r="L73">
        <f>IF($A73="","",_xlfn.SUMIFS(Socle!$Y$1:$Y$448,Socle!$C$1:$C$448,$A73,Socle!$D$1:$D$448,$C73,Socle!$E$1:$E$448,$D73,Socle!$F$1:$F$448,$E73,Socle!$G$1:$G$448,"2026"))</f>
        <v>0.842105264</v>
      </c>
      <c r="M73">
        <f>IF($A73="","",_xlfn.SUMIFS(Socle!$V$1:$V$448,Socle!$C$1:$C$448,$A73,Socle!$D$1:$D$448,$C73,Socle!$E$1:$E$448,$D73,Socle!$F$1:$F$448,$E73,Socle!$G$1:$G$448,"2026"))</f>
        <v>0</v>
      </c>
      <c r="N73">
        <f t="shared" si="0"/>
        <v>1</v>
      </c>
      <c r="O73">
        <f>IF($A73="","",_xlfn.SUMIFS(Campagne!$D$1:$D$128,Campagne!$C$1:$C$128,$A73))</f>
        <v>690</v>
      </c>
      <c r="P73">
        <f>IF($A73="","",_xlfn.SUMIFS(Campagne!$E$1:$E$128,Campagne!$C$1:$C$128,$A73))</f>
        <v>1126</v>
      </c>
      <c r="Q73">
        <f>IF($A73="","",_xlfn.SUMIFS(Campagne!$F$1:$F$128,Campagne!$C$1:$C$128,$A73))</f>
        <v>1816</v>
      </c>
      <c r="R73">
        <f>IF($A73="","",_xlfn.SUMIFS(Campagne!$K$1:$K$128,Campagne!$C$1:$C$128,$A73))</f>
        <v>0.442086485</v>
      </c>
      <c r="S73">
        <f>IF($A73="","",_xlfn.SUMIFS(Campagne!$M$1:$M$128,Campagne!$C$1:$C$128,$A73))</f>
        <v>0.317193575</v>
      </c>
      <c r="T73">
        <f>IF($A73="","",_xlfn.SUMIFS(PIL!$K$15:$K$28,PIL!$A$15:$A$28,$A73)*_xlfn.SUMIFS(PIL!$J$15:$J$28,PIL!$A$15:$A$28,$A73)*(SUM(PIL!$K$15:$K$28)/SUMPRODUCT(PIL!$K$15:$K$28,PIL!$J$15:$J$28)))</f>
        <v>60800</v>
      </c>
      <c r="U73">
        <f>IF($A73="","",_xlfn.SUMIFS(PIL!$K$15:$K$28,PIL!$A$15:$A$28,$A73))</f>
        <v>60800</v>
      </c>
      <c r="V73" t="s">
        <v>274</v>
      </c>
      <c r="W73" t="s">
        <v>274</v>
      </c>
      <c r="X73" t="s">
        <v>274</v>
      </c>
      <c r="Y73" t="s">
        <v>274</v>
      </c>
      <c r="Z73" t="s">
        <v>274</v>
      </c>
      <c r="AA73" t="s">
        <v>274</v>
      </c>
      <c r="AB73" t="s">
        <v>274</v>
      </c>
      <c r="AC73" t="s">
        <v>274</v>
      </c>
      <c r="AD73" t="e">
        <f t="shared" si="1"/>
        <v>#VALUE!</v>
      </c>
      <c r="AE73" t="e">
        <f t="shared" si="2"/>
        <v>#VALUE!</v>
      </c>
      <c r="AF73" t="e">
        <f t="shared" si="3"/>
        <v>#VALUE!</v>
      </c>
      <c r="AG73" t="e">
        <f t="shared" si="4"/>
        <v>#VALUE!</v>
      </c>
      <c r="AH73" t="e">
        <f t="shared" si="5"/>
        <v>#VALUE!</v>
      </c>
    </row>
    <row r="74" ht="14.25" customHeight="1">
      <c r="A74" t="str">
        <f>IF(Moteur!D74="","",Moteur!D74)</f>
        <v>ISCOM_PAR</v>
      </c>
      <c r="B74" t="str">
        <f>IF(Moteur!B74="","",Moteur!B74)</f>
        <v>V01</v>
      </c>
      <c r="C74" t="str">
        <f>IF(Moteur!F74="","",Moteur!F74)</f>
        <v>MAS_COM</v>
      </c>
      <c r="D74" t="str">
        <f>IF(Moteur!G74="","",Moteur!G74)</f>
        <v>M2</v>
      </c>
      <c r="E74" t="str">
        <f>IF(Moteur!H74="","",Moteur!H74)</f>
        <v>ALT</v>
      </c>
      <c r="F74" t="str">
        <f>IF(Moteur!E74="","",Moteur!E74)</f>
        <v>ISCOM</v>
      </c>
      <c r="G74">
        <f>IF($A74="","",_xlfn.SUMIFS(Socle!$H$1:$H$448,Socle!$C$1:$C$448,$A74,Socle!$D$1:$D$448,$C74,Socle!$E$1:$E$448,$D74,Socle!$F$1:$F$448,$E74,Socle!$G$1:$G$448,"2026"))</f>
        <v>0</v>
      </c>
      <c r="H74">
        <f>IF($A74="","",_xlfn.SUMIFS(Socle!$N$1:$N$448,Socle!$C$1:$C$448,$A74,Socle!$D$1:$D$448,$C74,Socle!$E$1:$E$448,$D74,Socle!$F$1:$F$448,$E74,Socle!$G$1:$G$448,"2026"))</f>
        <v>144</v>
      </c>
      <c r="I74">
        <f>IF($A74="","",_xlfn.SUMIFS(Socle!$P$1:$P$448,Socle!$C$1:$C$448,$A74,Socle!$D$1:$D$448,$C74,Socle!$E$1:$E$448,$D74,Socle!$F$1:$F$448,$E74,Socle!$G$1:$G$448,"2026"))</f>
        <v>16800</v>
      </c>
      <c r="J74">
        <f>IF($A74="","",_xlfn.SUMIFS(Socle!$W$1:$W$448,Socle!$C$1:$C$448,$A74,Socle!$D$1:$D$448,$C74,Socle!$E$1:$E$448,$D74,Socle!$F$1:$F$448,$E74,Socle!$G$1:$G$448,"2026"))</f>
        <v>0</v>
      </c>
      <c r="K74">
        <f>IF($A74="","",_xlfn.SUMIFS(Socle!$X$1:$X$448,Socle!$C$1:$C$448,$A74,Socle!$D$1:$D$448,$C74,Socle!$E$1:$E$448,$D74,Socle!$F$1:$F$448,$E74,Socle!$G$1:$G$448,"2026"))</f>
        <v>0</v>
      </c>
      <c r="L74">
        <f>IF($A74="","",_xlfn.SUMIFS(Socle!$Y$1:$Y$448,Socle!$C$1:$C$448,$A74,Socle!$D$1:$D$448,$C74,Socle!$E$1:$E$448,$D74,Socle!$F$1:$F$448,$E74,Socle!$G$1:$G$448,"2026"))</f>
        <v>0</v>
      </c>
      <c r="M74">
        <f>IF($A74="","",_xlfn.SUMIFS(Socle!$V$1:$V$448,Socle!$C$1:$C$448,$A74,Socle!$D$1:$D$448,$C74,Socle!$E$1:$E$448,$D74,Socle!$F$1:$F$448,$E74,Socle!$G$1:$G$448,"2026"))</f>
        <v>1.972222222</v>
      </c>
      <c r="N74">
        <f t="shared" si="0"/>
        <v>0</v>
      </c>
      <c r="O74">
        <f>IF($A74="","",_xlfn.SUMIFS(Campagne!$D$1:$D$128,Campagne!$C$1:$C$128,$A74))</f>
        <v>690</v>
      </c>
      <c r="P74">
        <f>IF($A74="","",_xlfn.SUMIFS(Campagne!$E$1:$E$128,Campagne!$C$1:$C$128,$A74))</f>
        <v>1126</v>
      </c>
      <c r="Q74">
        <f>IF($A74="","",_xlfn.SUMIFS(Campagne!$F$1:$F$128,Campagne!$C$1:$C$128,$A74))</f>
        <v>1816</v>
      </c>
      <c r="R74">
        <f>IF($A74="","",_xlfn.SUMIFS(Campagne!$K$1:$K$128,Campagne!$C$1:$C$128,$A74))</f>
        <v>0.442086485</v>
      </c>
      <c r="S74">
        <f>IF($A74="","",_xlfn.SUMIFS(Campagne!$M$1:$M$128,Campagne!$C$1:$C$128,$A74))</f>
        <v>0.317193575</v>
      </c>
      <c r="T74">
        <f>IF($A74="","",_xlfn.SUMIFS(PIL!$K$15:$K$28,PIL!$A$15:$A$28,$A74)*_xlfn.SUMIFS(PIL!$J$15:$J$28,PIL!$A$15:$A$28,$A74)*(SUM(PIL!$K$15:$K$28)/SUMPRODUCT(PIL!$K$15:$K$28,PIL!$J$15:$J$28)))</f>
        <v>60800</v>
      </c>
      <c r="U74">
        <f>IF($A74="","",_xlfn.SUMIFS(PIL!$K$15:$K$28,PIL!$A$15:$A$28,$A74))</f>
        <v>60800</v>
      </c>
      <c r="V74" t="s">
        <v>274</v>
      </c>
      <c r="W74" t="s">
        <v>274</v>
      </c>
      <c r="X74" t="s">
        <v>274</v>
      </c>
      <c r="Y74" t="s">
        <v>274</v>
      </c>
      <c r="Z74" t="s">
        <v>274</v>
      </c>
      <c r="AA74" t="s">
        <v>274</v>
      </c>
      <c r="AB74" t="s">
        <v>274</v>
      </c>
      <c r="AC74" t="s">
        <v>274</v>
      </c>
      <c r="AD74" t="e">
        <f t="shared" si="1"/>
        <v>#VALUE!</v>
      </c>
      <c r="AE74">
        <f t="shared" si="2"/>
        <v>0</v>
      </c>
      <c r="AF74" t="e">
        <f t="shared" si="3"/>
        <v>#VALUE!</v>
      </c>
      <c r="AG74" t="e">
        <f t="shared" si="4"/>
        <v>#VALUE!</v>
      </c>
      <c r="AH74" t="e">
        <f t="shared" si="5"/>
        <v>#VALUE!</v>
      </c>
    </row>
    <row r="75" ht="14.25" customHeight="1">
      <c r="A75" t="str">
        <f>IF(Moteur!D75="","",Moteur!D75)</f>
        <v>ISCOM_PAR</v>
      </c>
      <c r="B75" t="str">
        <f>IF(Moteur!B75="","",Moteur!B75)</f>
        <v>V02</v>
      </c>
      <c r="C75" t="str">
        <f>IF(Moteur!F75="","",Moteur!F75)</f>
        <v>MAS_COM</v>
      </c>
      <c r="D75" t="str">
        <f>IF(Moteur!G75="","",Moteur!G75)</f>
        <v>M2</v>
      </c>
      <c r="E75" t="str">
        <f>IF(Moteur!H75="","",Moteur!H75)</f>
        <v>ALT</v>
      </c>
      <c r="F75" t="str">
        <f>IF(Moteur!E75="","",Moteur!E75)</f>
        <v>ISCOM</v>
      </c>
      <c r="G75">
        <f>IF($A75="","",_xlfn.SUMIFS(Socle!$H$1:$H$448,Socle!$C$1:$C$448,$A75,Socle!$D$1:$D$448,$C75,Socle!$E$1:$E$448,$D75,Socle!$F$1:$F$448,$E75,Socle!$G$1:$G$448,"2026"))</f>
        <v>0</v>
      </c>
      <c r="H75">
        <f>IF($A75="","",_xlfn.SUMIFS(Socle!$N$1:$N$448,Socle!$C$1:$C$448,$A75,Socle!$D$1:$D$448,$C75,Socle!$E$1:$E$448,$D75,Socle!$F$1:$F$448,$E75,Socle!$G$1:$G$448,"2026"))</f>
        <v>144</v>
      </c>
      <c r="I75">
        <f>IF($A75="","",_xlfn.SUMIFS(Socle!$P$1:$P$448,Socle!$C$1:$C$448,$A75,Socle!$D$1:$D$448,$C75,Socle!$E$1:$E$448,$D75,Socle!$F$1:$F$448,$E75,Socle!$G$1:$G$448,"2026"))</f>
        <v>16800</v>
      </c>
      <c r="J75">
        <f>IF($A75="","",_xlfn.SUMIFS(Socle!$W$1:$W$448,Socle!$C$1:$C$448,$A75,Socle!$D$1:$D$448,$C75,Socle!$E$1:$E$448,$D75,Socle!$F$1:$F$448,$E75,Socle!$G$1:$G$448,"2026"))</f>
        <v>0</v>
      </c>
      <c r="K75">
        <f>IF($A75="","",_xlfn.SUMIFS(Socle!$X$1:$X$448,Socle!$C$1:$C$448,$A75,Socle!$D$1:$D$448,$C75,Socle!$E$1:$E$448,$D75,Socle!$F$1:$F$448,$E75,Socle!$G$1:$G$448,"2026"))</f>
        <v>0</v>
      </c>
      <c r="L75">
        <f>IF($A75="","",_xlfn.SUMIFS(Socle!$Y$1:$Y$448,Socle!$C$1:$C$448,$A75,Socle!$D$1:$D$448,$C75,Socle!$E$1:$E$448,$D75,Socle!$F$1:$F$448,$E75,Socle!$G$1:$G$448,"2026"))</f>
        <v>0</v>
      </c>
      <c r="M75">
        <f>IF($A75="","",_xlfn.SUMIFS(Socle!$V$1:$V$448,Socle!$C$1:$C$448,$A75,Socle!$D$1:$D$448,$C75,Socle!$E$1:$E$448,$D75,Socle!$F$1:$F$448,$E75,Socle!$G$1:$G$448,"2026"))</f>
        <v>1.972222222</v>
      </c>
      <c r="N75">
        <f t="shared" si="0"/>
        <v>0</v>
      </c>
      <c r="O75">
        <f>IF($A75="","",_xlfn.SUMIFS(Campagne!$D$1:$D$128,Campagne!$C$1:$C$128,$A75))</f>
        <v>690</v>
      </c>
      <c r="P75">
        <f>IF($A75="","",_xlfn.SUMIFS(Campagne!$E$1:$E$128,Campagne!$C$1:$C$128,$A75))</f>
        <v>1126</v>
      </c>
      <c r="Q75">
        <f>IF($A75="","",_xlfn.SUMIFS(Campagne!$F$1:$F$128,Campagne!$C$1:$C$128,$A75))</f>
        <v>1816</v>
      </c>
      <c r="R75">
        <f>IF($A75="","",_xlfn.SUMIFS(Campagne!$K$1:$K$128,Campagne!$C$1:$C$128,$A75))</f>
        <v>0.442086485</v>
      </c>
      <c r="S75">
        <f>IF($A75="","",_xlfn.SUMIFS(Campagne!$M$1:$M$128,Campagne!$C$1:$C$128,$A75))</f>
        <v>0.317193575</v>
      </c>
      <c r="T75">
        <f>IF($A75="","",_xlfn.SUMIFS(PIL!$K$15:$K$28,PIL!$A$15:$A$28,$A75)*_xlfn.SUMIFS(PIL!$J$15:$J$28,PIL!$A$15:$A$28,$A75)*(SUM(PIL!$K$15:$K$28)/SUMPRODUCT(PIL!$K$15:$K$28,PIL!$J$15:$J$28)))</f>
        <v>60800</v>
      </c>
      <c r="U75">
        <f>IF($A75="","",_xlfn.SUMIFS(PIL!$K$15:$K$28,PIL!$A$15:$A$28,$A75))</f>
        <v>60800</v>
      </c>
      <c r="V75" t="s">
        <v>274</v>
      </c>
      <c r="W75" t="s">
        <v>274</v>
      </c>
      <c r="X75" t="s">
        <v>274</v>
      </c>
      <c r="Y75" t="s">
        <v>274</v>
      </c>
      <c r="Z75" t="s">
        <v>274</v>
      </c>
      <c r="AA75" t="s">
        <v>274</v>
      </c>
      <c r="AB75" t="s">
        <v>274</v>
      </c>
      <c r="AC75" t="s">
        <v>274</v>
      </c>
      <c r="AD75" t="e">
        <f t="shared" si="1"/>
        <v>#VALUE!</v>
      </c>
      <c r="AE75">
        <f t="shared" si="2"/>
        <v>0</v>
      </c>
      <c r="AF75" t="e">
        <f t="shared" si="3"/>
        <v>#VALUE!</v>
      </c>
      <c r="AG75" t="e">
        <f t="shared" si="4"/>
        <v>#VALUE!</v>
      </c>
      <c r="AH75" t="e">
        <f t="shared" si="5"/>
        <v>#VALUE!</v>
      </c>
    </row>
    <row r="76" ht="14.25" customHeight="1">
      <c r="A76" t="str">
        <f>IF(Moteur!D76="","",Moteur!D76)</f>
        <v>ISCOM_PAR</v>
      </c>
      <c r="B76" t="str">
        <f>IF(Moteur!B76="","",Moteur!B76)</f>
        <v>V03</v>
      </c>
      <c r="C76" t="str">
        <f>IF(Moteur!F76="","",Moteur!F76)</f>
        <v>MAS_COM</v>
      </c>
      <c r="D76" t="str">
        <f>IF(Moteur!G76="","",Moteur!G76)</f>
        <v>M2</v>
      </c>
      <c r="E76" t="str">
        <f>IF(Moteur!H76="","",Moteur!H76)</f>
        <v>ALT</v>
      </c>
      <c r="F76" t="str">
        <f>IF(Moteur!E76="","",Moteur!E76)</f>
        <v>ISCOM</v>
      </c>
      <c r="G76">
        <f>IF($A76="","",_xlfn.SUMIFS(Socle!$H$1:$H$448,Socle!$C$1:$C$448,$A76,Socle!$D$1:$D$448,$C76,Socle!$E$1:$E$448,$D76,Socle!$F$1:$F$448,$E76,Socle!$G$1:$G$448,"2026"))</f>
        <v>0</v>
      </c>
      <c r="H76">
        <f>IF($A76="","",_xlfn.SUMIFS(Socle!$N$1:$N$448,Socle!$C$1:$C$448,$A76,Socle!$D$1:$D$448,$C76,Socle!$E$1:$E$448,$D76,Socle!$F$1:$F$448,$E76,Socle!$G$1:$G$448,"2026"))</f>
        <v>144</v>
      </c>
      <c r="I76">
        <f>IF($A76="","",_xlfn.SUMIFS(Socle!$P$1:$P$448,Socle!$C$1:$C$448,$A76,Socle!$D$1:$D$448,$C76,Socle!$E$1:$E$448,$D76,Socle!$F$1:$F$448,$E76,Socle!$G$1:$G$448,"2026"))</f>
        <v>16800</v>
      </c>
      <c r="J76">
        <f>IF($A76="","",_xlfn.SUMIFS(Socle!$W$1:$W$448,Socle!$C$1:$C$448,$A76,Socle!$D$1:$D$448,$C76,Socle!$E$1:$E$448,$D76,Socle!$F$1:$F$448,$E76,Socle!$G$1:$G$448,"2026"))</f>
        <v>0</v>
      </c>
      <c r="K76">
        <f>IF($A76="","",_xlfn.SUMIFS(Socle!$X$1:$X$448,Socle!$C$1:$C$448,$A76,Socle!$D$1:$D$448,$C76,Socle!$E$1:$E$448,$D76,Socle!$F$1:$F$448,$E76,Socle!$G$1:$G$448,"2026"))</f>
        <v>0</v>
      </c>
      <c r="L76">
        <f>IF($A76="","",_xlfn.SUMIFS(Socle!$Y$1:$Y$448,Socle!$C$1:$C$448,$A76,Socle!$D$1:$D$448,$C76,Socle!$E$1:$E$448,$D76,Socle!$F$1:$F$448,$E76,Socle!$G$1:$G$448,"2026"))</f>
        <v>0</v>
      </c>
      <c r="M76">
        <f>IF($A76="","",_xlfn.SUMIFS(Socle!$V$1:$V$448,Socle!$C$1:$C$448,$A76,Socle!$D$1:$D$448,$C76,Socle!$E$1:$E$448,$D76,Socle!$F$1:$F$448,$E76,Socle!$G$1:$G$448,"2026"))</f>
        <v>1.972222222</v>
      </c>
      <c r="N76">
        <f t="shared" si="0"/>
        <v>0</v>
      </c>
      <c r="O76">
        <f>IF($A76="","",_xlfn.SUMIFS(Campagne!$D$1:$D$128,Campagne!$C$1:$C$128,$A76))</f>
        <v>690</v>
      </c>
      <c r="P76">
        <f>IF($A76="","",_xlfn.SUMIFS(Campagne!$E$1:$E$128,Campagne!$C$1:$C$128,$A76))</f>
        <v>1126</v>
      </c>
      <c r="Q76">
        <f>IF($A76="","",_xlfn.SUMIFS(Campagne!$F$1:$F$128,Campagne!$C$1:$C$128,$A76))</f>
        <v>1816</v>
      </c>
      <c r="R76">
        <f>IF($A76="","",_xlfn.SUMIFS(Campagne!$K$1:$K$128,Campagne!$C$1:$C$128,$A76))</f>
        <v>0.442086485</v>
      </c>
      <c r="S76">
        <f>IF($A76="","",_xlfn.SUMIFS(Campagne!$M$1:$M$128,Campagne!$C$1:$C$128,$A76))</f>
        <v>0.317193575</v>
      </c>
      <c r="T76">
        <f>IF($A76="","",_xlfn.SUMIFS(PIL!$K$15:$K$28,PIL!$A$15:$A$28,$A76)*_xlfn.SUMIFS(PIL!$J$15:$J$28,PIL!$A$15:$A$28,$A76)*(SUM(PIL!$K$15:$K$28)/SUMPRODUCT(PIL!$K$15:$K$28,PIL!$J$15:$J$28)))</f>
        <v>60800</v>
      </c>
      <c r="U76">
        <f>IF($A76="","",_xlfn.SUMIFS(PIL!$K$15:$K$28,PIL!$A$15:$A$28,$A76))</f>
        <v>60800</v>
      </c>
      <c r="V76" t="s">
        <v>274</v>
      </c>
      <c r="W76" t="s">
        <v>274</v>
      </c>
      <c r="X76" t="s">
        <v>274</v>
      </c>
      <c r="Y76" t="s">
        <v>274</v>
      </c>
      <c r="Z76" t="s">
        <v>274</v>
      </c>
      <c r="AA76" t="s">
        <v>274</v>
      </c>
      <c r="AB76" t="s">
        <v>274</v>
      </c>
      <c r="AC76" t="s">
        <v>274</v>
      </c>
      <c r="AD76" t="e">
        <f t="shared" si="1"/>
        <v>#VALUE!</v>
      </c>
      <c r="AE76">
        <f t="shared" si="2"/>
        <v>0</v>
      </c>
      <c r="AF76" t="e">
        <f t="shared" si="3"/>
        <v>#VALUE!</v>
      </c>
      <c r="AG76" t="e">
        <f t="shared" si="4"/>
        <v>#VALUE!</v>
      </c>
      <c r="AH76" t="e">
        <f t="shared" si="5"/>
        <v>#VALUE!</v>
      </c>
    </row>
    <row r="77" ht="14.25" customHeight="1">
      <c r="A77" t="str">
        <f>IF(Moteur!D77="","",Moteur!D77)</f>
        <v>ISCOM_LIL</v>
      </c>
      <c r="B77" t="str">
        <f>IF(Moteur!B77="","",Moteur!B77)</f>
        <v>V01</v>
      </c>
      <c r="C77" t="str">
        <f>IF(Moteur!F77="","",Moteur!F77)</f>
        <v>BAC_COM</v>
      </c>
      <c r="D77" t="str">
        <f>IF(Moteur!G77="","",Moteur!G77)</f>
        <v>B1</v>
      </c>
      <c r="E77" t="str">
        <f>IF(Moteur!H77="","",Moteur!H77)</f>
        <v>INIT</v>
      </c>
      <c r="F77" t="str">
        <f>IF(Moteur!E77="","",Moteur!E77)</f>
        <v>ISCOM</v>
      </c>
      <c r="G77">
        <f>IF($A77="","",_xlfn.SUMIFS(Socle!$H$1:$H$448,Socle!$C$1:$C$448,$A77,Socle!$D$1:$D$448,$C77,Socle!$E$1:$E$448,$D77,Socle!$F$1:$F$448,$E77,Socle!$G$1:$G$448,"2026"))</f>
        <v>822</v>
      </c>
      <c r="H77">
        <f>IF($A77="","",_xlfn.SUMIFS(Socle!$N$1:$N$448,Socle!$C$1:$C$448,$A77,Socle!$D$1:$D$448,$C77,Socle!$E$1:$E$448,$D77,Socle!$F$1:$F$448,$E77,Socle!$G$1:$G$448,"2026"))</f>
        <v>0</v>
      </c>
      <c r="I77">
        <f>IF($A77="","",_xlfn.SUMIFS(Socle!$P$1:$P$448,Socle!$C$1:$C$448,$A77,Socle!$D$1:$D$448,$C77,Socle!$E$1:$E$448,$D77,Socle!$F$1:$F$448,$E77,Socle!$G$1:$G$448,"2026"))</f>
        <v>14700</v>
      </c>
      <c r="J77">
        <f>IF($A77="","",_xlfn.SUMIFS(Socle!$W$1:$W$448,Socle!$C$1:$C$448,$A77,Socle!$D$1:$D$448,$C77,Socle!$E$1:$E$448,$D77,Socle!$F$1:$F$448,$E77,Socle!$G$1:$G$448,"2026"))</f>
        <v>0.559610706</v>
      </c>
      <c r="K77">
        <f>IF($A77="","",_xlfn.SUMIFS(Socle!$X$1:$X$448,Socle!$C$1:$C$448,$A77,Socle!$D$1:$D$448,$C77,Socle!$E$1:$E$448,$D77,Socle!$F$1:$F$448,$E77,Socle!$G$1:$G$448,"2026"))</f>
        <v>1.44347826</v>
      </c>
      <c r="L77">
        <f>IF($A77="","",_xlfn.SUMIFS(Socle!$Y$1:$Y$448,Socle!$C$1:$C$448,$A77,Socle!$D$1:$D$448,$C77,Socle!$E$1:$E$448,$D77,Socle!$F$1:$F$448,$E77,Socle!$G$1:$G$448,"2026"))</f>
        <v>1.204819278</v>
      </c>
      <c r="M77">
        <f>IF($A77="","",_xlfn.SUMIFS(Socle!$V$1:$V$448,Socle!$C$1:$C$448,$A77,Socle!$D$1:$D$448,$C77,Socle!$E$1:$E$448,$D77,Socle!$F$1:$F$448,$E77,Socle!$G$1:$G$448,"2026"))</f>
        <v>0</v>
      </c>
      <c r="N77">
        <f t="shared" si="0"/>
        <v>1</v>
      </c>
      <c r="O77">
        <f>IF($A77="","",_xlfn.SUMIFS(Campagne!$D$1:$D$128,Campagne!$C$1:$C$128,$A77))</f>
        <v>630</v>
      </c>
      <c r="P77">
        <f>IF($A77="","",_xlfn.SUMIFS(Campagne!$E$1:$E$128,Campagne!$C$1:$C$128,$A77))</f>
        <v>630</v>
      </c>
      <c r="Q77">
        <f>IF($A77="","",_xlfn.SUMIFS(Campagne!$F$1:$F$128,Campagne!$C$1:$C$128,$A77))</f>
        <v>1260</v>
      </c>
      <c r="R77">
        <f>IF($A77="","",_xlfn.SUMIFS(Campagne!$K$1:$K$128,Campagne!$C$1:$C$128,$A77))</f>
        <v>0.515848483</v>
      </c>
      <c r="S77">
        <f>IF($A77="","",_xlfn.SUMIFS(Campagne!$M$1:$M$128,Campagne!$C$1:$C$128,$A77))</f>
        <v>0.348380671</v>
      </c>
      <c r="T77">
        <f>IF($A77="","",_xlfn.SUMIFS(PIL!$K$15:$K$28,PIL!$A$15:$A$28,$A77)*_xlfn.SUMIFS(PIL!$J$15:$J$28,PIL!$A$15:$A$28,$A77)*(SUM(PIL!$K$15:$K$28)/SUMPRODUCT(PIL!$K$15:$K$28,PIL!$J$15:$J$28)))</f>
        <v>25220</v>
      </c>
      <c r="U77">
        <f>IF($A77="","",_xlfn.SUMIFS(PIL!$K$15:$K$28,PIL!$A$15:$A$28,$A77))</f>
        <v>25220</v>
      </c>
      <c r="V77" t="s">
        <v>274</v>
      </c>
      <c r="W77" t="s">
        <v>274</v>
      </c>
      <c r="X77" t="s">
        <v>274</v>
      </c>
      <c r="Y77" t="s">
        <v>274</v>
      </c>
      <c r="Z77" t="s">
        <v>274</v>
      </c>
      <c r="AA77" t="s">
        <v>274</v>
      </c>
      <c r="AB77" t="s">
        <v>274</v>
      </c>
      <c r="AC77" t="s">
        <v>274</v>
      </c>
      <c r="AD77" t="e">
        <f t="shared" si="1"/>
        <v>#VALUE!</v>
      </c>
      <c r="AE77" t="e">
        <f t="shared" si="2"/>
        <v>#VALUE!</v>
      </c>
      <c r="AF77" t="e">
        <f t="shared" si="3"/>
        <v>#VALUE!</v>
      </c>
      <c r="AG77" t="e">
        <f t="shared" si="4"/>
        <v>#VALUE!</v>
      </c>
      <c r="AH77" t="e">
        <f t="shared" si="5"/>
        <v>#VALUE!</v>
      </c>
    </row>
    <row r="78" ht="14.25" customHeight="1">
      <c r="A78" t="str">
        <f>IF(Moteur!D78="","",Moteur!D78)</f>
        <v>ISCOM_LIL</v>
      </c>
      <c r="B78" t="str">
        <f>IF(Moteur!B78="","",Moteur!B78)</f>
        <v>V02</v>
      </c>
      <c r="C78" t="str">
        <f>IF(Moteur!F78="","",Moteur!F78)</f>
        <v>BAC_COM</v>
      </c>
      <c r="D78" t="str">
        <f>IF(Moteur!G78="","",Moteur!G78)</f>
        <v>B1</v>
      </c>
      <c r="E78" t="str">
        <f>IF(Moteur!H78="","",Moteur!H78)</f>
        <v>INIT</v>
      </c>
      <c r="F78" t="str">
        <f>IF(Moteur!E78="","",Moteur!E78)</f>
        <v>ISCOM</v>
      </c>
      <c r="G78">
        <f>IF($A78="","",_xlfn.SUMIFS(Socle!$H$1:$H$448,Socle!$C$1:$C$448,$A78,Socle!$D$1:$D$448,$C78,Socle!$E$1:$E$448,$D78,Socle!$F$1:$F$448,$E78,Socle!$G$1:$G$448,"2026"))</f>
        <v>822</v>
      </c>
      <c r="H78">
        <f>IF($A78="","",_xlfn.SUMIFS(Socle!$N$1:$N$448,Socle!$C$1:$C$448,$A78,Socle!$D$1:$D$448,$C78,Socle!$E$1:$E$448,$D78,Socle!$F$1:$F$448,$E78,Socle!$G$1:$G$448,"2026"))</f>
        <v>0</v>
      </c>
      <c r="I78">
        <f>IF($A78="","",_xlfn.SUMIFS(Socle!$P$1:$P$448,Socle!$C$1:$C$448,$A78,Socle!$D$1:$D$448,$C78,Socle!$E$1:$E$448,$D78,Socle!$F$1:$F$448,$E78,Socle!$G$1:$G$448,"2026"))</f>
        <v>14700</v>
      </c>
      <c r="J78">
        <f>IF($A78="","",_xlfn.SUMIFS(Socle!$W$1:$W$448,Socle!$C$1:$C$448,$A78,Socle!$D$1:$D$448,$C78,Socle!$E$1:$E$448,$D78,Socle!$F$1:$F$448,$E78,Socle!$G$1:$G$448,"2026"))</f>
        <v>0.559610706</v>
      </c>
      <c r="K78">
        <f>IF($A78="","",_xlfn.SUMIFS(Socle!$X$1:$X$448,Socle!$C$1:$C$448,$A78,Socle!$D$1:$D$448,$C78,Socle!$E$1:$E$448,$D78,Socle!$F$1:$F$448,$E78,Socle!$G$1:$G$448,"2026"))</f>
        <v>1.44347826</v>
      </c>
      <c r="L78">
        <f>IF($A78="","",_xlfn.SUMIFS(Socle!$Y$1:$Y$448,Socle!$C$1:$C$448,$A78,Socle!$D$1:$D$448,$C78,Socle!$E$1:$E$448,$D78,Socle!$F$1:$F$448,$E78,Socle!$G$1:$G$448,"2026"))</f>
        <v>1.204819278</v>
      </c>
      <c r="M78">
        <f>IF($A78="","",_xlfn.SUMIFS(Socle!$V$1:$V$448,Socle!$C$1:$C$448,$A78,Socle!$D$1:$D$448,$C78,Socle!$E$1:$E$448,$D78,Socle!$F$1:$F$448,$E78,Socle!$G$1:$G$448,"2026"))</f>
        <v>0</v>
      </c>
      <c r="N78">
        <f t="shared" si="0"/>
        <v>1</v>
      </c>
      <c r="O78">
        <f>IF($A78="","",_xlfn.SUMIFS(Campagne!$D$1:$D$128,Campagne!$C$1:$C$128,$A78))</f>
        <v>630</v>
      </c>
      <c r="P78">
        <f>IF($A78="","",_xlfn.SUMIFS(Campagne!$E$1:$E$128,Campagne!$C$1:$C$128,$A78))</f>
        <v>630</v>
      </c>
      <c r="Q78">
        <f>IF($A78="","",_xlfn.SUMIFS(Campagne!$F$1:$F$128,Campagne!$C$1:$C$128,$A78))</f>
        <v>1260</v>
      </c>
      <c r="R78">
        <f>IF($A78="","",_xlfn.SUMIFS(Campagne!$K$1:$K$128,Campagne!$C$1:$C$128,$A78))</f>
        <v>0.515848483</v>
      </c>
      <c r="S78">
        <f>IF($A78="","",_xlfn.SUMIFS(Campagne!$M$1:$M$128,Campagne!$C$1:$C$128,$A78))</f>
        <v>0.348380671</v>
      </c>
      <c r="T78">
        <f>IF($A78="","",_xlfn.SUMIFS(PIL!$K$15:$K$28,PIL!$A$15:$A$28,$A78)*_xlfn.SUMIFS(PIL!$J$15:$J$28,PIL!$A$15:$A$28,$A78)*(SUM(PIL!$K$15:$K$28)/SUMPRODUCT(PIL!$K$15:$K$28,PIL!$J$15:$J$28)))</f>
        <v>25220</v>
      </c>
      <c r="U78">
        <f>IF($A78="","",_xlfn.SUMIFS(PIL!$K$15:$K$28,PIL!$A$15:$A$28,$A78))</f>
        <v>25220</v>
      </c>
      <c r="V78" t="s">
        <v>274</v>
      </c>
      <c r="W78" t="s">
        <v>274</v>
      </c>
      <c r="X78" t="s">
        <v>274</v>
      </c>
      <c r="Y78" t="s">
        <v>274</v>
      </c>
      <c r="Z78" t="s">
        <v>274</v>
      </c>
      <c r="AA78" t="s">
        <v>274</v>
      </c>
      <c r="AB78" t="s">
        <v>274</v>
      </c>
      <c r="AC78" t="s">
        <v>274</v>
      </c>
      <c r="AD78" t="e">
        <f t="shared" si="1"/>
        <v>#VALUE!</v>
      </c>
      <c r="AE78" t="e">
        <f t="shared" si="2"/>
        <v>#VALUE!</v>
      </c>
      <c r="AF78" t="e">
        <f t="shared" si="3"/>
        <v>#VALUE!</v>
      </c>
      <c r="AG78" t="e">
        <f t="shared" si="4"/>
        <v>#VALUE!</v>
      </c>
      <c r="AH78" t="e">
        <f t="shared" si="5"/>
        <v>#VALUE!</v>
      </c>
    </row>
    <row r="79" ht="14.25" customHeight="1">
      <c r="A79" t="str">
        <f>IF(Moteur!D79="","",Moteur!D79)</f>
        <v>ISCOM_LIL</v>
      </c>
      <c r="B79" t="str">
        <f>IF(Moteur!B79="","",Moteur!B79)</f>
        <v>V03</v>
      </c>
      <c r="C79" t="str">
        <f>IF(Moteur!F79="","",Moteur!F79)</f>
        <v>BAC_COM</v>
      </c>
      <c r="D79" t="str">
        <f>IF(Moteur!G79="","",Moteur!G79)</f>
        <v>B1</v>
      </c>
      <c r="E79" t="str">
        <f>IF(Moteur!H79="","",Moteur!H79)</f>
        <v>INIT</v>
      </c>
      <c r="F79" t="str">
        <f>IF(Moteur!E79="","",Moteur!E79)</f>
        <v>ISCOM</v>
      </c>
      <c r="G79">
        <f>IF($A79="","",_xlfn.SUMIFS(Socle!$H$1:$H$448,Socle!$C$1:$C$448,$A79,Socle!$D$1:$D$448,$C79,Socle!$E$1:$E$448,$D79,Socle!$F$1:$F$448,$E79,Socle!$G$1:$G$448,"2026"))</f>
        <v>822</v>
      </c>
      <c r="H79">
        <f>IF($A79="","",_xlfn.SUMIFS(Socle!$N$1:$N$448,Socle!$C$1:$C$448,$A79,Socle!$D$1:$D$448,$C79,Socle!$E$1:$E$448,$D79,Socle!$F$1:$F$448,$E79,Socle!$G$1:$G$448,"2026"))</f>
        <v>0</v>
      </c>
      <c r="I79">
        <f>IF($A79="","",_xlfn.SUMIFS(Socle!$P$1:$P$448,Socle!$C$1:$C$448,$A79,Socle!$D$1:$D$448,$C79,Socle!$E$1:$E$448,$D79,Socle!$F$1:$F$448,$E79,Socle!$G$1:$G$448,"2026"))</f>
        <v>14700</v>
      </c>
      <c r="J79">
        <f>IF($A79="","",_xlfn.SUMIFS(Socle!$W$1:$W$448,Socle!$C$1:$C$448,$A79,Socle!$D$1:$D$448,$C79,Socle!$E$1:$E$448,$D79,Socle!$F$1:$F$448,$E79,Socle!$G$1:$G$448,"2026"))</f>
        <v>0.559610706</v>
      </c>
      <c r="K79">
        <f>IF($A79="","",_xlfn.SUMIFS(Socle!$X$1:$X$448,Socle!$C$1:$C$448,$A79,Socle!$D$1:$D$448,$C79,Socle!$E$1:$E$448,$D79,Socle!$F$1:$F$448,$E79,Socle!$G$1:$G$448,"2026"))</f>
        <v>1.44347826</v>
      </c>
      <c r="L79">
        <f>IF($A79="","",_xlfn.SUMIFS(Socle!$Y$1:$Y$448,Socle!$C$1:$C$448,$A79,Socle!$D$1:$D$448,$C79,Socle!$E$1:$E$448,$D79,Socle!$F$1:$F$448,$E79,Socle!$G$1:$G$448,"2026"))</f>
        <v>1.204819278</v>
      </c>
      <c r="M79">
        <f>IF($A79="","",_xlfn.SUMIFS(Socle!$V$1:$V$448,Socle!$C$1:$C$448,$A79,Socle!$D$1:$D$448,$C79,Socle!$E$1:$E$448,$D79,Socle!$F$1:$F$448,$E79,Socle!$G$1:$G$448,"2026"))</f>
        <v>0</v>
      </c>
      <c r="N79">
        <f t="shared" si="0"/>
        <v>1</v>
      </c>
      <c r="O79">
        <f>IF($A79="","",_xlfn.SUMIFS(Campagne!$D$1:$D$128,Campagne!$C$1:$C$128,$A79))</f>
        <v>630</v>
      </c>
      <c r="P79">
        <f>IF($A79="","",_xlfn.SUMIFS(Campagne!$E$1:$E$128,Campagne!$C$1:$C$128,$A79))</f>
        <v>630</v>
      </c>
      <c r="Q79">
        <f>IF($A79="","",_xlfn.SUMIFS(Campagne!$F$1:$F$128,Campagne!$C$1:$C$128,$A79))</f>
        <v>1260</v>
      </c>
      <c r="R79">
        <f>IF($A79="","",_xlfn.SUMIFS(Campagne!$K$1:$K$128,Campagne!$C$1:$C$128,$A79))</f>
        <v>0.515848483</v>
      </c>
      <c r="S79">
        <f>IF($A79="","",_xlfn.SUMIFS(Campagne!$M$1:$M$128,Campagne!$C$1:$C$128,$A79))</f>
        <v>0.348380671</v>
      </c>
      <c r="T79">
        <f>IF($A79="","",_xlfn.SUMIFS(PIL!$K$15:$K$28,PIL!$A$15:$A$28,$A79)*_xlfn.SUMIFS(PIL!$J$15:$J$28,PIL!$A$15:$A$28,$A79)*(SUM(PIL!$K$15:$K$28)/SUMPRODUCT(PIL!$K$15:$K$28,PIL!$J$15:$J$28)))</f>
        <v>25220</v>
      </c>
      <c r="U79">
        <f>IF($A79="","",_xlfn.SUMIFS(PIL!$K$15:$K$28,PIL!$A$15:$A$28,$A79))</f>
        <v>25220</v>
      </c>
      <c r="V79" t="s">
        <v>274</v>
      </c>
      <c r="W79" t="s">
        <v>274</v>
      </c>
      <c r="X79" t="s">
        <v>274</v>
      </c>
      <c r="Y79" t="s">
        <v>274</v>
      </c>
      <c r="Z79" t="s">
        <v>274</v>
      </c>
      <c r="AA79" t="s">
        <v>274</v>
      </c>
      <c r="AB79" t="s">
        <v>274</v>
      </c>
      <c r="AC79" t="s">
        <v>274</v>
      </c>
      <c r="AD79" t="e">
        <f t="shared" si="1"/>
        <v>#VALUE!</v>
      </c>
      <c r="AE79" t="e">
        <f t="shared" si="2"/>
        <v>#VALUE!</v>
      </c>
      <c r="AF79" t="e">
        <f t="shared" si="3"/>
        <v>#VALUE!</v>
      </c>
      <c r="AG79" t="e">
        <f t="shared" si="4"/>
        <v>#VALUE!</v>
      </c>
      <c r="AH79" t="e">
        <f t="shared" si="5"/>
        <v>#VALUE!</v>
      </c>
    </row>
    <row r="80" ht="14.25" customHeight="1">
      <c r="A80" t="str">
        <f>IF(Moteur!D80="","",Moteur!D80)</f>
        <v>ISCOM_LIL</v>
      </c>
      <c r="B80" t="str">
        <f>IF(Moteur!B80="","",Moteur!B80)</f>
        <v>V01</v>
      </c>
      <c r="C80" t="str">
        <f>IF(Moteur!F80="","",Moteur!F80)</f>
        <v>BAC_COM</v>
      </c>
      <c r="D80" t="str">
        <f>IF(Moteur!G80="","",Moteur!G80)</f>
        <v>B2</v>
      </c>
      <c r="E80" t="str">
        <f>IF(Moteur!H80="","",Moteur!H80)</f>
        <v>ALT</v>
      </c>
      <c r="F80" t="str">
        <f>IF(Moteur!E80="","",Moteur!E80)</f>
        <v>ISCOM</v>
      </c>
      <c r="G80">
        <f>IF($A80="","",_xlfn.SUMIFS(Socle!$H$1:$H$448,Socle!$C$1:$C$448,$A80,Socle!$D$1:$D$448,$C80,Socle!$E$1:$E$448,$D80,Socle!$F$1:$F$448,$E80,Socle!$G$1:$G$448,"2026"))</f>
        <v>0</v>
      </c>
      <c r="H80">
        <f>IF($A80="","",_xlfn.SUMIFS(Socle!$N$1:$N$448,Socle!$C$1:$C$448,$A80,Socle!$D$1:$D$448,$C80,Socle!$E$1:$E$448,$D80,Socle!$F$1:$F$448,$E80,Socle!$G$1:$G$448,"2026"))</f>
        <v>100</v>
      </c>
      <c r="I80">
        <f>IF($A80="","",_xlfn.SUMIFS(Socle!$P$1:$P$448,Socle!$C$1:$C$448,$A80,Socle!$D$1:$D$448,$C80,Socle!$E$1:$E$448,$D80,Socle!$F$1:$F$448,$E80,Socle!$G$1:$G$448,"2026"))</f>
        <v>13720</v>
      </c>
      <c r="J80">
        <f>IF($A80="","",_xlfn.SUMIFS(Socle!$W$1:$W$448,Socle!$C$1:$C$448,$A80,Socle!$D$1:$D$448,$C80,Socle!$E$1:$E$448,$D80,Socle!$F$1:$F$448,$E80,Socle!$G$1:$G$448,"2026"))</f>
        <v>0</v>
      </c>
      <c r="K80">
        <f>IF($A80="","",_xlfn.SUMIFS(Socle!$X$1:$X$448,Socle!$C$1:$C$448,$A80,Socle!$D$1:$D$448,$C80,Socle!$E$1:$E$448,$D80,Socle!$F$1:$F$448,$E80,Socle!$G$1:$G$448,"2026"))</f>
        <v>0</v>
      </c>
      <c r="L80">
        <f>IF($A80="","",_xlfn.SUMIFS(Socle!$Y$1:$Y$448,Socle!$C$1:$C$448,$A80,Socle!$D$1:$D$448,$C80,Socle!$E$1:$E$448,$D80,Socle!$F$1:$F$448,$E80,Socle!$G$1:$G$448,"2026"))</f>
        <v>0</v>
      </c>
      <c r="M80">
        <f>IF($A80="","",_xlfn.SUMIFS(Socle!$V$1:$V$448,Socle!$C$1:$C$448,$A80,Socle!$D$1:$D$448,$C80,Socle!$E$1:$E$448,$D80,Socle!$F$1:$F$448,$E80,Socle!$G$1:$G$448,"2026"))</f>
        <v>1.92</v>
      </c>
      <c r="N80">
        <f t="shared" si="0"/>
        <v>0</v>
      </c>
      <c r="O80">
        <f>IF($A80="","",_xlfn.SUMIFS(Campagne!$D$1:$D$128,Campagne!$C$1:$C$128,$A80))</f>
        <v>630</v>
      </c>
      <c r="P80">
        <f>IF($A80="","",_xlfn.SUMIFS(Campagne!$E$1:$E$128,Campagne!$C$1:$C$128,$A80))</f>
        <v>630</v>
      </c>
      <c r="Q80">
        <f>IF($A80="","",_xlfn.SUMIFS(Campagne!$F$1:$F$128,Campagne!$C$1:$C$128,$A80))</f>
        <v>1260</v>
      </c>
      <c r="R80">
        <f>IF($A80="","",_xlfn.SUMIFS(Campagne!$K$1:$K$128,Campagne!$C$1:$C$128,$A80))</f>
        <v>0.515848483</v>
      </c>
      <c r="S80">
        <f>IF($A80="","",_xlfn.SUMIFS(Campagne!$M$1:$M$128,Campagne!$C$1:$C$128,$A80))</f>
        <v>0.348380671</v>
      </c>
      <c r="T80">
        <f>IF($A80="","",_xlfn.SUMIFS(PIL!$K$15:$K$28,PIL!$A$15:$A$28,$A80)*_xlfn.SUMIFS(PIL!$J$15:$J$28,PIL!$A$15:$A$28,$A80)*(SUM(PIL!$K$15:$K$28)/SUMPRODUCT(PIL!$K$15:$K$28,PIL!$J$15:$J$28)))</f>
        <v>25220</v>
      </c>
      <c r="U80">
        <f>IF($A80="","",_xlfn.SUMIFS(PIL!$K$15:$K$28,PIL!$A$15:$A$28,$A80))</f>
        <v>25220</v>
      </c>
      <c r="V80" t="s">
        <v>274</v>
      </c>
      <c r="W80" t="s">
        <v>274</v>
      </c>
      <c r="X80" t="s">
        <v>274</v>
      </c>
      <c r="Y80" t="s">
        <v>274</v>
      </c>
      <c r="Z80" t="s">
        <v>274</v>
      </c>
      <c r="AA80" t="s">
        <v>274</v>
      </c>
      <c r="AB80" t="s">
        <v>274</v>
      </c>
      <c r="AC80" t="s">
        <v>274</v>
      </c>
      <c r="AD80" t="e">
        <f t="shared" si="1"/>
        <v>#VALUE!</v>
      </c>
      <c r="AE80">
        <f t="shared" si="2"/>
        <v>0</v>
      </c>
      <c r="AF80" t="e">
        <f t="shared" si="3"/>
        <v>#VALUE!</v>
      </c>
      <c r="AG80" t="e">
        <f t="shared" si="4"/>
        <v>#VALUE!</v>
      </c>
      <c r="AH80" t="e">
        <f t="shared" si="5"/>
        <v>#VALUE!</v>
      </c>
    </row>
    <row r="81" ht="14.25" customHeight="1">
      <c r="A81" t="str">
        <f>IF(Moteur!D81="","",Moteur!D81)</f>
        <v>ISCOM_LIL</v>
      </c>
      <c r="B81" t="str">
        <f>IF(Moteur!B81="","",Moteur!B81)</f>
        <v>V02</v>
      </c>
      <c r="C81" t="str">
        <f>IF(Moteur!F81="","",Moteur!F81)</f>
        <v>BAC_COM</v>
      </c>
      <c r="D81" t="str">
        <f>IF(Moteur!G81="","",Moteur!G81)</f>
        <v>B2</v>
      </c>
      <c r="E81" t="str">
        <f>IF(Moteur!H81="","",Moteur!H81)</f>
        <v>ALT</v>
      </c>
      <c r="F81" t="str">
        <f>IF(Moteur!E81="","",Moteur!E81)</f>
        <v>ISCOM</v>
      </c>
      <c r="G81">
        <f>IF($A81="","",_xlfn.SUMIFS(Socle!$H$1:$H$448,Socle!$C$1:$C$448,$A81,Socle!$D$1:$D$448,$C81,Socle!$E$1:$E$448,$D81,Socle!$F$1:$F$448,$E81,Socle!$G$1:$G$448,"2026"))</f>
        <v>0</v>
      </c>
      <c r="H81">
        <f>IF($A81="","",_xlfn.SUMIFS(Socle!$N$1:$N$448,Socle!$C$1:$C$448,$A81,Socle!$D$1:$D$448,$C81,Socle!$E$1:$E$448,$D81,Socle!$F$1:$F$448,$E81,Socle!$G$1:$G$448,"2026"))</f>
        <v>100</v>
      </c>
      <c r="I81">
        <f>IF($A81="","",_xlfn.SUMIFS(Socle!$P$1:$P$448,Socle!$C$1:$C$448,$A81,Socle!$D$1:$D$448,$C81,Socle!$E$1:$E$448,$D81,Socle!$F$1:$F$448,$E81,Socle!$G$1:$G$448,"2026"))</f>
        <v>13720</v>
      </c>
      <c r="J81">
        <f>IF($A81="","",_xlfn.SUMIFS(Socle!$W$1:$W$448,Socle!$C$1:$C$448,$A81,Socle!$D$1:$D$448,$C81,Socle!$E$1:$E$448,$D81,Socle!$F$1:$F$448,$E81,Socle!$G$1:$G$448,"2026"))</f>
        <v>0</v>
      </c>
      <c r="K81">
        <f>IF($A81="","",_xlfn.SUMIFS(Socle!$X$1:$X$448,Socle!$C$1:$C$448,$A81,Socle!$D$1:$D$448,$C81,Socle!$E$1:$E$448,$D81,Socle!$F$1:$F$448,$E81,Socle!$G$1:$G$448,"2026"))</f>
        <v>0</v>
      </c>
      <c r="L81">
        <f>IF($A81="","",_xlfn.SUMIFS(Socle!$Y$1:$Y$448,Socle!$C$1:$C$448,$A81,Socle!$D$1:$D$448,$C81,Socle!$E$1:$E$448,$D81,Socle!$F$1:$F$448,$E81,Socle!$G$1:$G$448,"2026"))</f>
        <v>0</v>
      </c>
      <c r="M81">
        <f>IF($A81="","",_xlfn.SUMIFS(Socle!$V$1:$V$448,Socle!$C$1:$C$448,$A81,Socle!$D$1:$D$448,$C81,Socle!$E$1:$E$448,$D81,Socle!$F$1:$F$448,$E81,Socle!$G$1:$G$448,"2026"))</f>
        <v>1.92</v>
      </c>
      <c r="N81">
        <f t="shared" si="0"/>
        <v>0</v>
      </c>
      <c r="O81">
        <f>IF($A81="","",_xlfn.SUMIFS(Campagne!$D$1:$D$128,Campagne!$C$1:$C$128,$A81))</f>
        <v>630</v>
      </c>
      <c r="P81">
        <f>IF($A81="","",_xlfn.SUMIFS(Campagne!$E$1:$E$128,Campagne!$C$1:$C$128,$A81))</f>
        <v>630</v>
      </c>
      <c r="Q81">
        <f>IF($A81="","",_xlfn.SUMIFS(Campagne!$F$1:$F$128,Campagne!$C$1:$C$128,$A81))</f>
        <v>1260</v>
      </c>
      <c r="R81">
        <f>IF($A81="","",_xlfn.SUMIFS(Campagne!$K$1:$K$128,Campagne!$C$1:$C$128,$A81))</f>
        <v>0.515848483</v>
      </c>
      <c r="S81">
        <f>IF($A81="","",_xlfn.SUMIFS(Campagne!$M$1:$M$128,Campagne!$C$1:$C$128,$A81))</f>
        <v>0.348380671</v>
      </c>
      <c r="T81">
        <f>IF($A81="","",_xlfn.SUMIFS(PIL!$K$15:$K$28,PIL!$A$15:$A$28,$A81)*_xlfn.SUMIFS(PIL!$J$15:$J$28,PIL!$A$15:$A$28,$A81)*(SUM(PIL!$K$15:$K$28)/SUMPRODUCT(PIL!$K$15:$K$28,PIL!$J$15:$J$28)))</f>
        <v>25220</v>
      </c>
      <c r="U81">
        <f>IF($A81="","",_xlfn.SUMIFS(PIL!$K$15:$K$28,PIL!$A$15:$A$28,$A81))</f>
        <v>25220</v>
      </c>
      <c r="V81" t="s">
        <v>274</v>
      </c>
      <c r="W81" t="s">
        <v>274</v>
      </c>
      <c r="X81" t="s">
        <v>274</v>
      </c>
      <c r="Y81" t="s">
        <v>274</v>
      </c>
      <c r="Z81" t="s">
        <v>274</v>
      </c>
      <c r="AA81" t="s">
        <v>274</v>
      </c>
      <c r="AB81" t="s">
        <v>274</v>
      </c>
      <c r="AC81" t="s">
        <v>274</v>
      </c>
      <c r="AD81" t="e">
        <f t="shared" si="1"/>
        <v>#VALUE!</v>
      </c>
      <c r="AE81">
        <f t="shared" si="2"/>
        <v>0</v>
      </c>
      <c r="AF81" t="e">
        <f t="shared" si="3"/>
        <v>#VALUE!</v>
      </c>
      <c r="AG81" t="e">
        <f t="shared" si="4"/>
        <v>#VALUE!</v>
      </c>
      <c r="AH81" t="e">
        <f t="shared" si="5"/>
        <v>#VALUE!</v>
      </c>
    </row>
    <row r="82" ht="14.25" customHeight="1">
      <c r="A82" t="str">
        <f>IF(Moteur!D82="","",Moteur!D82)</f>
        <v>ISCOM_LIL</v>
      </c>
      <c r="B82" t="str">
        <f>IF(Moteur!B82="","",Moteur!B82)</f>
        <v>V03</v>
      </c>
      <c r="C82" t="str">
        <f>IF(Moteur!F82="","",Moteur!F82)</f>
        <v>BAC_COM</v>
      </c>
      <c r="D82" t="str">
        <f>IF(Moteur!G82="","",Moteur!G82)</f>
        <v>B2</v>
      </c>
      <c r="E82" t="str">
        <f>IF(Moteur!H82="","",Moteur!H82)</f>
        <v>ALT</v>
      </c>
      <c r="F82" t="str">
        <f>IF(Moteur!E82="","",Moteur!E82)</f>
        <v>ISCOM</v>
      </c>
      <c r="G82">
        <f>IF($A82="","",_xlfn.SUMIFS(Socle!$H$1:$H$448,Socle!$C$1:$C$448,$A82,Socle!$D$1:$D$448,$C82,Socle!$E$1:$E$448,$D82,Socle!$F$1:$F$448,$E82,Socle!$G$1:$G$448,"2026"))</f>
        <v>0</v>
      </c>
      <c r="H82">
        <f>IF($A82="","",_xlfn.SUMIFS(Socle!$N$1:$N$448,Socle!$C$1:$C$448,$A82,Socle!$D$1:$D$448,$C82,Socle!$E$1:$E$448,$D82,Socle!$F$1:$F$448,$E82,Socle!$G$1:$G$448,"2026"))</f>
        <v>100</v>
      </c>
      <c r="I82">
        <f>IF($A82="","",_xlfn.SUMIFS(Socle!$P$1:$P$448,Socle!$C$1:$C$448,$A82,Socle!$D$1:$D$448,$C82,Socle!$E$1:$E$448,$D82,Socle!$F$1:$F$448,$E82,Socle!$G$1:$G$448,"2026"))</f>
        <v>13720</v>
      </c>
      <c r="J82">
        <f>IF($A82="","",_xlfn.SUMIFS(Socle!$W$1:$W$448,Socle!$C$1:$C$448,$A82,Socle!$D$1:$D$448,$C82,Socle!$E$1:$E$448,$D82,Socle!$F$1:$F$448,$E82,Socle!$G$1:$G$448,"2026"))</f>
        <v>0</v>
      </c>
      <c r="K82">
        <f>IF($A82="","",_xlfn.SUMIFS(Socle!$X$1:$X$448,Socle!$C$1:$C$448,$A82,Socle!$D$1:$D$448,$C82,Socle!$E$1:$E$448,$D82,Socle!$F$1:$F$448,$E82,Socle!$G$1:$G$448,"2026"))</f>
        <v>0</v>
      </c>
      <c r="L82">
        <f>IF($A82="","",_xlfn.SUMIFS(Socle!$Y$1:$Y$448,Socle!$C$1:$C$448,$A82,Socle!$D$1:$D$448,$C82,Socle!$E$1:$E$448,$D82,Socle!$F$1:$F$448,$E82,Socle!$G$1:$G$448,"2026"))</f>
        <v>0</v>
      </c>
      <c r="M82">
        <f>IF($A82="","",_xlfn.SUMIFS(Socle!$V$1:$V$448,Socle!$C$1:$C$448,$A82,Socle!$D$1:$D$448,$C82,Socle!$E$1:$E$448,$D82,Socle!$F$1:$F$448,$E82,Socle!$G$1:$G$448,"2026"))</f>
        <v>1.92</v>
      </c>
      <c r="N82">
        <f t="shared" si="0"/>
        <v>0</v>
      </c>
      <c r="O82">
        <f>IF($A82="","",_xlfn.SUMIFS(Campagne!$D$1:$D$128,Campagne!$C$1:$C$128,$A82))</f>
        <v>630</v>
      </c>
      <c r="P82">
        <f>IF($A82="","",_xlfn.SUMIFS(Campagne!$E$1:$E$128,Campagne!$C$1:$C$128,$A82))</f>
        <v>630</v>
      </c>
      <c r="Q82">
        <f>IF($A82="","",_xlfn.SUMIFS(Campagne!$F$1:$F$128,Campagne!$C$1:$C$128,$A82))</f>
        <v>1260</v>
      </c>
      <c r="R82">
        <f>IF($A82="","",_xlfn.SUMIFS(Campagne!$K$1:$K$128,Campagne!$C$1:$C$128,$A82))</f>
        <v>0.515848483</v>
      </c>
      <c r="S82">
        <f>IF($A82="","",_xlfn.SUMIFS(Campagne!$M$1:$M$128,Campagne!$C$1:$C$128,$A82))</f>
        <v>0.348380671</v>
      </c>
      <c r="T82">
        <f>IF($A82="","",_xlfn.SUMIFS(PIL!$K$15:$K$28,PIL!$A$15:$A$28,$A82)*_xlfn.SUMIFS(PIL!$J$15:$J$28,PIL!$A$15:$A$28,$A82)*(SUM(PIL!$K$15:$K$28)/SUMPRODUCT(PIL!$K$15:$K$28,PIL!$J$15:$J$28)))</f>
        <v>25220</v>
      </c>
      <c r="U82">
        <f>IF($A82="","",_xlfn.SUMIFS(PIL!$K$15:$K$28,PIL!$A$15:$A$28,$A82))</f>
        <v>25220</v>
      </c>
      <c r="V82" t="s">
        <v>274</v>
      </c>
      <c r="W82" t="s">
        <v>274</v>
      </c>
      <c r="X82" t="s">
        <v>274</v>
      </c>
      <c r="Y82" t="s">
        <v>274</v>
      </c>
      <c r="Z82" t="s">
        <v>274</v>
      </c>
      <c r="AA82" t="s">
        <v>274</v>
      </c>
      <c r="AB82" t="s">
        <v>274</v>
      </c>
      <c r="AC82" t="s">
        <v>274</v>
      </c>
      <c r="AD82" t="e">
        <f t="shared" si="1"/>
        <v>#VALUE!</v>
      </c>
      <c r="AE82">
        <f t="shared" si="2"/>
        <v>0</v>
      </c>
      <c r="AF82" t="e">
        <f t="shared" si="3"/>
        <v>#VALUE!</v>
      </c>
      <c r="AG82" t="e">
        <f t="shared" si="4"/>
        <v>#VALUE!</v>
      </c>
      <c r="AH82" t="e">
        <f t="shared" si="5"/>
        <v>#VALUE!</v>
      </c>
    </row>
    <row r="83" ht="14.25" customHeight="1">
      <c r="A83" t="str">
        <f>IF(Moteur!D83="","",Moteur!D83)</f>
        <v>ISCOM_LIL</v>
      </c>
      <c r="B83" t="str">
        <f>IF(Moteur!B83="","",Moteur!B83)</f>
        <v>V01</v>
      </c>
      <c r="C83" t="str">
        <f>IF(Moteur!F83="","",Moteur!F83)</f>
        <v>BAC_COM</v>
      </c>
      <c r="D83" t="str">
        <f>IF(Moteur!G83="","",Moteur!G83)</f>
        <v>B3</v>
      </c>
      <c r="E83" t="str">
        <f>IF(Moteur!H83="","",Moteur!H83)</f>
        <v>ALT</v>
      </c>
      <c r="F83" t="str">
        <f>IF(Moteur!E83="","",Moteur!E83)</f>
        <v>ISCOM</v>
      </c>
      <c r="G83">
        <f>IF($A83="","",_xlfn.SUMIFS(Socle!$H$1:$H$448,Socle!$C$1:$C$448,$A83,Socle!$D$1:$D$448,$C83,Socle!$E$1:$E$448,$D83,Socle!$F$1:$F$448,$E83,Socle!$G$1:$G$448,"2026"))</f>
        <v>0</v>
      </c>
      <c r="H83">
        <f>IF($A83="","",_xlfn.SUMIFS(Socle!$N$1:$N$448,Socle!$C$1:$C$448,$A83,Socle!$D$1:$D$448,$C83,Socle!$E$1:$E$448,$D83,Socle!$F$1:$F$448,$E83,Socle!$G$1:$G$448,"2026"))</f>
        <v>96</v>
      </c>
      <c r="I83">
        <f>IF($A83="","",_xlfn.SUMIFS(Socle!$P$1:$P$448,Socle!$C$1:$C$448,$A83,Socle!$D$1:$D$448,$C83,Socle!$E$1:$E$448,$D83,Socle!$F$1:$F$448,$E83,Socle!$G$1:$G$448,"2026"))</f>
        <v>13720</v>
      </c>
      <c r="J83">
        <f>IF($A83="","",_xlfn.SUMIFS(Socle!$W$1:$W$448,Socle!$C$1:$C$448,$A83,Socle!$D$1:$D$448,$C83,Socle!$E$1:$E$448,$D83,Socle!$F$1:$F$448,$E83,Socle!$G$1:$G$448,"2026"))</f>
        <v>0</v>
      </c>
      <c r="K83">
        <f>IF($A83="","",_xlfn.SUMIFS(Socle!$X$1:$X$448,Socle!$C$1:$C$448,$A83,Socle!$D$1:$D$448,$C83,Socle!$E$1:$E$448,$D83,Socle!$F$1:$F$448,$E83,Socle!$G$1:$G$448,"2026"))</f>
        <v>0</v>
      </c>
      <c r="L83">
        <f>IF($A83="","",_xlfn.SUMIFS(Socle!$Y$1:$Y$448,Socle!$C$1:$C$448,$A83,Socle!$D$1:$D$448,$C83,Socle!$E$1:$E$448,$D83,Socle!$F$1:$F$448,$E83,Socle!$G$1:$G$448,"2026"))</f>
        <v>0</v>
      </c>
      <c r="M83">
        <f>IF($A83="","",_xlfn.SUMIFS(Socle!$V$1:$V$448,Socle!$C$1:$C$448,$A83,Socle!$D$1:$D$448,$C83,Socle!$E$1:$E$448,$D83,Socle!$F$1:$F$448,$E83,Socle!$G$1:$G$448,"2026"))</f>
        <v>1.958333334</v>
      </c>
      <c r="N83">
        <f t="shared" si="0"/>
        <v>0</v>
      </c>
      <c r="O83">
        <f>IF($A83="","",_xlfn.SUMIFS(Campagne!$D$1:$D$128,Campagne!$C$1:$C$128,$A83))</f>
        <v>630</v>
      </c>
      <c r="P83">
        <f>IF($A83="","",_xlfn.SUMIFS(Campagne!$E$1:$E$128,Campagne!$C$1:$C$128,$A83))</f>
        <v>630</v>
      </c>
      <c r="Q83">
        <f>IF($A83="","",_xlfn.SUMIFS(Campagne!$F$1:$F$128,Campagne!$C$1:$C$128,$A83))</f>
        <v>1260</v>
      </c>
      <c r="R83">
        <f>IF($A83="","",_xlfn.SUMIFS(Campagne!$K$1:$K$128,Campagne!$C$1:$C$128,$A83))</f>
        <v>0.515848483</v>
      </c>
      <c r="S83">
        <f>IF($A83="","",_xlfn.SUMIFS(Campagne!$M$1:$M$128,Campagne!$C$1:$C$128,$A83))</f>
        <v>0.348380671</v>
      </c>
      <c r="T83">
        <f>IF($A83="","",_xlfn.SUMIFS(PIL!$K$15:$K$28,PIL!$A$15:$A$28,$A83)*_xlfn.SUMIFS(PIL!$J$15:$J$28,PIL!$A$15:$A$28,$A83)*(SUM(PIL!$K$15:$K$28)/SUMPRODUCT(PIL!$K$15:$K$28,PIL!$J$15:$J$28)))</f>
        <v>25220</v>
      </c>
      <c r="U83">
        <f>IF($A83="","",_xlfn.SUMIFS(PIL!$K$15:$K$28,PIL!$A$15:$A$28,$A83))</f>
        <v>25220</v>
      </c>
      <c r="V83" t="s">
        <v>274</v>
      </c>
      <c r="W83" t="s">
        <v>274</v>
      </c>
      <c r="X83" t="s">
        <v>274</v>
      </c>
      <c r="Y83" t="s">
        <v>274</v>
      </c>
      <c r="Z83" t="s">
        <v>274</v>
      </c>
      <c r="AA83" t="s">
        <v>274</v>
      </c>
      <c r="AB83" t="s">
        <v>274</v>
      </c>
      <c r="AC83" t="s">
        <v>274</v>
      </c>
      <c r="AD83" t="e">
        <f t="shared" si="1"/>
        <v>#VALUE!</v>
      </c>
      <c r="AE83">
        <f t="shared" si="2"/>
        <v>0</v>
      </c>
      <c r="AF83" t="e">
        <f t="shared" si="3"/>
        <v>#VALUE!</v>
      </c>
      <c r="AG83" t="e">
        <f t="shared" si="4"/>
        <v>#VALUE!</v>
      </c>
      <c r="AH83" t="e">
        <f t="shared" si="5"/>
        <v>#VALUE!</v>
      </c>
    </row>
    <row r="84" ht="14.25" customHeight="1">
      <c r="A84" t="str">
        <f>IF(Moteur!D84="","",Moteur!D84)</f>
        <v>ISCOM_LIL</v>
      </c>
      <c r="B84" t="str">
        <f>IF(Moteur!B84="","",Moteur!B84)</f>
        <v>V02</v>
      </c>
      <c r="C84" t="str">
        <f>IF(Moteur!F84="","",Moteur!F84)</f>
        <v>BAC_COM</v>
      </c>
      <c r="D84" t="str">
        <f>IF(Moteur!G84="","",Moteur!G84)</f>
        <v>B3</v>
      </c>
      <c r="E84" t="str">
        <f>IF(Moteur!H84="","",Moteur!H84)</f>
        <v>ALT</v>
      </c>
      <c r="F84" t="str">
        <f>IF(Moteur!E84="","",Moteur!E84)</f>
        <v>ISCOM</v>
      </c>
      <c r="G84">
        <f>IF($A84="","",_xlfn.SUMIFS(Socle!$H$1:$H$448,Socle!$C$1:$C$448,$A84,Socle!$D$1:$D$448,$C84,Socle!$E$1:$E$448,$D84,Socle!$F$1:$F$448,$E84,Socle!$G$1:$G$448,"2026"))</f>
        <v>0</v>
      </c>
      <c r="H84">
        <f>IF($A84="","",_xlfn.SUMIFS(Socle!$N$1:$N$448,Socle!$C$1:$C$448,$A84,Socle!$D$1:$D$448,$C84,Socle!$E$1:$E$448,$D84,Socle!$F$1:$F$448,$E84,Socle!$G$1:$G$448,"2026"))</f>
        <v>96</v>
      </c>
      <c r="I84">
        <f>IF($A84="","",_xlfn.SUMIFS(Socle!$P$1:$P$448,Socle!$C$1:$C$448,$A84,Socle!$D$1:$D$448,$C84,Socle!$E$1:$E$448,$D84,Socle!$F$1:$F$448,$E84,Socle!$G$1:$G$448,"2026"))</f>
        <v>13720</v>
      </c>
      <c r="J84">
        <f>IF($A84="","",_xlfn.SUMIFS(Socle!$W$1:$W$448,Socle!$C$1:$C$448,$A84,Socle!$D$1:$D$448,$C84,Socle!$E$1:$E$448,$D84,Socle!$F$1:$F$448,$E84,Socle!$G$1:$G$448,"2026"))</f>
        <v>0</v>
      </c>
      <c r="K84">
        <f>IF($A84="","",_xlfn.SUMIFS(Socle!$X$1:$X$448,Socle!$C$1:$C$448,$A84,Socle!$D$1:$D$448,$C84,Socle!$E$1:$E$448,$D84,Socle!$F$1:$F$448,$E84,Socle!$G$1:$G$448,"2026"))</f>
        <v>0</v>
      </c>
      <c r="L84">
        <f>IF($A84="","",_xlfn.SUMIFS(Socle!$Y$1:$Y$448,Socle!$C$1:$C$448,$A84,Socle!$D$1:$D$448,$C84,Socle!$E$1:$E$448,$D84,Socle!$F$1:$F$448,$E84,Socle!$G$1:$G$448,"2026"))</f>
        <v>0</v>
      </c>
      <c r="M84">
        <f>IF($A84="","",_xlfn.SUMIFS(Socle!$V$1:$V$448,Socle!$C$1:$C$448,$A84,Socle!$D$1:$D$448,$C84,Socle!$E$1:$E$448,$D84,Socle!$F$1:$F$448,$E84,Socle!$G$1:$G$448,"2026"))</f>
        <v>1.958333334</v>
      </c>
      <c r="N84">
        <f t="shared" si="0"/>
        <v>0</v>
      </c>
      <c r="O84">
        <f>IF($A84="","",_xlfn.SUMIFS(Campagne!$D$1:$D$128,Campagne!$C$1:$C$128,$A84))</f>
        <v>630</v>
      </c>
      <c r="P84">
        <f>IF($A84="","",_xlfn.SUMIFS(Campagne!$E$1:$E$128,Campagne!$C$1:$C$128,$A84))</f>
        <v>630</v>
      </c>
      <c r="Q84">
        <f>IF($A84="","",_xlfn.SUMIFS(Campagne!$F$1:$F$128,Campagne!$C$1:$C$128,$A84))</f>
        <v>1260</v>
      </c>
      <c r="R84">
        <f>IF($A84="","",_xlfn.SUMIFS(Campagne!$K$1:$K$128,Campagne!$C$1:$C$128,$A84))</f>
        <v>0.515848483</v>
      </c>
      <c r="S84">
        <f>IF($A84="","",_xlfn.SUMIFS(Campagne!$M$1:$M$128,Campagne!$C$1:$C$128,$A84))</f>
        <v>0.348380671</v>
      </c>
      <c r="T84">
        <f>IF($A84="","",_xlfn.SUMIFS(PIL!$K$15:$K$28,PIL!$A$15:$A$28,$A84)*_xlfn.SUMIFS(PIL!$J$15:$J$28,PIL!$A$15:$A$28,$A84)*(SUM(PIL!$K$15:$K$28)/SUMPRODUCT(PIL!$K$15:$K$28,PIL!$J$15:$J$28)))</f>
        <v>25220</v>
      </c>
      <c r="U84">
        <f>IF($A84="","",_xlfn.SUMIFS(PIL!$K$15:$K$28,PIL!$A$15:$A$28,$A84))</f>
        <v>25220</v>
      </c>
      <c r="V84" t="s">
        <v>274</v>
      </c>
      <c r="W84" t="s">
        <v>274</v>
      </c>
      <c r="X84" t="s">
        <v>274</v>
      </c>
      <c r="Y84" t="s">
        <v>274</v>
      </c>
      <c r="Z84" t="s">
        <v>274</v>
      </c>
      <c r="AA84" t="s">
        <v>274</v>
      </c>
      <c r="AB84" t="s">
        <v>274</v>
      </c>
      <c r="AC84" t="s">
        <v>274</v>
      </c>
      <c r="AD84" t="e">
        <f t="shared" si="1"/>
        <v>#VALUE!</v>
      </c>
      <c r="AE84">
        <f t="shared" si="2"/>
        <v>0</v>
      </c>
      <c r="AF84" t="e">
        <f t="shared" si="3"/>
        <v>#VALUE!</v>
      </c>
      <c r="AG84" t="e">
        <f t="shared" si="4"/>
        <v>#VALUE!</v>
      </c>
      <c r="AH84" t="e">
        <f t="shared" si="5"/>
        <v>#VALUE!</v>
      </c>
    </row>
    <row r="85" ht="14.25" customHeight="1">
      <c r="A85" t="str">
        <f>IF(Moteur!D85="","",Moteur!D85)</f>
        <v>ISCOM_LIL</v>
      </c>
      <c r="B85" t="str">
        <f>IF(Moteur!B85="","",Moteur!B85)</f>
        <v>V03</v>
      </c>
      <c r="C85" t="str">
        <f>IF(Moteur!F85="","",Moteur!F85)</f>
        <v>BAC_COM</v>
      </c>
      <c r="D85" t="str">
        <f>IF(Moteur!G85="","",Moteur!G85)</f>
        <v>B3</v>
      </c>
      <c r="E85" t="str">
        <f>IF(Moteur!H85="","",Moteur!H85)</f>
        <v>ALT</v>
      </c>
      <c r="F85" t="str">
        <f>IF(Moteur!E85="","",Moteur!E85)</f>
        <v>ISCOM</v>
      </c>
      <c r="G85">
        <f>IF($A85="","",_xlfn.SUMIFS(Socle!$H$1:$H$448,Socle!$C$1:$C$448,$A85,Socle!$D$1:$D$448,$C85,Socle!$E$1:$E$448,$D85,Socle!$F$1:$F$448,$E85,Socle!$G$1:$G$448,"2026"))</f>
        <v>0</v>
      </c>
      <c r="H85">
        <f>IF($A85="","",_xlfn.SUMIFS(Socle!$N$1:$N$448,Socle!$C$1:$C$448,$A85,Socle!$D$1:$D$448,$C85,Socle!$E$1:$E$448,$D85,Socle!$F$1:$F$448,$E85,Socle!$G$1:$G$448,"2026"))</f>
        <v>96</v>
      </c>
      <c r="I85">
        <f>IF($A85="","",_xlfn.SUMIFS(Socle!$P$1:$P$448,Socle!$C$1:$C$448,$A85,Socle!$D$1:$D$448,$C85,Socle!$E$1:$E$448,$D85,Socle!$F$1:$F$448,$E85,Socle!$G$1:$G$448,"2026"))</f>
        <v>13720</v>
      </c>
      <c r="J85">
        <f>IF($A85="","",_xlfn.SUMIFS(Socle!$W$1:$W$448,Socle!$C$1:$C$448,$A85,Socle!$D$1:$D$448,$C85,Socle!$E$1:$E$448,$D85,Socle!$F$1:$F$448,$E85,Socle!$G$1:$G$448,"2026"))</f>
        <v>0</v>
      </c>
      <c r="K85">
        <f>IF($A85="","",_xlfn.SUMIFS(Socle!$X$1:$X$448,Socle!$C$1:$C$448,$A85,Socle!$D$1:$D$448,$C85,Socle!$E$1:$E$448,$D85,Socle!$F$1:$F$448,$E85,Socle!$G$1:$G$448,"2026"))</f>
        <v>0</v>
      </c>
      <c r="L85">
        <f>IF($A85="","",_xlfn.SUMIFS(Socle!$Y$1:$Y$448,Socle!$C$1:$C$448,$A85,Socle!$D$1:$D$448,$C85,Socle!$E$1:$E$448,$D85,Socle!$F$1:$F$448,$E85,Socle!$G$1:$G$448,"2026"))</f>
        <v>0</v>
      </c>
      <c r="M85">
        <f>IF($A85="","",_xlfn.SUMIFS(Socle!$V$1:$V$448,Socle!$C$1:$C$448,$A85,Socle!$D$1:$D$448,$C85,Socle!$E$1:$E$448,$D85,Socle!$F$1:$F$448,$E85,Socle!$G$1:$G$448,"2026"))</f>
        <v>1.958333334</v>
      </c>
      <c r="N85">
        <f t="shared" si="0"/>
        <v>0</v>
      </c>
      <c r="O85">
        <f>IF($A85="","",_xlfn.SUMIFS(Campagne!$D$1:$D$128,Campagne!$C$1:$C$128,$A85))</f>
        <v>630</v>
      </c>
      <c r="P85">
        <f>IF($A85="","",_xlfn.SUMIFS(Campagne!$E$1:$E$128,Campagne!$C$1:$C$128,$A85))</f>
        <v>630</v>
      </c>
      <c r="Q85">
        <f>IF($A85="","",_xlfn.SUMIFS(Campagne!$F$1:$F$128,Campagne!$C$1:$C$128,$A85))</f>
        <v>1260</v>
      </c>
      <c r="R85">
        <f>IF($A85="","",_xlfn.SUMIFS(Campagne!$K$1:$K$128,Campagne!$C$1:$C$128,$A85))</f>
        <v>0.515848483</v>
      </c>
      <c r="S85">
        <f>IF($A85="","",_xlfn.SUMIFS(Campagne!$M$1:$M$128,Campagne!$C$1:$C$128,$A85))</f>
        <v>0.348380671</v>
      </c>
      <c r="T85">
        <f>IF($A85="","",_xlfn.SUMIFS(PIL!$K$15:$K$28,PIL!$A$15:$A$28,$A85)*_xlfn.SUMIFS(PIL!$J$15:$J$28,PIL!$A$15:$A$28,$A85)*(SUM(PIL!$K$15:$K$28)/SUMPRODUCT(PIL!$K$15:$K$28,PIL!$J$15:$J$28)))</f>
        <v>25220</v>
      </c>
      <c r="U85">
        <f>IF($A85="","",_xlfn.SUMIFS(PIL!$K$15:$K$28,PIL!$A$15:$A$28,$A85))</f>
        <v>25220</v>
      </c>
      <c r="V85" t="s">
        <v>274</v>
      </c>
      <c r="W85" t="s">
        <v>274</v>
      </c>
      <c r="X85" t="s">
        <v>274</v>
      </c>
      <c r="Y85" t="s">
        <v>274</v>
      </c>
      <c r="Z85" t="s">
        <v>274</v>
      </c>
      <c r="AA85" t="s">
        <v>274</v>
      </c>
      <c r="AB85" t="s">
        <v>274</v>
      </c>
      <c r="AC85" t="s">
        <v>274</v>
      </c>
      <c r="AD85" t="e">
        <f t="shared" si="1"/>
        <v>#VALUE!</v>
      </c>
      <c r="AE85">
        <f t="shared" si="2"/>
        <v>0</v>
      </c>
      <c r="AF85" t="e">
        <f t="shared" si="3"/>
        <v>#VALUE!</v>
      </c>
      <c r="AG85" t="e">
        <f t="shared" si="4"/>
        <v>#VALUE!</v>
      </c>
      <c r="AH85" t="e">
        <f t="shared" si="5"/>
        <v>#VALUE!</v>
      </c>
    </row>
    <row r="86" ht="14.25" customHeight="1">
      <c r="A86" t="str">
        <f>IF(Moteur!D86="","",Moteur!D86)</f>
        <v>ISCOM_LIL</v>
      </c>
      <c r="B86" t="str">
        <f>IF(Moteur!B86="","",Moteur!B86)</f>
        <v>V01</v>
      </c>
      <c r="C86" t="str">
        <f>IF(Moteur!F86="","",Moteur!F86)</f>
        <v>MAS_COM</v>
      </c>
      <c r="D86" t="str">
        <f>IF(Moteur!G86="","",Moteur!G86)</f>
        <v>M1</v>
      </c>
      <c r="E86" t="str">
        <f>IF(Moteur!H86="","",Moteur!H86)</f>
        <v>ALT</v>
      </c>
      <c r="F86" t="str">
        <f>IF(Moteur!E86="","",Moteur!E86)</f>
        <v>ISCOM</v>
      </c>
      <c r="G86">
        <f>IF($A86="","",_xlfn.SUMIFS(Socle!$H$1:$H$448,Socle!$C$1:$C$448,$A86,Socle!$D$1:$D$448,$C86,Socle!$E$1:$E$448,$D86,Socle!$F$1:$F$448,$E86,Socle!$G$1:$G$448,"2026"))</f>
        <v>1700</v>
      </c>
      <c r="H86">
        <f>IF($A86="","",_xlfn.SUMIFS(Socle!$N$1:$N$448,Socle!$C$1:$C$448,$A86,Socle!$D$1:$D$448,$C86,Socle!$E$1:$E$448,$D86,Socle!$F$1:$F$448,$E86,Socle!$G$1:$G$448,"2026"))</f>
        <v>0</v>
      </c>
      <c r="I86">
        <f>IF($A86="","",_xlfn.SUMIFS(Socle!$P$1:$P$448,Socle!$C$1:$C$448,$A86,Socle!$D$1:$D$448,$C86,Socle!$E$1:$E$448,$D86,Socle!$F$1:$F$448,$E86,Socle!$G$1:$G$448,"2026"))</f>
        <v>14700</v>
      </c>
      <c r="J86">
        <f>IF($A86="","",_xlfn.SUMIFS(Socle!$W$1:$W$448,Socle!$C$1:$C$448,$A86,Socle!$D$1:$D$448,$C86,Socle!$E$1:$E$448,$D86,Socle!$F$1:$F$448,$E86,Socle!$G$1:$G$448,"2026"))</f>
        <v>0.4</v>
      </c>
      <c r="K86">
        <f>IF($A86="","",_xlfn.SUMIFS(Socle!$X$1:$X$448,Socle!$C$1:$C$448,$A86,Socle!$D$1:$D$448,$C86,Socle!$E$1:$E$448,$D86,Socle!$F$1:$F$448,$E86,Socle!$G$1:$G$448,"2026"))</f>
        <v>1.4</v>
      </c>
      <c r="L86">
        <f>IF($A86="","",_xlfn.SUMIFS(Socle!$Y$1:$Y$448,Socle!$C$1:$C$448,$A86,Socle!$D$1:$D$448,$C86,Socle!$E$1:$E$448,$D86,Socle!$F$1:$F$448,$E86,Socle!$G$1:$G$448,"2026"))</f>
        <v>0.840336134</v>
      </c>
      <c r="M86">
        <f>IF($A86="","",_xlfn.SUMIFS(Socle!$V$1:$V$448,Socle!$C$1:$C$448,$A86,Socle!$D$1:$D$448,$C86,Socle!$E$1:$E$448,$D86,Socle!$F$1:$F$448,$E86,Socle!$G$1:$G$448,"2026"))</f>
        <v>0</v>
      </c>
      <c r="N86">
        <f t="shared" si="0"/>
        <v>1</v>
      </c>
      <c r="O86">
        <f>IF($A86="","",_xlfn.SUMIFS(Campagne!$D$1:$D$128,Campagne!$C$1:$C$128,$A86))</f>
        <v>630</v>
      </c>
      <c r="P86">
        <f>IF($A86="","",_xlfn.SUMIFS(Campagne!$E$1:$E$128,Campagne!$C$1:$C$128,$A86))</f>
        <v>630</v>
      </c>
      <c r="Q86">
        <f>IF($A86="","",_xlfn.SUMIFS(Campagne!$F$1:$F$128,Campagne!$C$1:$C$128,$A86))</f>
        <v>1260</v>
      </c>
      <c r="R86">
        <f>IF($A86="","",_xlfn.SUMIFS(Campagne!$K$1:$K$128,Campagne!$C$1:$C$128,$A86))</f>
        <v>0.515848483</v>
      </c>
      <c r="S86">
        <f>IF($A86="","",_xlfn.SUMIFS(Campagne!$M$1:$M$128,Campagne!$C$1:$C$128,$A86))</f>
        <v>0.348380671</v>
      </c>
      <c r="T86">
        <f>IF($A86="","",_xlfn.SUMIFS(PIL!$K$15:$K$28,PIL!$A$15:$A$28,$A86)*_xlfn.SUMIFS(PIL!$J$15:$J$28,PIL!$A$15:$A$28,$A86)*(SUM(PIL!$K$15:$K$28)/SUMPRODUCT(PIL!$K$15:$K$28,PIL!$J$15:$J$28)))</f>
        <v>25220</v>
      </c>
      <c r="U86">
        <f>IF($A86="","",_xlfn.SUMIFS(PIL!$K$15:$K$28,PIL!$A$15:$A$28,$A86))</f>
        <v>25220</v>
      </c>
      <c r="V86" t="s">
        <v>274</v>
      </c>
      <c r="W86" t="s">
        <v>274</v>
      </c>
      <c r="X86" t="s">
        <v>274</v>
      </c>
      <c r="Y86" t="s">
        <v>274</v>
      </c>
      <c r="Z86" t="s">
        <v>274</v>
      </c>
      <c r="AA86" t="s">
        <v>274</v>
      </c>
      <c r="AB86" t="s">
        <v>274</v>
      </c>
      <c r="AC86" t="s">
        <v>274</v>
      </c>
      <c r="AD86" t="e">
        <f t="shared" si="1"/>
        <v>#VALUE!</v>
      </c>
      <c r="AE86" t="e">
        <f t="shared" si="2"/>
        <v>#VALUE!</v>
      </c>
      <c r="AF86" t="e">
        <f t="shared" si="3"/>
        <v>#VALUE!</v>
      </c>
      <c r="AG86" t="e">
        <f t="shared" si="4"/>
        <v>#VALUE!</v>
      </c>
      <c r="AH86" t="e">
        <f t="shared" si="5"/>
        <v>#VALUE!</v>
      </c>
    </row>
    <row r="87" ht="14.25" customHeight="1">
      <c r="A87" t="str">
        <f>IF(Moteur!D87="","",Moteur!D87)</f>
        <v>ISCOM_LIL</v>
      </c>
      <c r="B87" t="str">
        <f>IF(Moteur!B87="","",Moteur!B87)</f>
        <v>V02</v>
      </c>
      <c r="C87" t="str">
        <f>IF(Moteur!F87="","",Moteur!F87)</f>
        <v>MAS_COM</v>
      </c>
      <c r="D87" t="str">
        <f>IF(Moteur!G87="","",Moteur!G87)</f>
        <v>M1</v>
      </c>
      <c r="E87" t="str">
        <f>IF(Moteur!H87="","",Moteur!H87)</f>
        <v>ALT</v>
      </c>
      <c r="F87" t="str">
        <f>IF(Moteur!E87="","",Moteur!E87)</f>
        <v>ISCOM</v>
      </c>
      <c r="G87">
        <f>IF($A87="","",_xlfn.SUMIFS(Socle!$H$1:$H$448,Socle!$C$1:$C$448,$A87,Socle!$D$1:$D$448,$C87,Socle!$E$1:$E$448,$D87,Socle!$F$1:$F$448,$E87,Socle!$G$1:$G$448,"2026"))</f>
        <v>1700</v>
      </c>
      <c r="H87">
        <f>IF($A87="","",_xlfn.SUMIFS(Socle!$N$1:$N$448,Socle!$C$1:$C$448,$A87,Socle!$D$1:$D$448,$C87,Socle!$E$1:$E$448,$D87,Socle!$F$1:$F$448,$E87,Socle!$G$1:$G$448,"2026"))</f>
        <v>0</v>
      </c>
      <c r="I87">
        <f>IF($A87="","",_xlfn.SUMIFS(Socle!$P$1:$P$448,Socle!$C$1:$C$448,$A87,Socle!$D$1:$D$448,$C87,Socle!$E$1:$E$448,$D87,Socle!$F$1:$F$448,$E87,Socle!$G$1:$G$448,"2026"))</f>
        <v>14700</v>
      </c>
      <c r="J87">
        <f>IF($A87="","",_xlfn.SUMIFS(Socle!$W$1:$W$448,Socle!$C$1:$C$448,$A87,Socle!$D$1:$D$448,$C87,Socle!$E$1:$E$448,$D87,Socle!$F$1:$F$448,$E87,Socle!$G$1:$G$448,"2026"))</f>
        <v>0.4</v>
      </c>
      <c r="K87">
        <f>IF($A87="","",_xlfn.SUMIFS(Socle!$X$1:$X$448,Socle!$C$1:$C$448,$A87,Socle!$D$1:$D$448,$C87,Socle!$E$1:$E$448,$D87,Socle!$F$1:$F$448,$E87,Socle!$G$1:$G$448,"2026"))</f>
        <v>1.4</v>
      </c>
      <c r="L87">
        <f>IF($A87="","",_xlfn.SUMIFS(Socle!$Y$1:$Y$448,Socle!$C$1:$C$448,$A87,Socle!$D$1:$D$448,$C87,Socle!$E$1:$E$448,$D87,Socle!$F$1:$F$448,$E87,Socle!$G$1:$G$448,"2026"))</f>
        <v>0.840336134</v>
      </c>
      <c r="M87">
        <f>IF($A87="","",_xlfn.SUMIFS(Socle!$V$1:$V$448,Socle!$C$1:$C$448,$A87,Socle!$D$1:$D$448,$C87,Socle!$E$1:$E$448,$D87,Socle!$F$1:$F$448,$E87,Socle!$G$1:$G$448,"2026"))</f>
        <v>0</v>
      </c>
      <c r="N87">
        <f t="shared" si="0"/>
        <v>1</v>
      </c>
      <c r="O87">
        <f>IF($A87="","",_xlfn.SUMIFS(Campagne!$D$1:$D$128,Campagne!$C$1:$C$128,$A87))</f>
        <v>630</v>
      </c>
      <c r="P87">
        <f>IF($A87="","",_xlfn.SUMIFS(Campagne!$E$1:$E$128,Campagne!$C$1:$C$128,$A87))</f>
        <v>630</v>
      </c>
      <c r="Q87">
        <f>IF($A87="","",_xlfn.SUMIFS(Campagne!$F$1:$F$128,Campagne!$C$1:$C$128,$A87))</f>
        <v>1260</v>
      </c>
      <c r="R87">
        <f>IF($A87="","",_xlfn.SUMIFS(Campagne!$K$1:$K$128,Campagne!$C$1:$C$128,$A87))</f>
        <v>0.515848483</v>
      </c>
      <c r="S87">
        <f>IF($A87="","",_xlfn.SUMIFS(Campagne!$M$1:$M$128,Campagne!$C$1:$C$128,$A87))</f>
        <v>0.348380671</v>
      </c>
      <c r="T87">
        <f>IF($A87="","",_xlfn.SUMIFS(PIL!$K$15:$K$28,PIL!$A$15:$A$28,$A87)*_xlfn.SUMIFS(PIL!$J$15:$J$28,PIL!$A$15:$A$28,$A87)*(SUM(PIL!$K$15:$K$28)/SUMPRODUCT(PIL!$K$15:$K$28,PIL!$J$15:$J$28)))</f>
        <v>25220</v>
      </c>
      <c r="U87">
        <f>IF($A87="","",_xlfn.SUMIFS(PIL!$K$15:$K$28,PIL!$A$15:$A$28,$A87))</f>
        <v>25220</v>
      </c>
      <c r="V87" t="s">
        <v>274</v>
      </c>
      <c r="W87" t="s">
        <v>274</v>
      </c>
      <c r="X87" t="s">
        <v>274</v>
      </c>
      <c r="Y87" t="s">
        <v>274</v>
      </c>
      <c r="Z87" t="s">
        <v>274</v>
      </c>
      <c r="AA87" t="s">
        <v>274</v>
      </c>
      <c r="AB87" t="s">
        <v>274</v>
      </c>
      <c r="AC87" t="s">
        <v>274</v>
      </c>
      <c r="AD87" t="e">
        <f t="shared" si="1"/>
        <v>#VALUE!</v>
      </c>
      <c r="AE87" t="e">
        <f t="shared" si="2"/>
        <v>#VALUE!</v>
      </c>
      <c r="AF87" t="e">
        <f t="shared" si="3"/>
        <v>#VALUE!</v>
      </c>
      <c r="AG87" t="e">
        <f t="shared" si="4"/>
        <v>#VALUE!</v>
      </c>
      <c r="AH87" t="e">
        <f t="shared" si="5"/>
        <v>#VALUE!</v>
      </c>
    </row>
    <row r="88" ht="14.25" customHeight="1">
      <c r="A88" t="str">
        <f>IF(Moteur!D88="","",Moteur!D88)</f>
        <v>ISCOM_LIL</v>
      </c>
      <c r="B88" t="str">
        <f>IF(Moteur!B88="","",Moteur!B88)</f>
        <v>V03</v>
      </c>
      <c r="C88" t="str">
        <f>IF(Moteur!F88="","",Moteur!F88)</f>
        <v>MAS_COM</v>
      </c>
      <c r="D88" t="str">
        <f>IF(Moteur!G88="","",Moteur!G88)</f>
        <v>M1</v>
      </c>
      <c r="E88" t="str">
        <f>IF(Moteur!H88="","",Moteur!H88)</f>
        <v>ALT</v>
      </c>
      <c r="F88" t="str">
        <f>IF(Moteur!E88="","",Moteur!E88)</f>
        <v>ISCOM</v>
      </c>
      <c r="G88">
        <f>IF($A88="","",_xlfn.SUMIFS(Socle!$H$1:$H$448,Socle!$C$1:$C$448,$A88,Socle!$D$1:$D$448,$C88,Socle!$E$1:$E$448,$D88,Socle!$F$1:$F$448,$E88,Socle!$G$1:$G$448,"2026"))</f>
        <v>1700</v>
      </c>
      <c r="H88">
        <f>IF($A88="","",_xlfn.SUMIFS(Socle!$N$1:$N$448,Socle!$C$1:$C$448,$A88,Socle!$D$1:$D$448,$C88,Socle!$E$1:$E$448,$D88,Socle!$F$1:$F$448,$E88,Socle!$G$1:$G$448,"2026"))</f>
        <v>0</v>
      </c>
      <c r="I88">
        <f>IF($A88="","",_xlfn.SUMIFS(Socle!$P$1:$P$448,Socle!$C$1:$C$448,$A88,Socle!$D$1:$D$448,$C88,Socle!$E$1:$E$448,$D88,Socle!$F$1:$F$448,$E88,Socle!$G$1:$G$448,"2026"))</f>
        <v>14700</v>
      </c>
      <c r="J88">
        <f>IF($A88="","",_xlfn.SUMIFS(Socle!$W$1:$W$448,Socle!$C$1:$C$448,$A88,Socle!$D$1:$D$448,$C88,Socle!$E$1:$E$448,$D88,Socle!$F$1:$F$448,$E88,Socle!$G$1:$G$448,"2026"))</f>
        <v>0.4</v>
      </c>
      <c r="K88">
        <f>IF($A88="","",_xlfn.SUMIFS(Socle!$X$1:$X$448,Socle!$C$1:$C$448,$A88,Socle!$D$1:$D$448,$C88,Socle!$E$1:$E$448,$D88,Socle!$F$1:$F$448,$E88,Socle!$G$1:$G$448,"2026"))</f>
        <v>1.4</v>
      </c>
      <c r="L88">
        <f>IF($A88="","",_xlfn.SUMIFS(Socle!$Y$1:$Y$448,Socle!$C$1:$C$448,$A88,Socle!$D$1:$D$448,$C88,Socle!$E$1:$E$448,$D88,Socle!$F$1:$F$448,$E88,Socle!$G$1:$G$448,"2026"))</f>
        <v>0.840336134</v>
      </c>
      <c r="M88">
        <f>IF($A88="","",_xlfn.SUMIFS(Socle!$V$1:$V$448,Socle!$C$1:$C$448,$A88,Socle!$D$1:$D$448,$C88,Socle!$E$1:$E$448,$D88,Socle!$F$1:$F$448,$E88,Socle!$G$1:$G$448,"2026"))</f>
        <v>0</v>
      </c>
      <c r="N88">
        <f t="shared" si="0"/>
        <v>1</v>
      </c>
      <c r="O88">
        <f>IF($A88="","",_xlfn.SUMIFS(Campagne!$D$1:$D$128,Campagne!$C$1:$C$128,$A88))</f>
        <v>630</v>
      </c>
      <c r="P88">
        <f>IF($A88="","",_xlfn.SUMIFS(Campagne!$E$1:$E$128,Campagne!$C$1:$C$128,$A88))</f>
        <v>630</v>
      </c>
      <c r="Q88">
        <f>IF($A88="","",_xlfn.SUMIFS(Campagne!$F$1:$F$128,Campagne!$C$1:$C$128,$A88))</f>
        <v>1260</v>
      </c>
      <c r="R88">
        <f>IF($A88="","",_xlfn.SUMIFS(Campagne!$K$1:$K$128,Campagne!$C$1:$C$128,$A88))</f>
        <v>0.515848483</v>
      </c>
      <c r="S88">
        <f>IF($A88="","",_xlfn.SUMIFS(Campagne!$M$1:$M$128,Campagne!$C$1:$C$128,$A88))</f>
        <v>0.348380671</v>
      </c>
      <c r="T88">
        <f>IF($A88="","",_xlfn.SUMIFS(PIL!$K$15:$K$28,PIL!$A$15:$A$28,$A88)*_xlfn.SUMIFS(PIL!$J$15:$J$28,PIL!$A$15:$A$28,$A88)*(SUM(PIL!$K$15:$K$28)/SUMPRODUCT(PIL!$K$15:$K$28,PIL!$J$15:$J$28)))</f>
        <v>25220</v>
      </c>
      <c r="U88">
        <f>IF($A88="","",_xlfn.SUMIFS(PIL!$K$15:$K$28,PIL!$A$15:$A$28,$A88))</f>
        <v>25220</v>
      </c>
      <c r="V88" t="s">
        <v>274</v>
      </c>
      <c r="W88" t="s">
        <v>274</v>
      </c>
      <c r="X88" t="s">
        <v>274</v>
      </c>
      <c r="Y88" t="s">
        <v>274</v>
      </c>
      <c r="Z88" t="s">
        <v>274</v>
      </c>
      <c r="AA88" t="s">
        <v>274</v>
      </c>
      <c r="AB88" t="s">
        <v>274</v>
      </c>
      <c r="AC88" t="s">
        <v>274</v>
      </c>
      <c r="AD88" t="e">
        <f t="shared" si="1"/>
        <v>#VALUE!</v>
      </c>
      <c r="AE88" t="e">
        <f t="shared" si="2"/>
        <v>#VALUE!</v>
      </c>
      <c r="AF88" t="e">
        <f t="shared" si="3"/>
        <v>#VALUE!</v>
      </c>
      <c r="AG88" t="e">
        <f t="shared" si="4"/>
        <v>#VALUE!</v>
      </c>
      <c r="AH88" t="e">
        <f t="shared" si="5"/>
        <v>#VALUE!</v>
      </c>
    </row>
    <row r="89" ht="14.25" customHeight="1">
      <c r="A89" t="str">
        <f>IF(Moteur!D89="","",Moteur!D89)</f>
        <v>ISCOM_LIL</v>
      </c>
      <c r="B89" t="str">
        <f>IF(Moteur!B89="","",Moteur!B89)</f>
        <v>V01</v>
      </c>
      <c r="C89" t="str">
        <f>IF(Moteur!F89="","",Moteur!F89)</f>
        <v>MAS_COM</v>
      </c>
      <c r="D89" t="str">
        <f>IF(Moteur!G89="","",Moteur!G89)</f>
        <v>M2</v>
      </c>
      <c r="E89" t="str">
        <f>IF(Moteur!H89="","",Moteur!H89)</f>
        <v>ALT</v>
      </c>
      <c r="F89" t="str">
        <f>IF(Moteur!E89="","",Moteur!E89)</f>
        <v>ISCOM</v>
      </c>
      <c r="G89">
        <f>IF($A89="","",_xlfn.SUMIFS(Socle!$H$1:$H$448,Socle!$C$1:$C$448,$A89,Socle!$D$1:$D$448,$C89,Socle!$E$1:$E$448,$D89,Socle!$F$1:$F$448,$E89,Socle!$G$1:$G$448,"2026"))</f>
        <v>0</v>
      </c>
      <c r="H89">
        <f>IF($A89="","",_xlfn.SUMIFS(Socle!$N$1:$N$448,Socle!$C$1:$C$448,$A89,Socle!$D$1:$D$448,$C89,Socle!$E$1:$E$448,$D89,Socle!$F$1:$F$448,$E89,Socle!$G$1:$G$448,"2026"))</f>
        <v>100</v>
      </c>
      <c r="I89">
        <f>IF($A89="","",_xlfn.SUMIFS(Socle!$P$1:$P$448,Socle!$C$1:$C$448,$A89,Socle!$D$1:$D$448,$C89,Socle!$E$1:$E$448,$D89,Socle!$F$1:$F$448,$E89,Socle!$G$1:$G$448,"2026"))</f>
        <v>14700</v>
      </c>
      <c r="J89">
        <f>IF($A89="","",_xlfn.SUMIFS(Socle!$W$1:$W$448,Socle!$C$1:$C$448,$A89,Socle!$D$1:$D$448,$C89,Socle!$E$1:$E$448,$D89,Socle!$F$1:$F$448,$E89,Socle!$G$1:$G$448,"2026"))</f>
        <v>0</v>
      </c>
      <c r="K89">
        <f>IF($A89="","",_xlfn.SUMIFS(Socle!$X$1:$X$448,Socle!$C$1:$C$448,$A89,Socle!$D$1:$D$448,$C89,Socle!$E$1:$E$448,$D89,Socle!$F$1:$F$448,$E89,Socle!$G$1:$G$448,"2026"))</f>
        <v>0</v>
      </c>
      <c r="L89">
        <f>IF($A89="","",_xlfn.SUMIFS(Socle!$Y$1:$Y$448,Socle!$C$1:$C$448,$A89,Socle!$D$1:$D$448,$C89,Socle!$E$1:$E$448,$D89,Socle!$F$1:$F$448,$E89,Socle!$G$1:$G$448,"2026"))</f>
        <v>0</v>
      </c>
      <c r="M89">
        <f>IF($A89="","",_xlfn.SUMIFS(Socle!$V$1:$V$448,Socle!$C$1:$C$448,$A89,Socle!$D$1:$D$448,$C89,Socle!$E$1:$E$448,$D89,Socle!$F$1:$F$448,$E89,Socle!$G$1:$G$448,"2026"))</f>
        <v>1.96</v>
      </c>
      <c r="N89">
        <f t="shared" si="0"/>
        <v>0</v>
      </c>
      <c r="O89">
        <f>IF($A89="","",_xlfn.SUMIFS(Campagne!$D$1:$D$128,Campagne!$C$1:$C$128,$A89))</f>
        <v>630</v>
      </c>
      <c r="P89">
        <f>IF($A89="","",_xlfn.SUMIFS(Campagne!$E$1:$E$128,Campagne!$C$1:$C$128,$A89))</f>
        <v>630</v>
      </c>
      <c r="Q89">
        <f>IF($A89="","",_xlfn.SUMIFS(Campagne!$F$1:$F$128,Campagne!$C$1:$C$128,$A89))</f>
        <v>1260</v>
      </c>
      <c r="R89">
        <f>IF($A89="","",_xlfn.SUMIFS(Campagne!$K$1:$K$128,Campagne!$C$1:$C$128,$A89))</f>
        <v>0.515848483</v>
      </c>
      <c r="S89">
        <f>IF($A89="","",_xlfn.SUMIFS(Campagne!$M$1:$M$128,Campagne!$C$1:$C$128,$A89))</f>
        <v>0.348380671</v>
      </c>
      <c r="T89">
        <f>IF($A89="","",_xlfn.SUMIFS(PIL!$K$15:$K$28,PIL!$A$15:$A$28,$A89)*_xlfn.SUMIFS(PIL!$J$15:$J$28,PIL!$A$15:$A$28,$A89)*(SUM(PIL!$K$15:$K$28)/SUMPRODUCT(PIL!$K$15:$K$28,PIL!$J$15:$J$28)))</f>
        <v>25220</v>
      </c>
      <c r="U89">
        <f>IF($A89="","",_xlfn.SUMIFS(PIL!$K$15:$K$28,PIL!$A$15:$A$28,$A89))</f>
        <v>25220</v>
      </c>
      <c r="V89" t="s">
        <v>274</v>
      </c>
      <c r="W89" t="s">
        <v>274</v>
      </c>
      <c r="X89" t="s">
        <v>274</v>
      </c>
      <c r="Y89" t="s">
        <v>274</v>
      </c>
      <c r="Z89" t="s">
        <v>274</v>
      </c>
      <c r="AA89" t="s">
        <v>274</v>
      </c>
      <c r="AB89" t="s">
        <v>274</v>
      </c>
      <c r="AC89" t="s">
        <v>274</v>
      </c>
      <c r="AD89" t="e">
        <f t="shared" si="1"/>
        <v>#VALUE!</v>
      </c>
      <c r="AE89">
        <f t="shared" si="2"/>
        <v>0</v>
      </c>
      <c r="AF89" t="e">
        <f t="shared" si="3"/>
        <v>#VALUE!</v>
      </c>
      <c r="AG89" t="e">
        <f t="shared" si="4"/>
        <v>#VALUE!</v>
      </c>
      <c r="AH89" t="e">
        <f t="shared" si="5"/>
        <v>#VALUE!</v>
      </c>
    </row>
    <row r="90" ht="14.25" customHeight="1">
      <c r="A90" t="str">
        <f>IF(Moteur!D90="","",Moteur!D90)</f>
        <v>ISCOM_LIL</v>
      </c>
      <c r="B90" t="str">
        <f>IF(Moteur!B90="","",Moteur!B90)</f>
        <v>V02</v>
      </c>
      <c r="C90" t="str">
        <f>IF(Moteur!F90="","",Moteur!F90)</f>
        <v>MAS_COM</v>
      </c>
      <c r="D90" t="str">
        <f>IF(Moteur!G90="","",Moteur!G90)</f>
        <v>M2</v>
      </c>
      <c r="E90" t="str">
        <f>IF(Moteur!H90="","",Moteur!H90)</f>
        <v>ALT</v>
      </c>
      <c r="F90" t="str">
        <f>IF(Moteur!E90="","",Moteur!E90)</f>
        <v>ISCOM</v>
      </c>
      <c r="G90">
        <f>IF($A90="","",_xlfn.SUMIFS(Socle!$H$1:$H$448,Socle!$C$1:$C$448,$A90,Socle!$D$1:$D$448,$C90,Socle!$E$1:$E$448,$D90,Socle!$F$1:$F$448,$E90,Socle!$G$1:$G$448,"2026"))</f>
        <v>0</v>
      </c>
      <c r="H90">
        <f>IF($A90="","",_xlfn.SUMIFS(Socle!$N$1:$N$448,Socle!$C$1:$C$448,$A90,Socle!$D$1:$D$448,$C90,Socle!$E$1:$E$448,$D90,Socle!$F$1:$F$448,$E90,Socle!$G$1:$G$448,"2026"))</f>
        <v>100</v>
      </c>
      <c r="I90">
        <f>IF($A90="","",_xlfn.SUMIFS(Socle!$P$1:$P$448,Socle!$C$1:$C$448,$A90,Socle!$D$1:$D$448,$C90,Socle!$E$1:$E$448,$D90,Socle!$F$1:$F$448,$E90,Socle!$G$1:$G$448,"2026"))</f>
        <v>14700</v>
      </c>
      <c r="J90">
        <f>IF($A90="","",_xlfn.SUMIFS(Socle!$W$1:$W$448,Socle!$C$1:$C$448,$A90,Socle!$D$1:$D$448,$C90,Socle!$E$1:$E$448,$D90,Socle!$F$1:$F$448,$E90,Socle!$G$1:$G$448,"2026"))</f>
        <v>0</v>
      </c>
      <c r="K90">
        <f>IF($A90="","",_xlfn.SUMIFS(Socle!$X$1:$X$448,Socle!$C$1:$C$448,$A90,Socle!$D$1:$D$448,$C90,Socle!$E$1:$E$448,$D90,Socle!$F$1:$F$448,$E90,Socle!$G$1:$G$448,"2026"))</f>
        <v>0</v>
      </c>
      <c r="L90">
        <f>IF($A90="","",_xlfn.SUMIFS(Socle!$Y$1:$Y$448,Socle!$C$1:$C$448,$A90,Socle!$D$1:$D$448,$C90,Socle!$E$1:$E$448,$D90,Socle!$F$1:$F$448,$E90,Socle!$G$1:$G$448,"2026"))</f>
        <v>0</v>
      </c>
      <c r="M90">
        <f>IF($A90="","",_xlfn.SUMIFS(Socle!$V$1:$V$448,Socle!$C$1:$C$448,$A90,Socle!$D$1:$D$448,$C90,Socle!$E$1:$E$448,$D90,Socle!$F$1:$F$448,$E90,Socle!$G$1:$G$448,"2026"))</f>
        <v>1.96</v>
      </c>
      <c r="N90">
        <f t="shared" si="0"/>
        <v>0</v>
      </c>
      <c r="O90">
        <f>IF($A90="","",_xlfn.SUMIFS(Campagne!$D$1:$D$128,Campagne!$C$1:$C$128,$A90))</f>
        <v>630</v>
      </c>
      <c r="P90">
        <f>IF($A90="","",_xlfn.SUMIFS(Campagne!$E$1:$E$128,Campagne!$C$1:$C$128,$A90))</f>
        <v>630</v>
      </c>
      <c r="Q90">
        <f>IF($A90="","",_xlfn.SUMIFS(Campagne!$F$1:$F$128,Campagne!$C$1:$C$128,$A90))</f>
        <v>1260</v>
      </c>
      <c r="R90">
        <f>IF($A90="","",_xlfn.SUMIFS(Campagne!$K$1:$K$128,Campagne!$C$1:$C$128,$A90))</f>
        <v>0.515848483</v>
      </c>
      <c r="S90">
        <f>IF($A90="","",_xlfn.SUMIFS(Campagne!$M$1:$M$128,Campagne!$C$1:$C$128,$A90))</f>
        <v>0.348380671</v>
      </c>
      <c r="T90">
        <f>IF($A90="","",_xlfn.SUMIFS(PIL!$K$15:$K$28,PIL!$A$15:$A$28,$A90)*_xlfn.SUMIFS(PIL!$J$15:$J$28,PIL!$A$15:$A$28,$A90)*(SUM(PIL!$K$15:$K$28)/SUMPRODUCT(PIL!$K$15:$K$28,PIL!$J$15:$J$28)))</f>
        <v>25220</v>
      </c>
      <c r="U90">
        <f>IF($A90="","",_xlfn.SUMIFS(PIL!$K$15:$K$28,PIL!$A$15:$A$28,$A90))</f>
        <v>25220</v>
      </c>
      <c r="V90" t="s">
        <v>274</v>
      </c>
      <c r="W90" t="s">
        <v>274</v>
      </c>
      <c r="X90" t="s">
        <v>274</v>
      </c>
      <c r="Y90" t="s">
        <v>274</v>
      </c>
      <c r="Z90" t="s">
        <v>274</v>
      </c>
      <c r="AA90" t="s">
        <v>274</v>
      </c>
      <c r="AB90" t="s">
        <v>274</v>
      </c>
      <c r="AC90" t="s">
        <v>274</v>
      </c>
      <c r="AD90" t="e">
        <f t="shared" si="1"/>
        <v>#VALUE!</v>
      </c>
      <c r="AE90">
        <f t="shared" si="2"/>
        <v>0</v>
      </c>
      <c r="AF90" t="e">
        <f t="shared" si="3"/>
        <v>#VALUE!</v>
      </c>
      <c r="AG90" t="e">
        <f t="shared" si="4"/>
        <v>#VALUE!</v>
      </c>
      <c r="AH90" t="e">
        <f t="shared" si="5"/>
        <v>#VALUE!</v>
      </c>
    </row>
    <row r="91" ht="14.25" customHeight="1">
      <c r="A91" t="str">
        <f>IF(Moteur!D91="","",Moteur!D91)</f>
        <v>ISCOM_LIL</v>
      </c>
      <c r="B91" t="str">
        <f>IF(Moteur!B91="","",Moteur!B91)</f>
        <v>V03</v>
      </c>
      <c r="C91" t="str">
        <f>IF(Moteur!F91="","",Moteur!F91)</f>
        <v>MAS_COM</v>
      </c>
      <c r="D91" t="str">
        <f>IF(Moteur!G91="","",Moteur!G91)</f>
        <v>M2</v>
      </c>
      <c r="E91" t="str">
        <f>IF(Moteur!H91="","",Moteur!H91)</f>
        <v>ALT</v>
      </c>
      <c r="F91" t="str">
        <f>IF(Moteur!E91="","",Moteur!E91)</f>
        <v>ISCOM</v>
      </c>
      <c r="G91">
        <f>IF($A91="","",_xlfn.SUMIFS(Socle!$H$1:$H$448,Socle!$C$1:$C$448,$A91,Socle!$D$1:$D$448,$C91,Socle!$E$1:$E$448,$D91,Socle!$F$1:$F$448,$E91,Socle!$G$1:$G$448,"2026"))</f>
        <v>0</v>
      </c>
      <c r="H91">
        <f>IF($A91="","",_xlfn.SUMIFS(Socle!$N$1:$N$448,Socle!$C$1:$C$448,$A91,Socle!$D$1:$D$448,$C91,Socle!$E$1:$E$448,$D91,Socle!$F$1:$F$448,$E91,Socle!$G$1:$G$448,"2026"))</f>
        <v>100</v>
      </c>
      <c r="I91">
        <f>IF($A91="","",_xlfn.SUMIFS(Socle!$P$1:$P$448,Socle!$C$1:$C$448,$A91,Socle!$D$1:$D$448,$C91,Socle!$E$1:$E$448,$D91,Socle!$F$1:$F$448,$E91,Socle!$G$1:$G$448,"2026"))</f>
        <v>14700</v>
      </c>
      <c r="J91">
        <f>IF($A91="","",_xlfn.SUMIFS(Socle!$W$1:$W$448,Socle!$C$1:$C$448,$A91,Socle!$D$1:$D$448,$C91,Socle!$E$1:$E$448,$D91,Socle!$F$1:$F$448,$E91,Socle!$G$1:$G$448,"2026"))</f>
        <v>0</v>
      </c>
      <c r="K91">
        <f>IF($A91="","",_xlfn.SUMIFS(Socle!$X$1:$X$448,Socle!$C$1:$C$448,$A91,Socle!$D$1:$D$448,$C91,Socle!$E$1:$E$448,$D91,Socle!$F$1:$F$448,$E91,Socle!$G$1:$G$448,"2026"))</f>
        <v>0</v>
      </c>
      <c r="L91">
        <f>IF($A91="","",_xlfn.SUMIFS(Socle!$Y$1:$Y$448,Socle!$C$1:$C$448,$A91,Socle!$D$1:$D$448,$C91,Socle!$E$1:$E$448,$D91,Socle!$F$1:$F$448,$E91,Socle!$G$1:$G$448,"2026"))</f>
        <v>0</v>
      </c>
      <c r="M91">
        <f>IF($A91="","",_xlfn.SUMIFS(Socle!$V$1:$V$448,Socle!$C$1:$C$448,$A91,Socle!$D$1:$D$448,$C91,Socle!$E$1:$E$448,$D91,Socle!$F$1:$F$448,$E91,Socle!$G$1:$G$448,"2026"))</f>
        <v>1.96</v>
      </c>
      <c r="N91">
        <f t="shared" si="0"/>
        <v>0</v>
      </c>
      <c r="O91">
        <f>IF($A91="","",_xlfn.SUMIFS(Campagne!$D$1:$D$128,Campagne!$C$1:$C$128,$A91))</f>
        <v>630</v>
      </c>
      <c r="P91">
        <f>IF($A91="","",_xlfn.SUMIFS(Campagne!$E$1:$E$128,Campagne!$C$1:$C$128,$A91))</f>
        <v>630</v>
      </c>
      <c r="Q91">
        <f>IF($A91="","",_xlfn.SUMIFS(Campagne!$F$1:$F$128,Campagne!$C$1:$C$128,$A91))</f>
        <v>1260</v>
      </c>
      <c r="R91">
        <f>IF($A91="","",_xlfn.SUMIFS(Campagne!$K$1:$K$128,Campagne!$C$1:$C$128,$A91))</f>
        <v>0.515848483</v>
      </c>
      <c r="S91">
        <f>IF($A91="","",_xlfn.SUMIFS(Campagne!$M$1:$M$128,Campagne!$C$1:$C$128,$A91))</f>
        <v>0.348380671</v>
      </c>
      <c r="T91">
        <f>IF($A91="","",_xlfn.SUMIFS(PIL!$K$15:$K$28,PIL!$A$15:$A$28,$A91)*_xlfn.SUMIFS(PIL!$J$15:$J$28,PIL!$A$15:$A$28,$A91)*(SUM(PIL!$K$15:$K$28)/SUMPRODUCT(PIL!$K$15:$K$28,PIL!$J$15:$J$28)))</f>
        <v>25220</v>
      </c>
      <c r="U91">
        <f>IF($A91="","",_xlfn.SUMIFS(PIL!$K$15:$K$28,PIL!$A$15:$A$28,$A91))</f>
        <v>25220</v>
      </c>
      <c r="V91" t="s">
        <v>274</v>
      </c>
      <c r="W91" t="s">
        <v>274</v>
      </c>
      <c r="X91" t="s">
        <v>274</v>
      </c>
      <c r="Y91" t="s">
        <v>274</v>
      </c>
      <c r="Z91" t="s">
        <v>274</v>
      </c>
      <c r="AA91" t="s">
        <v>274</v>
      </c>
      <c r="AB91" t="s">
        <v>274</v>
      </c>
      <c r="AC91" t="s">
        <v>274</v>
      </c>
      <c r="AD91" t="e">
        <f t="shared" si="1"/>
        <v>#VALUE!</v>
      </c>
      <c r="AE91">
        <f t="shared" si="2"/>
        <v>0</v>
      </c>
      <c r="AF91" t="e">
        <f t="shared" si="3"/>
        <v>#VALUE!</v>
      </c>
      <c r="AG91" t="e">
        <f t="shared" si="4"/>
        <v>#VALUE!</v>
      </c>
      <c r="AH91" t="e">
        <f t="shared" si="5"/>
        <v>#VALUE!</v>
      </c>
    </row>
    <row r="92" ht="14.25" customHeight="1">
      <c r="A92" t="str">
        <f>IF(Moteur!D92="","",Moteur!D92)</f>
        <v>ISCOM_TLS</v>
      </c>
      <c r="B92" t="str">
        <f>IF(Moteur!B92="","",Moteur!B92)</f>
        <v>V01</v>
      </c>
      <c r="C92" t="str">
        <f>IF(Moteur!F92="","",Moteur!F92)</f>
        <v>BAC_COM</v>
      </c>
      <c r="D92" t="str">
        <f>IF(Moteur!G92="","",Moteur!G92)</f>
        <v>B1</v>
      </c>
      <c r="E92" t="str">
        <f>IF(Moteur!H92="","",Moteur!H92)</f>
        <v>INIT</v>
      </c>
      <c r="F92" t="str">
        <f>IF(Moteur!E92="","",Moteur!E92)</f>
        <v>ISCOM</v>
      </c>
      <c r="G92">
        <f>IF($A92="","",_xlfn.SUMIFS(Socle!$H$1:$H$448,Socle!$C$1:$C$448,$A92,Socle!$D$1:$D$448,$C92,Socle!$E$1:$E$448,$D92,Socle!$F$1:$F$448,$E92,Socle!$G$1:$G$448,"2026"))</f>
        <v>772</v>
      </c>
      <c r="H92">
        <f>IF($A92="","",_xlfn.SUMIFS(Socle!$N$1:$N$448,Socle!$C$1:$C$448,$A92,Socle!$D$1:$D$448,$C92,Socle!$E$1:$E$448,$D92,Socle!$F$1:$F$448,$E92,Socle!$G$1:$G$448,"2026"))</f>
        <v>0</v>
      </c>
      <c r="I92">
        <f>IF($A92="","",_xlfn.SUMIFS(Socle!$P$1:$P$448,Socle!$C$1:$C$448,$A92,Socle!$D$1:$D$448,$C92,Socle!$E$1:$E$448,$D92,Socle!$F$1:$F$448,$E92,Socle!$G$1:$G$448,"2026"))</f>
        <v>14400</v>
      </c>
      <c r="J92">
        <f>IF($A92="","",_xlfn.SUMIFS(Socle!$W$1:$W$448,Socle!$C$1:$C$448,$A92,Socle!$D$1:$D$448,$C92,Socle!$E$1:$E$448,$D92,Socle!$F$1:$F$448,$E92,Socle!$G$1:$G$448,"2026"))</f>
        <v>0.559585492</v>
      </c>
      <c r="K92">
        <f>IF($A92="","",_xlfn.SUMIFS(Socle!$X$1:$X$448,Socle!$C$1:$C$448,$A92,Socle!$D$1:$D$448,$C92,Socle!$E$1:$E$448,$D92,Socle!$F$1:$F$448,$E92,Socle!$G$1:$G$448,"2026"))</f>
        <v>1.444444444</v>
      </c>
      <c r="L92">
        <f>IF($A92="","",_xlfn.SUMIFS(Socle!$Y$1:$Y$448,Socle!$C$1:$C$448,$A92,Socle!$D$1:$D$448,$C92,Socle!$E$1:$E$448,$D92,Socle!$F$1:$F$448,$E92,Socle!$G$1:$G$448,"2026"))</f>
        <v>1.205128206</v>
      </c>
      <c r="M92">
        <f>IF($A92="","",_xlfn.SUMIFS(Socle!$V$1:$V$448,Socle!$C$1:$C$448,$A92,Socle!$D$1:$D$448,$C92,Socle!$E$1:$E$448,$D92,Socle!$F$1:$F$448,$E92,Socle!$G$1:$G$448,"2026"))</f>
        <v>0</v>
      </c>
      <c r="N92">
        <f t="shared" si="0"/>
        <v>1</v>
      </c>
      <c r="O92">
        <f>IF($A92="","",_xlfn.SUMIFS(Campagne!$D$1:$D$128,Campagne!$C$1:$C$128,$A92))</f>
        <v>605</v>
      </c>
      <c r="P92">
        <f>IF($A92="","",_xlfn.SUMIFS(Campagne!$E$1:$E$128,Campagne!$C$1:$C$128,$A92))</f>
        <v>581</v>
      </c>
      <c r="Q92">
        <f>IF($A92="","",_xlfn.SUMIFS(Campagne!$F$1:$F$128,Campagne!$C$1:$C$128,$A92))</f>
        <v>1186</v>
      </c>
      <c r="R92">
        <f>IF($A92="","",_xlfn.SUMIFS(Campagne!$K$1:$K$128,Campagne!$C$1:$C$128,$A92))</f>
        <v>0.521803236</v>
      </c>
      <c r="S92">
        <f>IF($A92="","",_xlfn.SUMIFS(Campagne!$M$1:$M$128,Campagne!$C$1:$C$128,$A92))</f>
        <v>0.35585221</v>
      </c>
      <c r="T92">
        <f>IF($A92="","",_xlfn.SUMIFS(PIL!$K$15:$K$28,PIL!$A$15:$A$28,$A92)*_xlfn.SUMIFS(PIL!$J$15:$J$28,PIL!$A$15:$A$28,$A92)*(SUM(PIL!$K$15:$K$28)/SUMPRODUCT(PIL!$K$15:$K$28,PIL!$J$15:$J$28)))</f>
        <v>22083</v>
      </c>
      <c r="U92">
        <f>IF($A92="","",_xlfn.SUMIFS(PIL!$K$15:$K$28,PIL!$A$15:$A$28,$A92))</f>
        <v>22083</v>
      </c>
      <c r="V92" t="s">
        <v>274</v>
      </c>
      <c r="W92" t="s">
        <v>274</v>
      </c>
      <c r="X92" t="s">
        <v>274</v>
      </c>
      <c r="Y92" t="s">
        <v>274</v>
      </c>
      <c r="Z92" t="s">
        <v>274</v>
      </c>
      <c r="AA92" t="s">
        <v>274</v>
      </c>
      <c r="AB92" t="s">
        <v>274</v>
      </c>
      <c r="AC92" t="s">
        <v>274</v>
      </c>
      <c r="AD92" t="e">
        <f t="shared" si="1"/>
        <v>#VALUE!</v>
      </c>
      <c r="AE92" t="e">
        <f t="shared" si="2"/>
        <v>#VALUE!</v>
      </c>
      <c r="AF92" t="e">
        <f t="shared" si="3"/>
        <v>#VALUE!</v>
      </c>
      <c r="AG92" t="e">
        <f t="shared" si="4"/>
        <v>#VALUE!</v>
      </c>
      <c r="AH92" t="e">
        <f t="shared" si="5"/>
        <v>#VALUE!</v>
      </c>
    </row>
    <row r="93" ht="14.25" customHeight="1">
      <c r="A93" t="str">
        <f>IF(Moteur!D93="","",Moteur!D93)</f>
        <v>ISCOM_TLS</v>
      </c>
      <c r="B93" t="str">
        <f>IF(Moteur!B93="","",Moteur!B93)</f>
        <v>V02</v>
      </c>
      <c r="C93" t="str">
        <f>IF(Moteur!F93="","",Moteur!F93)</f>
        <v>BAC_COM</v>
      </c>
      <c r="D93" t="str">
        <f>IF(Moteur!G93="","",Moteur!G93)</f>
        <v>B1</v>
      </c>
      <c r="E93" t="str">
        <f>IF(Moteur!H93="","",Moteur!H93)</f>
        <v>INIT</v>
      </c>
      <c r="F93" t="str">
        <f>IF(Moteur!E93="","",Moteur!E93)</f>
        <v>ISCOM</v>
      </c>
      <c r="G93">
        <f>IF($A93="","",_xlfn.SUMIFS(Socle!$H$1:$H$448,Socle!$C$1:$C$448,$A93,Socle!$D$1:$D$448,$C93,Socle!$E$1:$E$448,$D93,Socle!$F$1:$F$448,$E93,Socle!$G$1:$G$448,"2026"))</f>
        <v>772</v>
      </c>
      <c r="H93">
        <f>IF($A93="","",_xlfn.SUMIFS(Socle!$N$1:$N$448,Socle!$C$1:$C$448,$A93,Socle!$D$1:$D$448,$C93,Socle!$E$1:$E$448,$D93,Socle!$F$1:$F$448,$E93,Socle!$G$1:$G$448,"2026"))</f>
        <v>0</v>
      </c>
      <c r="I93">
        <f>IF($A93="","",_xlfn.SUMIFS(Socle!$P$1:$P$448,Socle!$C$1:$C$448,$A93,Socle!$D$1:$D$448,$C93,Socle!$E$1:$E$448,$D93,Socle!$F$1:$F$448,$E93,Socle!$G$1:$G$448,"2026"))</f>
        <v>14400</v>
      </c>
      <c r="J93">
        <f>IF($A93="","",_xlfn.SUMIFS(Socle!$W$1:$W$448,Socle!$C$1:$C$448,$A93,Socle!$D$1:$D$448,$C93,Socle!$E$1:$E$448,$D93,Socle!$F$1:$F$448,$E93,Socle!$G$1:$G$448,"2026"))</f>
        <v>0.559585492</v>
      </c>
      <c r="K93">
        <f>IF($A93="","",_xlfn.SUMIFS(Socle!$X$1:$X$448,Socle!$C$1:$C$448,$A93,Socle!$D$1:$D$448,$C93,Socle!$E$1:$E$448,$D93,Socle!$F$1:$F$448,$E93,Socle!$G$1:$G$448,"2026"))</f>
        <v>1.444444444</v>
      </c>
      <c r="L93">
        <f>IF($A93="","",_xlfn.SUMIFS(Socle!$Y$1:$Y$448,Socle!$C$1:$C$448,$A93,Socle!$D$1:$D$448,$C93,Socle!$E$1:$E$448,$D93,Socle!$F$1:$F$448,$E93,Socle!$G$1:$G$448,"2026"))</f>
        <v>1.205128206</v>
      </c>
      <c r="M93">
        <f>IF($A93="","",_xlfn.SUMIFS(Socle!$V$1:$V$448,Socle!$C$1:$C$448,$A93,Socle!$D$1:$D$448,$C93,Socle!$E$1:$E$448,$D93,Socle!$F$1:$F$448,$E93,Socle!$G$1:$G$448,"2026"))</f>
        <v>0</v>
      </c>
      <c r="N93">
        <f t="shared" si="0"/>
        <v>1</v>
      </c>
      <c r="O93">
        <f>IF($A93="","",_xlfn.SUMIFS(Campagne!$D$1:$D$128,Campagne!$C$1:$C$128,$A93))</f>
        <v>605</v>
      </c>
      <c r="P93">
        <f>IF($A93="","",_xlfn.SUMIFS(Campagne!$E$1:$E$128,Campagne!$C$1:$C$128,$A93))</f>
        <v>581</v>
      </c>
      <c r="Q93">
        <f>IF($A93="","",_xlfn.SUMIFS(Campagne!$F$1:$F$128,Campagne!$C$1:$C$128,$A93))</f>
        <v>1186</v>
      </c>
      <c r="R93">
        <f>IF($A93="","",_xlfn.SUMIFS(Campagne!$K$1:$K$128,Campagne!$C$1:$C$128,$A93))</f>
        <v>0.521803236</v>
      </c>
      <c r="S93">
        <f>IF($A93="","",_xlfn.SUMIFS(Campagne!$M$1:$M$128,Campagne!$C$1:$C$128,$A93))</f>
        <v>0.35585221</v>
      </c>
      <c r="T93">
        <f>IF($A93="","",_xlfn.SUMIFS(PIL!$K$15:$K$28,PIL!$A$15:$A$28,$A93)*_xlfn.SUMIFS(PIL!$J$15:$J$28,PIL!$A$15:$A$28,$A93)*(SUM(PIL!$K$15:$K$28)/SUMPRODUCT(PIL!$K$15:$K$28,PIL!$J$15:$J$28)))</f>
        <v>22083</v>
      </c>
      <c r="U93">
        <f>IF($A93="","",_xlfn.SUMIFS(PIL!$K$15:$K$28,PIL!$A$15:$A$28,$A93))</f>
        <v>22083</v>
      </c>
      <c r="V93" t="s">
        <v>274</v>
      </c>
      <c r="W93" t="s">
        <v>274</v>
      </c>
      <c r="X93" t="s">
        <v>274</v>
      </c>
      <c r="Y93" t="s">
        <v>274</v>
      </c>
      <c r="Z93" t="s">
        <v>274</v>
      </c>
      <c r="AA93" t="s">
        <v>274</v>
      </c>
      <c r="AB93" t="s">
        <v>274</v>
      </c>
      <c r="AC93" t="s">
        <v>274</v>
      </c>
      <c r="AD93" t="e">
        <f t="shared" si="1"/>
        <v>#VALUE!</v>
      </c>
      <c r="AE93" t="e">
        <f t="shared" si="2"/>
        <v>#VALUE!</v>
      </c>
      <c r="AF93" t="e">
        <f t="shared" si="3"/>
        <v>#VALUE!</v>
      </c>
      <c r="AG93" t="e">
        <f t="shared" si="4"/>
        <v>#VALUE!</v>
      </c>
      <c r="AH93" t="e">
        <f t="shared" si="5"/>
        <v>#VALUE!</v>
      </c>
    </row>
    <row r="94" ht="14.25" customHeight="1">
      <c r="A94" t="str">
        <f>IF(Moteur!D94="","",Moteur!D94)</f>
        <v>ISCOM_TLS</v>
      </c>
      <c r="B94" t="str">
        <f>IF(Moteur!B94="","",Moteur!B94)</f>
        <v>V03</v>
      </c>
      <c r="C94" t="str">
        <f>IF(Moteur!F94="","",Moteur!F94)</f>
        <v>BAC_COM</v>
      </c>
      <c r="D94" t="str">
        <f>IF(Moteur!G94="","",Moteur!G94)</f>
        <v>B1</v>
      </c>
      <c r="E94" t="str">
        <f>IF(Moteur!H94="","",Moteur!H94)</f>
        <v>INIT</v>
      </c>
      <c r="F94" t="str">
        <f>IF(Moteur!E94="","",Moteur!E94)</f>
        <v>ISCOM</v>
      </c>
      <c r="G94">
        <f>IF($A94="","",_xlfn.SUMIFS(Socle!$H$1:$H$448,Socle!$C$1:$C$448,$A94,Socle!$D$1:$D$448,$C94,Socle!$E$1:$E$448,$D94,Socle!$F$1:$F$448,$E94,Socle!$G$1:$G$448,"2026"))</f>
        <v>772</v>
      </c>
      <c r="H94">
        <f>IF($A94="","",_xlfn.SUMIFS(Socle!$N$1:$N$448,Socle!$C$1:$C$448,$A94,Socle!$D$1:$D$448,$C94,Socle!$E$1:$E$448,$D94,Socle!$F$1:$F$448,$E94,Socle!$G$1:$G$448,"2026"))</f>
        <v>0</v>
      </c>
      <c r="I94">
        <f>IF($A94="","",_xlfn.SUMIFS(Socle!$P$1:$P$448,Socle!$C$1:$C$448,$A94,Socle!$D$1:$D$448,$C94,Socle!$E$1:$E$448,$D94,Socle!$F$1:$F$448,$E94,Socle!$G$1:$G$448,"2026"))</f>
        <v>14400</v>
      </c>
      <c r="J94">
        <f>IF($A94="","",_xlfn.SUMIFS(Socle!$W$1:$W$448,Socle!$C$1:$C$448,$A94,Socle!$D$1:$D$448,$C94,Socle!$E$1:$E$448,$D94,Socle!$F$1:$F$448,$E94,Socle!$G$1:$G$448,"2026"))</f>
        <v>0.559585492</v>
      </c>
      <c r="K94">
        <f>IF($A94="","",_xlfn.SUMIFS(Socle!$X$1:$X$448,Socle!$C$1:$C$448,$A94,Socle!$D$1:$D$448,$C94,Socle!$E$1:$E$448,$D94,Socle!$F$1:$F$448,$E94,Socle!$G$1:$G$448,"2026"))</f>
        <v>1.444444444</v>
      </c>
      <c r="L94">
        <f>IF($A94="","",_xlfn.SUMIFS(Socle!$Y$1:$Y$448,Socle!$C$1:$C$448,$A94,Socle!$D$1:$D$448,$C94,Socle!$E$1:$E$448,$D94,Socle!$F$1:$F$448,$E94,Socle!$G$1:$G$448,"2026"))</f>
        <v>1.205128206</v>
      </c>
      <c r="M94">
        <f>IF($A94="","",_xlfn.SUMIFS(Socle!$V$1:$V$448,Socle!$C$1:$C$448,$A94,Socle!$D$1:$D$448,$C94,Socle!$E$1:$E$448,$D94,Socle!$F$1:$F$448,$E94,Socle!$G$1:$G$448,"2026"))</f>
        <v>0</v>
      </c>
      <c r="N94">
        <f t="shared" si="0"/>
        <v>1</v>
      </c>
      <c r="O94">
        <f>IF($A94="","",_xlfn.SUMIFS(Campagne!$D$1:$D$128,Campagne!$C$1:$C$128,$A94))</f>
        <v>605</v>
      </c>
      <c r="P94">
        <f>IF($A94="","",_xlfn.SUMIFS(Campagne!$E$1:$E$128,Campagne!$C$1:$C$128,$A94))</f>
        <v>581</v>
      </c>
      <c r="Q94">
        <f>IF($A94="","",_xlfn.SUMIFS(Campagne!$F$1:$F$128,Campagne!$C$1:$C$128,$A94))</f>
        <v>1186</v>
      </c>
      <c r="R94">
        <f>IF($A94="","",_xlfn.SUMIFS(Campagne!$K$1:$K$128,Campagne!$C$1:$C$128,$A94))</f>
        <v>0.521803236</v>
      </c>
      <c r="S94">
        <f>IF($A94="","",_xlfn.SUMIFS(Campagne!$M$1:$M$128,Campagne!$C$1:$C$128,$A94))</f>
        <v>0.35585221</v>
      </c>
      <c r="T94">
        <f>IF($A94="","",_xlfn.SUMIFS(PIL!$K$15:$K$28,PIL!$A$15:$A$28,$A94)*_xlfn.SUMIFS(PIL!$J$15:$J$28,PIL!$A$15:$A$28,$A94)*(SUM(PIL!$K$15:$K$28)/SUMPRODUCT(PIL!$K$15:$K$28,PIL!$J$15:$J$28)))</f>
        <v>22083</v>
      </c>
      <c r="U94">
        <f>IF($A94="","",_xlfn.SUMIFS(PIL!$K$15:$K$28,PIL!$A$15:$A$28,$A94))</f>
        <v>22083</v>
      </c>
      <c r="V94" t="s">
        <v>274</v>
      </c>
      <c r="W94" t="s">
        <v>274</v>
      </c>
      <c r="X94" t="s">
        <v>274</v>
      </c>
      <c r="Y94" t="s">
        <v>274</v>
      </c>
      <c r="Z94" t="s">
        <v>274</v>
      </c>
      <c r="AA94" t="s">
        <v>274</v>
      </c>
      <c r="AB94" t="s">
        <v>274</v>
      </c>
      <c r="AC94" t="s">
        <v>274</v>
      </c>
      <c r="AD94" t="e">
        <f t="shared" si="1"/>
        <v>#VALUE!</v>
      </c>
      <c r="AE94" t="e">
        <f t="shared" si="2"/>
        <v>#VALUE!</v>
      </c>
      <c r="AF94" t="e">
        <f t="shared" si="3"/>
        <v>#VALUE!</v>
      </c>
      <c r="AG94" t="e">
        <f t="shared" si="4"/>
        <v>#VALUE!</v>
      </c>
      <c r="AH94" t="e">
        <f t="shared" si="5"/>
        <v>#VALUE!</v>
      </c>
    </row>
    <row r="95" ht="14.25" customHeight="1">
      <c r="A95" t="str">
        <f>IF(Moteur!D95="","",Moteur!D95)</f>
        <v>ISCOM_TLS</v>
      </c>
      <c r="B95" t="str">
        <f>IF(Moteur!B95="","",Moteur!B95)</f>
        <v>V01</v>
      </c>
      <c r="C95" t="str">
        <f>IF(Moteur!F95="","",Moteur!F95)</f>
        <v>BAC_COM</v>
      </c>
      <c r="D95" t="str">
        <f>IF(Moteur!G95="","",Moteur!G95)</f>
        <v>B2</v>
      </c>
      <c r="E95" t="str">
        <f>IF(Moteur!H95="","",Moteur!H95)</f>
        <v>ALT</v>
      </c>
      <c r="F95" t="str">
        <f>IF(Moteur!E95="","",Moteur!E95)</f>
        <v>ISCOM</v>
      </c>
      <c r="G95">
        <f>IF($A95="","",_xlfn.SUMIFS(Socle!$H$1:$H$448,Socle!$C$1:$C$448,$A95,Socle!$D$1:$D$448,$C95,Socle!$E$1:$E$448,$D95,Socle!$F$1:$F$448,$E95,Socle!$G$1:$G$448,"2026"))</f>
        <v>0</v>
      </c>
      <c r="H95">
        <f>IF($A95="","",_xlfn.SUMIFS(Socle!$N$1:$N$448,Socle!$C$1:$C$448,$A95,Socle!$D$1:$D$448,$C95,Socle!$E$1:$E$448,$D95,Socle!$F$1:$F$448,$E95,Socle!$G$1:$G$448,"2026"))</f>
        <v>94</v>
      </c>
      <c r="I95">
        <f>IF($A95="","",_xlfn.SUMIFS(Socle!$P$1:$P$448,Socle!$C$1:$C$448,$A95,Socle!$D$1:$D$448,$C95,Socle!$E$1:$E$448,$D95,Socle!$F$1:$F$448,$E95,Socle!$G$1:$G$448,"2026"))</f>
        <v>13440</v>
      </c>
      <c r="J95">
        <f>IF($A95="","",_xlfn.SUMIFS(Socle!$W$1:$W$448,Socle!$C$1:$C$448,$A95,Socle!$D$1:$D$448,$C95,Socle!$E$1:$E$448,$D95,Socle!$F$1:$F$448,$E95,Socle!$G$1:$G$448,"2026"))</f>
        <v>0</v>
      </c>
      <c r="K95">
        <f>IF($A95="","",_xlfn.SUMIFS(Socle!$X$1:$X$448,Socle!$C$1:$C$448,$A95,Socle!$D$1:$D$448,$C95,Socle!$E$1:$E$448,$D95,Socle!$F$1:$F$448,$E95,Socle!$G$1:$G$448,"2026"))</f>
        <v>0</v>
      </c>
      <c r="L95">
        <f>IF($A95="","",_xlfn.SUMIFS(Socle!$Y$1:$Y$448,Socle!$C$1:$C$448,$A95,Socle!$D$1:$D$448,$C95,Socle!$E$1:$E$448,$D95,Socle!$F$1:$F$448,$E95,Socle!$G$1:$G$448,"2026"))</f>
        <v>0</v>
      </c>
      <c r="M95">
        <f>IF($A95="","",_xlfn.SUMIFS(Socle!$V$1:$V$448,Socle!$C$1:$C$448,$A95,Socle!$D$1:$D$448,$C95,Socle!$E$1:$E$448,$D95,Socle!$F$1:$F$448,$E95,Socle!$G$1:$G$448,"2026"))</f>
        <v>1.957446808</v>
      </c>
      <c r="N95">
        <f t="shared" si="0"/>
        <v>0</v>
      </c>
      <c r="O95">
        <f>IF($A95="","",_xlfn.SUMIFS(Campagne!$D$1:$D$128,Campagne!$C$1:$C$128,$A95))</f>
        <v>605</v>
      </c>
      <c r="P95">
        <f>IF($A95="","",_xlfn.SUMIFS(Campagne!$E$1:$E$128,Campagne!$C$1:$C$128,$A95))</f>
        <v>581</v>
      </c>
      <c r="Q95">
        <f>IF($A95="","",_xlfn.SUMIFS(Campagne!$F$1:$F$128,Campagne!$C$1:$C$128,$A95))</f>
        <v>1186</v>
      </c>
      <c r="R95">
        <f>IF($A95="","",_xlfn.SUMIFS(Campagne!$K$1:$K$128,Campagne!$C$1:$C$128,$A95))</f>
        <v>0.521803236</v>
      </c>
      <c r="S95">
        <f>IF($A95="","",_xlfn.SUMIFS(Campagne!$M$1:$M$128,Campagne!$C$1:$C$128,$A95))</f>
        <v>0.35585221</v>
      </c>
      <c r="T95">
        <f>IF($A95="","",_xlfn.SUMIFS(PIL!$K$15:$K$28,PIL!$A$15:$A$28,$A95)*_xlfn.SUMIFS(PIL!$J$15:$J$28,PIL!$A$15:$A$28,$A95)*(SUM(PIL!$K$15:$K$28)/SUMPRODUCT(PIL!$K$15:$K$28,PIL!$J$15:$J$28)))</f>
        <v>22083</v>
      </c>
      <c r="U95">
        <f>IF($A95="","",_xlfn.SUMIFS(PIL!$K$15:$K$28,PIL!$A$15:$A$28,$A95))</f>
        <v>22083</v>
      </c>
      <c r="V95" t="s">
        <v>274</v>
      </c>
      <c r="W95" t="s">
        <v>274</v>
      </c>
      <c r="X95" t="s">
        <v>274</v>
      </c>
      <c r="Y95" t="s">
        <v>274</v>
      </c>
      <c r="Z95" t="s">
        <v>274</v>
      </c>
      <c r="AA95" t="s">
        <v>274</v>
      </c>
      <c r="AB95" t="s">
        <v>274</v>
      </c>
      <c r="AC95" t="s">
        <v>274</v>
      </c>
      <c r="AD95" t="e">
        <f t="shared" si="1"/>
        <v>#VALUE!</v>
      </c>
      <c r="AE95">
        <f t="shared" si="2"/>
        <v>0</v>
      </c>
      <c r="AF95" t="e">
        <f t="shared" si="3"/>
        <v>#VALUE!</v>
      </c>
      <c r="AG95" t="e">
        <f t="shared" si="4"/>
        <v>#VALUE!</v>
      </c>
      <c r="AH95" t="e">
        <f t="shared" si="5"/>
        <v>#VALUE!</v>
      </c>
    </row>
    <row r="96" ht="14.25" customHeight="1">
      <c r="A96" t="str">
        <f>IF(Moteur!D96="","",Moteur!D96)</f>
        <v>ISCOM_TLS</v>
      </c>
      <c r="B96" t="str">
        <f>IF(Moteur!B96="","",Moteur!B96)</f>
        <v>V02</v>
      </c>
      <c r="C96" t="str">
        <f>IF(Moteur!F96="","",Moteur!F96)</f>
        <v>BAC_COM</v>
      </c>
      <c r="D96" t="str">
        <f>IF(Moteur!G96="","",Moteur!G96)</f>
        <v>B2</v>
      </c>
      <c r="E96" t="str">
        <f>IF(Moteur!H96="","",Moteur!H96)</f>
        <v>ALT</v>
      </c>
      <c r="F96" t="str">
        <f>IF(Moteur!E96="","",Moteur!E96)</f>
        <v>ISCOM</v>
      </c>
      <c r="G96">
        <f>IF($A96="","",_xlfn.SUMIFS(Socle!$H$1:$H$448,Socle!$C$1:$C$448,$A96,Socle!$D$1:$D$448,$C96,Socle!$E$1:$E$448,$D96,Socle!$F$1:$F$448,$E96,Socle!$G$1:$G$448,"2026"))</f>
        <v>0</v>
      </c>
      <c r="H96">
        <f>IF($A96="","",_xlfn.SUMIFS(Socle!$N$1:$N$448,Socle!$C$1:$C$448,$A96,Socle!$D$1:$D$448,$C96,Socle!$E$1:$E$448,$D96,Socle!$F$1:$F$448,$E96,Socle!$G$1:$G$448,"2026"))</f>
        <v>94</v>
      </c>
      <c r="I96">
        <f>IF($A96="","",_xlfn.SUMIFS(Socle!$P$1:$P$448,Socle!$C$1:$C$448,$A96,Socle!$D$1:$D$448,$C96,Socle!$E$1:$E$448,$D96,Socle!$F$1:$F$448,$E96,Socle!$G$1:$G$448,"2026"))</f>
        <v>13440</v>
      </c>
      <c r="J96">
        <f>IF($A96="","",_xlfn.SUMIFS(Socle!$W$1:$W$448,Socle!$C$1:$C$448,$A96,Socle!$D$1:$D$448,$C96,Socle!$E$1:$E$448,$D96,Socle!$F$1:$F$448,$E96,Socle!$G$1:$G$448,"2026"))</f>
        <v>0</v>
      </c>
      <c r="K96">
        <f>IF($A96="","",_xlfn.SUMIFS(Socle!$X$1:$X$448,Socle!$C$1:$C$448,$A96,Socle!$D$1:$D$448,$C96,Socle!$E$1:$E$448,$D96,Socle!$F$1:$F$448,$E96,Socle!$G$1:$G$448,"2026"))</f>
        <v>0</v>
      </c>
      <c r="L96">
        <f>IF($A96="","",_xlfn.SUMIFS(Socle!$Y$1:$Y$448,Socle!$C$1:$C$448,$A96,Socle!$D$1:$D$448,$C96,Socle!$E$1:$E$448,$D96,Socle!$F$1:$F$448,$E96,Socle!$G$1:$G$448,"2026"))</f>
        <v>0</v>
      </c>
      <c r="M96">
        <f>IF($A96="","",_xlfn.SUMIFS(Socle!$V$1:$V$448,Socle!$C$1:$C$448,$A96,Socle!$D$1:$D$448,$C96,Socle!$E$1:$E$448,$D96,Socle!$F$1:$F$448,$E96,Socle!$G$1:$G$448,"2026"))</f>
        <v>1.957446808</v>
      </c>
      <c r="N96">
        <f t="shared" si="0"/>
        <v>0</v>
      </c>
      <c r="O96">
        <f>IF($A96="","",_xlfn.SUMIFS(Campagne!$D$1:$D$128,Campagne!$C$1:$C$128,$A96))</f>
        <v>605</v>
      </c>
      <c r="P96">
        <f>IF($A96="","",_xlfn.SUMIFS(Campagne!$E$1:$E$128,Campagne!$C$1:$C$128,$A96))</f>
        <v>581</v>
      </c>
      <c r="Q96">
        <f>IF($A96="","",_xlfn.SUMIFS(Campagne!$F$1:$F$128,Campagne!$C$1:$C$128,$A96))</f>
        <v>1186</v>
      </c>
      <c r="R96">
        <f>IF($A96="","",_xlfn.SUMIFS(Campagne!$K$1:$K$128,Campagne!$C$1:$C$128,$A96))</f>
        <v>0.521803236</v>
      </c>
      <c r="S96">
        <f>IF($A96="","",_xlfn.SUMIFS(Campagne!$M$1:$M$128,Campagne!$C$1:$C$128,$A96))</f>
        <v>0.35585221</v>
      </c>
      <c r="T96">
        <f>IF($A96="","",_xlfn.SUMIFS(PIL!$K$15:$K$28,PIL!$A$15:$A$28,$A96)*_xlfn.SUMIFS(PIL!$J$15:$J$28,PIL!$A$15:$A$28,$A96)*(SUM(PIL!$K$15:$K$28)/SUMPRODUCT(PIL!$K$15:$K$28,PIL!$J$15:$J$28)))</f>
        <v>22083</v>
      </c>
      <c r="U96">
        <f>IF($A96="","",_xlfn.SUMIFS(PIL!$K$15:$K$28,PIL!$A$15:$A$28,$A96))</f>
        <v>22083</v>
      </c>
      <c r="V96" t="s">
        <v>274</v>
      </c>
      <c r="W96" t="s">
        <v>274</v>
      </c>
      <c r="X96" t="s">
        <v>274</v>
      </c>
      <c r="Y96" t="s">
        <v>274</v>
      </c>
      <c r="Z96" t="s">
        <v>274</v>
      </c>
      <c r="AA96" t="s">
        <v>274</v>
      </c>
      <c r="AB96" t="s">
        <v>274</v>
      </c>
      <c r="AC96" t="s">
        <v>274</v>
      </c>
      <c r="AD96" t="e">
        <f t="shared" si="1"/>
        <v>#VALUE!</v>
      </c>
      <c r="AE96">
        <f t="shared" si="2"/>
        <v>0</v>
      </c>
      <c r="AF96" t="e">
        <f t="shared" si="3"/>
        <v>#VALUE!</v>
      </c>
      <c r="AG96" t="e">
        <f t="shared" si="4"/>
        <v>#VALUE!</v>
      </c>
      <c r="AH96" t="e">
        <f t="shared" si="5"/>
        <v>#VALUE!</v>
      </c>
    </row>
    <row r="97" ht="14.25" customHeight="1">
      <c r="A97" t="str">
        <f>IF(Moteur!D97="","",Moteur!D97)</f>
        <v>ISCOM_TLS</v>
      </c>
      <c r="B97" t="str">
        <f>IF(Moteur!B97="","",Moteur!B97)</f>
        <v>V03</v>
      </c>
      <c r="C97" t="str">
        <f>IF(Moteur!F97="","",Moteur!F97)</f>
        <v>BAC_COM</v>
      </c>
      <c r="D97" t="str">
        <f>IF(Moteur!G97="","",Moteur!G97)</f>
        <v>B2</v>
      </c>
      <c r="E97" t="str">
        <f>IF(Moteur!H97="","",Moteur!H97)</f>
        <v>ALT</v>
      </c>
      <c r="F97" t="str">
        <f>IF(Moteur!E97="","",Moteur!E97)</f>
        <v>ISCOM</v>
      </c>
      <c r="G97">
        <f>IF($A97="","",_xlfn.SUMIFS(Socle!$H$1:$H$448,Socle!$C$1:$C$448,$A97,Socle!$D$1:$D$448,$C97,Socle!$E$1:$E$448,$D97,Socle!$F$1:$F$448,$E97,Socle!$G$1:$G$448,"2026"))</f>
        <v>0</v>
      </c>
      <c r="H97">
        <f>IF($A97="","",_xlfn.SUMIFS(Socle!$N$1:$N$448,Socle!$C$1:$C$448,$A97,Socle!$D$1:$D$448,$C97,Socle!$E$1:$E$448,$D97,Socle!$F$1:$F$448,$E97,Socle!$G$1:$G$448,"2026"))</f>
        <v>94</v>
      </c>
      <c r="I97">
        <f>IF($A97="","",_xlfn.SUMIFS(Socle!$P$1:$P$448,Socle!$C$1:$C$448,$A97,Socle!$D$1:$D$448,$C97,Socle!$E$1:$E$448,$D97,Socle!$F$1:$F$448,$E97,Socle!$G$1:$G$448,"2026"))</f>
        <v>13440</v>
      </c>
      <c r="J97">
        <f>IF($A97="","",_xlfn.SUMIFS(Socle!$W$1:$W$448,Socle!$C$1:$C$448,$A97,Socle!$D$1:$D$448,$C97,Socle!$E$1:$E$448,$D97,Socle!$F$1:$F$448,$E97,Socle!$G$1:$G$448,"2026"))</f>
        <v>0</v>
      </c>
      <c r="K97">
        <f>IF($A97="","",_xlfn.SUMIFS(Socle!$X$1:$X$448,Socle!$C$1:$C$448,$A97,Socle!$D$1:$D$448,$C97,Socle!$E$1:$E$448,$D97,Socle!$F$1:$F$448,$E97,Socle!$G$1:$G$448,"2026"))</f>
        <v>0</v>
      </c>
      <c r="L97">
        <f>IF($A97="","",_xlfn.SUMIFS(Socle!$Y$1:$Y$448,Socle!$C$1:$C$448,$A97,Socle!$D$1:$D$448,$C97,Socle!$E$1:$E$448,$D97,Socle!$F$1:$F$448,$E97,Socle!$G$1:$G$448,"2026"))</f>
        <v>0</v>
      </c>
      <c r="M97">
        <f>IF($A97="","",_xlfn.SUMIFS(Socle!$V$1:$V$448,Socle!$C$1:$C$448,$A97,Socle!$D$1:$D$448,$C97,Socle!$E$1:$E$448,$D97,Socle!$F$1:$F$448,$E97,Socle!$G$1:$G$448,"2026"))</f>
        <v>1.957446808</v>
      </c>
      <c r="N97">
        <f t="shared" si="0"/>
        <v>0</v>
      </c>
      <c r="O97">
        <f>IF($A97="","",_xlfn.SUMIFS(Campagne!$D$1:$D$128,Campagne!$C$1:$C$128,$A97))</f>
        <v>605</v>
      </c>
      <c r="P97">
        <f>IF($A97="","",_xlfn.SUMIFS(Campagne!$E$1:$E$128,Campagne!$C$1:$C$128,$A97))</f>
        <v>581</v>
      </c>
      <c r="Q97">
        <f>IF($A97="","",_xlfn.SUMIFS(Campagne!$F$1:$F$128,Campagne!$C$1:$C$128,$A97))</f>
        <v>1186</v>
      </c>
      <c r="R97">
        <f>IF($A97="","",_xlfn.SUMIFS(Campagne!$K$1:$K$128,Campagne!$C$1:$C$128,$A97))</f>
        <v>0.521803236</v>
      </c>
      <c r="S97">
        <f>IF($A97="","",_xlfn.SUMIFS(Campagne!$M$1:$M$128,Campagne!$C$1:$C$128,$A97))</f>
        <v>0.35585221</v>
      </c>
      <c r="T97">
        <f>IF($A97="","",_xlfn.SUMIFS(PIL!$K$15:$K$28,PIL!$A$15:$A$28,$A97)*_xlfn.SUMIFS(PIL!$J$15:$J$28,PIL!$A$15:$A$28,$A97)*(SUM(PIL!$K$15:$K$28)/SUMPRODUCT(PIL!$K$15:$K$28,PIL!$J$15:$J$28)))</f>
        <v>22083</v>
      </c>
      <c r="U97">
        <f>IF($A97="","",_xlfn.SUMIFS(PIL!$K$15:$K$28,PIL!$A$15:$A$28,$A97))</f>
        <v>22083</v>
      </c>
      <c r="V97" t="s">
        <v>274</v>
      </c>
      <c r="W97" t="s">
        <v>274</v>
      </c>
      <c r="X97" t="s">
        <v>274</v>
      </c>
      <c r="Y97" t="s">
        <v>274</v>
      </c>
      <c r="Z97" t="s">
        <v>274</v>
      </c>
      <c r="AA97" t="s">
        <v>274</v>
      </c>
      <c r="AB97" t="s">
        <v>274</v>
      </c>
      <c r="AC97" t="s">
        <v>274</v>
      </c>
      <c r="AD97" t="e">
        <f t="shared" si="1"/>
        <v>#VALUE!</v>
      </c>
      <c r="AE97">
        <f t="shared" si="2"/>
        <v>0</v>
      </c>
      <c r="AF97" t="e">
        <f t="shared" si="3"/>
        <v>#VALUE!</v>
      </c>
      <c r="AG97" t="e">
        <f t="shared" si="4"/>
        <v>#VALUE!</v>
      </c>
      <c r="AH97" t="e">
        <f t="shared" si="5"/>
        <v>#VALUE!</v>
      </c>
    </row>
    <row r="98" ht="14.25" customHeight="1">
      <c r="A98" t="str">
        <f>IF(Moteur!D98="","",Moteur!D98)</f>
        <v>ISCOM_TLS</v>
      </c>
      <c r="B98" t="str">
        <f>IF(Moteur!B98="","",Moteur!B98)</f>
        <v>V01</v>
      </c>
      <c r="C98" t="str">
        <f>IF(Moteur!F98="","",Moteur!F98)</f>
        <v>BAC_COM</v>
      </c>
      <c r="D98" t="str">
        <f>IF(Moteur!G98="","",Moteur!G98)</f>
        <v>B3</v>
      </c>
      <c r="E98" t="str">
        <f>IF(Moteur!H98="","",Moteur!H98)</f>
        <v>ALT</v>
      </c>
      <c r="F98" t="str">
        <f>IF(Moteur!E98="","",Moteur!E98)</f>
        <v>ISCOM</v>
      </c>
      <c r="G98">
        <f>IF($A98="","",_xlfn.SUMIFS(Socle!$H$1:$H$448,Socle!$C$1:$C$448,$A98,Socle!$D$1:$D$448,$C98,Socle!$E$1:$E$448,$D98,Socle!$F$1:$F$448,$E98,Socle!$G$1:$G$448,"2026"))</f>
        <v>0</v>
      </c>
      <c r="H98">
        <f>IF($A98="","",_xlfn.SUMIFS(Socle!$N$1:$N$448,Socle!$C$1:$C$448,$A98,Socle!$D$1:$D$448,$C98,Socle!$E$1:$E$448,$D98,Socle!$F$1:$F$448,$E98,Socle!$G$1:$G$448,"2026"))</f>
        <v>92</v>
      </c>
      <c r="I98">
        <f>IF($A98="","",_xlfn.SUMIFS(Socle!$P$1:$P$448,Socle!$C$1:$C$448,$A98,Socle!$D$1:$D$448,$C98,Socle!$E$1:$E$448,$D98,Socle!$F$1:$F$448,$E98,Socle!$G$1:$G$448,"2026"))</f>
        <v>13440</v>
      </c>
      <c r="J98">
        <f>IF($A98="","",_xlfn.SUMIFS(Socle!$W$1:$W$448,Socle!$C$1:$C$448,$A98,Socle!$D$1:$D$448,$C98,Socle!$E$1:$E$448,$D98,Socle!$F$1:$F$448,$E98,Socle!$G$1:$G$448,"2026"))</f>
        <v>0</v>
      </c>
      <c r="K98">
        <f>IF($A98="","",_xlfn.SUMIFS(Socle!$X$1:$X$448,Socle!$C$1:$C$448,$A98,Socle!$D$1:$D$448,$C98,Socle!$E$1:$E$448,$D98,Socle!$F$1:$F$448,$E98,Socle!$G$1:$G$448,"2026"))</f>
        <v>0</v>
      </c>
      <c r="L98">
        <f>IF($A98="","",_xlfn.SUMIFS(Socle!$Y$1:$Y$448,Socle!$C$1:$C$448,$A98,Socle!$D$1:$D$448,$C98,Socle!$E$1:$E$448,$D98,Socle!$F$1:$F$448,$E98,Socle!$G$1:$G$448,"2026"))</f>
        <v>0</v>
      </c>
      <c r="M98">
        <f>IF($A98="","",_xlfn.SUMIFS(Socle!$V$1:$V$448,Socle!$C$1:$C$448,$A98,Socle!$D$1:$D$448,$C98,Socle!$E$1:$E$448,$D98,Socle!$F$1:$F$448,$E98,Socle!$G$1:$G$448,"2026"))</f>
        <v>1.95652174</v>
      </c>
      <c r="N98">
        <f t="shared" si="0"/>
        <v>0</v>
      </c>
      <c r="O98">
        <f>IF($A98="","",_xlfn.SUMIFS(Campagne!$D$1:$D$128,Campagne!$C$1:$C$128,$A98))</f>
        <v>605</v>
      </c>
      <c r="P98">
        <f>IF($A98="","",_xlfn.SUMIFS(Campagne!$E$1:$E$128,Campagne!$C$1:$C$128,$A98))</f>
        <v>581</v>
      </c>
      <c r="Q98">
        <f>IF($A98="","",_xlfn.SUMIFS(Campagne!$F$1:$F$128,Campagne!$C$1:$C$128,$A98))</f>
        <v>1186</v>
      </c>
      <c r="R98">
        <f>IF($A98="","",_xlfn.SUMIFS(Campagne!$K$1:$K$128,Campagne!$C$1:$C$128,$A98))</f>
        <v>0.521803236</v>
      </c>
      <c r="S98">
        <f>IF($A98="","",_xlfn.SUMIFS(Campagne!$M$1:$M$128,Campagne!$C$1:$C$128,$A98))</f>
        <v>0.35585221</v>
      </c>
      <c r="T98">
        <f>IF($A98="","",_xlfn.SUMIFS(PIL!$K$15:$K$28,PIL!$A$15:$A$28,$A98)*_xlfn.SUMIFS(PIL!$J$15:$J$28,PIL!$A$15:$A$28,$A98)*(SUM(PIL!$K$15:$K$28)/SUMPRODUCT(PIL!$K$15:$K$28,PIL!$J$15:$J$28)))</f>
        <v>22083</v>
      </c>
      <c r="U98">
        <f>IF($A98="","",_xlfn.SUMIFS(PIL!$K$15:$K$28,PIL!$A$15:$A$28,$A98))</f>
        <v>22083</v>
      </c>
      <c r="V98" t="s">
        <v>274</v>
      </c>
      <c r="W98" t="s">
        <v>274</v>
      </c>
      <c r="X98" t="s">
        <v>274</v>
      </c>
      <c r="Y98" t="s">
        <v>274</v>
      </c>
      <c r="Z98" t="s">
        <v>274</v>
      </c>
      <c r="AA98" t="s">
        <v>274</v>
      </c>
      <c r="AB98" t="s">
        <v>274</v>
      </c>
      <c r="AC98" t="s">
        <v>274</v>
      </c>
      <c r="AD98" t="e">
        <f t="shared" si="1"/>
        <v>#VALUE!</v>
      </c>
      <c r="AE98">
        <f t="shared" si="2"/>
        <v>0</v>
      </c>
      <c r="AF98" t="e">
        <f t="shared" si="3"/>
        <v>#VALUE!</v>
      </c>
      <c r="AG98" t="e">
        <f t="shared" si="4"/>
        <v>#VALUE!</v>
      </c>
      <c r="AH98" t="e">
        <f t="shared" si="5"/>
        <v>#VALUE!</v>
      </c>
    </row>
    <row r="99" ht="14.25" customHeight="1">
      <c r="A99" t="str">
        <f>IF(Moteur!D99="","",Moteur!D99)</f>
        <v>ISCOM_TLS</v>
      </c>
      <c r="B99" t="str">
        <f>IF(Moteur!B99="","",Moteur!B99)</f>
        <v>V02</v>
      </c>
      <c r="C99" t="str">
        <f>IF(Moteur!F99="","",Moteur!F99)</f>
        <v>BAC_COM</v>
      </c>
      <c r="D99" t="str">
        <f>IF(Moteur!G99="","",Moteur!G99)</f>
        <v>B3</v>
      </c>
      <c r="E99" t="str">
        <f>IF(Moteur!H99="","",Moteur!H99)</f>
        <v>ALT</v>
      </c>
      <c r="F99" t="str">
        <f>IF(Moteur!E99="","",Moteur!E99)</f>
        <v>ISCOM</v>
      </c>
      <c r="G99">
        <f>IF($A99="","",_xlfn.SUMIFS(Socle!$H$1:$H$448,Socle!$C$1:$C$448,$A99,Socle!$D$1:$D$448,$C99,Socle!$E$1:$E$448,$D99,Socle!$F$1:$F$448,$E99,Socle!$G$1:$G$448,"2026"))</f>
        <v>0</v>
      </c>
      <c r="H99">
        <f>IF($A99="","",_xlfn.SUMIFS(Socle!$N$1:$N$448,Socle!$C$1:$C$448,$A99,Socle!$D$1:$D$448,$C99,Socle!$E$1:$E$448,$D99,Socle!$F$1:$F$448,$E99,Socle!$G$1:$G$448,"2026"))</f>
        <v>92</v>
      </c>
      <c r="I99">
        <f>IF($A99="","",_xlfn.SUMIFS(Socle!$P$1:$P$448,Socle!$C$1:$C$448,$A99,Socle!$D$1:$D$448,$C99,Socle!$E$1:$E$448,$D99,Socle!$F$1:$F$448,$E99,Socle!$G$1:$G$448,"2026"))</f>
        <v>13440</v>
      </c>
      <c r="J99">
        <f>IF($A99="","",_xlfn.SUMIFS(Socle!$W$1:$W$448,Socle!$C$1:$C$448,$A99,Socle!$D$1:$D$448,$C99,Socle!$E$1:$E$448,$D99,Socle!$F$1:$F$448,$E99,Socle!$G$1:$G$448,"2026"))</f>
        <v>0</v>
      </c>
      <c r="K99">
        <f>IF($A99="","",_xlfn.SUMIFS(Socle!$X$1:$X$448,Socle!$C$1:$C$448,$A99,Socle!$D$1:$D$448,$C99,Socle!$E$1:$E$448,$D99,Socle!$F$1:$F$448,$E99,Socle!$G$1:$G$448,"2026"))</f>
        <v>0</v>
      </c>
      <c r="L99">
        <f>IF($A99="","",_xlfn.SUMIFS(Socle!$Y$1:$Y$448,Socle!$C$1:$C$448,$A99,Socle!$D$1:$D$448,$C99,Socle!$E$1:$E$448,$D99,Socle!$F$1:$F$448,$E99,Socle!$G$1:$G$448,"2026"))</f>
        <v>0</v>
      </c>
      <c r="M99">
        <f>IF($A99="","",_xlfn.SUMIFS(Socle!$V$1:$V$448,Socle!$C$1:$C$448,$A99,Socle!$D$1:$D$448,$C99,Socle!$E$1:$E$448,$D99,Socle!$F$1:$F$448,$E99,Socle!$G$1:$G$448,"2026"))</f>
        <v>1.95652174</v>
      </c>
      <c r="N99">
        <f t="shared" si="0"/>
        <v>0</v>
      </c>
      <c r="O99">
        <f>IF($A99="","",_xlfn.SUMIFS(Campagne!$D$1:$D$128,Campagne!$C$1:$C$128,$A99))</f>
        <v>605</v>
      </c>
      <c r="P99">
        <f>IF($A99="","",_xlfn.SUMIFS(Campagne!$E$1:$E$128,Campagne!$C$1:$C$128,$A99))</f>
        <v>581</v>
      </c>
      <c r="Q99">
        <f>IF($A99="","",_xlfn.SUMIFS(Campagne!$F$1:$F$128,Campagne!$C$1:$C$128,$A99))</f>
        <v>1186</v>
      </c>
      <c r="R99">
        <f>IF($A99="","",_xlfn.SUMIFS(Campagne!$K$1:$K$128,Campagne!$C$1:$C$128,$A99))</f>
        <v>0.521803236</v>
      </c>
      <c r="S99">
        <f>IF($A99="","",_xlfn.SUMIFS(Campagne!$M$1:$M$128,Campagne!$C$1:$C$128,$A99))</f>
        <v>0.35585221</v>
      </c>
      <c r="T99">
        <f>IF($A99="","",_xlfn.SUMIFS(PIL!$K$15:$K$28,PIL!$A$15:$A$28,$A99)*_xlfn.SUMIFS(PIL!$J$15:$J$28,PIL!$A$15:$A$28,$A99)*(SUM(PIL!$K$15:$K$28)/SUMPRODUCT(PIL!$K$15:$K$28,PIL!$J$15:$J$28)))</f>
        <v>22083</v>
      </c>
      <c r="U99">
        <f>IF($A99="","",_xlfn.SUMIFS(PIL!$K$15:$K$28,PIL!$A$15:$A$28,$A99))</f>
        <v>22083</v>
      </c>
      <c r="V99" t="s">
        <v>274</v>
      </c>
      <c r="W99" t="s">
        <v>274</v>
      </c>
      <c r="X99" t="s">
        <v>274</v>
      </c>
      <c r="Y99" t="s">
        <v>274</v>
      </c>
      <c r="Z99" t="s">
        <v>274</v>
      </c>
      <c r="AA99" t="s">
        <v>274</v>
      </c>
      <c r="AB99" t="s">
        <v>274</v>
      </c>
      <c r="AC99" t="s">
        <v>274</v>
      </c>
      <c r="AD99" t="e">
        <f t="shared" si="1"/>
        <v>#VALUE!</v>
      </c>
      <c r="AE99">
        <f t="shared" si="2"/>
        <v>0</v>
      </c>
      <c r="AF99" t="e">
        <f t="shared" si="3"/>
        <v>#VALUE!</v>
      </c>
      <c r="AG99" t="e">
        <f t="shared" si="4"/>
        <v>#VALUE!</v>
      </c>
      <c r="AH99" t="e">
        <f t="shared" si="5"/>
        <v>#VALUE!</v>
      </c>
    </row>
    <row r="100" ht="14.25" customHeight="1">
      <c r="A100" t="str">
        <f>IF(Moteur!D100="","",Moteur!D100)</f>
        <v>ISCOM_TLS</v>
      </c>
      <c r="B100" t="str">
        <f>IF(Moteur!B100="","",Moteur!B100)</f>
        <v>V03</v>
      </c>
      <c r="C100" t="str">
        <f>IF(Moteur!F100="","",Moteur!F100)</f>
        <v>BAC_COM</v>
      </c>
      <c r="D100" t="str">
        <f>IF(Moteur!G100="","",Moteur!G100)</f>
        <v>B3</v>
      </c>
      <c r="E100" t="str">
        <f>IF(Moteur!H100="","",Moteur!H100)</f>
        <v>ALT</v>
      </c>
      <c r="F100" t="str">
        <f>IF(Moteur!E100="","",Moteur!E100)</f>
        <v>ISCOM</v>
      </c>
      <c r="G100">
        <f>IF($A100="","",_xlfn.SUMIFS(Socle!$H$1:$H$448,Socle!$C$1:$C$448,$A100,Socle!$D$1:$D$448,$C100,Socle!$E$1:$E$448,$D100,Socle!$F$1:$F$448,$E100,Socle!$G$1:$G$448,"2026"))</f>
        <v>0</v>
      </c>
      <c r="H100">
        <f>IF($A100="","",_xlfn.SUMIFS(Socle!$N$1:$N$448,Socle!$C$1:$C$448,$A100,Socle!$D$1:$D$448,$C100,Socle!$E$1:$E$448,$D100,Socle!$F$1:$F$448,$E100,Socle!$G$1:$G$448,"2026"))</f>
        <v>92</v>
      </c>
      <c r="I100">
        <f>IF($A100="","",_xlfn.SUMIFS(Socle!$P$1:$P$448,Socle!$C$1:$C$448,$A100,Socle!$D$1:$D$448,$C100,Socle!$E$1:$E$448,$D100,Socle!$F$1:$F$448,$E100,Socle!$G$1:$G$448,"2026"))</f>
        <v>13440</v>
      </c>
      <c r="J100">
        <f>IF($A100="","",_xlfn.SUMIFS(Socle!$W$1:$W$448,Socle!$C$1:$C$448,$A100,Socle!$D$1:$D$448,$C100,Socle!$E$1:$E$448,$D100,Socle!$F$1:$F$448,$E100,Socle!$G$1:$G$448,"2026"))</f>
        <v>0</v>
      </c>
      <c r="K100">
        <f>IF($A100="","",_xlfn.SUMIFS(Socle!$X$1:$X$448,Socle!$C$1:$C$448,$A100,Socle!$D$1:$D$448,$C100,Socle!$E$1:$E$448,$D100,Socle!$F$1:$F$448,$E100,Socle!$G$1:$G$448,"2026"))</f>
        <v>0</v>
      </c>
      <c r="L100">
        <f>IF($A100="","",_xlfn.SUMIFS(Socle!$Y$1:$Y$448,Socle!$C$1:$C$448,$A100,Socle!$D$1:$D$448,$C100,Socle!$E$1:$E$448,$D100,Socle!$F$1:$F$448,$E100,Socle!$G$1:$G$448,"2026"))</f>
        <v>0</v>
      </c>
      <c r="M100">
        <f>IF($A100="","",_xlfn.SUMIFS(Socle!$V$1:$V$448,Socle!$C$1:$C$448,$A100,Socle!$D$1:$D$448,$C100,Socle!$E$1:$E$448,$D100,Socle!$F$1:$F$448,$E100,Socle!$G$1:$G$448,"2026"))</f>
        <v>1.95652174</v>
      </c>
      <c r="N100">
        <f t="shared" si="0"/>
        <v>0</v>
      </c>
      <c r="O100">
        <f>IF($A100="","",_xlfn.SUMIFS(Campagne!$D$1:$D$128,Campagne!$C$1:$C$128,$A100))</f>
        <v>605</v>
      </c>
      <c r="P100">
        <f>IF($A100="","",_xlfn.SUMIFS(Campagne!$E$1:$E$128,Campagne!$C$1:$C$128,$A100))</f>
        <v>581</v>
      </c>
      <c r="Q100">
        <f>IF($A100="","",_xlfn.SUMIFS(Campagne!$F$1:$F$128,Campagne!$C$1:$C$128,$A100))</f>
        <v>1186</v>
      </c>
      <c r="R100">
        <f>IF($A100="","",_xlfn.SUMIFS(Campagne!$K$1:$K$128,Campagne!$C$1:$C$128,$A100))</f>
        <v>0.521803236</v>
      </c>
      <c r="S100">
        <f>IF($A100="","",_xlfn.SUMIFS(Campagne!$M$1:$M$128,Campagne!$C$1:$C$128,$A100))</f>
        <v>0.35585221</v>
      </c>
      <c r="T100">
        <f>IF($A100="","",_xlfn.SUMIFS(PIL!$K$15:$K$28,PIL!$A$15:$A$28,$A100)*_xlfn.SUMIFS(PIL!$J$15:$J$28,PIL!$A$15:$A$28,$A100)*(SUM(PIL!$K$15:$K$28)/SUMPRODUCT(PIL!$K$15:$K$28,PIL!$J$15:$J$28)))</f>
        <v>22083</v>
      </c>
      <c r="U100">
        <f>IF($A100="","",_xlfn.SUMIFS(PIL!$K$15:$K$28,PIL!$A$15:$A$28,$A100))</f>
        <v>22083</v>
      </c>
      <c r="V100" t="s">
        <v>274</v>
      </c>
      <c r="W100" t="s">
        <v>274</v>
      </c>
      <c r="X100" t="s">
        <v>274</v>
      </c>
      <c r="Y100" t="s">
        <v>274</v>
      </c>
      <c r="Z100" t="s">
        <v>274</v>
      </c>
      <c r="AA100" t="s">
        <v>274</v>
      </c>
      <c r="AB100" t="s">
        <v>274</v>
      </c>
      <c r="AC100" t="s">
        <v>274</v>
      </c>
      <c r="AD100" t="e">
        <f t="shared" si="1"/>
        <v>#VALUE!</v>
      </c>
      <c r="AE100">
        <f t="shared" si="2"/>
        <v>0</v>
      </c>
      <c r="AF100" t="e">
        <f t="shared" si="3"/>
        <v>#VALUE!</v>
      </c>
      <c r="AG100" t="e">
        <f t="shared" si="4"/>
        <v>#VALUE!</v>
      </c>
      <c r="AH100" t="e">
        <f t="shared" si="5"/>
        <v>#VALUE!</v>
      </c>
    </row>
    <row r="101" ht="14.25" customHeight="1">
      <c r="A101" t="str">
        <f>IF(Moteur!D101="","",Moteur!D101)</f>
        <v>ISCOM_TLS</v>
      </c>
      <c r="B101" t="str">
        <f>IF(Moteur!B101="","",Moteur!B101)</f>
        <v>V01</v>
      </c>
      <c r="C101" t="str">
        <f>IF(Moteur!F101="","",Moteur!F101)</f>
        <v>MAS_COM</v>
      </c>
      <c r="D101" t="str">
        <f>IF(Moteur!G101="","",Moteur!G101)</f>
        <v>M1</v>
      </c>
      <c r="E101" t="str">
        <f>IF(Moteur!H101="","",Moteur!H101)</f>
        <v>ALT</v>
      </c>
      <c r="F101" t="str">
        <f>IF(Moteur!E101="","",Moteur!E101)</f>
        <v>ISCOM</v>
      </c>
      <c r="G101">
        <f>IF($A101="","",_xlfn.SUMIFS(Socle!$H$1:$H$448,Socle!$C$1:$C$448,$A101,Socle!$D$1:$D$448,$C101,Socle!$E$1:$E$448,$D101,Socle!$F$1:$F$448,$E101,Socle!$G$1:$G$448,"2026"))</f>
        <v>1600</v>
      </c>
      <c r="H101">
        <f>IF($A101="","",_xlfn.SUMIFS(Socle!$N$1:$N$448,Socle!$C$1:$C$448,$A101,Socle!$D$1:$D$448,$C101,Socle!$E$1:$E$448,$D101,Socle!$F$1:$F$448,$E101,Socle!$G$1:$G$448,"2026"))</f>
        <v>0</v>
      </c>
      <c r="I101">
        <f>IF($A101="","",_xlfn.SUMIFS(Socle!$P$1:$P$448,Socle!$C$1:$C$448,$A101,Socle!$D$1:$D$448,$C101,Socle!$E$1:$E$448,$D101,Socle!$F$1:$F$448,$E101,Socle!$G$1:$G$448,"2026"))</f>
        <v>14400</v>
      </c>
      <c r="J101">
        <f>IF($A101="","",_xlfn.SUMIFS(Socle!$W$1:$W$448,Socle!$C$1:$C$448,$A101,Socle!$D$1:$D$448,$C101,Socle!$E$1:$E$448,$D101,Socle!$F$1:$F$448,$E101,Socle!$G$1:$G$448,"2026"))</f>
        <v>0.4</v>
      </c>
      <c r="K101">
        <f>IF($A101="","",_xlfn.SUMIFS(Socle!$X$1:$X$448,Socle!$C$1:$C$448,$A101,Socle!$D$1:$D$448,$C101,Socle!$E$1:$E$448,$D101,Socle!$F$1:$F$448,$E101,Socle!$G$1:$G$448,"2026"))</f>
        <v>1.4</v>
      </c>
      <c r="L101">
        <f>IF($A101="","",_xlfn.SUMIFS(Socle!$Y$1:$Y$448,Socle!$C$1:$C$448,$A101,Socle!$D$1:$D$448,$C101,Socle!$E$1:$E$448,$D101,Socle!$F$1:$F$448,$E101,Socle!$G$1:$G$448,"2026"))</f>
        <v>0.839285714</v>
      </c>
      <c r="M101">
        <f>IF($A101="","",_xlfn.SUMIFS(Socle!$V$1:$V$448,Socle!$C$1:$C$448,$A101,Socle!$D$1:$D$448,$C101,Socle!$E$1:$E$448,$D101,Socle!$F$1:$F$448,$E101,Socle!$G$1:$G$448,"2026"))</f>
        <v>0</v>
      </c>
      <c r="N101">
        <f t="shared" si="0"/>
        <v>1</v>
      </c>
      <c r="O101">
        <f>IF($A101="","",_xlfn.SUMIFS(Campagne!$D$1:$D$128,Campagne!$C$1:$C$128,$A101))</f>
        <v>605</v>
      </c>
      <c r="P101">
        <f>IF($A101="","",_xlfn.SUMIFS(Campagne!$E$1:$E$128,Campagne!$C$1:$C$128,$A101))</f>
        <v>581</v>
      </c>
      <c r="Q101">
        <f>IF($A101="","",_xlfn.SUMIFS(Campagne!$F$1:$F$128,Campagne!$C$1:$C$128,$A101))</f>
        <v>1186</v>
      </c>
      <c r="R101">
        <f>IF($A101="","",_xlfn.SUMIFS(Campagne!$K$1:$K$128,Campagne!$C$1:$C$128,$A101))</f>
        <v>0.521803236</v>
      </c>
      <c r="S101">
        <f>IF($A101="","",_xlfn.SUMIFS(Campagne!$M$1:$M$128,Campagne!$C$1:$C$128,$A101))</f>
        <v>0.35585221</v>
      </c>
      <c r="T101">
        <f>IF($A101="","",_xlfn.SUMIFS(PIL!$K$15:$K$28,PIL!$A$15:$A$28,$A101)*_xlfn.SUMIFS(PIL!$J$15:$J$28,PIL!$A$15:$A$28,$A101)*(SUM(PIL!$K$15:$K$28)/SUMPRODUCT(PIL!$K$15:$K$28,PIL!$J$15:$J$28)))</f>
        <v>22083</v>
      </c>
      <c r="U101">
        <f>IF($A101="","",_xlfn.SUMIFS(PIL!$K$15:$K$28,PIL!$A$15:$A$28,$A101))</f>
        <v>22083</v>
      </c>
      <c r="V101" t="s">
        <v>274</v>
      </c>
      <c r="W101" t="s">
        <v>274</v>
      </c>
      <c r="X101" t="s">
        <v>274</v>
      </c>
      <c r="Y101" t="s">
        <v>274</v>
      </c>
      <c r="Z101" t="s">
        <v>274</v>
      </c>
      <c r="AA101" t="s">
        <v>274</v>
      </c>
      <c r="AB101" t="s">
        <v>274</v>
      </c>
      <c r="AC101" t="s">
        <v>274</v>
      </c>
      <c r="AD101" t="e">
        <f t="shared" si="1"/>
        <v>#VALUE!</v>
      </c>
      <c r="AE101" t="e">
        <f t="shared" si="2"/>
        <v>#VALUE!</v>
      </c>
      <c r="AF101" t="e">
        <f t="shared" si="3"/>
        <v>#VALUE!</v>
      </c>
      <c r="AG101" t="e">
        <f t="shared" si="4"/>
        <v>#VALUE!</v>
      </c>
      <c r="AH101" t="e">
        <f t="shared" si="5"/>
        <v>#VALUE!</v>
      </c>
    </row>
    <row r="102" ht="14.25" customHeight="1">
      <c r="A102" t="str">
        <f>IF(Moteur!D102="","",Moteur!D102)</f>
        <v>ISCOM_TLS</v>
      </c>
      <c r="B102" t="str">
        <f>IF(Moteur!B102="","",Moteur!B102)</f>
        <v>V02</v>
      </c>
      <c r="C102" t="str">
        <f>IF(Moteur!F102="","",Moteur!F102)</f>
        <v>MAS_COM</v>
      </c>
      <c r="D102" t="str">
        <f>IF(Moteur!G102="","",Moteur!G102)</f>
        <v>M1</v>
      </c>
      <c r="E102" t="str">
        <f>IF(Moteur!H102="","",Moteur!H102)</f>
        <v>ALT</v>
      </c>
      <c r="F102" t="str">
        <f>IF(Moteur!E102="","",Moteur!E102)</f>
        <v>ISCOM</v>
      </c>
      <c r="G102">
        <f>IF($A102="","",_xlfn.SUMIFS(Socle!$H$1:$H$448,Socle!$C$1:$C$448,$A102,Socle!$D$1:$D$448,$C102,Socle!$E$1:$E$448,$D102,Socle!$F$1:$F$448,$E102,Socle!$G$1:$G$448,"2026"))</f>
        <v>1600</v>
      </c>
      <c r="H102">
        <f>IF($A102="","",_xlfn.SUMIFS(Socle!$N$1:$N$448,Socle!$C$1:$C$448,$A102,Socle!$D$1:$D$448,$C102,Socle!$E$1:$E$448,$D102,Socle!$F$1:$F$448,$E102,Socle!$G$1:$G$448,"2026"))</f>
        <v>0</v>
      </c>
      <c r="I102">
        <f>IF($A102="","",_xlfn.SUMIFS(Socle!$P$1:$P$448,Socle!$C$1:$C$448,$A102,Socle!$D$1:$D$448,$C102,Socle!$E$1:$E$448,$D102,Socle!$F$1:$F$448,$E102,Socle!$G$1:$G$448,"2026"))</f>
        <v>14400</v>
      </c>
      <c r="J102">
        <f>IF($A102="","",_xlfn.SUMIFS(Socle!$W$1:$W$448,Socle!$C$1:$C$448,$A102,Socle!$D$1:$D$448,$C102,Socle!$E$1:$E$448,$D102,Socle!$F$1:$F$448,$E102,Socle!$G$1:$G$448,"2026"))</f>
        <v>0.4</v>
      </c>
      <c r="K102">
        <f>IF($A102="","",_xlfn.SUMIFS(Socle!$X$1:$X$448,Socle!$C$1:$C$448,$A102,Socle!$D$1:$D$448,$C102,Socle!$E$1:$E$448,$D102,Socle!$F$1:$F$448,$E102,Socle!$G$1:$G$448,"2026"))</f>
        <v>1.4</v>
      </c>
      <c r="L102">
        <f>IF($A102="","",_xlfn.SUMIFS(Socle!$Y$1:$Y$448,Socle!$C$1:$C$448,$A102,Socle!$D$1:$D$448,$C102,Socle!$E$1:$E$448,$D102,Socle!$F$1:$F$448,$E102,Socle!$G$1:$G$448,"2026"))</f>
        <v>0.839285714</v>
      </c>
      <c r="M102">
        <f>IF($A102="","",_xlfn.SUMIFS(Socle!$V$1:$V$448,Socle!$C$1:$C$448,$A102,Socle!$D$1:$D$448,$C102,Socle!$E$1:$E$448,$D102,Socle!$F$1:$F$448,$E102,Socle!$G$1:$G$448,"2026"))</f>
        <v>0</v>
      </c>
      <c r="N102">
        <f t="shared" si="0"/>
        <v>1</v>
      </c>
      <c r="O102">
        <f>IF($A102="","",_xlfn.SUMIFS(Campagne!$D$1:$D$128,Campagne!$C$1:$C$128,$A102))</f>
        <v>605</v>
      </c>
      <c r="P102">
        <f>IF($A102="","",_xlfn.SUMIFS(Campagne!$E$1:$E$128,Campagne!$C$1:$C$128,$A102))</f>
        <v>581</v>
      </c>
      <c r="Q102">
        <f>IF($A102="","",_xlfn.SUMIFS(Campagne!$F$1:$F$128,Campagne!$C$1:$C$128,$A102))</f>
        <v>1186</v>
      </c>
      <c r="R102">
        <f>IF($A102="","",_xlfn.SUMIFS(Campagne!$K$1:$K$128,Campagne!$C$1:$C$128,$A102))</f>
        <v>0.521803236</v>
      </c>
      <c r="S102">
        <f>IF($A102="","",_xlfn.SUMIFS(Campagne!$M$1:$M$128,Campagne!$C$1:$C$128,$A102))</f>
        <v>0.35585221</v>
      </c>
      <c r="T102">
        <f>IF($A102="","",_xlfn.SUMIFS(PIL!$K$15:$K$28,PIL!$A$15:$A$28,$A102)*_xlfn.SUMIFS(PIL!$J$15:$J$28,PIL!$A$15:$A$28,$A102)*(SUM(PIL!$K$15:$K$28)/SUMPRODUCT(PIL!$K$15:$K$28,PIL!$J$15:$J$28)))</f>
        <v>22083</v>
      </c>
      <c r="U102">
        <f>IF($A102="","",_xlfn.SUMIFS(PIL!$K$15:$K$28,PIL!$A$15:$A$28,$A102))</f>
        <v>22083</v>
      </c>
      <c r="V102" t="s">
        <v>274</v>
      </c>
      <c r="W102" t="s">
        <v>274</v>
      </c>
      <c r="X102" t="s">
        <v>274</v>
      </c>
      <c r="Y102" t="s">
        <v>274</v>
      </c>
      <c r="Z102" t="s">
        <v>274</v>
      </c>
      <c r="AA102" t="s">
        <v>274</v>
      </c>
      <c r="AB102" t="s">
        <v>274</v>
      </c>
      <c r="AC102" t="s">
        <v>274</v>
      </c>
      <c r="AD102" t="e">
        <f t="shared" si="1"/>
        <v>#VALUE!</v>
      </c>
      <c r="AE102" t="e">
        <f t="shared" si="2"/>
        <v>#VALUE!</v>
      </c>
      <c r="AF102" t="e">
        <f t="shared" si="3"/>
        <v>#VALUE!</v>
      </c>
      <c r="AG102" t="e">
        <f t="shared" si="4"/>
        <v>#VALUE!</v>
      </c>
      <c r="AH102" t="e">
        <f t="shared" si="5"/>
        <v>#VALUE!</v>
      </c>
    </row>
    <row r="103" ht="14.25" customHeight="1">
      <c r="A103" t="str">
        <f>IF(Moteur!D103="","",Moteur!D103)</f>
        <v>ISCOM_TLS</v>
      </c>
      <c r="B103" t="str">
        <f>IF(Moteur!B103="","",Moteur!B103)</f>
        <v>V03</v>
      </c>
      <c r="C103" t="str">
        <f>IF(Moteur!F103="","",Moteur!F103)</f>
        <v>MAS_COM</v>
      </c>
      <c r="D103" t="str">
        <f>IF(Moteur!G103="","",Moteur!G103)</f>
        <v>M1</v>
      </c>
      <c r="E103" t="str">
        <f>IF(Moteur!H103="","",Moteur!H103)</f>
        <v>ALT</v>
      </c>
      <c r="F103" t="str">
        <f>IF(Moteur!E103="","",Moteur!E103)</f>
        <v>ISCOM</v>
      </c>
      <c r="G103">
        <f>IF($A103="","",_xlfn.SUMIFS(Socle!$H$1:$H$448,Socle!$C$1:$C$448,$A103,Socle!$D$1:$D$448,$C103,Socle!$E$1:$E$448,$D103,Socle!$F$1:$F$448,$E103,Socle!$G$1:$G$448,"2026"))</f>
        <v>1600</v>
      </c>
      <c r="H103">
        <f>IF($A103="","",_xlfn.SUMIFS(Socle!$N$1:$N$448,Socle!$C$1:$C$448,$A103,Socle!$D$1:$D$448,$C103,Socle!$E$1:$E$448,$D103,Socle!$F$1:$F$448,$E103,Socle!$G$1:$G$448,"2026"))</f>
        <v>0</v>
      </c>
      <c r="I103">
        <f>IF($A103="","",_xlfn.SUMIFS(Socle!$P$1:$P$448,Socle!$C$1:$C$448,$A103,Socle!$D$1:$D$448,$C103,Socle!$E$1:$E$448,$D103,Socle!$F$1:$F$448,$E103,Socle!$G$1:$G$448,"2026"))</f>
        <v>14400</v>
      </c>
      <c r="J103">
        <f>IF($A103="","",_xlfn.SUMIFS(Socle!$W$1:$W$448,Socle!$C$1:$C$448,$A103,Socle!$D$1:$D$448,$C103,Socle!$E$1:$E$448,$D103,Socle!$F$1:$F$448,$E103,Socle!$G$1:$G$448,"2026"))</f>
        <v>0.4</v>
      </c>
      <c r="K103">
        <f>IF($A103="","",_xlfn.SUMIFS(Socle!$X$1:$X$448,Socle!$C$1:$C$448,$A103,Socle!$D$1:$D$448,$C103,Socle!$E$1:$E$448,$D103,Socle!$F$1:$F$448,$E103,Socle!$G$1:$G$448,"2026"))</f>
        <v>1.4</v>
      </c>
      <c r="L103">
        <f>IF($A103="","",_xlfn.SUMIFS(Socle!$Y$1:$Y$448,Socle!$C$1:$C$448,$A103,Socle!$D$1:$D$448,$C103,Socle!$E$1:$E$448,$D103,Socle!$F$1:$F$448,$E103,Socle!$G$1:$G$448,"2026"))</f>
        <v>0.839285714</v>
      </c>
      <c r="M103">
        <f>IF($A103="","",_xlfn.SUMIFS(Socle!$V$1:$V$448,Socle!$C$1:$C$448,$A103,Socle!$D$1:$D$448,$C103,Socle!$E$1:$E$448,$D103,Socle!$F$1:$F$448,$E103,Socle!$G$1:$G$448,"2026"))</f>
        <v>0</v>
      </c>
      <c r="N103">
        <f t="shared" si="0"/>
        <v>1</v>
      </c>
      <c r="O103">
        <f>IF($A103="","",_xlfn.SUMIFS(Campagne!$D$1:$D$128,Campagne!$C$1:$C$128,$A103))</f>
        <v>605</v>
      </c>
      <c r="P103">
        <f>IF($A103="","",_xlfn.SUMIFS(Campagne!$E$1:$E$128,Campagne!$C$1:$C$128,$A103))</f>
        <v>581</v>
      </c>
      <c r="Q103">
        <f>IF($A103="","",_xlfn.SUMIFS(Campagne!$F$1:$F$128,Campagne!$C$1:$C$128,$A103))</f>
        <v>1186</v>
      </c>
      <c r="R103">
        <f>IF($A103="","",_xlfn.SUMIFS(Campagne!$K$1:$K$128,Campagne!$C$1:$C$128,$A103))</f>
        <v>0.521803236</v>
      </c>
      <c r="S103">
        <f>IF($A103="","",_xlfn.SUMIFS(Campagne!$M$1:$M$128,Campagne!$C$1:$C$128,$A103))</f>
        <v>0.35585221</v>
      </c>
      <c r="T103">
        <f>IF($A103="","",_xlfn.SUMIFS(PIL!$K$15:$K$28,PIL!$A$15:$A$28,$A103)*_xlfn.SUMIFS(PIL!$J$15:$J$28,PIL!$A$15:$A$28,$A103)*(SUM(PIL!$K$15:$K$28)/SUMPRODUCT(PIL!$K$15:$K$28,PIL!$J$15:$J$28)))</f>
        <v>22083</v>
      </c>
      <c r="U103">
        <f>IF($A103="","",_xlfn.SUMIFS(PIL!$K$15:$K$28,PIL!$A$15:$A$28,$A103))</f>
        <v>22083</v>
      </c>
      <c r="V103" t="s">
        <v>274</v>
      </c>
      <c r="W103" t="s">
        <v>274</v>
      </c>
      <c r="X103" t="s">
        <v>274</v>
      </c>
      <c r="Y103" t="s">
        <v>274</v>
      </c>
      <c r="Z103" t="s">
        <v>274</v>
      </c>
      <c r="AA103" t="s">
        <v>274</v>
      </c>
      <c r="AB103" t="s">
        <v>274</v>
      </c>
      <c r="AC103" t="s">
        <v>274</v>
      </c>
      <c r="AD103" t="e">
        <f t="shared" si="1"/>
        <v>#VALUE!</v>
      </c>
      <c r="AE103" t="e">
        <f t="shared" si="2"/>
        <v>#VALUE!</v>
      </c>
      <c r="AF103" t="e">
        <f t="shared" si="3"/>
        <v>#VALUE!</v>
      </c>
      <c r="AG103" t="e">
        <f t="shared" si="4"/>
        <v>#VALUE!</v>
      </c>
      <c r="AH103" t="e">
        <f t="shared" si="5"/>
        <v>#VALUE!</v>
      </c>
    </row>
    <row r="104" ht="14.25" customHeight="1">
      <c r="A104" t="str">
        <f>IF(Moteur!D104="","",Moteur!D104)</f>
        <v>ISCOM_TLS</v>
      </c>
      <c r="B104" t="str">
        <f>IF(Moteur!B104="","",Moteur!B104)</f>
        <v>V01</v>
      </c>
      <c r="C104" t="str">
        <f>IF(Moteur!F104="","",Moteur!F104)</f>
        <v>MAS_COM</v>
      </c>
      <c r="D104" t="str">
        <f>IF(Moteur!G104="","",Moteur!G104)</f>
        <v>M2</v>
      </c>
      <c r="E104" t="str">
        <f>IF(Moteur!H104="","",Moteur!H104)</f>
        <v>ALT</v>
      </c>
      <c r="F104" t="str">
        <f>IF(Moteur!E104="","",Moteur!E104)</f>
        <v>ISCOM</v>
      </c>
      <c r="G104">
        <f>IF($A104="","",_xlfn.SUMIFS(Socle!$H$1:$H$448,Socle!$C$1:$C$448,$A104,Socle!$D$1:$D$448,$C104,Socle!$E$1:$E$448,$D104,Socle!$F$1:$F$448,$E104,Socle!$G$1:$G$448,"2026"))</f>
        <v>0</v>
      </c>
      <c r="H104">
        <f>IF($A104="","",_xlfn.SUMIFS(Socle!$N$1:$N$448,Socle!$C$1:$C$448,$A104,Socle!$D$1:$D$448,$C104,Socle!$E$1:$E$448,$D104,Socle!$F$1:$F$448,$E104,Socle!$G$1:$G$448,"2026"))</f>
        <v>94</v>
      </c>
      <c r="I104">
        <f>IF($A104="","",_xlfn.SUMIFS(Socle!$P$1:$P$448,Socle!$C$1:$C$448,$A104,Socle!$D$1:$D$448,$C104,Socle!$E$1:$E$448,$D104,Socle!$F$1:$F$448,$E104,Socle!$G$1:$G$448,"2026"))</f>
        <v>14400</v>
      </c>
      <c r="J104">
        <f>IF($A104="","",_xlfn.SUMIFS(Socle!$W$1:$W$448,Socle!$C$1:$C$448,$A104,Socle!$D$1:$D$448,$C104,Socle!$E$1:$E$448,$D104,Socle!$F$1:$F$448,$E104,Socle!$G$1:$G$448,"2026"))</f>
        <v>0</v>
      </c>
      <c r="K104">
        <f>IF($A104="","",_xlfn.SUMIFS(Socle!$X$1:$X$448,Socle!$C$1:$C$448,$A104,Socle!$D$1:$D$448,$C104,Socle!$E$1:$E$448,$D104,Socle!$F$1:$F$448,$E104,Socle!$G$1:$G$448,"2026"))</f>
        <v>0</v>
      </c>
      <c r="L104">
        <f>IF($A104="","",_xlfn.SUMIFS(Socle!$Y$1:$Y$448,Socle!$C$1:$C$448,$A104,Socle!$D$1:$D$448,$C104,Socle!$E$1:$E$448,$D104,Socle!$F$1:$F$448,$E104,Socle!$G$1:$G$448,"2026"))</f>
        <v>0</v>
      </c>
      <c r="M104">
        <f>IF($A104="","",_xlfn.SUMIFS(Socle!$V$1:$V$448,Socle!$C$1:$C$448,$A104,Socle!$D$1:$D$448,$C104,Socle!$E$1:$E$448,$D104,Socle!$F$1:$F$448,$E104,Socle!$G$1:$G$448,"2026"))</f>
        <v>1.957446808</v>
      </c>
      <c r="N104">
        <f t="shared" si="0"/>
        <v>0</v>
      </c>
      <c r="O104">
        <f>IF($A104="","",_xlfn.SUMIFS(Campagne!$D$1:$D$128,Campagne!$C$1:$C$128,$A104))</f>
        <v>605</v>
      </c>
      <c r="P104">
        <f>IF($A104="","",_xlfn.SUMIFS(Campagne!$E$1:$E$128,Campagne!$C$1:$C$128,$A104))</f>
        <v>581</v>
      </c>
      <c r="Q104">
        <f>IF($A104="","",_xlfn.SUMIFS(Campagne!$F$1:$F$128,Campagne!$C$1:$C$128,$A104))</f>
        <v>1186</v>
      </c>
      <c r="R104">
        <f>IF($A104="","",_xlfn.SUMIFS(Campagne!$K$1:$K$128,Campagne!$C$1:$C$128,$A104))</f>
        <v>0.521803236</v>
      </c>
      <c r="S104">
        <f>IF($A104="","",_xlfn.SUMIFS(Campagne!$M$1:$M$128,Campagne!$C$1:$C$128,$A104))</f>
        <v>0.35585221</v>
      </c>
      <c r="T104">
        <f>IF($A104="","",_xlfn.SUMIFS(PIL!$K$15:$K$28,PIL!$A$15:$A$28,$A104)*_xlfn.SUMIFS(PIL!$J$15:$J$28,PIL!$A$15:$A$28,$A104)*(SUM(PIL!$K$15:$K$28)/SUMPRODUCT(PIL!$K$15:$K$28,PIL!$J$15:$J$28)))</f>
        <v>22083</v>
      </c>
      <c r="U104">
        <f>IF($A104="","",_xlfn.SUMIFS(PIL!$K$15:$K$28,PIL!$A$15:$A$28,$A104))</f>
        <v>22083</v>
      </c>
      <c r="V104" t="s">
        <v>274</v>
      </c>
      <c r="W104" t="s">
        <v>274</v>
      </c>
      <c r="X104" t="s">
        <v>274</v>
      </c>
      <c r="Y104" t="s">
        <v>274</v>
      </c>
      <c r="Z104" t="s">
        <v>274</v>
      </c>
      <c r="AA104" t="s">
        <v>274</v>
      </c>
      <c r="AB104" t="s">
        <v>274</v>
      </c>
      <c r="AC104" t="s">
        <v>274</v>
      </c>
      <c r="AD104" t="e">
        <f t="shared" si="1"/>
        <v>#VALUE!</v>
      </c>
      <c r="AE104">
        <f t="shared" si="2"/>
        <v>0</v>
      </c>
      <c r="AF104" t="e">
        <f t="shared" si="3"/>
        <v>#VALUE!</v>
      </c>
      <c r="AG104" t="e">
        <f t="shared" si="4"/>
        <v>#VALUE!</v>
      </c>
      <c r="AH104" t="e">
        <f t="shared" si="5"/>
        <v>#VALUE!</v>
      </c>
    </row>
    <row r="105" ht="14.25" customHeight="1">
      <c r="A105" t="str">
        <f>IF(Moteur!D105="","",Moteur!D105)</f>
        <v>ISCOM_TLS</v>
      </c>
      <c r="B105" t="str">
        <f>IF(Moteur!B105="","",Moteur!B105)</f>
        <v>V02</v>
      </c>
      <c r="C105" t="str">
        <f>IF(Moteur!F105="","",Moteur!F105)</f>
        <v>MAS_COM</v>
      </c>
      <c r="D105" t="str">
        <f>IF(Moteur!G105="","",Moteur!G105)</f>
        <v>M2</v>
      </c>
      <c r="E105" t="str">
        <f>IF(Moteur!H105="","",Moteur!H105)</f>
        <v>ALT</v>
      </c>
      <c r="F105" t="str">
        <f>IF(Moteur!E105="","",Moteur!E105)</f>
        <v>ISCOM</v>
      </c>
      <c r="G105">
        <f>IF($A105="","",_xlfn.SUMIFS(Socle!$H$1:$H$448,Socle!$C$1:$C$448,$A105,Socle!$D$1:$D$448,$C105,Socle!$E$1:$E$448,$D105,Socle!$F$1:$F$448,$E105,Socle!$G$1:$G$448,"2026"))</f>
        <v>0</v>
      </c>
      <c r="H105">
        <f>IF($A105="","",_xlfn.SUMIFS(Socle!$N$1:$N$448,Socle!$C$1:$C$448,$A105,Socle!$D$1:$D$448,$C105,Socle!$E$1:$E$448,$D105,Socle!$F$1:$F$448,$E105,Socle!$G$1:$G$448,"2026"))</f>
        <v>94</v>
      </c>
      <c r="I105">
        <f>IF($A105="","",_xlfn.SUMIFS(Socle!$P$1:$P$448,Socle!$C$1:$C$448,$A105,Socle!$D$1:$D$448,$C105,Socle!$E$1:$E$448,$D105,Socle!$F$1:$F$448,$E105,Socle!$G$1:$G$448,"2026"))</f>
        <v>14400</v>
      </c>
      <c r="J105">
        <f>IF($A105="","",_xlfn.SUMIFS(Socle!$W$1:$W$448,Socle!$C$1:$C$448,$A105,Socle!$D$1:$D$448,$C105,Socle!$E$1:$E$448,$D105,Socle!$F$1:$F$448,$E105,Socle!$G$1:$G$448,"2026"))</f>
        <v>0</v>
      </c>
      <c r="K105">
        <f>IF($A105="","",_xlfn.SUMIFS(Socle!$X$1:$X$448,Socle!$C$1:$C$448,$A105,Socle!$D$1:$D$448,$C105,Socle!$E$1:$E$448,$D105,Socle!$F$1:$F$448,$E105,Socle!$G$1:$G$448,"2026"))</f>
        <v>0</v>
      </c>
      <c r="L105">
        <f>IF($A105="","",_xlfn.SUMIFS(Socle!$Y$1:$Y$448,Socle!$C$1:$C$448,$A105,Socle!$D$1:$D$448,$C105,Socle!$E$1:$E$448,$D105,Socle!$F$1:$F$448,$E105,Socle!$G$1:$G$448,"2026"))</f>
        <v>0</v>
      </c>
      <c r="M105">
        <f>IF($A105="","",_xlfn.SUMIFS(Socle!$V$1:$V$448,Socle!$C$1:$C$448,$A105,Socle!$D$1:$D$448,$C105,Socle!$E$1:$E$448,$D105,Socle!$F$1:$F$448,$E105,Socle!$G$1:$G$448,"2026"))</f>
        <v>1.957446808</v>
      </c>
      <c r="N105">
        <f t="shared" si="0"/>
        <v>0</v>
      </c>
      <c r="O105">
        <f>IF($A105="","",_xlfn.SUMIFS(Campagne!$D$1:$D$128,Campagne!$C$1:$C$128,$A105))</f>
        <v>605</v>
      </c>
      <c r="P105">
        <f>IF($A105="","",_xlfn.SUMIFS(Campagne!$E$1:$E$128,Campagne!$C$1:$C$128,$A105))</f>
        <v>581</v>
      </c>
      <c r="Q105">
        <f>IF($A105="","",_xlfn.SUMIFS(Campagne!$F$1:$F$128,Campagne!$C$1:$C$128,$A105))</f>
        <v>1186</v>
      </c>
      <c r="R105">
        <f>IF($A105="","",_xlfn.SUMIFS(Campagne!$K$1:$K$128,Campagne!$C$1:$C$128,$A105))</f>
        <v>0.521803236</v>
      </c>
      <c r="S105">
        <f>IF($A105="","",_xlfn.SUMIFS(Campagne!$M$1:$M$128,Campagne!$C$1:$C$128,$A105))</f>
        <v>0.35585221</v>
      </c>
      <c r="T105">
        <f>IF($A105="","",_xlfn.SUMIFS(PIL!$K$15:$K$28,PIL!$A$15:$A$28,$A105)*_xlfn.SUMIFS(PIL!$J$15:$J$28,PIL!$A$15:$A$28,$A105)*(SUM(PIL!$K$15:$K$28)/SUMPRODUCT(PIL!$K$15:$K$28,PIL!$J$15:$J$28)))</f>
        <v>22083</v>
      </c>
      <c r="U105">
        <f>IF($A105="","",_xlfn.SUMIFS(PIL!$K$15:$K$28,PIL!$A$15:$A$28,$A105))</f>
        <v>22083</v>
      </c>
      <c r="V105" t="s">
        <v>274</v>
      </c>
      <c r="W105" t="s">
        <v>274</v>
      </c>
      <c r="X105" t="s">
        <v>274</v>
      </c>
      <c r="Y105" t="s">
        <v>274</v>
      </c>
      <c r="Z105" t="s">
        <v>274</v>
      </c>
      <c r="AA105" t="s">
        <v>274</v>
      </c>
      <c r="AB105" t="s">
        <v>274</v>
      </c>
      <c r="AC105" t="s">
        <v>274</v>
      </c>
      <c r="AD105" t="e">
        <f t="shared" si="1"/>
        <v>#VALUE!</v>
      </c>
      <c r="AE105">
        <f t="shared" si="2"/>
        <v>0</v>
      </c>
      <c r="AF105" t="e">
        <f t="shared" si="3"/>
        <v>#VALUE!</v>
      </c>
      <c r="AG105" t="e">
        <f t="shared" si="4"/>
        <v>#VALUE!</v>
      </c>
      <c r="AH105" t="e">
        <f t="shared" si="5"/>
        <v>#VALUE!</v>
      </c>
    </row>
    <row r="106" ht="14.25" customHeight="1">
      <c r="A106" t="str">
        <f>IF(Moteur!D106="","",Moteur!D106)</f>
        <v>ISCOM_TLS</v>
      </c>
      <c r="B106" t="str">
        <f>IF(Moteur!B106="","",Moteur!B106)</f>
        <v>V03</v>
      </c>
      <c r="C106" t="str">
        <f>IF(Moteur!F106="","",Moteur!F106)</f>
        <v>MAS_COM</v>
      </c>
      <c r="D106" t="str">
        <f>IF(Moteur!G106="","",Moteur!G106)</f>
        <v>M2</v>
      </c>
      <c r="E106" t="str">
        <f>IF(Moteur!H106="","",Moteur!H106)</f>
        <v>ALT</v>
      </c>
      <c r="F106" t="str">
        <f>IF(Moteur!E106="","",Moteur!E106)</f>
        <v>ISCOM</v>
      </c>
      <c r="G106">
        <f>IF($A106="","",_xlfn.SUMIFS(Socle!$H$1:$H$448,Socle!$C$1:$C$448,$A106,Socle!$D$1:$D$448,$C106,Socle!$E$1:$E$448,$D106,Socle!$F$1:$F$448,$E106,Socle!$G$1:$G$448,"2026"))</f>
        <v>0</v>
      </c>
      <c r="H106">
        <f>IF($A106="","",_xlfn.SUMIFS(Socle!$N$1:$N$448,Socle!$C$1:$C$448,$A106,Socle!$D$1:$D$448,$C106,Socle!$E$1:$E$448,$D106,Socle!$F$1:$F$448,$E106,Socle!$G$1:$G$448,"2026"))</f>
        <v>94</v>
      </c>
      <c r="I106">
        <f>IF($A106="","",_xlfn.SUMIFS(Socle!$P$1:$P$448,Socle!$C$1:$C$448,$A106,Socle!$D$1:$D$448,$C106,Socle!$E$1:$E$448,$D106,Socle!$F$1:$F$448,$E106,Socle!$G$1:$G$448,"2026"))</f>
        <v>14400</v>
      </c>
      <c r="J106">
        <f>IF($A106="","",_xlfn.SUMIFS(Socle!$W$1:$W$448,Socle!$C$1:$C$448,$A106,Socle!$D$1:$D$448,$C106,Socle!$E$1:$E$448,$D106,Socle!$F$1:$F$448,$E106,Socle!$G$1:$G$448,"2026"))</f>
        <v>0</v>
      </c>
      <c r="K106">
        <f>IF($A106="","",_xlfn.SUMIFS(Socle!$X$1:$X$448,Socle!$C$1:$C$448,$A106,Socle!$D$1:$D$448,$C106,Socle!$E$1:$E$448,$D106,Socle!$F$1:$F$448,$E106,Socle!$G$1:$G$448,"2026"))</f>
        <v>0</v>
      </c>
      <c r="L106">
        <f>IF($A106="","",_xlfn.SUMIFS(Socle!$Y$1:$Y$448,Socle!$C$1:$C$448,$A106,Socle!$D$1:$D$448,$C106,Socle!$E$1:$E$448,$D106,Socle!$F$1:$F$448,$E106,Socle!$G$1:$G$448,"2026"))</f>
        <v>0</v>
      </c>
      <c r="M106">
        <f>IF($A106="","",_xlfn.SUMIFS(Socle!$V$1:$V$448,Socle!$C$1:$C$448,$A106,Socle!$D$1:$D$448,$C106,Socle!$E$1:$E$448,$D106,Socle!$F$1:$F$448,$E106,Socle!$G$1:$G$448,"2026"))</f>
        <v>1.957446808</v>
      </c>
      <c r="N106">
        <f t="shared" si="0"/>
        <v>0</v>
      </c>
      <c r="O106">
        <f>IF($A106="","",_xlfn.SUMIFS(Campagne!$D$1:$D$128,Campagne!$C$1:$C$128,$A106))</f>
        <v>605</v>
      </c>
      <c r="P106">
        <f>IF($A106="","",_xlfn.SUMIFS(Campagne!$E$1:$E$128,Campagne!$C$1:$C$128,$A106))</f>
        <v>581</v>
      </c>
      <c r="Q106">
        <f>IF($A106="","",_xlfn.SUMIFS(Campagne!$F$1:$F$128,Campagne!$C$1:$C$128,$A106))</f>
        <v>1186</v>
      </c>
      <c r="R106">
        <f>IF($A106="","",_xlfn.SUMIFS(Campagne!$K$1:$K$128,Campagne!$C$1:$C$128,$A106))</f>
        <v>0.521803236</v>
      </c>
      <c r="S106">
        <f>IF($A106="","",_xlfn.SUMIFS(Campagne!$M$1:$M$128,Campagne!$C$1:$C$128,$A106))</f>
        <v>0.35585221</v>
      </c>
      <c r="T106">
        <f>IF($A106="","",_xlfn.SUMIFS(PIL!$K$15:$K$28,PIL!$A$15:$A$28,$A106)*_xlfn.SUMIFS(PIL!$J$15:$J$28,PIL!$A$15:$A$28,$A106)*(SUM(PIL!$K$15:$K$28)/SUMPRODUCT(PIL!$K$15:$K$28,PIL!$J$15:$J$28)))</f>
        <v>22083</v>
      </c>
      <c r="U106">
        <f>IF($A106="","",_xlfn.SUMIFS(PIL!$K$15:$K$28,PIL!$A$15:$A$28,$A106))</f>
        <v>22083</v>
      </c>
      <c r="V106" t="s">
        <v>274</v>
      </c>
      <c r="W106" t="s">
        <v>274</v>
      </c>
      <c r="X106" t="s">
        <v>274</v>
      </c>
      <c r="Y106" t="s">
        <v>274</v>
      </c>
      <c r="Z106" t="s">
        <v>274</v>
      </c>
      <c r="AA106" t="s">
        <v>274</v>
      </c>
      <c r="AB106" t="s">
        <v>274</v>
      </c>
      <c r="AC106" t="s">
        <v>274</v>
      </c>
      <c r="AD106" t="e">
        <f t="shared" si="1"/>
        <v>#VALUE!</v>
      </c>
      <c r="AE106">
        <f t="shared" si="2"/>
        <v>0</v>
      </c>
      <c r="AF106" t="e">
        <f t="shared" si="3"/>
        <v>#VALUE!</v>
      </c>
      <c r="AG106" t="e">
        <f t="shared" si="4"/>
        <v>#VALUE!</v>
      </c>
      <c r="AH106" t="e">
        <f t="shared" si="5"/>
        <v>#VALUE!</v>
      </c>
    </row>
    <row r="107" ht="14.25" customHeight="1">
      <c r="A107" t="str">
        <f>IF(Moteur!D107="","",Moteur!D107)</f>
        <v>IPAC_NAN</v>
      </c>
      <c r="B107" t="str">
        <f>IF(Moteur!B107="","",Moteur!B107)</f>
        <v>V01</v>
      </c>
      <c r="C107" t="str">
        <f>IF(Moteur!F107="","",Moteur!F107)</f>
        <v>BAC_CCE</v>
      </c>
      <c r="D107" t="str">
        <f>IF(Moteur!G107="","",Moteur!G107)</f>
        <v>B1</v>
      </c>
      <c r="E107" t="str">
        <f>IF(Moteur!H107="","",Moteur!H107)</f>
        <v>ALT</v>
      </c>
      <c r="F107" t="str">
        <f>IF(Moteur!E107="","",Moteur!E107)</f>
        <v>IPAC</v>
      </c>
      <c r="G107">
        <f>IF($A107="","",_xlfn.SUMIFS(Socle!$H$1:$H$448,Socle!$C$1:$C$448,$A107,Socle!$D$1:$D$448,$C107,Socle!$E$1:$E$448,$D107,Socle!$F$1:$F$448,$E107,Socle!$G$1:$G$448,"2026"))</f>
        <v>1700</v>
      </c>
      <c r="H107">
        <f>IF($A107="","",_xlfn.SUMIFS(Socle!$N$1:$N$448,Socle!$C$1:$C$448,$A107,Socle!$D$1:$D$448,$C107,Socle!$E$1:$E$448,$D107,Socle!$F$1:$F$448,$E107,Socle!$G$1:$G$448,"2026"))</f>
        <v>0</v>
      </c>
      <c r="I107">
        <f>IF($A107="","",_xlfn.SUMIFS(Socle!$P$1:$P$448,Socle!$C$1:$C$448,$A107,Socle!$D$1:$D$448,$C107,Socle!$E$1:$E$448,$D107,Socle!$F$1:$F$448,$E107,Socle!$G$1:$G$448,"2026"))</f>
        <v>14000</v>
      </c>
      <c r="J107">
        <f>IF($A107="","",_xlfn.SUMIFS(Socle!$W$1:$W$448,Socle!$C$1:$C$448,$A107,Socle!$D$1:$D$448,$C107,Socle!$E$1:$E$448,$D107,Socle!$F$1:$F$448,$E107,Socle!$G$1:$G$448,"2026"))</f>
        <v>0.4</v>
      </c>
      <c r="K107">
        <f>IF($A107="","",_xlfn.SUMIFS(Socle!$X$1:$X$448,Socle!$C$1:$C$448,$A107,Socle!$D$1:$D$448,$C107,Socle!$E$1:$E$448,$D107,Socle!$F$1:$F$448,$E107,Socle!$G$1:$G$448,"2026"))</f>
        <v>1.4</v>
      </c>
      <c r="L107">
        <f>IF($A107="","",_xlfn.SUMIFS(Socle!$Y$1:$Y$448,Socle!$C$1:$C$448,$A107,Socle!$D$1:$D$448,$C107,Socle!$E$1:$E$448,$D107,Socle!$F$1:$F$448,$E107,Socle!$G$1:$G$448,"2026"))</f>
        <v>0.840336134</v>
      </c>
      <c r="M107">
        <f>IF($A107="","",_xlfn.SUMIFS(Socle!$V$1:$V$448,Socle!$C$1:$C$448,$A107,Socle!$D$1:$D$448,$C107,Socle!$E$1:$E$448,$D107,Socle!$F$1:$F$448,$E107,Socle!$G$1:$G$448,"2026"))</f>
        <v>0</v>
      </c>
      <c r="N107">
        <f t="shared" si="0"/>
        <v>1</v>
      </c>
      <c r="O107">
        <f>IF($A107="","",_xlfn.SUMIFS(Campagne!$D$1:$D$128,Campagne!$C$1:$C$128,$A107))</f>
        <v>306</v>
      </c>
      <c r="P107">
        <f>IF($A107="","",_xlfn.SUMIFS(Campagne!$E$1:$E$128,Campagne!$C$1:$C$128,$A107))</f>
        <v>544</v>
      </c>
      <c r="Q107">
        <f>IF($A107="","",_xlfn.SUMIFS(Campagne!$F$1:$F$128,Campagne!$C$1:$C$128,$A107))</f>
        <v>850</v>
      </c>
      <c r="R107">
        <f>IF($A107="","",_xlfn.SUMIFS(Campagne!$K$1:$K$128,Campagne!$C$1:$C$128,$A107))</f>
        <v>0.559080428</v>
      </c>
      <c r="S107">
        <f>IF($A107="","",_xlfn.SUMIFS(Campagne!$M$1:$M$128,Campagne!$C$1:$C$128,$A107))</f>
        <v>0.304912264</v>
      </c>
      <c r="T107">
        <f>IF($A107="","",_xlfn.SUMIFS(PIL!$K$15:$K$28,PIL!$A$15:$A$28,$A107)*_xlfn.SUMIFS(PIL!$J$15:$J$28,PIL!$A$15:$A$28,$A107)*(SUM(PIL!$K$15:$K$28)/SUMPRODUCT(PIL!$K$15:$K$28,PIL!$J$15:$J$28)))</f>
        <v>21760</v>
      </c>
      <c r="U107">
        <f>IF($A107="","",_xlfn.SUMIFS(PIL!$K$15:$K$28,PIL!$A$15:$A$28,$A107))</f>
        <v>21760</v>
      </c>
      <c r="V107" t="s">
        <v>274</v>
      </c>
      <c r="W107" t="s">
        <v>274</v>
      </c>
      <c r="X107" t="s">
        <v>274</v>
      </c>
      <c r="Y107" t="s">
        <v>274</v>
      </c>
      <c r="Z107" t="s">
        <v>274</v>
      </c>
      <c r="AA107" t="s">
        <v>274</v>
      </c>
      <c r="AB107" t="s">
        <v>274</v>
      </c>
      <c r="AC107" t="s">
        <v>274</v>
      </c>
      <c r="AD107" t="e">
        <f t="shared" si="1"/>
        <v>#VALUE!</v>
      </c>
      <c r="AE107" t="e">
        <f t="shared" si="2"/>
        <v>#VALUE!</v>
      </c>
      <c r="AF107" t="e">
        <f t="shared" si="3"/>
        <v>#VALUE!</v>
      </c>
      <c r="AG107" t="e">
        <f t="shared" si="4"/>
        <v>#VALUE!</v>
      </c>
      <c r="AH107" t="e">
        <f t="shared" si="5"/>
        <v>#VALUE!</v>
      </c>
    </row>
    <row r="108" ht="14.25" customHeight="1">
      <c r="A108" t="str">
        <f>IF(Moteur!D108="","",Moteur!D108)</f>
        <v>IPAC_NAN</v>
      </c>
      <c r="B108" t="str">
        <f>IF(Moteur!B108="","",Moteur!B108)</f>
        <v>V02</v>
      </c>
      <c r="C108" t="str">
        <f>IF(Moteur!F108="","",Moteur!F108)</f>
        <v>BAC_CCE</v>
      </c>
      <c r="D108" t="str">
        <f>IF(Moteur!G108="","",Moteur!G108)</f>
        <v>B1</v>
      </c>
      <c r="E108" t="str">
        <f>IF(Moteur!H108="","",Moteur!H108)</f>
        <v>ALT</v>
      </c>
      <c r="F108" t="str">
        <f>IF(Moteur!E108="","",Moteur!E108)</f>
        <v>IPAC</v>
      </c>
      <c r="G108">
        <f>IF($A108="","",_xlfn.SUMIFS(Socle!$H$1:$H$448,Socle!$C$1:$C$448,$A108,Socle!$D$1:$D$448,$C108,Socle!$E$1:$E$448,$D108,Socle!$F$1:$F$448,$E108,Socle!$G$1:$G$448,"2026"))</f>
        <v>1700</v>
      </c>
      <c r="H108">
        <f>IF($A108="","",_xlfn.SUMIFS(Socle!$N$1:$N$448,Socle!$C$1:$C$448,$A108,Socle!$D$1:$D$448,$C108,Socle!$E$1:$E$448,$D108,Socle!$F$1:$F$448,$E108,Socle!$G$1:$G$448,"2026"))</f>
        <v>0</v>
      </c>
      <c r="I108">
        <f>IF($A108="","",_xlfn.SUMIFS(Socle!$P$1:$P$448,Socle!$C$1:$C$448,$A108,Socle!$D$1:$D$448,$C108,Socle!$E$1:$E$448,$D108,Socle!$F$1:$F$448,$E108,Socle!$G$1:$G$448,"2026"))</f>
        <v>14000</v>
      </c>
      <c r="J108">
        <f>IF($A108="","",_xlfn.SUMIFS(Socle!$W$1:$W$448,Socle!$C$1:$C$448,$A108,Socle!$D$1:$D$448,$C108,Socle!$E$1:$E$448,$D108,Socle!$F$1:$F$448,$E108,Socle!$G$1:$G$448,"2026"))</f>
        <v>0.4</v>
      </c>
      <c r="K108">
        <f>IF($A108="","",_xlfn.SUMIFS(Socle!$X$1:$X$448,Socle!$C$1:$C$448,$A108,Socle!$D$1:$D$448,$C108,Socle!$E$1:$E$448,$D108,Socle!$F$1:$F$448,$E108,Socle!$G$1:$G$448,"2026"))</f>
        <v>1.4</v>
      </c>
      <c r="L108">
        <f>IF($A108="","",_xlfn.SUMIFS(Socle!$Y$1:$Y$448,Socle!$C$1:$C$448,$A108,Socle!$D$1:$D$448,$C108,Socle!$E$1:$E$448,$D108,Socle!$F$1:$F$448,$E108,Socle!$G$1:$G$448,"2026"))</f>
        <v>0.840336134</v>
      </c>
      <c r="M108">
        <f>IF($A108="","",_xlfn.SUMIFS(Socle!$V$1:$V$448,Socle!$C$1:$C$448,$A108,Socle!$D$1:$D$448,$C108,Socle!$E$1:$E$448,$D108,Socle!$F$1:$F$448,$E108,Socle!$G$1:$G$448,"2026"))</f>
        <v>0</v>
      </c>
      <c r="N108">
        <f t="shared" si="0"/>
        <v>1</v>
      </c>
      <c r="O108">
        <f>IF($A108="","",_xlfn.SUMIFS(Campagne!$D$1:$D$128,Campagne!$C$1:$C$128,$A108))</f>
        <v>306</v>
      </c>
      <c r="P108">
        <f>IF($A108="","",_xlfn.SUMIFS(Campagne!$E$1:$E$128,Campagne!$C$1:$C$128,$A108))</f>
        <v>544</v>
      </c>
      <c r="Q108">
        <f>IF($A108="","",_xlfn.SUMIFS(Campagne!$F$1:$F$128,Campagne!$C$1:$C$128,$A108))</f>
        <v>850</v>
      </c>
      <c r="R108">
        <f>IF($A108="","",_xlfn.SUMIFS(Campagne!$K$1:$K$128,Campagne!$C$1:$C$128,$A108))</f>
        <v>0.559080428</v>
      </c>
      <c r="S108">
        <f>IF($A108="","",_xlfn.SUMIFS(Campagne!$M$1:$M$128,Campagne!$C$1:$C$128,$A108))</f>
        <v>0.304912264</v>
      </c>
      <c r="T108">
        <f>IF($A108="","",_xlfn.SUMIFS(PIL!$K$15:$K$28,PIL!$A$15:$A$28,$A108)*_xlfn.SUMIFS(PIL!$J$15:$J$28,PIL!$A$15:$A$28,$A108)*(SUM(PIL!$K$15:$K$28)/SUMPRODUCT(PIL!$K$15:$K$28,PIL!$J$15:$J$28)))</f>
        <v>21760</v>
      </c>
      <c r="U108">
        <f>IF($A108="","",_xlfn.SUMIFS(PIL!$K$15:$K$28,PIL!$A$15:$A$28,$A108))</f>
        <v>21760</v>
      </c>
      <c r="V108" t="s">
        <v>274</v>
      </c>
      <c r="W108" t="s">
        <v>274</v>
      </c>
      <c r="X108" t="s">
        <v>274</v>
      </c>
      <c r="Y108" t="s">
        <v>274</v>
      </c>
      <c r="Z108" t="s">
        <v>274</v>
      </c>
      <c r="AA108" t="s">
        <v>274</v>
      </c>
      <c r="AB108" t="s">
        <v>274</v>
      </c>
      <c r="AC108" t="s">
        <v>274</v>
      </c>
      <c r="AD108" t="e">
        <f t="shared" si="1"/>
        <v>#VALUE!</v>
      </c>
      <c r="AE108" t="e">
        <f t="shared" si="2"/>
        <v>#VALUE!</v>
      </c>
      <c r="AF108" t="e">
        <f t="shared" si="3"/>
        <v>#VALUE!</v>
      </c>
      <c r="AG108" t="e">
        <f t="shared" si="4"/>
        <v>#VALUE!</v>
      </c>
      <c r="AH108" t="e">
        <f t="shared" si="5"/>
        <v>#VALUE!</v>
      </c>
    </row>
    <row r="109" ht="14.25" customHeight="1">
      <c r="A109" t="str">
        <f>IF(Moteur!D109="","",Moteur!D109)</f>
        <v>IPAC_NAN</v>
      </c>
      <c r="B109" t="str">
        <f>IF(Moteur!B109="","",Moteur!B109)</f>
        <v>V03</v>
      </c>
      <c r="C109" t="str">
        <f>IF(Moteur!F109="","",Moteur!F109)</f>
        <v>BAC_CCE</v>
      </c>
      <c r="D109" t="str">
        <f>IF(Moteur!G109="","",Moteur!G109)</f>
        <v>B1</v>
      </c>
      <c r="E109" t="str">
        <f>IF(Moteur!H109="","",Moteur!H109)</f>
        <v>ALT</v>
      </c>
      <c r="F109" t="str">
        <f>IF(Moteur!E109="","",Moteur!E109)</f>
        <v>IPAC</v>
      </c>
      <c r="G109">
        <f>IF($A109="","",_xlfn.SUMIFS(Socle!$H$1:$H$448,Socle!$C$1:$C$448,$A109,Socle!$D$1:$D$448,$C109,Socle!$E$1:$E$448,$D109,Socle!$F$1:$F$448,$E109,Socle!$G$1:$G$448,"2026"))</f>
        <v>1700</v>
      </c>
      <c r="H109">
        <f>IF($A109="","",_xlfn.SUMIFS(Socle!$N$1:$N$448,Socle!$C$1:$C$448,$A109,Socle!$D$1:$D$448,$C109,Socle!$E$1:$E$448,$D109,Socle!$F$1:$F$448,$E109,Socle!$G$1:$G$448,"2026"))</f>
        <v>0</v>
      </c>
      <c r="I109">
        <f>IF($A109="","",_xlfn.SUMIFS(Socle!$P$1:$P$448,Socle!$C$1:$C$448,$A109,Socle!$D$1:$D$448,$C109,Socle!$E$1:$E$448,$D109,Socle!$F$1:$F$448,$E109,Socle!$G$1:$G$448,"2026"))</f>
        <v>14000</v>
      </c>
      <c r="J109">
        <f>IF($A109="","",_xlfn.SUMIFS(Socle!$W$1:$W$448,Socle!$C$1:$C$448,$A109,Socle!$D$1:$D$448,$C109,Socle!$E$1:$E$448,$D109,Socle!$F$1:$F$448,$E109,Socle!$G$1:$G$448,"2026"))</f>
        <v>0.4</v>
      </c>
      <c r="K109">
        <f>IF($A109="","",_xlfn.SUMIFS(Socle!$X$1:$X$448,Socle!$C$1:$C$448,$A109,Socle!$D$1:$D$448,$C109,Socle!$E$1:$E$448,$D109,Socle!$F$1:$F$448,$E109,Socle!$G$1:$G$448,"2026"))</f>
        <v>1.4</v>
      </c>
      <c r="L109">
        <f>IF($A109="","",_xlfn.SUMIFS(Socle!$Y$1:$Y$448,Socle!$C$1:$C$448,$A109,Socle!$D$1:$D$448,$C109,Socle!$E$1:$E$448,$D109,Socle!$F$1:$F$448,$E109,Socle!$G$1:$G$448,"2026"))</f>
        <v>0.840336134</v>
      </c>
      <c r="M109">
        <f>IF($A109="","",_xlfn.SUMIFS(Socle!$V$1:$V$448,Socle!$C$1:$C$448,$A109,Socle!$D$1:$D$448,$C109,Socle!$E$1:$E$448,$D109,Socle!$F$1:$F$448,$E109,Socle!$G$1:$G$448,"2026"))</f>
        <v>0</v>
      </c>
      <c r="N109">
        <f t="shared" si="0"/>
        <v>1</v>
      </c>
      <c r="O109">
        <f>IF($A109="","",_xlfn.SUMIFS(Campagne!$D$1:$D$128,Campagne!$C$1:$C$128,$A109))</f>
        <v>306</v>
      </c>
      <c r="P109">
        <f>IF($A109="","",_xlfn.SUMIFS(Campagne!$E$1:$E$128,Campagne!$C$1:$C$128,$A109))</f>
        <v>544</v>
      </c>
      <c r="Q109">
        <f>IF($A109="","",_xlfn.SUMIFS(Campagne!$F$1:$F$128,Campagne!$C$1:$C$128,$A109))</f>
        <v>850</v>
      </c>
      <c r="R109">
        <f>IF($A109="","",_xlfn.SUMIFS(Campagne!$K$1:$K$128,Campagne!$C$1:$C$128,$A109))</f>
        <v>0.559080428</v>
      </c>
      <c r="S109">
        <f>IF($A109="","",_xlfn.SUMIFS(Campagne!$M$1:$M$128,Campagne!$C$1:$C$128,$A109))</f>
        <v>0.304912264</v>
      </c>
      <c r="T109">
        <f>IF($A109="","",_xlfn.SUMIFS(PIL!$K$15:$K$28,PIL!$A$15:$A$28,$A109)*_xlfn.SUMIFS(PIL!$J$15:$J$28,PIL!$A$15:$A$28,$A109)*(SUM(PIL!$K$15:$K$28)/SUMPRODUCT(PIL!$K$15:$K$28,PIL!$J$15:$J$28)))</f>
        <v>21760</v>
      </c>
      <c r="U109">
        <f>IF($A109="","",_xlfn.SUMIFS(PIL!$K$15:$K$28,PIL!$A$15:$A$28,$A109))</f>
        <v>21760</v>
      </c>
      <c r="V109" t="s">
        <v>274</v>
      </c>
      <c r="W109" t="s">
        <v>274</v>
      </c>
      <c r="X109" t="s">
        <v>274</v>
      </c>
      <c r="Y109" t="s">
        <v>274</v>
      </c>
      <c r="Z109" t="s">
        <v>274</v>
      </c>
      <c r="AA109" t="s">
        <v>274</v>
      </c>
      <c r="AB109" t="s">
        <v>274</v>
      </c>
      <c r="AC109" t="s">
        <v>274</v>
      </c>
      <c r="AD109" t="e">
        <f t="shared" si="1"/>
        <v>#VALUE!</v>
      </c>
      <c r="AE109" t="e">
        <f t="shared" si="2"/>
        <v>#VALUE!</v>
      </c>
      <c r="AF109" t="e">
        <f t="shared" si="3"/>
        <v>#VALUE!</v>
      </c>
      <c r="AG109" t="e">
        <f t="shared" si="4"/>
        <v>#VALUE!</v>
      </c>
      <c r="AH109" t="e">
        <f t="shared" si="5"/>
        <v>#VALUE!</v>
      </c>
    </row>
    <row r="110" ht="14.25" customHeight="1">
      <c r="A110" t="str">
        <f>IF(Moteur!D110="","",Moteur!D110)</f>
        <v>IPAC_NAN</v>
      </c>
      <c r="B110" t="str">
        <f>IF(Moteur!B110="","",Moteur!B110)</f>
        <v>V01</v>
      </c>
      <c r="C110" t="str">
        <f>IF(Moteur!F110="","",Moteur!F110)</f>
        <v>BAC_CCE</v>
      </c>
      <c r="D110" t="str">
        <f>IF(Moteur!G110="","",Moteur!G110)</f>
        <v>B2</v>
      </c>
      <c r="E110" t="str">
        <f>IF(Moteur!H110="","",Moteur!H110)</f>
        <v>ALT</v>
      </c>
      <c r="F110" t="str">
        <f>IF(Moteur!E110="","",Moteur!E110)</f>
        <v>IPAC</v>
      </c>
      <c r="G110">
        <f>IF($A110="","",_xlfn.SUMIFS(Socle!$H$1:$H$448,Socle!$C$1:$C$448,$A110,Socle!$D$1:$D$448,$C110,Socle!$E$1:$E$448,$D110,Socle!$F$1:$F$448,$E110,Socle!$G$1:$G$448,"2026"))</f>
        <v>0</v>
      </c>
      <c r="H110">
        <f>IF($A110="","",_xlfn.SUMIFS(Socle!$N$1:$N$448,Socle!$C$1:$C$448,$A110,Socle!$D$1:$D$448,$C110,Socle!$E$1:$E$448,$D110,Socle!$F$1:$F$448,$E110,Socle!$G$1:$G$448,"2026"))</f>
        <v>100</v>
      </c>
      <c r="I110">
        <f>IF($A110="","",_xlfn.SUMIFS(Socle!$P$1:$P$448,Socle!$C$1:$C$448,$A110,Socle!$D$1:$D$448,$C110,Socle!$E$1:$E$448,$D110,Socle!$F$1:$F$448,$E110,Socle!$G$1:$G$448,"2026"))</f>
        <v>14000</v>
      </c>
      <c r="J110">
        <f>IF($A110="","",_xlfn.SUMIFS(Socle!$W$1:$W$448,Socle!$C$1:$C$448,$A110,Socle!$D$1:$D$448,$C110,Socle!$E$1:$E$448,$D110,Socle!$F$1:$F$448,$E110,Socle!$G$1:$G$448,"2026"))</f>
        <v>0</v>
      </c>
      <c r="K110">
        <f>IF($A110="","",_xlfn.SUMIFS(Socle!$X$1:$X$448,Socle!$C$1:$C$448,$A110,Socle!$D$1:$D$448,$C110,Socle!$E$1:$E$448,$D110,Socle!$F$1:$F$448,$E110,Socle!$G$1:$G$448,"2026"))</f>
        <v>0</v>
      </c>
      <c r="L110">
        <f>IF($A110="","",_xlfn.SUMIFS(Socle!$Y$1:$Y$448,Socle!$C$1:$C$448,$A110,Socle!$D$1:$D$448,$C110,Socle!$E$1:$E$448,$D110,Socle!$F$1:$F$448,$E110,Socle!$G$1:$G$448,"2026"))</f>
        <v>0</v>
      </c>
      <c r="M110">
        <f>IF($A110="","",_xlfn.SUMIFS(Socle!$V$1:$V$448,Socle!$C$1:$C$448,$A110,Socle!$D$1:$D$448,$C110,Socle!$E$1:$E$448,$D110,Socle!$F$1:$F$448,$E110,Socle!$G$1:$G$448,"2026"))</f>
        <v>1.92</v>
      </c>
      <c r="N110">
        <f t="shared" si="0"/>
        <v>0</v>
      </c>
      <c r="O110">
        <f>IF($A110="","",_xlfn.SUMIFS(Campagne!$D$1:$D$128,Campagne!$C$1:$C$128,$A110))</f>
        <v>306</v>
      </c>
      <c r="P110">
        <f>IF($A110="","",_xlfn.SUMIFS(Campagne!$E$1:$E$128,Campagne!$C$1:$C$128,$A110))</f>
        <v>544</v>
      </c>
      <c r="Q110">
        <f>IF($A110="","",_xlfn.SUMIFS(Campagne!$F$1:$F$128,Campagne!$C$1:$C$128,$A110))</f>
        <v>850</v>
      </c>
      <c r="R110">
        <f>IF($A110="","",_xlfn.SUMIFS(Campagne!$K$1:$K$128,Campagne!$C$1:$C$128,$A110))</f>
        <v>0.559080428</v>
      </c>
      <c r="S110">
        <f>IF($A110="","",_xlfn.SUMIFS(Campagne!$M$1:$M$128,Campagne!$C$1:$C$128,$A110))</f>
        <v>0.304912264</v>
      </c>
      <c r="T110">
        <f>IF($A110="","",_xlfn.SUMIFS(PIL!$K$15:$K$28,PIL!$A$15:$A$28,$A110)*_xlfn.SUMIFS(PIL!$J$15:$J$28,PIL!$A$15:$A$28,$A110)*(SUM(PIL!$K$15:$K$28)/SUMPRODUCT(PIL!$K$15:$K$28,PIL!$J$15:$J$28)))</f>
        <v>21760</v>
      </c>
      <c r="U110">
        <f>IF($A110="","",_xlfn.SUMIFS(PIL!$K$15:$K$28,PIL!$A$15:$A$28,$A110))</f>
        <v>21760</v>
      </c>
      <c r="V110" t="s">
        <v>274</v>
      </c>
      <c r="W110" t="s">
        <v>274</v>
      </c>
      <c r="X110" t="s">
        <v>274</v>
      </c>
      <c r="Y110" t="s">
        <v>274</v>
      </c>
      <c r="Z110" t="s">
        <v>274</v>
      </c>
      <c r="AA110" t="s">
        <v>274</v>
      </c>
      <c r="AB110" t="s">
        <v>274</v>
      </c>
      <c r="AC110" t="s">
        <v>274</v>
      </c>
      <c r="AD110" t="e">
        <f t="shared" si="1"/>
        <v>#VALUE!</v>
      </c>
      <c r="AE110">
        <f t="shared" si="2"/>
        <v>0</v>
      </c>
      <c r="AF110" t="e">
        <f t="shared" si="3"/>
        <v>#VALUE!</v>
      </c>
      <c r="AG110" t="e">
        <f t="shared" si="4"/>
        <v>#VALUE!</v>
      </c>
      <c r="AH110" t="e">
        <f t="shared" si="5"/>
        <v>#VALUE!</v>
      </c>
    </row>
    <row r="111" ht="14.25" customHeight="1">
      <c r="A111" t="str">
        <f>IF(Moteur!D111="","",Moteur!D111)</f>
        <v>IPAC_NAN</v>
      </c>
      <c r="B111" t="str">
        <f>IF(Moteur!B111="","",Moteur!B111)</f>
        <v>V02</v>
      </c>
      <c r="C111" t="str">
        <f>IF(Moteur!F111="","",Moteur!F111)</f>
        <v>BAC_CCE</v>
      </c>
      <c r="D111" t="str">
        <f>IF(Moteur!G111="","",Moteur!G111)</f>
        <v>B2</v>
      </c>
      <c r="E111" t="str">
        <f>IF(Moteur!H111="","",Moteur!H111)</f>
        <v>ALT</v>
      </c>
      <c r="F111" t="str">
        <f>IF(Moteur!E111="","",Moteur!E111)</f>
        <v>IPAC</v>
      </c>
      <c r="G111">
        <f>IF($A111="","",_xlfn.SUMIFS(Socle!$H$1:$H$448,Socle!$C$1:$C$448,$A111,Socle!$D$1:$D$448,$C111,Socle!$E$1:$E$448,$D111,Socle!$F$1:$F$448,$E111,Socle!$G$1:$G$448,"2026"))</f>
        <v>0</v>
      </c>
      <c r="H111">
        <f>IF($A111="","",_xlfn.SUMIFS(Socle!$N$1:$N$448,Socle!$C$1:$C$448,$A111,Socle!$D$1:$D$448,$C111,Socle!$E$1:$E$448,$D111,Socle!$F$1:$F$448,$E111,Socle!$G$1:$G$448,"2026"))</f>
        <v>100</v>
      </c>
      <c r="I111">
        <f>IF($A111="","",_xlfn.SUMIFS(Socle!$P$1:$P$448,Socle!$C$1:$C$448,$A111,Socle!$D$1:$D$448,$C111,Socle!$E$1:$E$448,$D111,Socle!$F$1:$F$448,$E111,Socle!$G$1:$G$448,"2026"))</f>
        <v>14000</v>
      </c>
      <c r="J111">
        <f>IF($A111="","",_xlfn.SUMIFS(Socle!$W$1:$W$448,Socle!$C$1:$C$448,$A111,Socle!$D$1:$D$448,$C111,Socle!$E$1:$E$448,$D111,Socle!$F$1:$F$448,$E111,Socle!$G$1:$G$448,"2026"))</f>
        <v>0</v>
      </c>
      <c r="K111">
        <f>IF($A111="","",_xlfn.SUMIFS(Socle!$X$1:$X$448,Socle!$C$1:$C$448,$A111,Socle!$D$1:$D$448,$C111,Socle!$E$1:$E$448,$D111,Socle!$F$1:$F$448,$E111,Socle!$G$1:$G$448,"2026"))</f>
        <v>0</v>
      </c>
      <c r="L111">
        <f>IF($A111="","",_xlfn.SUMIFS(Socle!$Y$1:$Y$448,Socle!$C$1:$C$448,$A111,Socle!$D$1:$D$448,$C111,Socle!$E$1:$E$448,$D111,Socle!$F$1:$F$448,$E111,Socle!$G$1:$G$448,"2026"))</f>
        <v>0</v>
      </c>
      <c r="M111">
        <f>IF($A111="","",_xlfn.SUMIFS(Socle!$V$1:$V$448,Socle!$C$1:$C$448,$A111,Socle!$D$1:$D$448,$C111,Socle!$E$1:$E$448,$D111,Socle!$F$1:$F$448,$E111,Socle!$G$1:$G$448,"2026"))</f>
        <v>1.92</v>
      </c>
      <c r="N111">
        <f t="shared" si="0"/>
        <v>0</v>
      </c>
      <c r="O111">
        <f>IF($A111="","",_xlfn.SUMIFS(Campagne!$D$1:$D$128,Campagne!$C$1:$C$128,$A111))</f>
        <v>306</v>
      </c>
      <c r="P111">
        <f>IF($A111="","",_xlfn.SUMIFS(Campagne!$E$1:$E$128,Campagne!$C$1:$C$128,$A111))</f>
        <v>544</v>
      </c>
      <c r="Q111">
        <f>IF($A111="","",_xlfn.SUMIFS(Campagne!$F$1:$F$128,Campagne!$C$1:$C$128,$A111))</f>
        <v>850</v>
      </c>
      <c r="R111">
        <f>IF($A111="","",_xlfn.SUMIFS(Campagne!$K$1:$K$128,Campagne!$C$1:$C$128,$A111))</f>
        <v>0.559080428</v>
      </c>
      <c r="S111">
        <f>IF($A111="","",_xlfn.SUMIFS(Campagne!$M$1:$M$128,Campagne!$C$1:$C$128,$A111))</f>
        <v>0.304912264</v>
      </c>
      <c r="T111">
        <f>IF($A111="","",_xlfn.SUMIFS(PIL!$K$15:$K$28,PIL!$A$15:$A$28,$A111)*_xlfn.SUMIFS(PIL!$J$15:$J$28,PIL!$A$15:$A$28,$A111)*(SUM(PIL!$K$15:$K$28)/SUMPRODUCT(PIL!$K$15:$K$28,PIL!$J$15:$J$28)))</f>
        <v>21760</v>
      </c>
      <c r="U111">
        <f>IF($A111="","",_xlfn.SUMIFS(PIL!$K$15:$K$28,PIL!$A$15:$A$28,$A111))</f>
        <v>21760</v>
      </c>
      <c r="V111" t="s">
        <v>274</v>
      </c>
      <c r="W111" t="s">
        <v>274</v>
      </c>
      <c r="X111" t="s">
        <v>274</v>
      </c>
      <c r="Y111" t="s">
        <v>274</v>
      </c>
      <c r="Z111" t="s">
        <v>274</v>
      </c>
      <c r="AA111" t="s">
        <v>274</v>
      </c>
      <c r="AB111" t="s">
        <v>274</v>
      </c>
      <c r="AC111" t="s">
        <v>274</v>
      </c>
      <c r="AD111" t="e">
        <f t="shared" si="1"/>
        <v>#VALUE!</v>
      </c>
      <c r="AE111">
        <f t="shared" si="2"/>
        <v>0</v>
      </c>
      <c r="AF111" t="e">
        <f t="shared" si="3"/>
        <v>#VALUE!</v>
      </c>
      <c r="AG111" t="e">
        <f t="shared" si="4"/>
        <v>#VALUE!</v>
      </c>
      <c r="AH111" t="e">
        <f t="shared" si="5"/>
        <v>#VALUE!</v>
      </c>
    </row>
    <row r="112" ht="14.25" customHeight="1">
      <c r="A112" t="str">
        <f>IF(Moteur!D112="","",Moteur!D112)</f>
        <v>IPAC_NAN</v>
      </c>
      <c r="B112" t="str">
        <f>IF(Moteur!B112="","",Moteur!B112)</f>
        <v>V03</v>
      </c>
      <c r="C112" t="str">
        <f>IF(Moteur!F112="","",Moteur!F112)</f>
        <v>BAC_CCE</v>
      </c>
      <c r="D112" t="str">
        <f>IF(Moteur!G112="","",Moteur!G112)</f>
        <v>B2</v>
      </c>
      <c r="E112" t="str">
        <f>IF(Moteur!H112="","",Moteur!H112)</f>
        <v>ALT</v>
      </c>
      <c r="F112" t="str">
        <f>IF(Moteur!E112="","",Moteur!E112)</f>
        <v>IPAC</v>
      </c>
      <c r="G112">
        <f>IF($A112="","",_xlfn.SUMIFS(Socle!$H$1:$H$448,Socle!$C$1:$C$448,$A112,Socle!$D$1:$D$448,$C112,Socle!$E$1:$E$448,$D112,Socle!$F$1:$F$448,$E112,Socle!$G$1:$G$448,"2026"))</f>
        <v>0</v>
      </c>
      <c r="H112">
        <f>IF($A112="","",_xlfn.SUMIFS(Socle!$N$1:$N$448,Socle!$C$1:$C$448,$A112,Socle!$D$1:$D$448,$C112,Socle!$E$1:$E$448,$D112,Socle!$F$1:$F$448,$E112,Socle!$G$1:$G$448,"2026"))</f>
        <v>100</v>
      </c>
      <c r="I112">
        <f>IF($A112="","",_xlfn.SUMIFS(Socle!$P$1:$P$448,Socle!$C$1:$C$448,$A112,Socle!$D$1:$D$448,$C112,Socle!$E$1:$E$448,$D112,Socle!$F$1:$F$448,$E112,Socle!$G$1:$G$448,"2026"))</f>
        <v>14000</v>
      </c>
      <c r="J112">
        <f>IF($A112="","",_xlfn.SUMIFS(Socle!$W$1:$W$448,Socle!$C$1:$C$448,$A112,Socle!$D$1:$D$448,$C112,Socle!$E$1:$E$448,$D112,Socle!$F$1:$F$448,$E112,Socle!$G$1:$G$448,"2026"))</f>
        <v>0</v>
      </c>
      <c r="K112">
        <f>IF($A112="","",_xlfn.SUMIFS(Socle!$X$1:$X$448,Socle!$C$1:$C$448,$A112,Socle!$D$1:$D$448,$C112,Socle!$E$1:$E$448,$D112,Socle!$F$1:$F$448,$E112,Socle!$G$1:$G$448,"2026"))</f>
        <v>0</v>
      </c>
      <c r="L112">
        <f>IF($A112="","",_xlfn.SUMIFS(Socle!$Y$1:$Y$448,Socle!$C$1:$C$448,$A112,Socle!$D$1:$D$448,$C112,Socle!$E$1:$E$448,$D112,Socle!$F$1:$F$448,$E112,Socle!$G$1:$G$448,"2026"))</f>
        <v>0</v>
      </c>
      <c r="M112">
        <f>IF($A112="","",_xlfn.SUMIFS(Socle!$V$1:$V$448,Socle!$C$1:$C$448,$A112,Socle!$D$1:$D$448,$C112,Socle!$E$1:$E$448,$D112,Socle!$F$1:$F$448,$E112,Socle!$G$1:$G$448,"2026"))</f>
        <v>1.92</v>
      </c>
      <c r="N112">
        <f t="shared" si="0"/>
        <v>0</v>
      </c>
      <c r="O112">
        <f>IF($A112="","",_xlfn.SUMIFS(Campagne!$D$1:$D$128,Campagne!$C$1:$C$128,$A112))</f>
        <v>306</v>
      </c>
      <c r="P112">
        <f>IF($A112="","",_xlfn.SUMIFS(Campagne!$E$1:$E$128,Campagne!$C$1:$C$128,$A112))</f>
        <v>544</v>
      </c>
      <c r="Q112">
        <f>IF($A112="","",_xlfn.SUMIFS(Campagne!$F$1:$F$128,Campagne!$C$1:$C$128,$A112))</f>
        <v>850</v>
      </c>
      <c r="R112">
        <f>IF($A112="","",_xlfn.SUMIFS(Campagne!$K$1:$K$128,Campagne!$C$1:$C$128,$A112))</f>
        <v>0.559080428</v>
      </c>
      <c r="S112">
        <f>IF($A112="","",_xlfn.SUMIFS(Campagne!$M$1:$M$128,Campagne!$C$1:$C$128,$A112))</f>
        <v>0.304912264</v>
      </c>
      <c r="T112">
        <f>IF($A112="","",_xlfn.SUMIFS(PIL!$K$15:$K$28,PIL!$A$15:$A$28,$A112)*_xlfn.SUMIFS(PIL!$J$15:$J$28,PIL!$A$15:$A$28,$A112)*(SUM(PIL!$K$15:$K$28)/SUMPRODUCT(PIL!$K$15:$K$28,PIL!$J$15:$J$28)))</f>
        <v>21760</v>
      </c>
      <c r="U112">
        <f>IF($A112="","",_xlfn.SUMIFS(PIL!$K$15:$K$28,PIL!$A$15:$A$28,$A112))</f>
        <v>21760</v>
      </c>
      <c r="V112" t="s">
        <v>274</v>
      </c>
      <c r="W112" t="s">
        <v>274</v>
      </c>
      <c r="X112" t="s">
        <v>274</v>
      </c>
      <c r="Y112" t="s">
        <v>274</v>
      </c>
      <c r="Z112" t="s">
        <v>274</v>
      </c>
      <c r="AA112" t="s">
        <v>274</v>
      </c>
      <c r="AB112" t="s">
        <v>274</v>
      </c>
      <c r="AC112" t="s">
        <v>274</v>
      </c>
      <c r="AD112" t="e">
        <f t="shared" si="1"/>
        <v>#VALUE!</v>
      </c>
      <c r="AE112">
        <f t="shared" si="2"/>
        <v>0</v>
      </c>
      <c r="AF112" t="e">
        <f t="shared" si="3"/>
        <v>#VALUE!</v>
      </c>
      <c r="AG112" t="e">
        <f t="shared" si="4"/>
        <v>#VALUE!</v>
      </c>
      <c r="AH112" t="e">
        <f t="shared" si="5"/>
        <v>#VALUE!</v>
      </c>
    </row>
    <row r="113" ht="14.25" customHeight="1">
      <c r="A113" t="str">
        <f>IF(Moteur!D113="","",Moteur!D113)</f>
        <v>IPAC_NAN</v>
      </c>
      <c r="B113" t="str">
        <f>IF(Moteur!B113="","",Moteur!B113)</f>
        <v>V01</v>
      </c>
      <c r="C113" t="str">
        <f>IF(Moteur!F113="","",Moteur!F113)</f>
        <v>BAC_CCE</v>
      </c>
      <c r="D113" t="str">
        <f>IF(Moteur!G113="","",Moteur!G113)</f>
        <v>B3</v>
      </c>
      <c r="E113" t="str">
        <f>IF(Moteur!H113="","",Moteur!H113)</f>
        <v>ALT</v>
      </c>
      <c r="F113" t="str">
        <f>IF(Moteur!E113="","",Moteur!E113)</f>
        <v>IPAC</v>
      </c>
      <c r="G113">
        <f>IF($A113="","",_xlfn.SUMIFS(Socle!$H$1:$H$448,Socle!$C$1:$C$448,$A113,Socle!$D$1:$D$448,$C113,Socle!$E$1:$E$448,$D113,Socle!$F$1:$F$448,$E113,Socle!$G$1:$G$448,"2026"))</f>
        <v>0</v>
      </c>
      <c r="H113">
        <f>IF($A113="","",_xlfn.SUMIFS(Socle!$N$1:$N$448,Socle!$C$1:$C$448,$A113,Socle!$D$1:$D$448,$C113,Socle!$E$1:$E$448,$D113,Socle!$F$1:$F$448,$E113,Socle!$G$1:$G$448,"2026"))</f>
        <v>96</v>
      </c>
      <c r="I113">
        <f>IF($A113="","",_xlfn.SUMIFS(Socle!$P$1:$P$448,Socle!$C$1:$C$448,$A113,Socle!$D$1:$D$448,$C113,Socle!$E$1:$E$448,$D113,Socle!$F$1:$F$448,$E113,Socle!$G$1:$G$448,"2026"))</f>
        <v>14000</v>
      </c>
      <c r="J113">
        <f>IF($A113="","",_xlfn.SUMIFS(Socle!$W$1:$W$448,Socle!$C$1:$C$448,$A113,Socle!$D$1:$D$448,$C113,Socle!$E$1:$E$448,$D113,Socle!$F$1:$F$448,$E113,Socle!$G$1:$G$448,"2026"))</f>
        <v>0</v>
      </c>
      <c r="K113">
        <f>IF($A113="","",_xlfn.SUMIFS(Socle!$X$1:$X$448,Socle!$C$1:$C$448,$A113,Socle!$D$1:$D$448,$C113,Socle!$E$1:$E$448,$D113,Socle!$F$1:$F$448,$E113,Socle!$G$1:$G$448,"2026"))</f>
        <v>0</v>
      </c>
      <c r="L113">
        <f>IF($A113="","",_xlfn.SUMIFS(Socle!$Y$1:$Y$448,Socle!$C$1:$C$448,$A113,Socle!$D$1:$D$448,$C113,Socle!$E$1:$E$448,$D113,Socle!$F$1:$F$448,$E113,Socle!$G$1:$G$448,"2026"))</f>
        <v>0</v>
      </c>
      <c r="M113">
        <f>IF($A113="","",_xlfn.SUMIFS(Socle!$V$1:$V$448,Socle!$C$1:$C$448,$A113,Socle!$D$1:$D$448,$C113,Socle!$E$1:$E$448,$D113,Socle!$F$1:$F$448,$E113,Socle!$G$1:$G$448,"2026"))</f>
        <v>1.958333334</v>
      </c>
      <c r="N113">
        <f t="shared" si="0"/>
        <v>0</v>
      </c>
      <c r="O113">
        <f>IF($A113="","",_xlfn.SUMIFS(Campagne!$D$1:$D$128,Campagne!$C$1:$C$128,$A113))</f>
        <v>306</v>
      </c>
      <c r="P113">
        <f>IF($A113="","",_xlfn.SUMIFS(Campagne!$E$1:$E$128,Campagne!$C$1:$C$128,$A113))</f>
        <v>544</v>
      </c>
      <c r="Q113">
        <f>IF($A113="","",_xlfn.SUMIFS(Campagne!$F$1:$F$128,Campagne!$C$1:$C$128,$A113))</f>
        <v>850</v>
      </c>
      <c r="R113">
        <f>IF($A113="","",_xlfn.SUMIFS(Campagne!$K$1:$K$128,Campagne!$C$1:$C$128,$A113))</f>
        <v>0.559080428</v>
      </c>
      <c r="S113">
        <f>IF($A113="","",_xlfn.SUMIFS(Campagne!$M$1:$M$128,Campagne!$C$1:$C$128,$A113))</f>
        <v>0.304912264</v>
      </c>
      <c r="T113">
        <f>IF($A113="","",_xlfn.SUMIFS(PIL!$K$15:$K$28,PIL!$A$15:$A$28,$A113)*_xlfn.SUMIFS(PIL!$J$15:$J$28,PIL!$A$15:$A$28,$A113)*(SUM(PIL!$K$15:$K$28)/SUMPRODUCT(PIL!$K$15:$K$28,PIL!$J$15:$J$28)))</f>
        <v>21760</v>
      </c>
      <c r="U113">
        <f>IF($A113="","",_xlfn.SUMIFS(PIL!$K$15:$K$28,PIL!$A$15:$A$28,$A113))</f>
        <v>21760</v>
      </c>
      <c r="V113" t="s">
        <v>274</v>
      </c>
      <c r="W113" t="s">
        <v>274</v>
      </c>
      <c r="X113" t="s">
        <v>274</v>
      </c>
      <c r="Y113" t="s">
        <v>274</v>
      </c>
      <c r="Z113" t="s">
        <v>274</v>
      </c>
      <c r="AA113" t="s">
        <v>274</v>
      </c>
      <c r="AB113" t="s">
        <v>274</v>
      </c>
      <c r="AC113" t="s">
        <v>274</v>
      </c>
      <c r="AD113" t="e">
        <f t="shared" si="1"/>
        <v>#VALUE!</v>
      </c>
      <c r="AE113">
        <f t="shared" si="2"/>
        <v>0</v>
      </c>
      <c r="AF113" t="e">
        <f t="shared" si="3"/>
        <v>#VALUE!</v>
      </c>
      <c r="AG113" t="e">
        <f t="shared" si="4"/>
        <v>#VALUE!</v>
      </c>
      <c r="AH113" t="e">
        <f t="shared" si="5"/>
        <v>#VALUE!</v>
      </c>
    </row>
    <row r="114" ht="14.25" customHeight="1">
      <c r="A114" t="str">
        <f>IF(Moteur!D114="","",Moteur!D114)</f>
        <v>IPAC_NAN</v>
      </c>
      <c r="B114" t="str">
        <f>IF(Moteur!B114="","",Moteur!B114)</f>
        <v>V02</v>
      </c>
      <c r="C114" t="str">
        <f>IF(Moteur!F114="","",Moteur!F114)</f>
        <v>BAC_CCE</v>
      </c>
      <c r="D114" t="str">
        <f>IF(Moteur!G114="","",Moteur!G114)</f>
        <v>B3</v>
      </c>
      <c r="E114" t="str">
        <f>IF(Moteur!H114="","",Moteur!H114)</f>
        <v>ALT</v>
      </c>
      <c r="F114" t="str">
        <f>IF(Moteur!E114="","",Moteur!E114)</f>
        <v>IPAC</v>
      </c>
      <c r="G114">
        <f>IF($A114="","",_xlfn.SUMIFS(Socle!$H$1:$H$448,Socle!$C$1:$C$448,$A114,Socle!$D$1:$D$448,$C114,Socle!$E$1:$E$448,$D114,Socle!$F$1:$F$448,$E114,Socle!$G$1:$G$448,"2026"))</f>
        <v>0</v>
      </c>
      <c r="H114">
        <f>IF($A114="","",_xlfn.SUMIFS(Socle!$N$1:$N$448,Socle!$C$1:$C$448,$A114,Socle!$D$1:$D$448,$C114,Socle!$E$1:$E$448,$D114,Socle!$F$1:$F$448,$E114,Socle!$G$1:$G$448,"2026"))</f>
        <v>96</v>
      </c>
      <c r="I114">
        <f>IF($A114="","",_xlfn.SUMIFS(Socle!$P$1:$P$448,Socle!$C$1:$C$448,$A114,Socle!$D$1:$D$448,$C114,Socle!$E$1:$E$448,$D114,Socle!$F$1:$F$448,$E114,Socle!$G$1:$G$448,"2026"))</f>
        <v>14000</v>
      </c>
      <c r="J114">
        <f>IF($A114="","",_xlfn.SUMIFS(Socle!$W$1:$W$448,Socle!$C$1:$C$448,$A114,Socle!$D$1:$D$448,$C114,Socle!$E$1:$E$448,$D114,Socle!$F$1:$F$448,$E114,Socle!$G$1:$G$448,"2026"))</f>
        <v>0</v>
      </c>
      <c r="K114">
        <f>IF($A114="","",_xlfn.SUMIFS(Socle!$X$1:$X$448,Socle!$C$1:$C$448,$A114,Socle!$D$1:$D$448,$C114,Socle!$E$1:$E$448,$D114,Socle!$F$1:$F$448,$E114,Socle!$G$1:$G$448,"2026"))</f>
        <v>0</v>
      </c>
      <c r="L114">
        <f>IF($A114="","",_xlfn.SUMIFS(Socle!$Y$1:$Y$448,Socle!$C$1:$C$448,$A114,Socle!$D$1:$D$448,$C114,Socle!$E$1:$E$448,$D114,Socle!$F$1:$F$448,$E114,Socle!$G$1:$G$448,"2026"))</f>
        <v>0</v>
      </c>
      <c r="M114">
        <f>IF($A114="","",_xlfn.SUMIFS(Socle!$V$1:$V$448,Socle!$C$1:$C$448,$A114,Socle!$D$1:$D$448,$C114,Socle!$E$1:$E$448,$D114,Socle!$F$1:$F$448,$E114,Socle!$G$1:$G$448,"2026"))</f>
        <v>1.958333334</v>
      </c>
      <c r="N114">
        <f t="shared" si="0"/>
        <v>0</v>
      </c>
      <c r="O114">
        <f>IF($A114="","",_xlfn.SUMIFS(Campagne!$D$1:$D$128,Campagne!$C$1:$C$128,$A114))</f>
        <v>306</v>
      </c>
      <c r="P114">
        <f>IF($A114="","",_xlfn.SUMIFS(Campagne!$E$1:$E$128,Campagne!$C$1:$C$128,$A114))</f>
        <v>544</v>
      </c>
      <c r="Q114">
        <f>IF($A114="","",_xlfn.SUMIFS(Campagne!$F$1:$F$128,Campagne!$C$1:$C$128,$A114))</f>
        <v>850</v>
      </c>
      <c r="R114">
        <f>IF($A114="","",_xlfn.SUMIFS(Campagne!$K$1:$K$128,Campagne!$C$1:$C$128,$A114))</f>
        <v>0.559080428</v>
      </c>
      <c r="S114">
        <f>IF($A114="","",_xlfn.SUMIFS(Campagne!$M$1:$M$128,Campagne!$C$1:$C$128,$A114))</f>
        <v>0.304912264</v>
      </c>
      <c r="T114">
        <f>IF($A114="","",_xlfn.SUMIFS(PIL!$K$15:$K$28,PIL!$A$15:$A$28,$A114)*_xlfn.SUMIFS(PIL!$J$15:$J$28,PIL!$A$15:$A$28,$A114)*(SUM(PIL!$K$15:$K$28)/SUMPRODUCT(PIL!$K$15:$K$28,PIL!$J$15:$J$28)))</f>
        <v>21760</v>
      </c>
      <c r="U114">
        <f>IF($A114="","",_xlfn.SUMIFS(PIL!$K$15:$K$28,PIL!$A$15:$A$28,$A114))</f>
        <v>21760</v>
      </c>
      <c r="V114" t="s">
        <v>274</v>
      </c>
      <c r="W114" t="s">
        <v>274</v>
      </c>
      <c r="X114" t="s">
        <v>274</v>
      </c>
      <c r="Y114" t="s">
        <v>274</v>
      </c>
      <c r="Z114" t="s">
        <v>274</v>
      </c>
      <c r="AA114" t="s">
        <v>274</v>
      </c>
      <c r="AB114" t="s">
        <v>274</v>
      </c>
      <c r="AC114" t="s">
        <v>274</v>
      </c>
      <c r="AD114" t="e">
        <f t="shared" si="1"/>
        <v>#VALUE!</v>
      </c>
      <c r="AE114">
        <f t="shared" si="2"/>
        <v>0</v>
      </c>
      <c r="AF114" t="e">
        <f t="shared" si="3"/>
        <v>#VALUE!</v>
      </c>
      <c r="AG114" t="e">
        <f t="shared" si="4"/>
        <v>#VALUE!</v>
      </c>
      <c r="AH114" t="e">
        <f t="shared" si="5"/>
        <v>#VALUE!</v>
      </c>
    </row>
    <row r="115" ht="14.25" customHeight="1">
      <c r="A115" t="str">
        <f>IF(Moteur!D115="","",Moteur!D115)</f>
        <v>IPAC_NAN</v>
      </c>
      <c r="B115" t="str">
        <f>IF(Moteur!B115="","",Moteur!B115)</f>
        <v>V03</v>
      </c>
      <c r="C115" t="str">
        <f>IF(Moteur!F115="","",Moteur!F115)</f>
        <v>BAC_CCE</v>
      </c>
      <c r="D115" t="str">
        <f>IF(Moteur!G115="","",Moteur!G115)</f>
        <v>B3</v>
      </c>
      <c r="E115" t="str">
        <f>IF(Moteur!H115="","",Moteur!H115)</f>
        <v>ALT</v>
      </c>
      <c r="F115" t="str">
        <f>IF(Moteur!E115="","",Moteur!E115)</f>
        <v>IPAC</v>
      </c>
      <c r="G115">
        <f>IF($A115="","",_xlfn.SUMIFS(Socle!$H$1:$H$448,Socle!$C$1:$C$448,$A115,Socle!$D$1:$D$448,$C115,Socle!$E$1:$E$448,$D115,Socle!$F$1:$F$448,$E115,Socle!$G$1:$G$448,"2026"))</f>
        <v>0</v>
      </c>
      <c r="H115">
        <f>IF($A115="","",_xlfn.SUMIFS(Socle!$N$1:$N$448,Socle!$C$1:$C$448,$A115,Socle!$D$1:$D$448,$C115,Socle!$E$1:$E$448,$D115,Socle!$F$1:$F$448,$E115,Socle!$G$1:$G$448,"2026"))</f>
        <v>96</v>
      </c>
      <c r="I115">
        <f>IF($A115="","",_xlfn.SUMIFS(Socle!$P$1:$P$448,Socle!$C$1:$C$448,$A115,Socle!$D$1:$D$448,$C115,Socle!$E$1:$E$448,$D115,Socle!$F$1:$F$448,$E115,Socle!$G$1:$G$448,"2026"))</f>
        <v>14000</v>
      </c>
      <c r="J115">
        <f>IF($A115="","",_xlfn.SUMIFS(Socle!$W$1:$W$448,Socle!$C$1:$C$448,$A115,Socle!$D$1:$D$448,$C115,Socle!$E$1:$E$448,$D115,Socle!$F$1:$F$448,$E115,Socle!$G$1:$G$448,"2026"))</f>
        <v>0</v>
      </c>
      <c r="K115">
        <f>IF($A115="","",_xlfn.SUMIFS(Socle!$X$1:$X$448,Socle!$C$1:$C$448,$A115,Socle!$D$1:$D$448,$C115,Socle!$E$1:$E$448,$D115,Socle!$F$1:$F$448,$E115,Socle!$G$1:$G$448,"2026"))</f>
        <v>0</v>
      </c>
      <c r="L115">
        <f>IF($A115="","",_xlfn.SUMIFS(Socle!$Y$1:$Y$448,Socle!$C$1:$C$448,$A115,Socle!$D$1:$D$448,$C115,Socle!$E$1:$E$448,$D115,Socle!$F$1:$F$448,$E115,Socle!$G$1:$G$448,"2026"))</f>
        <v>0</v>
      </c>
      <c r="M115">
        <f>IF($A115="","",_xlfn.SUMIFS(Socle!$V$1:$V$448,Socle!$C$1:$C$448,$A115,Socle!$D$1:$D$448,$C115,Socle!$E$1:$E$448,$D115,Socle!$F$1:$F$448,$E115,Socle!$G$1:$G$448,"2026"))</f>
        <v>1.958333334</v>
      </c>
      <c r="N115">
        <f t="shared" si="0"/>
        <v>0</v>
      </c>
      <c r="O115">
        <f>IF($A115="","",_xlfn.SUMIFS(Campagne!$D$1:$D$128,Campagne!$C$1:$C$128,$A115))</f>
        <v>306</v>
      </c>
      <c r="P115">
        <f>IF($A115="","",_xlfn.SUMIFS(Campagne!$E$1:$E$128,Campagne!$C$1:$C$128,$A115))</f>
        <v>544</v>
      </c>
      <c r="Q115">
        <f>IF($A115="","",_xlfn.SUMIFS(Campagne!$F$1:$F$128,Campagne!$C$1:$C$128,$A115))</f>
        <v>850</v>
      </c>
      <c r="R115">
        <f>IF($A115="","",_xlfn.SUMIFS(Campagne!$K$1:$K$128,Campagne!$C$1:$C$128,$A115))</f>
        <v>0.559080428</v>
      </c>
      <c r="S115">
        <f>IF($A115="","",_xlfn.SUMIFS(Campagne!$M$1:$M$128,Campagne!$C$1:$C$128,$A115))</f>
        <v>0.304912264</v>
      </c>
      <c r="T115">
        <f>IF($A115="","",_xlfn.SUMIFS(PIL!$K$15:$K$28,PIL!$A$15:$A$28,$A115)*_xlfn.SUMIFS(PIL!$J$15:$J$28,PIL!$A$15:$A$28,$A115)*(SUM(PIL!$K$15:$K$28)/SUMPRODUCT(PIL!$K$15:$K$28,PIL!$J$15:$J$28)))</f>
        <v>21760</v>
      </c>
      <c r="U115">
        <f>IF($A115="","",_xlfn.SUMIFS(PIL!$K$15:$K$28,PIL!$A$15:$A$28,$A115))</f>
        <v>21760</v>
      </c>
      <c r="V115" t="s">
        <v>274</v>
      </c>
      <c r="W115" t="s">
        <v>274</v>
      </c>
      <c r="X115" t="s">
        <v>274</v>
      </c>
      <c r="Y115" t="s">
        <v>274</v>
      </c>
      <c r="Z115" t="s">
        <v>274</v>
      </c>
      <c r="AA115" t="s">
        <v>274</v>
      </c>
      <c r="AB115" t="s">
        <v>274</v>
      </c>
      <c r="AC115" t="s">
        <v>274</v>
      </c>
      <c r="AD115" t="e">
        <f t="shared" si="1"/>
        <v>#VALUE!</v>
      </c>
      <c r="AE115">
        <f t="shared" si="2"/>
        <v>0</v>
      </c>
      <c r="AF115" t="e">
        <f t="shared" si="3"/>
        <v>#VALUE!</v>
      </c>
      <c r="AG115" t="e">
        <f t="shared" si="4"/>
        <v>#VALUE!</v>
      </c>
      <c r="AH115" t="e">
        <f t="shared" si="5"/>
        <v>#VALUE!</v>
      </c>
    </row>
    <row r="116" ht="14.25" customHeight="1">
      <c r="A116" t="str">
        <f>IF(Moteur!D116="","",Moteur!D116)</f>
        <v>IPAC_REN</v>
      </c>
      <c r="B116" t="str">
        <f>IF(Moteur!B116="","",Moteur!B116)</f>
        <v>V01</v>
      </c>
      <c r="C116" t="str">
        <f>IF(Moteur!F116="","",Moteur!F116)</f>
        <v>BAC_CCE</v>
      </c>
      <c r="D116" t="str">
        <f>IF(Moteur!G116="","",Moteur!G116)</f>
        <v>B1</v>
      </c>
      <c r="E116" t="str">
        <f>IF(Moteur!H116="","",Moteur!H116)</f>
        <v>ALT</v>
      </c>
      <c r="F116" t="str">
        <f>IF(Moteur!E116="","",Moteur!E116)</f>
        <v>IPAC</v>
      </c>
      <c r="G116">
        <f>IF($A116="","",_xlfn.SUMIFS(Socle!$H$1:$H$448,Socle!$C$1:$C$448,$A116,Socle!$D$1:$D$448,$C116,Socle!$E$1:$E$448,$D116,Socle!$F$1:$F$448,$E116,Socle!$G$1:$G$448,"2026"))</f>
        <v>1360</v>
      </c>
      <c r="H116">
        <f>IF($A116="","",_xlfn.SUMIFS(Socle!$N$1:$N$448,Socle!$C$1:$C$448,$A116,Socle!$D$1:$D$448,$C116,Socle!$E$1:$E$448,$D116,Socle!$F$1:$F$448,$E116,Socle!$G$1:$G$448,"2026"))</f>
        <v>0</v>
      </c>
      <c r="I116">
        <f>IF($A116="","",_xlfn.SUMIFS(Socle!$P$1:$P$448,Socle!$C$1:$C$448,$A116,Socle!$D$1:$D$448,$C116,Socle!$E$1:$E$448,$D116,Socle!$F$1:$F$448,$E116,Socle!$G$1:$G$448,"2026"))</f>
        <v>13300</v>
      </c>
      <c r="J116">
        <f>IF($A116="","",_xlfn.SUMIFS(Socle!$W$1:$W$448,Socle!$C$1:$C$448,$A116,Socle!$D$1:$D$448,$C116,Socle!$E$1:$E$448,$D116,Socle!$F$1:$F$448,$E116,Socle!$G$1:$G$448,"2026"))</f>
        <v>0.4</v>
      </c>
      <c r="K116">
        <f>IF($A116="","",_xlfn.SUMIFS(Socle!$X$1:$X$448,Socle!$C$1:$C$448,$A116,Socle!$D$1:$D$448,$C116,Socle!$E$1:$E$448,$D116,Socle!$F$1:$F$448,$E116,Socle!$G$1:$G$448,"2026"))</f>
        <v>1.397058824</v>
      </c>
      <c r="L116">
        <f>IF($A116="","",_xlfn.SUMIFS(Socle!$Y$1:$Y$448,Socle!$C$1:$C$448,$A116,Socle!$D$1:$D$448,$C116,Socle!$E$1:$E$448,$D116,Socle!$F$1:$F$448,$E116,Socle!$G$1:$G$448,"2026"))</f>
        <v>0.842105264</v>
      </c>
      <c r="M116">
        <f>IF($A116="","",_xlfn.SUMIFS(Socle!$V$1:$V$448,Socle!$C$1:$C$448,$A116,Socle!$D$1:$D$448,$C116,Socle!$E$1:$E$448,$D116,Socle!$F$1:$F$448,$E116,Socle!$G$1:$G$448,"2026"))</f>
        <v>0</v>
      </c>
      <c r="N116">
        <f t="shared" si="0"/>
        <v>1</v>
      </c>
      <c r="O116">
        <f>IF($A116="","",_xlfn.SUMIFS(Campagne!$D$1:$D$128,Campagne!$C$1:$C$128,$A116))</f>
        <v>265</v>
      </c>
      <c r="P116">
        <f>IF($A116="","",_xlfn.SUMIFS(Campagne!$E$1:$E$128,Campagne!$C$1:$C$128,$A116))</f>
        <v>415</v>
      </c>
      <c r="Q116">
        <f>IF($A116="","",_xlfn.SUMIFS(Campagne!$F$1:$F$128,Campagne!$C$1:$C$128,$A116))</f>
        <v>680</v>
      </c>
      <c r="R116">
        <f>IF($A116="","",_xlfn.SUMIFS(Campagne!$K$1:$K$128,Campagne!$C$1:$C$128,$A116))</f>
        <v>0.58787584</v>
      </c>
      <c r="S116">
        <f>IF($A116="","",_xlfn.SUMIFS(Campagne!$M$1:$M$128,Campagne!$C$1:$C$128,$A116))</f>
        <v>0.317354177</v>
      </c>
      <c r="T116">
        <f>IF($A116="","",_xlfn.SUMIFS(PIL!$K$15:$K$28,PIL!$A$15:$A$28,$A116)*_xlfn.SUMIFS(PIL!$J$15:$J$28,PIL!$A$15:$A$28,$A116)*(SUM(PIL!$K$15:$K$28)/SUMPRODUCT(PIL!$K$15:$K$28,PIL!$J$15:$J$28)))</f>
        <v>14933</v>
      </c>
      <c r="U116">
        <f>IF($A116="","",_xlfn.SUMIFS(PIL!$K$15:$K$28,PIL!$A$15:$A$28,$A116))</f>
        <v>14933</v>
      </c>
      <c r="V116" t="s">
        <v>274</v>
      </c>
      <c r="W116" t="s">
        <v>274</v>
      </c>
      <c r="X116" t="s">
        <v>274</v>
      </c>
      <c r="Y116" t="s">
        <v>274</v>
      </c>
      <c r="Z116" t="s">
        <v>274</v>
      </c>
      <c r="AA116" t="s">
        <v>274</v>
      </c>
      <c r="AB116" t="s">
        <v>274</v>
      </c>
      <c r="AC116" t="s">
        <v>274</v>
      </c>
      <c r="AD116" t="e">
        <f t="shared" si="1"/>
        <v>#VALUE!</v>
      </c>
      <c r="AE116" t="e">
        <f t="shared" si="2"/>
        <v>#VALUE!</v>
      </c>
      <c r="AF116" t="e">
        <f t="shared" si="3"/>
        <v>#VALUE!</v>
      </c>
      <c r="AG116" t="e">
        <f t="shared" si="4"/>
        <v>#VALUE!</v>
      </c>
      <c r="AH116" t="e">
        <f t="shared" si="5"/>
        <v>#VALUE!</v>
      </c>
    </row>
    <row r="117" ht="14.25" customHeight="1">
      <c r="A117" t="str">
        <f>IF(Moteur!D117="","",Moteur!D117)</f>
        <v>IPAC_REN</v>
      </c>
      <c r="B117" t="str">
        <f>IF(Moteur!B117="","",Moteur!B117)</f>
        <v>V02</v>
      </c>
      <c r="C117" t="str">
        <f>IF(Moteur!F117="","",Moteur!F117)</f>
        <v>BAC_CCE</v>
      </c>
      <c r="D117" t="str">
        <f>IF(Moteur!G117="","",Moteur!G117)</f>
        <v>B1</v>
      </c>
      <c r="E117" t="str">
        <f>IF(Moteur!H117="","",Moteur!H117)</f>
        <v>ALT</v>
      </c>
      <c r="F117" t="str">
        <f>IF(Moteur!E117="","",Moteur!E117)</f>
        <v>IPAC</v>
      </c>
      <c r="G117">
        <f>IF($A117="","",_xlfn.SUMIFS(Socle!$H$1:$H$448,Socle!$C$1:$C$448,$A117,Socle!$D$1:$D$448,$C117,Socle!$E$1:$E$448,$D117,Socle!$F$1:$F$448,$E117,Socle!$G$1:$G$448,"2026"))</f>
        <v>1360</v>
      </c>
      <c r="H117">
        <f>IF($A117="","",_xlfn.SUMIFS(Socle!$N$1:$N$448,Socle!$C$1:$C$448,$A117,Socle!$D$1:$D$448,$C117,Socle!$E$1:$E$448,$D117,Socle!$F$1:$F$448,$E117,Socle!$G$1:$G$448,"2026"))</f>
        <v>0</v>
      </c>
      <c r="I117">
        <f>IF($A117="","",_xlfn.SUMIFS(Socle!$P$1:$P$448,Socle!$C$1:$C$448,$A117,Socle!$D$1:$D$448,$C117,Socle!$E$1:$E$448,$D117,Socle!$F$1:$F$448,$E117,Socle!$G$1:$G$448,"2026"))</f>
        <v>13300</v>
      </c>
      <c r="J117">
        <f>IF($A117="","",_xlfn.SUMIFS(Socle!$W$1:$W$448,Socle!$C$1:$C$448,$A117,Socle!$D$1:$D$448,$C117,Socle!$E$1:$E$448,$D117,Socle!$F$1:$F$448,$E117,Socle!$G$1:$G$448,"2026"))</f>
        <v>0.4</v>
      </c>
      <c r="K117">
        <f>IF($A117="","",_xlfn.SUMIFS(Socle!$X$1:$X$448,Socle!$C$1:$C$448,$A117,Socle!$D$1:$D$448,$C117,Socle!$E$1:$E$448,$D117,Socle!$F$1:$F$448,$E117,Socle!$G$1:$G$448,"2026"))</f>
        <v>1.397058824</v>
      </c>
      <c r="L117">
        <f>IF($A117="","",_xlfn.SUMIFS(Socle!$Y$1:$Y$448,Socle!$C$1:$C$448,$A117,Socle!$D$1:$D$448,$C117,Socle!$E$1:$E$448,$D117,Socle!$F$1:$F$448,$E117,Socle!$G$1:$G$448,"2026"))</f>
        <v>0.842105264</v>
      </c>
      <c r="M117">
        <f>IF($A117="","",_xlfn.SUMIFS(Socle!$V$1:$V$448,Socle!$C$1:$C$448,$A117,Socle!$D$1:$D$448,$C117,Socle!$E$1:$E$448,$D117,Socle!$F$1:$F$448,$E117,Socle!$G$1:$G$448,"2026"))</f>
        <v>0</v>
      </c>
      <c r="N117">
        <f t="shared" si="0"/>
        <v>1</v>
      </c>
      <c r="O117">
        <f>IF($A117="","",_xlfn.SUMIFS(Campagne!$D$1:$D$128,Campagne!$C$1:$C$128,$A117))</f>
        <v>265</v>
      </c>
      <c r="P117">
        <f>IF($A117="","",_xlfn.SUMIFS(Campagne!$E$1:$E$128,Campagne!$C$1:$C$128,$A117))</f>
        <v>415</v>
      </c>
      <c r="Q117">
        <f>IF($A117="","",_xlfn.SUMIFS(Campagne!$F$1:$F$128,Campagne!$C$1:$C$128,$A117))</f>
        <v>680</v>
      </c>
      <c r="R117">
        <f>IF($A117="","",_xlfn.SUMIFS(Campagne!$K$1:$K$128,Campagne!$C$1:$C$128,$A117))</f>
        <v>0.58787584</v>
      </c>
      <c r="S117">
        <f>IF($A117="","",_xlfn.SUMIFS(Campagne!$M$1:$M$128,Campagne!$C$1:$C$128,$A117))</f>
        <v>0.317354177</v>
      </c>
      <c r="T117">
        <f>IF($A117="","",_xlfn.SUMIFS(PIL!$K$15:$K$28,PIL!$A$15:$A$28,$A117)*_xlfn.SUMIFS(PIL!$J$15:$J$28,PIL!$A$15:$A$28,$A117)*(SUM(PIL!$K$15:$K$28)/SUMPRODUCT(PIL!$K$15:$K$28,PIL!$J$15:$J$28)))</f>
        <v>14933</v>
      </c>
      <c r="U117">
        <f>IF($A117="","",_xlfn.SUMIFS(PIL!$K$15:$K$28,PIL!$A$15:$A$28,$A117))</f>
        <v>14933</v>
      </c>
      <c r="V117" t="s">
        <v>274</v>
      </c>
      <c r="W117" t="s">
        <v>274</v>
      </c>
      <c r="X117" t="s">
        <v>274</v>
      </c>
      <c r="Y117" t="s">
        <v>274</v>
      </c>
      <c r="Z117" t="s">
        <v>274</v>
      </c>
      <c r="AA117" t="s">
        <v>274</v>
      </c>
      <c r="AB117" t="s">
        <v>274</v>
      </c>
      <c r="AC117" t="s">
        <v>274</v>
      </c>
      <c r="AD117" t="e">
        <f t="shared" si="1"/>
        <v>#VALUE!</v>
      </c>
      <c r="AE117" t="e">
        <f t="shared" si="2"/>
        <v>#VALUE!</v>
      </c>
      <c r="AF117" t="e">
        <f t="shared" si="3"/>
        <v>#VALUE!</v>
      </c>
      <c r="AG117" t="e">
        <f t="shared" si="4"/>
        <v>#VALUE!</v>
      </c>
      <c r="AH117" t="e">
        <f t="shared" si="5"/>
        <v>#VALUE!</v>
      </c>
    </row>
    <row r="118" ht="14.25" customHeight="1">
      <c r="A118" t="str">
        <f>IF(Moteur!D118="","",Moteur!D118)</f>
        <v>IPAC_REN</v>
      </c>
      <c r="B118" t="str">
        <f>IF(Moteur!B118="","",Moteur!B118)</f>
        <v>V03</v>
      </c>
      <c r="C118" t="str">
        <f>IF(Moteur!F118="","",Moteur!F118)</f>
        <v>BAC_CCE</v>
      </c>
      <c r="D118" t="str">
        <f>IF(Moteur!G118="","",Moteur!G118)</f>
        <v>B1</v>
      </c>
      <c r="E118" t="str">
        <f>IF(Moteur!H118="","",Moteur!H118)</f>
        <v>ALT</v>
      </c>
      <c r="F118" t="str">
        <f>IF(Moteur!E118="","",Moteur!E118)</f>
        <v>IPAC</v>
      </c>
      <c r="G118">
        <f>IF($A118="","",_xlfn.SUMIFS(Socle!$H$1:$H$448,Socle!$C$1:$C$448,$A118,Socle!$D$1:$D$448,$C118,Socle!$E$1:$E$448,$D118,Socle!$F$1:$F$448,$E118,Socle!$G$1:$G$448,"2026"))</f>
        <v>1360</v>
      </c>
      <c r="H118">
        <f>IF($A118="","",_xlfn.SUMIFS(Socle!$N$1:$N$448,Socle!$C$1:$C$448,$A118,Socle!$D$1:$D$448,$C118,Socle!$E$1:$E$448,$D118,Socle!$F$1:$F$448,$E118,Socle!$G$1:$G$448,"2026"))</f>
        <v>0</v>
      </c>
      <c r="I118">
        <f>IF($A118="","",_xlfn.SUMIFS(Socle!$P$1:$P$448,Socle!$C$1:$C$448,$A118,Socle!$D$1:$D$448,$C118,Socle!$E$1:$E$448,$D118,Socle!$F$1:$F$448,$E118,Socle!$G$1:$G$448,"2026"))</f>
        <v>13300</v>
      </c>
      <c r="J118">
        <f>IF($A118="","",_xlfn.SUMIFS(Socle!$W$1:$W$448,Socle!$C$1:$C$448,$A118,Socle!$D$1:$D$448,$C118,Socle!$E$1:$E$448,$D118,Socle!$F$1:$F$448,$E118,Socle!$G$1:$G$448,"2026"))</f>
        <v>0.4</v>
      </c>
      <c r="K118">
        <f>IF($A118="","",_xlfn.SUMIFS(Socle!$X$1:$X$448,Socle!$C$1:$C$448,$A118,Socle!$D$1:$D$448,$C118,Socle!$E$1:$E$448,$D118,Socle!$F$1:$F$448,$E118,Socle!$G$1:$G$448,"2026"))</f>
        <v>1.397058824</v>
      </c>
      <c r="L118">
        <f>IF($A118="","",_xlfn.SUMIFS(Socle!$Y$1:$Y$448,Socle!$C$1:$C$448,$A118,Socle!$D$1:$D$448,$C118,Socle!$E$1:$E$448,$D118,Socle!$F$1:$F$448,$E118,Socle!$G$1:$G$448,"2026"))</f>
        <v>0.842105264</v>
      </c>
      <c r="M118">
        <f>IF($A118="","",_xlfn.SUMIFS(Socle!$V$1:$V$448,Socle!$C$1:$C$448,$A118,Socle!$D$1:$D$448,$C118,Socle!$E$1:$E$448,$D118,Socle!$F$1:$F$448,$E118,Socle!$G$1:$G$448,"2026"))</f>
        <v>0</v>
      </c>
      <c r="N118">
        <f t="shared" si="0"/>
        <v>1</v>
      </c>
      <c r="O118">
        <f>IF($A118="","",_xlfn.SUMIFS(Campagne!$D$1:$D$128,Campagne!$C$1:$C$128,$A118))</f>
        <v>265</v>
      </c>
      <c r="P118">
        <f>IF($A118="","",_xlfn.SUMIFS(Campagne!$E$1:$E$128,Campagne!$C$1:$C$128,$A118))</f>
        <v>415</v>
      </c>
      <c r="Q118">
        <f>IF($A118="","",_xlfn.SUMIFS(Campagne!$F$1:$F$128,Campagne!$C$1:$C$128,$A118))</f>
        <v>680</v>
      </c>
      <c r="R118">
        <f>IF($A118="","",_xlfn.SUMIFS(Campagne!$K$1:$K$128,Campagne!$C$1:$C$128,$A118))</f>
        <v>0.58787584</v>
      </c>
      <c r="S118">
        <f>IF($A118="","",_xlfn.SUMIFS(Campagne!$M$1:$M$128,Campagne!$C$1:$C$128,$A118))</f>
        <v>0.317354177</v>
      </c>
      <c r="T118">
        <f>IF($A118="","",_xlfn.SUMIFS(PIL!$K$15:$K$28,PIL!$A$15:$A$28,$A118)*_xlfn.SUMIFS(PIL!$J$15:$J$28,PIL!$A$15:$A$28,$A118)*(SUM(PIL!$K$15:$K$28)/SUMPRODUCT(PIL!$K$15:$K$28,PIL!$J$15:$J$28)))</f>
        <v>14933</v>
      </c>
      <c r="U118">
        <f>IF($A118="","",_xlfn.SUMIFS(PIL!$K$15:$K$28,PIL!$A$15:$A$28,$A118))</f>
        <v>14933</v>
      </c>
      <c r="V118" t="s">
        <v>274</v>
      </c>
      <c r="W118" t="s">
        <v>274</v>
      </c>
      <c r="X118" t="s">
        <v>274</v>
      </c>
      <c r="Y118" t="s">
        <v>274</v>
      </c>
      <c r="Z118" t="s">
        <v>274</v>
      </c>
      <c r="AA118" t="s">
        <v>274</v>
      </c>
      <c r="AB118" t="s">
        <v>274</v>
      </c>
      <c r="AC118" t="s">
        <v>274</v>
      </c>
      <c r="AD118" t="e">
        <f t="shared" si="1"/>
        <v>#VALUE!</v>
      </c>
      <c r="AE118" t="e">
        <f t="shared" si="2"/>
        <v>#VALUE!</v>
      </c>
      <c r="AF118" t="e">
        <f t="shared" si="3"/>
        <v>#VALUE!</v>
      </c>
      <c r="AG118" t="e">
        <f t="shared" si="4"/>
        <v>#VALUE!</v>
      </c>
      <c r="AH118" t="e">
        <f t="shared" si="5"/>
        <v>#VALUE!</v>
      </c>
    </row>
    <row r="119" ht="14.25" customHeight="1">
      <c r="A119" t="str">
        <f>IF(Moteur!D119="","",Moteur!D119)</f>
        <v>IPAC_REN</v>
      </c>
      <c r="B119" t="str">
        <f>IF(Moteur!B119="","",Moteur!B119)</f>
        <v>V01</v>
      </c>
      <c r="C119" t="str">
        <f>IF(Moteur!F119="","",Moteur!F119)</f>
        <v>BAC_CCE</v>
      </c>
      <c r="D119" t="str">
        <f>IF(Moteur!G119="","",Moteur!G119)</f>
        <v>B2</v>
      </c>
      <c r="E119" t="str">
        <f>IF(Moteur!H119="","",Moteur!H119)</f>
        <v>ALT</v>
      </c>
      <c r="F119" t="str">
        <f>IF(Moteur!E119="","",Moteur!E119)</f>
        <v>IPAC</v>
      </c>
      <c r="G119">
        <f>IF($A119="","",_xlfn.SUMIFS(Socle!$H$1:$H$448,Socle!$C$1:$C$448,$A119,Socle!$D$1:$D$448,$C119,Socle!$E$1:$E$448,$D119,Socle!$F$1:$F$448,$E119,Socle!$G$1:$G$448,"2026"))</f>
        <v>0</v>
      </c>
      <c r="H119">
        <f>IF($A119="","",_xlfn.SUMIFS(Socle!$N$1:$N$448,Socle!$C$1:$C$448,$A119,Socle!$D$1:$D$448,$C119,Socle!$E$1:$E$448,$D119,Socle!$F$1:$F$448,$E119,Socle!$G$1:$G$448,"2026"))</f>
        <v>80</v>
      </c>
      <c r="I119">
        <f>IF($A119="","",_xlfn.SUMIFS(Socle!$P$1:$P$448,Socle!$C$1:$C$448,$A119,Socle!$D$1:$D$448,$C119,Socle!$E$1:$E$448,$D119,Socle!$F$1:$F$448,$E119,Socle!$G$1:$G$448,"2026"))</f>
        <v>13300</v>
      </c>
      <c r="J119">
        <f>IF($A119="","",_xlfn.SUMIFS(Socle!$W$1:$W$448,Socle!$C$1:$C$448,$A119,Socle!$D$1:$D$448,$C119,Socle!$E$1:$E$448,$D119,Socle!$F$1:$F$448,$E119,Socle!$G$1:$G$448,"2026"))</f>
        <v>0</v>
      </c>
      <c r="K119">
        <f>IF($A119="","",_xlfn.SUMIFS(Socle!$X$1:$X$448,Socle!$C$1:$C$448,$A119,Socle!$D$1:$D$448,$C119,Socle!$E$1:$E$448,$D119,Socle!$F$1:$F$448,$E119,Socle!$G$1:$G$448,"2026"))</f>
        <v>0</v>
      </c>
      <c r="L119">
        <f>IF($A119="","",_xlfn.SUMIFS(Socle!$Y$1:$Y$448,Socle!$C$1:$C$448,$A119,Socle!$D$1:$D$448,$C119,Socle!$E$1:$E$448,$D119,Socle!$F$1:$F$448,$E119,Socle!$G$1:$G$448,"2026"))</f>
        <v>0</v>
      </c>
      <c r="M119">
        <f>IF($A119="","",_xlfn.SUMIFS(Socle!$V$1:$V$448,Socle!$C$1:$C$448,$A119,Socle!$D$1:$D$448,$C119,Socle!$E$1:$E$448,$D119,Socle!$F$1:$F$448,$E119,Socle!$G$1:$G$448,"2026"))</f>
        <v>1.95</v>
      </c>
      <c r="N119">
        <f t="shared" si="0"/>
        <v>0</v>
      </c>
      <c r="O119">
        <f>IF($A119="","",_xlfn.SUMIFS(Campagne!$D$1:$D$128,Campagne!$C$1:$C$128,$A119))</f>
        <v>265</v>
      </c>
      <c r="P119">
        <f>IF($A119="","",_xlfn.SUMIFS(Campagne!$E$1:$E$128,Campagne!$C$1:$C$128,$A119))</f>
        <v>415</v>
      </c>
      <c r="Q119">
        <f>IF($A119="","",_xlfn.SUMIFS(Campagne!$F$1:$F$128,Campagne!$C$1:$C$128,$A119))</f>
        <v>680</v>
      </c>
      <c r="R119">
        <f>IF($A119="","",_xlfn.SUMIFS(Campagne!$K$1:$K$128,Campagne!$C$1:$C$128,$A119))</f>
        <v>0.58787584</v>
      </c>
      <c r="S119">
        <f>IF($A119="","",_xlfn.SUMIFS(Campagne!$M$1:$M$128,Campagne!$C$1:$C$128,$A119))</f>
        <v>0.317354177</v>
      </c>
      <c r="T119">
        <f>IF($A119="","",_xlfn.SUMIFS(PIL!$K$15:$K$28,PIL!$A$15:$A$28,$A119)*_xlfn.SUMIFS(PIL!$J$15:$J$28,PIL!$A$15:$A$28,$A119)*(SUM(PIL!$K$15:$K$28)/SUMPRODUCT(PIL!$K$15:$K$28,PIL!$J$15:$J$28)))</f>
        <v>14933</v>
      </c>
      <c r="U119">
        <f>IF($A119="","",_xlfn.SUMIFS(PIL!$K$15:$K$28,PIL!$A$15:$A$28,$A119))</f>
        <v>14933</v>
      </c>
      <c r="V119" t="s">
        <v>274</v>
      </c>
      <c r="W119" t="s">
        <v>274</v>
      </c>
      <c r="X119" t="s">
        <v>274</v>
      </c>
      <c r="Y119" t="s">
        <v>274</v>
      </c>
      <c r="Z119" t="s">
        <v>274</v>
      </c>
      <c r="AA119" t="s">
        <v>274</v>
      </c>
      <c r="AB119" t="s">
        <v>274</v>
      </c>
      <c r="AC119" t="s">
        <v>274</v>
      </c>
      <c r="AD119" t="e">
        <f t="shared" si="1"/>
        <v>#VALUE!</v>
      </c>
      <c r="AE119">
        <f t="shared" si="2"/>
        <v>0</v>
      </c>
      <c r="AF119" t="e">
        <f t="shared" si="3"/>
        <v>#VALUE!</v>
      </c>
      <c r="AG119" t="e">
        <f t="shared" si="4"/>
        <v>#VALUE!</v>
      </c>
      <c r="AH119" t="e">
        <f t="shared" si="5"/>
        <v>#VALUE!</v>
      </c>
    </row>
    <row r="120" ht="14.25" customHeight="1">
      <c r="A120" t="str">
        <f>IF(Moteur!D120="","",Moteur!D120)</f>
        <v>IPAC_REN</v>
      </c>
      <c r="B120" t="str">
        <f>IF(Moteur!B120="","",Moteur!B120)</f>
        <v>V02</v>
      </c>
      <c r="C120" t="str">
        <f>IF(Moteur!F120="","",Moteur!F120)</f>
        <v>BAC_CCE</v>
      </c>
      <c r="D120" t="str">
        <f>IF(Moteur!G120="","",Moteur!G120)</f>
        <v>B2</v>
      </c>
      <c r="E120" t="str">
        <f>IF(Moteur!H120="","",Moteur!H120)</f>
        <v>ALT</v>
      </c>
      <c r="F120" t="str">
        <f>IF(Moteur!E120="","",Moteur!E120)</f>
        <v>IPAC</v>
      </c>
      <c r="G120">
        <f>IF($A120="","",_xlfn.SUMIFS(Socle!$H$1:$H$448,Socle!$C$1:$C$448,$A120,Socle!$D$1:$D$448,$C120,Socle!$E$1:$E$448,$D120,Socle!$F$1:$F$448,$E120,Socle!$G$1:$G$448,"2026"))</f>
        <v>0</v>
      </c>
      <c r="H120">
        <f>IF($A120="","",_xlfn.SUMIFS(Socle!$N$1:$N$448,Socle!$C$1:$C$448,$A120,Socle!$D$1:$D$448,$C120,Socle!$E$1:$E$448,$D120,Socle!$F$1:$F$448,$E120,Socle!$G$1:$G$448,"2026"))</f>
        <v>80</v>
      </c>
      <c r="I120">
        <f>IF($A120="","",_xlfn.SUMIFS(Socle!$P$1:$P$448,Socle!$C$1:$C$448,$A120,Socle!$D$1:$D$448,$C120,Socle!$E$1:$E$448,$D120,Socle!$F$1:$F$448,$E120,Socle!$G$1:$G$448,"2026"))</f>
        <v>13300</v>
      </c>
      <c r="J120">
        <f>IF($A120="","",_xlfn.SUMIFS(Socle!$W$1:$W$448,Socle!$C$1:$C$448,$A120,Socle!$D$1:$D$448,$C120,Socle!$E$1:$E$448,$D120,Socle!$F$1:$F$448,$E120,Socle!$G$1:$G$448,"2026"))</f>
        <v>0</v>
      </c>
      <c r="K120">
        <f>IF($A120="","",_xlfn.SUMIFS(Socle!$X$1:$X$448,Socle!$C$1:$C$448,$A120,Socle!$D$1:$D$448,$C120,Socle!$E$1:$E$448,$D120,Socle!$F$1:$F$448,$E120,Socle!$G$1:$G$448,"2026"))</f>
        <v>0</v>
      </c>
      <c r="L120">
        <f>IF($A120="","",_xlfn.SUMIFS(Socle!$Y$1:$Y$448,Socle!$C$1:$C$448,$A120,Socle!$D$1:$D$448,$C120,Socle!$E$1:$E$448,$D120,Socle!$F$1:$F$448,$E120,Socle!$G$1:$G$448,"2026"))</f>
        <v>0</v>
      </c>
      <c r="M120">
        <f>IF($A120="","",_xlfn.SUMIFS(Socle!$V$1:$V$448,Socle!$C$1:$C$448,$A120,Socle!$D$1:$D$448,$C120,Socle!$E$1:$E$448,$D120,Socle!$F$1:$F$448,$E120,Socle!$G$1:$G$448,"2026"))</f>
        <v>1.95</v>
      </c>
      <c r="N120">
        <f t="shared" si="0"/>
        <v>0</v>
      </c>
      <c r="O120">
        <f>IF($A120="","",_xlfn.SUMIFS(Campagne!$D$1:$D$128,Campagne!$C$1:$C$128,$A120))</f>
        <v>265</v>
      </c>
      <c r="P120">
        <f>IF($A120="","",_xlfn.SUMIFS(Campagne!$E$1:$E$128,Campagne!$C$1:$C$128,$A120))</f>
        <v>415</v>
      </c>
      <c r="Q120">
        <f>IF($A120="","",_xlfn.SUMIFS(Campagne!$F$1:$F$128,Campagne!$C$1:$C$128,$A120))</f>
        <v>680</v>
      </c>
      <c r="R120">
        <f>IF($A120="","",_xlfn.SUMIFS(Campagne!$K$1:$K$128,Campagne!$C$1:$C$128,$A120))</f>
        <v>0.58787584</v>
      </c>
      <c r="S120">
        <f>IF($A120="","",_xlfn.SUMIFS(Campagne!$M$1:$M$128,Campagne!$C$1:$C$128,$A120))</f>
        <v>0.317354177</v>
      </c>
      <c r="T120">
        <f>IF($A120="","",_xlfn.SUMIFS(PIL!$K$15:$K$28,PIL!$A$15:$A$28,$A120)*_xlfn.SUMIFS(PIL!$J$15:$J$28,PIL!$A$15:$A$28,$A120)*(SUM(PIL!$K$15:$K$28)/SUMPRODUCT(PIL!$K$15:$K$28,PIL!$J$15:$J$28)))</f>
        <v>14933</v>
      </c>
      <c r="U120">
        <f>IF($A120="","",_xlfn.SUMIFS(PIL!$K$15:$K$28,PIL!$A$15:$A$28,$A120))</f>
        <v>14933</v>
      </c>
      <c r="V120" t="s">
        <v>274</v>
      </c>
      <c r="W120" t="s">
        <v>274</v>
      </c>
      <c r="X120" t="s">
        <v>274</v>
      </c>
      <c r="Y120" t="s">
        <v>274</v>
      </c>
      <c r="Z120" t="s">
        <v>274</v>
      </c>
      <c r="AA120" t="s">
        <v>274</v>
      </c>
      <c r="AB120" t="s">
        <v>274</v>
      </c>
      <c r="AC120" t="s">
        <v>274</v>
      </c>
      <c r="AD120" t="e">
        <f t="shared" si="1"/>
        <v>#VALUE!</v>
      </c>
      <c r="AE120">
        <f t="shared" si="2"/>
        <v>0</v>
      </c>
      <c r="AF120" t="e">
        <f t="shared" si="3"/>
        <v>#VALUE!</v>
      </c>
      <c r="AG120" t="e">
        <f t="shared" si="4"/>
        <v>#VALUE!</v>
      </c>
      <c r="AH120" t="e">
        <f t="shared" si="5"/>
        <v>#VALUE!</v>
      </c>
    </row>
    <row r="121" ht="14.25" customHeight="1">
      <c r="A121" t="str">
        <f>IF(Moteur!D121="","",Moteur!D121)</f>
        <v>IPAC_REN</v>
      </c>
      <c r="B121" t="str">
        <f>IF(Moteur!B121="","",Moteur!B121)</f>
        <v>V03</v>
      </c>
      <c r="C121" t="str">
        <f>IF(Moteur!F121="","",Moteur!F121)</f>
        <v>BAC_CCE</v>
      </c>
      <c r="D121" t="str">
        <f>IF(Moteur!G121="","",Moteur!G121)</f>
        <v>B2</v>
      </c>
      <c r="E121" t="str">
        <f>IF(Moteur!H121="","",Moteur!H121)</f>
        <v>ALT</v>
      </c>
      <c r="F121" t="str">
        <f>IF(Moteur!E121="","",Moteur!E121)</f>
        <v>IPAC</v>
      </c>
      <c r="G121">
        <f>IF($A121="","",_xlfn.SUMIFS(Socle!$H$1:$H$448,Socle!$C$1:$C$448,$A121,Socle!$D$1:$D$448,$C121,Socle!$E$1:$E$448,$D121,Socle!$F$1:$F$448,$E121,Socle!$G$1:$G$448,"2026"))</f>
        <v>0</v>
      </c>
      <c r="H121">
        <f>IF($A121="","",_xlfn.SUMIFS(Socle!$N$1:$N$448,Socle!$C$1:$C$448,$A121,Socle!$D$1:$D$448,$C121,Socle!$E$1:$E$448,$D121,Socle!$F$1:$F$448,$E121,Socle!$G$1:$G$448,"2026"))</f>
        <v>80</v>
      </c>
      <c r="I121">
        <f>IF($A121="","",_xlfn.SUMIFS(Socle!$P$1:$P$448,Socle!$C$1:$C$448,$A121,Socle!$D$1:$D$448,$C121,Socle!$E$1:$E$448,$D121,Socle!$F$1:$F$448,$E121,Socle!$G$1:$G$448,"2026"))</f>
        <v>13300</v>
      </c>
      <c r="J121">
        <f>IF($A121="","",_xlfn.SUMIFS(Socle!$W$1:$W$448,Socle!$C$1:$C$448,$A121,Socle!$D$1:$D$448,$C121,Socle!$E$1:$E$448,$D121,Socle!$F$1:$F$448,$E121,Socle!$G$1:$G$448,"2026"))</f>
        <v>0</v>
      </c>
      <c r="K121">
        <f>IF($A121="","",_xlfn.SUMIFS(Socle!$X$1:$X$448,Socle!$C$1:$C$448,$A121,Socle!$D$1:$D$448,$C121,Socle!$E$1:$E$448,$D121,Socle!$F$1:$F$448,$E121,Socle!$G$1:$G$448,"2026"))</f>
        <v>0</v>
      </c>
      <c r="L121">
        <f>IF($A121="","",_xlfn.SUMIFS(Socle!$Y$1:$Y$448,Socle!$C$1:$C$448,$A121,Socle!$D$1:$D$448,$C121,Socle!$E$1:$E$448,$D121,Socle!$F$1:$F$448,$E121,Socle!$G$1:$G$448,"2026"))</f>
        <v>0</v>
      </c>
      <c r="M121">
        <f>IF($A121="","",_xlfn.SUMIFS(Socle!$V$1:$V$448,Socle!$C$1:$C$448,$A121,Socle!$D$1:$D$448,$C121,Socle!$E$1:$E$448,$D121,Socle!$F$1:$F$448,$E121,Socle!$G$1:$G$448,"2026"))</f>
        <v>1.95</v>
      </c>
      <c r="N121">
        <f t="shared" si="0"/>
        <v>0</v>
      </c>
      <c r="O121">
        <f>IF($A121="","",_xlfn.SUMIFS(Campagne!$D$1:$D$128,Campagne!$C$1:$C$128,$A121))</f>
        <v>265</v>
      </c>
      <c r="P121">
        <f>IF($A121="","",_xlfn.SUMIFS(Campagne!$E$1:$E$128,Campagne!$C$1:$C$128,$A121))</f>
        <v>415</v>
      </c>
      <c r="Q121">
        <f>IF($A121="","",_xlfn.SUMIFS(Campagne!$F$1:$F$128,Campagne!$C$1:$C$128,$A121))</f>
        <v>680</v>
      </c>
      <c r="R121">
        <f>IF($A121="","",_xlfn.SUMIFS(Campagne!$K$1:$K$128,Campagne!$C$1:$C$128,$A121))</f>
        <v>0.58787584</v>
      </c>
      <c r="S121">
        <f>IF($A121="","",_xlfn.SUMIFS(Campagne!$M$1:$M$128,Campagne!$C$1:$C$128,$A121))</f>
        <v>0.317354177</v>
      </c>
      <c r="T121">
        <f>IF($A121="","",_xlfn.SUMIFS(PIL!$K$15:$K$28,PIL!$A$15:$A$28,$A121)*_xlfn.SUMIFS(PIL!$J$15:$J$28,PIL!$A$15:$A$28,$A121)*(SUM(PIL!$K$15:$K$28)/SUMPRODUCT(PIL!$K$15:$K$28,PIL!$J$15:$J$28)))</f>
        <v>14933</v>
      </c>
      <c r="U121">
        <f>IF($A121="","",_xlfn.SUMIFS(PIL!$K$15:$K$28,PIL!$A$15:$A$28,$A121))</f>
        <v>14933</v>
      </c>
      <c r="V121" t="s">
        <v>274</v>
      </c>
      <c r="W121" t="s">
        <v>274</v>
      </c>
      <c r="X121" t="s">
        <v>274</v>
      </c>
      <c r="Y121" t="s">
        <v>274</v>
      </c>
      <c r="Z121" t="s">
        <v>274</v>
      </c>
      <c r="AA121" t="s">
        <v>274</v>
      </c>
      <c r="AB121" t="s">
        <v>274</v>
      </c>
      <c r="AC121" t="s">
        <v>274</v>
      </c>
      <c r="AD121" t="e">
        <f t="shared" si="1"/>
        <v>#VALUE!</v>
      </c>
      <c r="AE121">
        <f t="shared" si="2"/>
        <v>0</v>
      </c>
      <c r="AF121" t="e">
        <f t="shared" si="3"/>
        <v>#VALUE!</v>
      </c>
      <c r="AG121" t="e">
        <f t="shared" si="4"/>
        <v>#VALUE!</v>
      </c>
      <c r="AH121" t="e">
        <f t="shared" si="5"/>
        <v>#VALUE!</v>
      </c>
    </row>
    <row r="122" ht="14.25" customHeight="1">
      <c r="A122" t="str">
        <f>IF(Moteur!D122="","",Moteur!D122)</f>
        <v>IPAC_REN</v>
      </c>
      <c r="B122" t="str">
        <f>IF(Moteur!B122="","",Moteur!B122)</f>
        <v>V01</v>
      </c>
      <c r="C122" t="str">
        <f>IF(Moteur!F122="","",Moteur!F122)</f>
        <v>BAC_CCE</v>
      </c>
      <c r="D122" t="str">
        <f>IF(Moteur!G122="","",Moteur!G122)</f>
        <v>B3</v>
      </c>
      <c r="E122" t="str">
        <f>IF(Moteur!H122="","",Moteur!H122)</f>
        <v>ALT</v>
      </c>
      <c r="F122" t="str">
        <f>IF(Moteur!E122="","",Moteur!E122)</f>
        <v>IPAC</v>
      </c>
      <c r="G122">
        <f>IF($A122="","",_xlfn.SUMIFS(Socle!$H$1:$H$448,Socle!$C$1:$C$448,$A122,Socle!$D$1:$D$448,$C122,Socle!$E$1:$E$448,$D122,Socle!$F$1:$F$448,$E122,Socle!$G$1:$G$448,"2026"))</f>
        <v>0</v>
      </c>
      <c r="H122">
        <f>IF($A122="","",_xlfn.SUMIFS(Socle!$N$1:$N$448,Socle!$C$1:$C$448,$A122,Socle!$D$1:$D$448,$C122,Socle!$E$1:$E$448,$D122,Socle!$F$1:$F$448,$E122,Socle!$G$1:$G$448,"2026"))</f>
        <v>78</v>
      </c>
      <c r="I122">
        <f>IF($A122="","",_xlfn.SUMIFS(Socle!$P$1:$P$448,Socle!$C$1:$C$448,$A122,Socle!$D$1:$D$448,$C122,Socle!$E$1:$E$448,$D122,Socle!$F$1:$F$448,$E122,Socle!$G$1:$G$448,"2026"))</f>
        <v>13300</v>
      </c>
      <c r="J122">
        <f>IF($A122="","",_xlfn.SUMIFS(Socle!$W$1:$W$448,Socle!$C$1:$C$448,$A122,Socle!$D$1:$D$448,$C122,Socle!$E$1:$E$448,$D122,Socle!$F$1:$F$448,$E122,Socle!$G$1:$G$448,"2026"))</f>
        <v>0</v>
      </c>
      <c r="K122">
        <f>IF($A122="","",_xlfn.SUMIFS(Socle!$X$1:$X$448,Socle!$C$1:$C$448,$A122,Socle!$D$1:$D$448,$C122,Socle!$E$1:$E$448,$D122,Socle!$F$1:$F$448,$E122,Socle!$G$1:$G$448,"2026"))</f>
        <v>0</v>
      </c>
      <c r="L122">
        <f>IF($A122="","",_xlfn.SUMIFS(Socle!$Y$1:$Y$448,Socle!$C$1:$C$448,$A122,Socle!$D$1:$D$448,$C122,Socle!$E$1:$E$448,$D122,Socle!$F$1:$F$448,$E122,Socle!$G$1:$G$448,"2026"))</f>
        <v>0</v>
      </c>
      <c r="M122">
        <f>IF($A122="","",_xlfn.SUMIFS(Socle!$V$1:$V$448,Socle!$C$1:$C$448,$A122,Socle!$D$1:$D$448,$C122,Socle!$E$1:$E$448,$D122,Socle!$F$1:$F$448,$E122,Socle!$G$1:$G$448,"2026"))</f>
        <v>1.948717948</v>
      </c>
      <c r="N122">
        <f t="shared" si="0"/>
        <v>0</v>
      </c>
      <c r="O122">
        <f>IF($A122="","",_xlfn.SUMIFS(Campagne!$D$1:$D$128,Campagne!$C$1:$C$128,$A122))</f>
        <v>265</v>
      </c>
      <c r="P122">
        <f>IF($A122="","",_xlfn.SUMIFS(Campagne!$E$1:$E$128,Campagne!$C$1:$C$128,$A122))</f>
        <v>415</v>
      </c>
      <c r="Q122">
        <f>IF($A122="","",_xlfn.SUMIFS(Campagne!$F$1:$F$128,Campagne!$C$1:$C$128,$A122))</f>
        <v>680</v>
      </c>
      <c r="R122">
        <f>IF($A122="","",_xlfn.SUMIFS(Campagne!$K$1:$K$128,Campagne!$C$1:$C$128,$A122))</f>
        <v>0.58787584</v>
      </c>
      <c r="S122">
        <f>IF($A122="","",_xlfn.SUMIFS(Campagne!$M$1:$M$128,Campagne!$C$1:$C$128,$A122))</f>
        <v>0.317354177</v>
      </c>
      <c r="T122">
        <f>IF($A122="","",_xlfn.SUMIFS(PIL!$K$15:$K$28,PIL!$A$15:$A$28,$A122)*_xlfn.SUMIFS(PIL!$J$15:$J$28,PIL!$A$15:$A$28,$A122)*(SUM(PIL!$K$15:$K$28)/SUMPRODUCT(PIL!$K$15:$K$28,PIL!$J$15:$J$28)))</f>
        <v>14933</v>
      </c>
      <c r="U122">
        <f>IF($A122="","",_xlfn.SUMIFS(PIL!$K$15:$K$28,PIL!$A$15:$A$28,$A122))</f>
        <v>14933</v>
      </c>
      <c r="V122" t="s">
        <v>274</v>
      </c>
      <c r="W122" t="s">
        <v>274</v>
      </c>
      <c r="X122" t="s">
        <v>274</v>
      </c>
      <c r="Y122" t="s">
        <v>274</v>
      </c>
      <c r="Z122" t="s">
        <v>274</v>
      </c>
      <c r="AA122" t="s">
        <v>274</v>
      </c>
      <c r="AB122" t="s">
        <v>274</v>
      </c>
      <c r="AC122" t="s">
        <v>274</v>
      </c>
      <c r="AD122" t="e">
        <f t="shared" si="1"/>
        <v>#VALUE!</v>
      </c>
      <c r="AE122">
        <f t="shared" si="2"/>
        <v>0</v>
      </c>
      <c r="AF122" t="e">
        <f t="shared" si="3"/>
        <v>#VALUE!</v>
      </c>
      <c r="AG122" t="e">
        <f t="shared" si="4"/>
        <v>#VALUE!</v>
      </c>
      <c r="AH122" t="e">
        <f t="shared" si="5"/>
        <v>#VALUE!</v>
      </c>
    </row>
    <row r="123" ht="14.25" customHeight="1">
      <c r="A123" t="str">
        <f>IF(Moteur!D123="","",Moteur!D123)</f>
        <v>IPAC_REN</v>
      </c>
      <c r="B123" t="str">
        <f>IF(Moteur!B123="","",Moteur!B123)</f>
        <v>V02</v>
      </c>
      <c r="C123" t="str">
        <f>IF(Moteur!F123="","",Moteur!F123)</f>
        <v>BAC_CCE</v>
      </c>
      <c r="D123" t="str">
        <f>IF(Moteur!G123="","",Moteur!G123)</f>
        <v>B3</v>
      </c>
      <c r="E123" t="str">
        <f>IF(Moteur!H123="","",Moteur!H123)</f>
        <v>ALT</v>
      </c>
      <c r="F123" t="str">
        <f>IF(Moteur!E123="","",Moteur!E123)</f>
        <v>IPAC</v>
      </c>
      <c r="G123">
        <f>IF($A123="","",_xlfn.SUMIFS(Socle!$H$1:$H$448,Socle!$C$1:$C$448,$A123,Socle!$D$1:$D$448,$C123,Socle!$E$1:$E$448,$D123,Socle!$F$1:$F$448,$E123,Socle!$G$1:$G$448,"2026"))</f>
        <v>0</v>
      </c>
      <c r="H123">
        <f>IF($A123="","",_xlfn.SUMIFS(Socle!$N$1:$N$448,Socle!$C$1:$C$448,$A123,Socle!$D$1:$D$448,$C123,Socle!$E$1:$E$448,$D123,Socle!$F$1:$F$448,$E123,Socle!$G$1:$G$448,"2026"))</f>
        <v>78</v>
      </c>
      <c r="I123">
        <f>IF($A123="","",_xlfn.SUMIFS(Socle!$P$1:$P$448,Socle!$C$1:$C$448,$A123,Socle!$D$1:$D$448,$C123,Socle!$E$1:$E$448,$D123,Socle!$F$1:$F$448,$E123,Socle!$G$1:$G$448,"2026"))</f>
        <v>13300</v>
      </c>
      <c r="J123">
        <f>IF($A123="","",_xlfn.SUMIFS(Socle!$W$1:$W$448,Socle!$C$1:$C$448,$A123,Socle!$D$1:$D$448,$C123,Socle!$E$1:$E$448,$D123,Socle!$F$1:$F$448,$E123,Socle!$G$1:$G$448,"2026"))</f>
        <v>0</v>
      </c>
      <c r="K123">
        <f>IF($A123="","",_xlfn.SUMIFS(Socle!$X$1:$X$448,Socle!$C$1:$C$448,$A123,Socle!$D$1:$D$448,$C123,Socle!$E$1:$E$448,$D123,Socle!$F$1:$F$448,$E123,Socle!$G$1:$G$448,"2026"))</f>
        <v>0</v>
      </c>
      <c r="L123">
        <f>IF($A123="","",_xlfn.SUMIFS(Socle!$Y$1:$Y$448,Socle!$C$1:$C$448,$A123,Socle!$D$1:$D$448,$C123,Socle!$E$1:$E$448,$D123,Socle!$F$1:$F$448,$E123,Socle!$G$1:$G$448,"2026"))</f>
        <v>0</v>
      </c>
      <c r="M123">
        <f>IF($A123="","",_xlfn.SUMIFS(Socle!$V$1:$V$448,Socle!$C$1:$C$448,$A123,Socle!$D$1:$D$448,$C123,Socle!$E$1:$E$448,$D123,Socle!$F$1:$F$448,$E123,Socle!$G$1:$G$448,"2026"))</f>
        <v>1.948717948</v>
      </c>
      <c r="N123">
        <f t="shared" si="0"/>
        <v>0</v>
      </c>
      <c r="O123">
        <f>IF($A123="","",_xlfn.SUMIFS(Campagne!$D$1:$D$128,Campagne!$C$1:$C$128,$A123))</f>
        <v>265</v>
      </c>
      <c r="P123">
        <f>IF($A123="","",_xlfn.SUMIFS(Campagne!$E$1:$E$128,Campagne!$C$1:$C$128,$A123))</f>
        <v>415</v>
      </c>
      <c r="Q123">
        <f>IF($A123="","",_xlfn.SUMIFS(Campagne!$F$1:$F$128,Campagne!$C$1:$C$128,$A123))</f>
        <v>680</v>
      </c>
      <c r="R123">
        <f>IF($A123="","",_xlfn.SUMIFS(Campagne!$K$1:$K$128,Campagne!$C$1:$C$128,$A123))</f>
        <v>0.58787584</v>
      </c>
      <c r="S123">
        <f>IF($A123="","",_xlfn.SUMIFS(Campagne!$M$1:$M$128,Campagne!$C$1:$C$128,$A123))</f>
        <v>0.317354177</v>
      </c>
      <c r="T123">
        <f>IF($A123="","",_xlfn.SUMIFS(PIL!$K$15:$K$28,PIL!$A$15:$A$28,$A123)*_xlfn.SUMIFS(PIL!$J$15:$J$28,PIL!$A$15:$A$28,$A123)*(SUM(PIL!$K$15:$K$28)/SUMPRODUCT(PIL!$K$15:$K$28,PIL!$J$15:$J$28)))</f>
        <v>14933</v>
      </c>
      <c r="U123">
        <f>IF($A123="","",_xlfn.SUMIFS(PIL!$K$15:$K$28,PIL!$A$15:$A$28,$A123))</f>
        <v>14933</v>
      </c>
      <c r="V123" t="s">
        <v>274</v>
      </c>
      <c r="W123" t="s">
        <v>274</v>
      </c>
      <c r="X123" t="s">
        <v>274</v>
      </c>
      <c r="Y123" t="s">
        <v>274</v>
      </c>
      <c r="Z123" t="s">
        <v>274</v>
      </c>
      <c r="AA123" t="s">
        <v>274</v>
      </c>
      <c r="AB123" t="s">
        <v>274</v>
      </c>
      <c r="AC123" t="s">
        <v>274</v>
      </c>
      <c r="AD123" t="e">
        <f t="shared" si="1"/>
        <v>#VALUE!</v>
      </c>
      <c r="AE123">
        <f t="shared" si="2"/>
        <v>0</v>
      </c>
      <c r="AF123" t="e">
        <f t="shared" si="3"/>
        <v>#VALUE!</v>
      </c>
      <c r="AG123" t="e">
        <f t="shared" si="4"/>
        <v>#VALUE!</v>
      </c>
      <c r="AH123" t="e">
        <f t="shared" si="5"/>
        <v>#VALUE!</v>
      </c>
    </row>
    <row r="124" ht="14.25" customHeight="1">
      <c r="A124" t="str">
        <f>IF(Moteur!D124="","",Moteur!D124)</f>
        <v>IPAC_REN</v>
      </c>
      <c r="B124" t="str">
        <f>IF(Moteur!B124="","",Moteur!B124)</f>
        <v>V03</v>
      </c>
      <c r="C124" t="str">
        <f>IF(Moteur!F124="","",Moteur!F124)</f>
        <v>BAC_CCE</v>
      </c>
      <c r="D124" t="str">
        <f>IF(Moteur!G124="","",Moteur!G124)</f>
        <v>B3</v>
      </c>
      <c r="E124" t="str">
        <f>IF(Moteur!H124="","",Moteur!H124)</f>
        <v>ALT</v>
      </c>
      <c r="F124" t="str">
        <f>IF(Moteur!E124="","",Moteur!E124)</f>
        <v>IPAC</v>
      </c>
      <c r="G124">
        <f>IF($A124="","",_xlfn.SUMIFS(Socle!$H$1:$H$448,Socle!$C$1:$C$448,$A124,Socle!$D$1:$D$448,$C124,Socle!$E$1:$E$448,$D124,Socle!$F$1:$F$448,$E124,Socle!$G$1:$G$448,"2026"))</f>
        <v>0</v>
      </c>
      <c r="H124">
        <f>IF($A124="","",_xlfn.SUMIFS(Socle!$N$1:$N$448,Socle!$C$1:$C$448,$A124,Socle!$D$1:$D$448,$C124,Socle!$E$1:$E$448,$D124,Socle!$F$1:$F$448,$E124,Socle!$G$1:$G$448,"2026"))</f>
        <v>78</v>
      </c>
      <c r="I124">
        <f>IF($A124="","",_xlfn.SUMIFS(Socle!$P$1:$P$448,Socle!$C$1:$C$448,$A124,Socle!$D$1:$D$448,$C124,Socle!$E$1:$E$448,$D124,Socle!$F$1:$F$448,$E124,Socle!$G$1:$G$448,"2026"))</f>
        <v>13300</v>
      </c>
      <c r="J124">
        <f>IF($A124="","",_xlfn.SUMIFS(Socle!$W$1:$W$448,Socle!$C$1:$C$448,$A124,Socle!$D$1:$D$448,$C124,Socle!$E$1:$E$448,$D124,Socle!$F$1:$F$448,$E124,Socle!$G$1:$G$448,"2026"))</f>
        <v>0</v>
      </c>
      <c r="K124">
        <f>IF($A124="","",_xlfn.SUMIFS(Socle!$X$1:$X$448,Socle!$C$1:$C$448,$A124,Socle!$D$1:$D$448,$C124,Socle!$E$1:$E$448,$D124,Socle!$F$1:$F$448,$E124,Socle!$G$1:$G$448,"2026"))</f>
        <v>0</v>
      </c>
      <c r="L124">
        <f>IF($A124="","",_xlfn.SUMIFS(Socle!$Y$1:$Y$448,Socle!$C$1:$C$448,$A124,Socle!$D$1:$D$448,$C124,Socle!$E$1:$E$448,$D124,Socle!$F$1:$F$448,$E124,Socle!$G$1:$G$448,"2026"))</f>
        <v>0</v>
      </c>
      <c r="M124">
        <f>IF($A124="","",_xlfn.SUMIFS(Socle!$V$1:$V$448,Socle!$C$1:$C$448,$A124,Socle!$D$1:$D$448,$C124,Socle!$E$1:$E$448,$D124,Socle!$F$1:$F$448,$E124,Socle!$G$1:$G$448,"2026"))</f>
        <v>1.948717948</v>
      </c>
      <c r="N124">
        <f t="shared" si="0"/>
        <v>0</v>
      </c>
      <c r="O124">
        <f>IF($A124="","",_xlfn.SUMIFS(Campagne!$D$1:$D$128,Campagne!$C$1:$C$128,$A124))</f>
        <v>265</v>
      </c>
      <c r="P124">
        <f>IF($A124="","",_xlfn.SUMIFS(Campagne!$E$1:$E$128,Campagne!$C$1:$C$128,$A124))</f>
        <v>415</v>
      </c>
      <c r="Q124">
        <f>IF($A124="","",_xlfn.SUMIFS(Campagne!$F$1:$F$128,Campagne!$C$1:$C$128,$A124))</f>
        <v>680</v>
      </c>
      <c r="R124">
        <f>IF($A124="","",_xlfn.SUMIFS(Campagne!$K$1:$K$128,Campagne!$C$1:$C$128,$A124))</f>
        <v>0.58787584</v>
      </c>
      <c r="S124">
        <f>IF($A124="","",_xlfn.SUMIFS(Campagne!$M$1:$M$128,Campagne!$C$1:$C$128,$A124))</f>
        <v>0.317354177</v>
      </c>
      <c r="T124">
        <f>IF($A124="","",_xlfn.SUMIFS(PIL!$K$15:$K$28,PIL!$A$15:$A$28,$A124)*_xlfn.SUMIFS(PIL!$J$15:$J$28,PIL!$A$15:$A$28,$A124)*(SUM(PIL!$K$15:$K$28)/SUMPRODUCT(PIL!$K$15:$K$28,PIL!$J$15:$J$28)))</f>
        <v>14933</v>
      </c>
      <c r="U124">
        <f>IF($A124="","",_xlfn.SUMIFS(PIL!$K$15:$K$28,PIL!$A$15:$A$28,$A124))</f>
        <v>14933</v>
      </c>
      <c r="V124" t="s">
        <v>274</v>
      </c>
      <c r="W124" t="s">
        <v>274</v>
      </c>
      <c r="X124" t="s">
        <v>274</v>
      </c>
      <c r="Y124" t="s">
        <v>274</v>
      </c>
      <c r="Z124" t="s">
        <v>274</v>
      </c>
      <c r="AA124" t="s">
        <v>274</v>
      </c>
      <c r="AB124" t="s">
        <v>274</v>
      </c>
      <c r="AC124" t="s">
        <v>274</v>
      </c>
      <c r="AD124" t="e">
        <f t="shared" si="1"/>
        <v>#VALUE!</v>
      </c>
      <c r="AE124">
        <f t="shared" si="2"/>
        <v>0</v>
      </c>
      <c r="AF124" t="e">
        <f t="shared" si="3"/>
        <v>#VALUE!</v>
      </c>
      <c r="AG124" t="e">
        <f t="shared" si="4"/>
        <v>#VALUE!</v>
      </c>
      <c r="AH124" t="e">
        <f t="shared" si="5"/>
        <v>#VALUE!</v>
      </c>
    </row>
    <row r="125" ht="14.25" customHeight="1">
      <c r="A125" t="str">
        <f>IF(Moteur!D125="","",Moteur!D125)</f>
        <v>IPAC_MTP</v>
      </c>
      <c r="B125" t="str">
        <f>IF(Moteur!B125="","",Moteur!B125)</f>
        <v>V01</v>
      </c>
      <c r="C125" t="str">
        <f>IF(Moteur!F125="","",Moteur!F125)</f>
        <v>BAC_CCE</v>
      </c>
      <c r="D125" t="str">
        <f>IF(Moteur!G125="","",Moteur!G125)</f>
        <v>B1</v>
      </c>
      <c r="E125" t="str">
        <f>IF(Moteur!H125="","",Moteur!H125)</f>
        <v>ALT</v>
      </c>
      <c r="F125" t="str">
        <f>IF(Moteur!E125="","",Moteur!E125)</f>
        <v>IPAC</v>
      </c>
      <c r="G125">
        <f>IF($A125="","",_xlfn.SUMIFS(Socle!$H$1:$H$448,Socle!$C$1:$C$448,$A125,Socle!$D$1:$D$448,$C125,Socle!$E$1:$E$448,$D125,Socle!$F$1:$F$448,$E125,Socle!$G$1:$G$448,"2026"))</f>
        <v>1360</v>
      </c>
      <c r="H125">
        <f>IF($A125="","",_xlfn.SUMIFS(Socle!$N$1:$N$448,Socle!$C$1:$C$448,$A125,Socle!$D$1:$D$448,$C125,Socle!$E$1:$E$448,$D125,Socle!$F$1:$F$448,$E125,Socle!$G$1:$G$448,"2026"))</f>
        <v>0</v>
      </c>
      <c r="I125">
        <f>IF($A125="","",_xlfn.SUMIFS(Socle!$P$1:$P$448,Socle!$C$1:$C$448,$A125,Socle!$D$1:$D$448,$C125,Socle!$E$1:$E$448,$D125,Socle!$F$1:$F$448,$E125,Socle!$G$1:$G$448,"2026"))</f>
        <v>13300</v>
      </c>
      <c r="J125">
        <f>IF($A125="","",_xlfn.SUMIFS(Socle!$W$1:$W$448,Socle!$C$1:$C$448,$A125,Socle!$D$1:$D$448,$C125,Socle!$E$1:$E$448,$D125,Socle!$F$1:$F$448,$E125,Socle!$G$1:$G$448,"2026"))</f>
        <v>0.4</v>
      </c>
      <c r="K125">
        <f>IF($A125="","",_xlfn.SUMIFS(Socle!$X$1:$X$448,Socle!$C$1:$C$448,$A125,Socle!$D$1:$D$448,$C125,Socle!$E$1:$E$448,$D125,Socle!$F$1:$F$448,$E125,Socle!$G$1:$G$448,"2026"))</f>
        <v>1.397058824</v>
      </c>
      <c r="L125">
        <f>IF($A125="","",_xlfn.SUMIFS(Socle!$Y$1:$Y$448,Socle!$C$1:$C$448,$A125,Socle!$D$1:$D$448,$C125,Socle!$E$1:$E$448,$D125,Socle!$F$1:$F$448,$E125,Socle!$G$1:$G$448,"2026"))</f>
        <v>0.842105264</v>
      </c>
      <c r="M125">
        <f>IF($A125="","",_xlfn.SUMIFS(Socle!$V$1:$V$448,Socle!$C$1:$C$448,$A125,Socle!$D$1:$D$448,$C125,Socle!$E$1:$E$448,$D125,Socle!$F$1:$F$448,$E125,Socle!$G$1:$G$448,"2026"))</f>
        <v>0</v>
      </c>
      <c r="N125">
        <f t="shared" si="0"/>
        <v>1</v>
      </c>
      <c r="O125">
        <f>IF($A125="","",_xlfn.SUMIFS(Campagne!$D$1:$D$128,Campagne!$C$1:$C$128,$A125))</f>
        <v>258</v>
      </c>
      <c r="P125">
        <f>IF($A125="","",_xlfn.SUMIFS(Campagne!$E$1:$E$128,Campagne!$C$1:$C$128,$A125))</f>
        <v>422</v>
      </c>
      <c r="Q125">
        <f>IF($A125="","",_xlfn.SUMIFS(Campagne!$F$1:$F$128,Campagne!$C$1:$C$128,$A125))</f>
        <v>680</v>
      </c>
      <c r="R125">
        <f>IF($A125="","",_xlfn.SUMIFS(Campagne!$K$1:$K$128,Campagne!$C$1:$C$128,$A125))</f>
        <v>0.59134467</v>
      </c>
      <c r="S125">
        <f>IF($A125="","",_xlfn.SUMIFS(Campagne!$M$1:$M$128,Campagne!$C$1:$C$128,$A125))</f>
        <v>0.315275263</v>
      </c>
      <c r="T125">
        <f>IF($A125="","",_xlfn.SUMIFS(PIL!$K$15:$K$28,PIL!$A$15:$A$28,$A125)*_xlfn.SUMIFS(PIL!$J$15:$J$28,PIL!$A$15:$A$28,$A125)*(SUM(PIL!$K$15:$K$28)/SUMPRODUCT(PIL!$K$15:$K$28,PIL!$J$15:$J$28)))</f>
        <v>15178</v>
      </c>
      <c r="U125">
        <f>IF($A125="","",_xlfn.SUMIFS(PIL!$K$15:$K$28,PIL!$A$15:$A$28,$A125))</f>
        <v>15178</v>
      </c>
      <c r="V125" t="s">
        <v>274</v>
      </c>
      <c r="W125" t="s">
        <v>274</v>
      </c>
      <c r="X125" t="s">
        <v>274</v>
      </c>
      <c r="Y125" t="s">
        <v>274</v>
      </c>
      <c r="Z125" t="s">
        <v>274</v>
      </c>
      <c r="AA125" t="s">
        <v>274</v>
      </c>
      <c r="AB125" t="s">
        <v>274</v>
      </c>
      <c r="AC125" t="s">
        <v>274</v>
      </c>
      <c r="AD125" t="e">
        <f t="shared" si="1"/>
        <v>#VALUE!</v>
      </c>
      <c r="AE125" t="e">
        <f t="shared" si="2"/>
        <v>#VALUE!</v>
      </c>
      <c r="AF125" t="e">
        <f t="shared" si="3"/>
        <v>#VALUE!</v>
      </c>
      <c r="AG125" t="e">
        <f t="shared" si="4"/>
        <v>#VALUE!</v>
      </c>
      <c r="AH125" t="e">
        <f t="shared" si="5"/>
        <v>#VALUE!</v>
      </c>
    </row>
    <row r="126" ht="14.25" customHeight="1">
      <c r="A126" t="str">
        <f>IF(Moteur!D126="","",Moteur!D126)</f>
        <v>IPAC_MTP</v>
      </c>
      <c r="B126" t="str">
        <f>IF(Moteur!B126="","",Moteur!B126)</f>
        <v>V02</v>
      </c>
      <c r="C126" t="str">
        <f>IF(Moteur!F126="","",Moteur!F126)</f>
        <v>BAC_CCE</v>
      </c>
      <c r="D126" t="str">
        <f>IF(Moteur!G126="","",Moteur!G126)</f>
        <v>B1</v>
      </c>
      <c r="E126" t="str">
        <f>IF(Moteur!H126="","",Moteur!H126)</f>
        <v>ALT</v>
      </c>
      <c r="F126" t="str">
        <f>IF(Moteur!E126="","",Moteur!E126)</f>
        <v>IPAC</v>
      </c>
      <c r="G126">
        <f>IF($A126="","",_xlfn.SUMIFS(Socle!$H$1:$H$448,Socle!$C$1:$C$448,$A126,Socle!$D$1:$D$448,$C126,Socle!$E$1:$E$448,$D126,Socle!$F$1:$F$448,$E126,Socle!$G$1:$G$448,"2026"))</f>
        <v>1360</v>
      </c>
      <c r="H126">
        <f>IF($A126="","",_xlfn.SUMIFS(Socle!$N$1:$N$448,Socle!$C$1:$C$448,$A126,Socle!$D$1:$D$448,$C126,Socle!$E$1:$E$448,$D126,Socle!$F$1:$F$448,$E126,Socle!$G$1:$G$448,"2026"))</f>
        <v>0</v>
      </c>
      <c r="I126">
        <f>IF($A126="","",_xlfn.SUMIFS(Socle!$P$1:$P$448,Socle!$C$1:$C$448,$A126,Socle!$D$1:$D$448,$C126,Socle!$E$1:$E$448,$D126,Socle!$F$1:$F$448,$E126,Socle!$G$1:$G$448,"2026"))</f>
        <v>13300</v>
      </c>
      <c r="J126">
        <f>IF($A126="","",_xlfn.SUMIFS(Socle!$W$1:$W$448,Socle!$C$1:$C$448,$A126,Socle!$D$1:$D$448,$C126,Socle!$E$1:$E$448,$D126,Socle!$F$1:$F$448,$E126,Socle!$G$1:$G$448,"2026"))</f>
        <v>0.4</v>
      </c>
      <c r="K126">
        <f>IF($A126="","",_xlfn.SUMIFS(Socle!$X$1:$X$448,Socle!$C$1:$C$448,$A126,Socle!$D$1:$D$448,$C126,Socle!$E$1:$E$448,$D126,Socle!$F$1:$F$448,$E126,Socle!$G$1:$G$448,"2026"))</f>
        <v>1.397058824</v>
      </c>
      <c r="L126">
        <f>IF($A126="","",_xlfn.SUMIFS(Socle!$Y$1:$Y$448,Socle!$C$1:$C$448,$A126,Socle!$D$1:$D$448,$C126,Socle!$E$1:$E$448,$D126,Socle!$F$1:$F$448,$E126,Socle!$G$1:$G$448,"2026"))</f>
        <v>0.842105264</v>
      </c>
      <c r="M126">
        <f>IF($A126="","",_xlfn.SUMIFS(Socle!$V$1:$V$448,Socle!$C$1:$C$448,$A126,Socle!$D$1:$D$448,$C126,Socle!$E$1:$E$448,$D126,Socle!$F$1:$F$448,$E126,Socle!$G$1:$G$448,"2026"))</f>
        <v>0</v>
      </c>
      <c r="N126">
        <f t="shared" si="0"/>
        <v>1</v>
      </c>
      <c r="O126">
        <f>IF($A126="","",_xlfn.SUMIFS(Campagne!$D$1:$D$128,Campagne!$C$1:$C$128,$A126))</f>
        <v>258</v>
      </c>
      <c r="P126">
        <f>IF($A126="","",_xlfn.SUMIFS(Campagne!$E$1:$E$128,Campagne!$C$1:$C$128,$A126))</f>
        <v>422</v>
      </c>
      <c r="Q126">
        <f>IF($A126="","",_xlfn.SUMIFS(Campagne!$F$1:$F$128,Campagne!$C$1:$C$128,$A126))</f>
        <v>680</v>
      </c>
      <c r="R126">
        <f>IF($A126="","",_xlfn.SUMIFS(Campagne!$K$1:$K$128,Campagne!$C$1:$C$128,$A126))</f>
        <v>0.59134467</v>
      </c>
      <c r="S126">
        <f>IF($A126="","",_xlfn.SUMIFS(Campagne!$M$1:$M$128,Campagne!$C$1:$C$128,$A126))</f>
        <v>0.315275263</v>
      </c>
      <c r="T126">
        <f>IF($A126="","",_xlfn.SUMIFS(PIL!$K$15:$K$28,PIL!$A$15:$A$28,$A126)*_xlfn.SUMIFS(PIL!$J$15:$J$28,PIL!$A$15:$A$28,$A126)*(SUM(PIL!$K$15:$K$28)/SUMPRODUCT(PIL!$K$15:$K$28,PIL!$J$15:$J$28)))</f>
        <v>15178</v>
      </c>
      <c r="U126">
        <f>IF($A126="","",_xlfn.SUMIFS(PIL!$K$15:$K$28,PIL!$A$15:$A$28,$A126))</f>
        <v>15178</v>
      </c>
      <c r="V126" t="s">
        <v>274</v>
      </c>
      <c r="W126" t="s">
        <v>274</v>
      </c>
      <c r="X126" t="s">
        <v>274</v>
      </c>
      <c r="Y126" t="s">
        <v>274</v>
      </c>
      <c r="Z126" t="s">
        <v>274</v>
      </c>
      <c r="AA126" t="s">
        <v>274</v>
      </c>
      <c r="AB126" t="s">
        <v>274</v>
      </c>
      <c r="AC126" t="s">
        <v>274</v>
      </c>
      <c r="AD126" t="e">
        <f t="shared" si="1"/>
        <v>#VALUE!</v>
      </c>
      <c r="AE126" t="e">
        <f t="shared" si="2"/>
        <v>#VALUE!</v>
      </c>
      <c r="AF126" t="e">
        <f t="shared" si="3"/>
        <v>#VALUE!</v>
      </c>
      <c r="AG126" t="e">
        <f t="shared" si="4"/>
        <v>#VALUE!</v>
      </c>
      <c r="AH126" t="e">
        <f t="shared" si="5"/>
        <v>#VALUE!</v>
      </c>
    </row>
    <row r="127" ht="14.25" customHeight="1">
      <c r="A127" t="str">
        <f>IF(Moteur!D127="","",Moteur!D127)</f>
        <v>IPAC_MTP</v>
      </c>
      <c r="B127" t="str">
        <f>IF(Moteur!B127="","",Moteur!B127)</f>
        <v>V03</v>
      </c>
      <c r="C127" t="str">
        <f>IF(Moteur!F127="","",Moteur!F127)</f>
        <v>BAC_CCE</v>
      </c>
      <c r="D127" t="str">
        <f>IF(Moteur!G127="","",Moteur!G127)</f>
        <v>B1</v>
      </c>
      <c r="E127" t="str">
        <f>IF(Moteur!H127="","",Moteur!H127)</f>
        <v>ALT</v>
      </c>
      <c r="F127" t="str">
        <f>IF(Moteur!E127="","",Moteur!E127)</f>
        <v>IPAC</v>
      </c>
      <c r="G127">
        <f>IF($A127="","",_xlfn.SUMIFS(Socle!$H$1:$H$448,Socle!$C$1:$C$448,$A127,Socle!$D$1:$D$448,$C127,Socle!$E$1:$E$448,$D127,Socle!$F$1:$F$448,$E127,Socle!$G$1:$G$448,"2026"))</f>
        <v>1360</v>
      </c>
      <c r="H127">
        <f>IF($A127="","",_xlfn.SUMIFS(Socle!$N$1:$N$448,Socle!$C$1:$C$448,$A127,Socle!$D$1:$D$448,$C127,Socle!$E$1:$E$448,$D127,Socle!$F$1:$F$448,$E127,Socle!$G$1:$G$448,"2026"))</f>
        <v>0</v>
      </c>
      <c r="I127">
        <f>IF($A127="","",_xlfn.SUMIFS(Socle!$P$1:$P$448,Socle!$C$1:$C$448,$A127,Socle!$D$1:$D$448,$C127,Socle!$E$1:$E$448,$D127,Socle!$F$1:$F$448,$E127,Socle!$G$1:$G$448,"2026"))</f>
        <v>13300</v>
      </c>
      <c r="J127">
        <f>IF($A127="","",_xlfn.SUMIFS(Socle!$W$1:$W$448,Socle!$C$1:$C$448,$A127,Socle!$D$1:$D$448,$C127,Socle!$E$1:$E$448,$D127,Socle!$F$1:$F$448,$E127,Socle!$G$1:$G$448,"2026"))</f>
        <v>0.4</v>
      </c>
      <c r="K127">
        <f>IF($A127="","",_xlfn.SUMIFS(Socle!$X$1:$X$448,Socle!$C$1:$C$448,$A127,Socle!$D$1:$D$448,$C127,Socle!$E$1:$E$448,$D127,Socle!$F$1:$F$448,$E127,Socle!$G$1:$G$448,"2026"))</f>
        <v>1.397058824</v>
      </c>
      <c r="L127">
        <f>IF($A127="","",_xlfn.SUMIFS(Socle!$Y$1:$Y$448,Socle!$C$1:$C$448,$A127,Socle!$D$1:$D$448,$C127,Socle!$E$1:$E$448,$D127,Socle!$F$1:$F$448,$E127,Socle!$G$1:$G$448,"2026"))</f>
        <v>0.842105264</v>
      </c>
      <c r="M127">
        <f>IF($A127="","",_xlfn.SUMIFS(Socle!$V$1:$V$448,Socle!$C$1:$C$448,$A127,Socle!$D$1:$D$448,$C127,Socle!$E$1:$E$448,$D127,Socle!$F$1:$F$448,$E127,Socle!$G$1:$G$448,"2026"))</f>
        <v>0</v>
      </c>
      <c r="N127">
        <f t="shared" si="0"/>
        <v>1</v>
      </c>
      <c r="O127">
        <f>IF($A127="","",_xlfn.SUMIFS(Campagne!$D$1:$D$128,Campagne!$C$1:$C$128,$A127))</f>
        <v>258</v>
      </c>
      <c r="P127">
        <f>IF($A127="","",_xlfn.SUMIFS(Campagne!$E$1:$E$128,Campagne!$C$1:$C$128,$A127))</f>
        <v>422</v>
      </c>
      <c r="Q127">
        <f>IF($A127="","",_xlfn.SUMIFS(Campagne!$F$1:$F$128,Campagne!$C$1:$C$128,$A127))</f>
        <v>680</v>
      </c>
      <c r="R127">
        <f>IF($A127="","",_xlfn.SUMIFS(Campagne!$K$1:$K$128,Campagne!$C$1:$C$128,$A127))</f>
        <v>0.59134467</v>
      </c>
      <c r="S127">
        <f>IF($A127="","",_xlfn.SUMIFS(Campagne!$M$1:$M$128,Campagne!$C$1:$C$128,$A127))</f>
        <v>0.315275263</v>
      </c>
      <c r="T127">
        <f>IF($A127="","",_xlfn.SUMIFS(PIL!$K$15:$K$28,PIL!$A$15:$A$28,$A127)*_xlfn.SUMIFS(PIL!$J$15:$J$28,PIL!$A$15:$A$28,$A127)*(SUM(PIL!$K$15:$K$28)/SUMPRODUCT(PIL!$K$15:$K$28,PIL!$J$15:$J$28)))</f>
        <v>15178</v>
      </c>
      <c r="U127">
        <f>IF($A127="","",_xlfn.SUMIFS(PIL!$K$15:$K$28,PIL!$A$15:$A$28,$A127))</f>
        <v>15178</v>
      </c>
      <c r="V127" t="s">
        <v>274</v>
      </c>
      <c r="W127" t="s">
        <v>274</v>
      </c>
      <c r="X127" t="s">
        <v>274</v>
      </c>
      <c r="Y127" t="s">
        <v>274</v>
      </c>
      <c r="Z127" t="s">
        <v>274</v>
      </c>
      <c r="AA127" t="s">
        <v>274</v>
      </c>
      <c r="AB127" t="s">
        <v>274</v>
      </c>
      <c r="AC127" t="s">
        <v>274</v>
      </c>
      <c r="AD127" t="e">
        <f t="shared" si="1"/>
        <v>#VALUE!</v>
      </c>
      <c r="AE127" t="e">
        <f t="shared" si="2"/>
        <v>#VALUE!</v>
      </c>
      <c r="AF127" t="e">
        <f t="shared" si="3"/>
        <v>#VALUE!</v>
      </c>
      <c r="AG127" t="e">
        <f t="shared" si="4"/>
        <v>#VALUE!</v>
      </c>
      <c r="AH127" t="e">
        <f t="shared" si="5"/>
        <v>#VALUE!</v>
      </c>
    </row>
    <row r="128" ht="14.25" customHeight="1">
      <c r="A128" t="str">
        <f>IF(Moteur!D128="","",Moteur!D128)</f>
        <v>IPAC_MTP</v>
      </c>
      <c r="B128" t="str">
        <f>IF(Moteur!B128="","",Moteur!B128)</f>
        <v>V01</v>
      </c>
      <c r="C128" t="str">
        <f>IF(Moteur!F128="","",Moteur!F128)</f>
        <v>BAC_CCE</v>
      </c>
      <c r="D128" t="str">
        <f>IF(Moteur!G128="","",Moteur!G128)</f>
        <v>B2</v>
      </c>
      <c r="E128" t="str">
        <f>IF(Moteur!H128="","",Moteur!H128)</f>
        <v>ALT</v>
      </c>
      <c r="F128" t="str">
        <f>IF(Moteur!E128="","",Moteur!E128)</f>
        <v>IPAC</v>
      </c>
      <c r="G128">
        <f>IF($A128="","",_xlfn.SUMIFS(Socle!$H$1:$H$448,Socle!$C$1:$C$448,$A128,Socle!$D$1:$D$448,$C128,Socle!$E$1:$E$448,$D128,Socle!$F$1:$F$448,$E128,Socle!$G$1:$G$448,"2026"))</f>
        <v>0</v>
      </c>
      <c r="H128">
        <f>IF($A128="","",_xlfn.SUMIFS(Socle!$N$1:$N$448,Socle!$C$1:$C$448,$A128,Socle!$D$1:$D$448,$C128,Socle!$E$1:$E$448,$D128,Socle!$F$1:$F$448,$E128,Socle!$G$1:$G$448,"2026"))</f>
        <v>80</v>
      </c>
      <c r="I128">
        <f>IF($A128="","",_xlfn.SUMIFS(Socle!$P$1:$P$448,Socle!$C$1:$C$448,$A128,Socle!$D$1:$D$448,$C128,Socle!$E$1:$E$448,$D128,Socle!$F$1:$F$448,$E128,Socle!$G$1:$G$448,"2026"))</f>
        <v>13300</v>
      </c>
      <c r="J128">
        <f>IF($A128="","",_xlfn.SUMIFS(Socle!$W$1:$W$448,Socle!$C$1:$C$448,$A128,Socle!$D$1:$D$448,$C128,Socle!$E$1:$E$448,$D128,Socle!$F$1:$F$448,$E128,Socle!$G$1:$G$448,"2026"))</f>
        <v>0</v>
      </c>
      <c r="K128">
        <f>IF($A128="","",_xlfn.SUMIFS(Socle!$X$1:$X$448,Socle!$C$1:$C$448,$A128,Socle!$D$1:$D$448,$C128,Socle!$E$1:$E$448,$D128,Socle!$F$1:$F$448,$E128,Socle!$G$1:$G$448,"2026"))</f>
        <v>0</v>
      </c>
      <c r="L128">
        <f>IF($A128="","",_xlfn.SUMIFS(Socle!$Y$1:$Y$448,Socle!$C$1:$C$448,$A128,Socle!$D$1:$D$448,$C128,Socle!$E$1:$E$448,$D128,Socle!$F$1:$F$448,$E128,Socle!$G$1:$G$448,"2026"))</f>
        <v>0</v>
      </c>
      <c r="M128">
        <f>IF($A128="","",_xlfn.SUMIFS(Socle!$V$1:$V$448,Socle!$C$1:$C$448,$A128,Socle!$D$1:$D$448,$C128,Socle!$E$1:$E$448,$D128,Socle!$F$1:$F$448,$E128,Socle!$G$1:$G$448,"2026"))</f>
        <v>1.95</v>
      </c>
      <c r="N128">
        <f t="shared" si="0"/>
        <v>0</v>
      </c>
      <c r="O128">
        <f>IF($A128="","",_xlfn.SUMIFS(Campagne!$D$1:$D$128,Campagne!$C$1:$C$128,$A128))</f>
        <v>258</v>
      </c>
      <c r="P128">
        <f>IF($A128="","",_xlfn.SUMIFS(Campagne!$E$1:$E$128,Campagne!$C$1:$C$128,$A128))</f>
        <v>422</v>
      </c>
      <c r="Q128">
        <f>IF($A128="","",_xlfn.SUMIFS(Campagne!$F$1:$F$128,Campagne!$C$1:$C$128,$A128))</f>
        <v>680</v>
      </c>
      <c r="R128">
        <f>IF($A128="","",_xlfn.SUMIFS(Campagne!$K$1:$K$128,Campagne!$C$1:$C$128,$A128))</f>
        <v>0.59134467</v>
      </c>
      <c r="S128">
        <f>IF($A128="","",_xlfn.SUMIFS(Campagne!$M$1:$M$128,Campagne!$C$1:$C$128,$A128))</f>
        <v>0.315275263</v>
      </c>
      <c r="T128">
        <f>IF($A128="","",_xlfn.SUMIFS(PIL!$K$15:$K$28,PIL!$A$15:$A$28,$A128)*_xlfn.SUMIFS(PIL!$J$15:$J$28,PIL!$A$15:$A$28,$A128)*(SUM(PIL!$K$15:$K$28)/SUMPRODUCT(PIL!$K$15:$K$28,PIL!$J$15:$J$28)))</f>
        <v>15178</v>
      </c>
      <c r="U128">
        <f>IF($A128="","",_xlfn.SUMIFS(PIL!$K$15:$K$28,PIL!$A$15:$A$28,$A128))</f>
        <v>15178</v>
      </c>
      <c r="V128" t="s">
        <v>274</v>
      </c>
      <c r="W128" t="s">
        <v>274</v>
      </c>
      <c r="X128" t="s">
        <v>274</v>
      </c>
      <c r="Y128" t="s">
        <v>274</v>
      </c>
      <c r="Z128" t="s">
        <v>274</v>
      </c>
      <c r="AA128" t="s">
        <v>274</v>
      </c>
      <c r="AB128" t="s">
        <v>274</v>
      </c>
      <c r="AC128" t="s">
        <v>274</v>
      </c>
      <c r="AD128" t="e">
        <f t="shared" si="1"/>
        <v>#VALUE!</v>
      </c>
      <c r="AE128">
        <f t="shared" si="2"/>
        <v>0</v>
      </c>
      <c r="AF128" t="e">
        <f t="shared" si="3"/>
        <v>#VALUE!</v>
      </c>
      <c r="AG128" t="e">
        <f t="shared" si="4"/>
        <v>#VALUE!</v>
      </c>
      <c r="AH128" t="e">
        <f t="shared" si="5"/>
        <v>#VALUE!</v>
      </c>
    </row>
    <row r="129" ht="14.25" customHeight="1">
      <c r="A129" t="str">
        <f>IF(Moteur!D129="","",Moteur!D129)</f>
        <v>IPAC_MTP</v>
      </c>
      <c r="B129" t="str">
        <f>IF(Moteur!B129="","",Moteur!B129)</f>
        <v>V02</v>
      </c>
      <c r="C129" t="str">
        <f>IF(Moteur!F129="","",Moteur!F129)</f>
        <v>BAC_CCE</v>
      </c>
      <c r="D129" t="str">
        <f>IF(Moteur!G129="","",Moteur!G129)</f>
        <v>B2</v>
      </c>
      <c r="E129" t="str">
        <f>IF(Moteur!H129="","",Moteur!H129)</f>
        <v>ALT</v>
      </c>
      <c r="F129" t="str">
        <f>IF(Moteur!E129="","",Moteur!E129)</f>
        <v>IPAC</v>
      </c>
      <c r="G129">
        <f>IF($A129="","",_xlfn.SUMIFS(Socle!$H$1:$H$448,Socle!$C$1:$C$448,$A129,Socle!$D$1:$D$448,$C129,Socle!$E$1:$E$448,$D129,Socle!$F$1:$F$448,$E129,Socle!$G$1:$G$448,"2026"))</f>
        <v>0</v>
      </c>
      <c r="H129">
        <f>IF($A129="","",_xlfn.SUMIFS(Socle!$N$1:$N$448,Socle!$C$1:$C$448,$A129,Socle!$D$1:$D$448,$C129,Socle!$E$1:$E$448,$D129,Socle!$F$1:$F$448,$E129,Socle!$G$1:$G$448,"2026"))</f>
        <v>80</v>
      </c>
      <c r="I129">
        <f>IF($A129="","",_xlfn.SUMIFS(Socle!$P$1:$P$448,Socle!$C$1:$C$448,$A129,Socle!$D$1:$D$448,$C129,Socle!$E$1:$E$448,$D129,Socle!$F$1:$F$448,$E129,Socle!$G$1:$G$448,"2026"))</f>
        <v>13300</v>
      </c>
      <c r="J129">
        <f>IF($A129="","",_xlfn.SUMIFS(Socle!$W$1:$W$448,Socle!$C$1:$C$448,$A129,Socle!$D$1:$D$448,$C129,Socle!$E$1:$E$448,$D129,Socle!$F$1:$F$448,$E129,Socle!$G$1:$G$448,"2026"))</f>
        <v>0</v>
      </c>
      <c r="K129">
        <f>IF($A129="","",_xlfn.SUMIFS(Socle!$X$1:$X$448,Socle!$C$1:$C$448,$A129,Socle!$D$1:$D$448,$C129,Socle!$E$1:$E$448,$D129,Socle!$F$1:$F$448,$E129,Socle!$G$1:$G$448,"2026"))</f>
        <v>0</v>
      </c>
      <c r="L129">
        <f>IF($A129="","",_xlfn.SUMIFS(Socle!$Y$1:$Y$448,Socle!$C$1:$C$448,$A129,Socle!$D$1:$D$448,$C129,Socle!$E$1:$E$448,$D129,Socle!$F$1:$F$448,$E129,Socle!$G$1:$G$448,"2026"))</f>
        <v>0</v>
      </c>
      <c r="M129">
        <f>IF($A129="","",_xlfn.SUMIFS(Socle!$V$1:$V$448,Socle!$C$1:$C$448,$A129,Socle!$D$1:$D$448,$C129,Socle!$E$1:$E$448,$D129,Socle!$F$1:$F$448,$E129,Socle!$G$1:$G$448,"2026"))</f>
        <v>1.95</v>
      </c>
      <c r="N129">
        <f t="shared" si="0"/>
        <v>0</v>
      </c>
      <c r="O129">
        <f>IF($A129="","",_xlfn.SUMIFS(Campagne!$D$1:$D$128,Campagne!$C$1:$C$128,$A129))</f>
        <v>258</v>
      </c>
      <c r="P129">
        <f>IF($A129="","",_xlfn.SUMIFS(Campagne!$E$1:$E$128,Campagne!$C$1:$C$128,$A129))</f>
        <v>422</v>
      </c>
      <c r="Q129">
        <f>IF($A129="","",_xlfn.SUMIFS(Campagne!$F$1:$F$128,Campagne!$C$1:$C$128,$A129))</f>
        <v>680</v>
      </c>
      <c r="R129">
        <f>IF($A129="","",_xlfn.SUMIFS(Campagne!$K$1:$K$128,Campagne!$C$1:$C$128,$A129))</f>
        <v>0.59134467</v>
      </c>
      <c r="S129">
        <f>IF($A129="","",_xlfn.SUMIFS(Campagne!$M$1:$M$128,Campagne!$C$1:$C$128,$A129))</f>
        <v>0.315275263</v>
      </c>
      <c r="T129">
        <f>IF($A129="","",_xlfn.SUMIFS(PIL!$K$15:$K$28,PIL!$A$15:$A$28,$A129)*_xlfn.SUMIFS(PIL!$J$15:$J$28,PIL!$A$15:$A$28,$A129)*(SUM(PIL!$K$15:$K$28)/SUMPRODUCT(PIL!$K$15:$K$28,PIL!$J$15:$J$28)))</f>
        <v>15178</v>
      </c>
      <c r="U129">
        <f>IF($A129="","",_xlfn.SUMIFS(PIL!$K$15:$K$28,PIL!$A$15:$A$28,$A129))</f>
        <v>15178</v>
      </c>
      <c r="V129" t="s">
        <v>274</v>
      </c>
      <c r="W129" t="s">
        <v>274</v>
      </c>
      <c r="X129" t="s">
        <v>274</v>
      </c>
      <c r="Y129" t="s">
        <v>274</v>
      </c>
      <c r="Z129" t="s">
        <v>274</v>
      </c>
      <c r="AA129" t="s">
        <v>274</v>
      </c>
      <c r="AB129" t="s">
        <v>274</v>
      </c>
      <c r="AC129" t="s">
        <v>274</v>
      </c>
      <c r="AD129" t="e">
        <f t="shared" si="1"/>
        <v>#VALUE!</v>
      </c>
      <c r="AE129">
        <f t="shared" si="2"/>
        <v>0</v>
      </c>
      <c r="AF129" t="e">
        <f t="shared" si="3"/>
        <v>#VALUE!</v>
      </c>
      <c r="AG129" t="e">
        <f t="shared" si="4"/>
        <v>#VALUE!</v>
      </c>
      <c r="AH129" t="e">
        <f t="shared" si="5"/>
        <v>#VALUE!</v>
      </c>
    </row>
    <row r="130" ht="14.25" customHeight="1">
      <c r="A130" t="str">
        <f>IF(Moteur!D130="","",Moteur!D130)</f>
        <v>IPAC_MTP</v>
      </c>
      <c r="B130" t="str">
        <f>IF(Moteur!B130="","",Moteur!B130)</f>
        <v>V03</v>
      </c>
      <c r="C130" t="str">
        <f>IF(Moteur!F130="","",Moteur!F130)</f>
        <v>BAC_CCE</v>
      </c>
      <c r="D130" t="str">
        <f>IF(Moteur!G130="","",Moteur!G130)</f>
        <v>B2</v>
      </c>
      <c r="E130" t="str">
        <f>IF(Moteur!H130="","",Moteur!H130)</f>
        <v>ALT</v>
      </c>
      <c r="F130" t="str">
        <f>IF(Moteur!E130="","",Moteur!E130)</f>
        <v>IPAC</v>
      </c>
      <c r="G130">
        <f>IF($A130="","",_xlfn.SUMIFS(Socle!$H$1:$H$448,Socle!$C$1:$C$448,$A130,Socle!$D$1:$D$448,$C130,Socle!$E$1:$E$448,$D130,Socle!$F$1:$F$448,$E130,Socle!$G$1:$G$448,"2026"))</f>
        <v>0</v>
      </c>
      <c r="H130">
        <f>IF($A130="","",_xlfn.SUMIFS(Socle!$N$1:$N$448,Socle!$C$1:$C$448,$A130,Socle!$D$1:$D$448,$C130,Socle!$E$1:$E$448,$D130,Socle!$F$1:$F$448,$E130,Socle!$G$1:$G$448,"2026"))</f>
        <v>80</v>
      </c>
      <c r="I130">
        <f>IF($A130="","",_xlfn.SUMIFS(Socle!$P$1:$P$448,Socle!$C$1:$C$448,$A130,Socle!$D$1:$D$448,$C130,Socle!$E$1:$E$448,$D130,Socle!$F$1:$F$448,$E130,Socle!$G$1:$G$448,"2026"))</f>
        <v>13300</v>
      </c>
      <c r="J130">
        <f>IF($A130="","",_xlfn.SUMIFS(Socle!$W$1:$W$448,Socle!$C$1:$C$448,$A130,Socle!$D$1:$D$448,$C130,Socle!$E$1:$E$448,$D130,Socle!$F$1:$F$448,$E130,Socle!$G$1:$G$448,"2026"))</f>
        <v>0</v>
      </c>
      <c r="K130">
        <f>IF($A130="","",_xlfn.SUMIFS(Socle!$X$1:$X$448,Socle!$C$1:$C$448,$A130,Socle!$D$1:$D$448,$C130,Socle!$E$1:$E$448,$D130,Socle!$F$1:$F$448,$E130,Socle!$G$1:$G$448,"2026"))</f>
        <v>0</v>
      </c>
      <c r="L130">
        <f>IF($A130="","",_xlfn.SUMIFS(Socle!$Y$1:$Y$448,Socle!$C$1:$C$448,$A130,Socle!$D$1:$D$448,$C130,Socle!$E$1:$E$448,$D130,Socle!$F$1:$F$448,$E130,Socle!$G$1:$G$448,"2026"))</f>
        <v>0</v>
      </c>
      <c r="M130">
        <f>IF($A130="","",_xlfn.SUMIFS(Socle!$V$1:$V$448,Socle!$C$1:$C$448,$A130,Socle!$D$1:$D$448,$C130,Socle!$E$1:$E$448,$D130,Socle!$F$1:$F$448,$E130,Socle!$G$1:$G$448,"2026"))</f>
        <v>1.95</v>
      </c>
      <c r="N130">
        <f t="shared" si="0"/>
        <v>0</v>
      </c>
      <c r="O130">
        <f>IF($A130="","",_xlfn.SUMIFS(Campagne!$D$1:$D$128,Campagne!$C$1:$C$128,$A130))</f>
        <v>258</v>
      </c>
      <c r="P130">
        <f>IF($A130="","",_xlfn.SUMIFS(Campagne!$E$1:$E$128,Campagne!$C$1:$C$128,$A130))</f>
        <v>422</v>
      </c>
      <c r="Q130">
        <f>IF($A130="","",_xlfn.SUMIFS(Campagne!$F$1:$F$128,Campagne!$C$1:$C$128,$A130))</f>
        <v>680</v>
      </c>
      <c r="R130">
        <f>IF($A130="","",_xlfn.SUMIFS(Campagne!$K$1:$K$128,Campagne!$C$1:$C$128,$A130))</f>
        <v>0.59134467</v>
      </c>
      <c r="S130">
        <f>IF($A130="","",_xlfn.SUMIFS(Campagne!$M$1:$M$128,Campagne!$C$1:$C$128,$A130))</f>
        <v>0.315275263</v>
      </c>
      <c r="T130">
        <f>IF($A130="","",_xlfn.SUMIFS(PIL!$K$15:$K$28,PIL!$A$15:$A$28,$A130)*_xlfn.SUMIFS(PIL!$J$15:$J$28,PIL!$A$15:$A$28,$A130)*(SUM(PIL!$K$15:$K$28)/SUMPRODUCT(PIL!$K$15:$K$28,PIL!$J$15:$J$28)))</f>
        <v>15178</v>
      </c>
      <c r="U130">
        <f>IF($A130="","",_xlfn.SUMIFS(PIL!$K$15:$K$28,PIL!$A$15:$A$28,$A130))</f>
        <v>15178</v>
      </c>
      <c r="V130" t="s">
        <v>274</v>
      </c>
      <c r="W130" t="s">
        <v>274</v>
      </c>
      <c r="X130" t="s">
        <v>274</v>
      </c>
      <c r="Y130" t="s">
        <v>274</v>
      </c>
      <c r="Z130" t="s">
        <v>274</v>
      </c>
      <c r="AA130" t="s">
        <v>274</v>
      </c>
      <c r="AB130" t="s">
        <v>274</v>
      </c>
      <c r="AC130" t="s">
        <v>274</v>
      </c>
      <c r="AD130" t="e">
        <f t="shared" si="1"/>
        <v>#VALUE!</v>
      </c>
      <c r="AE130">
        <f t="shared" si="2"/>
        <v>0</v>
      </c>
      <c r="AF130" t="e">
        <f t="shared" si="3"/>
        <v>#VALUE!</v>
      </c>
      <c r="AG130" t="e">
        <f t="shared" si="4"/>
        <v>#VALUE!</v>
      </c>
      <c r="AH130" t="e">
        <f t="shared" si="5"/>
        <v>#VALUE!</v>
      </c>
    </row>
    <row r="131" ht="14.25" customHeight="1">
      <c r="A131" t="str">
        <f>IF(Moteur!D131="","",Moteur!D131)</f>
        <v>IPAC_MTP</v>
      </c>
      <c r="B131" t="str">
        <f>IF(Moteur!B131="","",Moteur!B131)</f>
        <v>V01</v>
      </c>
      <c r="C131" t="str">
        <f>IF(Moteur!F131="","",Moteur!F131)</f>
        <v>BAC_CCE</v>
      </c>
      <c r="D131" t="str">
        <f>IF(Moteur!G131="","",Moteur!G131)</f>
        <v>B3</v>
      </c>
      <c r="E131" t="str">
        <f>IF(Moteur!H131="","",Moteur!H131)</f>
        <v>ALT</v>
      </c>
      <c r="F131" t="str">
        <f>IF(Moteur!E131="","",Moteur!E131)</f>
        <v>IPAC</v>
      </c>
      <c r="G131">
        <f>IF($A131="","",_xlfn.SUMIFS(Socle!$H$1:$H$448,Socle!$C$1:$C$448,$A131,Socle!$D$1:$D$448,$C131,Socle!$E$1:$E$448,$D131,Socle!$F$1:$F$448,$E131,Socle!$G$1:$G$448,"2026"))</f>
        <v>0</v>
      </c>
      <c r="H131">
        <f>IF($A131="","",_xlfn.SUMIFS(Socle!$N$1:$N$448,Socle!$C$1:$C$448,$A131,Socle!$D$1:$D$448,$C131,Socle!$E$1:$E$448,$D131,Socle!$F$1:$F$448,$E131,Socle!$G$1:$G$448,"2026"))</f>
        <v>78</v>
      </c>
      <c r="I131">
        <f>IF($A131="","",_xlfn.SUMIFS(Socle!$P$1:$P$448,Socle!$C$1:$C$448,$A131,Socle!$D$1:$D$448,$C131,Socle!$E$1:$E$448,$D131,Socle!$F$1:$F$448,$E131,Socle!$G$1:$G$448,"2026"))</f>
        <v>13300</v>
      </c>
      <c r="J131">
        <f>IF($A131="","",_xlfn.SUMIFS(Socle!$W$1:$W$448,Socle!$C$1:$C$448,$A131,Socle!$D$1:$D$448,$C131,Socle!$E$1:$E$448,$D131,Socle!$F$1:$F$448,$E131,Socle!$G$1:$G$448,"2026"))</f>
        <v>0</v>
      </c>
      <c r="K131">
        <f>IF($A131="","",_xlfn.SUMIFS(Socle!$X$1:$X$448,Socle!$C$1:$C$448,$A131,Socle!$D$1:$D$448,$C131,Socle!$E$1:$E$448,$D131,Socle!$F$1:$F$448,$E131,Socle!$G$1:$G$448,"2026"))</f>
        <v>0</v>
      </c>
      <c r="L131">
        <f>IF($A131="","",_xlfn.SUMIFS(Socle!$Y$1:$Y$448,Socle!$C$1:$C$448,$A131,Socle!$D$1:$D$448,$C131,Socle!$E$1:$E$448,$D131,Socle!$F$1:$F$448,$E131,Socle!$G$1:$G$448,"2026"))</f>
        <v>0</v>
      </c>
      <c r="M131">
        <f>IF($A131="","",_xlfn.SUMIFS(Socle!$V$1:$V$448,Socle!$C$1:$C$448,$A131,Socle!$D$1:$D$448,$C131,Socle!$E$1:$E$448,$D131,Socle!$F$1:$F$448,$E131,Socle!$G$1:$G$448,"2026"))</f>
        <v>1.948717948</v>
      </c>
      <c r="N131">
        <f t="shared" si="0"/>
        <v>0</v>
      </c>
      <c r="O131">
        <f>IF($A131="","",_xlfn.SUMIFS(Campagne!$D$1:$D$128,Campagne!$C$1:$C$128,$A131))</f>
        <v>258</v>
      </c>
      <c r="P131">
        <f>IF($A131="","",_xlfn.SUMIFS(Campagne!$E$1:$E$128,Campagne!$C$1:$C$128,$A131))</f>
        <v>422</v>
      </c>
      <c r="Q131">
        <f>IF($A131="","",_xlfn.SUMIFS(Campagne!$F$1:$F$128,Campagne!$C$1:$C$128,$A131))</f>
        <v>680</v>
      </c>
      <c r="R131">
        <f>IF($A131="","",_xlfn.SUMIFS(Campagne!$K$1:$K$128,Campagne!$C$1:$C$128,$A131))</f>
        <v>0.59134467</v>
      </c>
      <c r="S131">
        <f>IF($A131="","",_xlfn.SUMIFS(Campagne!$M$1:$M$128,Campagne!$C$1:$C$128,$A131))</f>
        <v>0.315275263</v>
      </c>
      <c r="T131">
        <f>IF($A131="","",_xlfn.SUMIFS(PIL!$K$15:$K$28,PIL!$A$15:$A$28,$A131)*_xlfn.SUMIFS(PIL!$J$15:$J$28,PIL!$A$15:$A$28,$A131)*(SUM(PIL!$K$15:$K$28)/SUMPRODUCT(PIL!$K$15:$K$28,PIL!$J$15:$J$28)))</f>
        <v>15178</v>
      </c>
      <c r="U131">
        <f>IF($A131="","",_xlfn.SUMIFS(PIL!$K$15:$K$28,PIL!$A$15:$A$28,$A131))</f>
        <v>15178</v>
      </c>
      <c r="V131" t="s">
        <v>274</v>
      </c>
      <c r="W131" t="s">
        <v>274</v>
      </c>
      <c r="X131" t="s">
        <v>274</v>
      </c>
      <c r="Y131" t="s">
        <v>274</v>
      </c>
      <c r="Z131" t="s">
        <v>274</v>
      </c>
      <c r="AA131" t="s">
        <v>274</v>
      </c>
      <c r="AB131" t="s">
        <v>274</v>
      </c>
      <c r="AC131" t="s">
        <v>274</v>
      </c>
      <c r="AD131" t="e">
        <f t="shared" si="1"/>
        <v>#VALUE!</v>
      </c>
      <c r="AE131">
        <f t="shared" si="2"/>
        <v>0</v>
      </c>
      <c r="AF131" t="e">
        <f t="shared" si="3"/>
        <v>#VALUE!</v>
      </c>
      <c r="AG131" t="e">
        <f t="shared" si="4"/>
        <v>#VALUE!</v>
      </c>
      <c r="AH131" t="e">
        <f t="shared" si="5"/>
        <v>#VALUE!</v>
      </c>
    </row>
    <row r="132" ht="14.25" customHeight="1">
      <c r="A132" t="str">
        <f>IF(Moteur!D132="","",Moteur!D132)</f>
        <v>IPAC_MTP</v>
      </c>
      <c r="B132" t="str">
        <f>IF(Moteur!B132="","",Moteur!B132)</f>
        <v>V02</v>
      </c>
      <c r="C132" t="str">
        <f>IF(Moteur!F132="","",Moteur!F132)</f>
        <v>BAC_CCE</v>
      </c>
      <c r="D132" t="str">
        <f>IF(Moteur!G132="","",Moteur!G132)</f>
        <v>B3</v>
      </c>
      <c r="E132" t="str">
        <f>IF(Moteur!H132="","",Moteur!H132)</f>
        <v>ALT</v>
      </c>
      <c r="F132" t="str">
        <f>IF(Moteur!E132="","",Moteur!E132)</f>
        <v>IPAC</v>
      </c>
      <c r="G132">
        <f>IF($A132="","",_xlfn.SUMIFS(Socle!$H$1:$H$448,Socle!$C$1:$C$448,$A132,Socle!$D$1:$D$448,$C132,Socle!$E$1:$E$448,$D132,Socle!$F$1:$F$448,$E132,Socle!$G$1:$G$448,"2026"))</f>
        <v>0</v>
      </c>
      <c r="H132">
        <f>IF($A132="","",_xlfn.SUMIFS(Socle!$N$1:$N$448,Socle!$C$1:$C$448,$A132,Socle!$D$1:$D$448,$C132,Socle!$E$1:$E$448,$D132,Socle!$F$1:$F$448,$E132,Socle!$G$1:$G$448,"2026"))</f>
        <v>78</v>
      </c>
      <c r="I132">
        <f>IF($A132="","",_xlfn.SUMIFS(Socle!$P$1:$P$448,Socle!$C$1:$C$448,$A132,Socle!$D$1:$D$448,$C132,Socle!$E$1:$E$448,$D132,Socle!$F$1:$F$448,$E132,Socle!$G$1:$G$448,"2026"))</f>
        <v>13300</v>
      </c>
      <c r="J132">
        <f>IF($A132="","",_xlfn.SUMIFS(Socle!$W$1:$W$448,Socle!$C$1:$C$448,$A132,Socle!$D$1:$D$448,$C132,Socle!$E$1:$E$448,$D132,Socle!$F$1:$F$448,$E132,Socle!$G$1:$G$448,"2026"))</f>
        <v>0</v>
      </c>
      <c r="K132">
        <f>IF($A132="","",_xlfn.SUMIFS(Socle!$X$1:$X$448,Socle!$C$1:$C$448,$A132,Socle!$D$1:$D$448,$C132,Socle!$E$1:$E$448,$D132,Socle!$F$1:$F$448,$E132,Socle!$G$1:$G$448,"2026"))</f>
        <v>0</v>
      </c>
      <c r="L132">
        <f>IF($A132="","",_xlfn.SUMIFS(Socle!$Y$1:$Y$448,Socle!$C$1:$C$448,$A132,Socle!$D$1:$D$448,$C132,Socle!$E$1:$E$448,$D132,Socle!$F$1:$F$448,$E132,Socle!$G$1:$G$448,"2026"))</f>
        <v>0</v>
      </c>
      <c r="M132">
        <f>IF($A132="","",_xlfn.SUMIFS(Socle!$V$1:$V$448,Socle!$C$1:$C$448,$A132,Socle!$D$1:$D$448,$C132,Socle!$E$1:$E$448,$D132,Socle!$F$1:$F$448,$E132,Socle!$G$1:$G$448,"2026"))</f>
        <v>1.948717948</v>
      </c>
      <c r="N132">
        <f t="shared" si="0"/>
        <v>0</v>
      </c>
      <c r="O132">
        <f>IF($A132="","",_xlfn.SUMIFS(Campagne!$D$1:$D$128,Campagne!$C$1:$C$128,$A132))</f>
        <v>258</v>
      </c>
      <c r="P132">
        <f>IF($A132="","",_xlfn.SUMIFS(Campagne!$E$1:$E$128,Campagne!$C$1:$C$128,$A132))</f>
        <v>422</v>
      </c>
      <c r="Q132">
        <f>IF($A132="","",_xlfn.SUMIFS(Campagne!$F$1:$F$128,Campagne!$C$1:$C$128,$A132))</f>
        <v>680</v>
      </c>
      <c r="R132">
        <f>IF($A132="","",_xlfn.SUMIFS(Campagne!$K$1:$K$128,Campagne!$C$1:$C$128,$A132))</f>
        <v>0.59134467</v>
      </c>
      <c r="S132">
        <f>IF($A132="","",_xlfn.SUMIFS(Campagne!$M$1:$M$128,Campagne!$C$1:$C$128,$A132))</f>
        <v>0.315275263</v>
      </c>
      <c r="T132">
        <f>IF($A132="","",_xlfn.SUMIFS(PIL!$K$15:$K$28,PIL!$A$15:$A$28,$A132)*_xlfn.SUMIFS(PIL!$J$15:$J$28,PIL!$A$15:$A$28,$A132)*(SUM(PIL!$K$15:$K$28)/SUMPRODUCT(PIL!$K$15:$K$28,PIL!$J$15:$J$28)))</f>
        <v>15178</v>
      </c>
      <c r="U132">
        <f>IF($A132="","",_xlfn.SUMIFS(PIL!$K$15:$K$28,PIL!$A$15:$A$28,$A132))</f>
        <v>15178</v>
      </c>
      <c r="V132" t="s">
        <v>274</v>
      </c>
      <c r="W132" t="s">
        <v>274</v>
      </c>
      <c r="X132" t="s">
        <v>274</v>
      </c>
      <c r="Y132" t="s">
        <v>274</v>
      </c>
      <c r="Z132" t="s">
        <v>274</v>
      </c>
      <c r="AA132" t="s">
        <v>274</v>
      </c>
      <c r="AB132" t="s">
        <v>274</v>
      </c>
      <c r="AC132" t="s">
        <v>274</v>
      </c>
      <c r="AD132" t="e">
        <f t="shared" si="1"/>
        <v>#VALUE!</v>
      </c>
      <c r="AE132">
        <f t="shared" si="2"/>
        <v>0</v>
      </c>
      <c r="AF132" t="e">
        <f t="shared" si="3"/>
        <v>#VALUE!</v>
      </c>
      <c r="AG132" t="e">
        <f t="shared" si="4"/>
        <v>#VALUE!</v>
      </c>
      <c r="AH132" t="e">
        <f t="shared" si="5"/>
        <v>#VALUE!</v>
      </c>
    </row>
    <row r="133" ht="14.25" customHeight="1">
      <c r="A133" t="str">
        <f>IF(Moteur!D133="","",Moteur!D133)</f>
        <v>IPAC_MTP</v>
      </c>
      <c r="B133" t="str">
        <f>IF(Moteur!B133="","",Moteur!B133)</f>
        <v>V03</v>
      </c>
      <c r="C133" t="str">
        <f>IF(Moteur!F133="","",Moteur!F133)</f>
        <v>BAC_CCE</v>
      </c>
      <c r="D133" t="str">
        <f>IF(Moteur!G133="","",Moteur!G133)</f>
        <v>B3</v>
      </c>
      <c r="E133" t="str">
        <f>IF(Moteur!H133="","",Moteur!H133)</f>
        <v>ALT</v>
      </c>
      <c r="F133" t="str">
        <f>IF(Moteur!E133="","",Moteur!E133)</f>
        <v>IPAC</v>
      </c>
      <c r="G133">
        <f>IF($A133="","",_xlfn.SUMIFS(Socle!$H$1:$H$448,Socle!$C$1:$C$448,$A133,Socle!$D$1:$D$448,$C133,Socle!$E$1:$E$448,$D133,Socle!$F$1:$F$448,$E133,Socle!$G$1:$G$448,"2026"))</f>
        <v>0</v>
      </c>
      <c r="H133">
        <f>IF($A133="","",_xlfn.SUMIFS(Socle!$N$1:$N$448,Socle!$C$1:$C$448,$A133,Socle!$D$1:$D$448,$C133,Socle!$E$1:$E$448,$D133,Socle!$F$1:$F$448,$E133,Socle!$G$1:$G$448,"2026"))</f>
        <v>78</v>
      </c>
      <c r="I133">
        <f>IF($A133="","",_xlfn.SUMIFS(Socle!$P$1:$P$448,Socle!$C$1:$C$448,$A133,Socle!$D$1:$D$448,$C133,Socle!$E$1:$E$448,$D133,Socle!$F$1:$F$448,$E133,Socle!$G$1:$G$448,"2026"))</f>
        <v>13300</v>
      </c>
      <c r="J133">
        <f>IF($A133="","",_xlfn.SUMIFS(Socle!$W$1:$W$448,Socle!$C$1:$C$448,$A133,Socle!$D$1:$D$448,$C133,Socle!$E$1:$E$448,$D133,Socle!$F$1:$F$448,$E133,Socle!$G$1:$G$448,"2026"))</f>
        <v>0</v>
      </c>
      <c r="K133">
        <f>IF($A133="","",_xlfn.SUMIFS(Socle!$X$1:$X$448,Socle!$C$1:$C$448,$A133,Socle!$D$1:$D$448,$C133,Socle!$E$1:$E$448,$D133,Socle!$F$1:$F$448,$E133,Socle!$G$1:$G$448,"2026"))</f>
        <v>0</v>
      </c>
      <c r="L133">
        <f>IF($A133="","",_xlfn.SUMIFS(Socle!$Y$1:$Y$448,Socle!$C$1:$C$448,$A133,Socle!$D$1:$D$448,$C133,Socle!$E$1:$E$448,$D133,Socle!$F$1:$F$448,$E133,Socle!$G$1:$G$448,"2026"))</f>
        <v>0</v>
      </c>
      <c r="M133">
        <f>IF($A133="","",_xlfn.SUMIFS(Socle!$V$1:$V$448,Socle!$C$1:$C$448,$A133,Socle!$D$1:$D$448,$C133,Socle!$E$1:$E$448,$D133,Socle!$F$1:$F$448,$E133,Socle!$G$1:$G$448,"2026"))</f>
        <v>1.948717948</v>
      </c>
      <c r="N133">
        <f t="shared" si="0"/>
        <v>0</v>
      </c>
      <c r="O133">
        <f>IF($A133="","",_xlfn.SUMIFS(Campagne!$D$1:$D$128,Campagne!$C$1:$C$128,$A133))</f>
        <v>258</v>
      </c>
      <c r="P133">
        <f>IF($A133="","",_xlfn.SUMIFS(Campagne!$E$1:$E$128,Campagne!$C$1:$C$128,$A133))</f>
        <v>422</v>
      </c>
      <c r="Q133">
        <f>IF($A133="","",_xlfn.SUMIFS(Campagne!$F$1:$F$128,Campagne!$C$1:$C$128,$A133))</f>
        <v>680</v>
      </c>
      <c r="R133">
        <f>IF($A133="","",_xlfn.SUMIFS(Campagne!$K$1:$K$128,Campagne!$C$1:$C$128,$A133))</f>
        <v>0.59134467</v>
      </c>
      <c r="S133">
        <f>IF($A133="","",_xlfn.SUMIFS(Campagne!$M$1:$M$128,Campagne!$C$1:$C$128,$A133))</f>
        <v>0.315275263</v>
      </c>
      <c r="T133">
        <f>IF($A133="","",_xlfn.SUMIFS(PIL!$K$15:$K$28,PIL!$A$15:$A$28,$A133)*_xlfn.SUMIFS(PIL!$J$15:$J$28,PIL!$A$15:$A$28,$A133)*(SUM(PIL!$K$15:$K$28)/SUMPRODUCT(PIL!$K$15:$K$28,PIL!$J$15:$J$28)))</f>
        <v>15178</v>
      </c>
      <c r="U133">
        <f>IF($A133="","",_xlfn.SUMIFS(PIL!$K$15:$K$28,PIL!$A$15:$A$28,$A133))</f>
        <v>15178</v>
      </c>
      <c r="V133" t="s">
        <v>274</v>
      </c>
      <c r="W133" t="s">
        <v>274</v>
      </c>
      <c r="X133" t="s">
        <v>274</v>
      </c>
      <c r="Y133" t="s">
        <v>274</v>
      </c>
      <c r="Z133" t="s">
        <v>274</v>
      </c>
      <c r="AA133" t="s">
        <v>274</v>
      </c>
      <c r="AB133" t="s">
        <v>274</v>
      </c>
      <c r="AC133" t="s">
        <v>274</v>
      </c>
      <c r="AD133" t="e">
        <f t="shared" si="1"/>
        <v>#VALUE!</v>
      </c>
      <c r="AE133">
        <f t="shared" si="2"/>
        <v>0</v>
      </c>
      <c r="AF133" t="e">
        <f t="shared" si="3"/>
        <v>#VALUE!</v>
      </c>
      <c r="AG133" t="e">
        <f t="shared" si="4"/>
        <v>#VALUE!</v>
      </c>
      <c r="AH133" t="e">
        <f t="shared" si="5"/>
        <v>#VALUE!</v>
      </c>
    </row>
    <row r="134" ht="14.25" customHeight="1">
      <c r="A134" t="str">
        <f>IF(Moteur!D134="","",Moteur!D134)</f>
        <v>PIGIER_LYO</v>
      </c>
      <c r="B134" t="str">
        <f>IF(Moteur!B134="","",Moteur!B134)</f>
        <v>V01</v>
      </c>
      <c r="C134" t="str">
        <f>IF(Moteur!F134="","",Moteur!F134)</f>
        <v>BTS_GES</v>
      </c>
      <c r="D134" t="str">
        <f>IF(Moteur!G134="","",Moteur!G134)</f>
        <v>BTS1</v>
      </c>
      <c r="E134" t="str">
        <f>IF(Moteur!H134="","",Moteur!H134)</f>
        <v>ALT</v>
      </c>
      <c r="F134" t="str">
        <f>IF(Moteur!E134="","",Moteur!E134)</f>
        <v>PIGIER</v>
      </c>
      <c r="G134">
        <f>IF($A134="","",_xlfn.SUMIFS(Socle!$H$1:$H$448,Socle!$C$1:$C$448,$A134,Socle!$D$1:$D$448,$C134,Socle!$E$1:$E$448,$D134,Socle!$F$1:$F$448,$E134,Socle!$G$1:$G$448,"2026"))</f>
        <v>1570</v>
      </c>
      <c r="H134">
        <f>IF($A134="","",_xlfn.SUMIFS(Socle!$N$1:$N$448,Socle!$C$1:$C$448,$A134,Socle!$D$1:$D$448,$C134,Socle!$E$1:$E$448,$D134,Socle!$F$1:$F$448,$E134,Socle!$G$1:$G$448,"2026"))</f>
        <v>0</v>
      </c>
      <c r="I134">
        <f>IF($A134="","",_xlfn.SUMIFS(Socle!$P$1:$P$448,Socle!$C$1:$C$448,$A134,Socle!$D$1:$D$448,$C134,Socle!$E$1:$E$448,$D134,Socle!$F$1:$F$448,$E134,Socle!$G$1:$G$448,"2026"))</f>
        <v>12600</v>
      </c>
      <c r="J134">
        <f>IF($A134="","",_xlfn.SUMIFS(Socle!$W$1:$W$448,Socle!$C$1:$C$448,$A134,Socle!$D$1:$D$448,$C134,Socle!$E$1:$E$448,$D134,Socle!$F$1:$F$448,$E134,Socle!$G$1:$G$448,"2026"))</f>
        <v>0.4</v>
      </c>
      <c r="K134">
        <f>IF($A134="","",_xlfn.SUMIFS(Socle!$X$1:$X$448,Socle!$C$1:$C$448,$A134,Socle!$D$1:$D$448,$C134,Socle!$E$1:$E$448,$D134,Socle!$F$1:$F$448,$E134,Socle!$G$1:$G$448,"2026"))</f>
        <v>1.401273886</v>
      </c>
      <c r="L134">
        <f>IF($A134="","",_xlfn.SUMIFS(Socle!$Y$1:$Y$448,Socle!$C$1:$C$448,$A134,Socle!$D$1:$D$448,$C134,Socle!$E$1:$E$448,$D134,Socle!$F$1:$F$448,$E134,Socle!$G$1:$G$448,"2026"))</f>
        <v>0.836363636</v>
      </c>
      <c r="M134">
        <f>IF($A134="","",_xlfn.SUMIFS(Socle!$V$1:$V$448,Socle!$C$1:$C$448,$A134,Socle!$D$1:$D$448,$C134,Socle!$E$1:$E$448,$D134,Socle!$F$1:$F$448,$E134,Socle!$G$1:$G$448,"2026"))</f>
        <v>0</v>
      </c>
      <c r="N134">
        <f t="shared" si="0"/>
        <v>1</v>
      </c>
      <c r="O134">
        <f>IF($A134="","",_xlfn.SUMIFS(Campagne!$D$1:$D$128,Campagne!$C$1:$C$128,$A134))</f>
        <v>738</v>
      </c>
      <c r="P134">
        <f>IF($A134="","",_xlfn.SUMIFS(Campagne!$E$1:$E$128,Campagne!$C$1:$C$128,$A134))</f>
        <v>832</v>
      </c>
      <c r="Q134">
        <f>IF($A134="","",_xlfn.SUMIFS(Campagne!$F$1:$F$128,Campagne!$C$1:$C$128,$A134))</f>
        <v>1570</v>
      </c>
      <c r="R134">
        <f>IF($A134="","",_xlfn.SUMIFS(Campagne!$K$1:$K$128,Campagne!$C$1:$C$128,$A134))</f>
        <v>0.440450184</v>
      </c>
      <c r="S134">
        <f>IF($A134="","",_xlfn.SUMIFS(Campagne!$M$1:$M$128,Campagne!$C$1:$C$128,$A134))</f>
        <v>0.343045775</v>
      </c>
      <c r="T134">
        <f>IF($A134="","",_xlfn.SUMIFS(PIL!$K$15:$K$28,PIL!$A$15:$A$28,$A134)*_xlfn.SUMIFS(PIL!$J$15:$J$28,PIL!$A$15:$A$28,$A134)*(SUM(PIL!$K$15:$K$28)/SUMPRODUCT(PIL!$K$15:$K$28,PIL!$J$15:$J$28)))</f>
        <v>36612</v>
      </c>
      <c r="U134">
        <f>IF($A134="","",_xlfn.SUMIFS(PIL!$K$15:$K$28,PIL!$A$15:$A$28,$A134))</f>
        <v>36612</v>
      </c>
      <c r="V134" t="s">
        <v>274</v>
      </c>
      <c r="W134" t="s">
        <v>274</v>
      </c>
      <c r="X134" t="s">
        <v>274</v>
      </c>
      <c r="Y134" t="s">
        <v>274</v>
      </c>
      <c r="Z134" t="s">
        <v>274</v>
      </c>
      <c r="AA134" t="s">
        <v>274</v>
      </c>
      <c r="AB134" t="s">
        <v>274</v>
      </c>
      <c r="AC134" t="s">
        <v>274</v>
      </c>
      <c r="AD134" t="e">
        <f t="shared" si="1"/>
        <v>#VALUE!</v>
      </c>
      <c r="AE134" t="e">
        <f t="shared" si="2"/>
        <v>#VALUE!</v>
      </c>
      <c r="AF134" t="e">
        <f t="shared" si="3"/>
        <v>#VALUE!</v>
      </c>
      <c r="AG134" t="e">
        <f t="shared" si="4"/>
        <v>#VALUE!</v>
      </c>
      <c r="AH134" t="e">
        <f t="shared" si="5"/>
        <v>#VALUE!</v>
      </c>
    </row>
    <row r="135" ht="14.25" customHeight="1">
      <c r="A135" t="str">
        <f>IF(Moteur!D135="","",Moteur!D135)</f>
        <v>PIGIER_LYO</v>
      </c>
      <c r="B135" t="str">
        <f>IF(Moteur!B135="","",Moteur!B135)</f>
        <v>V02</v>
      </c>
      <c r="C135" t="str">
        <f>IF(Moteur!F135="","",Moteur!F135)</f>
        <v>BTS_GES</v>
      </c>
      <c r="D135" t="str">
        <f>IF(Moteur!G135="","",Moteur!G135)</f>
        <v>BTS1</v>
      </c>
      <c r="E135" t="str">
        <f>IF(Moteur!H135="","",Moteur!H135)</f>
        <v>ALT</v>
      </c>
      <c r="F135" t="str">
        <f>IF(Moteur!E135="","",Moteur!E135)</f>
        <v>PIGIER</v>
      </c>
      <c r="G135">
        <f>IF($A135="","",_xlfn.SUMIFS(Socle!$H$1:$H$448,Socle!$C$1:$C$448,$A135,Socle!$D$1:$D$448,$C135,Socle!$E$1:$E$448,$D135,Socle!$F$1:$F$448,$E135,Socle!$G$1:$G$448,"2026"))</f>
        <v>1570</v>
      </c>
      <c r="H135">
        <f>IF($A135="","",_xlfn.SUMIFS(Socle!$N$1:$N$448,Socle!$C$1:$C$448,$A135,Socle!$D$1:$D$448,$C135,Socle!$E$1:$E$448,$D135,Socle!$F$1:$F$448,$E135,Socle!$G$1:$G$448,"2026"))</f>
        <v>0</v>
      </c>
      <c r="I135">
        <f>IF($A135="","",_xlfn.SUMIFS(Socle!$P$1:$P$448,Socle!$C$1:$C$448,$A135,Socle!$D$1:$D$448,$C135,Socle!$E$1:$E$448,$D135,Socle!$F$1:$F$448,$E135,Socle!$G$1:$G$448,"2026"))</f>
        <v>12600</v>
      </c>
      <c r="J135">
        <f>IF($A135="","",_xlfn.SUMIFS(Socle!$W$1:$W$448,Socle!$C$1:$C$448,$A135,Socle!$D$1:$D$448,$C135,Socle!$E$1:$E$448,$D135,Socle!$F$1:$F$448,$E135,Socle!$G$1:$G$448,"2026"))</f>
        <v>0.4</v>
      </c>
      <c r="K135">
        <f>IF($A135="","",_xlfn.SUMIFS(Socle!$X$1:$X$448,Socle!$C$1:$C$448,$A135,Socle!$D$1:$D$448,$C135,Socle!$E$1:$E$448,$D135,Socle!$F$1:$F$448,$E135,Socle!$G$1:$G$448,"2026"))</f>
        <v>1.401273886</v>
      </c>
      <c r="L135">
        <f>IF($A135="","",_xlfn.SUMIFS(Socle!$Y$1:$Y$448,Socle!$C$1:$C$448,$A135,Socle!$D$1:$D$448,$C135,Socle!$E$1:$E$448,$D135,Socle!$F$1:$F$448,$E135,Socle!$G$1:$G$448,"2026"))</f>
        <v>0.836363636</v>
      </c>
      <c r="M135">
        <f>IF($A135="","",_xlfn.SUMIFS(Socle!$V$1:$V$448,Socle!$C$1:$C$448,$A135,Socle!$D$1:$D$448,$C135,Socle!$E$1:$E$448,$D135,Socle!$F$1:$F$448,$E135,Socle!$G$1:$G$448,"2026"))</f>
        <v>0</v>
      </c>
      <c r="N135">
        <f t="shared" si="0"/>
        <v>1</v>
      </c>
      <c r="O135">
        <f>IF($A135="","",_xlfn.SUMIFS(Campagne!$D$1:$D$128,Campagne!$C$1:$C$128,$A135))</f>
        <v>738</v>
      </c>
      <c r="P135">
        <f>IF($A135="","",_xlfn.SUMIFS(Campagne!$E$1:$E$128,Campagne!$C$1:$C$128,$A135))</f>
        <v>832</v>
      </c>
      <c r="Q135">
        <f>IF($A135="","",_xlfn.SUMIFS(Campagne!$F$1:$F$128,Campagne!$C$1:$C$128,$A135))</f>
        <v>1570</v>
      </c>
      <c r="R135">
        <f>IF($A135="","",_xlfn.SUMIFS(Campagne!$K$1:$K$128,Campagne!$C$1:$C$128,$A135))</f>
        <v>0.440450184</v>
      </c>
      <c r="S135">
        <f>IF($A135="","",_xlfn.SUMIFS(Campagne!$M$1:$M$128,Campagne!$C$1:$C$128,$A135))</f>
        <v>0.343045775</v>
      </c>
      <c r="T135">
        <f>IF($A135="","",_xlfn.SUMIFS(PIL!$K$15:$K$28,PIL!$A$15:$A$28,$A135)*_xlfn.SUMIFS(PIL!$J$15:$J$28,PIL!$A$15:$A$28,$A135)*(SUM(PIL!$K$15:$K$28)/SUMPRODUCT(PIL!$K$15:$K$28,PIL!$J$15:$J$28)))</f>
        <v>36612</v>
      </c>
      <c r="U135">
        <f>IF($A135="","",_xlfn.SUMIFS(PIL!$K$15:$K$28,PIL!$A$15:$A$28,$A135))</f>
        <v>36612</v>
      </c>
      <c r="V135" t="s">
        <v>274</v>
      </c>
      <c r="W135" t="s">
        <v>274</v>
      </c>
      <c r="X135" t="s">
        <v>274</v>
      </c>
      <c r="Y135" t="s">
        <v>274</v>
      </c>
      <c r="Z135" t="s">
        <v>274</v>
      </c>
      <c r="AA135" t="s">
        <v>274</v>
      </c>
      <c r="AB135" t="s">
        <v>274</v>
      </c>
      <c r="AC135" t="s">
        <v>274</v>
      </c>
      <c r="AD135" t="e">
        <f t="shared" si="1"/>
        <v>#VALUE!</v>
      </c>
      <c r="AE135" t="e">
        <f t="shared" si="2"/>
        <v>#VALUE!</v>
      </c>
      <c r="AF135" t="e">
        <f t="shared" si="3"/>
        <v>#VALUE!</v>
      </c>
      <c r="AG135" t="e">
        <f t="shared" si="4"/>
        <v>#VALUE!</v>
      </c>
      <c r="AH135" t="e">
        <f t="shared" si="5"/>
        <v>#VALUE!</v>
      </c>
    </row>
    <row r="136" ht="14.25" customHeight="1">
      <c r="A136" t="str">
        <f>IF(Moteur!D136="","",Moteur!D136)</f>
        <v>PIGIER_LYO</v>
      </c>
      <c r="B136" t="str">
        <f>IF(Moteur!B136="","",Moteur!B136)</f>
        <v>V03</v>
      </c>
      <c r="C136" t="str">
        <f>IF(Moteur!F136="","",Moteur!F136)</f>
        <v>BTS_GES</v>
      </c>
      <c r="D136" t="str">
        <f>IF(Moteur!G136="","",Moteur!G136)</f>
        <v>BTS1</v>
      </c>
      <c r="E136" t="str">
        <f>IF(Moteur!H136="","",Moteur!H136)</f>
        <v>ALT</v>
      </c>
      <c r="F136" t="str">
        <f>IF(Moteur!E136="","",Moteur!E136)</f>
        <v>PIGIER</v>
      </c>
      <c r="G136">
        <f>IF($A136="","",_xlfn.SUMIFS(Socle!$H$1:$H$448,Socle!$C$1:$C$448,$A136,Socle!$D$1:$D$448,$C136,Socle!$E$1:$E$448,$D136,Socle!$F$1:$F$448,$E136,Socle!$G$1:$G$448,"2026"))</f>
        <v>1570</v>
      </c>
      <c r="H136">
        <f>IF($A136="","",_xlfn.SUMIFS(Socle!$N$1:$N$448,Socle!$C$1:$C$448,$A136,Socle!$D$1:$D$448,$C136,Socle!$E$1:$E$448,$D136,Socle!$F$1:$F$448,$E136,Socle!$G$1:$G$448,"2026"))</f>
        <v>0</v>
      </c>
      <c r="I136">
        <f>IF($A136="","",_xlfn.SUMIFS(Socle!$P$1:$P$448,Socle!$C$1:$C$448,$A136,Socle!$D$1:$D$448,$C136,Socle!$E$1:$E$448,$D136,Socle!$F$1:$F$448,$E136,Socle!$G$1:$G$448,"2026"))</f>
        <v>12600</v>
      </c>
      <c r="J136">
        <f>IF($A136="","",_xlfn.SUMIFS(Socle!$W$1:$W$448,Socle!$C$1:$C$448,$A136,Socle!$D$1:$D$448,$C136,Socle!$E$1:$E$448,$D136,Socle!$F$1:$F$448,$E136,Socle!$G$1:$G$448,"2026"))</f>
        <v>0.4</v>
      </c>
      <c r="K136">
        <f>IF($A136="","",_xlfn.SUMIFS(Socle!$X$1:$X$448,Socle!$C$1:$C$448,$A136,Socle!$D$1:$D$448,$C136,Socle!$E$1:$E$448,$D136,Socle!$F$1:$F$448,$E136,Socle!$G$1:$G$448,"2026"))</f>
        <v>1.401273886</v>
      </c>
      <c r="L136">
        <f>IF($A136="","",_xlfn.SUMIFS(Socle!$Y$1:$Y$448,Socle!$C$1:$C$448,$A136,Socle!$D$1:$D$448,$C136,Socle!$E$1:$E$448,$D136,Socle!$F$1:$F$448,$E136,Socle!$G$1:$G$448,"2026"))</f>
        <v>0.836363636</v>
      </c>
      <c r="M136">
        <f>IF($A136="","",_xlfn.SUMIFS(Socle!$V$1:$V$448,Socle!$C$1:$C$448,$A136,Socle!$D$1:$D$448,$C136,Socle!$E$1:$E$448,$D136,Socle!$F$1:$F$448,$E136,Socle!$G$1:$G$448,"2026"))</f>
        <v>0</v>
      </c>
      <c r="N136">
        <f t="shared" si="0"/>
        <v>1</v>
      </c>
      <c r="O136">
        <f>IF($A136="","",_xlfn.SUMIFS(Campagne!$D$1:$D$128,Campagne!$C$1:$C$128,$A136))</f>
        <v>738</v>
      </c>
      <c r="P136">
        <f>IF($A136="","",_xlfn.SUMIFS(Campagne!$E$1:$E$128,Campagne!$C$1:$C$128,$A136))</f>
        <v>832</v>
      </c>
      <c r="Q136">
        <f>IF($A136="","",_xlfn.SUMIFS(Campagne!$F$1:$F$128,Campagne!$C$1:$C$128,$A136))</f>
        <v>1570</v>
      </c>
      <c r="R136">
        <f>IF($A136="","",_xlfn.SUMIFS(Campagne!$K$1:$K$128,Campagne!$C$1:$C$128,$A136))</f>
        <v>0.440450184</v>
      </c>
      <c r="S136">
        <f>IF($A136="","",_xlfn.SUMIFS(Campagne!$M$1:$M$128,Campagne!$C$1:$C$128,$A136))</f>
        <v>0.343045775</v>
      </c>
      <c r="T136">
        <f>IF($A136="","",_xlfn.SUMIFS(PIL!$K$15:$K$28,PIL!$A$15:$A$28,$A136)*_xlfn.SUMIFS(PIL!$J$15:$J$28,PIL!$A$15:$A$28,$A136)*(SUM(PIL!$K$15:$K$28)/SUMPRODUCT(PIL!$K$15:$K$28,PIL!$J$15:$J$28)))</f>
        <v>36612</v>
      </c>
      <c r="U136">
        <f>IF($A136="","",_xlfn.SUMIFS(PIL!$K$15:$K$28,PIL!$A$15:$A$28,$A136))</f>
        <v>36612</v>
      </c>
      <c r="V136" t="s">
        <v>274</v>
      </c>
      <c r="W136" t="s">
        <v>274</v>
      </c>
      <c r="X136" t="s">
        <v>274</v>
      </c>
      <c r="Y136" t="s">
        <v>274</v>
      </c>
      <c r="Z136" t="s">
        <v>274</v>
      </c>
      <c r="AA136" t="s">
        <v>274</v>
      </c>
      <c r="AB136" t="s">
        <v>274</v>
      </c>
      <c r="AC136" t="s">
        <v>274</v>
      </c>
      <c r="AD136" t="e">
        <f t="shared" si="1"/>
        <v>#VALUE!</v>
      </c>
      <c r="AE136" t="e">
        <f t="shared" si="2"/>
        <v>#VALUE!</v>
      </c>
      <c r="AF136" t="e">
        <f t="shared" si="3"/>
        <v>#VALUE!</v>
      </c>
      <c r="AG136" t="e">
        <f t="shared" si="4"/>
        <v>#VALUE!</v>
      </c>
      <c r="AH136" t="e">
        <f t="shared" si="5"/>
        <v>#VALUE!</v>
      </c>
    </row>
    <row r="137" ht="14.25" customHeight="1">
      <c r="A137" t="str">
        <f>IF(Moteur!D137="","",Moteur!D137)</f>
        <v>PIGIER_LYO</v>
      </c>
      <c r="B137" t="str">
        <f>IF(Moteur!B137="","",Moteur!B137)</f>
        <v>V01</v>
      </c>
      <c r="C137" t="str">
        <f>IF(Moteur!F137="","",Moteur!F137)</f>
        <v>BTS_GES</v>
      </c>
      <c r="D137" t="str">
        <f>IF(Moteur!G137="","",Moteur!G137)</f>
        <v>BTS2</v>
      </c>
      <c r="E137" t="str">
        <f>IF(Moteur!H137="","",Moteur!H137)</f>
        <v>ALT</v>
      </c>
      <c r="F137" t="str">
        <f>IF(Moteur!E137="","",Moteur!E137)</f>
        <v>PIGIER</v>
      </c>
      <c r="G137">
        <f>IF($A137="","",_xlfn.SUMIFS(Socle!$H$1:$H$448,Socle!$C$1:$C$448,$A137,Socle!$D$1:$D$448,$C137,Socle!$E$1:$E$448,$D137,Socle!$F$1:$F$448,$E137,Socle!$G$1:$G$448,"2026"))</f>
        <v>0</v>
      </c>
      <c r="H137">
        <f>IF($A137="","",_xlfn.SUMIFS(Socle!$N$1:$N$448,Socle!$C$1:$C$448,$A137,Socle!$D$1:$D$448,$C137,Socle!$E$1:$E$448,$D137,Socle!$F$1:$F$448,$E137,Socle!$G$1:$G$448,"2026"))</f>
        <v>92</v>
      </c>
      <c r="I137">
        <f>IF($A137="","",_xlfn.SUMIFS(Socle!$P$1:$P$448,Socle!$C$1:$C$448,$A137,Socle!$D$1:$D$448,$C137,Socle!$E$1:$E$448,$D137,Socle!$F$1:$F$448,$E137,Socle!$G$1:$G$448,"2026"))</f>
        <v>12600</v>
      </c>
      <c r="J137">
        <f>IF($A137="","",_xlfn.SUMIFS(Socle!$W$1:$W$448,Socle!$C$1:$C$448,$A137,Socle!$D$1:$D$448,$C137,Socle!$E$1:$E$448,$D137,Socle!$F$1:$F$448,$E137,Socle!$G$1:$G$448,"2026"))</f>
        <v>0</v>
      </c>
      <c r="K137">
        <f>IF($A137="","",_xlfn.SUMIFS(Socle!$X$1:$X$448,Socle!$C$1:$C$448,$A137,Socle!$D$1:$D$448,$C137,Socle!$E$1:$E$448,$D137,Socle!$F$1:$F$448,$E137,Socle!$G$1:$G$448,"2026"))</f>
        <v>0</v>
      </c>
      <c r="L137">
        <f>IF($A137="","",_xlfn.SUMIFS(Socle!$Y$1:$Y$448,Socle!$C$1:$C$448,$A137,Socle!$D$1:$D$448,$C137,Socle!$E$1:$E$448,$D137,Socle!$F$1:$F$448,$E137,Socle!$G$1:$G$448,"2026"))</f>
        <v>0</v>
      </c>
      <c r="M137">
        <f>IF($A137="","",_xlfn.SUMIFS(Socle!$V$1:$V$448,Socle!$C$1:$C$448,$A137,Socle!$D$1:$D$448,$C137,Socle!$E$1:$E$448,$D137,Socle!$F$1:$F$448,$E137,Socle!$G$1:$G$448,"2026"))</f>
        <v>1.95652174</v>
      </c>
      <c r="N137">
        <f t="shared" si="0"/>
        <v>0</v>
      </c>
      <c r="O137">
        <f>IF($A137="","",_xlfn.SUMIFS(Campagne!$D$1:$D$128,Campagne!$C$1:$C$128,$A137))</f>
        <v>738</v>
      </c>
      <c r="P137">
        <f>IF($A137="","",_xlfn.SUMIFS(Campagne!$E$1:$E$128,Campagne!$C$1:$C$128,$A137))</f>
        <v>832</v>
      </c>
      <c r="Q137">
        <f>IF($A137="","",_xlfn.SUMIFS(Campagne!$F$1:$F$128,Campagne!$C$1:$C$128,$A137))</f>
        <v>1570</v>
      </c>
      <c r="R137">
        <f>IF($A137="","",_xlfn.SUMIFS(Campagne!$K$1:$K$128,Campagne!$C$1:$C$128,$A137))</f>
        <v>0.440450184</v>
      </c>
      <c r="S137">
        <f>IF($A137="","",_xlfn.SUMIFS(Campagne!$M$1:$M$128,Campagne!$C$1:$C$128,$A137))</f>
        <v>0.343045775</v>
      </c>
      <c r="T137">
        <f>IF($A137="","",_xlfn.SUMIFS(PIL!$K$15:$K$28,PIL!$A$15:$A$28,$A137)*_xlfn.SUMIFS(PIL!$J$15:$J$28,PIL!$A$15:$A$28,$A137)*(SUM(PIL!$K$15:$K$28)/SUMPRODUCT(PIL!$K$15:$K$28,PIL!$J$15:$J$28)))</f>
        <v>36612</v>
      </c>
      <c r="U137">
        <f>IF($A137="","",_xlfn.SUMIFS(PIL!$K$15:$K$28,PIL!$A$15:$A$28,$A137))</f>
        <v>36612</v>
      </c>
      <c r="V137" t="s">
        <v>274</v>
      </c>
      <c r="W137" t="s">
        <v>274</v>
      </c>
      <c r="X137" t="s">
        <v>274</v>
      </c>
      <c r="Y137" t="s">
        <v>274</v>
      </c>
      <c r="Z137" t="s">
        <v>274</v>
      </c>
      <c r="AA137" t="s">
        <v>274</v>
      </c>
      <c r="AB137" t="s">
        <v>274</v>
      </c>
      <c r="AC137" t="s">
        <v>274</v>
      </c>
      <c r="AD137" t="e">
        <f t="shared" si="1"/>
        <v>#VALUE!</v>
      </c>
      <c r="AE137">
        <f t="shared" si="2"/>
        <v>0</v>
      </c>
      <c r="AF137" t="e">
        <f t="shared" si="3"/>
        <v>#VALUE!</v>
      </c>
      <c r="AG137" t="e">
        <f t="shared" si="4"/>
        <v>#VALUE!</v>
      </c>
      <c r="AH137" t="e">
        <f t="shared" si="5"/>
        <v>#VALUE!</v>
      </c>
    </row>
    <row r="138" ht="14.25" customHeight="1">
      <c r="A138" t="str">
        <f>IF(Moteur!D138="","",Moteur!D138)</f>
        <v>PIGIER_LYO</v>
      </c>
      <c r="B138" t="str">
        <f>IF(Moteur!B138="","",Moteur!B138)</f>
        <v>V02</v>
      </c>
      <c r="C138" t="str">
        <f>IF(Moteur!F138="","",Moteur!F138)</f>
        <v>BTS_GES</v>
      </c>
      <c r="D138" t="str">
        <f>IF(Moteur!G138="","",Moteur!G138)</f>
        <v>BTS2</v>
      </c>
      <c r="E138" t="str">
        <f>IF(Moteur!H138="","",Moteur!H138)</f>
        <v>ALT</v>
      </c>
      <c r="F138" t="str">
        <f>IF(Moteur!E138="","",Moteur!E138)</f>
        <v>PIGIER</v>
      </c>
      <c r="G138">
        <f>IF($A138="","",_xlfn.SUMIFS(Socle!$H$1:$H$448,Socle!$C$1:$C$448,$A138,Socle!$D$1:$D$448,$C138,Socle!$E$1:$E$448,$D138,Socle!$F$1:$F$448,$E138,Socle!$G$1:$G$448,"2026"))</f>
        <v>0</v>
      </c>
      <c r="H138">
        <f>IF($A138="","",_xlfn.SUMIFS(Socle!$N$1:$N$448,Socle!$C$1:$C$448,$A138,Socle!$D$1:$D$448,$C138,Socle!$E$1:$E$448,$D138,Socle!$F$1:$F$448,$E138,Socle!$G$1:$G$448,"2026"))</f>
        <v>92</v>
      </c>
      <c r="I138">
        <f>IF($A138="","",_xlfn.SUMIFS(Socle!$P$1:$P$448,Socle!$C$1:$C$448,$A138,Socle!$D$1:$D$448,$C138,Socle!$E$1:$E$448,$D138,Socle!$F$1:$F$448,$E138,Socle!$G$1:$G$448,"2026"))</f>
        <v>12600</v>
      </c>
      <c r="J138">
        <f>IF($A138="","",_xlfn.SUMIFS(Socle!$W$1:$W$448,Socle!$C$1:$C$448,$A138,Socle!$D$1:$D$448,$C138,Socle!$E$1:$E$448,$D138,Socle!$F$1:$F$448,$E138,Socle!$G$1:$G$448,"2026"))</f>
        <v>0</v>
      </c>
      <c r="K138">
        <f>IF($A138="","",_xlfn.SUMIFS(Socle!$X$1:$X$448,Socle!$C$1:$C$448,$A138,Socle!$D$1:$D$448,$C138,Socle!$E$1:$E$448,$D138,Socle!$F$1:$F$448,$E138,Socle!$G$1:$G$448,"2026"))</f>
        <v>0</v>
      </c>
      <c r="L138">
        <f>IF($A138="","",_xlfn.SUMIFS(Socle!$Y$1:$Y$448,Socle!$C$1:$C$448,$A138,Socle!$D$1:$D$448,$C138,Socle!$E$1:$E$448,$D138,Socle!$F$1:$F$448,$E138,Socle!$G$1:$G$448,"2026"))</f>
        <v>0</v>
      </c>
      <c r="M138">
        <f>IF($A138="","",_xlfn.SUMIFS(Socle!$V$1:$V$448,Socle!$C$1:$C$448,$A138,Socle!$D$1:$D$448,$C138,Socle!$E$1:$E$448,$D138,Socle!$F$1:$F$448,$E138,Socle!$G$1:$G$448,"2026"))</f>
        <v>1.95652174</v>
      </c>
      <c r="N138">
        <f t="shared" si="0"/>
        <v>0</v>
      </c>
      <c r="O138">
        <f>IF($A138="","",_xlfn.SUMIFS(Campagne!$D$1:$D$128,Campagne!$C$1:$C$128,$A138))</f>
        <v>738</v>
      </c>
      <c r="P138">
        <f>IF($A138="","",_xlfn.SUMIFS(Campagne!$E$1:$E$128,Campagne!$C$1:$C$128,$A138))</f>
        <v>832</v>
      </c>
      <c r="Q138">
        <f>IF($A138="","",_xlfn.SUMIFS(Campagne!$F$1:$F$128,Campagne!$C$1:$C$128,$A138))</f>
        <v>1570</v>
      </c>
      <c r="R138">
        <f>IF($A138="","",_xlfn.SUMIFS(Campagne!$K$1:$K$128,Campagne!$C$1:$C$128,$A138))</f>
        <v>0.440450184</v>
      </c>
      <c r="S138">
        <f>IF($A138="","",_xlfn.SUMIFS(Campagne!$M$1:$M$128,Campagne!$C$1:$C$128,$A138))</f>
        <v>0.343045775</v>
      </c>
      <c r="T138">
        <f>IF($A138="","",_xlfn.SUMIFS(PIL!$K$15:$K$28,PIL!$A$15:$A$28,$A138)*_xlfn.SUMIFS(PIL!$J$15:$J$28,PIL!$A$15:$A$28,$A138)*(SUM(PIL!$K$15:$K$28)/SUMPRODUCT(PIL!$K$15:$K$28,PIL!$J$15:$J$28)))</f>
        <v>36612</v>
      </c>
      <c r="U138">
        <f>IF($A138="","",_xlfn.SUMIFS(PIL!$K$15:$K$28,PIL!$A$15:$A$28,$A138))</f>
        <v>36612</v>
      </c>
      <c r="V138" t="s">
        <v>274</v>
      </c>
      <c r="W138" t="s">
        <v>274</v>
      </c>
      <c r="X138" t="s">
        <v>274</v>
      </c>
      <c r="Y138" t="s">
        <v>274</v>
      </c>
      <c r="Z138" t="s">
        <v>274</v>
      </c>
      <c r="AA138" t="s">
        <v>274</v>
      </c>
      <c r="AB138" t="s">
        <v>274</v>
      </c>
      <c r="AC138" t="s">
        <v>274</v>
      </c>
      <c r="AD138" t="e">
        <f t="shared" si="1"/>
        <v>#VALUE!</v>
      </c>
      <c r="AE138">
        <f t="shared" si="2"/>
        <v>0</v>
      </c>
      <c r="AF138" t="e">
        <f t="shared" si="3"/>
        <v>#VALUE!</v>
      </c>
      <c r="AG138" t="e">
        <f t="shared" si="4"/>
        <v>#VALUE!</v>
      </c>
      <c r="AH138" t="e">
        <f t="shared" si="5"/>
        <v>#VALUE!</v>
      </c>
    </row>
    <row r="139" ht="14.25" customHeight="1">
      <c r="A139" t="str">
        <f>IF(Moteur!D139="","",Moteur!D139)</f>
        <v>PIGIER_LYO</v>
      </c>
      <c r="B139" t="str">
        <f>IF(Moteur!B139="","",Moteur!B139)</f>
        <v>V03</v>
      </c>
      <c r="C139" t="str">
        <f>IF(Moteur!F139="","",Moteur!F139)</f>
        <v>BTS_GES</v>
      </c>
      <c r="D139" t="str">
        <f>IF(Moteur!G139="","",Moteur!G139)</f>
        <v>BTS2</v>
      </c>
      <c r="E139" t="str">
        <f>IF(Moteur!H139="","",Moteur!H139)</f>
        <v>ALT</v>
      </c>
      <c r="F139" t="str">
        <f>IF(Moteur!E139="","",Moteur!E139)</f>
        <v>PIGIER</v>
      </c>
      <c r="G139">
        <f>IF($A139="","",_xlfn.SUMIFS(Socle!$H$1:$H$448,Socle!$C$1:$C$448,$A139,Socle!$D$1:$D$448,$C139,Socle!$E$1:$E$448,$D139,Socle!$F$1:$F$448,$E139,Socle!$G$1:$G$448,"2026"))</f>
        <v>0</v>
      </c>
      <c r="H139">
        <f>IF($A139="","",_xlfn.SUMIFS(Socle!$N$1:$N$448,Socle!$C$1:$C$448,$A139,Socle!$D$1:$D$448,$C139,Socle!$E$1:$E$448,$D139,Socle!$F$1:$F$448,$E139,Socle!$G$1:$G$448,"2026"))</f>
        <v>92</v>
      </c>
      <c r="I139">
        <f>IF($A139="","",_xlfn.SUMIFS(Socle!$P$1:$P$448,Socle!$C$1:$C$448,$A139,Socle!$D$1:$D$448,$C139,Socle!$E$1:$E$448,$D139,Socle!$F$1:$F$448,$E139,Socle!$G$1:$G$448,"2026"))</f>
        <v>12600</v>
      </c>
      <c r="J139">
        <f>IF($A139="","",_xlfn.SUMIFS(Socle!$W$1:$W$448,Socle!$C$1:$C$448,$A139,Socle!$D$1:$D$448,$C139,Socle!$E$1:$E$448,$D139,Socle!$F$1:$F$448,$E139,Socle!$G$1:$G$448,"2026"))</f>
        <v>0</v>
      </c>
      <c r="K139">
        <f>IF($A139="","",_xlfn.SUMIFS(Socle!$X$1:$X$448,Socle!$C$1:$C$448,$A139,Socle!$D$1:$D$448,$C139,Socle!$E$1:$E$448,$D139,Socle!$F$1:$F$448,$E139,Socle!$G$1:$G$448,"2026"))</f>
        <v>0</v>
      </c>
      <c r="L139">
        <f>IF($A139="","",_xlfn.SUMIFS(Socle!$Y$1:$Y$448,Socle!$C$1:$C$448,$A139,Socle!$D$1:$D$448,$C139,Socle!$E$1:$E$448,$D139,Socle!$F$1:$F$448,$E139,Socle!$G$1:$G$448,"2026"))</f>
        <v>0</v>
      </c>
      <c r="M139">
        <f>IF($A139="","",_xlfn.SUMIFS(Socle!$V$1:$V$448,Socle!$C$1:$C$448,$A139,Socle!$D$1:$D$448,$C139,Socle!$E$1:$E$448,$D139,Socle!$F$1:$F$448,$E139,Socle!$G$1:$G$448,"2026"))</f>
        <v>1.95652174</v>
      </c>
      <c r="N139">
        <f t="shared" si="0"/>
        <v>0</v>
      </c>
      <c r="O139">
        <f>IF($A139="","",_xlfn.SUMIFS(Campagne!$D$1:$D$128,Campagne!$C$1:$C$128,$A139))</f>
        <v>738</v>
      </c>
      <c r="P139">
        <f>IF($A139="","",_xlfn.SUMIFS(Campagne!$E$1:$E$128,Campagne!$C$1:$C$128,$A139))</f>
        <v>832</v>
      </c>
      <c r="Q139">
        <f>IF($A139="","",_xlfn.SUMIFS(Campagne!$F$1:$F$128,Campagne!$C$1:$C$128,$A139))</f>
        <v>1570</v>
      </c>
      <c r="R139">
        <f>IF($A139="","",_xlfn.SUMIFS(Campagne!$K$1:$K$128,Campagne!$C$1:$C$128,$A139))</f>
        <v>0.440450184</v>
      </c>
      <c r="S139">
        <f>IF($A139="","",_xlfn.SUMIFS(Campagne!$M$1:$M$128,Campagne!$C$1:$C$128,$A139))</f>
        <v>0.343045775</v>
      </c>
      <c r="T139">
        <f>IF($A139="","",_xlfn.SUMIFS(PIL!$K$15:$K$28,PIL!$A$15:$A$28,$A139)*_xlfn.SUMIFS(PIL!$J$15:$J$28,PIL!$A$15:$A$28,$A139)*(SUM(PIL!$K$15:$K$28)/SUMPRODUCT(PIL!$K$15:$K$28,PIL!$J$15:$J$28)))</f>
        <v>36612</v>
      </c>
      <c r="U139">
        <f>IF($A139="","",_xlfn.SUMIFS(PIL!$K$15:$K$28,PIL!$A$15:$A$28,$A139))</f>
        <v>36612</v>
      </c>
      <c r="V139" t="s">
        <v>274</v>
      </c>
      <c r="W139" t="s">
        <v>274</v>
      </c>
      <c r="X139" t="s">
        <v>274</v>
      </c>
      <c r="Y139" t="s">
        <v>274</v>
      </c>
      <c r="Z139" t="s">
        <v>274</v>
      </c>
      <c r="AA139" t="s">
        <v>274</v>
      </c>
      <c r="AB139" t="s">
        <v>274</v>
      </c>
      <c r="AC139" t="s">
        <v>274</v>
      </c>
      <c r="AD139" t="e">
        <f t="shared" si="1"/>
        <v>#VALUE!</v>
      </c>
      <c r="AE139">
        <f t="shared" si="2"/>
        <v>0</v>
      </c>
      <c r="AF139" t="e">
        <f t="shared" si="3"/>
        <v>#VALUE!</v>
      </c>
      <c r="AG139" t="e">
        <f t="shared" si="4"/>
        <v>#VALUE!</v>
      </c>
      <c r="AH139" t="e">
        <f t="shared" si="5"/>
        <v>#VALUE!</v>
      </c>
    </row>
    <row r="140" ht="14.25" customHeight="1">
      <c r="A140" t="str">
        <f>IF(Moteur!D140="","",Moteur!D140)</f>
        <v>PIGIER_LYO</v>
      </c>
      <c r="B140" t="str">
        <f>IF(Moteur!B140="","",Moteur!B140)</f>
        <v>V01</v>
      </c>
      <c r="C140" t="str">
        <f>IF(Moteur!F140="","",Moteur!F140)</f>
        <v>BAC_RH</v>
      </c>
      <c r="D140" t="str">
        <f>IF(Moteur!G140="","",Moteur!G140)</f>
        <v>B1</v>
      </c>
      <c r="E140" t="str">
        <f>IF(Moteur!H140="","",Moteur!H140)</f>
        <v>ALT</v>
      </c>
      <c r="F140" t="str">
        <f>IF(Moteur!E140="","",Moteur!E140)</f>
        <v>PIGIER</v>
      </c>
      <c r="G140">
        <f>IF($A140="","",_xlfn.SUMIFS(Socle!$H$1:$H$448,Socle!$C$1:$C$448,$A140,Socle!$D$1:$D$448,$C140,Socle!$E$1:$E$448,$D140,Socle!$F$1:$F$448,$E140,Socle!$G$1:$G$448,"2026"))</f>
        <v>1570</v>
      </c>
      <c r="H140">
        <f>IF($A140="","",_xlfn.SUMIFS(Socle!$N$1:$N$448,Socle!$C$1:$C$448,$A140,Socle!$D$1:$D$448,$C140,Socle!$E$1:$E$448,$D140,Socle!$F$1:$F$448,$E140,Socle!$G$1:$G$448,"2026"))</f>
        <v>0</v>
      </c>
      <c r="I140">
        <f>IF($A140="","",_xlfn.SUMIFS(Socle!$P$1:$P$448,Socle!$C$1:$C$448,$A140,Socle!$D$1:$D$448,$C140,Socle!$E$1:$E$448,$D140,Socle!$F$1:$F$448,$E140,Socle!$G$1:$G$448,"2026"))</f>
        <v>14700</v>
      </c>
      <c r="J140">
        <f>IF($A140="","",_xlfn.SUMIFS(Socle!$W$1:$W$448,Socle!$C$1:$C$448,$A140,Socle!$D$1:$D$448,$C140,Socle!$E$1:$E$448,$D140,Socle!$F$1:$F$448,$E140,Socle!$G$1:$G$448,"2026"))</f>
        <v>0.4</v>
      </c>
      <c r="K140">
        <f>IF($A140="","",_xlfn.SUMIFS(Socle!$X$1:$X$448,Socle!$C$1:$C$448,$A140,Socle!$D$1:$D$448,$C140,Socle!$E$1:$E$448,$D140,Socle!$F$1:$F$448,$E140,Socle!$G$1:$G$448,"2026"))</f>
        <v>1.401273886</v>
      </c>
      <c r="L140">
        <f>IF($A140="","",_xlfn.SUMIFS(Socle!$Y$1:$Y$448,Socle!$C$1:$C$448,$A140,Socle!$D$1:$D$448,$C140,Socle!$E$1:$E$448,$D140,Socle!$F$1:$F$448,$E140,Socle!$G$1:$G$448,"2026"))</f>
        <v>0.836363636</v>
      </c>
      <c r="M140">
        <f>IF($A140="","",_xlfn.SUMIFS(Socle!$V$1:$V$448,Socle!$C$1:$C$448,$A140,Socle!$D$1:$D$448,$C140,Socle!$E$1:$E$448,$D140,Socle!$F$1:$F$448,$E140,Socle!$G$1:$G$448,"2026"))</f>
        <v>0</v>
      </c>
      <c r="N140">
        <f t="shared" si="0"/>
        <v>1</v>
      </c>
      <c r="O140">
        <f>IF($A140="","",_xlfn.SUMIFS(Campagne!$D$1:$D$128,Campagne!$C$1:$C$128,$A140))</f>
        <v>738</v>
      </c>
      <c r="P140">
        <f>IF($A140="","",_xlfn.SUMIFS(Campagne!$E$1:$E$128,Campagne!$C$1:$C$128,$A140))</f>
        <v>832</v>
      </c>
      <c r="Q140">
        <f>IF($A140="","",_xlfn.SUMIFS(Campagne!$F$1:$F$128,Campagne!$C$1:$C$128,$A140))</f>
        <v>1570</v>
      </c>
      <c r="R140">
        <f>IF($A140="","",_xlfn.SUMIFS(Campagne!$K$1:$K$128,Campagne!$C$1:$C$128,$A140))</f>
        <v>0.440450184</v>
      </c>
      <c r="S140">
        <f>IF($A140="","",_xlfn.SUMIFS(Campagne!$M$1:$M$128,Campagne!$C$1:$C$128,$A140))</f>
        <v>0.343045775</v>
      </c>
      <c r="T140">
        <f>IF($A140="","",_xlfn.SUMIFS(PIL!$K$15:$K$28,PIL!$A$15:$A$28,$A140)*_xlfn.SUMIFS(PIL!$J$15:$J$28,PIL!$A$15:$A$28,$A140)*(SUM(PIL!$K$15:$K$28)/SUMPRODUCT(PIL!$K$15:$K$28,PIL!$J$15:$J$28)))</f>
        <v>36612</v>
      </c>
      <c r="U140">
        <f>IF($A140="","",_xlfn.SUMIFS(PIL!$K$15:$K$28,PIL!$A$15:$A$28,$A140))</f>
        <v>36612</v>
      </c>
      <c r="V140" t="s">
        <v>274</v>
      </c>
      <c r="W140" t="s">
        <v>274</v>
      </c>
      <c r="X140" t="s">
        <v>274</v>
      </c>
      <c r="Y140" t="s">
        <v>274</v>
      </c>
      <c r="Z140" t="s">
        <v>274</v>
      </c>
      <c r="AA140" t="s">
        <v>274</v>
      </c>
      <c r="AB140" t="s">
        <v>274</v>
      </c>
      <c r="AC140" t="s">
        <v>274</v>
      </c>
      <c r="AD140" t="e">
        <f t="shared" si="1"/>
        <v>#VALUE!</v>
      </c>
      <c r="AE140" t="e">
        <f t="shared" si="2"/>
        <v>#VALUE!</v>
      </c>
      <c r="AF140" t="e">
        <f t="shared" si="3"/>
        <v>#VALUE!</v>
      </c>
      <c r="AG140" t="e">
        <f t="shared" si="4"/>
        <v>#VALUE!</v>
      </c>
      <c r="AH140" t="e">
        <f t="shared" si="5"/>
        <v>#VALUE!</v>
      </c>
    </row>
    <row r="141" ht="14.25" customHeight="1">
      <c r="A141" t="str">
        <f>IF(Moteur!D141="","",Moteur!D141)</f>
        <v>PIGIER_LYO</v>
      </c>
      <c r="B141" t="str">
        <f>IF(Moteur!B141="","",Moteur!B141)</f>
        <v>V02</v>
      </c>
      <c r="C141" t="str">
        <f>IF(Moteur!F141="","",Moteur!F141)</f>
        <v>BAC_RH</v>
      </c>
      <c r="D141" t="str">
        <f>IF(Moteur!G141="","",Moteur!G141)</f>
        <v>B1</v>
      </c>
      <c r="E141" t="str">
        <f>IF(Moteur!H141="","",Moteur!H141)</f>
        <v>ALT</v>
      </c>
      <c r="F141" t="str">
        <f>IF(Moteur!E141="","",Moteur!E141)</f>
        <v>PIGIER</v>
      </c>
      <c r="G141">
        <f>IF($A141="","",_xlfn.SUMIFS(Socle!$H$1:$H$448,Socle!$C$1:$C$448,$A141,Socle!$D$1:$D$448,$C141,Socle!$E$1:$E$448,$D141,Socle!$F$1:$F$448,$E141,Socle!$G$1:$G$448,"2026"))</f>
        <v>1570</v>
      </c>
      <c r="H141">
        <f>IF($A141="","",_xlfn.SUMIFS(Socle!$N$1:$N$448,Socle!$C$1:$C$448,$A141,Socle!$D$1:$D$448,$C141,Socle!$E$1:$E$448,$D141,Socle!$F$1:$F$448,$E141,Socle!$G$1:$G$448,"2026"))</f>
        <v>0</v>
      </c>
      <c r="I141">
        <f>IF($A141="","",_xlfn.SUMIFS(Socle!$P$1:$P$448,Socle!$C$1:$C$448,$A141,Socle!$D$1:$D$448,$C141,Socle!$E$1:$E$448,$D141,Socle!$F$1:$F$448,$E141,Socle!$G$1:$G$448,"2026"))</f>
        <v>14700</v>
      </c>
      <c r="J141">
        <f>IF($A141="","",_xlfn.SUMIFS(Socle!$W$1:$W$448,Socle!$C$1:$C$448,$A141,Socle!$D$1:$D$448,$C141,Socle!$E$1:$E$448,$D141,Socle!$F$1:$F$448,$E141,Socle!$G$1:$G$448,"2026"))</f>
        <v>0.4</v>
      </c>
      <c r="K141">
        <f>IF($A141="","",_xlfn.SUMIFS(Socle!$X$1:$X$448,Socle!$C$1:$C$448,$A141,Socle!$D$1:$D$448,$C141,Socle!$E$1:$E$448,$D141,Socle!$F$1:$F$448,$E141,Socle!$G$1:$G$448,"2026"))</f>
        <v>1.401273886</v>
      </c>
      <c r="L141">
        <f>IF($A141="","",_xlfn.SUMIFS(Socle!$Y$1:$Y$448,Socle!$C$1:$C$448,$A141,Socle!$D$1:$D$448,$C141,Socle!$E$1:$E$448,$D141,Socle!$F$1:$F$448,$E141,Socle!$G$1:$G$448,"2026"))</f>
        <v>0.836363636</v>
      </c>
      <c r="M141">
        <f>IF($A141="","",_xlfn.SUMIFS(Socle!$V$1:$V$448,Socle!$C$1:$C$448,$A141,Socle!$D$1:$D$448,$C141,Socle!$E$1:$E$448,$D141,Socle!$F$1:$F$448,$E141,Socle!$G$1:$G$448,"2026"))</f>
        <v>0</v>
      </c>
      <c r="N141">
        <f t="shared" si="0"/>
        <v>1</v>
      </c>
      <c r="O141">
        <f>IF($A141="","",_xlfn.SUMIFS(Campagne!$D$1:$D$128,Campagne!$C$1:$C$128,$A141))</f>
        <v>738</v>
      </c>
      <c r="P141">
        <f>IF($A141="","",_xlfn.SUMIFS(Campagne!$E$1:$E$128,Campagne!$C$1:$C$128,$A141))</f>
        <v>832</v>
      </c>
      <c r="Q141">
        <f>IF($A141="","",_xlfn.SUMIFS(Campagne!$F$1:$F$128,Campagne!$C$1:$C$128,$A141))</f>
        <v>1570</v>
      </c>
      <c r="R141">
        <f>IF($A141="","",_xlfn.SUMIFS(Campagne!$K$1:$K$128,Campagne!$C$1:$C$128,$A141))</f>
        <v>0.440450184</v>
      </c>
      <c r="S141">
        <f>IF($A141="","",_xlfn.SUMIFS(Campagne!$M$1:$M$128,Campagne!$C$1:$C$128,$A141))</f>
        <v>0.343045775</v>
      </c>
      <c r="T141">
        <f>IF($A141="","",_xlfn.SUMIFS(PIL!$K$15:$K$28,PIL!$A$15:$A$28,$A141)*_xlfn.SUMIFS(PIL!$J$15:$J$28,PIL!$A$15:$A$28,$A141)*(SUM(PIL!$K$15:$K$28)/SUMPRODUCT(PIL!$K$15:$K$28,PIL!$J$15:$J$28)))</f>
        <v>36612</v>
      </c>
      <c r="U141">
        <f>IF($A141="","",_xlfn.SUMIFS(PIL!$K$15:$K$28,PIL!$A$15:$A$28,$A141))</f>
        <v>36612</v>
      </c>
      <c r="V141" t="s">
        <v>274</v>
      </c>
      <c r="W141" t="s">
        <v>274</v>
      </c>
      <c r="X141" t="s">
        <v>274</v>
      </c>
      <c r="Y141" t="s">
        <v>274</v>
      </c>
      <c r="Z141" t="s">
        <v>274</v>
      </c>
      <c r="AA141" t="s">
        <v>274</v>
      </c>
      <c r="AB141" t="s">
        <v>274</v>
      </c>
      <c r="AC141" t="s">
        <v>274</v>
      </c>
      <c r="AD141" t="e">
        <f t="shared" si="1"/>
        <v>#VALUE!</v>
      </c>
      <c r="AE141" t="e">
        <f t="shared" si="2"/>
        <v>#VALUE!</v>
      </c>
      <c r="AF141" t="e">
        <f t="shared" si="3"/>
        <v>#VALUE!</v>
      </c>
      <c r="AG141" t="e">
        <f t="shared" si="4"/>
        <v>#VALUE!</v>
      </c>
      <c r="AH141" t="e">
        <f t="shared" si="5"/>
        <v>#VALUE!</v>
      </c>
    </row>
    <row r="142" ht="14.25" customHeight="1">
      <c r="A142" t="str">
        <f>IF(Moteur!D142="","",Moteur!D142)</f>
        <v>PIGIER_LYO</v>
      </c>
      <c r="B142" t="str">
        <f>IF(Moteur!B142="","",Moteur!B142)</f>
        <v>V03</v>
      </c>
      <c r="C142" t="str">
        <f>IF(Moteur!F142="","",Moteur!F142)</f>
        <v>BAC_RH</v>
      </c>
      <c r="D142" t="str">
        <f>IF(Moteur!G142="","",Moteur!G142)</f>
        <v>B1</v>
      </c>
      <c r="E142" t="str">
        <f>IF(Moteur!H142="","",Moteur!H142)</f>
        <v>ALT</v>
      </c>
      <c r="F142" t="str">
        <f>IF(Moteur!E142="","",Moteur!E142)</f>
        <v>PIGIER</v>
      </c>
      <c r="G142">
        <f>IF($A142="","",_xlfn.SUMIFS(Socle!$H$1:$H$448,Socle!$C$1:$C$448,$A142,Socle!$D$1:$D$448,$C142,Socle!$E$1:$E$448,$D142,Socle!$F$1:$F$448,$E142,Socle!$G$1:$G$448,"2026"))</f>
        <v>1570</v>
      </c>
      <c r="H142">
        <f>IF($A142="","",_xlfn.SUMIFS(Socle!$N$1:$N$448,Socle!$C$1:$C$448,$A142,Socle!$D$1:$D$448,$C142,Socle!$E$1:$E$448,$D142,Socle!$F$1:$F$448,$E142,Socle!$G$1:$G$448,"2026"))</f>
        <v>0</v>
      </c>
      <c r="I142">
        <f>IF($A142="","",_xlfn.SUMIFS(Socle!$P$1:$P$448,Socle!$C$1:$C$448,$A142,Socle!$D$1:$D$448,$C142,Socle!$E$1:$E$448,$D142,Socle!$F$1:$F$448,$E142,Socle!$G$1:$G$448,"2026"))</f>
        <v>14700</v>
      </c>
      <c r="J142">
        <f>IF($A142="","",_xlfn.SUMIFS(Socle!$W$1:$W$448,Socle!$C$1:$C$448,$A142,Socle!$D$1:$D$448,$C142,Socle!$E$1:$E$448,$D142,Socle!$F$1:$F$448,$E142,Socle!$G$1:$G$448,"2026"))</f>
        <v>0.4</v>
      </c>
      <c r="K142">
        <f>IF($A142="","",_xlfn.SUMIFS(Socle!$X$1:$X$448,Socle!$C$1:$C$448,$A142,Socle!$D$1:$D$448,$C142,Socle!$E$1:$E$448,$D142,Socle!$F$1:$F$448,$E142,Socle!$G$1:$G$448,"2026"))</f>
        <v>1.401273886</v>
      </c>
      <c r="L142">
        <f>IF($A142="","",_xlfn.SUMIFS(Socle!$Y$1:$Y$448,Socle!$C$1:$C$448,$A142,Socle!$D$1:$D$448,$C142,Socle!$E$1:$E$448,$D142,Socle!$F$1:$F$448,$E142,Socle!$G$1:$G$448,"2026"))</f>
        <v>0.836363636</v>
      </c>
      <c r="M142">
        <f>IF($A142="","",_xlfn.SUMIFS(Socle!$V$1:$V$448,Socle!$C$1:$C$448,$A142,Socle!$D$1:$D$448,$C142,Socle!$E$1:$E$448,$D142,Socle!$F$1:$F$448,$E142,Socle!$G$1:$G$448,"2026"))</f>
        <v>0</v>
      </c>
      <c r="N142">
        <f t="shared" si="0"/>
        <v>1</v>
      </c>
      <c r="O142">
        <f>IF($A142="","",_xlfn.SUMIFS(Campagne!$D$1:$D$128,Campagne!$C$1:$C$128,$A142))</f>
        <v>738</v>
      </c>
      <c r="P142">
        <f>IF($A142="","",_xlfn.SUMIFS(Campagne!$E$1:$E$128,Campagne!$C$1:$C$128,$A142))</f>
        <v>832</v>
      </c>
      <c r="Q142">
        <f>IF($A142="","",_xlfn.SUMIFS(Campagne!$F$1:$F$128,Campagne!$C$1:$C$128,$A142))</f>
        <v>1570</v>
      </c>
      <c r="R142">
        <f>IF($A142="","",_xlfn.SUMIFS(Campagne!$K$1:$K$128,Campagne!$C$1:$C$128,$A142))</f>
        <v>0.440450184</v>
      </c>
      <c r="S142">
        <f>IF($A142="","",_xlfn.SUMIFS(Campagne!$M$1:$M$128,Campagne!$C$1:$C$128,$A142))</f>
        <v>0.343045775</v>
      </c>
      <c r="T142">
        <f>IF($A142="","",_xlfn.SUMIFS(PIL!$K$15:$K$28,PIL!$A$15:$A$28,$A142)*_xlfn.SUMIFS(PIL!$J$15:$J$28,PIL!$A$15:$A$28,$A142)*(SUM(PIL!$K$15:$K$28)/SUMPRODUCT(PIL!$K$15:$K$28,PIL!$J$15:$J$28)))</f>
        <v>36612</v>
      </c>
      <c r="U142">
        <f>IF($A142="","",_xlfn.SUMIFS(PIL!$K$15:$K$28,PIL!$A$15:$A$28,$A142))</f>
        <v>36612</v>
      </c>
      <c r="V142" t="s">
        <v>274</v>
      </c>
      <c r="W142" t="s">
        <v>274</v>
      </c>
      <c r="X142" t="s">
        <v>274</v>
      </c>
      <c r="Y142" t="s">
        <v>274</v>
      </c>
      <c r="Z142" t="s">
        <v>274</v>
      </c>
      <c r="AA142" t="s">
        <v>274</v>
      </c>
      <c r="AB142" t="s">
        <v>274</v>
      </c>
      <c r="AC142" t="s">
        <v>274</v>
      </c>
      <c r="AD142" t="e">
        <f t="shared" si="1"/>
        <v>#VALUE!</v>
      </c>
      <c r="AE142" t="e">
        <f t="shared" si="2"/>
        <v>#VALUE!</v>
      </c>
      <c r="AF142" t="e">
        <f t="shared" si="3"/>
        <v>#VALUE!</v>
      </c>
      <c r="AG142" t="e">
        <f t="shared" si="4"/>
        <v>#VALUE!</v>
      </c>
      <c r="AH142" t="e">
        <f t="shared" si="5"/>
        <v>#VALUE!</v>
      </c>
    </row>
    <row r="143" ht="14.25" customHeight="1">
      <c r="A143" t="str">
        <f>IF(Moteur!D143="","",Moteur!D143)</f>
        <v>PIGIER_LYO</v>
      </c>
      <c r="B143" t="str">
        <f>IF(Moteur!B143="","",Moteur!B143)</f>
        <v>V01</v>
      </c>
      <c r="C143" t="str">
        <f>IF(Moteur!F143="","",Moteur!F143)</f>
        <v>BAC_RH</v>
      </c>
      <c r="D143" t="str">
        <f>IF(Moteur!G143="","",Moteur!G143)</f>
        <v>B3</v>
      </c>
      <c r="E143" t="str">
        <f>IF(Moteur!H143="","",Moteur!H143)</f>
        <v>ALT</v>
      </c>
      <c r="F143" t="str">
        <f>IF(Moteur!E143="","",Moteur!E143)</f>
        <v>PIGIER</v>
      </c>
      <c r="G143">
        <f>IF($A143="","",_xlfn.SUMIFS(Socle!$H$1:$H$448,Socle!$C$1:$C$448,$A143,Socle!$D$1:$D$448,$C143,Socle!$E$1:$E$448,$D143,Socle!$F$1:$F$448,$E143,Socle!$G$1:$G$448,"2026"))</f>
        <v>0</v>
      </c>
      <c r="H143">
        <f>IF($A143="","",_xlfn.SUMIFS(Socle!$N$1:$N$448,Socle!$C$1:$C$448,$A143,Socle!$D$1:$D$448,$C143,Socle!$E$1:$E$448,$D143,Socle!$F$1:$F$448,$E143,Socle!$G$1:$G$448,"2026"))</f>
        <v>92</v>
      </c>
      <c r="I143">
        <f>IF($A143="","",_xlfn.SUMIFS(Socle!$P$1:$P$448,Socle!$C$1:$C$448,$A143,Socle!$D$1:$D$448,$C143,Socle!$E$1:$E$448,$D143,Socle!$F$1:$F$448,$E143,Socle!$G$1:$G$448,"2026"))</f>
        <v>14700</v>
      </c>
      <c r="J143">
        <f>IF($A143="","",_xlfn.SUMIFS(Socle!$W$1:$W$448,Socle!$C$1:$C$448,$A143,Socle!$D$1:$D$448,$C143,Socle!$E$1:$E$448,$D143,Socle!$F$1:$F$448,$E143,Socle!$G$1:$G$448,"2026"))</f>
        <v>0</v>
      </c>
      <c r="K143">
        <f>IF($A143="","",_xlfn.SUMIFS(Socle!$X$1:$X$448,Socle!$C$1:$C$448,$A143,Socle!$D$1:$D$448,$C143,Socle!$E$1:$E$448,$D143,Socle!$F$1:$F$448,$E143,Socle!$G$1:$G$448,"2026"))</f>
        <v>0</v>
      </c>
      <c r="L143">
        <f>IF($A143="","",_xlfn.SUMIFS(Socle!$Y$1:$Y$448,Socle!$C$1:$C$448,$A143,Socle!$D$1:$D$448,$C143,Socle!$E$1:$E$448,$D143,Socle!$F$1:$F$448,$E143,Socle!$G$1:$G$448,"2026"))</f>
        <v>0</v>
      </c>
      <c r="M143">
        <f>IF($A143="","",_xlfn.SUMIFS(Socle!$V$1:$V$448,Socle!$C$1:$C$448,$A143,Socle!$D$1:$D$448,$C143,Socle!$E$1:$E$448,$D143,Socle!$F$1:$F$448,$E143,Socle!$G$1:$G$448,"2026"))</f>
        <v>1.95652174</v>
      </c>
      <c r="N143">
        <f t="shared" si="0"/>
        <v>0</v>
      </c>
      <c r="O143">
        <f>IF($A143="","",_xlfn.SUMIFS(Campagne!$D$1:$D$128,Campagne!$C$1:$C$128,$A143))</f>
        <v>738</v>
      </c>
      <c r="P143">
        <f>IF($A143="","",_xlfn.SUMIFS(Campagne!$E$1:$E$128,Campagne!$C$1:$C$128,$A143))</f>
        <v>832</v>
      </c>
      <c r="Q143">
        <f>IF($A143="","",_xlfn.SUMIFS(Campagne!$F$1:$F$128,Campagne!$C$1:$C$128,$A143))</f>
        <v>1570</v>
      </c>
      <c r="R143">
        <f>IF($A143="","",_xlfn.SUMIFS(Campagne!$K$1:$K$128,Campagne!$C$1:$C$128,$A143))</f>
        <v>0.440450184</v>
      </c>
      <c r="S143">
        <f>IF($A143="","",_xlfn.SUMIFS(Campagne!$M$1:$M$128,Campagne!$C$1:$C$128,$A143))</f>
        <v>0.343045775</v>
      </c>
      <c r="T143">
        <f>IF($A143="","",_xlfn.SUMIFS(PIL!$K$15:$K$28,PIL!$A$15:$A$28,$A143)*_xlfn.SUMIFS(PIL!$J$15:$J$28,PIL!$A$15:$A$28,$A143)*(SUM(PIL!$K$15:$K$28)/SUMPRODUCT(PIL!$K$15:$K$28,PIL!$J$15:$J$28)))</f>
        <v>36612</v>
      </c>
      <c r="U143">
        <f>IF($A143="","",_xlfn.SUMIFS(PIL!$K$15:$K$28,PIL!$A$15:$A$28,$A143))</f>
        <v>36612</v>
      </c>
      <c r="V143" t="s">
        <v>274</v>
      </c>
      <c r="W143" t="s">
        <v>274</v>
      </c>
      <c r="X143" t="s">
        <v>274</v>
      </c>
      <c r="Y143" t="s">
        <v>274</v>
      </c>
      <c r="Z143" t="s">
        <v>274</v>
      </c>
      <c r="AA143" t="s">
        <v>274</v>
      </c>
      <c r="AB143" t="s">
        <v>274</v>
      </c>
      <c r="AC143" t="s">
        <v>274</v>
      </c>
      <c r="AD143" t="e">
        <f t="shared" si="1"/>
        <v>#VALUE!</v>
      </c>
      <c r="AE143">
        <f t="shared" si="2"/>
        <v>0</v>
      </c>
      <c r="AF143" t="e">
        <f t="shared" si="3"/>
        <v>#VALUE!</v>
      </c>
      <c r="AG143" t="e">
        <f t="shared" si="4"/>
        <v>#VALUE!</v>
      </c>
      <c r="AH143" t="e">
        <f t="shared" si="5"/>
        <v>#VALUE!</v>
      </c>
    </row>
    <row r="144" ht="14.25" customHeight="1">
      <c r="A144" t="str">
        <f>IF(Moteur!D144="","",Moteur!D144)</f>
        <v>PIGIER_LYO</v>
      </c>
      <c r="B144" t="str">
        <f>IF(Moteur!B144="","",Moteur!B144)</f>
        <v>V02</v>
      </c>
      <c r="C144" t="str">
        <f>IF(Moteur!F144="","",Moteur!F144)</f>
        <v>BAC_RH</v>
      </c>
      <c r="D144" t="str">
        <f>IF(Moteur!G144="","",Moteur!G144)</f>
        <v>B3</v>
      </c>
      <c r="E144" t="str">
        <f>IF(Moteur!H144="","",Moteur!H144)</f>
        <v>ALT</v>
      </c>
      <c r="F144" t="str">
        <f>IF(Moteur!E144="","",Moteur!E144)</f>
        <v>PIGIER</v>
      </c>
      <c r="G144">
        <f>IF($A144="","",_xlfn.SUMIFS(Socle!$H$1:$H$448,Socle!$C$1:$C$448,$A144,Socle!$D$1:$D$448,$C144,Socle!$E$1:$E$448,$D144,Socle!$F$1:$F$448,$E144,Socle!$G$1:$G$448,"2026"))</f>
        <v>0</v>
      </c>
      <c r="H144">
        <f>IF($A144="","",_xlfn.SUMIFS(Socle!$N$1:$N$448,Socle!$C$1:$C$448,$A144,Socle!$D$1:$D$448,$C144,Socle!$E$1:$E$448,$D144,Socle!$F$1:$F$448,$E144,Socle!$G$1:$G$448,"2026"))</f>
        <v>92</v>
      </c>
      <c r="I144">
        <f>IF($A144="","",_xlfn.SUMIFS(Socle!$P$1:$P$448,Socle!$C$1:$C$448,$A144,Socle!$D$1:$D$448,$C144,Socle!$E$1:$E$448,$D144,Socle!$F$1:$F$448,$E144,Socle!$G$1:$G$448,"2026"))</f>
        <v>14700</v>
      </c>
      <c r="J144">
        <f>IF($A144="","",_xlfn.SUMIFS(Socle!$W$1:$W$448,Socle!$C$1:$C$448,$A144,Socle!$D$1:$D$448,$C144,Socle!$E$1:$E$448,$D144,Socle!$F$1:$F$448,$E144,Socle!$G$1:$G$448,"2026"))</f>
        <v>0</v>
      </c>
      <c r="K144">
        <f>IF($A144="","",_xlfn.SUMIFS(Socle!$X$1:$X$448,Socle!$C$1:$C$448,$A144,Socle!$D$1:$D$448,$C144,Socle!$E$1:$E$448,$D144,Socle!$F$1:$F$448,$E144,Socle!$G$1:$G$448,"2026"))</f>
        <v>0</v>
      </c>
      <c r="L144">
        <f>IF($A144="","",_xlfn.SUMIFS(Socle!$Y$1:$Y$448,Socle!$C$1:$C$448,$A144,Socle!$D$1:$D$448,$C144,Socle!$E$1:$E$448,$D144,Socle!$F$1:$F$448,$E144,Socle!$G$1:$G$448,"2026"))</f>
        <v>0</v>
      </c>
      <c r="M144">
        <f>IF($A144="","",_xlfn.SUMIFS(Socle!$V$1:$V$448,Socle!$C$1:$C$448,$A144,Socle!$D$1:$D$448,$C144,Socle!$E$1:$E$448,$D144,Socle!$F$1:$F$448,$E144,Socle!$G$1:$G$448,"2026"))</f>
        <v>1.95652174</v>
      </c>
      <c r="N144">
        <f t="shared" si="0"/>
        <v>0</v>
      </c>
      <c r="O144">
        <f>IF($A144="","",_xlfn.SUMIFS(Campagne!$D$1:$D$128,Campagne!$C$1:$C$128,$A144))</f>
        <v>738</v>
      </c>
      <c r="P144">
        <f>IF($A144="","",_xlfn.SUMIFS(Campagne!$E$1:$E$128,Campagne!$C$1:$C$128,$A144))</f>
        <v>832</v>
      </c>
      <c r="Q144">
        <f>IF($A144="","",_xlfn.SUMIFS(Campagne!$F$1:$F$128,Campagne!$C$1:$C$128,$A144))</f>
        <v>1570</v>
      </c>
      <c r="R144">
        <f>IF($A144="","",_xlfn.SUMIFS(Campagne!$K$1:$K$128,Campagne!$C$1:$C$128,$A144))</f>
        <v>0.440450184</v>
      </c>
      <c r="S144">
        <f>IF($A144="","",_xlfn.SUMIFS(Campagne!$M$1:$M$128,Campagne!$C$1:$C$128,$A144))</f>
        <v>0.343045775</v>
      </c>
      <c r="T144">
        <f>IF($A144="","",_xlfn.SUMIFS(PIL!$K$15:$K$28,PIL!$A$15:$A$28,$A144)*_xlfn.SUMIFS(PIL!$J$15:$J$28,PIL!$A$15:$A$28,$A144)*(SUM(PIL!$K$15:$K$28)/SUMPRODUCT(PIL!$K$15:$K$28,PIL!$J$15:$J$28)))</f>
        <v>36612</v>
      </c>
      <c r="U144">
        <f>IF($A144="","",_xlfn.SUMIFS(PIL!$K$15:$K$28,PIL!$A$15:$A$28,$A144))</f>
        <v>36612</v>
      </c>
      <c r="V144" t="s">
        <v>274</v>
      </c>
      <c r="W144" t="s">
        <v>274</v>
      </c>
      <c r="X144" t="s">
        <v>274</v>
      </c>
      <c r="Y144" t="s">
        <v>274</v>
      </c>
      <c r="Z144" t="s">
        <v>274</v>
      </c>
      <c r="AA144" t="s">
        <v>274</v>
      </c>
      <c r="AB144" t="s">
        <v>274</v>
      </c>
      <c r="AC144" t="s">
        <v>274</v>
      </c>
      <c r="AD144" t="e">
        <f t="shared" si="1"/>
        <v>#VALUE!</v>
      </c>
      <c r="AE144">
        <f t="shared" si="2"/>
        <v>0</v>
      </c>
      <c r="AF144" t="e">
        <f t="shared" si="3"/>
        <v>#VALUE!</v>
      </c>
      <c r="AG144" t="e">
        <f t="shared" si="4"/>
        <v>#VALUE!</v>
      </c>
      <c r="AH144" t="e">
        <f t="shared" si="5"/>
        <v>#VALUE!</v>
      </c>
    </row>
    <row r="145" ht="14.25" customHeight="1">
      <c r="A145" t="str">
        <f>IF(Moteur!D145="","",Moteur!D145)</f>
        <v>PIGIER_LYO</v>
      </c>
      <c r="B145" t="str">
        <f>IF(Moteur!B145="","",Moteur!B145)</f>
        <v>V03</v>
      </c>
      <c r="C145" t="str">
        <f>IF(Moteur!F145="","",Moteur!F145)</f>
        <v>BAC_RH</v>
      </c>
      <c r="D145" t="str">
        <f>IF(Moteur!G145="","",Moteur!G145)</f>
        <v>B3</v>
      </c>
      <c r="E145" t="str">
        <f>IF(Moteur!H145="","",Moteur!H145)</f>
        <v>ALT</v>
      </c>
      <c r="F145" t="str">
        <f>IF(Moteur!E145="","",Moteur!E145)</f>
        <v>PIGIER</v>
      </c>
      <c r="G145">
        <f>IF($A145="","",_xlfn.SUMIFS(Socle!$H$1:$H$448,Socle!$C$1:$C$448,$A145,Socle!$D$1:$D$448,$C145,Socle!$E$1:$E$448,$D145,Socle!$F$1:$F$448,$E145,Socle!$G$1:$G$448,"2026"))</f>
        <v>0</v>
      </c>
      <c r="H145">
        <f>IF($A145="","",_xlfn.SUMIFS(Socle!$N$1:$N$448,Socle!$C$1:$C$448,$A145,Socle!$D$1:$D$448,$C145,Socle!$E$1:$E$448,$D145,Socle!$F$1:$F$448,$E145,Socle!$G$1:$G$448,"2026"))</f>
        <v>92</v>
      </c>
      <c r="I145">
        <f>IF($A145="","",_xlfn.SUMIFS(Socle!$P$1:$P$448,Socle!$C$1:$C$448,$A145,Socle!$D$1:$D$448,$C145,Socle!$E$1:$E$448,$D145,Socle!$F$1:$F$448,$E145,Socle!$G$1:$G$448,"2026"))</f>
        <v>14700</v>
      </c>
      <c r="J145">
        <f>IF($A145="","",_xlfn.SUMIFS(Socle!$W$1:$W$448,Socle!$C$1:$C$448,$A145,Socle!$D$1:$D$448,$C145,Socle!$E$1:$E$448,$D145,Socle!$F$1:$F$448,$E145,Socle!$G$1:$G$448,"2026"))</f>
        <v>0</v>
      </c>
      <c r="K145">
        <f>IF($A145="","",_xlfn.SUMIFS(Socle!$X$1:$X$448,Socle!$C$1:$C$448,$A145,Socle!$D$1:$D$448,$C145,Socle!$E$1:$E$448,$D145,Socle!$F$1:$F$448,$E145,Socle!$G$1:$G$448,"2026"))</f>
        <v>0</v>
      </c>
      <c r="L145">
        <f>IF($A145="","",_xlfn.SUMIFS(Socle!$Y$1:$Y$448,Socle!$C$1:$C$448,$A145,Socle!$D$1:$D$448,$C145,Socle!$E$1:$E$448,$D145,Socle!$F$1:$F$448,$E145,Socle!$G$1:$G$448,"2026"))</f>
        <v>0</v>
      </c>
      <c r="M145">
        <f>IF($A145="","",_xlfn.SUMIFS(Socle!$V$1:$V$448,Socle!$C$1:$C$448,$A145,Socle!$D$1:$D$448,$C145,Socle!$E$1:$E$448,$D145,Socle!$F$1:$F$448,$E145,Socle!$G$1:$G$448,"2026"))</f>
        <v>1.95652174</v>
      </c>
      <c r="N145">
        <f t="shared" si="0"/>
        <v>0</v>
      </c>
      <c r="O145">
        <f>IF($A145="","",_xlfn.SUMIFS(Campagne!$D$1:$D$128,Campagne!$C$1:$C$128,$A145))</f>
        <v>738</v>
      </c>
      <c r="P145">
        <f>IF($A145="","",_xlfn.SUMIFS(Campagne!$E$1:$E$128,Campagne!$C$1:$C$128,$A145))</f>
        <v>832</v>
      </c>
      <c r="Q145">
        <f>IF($A145="","",_xlfn.SUMIFS(Campagne!$F$1:$F$128,Campagne!$C$1:$C$128,$A145))</f>
        <v>1570</v>
      </c>
      <c r="R145">
        <f>IF($A145="","",_xlfn.SUMIFS(Campagne!$K$1:$K$128,Campagne!$C$1:$C$128,$A145))</f>
        <v>0.440450184</v>
      </c>
      <c r="S145">
        <f>IF($A145="","",_xlfn.SUMIFS(Campagne!$M$1:$M$128,Campagne!$C$1:$C$128,$A145))</f>
        <v>0.343045775</v>
      </c>
      <c r="T145">
        <f>IF($A145="","",_xlfn.SUMIFS(PIL!$K$15:$K$28,PIL!$A$15:$A$28,$A145)*_xlfn.SUMIFS(PIL!$J$15:$J$28,PIL!$A$15:$A$28,$A145)*(SUM(PIL!$K$15:$K$28)/SUMPRODUCT(PIL!$K$15:$K$28,PIL!$J$15:$J$28)))</f>
        <v>36612</v>
      </c>
      <c r="U145">
        <f>IF($A145="","",_xlfn.SUMIFS(PIL!$K$15:$K$28,PIL!$A$15:$A$28,$A145))</f>
        <v>36612</v>
      </c>
      <c r="V145" t="s">
        <v>274</v>
      </c>
      <c r="W145" t="s">
        <v>274</v>
      </c>
      <c r="X145" t="s">
        <v>274</v>
      </c>
      <c r="Y145" t="s">
        <v>274</v>
      </c>
      <c r="Z145" t="s">
        <v>274</v>
      </c>
      <c r="AA145" t="s">
        <v>274</v>
      </c>
      <c r="AB145" t="s">
        <v>274</v>
      </c>
      <c r="AC145" t="s">
        <v>274</v>
      </c>
      <c r="AD145" t="e">
        <f t="shared" si="1"/>
        <v>#VALUE!</v>
      </c>
      <c r="AE145">
        <f t="shared" si="2"/>
        <v>0</v>
      </c>
      <c r="AF145" t="e">
        <f t="shared" si="3"/>
        <v>#VALUE!</v>
      </c>
      <c r="AG145" t="e">
        <f t="shared" si="4"/>
        <v>#VALUE!</v>
      </c>
      <c r="AH145" t="e">
        <f t="shared" si="5"/>
        <v>#VALUE!</v>
      </c>
    </row>
    <row r="146" ht="14.25" customHeight="1">
      <c r="A146" t="str">
        <f>IF(Moteur!D146="","",Moteur!D146)</f>
        <v>PIGIER_BOR</v>
      </c>
      <c r="B146" t="str">
        <f>IF(Moteur!B146="","",Moteur!B146)</f>
        <v>V01</v>
      </c>
      <c r="C146" t="str">
        <f>IF(Moteur!F146="","",Moteur!F146)</f>
        <v>BTS_GES</v>
      </c>
      <c r="D146" t="str">
        <f>IF(Moteur!G146="","",Moteur!G146)</f>
        <v>BTS1</v>
      </c>
      <c r="E146" t="str">
        <f>IF(Moteur!H146="","",Moteur!H146)</f>
        <v>ALT</v>
      </c>
      <c r="F146" t="str">
        <f>IF(Moteur!E146="","",Moteur!E146)</f>
        <v>PIGIER</v>
      </c>
      <c r="G146">
        <f>IF($A146="","",_xlfn.SUMIFS(Socle!$H$1:$H$448,Socle!$C$1:$C$448,$A146,Socle!$D$1:$D$448,$C146,Socle!$E$1:$E$448,$D146,Socle!$F$1:$F$448,$E146,Socle!$G$1:$G$448,"2026"))</f>
        <v>1230</v>
      </c>
      <c r="H146">
        <f>IF($A146="","",_xlfn.SUMIFS(Socle!$N$1:$N$448,Socle!$C$1:$C$448,$A146,Socle!$D$1:$D$448,$C146,Socle!$E$1:$E$448,$D146,Socle!$F$1:$F$448,$E146,Socle!$G$1:$G$448,"2026"))</f>
        <v>0</v>
      </c>
      <c r="I146">
        <f>IF($A146="","",_xlfn.SUMIFS(Socle!$P$1:$P$448,Socle!$C$1:$C$448,$A146,Socle!$D$1:$D$448,$C146,Socle!$E$1:$E$448,$D146,Socle!$F$1:$F$448,$E146,Socle!$G$1:$G$448,"2026"))</f>
        <v>11640</v>
      </c>
      <c r="J146">
        <f>IF($A146="","",_xlfn.SUMIFS(Socle!$W$1:$W$448,Socle!$C$1:$C$448,$A146,Socle!$D$1:$D$448,$C146,Socle!$E$1:$E$448,$D146,Socle!$F$1:$F$448,$E146,Socle!$G$1:$G$448,"2026"))</f>
        <v>0.4</v>
      </c>
      <c r="K146">
        <f>IF($A146="","",_xlfn.SUMIFS(Socle!$X$1:$X$448,Socle!$C$1:$C$448,$A146,Socle!$D$1:$D$448,$C146,Socle!$E$1:$E$448,$D146,Socle!$F$1:$F$448,$E146,Socle!$G$1:$G$448,"2026"))</f>
        <v>1.398373984</v>
      </c>
      <c r="L146">
        <f>IF($A146="","",_xlfn.SUMIFS(Socle!$Y$1:$Y$448,Socle!$C$1:$C$448,$A146,Socle!$D$1:$D$448,$C146,Socle!$E$1:$E$448,$D146,Socle!$F$1:$F$448,$E146,Socle!$G$1:$G$448,"2026"))</f>
        <v>0.837209302</v>
      </c>
      <c r="M146">
        <f>IF($A146="","",_xlfn.SUMIFS(Socle!$V$1:$V$448,Socle!$C$1:$C$448,$A146,Socle!$D$1:$D$448,$C146,Socle!$E$1:$E$448,$D146,Socle!$F$1:$F$448,$E146,Socle!$G$1:$G$448,"2026"))</f>
        <v>0</v>
      </c>
      <c r="N146">
        <f t="shared" si="0"/>
        <v>1</v>
      </c>
      <c r="O146">
        <f>IF($A146="","",_xlfn.SUMIFS(Campagne!$D$1:$D$128,Campagne!$C$1:$C$128,$A146))</f>
        <v>652</v>
      </c>
      <c r="P146">
        <f>IF($A146="","",_xlfn.SUMIFS(Campagne!$E$1:$E$128,Campagne!$C$1:$C$128,$A146))</f>
        <v>578</v>
      </c>
      <c r="Q146">
        <f>IF($A146="","",_xlfn.SUMIFS(Campagne!$F$1:$F$128,Campagne!$C$1:$C$128,$A146))</f>
        <v>1230</v>
      </c>
      <c r="R146">
        <f>IF($A146="","",_xlfn.SUMIFS(Campagne!$K$1:$K$128,Campagne!$C$1:$C$128,$A146))</f>
        <v>0.474597064</v>
      </c>
      <c r="S146">
        <f>IF($A146="","",_xlfn.SUMIFS(Campagne!$M$1:$M$128,Campagne!$C$1:$C$128,$A146))</f>
        <v>0.357573951</v>
      </c>
      <c r="T146">
        <f>IF($A146="","",_xlfn.SUMIFS(PIL!$K$15:$K$28,PIL!$A$15:$A$28,$A146)*_xlfn.SUMIFS(PIL!$J$15:$J$28,PIL!$A$15:$A$28,$A146)*(SUM(PIL!$K$15:$K$28)/SUMPRODUCT(PIL!$K$15:$K$28,PIL!$J$15:$J$28)))</f>
        <v>21968</v>
      </c>
      <c r="U146">
        <f>IF($A146="","",_xlfn.SUMIFS(PIL!$K$15:$K$28,PIL!$A$15:$A$28,$A146))</f>
        <v>21968</v>
      </c>
      <c r="V146" t="s">
        <v>274</v>
      </c>
      <c r="W146" t="s">
        <v>274</v>
      </c>
      <c r="X146" t="s">
        <v>274</v>
      </c>
      <c r="Y146" t="s">
        <v>274</v>
      </c>
      <c r="Z146" t="s">
        <v>274</v>
      </c>
      <c r="AA146" t="s">
        <v>274</v>
      </c>
      <c r="AB146" t="s">
        <v>274</v>
      </c>
      <c r="AC146" t="s">
        <v>274</v>
      </c>
      <c r="AD146" t="e">
        <f t="shared" si="1"/>
        <v>#VALUE!</v>
      </c>
      <c r="AE146" t="e">
        <f t="shared" si="2"/>
        <v>#VALUE!</v>
      </c>
      <c r="AF146" t="e">
        <f t="shared" si="3"/>
        <v>#VALUE!</v>
      </c>
      <c r="AG146" t="e">
        <f t="shared" si="4"/>
        <v>#VALUE!</v>
      </c>
      <c r="AH146" t="e">
        <f t="shared" si="5"/>
        <v>#VALUE!</v>
      </c>
    </row>
    <row r="147" ht="14.25" customHeight="1">
      <c r="A147" t="str">
        <f>IF(Moteur!D147="","",Moteur!D147)</f>
        <v>PIGIER_BOR</v>
      </c>
      <c r="B147" t="str">
        <f>IF(Moteur!B147="","",Moteur!B147)</f>
        <v>V02</v>
      </c>
      <c r="C147" t="str">
        <f>IF(Moteur!F147="","",Moteur!F147)</f>
        <v>BTS_GES</v>
      </c>
      <c r="D147" t="str">
        <f>IF(Moteur!G147="","",Moteur!G147)</f>
        <v>BTS1</v>
      </c>
      <c r="E147" t="str">
        <f>IF(Moteur!H147="","",Moteur!H147)</f>
        <v>ALT</v>
      </c>
      <c r="F147" t="str">
        <f>IF(Moteur!E147="","",Moteur!E147)</f>
        <v>PIGIER</v>
      </c>
      <c r="G147">
        <f>IF($A147="","",_xlfn.SUMIFS(Socle!$H$1:$H$448,Socle!$C$1:$C$448,$A147,Socle!$D$1:$D$448,$C147,Socle!$E$1:$E$448,$D147,Socle!$F$1:$F$448,$E147,Socle!$G$1:$G$448,"2026"))</f>
        <v>1230</v>
      </c>
      <c r="H147">
        <f>IF($A147="","",_xlfn.SUMIFS(Socle!$N$1:$N$448,Socle!$C$1:$C$448,$A147,Socle!$D$1:$D$448,$C147,Socle!$E$1:$E$448,$D147,Socle!$F$1:$F$448,$E147,Socle!$G$1:$G$448,"2026"))</f>
        <v>0</v>
      </c>
      <c r="I147">
        <f>IF($A147="","",_xlfn.SUMIFS(Socle!$P$1:$P$448,Socle!$C$1:$C$448,$A147,Socle!$D$1:$D$448,$C147,Socle!$E$1:$E$448,$D147,Socle!$F$1:$F$448,$E147,Socle!$G$1:$G$448,"2026"))</f>
        <v>11640</v>
      </c>
      <c r="J147">
        <f>IF($A147="","",_xlfn.SUMIFS(Socle!$W$1:$W$448,Socle!$C$1:$C$448,$A147,Socle!$D$1:$D$448,$C147,Socle!$E$1:$E$448,$D147,Socle!$F$1:$F$448,$E147,Socle!$G$1:$G$448,"2026"))</f>
        <v>0.4</v>
      </c>
      <c r="K147">
        <f>IF($A147="","",_xlfn.SUMIFS(Socle!$X$1:$X$448,Socle!$C$1:$C$448,$A147,Socle!$D$1:$D$448,$C147,Socle!$E$1:$E$448,$D147,Socle!$F$1:$F$448,$E147,Socle!$G$1:$G$448,"2026"))</f>
        <v>1.398373984</v>
      </c>
      <c r="L147">
        <f>IF($A147="","",_xlfn.SUMIFS(Socle!$Y$1:$Y$448,Socle!$C$1:$C$448,$A147,Socle!$D$1:$D$448,$C147,Socle!$E$1:$E$448,$D147,Socle!$F$1:$F$448,$E147,Socle!$G$1:$G$448,"2026"))</f>
        <v>0.837209302</v>
      </c>
      <c r="M147">
        <f>IF($A147="","",_xlfn.SUMIFS(Socle!$V$1:$V$448,Socle!$C$1:$C$448,$A147,Socle!$D$1:$D$448,$C147,Socle!$E$1:$E$448,$D147,Socle!$F$1:$F$448,$E147,Socle!$G$1:$G$448,"2026"))</f>
        <v>0</v>
      </c>
      <c r="N147">
        <f t="shared" si="0"/>
        <v>1</v>
      </c>
      <c r="O147">
        <f>IF($A147="","",_xlfn.SUMIFS(Campagne!$D$1:$D$128,Campagne!$C$1:$C$128,$A147))</f>
        <v>652</v>
      </c>
      <c r="P147">
        <f>IF($A147="","",_xlfn.SUMIFS(Campagne!$E$1:$E$128,Campagne!$C$1:$C$128,$A147))</f>
        <v>578</v>
      </c>
      <c r="Q147">
        <f>IF($A147="","",_xlfn.SUMIFS(Campagne!$F$1:$F$128,Campagne!$C$1:$C$128,$A147))</f>
        <v>1230</v>
      </c>
      <c r="R147">
        <f>IF($A147="","",_xlfn.SUMIFS(Campagne!$K$1:$K$128,Campagne!$C$1:$C$128,$A147))</f>
        <v>0.474597064</v>
      </c>
      <c r="S147">
        <f>IF($A147="","",_xlfn.SUMIFS(Campagne!$M$1:$M$128,Campagne!$C$1:$C$128,$A147))</f>
        <v>0.357573951</v>
      </c>
      <c r="T147">
        <f>IF($A147="","",_xlfn.SUMIFS(PIL!$K$15:$K$28,PIL!$A$15:$A$28,$A147)*_xlfn.SUMIFS(PIL!$J$15:$J$28,PIL!$A$15:$A$28,$A147)*(SUM(PIL!$K$15:$K$28)/SUMPRODUCT(PIL!$K$15:$K$28,PIL!$J$15:$J$28)))</f>
        <v>21968</v>
      </c>
      <c r="U147">
        <f>IF($A147="","",_xlfn.SUMIFS(PIL!$K$15:$K$28,PIL!$A$15:$A$28,$A147))</f>
        <v>21968</v>
      </c>
      <c r="V147" t="s">
        <v>274</v>
      </c>
      <c r="W147" t="s">
        <v>274</v>
      </c>
      <c r="X147" t="s">
        <v>274</v>
      </c>
      <c r="Y147" t="s">
        <v>274</v>
      </c>
      <c r="Z147" t="s">
        <v>274</v>
      </c>
      <c r="AA147" t="s">
        <v>274</v>
      </c>
      <c r="AB147" t="s">
        <v>274</v>
      </c>
      <c r="AC147" t="s">
        <v>274</v>
      </c>
      <c r="AD147" t="e">
        <f t="shared" si="1"/>
        <v>#VALUE!</v>
      </c>
      <c r="AE147" t="e">
        <f t="shared" si="2"/>
        <v>#VALUE!</v>
      </c>
      <c r="AF147" t="e">
        <f t="shared" si="3"/>
        <v>#VALUE!</v>
      </c>
      <c r="AG147" t="e">
        <f t="shared" si="4"/>
        <v>#VALUE!</v>
      </c>
      <c r="AH147" t="e">
        <f t="shared" si="5"/>
        <v>#VALUE!</v>
      </c>
    </row>
    <row r="148" ht="14.25" customHeight="1">
      <c r="A148" t="str">
        <f>IF(Moteur!D148="","",Moteur!D148)</f>
        <v>PIGIER_BOR</v>
      </c>
      <c r="B148" t="str">
        <f>IF(Moteur!B148="","",Moteur!B148)</f>
        <v>V03</v>
      </c>
      <c r="C148" t="str">
        <f>IF(Moteur!F148="","",Moteur!F148)</f>
        <v>BTS_GES</v>
      </c>
      <c r="D148" t="str">
        <f>IF(Moteur!G148="","",Moteur!G148)</f>
        <v>BTS1</v>
      </c>
      <c r="E148" t="str">
        <f>IF(Moteur!H148="","",Moteur!H148)</f>
        <v>ALT</v>
      </c>
      <c r="F148" t="str">
        <f>IF(Moteur!E148="","",Moteur!E148)</f>
        <v>PIGIER</v>
      </c>
      <c r="G148">
        <f>IF($A148="","",_xlfn.SUMIFS(Socle!$H$1:$H$448,Socle!$C$1:$C$448,$A148,Socle!$D$1:$D$448,$C148,Socle!$E$1:$E$448,$D148,Socle!$F$1:$F$448,$E148,Socle!$G$1:$G$448,"2026"))</f>
        <v>1230</v>
      </c>
      <c r="H148">
        <f>IF($A148="","",_xlfn.SUMIFS(Socle!$N$1:$N$448,Socle!$C$1:$C$448,$A148,Socle!$D$1:$D$448,$C148,Socle!$E$1:$E$448,$D148,Socle!$F$1:$F$448,$E148,Socle!$G$1:$G$448,"2026"))</f>
        <v>0</v>
      </c>
      <c r="I148">
        <f>IF($A148="","",_xlfn.SUMIFS(Socle!$P$1:$P$448,Socle!$C$1:$C$448,$A148,Socle!$D$1:$D$448,$C148,Socle!$E$1:$E$448,$D148,Socle!$F$1:$F$448,$E148,Socle!$G$1:$G$448,"2026"))</f>
        <v>11640</v>
      </c>
      <c r="J148">
        <f>IF($A148="","",_xlfn.SUMIFS(Socle!$W$1:$W$448,Socle!$C$1:$C$448,$A148,Socle!$D$1:$D$448,$C148,Socle!$E$1:$E$448,$D148,Socle!$F$1:$F$448,$E148,Socle!$G$1:$G$448,"2026"))</f>
        <v>0.4</v>
      </c>
      <c r="K148">
        <f>IF($A148="","",_xlfn.SUMIFS(Socle!$X$1:$X$448,Socle!$C$1:$C$448,$A148,Socle!$D$1:$D$448,$C148,Socle!$E$1:$E$448,$D148,Socle!$F$1:$F$448,$E148,Socle!$G$1:$G$448,"2026"))</f>
        <v>1.398373984</v>
      </c>
      <c r="L148">
        <f>IF($A148="","",_xlfn.SUMIFS(Socle!$Y$1:$Y$448,Socle!$C$1:$C$448,$A148,Socle!$D$1:$D$448,$C148,Socle!$E$1:$E$448,$D148,Socle!$F$1:$F$448,$E148,Socle!$G$1:$G$448,"2026"))</f>
        <v>0.837209302</v>
      </c>
      <c r="M148">
        <f>IF($A148="","",_xlfn.SUMIFS(Socle!$V$1:$V$448,Socle!$C$1:$C$448,$A148,Socle!$D$1:$D$448,$C148,Socle!$E$1:$E$448,$D148,Socle!$F$1:$F$448,$E148,Socle!$G$1:$G$448,"2026"))</f>
        <v>0</v>
      </c>
      <c r="N148">
        <f t="shared" si="0"/>
        <v>1</v>
      </c>
      <c r="O148">
        <f>IF($A148="","",_xlfn.SUMIFS(Campagne!$D$1:$D$128,Campagne!$C$1:$C$128,$A148))</f>
        <v>652</v>
      </c>
      <c r="P148">
        <f>IF($A148="","",_xlfn.SUMIFS(Campagne!$E$1:$E$128,Campagne!$C$1:$C$128,$A148))</f>
        <v>578</v>
      </c>
      <c r="Q148">
        <f>IF($A148="","",_xlfn.SUMIFS(Campagne!$F$1:$F$128,Campagne!$C$1:$C$128,$A148))</f>
        <v>1230</v>
      </c>
      <c r="R148">
        <f>IF($A148="","",_xlfn.SUMIFS(Campagne!$K$1:$K$128,Campagne!$C$1:$C$128,$A148))</f>
        <v>0.474597064</v>
      </c>
      <c r="S148">
        <f>IF($A148="","",_xlfn.SUMIFS(Campagne!$M$1:$M$128,Campagne!$C$1:$C$128,$A148))</f>
        <v>0.357573951</v>
      </c>
      <c r="T148">
        <f>IF($A148="","",_xlfn.SUMIFS(PIL!$K$15:$K$28,PIL!$A$15:$A$28,$A148)*_xlfn.SUMIFS(PIL!$J$15:$J$28,PIL!$A$15:$A$28,$A148)*(SUM(PIL!$K$15:$K$28)/SUMPRODUCT(PIL!$K$15:$K$28,PIL!$J$15:$J$28)))</f>
        <v>21968</v>
      </c>
      <c r="U148">
        <f>IF($A148="","",_xlfn.SUMIFS(PIL!$K$15:$K$28,PIL!$A$15:$A$28,$A148))</f>
        <v>21968</v>
      </c>
      <c r="V148" t="s">
        <v>274</v>
      </c>
      <c r="W148" t="s">
        <v>274</v>
      </c>
      <c r="X148" t="s">
        <v>274</v>
      </c>
      <c r="Y148" t="s">
        <v>274</v>
      </c>
      <c r="Z148" t="s">
        <v>274</v>
      </c>
      <c r="AA148" t="s">
        <v>274</v>
      </c>
      <c r="AB148" t="s">
        <v>274</v>
      </c>
      <c r="AC148" t="s">
        <v>274</v>
      </c>
      <c r="AD148" t="e">
        <f t="shared" si="1"/>
        <v>#VALUE!</v>
      </c>
      <c r="AE148" t="e">
        <f t="shared" si="2"/>
        <v>#VALUE!</v>
      </c>
      <c r="AF148" t="e">
        <f t="shared" si="3"/>
        <v>#VALUE!</v>
      </c>
      <c r="AG148" t="e">
        <f t="shared" si="4"/>
        <v>#VALUE!</v>
      </c>
      <c r="AH148" t="e">
        <f t="shared" si="5"/>
        <v>#VALUE!</v>
      </c>
    </row>
    <row r="149" ht="14.25" customHeight="1">
      <c r="A149" t="str">
        <f>IF(Moteur!D149="","",Moteur!D149)</f>
        <v>PIGIER_BOR</v>
      </c>
      <c r="B149" t="str">
        <f>IF(Moteur!B149="","",Moteur!B149)</f>
        <v>V01</v>
      </c>
      <c r="C149" t="str">
        <f>IF(Moteur!F149="","",Moteur!F149)</f>
        <v>BTS_GES</v>
      </c>
      <c r="D149" t="str">
        <f>IF(Moteur!G149="","",Moteur!G149)</f>
        <v>BTS2</v>
      </c>
      <c r="E149" t="str">
        <f>IF(Moteur!H149="","",Moteur!H149)</f>
        <v>ALT</v>
      </c>
      <c r="F149" t="str">
        <f>IF(Moteur!E149="","",Moteur!E149)</f>
        <v>PIGIER</v>
      </c>
      <c r="G149">
        <f>IF($A149="","",_xlfn.SUMIFS(Socle!$H$1:$H$448,Socle!$C$1:$C$448,$A149,Socle!$D$1:$D$448,$C149,Socle!$E$1:$E$448,$D149,Socle!$F$1:$F$448,$E149,Socle!$G$1:$G$448,"2026"))</f>
        <v>0</v>
      </c>
      <c r="H149">
        <f>IF($A149="","",_xlfn.SUMIFS(Socle!$N$1:$N$448,Socle!$C$1:$C$448,$A149,Socle!$D$1:$D$448,$C149,Socle!$E$1:$E$448,$D149,Socle!$F$1:$F$448,$E149,Socle!$G$1:$G$448,"2026"))</f>
        <v>72</v>
      </c>
      <c r="I149">
        <f>IF($A149="","",_xlfn.SUMIFS(Socle!$P$1:$P$448,Socle!$C$1:$C$448,$A149,Socle!$D$1:$D$448,$C149,Socle!$E$1:$E$448,$D149,Socle!$F$1:$F$448,$E149,Socle!$G$1:$G$448,"2026"))</f>
        <v>11640</v>
      </c>
      <c r="J149">
        <f>IF($A149="","",_xlfn.SUMIFS(Socle!$W$1:$W$448,Socle!$C$1:$C$448,$A149,Socle!$D$1:$D$448,$C149,Socle!$E$1:$E$448,$D149,Socle!$F$1:$F$448,$E149,Socle!$G$1:$G$448,"2026"))</f>
        <v>0</v>
      </c>
      <c r="K149">
        <f>IF($A149="","",_xlfn.SUMIFS(Socle!$X$1:$X$448,Socle!$C$1:$C$448,$A149,Socle!$D$1:$D$448,$C149,Socle!$E$1:$E$448,$D149,Socle!$F$1:$F$448,$E149,Socle!$G$1:$G$448,"2026"))</f>
        <v>0</v>
      </c>
      <c r="L149">
        <f>IF($A149="","",_xlfn.SUMIFS(Socle!$Y$1:$Y$448,Socle!$C$1:$C$448,$A149,Socle!$D$1:$D$448,$C149,Socle!$E$1:$E$448,$D149,Socle!$F$1:$F$448,$E149,Socle!$G$1:$G$448,"2026"))</f>
        <v>0</v>
      </c>
      <c r="M149">
        <f>IF($A149="","",_xlfn.SUMIFS(Socle!$V$1:$V$448,Socle!$C$1:$C$448,$A149,Socle!$D$1:$D$448,$C149,Socle!$E$1:$E$448,$D149,Socle!$F$1:$F$448,$E149,Socle!$G$1:$G$448,"2026"))</f>
        <v>1.944444444</v>
      </c>
      <c r="N149">
        <f t="shared" si="0"/>
        <v>0</v>
      </c>
      <c r="O149">
        <f>IF($A149="","",_xlfn.SUMIFS(Campagne!$D$1:$D$128,Campagne!$C$1:$C$128,$A149))</f>
        <v>652</v>
      </c>
      <c r="P149">
        <f>IF($A149="","",_xlfn.SUMIFS(Campagne!$E$1:$E$128,Campagne!$C$1:$C$128,$A149))</f>
        <v>578</v>
      </c>
      <c r="Q149">
        <f>IF($A149="","",_xlfn.SUMIFS(Campagne!$F$1:$F$128,Campagne!$C$1:$C$128,$A149))</f>
        <v>1230</v>
      </c>
      <c r="R149">
        <f>IF($A149="","",_xlfn.SUMIFS(Campagne!$K$1:$K$128,Campagne!$C$1:$C$128,$A149))</f>
        <v>0.474597064</v>
      </c>
      <c r="S149">
        <f>IF($A149="","",_xlfn.SUMIFS(Campagne!$M$1:$M$128,Campagne!$C$1:$C$128,$A149))</f>
        <v>0.357573951</v>
      </c>
      <c r="T149">
        <f>IF($A149="","",_xlfn.SUMIFS(PIL!$K$15:$K$28,PIL!$A$15:$A$28,$A149)*_xlfn.SUMIFS(PIL!$J$15:$J$28,PIL!$A$15:$A$28,$A149)*(SUM(PIL!$K$15:$K$28)/SUMPRODUCT(PIL!$K$15:$K$28,PIL!$J$15:$J$28)))</f>
        <v>21968</v>
      </c>
      <c r="U149">
        <f>IF($A149="","",_xlfn.SUMIFS(PIL!$K$15:$K$28,PIL!$A$15:$A$28,$A149))</f>
        <v>21968</v>
      </c>
      <c r="V149" t="s">
        <v>274</v>
      </c>
      <c r="W149" t="s">
        <v>274</v>
      </c>
      <c r="X149" t="s">
        <v>274</v>
      </c>
      <c r="Y149" t="s">
        <v>274</v>
      </c>
      <c r="Z149" t="s">
        <v>274</v>
      </c>
      <c r="AA149" t="s">
        <v>274</v>
      </c>
      <c r="AB149" t="s">
        <v>274</v>
      </c>
      <c r="AC149" t="s">
        <v>274</v>
      </c>
      <c r="AD149" t="e">
        <f t="shared" si="1"/>
        <v>#VALUE!</v>
      </c>
      <c r="AE149">
        <f t="shared" si="2"/>
        <v>0</v>
      </c>
      <c r="AF149" t="e">
        <f t="shared" si="3"/>
        <v>#VALUE!</v>
      </c>
      <c r="AG149" t="e">
        <f t="shared" si="4"/>
        <v>#VALUE!</v>
      </c>
      <c r="AH149" t="e">
        <f t="shared" si="5"/>
        <v>#VALUE!</v>
      </c>
    </row>
    <row r="150" ht="14.25" customHeight="1">
      <c r="A150" t="str">
        <f>IF(Moteur!D150="","",Moteur!D150)</f>
        <v>PIGIER_BOR</v>
      </c>
      <c r="B150" t="str">
        <f>IF(Moteur!B150="","",Moteur!B150)</f>
        <v>V02</v>
      </c>
      <c r="C150" t="str">
        <f>IF(Moteur!F150="","",Moteur!F150)</f>
        <v>BTS_GES</v>
      </c>
      <c r="D150" t="str">
        <f>IF(Moteur!G150="","",Moteur!G150)</f>
        <v>BTS2</v>
      </c>
      <c r="E150" t="str">
        <f>IF(Moteur!H150="","",Moteur!H150)</f>
        <v>ALT</v>
      </c>
      <c r="F150" t="str">
        <f>IF(Moteur!E150="","",Moteur!E150)</f>
        <v>PIGIER</v>
      </c>
      <c r="G150">
        <f>IF($A150="","",_xlfn.SUMIFS(Socle!$H$1:$H$448,Socle!$C$1:$C$448,$A150,Socle!$D$1:$D$448,$C150,Socle!$E$1:$E$448,$D150,Socle!$F$1:$F$448,$E150,Socle!$G$1:$G$448,"2026"))</f>
        <v>0</v>
      </c>
      <c r="H150">
        <f>IF($A150="","",_xlfn.SUMIFS(Socle!$N$1:$N$448,Socle!$C$1:$C$448,$A150,Socle!$D$1:$D$448,$C150,Socle!$E$1:$E$448,$D150,Socle!$F$1:$F$448,$E150,Socle!$G$1:$G$448,"2026"))</f>
        <v>72</v>
      </c>
      <c r="I150">
        <f>IF($A150="","",_xlfn.SUMIFS(Socle!$P$1:$P$448,Socle!$C$1:$C$448,$A150,Socle!$D$1:$D$448,$C150,Socle!$E$1:$E$448,$D150,Socle!$F$1:$F$448,$E150,Socle!$G$1:$G$448,"2026"))</f>
        <v>11640</v>
      </c>
      <c r="J150">
        <f>IF($A150="","",_xlfn.SUMIFS(Socle!$W$1:$W$448,Socle!$C$1:$C$448,$A150,Socle!$D$1:$D$448,$C150,Socle!$E$1:$E$448,$D150,Socle!$F$1:$F$448,$E150,Socle!$G$1:$G$448,"2026"))</f>
        <v>0</v>
      </c>
      <c r="K150">
        <f>IF($A150="","",_xlfn.SUMIFS(Socle!$X$1:$X$448,Socle!$C$1:$C$448,$A150,Socle!$D$1:$D$448,$C150,Socle!$E$1:$E$448,$D150,Socle!$F$1:$F$448,$E150,Socle!$G$1:$G$448,"2026"))</f>
        <v>0</v>
      </c>
      <c r="L150">
        <f>IF($A150="","",_xlfn.SUMIFS(Socle!$Y$1:$Y$448,Socle!$C$1:$C$448,$A150,Socle!$D$1:$D$448,$C150,Socle!$E$1:$E$448,$D150,Socle!$F$1:$F$448,$E150,Socle!$G$1:$G$448,"2026"))</f>
        <v>0</v>
      </c>
      <c r="M150">
        <f>IF($A150="","",_xlfn.SUMIFS(Socle!$V$1:$V$448,Socle!$C$1:$C$448,$A150,Socle!$D$1:$D$448,$C150,Socle!$E$1:$E$448,$D150,Socle!$F$1:$F$448,$E150,Socle!$G$1:$G$448,"2026"))</f>
        <v>1.944444444</v>
      </c>
      <c r="N150">
        <f t="shared" si="0"/>
        <v>0</v>
      </c>
      <c r="O150">
        <f>IF($A150="","",_xlfn.SUMIFS(Campagne!$D$1:$D$128,Campagne!$C$1:$C$128,$A150))</f>
        <v>652</v>
      </c>
      <c r="P150">
        <f>IF($A150="","",_xlfn.SUMIFS(Campagne!$E$1:$E$128,Campagne!$C$1:$C$128,$A150))</f>
        <v>578</v>
      </c>
      <c r="Q150">
        <f>IF($A150="","",_xlfn.SUMIFS(Campagne!$F$1:$F$128,Campagne!$C$1:$C$128,$A150))</f>
        <v>1230</v>
      </c>
      <c r="R150">
        <f>IF($A150="","",_xlfn.SUMIFS(Campagne!$K$1:$K$128,Campagne!$C$1:$C$128,$A150))</f>
        <v>0.474597064</v>
      </c>
      <c r="S150">
        <f>IF($A150="","",_xlfn.SUMIFS(Campagne!$M$1:$M$128,Campagne!$C$1:$C$128,$A150))</f>
        <v>0.357573951</v>
      </c>
      <c r="T150">
        <f>IF($A150="","",_xlfn.SUMIFS(PIL!$K$15:$K$28,PIL!$A$15:$A$28,$A150)*_xlfn.SUMIFS(PIL!$J$15:$J$28,PIL!$A$15:$A$28,$A150)*(SUM(PIL!$K$15:$K$28)/SUMPRODUCT(PIL!$K$15:$K$28,PIL!$J$15:$J$28)))</f>
        <v>21968</v>
      </c>
      <c r="U150">
        <f>IF($A150="","",_xlfn.SUMIFS(PIL!$K$15:$K$28,PIL!$A$15:$A$28,$A150))</f>
        <v>21968</v>
      </c>
      <c r="V150" t="s">
        <v>274</v>
      </c>
      <c r="W150" t="s">
        <v>274</v>
      </c>
      <c r="X150" t="s">
        <v>274</v>
      </c>
      <c r="Y150" t="s">
        <v>274</v>
      </c>
      <c r="Z150" t="s">
        <v>274</v>
      </c>
      <c r="AA150" t="s">
        <v>274</v>
      </c>
      <c r="AB150" t="s">
        <v>274</v>
      </c>
      <c r="AC150" t="s">
        <v>274</v>
      </c>
      <c r="AD150" t="e">
        <f t="shared" si="1"/>
        <v>#VALUE!</v>
      </c>
      <c r="AE150">
        <f t="shared" si="2"/>
        <v>0</v>
      </c>
      <c r="AF150" t="e">
        <f t="shared" si="3"/>
        <v>#VALUE!</v>
      </c>
      <c r="AG150" t="e">
        <f t="shared" si="4"/>
        <v>#VALUE!</v>
      </c>
      <c r="AH150" t="e">
        <f t="shared" si="5"/>
        <v>#VALUE!</v>
      </c>
    </row>
    <row r="151" ht="14.25" customHeight="1">
      <c r="A151" t="str">
        <f>IF(Moteur!D151="","",Moteur!D151)</f>
        <v>PIGIER_BOR</v>
      </c>
      <c r="B151" t="str">
        <f>IF(Moteur!B151="","",Moteur!B151)</f>
        <v>V03</v>
      </c>
      <c r="C151" t="str">
        <f>IF(Moteur!F151="","",Moteur!F151)</f>
        <v>BTS_GES</v>
      </c>
      <c r="D151" t="str">
        <f>IF(Moteur!G151="","",Moteur!G151)</f>
        <v>BTS2</v>
      </c>
      <c r="E151" t="str">
        <f>IF(Moteur!H151="","",Moteur!H151)</f>
        <v>ALT</v>
      </c>
      <c r="F151" t="str">
        <f>IF(Moteur!E151="","",Moteur!E151)</f>
        <v>PIGIER</v>
      </c>
      <c r="G151">
        <f>IF($A151="","",_xlfn.SUMIFS(Socle!$H$1:$H$448,Socle!$C$1:$C$448,$A151,Socle!$D$1:$D$448,$C151,Socle!$E$1:$E$448,$D151,Socle!$F$1:$F$448,$E151,Socle!$G$1:$G$448,"2026"))</f>
        <v>0</v>
      </c>
      <c r="H151">
        <f>IF($A151="","",_xlfn.SUMIFS(Socle!$N$1:$N$448,Socle!$C$1:$C$448,$A151,Socle!$D$1:$D$448,$C151,Socle!$E$1:$E$448,$D151,Socle!$F$1:$F$448,$E151,Socle!$G$1:$G$448,"2026"))</f>
        <v>72</v>
      </c>
      <c r="I151">
        <f>IF($A151="","",_xlfn.SUMIFS(Socle!$P$1:$P$448,Socle!$C$1:$C$448,$A151,Socle!$D$1:$D$448,$C151,Socle!$E$1:$E$448,$D151,Socle!$F$1:$F$448,$E151,Socle!$G$1:$G$448,"2026"))</f>
        <v>11640</v>
      </c>
      <c r="J151">
        <f>IF($A151="","",_xlfn.SUMIFS(Socle!$W$1:$W$448,Socle!$C$1:$C$448,$A151,Socle!$D$1:$D$448,$C151,Socle!$E$1:$E$448,$D151,Socle!$F$1:$F$448,$E151,Socle!$G$1:$G$448,"2026"))</f>
        <v>0</v>
      </c>
      <c r="K151">
        <f>IF($A151="","",_xlfn.SUMIFS(Socle!$X$1:$X$448,Socle!$C$1:$C$448,$A151,Socle!$D$1:$D$448,$C151,Socle!$E$1:$E$448,$D151,Socle!$F$1:$F$448,$E151,Socle!$G$1:$G$448,"2026"))</f>
        <v>0</v>
      </c>
      <c r="L151">
        <f>IF($A151="","",_xlfn.SUMIFS(Socle!$Y$1:$Y$448,Socle!$C$1:$C$448,$A151,Socle!$D$1:$D$448,$C151,Socle!$E$1:$E$448,$D151,Socle!$F$1:$F$448,$E151,Socle!$G$1:$G$448,"2026"))</f>
        <v>0</v>
      </c>
      <c r="M151">
        <f>IF($A151="","",_xlfn.SUMIFS(Socle!$V$1:$V$448,Socle!$C$1:$C$448,$A151,Socle!$D$1:$D$448,$C151,Socle!$E$1:$E$448,$D151,Socle!$F$1:$F$448,$E151,Socle!$G$1:$G$448,"2026"))</f>
        <v>1.944444444</v>
      </c>
      <c r="N151">
        <f t="shared" si="0"/>
        <v>0</v>
      </c>
      <c r="O151">
        <f>IF($A151="","",_xlfn.SUMIFS(Campagne!$D$1:$D$128,Campagne!$C$1:$C$128,$A151))</f>
        <v>652</v>
      </c>
      <c r="P151">
        <f>IF($A151="","",_xlfn.SUMIFS(Campagne!$E$1:$E$128,Campagne!$C$1:$C$128,$A151))</f>
        <v>578</v>
      </c>
      <c r="Q151">
        <f>IF($A151="","",_xlfn.SUMIFS(Campagne!$F$1:$F$128,Campagne!$C$1:$C$128,$A151))</f>
        <v>1230</v>
      </c>
      <c r="R151">
        <f>IF($A151="","",_xlfn.SUMIFS(Campagne!$K$1:$K$128,Campagne!$C$1:$C$128,$A151))</f>
        <v>0.474597064</v>
      </c>
      <c r="S151">
        <f>IF($A151="","",_xlfn.SUMIFS(Campagne!$M$1:$M$128,Campagne!$C$1:$C$128,$A151))</f>
        <v>0.357573951</v>
      </c>
      <c r="T151">
        <f>IF($A151="","",_xlfn.SUMIFS(PIL!$K$15:$K$28,PIL!$A$15:$A$28,$A151)*_xlfn.SUMIFS(PIL!$J$15:$J$28,PIL!$A$15:$A$28,$A151)*(SUM(PIL!$K$15:$K$28)/SUMPRODUCT(PIL!$K$15:$K$28,PIL!$J$15:$J$28)))</f>
        <v>21968</v>
      </c>
      <c r="U151">
        <f>IF($A151="","",_xlfn.SUMIFS(PIL!$K$15:$K$28,PIL!$A$15:$A$28,$A151))</f>
        <v>21968</v>
      </c>
      <c r="V151" t="s">
        <v>274</v>
      </c>
      <c r="W151" t="s">
        <v>274</v>
      </c>
      <c r="X151" t="s">
        <v>274</v>
      </c>
      <c r="Y151" t="s">
        <v>274</v>
      </c>
      <c r="Z151" t="s">
        <v>274</v>
      </c>
      <c r="AA151" t="s">
        <v>274</v>
      </c>
      <c r="AB151" t="s">
        <v>274</v>
      </c>
      <c r="AC151" t="s">
        <v>274</v>
      </c>
      <c r="AD151" t="e">
        <f t="shared" si="1"/>
        <v>#VALUE!</v>
      </c>
      <c r="AE151">
        <f t="shared" si="2"/>
        <v>0</v>
      </c>
      <c r="AF151" t="e">
        <f t="shared" si="3"/>
        <v>#VALUE!</v>
      </c>
      <c r="AG151" t="e">
        <f t="shared" si="4"/>
        <v>#VALUE!</v>
      </c>
      <c r="AH151" t="e">
        <f t="shared" si="5"/>
        <v>#VALUE!</v>
      </c>
    </row>
    <row r="152" ht="14.25" customHeight="1">
      <c r="A152" t="str">
        <f>IF(Moteur!D152="","",Moteur!D152)</f>
        <v>PIGIER_BOR</v>
      </c>
      <c r="B152" t="str">
        <f>IF(Moteur!B152="","",Moteur!B152)</f>
        <v>V01</v>
      </c>
      <c r="C152" t="str">
        <f>IF(Moteur!F152="","",Moteur!F152)</f>
        <v>BAC_RH</v>
      </c>
      <c r="D152" t="str">
        <f>IF(Moteur!G152="","",Moteur!G152)</f>
        <v>B1</v>
      </c>
      <c r="E152" t="str">
        <f>IF(Moteur!H152="","",Moteur!H152)</f>
        <v>ALT</v>
      </c>
      <c r="F152" t="str">
        <f>IF(Moteur!E152="","",Moteur!E152)</f>
        <v>PIGIER</v>
      </c>
      <c r="G152">
        <f>IF($A152="","",_xlfn.SUMIFS(Socle!$H$1:$H$448,Socle!$C$1:$C$448,$A152,Socle!$D$1:$D$448,$C152,Socle!$E$1:$E$448,$D152,Socle!$F$1:$F$448,$E152,Socle!$G$1:$G$448,"2026"))</f>
        <v>1230</v>
      </c>
      <c r="H152">
        <f>IF($A152="","",_xlfn.SUMIFS(Socle!$N$1:$N$448,Socle!$C$1:$C$448,$A152,Socle!$D$1:$D$448,$C152,Socle!$E$1:$E$448,$D152,Socle!$F$1:$F$448,$E152,Socle!$G$1:$G$448,"2026"))</f>
        <v>0</v>
      </c>
      <c r="I152">
        <f>IF($A152="","",_xlfn.SUMIFS(Socle!$P$1:$P$448,Socle!$C$1:$C$448,$A152,Socle!$D$1:$D$448,$C152,Socle!$E$1:$E$448,$D152,Socle!$F$1:$F$448,$E152,Socle!$G$1:$G$448,"2026"))</f>
        <v>13580</v>
      </c>
      <c r="J152">
        <f>IF($A152="","",_xlfn.SUMIFS(Socle!$W$1:$W$448,Socle!$C$1:$C$448,$A152,Socle!$D$1:$D$448,$C152,Socle!$E$1:$E$448,$D152,Socle!$F$1:$F$448,$E152,Socle!$G$1:$G$448,"2026"))</f>
        <v>0.4</v>
      </c>
      <c r="K152">
        <f>IF($A152="","",_xlfn.SUMIFS(Socle!$X$1:$X$448,Socle!$C$1:$C$448,$A152,Socle!$D$1:$D$448,$C152,Socle!$E$1:$E$448,$D152,Socle!$F$1:$F$448,$E152,Socle!$G$1:$G$448,"2026"))</f>
        <v>1.398373984</v>
      </c>
      <c r="L152">
        <f>IF($A152="","",_xlfn.SUMIFS(Socle!$Y$1:$Y$448,Socle!$C$1:$C$448,$A152,Socle!$D$1:$D$448,$C152,Socle!$E$1:$E$448,$D152,Socle!$F$1:$F$448,$E152,Socle!$G$1:$G$448,"2026"))</f>
        <v>0.837209302</v>
      </c>
      <c r="M152">
        <f>IF($A152="","",_xlfn.SUMIFS(Socle!$V$1:$V$448,Socle!$C$1:$C$448,$A152,Socle!$D$1:$D$448,$C152,Socle!$E$1:$E$448,$D152,Socle!$F$1:$F$448,$E152,Socle!$G$1:$G$448,"2026"))</f>
        <v>0</v>
      </c>
      <c r="N152">
        <f t="shared" si="0"/>
        <v>1</v>
      </c>
      <c r="O152">
        <f>IF($A152="","",_xlfn.SUMIFS(Campagne!$D$1:$D$128,Campagne!$C$1:$C$128,$A152))</f>
        <v>652</v>
      </c>
      <c r="P152">
        <f>IF($A152="","",_xlfn.SUMIFS(Campagne!$E$1:$E$128,Campagne!$C$1:$C$128,$A152))</f>
        <v>578</v>
      </c>
      <c r="Q152">
        <f>IF($A152="","",_xlfn.SUMIFS(Campagne!$F$1:$F$128,Campagne!$C$1:$C$128,$A152))</f>
        <v>1230</v>
      </c>
      <c r="R152">
        <f>IF($A152="","",_xlfn.SUMIFS(Campagne!$K$1:$K$128,Campagne!$C$1:$C$128,$A152))</f>
        <v>0.474597064</v>
      </c>
      <c r="S152">
        <f>IF($A152="","",_xlfn.SUMIFS(Campagne!$M$1:$M$128,Campagne!$C$1:$C$128,$A152))</f>
        <v>0.357573951</v>
      </c>
      <c r="T152">
        <f>IF($A152="","",_xlfn.SUMIFS(PIL!$K$15:$K$28,PIL!$A$15:$A$28,$A152)*_xlfn.SUMIFS(PIL!$J$15:$J$28,PIL!$A$15:$A$28,$A152)*(SUM(PIL!$K$15:$K$28)/SUMPRODUCT(PIL!$K$15:$K$28,PIL!$J$15:$J$28)))</f>
        <v>21968</v>
      </c>
      <c r="U152">
        <f>IF($A152="","",_xlfn.SUMIFS(PIL!$K$15:$K$28,PIL!$A$15:$A$28,$A152))</f>
        <v>21968</v>
      </c>
      <c r="V152" t="s">
        <v>274</v>
      </c>
      <c r="W152" t="s">
        <v>274</v>
      </c>
      <c r="X152" t="s">
        <v>274</v>
      </c>
      <c r="Y152" t="s">
        <v>274</v>
      </c>
      <c r="Z152" t="s">
        <v>274</v>
      </c>
      <c r="AA152" t="s">
        <v>274</v>
      </c>
      <c r="AB152" t="s">
        <v>274</v>
      </c>
      <c r="AC152" t="s">
        <v>274</v>
      </c>
      <c r="AD152" t="e">
        <f t="shared" si="1"/>
        <v>#VALUE!</v>
      </c>
      <c r="AE152" t="e">
        <f t="shared" si="2"/>
        <v>#VALUE!</v>
      </c>
      <c r="AF152" t="e">
        <f t="shared" si="3"/>
        <v>#VALUE!</v>
      </c>
      <c r="AG152" t="e">
        <f t="shared" si="4"/>
        <v>#VALUE!</v>
      </c>
      <c r="AH152" t="e">
        <f t="shared" si="5"/>
        <v>#VALUE!</v>
      </c>
    </row>
    <row r="153" ht="14.25" customHeight="1">
      <c r="A153" t="str">
        <f>IF(Moteur!D153="","",Moteur!D153)</f>
        <v>PIGIER_BOR</v>
      </c>
      <c r="B153" t="str">
        <f>IF(Moteur!B153="","",Moteur!B153)</f>
        <v>V02</v>
      </c>
      <c r="C153" t="str">
        <f>IF(Moteur!F153="","",Moteur!F153)</f>
        <v>BAC_RH</v>
      </c>
      <c r="D153" t="str">
        <f>IF(Moteur!G153="","",Moteur!G153)</f>
        <v>B1</v>
      </c>
      <c r="E153" t="str">
        <f>IF(Moteur!H153="","",Moteur!H153)</f>
        <v>ALT</v>
      </c>
      <c r="F153" t="str">
        <f>IF(Moteur!E153="","",Moteur!E153)</f>
        <v>PIGIER</v>
      </c>
      <c r="G153">
        <f>IF($A153="","",_xlfn.SUMIFS(Socle!$H$1:$H$448,Socle!$C$1:$C$448,$A153,Socle!$D$1:$D$448,$C153,Socle!$E$1:$E$448,$D153,Socle!$F$1:$F$448,$E153,Socle!$G$1:$G$448,"2026"))</f>
        <v>1230</v>
      </c>
      <c r="H153">
        <f>IF($A153="","",_xlfn.SUMIFS(Socle!$N$1:$N$448,Socle!$C$1:$C$448,$A153,Socle!$D$1:$D$448,$C153,Socle!$E$1:$E$448,$D153,Socle!$F$1:$F$448,$E153,Socle!$G$1:$G$448,"2026"))</f>
        <v>0</v>
      </c>
      <c r="I153">
        <f>IF($A153="","",_xlfn.SUMIFS(Socle!$P$1:$P$448,Socle!$C$1:$C$448,$A153,Socle!$D$1:$D$448,$C153,Socle!$E$1:$E$448,$D153,Socle!$F$1:$F$448,$E153,Socle!$G$1:$G$448,"2026"))</f>
        <v>13580</v>
      </c>
      <c r="J153">
        <f>IF($A153="","",_xlfn.SUMIFS(Socle!$W$1:$W$448,Socle!$C$1:$C$448,$A153,Socle!$D$1:$D$448,$C153,Socle!$E$1:$E$448,$D153,Socle!$F$1:$F$448,$E153,Socle!$G$1:$G$448,"2026"))</f>
        <v>0.4</v>
      </c>
      <c r="K153">
        <f>IF($A153="","",_xlfn.SUMIFS(Socle!$X$1:$X$448,Socle!$C$1:$C$448,$A153,Socle!$D$1:$D$448,$C153,Socle!$E$1:$E$448,$D153,Socle!$F$1:$F$448,$E153,Socle!$G$1:$G$448,"2026"))</f>
        <v>1.398373984</v>
      </c>
      <c r="L153">
        <f>IF($A153="","",_xlfn.SUMIFS(Socle!$Y$1:$Y$448,Socle!$C$1:$C$448,$A153,Socle!$D$1:$D$448,$C153,Socle!$E$1:$E$448,$D153,Socle!$F$1:$F$448,$E153,Socle!$G$1:$G$448,"2026"))</f>
        <v>0.837209302</v>
      </c>
      <c r="M153">
        <f>IF($A153="","",_xlfn.SUMIFS(Socle!$V$1:$V$448,Socle!$C$1:$C$448,$A153,Socle!$D$1:$D$448,$C153,Socle!$E$1:$E$448,$D153,Socle!$F$1:$F$448,$E153,Socle!$G$1:$G$448,"2026"))</f>
        <v>0</v>
      </c>
      <c r="N153">
        <f t="shared" si="0"/>
        <v>1</v>
      </c>
      <c r="O153">
        <f>IF($A153="","",_xlfn.SUMIFS(Campagne!$D$1:$D$128,Campagne!$C$1:$C$128,$A153))</f>
        <v>652</v>
      </c>
      <c r="P153">
        <f>IF($A153="","",_xlfn.SUMIFS(Campagne!$E$1:$E$128,Campagne!$C$1:$C$128,$A153))</f>
        <v>578</v>
      </c>
      <c r="Q153">
        <f>IF($A153="","",_xlfn.SUMIFS(Campagne!$F$1:$F$128,Campagne!$C$1:$C$128,$A153))</f>
        <v>1230</v>
      </c>
      <c r="R153">
        <f>IF($A153="","",_xlfn.SUMIFS(Campagne!$K$1:$K$128,Campagne!$C$1:$C$128,$A153))</f>
        <v>0.474597064</v>
      </c>
      <c r="S153">
        <f>IF($A153="","",_xlfn.SUMIFS(Campagne!$M$1:$M$128,Campagne!$C$1:$C$128,$A153))</f>
        <v>0.357573951</v>
      </c>
      <c r="T153">
        <f>IF($A153="","",_xlfn.SUMIFS(PIL!$K$15:$K$28,PIL!$A$15:$A$28,$A153)*_xlfn.SUMIFS(PIL!$J$15:$J$28,PIL!$A$15:$A$28,$A153)*(SUM(PIL!$K$15:$K$28)/SUMPRODUCT(PIL!$K$15:$K$28,PIL!$J$15:$J$28)))</f>
        <v>21968</v>
      </c>
      <c r="U153">
        <f>IF($A153="","",_xlfn.SUMIFS(PIL!$K$15:$K$28,PIL!$A$15:$A$28,$A153))</f>
        <v>21968</v>
      </c>
      <c r="V153" t="s">
        <v>274</v>
      </c>
      <c r="W153" t="s">
        <v>274</v>
      </c>
      <c r="X153" t="s">
        <v>274</v>
      </c>
      <c r="Y153" t="s">
        <v>274</v>
      </c>
      <c r="Z153" t="s">
        <v>274</v>
      </c>
      <c r="AA153" t="s">
        <v>274</v>
      </c>
      <c r="AB153" t="s">
        <v>274</v>
      </c>
      <c r="AC153" t="s">
        <v>274</v>
      </c>
      <c r="AD153" t="e">
        <f t="shared" si="1"/>
        <v>#VALUE!</v>
      </c>
      <c r="AE153" t="e">
        <f t="shared" si="2"/>
        <v>#VALUE!</v>
      </c>
      <c r="AF153" t="e">
        <f t="shared" si="3"/>
        <v>#VALUE!</v>
      </c>
      <c r="AG153" t="e">
        <f t="shared" si="4"/>
        <v>#VALUE!</v>
      </c>
      <c r="AH153" t="e">
        <f t="shared" si="5"/>
        <v>#VALUE!</v>
      </c>
    </row>
    <row r="154" ht="14.25" customHeight="1">
      <c r="A154" t="str">
        <f>IF(Moteur!D154="","",Moteur!D154)</f>
        <v>PIGIER_BOR</v>
      </c>
      <c r="B154" t="str">
        <f>IF(Moteur!B154="","",Moteur!B154)</f>
        <v>V03</v>
      </c>
      <c r="C154" t="str">
        <f>IF(Moteur!F154="","",Moteur!F154)</f>
        <v>BAC_RH</v>
      </c>
      <c r="D154" t="str">
        <f>IF(Moteur!G154="","",Moteur!G154)</f>
        <v>B1</v>
      </c>
      <c r="E154" t="str">
        <f>IF(Moteur!H154="","",Moteur!H154)</f>
        <v>ALT</v>
      </c>
      <c r="F154" t="str">
        <f>IF(Moteur!E154="","",Moteur!E154)</f>
        <v>PIGIER</v>
      </c>
      <c r="G154">
        <f>IF($A154="","",_xlfn.SUMIFS(Socle!$H$1:$H$448,Socle!$C$1:$C$448,$A154,Socle!$D$1:$D$448,$C154,Socle!$E$1:$E$448,$D154,Socle!$F$1:$F$448,$E154,Socle!$G$1:$G$448,"2026"))</f>
        <v>1230</v>
      </c>
      <c r="H154">
        <f>IF($A154="","",_xlfn.SUMIFS(Socle!$N$1:$N$448,Socle!$C$1:$C$448,$A154,Socle!$D$1:$D$448,$C154,Socle!$E$1:$E$448,$D154,Socle!$F$1:$F$448,$E154,Socle!$G$1:$G$448,"2026"))</f>
        <v>0</v>
      </c>
      <c r="I154">
        <f>IF($A154="","",_xlfn.SUMIFS(Socle!$P$1:$P$448,Socle!$C$1:$C$448,$A154,Socle!$D$1:$D$448,$C154,Socle!$E$1:$E$448,$D154,Socle!$F$1:$F$448,$E154,Socle!$G$1:$G$448,"2026"))</f>
        <v>13580</v>
      </c>
      <c r="J154">
        <f>IF($A154="","",_xlfn.SUMIFS(Socle!$W$1:$W$448,Socle!$C$1:$C$448,$A154,Socle!$D$1:$D$448,$C154,Socle!$E$1:$E$448,$D154,Socle!$F$1:$F$448,$E154,Socle!$G$1:$G$448,"2026"))</f>
        <v>0.4</v>
      </c>
      <c r="K154">
        <f>IF($A154="","",_xlfn.SUMIFS(Socle!$X$1:$X$448,Socle!$C$1:$C$448,$A154,Socle!$D$1:$D$448,$C154,Socle!$E$1:$E$448,$D154,Socle!$F$1:$F$448,$E154,Socle!$G$1:$G$448,"2026"))</f>
        <v>1.398373984</v>
      </c>
      <c r="L154">
        <f>IF($A154="","",_xlfn.SUMIFS(Socle!$Y$1:$Y$448,Socle!$C$1:$C$448,$A154,Socle!$D$1:$D$448,$C154,Socle!$E$1:$E$448,$D154,Socle!$F$1:$F$448,$E154,Socle!$G$1:$G$448,"2026"))</f>
        <v>0.837209302</v>
      </c>
      <c r="M154">
        <f>IF($A154="","",_xlfn.SUMIFS(Socle!$V$1:$V$448,Socle!$C$1:$C$448,$A154,Socle!$D$1:$D$448,$C154,Socle!$E$1:$E$448,$D154,Socle!$F$1:$F$448,$E154,Socle!$G$1:$G$448,"2026"))</f>
        <v>0</v>
      </c>
      <c r="N154">
        <f t="shared" si="0"/>
        <v>1</v>
      </c>
      <c r="O154">
        <f>IF($A154="","",_xlfn.SUMIFS(Campagne!$D$1:$D$128,Campagne!$C$1:$C$128,$A154))</f>
        <v>652</v>
      </c>
      <c r="P154">
        <f>IF($A154="","",_xlfn.SUMIFS(Campagne!$E$1:$E$128,Campagne!$C$1:$C$128,$A154))</f>
        <v>578</v>
      </c>
      <c r="Q154">
        <f>IF($A154="","",_xlfn.SUMIFS(Campagne!$F$1:$F$128,Campagne!$C$1:$C$128,$A154))</f>
        <v>1230</v>
      </c>
      <c r="R154">
        <f>IF($A154="","",_xlfn.SUMIFS(Campagne!$K$1:$K$128,Campagne!$C$1:$C$128,$A154))</f>
        <v>0.474597064</v>
      </c>
      <c r="S154">
        <f>IF($A154="","",_xlfn.SUMIFS(Campagne!$M$1:$M$128,Campagne!$C$1:$C$128,$A154))</f>
        <v>0.357573951</v>
      </c>
      <c r="T154">
        <f>IF($A154="","",_xlfn.SUMIFS(PIL!$K$15:$K$28,PIL!$A$15:$A$28,$A154)*_xlfn.SUMIFS(PIL!$J$15:$J$28,PIL!$A$15:$A$28,$A154)*(SUM(PIL!$K$15:$K$28)/SUMPRODUCT(PIL!$K$15:$K$28,PIL!$J$15:$J$28)))</f>
        <v>21968</v>
      </c>
      <c r="U154">
        <f>IF($A154="","",_xlfn.SUMIFS(PIL!$K$15:$K$28,PIL!$A$15:$A$28,$A154))</f>
        <v>21968</v>
      </c>
      <c r="V154" t="s">
        <v>274</v>
      </c>
      <c r="W154" t="s">
        <v>274</v>
      </c>
      <c r="X154" t="s">
        <v>274</v>
      </c>
      <c r="Y154" t="s">
        <v>274</v>
      </c>
      <c r="Z154" t="s">
        <v>274</v>
      </c>
      <c r="AA154" t="s">
        <v>274</v>
      </c>
      <c r="AB154" t="s">
        <v>274</v>
      </c>
      <c r="AC154" t="s">
        <v>274</v>
      </c>
      <c r="AD154" t="e">
        <f t="shared" si="1"/>
        <v>#VALUE!</v>
      </c>
      <c r="AE154" t="e">
        <f t="shared" si="2"/>
        <v>#VALUE!</v>
      </c>
      <c r="AF154" t="e">
        <f t="shared" si="3"/>
        <v>#VALUE!</v>
      </c>
      <c r="AG154" t="e">
        <f t="shared" si="4"/>
        <v>#VALUE!</v>
      </c>
      <c r="AH154" t="e">
        <f t="shared" si="5"/>
        <v>#VALUE!</v>
      </c>
    </row>
    <row r="155" ht="14.25" customHeight="1">
      <c r="A155" t="str">
        <f>IF(Moteur!D155="","",Moteur!D155)</f>
        <v>PIGIER_BOR</v>
      </c>
      <c r="B155" t="str">
        <f>IF(Moteur!B155="","",Moteur!B155)</f>
        <v>V01</v>
      </c>
      <c r="C155" t="str">
        <f>IF(Moteur!F155="","",Moteur!F155)</f>
        <v>BAC_RH</v>
      </c>
      <c r="D155" t="str">
        <f>IF(Moteur!G155="","",Moteur!G155)</f>
        <v>B3</v>
      </c>
      <c r="E155" t="str">
        <f>IF(Moteur!H155="","",Moteur!H155)</f>
        <v>ALT</v>
      </c>
      <c r="F155" t="str">
        <f>IF(Moteur!E155="","",Moteur!E155)</f>
        <v>PIGIER</v>
      </c>
      <c r="G155">
        <f>IF($A155="","",_xlfn.SUMIFS(Socle!$H$1:$H$448,Socle!$C$1:$C$448,$A155,Socle!$D$1:$D$448,$C155,Socle!$E$1:$E$448,$D155,Socle!$F$1:$F$448,$E155,Socle!$G$1:$G$448,"2026"))</f>
        <v>0</v>
      </c>
      <c r="H155">
        <f>IF($A155="","",_xlfn.SUMIFS(Socle!$N$1:$N$448,Socle!$C$1:$C$448,$A155,Socle!$D$1:$D$448,$C155,Socle!$E$1:$E$448,$D155,Socle!$F$1:$F$448,$E155,Socle!$G$1:$G$448,"2026"))</f>
        <v>72</v>
      </c>
      <c r="I155">
        <f>IF($A155="","",_xlfn.SUMIFS(Socle!$P$1:$P$448,Socle!$C$1:$C$448,$A155,Socle!$D$1:$D$448,$C155,Socle!$E$1:$E$448,$D155,Socle!$F$1:$F$448,$E155,Socle!$G$1:$G$448,"2026"))</f>
        <v>13580</v>
      </c>
      <c r="J155">
        <f>IF($A155="","",_xlfn.SUMIFS(Socle!$W$1:$W$448,Socle!$C$1:$C$448,$A155,Socle!$D$1:$D$448,$C155,Socle!$E$1:$E$448,$D155,Socle!$F$1:$F$448,$E155,Socle!$G$1:$G$448,"2026"))</f>
        <v>0</v>
      </c>
      <c r="K155">
        <f>IF($A155="","",_xlfn.SUMIFS(Socle!$X$1:$X$448,Socle!$C$1:$C$448,$A155,Socle!$D$1:$D$448,$C155,Socle!$E$1:$E$448,$D155,Socle!$F$1:$F$448,$E155,Socle!$G$1:$G$448,"2026"))</f>
        <v>0</v>
      </c>
      <c r="L155">
        <f>IF($A155="","",_xlfn.SUMIFS(Socle!$Y$1:$Y$448,Socle!$C$1:$C$448,$A155,Socle!$D$1:$D$448,$C155,Socle!$E$1:$E$448,$D155,Socle!$F$1:$F$448,$E155,Socle!$G$1:$G$448,"2026"))</f>
        <v>0</v>
      </c>
      <c r="M155">
        <f>IF($A155="","",_xlfn.SUMIFS(Socle!$V$1:$V$448,Socle!$C$1:$C$448,$A155,Socle!$D$1:$D$448,$C155,Socle!$E$1:$E$448,$D155,Socle!$F$1:$F$448,$E155,Socle!$G$1:$G$448,"2026"))</f>
        <v>1.944444444</v>
      </c>
      <c r="N155">
        <f t="shared" si="0"/>
        <v>0</v>
      </c>
      <c r="O155">
        <f>IF($A155="","",_xlfn.SUMIFS(Campagne!$D$1:$D$128,Campagne!$C$1:$C$128,$A155))</f>
        <v>652</v>
      </c>
      <c r="P155">
        <f>IF($A155="","",_xlfn.SUMIFS(Campagne!$E$1:$E$128,Campagne!$C$1:$C$128,$A155))</f>
        <v>578</v>
      </c>
      <c r="Q155">
        <f>IF($A155="","",_xlfn.SUMIFS(Campagne!$F$1:$F$128,Campagne!$C$1:$C$128,$A155))</f>
        <v>1230</v>
      </c>
      <c r="R155">
        <f>IF($A155="","",_xlfn.SUMIFS(Campagne!$K$1:$K$128,Campagne!$C$1:$C$128,$A155))</f>
        <v>0.474597064</v>
      </c>
      <c r="S155">
        <f>IF($A155="","",_xlfn.SUMIFS(Campagne!$M$1:$M$128,Campagne!$C$1:$C$128,$A155))</f>
        <v>0.357573951</v>
      </c>
      <c r="T155">
        <f>IF($A155="","",_xlfn.SUMIFS(PIL!$K$15:$K$28,PIL!$A$15:$A$28,$A155)*_xlfn.SUMIFS(PIL!$J$15:$J$28,PIL!$A$15:$A$28,$A155)*(SUM(PIL!$K$15:$K$28)/SUMPRODUCT(PIL!$K$15:$K$28,PIL!$J$15:$J$28)))</f>
        <v>21968</v>
      </c>
      <c r="U155">
        <f>IF($A155="","",_xlfn.SUMIFS(PIL!$K$15:$K$28,PIL!$A$15:$A$28,$A155))</f>
        <v>21968</v>
      </c>
      <c r="V155" t="s">
        <v>274</v>
      </c>
      <c r="W155" t="s">
        <v>274</v>
      </c>
      <c r="X155" t="s">
        <v>274</v>
      </c>
      <c r="Y155" t="s">
        <v>274</v>
      </c>
      <c r="Z155" t="s">
        <v>274</v>
      </c>
      <c r="AA155" t="s">
        <v>274</v>
      </c>
      <c r="AB155" t="s">
        <v>274</v>
      </c>
      <c r="AC155" t="s">
        <v>274</v>
      </c>
      <c r="AD155" t="e">
        <f t="shared" si="1"/>
        <v>#VALUE!</v>
      </c>
      <c r="AE155">
        <f t="shared" si="2"/>
        <v>0</v>
      </c>
      <c r="AF155" t="e">
        <f t="shared" si="3"/>
        <v>#VALUE!</v>
      </c>
      <c r="AG155" t="e">
        <f t="shared" si="4"/>
        <v>#VALUE!</v>
      </c>
      <c r="AH155" t="e">
        <f t="shared" si="5"/>
        <v>#VALUE!</v>
      </c>
    </row>
    <row r="156" ht="14.25" customHeight="1">
      <c r="A156" t="str">
        <f>IF(Moteur!D156="","",Moteur!D156)</f>
        <v>PIGIER_BOR</v>
      </c>
      <c r="B156" t="str">
        <f>IF(Moteur!B156="","",Moteur!B156)</f>
        <v>V02</v>
      </c>
      <c r="C156" t="str">
        <f>IF(Moteur!F156="","",Moteur!F156)</f>
        <v>BAC_RH</v>
      </c>
      <c r="D156" t="str">
        <f>IF(Moteur!G156="","",Moteur!G156)</f>
        <v>B3</v>
      </c>
      <c r="E156" t="str">
        <f>IF(Moteur!H156="","",Moteur!H156)</f>
        <v>ALT</v>
      </c>
      <c r="F156" t="str">
        <f>IF(Moteur!E156="","",Moteur!E156)</f>
        <v>PIGIER</v>
      </c>
      <c r="G156">
        <f>IF($A156="","",_xlfn.SUMIFS(Socle!$H$1:$H$448,Socle!$C$1:$C$448,$A156,Socle!$D$1:$D$448,$C156,Socle!$E$1:$E$448,$D156,Socle!$F$1:$F$448,$E156,Socle!$G$1:$G$448,"2026"))</f>
        <v>0</v>
      </c>
      <c r="H156">
        <f>IF($A156="","",_xlfn.SUMIFS(Socle!$N$1:$N$448,Socle!$C$1:$C$448,$A156,Socle!$D$1:$D$448,$C156,Socle!$E$1:$E$448,$D156,Socle!$F$1:$F$448,$E156,Socle!$G$1:$G$448,"2026"))</f>
        <v>72</v>
      </c>
      <c r="I156">
        <f>IF($A156="","",_xlfn.SUMIFS(Socle!$P$1:$P$448,Socle!$C$1:$C$448,$A156,Socle!$D$1:$D$448,$C156,Socle!$E$1:$E$448,$D156,Socle!$F$1:$F$448,$E156,Socle!$G$1:$G$448,"2026"))</f>
        <v>13580</v>
      </c>
      <c r="J156">
        <f>IF($A156="","",_xlfn.SUMIFS(Socle!$W$1:$W$448,Socle!$C$1:$C$448,$A156,Socle!$D$1:$D$448,$C156,Socle!$E$1:$E$448,$D156,Socle!$F$1:$F$448,$E156,Socle!$G$1:$G$448,"2026"))</f>
        <v>0</v>
      </c>
      <c r="K156">
        <f>IF($A156="","",_xlfn.SUMIFS(Socle!$X$1:$X$448,Socle!$C$1:$C$448,$A156,Socle!$D$1:$D$448,$C156,Socle!$E$1:$E$448,$D156,Socle!$F$1:$F$448,$E156,Socle!$G$1:$G$448,"2026"))</f>
        <v>0</v>
      </c>
      <c r="L156">
        <f>IF($A156="","",_xlfn.SUMIFS(Socle!$Y$1:$Y$448,Socle!$C$1:$C$448,$A156,Socle!$D$1:$D$448,$C156,Socle!$E$1:$E$448,$D156,Socle!$F$1:$F$448,$E156,Socle!$G$1:$G$448,"2026"))</f>
        <v>0</v>
      </c>
      <c r="M156">
        <f>IF($A156="","",_xlfn.SUMIFS(Socle!$V$1:$V$448,Socle!$C$1:$C$448,$A156,Socle!$D$1:$D$448,$C156,Socle!$E$1:$E$448,$D156,Socle!$F$1:$F$448,$E156,Socle!$G$1:$G$448,"2026"))</f>
        <v>1.944444444</v>
      </c>
      <c r="N156">
        <f t="shared" si="0"/>
        <v>0</v>
      </c>
      <c r="O156">
        <f>IF($A156="","",_xlfn.SUMIFS(Campagne!$D$1:$D$128,Campagne!$C$1:$C$128,$A156))</f>
        <v>652</v>
      </c>
      <c r="P156">
        <f>IF($A156="","",_xlfn.SUMIFS(Campagne!$E$1:$E$128,Campagne!$C$1:$C$128,$A156))</f>
        <v>578</v>
      </c>
      <c r="Q156">
        <f>IF($A156="","",_xlfn.SUMIFS(Campagne!$F$1:$F$128,Campagne!$C$1:$C$128,$A156))</f>
        <v>1230</v>
      </c>
      <c r="R156">
        <f>IF($A156="","",_xlfn.SUMIFS(Campagne!$K$1:$K$128,Campagne!$C$1:$C$128,$A156))</f>
        <v>0.474597064</v>
      </c>
      <c r="S156">
        <f>IF($A156="","",_xlfn.SUMIFS(Campagne!$M$1:$M$128,Campagne!$C$1:$C$128,$A156))</f>
        <v>0.357573951</v>
      </c>
      <c r="T156">
        <f>IF($A156="","",_xlfn.SUMIFS(PIL!$K$15:$K$28,PIL!$A$15:$A$28,$A156)*_xlfn.SUMIFS(PIL!$J$15:$J$28,PIL!$A$15:$A$28,$A156)*(SUM(PIL!$K$15:$K$28)/SUMPRODUCT(PIL!$K$15:$K$28,PIL!$J$15:$J$28)))</f>
        <v>21968</v>
      </c>
      <c r="U156">
        <f>IF($A156="","",_xlfn.SUMIFS(PIL!$K$15:$K$28,PIL!$A$15:$A$28,$A156))</f>
        <v>21968</v>
      </c>
      <c r="V156" t="s">
        <v>274</v>
      </c>
      <c r="W156" t="s">
        <v>274</v>
      </c>
      <c r="X156" t="s">
        <v>274</v>
      </c>
      <c r="Y156" t="s">
        <v>274</v>
      </c>
      <c r="Z156" t="s">
        <v>274</v>
      </c>
      <c r="AA156" t="s">
        <v>274</v>
      </c>
      <c r="AB156" t="s">
        <v>274</v>
      </c>
      <c r="AC156" t="s">
        <v>274</v>
      </c>
      <c r="AD156" t="e">
        <f t="shared" si="1"/>
        <v>#VALUE!</v>
      </c>
      <c r="AE156">
        <f t="shared" si="2"/>
        <v>0</v>
      </c>
      <c r="AF156" t="e">
        <f t="shared" si="3"/>
        <v>#VALUE!</v>
      </c>
      <c r="AG156" t="e">
        <f t="shared" si="4"/>
        <v>#VALUE!</v>
      </c>
      <c r="AH156" t="e">
        <f t="shared" si="5"/>
        <v>#VALUE!</v>
      </c>
    </row>
    <row r="157" ht="14.25" customHeight="1">
      <c r="A157" t="str">
        <f>IF(Moteur!D157="","",Moteur!D157)</f>
        <v>PIGIER_BOR</v>
      </c>
      <c r="B157" t="str">
        <f>IF(Moteur!B157="","",Moteur!B157)</f>
        <v>V03</v>
      </c>
      <c r="C157" t="str">
        <f>IF(Moteur!F157="","",Moteur!F157)</f>
        <v>BAC_RH</v>
      </c>
      <c r="D157" t="str">
        <f>IF(Moteur!G157="","",Moteur!G157)</f>
        <v>B3</v>
      </c>
      <c r="E157" t="str">
        <f>IF(Moteur!H157="","",Moteur!H157)</f>
        <v>ALT</v>
      </c>
      <c r="F157" t="str">
        <f>IF(Moteur!E157="","",Moteur!E157)</f>
        <v>PIGIER</v>
      </c>
      <c r="G157">
        <f>IF($A157="","",_xlfn.SUMIFS(Socle!$H$1:$H$448,Socle!$C$1:$C$448,$A157,Socle!$D$1:$D$448,$C157,Socle!$E$1:$E$448,$D157,Socle!$F$1:$F$448,$E157,Socle!$G$1:$G$448,"2026"))</f>
        <v>0</v>
      </c>
      <c r="H157">
        <f>IF($A157="","",_xlfn.SUMIFS(Socle!$N$1:$N$448,Socle!$C$1:$C$448,$A157,Socle!$D$1:$D$448,$C157,Socle!$E$1:$E$448,$D157,Socle!$F$1:$F$448,$E157,Socle!$G$1:$G$448,"2026"))</f>
        <v>72</v>
      </c>
      <c r="I157">
        <f>IF($A157="","",_xlfn.SUMIFS(Socle!$P$1:$P$448,Socle!$C$1:$C$448,$A157,Socle!$D$1:$D$448,$C157,Socle!$E$1:$E$448,$D157,Socle!$F$1:$F$448,$E157,Socle!$G$1:$G$448,"2026"))</f>
        <v>13580</v>
      </c>
      <c r="J157">
        <f>IF($A157="","",_xlfn.SUMIFS(Socle!$W$1:$W$448,Socle!$C$1:$C$448,$A157,Socle!$D$1:$D$448,$C157,Socle!$E$1:$E$448,$D157,Socle!$F$1:$F$448,$E157,Socle!$G$1:$G$448,"2026"))</f>
        <v>0</v>
      </c>
      <c r="K157">
        <f>IF($A157="","",_xlfn.SUMIFS(Socle!$X$1:$X$448,Socle!$C$1:$C$448,$A157,Socle!$D$1:$D$448,$C157,Socle!$E$1:$E$448,$D157,Socle!$F$1:$F$448,$E157,Socle!$G$1:$G$448,"2026"))</f>
        <v>0</v>
      </c>
      <c r="L157">
        <f>IF($A157="","",_xlfn.SUMIFS(Socle!$Y$1:$Y$448,Socle!$C$1:$C$448,$A157,Socle!$D$1:$D$448,$C157,Socle!$E$1:$E$448,$D157,Socle!$F$1:$F$448,$E157,Socle!$G$1:$G$448,"2026"))</f>
        <v>0</v>
      </c>
      <c r="M157">
        <f>IF($A157="","",_xlfn.SUMIFS(Socle!$V$1:$V$448,Socle!$C$1:$C$448,$A157,Socle!$D$1:$D$448,$C157,Socle!$E$1:$E$448,$D157,Socle!$F$1:$F$448,$E157,Socle!$G$1:$G$448,"2026"))</f>
        <v>1.944444444</v>
      </c>
      <c r="N157">
        <f t="shared" si="0"/>
        <v>0</v>
      </c>
      <c r="O157">
        <f>IF($A157="","",_xlfn.SUMIFS(Campagne!$D$1:$D$128,Campagne!$C$1:$C$128,$A157))</f>
        <v>652</v>
      </c>
      <c r="P157">
        <f>IF($A157="","",_xlfn.SUMIFS(Campagne!$E$1:$E$128,Campagne!$C$1:$C$128,$A157))</f>
        <v>578</v>
      </c>
      <c r="Q157">
        <f>IF($A157="","",_xlfn.SUMIFS(Campagne!$F$1:$F$128,Campagne!$C$1:$C$128,$A157))</f>
        <v>1230</v>
      </c>
      <c r="R157">
        <f>IF($A157="","",_xlfn.SUMIFS(Campagne!$K$1:$K$128,Campagne!$C$1:$C$128,$A157))</f>
        <v>0.474597064</v>
      </c>
      <c r="S157">
        <f>IF($A157="","",_xlfn.SUMIFS(Campagne!$M$1:$M$128,Campagne!$C$1:$C$128,$A157))</f>
        <v>0.357573951</v>
      </c>
      <c r="T157">
        <f>IF($A157="","",_xlfn.SUMIFS(PIL!$K$15:$K$28,PIL!$A$15:$A$28,$A157)*_xlfn.SUMIFS(PIL!$J$15:$J$28,PIL!$A$15:$A$28,$A157)*(SUM(PIL!$K$15:$K$28)/SUMPRODUCT(PIL!$K$15:$K$28,PIL!$J$15:$J$28)))</f>
        <v>21968</v>
      </c>
      <c r="U157">
        <f>IF($A157="","",_xlfn.SUMIFS(PIL!$K$15:$K$28,PIL!$A$15:$A$28,$A157))</f>
        <v>21968</v>
      </c>
      <c r="V157" t="s">
        <v>274</v>
      </c>
      <c r="W157" t="s">
        <v>274</v>
      </c>
      <c r="X157" t="s">
        <v>274</v>
      </c>
      <c r="Y157" t="s">
        <v>274</v>
      </c>
      <c r="Z157" t="s">
        <v>274</v>
      </c>
      <c r="AA157" t="s">
        <v>274</v>
      </c>
      <c r="AB157" t="s">
        <v>274</v>
      </c>
      <c r="AC157" t="s">
        <v>274</v>
      </c>
      <c r="AD157" t="e">
        <f t="shared" si="1"/>
        <v>#VALUE!</v>
      </c>
      <c r="AE157">
        <f t="shared" si="2"/>
        <v>0</v>
      </c>
      <c r="AF157" t="e">
        <f t="shared" si="3"/>
        <v>#VALUE!</v>
      </c>
      <c r="AG157" t="e">
        <f t="shared" si="4"/>
        <v>#VALUE!</v>
      </c>
      <c r="AH157" t="e">
        <f t="shared" si="5"/>
        <v>#VALUE!</v>
      </c>
    </row>
    <row r="158" ht="14.25" customHeight="1">
      <c r="A158" t="str">
        <f>IF(Moteur!D158="","",Moteur!D158)</f>
        <v>TUNON_PAR</v>
      </c>
      <c r="B158" t="str">
        <f>IF(Moteur!B158="","",Moteur!B158)</f>
        <v>V01</v>
      </c>
      <c r="C158" t="str">
        <f>IF(Moteur!F158="","",Moteur!F158)</f>
        <v>BAC_TOU</v>
      </c>
      <c r="D158" t="str">
        <f>IF(Moteur!G158="","",Moteur!G158)</f>
        <v>B1</v>
      </c>
      <c r="E158" t="str">
        <f>IF(Moteur!H158="","",Moteur!H158)</f>
        <v>ALT</v>
      </c>
      <c r="F158" t="str">
        <f>IF(Moteur!E158="","",Moteur!E158)</f>
        <v>TUNON</v>
      </c>
      <c r="G158">
        <f>IF($A158="","",_xlfn.SUMIFS(Socle!$H$1:$H$448,Socle!$C$1:$C$448,$A158,Socle!$D$1:$D$448,$C158,Socle!$E$1:$E$448,$D158,Socle!$F$1:$F$448,$E158,Socle!$G$1:$G$448,"2026"))</f>
        <v>1600</v>
      </c>
      <c r="H158">
        <f>IF($A158="","",_xlfn.SUMIFS(Socle!$N$1:$N$448,Socle!$C$1:$C$448,$A158,Socle!$D$1:$D$448,$C158,Socle!$E$1:$E$448,$D158,Socle!$F$1:$F$448,$E158,Socle!$G$1:$G$448,"2026"))</f>
        <v>0</v>
      </c>
      <c r="I158">
        <f>IF($A158="","",_xlfn.SUMIFS(Socle!$P$1:$P$448,Socle!$C$1:$C$448,$A158,Socle!$D$1:$D$448,$C158,Socle!$E$1:$E$448,$D158,Socle!$F$1:$F$448,$E158,Socle!$G$1:$G$448,"2026"))</f>
        <v>15680</v>
      </c>
      <c r="J158">
        <f>IF($A158="","",_xlfn.SUMIFS(Socle!$W$1:$W$448,Socle!$C$1:$C$448,$A158,Socle!$D$1:$D$448,$C158,Socle!$E$1:$E$448,$D158,Socle!$F$1:$F$448,$E158,Socle!$G$1:$G$448,"2026"))</f>
        <v>0.4</v>
      </c>
      <c r="K158">
        <f>IF($A158="","",_xlfn.SUMIFS(Socle!$X$1:$X$448,Socle!$C$1:$C$448,$A158,Socle!$D$1:$D$448,$C158,Socle!$E$1:$E$448,$D158,Socle!$F$1:$F$448,$E158,Socle!$G$1:$G$448,"2026"))</f>
        <v>1.4</v>
      </c>
      <c r="L158">
        <f>IF($A158="","",_xlfn.SUMIFS(Socle!$Y$1:$Y$448,Socle!$C$1:$C$448,$A158,Socle!$D$1:$D$448,$C158,Socle!$E$1:$E$448,$D158,Socle!$F$1:$F$448,$E158,Socle!$G$1:$G$448,"2026"))</f>
        <v>0.839285714</v>
      </c>
      <c r="M158">
        <f>IF($A158="","",_xlfn.SUMIFS(Socle!$V$1:$V$448,Socle!$C$1:$C$448,$A158,Socle!$D$1:$D$448,$C158,Socle!$E$1:$E$448,$D158,Socle!$F$1:$F$448,$E158,Socle!$G$1:$G$448,"2026"))</f>
        <v>0</v>
      </c>
      <c r="N158">
        <f t="shared" si="0"/>
        <v>1</v>
      </c>
      <c r="O158">
        <f>IF($A158="","",_xlfn.SUMIFS(Campagne!$D$1:$D$128,Campagne!$C$1:$C$128,$A158))</f>
        <v>240</v>
      </c>
      <c r="P158">
        <f>IF($A158="","",_xlfn.SUMIFS(Campagne!$E$1:$E$128,Campagne!$C$1:$C$128,$A158))</f>
        <v>560</v>
      </c>
      <c r="Q158">
        <f>IF($A158="","",_xlfn.SUMIFS(Campagne!$F$1:$F$128,Campagne!$C$1:$C$128,$A158))</f>
        <v>800</v>
      </c>
      <c r="R158">
        <f>IF($A158="","",_xlfn.SUMIFS(Campagne!$K$1:$K$128,Campagne!$C$1:$C$128,$A158))</f>
        <v>0.41914906</v>
      </c>
      <c r="S158">
        <f>IF($A158="","",_xlfn.SUMIFS(Campagne!$M$1:$M$128,Campagne!$C$1:$C$128,$A158))</f>
        <v>0.279886014</v>
      </c>
      <c r="T158">
        <f>IF($A158="","",_xlfn.SUMIFS(PIL!$K$15:$K$28,PIL!$A$15:$A$28,$A158)*_xlfn.SUMIFS(PIL!$J$15:$J$28,PIL!$A$15:$A$28,$A158)*(SUM(PIL!$K$15:$K$28)/SUMPRODUCT(PIL!$K$15:$K$28,PIL!$J$15:$J$28)))</f>
        <v>30240</v>
      </c>
      <c r="U158">
        <f>IF($A158="","",_xlfn.SUMIFS(PIL!$K$15:$K$28,PIL!$A$15:$A$28,$A158))</f>
        <v>30240</v>
      </c>
      <c r="V158" t="s">
        <v>274</v>
      </c>
      <c r="W158" t="s">
        <v>274</v>
      </c>
      <c r="X158" t="s">
        <v>274</v>
      </c>
      <c r="Y158" t="s">
        <v>274</v>
      </c>
      <c r="Z158" t="s">
        <v>274</v>
      </c>
      <c r="AA158" t="s">
        <v>274</v>
      </c>
      <c r="AB158" t="s">
        <v>274</v>
      </c>
      <c r="AC158" t="s">
        <v>274</v>
      </c>
      <c r="AD158" t="e">
        <f t="shared" si="1"/>
        <v>#VALUE!</v>
      </c>
      <c r="AE158" t="e">
        <f t="shared" si="2"/>
        <v>#VALUE!</v>
      </c>
      <c r="AF158" t="e">
        <f t="shared" si="3"/>
        <v>#VALUE!</v>
      </c>
      <c r="AG158" t="e">
        <f t="shared" si="4"/>
        <v>#VALUE!</v>
      </c>
      <c r="AH158" t="e">
        <f t="shared" si="5"/>
        <v>#VALUE!</v>
      </c>
    </row>
    <row r="159" ht="14.25" customHeight="1">
      <c r="A159" t="str">
        <f>IF(Moteur!D159="","",Moteur!D159)</f>
        <v>TUNON_PAR</v>
      </c>
      <c r="B159" t="str">
        <f>IF(Moteur!B159="","",Moteur!B159)</f>
        <v>V02</v>
      </c>
      <c r="C159" t="str">
        <f>IF(Moteur!F159="","",Moteur!F159)</f>
        <v>BAC_TOU</v>
      </c>
      <c r="D159" t="str">
        <f>IF(Moteur!G159="","",Moteur!G159)</f>
        <v>B1</v>
      </c>
      <c r="E159" t="str">
        <f>IF(Moteur!H159="","",Moteur!H159)</f>
        <v>ALT</v>
      </c>
      <c r="F159" t="str">
        <f>IF(Moteur!E159="","",Moteur!E159)</f>
        <v>TUNON</v>
      </c>
      <c r="G159">
        <f>IF($A159="","",_xlfn.SUMIFS(Socle!$H$1:$H$448,Socle!$C$1:$C$448,$A159,Socle!$D$1:$D$448,$C159,Socle!$E$1:$E$448,$D159,Socle!$F$1:$F$448,$E159,Socle!$G$1:$G$448,"2026"))</f>
        <v>1600</v>
      </c>
      <c r="H159">
        <f>IF($A159="","",_xlfn.SUMIFS(Socle!$N$1:$N$448,Socle!$C$1:$C$448,$A159,Socle!$D$1:$D$448,$C159,Socle!$E$1:$E$448,$D159,Socle!$F$1:$F$448,$E159,Socle!$G$1:$G$448,"2026"))</f>
        <v>0</v>
      </c>
      <c r="I159">
        <f>IF($A159="","",_xlfn.SUMIFS(Socle!$P$1:$P$448,Socle!$C$1:$C$448,$A159,Socle!$D$1:$D$448,$C159,Socle!$E$1:$E$448,$D159,Socle!$F$1:$F$448,$E159,Socle!$G$1:$G$448,"2026"))</f>
        <v>15680</v>
      </c>
      <c r="J159">
        <f>IF($A159="","",_xlfn.SUMIFS(Socle!$W$1:$W$448,Socle!$C$1:$C$448,$A159,Socle!$D$1:$D$448,$C159,Socle!$E$1:$E$448,$D159,Socle!$F$1:$F$448,$E159,Socle!$G$1:$G$448,"2026"))</f>
        <v>0.4</v>
      </c>
      <c r="K159">
        <f>IF($A159="","",_xlfn.SUMIFS(Socle!$X$1:$X$448,Socle!$C$1:$C$448,$A159,Socle!$D$1:$D$448,$C159,Socle!$E$1:$E$448,$D159,Socle!$F$1:$F$448,$E159,Socle!$G$1:$G$448,"2026"))</f>
        <v>1.4</v>
      </c>
      <c r="L159">
        <f>IF($A159="","",_xlfn.SUMIFS(Socle!$Y$1:$Y$448,Socle!$C$1:$C$448,$A159,Socle!$D$1:$D$448,$C159,Socle!$E$1:$E$448,$D159,Socle!$F$1:$F$448,$E159,Socle!$G$1:$G$448,"2026"))</f>
        <v>0.839285714</v>
      </c>
      <c r="M159">
        <f>IF($A159="","",_xlfn.SUMIFS(Socle!$V$1:$V$448,Socle!$C$1:$C$448,$A159,Socle!$D$1:$D$448,$C159,Socle!$E$1:$E$448,$D159,Socle!$F$1:$F$448,$E159,Socle!$G$1:$G$448,"2026"))</f>
        <v>0</v>
      </c>
      <c r="N159">
        <f t="shared" si="0"/>
        <v>1</v>
      </c>
      <c r="O159">
        <f>IF($A159="","",_xlfn.SUMIFS(Campagne!$D$1:$D$128,Campagne!$C$1:$C$128,$A159))</f>
        <v>240</v>
      </c>
      <c r="P159">
        <f>IF($A159="","",_xlfn.SUMIFS(Campagne!$E$1:$E$128,Campagne!$C$1:$C$128,$A159))</f>
        <v>560</v>
      </c>
      <c r="Q159">
        <f>IF($A159="","",_xlfn.SUMIFS(Campagne!$F$1:$F$128,Campagne!$C$1:$C$128,$A159))</f>
        <v>800</v>
      </c>
      <c r="R159">
        <f>IF($A159="","",_xlfn.SUMIFS(Campagne!$K$1:$K$128,Campagne!$C$1:$C$128,$A159))</f>
        <v>0.41914906</v>
      </c>
      <c r="S159">
        <f>IF($A159="","",_xlfn.SUMIFS(Campagne!$M$1:$M$128,Campagne!$C$1:$C$128,$A159))</f>
        <v>0.279886014</v>
      </c>
      <c r="T159">
        <f>IF($A159="","",_xlfn.SUMIFS(PIL!$K$15:$K$28,PIL!$A$15:$A$28,$A159)*_xlfn.SUMIFS(PIL!$J$15:$J$28,PIL!$A$15:$A$28,$A159)*(SUM(PIL!$K$15:$K$28)/SUMPRODUCT(PIL!$K$15:$K$28,PIL!$J$15:$J$28)))</f>
        <v>30240</v>
      </c>
      <c r="U159">
        <f>IF($A159="","",_xlfn.SUMIFS(PIL!$K$15:$K$28,PIL!$A$15:$A$28,$A159))</f>
        <v>30240</v>
      </c>
      <c r="V159" t="s">
        <v>274</v>
      </c>
      <c r="W159" t="s">
        <v>274</v>
      </c>
      <c r="X159" t="s">
        <v>274</v>
      </c>
      <c r="Y159" t="s">
        <v>274</v>
      </c>
      <c r="Z159" t="s">
        <v>274</v>
      </c>
      <c r="AA159" t="s">
        <v>274</v>
      </c>
      <c r="AB159" t="s">
        <v>274</v>
      </c>
      <c r="AC159" t="s">
        <v>274</v>
      </c>
      <c r="AD159" t="e">
        <f t="shared" si="1"/>
        <v>#VALUE!</v>
      </c>
      <c r="AE159" t="e">
        <f t="shared" si="2"/>
        <v>#VALUE!</v>
      </c>
      <c r="AF159" t="e">
        <f t="shared" si="3"/>
        <v>#VALUE!</v>
      </c>
      <c r="AG159" t="e">
        <f t="shared" si="4"/>
        <v>#VALUE!</v>
      </c>
      <c r="AH159" t="e">
        <f t="shared" si="5"/>
        <v>#VALUE!</v>
      </c>
    </row>
    <row r="160" ht="14.25" customHeight="1">
      <c r="A160" t="str">
        <f>IF(Moteur!D160="","",Moteur!D160)</f>
        <v>TUNON_PAR</v>
      </c>
      <c r="B160" t="str">
        <f>IF(Moteur!B160="","",Moteur!B160)</f>
        <v>V03</v>
      </c>
      <c r="C160" t="str">
        <f>IF(Moteur!F160="","",Moteur!F160)</f>
        <v>BAC_TOU</v>
      </c>
      <c r="D160" t="str">
        <f>IF(Moteur!G160="","",Moteur!G160)</f>
        <v>B1</v>
      </c>
      <c r="E160" t="str">
        <f>IF(Moteur!H160="","",Moteur!H160)</f>
        <v>ALT</v>
      </c>
      <c r="F160" t="str">
        <f>IF(Moteur!E160="","",Moteur!E160)</f>
        <v>TUNON</v>
      </c>
      <c r="G160">
        <f>IF($A160="","",_xlfn.SUMIFS(Socle!$H$1:$H$448,Socle!$C$1:$C$448,$A160,Socle!$D$1:$D$448,$C160,Socle!$E$1:$E$448,$D160,Socle!$F$1:$F$448,$E160,Socle!$G$1:$G$448,"2026"))</f>
        <v>1600</v>
      </c>
      <c r="H160">
        <f>IF($A160="","",_xlfn.SUMIFS(Socle!$N$1:$N$448,Socle!$C$1:$C$448,$A160,Socle!$D$1:$D$448,$C160,Socle!$E$1:$E$448,$D160,Socle!$F$1:$F$448,$E160,Socle!$G$1:$G$448,"2026"))</f>
        <v>0</v>
      </c>
      <c r="I160">
        <f>IF($A160="","",_xlfn.SUMIFS(Socle!$P$1:$P$448,Socle!$C$1:$C$448,$A160,Socle!$D$1:$D$448,$C160,Socle!$E$1:$E$448,$D160,Socle!$F$1:$F$448,$E160,Socle!$G$1:$G$448,"2026"))</f>
        <v>15680</v>
      </c>
      <c r="J160">
        <f>IF($A160="","",_xlfn.SUMIFS(Socle!$W$1:$W$448,Socle!$C$1:$C$448,$A160,Socle!$D$1:$D$448,$C160,Socle!$E$1:$E$448,$D160,Socle!$F$1:$F$448,$E160,Socle!$G$1:$G$448,"2026"))</f>
        <v>0.4</v>
      </c>
      <c r="K160">
        <f>IF($A160="","",_xlfn.SUMIFS(Socle!$X$1:$X$448,Socle!$C$1:$C$448,$A160,Socle!$D$1:$D$448,$C160,Socle!$E$1:$E$448,$D160,Socle!$F$1:$F$448,$E160,Socle!$G$1:$G$448,"2026"))</f>
        <v>1.4</v>
      </c>
      <c r="L160">
        <f>IF($A160="","",_xlfn.SUMIFS(Socle!$Y$1:$Y$448,Socle!$C$1:$C$448,$A160,Socle!$D$1:$D$448,$C160,Socle!$E$1:$E$448,$D160,Socle!$F$1:$F$448,$E160,Socle!$G$1:$G$448,"2026"))</f>
        <v>0.839285714</v>
      </c>
      <c r="M160">
        <f>IF($A160="","",_xlfn.SUMIFS(Socle!$V$1:$V$448,Socle!$C$1:$C$448,$A160,Socle!$D$1:$D$448,$C160,Socle!$E$1:$E$448,$D160,Socle!$F$1:$F$448,$E160,Socle!$G$1:$G$448,"2026"))</f>
        <v>0</v>
      </c>
      <c r="N160">
        <f t="shared" si="0"/>
        <v>1</v>
      </c>
      <c r="O160">
        <f>IF($A160="","",_xlfn.SUMIFS(Campagne!$D$1:$D$128,Campagne!$C$1:$C$128,$A160))</f>
        <v>240</v>
      </c>
      <c r="P160">
        <f>IF($A160="","",_xlfn.SUMIFS(Campagne!$E$1:$E$128,Campagne!$C$1:$C$128,$A160))</f>
        <v>560</v>
      </c>
      <c r="Q160">
        <f>IF($A160="","",_xlfn.SUMIFS(Campagne!$F$1:$F$128,Campagne!$C$1:$C$128,$A160))</f>
        <v>800</v>
      </c>
      <c r="R160">
        <f>IF($A160="","",_xlfn.SUMIFS(Campagne!$K$1:$K$128,Campagne!$C$1:$C$128,$A160))</f>
        <v>0.41914906</v>
      </c>
      <c r="S160">
        <f>IF($A160="","",_xlfn.SUMIFS(Campagne!$M$1:$M$128,Campagne!$C$1:$C$128,$A160))</f>
        <v>0.279886014</v>
      </c>
      <c r="T160">
        <f>IF($A160="","",_xlfn.SUMIFS(PIL!$K$15:$K$28,PIL!$A$15:$A$28,$A160)*_xlfn.SUMIFS(PIL!$J$15:$J$28,PIL!$A$15:$A$28,$A160)*(SUM(PIL!$K$15:$K$28)/SUMPRODUCT(PIL!$K$15:$K$28,PIL!$J$15:$J$28)))</f>
        <v>30240</v>
      </c>
      <c r="U160">
        <f>IF($A160="","",_xlfn.SUMIFS(PIL!$K$15:$K$28,PIL!$A$15:$A$28,$A160))</f>
        <v>30240</v>
      </c>
      <c r="V160" t="s">
        <v>274</v>
      </c>
      <c r="W160" t="s">
        <v>274</v>
      </c>
      <c r="X160" t="s">
        <v>274</v>
      </c>
      <c r="Y160" t="s">
        <v>274</v>
      </c>
      <c r="Z160" t="s">
        <v>274</v>
      </c>
      <c r="AA160" t="s">
        <v>274</v>
      </c>
      <c r="AB160" t="s">
        <v>274</v>
      </c>
      <c r="AC160" t="s">
        <v>274</v>
      </c>
      <c r="AD160" t="e">
        <f t="shared" si="1"/>
        <v>#VALUE!</v>
      </c>
      <c r="AE160" t="e">
        <f t="shared" si="2"/>
        <v>#VALUE!</v>
      </c>
      <c r="AF160" t="e">
        <f t="shared" si="3"/>
        <v>#VALUE!</v>
      </c>
      <c r="AG160" t="e">
        <f t="shared" si="4"/>
        <v>#VALUE!</v>
      </c>
      <c r="AH160" t="e">
        <f t="shared" si="5"/>
        <v>#VALUE!</v>
      </c>
    </row>
    <row r="161" ht="14.25" customHeight="1">
      <c r="A161" t="str">
        <f>IF(Moteur!D161="","",Moteur!D161)</f>
        <v>TUNON_PAR</v>
      </c>
      <c r="B161" t="str">
        <f>IF(Moteur!B161="","",Moteur!B161)</f>
        <v>V01</v>
      </c>
      <c r="C161" t="str">
        <f>IF(Moteur!F161="","",Moteur!F161)</f>
        <v>BAC_TOU</v>
      </c>
      <c r="D161" t="str">
        <f>IF(Moteur!G161="","",Moteur!G161)</f>
        <v>B2</v>
      </c>
      <c r="E161" t="str">
        <f>IF(Moteur!H161="","",Moteur!H161)</f>
        <v>ALT</v>
      </c>
      <c r="F161" t="str">
        <f>IF(Moteur!E161="","",Moteur!E161)</f>
        <v>TUNON</v>
      </c>
      <c r="G161">
        <f>IF($A161="","",_xlfn.SUMIFS(Socle!$H$1:$H$448,Socle!$C$1:$C$448,$A161,Socle!$D$1:$D$448,$C161,Socle!$E$1:$E$448,$D161,Socle!$F$1:$F$448,$E161,Socle!$G$1:$G$448,"2026"))</f>
        <v>0</v>
      </c>
      <c r="H161">
        <f>IF($A161="","",_xlfn.SUMIFS(Socle!$N$1:$N$448,Socle!$C$1:$C$448,$A161,Socle!$D$1:$D$448,$C161,Socle!$E$1:$E$448,$D161,Socle!$F$1:$F$448,$E161,Socle!$G$1:$G$448,"2026"))</f>
        <v>94</v>
      </c>
      <c r="I161">
        <f>IF($A161="","",_xlfn.SUMIFS(Socle!$P$1:$P$448,Socle!$C$1:$C$448,$A161,Socle!$D$1:$D$448,$C161,Socle!$E$1:$E$448,$D161,Socle!$F$1:$F$448,$E161,Socle!$G$1:$G$448,"2026"))</f>
        <v>15680</v>
      </c>
      <c r="J161">
        <f>IF($A161="","",_xlfn.SUMIFS(Socle!$W$1:$W$448,Socle!$C$1:$C$448,$A161,Socle!$D$1:$D$448,$C161,Socle!$E$1:$E$448,$D161,Socle!$F$1:$F$448,$E161,Socle!$G$1:$G$448,"2026"))</f>
        <v>0</v>
      </c>
      <c r="K161">
        <f>IF($A161="","",_xlfn.SUMIFS(Socle!$X$1:$X$448,Socle!$C$1:$C$448,$A161,Socle!$D$1:$D$448,$C161,Socle!$E$1:$E$448,$D161,Socle!$F$1:$F$448,$E161,Socle!$G$1:$G$448,"2026"))</f>
        <v>0</v>
      </c>
      <c r="L161">
        <f>IF($A161="","",_xlfn.SUMIFS(Socle!$Y$1:$Y$448,Socle!$C$1:$C$448,$A161,Socle!$D$1:$D$448,$C161,Socle!$E$1:$E$448,$D161,Socle!$F$1:$F$448,$E161,Socle!$G$1:$G$448,"2026"))</f>
        <v>0</v>
      </c>
      <c r="M161">
        <f>IF($A161="","",_xlfn.SUMIFS(Socle!$V$1:$V$448,Socle!$C$1:$C$448,$A161,Socle!$D$1:$D$448,$C161,Socle!$E$1:$E$448,$D161,Socle!$F$1:$F$448,$E161,Socle!$G$1:$G$448,"2026"))</f>
        <v>1.957446808</v>
      </c>
      <c r="N161">
        <f t="shared" si="0"/>
        <v>0</v>
      </c>
      <c r="O161">
        <f>IF($A161="","",_xlfn.SUMIFS(Campagne!$D$1:$D$128,Campagne!$C$1:$C$128,$A161))</f>
        <v>240</v>
      </c>
      <c r="P161">
        <f>IF($A161="","",_xlfn.SUMIFS(Campagne!$E$1:$E$128,Campagne!$C$1:$C$128,$A161))</f>
        <v>560</v>
      </c>
      <c r="Q161">
        <f>IF($A161="","",_xlfn.SUMIFS(Campagne!$F$1:$F$128,Campagne!$C$1:$C$128,$A161))</f>
        <v>800</v>
      </c>
      <c r="R161">
        <f>IF($A161="","",_xlfn.SUMIFS(Campagne!$K$1:$K$128,Campagne!$C$1:$C$128,$A161))</f>
        <v>0.41914906</v>
      </c>
      <c r="S161">
        <f>IF($A161="","",_xlfn.SUMIFS(Campagne!$M$1:$M$128,Campagne!$C$1:$C$128,$A161))</f>
        <v>0.279886014</v>
      </c>
      <c r="T161">
        <f>IF($A161="","",_xlfn.SUMIFS(PIL!$K$15:$K$28,PIL!$A$15:$A$28,$A161)*_xlfn.SUMIFS(PIL!$J$15:$J$28,PIL!$A$15:$A$28,$A161)*(SUM(PIL!$K$15:$K$28)/SUMPRODUCT(PIL!$K$15:$K$28,PIL!$J$15:$J$28)))</f>
        <v>30240</v>
      </c>
      <c r="U161">
        <f>IF($A161="","",_xlfn.SUMIFS(PIL!$K$15:$K$28,PIL!$A$15:$A$28,$A161))</f>
        <v>30240</v>
      </c>
      <c r="V161" t="s">
        <v>274</v>
      </c>
      <c r="W161" t="s">
        <v>274</v>
      </c>
      <c r="X161" t="s">
        <v>274</v>
      </c>
      <c r="Y161" t="s">
        <v>274</v>
      </c>
      <c r="Z161" t="s">
        <v>274</v>
      </c>
      <c r="AA161" t="s">
        <v>274</v>
      </c>
      <c r="AB161" t="s">
        <v>274</v>
      </c>
      <c r="AC161" t="s">
        <v>274</v>
      </c>
      <c r="AD161" t="e">
        <f t="shared" si="1"/>
        <v>#VALUE!</v>
      </c>
      <c r="AE161">
        <f t="shared" si="2"/>
        <v>0</v>
      </c>
      <c r="AF161" t="e">
        <f t="shared" si="3"/>
        <v>#VALUE!</v>
      </c>
      <c r="AG161" t="e">
        <f t="shared" si="4"/>
        <v>#VALUE!</v>
      </c>
      <c r="AH161" t="e">
        <f t="shared" si="5"/>
        <v>#VALUE!</v>
      </c>
    </row>
    <row r="162" ht="14.25" customHeight="1">
      <c r="A162" t="str">
        <f>IF(Moteur!D162="","",Moteur!D162)</f>
        <v>TUNON_PAR</v>
      </c>
      <c r="B162" t="str">
        <f>IF(Moteur!B162="","",Moteur!B162)</f>
        <v>V02</v>
      </c>
      <c r="C162" t="str">
        <f>IF(Moteur!F162="","",Moteur!F162)</f>
        <v>BAC_TOU</v>
      </c>
      <c r="D162" t="str">
        <f>IF(Moteur!G162="","",Moteur!G162)</f>
        <v>B2</v>
      </c>
      <c r="E162" t="str">
        <f>IF(Moteur!H162="","",Moteur!H162)</f>
        <v>ALT</v>
      </c>
      <c r="F162" t="str">
        <f>IF(Moteur!E162="","",Moteur!E162)</f>
        <v>TUNON</v>
      </c>
      <c r="G162">
        <f>IF($A162="","",_xlfn.SUMIFS(Socle!$H$1:$H$448,Socle!$C$1:$C$448,$A162,Socle!$D$1:$D$448,$C162,Socle!$E$1:$E$448,$D162,Socle!$F$1:$F$448,$E162,Socle!$G$1:$G$448,"2026"))</f>
        <v>0</v>
      </c>
      <c r="H162">
        <f>IF($A162="","",_xlfn.SUMIFS(Socle!$N$1:$N$448,Socle!$C$1:$C$448,$A162,Socle!$D$1:$D$448,$C162,Socle!$E$1:$E$448,$D162,Socle!$F$1:$F$448,$E162,Socle!$G$1:$G$448,"2026"))</f>
        <v>94</v>
      </c>
      <c r="I162">
        <f>IF($A162="","",_xlfn.SUMIFS(Socle!$P$1:$P$448,Socle!$C$1:$C$448,$A162,Socle!$D$1:$D$448,$C162,Socle!$E$1:$E$448,$D162,Socle!$F$1:$F$448,$E162,Socle!$G$1:$G$448,"2026"))</f>
        <v>15680</v>
      </c>
      <c r="J162">
        <f>IF($A162="","",_xlfn.SUMIFS(Socle!$W$1:$W$448,Socle!$C$1:$C$448,$A162,Socle!$D$1:$D$448,$C162,Socle!$E$1:$E$448,$D162,Socle!$F$1:$F$448,$E162,Socle!$G$1:$G$448,"2026"))</f>
        <v>0</v>
      </c>
      <c r="K162">
        <f>IF($A162="","",_xlfn.SUMIFS(Socle!$X$1:$X$448,Socle!$C$1:$C$448,$A162,Socle!$D$1:$D$448,$C162,Socle!$E$1:$E$448,$D162,Socle!$F$1:$F$448,$E162,Socle!$G$1:$G$448,"2026"))</f>
        <v>0</v>
      </c>
      <c r="L162">
        <f>IF($A162="","",_xlfn.SUMIFS(Socle!$Y$1:$Y$448,Socle!$C$1:$C$448,$A162,Socle!$D$1:$D$448,$C162,Socle!$E$1:$E$448,$D162,Socle!$F$1:$F$448,$E162,Socle!$G$1:$G$448,"2026"))</f>
        <v>0</v>
      </c>
      <c r="M162">
        <f>IF($A162="","",_xlfn.SUMIFS(Socle!$V$1:$V$448,Socle!$C$1:$C$448,$A162,Socle!$D$1:$D$448,$C162,Socle!$E$1:$E$448,$D162,Socle!$F$1:$F$448,$E162,Socle!$G$1:$G$448,"2026"))</f>
        <v>1.957446808</v>
      </c>
      <c r="N162">
        <f t="shared" si="0"/>
        <v>0</v>
      </c>
      <c r="O162">
        <f>IF($A162="","",_xlfn.SUMIFS(Campagne!$D$1:$D$128,Campagne!$C$1:$C$128,$A162))</f>
        <v>240</v>
      </c>
      <c r="P162">
        <f>IF($A162="","",_xlfn.SUMIFS(Campagne!$E$1:$E$128,Campagne!$C$1:$C$128,$A162))</f>
        <v>560</v>
      </c>
      <c r="Q162">
        <f>IF($A162="","",_xlfn.SUMIFS(Campagne!$F$1:$F$128,Campagne!$C$1:$C$128,$A162))</f>
        <v>800</v>
      </c>
      <c r="R162">
        <f>IF($A162="","",_xlfn.SUMIFS(Campagne!$K$1:$K$128,Campagne!$C$1:$C$128,$A162))</f>
        <v>0.41914906</v>
      </c>
      <c r="S162">
        <f>IF($A162="","",_xlfn.SUMIFS(Campagne!$M$1:$M$128,Campagne!$C$1:$C$128,$A162))</f>
        <v>0.279886014</v>
      </c>
      <c r="T162">
        <f>IF($A162="","",_xlfn.SUMIFS(PIL!$K$15:$K$28,PIL!$A$15:$A$28,$A162)*_xlfn.SUMIFS(PIL!$J$15:$J$28,PIL!$A$15:$A$28,$A162)*(SUM(PIL!$K$15:$K$28)/SUMPRODUCT(PIL!$K$15:$K$28,PIL!$J$15:$J$28)))</f>
        <v>30240</v>
      </c>
      <c r="U162">
        <f>IF($A162="","",_xlfn.SUMIFS(PIL!$K$15:$K$28,PIL!$A$15:$A$28,$A162))</f>
        <v>30240</v>
      </c>
      <c r="V162" t="s">
        <v>274</v>
      </c>
      <c r="W162" t="s">
        <v>274</v>
      </c>
      <c r="X162" t="s">
        <v>274</v>
      </c>
      <c r="Y162" t="s">
        <v>274</v>
      </c>
      <c r="Z162" t="s">
        <v>274</v>
      </c>
      <c r="AA162" t="s">
        <v>274</v>
      </c>
      <c r="AB162" t="s">
        <v>274</v>
      </c>
      <c r="AC162" t="s">
        <v>274</v>
      </c>
      <c r="AD162" t="e">
        <f t="shared" si="1"/>
        <v>#VALUE!</v>
      </c>
      <c r="AE162">
        <f t="shared" si="2"/>
        <v>0</v>
      </c>
      <c r="AF162" t="e">
        <f t="shared" si="3"/>
        <v>#VALUE!</v>
      </c>
      <c r="AG162" t="e">
        <f t="shared" si="4"/>
        <v>#VALUE!</v>
      </c>
      <c r="AH162" t="e">
        <f t="shared" si="5"/>
        <v>#VALUE!</v>
      </c>
    </row>
    <row r="163" ht="14.25" customHeight="1">
      <c r="A163" t="str">
        <f>IF(Moteur!D163="","",Moteur!D163)</f>
        <v>TUNON_PAR</v>
      </c>
      <c r="B163" t="str">
        <f>IF(Moteur!B163="","",Moteur!B163)</f>
        <v>V03</v>
      </c>
      <c r="C163" t="str">
        <f>IF(Moteur!F163="","",Moteur!F163)</f>
        <v>BAC_TOU</v>
      </c>
      <c r="D163" t="str">
        <f>IF(Moteur!G163="","",Moteur!G163)</f>
        <v>B2</v>
      </c>
      <c r="E163" t="str">
        <f>IF(Moteur!H163="","",Moteur!H163)</f>
        <v>ALT</v>
      </c>
      <c r="F163" t="str">
        <f>IF(Moteur!E163="","",Moteur!E163)</f>
        <v>TUNON</v>
      </c>
      <c r="G163">
        <f>IF($A163="","",_xlfn.SUMIFS(Socle!$H$1:$H$448,Socle!$C$1:$C$448,$A163,Socle!$D$1:$D$448,$C163,Socle!$E$1:$E$448,$D163,Socle!$F$1:$F$448,$E163,Socle!$G$1:$G$448,"2026"))</f>
        <v>0</v>
      </c>
      <c r="H163">
        <f>IF($A163="","",_xlfn.SUMIFS(Socle!$N$1:$N$448,Socle!$C$1:$C$448,$A163,Socle!$D$1:$D$448,$C163,Socle!$E$1:$E$448,$D163,Socle!$F$1:$F$448,$E163,Socle!$G$1:$G$448,"2026"))</f>
        <v>94</v>
      </c>
      <c r="I163">
        <f>IF($A163="","",_xlfn.SUMIFS(Socle!$P$1:$P$448,Socle!$C$1:$C$448,$A163,Socle!$D$1:$D$448,$C163,Socle!$E$1:$E$448,$D163,Socle!$F$1:$F$448,$E163,Socle!$G$1:$G$448,"2026"))</f>
        <v>15680</v>
      </c>
      <c r="J163">
        <f>IF($A163="","",_xlfn.SUMIFS(Socle!$W$1:$W$448,Socle!$C$1:$C$448,$A163,Socle!$D$1:$D$448,$C163,Socle!$E$1:$E$448,$D163,Socle!$F$1:$F$448,$E163,Socle!$G$1:$G$448,"2026"))</f>
        <v>0</v>
      </c>
      <c r="K163">
        <f>IF($A163="","",_xlfn.SUMIFS(Socle!$X$1:$X$448,Socle!$C$1:$C$448,$A163,Socle!$D$1:$D$448,$C163,Socle!$E$1:$E$448,$D163,Socle!$F$1:$F$448,$E163,Socle!$G$1:$G$448,"2026"))</f>
        <v>0</v>
      </c>
      <c r="L163">
        <f>IF($A163="","",_xlfn.SUMIFS(Socle!$Y$1:$Y$448,Socle!$C$1:$C$448,$A163,Socle!$D$1:$D$448,$C163,Socle!$E$1:$E$448,$D163,Socle!$F$1:$F$448,$E163,Socle!$G$1:$G$448,"2026"))</f>
        <v>0</v>
      </c>
      <c r="M163">
        <f>IF($A163="","",_xlfn.SUMIFS(Socle!$V$1:$V$448,Socle!$C$1:$C$448,$A163,Socle!$D$1:$D$448,$C163,Socle!$E$1:$E$448,$D163,Socle!$F$1:$F$448,$E163,Socle!$G$1:$G$448,"2026"))</f>
        <v>1.957446808</v>
      </c>
      <c r="N163">
        <f t="shared" si="0"/>
        <v>0</v>
      </c>
      <c r="O163">
        <f>IF($A163="","",_xlfn.SUMIFS(Campagne!$D$1:$D$128,Campagne!$C$1:$C$128,$A163))</f>
        <v>240</v>
      </c>
      <c r="P163">
        <f>IF($A163="","",_xlfn.SUMIFS(Campagne!$E$1:$E$128,Campagne!$C$1:$C$128,$A163))</f>
        <v>560</v>
      </c>
      <c r="Q163">
        <f>IF($A163="","",_xlfn.SUMIFS(Campagne!$F$1:$F$128,Campagne!$C$1:$C$128,$A163))</f>
        <v>800</v>
      </c>
      <c r="R163">
        <f>IF($A163="","",_xlfn.SUMIFS(Campagne!$K$1:$K$128,Campagne!$C$1:$C$128,$A163))</f>
        <v>0.41914906</v>
      </c>
      <c r="S163">
        <f>IF($A163="","",_xlfn.SUMIFS(Campagne!$M$1:$M$128,Campagne!$C$1:$C$128,$A163))</f>
        <v>0.279886014</v>
      </c>
      <c r="T163">
        <f>IF($A163="","",_xlfn.SUMIFS(PIL!$K$15:$K$28,PIL!$A$15:$A$28,$A163)*_xlfn.SUMIFS(PIL!$J$15:$J$28,PIL!$A$15:$A$28,$A163)*(SUM(PIL!$K$15:$K$28)/SUMPRODUCT(PIL!$K$15:$K$28,PIL!$J$15:$J$28)))</f>
        <v>30240</v>
      </c>
      <c r="U163">
        <f>IF($A163="","",_xlfn.SUMIFS(PIL!$K$15:$K$28,PIL!$A$15:$A$28,$A163))</f>
        <v>30240</v>
      </c>
      <c r="V163" t="s">
        <v>274</v>
      </c>
      <c r="W163" t="s">
        <v>274</v>
      </c>
      <c r="X163" t="s">
        <v>274</v>
      </c>
      <c r="Y163" t="s">
        <v>274</v>
      </c>
      <c r="Z163" t="s">
        <v>274</v>
      </c>
      <c r="AA163" t="s">
        <v>274</v>
      </c>
      <c r="AB163" t="s">
        <v>274</v>
      </c>
      <c r="AC163" t="s">
        <v>274</v>
      </c>
      <c r="AD163" t="e">
        <f t="shared" si="1"/>
        <v>#VALUE!</v>
      </c>
      <c r="AE163">
        <f t="shared" si="2"/>
        <v>0</v>
      </c>
      <c r="AF163" t="e">
        <f t="shared" si="3"/>
        <v>#VALUE!</v>
      </c>
      <c r="AG163" t="e">
        <f t="shared" si="4"/>
        <v>#VALUE!</v>
      </c>
      <c r="AH163" t="e">
        <f t="shared" si="5"/>
        <v>#VALUE!</v>
      </c>
    </row>
    <row r="164" ht="14.25" customHeight="1">
      <c r="A164" t="str">
        <f>IF(Moteur!D164="","",Moteur!D164)</f>
        <v>TUNON_PAR</v>
      </c>
      <c r="B164" t="str">
        <f>IF(Moteur!B164="","",Moteur!B164)</f>
        <v>V01</v>
      </c>
      <c r="C164" t="str">
        <f>IF(Moteur!F164="","",Moteur!F164)</f>
        <v>BAC_TOU</v>
      </c>
      <c r="D164" t="str">
        <f>IF(Moteur!G164="","",Moteur!G164)</f>
        <v>B3</v>
      </c>
      <c r="E164" t="str">
        <f>IF(Moteur!H164="","",Moteur!H164)</f>
        <v>ALT</v>
      </c>
      <c r="F164" t="str">
        <f>IF(Moteur!E164="","",Moteur!E164)</f>
        <v>TUNON</v>
      </c>
      <c r="G164">
        <f>IF($A164="","",_xlfn.SUMIFS(Socle!$H$1:$H$448,Socle!$C$1:$C$448,$A164,Socle!$D$1:$D$448,$C164,Socle!$E$1:$E$448,$D164,Socle!$F$1:$F$448,$E164,Socle!$G$1:$G$448,"2026"))</f>
        <v>0</v>
      </c>
      <c r="H164">
        <f>IF($A164="","",_xlfn.SUMIFS(Socle!$N$1:$N$448,Socle!$C$1:$C$448,$A164,Socle!$D$1:$D$448,$C164,Socle!$E$1:$E$448,$D164,Socle!$F$1:$F$448,$E164,Socle!$G$1:$G$448,"2026"))</f>
        <v>92</v>
      </c>
      <c r="I164">
        <f>IF($A164="","",_xlfn.SUMIFS(Socle!$P$1:$P$448,Socle!$C$1:$C$448,$A164,Socle!$D$1:$D$448,$C164,Socle!$E$1:$E$448,$D164,Socle!$F$1:$F$448,$E164,Socle!$G$1:$G$448,"2026"))</f>
        <v>15680</v>
      </c>
      <c r="J164">
        <f>IF($A164="","",_xlfn.SUMIFS(Socle!$W$1:$W$448,Socle!$C$1:$C$448,$A164,Socle!$D$1:$D$448,$C164,Socle!$E$1:$E$448,$D164,Socle!$F$1:$F$448,$E164,Socle!$G$1:$G$448,"2026"))</f>
        <v>0</v>
      </c>
      <c r="K164">
        <f>IF($A164="","",_xlfn.SUMIFS(Socle!$X$1:$X$448,Socle!$C$1:$C$448,$A164,Socle!$D$1:$D$448,$C164,Socle!$E$1:$E$448,$D164,Socle!$F$1:$F$448,$E164,Socle!$G$1:$G$448,"2026"))</f>
        <v>0</v>
      </c>
      <c r="L164">
        <f>IF($A164="","",_xlfn.SUMIFS(Socle!$Y$1:$Y$448,Socle!$C$1:$C$448,$A164,Socle!$D$1:$D$448,$C164,Socle!$E$1:$E$448,$D164,Socle!$F$1:$F$448,$E164,Socle!$G$1:$G$448,"2026"))</f>
        <v>0</v>
      </c>
      <c r="M164">
        <f>IF($A164="","",_xlfn.SUMIFS(Socle!$V$1:$V$448,Socle!$C$1:$C$448,$A164,Socle!$D$1:$D$448,$C164,Socle!$E$1:$E$448,$D164,Socle!$F$1:$F$448,$E164,Socle!$G$1:$G$448,"2026"))</f>
        <v>1.95652174</v>
      </c>
      <c r="N164">
        <f t="shared" si="0"/>
        <v>0</v>
      </c>
      <c r="O164">
        <f>IF($A164="","",_xlfn.SUMIFS(Campagne!$D$1:$D$128,Campagne!$C$1:$C$128,$A164))</f>
        <v>240</v>
      </c>
      <c r="P164">
        <f>IF($A164="","",_xlfn.SUMIFS(Campagne!$E$1:$E$128,Campagne!$C$1:$C$128,$A164))</f>
        <v>560</v>
      </c>
      <c r="Q164">
        <f>IF($A164="","",_xlfn.SUMIFS(Campagne!$F$1:$F$128,Campagne!$C$1:$C$128,$A164))</f>
        <v>800</v>
      </c>
      <c r="R164">
        <f>IF($A164="","",_xlfn.SUMIFS(Campagne!$K$1:$K$128,Campagne!$C$1:$C$128,$A164))</f>
        <v>0.41914906</v>
      </c>
      <c r="S164">
        <f>IF($A164="","",_xlfn.SUMIFS(Campagne!$M$1:$M$128,Campagne!$C$1:$C$128,$A164))</f>
        <v>0.279886014</v>
      </c>
      <c r="T164">
        <f>IF($A164="","",_xlfn.SUMIFS(PIL!$K$15:$K$28,PIL!$A$15:$A$28,$A164)*_xlfn.SUMIFS(PIL!$J$15:$J$28,PIL!$A$15:$A$28,$A164)*(SUM(PIL!$K$15:$K$28)/SUMPRODUCT(PIL!$K$15:$K$28,PIL!$J$15:$J$28)))</f>
        <v>30240</v>
      </c>
      <c r="U164">
        <f>IF($A164="","",_xlfn.SUMIFS(PIL!$K$15:$K$28,PIL!$A$15:$A$28,$A164))</f>
        <v>30240</v>
      </c>
      <c r="V164" t="s">
        <v>274</v>
      </c>
      <c r="W164" t="s">
        <v>274</v>
      </c>
      <c r="X164" t="s">
        <v>274</v>
      </c>
      <c r="Y164" t="s">
        <v>274</v>
      </c>
      <c r="Z164" t="s">
        <v>274</v>
      </c>
      <c r="AA164" t="s">
        <v>274</v>
      </c>
      <c r="AB164" t="s">
        <v>274</v>
      </c>
      <c r="AC164" t="s">
        <v>274</v>
      </c>
      <c r="AD164" t="e">
        <f t="shared" si="1"/>
        <v>#VALUE!</v>
      </c>
      <c r="AE164">
        <f t="shared" si="2"/>
        <v>0</v>
      </c>
      <c r="AF164" t="e">
        <f t="shared" si="3"/>
        <v>#VALUE!</v>
      </c>
      <c r="AG164" t="e">
        <f t="shared" si="4"/>
        <v>#VALUE!</v>
      </c>
      <c r="AH164" t="e">
        <f t="shared" si="5"/>
        <v>#VALUE!</v>
      </c>
    </row>
    <row r="165" ht="14.25" customHeight="1">
      <c r="A165" t="str">
        <f>IF(Moteur!D165="","",Moteur!D165)</f>
        <v>TUNON_PAR</v>
      </c>
      <c r="B165" t="str">
        <f>IF(Moteur!B165="","",Moteur!B165)</f>
        <v>V02</v>
      </c>
      <c r="C165" t="str">
        <f>IF(Moteur!F165="","",Moteur!F165)</f>
        <v>BAC_TOU</v>
      </c>
      <c r="D165" t="str">
        <f>IF(Moteur!G165="","",Moteur!G165)</f>
        <v>B3</v>
      </c>
      <c r="E165" t="str">
        <f>IF(Moteur!H165="","",Moteur!H165)</f>
        <v>ALT</v>
      </c>
      <c r="F165" t="str">
        <f>IF(Moteur!E165="","",Moteur!E165)</f>
        <v>TUNON</v>
      </c>
      <c r="G165">
        <f>IF($A165="","",_xlfn.SUMIFS(Socle!$H$1:$H$448,Socle!$C$1:$C$448,$A165,Socle!$D$1:$D$448,$C165,Socle!$E$1:$E$448,$D165,Socle!$F$1:$F$448,$E165,Socle!$G$1:$G$448,"2026"))</f>
        <v>0</v>
      </c>
      <c r="H165">
        <f>IF($A165="","",_xlfn.SUMIFS(Socle!$N$1:$N$448,Socle!$C$1:$C$448,$A165,Socle!$D$1:$D$448,$C165,Socle!$E$1:$E$448,$D165,Socle!$F$1:$F$448,$E165,Socle!$G$1:$G$448,"2026"))</f>
        <v>92</v>
      </c>
      <c r="I165">
        <f>IF($A165="","",_xlfn.SUMIFS(Socle!$P$1:$P$448,Socle!$C$1:$C$448,$A165,Socle!$D$1:$D$448,$C165,Socle!$E$1:$E$448,$D165,Socle!$F$1:$F$448,$E165,Socle!$G$1:$G$448,"2026"))</f>
        <v>15680</v>
      </c>
      <c r="J165">
        <f>IF($A165="","",_xlfn.SUMIFS(Socle!$W$1:$W$448,Socle!$C$1:$C$448,$A165,Socle!$D$1:$D$448,$C165,Socle!$E$1:$E$448,$D165,Socle!$F$1:$F$448,$E165,Socle!$G$1:$G$448,"2026"))</f>
        <v>0</v>
      </c>
      <c r="K165">
        <f>IF($A165="","",_xlfn.SUMIFS(Socle!$X$1:$X$448,Socle!$C$1:$C$448,$A165,Socle!$D$1:$D$448,$C165,Socle!$E$1:$E$448,$D165,Socle!$F$1:$F$448,$E165,Socle!$G$1:$G$448,"2026"))</f>
        <v>0</v>
      </c>
      <c r="L165">
        <f>IF($A165="","",_xlfn.SUMIFS(Socle!$Y$1:$Y$448,Socle!$C$1:$C$448,$A165,Socle!$D$1:$D$448,$C165,Socle!$E$1:$E$448,$D165,Socle!$F$1:$F$448,$E165,Socle!$G$1:$G$448,"2026"))</f>
        <v>0</v>
      </c>
      <c r="M165">
        <f>IF($A165="","",_xlfn.SUMIFS(Socle!$V$1:$V$448,Socle!$C$1:$C$448,$A165,Socle!$D$1:$D$448,$C165,Socle!$E$1:$E$448,$D165,Socle!$F$1:$F$448,$E165,Socle!$G$1:$G$448,"2026"))</f>
        <v>1.95652174</v>
      </c>
      <c r="N165">
        <f t="shared" si="0"/>
        <v>0</v>
      </c>
      <c r="O165">
        <f>IF($A165="","",_xlfn.SUMIFS(Campagne!$D$1:$D$128,Campagne!$C$1:$C$128,$A165))</f>
        <v>240</v>
      </c>
      <c r="P165">
        <f>IF($A165="","",_xlfn.SUMIFS(Campagne!$E$1:$E$128,Campagne!$C$1:$C$128,$A165))</f>
        <v>560</v>
      </c>
      <c r="Q165">
        <f>IF($A165="","",_xlfn.SUMIFS(Campagne!$F$1:$F$128,Campagne!$C$1:$C$128,$A165))</f>
        <v>800</v>
      </c>
      <c r="R165">
        <f>IF($A165="","",_xlfn.SUMIFS(Campagne!$K$1:$K$128,Campagne!$C$1:$C$128,$A165))</f>
        <v>0.41914906</v>
      </c>
      <c r="S165">
        <f>IF($A165="","",_xlfn.SUMIFS(Campagne!$M$1:$M$128,Campagne!$C$1:$C$128,$A165))</f>
        <v>0.279886014</v>
      </c>
      <c r="T165">
        <f>IF($A165="","",_xlfn.SUMIFS(PIL!$K$15:$K$28,PIL!$A$15:$A$28,$A165)*_xlfn.SUMIFS(PIL!$J$15:$J$28,PIL!$A$15:$A$28,$A165)*(SUM(PIL!$K$15:$K$28)/SUMPRODUCT(PIL!$K$15:$K$28,PIL!$J$15:$J$28)))</f>
        <v>30240</v>
      </c>
      <c r="U165">
        <f>IF($A165="","",_xlfn.SUMIFS(PIL!$K$15:$K$28,PIL!$A$15:$A$28,$A165))</f>
        <v>30240</v>
      </c>
      <c r="V165" t="s">
        <v>274</v>
      </c>
      <c r="W165" t="s">
        <v>274</v>
      </c>
      <c r="X165" t="s">
        <v>274</v>
      </c>
      <c r="Y165" t="s">
        <v>274</v>
      </c>
      <c r="Z165" t="s">
        <v>274</v>
      </c>
      <c r="AA165" t="s">
        <v>274</v>
      </c>
      <c r="AB165" t="s">
        <v>274</v>
      </c>
      <c r="AC165" t="s">
        <v>274</v>
      </c>
      <c r="AD165" t="e">
        <f t="shared" si="1"/>
        <v>#VALUE!</v>
      </c>
      <c r="AE165">
        <f t="shared" si="2"/>
        <v>0</v>
      </c>
      <c r="AF165" t="e">
        <f t="shared" si="3"/>
        <v>#VALUE!</v>
      </c>
      <c r="AG165" t="e">
        <f t="shared" si="4"/>
        <v>#VALUE!</v>
      </c>
      <c r="AH165" t="e">
        <f t="shared" si="5"/>
        <v>#VALUE!</v>
      </c>
    </row>
    <row r="166" ht="14.25" customHeight="1">
      <c r="A166" t="str">
        <f>IF(Moteur!D166="","",Moteur!D166)</f>
        <v>TUNON_PAR</v>
      </c>
      <c r="B166" t="str">
        <f>IF(Moteur!B166="","",Moteur!B166)</f>
        <v>V03</v>
      </c>
      <c r="C166" t="str">
        <f>IF(Moteur!F166="","",Moteur!F166)</f>
        <v>BAC_TOU</v>
      </c>
      <c r="D166" t="str">
        <f>IF(Moteur!G166="","",Moteur!G166)</f>
        <v>B3</v>
      </c>
      <c r="E166" t="str">
        <f>IF(Moteur!H166="","",Moteur!H166)</f>
        <v>ALT</v>
      </c>
      <c r="F166" t="str">
        <f>IF(Moteur!E166="","",Moteur!E166)</f>
        <v>TUNON</v>
      </c>
      <c r="G166">
        <f>IF($A166="","",_xlfn.SUMIFS(Socle!$H$1:$H$448,Socle!$C$1:$C$448,$A166,Socle!$D$1:$D$448,$C166,Socle!$E$1:$E$448,$D166,Socle!$F$1:$F$448,$E166,Socle!$G$1:$G$448,"2026"))</f>
        <v>0</v>
      </c>
      <c r="H166">
        <f>IF($A166="","",_xlfn.SUMIFS(Socle!$N$1:$N$448,Socle!$C$1:$C$448,$A166,Socle!$D$1:$D$448,$C166,Socle!$E$1:$E$448,$D166,Socle!$F$1:$F$448,$E166,Socle!$G$1:$G$448,"2026"))</f>
        <v>92</v>
      </c>
      <c r="I166">
        <f>IF($A166="","",_xlfn.SUMIFS(Socle!$P$1:$P$448,Socle!$C$1:$C$448,$A166,Socle!$D$1:$D$448,$C166,Socle!$E$1:$E$448,$D166,Socle!$F$1:$F$448,$E166,Socle!$G$1:$G$448,"2026"))</f>
        <v>15680</v>
      </c>
      <c r="J166">
        <f>IF($A166="","",_xlfn.SUMIFS(Socle!$W$1:$W$448,Socle!$C$1:$C$448,$A166,Socle!$D$1:$D$448,$C166,Socle!$E$1:$E$448,$D166,Socle!$F$1:$F$448,$E166,Socle!$G$1:$G$448,"2026"))</f>
        <v>0</v>
      </c>
      <c r="K166">
        <f>IF($A166="","",_xlfn.SUMIFS(Socle!$X$1:$X$448,Socle!$C$1:$C$448,$A166,Socle!$D$1:$D$448,$C166,Socle!$E$1:$E$448,$D166,Socle!$F$1:$F$448,$E166,Socle!$G$1:$G$448,"2026"))</f>
        <v>0</v>
      </c>
      <c r="L166">
        <f>IF($A166="","",_xlfn.SUMIFS(Socle!$Y$1:$Y$448,Socle!$C$1:$C$448,$A166,Socle!$D$1:$D$448,$C166,Socle!$E$1:$E$448,$D166,Socle!$F$1:$F$448,$E166,Socle!$G$1:$G$448,"2026"))</f>
        <v>0</v>
      </c>
      <c r="M166">
        <f>IF($A166="","",_xlfn.SUMIFS(Socle!$V$1:$V$448,Socle!$C$1:$C$448,$A166,Socle!$D$1:$D$448,$C166,Socle!$E$1:$E$448,$D166,Socle!$F$1:$F$448,$E166,Socle!$G$1:$G$448,"2026"))</f>
        <v>1.95652174</v>
      </c>
      <c r="N166">
        <f t="shared" si="0"/>
        <v>0</v>
      </c>
      <c r="O166">
        <f>IF($A166="","",_xlfn.SUMIFS(Campagne!$D$1:$D$128,Campagne!$C$1:$C$128,$A166))</f>
        <v>240</v>
      </c>
      <c r="P166">
        <f>IF($A166="","",_xlfn.SUMIFS(Campagne!$E$1:$E$128,Campagne!$C$1:$C$128,$A166))</f>
        <v>560</v>
      </c>
      <c r="Q166">
        <f>IF($A166="","",_xlfn.SUMIFS(Campagne!$F$1:$F$128,Campagne!$C$1:$C$128,$A166))</f>
        <v>800</v>
      </c>
      <c r="R166">
        <f>IF($A166="","",_xlfn.SUMIFS(Campagne!$K$1:$K$128,Campagne!$C$1:$C$128,$A166))</f>
        <v>0.41914906</v>
      </c>
      <c r="S166">
        <f>IF($A166="","",_xlfn.SUMIFS(Campagne!$M$1:$M$128,Campagne!$C$1:$C$128,$A166))</f>
        <v>0.279886014</v>
      </c>
      <c r="T166">
        <f>IF($A166="","",_xlfn.SUMIFS(PIL!$K$15:$K$28,PIL!$A$15:$A$28,$A166)*_xlfn.SUMIFS(PIL!$J$15:$J$28,PIL!$A$15:$A$28,$A166)*(SUM(PIL!$K$15:$K$28)/SUMPRODUCT(PIL!$K$15:$K$28,PIL!$J$15:$J$28)))</f>
        <v>30240</v>
      </c>
      <c r="U166">
        <f>IF($A166="","",_xlfn.SUMIFS(PIL!$K$15:$K$28,PIL!$A$15:$A$28,$A166))</f>
        <v>30240</v>
      </c>
      <c r="V166" t="s">
        <v>274</v>
      </c>
      <c r="W166" t="s">
        <v>274</v>
      </c>
      <c r="X166" t="s">
        <v>274</v>
      </c>
      <c r="Y166" t="s">
        <v>274</v>
      </c>
      <c r="Z166" t="s">
        <v>274</v>
      </c>
      <c r="AA166" t="s">
        <v>274</v>
      </c>
      <c r="AB166" t="s">
        <v>274</v>
      </c>
      <c r="AC166" t="s">
        <v>274</v>
      </c>
      <c r="AD166" t="e">
        <f t="shared" si="1"/>
        <v>#VALUE!</v>
      </c>
      <c r="AE166">
        <f t="shared" si="2"/>
        <v>0</v>
      </c>
      <c r="AF166" t="e">
        <f t="shared" si="3"/>
        <v>#VALUE!</v>
      </c>
      <c r="AG166" t="e">
        <f t="shared" si="4"/>
        <v>#VALUE!</v>
      </c>
      <c r="AH166" t="e">
        <f t="shared" si="5"/>
        <v>#VALUE!</v>
      </c>
    </row>
    <row r="167" ht="14.25" customHeight="1">
      <c r="A167" t="str">
        <f>IF(Moteur!D167="","",Moteur!D167)</f>
        <v>TUNON_LYO</v>
      </c>
      <c r="B167" t="str">
        <f>IF(Moteur!B167="","",Moteur!B167)</f>
        <v>V01</v>
      </c>
      <c r="C167" t="str">
        <f>IF(Moteur!F167="","",Moteur!F167)</f>
        <v>BAC_TOU</v>
      </c>
      <c r="D167" t="str">
        <f>IF(Moteur!G167="","",Moteur!G167)</f>
        <v>B1</v>
      </c>
      <c r="E167" t="str">
        <f>IF(Moteur!H167="","",Moteur!H167)</f>
        <v>ALT</v>
      </c>
      <c r="F167" t="str">
        <f>IF(Moteur!E167="","",Moteur!E167)</f>
        <v>TUNON</v>
      </c>
      <c r="G167">
        <f>IF($A167="","",_xlfn.SUMIFS(Socle!$H$1:$H$448,Socle!$C$1:$C$448,$A167,Socle!$D$1:$D$448,$C167,Socle!$E$1:$E$448,$D167,Socle!$F$1:$F$448,$E167,Socle!$G$1:$G$448,"2026"))</f>
        <v>1360</v>
      </c>
      <c r="H167">
        <f>IF($A167="","",_xlfn.SUMIFS(Socle!$N$1:$N$448,Socle!$C$1:$C$448,$A167,Socle!$D$1:$D$448,$C167,Socle!$E$1:$E$448,$D167,Socle!$F$1:$F$448,$E167,Socle!$G$1:$G$448,"2026"))</f>
        <v>0</v>
      </c>
      <c r="I167">
        <f>IF($A167="","",_xlfn.SUMIFS(Socle!$P$1:$P$448,Socle!$C$1:$C$448,$A167,Socle!$D$1:$D$448,$C167,Socle!$E$1:$E$448,$D167,Socle!$F$1:$F$448,$E167,Socle!$G$1:$G$448,"2026"))</f>
        <v>14700</v>
      </c>
      <c r="J167">
        <f>IF($A167="","",_xlfn.SUMIFS(Socle!$W$1:$W$448,Socle!$C$1:$C$448,$A167,Socle!$D$1:$D$448,$C167,Socle!$E$1:$E$448,$D167,Socle!$F$1:$F$448,$E167,Socle!$G$1:$G$448,"2026"))</f>
        <v>0.4</v>
      </c>
      <c r="K167">
        <f>IF($A167="","",_xlfn.SUMIFS(Socle!$X$1:$X$448,Socle!$C$1:$C$448,$A167,Socle!$D$1:$D$448,$C167,Socle!$E$1:$E$448,$D167,Socle!$F$1:$F$448,$E167,Socle!$G$1:$G$448,"2026"))</f>
        <v>1.397058824</v>
      </c>
      <c r="L167">
        <f>IF($A167="","",_xlfn.SUMIFS(Socle!$Y$1:$Y$448,Socle!$C$1:$C$448,$A167,Socle!$D$1:$D$448,$C167,Socle!$E$1:$E$448,$D167,Socle!$F$1:$F$448,$E167,Socle!$G$1:$G$448,"2026"))</f>
        <v>0.842105264</v>
      </c>
      <c r="M167">
        <f>IF($A167="","",_xlfn.SUMIFS(Socle!$V$1:$V$448,Socle!$C$1:$C$448,$A167,Socle!$D$1:$D$448,$C167,Socle!$E$1:$E$448,$D167,Socle!$F$1:$F$448,$E167,Socle!$G$1:$G$448,"2026"))</f>
        <v>0</v>
      </c>
      <c r="N167">
        <f t="shared" si="0"/>
        <v>1</v>
      </c>
      <c r="O167">
        <f>IF($A167="","",_xlfn.SUMIFS(Campagne!$D$1:$D$128,Campagne!$C$1:$C$128,$A167))</f>
        <v>252</v>
      </c>
      <c r="P167">
        <f>IF($A167="","",_xlfn.SUMIFS(Campagne!$E$1:$E$128,Campagne!$C$1:$C$128,$A167))</f>
        <v>428</v>
      </c>
      <c r="Q167">
        <f>IF($A167="","",_xlfn.SUMIFS(Campagne!$F$1:$F$128,Campagne!$C$1:$C$128,$A167))</f>
        <v>680</v>
      </c>
      <c r="R167">
        <f>IF($A167="","",_xlfn.SUMIFS(Campagne!$K$1:$K$128,Campagne!$C$1:$C$128,$A167))</f>
        <v>0.460843731</v>
      </c>
      <c r="S167">
        <f>IF($A167="","",_xlfn.SUMIFS(Campagne!$M$1:$M$128,Campagne!$C$1:$C$128,$A167))</f>
        <v>0.31798649</v>
      </c>
      <c r="T167">
        <f>IF($A167="","",_xlfn.SUMIFS(PIL!$K$15:$K$28,PIL!$A$15:$A$28,$A167)*_xlfn.SUMIFS(PIL!$J$15:$J$28,PIL!$A$15:$A$28,$A167)*(SUM(PIL!$K$15:$K$28)/SUMPRODUCT(PIL!$K$15:$K$28,PIL!$J$15:$J$28)))</f>
        <v>18850</v>
      </c>
      <c r="U167">
        <f>IF($A167="","",_xlfn.SUMIFS(PIL!$K$15:$K$28,PIL!$A$15:$A$28,$A167))</f>
        <v>18850</v>
      </c>
      <c r="V167" t="s">
        <v>274</v>
      </c>
      <c r="W167" t="s">
        <v>274</v>
      </c>
      <c r="X167" t="s">
        <v>274</v>
      </c>
      <c r="Y167" t="s">
        <v>274</v>
      </c>
      <c r="Z167" t="s">
        <v>274</v>
      </c>
      <c r="AA167" t="s">
        <v>274</v>
      </c>
      <c r="AB167" t="s">
        <v>274</v>
      </c>
      <c r="AC167" t="s">
        <v>274</v>
      </c>
      <c r="AD167" t="e">
        <f t="shared" si="1"/>
        <v>#VALUE!</v>
      </c>
      <c r="AE167" t="e">
        <f t="shared" si="2"/>
        <v>#VALUE!</v>
      </c>
      <c r="AF167" t="e">
        <f t="shared" si="3"/>
        <v>#VALUE!</v>
      </c>
      <c r="AG167" t="e">
        <f t="shared" si="4"/>
        <v>#VALUE!</v>
      </c>
      <c r="AH167" t="e">
        <f t="shared" si="5"/>
        <v>#VALUE!</v>
      </c>
    </row>
    <row r="168" ht="14.25" customHeight="1">
      <c r="A168" t="str">
        <f>IF(Moteur!D168="","",Moteur!D168)</f>
        <v>TUNON_LYO</v>
      </c>
      <c r="B168" t="str">
        <f>IF(Moteur!B168="","",Moteur!B168)</f>
        <v>V02</v>
      </c>
      <c r="C168" t="str">
        <f>IF(Moteur!F168="","",Moteur!F168)</f>
        <v>BAC_TOU</v>
      </c>
      <c r="D168" t="str">
        <f>IF(Moteur!G168="","",Moteur!G168)</f>
        <v>B1</v>
      </c>
      <c r="E168" t="str">
        <f>IF(Moteur!H168="","",Moteur!H168)</f>
        <v>ALT</v>
      </c>
      <c r="F168" t="str">
        <f>IF(Moteur!E168="","",Moteur!E168)</f>
        <v>TUNON</v>
      </c>
      <c r="G168">
        <f>IF($A168="","",_xlfn.SUMIFS(Socle!$H$1:$H$448,Socle!$C$1:$C$448,$A168,Socle!$D$1:$D$448,$C168,Socle!$E$1:$E$448,$D168,Socle!$F$1:$F$448,$E168,Socle!$G$1:$G$448,"2026"))</f>
        <v>1360</v>
      </c>
      <c r="H168">
        <f>IF($A168="","",_xlfn.SUMIFS(Socle!$N$1:$N$448,Socle!$C$1:$C$448,$A168,Socle!$D$1:$D$448,$C168,Socle!$E$1:$E$448,$D168,Socle!$F$1:$F$448,$E168,Socle!$G$1:$G$448,"2026"))</f>
        <v>0</v>
      </c>
      <c r="I168">
        <f>IF($A168="","",_xlfn.SUMIFS(Socle!$P$1:$P$448,Socle!$C$1:$C$448,$A168,Socle!$D$1:$D$448,$C168,Socle!$E$1:$E$448,$D168,Socle!$F$1:$F$448,$E168,Socle!$G$1:$G$448,"2026"))</f>
        <v>14700</v>
      </c>
      <c r="J168">
        <f>IF($A168="","",_xlfn.SUMIFS(Socle!$W$1:$W$448,Socle!$C$1:$C$448,$A168,Socle!$D$1:$D$448,$C168,Socle!$E$1:$E$448,$D168,Socle!$F$1:$F$448,$E168,Socle!$G$1:$G$448,"2026"))</f>
        <v>0.4</v>
      </c>
      <c r="K168">
        <f>IF($A168="","",_xlfn.SUMIFS(Socle!$X$1:$X$448,Socle!$C$1:$C$448,$A168,Socle!$D$1:$D$448,$C168,Socle!$E$1:$E$448,$D168,Socle!$F$1:$F$448,$E168,Socle!$G$1:$G$448,"2026"))</f>
        <v>1.397058824</v>
      </c>
      <c r="L168">
        <f>IF($A168="","",_xlfn.SUMIFS(Socle!$Y$1:$Y$448,Socle!$C$1:$C$448,$A168,Socle!$D$1:$D$448,$C168,Socle!$E$1:$E$448,$D168,Socle!$F$1:$F$448,$E168,Socle!$G$1:$G$448,"2026"))</f>
        <v>0.842105264</v>
      </c>
      <c r="M168">
        <f>IF($A168="","",_xlfn.SUMIFS(Socle!$V$1:$V$448,Socle!$C$1:$C$448,$A168,Socle!$D$1:$D$448,$C168,Socle!$E$1:$E$448,$D168,Socle!$F$1:$F$448,$E168,Socle!$G$1:$G$448,"2026"))</f>
        <v>0</v>
      </c>
      <c r="N168">
        <f t="shared" si="0"/>
        <v>1</v>
      </c>
      <c r="O168">
        <f>IF($A168="","",_xlfn.SUMIFS(Campagne!$D$1:$D$128,Campagne!$C$1:$C$128,$A168))</f>
        <v>252</v>
      </c>
      <c r="P168">
        <f>IF($A168="","",_xlfn.SUMIFS(Campagne!$E$1:$E$128,Campagne!$C$1:$C$128,$A168))</f>
        <v>428</v>
      </c>
      <c r="Q168">
        <f>IF($A168="","",_xlfn.SUMIFS(Campagne!$F$1:$F$128,Campagne!$C$1:$C$128,$A168))</f>
        <v>680</v>
      </c>
      <c r="R168">
        <f>IF($A168="","",_xlfn.SUMIFS(Campagne!$K$1:$K$128,Campagne!$C$1:$C$128,$A168))</f>
        <v>0.460843731</v>
      </c>
      <c r="S168">
        <f>IF($A168="","",_xlfn.SUMIFS(Campagne!$M$1:$M$128,Campagne!$C$1:$C$128,$A168))</f>
        <v>0.31798649</v>
      </c>
      <c r="T168">
        <f>IF($A168="","",_xlfn.SUMIFS(PIL!$K$15:$K$28,PIL!$A$15:$A$28,$A168)*_xlfn.SUMIFS(PIL!$J$15:$J$28,PIL!$A$15:$A$28,$A168)*(SUM(PIL!$K$15:$K$28)/SUMPRODUCT(PIL!$K$15:$K$28,PIL!$J$15:$J$28)))</f>
        <v>18850</v>
      </c>
      <c r="U168">
        <f>IF($A168="","",_xlfn.SUMIFS(PIL!$K$15:$K$28,PIL!$A$15:$A$28,$A168))</f>
        <v>18850</v>
      </c>
      <c r="V168" t="s">
        <v>274</v>
      </c>
      <c r="W168" t="s">
        <v>274</v>
      </c>
      <c r="X168" t="s">
        <v>274</v>
      </c>
      <c r="Y168" t="s">
        <v>274</v>
      </c>
      <c r="Z168" t="s">
        <v>274</v>
      </c>
      <c r="AA168" t="s">
        <v>274</v>
      </c>
      <c r="AB168" t="s">
        <v>274</v>
      </c>
      <c r="AC168" t="s">
        <v>274</v>
      </c>
      <c r="AD168" t="e">
        <f t="shared" si="1"/>
        <v>#VALUE!</v>
      </c>
      <c r="AE168" t="e">
        <f t="shared" si="2"/>
        <v>#VALUE!</v>
      </c>
      <c r="AF168" t="e">
        <f t="shared" si="3"/>
        <v>#VALUE!</v>
      </c>
      <c r="AG168" t="e">
        <f t="shared" si="4"/>
        <v>#VALUE!</v>
      </c>
      <c r="AH168" t="e">
        <f t="shared" si="5"/>
        <v>#VALUE!</v>
      </c>
    </row>
    <row r="169" ht="14.25" customHeight="1">
      <c r="A169" t="str">
        <f>IF(Moteur!D169="","",Moteur!D169)</f>
        <v>TUNON_LYO</v>
      </c>
      <c r="B169" t="str">
        <f>IF(Moteur!B169="","",Moteur!B169)</f>
        <v>V03</v>
      </c>
      <c r="C169" t="str">
        <f>IF(Moteur!F169="","",Moteur!F169)</f>
        <v>BAC_TOU</v>
      </c>
      <c r="D169" t="str">
        <f>IF(Moteur!G169="","",Moteur!G169)</f>
        <v>B1</v>
      </c>
      <c r="E169" t="str">
        <f>IF(Moteur!H169="","",Moteur!H169)</f>
        <v>ALT</v>
      </c>
      <c r="F169" t="str">
        <f>IF(Moteur!E169="","",Moteur!E169)</f>
        <v>TUNON</v>
      </c>
      <c r="G169">
        <f>IF($A169="","",_xlfn.SUMIFS(Socle!$H$1:$H$448,Socle!$C$1:$C$448,$A169,Socle!$D$1:$D$448,$C169,Socle!$E$1:$E$448,$D169,Socle!$F$1:$F$448,$E169,Socle!$G$1:$G$448,"2026"))</f>
        <v>1360</v>
      </c>
      <c r="H169">
        <f>IF($A169="","",_xlfn.SUMIFS(Socle!$N$1:$N$448,Socle!$C$1:$C$448,$A169,Socle!$D$1:$D$448,$C169,Socle!$E$1:$E$448,$D169,Socle!$F$1:$F$448,$E169,Socle!$G$1:$G$448,"2026"))</f>
        <v>0</v>
      </c>
      <c r="I169">
        <f>IF($A169="","",_xlfn.SUMIFS(Socle!$P$1:$P$448,Socle!$C$1:$C$448,$A169,Socle!$D$1:$D$448,$C169,Socle!$E$1:$E$448,$D169,Socle!$F$1:$F$448,$E169,Socle!$G$1:$G$448,"2026"))</f>
        <v>14700</v>
      </c>
      <c r="J169">
        <f>IF($A169="","",_xlfn.SUMIFS(Socle!$W$1:$W$448,Socle!$C$1:$C$448,$A169,Socle!$D$1:$D$448,$C169,Socle!$E$1:$E$448,$D169,Socle!$F$1:$F$448,$E169,Socle!$G$1:$G$448,"2026"))</f>
        <v>0.4</v>
      </c>
      <c r="K169">
        <f>IF($A169="","",_xlfn.SUMIFS(Socle!$X$1:$X$448,Socle!$C$1:$C$448,$A169,Socle!$D$1:$D$448,$C169,Socle!$E$1:$E$448,$D169,Socle!$F$1:$F$448,$E169,Socle!$G$1:$G$448,"2026"))</f>
        <v>1.397058824</v>
      </c>
      <c r="L169">
        <f>IF($A169="","",_xlfn.SUMIFS(Socle!$Y$1:$Y$448,Socle!$C$1:$C$448,$A169,Socle!$D$1:$D$448,$C169,Socle!$E$1:$E$448,$D169,Socle!$F$1:$F$448,$E169,Socle!$G$1:$G$448,"2026"))</f>
        <v>0.842105264</v>
      </c>
      <c r="M169">
        <f>IF($A169="","",_xlfn.SUMIFS(Socle!$V$1:$V$448,Socle!$C$1:$C$448,$A169,Socle!$D$1:$D$448,$C169,Socle!$E$1:$E$448,$D169,Socle!$F$1:$F$448,$E169,Socle!$G$1:$G$448,"2026"))</f>
        <v>0</v>
      </c>
      <c r="N169">
        <f t="shared" si="0"/>
        <v>1</v>
      </c>
      <c r="O169">
        <f>IF($A169="","",_xlfn.SUMIFS(Campagne!$D$1:$D$128,Campagne!$C$1:$C$128,$A169))</f>
        <v>252</v>
      </c>
      <c r="P169">
        <f>IF($A169="","",_xlfn.SUMIFS(Campagne!$E$1:$E$128,Campagne!$C$1:$C$128,$A169))</f>
        <v>428</v>
      </c>
      <c r="Q169">
        <f>IF($A169="","",_xlfn.SUMIFS(Campagne!$F$1:$F$128,Campagne!$C$1:$C$128,$A169))</f>
        <v>680</v>
      </c>
      <c r="R169">
        <f>IF($A169="","",_xlfn.SUMIFS(Campagne!$K$1:$K$128,Campagne!$C$1:$C$128,$A169))</f>
        <v>0.460843731</v>
      </c>
      <c r="S169">
        <f>IF($A169="","",_xlfn.SUMIFS(Campagne!$M$1:$M$128,Campagne!$C$1:$C$128,$A169))</f>
        <v>0.31798649</v>
      </c>
      <c r="T169">
        <f>IF($A169="","",_xlfn.SUMIFS(PIL!$K$15:$K$28,PIL!$A$15:$A$28,$A169)*_xlfn.SUMIFS(PIL!$J$15:$J$28,PIL!$A$15:$A$28,$A169)*(SUM(PIL!$K$15:$K$28)/SUMPRODUCT(PIL!$K$15:$K$28,PIL!$J$15:$J$28)))</f>
        <v>18850</v>
      </c>
      <c r="U169">
        <f>IF($A169="","",_xlfn.SUMIFS(PIL!$K$15:$K$28,PIL!$A$15:$A$28,$A169))</f>
        <v>18850</v>
      </c>
      <c r="V169" t="s">
        <v>274</v>
      </c>
      <c r="W169" t="s">
        <v>274</v>
      </c>
      <c r="X169" t="s">
        <v>274</v>
      </c>
      <c r="Y169" t="s">
        <v>274</v>
      </c>
      <c r="Z169" t="s">
        <v>274</v>
      </c>
      <c r="AA169" t="s">
        <v>274</v>
      </c>
      <c r="AB169" t="s">
        <v>274</v>
      </c>
      <c r="AC169" t="s">
        <v>274</v>
      </c>
      <c r="AD169" t="e">
        <f t="shared" si="1"/>
        <v>#VALUE!</v>
      </c>
      <c r="AE169" t="e">
        <f t="shared" si="2"/>
        <v>#VALUE!</v>
      </c>
      <c r="AF169" t="e">
        <f t="shared" si="3"/>
        <v>#VALUE!</v>
      </c>
      <c r="AG169" t="e">
        <f t="shared" si="4"/>
        <v>#VALUE!</v>
      </c>
      <c r="AH169" t="e">
        <f t="shared" si="5"/>
        <v>#VALUE!</v>
      </c>
    </row>
    <row r="170" ht="14.25" customHeight="1">
      <c r="A170" t="str">
        <f>IF(Moteur!D170="","",Moteur!D170)</f>
        <v>TUNON_LYO</v>
      </c>
      <c r="B170" t="str">
        <f>IF(Moteur!B170="","",Moteur!B170)</f>
        <v>V01</v>
      </c>
      <c r="C170" t="str">
        <f>IF(Moteur!F170="","",Moteur!F170)</f>
        <v>BAC_TOU</v>
      </c>
      <c r="D170" t="str">
        <f>IF(Moteur!G170="","",Moteur!G170)</f>
        <v>B2</v>
      </c>
      <c r="E170" t="str">
        <f>IF(Moteur!H170="","",Moteur!H170)</f>
        <v>ALT</v>
      </c>
      <c r="F170" t="str">
        <f>IF(Moteur!E170="","",Moteur!E170)</f>
        <v>TUNON</v>
      </c>
      <c r="G170">
        <f>IF($A170="","",_xlfn.SUMIFS(Socle!$H$1:$H$448,Socle!$C$1:$C$448,$A170,Socle!$D$1:$D$448,$C170,Socle!$E$1:$E$448,$D170,Socle!$F$1:$F$448,$E170,Socle!$G$1:$G$448,"2026"))</f>
        <v>0</v>
      </c>
      <c r="H170">
        <f>IF($A170="","",_xlfn.SUMIFS(Socle!$N$1:$N$448,Socle!$C$1:$C$448,$A170,Socle!$D$1:$D$448,$C170,Socle!$E$1:$E$448,$D170,Socle!$F$1:$F$448,$E170,Socle!$G$1:$G$448,"2026"))</f>
        <v>80</v>
      </c>
      <c r="I170">
        <f>IF($A170="","",_xlfn.SUMIFS(Socle!$P$1:$P$448,Socle!$C$1:$C$448,$A170,Socle!$D$1:$D$448,$C170,Socle!$E$1:$E$448,$D170,Socle!$F$1:$F$448,$E170,Socle!$G$1:$G$448,"2026"))</f>
        <v>14700</v>
      </c>
      <c r="J170">
        <f>IF($A170="","",_xlfn.SUMIFS(Socle!$W$1:$W$448,Socle!$C$1:$C$448,$A170,Socle!$D$1:$D$448,$C170,Socle!$E$1:$E$448,$D170,Socle!$F$1:$F$448,$E170,Socle!$G$1:$G$448,"2026"))</f>
        <v>0</v>
      </c>
      <c r="K170">
        <f>IF($A170="","",_xlfn.SUMIFS(Socle!$X$1:$X$448,Socle!$C$1:$C$448,$A170,Socle!$D$1:$D$448,$C170,Socle!$E$1:$E$448,$D170,Socle!$F$1:$F$448,$E170,Socle!$G$1:$G$448,"2026"))</f>
        <v>0</v>
      </c>
      <c r="L170">
        <f>IF($A170="","",_xlfn.SUMIFS(Socle!$Y$1:$Y$448,Socle!$C$1:$C$448,$A170,Socle!$D$1:$D$448,$C170,Socle!$E$1:$E$448,$D170,Socle!$F$1:$F$448,$E170,Socle!$G$1:$G$448,"2026"))</f>
        <v>0</v>
      </c>
      <c r="M170">
        <f>IF($A170="","",_xlfn.SUMIFS(Socle!$V$1:$V$448,Socle!$C$1:$C$448,$A170,Socle!$D$1:$D$448,$C170,Socle!$E$1:$E$448,$D170,Socle!$F$1:$F$448,$E170,Socle!$G$1:$G$448,"2026"))</f>
        <v>1.95</v>
      </c>
      <c r="N170">
        <f t="shared" si="0"/>
        <v>0</v>
      </c>
      <c r="O170">
        <f>IF($A170="","",_xlfn.SUMIFS(Campagne!$D$1:$D$128,Campagne!$C$1:$C$128,$A170))</f>
        <v>252</v>
      </c>
      <c r="P170">
        <f>IF($A170="","",_xlfn.SUMIFS(Campagne!$E$1:$E$128,Campagne!$C$1:$C$128,$A170))</f>
        <v>428</v>
      </c>
      <c r="Q170">
        <f>IF($A170="","",_xlfn.SUMIFS(Campagne!$F$1:$F$128,Campagne!$C$1:$C$128,$A170))</f>
        <v>680</v>
      </c>
      <c r="R170">
        <f>IF($A170="","",_xlfn.SUMIFS(Campagne!$K$1:$K$128,Campagne!$C$1:$C$128,$A170))</f>
        <v>0.460843731</v>
      </c>
      <c r="S170">
        <f>IF($A170="","",_xlfn.SUMIFS(Campagne!$M$1:$M$128,Campagne!$C$1:$C$128,$A170))</f>
        <v>0.31798649</v>
      </c>
      <c r="T170">
        <f>IF($A170="","",_xlfn.SUMIFS(PIL!$K$15:$K$28,PIL!$A$15:$A$28,$A170)*_xlfn.SUMIFS(PIL!$J$15:$J$28,PIL!$A$15:$A$28,$A170)*(SUM(PIL!$K$15:$K$28)/SUMPRODUCT(PIL!$K$15:$K$28,PIL!$J$15:$J$28)))</f>
        <v>18850</v>
      </c>
      <c r="U170">
        <f>IF($A170="","",_xlfn.SUMIFS(PIL!$K$15:$K$28,PIL!$A$15:$A$28,$A170))</f>
        <v>18850</v>
      </c>
      <c r="V170" t="s">
        <v>274</v>
      </c>
      <c r="W170" t="s">
        <v>274</v>
      </c>
      <c r="X170" t="s">
        <v>274</v>
      </c>
      <c r="Y170" t="s">
        <v>274</v>
      </c>
      <c r="Z170" t="s">
        <v>274</v>
      </c>
      <c r="AA170" t="s">
        <v>274</v>
      </c>
      <c r="AB170" t="s">
        <v>274</v>
      </c>
      <c r="AC170" t="s">
        <v>274</v>
      </c>
      <c r="AD170" t="e">
        <f t="shared" si="1"/>
        <v>#VALUE!</v>
      </c>
      <c r="AE170">
        <f t="shared" si="2"/>
        <v>0</v>
      </c>
      <c r="AF170" t="e">
        <f t="shared" si="3"/>
        <v>#VALUE!</v>
      </c>
      <c r="AG170" t="e">
        <f t="shared" si="4"/>
        <v>#VALUE!</v>
      </c>
      <c r="AH170" t="e">
        <f t="shared" si="5"/>
        <v>#VALUE!</v>
      </c>
    </row>
    <row r="171" ht="14.25" customHeight="1">
      <c r="A171" t="str">
        <f>IF(Moteur!D171="","",Moteur!D171)</f>
        <v>TUNON_LYO</v>
      </c>
      <c r="B171" t="str">
        <f>IF(Moteur!B171="","",Moteur!B171)</f>
        <v>V02</v>
      </c>
      <c r="C171" t="str">
        <f>IF(Moteur!F171="","",Moteur!F171)</f>
        <v>BAC_TOU</v>
      </c>
      <c r="D171" t="str">
        <f>IF(Moteur!G171="","",Moteur!G171)</f>
        <v>B2</v>
      </c>
      <c r="E171" t="str">
        <f>IF(Moteur!H171="","",Moteur!H171)</f>
        <v>ALT</v>
      </c>
      <c r="F171" t="str">
        <f>IF(Moteur!E171="","",Moteur!E171)</f>
        <v>TUNON</v>
      </c>
      <c r="G171">
        <f>IF($A171="","",_xlfn.SUMIFS(Socle!$H$1:$H$448,Socle!$C$1:$C$448,$A171,Socle!$D$1:$D$448,$C171,Socle!$E$1:$E$448,$D171,Socle!$F$1:$F$448,$E171,Socle!$G$1:$G$448,"2026"))</f>
        <v>0</v>
      </c>
      <c r="H171">
        <f>IF($A171="","",_xlfn.SUMIFS(Socle!$N$1:$N$448,Socle!$C$1:$C$448,$A171,Socle!$D$1:$D$448,$C171,Socle!$E$1:$E$448,$D171,Socle!$F$1:$F$448,$E171,Socle!$G$1:$G$448,"2026"))</f>
        <v>80</v>
      </c>
      <c r="I171">
        <f>IF($A171="","",_xlfn.SUMIFS(Socle!$P$1:$P$448,Socle!$C$1:$C$448,$A171,Socle!$D$1:$D$448,$C171,Socle!$E$1:$E$448,$D171,Socle!$F$1:$F$448,$E171,Socle!$G$1:$G$448,"2026"))</f>
        <v>14700</v>
      </c>
      <c r="J171">
        <f>IF($A171="","",_xlfn.SUMIFS(Socle!$W$1:$W$448,Socle!$C$1:$C$448,$A171,Socle!$D$1:$D$448,$C171,Socle!$E$1:$E$448,$D171,Socle!$F$1:$F$448,$E171,Socle!$G$1:$G$448,"2026"))</f>
        <v>0</v>
      </c>
      <c r="K171">
        <f>IF($A171="","",_xlfn.SUMIFS(Socle!$X$1:$X$448,Socle!$C$1:$C$448,$A171,Socle!$D$1:$D$448,$C171,Socle!$E$1:$E$448,$D171,Socle!$F$1:$F$448,$E171,Socle!$G$1:$G$448,"2026"))</f>
        <v>0</v>
      </c>
      <c r="L171">
        <f>IF($A171="","",_xlfn.SUMIFS(Socle!$Y$1:$Y$448,Socle!$C$1:$C$448,$A171,Socle!$D$1:$D$448,$C171,Socle!$E$1:$E$448,$D171,Socle!$F$1:$F$448,$E171,Socle!$G$1:$G$448,"2026"))</f>
        <v>0</v>
      </c>
      <c r="M171">
        <f>IF($A171="","",_xlfn.SUMIFS(Socle!$V$1:$V$448,Socle!$C$1:$C$448,$A171,Socle!$D$1:$D$448,$C171,Socle!$E$1:$E$448,$D171,Socle!$F$1:$F$448,$E171,Socle!$G$1:$G$448,"2026"))</f>
        <v>1.95</v>
      </c>
      <c r="N171">
        <f t="shared" si="0"/>
        <v>0</v>
      </c>
      <c r="O171">
        <f>IF($A171="","",_xlfn.SUMIFS(Campagne!$D$1:$D$128,Campagne!$C$1:$C$128,$A171))</f>
        <v>252</v>
      </c>
      <c r="P171">
        <f>IF($A171="","",_xlfn.SUMIFS(Campagne!$E$1:$E$128,Campagne!$C$1:$C$128,$A171))</f>
        <v>428</v>
      </c>
      <c r="Q171">
        <f>IF($A171="","",_xlfn.SUMIFS(Campagne!$F$1:$F$128,Campagne!$C$1:$C$128,$A171))</f>
        <v>680</v>
      </c>
      <c r="R171">
        <f>IF($A171="","",_xlfn.SUMIFS(Campagne!$K$1:$K$128,Campagne!$C$1:$C$128,$A171))</f>
        <v>0.460843731</v>
      </c>
      <c r="S171">
        <f>IF($A171="","",_xlfn.SUMIFS(Campagne!$M$1:$M$128,Campagne!$C$1:$C$128,$A171))</f>
        <v>0.31798649</v>
      </c>
      <c r="T171">
        <f>IF($A171="","",_xlfn.SUMIFS(PIL!$K$15:$K$28,PIL!$A$15:$A$28,$A171)*_xlfn.SUMIFS(PIL!$J$15:$J$28,PIL!$A$15:$A$28,$A171)*(SUM(PIL!$K$15:$K$28)/SUMPRODUCT(PIL!$K$15:$K$28,PIL!$J$15:$J$28)))</f>
        <v>18850</v>
      </c>
      <c r="U171">
        <f>IF($A171="","",_xlfn.SUMIFS(PIL!$K$15:$K$28,PIL!$A$15:$A$28,$A171))</f>
        <v>18850</v>
      </c>
      <c r="V171" t="s">
        <v>274</v>
      </c>
      <c r="W171" t="s">
        <v>274</v>
      </c>
      <c r="X171" t="s">
        <v>274</v>
      </c>
      <c r="Y171" t="s">
        <v>274</v>
      </c>
      <c r="Z171" t="s">
        <v>274</v>
      </c>
      <c r="AA171" t="s">
        <v>274</v>
      </c>
      <c r="AB171" t="s">
        <v>274</v>
      </c>
      <c r="AC171" t="s">
        <v>274</v>
      </c>
      <c r="AD171" t="e">
        <f t="shared" si="1"/>
        <v>#VALUE!</v>
      </c>
      <c r="AE171">
        <f t="shared" si="2"/>
        <v>0</v>
      </c>
      <c r="AF171" t="e">
        <f t="shared" si="3"/>
        <v>#VALUE!</v>
      </c>
      <c r="AG171" t="e">
        <f t="shared" si="4"/>
        <v>#VALUE!</v>
      </c>
      <c r="AH171" t="e">
        <f t="shared" si="5"/>
        <v>#VALUE!</v>
      </c>
    </row>
    <row r="172" ht="14.25" customHeight="1">
      <c r="A172" t="str">
        <f>IF(Moteur!D172="","",Moteur!D172)</f>
        <v>TUNON_LYO</v>
      </c>
      <c r="B172" t="str">
        <f>IF(Moteur!B172="","",Moteur!B172)</f>
        <v>V03</v>
      </c>
      <c r="C172" t="str">
        <f>IF(Moteur!F172="","",Moteur!F172)</f>
        <v>BAC_TOU</v>
      </c>
      <c r="D172" t="str">
        <f>IF(Moteur!G172="","",Moteur!G172)</f>
        <v>B2</v>
      </c>
      <c r="E172" t="str">
        <f>IF(Moteur!H172="","",Moteur!H172)</f>
        <v>ALT</v>
      </c>
      <c r="F172" t="str">
        <f>IF(Moteur!E172="","",Moteur!E172)</f>
        <v>TUNON</v>
      </c>
      <c r="G172">
        <f>IF($A172="","",_xlfn.SUMIFS(Socle!$H$1:$H$448,Socle!$C$1:$C$448,$A172,Socle!$D$1:$D$448,$C172,Socle!$E$1:$E$448,$D172,Socle!$F$1:$F$448,$E172,Socle!$G$1:$G$448,"2026"))</f>
        <v>0</v>
      </c>
      <c r="H172">
        <f>IF($A172="","",_xlfn.SUMIFS(Socle!$N$1:$N$448,Socle!$C$1:$C$448,$A172,Socle!$D$1:$D$448,$C172,Socle!$E$1:$E$448,$D172,Socle!$F$1:$F$448,$E172,Socle!$G$1:$G$448,"2026"))</f>
        <v>80</v>
      </c>
      <c r="I172">
        <f>IF($A172="","",_xlfn.SUMIFS(Socle!$P$1:$P$448,Socle!$C$1:$C$448,$A172,Socle!$D$1:$D$448,$C172,Socle!$E$1:$E$448,$D172,Socle!$F$1:$F$448,$E172,Socle!$G$1:$G$448,"2026"))</f>
        <v>14700</v>
      </c>
      <c r="J172">
        <f>IF($A172="","",_xlfn.SUMIFS(Socle!$W$1:$W$448,Socle!$C$1:$C$448,$A172,Socle!$D$1:$D$448,$C172,Socle!$E$1:$E$448,$D172,Socle!$F$1:$F$448,$E172,Socle!$G$1:$G$448,"2026"))</f>
        <v>0</v>
      </c>
      <c r="K172">
        <f>IF($A172="","",_xlfn.SUMIFS(Socle!$X$1:$X$448,Socle!$C$1:$C$448,$A172,Socle!$D$1:$D$448,$C172,Socle!$E$1:$E$448,$D172,Socle!$F$1:$F$448,$E172,Socle!$G$1:$G$448,"2026"))</f>
        <v>0</v>
      </c>
      <c r="L172">
        <f>IF($A172="","",_xlfn.SUMIFS(Socle!$Y$1:$Y$448,Socle!$C$1:$C$448,$A172,Socle!$D$1:$D$448,$C172,Socle!$E$1:$E$448,$D172,Socle!$F$1:$F$448,$E172,Socle!$G$1:$G$448,"2026"))</f>
        <v>0</v>
      </c>
      <c r="M172">
        <f>IF($A172="","",_xlfn.SUMIFS(Socle!$V$1:$V$448,Socle!$C$1:$C$448,$A172,Socle!$D$1:$D$448,$C172,Socle!$E$1:$E$448,$D172,Socle!$F$1:$F$448,$E172,Socle!$G$1:$G$448,"2026"))</f>
        <v>1.95</v>
      </c>
      <c r="N172">
        <f t="shared" si="0"/>
        <v>0</v>
      </c>
      <c r="O172">
        <f>IF($A172="","",_xlfn.SUMIFS(Campagne!$D$1:$D$128,Campagne!$C$1:$C$128,$A172))</f>
        <v>252</v>
      </c>
      <c r="P172">
        <f>IF($A172="","",_xlfn.SUMIFS(Campagne!$E$1:$E$128,Campagne!$C$1:$C$128,$A172))</f>
        <v>428</v>
      </c>
      <c r="Q172">
        <f>IF($A172="","",_xlfn.SUMIFS(Campagne!$F$1:$F$128,Campagne!$C$1:$C$128,$A172))</f>
        <v>680</v>
      </c>
      <c r="R172">
        <f>IF($A172="","",_xlfn.SUMIFS(Campagne!$K$1:$K$128,Campagne!$C$1:$C$128,$A172))</f>
        <v>0.460843731</v>
      </c>
      <c r="S172">
        <f>IF($A172="","",_xlfn.SUMIFS(Campagne!$M$1:$M$128,Campagne!$C$1:$C$128,$A172))</f>
        <v>0.31798649</v>
      </c>
      <c r="T172">
        <f>IF($A172="","",_xlfn.SUMIFS(PIL!$K$15:$K$28,PIL!$A$15:$A$28,$A172)*_xlfn.SUMIFS(PIL!$J$15:$J$28,PIL!$A$15:$A$28,$A172)*(SUM(PIL!$K$15:$K$28)/SUMPRODUCT(PIL!$K$15:$K$28,PIL!$J$15:$J$28)))</f>
        <v>18850</v>
      </c>
      <c r="U172">
        <f>IF($A172="","",_xlfn.SUMIFS(PIL!$K$15:$K$28,PIL!$A$15:$A$28,$A172))</f>
        <v>18850</v>
      </c>
      <c r="V172" t="s">
        <v>274</v>
      </c>
      <c r="W172" t="s">
        <v>274</v>
      </c>
      <c r="X172" t="s">
        <v>274</v>
      </c>
      <c r="Y172" t="s">
        <v>274</v>
      </c>
      <c r="Z172" t="s">
        <v>274</v>
      </c>
      <c r="AA172" t="s">
        <v>274</v>
      </c>
      <c r="AB172" t="s">
        <v>274</v>
      </c>
      <c r="AC172" t="s">
        <v>274</v>
      </c>
      <c r="AD172" t="e">
        <f t="shared" si="1"/>
        <v>#VALUE!</v>
      </c>
      <c r="AE172">
        <f t="shared" si="2"/>
        <v>0</v>
      </c>
      <c r="AF172" t="e">
        <f t="shared" si="3"/>
        <v>#VALUE!</v>
      </c>
      <c r="AG172" t="e">
        <f t="shared" si="4"/>
        <v>#VALUE!</v>
      </c>
      <c r="AH172" t="e">
        <f t="shared" si="5"/>
        <v>#VALUE!</v>
      </c>
    </row>
    <row r="173" ht="14.25" customHeight="1">
      <c r="A173" t="str">
        <f>IF(Moteur!D173="","",Moteur!D173)</f>
        <v>TUNON_LYO</v>
      </c>
      <c r="B173" t="str">
        <f>IF(Moteur!B173="","",Moteur!B173)</f>
        <v>V01</v>
      </c>
      <c r="C173" t="str">
        <f>IF(Moteur!F173="","",Moteur!F173)</f>
        <v>BAC_TOU</v>
      </c>
      <c r="D173" t="str">
        <f>IF(Moteur!G173="","",Moteur!G173)</f>
        <v>B3</v>
      </c>
      <c r="E173" t="str">
        <f>IF(Moteur!H173="","",Moteur!H173)</f>
        <v>ALT</v>
      </c>
      <c r="F173" t="str">
        <f>IF(Moteur!E173="","",Moteur!E173)</f>
        <v>TUNON</v>
      </c>
      <c r="G173">
        <f>IF($A173="","",_xlfn.SUMIFS(Socle!$H$1:$H$448,Socle!$C$1:$C$448,$A173,Socle!$D$1:$D$448,$C173,Socle!$E$1:$E$448,$D173,Socle!$F$1:$F$448,$E173,Socle!$G$1:$G$448,"2026"))</f>
        <v>0</v>
      </c>
      <c r="H173">
        <f>IF($A173="","",_xlfn.SUMIFS(Socle!$N$1:$N$448,Socle!$C$1:$C$448,$A173,Socle!$D$1:$D$448,$C173,Socle!$E$1:$E$448,$D173,Socle!$F$1:$F$448,$E173,Socle!$G$1:$G$448,"2026"))</f>
        <v>78</v>
      </c>
      <c r="I173">
        <f>IF($A173="","",_xlfn.SUMIFS(Socle!$P$1:$P$448,Socle!$C$1:$C$448,$A173,Socle!$D$1:$D$448,$C173,Socle!$E$1:$E$448,$D173,Socle!$F$1:$F$448,$E173,Socle!$G$1:$G$448,"2026"))</f>
        <v>14700</v>
      </c>
      <c r="J173">
        <f>IF($A173="","",_xlfn.SUMIFS(Socle!$W$1:$W$448,Socle!$C$1:$C$448,$A173,Socle!$D$1:$D$448,$C173,Socle!$E$1:$E$448,$D173,Socle!$F$1:$F$448,$E173,Socle!$G$1:$G$448,"2026"))</f>
        <v>0</v>
      </c>
      <c r="K173">
        <f>IF($A173="","",_xlfn.SUMIFS(Socle!$X$1:$X$448,Socle!$C$1:$C$448,$A173,Socle!$D$1:$D$448,$C173,Socle!$E$1:$E$448,$D173,Socle!$F$1:$F$448,$E173,Socle!$G$1:$G$448,"2026"))</f>
        <v>0</v>
      </c>
      <c r="L173">
        <f>IF($A173="","",_xlfn.SUMIFS(Socle!$Y$1:$Y$448,Socle!$C$1:$C$448,$A173,Socle!$D$1:$D$448,$C173,Socle!$E$1:$E$448,$D173,Socle!$F$1:$F$448,$E173,Socle!$G$1:$G$448,"2026"))</f>
        <v>0</v>
      </c>
      <c r="M173">
        <f>IF($A173="","",_xlfn.SUMIFS(Socle!$V$1:$V$448,Socle!$C$1:$C$448,$A173,Socle!$D$1:$D$448,$C173,Socle!$E$1:$E$448,$D173,Socle!$F$1:$F$448,$E173,Socle!$G$1:$G$448,"2026"))</f>
        <v>1.948717948</v>
      </c>
      <c r="N173">
        <f t="shared" si="0"/>
        <v>0</v>
      </c>
      <c r="O173">
        <f>IF($A173="","",_xlfn.SUMIFS(Campagne!$D$1:$D$128,Campagne!$C$1:$C$128,$A173))</f>
        <v>252</v>
      </c>
      <c r="P173">
        <f>IF($A173="","",_xlfn.SUMIFS(Campagne!$E$1:$E$128,Campagne!$C$1:$C$128,$A173))</f>
        <v>428</v>
      </c>
      <c r="Q173">
        <f>IF($A173="","",_xlfn.SUMIFS(Campagne!$F$1:$F$128,Campagne!$C$1:$C$128,$A173))</f>
        <v>680</v>
      </c>
      <c r="R173">
        <f>IF($A173="","",_xlfn.SUMIFS(Campagne!$K$1:$K$128,Campagne!$C$1:$C$128,$A173))</f>
        <v>0.460843731</v>
      </c>
      <c r="S173">
        <f>IF($A173="","",_xlfn.SUMIFS(Campagne!$M$1:$M$128,Campagne!$C$1:$C$128,$A173))</f>
        <v>0.31798649</v>
      </c>
      <c r="T173">
        <f>IF($A173="","",_xlfn.SUMIFS(PIL!$K$15:$K$28,PIL!$A$15:$A$28,$A173)*_xlfn.SUMIFS(PIL!$J$15:$J$28,PIL!$A$15:$A$28,$A173)*(SUM(PIL!$K$15:$K$28)/SUMPRODUCT(PIL!$K$15:$K$28,PIL!$J$15:$J$28)))</f>
        <v>18850</v>
      </c>
      <c r="U173">
        <f>IF($A173="","",_xlfn.SUMIFS(PIL!$K$15:$K$28,PIL!$A$15:$A$28,$A173))</f>
        <v>18850</v>
      </c>
      <c r="V173" t="s">
        <v>274</v>
      </c>
      <c r="W173" t="s">
        <v>274</v>
      </c>
      <c r="X173" t="s">
        <v>274</v>
      </c>
      <c r="Y173" t="s">
        <v>274</v>
      </c>
      <c r="Z173" t="s">
        <v>274</v>
      </c>
      <c r="AA173" t="s">
        <v>274</v>
      </c>
      <c r="AB173" t="s">
        <v>274</v>
      </c>
      <c r="AC173" t="s">
        <v>274</v>
      </c>
      <c r="AD173" t="e">
        <f t="shared" si="1"/>
        <v>#VALUE!</v>
      </c>
      <c r="AE173">
        <f t="shared" si="2"/>
        <v>0</v>
      </c>
      <c r="AF173" t="e">
        <f t="shared" si="3"/>
        <v>#VALUE!</v>
      </c>
      <c r="AG173" t="e">
        <f t="shared" si="4"/>
        <v>#VALUE!</v>
      </c>
      <c r="AH173" t="e">
        <f t="shared" si="5"/>
        <v>#VALUE!</v>
      </c>
    </row>
    <row r="174" ht="14.25" customHeight="1">
      <c r="A174" t="str">
        <f>IF(Moteur!D174="","",Moteur!D174)</f>
        <v>TUNON_LYO</v>
      </c>
      <c r="B174" t="str">
        <f>IF(Moteur!B174="","",Moteur!B174)</f>
        <v>V02</v>
      </c>
      <c r="C174" t="str">
        <f>IF(Moteur!F174="","",Moteur!F174)</f>
        <v>BAC_TOU</v>
      </c>
      <c r="D174" t="str">
        <f>IF(Moteur!G174="","",Moteur!G174)</f>
        <v>B3</v>
      </c>
      <c r="E174" t="str">
        <f>IF(Moteur!H174="","",Moteur!H174)</f>
        <v>ALT</v>
      </c>
      <c r="F174" t="str">
        <f>IF(Moteur!E174="","",Moteur!E174)</f>
        <v>TUNON</v>
      </c>
      <c r="G174">
        <f>IF($A174="","",_xlfn.SUMIFS(Socle!$H$1:$H$448,Socle!$C$1:$C$448,$A174,Socle!$D$1:$D$448,$C174,Socle!$E$1:$E$448,$D174,Socle!$F$1:$F$448,$E174,Socle!$G$1:$G$448,"2026"))</f>
        <v>0</v>
      </c>
      <c r="H174">
        <f>IF($A174="","",_xlfn.SUMIFS(Socle!$N$1:$N$448,Socle!$C$1:$C$448,$A174,Socle!$D$1:$D$448,$C174,Socle!$E$1:$E$448,$D174,Socle!$F$1:$F$448,$E174,Socle!$G$1:$G$448,"2026"))</f>
        <v>78</v>
      </c>
      <c r="I174">
        <f>IF($A174="","",_xlfn.SUMIFS(Socle!$P$1:$P$448,Socle!$C$1:$C$448,$A174,Socle!$D$1:$D$448,$C174,Socle!$E$1:$E$448,$D174,Socle!$F$1:$F$448,$E174,Socle!$G$1:$G$448,"2026"))</f>
        <v>14700</v>
      </c>
      <c r="J174">
        <f>IF($A174="","",_xlfn.SUMIFS(Socle!$W$1:$W$448,Socle!$C$1:$C$448,$A174,Socle!$D$1:$D$448,$C174,Socle!$E$1:$E$448,$D174,Socle!$F$1:$F$448,$E174,Socle!$G$1:$G$448,"2026"))</f>
        <v>0</v>
      </c>
      <c r="K174">
        <f>IF($A174="","",_xlfn.SUMIFS(Socle!$X$1:$X$448,Socle!$C$1:$C$448,$A174,Socle!$D$1:$D$448,$C174,Socle!$E$1:$E$448,$D174,Socle!$F$1:$F$448,$E174,Socle!$G$1:$G$448,"2026"))</f>
        <v>0</v>
      </c>
      <c r="L174">
        <f>IF($A174="","",_xlfn.SUMIFS(Socle!$Y$1:$Y$448,Socle!$C$1:$C$448,$A174,Socle!$D$1:$D$448,$C174,Socle!$E$1:$E$448,$D174,Socle!$F$1:$F$448,$E174,Socle!$G$1:$G$448,"2026"))</f>
        <v>0</v>
      </c>
      <c r="M174">
        <f>IF($A174="","",_xlfn.SUMIFS(Socle!$V$1:$V$448,Socle!$C$1:$C$448,$A174,Socle!$D$1:$D$448,$C174,Socle!$E$1:$E$448,$D174,Socle!$F$1:$F$448,$E174,Socle!$G$1:$G$448,"2026"))</f>
        <v>1.948717948</v>
      </c>
      <c r="N174">
        <f t="shared" si="0"/>
        <v>0</v>
      </c>
      <c r="O174">
        <f>IF($A174="","",_xlfn.SUMIFS(Campagne!$D$1:$D$128,Campagne!$C$1:$C$128,$A174))</f>
        <v>252</v>
      </c>
      <c r="P174">
        <f>IF($A174="","",_xlfn.SUMIFS(Campagne!$E$1:$E$128,Campagne!$C$1:$C$128,$A174))</f>
        <v>428</v>
      </c>
      <c r="Q174">
        <f>IF($A174="","",_xlfn.SUMIFS(Campagne!$F$1:$F$128,Campagne!$C$1:$C$128,$A174))</f>
        <v>680</v>
      </c>
      <c r="R174">
        <f>IF($A174="","",_xlfn.SUMIFS(Campagne!$K$1:$K$128,Campagne!$C$1:$C$128,$A174))</f>
        <v>0.460843731</v>
      </c>
      <c r="S174">
        <f>IF($A174="","",_xlfn.SUMIFS(Campagne!$M$1:$M$128,Campagne!$C$1:$C$128,$A174))</f>
        <v>0.31798649</v>
      </c>
      <c r="T174">
        <f>IF($A174="","",_xlfn.SUMIFS(PIL!$K$15:$K$28,PIL!$A$15:$A$28,$A174)*_xlfn.SUMIFS(PIL!$J$15:$J$28,PIL!$A$15:$A$28,$A174)*(SUM(PIL!$K$15:$K$28)/SUMPRODUCT(PIL!$K$15:$K$28,PIL!$J$15:$J$28)))</f>
        <v>18850</v>
      </c>
      <c r="U174">
        <f>IF($A174="","",_xlfn.SUMIFS(PIL!$K$15:$K$28,PIL!$A$15:$A$28,$A174))</f>
        <v>18850</v>
      </c>
      <c r="V174" t="s">
        <v>274</v>
      </c>
      <c r="W174" t="s">
        <v>274</v>
      </c>
      <c r="X174" t="s">
        <v>274</v>
      </c>
      <c r="Y174" t="s">
        <v>274</v>
      </c>
      <c r="Z174" t="s">
        <v>274</v>
      </c>
      <c r="AA174" t="s">
        <v>274</v>
      </c>
      <c r="AB174" t="s">
        <v>274</v>
      </c>
      <c r="AC174" t="s">
        <v>274</v>
      </c>
      <c r="AD174" t="e">
        <f t="shared" si="1"/>
        <v>#VALUE!</v>
      </c>
      <c r="AE174">
        <f t="shared" si="2"/>
        <v>0</v>
      </c>
      <c r="AF174" t="e">
        <f t="shared" si="3"/>
        <v>#VALUE!</v>
      </c>
      <c r="AG174" t="e">
        <f t="shared" si="4"/>
        <v>#VALUE!</v>
      </c>
      <c r="AH174" t="e">
        <f t="shared" si="5"/>
        <v>#VALUE!</v>
      </c>
    </row>
    <row r="175" ht="14.25" customHeight="1">
      <c r="A175" t="str">
        <f>IF(Moteur!D175="","",Moteur!D175)</f>
        <v>TUNON_LYO</v>
      </c>
      <c r="B175" t="str">
        <f>IF(Moteur!B175="","",Moteur!B175)</f>
        <v>V03</v>
      </c>
      <c r="C175" t="str">
        <f>IF(Moteur!F175="","",Moteur!F175)</f>
        <v>BAC_TOU</v>
      </c>
      <c r="D175" t="str">
        <f>IF(Moteur!G175="","",Moteur!G175)</f>
        <v>B3</v>
      </c>
      <c r="E175" t="str">
        <f>IF(Moteur!H175="","",Moteur!H175)</f>
        <v>ALT</v>
      </c>
      <c r="F175" t="str">
        <f>IF(Moteur!E175="","",Moteur!E175)</f>
        <v>TUNON</v>
      </c>
      <c r="G175">
        <f>IF($A175="","",_xlfn.SUMIFS(Socle!$H$1:$H$448,Socle!$C$1:$C$448,$A175,Socle!$D$1:$D$448,$C175,Socle!$E$1:$E$448,$D175,Socle!$F$1:$F$448,$E175,Socle!$G$1:$G$448,"2026"))</f>
        <v>0</v>
      </c>
      <c r="H175">
        <f>IF($A175="","",_xlfn.SUMIFS(Socle!$N$1:$N$448,Socle!$C$1:$C$448,$A175,Socle!$D$1:$D$448,$C175,Socle!$E$1:$E$448,$D175,Socle!$F$1:$F$448,$E175,Socle!$G$1:$G$448,"2026"))</f>
        <v>78</v>
      </c>
      <c r="I175">
        <f>IF($A175="","",_xlfn.SUMIFS(Socle!$P$1:$P$448,Socle!$C$1:$C$448,$A175,Socle!$D$1:$D$448,$C175,Socle!$E$1:$E$448,$D175,Socle!$F$1:$F$448,$E175,Socle!$G$1:$G$448,"2026"))</f>
        <v>14700</v>
      </c>
      <c r="J175">
        <f>IF($A175="","",_xlfn.SUMIFS(Socle!$W$1:$W$448,Socle!$C$1:$C$448,$A175,Socle!$D$1:$D$448,$C175,Socle!$E$1:$E$448,$D175,Socle!$F$1:$F$448,$E175,Socle!$G$1:$G$448,"2026"))</f>
        <v>0</v>
      </c>
      <c r="K175">
        <f>IF($A175="","",_xlfn.SUMIFS(Socle!$X$1:$X$448,Socle!$C$1:$C$448,$A175,Socle!$D$1:$D$448,$C175,Socle!$E$1:$E$448,$D175,Socle!$F$1:$F$448,$E175,Socle!$G$1:$G$448,"2026"))</f>
        <v>0</v>
      </c>
      <c r="L175">
        <f>IF($A175="","",_xlfn.SUMIFS(Socle!$Y$1:$Y$448,Socle!$C$1:$C$448,$A175,Socle!$D$1:$D$448,$C175,Socle!$E$1:$E$448,$D175,Socle!$F$1:$F$448,$E175,Socle!$G$1:$G$448,"2026"))</f>
        <v>0</v>
      </c>
      <c r="M175">
        <f>IF($A175="","",_xlfn.SUMIFS(Socle!$V$1:$V$448,Socle!$C$1:$C$448,$A175,Socle!$D$1:$D$448,$C175,Socle!$E$1:$E$448,$D175,Socle!$F$1:$F$448,$E175,Socle!$G$1:$G$448,"2026"))</f>
        <v>1.948717948</v>
      </c>
      <c r="N175">
        <f t="shared" si="0"/>
        <v>0</v>
      </c>
      <c r="O175">
        <f>IF($A175="","",_xlfn.SUMIFS(Campagne!$D$1:$D$128,Campagne!$C$1:$C$128,$A175))</f>
        <v>252</v>
      </c>
      <c r="P175">
        <f>IF($A175="","",_xlfn.SUMIFS(Campagne!$E$1:$E$128,Campagne!$C$1:$C$128,$A175))</f>
        <v>428</v>
      </c>
      <c r="Q175">
        <f>IF($A175="","",_xlfn.SUMIFS(Campagne!$F$1:$F$128,Campagne!$C$1:$C$128,$A175))</f>
        <v>680</v>
      </c>
      <c r="R175">
        <f>IF($A175="","",_xlfn.SUMIFS(Campagne!$K$1:$K$128,Campagne!$C$1:$C$128,$A175))</f>
        <v>0.460843731</v>
      </c>
      <c r="S175">
        <f>IF($A175="","",_xlfn.SUMIFS(Campagne!$M$1:$M$128,Campagne!$C$1:$C$128,$A175))</f>
        <v>0.31798649</v>
      </c>
      <c r="T175">
        <f>IF($A175="","",_xlfn.SUMIFS(PIL!$K$15:$K$28,PIL!$A$15:$A$28,$A175)*_xlfn.SUMIFS(PIL!$J$15:$J$28,PIL!$A$15:$A$28,$A175)*(SUM(PIL!$K$15:$K$28)/SUMPRODUCT(PIL!$K$15:$K$28,PIL!$J$15:$J$28)))</f>
        <v>18850</v>
      </c>
      <c r="U175">
        <f>IF($A175="","",_xlfn.SUMIFS(PIL!$K$15:$K$28,PIL!$A$15:$A$28,$A175))</f>
        <v>18850</v>
      </c>
      <c r="V175" t="s">
        <v>274</v>
      </c>
      <c r="W175" t="s">
        <v>274</v>
      </c>
      <c r="X175" t="s">
        <v>274</v>
      </c>
      <c r="Y175" t="s">
        <v>274</v>
      </c>
      <c r="Z175" t="s">
        <v>274</v>
      </c>
      <c r="AA175" t="s">
        <v>274</v>
      </c>
      <c r="AB175" t="s">
        <v>274</v>
      </c>
      <c r="AC175" t="s">
        <v>274</v>
      </c>
      <c r="AD175" t="e">
        <f t="shared" si="1"/>
        <v>#VALUE!</v>
      </c>
      <c r="AE175">
        <f t="shared" si="2"/>
        <v>0</v>
      </c>
      <c r="AF175" t="e">
        <f t="shared" si="3"/>
        <v>#VALUE!</v>
      </c>
      <c r="AG175" t="e">
        <f t="shared" si="4"/>
        <v>#VALUE!</v>
      </c>
      <c r="AH175" t="e">
        <f t="shared" si="5"/>
        <v>#VALUE!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37CB554-20B4-84F8-5938-FED9C8A75D0F}" mc:Ignorable="x14ac xr xr2 xr3">
  <dimension ref="A1:W1347"/>
  <sheetViews>
    <sheetView topLeftCell="A1" workbookViewId="0">
      <selection activeCell="A1" sqref="A1"/>
    </sheetView>
  </sheetViews>
  <sheetFormatPr defaultRowHeight="14.25" defaultColWidth="9.00390625" customHeight="1"/>
  <sheetData>
    <row r="1" ht="14.25" customHeight="1">
      <c r="A1" t="s">
        <v>311</v>
      </c>
      <c r="B1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301</v>
      </c>
      <c r="H1" t="s">
        <v>302</v>
      </c>
      <c r="I1" t="s">
        <v>317</v>
      </c>
      <c r="J1" t="s">
        <v>318</v>
      </c>
      <c r="K1" t="s">
        <v>319</v>
      </c>
      <c r="L1" t="s">
        <v>320</v>
      </c>
      <c r="M1" t="s">
        <v>123</v>
      </c>
      <c r="N1" t="s">
        <v>321</v>
      </c>
      <c r="O1" t="s">
        <v>322</v>
      </c>
      <c r="P1" t="s">
        <v>323</v>
      </c>
      <c r="R1">
        <f>_xlfn.SUMIFS(Compta!$F$1:$F$1448,Compta!$B$1:$B$1448,"7062",Compta!$C$1:$C$1448,"2026")+_xlfn.SUMIFS(Compta!$F$1:$F$1448,Compta!$B$1:$B$1448,"706",Compta!$C$1:$C$1448,"2026")+_xlfn.SUMIFS(Compta!$F$1:$F$1448,Compta!$B$1:$B$1448,"708",Compta!$C$1:$C$1448,"2026")</f>
        <v>22544725</v>
      </c>
      <c r="T1" t="s">
        <v>324</v>
      </c>
      <c r="V1" t="s">
        <v>310</v>
      </c>
    </row>
    <row r="2" ht="14.25" customHeight="1">
      <c r="A2" t="str">
        <f>IF(PNL!A2="","",PNL!A2)</f>
        <v>MBWAY_PAR</v>
      </c>
      <c r="B2" t="str">
        <f>IF(PNL!B2="","",PNL!B2)</f>
        <v>7062</v>
      </c>
      <c r="C2" t="str">
        <f>IF(PNL!C2="","",PNL!C2)</f>
        <v>2024</v>
      </c>
      <c r="D2" t="str">
        <f>IF(PNL!D2="","",PNL!D2)</f>
        <v>ACT</v>
      </c>
      <c r="E2">
        <f t="shared" si="0" ref="E2:E1347">IF($A2="","",IF(AND($C2="2027",OR($D2="V01",$D2="V02",$D2="V03")),1,0))</f>
        <v>0</v>
      </c>
      <c r="F2">
        <f>IF($A2="","",IF($E2=1,_xlfn.SUMIFS(Compta!$F$1:$F$1448,Compta!$A$1:$A$1448,$A2,Compta!$B$1:$B$1448,$B2,Compta!$C$1:$C$1448,"2026"),0))</f>
        <v>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 t="e">
        <f t="shared" si="1" ref="N2:N1347">IF($A2="","",IF($D2="V01",$R$2,IF($D2="V02",$R$3,$R$4)))</f>
        <v>#VALUE!</v>
      </c>
      <c r="O2" t="e">
        <f t="shared" si="2" ref="O2:O1347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#VALUE!</v>
      </c>
      <c r="P2">
        <f>IF($A2="","",IF($E2=1,$F2*$O2,PNL!G2))</f>
        <v>2197935</v>
      </c>
      <c r="R2" t="e">
        <f>_xlfn.SUMIFS(Moteur!$R$1:$R$175,Moteur!$B$1:$B$175,"V01")/$R$1</f>
        <v>#VALUE!</v>
      </c>
      <c r="T2">
        <f t="shared" si="3" ref="T2:T1347">IF($A2="","",IF($E2=1,IF(OR($B2="7062",$B2="706",$B2="708"),$P2,IF(AND(LEFT($B2,1)="6",$B2&lt;&gt;"6811"),-$P2,0)),0))</f>
        <v>0</v>
      </c>
    </row>
    <row r="3" ht="14.25" customHeight="1">
      <c r="A3" t="str">
        <f>IF(PNL!A3="","",PNL!A3)</f>
        <v>MBWAY_LYO</v>
      </c>
      <c r="B3" t="str">
        <f>IF(PNL!B3="","",PNL!B3)</f>
        <v>7062</v>
      </c>
      <c r="C3" t="str">
        <f>IF(PNL!C3="","",PNL!C3)</f>
        <v>2024</v>
      </c>
      <c r="D3" t="str">
        <f>IF(PNL!D3="","",PNL!D3)</f>
        <v>ACT</v>
      </c>
      <c r="E3">
        <f t="shared" si="0"/>
        <v>0</v>
      </c>
      <c r="F3">
        <f>IF($A3="","",IF($E3=1,_xlfn.SUMIFS(Compta!$F$1:$F$1448,Compta!$A$1:$A$1448,$A3,Compta!$B$1:$B$1448,$B3,Compta!$C$1:$C$1448,"2026"),0))</f>
        <v>0</v>
      </c>
      <c r="G3" t="s">
        <v>274</v>
      </c>
      <c r="H3" t="s">
        <v>274</v>
      </c>
      <c r="I3" t="s">
        <v>274</v>
      </c>
      <c r="J3" t="s">
        <v>274</v>
      </c>
      <c r="K3" t="s">
        <v>274</v>
      </c>
      <c r="L3" t="s">
        <v>274</v>
      </c>
      <c r="M3" t="s">
        <v>274</v>
      </c>
      <c r="N3" t="e">
        <f t="shared" si="1"/>
        <v>#VALUE!</v>
      </c>
      <c r="O3" t="e">
        <f t="shared" si="2"/>
        <v>#VALUE!</v>
      </c>
      <c r="P3">
        <f>IF($A3="","",IF($E3=1,$F3*$O3,PNL!G3))</f>
        <v>1748910</v>
      </c>
      <c r="R3" t="e">
        <f>_xlfn.SUMIFS(Moteur!$R$1:$R$175,Moteur!$B$1:$B$175,"V02")/$R$1</f>
        <v>#VALUE!</v>
      </c>
      <c r="T3">
        <f t="shared" si="3"/>
        <v>0</v>
      </c>
    </row>
    <row r="4" ht="14.25" customHeight="1">
      <c r="A4" t="str">
        <f>IF(PNL!A4="","",PNL!A4)</f>
        <v>MBWAY_NAN</v>
      </c>
      <c r="B4" t="str">
        <f>IF(PNL!B4="","",PNL!B4)</f>
        <v>7062</v>
      </c>
      <c r="C4" t="str">
        <f>IF(PNL!C4="","",PNL!C4)</f>
        <v>2024</v>
      </c>
      <c r="D4" t="str">
        <f>IF(PNL!D4="","",PNL!D4)</f>
        <v>ACT</v>
      </c>
      <c r="E4">
        <f t="shared" si="0"/>
        <v>0</v>
      </c>
      <c r="F4">
        <f>IF($A4="","",IF($E4=1,_xlfn.SUMIFS(Compta!$F$1:$F$1448,Compta!$A$1:$A$1448,$A4,Compta!$B$1:$B$1448,$B4,Compta!$C$1:$C$1448,"2026"),0))</f>
        <v>0</v>
      </c>
      <c r="G4" t="s">
        <v>274</v>
      </c>
      <c r="H4" t="s">
        <v>274</v>
      </c>
      <c r="I4" t="s">
        <v>274</v>
      </c>
      <c r="J4" t="s">
        <v>274</v>
      </c>
      <c r="K4" t="s">
        <v>274</v>
      </c>
      <c r="L4" t="s">
        <v>274</v>
      </c>
      <c r="M4" t="s">
        <v>274</v>
      </c>
      <c r="N4" t="e">
        <f t="shared" si="1"/>
        <v>#VALUE!</v>
      </c>
      <c r="O4" t="e">
        <f t="shared" si="2"/>
        <v>#VALUE!</v>
      </c>
      <c r="P4">
        <f>IF($A4="","",IF($E4=1,$F4*$O4,PNL!G4))</f>
        <v>1510769</v>
      </c>
      <c r="R4" t="e">
        <f>_xlfn.SUMIFS(Moteur!$R$1:$R$175,Moteur!$B$1:$B$175,"V03")/$R$1</f>
        <v>#VALUE!</v>
      </c>
      <c r="T4">
        <f t="shared" si="3"/>
        <v>0</v>
      </c>
    </row>
    <row r="5" ht="14.25" customHeight="1">
      <c r="A5" t="str">
        <f>IF(PNL!A5="","",PNL!A5)</f>
        <v>MBWAY_BOR</v>
      </c>
      <c r="B5" t="str">
        <f>IF(PNL!B5="","",PNL!B5)</f>
        <v>7062</v>
      </c>
      <c r="C5" t="str">
        <f>IF(PNL!C5="","",PNL!C5)</f>
        <v>2024</v>
      </c>
      <c r="D5" t="str">
        <f>IF(PNL!D5="","",PNL!D5)</f>
        <v>ACT</v>
      </c>
      <c r="E5">
        <f t="shared" si="0"/>
        <v>0</v>
      </c>
      <c r="F5">
        <f>IF($A5="","",IF($E5=1,_xlfn.SUMIFS(Compta!$F$1:$F$1448,Compta!$A$1:$A$1448,$A5,Compta!$B$1:$B$1448,$B5,Compta!$C$1:$C$1448,"2026"),0))</f>
        <v>0</v>
      </c>
      <c r="G5" t="s">
        <v>274</v>
      </c>
      <c r="H5" t="s">
        <v>274</v>
      </c>
      <c r="I5" t="s">
        <v>274</v>
      </c>
      <c r="J5" t="s">
        <v>274</v>
      </c>
      <c r="K5" t="s">
        <v>274</v>
      </c>
      <c r="L5" t="s">
        <v>274</v>
      </c>
      <c r="M5" t="s">
        <v>274</v>
      </c>
      <c r="N5" t="e">
        <f t="shared" si="1"/>
        <v>#VALUE!</v>
      </c>
      <c r="O5" t="e">
        <f t="shared" si="2"/>
        <v>#VALUE!</v>
      </c>
      <c r="P5">
        <f>IF($A5="","",IF($E5=1,$F5*$O5,PNL!G5))</f>
        <v>1240125</v>
      </c>
      <c r="T5">
        <f t="shared" si="3"/>
        <v>0</v>
      </c>
    </row>
    <row r="6" ht="14.25" customHeight="1">
      <c r="A6" t="str">
        <f>IF(PNL!A6="","",PNL!A6)</f>
        <v>ISCOM_PAR</v>
      </c>
      <c r="B6" t="str">
        <f>IF(PNL!B6="","",PNL!B6)</f>
        <v>7062</v>
      </c>
      <c r="C6" t="str">
        <f>IF(PNL!C6="","",PNL!C6)</f>
        <v>2024</v>
      </c>
      <c r="D6" t="str">
        <f>IF(PNL!D6="","",PNL!D6)</f>
        <v>ACT</v>
      </c>
      <c r="E6">
        <f t="shared" si="0"/>
        <v>0</v>
      </c>
      <c r="F6">
        <f>IF($A6="","",IF($E6=1,_xlfn.SUMIFS(Compta!$F$1:$F$1448,Compta!$A$1:$A$1448,$A6,Compta!$B$1:$B$1448,$B6,Compta!$C$1:$C$1448,"2026"),0))</f>
        <v>0</v>
      </c>
      <c r="G6" t="s">
        <v>274</v>
      </c>
      <c r="H6" t="s">
        <v>274</v>
      </c>
      <c r="I6" t="s">
        <v>274</v>
      </c>
      <c r="J6" t="s">
        <v>274</v>
      </c>
      <c r="K6" t="s">
        <v>274</v>
      </c>
      <c r="L6" t="s">
        <v>274</v>
      </c>
      <c r="M6" t="s">
        <v>274</v>
      </c>
      <c r="N6" t="e">
        <f t="shared" si="1"/>
        <v>#VALUE!</v>
      </c>
      <c r="O6" t="e">
        <f t="shared" si="2"/>
        <v>#VALUE!</v>
      </c>
      <c r="P6">
        <f>IF($A6="","",IF($E6=1,$F6*$O6,PNL!G6))</f>
        <v>2038946</v>
      </c>
      <c r="T6">
        <f t="shared" si="3"/>
        <v>0</v>
      </c>
    </row>
    <row r="7" ht="14.25" customHeight="1">
      <c r="A7" t="str">
        <f>IF(PNL!A7="","",PNL!A7)</f>
        <v>ISCOM_LIL</v>
      </c>
      <c r="B7" t="str">
        <f>IF(PNL!B7="","",PNL!B7)</f>
        <v>7062</v>
      </c>
      <c r="C7" t="str">
        <f>IF(PNL!C7="","",PNL!C7)</f>
        <v>2024</v>
      </c>
      <c r="D7" t="str">
        <f>IF(PNL!D7="","",PNL!D7)</f>
        <v>ACT</v>
      </c>
      <c r="E7">
        <f t="shared" si="0"/>
        <v>0</v>
      </c>
      <c r="F7">
        <f>IF($A7="","",IF($E7=1,_xlfn.SUMIFS(Compta!$F$1:$F$1448,Compta!$A$1:$A$1448,$A7,Compta!$B$1:$B$1448,$B7,Compta!$C$1:$C$1448,"2026"),0))</f>
        <v>0</v>
      </c>
      <c r="G7" t="s">
        <v>274</v>
      </c>
      <c r="H7" t="s">
        <v>274</v>
      </c>
      <c r="I7" t="s">
        <v>274</v>
      </c>
      <c r="J7" t="s">
        <v>274</v>
      </c>
      <c r="K7" t="s">
        <v>274</v>
      </c>
      <c r="L7" t="s">
        <v>274</v>
      </c>
      <c r="M7" t="s">
        <v>274</v>
      </c>
      <c r="N7" t="e">
        <f t="shared" si="1"/>
        <v>#VALUE!</v>
      </c>
      <c r="O7" t="e">
        <f t="shared" si="2"/>
        <v>#VALUE!</v>
      </c>
      <c r="P7">
        <f>IF($A7="","",IF($E7=1,$F7*$O7,PNL!G7))</f>
        <v>1227617</v>
      </c>
      <c r="T7">
        <f t="shared" si="3"/>
        <v>0</v>
      </c>
    </row>
    <row r="8" ht="14.25" customHeight="1">
      <c r="A8" t="str">
        <f>IF(PNL!A8="","",PNL!A8)</f>
        <v>ISCOM_TLS</v>
      </c>
      <c r="B8" t="str">
        <f>IF(PNL!B8="","",PNL!B8)</f>
        <v>7062</v>
      </c>
      <c r="C8" t="str">
        <f>IF(PNL!C8="","",PNL!C8)</f>
        <v>2024</v>
      </c>
      <c r="D8" t="str">
        <f>IF(PNL!D8="","",PNL!D8)</f>
        <v>ACT</v>
      </c>
      <c r="E8">
        <f t="shared" si="0"/>
        <v>0</v>
      </c>
      <c r="F8">
        <f>IF($A8="","",IF($E8=1,_xlfn.SUMIFS(Compta!$F$1:$F$1448,Compta!$A$1:$A$1448,$A8,Compta!$B$1:$B$1448,$B8,Compta!$C$1:$C$1448,"2026"),0))</f>
        <v>0</v>
      </c>
      <c r="G8" t="s">
        <v>274</v>
      </c>
      <c r="H8" t="s">
        <v>274</v>
      </c>
      <c r="I8" t="s">
        <v>274</v>
      </c>
      <c r="J8" t="s">
        <v>274</v>
      </c>
      <c r="K8" t="s">
        <v>274</v>
      </c>
      <c r="L8" t="s">
        <v>274</v>
      </c>
      <c r="M8" t="s">
        <v>274</v>
      </c>
      <c r="N8" t="e">
        <f t="shared" si="1"/>
        <v>#VALUE!</v>
      </c>
      <c r="O8" t="e">
        <f t="shared" si="2"/>
        <v>#VALUE!</v>
      </c>
      <c r="P8">
        <f>IF($A8="","",IF($E8=1,$F8*$O8,PNL!G8))</f>
        <v>1140192</v>
      </c>
      <c r="T8">
        <f t="shared" si="3"/>
        <v>0</v>
      </c>
    </row>
    <row r="9" ht="14.25" customHeight="1">
      <c r="A9" t="str">
        <f>IF(PNL!A9="","",PNL!A9)</f>
        <v>IPAC_NAN</v>
      </c>
      <c r="B9" t="str">
        <f>IF(PNL!B9="","",PNL!B9)</f>
        <v>7062</v>
      </c>
      <c r="C9" t="str">
        <f>IF(PNL!C9="","",PNL!C9)</f>
        <v>2024</v>
      </c>
      <c r="D9" t="str">
        <f>IF(PNL!D9="","",PNL!D9)</f>
        <v>ACT</v>
      </c>
      <c r="E9">
        <f t="shared" si="0"/>
        <v>0</v>
      </c>
      <c r="F9">
        <f>IF($A9="","",IF($E9=1,_xlfn.SUMIFS(Compta!$F$1:$F$1448,Compta!$A$1:$A$1448,$A9,Compta!$B$1:$B$1448,$B9,Compta!$C$1:$C$1448,"2026"),0))</f>
        <v>0</v>
      </c>
      <c r="G9" t="s">
        <v>274</v>
      </c>
      <c r="H9" t="s">
        <v>274</v>
      </c>
      <c r="I9" t="s">
        <v>274</v>
      </c>
      <c r="J9" t="s">
        <v>274</v>
      </c>
      <c r="K9" t="s">
        <v>274</v>
      </c>
      <c r="L9" t="s">
        <v>274</v>
      </c>
      <c r="M9" t="s">
        <v>274</v>
      </c>
      <c r="N9" t="e">
        <f t="shared" si="1"/>
        <v>#VALUE!</v>
      </c>
      <c r="O9" t="e">
        <f t="shared" si="2"/>
        <v>#VALUE!</v>
      </c>
      <c r="P9">
        <f>IF($A9="","",IF($E9=1,$F9*$O9,PNL!G9))</f>
        <v>903346</v>
      </c>
      <c r="T9">
        <f t="shared" si="3"/>
        <v>0</v>
      </c>
    </row>
    <row r="10" ht="14.25" customHeight="1">
      <c r="A10" t="str">
        <f>IF(PNL!A10="","",PNL!A10)</f>
        <v>IPAC_REN</v>
      </c>
      <c r="B10" t="str">
        <f>IF(PNL!B10="","",PNL!B10)</f>
        <v>7062</v>
      </c>
      <c r="C10" t="str">
        <f>IF(PNL!C10="","",PNL!C10)</f>
        <v>2024</v>
      </c>
      <c r="D10" t="str">
        <f>IF(PNL!D10="","",PNL!D10)</f>
        <v>ACT</v>
      </c>
      <c r="E10">
        <f t="shared" si="0"/>
        <v>0</v>
      </c>
      <c r="F10">
        <f>IF($A10="","",IF($E10=1,_xlfn.SUMIFS(Compta!$F$1:$F$1448,Compta!$A$1:$A$1448,$A10,Compta!$B$1:$B$1448,$B10,Compta!$C$1:$C$1448,"2026"),0))</f>
        <v>0</v>
      </c>
      <c r="G10" t="s">
        <v>274</v>
      </c>
      <c r="H10" t="s">
        <v>274</v>
      </c>
      <c r="I10" t="s">
        <v>274</v>
      </c>
      <c r="J10" t="s">
        <v>274</v>
      </c>
      <c r="K10" t="s">
        <v>274</v>
      </c>
      <c r="L10" t="s">
        <v>274</v>
      </c>
      <c r="M10" t="s">
        <v>274</v>
      </c>
      <c r="N10" t="e">
        <f t="shared" si="1"/>
        <v>#VALUE!</v>
      </c>
      <c r="O10" t="e">
        <f t="shared" si="2"/>
        <v>#VALUE!</v>
      </c>
      <c r="P10">
        <f>IF($A10="","",IF($E10=1,$F10*$O10,PNL!G10))</f>
        <v>692462</v>
      </c>
      <c r="T10">
        <f t="shared" si="3"/>
        <v>0</v>
      </c>
    </row>
    <row r="11" ht="14.25" customHeight="1">
      <c r="A11" t="str">
        <f>IF(PNL!A11="","",PNL!A11)</f>
        <v>IPAC_MTP</v>
      </c>
      <c r="B11" t="str">
        <f>IF(PNL!B11="","",PNL!B11)</f>
        <v>7062</v>
      </c>
      <c r="C11" t="str">
        <f>IF(PNL!C11="","",PNL!C11)</f>
        <v>2024</v>
      </c>
      <c r="D11" t="str">
        <f>IF(PNL!D11="","",PNL!D11)</f>
        <v>ACT</v>
      </c>
      <c r="E11">
        <f t="shared" si="0"/>
        <v>0</v>
      </c>
      <c r="F11">
        <f>IF($A11="","",IF($E11=1,_xlfn.SUMIFS(Compta!$F$1:$F$1448,Compta!$A$1:$A$1448,$A11,Compta!$B$1:$B$1448,$B11,Compta!$C$1:$C$1448,"2026"),0))</f>
        <v>0</v>
      </c>
      <c r="G11" t="s">
        <v>274</v>
      </c>
      <c r="H11" t="s">
        <v>274</v>
      </c>
      <c r="I11" t="s">
        <v>274</v>
      </c>
      <c r="J11" t="s">
        <v>274</v>
      </c>
      <c r="K11" t="s">
        <v>274</v>
      </c>
      <c r="L11" t="s">
        <v>274</v>
      </c>
      <c r="M11" t="s">
        <v>274</v>
      </c>
      <c r="N11" t="e">
        <f t="shared" si="1"/>
        <v>#VALUE!</v>
      </c>
      <c r="O11" t="e">
        <f t="shared" si="2"/>
        <v>#VALUE!</v>
      </c>
      <c r="P11">
        <f>IF($A11="","",IF($E11=1,$F11*$O11,PNL!G11))</f>
        <v>692462</v>
      </c>
      <c r="T11">
        <f t="shared" si="3"/>
        <v>0</v>
      </c>
    </row>
    <row r="12" ht="14.25" customHeight="1">
      <c r="A12" t="str">
        <f>IF(PNL!A12="","",PNL!A12)</f>
        <v>PIGIER_LYO</v>
      </c>
      <c r="B12" t="str">
        <f>IF(PNL!B12="","",PNL!B12)</f>
        <v>7062</v>
      </c>
      <c r="C12" t="str">
        <f>IF(PNL!C12="","",PNL!C12)</f>
        <v>2024</v>
      </c>
      <c r="D12" t="str">
        <f>IF(PNL!D12="","",PNL!D12)</f>
        <v>ACT</v>
      </c>
      <c r="E12">
        <f t="shared" si="0"/>
        <v>0</v>
      </c>
      <c r="F12">
        <f>IF($A12="","",IF($E12=1,_xlfn.SUMIFS(Compta!$F$1:$F$1448,Compta!$A$1:$A$1448,$A12,Compta!$B$1:$B$1448,$B12,Compta!$C$1:$C$1448,"2026"),0))</f>
        <v>0</v>
      </c>
      <c r="G12" t="s">
        <v>274</v>
      </c>
      <c r="H12" t="s">
        <v>274</v>
      </c>
      <c r="I12" t="s">
        <v>274</v>
      </c>
      <c r="J12" t="s">
        <v>274</v>
      </c>
      <c r="K12" t="s">
        <v>274</v>
      </c>
      <c r="L12" t="s">
        <v>274</v>
      </c>
      <c r="M12" t="s">
        <v>274</v>
      </c>
      <c r="N12" t="e">
        <f t="shared" si="1"/>
        <v>#VALUE!</v>
      </c>
      <c r="O12" t="e">
        <f t="shared" si="2"/>
        <v>#VALUE!</v>
      </c>
      <c r="P12">
        <f>IF($A12="","",IF($E12=1,$F12*$O12,PNL!G12))</f>
        <v>1105509</v>
      </c>
      <c r="T12">
        <f t="shared" si="3"/>
        <v>0</v>
      </c>
    </row>
    <row r="13" ht="14.25" customHeight="1">
      <c r="A13" t="str">
        <f>IF(PNL!A13="","",PNL!A13)</f>
        <v>PIGIER_BOR</v>
      </c>
      <c r="B13" t="str">
        <f>IF(PNL!B13="","",PNL!B13)</f>
        <v>7062</v>
      </c>
      <c r="C13" t="str">
        <f>IF(PNL!C13="","",PNL!C13)</f>
        <v>2024</v>
      </c>
      <c r="D13" t="str">
        <f>IF(PNL!D13="","",PNL!D13)</f>
        <v>ACT</v>
      </c>
      <c r="E13">
        <f t="shared" si="0"/>
        <v>0</v>
      </c>
      <c r="F13">
        <f>IF($A13="","",IF($E13=1,_xlfn.SUMIFS(Compta!$F$1:$F$1448,Compta!$A$1:$A$1448,$A13,Compta!$B$1:$B$1448,$B13,Compta!$C$1:$C$1448,"2026"),0))</f>
        <v>0</v>
      </c>
      <c r="G13" t="s">
        <v>274</v>
      </c>
      <c r="H13" t="s">
        <v>274</v>
      </c>
      <c r="I13" t="s">
        <v>274</v>
      </c>
      <c r="J13" t="s">
        <v>274</v>
      </c>
      <c r="K13" t="s">
        <v>274</v>
      </c>
      <c r="L13" t="s">
        <v>274</v>
      </c>
      <c r="M13" t="s">
        <v>274</v>
      </c>
      <c r="N13" t="e">
        <f t="shared" si="1"/>
        <v>#VALUE!</v>
      </c>
      <c r="O13" t="e">
        <f t="shared" si="2"/>
        <v>#VALUE!</v>
      </c>
      <c r="P13">
        <f>IF($A13="","",IF($E13=1,$F13*$O13,PNL!G13))</f>
        <v>796823</v>
      </c>
      <c r="T13">
        <f t="shared" si="3"/>
        <v>0</v>
      </c>
    </row>
    <row r="14" ht="14.25" customHeight="1">
      <c r="A14" t="str">
        <f>IF(PNL!A14="","",PNL!A14)</f>
        <v>TUNON_PAR</v>
      </c>
      <c r="B14" t="str">
        <f>IF(PNL!B14="","",PNL!B14)</f>
        <v>7062</v>
      </c>
      <c r="C14" t="str">
        <f>IF(PNL!C14="","",PNL!C14)</f>
        <v>2024</v>
      </c>
      <c r="D14" t="str">
        <f>IF(PNL!D14="","",PNL!D14)</f>
        <v>ACT</v>
      </c>
      <c r="E14">
        <f t="shared" si="0"/>
        <v>0</v>
      </c>
      <c r="F14">
        <f>IF($A14="","",IF($E14=1,_xlfn.SUMIFS(Compta!$F$1:$F$1448,Compta!$A$1:$A$1448,$A14,Compta!$B$1:$B$1448,$B14,Compta!$C$1:$C$1448,"2026"),0))</f>
        <v>0</v>
      </c>
      <c r="G14" t="s">
        <v>274</v>
      </c>
      <c r="H14" t="s">
        <v>274</v>
      </c>
      <c r="I14" t="s">
        <v>274</v>
      </c>
      <c r="J14" t="s">
        <v>274</v>
      </c>
      <c r="K14" t="s">
        <v>274</v>
      </c>
      <c r="L14" t="s">
        <v>274</v>
      </c>
      <c r="M14" t="s">
        <v>274</v>
      </c>
      <c r="N14" t="e">
        <f t="shared" si="1"/>
        <v>#VALUE!</v>
      </c>
      <c r="O14" t="e">
        <f t="shared" si="2"/>
        <v>#VALUE!</v>
      </c>
      <c r="P14">
        <f>IF($A14="","",IF($E14=1,$F14*$O14,PNL!G14))</f>
        <v>962905</v>
      </c>
      <c r="T14">
        <f t="shared" si="3"/>
        <v>0</v>
      </c>
    </row>
    <row r="15" ht="14.25" customHeight="1">
      <c r="A15" t="str">
        <f>IF(PNL!A15="","",PNL!A15)</f>
        <v>TUNON_LYO</v>
      </c>
      <c r="B15" t="str">
        <f>IF(PNL!B15="","",PNL!B15)</f>
        <v>7062</v>
      </c>
      <c r="C15" t="str">
        <f>IF(PNL!C15="","",PNL!C15)</f>
        <v>2024</v>
      </c>
      <c r="D15" t="str">
        <f>IF(PNL!D15="","",PNL!D15)</f>
        <v>ACT</v>
      </c>
      <c r="E15">
        <f t="shared" si="0"/>
        <v>0</v>
      </c>
      <c r="F15">
        <f>IF($A15="","",IF($E15=1,_xlfn.SUMIFS(Compta!$F$1:$F$1448,Compta!$A$1:$A$1448,$A15,Compta!$B$1:$B$1448,$B15,Compta!$C$1:$C$1448,"2026"),0))</f>
        <v>0</v>
      </c>
      <c r="G15" t="s">
        <v>274</v>
      </c>
      <c r="H15" t="s">
        <v>274</v>
      </c>
      <c r="I15" t="s">
        <v>274</v>
      </c>
      <c r="J15" t="s">
        <v>274</v>
      </c>
      <c r="K15" t="s">
        <v>274</v>
      </c>
      <c r="L15" t="s">
        <v>274</v>
      </c>
      <c r="M15" t="s">
        <v>274</v>
      </c>
      <c r="N15" t="e">
        <f t="shared" si="1"/>
        <v>#VALUE!</v>
      </c>
      <c r="O15" t="e">
        <f t="shared" si="2"/>
        <v>#VALUE!</v>
      </c>
      <c r="P15">
        <f>IF($A15="","",IF($E15=1,$F15*$O15,PNL!G15))</f>
        <v>765352</v>
      </c>
      <c r="T15">
        <f t="shared" si="3"/>
        <v>0</v>
      </c>
    </row>
    <row r="16" ht="14.25" customHeight="1">
      <c r="A16" t="str">
        <f>IF(PNL!A16="","",PNL!A16)</f>
        <v>MBWAY_PAR</v>
      </c>
      <c r="B16" t="str">
        <f>IF(PNL!B16="","",PNL!B16)</f>
        <v>7062</v>
      </c>
      <c r="C16" t="str">
        <f>IF(PNL!C16="","",PNL!C16)</f>
        <v>2025</v>
      </c>
      <c r="D16" t="str">
        <f>IF(PNL!D16="","",PNL!D16)</f>
        <v>ACT</v>
      </c>
      <c r="E16">
        <f t="shared" si="0"/>
        <v>0</v>
      </c>
      <c r="F16">
        <f>IF($A16="","",IF($E16=1,_xlfn.SUMIFS(Compta!$F$1:$F$1448,Compta!$A$1:$A$1448,$A16,Compta!$B$1:$B$1448,$B16,Compta!$C$1:$C$1448,"2026"),0))</f>
        <v>0</v>
      </c>
      <c r="G16" t="s">
        <v>274</v>
      </c>
      <c r="H16" t="s">
        <v>274</v>
      </c>
      <c r="I16" t="s">
        <v>274</v>
      </c>
      <c r="J16" t="s">
        <v>274</v>
      </c>
      <c r="K16" t="s">
        <v>274</v>
      </c>
      <c r="L16" t="s">
        <v>274</v>
      </c>
      <c r="M16" t="s">
        <v>274</v>
      </c>
      <c r="N16" t="e">
        <f t="shared" si="1"/>
        <v>#VALUE!</v>
      </c>
      <c r="O16" t="e">
        <f t="shared" si="2"/>
        <v>#VALUE!</v>
      </c>
      <c r="P16">
        <f>IF($A16="","",IF($E16=1,$F16*$O16,PNL!G16))</f>
        <v>2329811</v>
      </c>
      <c r="T16">
        <f t="shared" si="3"/>
        <v>0</v>
      </c>
    </row>
    <row r="17" ht="14.25" customHeight="1">
      <c r="A17" t="str">
        <f>IF(PNL!A17="","",PNL!A17)</f>
        <v>MBWAY_LYO</v>
      </c>
      <c r="B17" t="str">
        <f>IF(PNL!B17="","",PNL!B17)</f>
        <v>7062</v>
      </c>
      <c r="C17" t="str">
        <f>IF(PNL!C17="","",PNL!C17)</f>
        <v>2025</v>
      </c>
      <c r="D17" t="str">
        <f>IF(PNL!D17="","",PNL!D17)</f>
        <v>ACT</v>
      </c>
      <c r="E17">
        <f t="shared" si="0"/>
        <v>0</v>
      </c>
      <c r="F17">
        <f>IF($A17="","",IF($E17=1,_xlfn.SUMIFS(Compta!$F$1:$F$1448,Compta!$A$1:$A$1448,$A17,Compta!$B$1:$B$1448,$B17,Compta!$C$1:$C$1448,"2026"),0))</f>
        <v>0</v>
      </c>
      <c r="G17" t="s">
        <v>274</v>
      </c>
      <c r="H17" t="s">
        <v>274</v>
      </c>
      <c r="I17" t="s">
        <v>274</v>
      </c>
      <c r="J17" t="s">
        <v>274</v>
      </c>
      <c r="K17" t="s">
        <v>274</v>
      </c>
      <c r="L17" t="s">
        <v>274</v>
      </c>
      <c r="M17" t="s">
        <v>274</v>
      </c>
      <c r="N17" t="e">
        <f t="shared" si="1"/>
        <v>#VALUE!</v>
      </c>
      <c r="O17" t="e">
        <f t="shared" si="2"/>
        <v>#VALUE!</v>
      </c>
      <c r="P17">
        <f>IF($A17="","",IF($E17=1,$F17*$O17,PNL!G17))</f>
        <v>1853844</v>
      </c>
      <c r="T17">
        <f t="shared" si="3"/>
        <v>0</v>
      </c>
    </row>
    <row r="18" ht="14.25" customHeight="1">
      <c r="A18" t="str">
        <f>IF(PNL!A18="","",PNL!A18)</f>
        <v>MBWAY_NAN</v>
      </c>
      <c r="B18" t="str">
        <f>IF(PNL!B18="","",PNL!B18)</f>
        <v>7062</v>
      </c>
      <c r="C18" t="str">
        <f>IF(PNL!C18="","",PNL!C18)</f>
        <v>2025</v>
      </c>
      <c r="D18" t="str">
        <f>IF(PNL!D18="","",PNL!D18)</f>
        <v>ACT</v>
      </c>
      <c r="E18">
        <f t="shared" si="0"/>
        <v>0</v>
      </c>
      <c r="F18">
        <f>IF($A18="","",IF($E18=1,_xlfn.SUMIFS(Compta!$F$1:$F$1448,Compta!$A$1:$A$1448,$A18,Compta!$B$1:$B$1448,$B18,Compta!$C$1:$C$1448,"2026"),0))</f>
        <v>0</v>
      </c>
      <c r="G18" t="s">
        <v>274</v>
      </c>
      <c r="H18" t="s">
        <v>274</v>
      </c>
      <c r="I18" t="s">
        <v>274</v>
      </c>
      <c r="J18" t="s">
        <v>274</v>
      </c>
      <c r="K18" t="s">
        <v>274</v>
      </c>
      <c r="L18" t="s">
        <v>274</v>
      </c>
      <c r="M18" t="s">
        <v>274</v>
      </c>
      <c r="N18" t="e">
        <f t="shared" si="1"/>
        <v>#VALUE!</v>
      </c>
      <c r="O18" t="e">
        <f t="shared" si="2"/>
        <v>#VALUE!</v>
      </c>
      <c r="P18">
        <f>IF($A18="","",IF($E18=1,$F18*$O18,PNL!G18))</f>
        <v>1601415</v>
      </c>
      <c r="T18">
        <f t="shared" si="3"/>
        <v>0</v>
      </c>
    </row>
    <row r="19" ht="14.25" customHeight="1">
      <c r="A19" t="str">
        <f>IF(PNL!A19="","",PNL!A19)</f>
        <v>MBWAY_BOR</v>
      </c>
      <c r="B19" t="str">
        <f>IF(PNL!B19="","",PNL!B19)</f>
        <v>7062</v>
      </c>
      <c r="C19" t="str">
        <f>IF(PNL!C19="","",PNL!C19)</f>
        <v>2025</v>
      </c>
      <c r="D19" t="str">
        <f>IF(PNL!D19="","",PNL!D19)</f>
        <v>ACT</v>
      </c>
      <c r="E19">
        <f t="shared" si="0"/>
        <v>0</v>
      </c>
      <c r="F19">
        <f>IF($A19="","",IF($E19=1,_xlfn.SUMIFS(Compta!$F$1:$F$1448,Compta!$A$1:$A$1448,$A19,Compta!$B$1:$B$1448,$B19,Compta!$C$1:$C$1448,"2026"),0))</f>
        <v>0</v>
      </c>
      <c r="G19" t="s">
        <v>274</v>
      </c>
      <c r="H19" t="s">
        <v>274</v>
      </c>
      <c r="I19" t="s">
        <v>274</v>
      </c>
      <c r="J19" t="s">
        <v>274</v>
      </c>
      <c r="K19" t="s">
        <v>274</v>
      </c>
      <c r="L19" t="s">
        <v>274</v>
      </c>
      <c r="M19" t="s">
        <v>274</v>
      </c>
      <c r="N19" t="e">
        <f t="shared" si="1"/>
        <v>#VALUE!</v>
      </c>
      <c r="O19" t="e">
        <f t="shared" si="2"/>
        <v>#VALUE!</v>
      </c>
      <c r="P19">
        <f>IF($A19="","",IF($E19=1,$F19*$O19,PNL!G19))</f>
        <v>1314533</v>
      </c>
      <c r="T19">
        <f t="shared" si="3"/>
        <v>0</v>
      </c>
    </row>
    <row r="20" ht="14.25" customHeight="1">
      <c r="A20" t="str">
        <f>IF(PNL!A20="","",PNL!A20)</f>
        <v>ISCOM_PAR</v>
      </c>
      <c r="B20" t="str">
        <f>IF(PNL!B20="","",PNL!B20)</f>
        <v>7062</v>
      </c>
      <c r="C20" t="str">
        <f>IF(PNL!C20="","",PNL!C20)</f>
        <v>2025</v>
      </c>
      <c r="D20" t="str">
        <f>IF(PNL!D20="","",PNL!D20)</f>
        <v>ACT</v>
      </c>
      <c r="E20">
        <f t="shared" si="0"/>
        <v>0</v>
      </c>
      <c r="F20">
        <f>IF($A20="","",IF($E20=1,_xlfn.SUMIFS(Compta!$F$1:$F$1448,Compta!$A$1:$A$1448,$A20,Compta!$B$1:$B$1448,$B20,Compta!$C$1:$C$1448,"2026"),0))</f>
        <v>0</v>
      </c>
      <c r="G20" t="s">
        <v>274</v>
      </c>
      <c r="H20" t="s">
        <v>274</v>
      </c>
      <c r="I20" t="s">
        <v>274</v>
      </c>
      <c r="J20" t="s">
        <v>274</v>
      </c>
      <c r="K20" t="s">
        <v>274</v>
      </c>
      <c r="L20" t="s">
        <v>274</v>
      </c>
      <c r="M20" t="s">
        <v>274</v>
      </c>
      <c r="N20" t="e">
        <f t="shared" si="1"/>
        <v>#VALUE!</v>
      </c>
      <c r="O20" t="e">
        <f t="shared" si="2"/>
        <v>#VALUE!</v>
      </c>
      <c r="P20">
        <f>IF($A20="","",IF($E20=1,$F20*$O20,PNL!G20))</f>
        <v>2161283</v>
      </c>
      <c r="T20">
        <f t="shared" si="3"/>
        <v>0</v>
      </c>
    </row>
    <row r="21" ht="14.25" customHeight="1">
      <c r="A21" t="str">
        <f>IF(PNL!A21="","",PNL!A21)</f>
        <v>ISCOM_LIL</v>
      </c>
      <c r="B21" t="str">
        <f>IF(PNL!B21="","",PNL!B21)</f>
        <v>7062</v>
      </c>
      <c r="C21" t="str">
        <f>IF(PNL!C21="","",PNL!C21)</f>
        <v>2025</v>
      </c>
      <c r="D21" t="str">
        <f>IF(PNL!D21="","",PNL!D21)</f>
        <v>ACT</v>
      </c>
      <c r="E21">
        <f t="shared" si="0"/>
        <v>0</v>
      </c>
      <c r="F21">
        <f>IF($A21="","",IF($E21=1,_xlfn.SUMIFS(Compta!$F$1:$F$1448,Compta!$A$1:$A$1448,$A21,Compta!$B$1:$B$1448,$B21,Compta!$C$1:$C$1448,"2026"),0))</f>
        <v>0</v>
      </c>
      <c r="G21" t="s">
        <v>274</v>
      </c>
      <c r="H21" t="s">
        <v>274</v>
      </c>
      <c r="I21" t="s">
        <v>274</v>
      </c>
      <c r="J21" t="s">
        <v>274</v>
      </c>
      <c r="K21" t="s">
        <v>274</v>
      </c>
      <c r="L21" t="s">
        <v>274</v>
      </c>
      <c r="M21" t="s">
        <v>274</v>
      </c>
      <c r="N21" t="e">
        <f t="shared" si="1"/>
        <v>#VALUE!</v>
      </c>
      <c r="O21" t="e">
        <f t="shared" si="2"/>
        <v>#VALUE!</v>
      </c>
      <c r="P21">
        <f>IF($A21="","",IF($E21=1,$F21*$O21,PNL!G21))</f>
        <v>1301274</v>
      </c>
      <c r="T21">
        <f t="shared" si="3"/>
        <v>0</v>
      </c>
    </row>
    <row r="22" ht="14.25" customHeight="1">
      <c r="A22" t="str">
        <f>IF(PNL!A22="","",PNL!A22)</f>
        <v>ISCOM_TLS</v>
      </c>
      <c r="B22" t="str">
        <f>IF(PNL!B22="","",PNL!B22)</f>
        <v>7062</v>
      </c>
      <c r="C22" t="str">
        <f>IF(PNL!C22="","",PNL!C22)</f>
        <v>2025</v>
      </c>
      <c r="D22" t="str">
        <f>IF(PNL!D22="","",PNL!D22)</f>
        <v>ACT</v>
      </c>
      <c r="E22">
        <f t="shared" si="0"/>
        <v>0</v>
      </c>
      <c r="F22">
        <f>IF($A22="","",IF($E22=1,_xlfn.SUMIFS(Compta!$F$1:$F$1448,Compta!$A$1:$A$1448,$A22,Compta!$B$1:$B$1448,$B22,Compta!$C$1:$C$1448,"2026"),0))</f>
        <v>0</v>
      </c>
      <c r="G22" t="s">
        <v>274</v>
      </c>
      <c r="H22" t="s">
        <v>274</v>
      </c>
      <c r="I22" t="s">
        <v>274</v>
      </c>
      <c r="J22" t="s">
        <v>274</v>
      </c>
      <c r="K22" t="s">
        <v>274</v>
      </c>
      <c r="L22" t="s">
        <v>274</v>
      </c>
      <c r="M22" t="s">
        <v>274</v>
      </c>
      <c r="N22" t="e">
        <f t="shared" si="1"/>
        <v>#VALUE!</v>
      </c>
      <c r="O22" t="e">
        <f t="shared" si="2"/>
        <v>#VALUE!</v>
      </c>
      <c r="P22">
        <f>IF($A22="","",IF($E22=1,$F22*$O22,PNL!G22))</f>
        <v>1208604</v>
      </c>
      <c r="T22">
        <f t="shared" si="3"/>
        <v>0</v>
      </c>
    </row>
    <row r="23" ht="14.25" customHeight="1">
      <c r="A23" t="str">
        <f>IF(PNL!A23="","",PNL!A23)</f>
        <v>IPAC_NAN</v>
      </c>
      <c r="B23" t="str">
        <f>IF(PNL!B23="","",PNL!B23)</f>
        <v>7062</v>
      </c>
      <c r="C23" t="str">
        <f>IF(PNL!C23="","",PNL!C23)</f>
        <v>2025</v>
      </c>
      <c r="D23" t="str">
        <f>IF(PNL!D23="","",PNL!D23)</f>
        <v>ACT</v>
      </c>
      <c r="E23">
        <f t="shared" si="0"/>
        <v>0</v>
      </c>
      <c r="F23">
        <f>IF($A23="","",IF($E23=1,_xlfn.SUMIFS(Compta!$F$1:$F$1448,Compta!$A$1:$A$1448,$A23,Compta!$B$1:$B$1448,$B23,Compta!$C$1:$C$1448,"2026"),0))</f>
        <v>0</v>
      </c>
      <c r="G23" t="s">
        <v>274</v>
      </c>
      <c r="H23" t="s">
        <v>274</v>
      </c>
      <c r="I23" t="s">
        <v>274</v>
      </c>
      <c r="J23" t="s">
        <v>274</v>
      </c>
      <c r="K23" t="s">
        <v>274</v>
      </c>
      <c r="L23" t="s">
        <v>274</v>
      </c>
      <c r="M23" t="s">
        <v>274</v>
      </c>
      <c r="N23" t="e">
        <f t="shared" si="1"/>
        <v>#VALUE!</v>
      </c>
      <c r="O23" t="e">
        <f t="shared" si="2"/>
        <v>#VALUE!</v>
      </c>
      <c r="P23">
        <f>IF($A23="","",IF($E23=1,$F23*$O23,PNL!G23))</f>
        <v>957547</v>
      </c>
      <c r="T23">
        <f t="shared" si="3"/>
        <v>0</v>
      </c>
    </row>
    <row r="24" ht="14.25" customHeight="1">
      <c r="A24" t="str">
        <f>IF(PNL!A24="","",PNL!A24)</f>
        <v>IPAC_REN</v>
      </c>
      <c r="B24" t="str">
        <f>IF(PNL!B24="","",PNL!B24)</f>
        <v>7062</v>
      </c>
      <c r="C24" t="str">
        <f>IF(PNL!C24="","",PNL!C24)</f>
        <v>2025</v>
      </c>
      <c r="D24" t="str">
        <f>IF(PNL!D24="","",PNL!D24)</f>
        <v>ACT</v>
      </c>
      <c r="E24">
        <f t="shared" si="0"/>
        <v>0</v>
      </c>
      <c r="F24">
        <f>IF($A24="","",IF($E24=1,_xlfn.SUMIFS(Compta!$F$1:$F$1448,Compta!$A$1:$A$1448,$A24,Compta!$B$1:$B$1448,$B24,Compta!$C$1:$C$1448,"2026"),0))</f>
        <v>0</v>
      </c>
      <c r="G24" t="s">
        <v>274</v>
      </c>
      <c r="H24" t="s">
        <v>274</v>
      </c>
      <c r="I24" t="s">
        <v>274</v>
      </c>
      <c r="J24" t="s">
        <v>274</v>
      </c>
      <c r="K24" t="s">
        <v>274</v>
      </c>
      <c r="L24" t="s">
        <v>274</v>
      </c>
      <c r="M24" t="s">
        <v>274</v>
      </c>
      <c r="N24" t="e">
        <f t="shared" si="1"/>
        <v>#VALUE!</v>
      </c>
      <c r="O24" t="e">
        <f t="shared" si="2"/>
        <v>#VALUE!</v>
      </c>
      <c r="P24">
        <f>IF($A24="","",IF($E24=1,$F24*$O24,PNL!G24))</f>
        <v>734009</v>
      </c>
      <c r="T24">
        <f t="shared" si="3"/>
        <v>0</v>
      </c>
    </row>
    <row r="25" ht="14.25" customHeight="1">
      <c r="A25" t="str">
        <f>IF(PNL!A25="","",PNL!A25)</f>
        <v>IPAC_MTP</v>
      </c>
      <c r="B25" t="str">
        <f>IF(PNL!B25="","",PNL!B25)</f>
        <v>7062</v>
      </c>
      <c r="C25" t="str">
        <f>IF(PNL!C25="","",PNL!C25)</f>
        <v>2025</v>
      </c>
      <c r="D25" t="str">
        <f>IF(PNL!D25="","",PNL!D25)</f>
        <v>ACT</v>
      </c>
      <c r="E25">
        <f t="shared" si="0"/>
        <v>0</v>
      </c>
      <c r="F25">
        <f>IF($A25="","",IF($E25=1,_xlfn.SUMIFS(Compta!$F$1:$F$1448,Compta!$A$1:$A$1448,$A25,Compta!$B$1:$B$1448,$B25,Compta!$C$1:$C$1448,"2026"),0))</f>
        <v>0</v>
      </c>
      <c r="G25" t="s">
        <v>274</v>
      </c>
      <c r="H25" t="s">
        <v>274</v>
      </c>
      <c r="I25" t="s">
        <v>274</v>
      </c>
      <c r="J25" t="s">
        <v>274</v>
      </c>
      <c r="K25" t="s">
        <v>274</v>
      </c>
      <c r="L25" t="s">
        <v>274</v>
      </c>
      <c r="M25" t="s">
        <v>274</v>
      </c>
      <c r="N25" t="e">
        <f t="shared" si="1"/>
        <v>#VALUE!</v>
      </c>
      <c r="O25" t="e">
        <f t="shared" si="2"/>
        <v>#VALUE!</v>
      </c>
      <c r="P25">
        <f>IF($A25="","",IF($E25=1,$F25*$O25,PNL!G25))</f>
        <v>734009</v>
      </c>
      <c r="T25">
        <f t="shared" si="3"/>
        <v>0</v>
      </c>
    </row>
    <row r="26" ht="14.25" customHeight="1">
      <c r="A26" t="str">
        <f>IF(PNL!A26="","",PNL!A26)</f>
        <v>PIGIER_LYO</v>
      </c>
      <c r="B26" t="str">
        <f>IF(PNL!B26="","",PNL!B26)</f>
        <v>7062</v>
      </c>
      <c r="C26" t="str">
        <f>IF(PNL!C26="","",PNL!C26)</f>
        <v>2025</v>
      </c>
      <c r="D26" t="str">
        <f>IF(PNL!D26="","",PNL!D26)</f>
        <v>ACT</v>
      </c>
      <c r="E26">
        <f t="shared" si="0"/>
        <v>0</v>
      </c>
      <c r="F26">
        <f>IF($A26="","",IF($E26=1,_xlfn.SUMIFS(Compta!$F$1:$F$1448,Compta!$A$1:$A$1448,$A26,Compta!$B$1:$B$1448,$B26,Compta!$C$1:$C$1448,"2026"),0))</f>
        <v>0</v>
      </c>
      <c r="G26" t="s">
        <v>274</v>
      </c>
      <c r="H26" t="s">
        <v>274</v>
      </c>
      <c r="I26" t="s">
        <v>274</v>
      </c>
      <c r="J26" t="s">
        <v>274</v>
      </c>
      <c r="K26" t="s">
        <v>274</v>
      </c>
      <c r="L26" t="s">
        <v>274</v>
      </c>
      <c r="M26" t="s">
        <v>274</v>
      </c>
      <c r="N26" t="e">
        <f t="shared" si="1"/>
        <v>#VALUE!</v>
      </c>
      <c r="O26" t="e">
        <f t="shared" si="2"/>
        <v>#VALUE!</v>
      </c>
      <c r="P26">
        <f>IF($A26="","",IF($E26=1,$F26*$O26,PNL!G26))</f>
        <v>1171840</v>
      </c>
      <c r="T26">
        <f t="shared" si="3"/>
        <v>0</v>
      </c>
    </row>
    <row r="27" ht="14.25" customHeight="1">
      <c r="A27" t="str">
        <f>IF(PNL!A27="","",PNL!A27)</f>
        <v>PIGIER_BOR</v>
      </c>
      <c r="B27" t="str">
        <f>IF(PNL!B27="","",PNL!B27)</f>
        <v>7062</v>
      </c>
      <c r="C27" t="str">
        <f>IF(PNL!C27="","",PNL!C27)</f>
        <v>2025</v>
      </c>
      <c r="D27" t="str">
        <f>IF(PNL!D27="","",PNL!D27)</f>
        <v>ACT</v>
      </c>
      <c r="E27">
        <f t="shared" si="0"/>
        <v>0</v>
      </c>
      <c r="F27">
        <f>IF($A27="","",IF($E27=1,_xlfn.SUMIFS(Compta!$F$1:$F$1448,Compta!$A$1:$A$1448,$A27,Compta!$B$1:$B$1448,$B27,Compta!$C$1:$C$1448,"2026"),0))</f>
        <v>0</v>
      </c>
      <c r="G27" t="s">
        <v>274</v>
      </c>
      <c r="H27" t="s">
        <v>274</v>
      </c>
      <c r="I27" t="s">
        <v>274</v>
      </c>
      <c r="J27" t="s">
        <v>274</v>
      </c>
      <c r="K27" t="s">
        <v>274</v>
      </c>
      <c r="L27" t="s">
        <v>274</v>
      </c>
      <c r="M27" t="s">
        <v>274</v>
      </c>
      <c r="N27" t="e">
        <f t="shared" si="1"/>
        <v>#VALUE!</v>
      </c>
      <c r="O27" t="e">
        <f t="shared" si="2"/>
        <v>#VALUE!</v>
      </c>
      <c r="P27">
        <f>IF($A27="","",IF($E27=1,$F27*$O27,PNL!G27))</f>
        <v>844632</v>
      </c>
      <c r="T27">
        <f t="shared" si="3"/>
        <v>0</v>
      </c>
    </row>
    <row r="28" ht="14.25" customHeight="1">
      <c r="A28" t="str">
        <f>IF(PNL!A28="","",PNL!A28)</f>
        <v>TUNON_PAR</v>
      </c>
      <c r="B28" t="str">
        <f>IF(PNL!B28="","",PNL!B28)</f>
        <v>7062</v>
      </c>
      <c r="C28" t="str">
        <f>IF(PNL!C28="","",PNL!C28)</f>
        <v>2025</v>
      </c>
      <c r="D28" t="str">
        <f>IF(PNL!D28="","",PNL!D28)</f>
        <v>ACT</v>
      </c>
      <c r="E28">
        <f t="shared" si="0"/>
        <v>0</v>
      </c>
      <c r="F28">
        <f>IF($A28="","",IF($E28=1,_xlfn.SUMIFS(Compta!$F$1:$F$1448,Compta!$A$1:$A$1448,$A28,Compta!$B$1:$B$1448,$B28,Compta!$C$1:$C$1448,"2026"),0))</f>
        <v>0</v>
      </c>
      <c r="G28" t="s">
        <v>274</v>
      </c>
      <c r="H28" t="s">
        <v>274</v>
      </c>
      <c r="I28" t="s">
        <v>274</v>
      </c>
      <c r="J28" t="s">
        <v>274</v>
      </c>
      <c r="K28" t="s">
        <v>274</v>
      </c>
      <c r="L28" t="s">
        <v>274</v>
      </c>
      <c r="M28" t="s">
        <v>274</v>
      </c>
      <c r="N28" t="e">
        <f t="shared" si="1"/>
        <v>#VALUE!</v>
      </c>
      <c r="O28" t="e">
        <f t="shared" si="2"/>
        <v>#VALUE!</v>
      </c>
      <c r="P28">
        <f>IF($A28="","",IF($E28=1,$F28*$O28,PNL!G28))</f>
        <v>1020679</v>
      </c>
      <c r="T28">
        <f t="shared" si="3"/>
        <v>0</v>
      </c>
    </row>
    <row r="29" ht="14.25" customHeight="1">
      <c r="A29" t="str">
        <f>IF(PNL!A29="","",PNL!A29)</f>
        <v>TUNON_LYO</v>
      </c>
      <c r="B29" t="str">
        <f>IF(PNL!B29="","",PNL!B29)</f>
        <v>7062</v>
      </c>
      <c r="C29" t="str">
        <f>IF(PNL!C29="","",PNL!C29)</f>
        <v>2025</v>
      </c>
      <c r="D29" t="str">
        <f>IF(PNL!D29="","",PNL!D29)</f>
        <v>ACT</v>
      </c>
      <c r="E29">
        <f t="shared" si="0"/>
        <v>0</v>
      </c>
      <c r="F29">
        <f>IF($A29="","",IF($E29=1,_xlfn.SUMIFS(Compta!$F$1:$F$1448,Compta!$A$1:$A$1448,$A29,Compta!$B$1:$B$1448,$B29,Compta!$C$1:$C$1448,"2026"),0))</f>
        <v>0</v>
      </c>
      <c r="G29" t="s">
        <v>274</v>
      </c>
      <c r="H29" t="s">
        <v>274</v>
      </c>
      <c r="I29" t="s">
        <v>274</v>
      </c>
      <c r="J29" t="s">
        <v>274</v>
      </c>
      <c r="K29" t="s">
        <v>274</v>
      </c>
      <c r="L29" t="s">
        <v>274</v>
      </c>
      <c r="M29" t="s">
        <v>274</v>
      </c>
      <c r="N29" t="e">
        <f t="shared" si="1"/>
        <v>#VALUE!</v>
      </c>
      <c r="O29" t="e">
        <f t="shared" si="2"/>
        <v>#VALUE!</v>
      </c>
      <c r="P29">
        <f>IF($A29="","",IF($E29=1,$F29*$O29,PNL!G29))</f>
        <v>811274</v>
      </c>
      <c r="T29">
        <f t="shared" si="3"/>
        <v>0</v>
      </c>
    </row>
    <row r="30" ht="14.25" customHeight="1">
      <c r="A30" t="str">
        <f>IF(PNL!A30="","",PNL!A30)</f>
        <v>MBWAY_PAR</v>
      </c>
      <c r="B30" t="str">
        <f>IF(PNL!B30="","",PNL!B30)</f>
        <v>7062</v>
      </c>
      <c r="C30" t="str">
        <f>IF(PNL!C30="","",PNL!C30)</f>
        <v>2026</v>
      </c>
      <c r="D30" t="str">
        <f>IF(PNL!D30="","",PNL!D30)</f>
        <v>ACT</v>
      </c>
      <c r="E30">
        <f t="shared" si="0"/>
        <v>0</v>
      </c>
      <c r="F30">
        <f>IF($A30="","",IF($E30=1,_xlfn.SUMIFS(Compta!$F$1:$F$1448,Compta!$A$1:$A$1448,$A30,Compta!$B$1:$B$1448,$B30,Compta!$C$1:$C$1448,"2026"),0))</f>
        <v>0</v>
      </c>
      <c r="G30" t="s">
        <v>274</v>
      </c>
      <c r="H30" t="s">
        <v>274</v>
      </c>
      <c r="I30" t="s">
        <v>274</v>
      </c>
      <c r="J30" t="s">
        <v>274</v>
      </c>
      <c r="K30" t="s">
        <v>274</v>
      </c>
      <c r="L30" t="s">
        <v>274</v>
      </c>
      <c r="M30" t="s">
        <v>274</v>
      </c>
      <c r="N30" t="e">
        <f t="shared" si="1"/>
        <v>#VALUE!</v>
      </c>
      <c r="O30" t="e">
        <f t="shared" si="2"/>
        <v>#VALUE!</v>
      </c>
      <c r="P30">
        <f>IF($A30="","",IF($E30=1,$F30*$O30,PNL!G30))</f>
        <v>2469600</v>
      </c>
      <c r="T30">
        <f t="shared" si="3"/>
        <v>0</v>
      </c>
    </row>
    <row r="31" ht="14.25" customHeight="1">
      <c r="A31" t="str">
        <f>IF(PNL!A31="","",PNL!A31)</f>
        <v>MBWAY_LYO</v>
      </c>
      <c r="B31" t="str">
        <f>IF(PNL!B31="","",PNL!B31)</f>
        <v>7062</v>
      </c>
      <c r="C31" t="str">
        <f>IF(PNL!C31="","",PNL!C31)</f>
        <v>2026</v>
      </c>
      <c r="D31" t="str">
        <f>IF(PNL!D31="","",PNL!D31)</f>
        <v>ACT</v>
      </c>
      <c r="E31">
        <f t="shared" si="0"/>
        <v>0</v>
      </c>
      <c r="F31">
        <f>IF($A31="","",IF($E31=1,_xlfn.SUMIFS(Compta!$F$1:$F$1448,Compta!$A$1:$A$1448,$A31,Compta!$B$1:$B$1448,$B31,Compta!$C$1:$C$1448,"2026"),0))</f>
        <v>0</v>
      </c>
      <c r="G31" t="s">
        <v>274</v>
      </c>
      <c r="H31" t="s">
        <v>274</v>
      </c>
      <c r="I31" t="s">
        <v>274</v>
      </c>
      <c r="J31" t="s">
        <v>274</v>
      </c>
      <c r="K31" t="s">
        <v>274</v>
      </c>
      <c r="L31" t="s">
        <v>274</v>
      </c>
      <c r="M31" t="s">
        <v>274</v>
      </c>
      <c r="N31" t="e">
        <f t="shared" si="1"/>
        <v>#VALUE!</v>
      </c>
      <c r="O31" t="e">
        <f t="shared" si="2"/>
        <v>#VALUE!</v>
      </c>
      <c r="P31">
        <f>IF($A31="","",IF($E31=1,$F31*$O31,PNL!G31))</f>
        <v>1965075</v>
      </c>
      <c r="T31">
        <f t="shared" si="3"/>
        <v>0</v>
      </c>
    </row>
    <row r="32" ht="14.25" customHeight="1">
      <c r="A32" t="str">
        <f>IF(PNL!A32="","",PNL!A32)</f>
        <v>MBWAY_NAN</v>
      </c>
      <c r="B32" t="str">
        <f>IF(PNL!B32="","",PNL!B32)</f>
        <v>7062</v>
      </c>
      <c r="C32" t="str">
        <f>IF(PNL!C32="","",PNL!C32)</f>
        <v>2026</v>
      </c>
      <c r="D32" t="str">
        <f>IF(PNL!D32="","",PNL!D32)</f>
        <v>ACT</v>
      </c>
      <c r="E32">
        <f t="shared" si="0"/>
        <v>0</v>
      </c>
      <c r="F32">
        <f>IF($A32="","",IF($E32=1,_xlfn.SUMIFS(Compta!$F$1:$F$1448,Compta!$A$1:$A$1448,$A32,Compta!$B$1:$B$1448,$B32,Compta!$C$1:$C$1448,"2026"),0))</f>
        <v>0</v>
      </c>
      <c r="G32" t="s">
        <v>274</v>
      </c>
      <c r="H32" t="s">
        <v>274</v>
      </c>
      <c r="I32" t="s">
        <v>274</v>
      </c>
      <c r="J32" t="s">
        <v>274</v>
      </c>
      <c r="K32" t="s">
        <v>274</v>
      </c>
      <c r="L32" t="s">
        <v>274</v>
      </c>
      <c r="M32" t="s">
        <v>274</v>
      </c>
      <c r="N32" t="e">
        <f t="shared" si="1"/>
        <v>#VALUE!</v>
      </c>
      <c r="O32" t="e">
        <f t="shared" si="2"/>
        <v>#VALUE!</v>
      </c>
      <c r="P32">
        <f>IF($A32="","",IF($E32=1,$F32*$O32,PNL!G32))</f>
        <v>1697500</v>
      </c>
      <c r="T32">
        <f t="shared" si="3"/>
        <v>0</v>
      </c>
    </row>
    <row r="33" ht="14.25" customHeight="1">
      <c r="A33" t="str">
        <f>IF(PNL!A33="","",PNL!A33)</f>
        <v>MBWAY_BOR</v>
      </c>
      <c r="B33" t="str">
        <f>IF(PNL!B33="","",PNL!B33)</f>
        <v>7062</v>
      </c>
      <c r="C33" t="str">
        <f>IF(PNL!C33="","",PNL!C33)</f>
        <v>2026</v>
      </c>
      <c r="D33" t="str">
        <f>IF(PNL!D33="","",PNL!D33)</f>
        <v>ACT</v>
      </c>
      <c r="E33">
        <f t="shared" si="0"/>
        <v>0</v>
      </c>
      <c r="F33">
        <f>IF($A33="","",IF($E33=1,_xlfn.SUMIFS(Compta!$F$1:$F$1448,Compta!$A$1:$A$1448,$A33,Compta!$B$1:$B$1448,$B33,Compta!$C$1:$C$1448,"2026"),0))</f>
        <v>0</v>
      </c>
      <c r="G33" t="s">
        <v>274</v>
      </c>
      <c r="H33" t="s">
        <v>274</v>
      </c>
      <c r="I33" t="s">
        <v>274</v>
      </c>
      <c r="J33" t="s">
        <v>274</v>
      </c>
      <c r="K33" t="s">
        <v>274</v>
      </c>
      <c r="L33" t="s">
        <v>274</v>
      </c>
      <c r="M33" t="s">
        <v>274</v>
      </c>
      <c r="N33" t="e">
        <f t="shared" si="1"/>
        <v>#VALUE!</v>
      </c>
      <c r="O33" t="e">
        <f t="shared" si="2"/>
        <v>#VALUE!</v>
      </c>
      <c r="P33">
        <f>IF($A33="","",IF($E33=1,$F33*$O33,PNL!G33))</f>
        <v>1393405</v>
      </c>
      <c r="T33">
        <f t="shared" si="3"/>
        <v>0</v>
      </c>
    </row>
    <row r="34" ht="14.25" customHeight="1">
      <c r="A34" t="str">
        <f>IF(PNL!A34="","",PNL!A34)</f>
        <v>ISCOM_PAR</v>
      </c>
      <c r="B34" t="str">
        <f>IF(PNL!B34="","",PNL!B34)</f>
        <v>7062</v>
      </c>
      <c r="C34" t="str">
        <f>IF(PNL!C34="","",PNL!C34)</f>
        <v>2026</v>
      </c>
      <c r="D34" t="str">
        <f>IF(PNL!D34="","",PNL!D34)</f>
        <v>ACT</v>
      </c>
      <c r="E34">
        <f t="shared" si="0"/>
        <v>0</v>
      </c>
      <c r="F34">
        <f>IF($A34="","",IF($E34=1,_xlfn.SUMIFS(Compta!$F$1:$F$1448,Compta!$A$1:$A$1448,$A34,Compta!$B$1:$B$1448,$B34,Compta!$C$1:$C$1448,"2026"),0))</f>
        <v>0</v>
      </c>
      <c r="G34" t="s">
        <v>274</v>
      </c>
      <c r="H34" t="s">
        <v>274</v>
      </c>
      <c r="I34" t="s">
        <v>274</v>
      </c>
      <c r="J34" t="s">
        <v>274</v>
      </c>
      <c r="K34" t="s">
        <v>274</v>
      </c>
      <c r="L34" t="s">
        <v>274</v>
      </c>
      <c r="M34" t="s">
        <v>274</v>
      </c>
      <c r="N34" t="e">
        <f t="shared" si="1"/>
        <v>#VALUE!</v>
      </c>
      <c r="O34" t="e">
        <f t="shared" si="2"/>
        <v>#VALUE!</v>
      </c>
      <c r="P34">
        <f>IF($A34="","",IF($E34=1,$F34*$O34,PNL!G34))</f>
        <v>2290960</v>
      </c>
      <c r="T34">
        <f t="shared" si="3"/>
        <v>0</v>
      </c>
    </row>
    <row r="35" ht="14.25" customHeight="1">
      <c r="A35" t="str">
        <f>IF(PNL!A35="","",PNL!A35)</f>
        <v>ISCOM_LIL</v>
      </c>
      <c r="B35" t="str">
        <f>IF(PNL!B35="","",PNL!B35)</f>
        <v>7062</v>
      </c>
      <c r="C35" t="str">
        <f>IF(PNL!C35="","",PNL!C35)</f>
        <v>2026</v>
      </c>
      <c r="D35" t="str">
        <f>IF(PNL!D35="","",PNL!D35)</f>
        <v>ACT</v>
      </c>
      <c r="E35">
        <f t="shared" si="0"/>
        <v>0</v>
      </c>
      <c r="F35">
        <f>IF($A35="","",IF($E35=1,_xlfn.SUMIFS(Compta!$F$1:$F$1448,Compta!$A$1:$A$1448,$A35,Compta!$B$1:$B$1448,$B35,Compta!$C$1:$C$1448,"2026"),0))</f>
        <v>0</v>
      </c>
      <c r="G35" t="s">
        <v>274</v>
      </c>
      <c r="H35" t="s">
        <v>274</v>
      </c>
      <c r="I35" t="s">
        <v>274</v>
      </c>
      <c r="J35" t="s">
        <v>274</v>
      </c>
      <c r="K35" t="s">
        <v>274</v>
      </c>
      <c r="L35" t="s">
        <v>274</v>
      </c>
      <c r="M35" t="s">
        <v>274</v>
      </c>
      <c r="N35" t="e">
        <f t="shared" si="1"/>
        <v>#VALUE!</v>
      </c>
      <c r="O35" t="e">
        <f t="shared" si="2"/>
        <v>#VALUE!</v>
      </c>
      <c r="P35">
        <f>IF($A35="","",IF($E35=1,$F35*$O35,PNL!G35))</f>
        <v>1379350</v>
      </c>
      <c r="T35">
        <f t="shared" si="3"/>
        <v>0</v>
      </c>
    </row>
    <row r="36" ht="14.25" customHeight="1">
      <c r="A36" t="str">
        <f>IF(PNL!A36="","",PNL!A36)</f>
        <v>ISCOM_TLS</v>
      </c>
      <c r="B36" t="str">
        <f>IF(PNL!B36="","",PNL!B36)</f>
        <v>7062</v>
      </c>
      <c r="C36" t="str">
        <f>IF(PNL!C36="","",PNL!C36)</f>
        <v>2026</v>
      </c>
      <c r="D36" t="str">
        <f>IF(PNL!D36="","",PNL!D36)</f>
        <v>ACT</v>
      </c>
      <c r="E36">
        <f t="shared" si="0"/>
        <v>0</v>
      </c>
      <c r="F36">
        <f>IF($A36="","",IF($E36=1,_xlfn.SUMIFS(Compta!$F$1:$F$1448,Compta!$A$1:$A$1448,$A36,Compta!$B$1:$B$1448,$B36,Compta!$C$1:$C$1448,"2026"),0))</f>
        <v>0</v>
      </c>
      <c r="G36" t="s">
        <v>274</v>
      </c>
      <c r="H36" t="s">
        <v>274</v>
      </c>
      <c r="I36" t="s">
        <v>274</v>
      </c>
      <c r="J36" t="s">
        <v>274</v>
      </c>
      <c r="K36" t="s">
        <v>274</v>
      </c>
      <c r="L36" t="s">
        <v>274</v>
      </c>
      <c r="M36" t="s">
        <v>274</v>
      </c>
      <c r="N36" t="e">
        <f t="shared" si="1"/>
        <v>#VALUE!</v>
      </c>
      <c r="O36" t="e">
        <f t="shared" si="2"/>
        <v>#VALUE!</v>
      </c>
      <c r="P36">
        <f>IF($A36="","",IF($E36=1,$F36*$O36,PNL!G36))</f>
        <v>1281120</v>
      </c>
      <c r="T36">
        <f t="shared" si="3"/>
        <v>0</v>
      </c>
    </row>
    <row r="37" ht="14.25" customHeight="1">
      <c r="A37" t="str">
        <f>IF(PNL!A37="","",PNL!A37)</f>
        <v>IPAC_NAN</v>
      </c>
      <c r="B37" t="str">
        <f>IF(PNL!B37="","",PNL!B37)</f>
        <v>7062</v>
      </c>
      <c r="C37" t="str">
        <f>IF(PNL!C37="","",PNL!C37)</f>
        <v>2026</v>
      </c>
      <c r="D37" t="str">
        <f>IF(PNL!D37="","",PNL!D37)</f>
        <v>ACT</v>
      </c>
      <c r="E37">
        <f t="shared" si="0"/>
        <v>0</v>
      </c>
      <c r="F37">
        <f>IF($A37="","",IF($E37=1,_xlfn.SUMIFS(Compta!$F$1:$F$1448,Compta!$A$1:$A$1448,$A37,Compta!$B$1:$B$1448,$B37,Compta!$C$1:$C$1448,"2026"),0))</f>
        <v>0</v>
      </c>
      <c r="G37" t="s">
        <v>274</v>
      </c>
      <c r="H37" t="s">
        <v>274</v>
      </c>
      <c r="I37" t="s">
        <v>274</v>
      </c>
      <c r="J37" t="s">
        <v>274</v>
      </c>
      <c r="K37" t="s">
        <v>274</v>
      </c>
      <c r="L37" t="s">
        <v>274</v>
      </c>
      <c r="M37" t="s">
        <v>274</v>
      </c>
      <c r="N37" t="e">
        <f t="shared" si="1"/>
        <v>#VALUE!</v>
      </c>
      <c r="O37" t="e">
        <f t="shared" si="2"/>
        <v>#VALUE!</v>
      </c>
      <c r="P37">
        <f>IF($A37="","",IF($E37=1,$F37*$O37,PNL!G37))</f>
        <v>1015000</v>
      </c>
      <c r="T37">
        <f t="shared" si="3"/>
        <v>0</v>
      </c>
    </row>
    <row r="38" ht="14.25" customHeight="1">
      <c r="A38" t="str">
        <f>IF(PNL!A38="","",PNL!A38)</f>
        <v>IPAC_REN</v>
      </c>
      <c r="B38" t="str">
        <f>IF(PNL!B38="","",PNL!B38)</f>
        <v>7062</v>
      </c>
      <c r="C38" t="str">
        <f>IF(PNL!C38="","",PNL!C38)</f>
        <v>2026</v>
      </c>
      <c r="D38" t="str">
        <f>IF(PNL!D38="","",PNL!D38)</f>
        <v>ACT</v>
      </c>
      <c r="E38">
        <f t="shared" si="0"/>
        <v>0</v>
      </c>
      <c r="F38">
        <f>IF($A38="","",IF($E38=1,_xlfn.SUMIFS(Compta!$F$1:$F$1448,Compta!$A$1:$A$1448,$A38,Compta!$B$1:$B$1448,$B38,Compta!$C$1:$C$1448,"2026"),0))</f>
        <v>0</v>
      </c>
      <c r="G38" t="s">
        <v>274</v>
      </c>
      <c r="H38" t="s">
        <v>274</v>
      </c>
      <c r="I38" t="s">
        <v>274</v>
      </c>
      <c r="J38" t="s">
        <v>274</v>
      </c>
      <c r="K38" t="s">
        <v>274</v>
      </c>
      <c r="L38" t="s">
        <v>274</v>
      </c>
      <c r="M38" t="s">
        <v>274</v>
      </c>
      <c r="N38" t="e">
        <f t="shared" si="1"/>
        <v>#VALUE!</v>
      </c>
      <c r="O38" t="e">
        <f t="shared" si="2"/>
        <v>#VALUE!</v>
      </c>
      <c r="P38">
        <f>IF($A38="","",IF($E38=1,$F38*$O38,PNL!G38))</f>
        <v>778050</v>
      </c>
      <c r="T38">
        <f t="shared" si="3"/>
        <v>0</v>
      </c>
    </row>
    <row r="39" ht="14.25" customHeight="1">
      <c r="A39" t="str">
        <f>IF(PNL!A39="","",PNL!A39)</f>
        <v>IPAC_MTP</v>
      </c>
      <c r="B39" t="str">
        <f>IF(PNL!B39="","",PNL!B39)</f>
        <v>7062</v>
      </c>
      <c r="C39" t="str">
        <f>IF(PNL!C39="","",PNL!C39)</f>
        <v>2026</v>
      </c>
      <c r="D39" t="str">
        <f>IF(PNL!D39="","",PNL!D39)</f>
        <v>ACT</v>
      </c>
      <c r="E39">
        <f t="shared" si="0"/>
        <v>0</v>
      </c>
      <c r="F39">
        <f>IF($A39="","",IF($E39=1,_xlfn.SUMIFS(Compta!$F$1:$F$1448,Compta!$A$1:$A$1448,$A39,Compta!$B$1:$B$1448,$B39,Compta!$C$1:$C$1448,"2026"),0))</f>
        <v>0</v>
      </c>
      <c r="G39" t="s">
        <v>274</v>
      </c>
      <c r="H39" t="s">
        <v>274</v>
      </c>
      <c r="I39" t="s">
        <v>274</v>
      </c>
      <c r="J39" t="s">
        <v>274</v>
      </c>
      <c r="K39" t="s">
        <v>274</v>
      </c>
      <c r="L39" t="s">
        <v>274</v>
      </c>
      <c r="M39" t="s">
        <v>274</v>
      </c>
      <c r="N39" t="e">
        <f t="shared" si="1"/>
        <v>#VALUE!</v>
      </c>
      <c r="O39" t="e">
        <f t="shared" si="2"/>
        <v>#VALUE!</v>
      </c>
      <c r="P39">
        <f>IF($A39="","",IF($E39=1,$F39*$O39,PNL!G39))</f>
        <v>778050</v>
      </c>
      <c r="T39">
        <f t="shared" si="3"/>
        <v>0</v>
      </c>
    </row>
    <row r="40" ht="14.25" customHeight="1">
      <c r="A40" t="str">
        <f>IF(PNL!A40="","",PNL!A40)</f>
        <v>PIGIER_LYO</v>
      </c>
      <c r="B40" t="str">
        <f>IF(PNL!B40="","",PNL!B40)</f>
        <v>7062</v>
      </c>
      <c r="C40" t="str">
        <f>IF(PNL!C40="","",PNL!C40)</f>
        <v>2026</v>
      </c>
      <c r="D40" t="str">
        <f>IF(PNL!D40="","",PNL!D40)</f>
        <v>ACT</v>
      </c>
      <c r="E40">
        <f t="shared" si="0"/>
        <v>0</v>
      </c>
      <c r="F40">
        <f>IF($A40="","",IF($E40=1,_xlfn.SUMIFS(Compta!$F$1:$F$1448,Compta!$A$1:$A$1448,$A40,Compta!$B$1:$B$1448,$B40,Compta!$C$1:$C$1448,"2026"),0))</f>
        <v>0</v>
      </c>
      <c r="G40" t="s">
        <v>274</v>
      </c>
      <c r="H40" t="s">
        <v>274</v>
      </c>
      <c r="I40" t="s">
        <v>274</v>
      </c>
      <c r="J40" t="s">
        <v>274</v>
      </c>
      <c r="K40" t="s">
        <v>274</v>
      </c>
      <c r="L40" t="s">
        <v>274</v>
      </c>
      <c r="M40" t="s">
        <v>274</v>
      </c>
      <c r="N40" t="e">
        <f t="shared" si="1"/>
        <v>#VALUE!</v>
      </c>
      <c r="O40" t="e">
        <f t="shared" si="2"/>
        <v>#VALUE!</v>
      </c>
      <c r="P40">
        <f>IF($A40="","",IF($E40=1,$F40*$O40,PNL!G40))</f>
        <v>1242150</v>
      </c>
      <c r="T40">
        <f t="shared" si="3"/>
        <v>0</v>
      </c>
    </row>
    <row r="41" ht="14.25" customHeight="1">
      <c r="A41" t="str">
        <f>IF(PNL!A41="","",PNL!A41)</f>
        <v>PIGIER_BOR</v>
      </c>
      <c r="B41" t="str">
        <f>IF(PNL!B41="","",PNL!B41)</f>
        <v>7062</v>
      </c>
      <c r="C41" t="str">
        <f>IF(PNL!C41="","",PNL!C41)</f>
        <v>2026</v>
      </c>
      <c r="D41" t="str">
        <f>IF(PNL!D41="","",PNL!D41)</f>
        <v>ACT</v>
      </c>
      <c r="E41">
        <f t="shared" si="0"/>
        <v>0</v>
      </c>
      <c r="F41">
        <f>IF($A41="","",IF($E41=1,_xlfn.SUMIFS(Compta!$F$1:$F$1448,Compta!$A$1:$A$1448,$A41,Compta!$B$1:$B$1448,$B41,Compta!$C$1:$C$1448,"2026"),0))</f>
        <v>0</v>
      </c>
      <c r="G41" t="s">
        <v>274</v>
      </c>
      <c r="H41" t="s">
        <v>274</v>
      </c>
      <c r="I41" t="s">
        <v>274</v>
      </c>
      <c r="J41" t="s">
        <v>274</v>
      </c>
      <c r="K41" t="s">
        <v>274</v>
      </c>
      <c r="L41" t="s">
        <v>274</v>
      </c>
      <c r="M41" t="s">
        <v>274</v>
      </c>
      <c r="N41" t="e">
        <f t="shared" si="1"/>
        <v>#VALUE!</v>
      </c>
      <c r="O41" t="e">
        <f t="shared" si="2"/>
        <v>#VALUE!</v>
      </c>
      <c r="P41">
        <f>IF($A41="","",IF($E41=1,$F41*$O41,PNL!G41))</f>
        <v>895310</v>
      </c>
      <c r="T41">
        <f t="shared" si="3"/>
        <v>0</v>
      </c>
    </row>
    <row r="42" ht="14.25" customHeight="1">
      <c r="A42" t="str">
        <f>IF(PNL!A42="","",PNL!A42)</f>
        <v>TUNON_PAR</v>
      </c>
      <c r="B42" t="str">
        <f>IF(PNL!B42="","",PNL!B42)</f>
        <v>7062</v>
      </c>
      <c r="C42" t="str">
        <f>IF(PNL!C42="","",PNL!C42)</f>
        <v>2026</v>
      </c>
      <c r="D42" t="str">
        <f>IF(PNL!D42="","",PNL!D42)</f>
        <v>ACT</v>
      </c>
      <c r="E42">
        <f t="shared" si="0"/>
        <v>0</v>
      </c>
      <c r="F42">
        <f>IF($A42="","",IF($E42=1,_xlfn.SUMIFS(Compta!$F$1:$F$1448,Compta!$A$1:$A$1448,$A42,Compta!$B$1:$B$1448,$B42,Compta!$C$1:$C$1448,"2026"),0))</f>
        <v>0</v>
      </c>
      <c r="G42" t="s">
        <v>274</v>
      </c>
      <c r="H42" t="s">
        <v>274</v>
      </c>
      <c r="I42" t="s">
        <v>274</v>
      </c>
      <c r="J42" t="s">
        <v>274</v>
      </c>
      <c r="K42" t="s">
        <v>274</v>
      </c>
      <c r="L42" t="s">
        <v>274</v>
      </c>
      <c r="M42" t="s">
        <v>274</v>
      </c>
      <c r="N42" t="e">
        <f t="shared" si="1"/>
        <v>#VALUE!</v>
      </c>
      <c r="O42" t="e">
        <f t="shared" si="2"/>
        <v>#VALUE!</v>
      </c>
      <c r="P42">
        <f>IF($A42="","",IF($E42=1,$F42*$O42,PNL!G42))</f>
        <v>1081920</v>
      </c>
      <c r="T42">
        <f t="shared" si="3"/>
        <v>0</v>
      </c>
    </row>
    <row r="43" ht="14.25" customHeight="1">
      <c r="A43" t="str">
        <f>IF(PNL!A43="","",PNL!A43)</f>
        <v>TUNON_LYO</v>
      </c>
      <c r="B43" t="str">
        <f>IF(PNL!B43="","",PNL!B43)</f>
        <v>7062</v>
      </c>
      <c r="C43" t="str">
        <f>IF(PNL!C43="","",PNL!C43)</f>
        <v>2026</v>
      </c>
      <c r="D43" t="str">
        <f>IF(PNL!D43="","",PNL!D43)</f>
        <v>ACT</v>
      </c>
      <c r="E43">
        <f t="shared" si="0"/>
        <v>0</v>
      </c>
      <c r="F43">
        <f>IF($A43="","",IF($E43=1,_xlfn.SUMIFS(Compta!$F$1:$F$1448,Compta!$A$1:$A$1448,$A43,Compta!$B$1:$B$1448,$B43,Compta!$C$1:$C$1448,"2026"),0))</f>
        <v>0</v>
      </c>
      <c r="G43" t="s">
        <v>274</v>
      </c>
      <c r="H43" t="s">
        <v>274</v>
      </c>
      <c r="I43" t="s">
        <v>274</v>
      </c>
      <c r="J43" t="s">
        <v>274</v>
      </c>
      <c r="K43" t="s">
        <v>274</v>
      </c>
      <c r="L43" t="s">
        <v>274</v>
      </c>
      <c r="M43" t="s">
        <v>274</v>
      </c>
      <c r="N43" t="e">
        <f t="shared" si="1"/>
        <v>#VALUE!</v>
      </c>
      <c r="O43" t="e">
        <f t="shared" si="2"/>
        <v>#VALUE!</v>
      </c>
      <c r="P43">
        <f>IF($A43="","",IF($E43=1,$F43*$O43,PNL!G43))</f>
        <v>859950</v>
      </c>
      <c r="T43">
        <f t="shared" si="3"/>
        <v>0</v>
      </c>
    </row>
    <row r="44" ht="14.25" customHeight="1">
      <c r="A44" t="str">
        <f>IF(PNL!A44="","",PNL!A44)</f>
        <v>MBWAY_PAR</v>
      </c>
      <c r="B44" t="str">
        <f>IF(PNL!B44="","",PNL!B44)</f>
        <v>706</v>
      </c>
      <c r="C44" t="str">
        <f>IF(PNL!C44="","",PNL!C44)</f>
        <v>2024</v>
      </c>
      <c r="D44" t="str">
        <f>IF(PNL!D44="","",PNL!D44)</f>
        <v>ACT</v>
      </c>
      <c r="E44">
        <f t="shared" si="0"/>
        <v>0</v>
      </c>
      <c r="F44">
        <f>IF($A44="","",IF($E44=1,_xlfn.SUMIFS(Compta!$F$1:$F$1448,Compta!$A$1:$A$1448,$A44,Compta!$B$1:$B$1448,$B44,Compta!$C$1:$C$1448,"2026"),0))</f>
        <v>0</v>
      </c>
      <c r="G44" t="s">
        <v>274</v>
      </c>
      <c r="H44" t="s">
        <v>274</v>
      </c>
      <c r="I44" t="s">
        <v>274</v>
      </c>
      <c r="J44" t="s">
        <v>274</v>
      </c>
      <c r="K44" t="s">
        <v>274</v>
      </c>
      <c r="L44" t="s">
        <v>274</v>
      </c>
      <c r="M44" t="s">
        <v>274</v>
      </c>
      <c r="N44" t="e">
        <f t="shared" si="1"/>
        <v>#VALUE!</v>
      </c>
      <c r="O44" t="e">
        <f t="shared" si="2"/>
        <v>#VALUE!</v>
      </c>
      <c r="P44">
        <f>IF($A44="","",IF($E44=1,$F44*$O44,PNL!G44))</f>
        <v>583126</v>
      </c>
      <c r="T44">
        <f t="shared" si="3"/>
        <v>0</v>
      </c>
    </row>
    <row r="45" ht="14.25" customHeight="1">
      <c r="A45" t="str">
        <f>IF(PNL!A45="","",PNL!A45)</f>
        <v>MBWAY_LYO</v>
      </c>
      <c r="B45" t="str">
        <f>IF(PNL!B45="","",PNL!B45)</f>
        <v>706</v>
      </c>
      <c r="C45" t="str">
        <f>IF(PNL!C45="","",PNL!C45)</f>
        <v>2024</v>
      </c>
      <c r="D45" t="str">
        <f>IF(PNL!D45="","",PNL!D45)</f>
        <v>ACT</v>
      </c>
      <c r="E45">
        <f t="shared" si="0"/>
        <v>0</v>
      </c>
      <c r="F45">
        <f>IF($A45="","",IF($E45=1,_xlfn.SUMIFS(Compta!$F$1:$F$1448,Compta!$A$1:$A$1448,$A45,Compta!$B$1:$B$1448,$B45,Compta!$C$1:$C$1448,"2026"),0))</f>
        <v>0</v>
      </c>
      <c r="G45" t="s">
        <v>274</v>
      </c>
      <c r="H45" t="s">
        <v>274</v>
      </c>
      <c r="I45" t="s">
        <v>274</v>
      </c>
      <c r="J45" t="s">
        <v>274</v>
      </c>
      <c r="K45" t="s">
        <v>274</v>
      </c>
      <c r="L45" t="s">
        <v>274</v>
      </c>
      <c r="M45" t="s">
        <v>274</v>
      </c>
      <c r="N45" t="e">
        <f t="shared" si="1"/>
        <v>#VALUE!</v>
      </c>
      <c r="O45" t="e">
        <f t="shared" si="2"/>
        <v>#VALUE!</v>
      </c>
      <c r="P45">
        <f>IF($A45="","",IF($E45=1,$F45*$O45,PNL!G45))</f>
        <v>462576</v>
      </c>
      <c r="T45">
        <f t="shared" si="3"/>
        <v>0</v>
      </c>
    </row>
    <row r="46" ht="14.25" customHeight="1">
      <c r="A46" t="str">
        <f>IF(PNL!A46="","",PNL!A46)</f>
        <v>MBWAY_NAN</v>
      </c>
      <c r="B46" t="str">
        <f>IF(PNL!B46="","",PNL!B46)</f>
        <v>706</v>
      </c>
      <c r="C46" t="str">
        <f>IF(PNL!C46="","",PNL!C46)</f>
        <v>2024</v>
      </c>
      <c r="D46" t="str">
        <f>IF(PNL!D46="","",PNL!D46)</f>
        <v>ACT</v>
      </c>
      <c r="E46">
        <f t="shared" si="0"/>
        <v>0</v>
      </c>
      <c r="F46">
        <f>IF($A46="","",IF($E46=1,_xlfn.SUMIFS(Compta!$F$1:$F$1448,Compta!$A$1:$A$1448,$A46,Compta!$B$1:$B$1448,$B46,Compta!$C$1:$C$1448,"2026"),0))</f>
        <v>0</v>
      </c>
      <c r="G46" t="s">
        <v>274</v>
      </c>
      <c r="H46" t="s">
        <v>274</v>
      </c>
      <c r="I46" t="s">
        <v>274</v>
      </c>
      <c r="J46" t="s">
        <v>274</v>
      </c>
      <c r="K46" t="s">
        <v>274</v>
      </c>
      <c r="L46" t="s">
        <v>274</v>
      </c>
      <c r="M46" t="s">
        <v>274</v>
      </c>
      <c r="N46" t="e">
        <f t="shared" si="1"/>
        <v>#VALUE!</v>
      </c>
      <c r="O46" t="e">
        <f t="shared" si="2"/>
        <v>#VALUE!</v>
      </c>
      <c r="P46">
        <f>IF($A46="","",IF($E46=1,$F46*$O46,PNL!G46))</f>
        <v>400498</v>
      </c>
      <c r="T46">
        <f t="shared" si="3"/>
        <v>0</v>
      </c>
    </row>
    <row r="47" ht="14.25" customHeight="1">
      <c r="A47" t="str">
        <f>IF(PNL!A47="","",PNL!A47)</f>
        <v>MBWAY_BOR</v>
      </c>
      <c r="B47" t="str">
        <f>IF(PNL!B47="","",PNL!B47)</f>
        <v>706</v>
      </c>
      <c r="C47" t="str">
        <f>IF(PNL!C47="","",PNL!C47)</f>
        <v>2024</v>
      </c>
      <c r="D47" t="str">
        <f>IF(PNL!D47="","",PNL!D47)</f>
        <v>ACT</v>
      </c>
      <c r="E47">
        <f t="shared" si="0"/>
        <v>0</v>
      </c>
      <c r="F47">
        <f>IF($A47="","",IF($E47=1,_xlfn.SUMIFS(Compta!$F$1:$F$1448,Compta!$A$1:$A$1448,$A47,Compta!$B$1:$B$1448,$B47,Compta!$C$1:$C$1448,"2026"),0))</f>
        <v>0</v>
      </c>
      <c r="G47" t="s">
        <v>274</v>
      </c>
      <c r="H47" t="s">
        <v>274</v>
      </c>
      <c r="I47" t="s">
        <v>274</v>
      </c>
      <c r="J47" t="s">
        <v>274</v>
      </c>
      <c r="K47" t="s">
        <v>274</v>
      </c>
      <c r="L47" t="s">
        <v>274</v>
      </c>
      <c r="M47" t="s">
        <v>274</v>
      </c>
      <c r="N47" t="e">
        <f t="shared" si="1"/>
        <v>#VALUE!</v>
      </c>
      <c r="O47" t="e">
        <f t="shared" si="2"/>
        <v>#VALUE!</v>
      </c>
      <c r="P47">
        <f>IF($A47="","",IF($E47=1,$F47*$O47,PNL!G47))</f>
        <v>330211</v>
      </c>
      <c r="T47">
        <f t="shared" si="3"/>
        <v>0</v>
      </c>
    </row>
    <row r="48" ht="14.25" customHeight="1">
      <c r="A48" t="str">
        <f>IF(PNL!A48="","",PNL!A48)</f>
        <v>ISCOM_PAR</v>
      </c>
      <c r="B48" t="str">
        <f>IF(PNL!B48="","",PNL!B48)</f>
        <v>706</v>
      </c>
      <c r="C48" t="str">
        <f>IF(PNL!C48="","",PNL!C48)</f>
        <v>2024</v>
      </c>
      <c r="D48" t="str">
        <f>IF(PNL!D48="","",PNL!D48)</f>
        <v>ACT</v>
      </c>
      <c r="E48">
        <f t="shared" si="0"/>
        <v>0</v>
      </c>
      <c r="F48">
        <f>IF($A48="","",IF($E48=1,_xlfn.SUMIFS(Compta!$F$1:$F$1448,Compta!$A$1:$A$1448,$A48,Compta!$B$1:$B$1448,$B48,Compta!$C$1:$C$1448,"2026"),0))</f>
        <v>0</v>
      </c>
      <c r="G48" t="s">
        <v>274</v>
      </c>
      <c r="H48" t="s">
        <v>274</v>
      </c>
      <c r="I48" t="s">
        <v>274</v>
      </c>
      <c r="J48" t="s">
        <v>274</v>
      </c>
      <c r="K48" t="s">
        <v>274</v>
      </c>
      <c r="L48" t="s">
        <v>274</v>
      </c>
      <c r="M48" t="s">
        <v>274</v>
      </c>
      <c r="N48" t="e">
        <f t="shared" si="1"/>
        <v>#VALUE!</v>
      </c>
      <c r="O48" t="e">
        <f t="shared" si="2"/>
        <v>#VALUE!</v>
      </c>
      <c r="P48">
        <f>IF($A48="","",IF($E48=1,$F48*$O48,PNL!G48))</f>
        <v>538270</v>
      </c>
      <c r="T48">
        <f t="shared" si="3"/>
        <v>0</v>
      </c>
    </row>
    <row r="49" ht="14.25" customHeight="1">
      <c r="A49" t="str">
        <f>IF(PNL!A49="","",PNL!A49)</f>
        <v>ISCOM_LIL</v>
      </c>
      <c r="B49" t="str">
        <f>IF(PNL!B49="","",PNL!B49)</f>
        <v>706</v>
      </c>
      <c r="C49" t="str">
        <f>IF(PNL!C49="","",PNL!C49)</f>
        <v>2024</v>
      </c>
      <c r="D49" t="str">
        <f>IF(PNL!D49="","",PNL!D49)</f>
        <v>ACT</v>
      </c>
      <c r="E49">
        <f t="shared" si="0"/>
        <v>0</v>
      </c>
      <c r="F49">
        <f>IF($A49="","",IF($E49=1,_xlfn.SUMIFS(Compta!$F$1:$F$1448,Compta!$A$1:$A$1448,$A49,Compta!$B$1:$B$1448,$B49,Compta!$C$1:$C$1448,"2026"),0))</f>
        <v>0</v>
      </c>
      <c r="G49" t="s">
        <v>274</v>
      </c>
      <c r="H49" t="s">
        <v>274</v>
      </c>
      <c r="I49" t="s">
        <v>274</v>
      </c>
      <c r="J49" t="s">
        <v>274</v>
      </c>
      <c r="K49" t="s">
        <v>274</v>
      </c>
      <c r="L49" t="s">
        <v>274</v>
      </c>
      <c r="M49" t="s">
        <v>274</v>
      </c>
      <c r="N49" t="e">
        <f t="shared" si="1"/>
        <v>#VALUE!</v>
      </c>
      <c r="O49" t="e">
        <f t="shared" si="2"/>
        <v>#VALUE!</v>
      </c>
      <c r="P49">
        <f>IF($A49="","",IF($E49=1,$F49*$O49,PNL!G49))</f>
        <v>327074</v>
      </c>
      <c r="T49">
        <f t="shared" si="3"/>
        <v>0</v>
      </c>
    </row>
    <row r="50" ht="14.25" customHeight="1">
      <c r="A50" t="str">
        <f>IF(PNL!A50="","",PNL!A50)</f>
        <v>ISCOM_TLS</v>
      </c>
      <c r="B50" t="str">
        <f>IF(PNL!B50="","",PNL!B50)</f>
        <v>706</v>
      </c>
      <c r="C50" t="str">
        <f>IF(PNL!C50="","",PNL!C50)</f>
        <v>2024</v>
      </c>
      <c r="D50" t="str">
        <f>IF(PNL!D50="","",PNL!D50)</f>
        <v>ACT</v>
      </c>
      <c r="E50">
        <f t="shared" si="0"/>
        <v>0</v>
      </c>
      <c r="F50">
        <f>IF($A50="","",IF($E50=1,_xlfn.SUMIFS(Compta!$F$1:$F$1448,Compta!$A$1:$A$1448,$A50,Compta!$B$1:$B$1448,$B50,Compta!$C$1:$C$1448,"2026"),0))</f>
        <v>0</v>
      </c>
      <c r="G50" t="s">
        <v>274</v>
      </c>
      <c r="H50" t="s">
        <v>274</v>
      </c>
      <c r="I50" t="s">
        <v>274</v>
      </c>
      <c r="J50" t="s">
        <v>274</v>
      </c>
      <c r="K50" t="s">
        <v>274</v>
      </c>
      <c r="L50" t="s">
        <v>274</v>
      </c>
      <c r="M50" t="s">
        <v>274</v>
      </c>
      <c r="N50" t="e">
        <f t="shared" si="1"/>
        <v>#VALUE!</v>
      </c>
      <c r="O50" t="e">
        <f t="shared" si="2"/>
        <v>#VALUE!</v>
      </c>
      <c r="P50">
        <f>IF($A50="","",IF($E50=1,$F50*$O50,PNL!G50))</f>
        <v>301175</v>
      </c>
      <c r="T50">
        <f t="shared" si="3"/>
        <v>0</v>
      </c>
    </row>
    <row r="51" ht="14.25" customHeight="1">
      <c r="A51" t="str">
        <f>IF(PNL!A51="","",PNL!A51)</f>
        <v>MBWAY_PAR</v>
      </c>
      <c r="B51" t="str">
        <f>IF(PNL!B51="","",PNL!B51)</f>
        <v>706</v>
      </c>
      <c r="C51" t="str">
        <f>IF(PNL!C51="","",PNL!C51)</f>
        <v>2025</v>
      </c>
      <c r="D51" t="str">
        <f>IF(PNL!D51="","",PNL!D51)</f>
        <v>ACT</v>
      </c>
      <c r="E51">
        <f t="shared" si="0"/>
        <v>0</v>
      </c>
      <c r="F51">
        <f>IF($A51="","",IF($E51=1,_xlfn.SUMIFS(Compta!$F$1:$F$1448,Compta!$A$1:$A$1448,$A51,Compta!$B$1:$B$1448,$B51,Compta!$C$1:$C$1448,"2026"),0))</f>
        <v>0</v>
      </c>
      <c r="G51" t="s">
        <v>274</v>
      </c>
      <c r="H51" t="s">
        <v>274</v>
      </c>
      <c r="I51" t="s">
        <v>274</v>
      </c>
      <c r="J51" t="s">
        <v>274</v>
      </c>
      <c r="K51" t="s">
        <v>274</v>
      </c>
      <c r="L51" t="s">
        <v>274</v>
      </c>
      <c r="M51" t="s">
        <v>274</v>
      </c>
      <c r="N51" t="e">
        <f t="shared" si="1"/>
        <v>#VALUE!</v>
      </c>
      <c r="O51" t="e">
        <f t="shared" si="2"/>
        <v>#VALUE!</v>
      </c>
      <c r="P51">
        <f>IF($A51="","",IF($E51=1,$F51*$O51,PNL!G51))</f>
        <v>618113</v>
      </c>
      <c r="T51">
        <f t="shared" si="3"/>
        <v>0</v>
      </c>
    </row>
    <row r="52" ht="14.25" customHeight="1">
      <c r="A52" t="str">
        <f>IF(PNL!A52="","",PNL!A52)</f>
        <v>MBWAY_LYO</v>
      </c>
      <c r="B52" t="str">
        <f>IF(PNL!B52="","",PNL!B52)</f>
        <v>706</v>
      </c>
      <c r="C52" t="str">
        <f>IF(PNL!C52="","",PNL!C52)</f>
        <v>2025</v>
      </c>
      <c r="D52" t="str">
        <f>IF(PNL!D52="","",PNL!D52)</f>
        <v>ACT</v>
      </c>
      <c r="E52">
        <f t="shared" si="0"/>
        <v>0</v>
      </c>
      <c r="F52">
        <f>IF($A52="","",IF($E52=1,_xlfn.SUMIFS(Compta!$F$1:$F$1448,Compta!$A$1:$A$1448,$A52,Compta!$B$1:$B$1448,$B52,Compta!$C$1:$C$1448,"2026"),0))</f>
        <v>0</v>
      </c>
      <c r="G52" t="s">
        <v>274</v>
      </c>
      <c r="H52" t="s">
        <v>274</v>
      </c>
      <c r="I52" t="s">
        <v>274</v>
      </c>
      <c r="J52" t="s">
        <v>274</v>
      </c>
      <c r="K52" t="s">
        <v>274</v>
      </c>
      <c r="L52" t="s">
        <v>274</v>
      </c>
      <c r="M52" t="s">
        <v>274</v>
      </c>
      <c r="N52" t="e">
        <f t="shared" si="1"/>
        <v>#VALUE!</v>
      </c>
      <c r="O52" t="e">
        <f t="shared" si="2"/>
        <v>#VALUE!</v>
      </c>
      <c r="P52">
        <f>IF($A52="","",IF($E52=1,$F52*$O52,PNL!G52))</f>
        <v>490330</v>
      </c>
      <c r="T52">
        <f t="shared" si="3"/>
        <v>0</v>
      </c>
    </row>
    <row r="53" ht="14.25" customHeight="1">
      <c r="A53" t="str">
        <f>IF(PNL!A53="","",PNL!A53)</f>
        <v>MBWAY_NAN</v>
      </c>
      <c r="B53" t="str">
        <f>IF(PNL!B53="","",PNL!B53)</f>
        <v>706</v>
      </c>
      <c r="C53" t="str">
        <f>IF(PNL!C53="","",PNL!C53)</f>
        <v>2025</v>
      </c>
      <c r="D53" t="str">
        <f>IF(PNL!D53="","",PNL!D53)</f>
        <v>ACT</v>
      </c>
      <c r="E53">
        <f t="shared" si="0"/>
        <v>0</v>
      </c>
      <c r="F53">
        <f>IF($A53="","",IF($E53=1,_xlfn.SUMIFS(Compta!$F$1:$F$1448,Compta!$A$1:$A$1448,$A53,Compta!$B$1:$B$1448,$B53,Compta!$C$1:$C$1448,"2026"),0))</f>
        <v>0</v>
      </c>
      <c r="G53" t="s">
        <v>274</v>
      </c>
      <c r="H53" t="s">
        <v>274</v>
      </c>
      <c r="I53" t="s">
        <v>274</v>
      </c>
      <c r="J53" t="s">
        <v>274</v>
      </c>
      <c r="K53" t="s">
        <v>274</v>
      </c>
      <c r="L53" t="s">
        <v>274</v>
      </c>
      <c r="M53" t="s">
        <v>274</v>
      </c>
      <c r="N53" t="e">
        <f t="shared" si="1"/>
        <v>#VALUE!</v>
      </c>
      <c r="O53" t="e">
        <f t="shared" si="2"/>
        <v>#VALUE!</v>
      </c>
      <c r="P53">
        <f>IF($A53="","",IF($E53=1,$F53*$O53,PNL!G53))</f>
        <v>424528</v>
      </c>
      <c r="T53">
        <f t="shared" si="3"/>
        <v>0</v>
      </c>
    </row>
    <row r="54" ht="14.25" customHeight="1">
      <c r="A54" t="str">
        <f>IF(PNL!A54="","",PNL!A54)</f>
        <v>MBWAY_BOR</v>
      </c>
      <c r="B54" t="str">
        <f>IF(PNL!B54="","",PNL!B54)</f>
        <v>706</v>
      </c>
      <c r="C54" t="str">
        <f>IF(PNL!C54="","",PNL!C54)</f>
        <v>2025</v>
      </c>
      <c r="D54" t="str">
        <f>IF(PNL!D54="","",PNL!D54)</f>
        <v>ACT</v>
      </c>
      <c r="E54">
        <f t="shared" si="0"/>
        <v>0</v>
      </c>
      <c r="F54">
        <f>IF($A54="","",IF($E54=1,_xlfn.SUMIFS(Compta!$F$1:$F$1448,Compta!$A$1:$A$1448,$A54,Compta!$B$1:$B$1448,$B54,Compta!$C$1:$C$1448,"2026"),0))</f>
        <v>0</v>
      </c>
      <c r="G54" t="s">
        <v>274</v>
      </c>
      <c r="H54" t="s">
        <v>274</v>
      </c>
      <c r="I54" t="s">
        <v>274</v>
      </c>
      <c r="J54" t="s">
        <v>274</v>
      </c>
      <c r="K54" t="s">
        <v>274</v>
      </c>
      <c r="L54" t="s">
        <v>274</v>
      </c>
      <c r="M54" t="s">
        <v>274</v>
      </c>
      <c r="N54" t="e">
        <f t="shared" si="1"/>
        <v>#VALUE!</v>
      </c>
      <c r="O54" t="e">
        <f t="shared" si="2"/>
        <v>#VALUE!</v>
      </c>
      <c r="P54">
        <f>IF($A54="","",IF($E54=1,$F54*$O54,PNL!G54))</f>
        <v>350024</v>
      </c>
      <c r="T54">
        <f t="shared" si="3"/>
        <v>0</v>
      </c>
    </row>
    <row r="55" ht="14.25" customHeight="1">
      <c r="A55" t="str">
        <f>IF(PNL!A55="","",PNL!A55)</f>
        <v>ISCOM_PAR</v>
      </c>
      <c r="B55" t="str">
        <f>IF(PNL!B55="","",PNL!B55)</f>
        <v>706</v>
      </c>
      <c r="C55" t="str">
        <f>IF(PNL!C55="","",PNL!C55)</f>
        <v>2025</v>
      </c>
      <c r="D55" t="str">
        <f>IF(PNL!D55="","",PNL!D55)</f>
        <v>ACT</v>
      </c>
      <c r="E55">
        <f t="shared" si="0"/>
        <v>0</v>
      </c>
      <c r="F55">
        <f>IF($A55="","",IF($E55=1,_xlfn.SUMIFS(Compta!$F$1:$F$1448,Compta!$A$1:$A$1448,$A55,Compta!$B$1:$B$1448,$B55,Compta!$C$1:$C$1448,"2026"),0))</f>
        <v>0</v>
      </c>
      <c r="G55" t="s">
        <v>274</v>
      </c>
      <c r="H55" t="s">
        <v>274</v>
      </c>
      <c r="I55" t="s">
        <v>274</v>
      </c>
      <c r="J55" t="s">
        <v>274</v>
      </c>
      <c r="K55" t="s">
        <v>274</v>
      </c>
      <c r="L55" t="s">
        <v>274</v>
      </c>
      <c r="M55" t="s">
        <v>274</v>
      </c>
      <c r="N55" t="e">
        <f t="shared" si="1"/>
        <v>#VALUE!</v>
      </c>
      <c r="O55" t="e">
        <f t="shared" si="2"/>
        <v>#VALUE!</v>
      </c>
      <c r="P55">
        <f>IF($A55="","",IF($E55=1,$F55*$O55,PNL!G55))</f>
        <v>570566</v>
      </c>
      <c r="T55">
        <f t="shared" si="3"/>
        <v>0</v>
      </c>
    </row>
    <row r="56" ht="14.25" customHeight="1">
      <c r="A56" t="str">
        <f>IF(PNL!A56="","",PNL!A56)</f>
        <v>ISCOM_LIL</v>
      </c>
      <c r="B56" t="str">
        <f>IF(PNL!B56="","",PNL!B56)</f>
        <v>706</v>
      </c>
      <c r="C56" t="str">
        <f>IF(PNL!C56="","",PNL!C56)</f>
        <v>2025</v>
      </c>
      <c r="D56" t="str">
        <f>IF(PNL!D56="","",PNL!D56)</f>
        <v>ACT</v>
      </c>
      <c r="E56">
        <f t="shared" si="0"/>
        <v>0</v>
      </c>
      <c r="F56">
        <f>IF($A56="","",IF($E56=1,_xlfn.SUMIFS(Compta!$F$1:$F$1448,Compta!$A$1:$A$1448,$A56,Compta!$B$1:$B$1448,$B56,Compta!$C$1:$C$1448,"2026"),0))</f>
        <v>0</v>
      </c>
      <c r="G56" t="s">
        <v>274</v>
      </c>
      <c r="H56" t="s">
        <v>274</v>
      </c>
      <c r="I56" t="s">
        <v>274</v>
      </c>
      <c r="J56" t="s">
        <v>274</v>
      </c>
      <c r="K56" t="s">
        <v>274</v>
      </c>
      <c r="L56" t="s">
        <v>274</v>
      </c>
      <c r="M56" t="s">
        <v>274</v>
      </c>
      <c r="N56" t="e">
        <f t="shared" si="1"/>
        <v>#VALUE!</v>
      </c>
      <c r="O56" t="e">
        <f t="shared" si="2"/>
        <v>#VALUE!</v>
      </c>
      <c r="P56">
        <f>IF($A56="","",IF($E56=1,$F56*$O56,PNL!G56))</f>
        <v>346698</v>
      </c>
      <c r="T56">
        <f t="shared" si="3"/>
        <v>0</v>
      </c>
    </row>
    <row r="57" ht="14.25" customHeight="1">
      <c r="A57" t="str">
        <f>IF(PNL!A57="","",PNL!A57)</f>
        <v>ISCOM_TLS</v>
      </c>
      <c r="B57" t="str">
        <f>IF(PNL!B57="","",PNL!B57)</f>
        <v>706</v>
      </c>
      <c r="C57" t="str">
        <f>IF(PNL!C57="","",PNL!C57)</f>
        <v>2025</v>
      </c>
      <c r="D57" t="str">
        <f>IF(PNL!D57="","",PNL!D57)</f>
        <v>ACT</v>
      </c>
      <c r="E57">
        <f t="shared" si="0"/>
        <v>0</v>
      </c>
      <c r="F57">
        <f>IF($A57="","",IF($E57=1,_xlfn.SUMIFS(Compta!$F$1:$F$1448,Compta!$A$1:$A$1448,$A57,Compta!$B$1:$B$1448,$B57,Compta!$C$1:$C$1448,"2026"),0))</f>
        <v>0</v>
      </c>
      <c r="G57" t="s">
        <v>274</v>
      </c>
      <c r="H57" t="s">
        <v>274</v>
      </c>
      <c r="I57" t="s">
        <v>274</v>
      </c>
      <c r="J57" t="s">
        <v>274</v>
      </c>
      <c r="K57" t="s">
        <v>274</v>
      </c>
      <c r="L57" t="s">
        <v>274</v>
      </c>
      <c r="M57" t="s">
        <v>274</v>
      </c>
      <c r="N57" t="e">
        <f t="shared" si="1"/>
        <v>#VALUE!</v>
      </c>
      <c r="O57" t="e">
        <f t="shared" si="2"/>
        <v>#VALUE!</v>
      </c>
      <c r="P57">
        <f>IF($A57="","",IF($E57=1,$F57*$O57,PNL!G57))</f>
        <v>319245</v>
      </c>
      <c r="T57">
        <f t="shared" si="3"/>
        <v>0</v>
      </c>
    </row>
    <row r="58" ht="14.25" customHeight="1">
      <c r="A58" t="str">
        <f>IF(PNL!A58="","",PNL!A58)</f>
        <v>MBWAY_PAR</v>
      </c>
      <c r="B58" t="str">
        <f>IF(PNL!B58="","",PNL!B58)</f>
        <v>706</v>
      </c>
      <c r="C58" t="str">
        <f>IF(PNL!C58="","",PNL!C58)</f>
        <v>2026</v>
      </c>
      <c r="D58" t="str">
        <f>IF(PNL!D58="","",PNL!D58)</f>
        <v>ACT</v>
      </c>
      <c r="E58">
        <f t="shared" si="0"/>
        <v>0</v>
      </c>
      <c r="F58">
        <f>IF($A58="","",IF($E58=1,_xlfn.SUMIFS(Compta!$F$1:$F$1448,Compta!$A$1:$A$1448,$A58,Compta!$B$1:$B$1448,$B58,Compta!$C$1:$C$1448,"2026"),0))</f>
        <v>0</v>
      </c>
      <c r="G58" t="s">
        <v>274</v>
      </c>
      <c r="H58" t="s">
        <v>274</v>
      </c>
      <c r="I58" t="s">
        <v>274</v>
      </c>
      <c r="J58" t="s">
        <v>274</v>
      </c>
      <c r="K58" t="s">
        <v>274</v>
      </c>
      <c r="L58" t="s">
        <v>274</v>
      </c>
      <c r="M58" t="s">
        <v>274</v>
      </c>
      <c r="N58" t="e">
        <f t="shared" si="1"/>
        <v>#VALUE!</v>
      </c>
      <c r="O58" t="e">
        <f t="shared" si="2"/>
        <v>#VALUE!</v>
      </c>
      <c r="P58">
        <f>IF($A58="","",IF($E58=1,$F58*$O58,PNL!G58))</f>
        <v>655200</v>
      </c>
      <c r="T58">
        <f t="shared" si="3"/>
        <v>0</v>
      </c>
    </row>
    <row r="59" ht="14.25" customHeight="1">
      <c r="A59" t="str">
        <f>IF(PNL!A59="","",PNL!A59)</f>
        <v>MBWAY_LYO</v>
      </c>
      <c r="B59" t="str">
        <f>IF(PNL!B59="","",PNL!B59)</f>
        <v>706</v>
      </c>
      <c r="C59" t="str">
        <f>IF(PNL!C59="","",PNL!C59)</f>
        <v>2026</v>
      </c>
      <c r="D59" t="str">
        <f>IF(PNL!D59="","",PNL!D59)</f>
        <v>ACT</v>
      </c>
      <c r="E59">
        <f t="shared" si="0"/>
        <v>0</v>
      </c>
      <c r="F59">
        <f>IF($A59="","",IF($E59=1,_xlfn.SUMIFS(Compta!$F$1:$F$1448,Compta!$A$1:$A$1448,$A59,Compta!$B$1:$B$1448,$B59,Compta!$C$1:$C$1448,"2026"),0))</f>
        <v>0</v>
      </c>
      <c r="G59" t="s">
        <v>274</v>
      </c>
      <c r="H59" t="s">
        <v>274</v>
      </c>
      <c r="I59" t="s">
        <v>274</v>
      </c>
      <c r="J59" t="s">
        <v>274</v>
      </c>
      <c r="K59" t="s">
        <v>274</v>
      </c>
      <c r="L59" t="s">
        <v>274</v>
      </c>
      <c r="M59" t="s">
        <v>274</v>
      </c>
      <c r="N59" t="e">
        <f t="shared" si="1"/>
        <v>#VALUE!</v>
      </c>
      <c r="O59" t="e">
        <f t="shared" si="2"/>
        <v>#VALUE!</v>
      </c>
      <c r="P59">
        <f>IF($A59="","",IF($E59=1,$F59*$O59,PNL!G59))</f>
        <v>519750</v>
      </c>
      <c r="T59">
        <f t="shared" si="3"/>
        <v>0</v>
      </c>
    </row>
    <row r="60" ht="14.25" customHeight="1">
      <c r="A60" t="str">
        <f>IF(PNL!A60="","",PNL!A60)</f>
        <v>MBWAY_NAN</v>
      </c>
      <c r="B60" t="str">
        <f>IF(PNL!B60="","",PNL!B60)</f>
        <v>706</v>
      </c>
      <c r="C60" t="str">
        <f>IF(PNL!C60="","",PNL!C60)</f>
        <v>2026</v>
      </c>
      <c r="D60" t="str">
        <f>IF(PNL!D60="","",PNL!D60)</f>
        <v>ACT</v>
      </c>
      <c r="E60">
        <f t="shared" si="0"/>
        <v>0</v>
      </c>
      <c r="F60">
        <f>IF($A60="","",IF($E60=1,_xlfn.SUMIFS(Compta!$F$1:$F$1448,Compta!$A$1:$A$1448,$A60,Compta!$B$1:$B$1448,$B60,Compta!$C$1:$C$1448,"2026"),0))</f>
        <v>0</v>
      </c>
      <c r="G60" t="s">
        <v>274</v>
      </c>
      <c r="H60" t="s">
        <v>274</v>
      </c>
      <c r="I60" t="s">
        <v>274</v>
      </c>
      <c r="J60" t="s">
        <v>274</v>
      </c>
      <c r="K60" t="s">
        <v>274</v>
      </c>
      <c r="L60" t="s">
        <v>274</v>
      </c>
      <c r="M60" t="s">
        <v>274</v>
      </c>
      <c r="N60" t="e">
        <f t="shared" si="1"/>
        <v>#VALUE!</v>
      </c>
      <c r="O60" t="e">
        <f t="shared" si="2"/>
        <v>#VALUE!</v>
      </c>
      <c r="P60">
        <f>IF($A60="","",IF($E60=1,$F60*$O60,PNL!G60))</f>
        <v>450000</v>
      </c>
      <c r="T60">
        <f t="shared" si="3"/>
        <v>0</v>
      </c>
    </row>
    <row r="61" ht="14.25" customHeight="1">
      <c r="A61" t="str">
        <f>IF(PNL!A61="","",PNL!A61)</f>
        <v>MBWAY_BOR</v>
      </c>
      <c r="B61" t="str">
        <f>IF(PNL!B61="","",PNL!B61)</f>
        <v>706</v>
      </c>
      <c r="C61" t="str">
        <f>IF(PNL!C61="","",PNL!C61)</f>
        <v>2026</v>
      </c>
      <c r="D61" t="str">
        <f>IF(PNL!D61="","",PNL!D61)</f>
        <v>ACT</v>
      </c>
      <c r="E61">
        <f t="shared" si="0"/>
        <v>0</v>
      </c>
      <c r="F61">
        <f>IF($A61="","",IF($E61=1,_xlfn.SUMIFS(Compta!$F$1:$F$1448,Compta!$A$1:$A$1448,$A61,Compta!$B$1:$B$1448,$B61,Compta!$C$1:$C$1448,"2026"),0))</f>
        <v>0</v>
      </c>
      <c r="G61" t="s">
        <v>274</v>
      </c>
      <c r="H61" t="s">
        <v>274</v>
      </c>
      <c r="I61" t="s">
        <v>274</v>
      </c>
      <c r="J61" t="s">
        <v>274</v>
      </c>
      <c r="K61" t="s">
        <v>274</v>
      </c>
      <c r="L61" t="s">
        <v>274</v>
      </c>
      <c r="M61" t="s">
        <v>274</v>
      </c>
      <c r="N61" t="e">
        <f t="shared" si="1"/>
        <v>#VALUE!</v>
      </c>
      <c r="O61" t="e">
        <f t="shared" si="2"/>
        <v>#VALUE!</v>
      </c>
      <c r="P61">
        <f>IF($A61="","",IF($E61=1,$F61*$O61,PNL!G61))</f>
        <v>371025</v>
      </c>
      <c r="T61">
        <f t="shared" si="3"/>
        <v>0</v>
      </c>
    </row>
    <row r="62" ht="14.25" customHeight="1">
      <c r="A62" t="str">
        <f>IF(PNL!A62="","",PNL!A62)</f>
        <v>ISCOM_PAR</v>
      </c>
      <c r="B62" t="str">
        <f>IF(PNL!B62="","",PNL!B62)</f>
        <v>706</v>
      </c>
      <c r="C62" t="str">
        <f>IF(PNL!C62="","",PNL!C62)</f>
        <v>2026</v>
      </c>
      <c r="D62" t="str">
        <f>IF(PNL!D62="","",PNL!D62)</f>
        <v>ACT</v>
      </c>
      <c r="E62">
        <f t="shared" si="0"/>
        <v>0</v>
      </c>
      <c r="F62">
        <f>IF($A62="","",IF($E62=1,_xlfn.SUMIFS(Compta!$F$1:$F$1448,Compta!$A$1:$A$1448,$A62,Compta!$B$1:$B$1448,$B62,Compta!$C$1:$C$1448,"2026"),0))</f>
        <v>0</v>
      </c>
      <c r="G62" t="s">
        <v>274</v>
      </c>
      <c r="H62" t="s">
        <v>274</v>
      </c>
      <c r="I62" t="s">
        <v>274</v>
      </c>
      <c r="J62" t="s">
        <v>274</v>
      </c>
      <c r="K62" t="s">
        <v>274</v>
      </c>
      <c r="L62" t="s">
        <v>274</v>
      </c>
      <c r="M62" t="s">
        <v>274</v>
      </c>
      <c r="N62" t="e">
        <f t="shared" si="1"/>
        <v>#VALUE!</v>
      </c>
      <c r="O62" t="e">
        <f t="shared" si="2"/>
        <v>#VALUE!</v>
      </c>
      <c r="P62">
        <f>IF($A62="","",IF($E62=1,$F62*$O62,PNL!G62))</f>
        <v>604800</v>
      </c>
      <c r="T62">
        <f t="shared" si="3"/>
        <v>0</v>
      </c>
    </row>
    <row r="63" ht="14.25" customHeight="1">
      <c r="A63" t="str">
        <f>IF(PNL!A63="","",PNL!A63)</f>
        <v>ISCOM_LIL</v>
      </c>
      <c r="B63" t="str">
        <f>IF(PNL!B63="","",PNL!B63)</f>
        <v>706</v>
      </c>
      <c r="C63" t="str">
        <f>IF(PNL!C63="","",PNL!C63)</f>
        <v>2026</v>
      </c>
      <c r="D63" t="str">
        <f>IF(PNL!D63="","",PNL!D63)</f>
        <v>ACT</v>
      </c>
      <c r="E63">
        <f t="shared" si="0"/>
        <v>0</v>
      </c>
      <c r="F63">
        <f>IF($A63="","",IF($E63=1,_xlfn.SUMIFS(Compta!$F$1:$F$1448,Compta!$A$1:$A$1448,$A63,Compta!$B$1:$B$1448,$B63,Compta!$C$1:$C$1448,"2026"),0))</f>
        <v>0</v>
      </c>
      <c r="G63" t="s">
        <v>274</v>
      </c>
      <c r="H63" t="s">
        <v>274</v>
      </c>
      <c r="I63" t="s">
        <v>274</v>
      </c>
      <c r="J63" t="s">
        <v>274</v>
      </c>
      <c r="K63" t="s">
        <v>274</v>
      </c>
      <c r="L63" t="s">
        <v>274</v>
      </c>
      <c r="M63" t="s">
        <v>274</v>
      </c>
      <c r="N63" t="e">
        <f t="shared" si="1"/>
        <v>#VALUE!</v>
      </c>
      <c r="O63" t="e">
        <f t="shared" si="2"/>
        <v>#VALUE!</v>
      </c>
      <c r="P63">
        <f>IF($A63="","",IF($E63=1,$F63*$O63,PNL!G63))</f>
        <v>367500</v>
      </c>
      <c r="T63">
        <f t="shared" si="3"/>
        <v>0</v>
      </c>
    </row>
    <row r="64" ht="14.25" customHeight="1">
      <c r="A64" t="str">
        <f>IF(PNL!A64="","",PNL!A64)</f>
        <v>ISCOM_TLS</v>
      </c>
      <c r="B64" t="str">
        <f>IF(PNL!B64="","",PNL!B64)</f>
        <v>706</v>
      </c>
      <c r="C64" t="str">
        <f>IF(PNL!C64="","",PNL!C64)</f>
        <v>2026</v>
      </c>
      <c r="D64" t="str">
        <f>IF(PNL!D64="","",PNL!D64)</f>
        <v>ACT</v>
      </c>
      <c r="E64">
        <f t="shared" si="0"/>
        <v>0</v>
      </c>
      <c r="F64">
        <f>IF($A64="","",IF($E64=1,_xlfn.SUMIFS(Compta!$F$1:$F$1448,Compta!$A$1:$A$1448,$A64,Compta!$B$1:$B$1448,$B64,Compta!$C$1:$C$1448,"2026"),0))</f>
        <v>0</v>
      </c>
      <c r="G64" t="s">
        <v>274</v>
      </c>
      <c r="H64" t="s">
        <v>274</v>
      </c>
      <c r="I64" t="s">
        <v>274</v>
      </c>
      <c r="J64" t="s">
        <v>274</v>
      </c>
      <c r="K64" t="s">
        <v>274</v>
      </c>
      <c r="L64" t="s">
        <v>274</v>
      </c>
      <c r="M64" t="s">
        <v>274</v>
      </c>
      <c r="N64" t="e">
        <f t="shared" si="1"/>
        <v>#VALUE!</v>
      </c>
      <c r="O64" t="e">
        <f t="shared" si="2"/>
        <v>#VALUE!</v>
      </c>
      <c r="P64">
        <f>IF($A64="","",IF($E64=1,$F64*$O64,PNL!G64))</f>
        <v>338400</v>
      </c>
      <c r="T64">
        <f t="shared" si="3"/>
        <v>0</v>
      </c>
    </row>
    <row r="65" ht="14.25" customHeight="1">
      <c r="A65" t="str">
        <f>IF(PNL!A65="","",PNL!A65)</f>
        <v>MBWAY_PAR</v>
      </c>
      <c r="B65" t="str">
        <f>IF(PNL!B65="","",PNL!B65)</f>
        <v>708</v>
      </c>
      <c r="C65" t="str">
        <f>IF(PNL!C65="","",PNL!C65)</f>
        <v>2024</v>
      </c>
      <c r="D65" t="str">
        <f>IF(PNL!D65="","",PNL!D65)</f>
        <v>ACT</v>
      </c>
      <c r="E65">
        <f t="shared" si="0"/>
        <v>0</v>
      </c>
      <c r="F65">
        <f>IF($A65="","",IF($E65=1,_xlfn.SUMIFS(Compta!$F$1:$F$1448,Compta!$A$1:$A$1448,$A65,Compta!$B$1:$B$1448,$B65,Compta!$C$1:$C$1448,"2026"),0))</f>
        <v>0</v>
      </c>
      <c r="G65" t="s">
        <v>274</v>
      </c>
      <c r="H65" t="s">
        <v>274</v>
      </c>
      <c r="I65" t="s">
        <v>274</v>
      </c>
      <c r="J65" t="s">
        <v>274</v>
      </c>
      <c r="K65" t="s">
        <v>274</v>
      </c>
      <c r="L65" t="s">
        <v>274</v>
      </c>
      <c r="M65" t="s">
        <v>274</v>
      </c>
      <c r="N65" t="e">
        <f t="shared" si="1"/>
        <v>#VALUE!</v>
      </c>
      <c r="O65" t="e">
        <f t="shared" si="2"/>
        <v>#VALUE!</v>
      </c>
      <c r="P65">
        <f>IF($A65="","",IF($E65=1,$F65*$O65,PNL!G65))</f>
        <v>12496</v>
      </c>
      <c r="T65">
        <f t="shared" si="3"/>
        <v>0</v>
      </c>
    </row>
    <row r="66" ht="14.25" customHeight="1">
      <c r="A66" t="str">
        <f>IF(PNL!A66="","",PNL!A66)</f>
        <v>MBWAY_LYO</v>
      </c>
      <c r="B66" t="str">
        <f>IF(PNL!B66="","",PNL!B66)</f>
        <v>708</v>
      </c>
      <c r="C66" t="str">
        <f>IF(PNL!C66="","",PNL!C66)</f>
        <v>2024</v>
      </c>
      <c r="D66" t="str">
        <f>IF(PNL!D66="","",PNL!D66)</f>
        <v>ACT</v>
      </c>
      <c r="E66">
        <f t="shared" si="0"/>
        <v>0</v>
      </c>
      <c r="F66">
        <f>IF($A66="","",IF($E66=1,_xlfn.SUMIFS(Compta!$F$1:$F$1448,Compta!$A$1:$A$1448,$A66,Compta!$B$1:$B$1448,$B66,Compta!$C$1:$C$1448,"2026"),0))</f>
        <v>0</v>
      </c>
      <c r="G66" t="s">
        <v>274</v>
      </c>
      <c r="H66" t="s">
        <v>274</v>
      </c>
      <c r="I66" t="s">
        <v>274</v>
      </c>
      <c r="J66" t="s">
        <v>274</v>
      </c>
      <c r="K66" t="s">
        <v>274</v>
      </c>
      <c r="L66" t="s">
        <v>274</v>
      </c>
      <c r="M66" t="s">
        <v>274</v>
      </c>
      <c r="N66" t="e">
        <f t="shared" si="1"/>
        <v>#VALUE!</v>
      </c>
      <c r="O66" t="e">
        <f t="shared" si="2"/>
        <v>#VALUE!</v>
      </c>
      <c r="P66">
        <f>IF($A66="","",IF($E66=1,$F66*$O66,PNL!G66))</f>
        <v>10573</v>
      </c>
      <c r="T66">
        <f t="shared" si="3"/>
        <v>0</v>
      </c>
    </row>
    <row r="67" ht="14.25" customHeight="1">
      <c r="A67" t="str">
        <f>IF(PNL!A67="","",PNL!A67)</f>
        <v>MBWAY_NAN</v>
      </c>
      <c r="B67" t="str">
        <f>IF(PNL!B67="","",PNL!B67)</f>
        <v>708</v>
      </c>
      <c r="C67" t="str">
        <f>IF(PNL!C67="","",PNL!C67)</f>
        <v>2024</v>
      </c>
      <c r="D67" t="str">
        <f>IF(PNL!D67="","",PNL!D67)</f>
        <v>ACT</v>
      </c>
      <c r="E67">
        <f t="shared" si="0"/>
        <v>0</v>
      </c>
      <c r="F67">
        <f>IF($A67="","",IF($E67=1,_xlfn.SUMIFS(Compta!$F$1:$F$1448,Compta!$A$1:$A$1448,$A67,Compta!$B$1:$B$1448,$B67,Compta!$C$1:$C$1448,"2026"),0))</f>
        <v>0</v>
      </c>
      <c r="G67" t="s">
        <v>274</v>
      </c>
      <c r="H67" t="s">
        <v>274</v>
      </c>
      <c r="I67" t="s">
        <v>274</v>
      </c>
      <c r="J67" t="s">
        <v>274</v>
      </c>
      <c r="K67" t="s">
        <v>274</v>
      </c>
      <c r="L67" t="s">
        <v>274</v>
      </c>
      <c r="M67" t="s">
        <v>274</v>
      </c>
      <c r="N67" t="e">
        <f t="shared" si="1"/>
        <v>#VALUE!</v>
      </c>
      <c r="O67" t="e">
        <f t="shared" si="2"/>
        <v>#VALUE!</v>
      </c>
      <c r="P67">
        <f>IF($A67="","",IF($E67=1,$F67*$O67,PNL!G67))</f>
        <v>9612</v>
      </c>
      <c r="T67">
        <f t="shared" si="3"/>
        <v>0</v>
      </c>
    </row>
    <row r="68" ht="14.25" customHeight="1">
      <c r="A68" t="str">
        <f>IF(PNL!A68="","",PNL!A68)</f>
        <v>MBWAY_BOR</v>
      </c>
      <c r="B68" t="str">
        <f>IF(PNL!B68="","",PNL!B68)</f>
        <v>708</v>
      </c>
      <c r="C68" t="str">
        <f>IF(PNL!C68="","",PNL!C68)</f>
        <v>2024</v>
      </c>
      <c r="D68" t="str">
        <f>IF(PNL!D68="","",PNL!D68)</f>
        <v>ACT</v>
      </c>
      <c r="E68">
        <f t="shared" si="0"/>
        <v>0</v>
      </c>
      <c r="F68">
        <f>IF($A68="","",IF($E68=1,_xlfn.SUMIFS(Compta!$F$1:$F$1448,Compta!$A$1:$A$1448,$A68,Compta!$B$1:$B$1448,$B68,Compta!$C$1:$C$1448,"2026"),0))</f>
        <v>0</v>
      </c>
      <c r="G68" t="s">
        <v>274</v>
      </c>
      <c r="H68" t="s">
        <v>274</v>
      </c>
      <c r="I68" t="s">
        <v>274</v>
      </c>
      <c r="J68" t="s">
        <v>274</v>
      </c>
      <c r="K68" t="s">
        <v>274</v>
      </c>
      <c r="L68" t="s">
        <v>274</v>
      </c>
      <c r="M68" t="s">
        <v>274</v>
      </c>
      <c r="N68" t="e">
        <f t="shared" si="1"/>
        <v>#VALUE!</v>
      </c>
      <c r="O68" t="e">
        <f t="shared" si="2"/>
        <v>#VALUE!</v>
      </c>
      <c r="P68">
        <f>IF($A68="","",IF($E68=1,$F68*$O68,PNL!G68))</f>
        <v>8170</v>
      </c>
      <c r="T68">
        <f t="shared" si="3"/>
        <v>0</v>
      </c>
    </row>
    <row r="69" ht="14.25" customHeight="1">
      <c r="A69" t="str">
        <f>IF(PNL!A69="","",PNL!A69)</f>
        <v>ISCOM_PAR</v>
      </c>
      <c r="B69" t="str">
        <f>IF(PNL!B69="","",PNL!B69)</f>
        <v>708</v>
      </c>
      <c r="C69" t="str">
        <f>IF(PNL!C69="","",PNL!C69)</f>
        <v>2024</v>
      </c>
      <c r="D69" t="str">
        <f>IF(PNL!D69="","",PNL!D69)</f>
        <v>ACT</v>
      </c>
      <c r="E69">
        <f t="shared" si="0"/>
        <v>0</v>
      </c>
      <c r="F69">
        <f>IF($A69="","",IF($E69=1,_xlfn.SUMIFS(Compta!$F$1:$F$1448,Compta!$A$1:$A$1448,$A69,Compta!$B$1:$B$1448,$B69,Compta!$C$1:$C$1448,"2026"),0))</f>
        <v>0</v>
      </c>
      <c r="G69" t="s">
        <v>274</v>
      </c>
      <c r="H69" t="s">
        <v>274</v>
      </c>
      <c r="I69" t="s">
        <v>274</v>
      </c>
      <c r="J69" t="s">
        <v>274</v>
      </c>
      <c r="K69" t="s">
        <v>274</v>
      </c>
      <c r="L69" t="s">
        <v>274</v>
      </c>
      <c r="M69" t="s">
        <v>274</v>
      </c>
      <c r="N69" t="e">
        <f t="shared" si="1"/>
        <v>#VALUE!</v>
      </c>
      <c r="O69" t="e">
        <f t="shared" si="2"/>
        <v>#VALUE!</v>
      </c>
      <c r="P69">
        <f>IF($A69="","",IF($E69=1,$F69*$O69,PNL!G69))</f>
        <v>11534</v>
      </c>
      <c r="T69">
        <f t="shared" si="3"/>
        <v>0</v>
      </c>
    </row>
    <row r="70" ht="14.25" customHeight="1">
      <c r="A70" t="str">
        <f>IF(PNL!A70="","",PNL!A70)</f>
        <v>ISCOM_LIL</v>
      </c>
      <c r="B70" t="str">
        <f>IF(PNL!B70="","",PNL!B70)</f>
        <v>708</v>
      </c>
      <c r="C70" t="str">
        <f>IF(PNL!C70="","",PNL!C70)</f>
        <v>2024</v>
      </c>
      <c r="D70" t="str">
        <f>IF(PNL!D70="","",PNL!D70)</f>
        <v>ACT</v>
      </c>
      <c r="E70">
        <f t="shared" si="0"/>
        <v>0</v>
      </c>
      <c r="F70">
        <f>IF($A70="","",IF($E70=1,_xlfn.SUMIFS(Compta!$F$1:$F$1448,Compta!$A$1:$A$1448,$A70,Compta!$B$1:$B$1448,$B70,Compta!$C$1:$C$1448,"2026"),0))</f>
        <v>0</v>
      </c>
      <c r="G70" t="s">
        <v>274</v>
      </c>
      <c r="H70" t="s">
        <v>274</v>
      </c>
      <c r="I70" t="s">
        <v>274</v>
      </c>
      <c r="J70" t="s">
        <v>274</v>
      </c>
      <c r="K70" t="s">
        <v>274</v>
      </c>
      <c r="L70" t="s">
        <v>274</v>
      </c>
      <c r="M70" t="s">
        <v>274</v>
      </c>
      <c r="N70" t="e">
        <f t="shared" si="1"/>
        <v>#VALUE!</v>
      </c>
      <c r="O70" t="e">
        <f t="shared" si="2"/>
        <v>#VALUE!</v>
      </c>
      <c r="P70">
        <f>IF($A70="","",IF($E70=1,$F70*$O70,PNL!G70))</f>
        <v>8010</v>
      </c>
      <c r="T70">
        <f t="shared" si="3"/>
        <v>0</v>
      </c>
    </row>
    <row r="71" ht="14.25" customHeight="1">
      <c r="A71" t="str">
        <f>IF(PNL!A71="","",PNL!A71)</f>
        <v>ISCOM_TLS</v>
      </c>
      <c r="B71" t="str">
        <f>IF(PNL!B71="","",PNL!B71)</f>
        <v>708</v>
      </c>
      <c r="C71" t="str">
        <f>IF(PNL!C71="","",PNL!C71)</f>
        <v>2024</v>
      </c>
      <c r="D71" t="str">
        <f>IF(PNL!D71="","",PNL!D71)</f>
        <v>ACT</v>
      </c>
      <c r="E71">
        <f t="shared" si="0"/>
        <v>0</v>
      </c>
      <c r="F71">
        <f>IF($A71="","",IF($E71=1,_xlfn.SUMIFS(Compta!$F$1:$F$1448,Compta!$A$1:$A$1448,$A71,Compta!$B$1:$B$1448,$B71,Compta!$C$1:$C$1448,"2026"),0))</f>
        <v>0</v>
      </c>
      <c r="G71" t="s">
        <v>274</v>
      </c>
      <c r="H71" t="s">
        <v>274</v>
      </c>
      <c r="I71" t="s">
        <v>274</v>
      </c>
      <c r="J71" t="s">
        <v>274</v>
      </c>
      <c r="K71" t="s">
        <v>274</v>
      </c>
      <c r="L71" t="s">
        <v>274</v>
      </c>
      <c r="M71" t="s">
        <v>274</v>
      </c>
      <c r="N71" t="e">
        <f t="shared" si="1"/>
        <v>#VALUE!</v>
      </c>
      <c r="O71" t="e">
        <f t="shared" si="2"/>
        <v>#VALUE!</v>
      </c>
      <c r="P71">
        <f>IF($A71="","",IF($E71=1,$F71*$O71,PNL!G71))</f>
        <v>7529</v>
      </c>
      <c r="T71">
        <f t="shared" si="3"/>
        <v>0</v>
      </c>
    </row>
    <row r="72" ht="14.25" customHeight="1">
      <c r="A72" t="str">
        <f>IF(PNL!A72="","",PNL!A72)</f>
        <v>IPAC_NAN</v>
      </c>
      <c r="B72" t="str">
        <f>IF(PNL!B72="","",PNL!B72)</f>
        <v>708</v>
      </c>
      <c r="C72" t="str">
        <f>IF(PNL!C72="","",PNL!C72)</f>
        <v>2024</v>
      </c>
      <c r="D72" t="str">
        <f>IF(PNL!D72="","",PNL!D72)</f>
        <v>ACT</v>
      </c>
      <c r="E72">
        <f t="shared" si="0"/>
        <v>0</v>
      </c>
      <c r="F72">
        <f>IF($A72="","",IF($E72=1,_xlfn.SUMIFS(Compta!$F$1:$F$1448,Compta!$A$1:$A$1448,$A72,Compta!$B$1:$B$1448,$B72,Compta!$C$1:$C$1448,"2026"),0))</f>
        <v>0</v>
      </c>
      <c r="G72" t="s">
        <v>274</v>
      </c>
      <c r="H72" t="s">
        <v>274</v>
      </c>
      <c r="I72" t="s">
        <v>274</v>
      </c>
      <c r="J72" t="s">
        <v>274</v>
      </c>
      <c r="K72" t="s">
        <v>274</v>
      </c>
      <c r="L72" t="s">
        <v>274</v>
      </c>
      <c r="M72" t="s">
        <v>274</v>
      </c>
      <c r="N72" t="e">
        <f t="shared" si="1"/>
        <v>#VALUE!</v>
      </c>
      <c r="O72" t="e">
        <f t="shared" si="2"/>
        <v>#VALUE!</v>
      </c>
      <c r="P72">
        <f>IF($A72="","",IF($E72=1,$F72*$O72,PNL!G72))</f>
        <v>4005</v>
      </c>
      <c r="T72">
        <f t="shared" si="3"/>
        <v>0</v>
      </c>
    </row>
    <row r="73" ht="14.25" customHeight="1">
      <c r="A73" t="str">
        <f>IF(PNL!A73="","",PNL!A73)</f>
        <v>IPAC_REN</v>
      </c>
      <c r="B73" t="str">
        <f>IF(PNL!B73="","",PNL!B73)</f>
        <v>708</v>
      </c>
      <c r="C73" t="str">
        <f>IF(PNL!C73="","",PNL!C73)</f>
        <v>2024</v>
      </c>
      <c r="D73" t="str">
        <f>IF(PNL!D73="","",PNL!D73)</f>
        <v>ACT</v>
      </c>
      <c r="E73">
        <f t="shared" si="0"/>
        <v>0</v>
      </c>
      <c r="F73">
        <f>IF($A73="","",IF($E73=1,_xlfn.SUMIFS(Compta!$F$1:$F$1448,Compta!$A$1:$A$1448,$A73,Compta!$B$1:$B$1448,$B73,Compta!$C$1:$C$1448,"2026"),0))</f>
        <v>0</v>
      </c>
      <c r="G73" t="s">
        <v>274</v>
      </c>
      <c r="H73" t="s">
        <v>274</v>
      </c>
      <c r="I73" t="s">
        <v>274</v>
      </c>
      <c r="J73" t="s">
        <v>274</v>
      </c>
      <c r="K73" t="s">
        <v>274</v>
      </c>
      <c r="L73" t="s">
        <v>274</v>
      </c>
      <c r="M73" t="s">
        <v>274</v>
      </c>
      <c r="N73" t="e">
        <f t="shared" si="1"/>
        <v>#VALUE!</v>
      </c>
      <c r="O73" t="e">
        <f t="shared" si="2"/>
        <v>#VALUE!</v>
      </c>
      <c r="P73">
        <f>IF($A73="","",IF($E73=1,$F73*$O73,PNL!G73))</f>
        <v>3204</v>
      </c>
      <c r="T73">
        <f t="shared" si="3"/>
        <v>0</v>
      </c>
    </row>
    <row r="74" ht="14.25" customHeight="1">
      <c r="A74" t="str">
        <f>IF(PNL!A74="","",PNL!A74)</f>
        <v>IPAC_MTP</v>
      </c>
      <c r="B74" t="str">
        <f>IF(PNL!B74="","",PNL!B74)</f>
        <v>708</v>
      </c>
      <c r="C74" t="str">
        <f>IF(PNL!C74="","",PNL!C74)</f>
        <v>2024</v>
      </c>
      <c r="D74" t="str">
        <f>IF(PNL!D74="","",PNL!D74)</f>
        <v>ACT</v>
      </c>
      <c r="E74">
        <f t="shared" si="0"/>
        <v>0</v>
      </c>
      <c r="F74">
        <f>IF($A74="","",IF($E74=1,_xlfn.SUMIFS(Compta!$F$1:$F$1448,Compta!$A$1:$A$1448,$A74,Compta!$B$1:$B$1448,$B74,Compta!$C$1:$C$1448,"2026"),0))</f>
        <v>0</v>
      </c>
      <c r="G74" t="s">
        <v>274</v>
      </c>
      <c r="H74" t="s">
        <v>274</v>
      </c>
      <c r="I74" t="s">
        <v>274</v>
      </c>
      <c r="J74" t="s">
        <v>274</v>
      </c>
      <c r="K74" t="s">
        <v>274</v>
      </c>
      <c r="L74" t="s">
        <v>274</v>
      </c>
      <c r="M74" t="s">
        <v>274</v>
      </c>
      <c r="N74" t="e">
        <f t="shared" si="1"/>
        <v>#VALUE!</v>
      </c>
      <c r="O74" t="e">
        <f t="shared" si="2"/>
        <v>#VALUE!</v>
      </c>
      <c r="P74">
        <f>IF($A74="","",IF($E74=1,$F74*$O74,PNL!G74))</f>
        <v>3204</v>
      </c>
      <c r="T74">
        <f t="shared" si="3"/>
        <v>0</v>
      </c>
    </row>
    <row r="75" ht="14.25" customHeight="1">
      <c r="A75" t="str">
        <f>IF(PNL!A75="","",PNL!A75)</f>
        <v>PIGIER_LYO</v>
      </c>
      <c r="B75" t="str">
        <f>IF(PNL!B75="","",PNL!B75)</f>
        <v>708</v>
      </c>
      <c r="C75" t="str">
        <f>IF(PNL!C75="","",PNL!C75)</f>
        <v>2024</v>
      </c>
      <c r="D75" t="str">
        <f>IF(PNL!D75="","",PNL!D75)</f>
        <v>ACT</v>
      </c>
      <c r="E75">
        <f t="shared" si="0"/>
        <v>0</v>
      </c>
      <c r="F75">
        <f>IF($A75="","",IF($E75=1,_xlfn.SUMIFS(Compta!$F$1:$F$1448,Compta!$A$1:$A$1448,$A75,Compta!$B$1:$B$1448,$B75,Compta!$C$1:$C$1448,"2026"),0))</f>
        <v>0</v>
      </c>
      <c r="G75" t="s">
        <v>274</v>
      </c>
      <c r="H75" t="s">
        <v>274</v>
      </c>
      <c r="I75" t="s">
        <v>274</v>
      </c>
      <c r="J75" t="s">
        <v>274</v>
      </c>
      <c r="K75" t="s">
        <v>274</v>
      </c>
      <c r="L75" t="s">
        <v>274</v>
      </c>
      <c r="M75" t="s">
        <v>274</v>
      </c>
      <c r="N75" t="e">
        <f t="shared" si="1"/>
        <v>#VALUE!</v>
      </c>
      <c r="O75" t="e">
        <f t="shared" si="2"/>
        <v>#VALUE!</v>
      </c>
      <c r="P75">
        <f>IF($A75="","",IF($E75=1,$F75*$O75,PNL!G75))</f>
        <v>7369</v>
      </c>
      <c r="T75">
        <f t="shared" si="3"/>
        <v>0</v>
      </c>
    </row>
    <row r="76" ht="14.25" customHeight="1">
      <c r="A76" t="str">
        <f>IF(PNL!A76="","",PNL!A76)</f>
        <v>PIGIER_BOR</v>
      </c>
      <c r="B76" t="str">
        <f>IF(PNL!B76="","",PNL!B76)</f>
        <v>708</v>
      </c>
      <c r="C76" t="str">
        <f>IF(PNL!C76="","",PNL!C76)</f>
        <v>2024</v>
      </c>
      <c r="D76" t="str">
        <f>IF(PNL!D76="","",PNL!D76)</f>
        <v>ACT</v>
      </c>
      <c r="E76">
        <f t="shared" si="0"/>
        <v>0</v>
      </c>
      <c r="F76">
        <f>IF($A76="","",IF($E76=1,_xlfn.SUMIFS(Compta!$F$1:$F$1448,Compta!$A$1:$A$1448,$A76,Compta!$B$1:$B$1448,$B76,Compta!$C$1:$C$1448,"2026"),0))</f>
        <v>0</v>
      </c>
      <c r="G76" t="s">
        <v>274</v>
      </c>
      <c r="H76" t="s">
        <v>274</v>
      </c>
      <c r="I76" t="s">
        <v>274</v>
      </c>
      <c r="J76" t="s">
        <v>274</v>
      </c>
      <c r="K76" t="s">
        <v>274</v>
      </c>
      <c r="L76" t="s">
        <v>274</v>
      </c>
      <c r="M76" t="s">
        <v>274</v>
      </c>
      <c r="N76" t="e">
        <f t="shared" si="1"/>
        <v>#VALUE!</v>
      </c>
      <c r="O76" t="e">
        <f t="shared" si="2"/>
        <v>#VALUE!</v>
      </c>
      <c r="P76">
        <f>IF($A76="","",IF($E76=1,$F76*$O76,PNL!G76))</f>
        <v>5767</v>
      </c>
      <c r="T76">
        <f t="shared" si="3"/>
        <v>0</v>
      </c>
    </row>
    <row r="77" ht="14.25" customHeight="1">
      <c r="A77" t="str">
        <f>IF(PNL!A77="","",PNL!A77)</f>
        <v>TUNON_PAR</v>
      </c>
      <c r="B77" t="str">
        <f>IF(PNL!B77="","",PNL!B77)</f>
        <v>708</v>
      </c>
      <c r="C77" t="str">
        <f>IF(PNL!C77="","",PNL!C77)</f>
        <v>2024</v>
      </c>
      <c r="D77" t="str">
        <f>IF(PNL!D77="","",PNL!D77)</f>
        <v>ACT</v>
      </c>
      <c r="E77">
        <f t="shared" si="0"/>
        <v>0</v>
      </c>
      <c r="F77">
        <f>IF($A77="","",IF($E77=1,_xlfn.SUMIFS(Compta!$F$1:$F$1448,Compta!$A$1:$A$1448,$A77,Compta!$B$1:$B$1448,$B77,Compta!$C$1:$C$1448,"2026"),0))</f>
        <v>0</v>
      </c>
      <c r="G77" t="s">
        <v>274</v>
      </c>
      <c r="H77" t="s">
        <v>274</v>
      </c>
      <c r="I77" t="s">
        <v>274</v>
      </c>
      <c r="J77" t="s">
        <v>274</v>
      </c>
      <c r="K77" t="s">
        <v>274</v>
      </c>
      <c r="L77" t="s">
        <v>274</v>
      </c>
      <c r="M77" t="s">
        <v>274</v>
      </c>
      <c r="N77" t="e">
        <f t="shared" si="1"/>
        <v>#VALUE!</v>
      </c>
      <c r="O77" t="e">
        <f t="shared" si="2"/>
        <v>#VALUE!</v>
      </c>
      <c r="P77">
        <f>IF($A77="","",IF($E77=1,$F77*$O77,PNL!G77))</f>
        <v>3765</v>
      </c>
      <c r="T77">
        <f t="shared" si="3"/>
        <v>0</v>
      </c>
    </row>
    <row r="78" ht="14.25" customHeight="1">
      <c r="A78" t="str">
        <f>IF(PNL!A78="","",PNL!A78)</f>
        <v>TUNON_LYO</v>
      </c>
      <c r="B78" t="str">
        <f>IF(PNL!B78="","",PNL!B78)</f>
        <v>708</v>
      </c>
      <c r="C78" t="str">
        <f>IF(PNL!C78="","",PNL!C78)</f>
        <v>2024</v>
      </c>
      <c r="D78" t="str">
        <f>IF(PNL!D78="","",PNL!D78)</f>
        <v>ACT</v>
      </c>
      <c r="E78">
        <f t="shared" si="0"/>
        <v>0</v>
      </c>
      <c r="F78">
        <f>IF($A78="","",IF($E78=1,_xlfn.SUMIFS(Compta!$F$1:$F$1448,Compta!$A$1:$A$1448,$A78,Compta!$B$1:$B$1448,$B78,Compta!$C$1:$C$1448,"2026"),0))</f>
        <v>0</v>
      </c>
      <c r="G78" t="s">
        <v>274</v>
      </c>
      <c r="H78" t="s">
        <v>274</v>
      </c>
      <c r="I78" t="s">
        <v>274</v>
      </c>
      <c r="J78" t="s">
        <v>274</v>
      </c>
      <c r="K78" t="s">
        <v>274</v>
      </c>
      <c r="L78" t="s">
        <v>274</v>
      </c>
      <c r="M78" t="s">
        <v>274</v>
      </c>
      <c r="N78" t="e">
        <f t="shared" si="1"/>
        <v>#VALUE!</v>
      </c>
      <c r="O78" t="e">
        <f t="shared" si="2"/>
        <v>#VALUE!</v>
      </c>
      <c r="P78">
        <f>IF($A78="","",IF($E78=1,$F78*$O78,PNL!G78))</f>
        <v>3204</v>
      </c>
      <c r="T78">
        <f t="shared" si="3"/>
        <v>0</v>
      </c>
    </row>
    <row r="79" ht="14.25" customHeight="1">
      <c r="A79" t="str">
        <f>IF(PNL!A79="","",PNL!A79)</f>
        <v>MBWAY_PAR</v>
      </c>
      <c r="B79" t="str">
        <f>IF(PNL!B79="","",PNL!B79)</f>
        <v>708</v>
      </c>
      <c r="C79" t="str">
        <f>IF(PNL!C79="","",PNL!C79)</f>
        <v>2025</v>
      </c>
      <c r="D79" t="str">
        <f>IF(PNL!D79="","",PNL!D79)</f>
        <v>ACT</v>
      </c>
      <c r="E79">
        <f t="shared" si="0"/>
        <v>0</v>
      </c>
      <c r="F79">
        <f>IF($A79="","",IF($E79=1,_xlfn.SUMIFS(Compta!$F$1:$F$1448,Compta!$A$1:$A$1448,$A79,Compta!$B$1:$B$1448,$B79,Compta!$C$1:$C$1448,"2026"),0))</f>
        <v>0</v>
      </c>
      <c r="G79" t="s">
        <v>274</v>
      </c>
      <c r="H79" t="s">
        <v>274</v>
      </c>
      <c r="I79" t="s">
        <v>274</v>
      </c>
      <c r="J79" t="s">
        <v>274</v>
      </c>
      <c r="K79" t="s">
        <v>274</v>
      </c>
      <c r="L79" t="s">
        <v>274</v>
      </c>
      <c r="M79" t="s">
        <v>274</v>
      </c>
      <c r="N79" t="e">
        <f t="shared" si="1"/>
        <v>#VALUE!</v>
      </c>
      <c r="O79" t="e">
        <f t="shared" si="2"/>
        <v>#VALUE!</v>
      </c>
      <c r="P79">
        <f>IF($A79="","",IF($E79=1,$F79*$O79,PNL!G79))</f>
        <v>13245</v>
      </c>
      <c r="T79">
        <f t="shared" si="3"/>
        <v>0</v>
      </c>
    </row>
    <row r="80" ht="14.25" customHeight="1">
      <c r="A80" t="str">
        <f>IF(PNL!A80="","",PNL!A80)</f>
        <v>MBWAY_LYO</v>
      </c>
      <c r="B80" t="str">
        <f>IF(PNL!B80="","",PNL!B80)</f>
        <v>708</v>
      </c>
      <c r="C80" t="str">
        <f>IF(PNL!C80="","",PNL!C80)</f>
        <v>2025</v>
      </c>
      <c r="D80" t="str">
        <f>IF(PNL!D80="","",PNL!D80)</f>
        <v>ACT</v>
      </c>
      <c r="E80">
        <f t="shared" si="0"/>
        <v>0</v>
      </c>
      <c r="F80">
        <f>IF($A80="","",IF($E80=1,_xlfn.SUMIFS(Compta!$F$1:$F$1448,Compta!$A$1:$A$1448,$A80,Compta!$B$1:$B$1448,$B80,Compta!$C$1:$C$1448,"2026"),0))</f>
        <v>0</v>
      </c>
      <c r="G80" t="s">
        <v>274</v>
      </c>
      <c r="H80" t="s">
        <v>274</v>
      </c>
      <c r="I80" t="s">
        <v>274</v>
      </c>
      <c r="J80" t="s">
        <v>274</v>
      </c>
      <c r="K80" t="s">
        <v>274</v>
      </c>
      <c r="L80" t="s">
        <v>274</v>
      </c>
      <c r="M80" t="s">
        <v>274</v>
      </c>
      <c r="N80" t="e">
        <f t="shared" si="1"/>
        <v>#VALUE!</v>
      </c>
      <c r="O80" t="e">
        <f t="shared" si="2"/>
        <v>#VALUE!</v>
      </c>
      <c r="P80">
        <f>IF($A80="","",IF($E80=1,$F80*$O80,PNL!G80))</f>
        <v>11208</v>
      </c>
      <c r="T80">
        <f t="shared" si="3"/>
        <v>0</v>
      </c>
    </row>
    <row r="81" ht="14.25" customHeight="1">
      <c r="A81" t="str">
        <f>IF(PNL!A81="","",PNL!A81)</f>
        <v>MBWAY_NAN</v>
      </c>
      <c r="B81" t="str">
        <f>IF(PNL!B81="","",PNL!B81)</f>
        <v>708</v>
      </c>
      <c r="C81" t="str">
        <f>IF(PNL!C81="","",PNL!C81)</f>
        <v>2025</v>
      </c>
      <c r="D81" t="str">
        <f>IF(PNL!D81="","",PNL!D81)</f>
        <v>ACT</v>
      </c>
      <c r="E81">
        <f t="shared" si="0"/>
        <v>0</v>
      </c>
      <c r="F81">
        <f>IF($A81="","",IF($E81=1,_xlfn.SUMIFS(Compta!$F$1:$F$1448,Compta!$A$1:$A$1448,$A81,Compta!$B$1:$B$1448,$B81,Compta!$C$1:$C$1448,"2026"),0))</f>
        <v>0</v>
      </c>
      <c r="G81" t="s">
        <v>274</v>
      </c>
      <c r="H81" t="s">
        <v>274</v>
      </c>
      <c r="I81" t="s">
        <v>274</v>
      </c>
      <c r="J81" t="s">
        <v>274</v>
      </c>
      <c r="K81" t="s">
        <v>274</v>
      </c>
      <c r="L81" t="s">
        <v>274</v>
      </c>
      <c r="M81" t="s">
        <v>274</v>
      </c>
      <c r="N81" t="e">
        <f t="shared" si="1"/>
        <v>#VALUE!</v>
      </c>
      <c r="O81" t="e">
        <f t="shared" si="2"/>
        <v>#VALUE!</v>
      </c>
      <c r="P81">
        <f>IF($A81="","",IF($E81=1,$F81*$O81,PNL!G81))</f>
        <v>10189</v>
      </c>
      <c r="T81">
        <f t="shared" si="3"/>
        <v>0</v>
      </c>
    </row>
    <row r="82" ht="14.25" customHeight="1">
      <c r="A82" t="str">
        <f>IF(PNL!A82="","",PNL!A82)</f>
        <v>MBWAY_BOR</v>
      </c>
      <c r="B82" t="str">
        <f>IF(PNL!B82="","",PNL!B82)</f>
        <v>708</v>
      </c>
      <c r="C82" t="str">
        <f>IF(PNL!C82="","",PNL!C82)</f>
        <v>2025</v>
      </c>
      <c r="D82" t="str">
        <f>IF(PNL!D82="","",PNL!D82)</f>
        <v>ACT</v>
      </c>
      <c r="E82">
        <f t="shared" si="0"/>
        <v>0</v>
      </c>
      <c r="F82">
        <f>IF($A82="","",IF($E82=1,_xlfn.SUMIFS(Compta!$F$1:$F$1448,Compta!$A$1:$A$1448,$A82,Compta!$B$1:$B$1448,$B82,Compta!$C$1:$C$1448,"2026"),0))</f>
        <v>0</v>
      </c>
      <c r="G82" t="s">
        <v>274</v>
      </c>
      <c r="H82" t="s">
        <v>274</v>
      </c>
      <c r="I82" t="s">
        <v>274</v>
      </c>
      <c r="J82" t="s">
        <v>274</v>
      </c>
      <c r="K82" t="s">
        <v>274</v>
      </c>
      <c r="L82" t="s">
        <v>274</v>
      </c>
      <c r="M82" t="s">
        <v>274</v>
      </c>
      <c r="N82" t="e">
        <f t="shared" si="1"/>
        <v>#VALUE!</v>
      </c>
      <c r="O82" t="e">
        <f t="shared" si="2"/>
        <v>#VALUE!</v>
      </c>
      <c r="P82">
        <f>IF($A82="","",IF($E82=1,$F82*$O82,PNL!G82))</f>
        <v>8660</v>
      </c>
      <c r="T82">
        <f t="shared" si="3"/>
        <v>0</v>
      </c>
    </row>
    <row r="83" ht="14.25" customHeight="1">
      <c r="A83" t="str">
        <f>IF(PNL!A83="","",PNL!A83)</f>
        <v>ISCOM_PAR</v>
      </c>
      <c r="B83" t="str">
        <f>IF(PNL!B83="","",PNL!B83)</f>
        <v>708</v>
      </c>
      <c r="C83" t="str">
        <f>IF(PNL!C83="","",PNL!C83)</f>
        <v>2025</v>
      </c>
      <c r="D83" t="str">
        <f>IF(PNL!D83="","",PNL!D83)</f>
        <v>ACT</v>
      </c>
      <c r="E83">
        <f t="shared" si="0"/>
        <v>0</v>
      </c>
      <c r="F83">
        <f>IF($A83="","",IF($E83=1,_xlfn.SUMIFS(Compta!$F$1:$F$1448,Compta!$A$1:$A$1448,$A83,Compta!$B$1:$B$1448,$B83,Compta!$C$1:$C$1448,"2026"),0))</f>
        <v>0</v>
      </c>
      <c r="G83" t="s">
        <v>274</v>
      </c>
      <c r="H83" t="s">
        <v>274</v>
      </c>
      <c r="I83" t="s">
        <v>274</v>
      </c>
      <c r="J83" t="s">
        <v>274</v>
      </c>
      <c r="K83" t="s">
        <v>274</v>
      </c>
      <c r="L83" t="s">
        <v>274</v>
      </c>
      <c r="M83" t="s">
        <v>274</v>
      </c>
      <c r="N83" t="e">
        <f t="shared" si="1"/>
        <v>#VALUE!</v>
      </c>
      <c r="O83" t="e">
        <f t="shared" si="2"/>
        <v>#VALUE!</v>
      </c>
      <c r="P83">
        <f>IF($A83="","",IF($E83=1,$F83*$O83,PNL!G83))</f>
        <v>12226</v>
      </c>
      <c r="T83">
        <f t="shared" si="3"/>
        <v>0</v>
      </c>
    </row>
    <row r="84" ht="14.25" customHeight="1">
      <c r="A84" t="str">
        <f>IF(PNL!A84="","",PNL!A84)</f>
        <v>ISCOM_LIL</v>
      </c>
      <c r="B84" t="str">
        <f>IF(PNL!B84="","",PNL!B84)</f>
        <v>708</v>
      </c>
      <c r="C84" t="str">
        <f>IF(PNL!C84="","",PNL!C84)</f>
        <v>2025</v>
      </c>
      <c r="D84" t="str">
        <f>IF(PNL!D84="","",PNL!D84)</f>
        <v>ACT</v>
      </c>
      <c r="E84">
        <f t="shared" si="0"/>
        <v>0</v>
      </c>
      <c r="F84">
        <f>IF($A84="","",IF($E84=1,_xlfn.SUMIFS(Compta!$F$1:$F$1448,Compta!$A$1:$A$1448,$A84,Compta!$B$1:$B$1448,$B84,Compta!$C$1:$C$1448,"2026"),0))</f>
        <v>0</v>
      </c>
      <c r="G84" t="s">
        <v>274</v>
      </c>
      <c r="H84" t="s">
        <v>274</v>
      </c>
      <c r="I84" t="s">
        <v>274</v>
      </c>
      <c r="J84" t="s">
        <v>274</v>
      </c>
      <c r="K84" t="s">
        <v>274</v>
      </c>
      <c r="L84" t="s">
        <v>274</v>
      </c>
      <c r="M84" t="s">
        <v>274</v>
      </c>
      <c r="N84" t="e">
        <f t="shared" si="1"/>
        <v>#VALUE!</v>
      </c>
      <c r="O84" t="e">
        <f t="shared" si="2"/>
        <v>#VALUE!</v>
      </c>
      <c r="P84">
        <f>IF($A84="","",IF($E84=1,$F84*$O84,PNL!G84))</f>
        <v>8491</v>
      </c>
      <c r="T84">
        <f t="shared" si="3"/>
        <v>0</v>
      </c>
    </row>
    <row r="85" ht="14.25" customHeight="1">
      <c r="A85" t="str">
        <f>IF(PNL!A85="","",PNL!A85)</f>
        <v>ISCOM_TLS</v>
      </c>
      <c r="B85" t="str">
        <f>IF(PNL!B85="","",PNL!B85)</f>
        <v>708</v>
      </c>
      <c r="C85" t="str">
        <f>IF(PNL!C85="","",PNL!C85)</f>
        <v>2025</v>
      </c>
      <c r="D85" t="str">
        <f>IF(PNL!D85="","",PNL!D85)</f>
        <v>ACT</v>
      </c>
      <c r="E85">
        <f t="shared" si="0"/>
        <v>0</v>
      </c>
      <c r="F85">
        <f>IF($A85="","",IF($E85=1,_xlfn.SUMIFS(Compta!$F$1:$F$1448,Compta!$A$1:$A$1448,$A85,Compta!$B$1:$B$1448,$B85,Compta!$C$1:$C$1448,"2026"),0))</f>
        <v>0</v>
      </c>
      <c r="G85" t="s">
        <v>274</v>
      </c>
      <c r="H85" t="s">
        <v>274</v>
      </c>
      <c r="I85" t="s">
        <v>274</v>
      </c>
      <c r="J85" t="s">
        <v>274</v>
      </c>
      <c r="K85" t="s">
        <v>274</v>
      </c>
      <c r="L85" t="s">
        <v>274</v>
      </c>
      <c r="M85" t="s">
        <v>274</v>
      </c>
      <c r="N85" t="e">
        <f t="shared" si="1"/>
        <v>#VALUE!</v>
      </c>
      <c r="O85" t="e">
        <f t="shared" si="2"/>
        <v>#VALUE!</v>
      </c>
      <c r="P85">
        <f>IF($A85="","",IF($E85=1,$F85*$O85,PNL!G85))</f>
        <v>7981</v>
      </c>
      <c r="T85">
        <f t="shared" si="3"/>
        <v>0</v>
      </c>
    </row>
    <row r="86" ht="14.25" customHeight="1">
      <c r="A86" t="str">
        <f>IF(PNL!A86="","",PNL!A86)</f>
        <v>IPAC_NAN</v>
      </c>
      <c r="B86" t="str">
        <f>IF(PNL!B86="","",PNL!B86)</f>
        <v>708</v>
      </c>
      <c r="C86" t="str">
        <f>IF(PNL!C86="","",PNL!C86)</f>
        <v>2025</v>
      </c>
      <c r="D86" t="str">
        <f>IF(PNL!D86="","",PNL!D86)</f>
        <v>ACT</v>
      </c>
      <c r="E86">
        <f t="shared" si="0"/>
        <v>0</v>
      </c>
      <c r="F86">
        <f>IF($A86="","",IF($E86=1,_xlfn.SUMIFS(Compta!$F$1:$F$1448,Compta!$A$1:$A$1448,$A86,Compta!$B$1:$B$1448,$B86,Compta!$C$1:$C$1448,"2026"),0))</f>
        <v>0</v>
      </c>
      <c r="G86" t="s">
        <v>274</v>
      </c>
      <c r="H86" t="s">
        <v>274</v>
      </c>
      <c r="I86" t="s">
        <v>274</v>
      </c>
      <c r="J86" t="s">
        <v>274</v>
      </c>
      <c r="K86" t="s">
        <v>274</v>
      </c>
      <c r="L86" t="s">
        <v>274</v>
      </c>
      <c r="M86" t="s">
        <v>274</v>
      </c>
      <c r="N86" t="e">
        <f t="shared" si="1"/>
        <v>#VALUE!</v>
      </c>
      <c r="O86" t="e">
        <f t="shared" si="2"/>
        <v>#VALUE!</v>
      </c>
      <c r="P86">
        <f>IF($A86="","",IF($E86=1,$F86*$O86,PNL!G86))</f>
        <v>4245</v>
      </c>
      <c r="T86">
        <f t="shared" si="3"/>
        <v>0</v>
      </c>
    </row>
    <row r="87" ht="14.25" customHeight="1">
      <c r="A87" t="str">
        <f>IF(PNL!A87="","",PNL!A87)</f>
        <v>IPAC_REN</v>
      </c>
      <c r="B87" t="str">
        <f>IF(PNL!B87="","",PNL!B87)</f>
        <v>708</v>
      </c>
      <c r="C87" t="str">
        <f>IF(PNL!C87="","",PNL!C87)</f>
        <v>2025</v>
      </c>
      <c r="D87" t="str">
        <f>IF(PNL!D87="","",PNL!D87)</f>
        <v>ACT</v>
      </c>
      <c r="E87">
        <f t="shared" si="0"/>
        <v>0</v>
      </c>
      <c r="F87">
        <f>IF($A87="","",IF($E87=1,_xlfn.SUMIFS(Compta!$F$1:$F$1448,Compta!$A$1:$A$1448,$A87,Compta!$B$1:$B$1448,$B87,Compta!$C$1:$C$1448,"2026"),0))</f>
        <v>0</v>
      </c>
      <c r="G87" t="s">
        <v>274</v>
      </c>
      <c r="H87" t="s">
        <v>274</v>
      </c>
      <c r="I87" t="s">
        <v>274</v>
      </c>
      <c r="J87" t="s">
        <v>274</v>
      </c>
      <c r="K87" t="s">
        <v>274</v>
      </c>
      <c r="L87" t="s">
        <v>274</v>
      </c>
      <c r="M87" t="s">
        <v>274</v>
      </c>
      <c r="N87" t="e">
        <f t="shared" si="1"/>
        <v>#VALUE!</v>
      </c>
      <c r="O87" t="e">
        <f t="shared" si="2"/>
        <v>#VALUE!</v>
      </c>
      <c r="P87">
        <f>IF($A87="","",IF($E87=1,$F87*$O87,PNL!G87))</f>
        <v>3396</v>
      </c>
      <c r="T87">
        <f t="shared" si="3"/>
        <v>0</v>
      </c>
    </row>
    <row r="88" ht="14.25" customHeight="1">
      <c r="A88" t="str">
        <f>IF(PNL!A88="","",PNL!A88)</f>
        <v>IPAC_MTP</v>
      </c>
      <c r="B88" t="str">
        <f>IF(PNL!B88="","",PNL!B88)</f>
        <v>708</v>
      </c>
      <c r="C88" t="str">
        <f>IF(PNL!C88="","",PNL!C88)</f>
        <v>2025</v>
      </c>
      <c r="D88" t="str">
        <f>IF(PNL!D88="","",PNL!D88)</f>
        <v>ACT</v>
      </c>
      <c r="E88">
        <f t="shared" si="0"/>
        <v>0</v>
      </c>
      <c r="F88">
        <f>IF($A88="","",IF($E88=1,_xlfn.SUMIFS(Compta!$F$1:$F$1448,Compta!$A$1:$A$1448,$A88,Compta!$B$1:$B$1448,$B88,Compta!$C$1:$C$1448,"2026"),0))</f>
        <v>0</v>
      </c>
      <c r="G88" t="s">
        <v>274</v>
      </c>
      <c r="H88" t="s">
        <v>274</v>
      </c>
      <c r="I88" t="s">
        <v>274</v>
      </c>
      <c r="J88" t="s">
        <v>274</v>
      </c>
      <c r="K88" t="s">
        <v>274</v>
      </c>
      <c r="L88" t="s">
        <v>274</v>
      </c>
      <c r="M88" t="s">
        <v>274</v>
      </c>
      <c r="N88" t="e">
        <f t="shared" si="1"/>
        <v>#VALUE!</v>
      </c>
      <c r="O88" t="e">
        <f t="shared" si="2"/>
        <v>#VALUE!</v>
      </c>
      <c r="P88">
        <f>IF($A88="","",IF($E88=1,$F88*$O88,PNL!G88))</f>
        <v>3396</v>
      </c>
      <c r="T88">
        <f t="shared" si="3"/>
        <v>0</v>
      </c>
    </row>
    <row r="89" ht="14.25" customHeight="1">
      <c r="A89" t="str">
        <f>IF(PNL!A89="","",PNL!A89)</f>
        <v>PIGIER_LYO</v>
      </c>
      <c r="B89" t="str">
        <f>IF(PNL!B89="","",PNL!B89)</f>
        <v>708</v>
      </c>
      <c r="C89" t="str">
        <f>IF(PNL!C89="","",PNL!C89)</f>
        <v>2025</v>
      </c>
      <c r="D89" t="str">
        <f>IF(PNL!D89="","",PNL!D89)</f>
        <v>ACT</v>
      </c>
      <c r="E89">
        <f t="shared" si="0"/>
        <v>0</v>
      </c>
      <c r="F89">
        <f>IF($A89="","",IF($E89=1,_xlfn.SUMIFS(Compta!$F$1:$F$1448,Compta!$A$1:$A$1448,$A89,Compta!$B$1:$B$1448,$B89,Compta!$C$1:$C$1448,"2026"),0))</f>
        <v>0</v>
      </c>
      <c r="G89" t="s">
        <v>274</v>
      </c>
      <c r="H89" t="s">
        <v>274</v>
      </c>
      <c r="I89" t="s">
        <v>274</v>
      </c>
      <c r="J89" t="s">
        <v>274</v>
      </c>
      <c r="K89" t="s">
        <v>274</v>
      </c>
      <c r="L89" t="s">
        <v>274</v>
      </c>
      <c r="M89" t="s">
        <v>274</v>
      </c>
      <c r="N89" t="e">
        <f t="shared" si="1"/>
        <v>#VALUE!</v>
      </c>
      <c r="O89" t="e">
        <f t="shared" si="2"/>
        <v>#VALUE!</v>
      </c>
      <c r="P89">
        <f>IF($A89="","",IF($E89=1,$F89*$O89,PNL!G89))</f>
        <v>7811</v>
      </c>
      <c r="T89">
        <f t="shared" si="3"/>
        <v>0</v>
      </c>
    </row>
    <row r="90" ht="14.25" customHeight="1">
      <c r="A90" t="str">
        <f>IF(PNL!A90="","",PNL!A90)</f>
        <v>PIGIER_BOR</v>
      </c>
      <c r="B90" t="str">
        <f>IF(PNL!B90="","",PNL!B90)</f>
        <v>708</v>
      </c>
      <c r="C90" t="str">
        <f>IF(PNL!C90="","",PNL!C90)</f>
        <v>2025</v>
      </c>
      <c r="D90" t="str">
        <f>IF(PNL!D90="","",PNL!D90)</f>
        <v>ACT</v>
      </c>
      <c r="E90">
        <f t="shared" si="0"/>
        <v>0</v>
      </c>
      <c r="F90">
        <f>IF($A90="","",IF($E90=1,_xlfn.SUMIFS(Compta!$F$1:$F$1448,Compta!$A$1:$A$1448,$A90,Compta!$B$1:$B$1448,$B90,Compta!$C$1:$C$1448,"2026"),0))</f>
        <v>0</v>
      </c>
      <c r="G90" t="s">
        <v>274</v>
      </c>
      <c r="H90" t="s">
        <v>274</v>
      </c>
      <c r="I90" t="s">
        <v>274</v>
      </c>
      <c r="J90" t="s">
        <v>274</v>
      </c>
      <c r="K90" t="s">
        <v>274</v>
      </c>
      <c r="L90" t="s">
        <v>274</v>
      </c>
      <c r="M90" t="s">
        <v>274</v>
      </c>
      <c r="N90" t="e">
        <f t="shared" si="1"/>
        <v>#VALUE!</v>
      </c>
      <c r="O90" t="e">
        <f t="shared" si="2"/>
        <v>#VALUE!</v>
      </c>
      <c r="P90">
        <f>IF($A90="","",IF($E90=1,$F90*$O90,PNL!G90))</f>
        <v>6113</v>
      </c>
      <c r="T90">
        <f t="shared" si="3"/>
        <v>0</v>
      </c>
    </row>
    <row r="91" ht="14.25" customHeight="1">
      <c r="A91" t="str">
        <f>IF(PNL!A91="","",PNL!A91)</f>
        <v>TUNON_PAR</v>
      </c>
      <c r="B91" t="str">
        <f>IF(PNL!B91="","",PNL!B91)</f>
        <v>708</v>
      </c>
      <c r="C91" t="str">
        <f>IF(PNL!C91="","",PNL!C91)</f>
        <v>2025</v>
      </c>
      <c r="D91" t="str">
        <f>IF(PNL!D91="","",PNL!D91)</f>
        <v>ACT</v>
      </c>
      <c r="E91">
        <f t="shared" si="0"/>
        <v>0</v>
      </c>
      <c r="F91">
        <f>IF($A91="","",IF($E91=1,_xlfn.SUMIFS(Compta!$F$1:$F$1448,Compta!$A$1:$A$1448,$A91,Compta!$B$1:$B$1448,$B91,Compta!$C$1:$C$1448,"2026"),0))</f>
        <v>0</v>
      </c>
      <c r="G91" t="s">
        <v>274</v>
      </c>
      <c r="H91" t="s">
        <v>274</v>
      </c>
      <c r="I91" t="s">
        <v>274</v>
      </c>
      <c r="J91" t="s">
        <v>274</v>
      </c>
      <c r="K91" t="s">
        <v>274</v>
      </c>
      <c r="L91" t="s">
        <v>274</v>
      </c>
      <c r="M91" t="s">
        <v>274</v>
      </c>
      <c r="N91" t="e">
        <f t="shared" si="1"/>
        <v>#VALUE!</v>
      </c>
      <c r="O91" t="e">
        <f t="shared" si="2"/>
        <v>#VALUE!</v>
      </c>
      <c r="P91">
        <f>IF($A91="","",IF($E91=1,$F91*$O91,PNL!G91))</f>
        <v>3991</v>
      </c>
      <c r="T91">
        <f t="shared" si="3"/>
        <v>0</v>
      </c>
    </row>
    <row r="92" ht="14.25" customHeight="1">
      <c r="A92" t="str">
        <f>IF(PNL!A92="","",PNL!A92)</f>
        <v>TUNON_LYO</v>
      </c>
      <c r="B92" t="str">
        <f>IF(PNL!B92="","",PNL!B92)</f>
        <v>708</v>
      </c>
      <c r="C92" t="str">
        <f>IF(PNL!C92="","",PNL!C92)</f>
        <v>2025</v>
      </c>
      <c r="D92" t="str">
        <f>IF(PNL!D92="","",PNL!D92)</f>
        <v>ACT</v>
      </c>
      <c r="E92">
        <f t="shared" si="0"/>
        <v>0</v>
      </c>
      <c r="F92">
        <f>IF($A92="","",IF($E92=1,_xlfn.SUMIFS(Compta!$F$1:$F$1448,Compta!$A$1:$A$1448,$A92,Compta!$B$1:$B$1448,$B92,Compta!$C$1:$C$1448,"2026"),0))</f>
        <v>0</v>
      </c>
      <c r="G92" t="s">
        <v>274</v>
      </c>
      <c r="H92" t="s">
        <v>274</v>
      </c>
      <c r="I92" t="s">
        <v>274</v>
      </c>
      <c r="J92" t="s">
        <v>274</v>
      </c>
      <c r="K92" t="s">
        <v>274</v>
      </c>
      <c r="L92" t="s">
        <v>274</v>
      </c>
      <c r="M92" t="s">
        <v>274</v>
      </c>
      <c r="N92" t="e">
        <f t="shared" si="1"/>
        <v>#VALUE!</v>
      </c>
      <c r="O92" t="e">
        <f t="shared" si="2"/>
        <v>#VALUE!</v>
      </c>
      <c r="P92">
        <f>IF($A92="","",IF($E92=1,$F92*$O92,PNL!G92))</f>
        <v>3396</v>
      </c>
      <c r="T92">
        <f t="shared" si="3"/>
        <v>0</v>
      </c>
    </row>
    <row r="93" ht="14.25" customHeight="1">
      <c r="A93" t="str">
        <f>IF(PNL!A93="","",PNL!A93)</f>
        <v>MBWAY_PAR</v>
      </c>
      <c r="B93" t="str">
        <f>IF(PNL!B93="","",PNL!B93)</f>
        <v>708</v>
      </c>
      <c r="C93" t="str">
        <f>IF(PNL!C93="","",PNL!C93)</f>
        <v>2026</v>
      </c>
      <c r="D93" t="str">
        <f>IF(PNL!D93="","",PNL!D93)</f>
        <v>ACT</v>
      </c>
      <c r="E93">
        <f t="shared" si="0"/>
        <v>0</v>
      </c>
      <c r="F93">
        <f>IF($A93="","",IF($E93=1,_xlfn.SUMIFS(Compta!$F$1:$F$1448,Compta!$A$1:$A$1448,$A93,Compta!$B$1:$B$1448,$B93,Compta!$C$1:$C$1448,"2026"),0))</f>
        <v>0</v>
      </c>
      <c r="G93" t="s">
        <v>274</v>
      </c>
      <c r="H93" t="s">
        <v>274</v>
      </c>
      <c r="I93" t="s">
        <v>274</v>
      </c>
      <c r="J93" t="s">
        <v>274</v>
      </c>
      <c r="K93" t="s">
        <v>274</v>
      </c>
      <c r="L93" t="s">
        <v>274</v>
      </c>
      <c r="M93" t="s">
        <v>274</v>
      </c>
      <c r="N93" t="e">
        <f t="shared" si="1"/>
        <v>#VALUE!</v>
      </c>
      <c r="O93" t="e">
        <f t="shared" si="2"/>
        <v>#VALUE!</v>
      </c>
      <c r="P93">
        <f>IF($A93="","",IF($E93=1,$F93*$O93,PNL!G93))</f>
        <v>14040</v>
      </c>
      <c r="T93">
        <f t="shared" si="3"/>
        <v>0</v>
      </c>
    </row>
    <row r="94" ht="14.25" customHeight="1">
      <c r="A94" t="str">
        <f>IF(PNL!A94="","",PNL!A94)</f>
        <v>MBWAY_LYO</v>
      </c>
      <c r="B94" t="str">
        <f>IF(PNL!B94="","",PNL!B94)</f>
        <v>708</v>
      </c>
      <c r="C94" t="str">
        <f>IF(PNL!C94="","",PNL!C94)</f>
        <v>2026</v>
      </c>
      <c r="D94" t="str">
        <f>IF(PNL!D94="","",PNL!D94)</f>
        <v>ACT</v>
      </c>
      <c r="E94">
        <f t="shared" si="0"/>
        <v>0</v>
      </c>
      <c r="F94">
        <f>IF($A94="","",IF($E94=1,_xlfn.SUMIFS(Compta!$F$1:$F$1448,Compta!$A$1:$A$1448,$A94,Compta!$B$1:$B$1448,$B94,Compta!$C$1:$C$1448,"2026"),0))</f>
        <v>0</v>
      </c>
      <c r="G94" t="s">
        <v>274</v>
      </c>
      <c r="H94" t="s">
        <v>274</v>
      </c>
      <c r="I94" t="s">
        <v>274</v>
      </c>
      <c r="J94" t="s">
        <v>274</v>
      </c>
      <c r="K94" t="s">
        <v>274</v>
      </c>
      <c r="L94" t="s">
        <v>274</v>
      </c>
      <c r="M94" t="s">
        <v>274</v>
      </c>
      <c r="N94" t="e">
        <f t="shared" si="1"/>
        <v>#VALUE!</v>
      </c>
      <c r="O94" t="e">
        <f t="shared" si="2"/>
        <v>#VALUE!</v>
      </c>
      <c r="P94">
        <f>IF($A94="","",IF($E94=1,$F94*$O94,PNL!G94))</f>
        <v>11880</v>
      </c>
      <c r="T94">
        <f t="shared" si="3"/>
        <v>0</v>
      </c>
    </row>
    <row r="95" ht="14.25" customHeight="1">
      <c r="A95" t="str">
        <f>IF(PNL!A95="","",PNL!A95)</f>
        <v>MBWAY_NAN</v>
      </c>
      <c r="B95" t="str">
        <f>IF(PNL!B95="","",PNL!B95)</f>
        <v>708</v>
      </c>
      <c r="C95" t="str">
        <f>IF(PNL!C95="","",PNL!C95)</f>
        <v>2026</v>
      </c>
      <c r="D95" t="str">
        <f>IF(PNL!D95="","",PNL!D95)</f>
        <v>ACT</v>
      </c>
      <c r="E95">
        <f t="shared" si="0"/>
        <v>0</v>
      </c>
      <c r="F95">
        <f>IF($A95="","",IF($E95=1,_xlfn.SUMIFS(Compta!$F$1:$F$1448,Compta!$A$1:$A$1448,$A95,Compta!$B$1:$B$1448,$B95,Compta!$C$1:$C$1448,"2026"),0))</f>
        <v>0</v>
      </c>
      <c r="G95" t="s">
        <v>274</v>
      </c>
      <c r="H95" t="s">
        <v>274</v>
      </c>
      <c r="I95" t="s">
        <v>274</v>
      </c>
      <c r="J95" t="s">
        <v>274</v>
      </c>
      <c r="K95" t="s">
        <v>274</v>
      </c>
      <c r="L95" t="s">
        <v>274</v>
      </c>
      <c r="M95" t="s">
        <v>274</v>
      </c>
      <c r="N95" t="e">
        <f t="shared" si="1"/>
        <v>#VALUE!</v>
      </c>
      <c r="O95" t="e">
        <f t="shared" si="2"/>
        <v>#VALUE!</v>
      </c>
      <c r="P95">
        <f>IF($A95="","",IF($E95=1,$F95*$O95,PNL!G95))</f>
        <v>10800</v>
      </c>
      <c r="T95">
        <f t="shared" si="3"/>
        <v>0</v>
      </c>
    </row>
    <row r="96" ht="14.25" customHeight="1">
      <c r="A96" t="str">
        <f>IF(PNL!A96="","",PNL!A96)</f>
        <v>MBWAY_BOR</v>
      </c>
      <c r="B96" t="str">
        <f>IF(PNL!B96="","",PNL!B96)</f>
        <v>708</v>
      </c>
      <c r="C96" t="str">
        <f>IF(PNL!C96="","",PNL!C96)</f>
        <v>2026</v>
      </c>
      <c r="D96" t="str">
        <f>IF(PNL!D96="","",PNL!D96)</f>
        <v>ACT</v>
      </c>
      <c r="E96">
        <f t="shared" si="0"/>
        <v>0</v>
      </c>
      <c r="F96">
        <f>IF($A96="","",IF($E96=1,_xlfn.SUMIFS(Compta!$F$1:$F$1448,Compta!$A$1:$A$1448,$A96,Compta!$B$1:$B$1448,$B96,Compta!$C$1:$C$1448,"2026"),0))</f>
        <v>0</v>
      </c>
      <c r="G96" t="s">
        <v>274</v>
      </c>
      <c r="H96" t="s">
        <v>274</v>
      </c>
      <c r="I96" t="s">
        <v>274</v>
      </c>
      <c r="J96" t="s">
        <v>274</v>
      </c>
      <c r="K96" t="s">
        <v>274</v>
      </c>
      <c r="L96" t="s">
        <v>274</v>
      </c>
      <c r="M96" t="s">
        <v>274</v>
      </c>
      <c r="N96" t="e">
        <f t="shared" si="1"/>
        <v>#VALUE!</v>
      </c>
      <c r="O96" t="e">
        <f t="shared" si="2"/>
        <v>#VALUE!</v>
      </c>
      <c r="P96">
        <f>IF($A96="","",IF($E96=1,$F96*$O96,PNL!G96))</f>
        <v>9180</v>
      </c>
      <c r="T96">
        <f t="shared" si="3"/>
        <v>0</v>
      </c>
    </row>
    <row r="97" ht="14.25" customHeight="1">
      <c r="A97" t="str">
        <f>IF(PNL!A97="","",PNL!A97)</f>
        <v>ISCOM_PAR</v>
      </c>
      <c r="B97" t="str">
        <f>IF(PNL!B97="","",PNL!B97)</f>
        <v>708</v>
      </c>
      <c r="C97" t="str">
        <f>IF(PNL!C97="","",PNL!C97)</f>
        <v>2026</v>
      </c>
      <c r="D97" t="str">
        <f>IF(PNL!D97="","",PNL!D97)</f>
        <v>ACT</v>
      </c>
      <c r="E97">
        <f t="shared" si="0"/>
        <v>0</v>
      </c>
      <c r="F97">
        <f>IF($A97="","",IF($E97=1,_xlfn.SUMIFS(Compta!$F$1:$F$1448,Compta!$A$1:$A$1448,$A97,Compta!$B$1:$B$1448,$B97,Compta!$C$1:$C$1448,"2026"),0))</f>
        <v>0</v>
      </c>
      <c r="G97" t="s">
        <v>274</v>
      </c>
      <c r="H97" t="s">
        <v>274</v>
      </c>
      <c r="I97" t="s">
        <v>274</v>
      </c>
      <c r="J97" t="s">
        <v>274</v>
      </c>
      <c r="K97" t="s">
        <v>274</v>
      </c>
      <c r="L97" t="s">
        <v>274</v>
      </c>
      <c r="M97" t="s">
        <v>274</v>
      </c>
      <c r="N97" t="e">
        <f t="shared" si="1"/>
        <v>#VALUE!</v>
      </c>
      <c r="O97" t="e">
        <f t="shared" si="2"/>
        <v>#VALUE!</v>
      </c>
      <c r="P97">
        <f>IF($A97="","",IF($E97=1,$F97*$O97,PNL!G97))</f>
        <v>12960</v>
      </c>
      <c r="T97">
        <f t="shared" si="3"/>
        <v>0</v>
      </c>
    </row>
    <row r="98" ht="14.25" customHeight="1">
      <c r="A98" t="str">
        <f>IF(PNL!A98="","",PNL!A98)</f>
        <v>ISCOM_LIL</v>
      </c>
      <c r="B98" t="str">
        <f>IF(PNL!B98="","",PNL!B98)</f>
        <v>708</v>
      </c>
      <c r="C98" t="str">
        <f>IF(PNL!C98="","",PNL!C98)</f>
        <v>2026</v>
      </c>
      <c r="D98" t="str">
        <f>IF(PNL!D98="","",PNL!D98)</f>
        <v>ACT</v>
      </c>
      <c r="E98">
        <f t="shared" si="0"/>
        <v>0</v>
      </c>
      <c r="F98">
        <f>IF($A98="","",IF($E98=1,_xlfn.SUMIFS(Compta!$F$1:$F$1448,Compta!$A$1:$A$1448,$A98,Compta!$B$1:$B$1448,$B98,Compta!$C$1:$C$1448,"2026"),0))</f>
        <v>0</v>
      </c>
      <c r="G98" t="s">
        <v>274</v>
      </c>
      <c r="H98" t="s">
        <v>274</v>
      </c>
      <c r="I98" t="s">
        <v>274</v>
      </c>
      <c r="J98" t="s">
        <v>274</v>
      </c>
      <c r="K98" t="s">
        <v>274</v>
      </c>
      <c r="L98" t="s">
        <v>274</v>
      </c>
      <c r="M98" t="s">
        <v>274</v>
      </c>
      <c r="N98" t="e">
        <f t="shared" si="1"/>
        <v>#VALUE!</v>
      </c>
      <c r="O98" t="e">
        <f t="shared" si="2"/>
        <v>#VALUE!</v>
      </c>
      <c r="P98">
        <f>IF($A98="","",IF($E98=1,$F98*$O98,PNL!G98))</f>
        <v>9000</v>
      </c>
      <c r="T98">
        <f t="shared" si="3"/>
        <v>0</v>
      </c>
    </row>
    <row r="99" ht="14.25" customHeight="1">
      <c r="A99" t="str">
        <f>IF(PNL!A99="","",PNL!A99)</f>
        <v>ISCOM_TLS</v>
      </c>
      <c r="B99" t="str">
        <f>IF(PNL!B99="","",PNL!B99)</f>
        <v>708</v>
      </c>
      <c r="C99" t="str">
        <f>IF(PNL!C99="","",PNL!C99)</f>
        <v>2026</v>
      </c>
      <c r="D99" t="str">
        <f>IF(PNL!D99="","",PNL!D99)</f>
        <v>ACT</v>
      </c>
      <c r="E99">
        <f t="shared" si="0"/>
        <v>0</v>
      </c>
      <c r="F99">
        <f>IF($A99="","",IF($E99=1,_xlfn.SUMIFS(Compta!$F$1:$F$1448,Compta!$A$1:$A$1448,$A99,Compta!$B$1:$B$1448,$B99,Compta!$C$1:$C$1448,"2026"),0))</f>
        <v>0</v>
      </c>
      <c r="G99" t="s">
        <v>274</v>
      </c>
      <c r="H99" t="s">
        <v>274</v>
      </c>
      <c r="I99" t="s">
        <v>274</v>
      </c>
      <c r="J99" t="s">
        <v>274</v>
      </c>
      <c r="K99" t="s">
        <v>274</v>
      </c>
      <c r="L99" t="s">
        <v>274</v>
      </c>
      <c r="M99" t="s">
        <v>274</v>
      </c>
      <c r="N99" t="e">
        <f t="shared" si="1"/>
        <v>#VALUE!</v>
      </c>
      <c r="O99" t="e">
        <f t="shared" si="2"/>
        <v>#VALUE!</v>
      </c>
      <c r="P99">
        <f>IF($A99="","",IF($E99=1,$F99*$O99,PNL!G99))</f>
        <v>8460</v>
      </c>
      <c r="T99">
        <f t="shared" si="3"/>
        <v>0</v>
      </c>
    </row>
    <row r="100" ht="14.25" customHeight="1">
      <c r="A100" t="str">
        <f>IF(PNL!A100="","",PNL!A100)</f>
        <v>IPAC_NAN</v>
      </c>
      <c r="B100" t="str">
        <f>IF(PNL!B100="","",PNL!B100)</f>
        <v>708</v>
      </c>
      <c r="C100" t="str">
        <f>IF(PNL!C100="","",PNL!C100)</f>
        <v>2026</v>
      </c>
      <c r="D100" t="str">
        <f>IF(PNL!D100="","",PNL!D100)</f>
        <v>ACT</v>
      </c>
      <c r="E100">
        <f t="shared" si="0"/>
        <v>0</v>
      </c>
      <c r="F100">
        <f>IF($A100="","",IF($E100=1,_xlfn.SUMIFS(Compta!$F$1:$F$1448,Compta!$A$1:$A$1448,$A100,Compta!$B$1:$B$1448,$B100,Compta!$C$1:$C$1448,"2026"),0))</f>
        <v>0</v>
      </c>
      <c r="G100" t="s">
        <v>274</v>
      </c>
      <c r="H100" t="s">
        <v>274</v>
      </c>
      <c r="I100" t="s">
        <v>274</v>
      </c>
      <c r="J100" t="s">
        <v>274</v>
      </c>
      <c r="K100" t="s">
        <v>274</v>
      </c>
      <c r="L100" t="s">
        <v>274</v>
      </c>
      <c r="M100" t="s">
        <v>274</v>
      </c>
      <c r="N100" t="e">
        <f t="shared" si="1"/>
        <v>#VALUE!</v>
      </c>
      <c r="O100" t="e">
        <f t="shared" si="2"/>
        <v>#VALUE!</v>
      </c>
      <c r="P100">
        <f>IF($A100="","",IF($E100=1,$F100*$O100,PNL!G100))</f>
        <v>4500</v>
      </c>
      <c r="T100">
        <f t="shared" si="3"/>
        <v>0</v>
      </c>
    </row>
    <row r="101" ht="14.25" customHeight="1">
      <c r="A101" t="str">
        <f>IF(PNL!A101="","",PNL!A101)</f>
        <v>IPAC_REN</v>
      </c>
      <c r="B101" t="str">
        <f>IF(PNL!B101="","",PNL!B101)</f>
        <v>708</v>
      </c>
      <c r="C101" t="str">
        <f>IF(PNL!C101="","",PNL!C101)</f>
        <v>2026</v>
      </c>
      <c r="D101" t="str">
        <f>IF(PNL!D101="","",PNL!D101)</f>
        <v>ACT</v>
      </c>
      <c r="E101">
        <f t="shared" si="0"/>
        <v>0</v>
      </c>
      <c r="F101">
        <f>IF($A101="","",IF($E101=1,_xlfn.SUMIFS(Compta!$F$1:$F$1448,Compta!$A$1:$A$1448,$A101,Compta!$B$1:$B$1448,$B101,Compta!$C$1:$C$1448,"2026"),0))</f>
        <v>0</v>
      </c>
      <c r="G101" t="s">
        <v>274</v>
      </c>
      <c r="H101" t="s">
        <v>274</v>
      </c>
      <c r="I101" t="s">
        <v>274</v>
      </c>
      <c r="J101" t="s">
        <v>274</v>
      </c>
      <c r="K101" t="s">
        <v>274</v>
      </c>
      <c r="L101" t="s">
        <v>274</v>
      </c>
      <c r="M101" t="s">
        <v>274</v>
      </c>
      <c r="N101" t="e">
        <f t="shared" si="1"/>
        <v>#VALUE!</v>
      </c>
      <c r="O101" t="e">
        <f t="shared" si="2"/>
        <v>#VALUE!</v>
      </c>
      <c r="P101">
        <f>IF($A101="","",IF($E101=1,$F101*$O101,PNL!G101))</f>
        <v>3600</v>
      </c>
      <c r="T101">
        <f t="shared" si="3"/>
        <v>0</v>
      </c>
    </row>
    <row r="102" ht="14.25" customHeight="1">
      <c r="A102" t="str">
        <f>IF(PNL!A102="","",PNL!A102)</f>
        <v>IPAC_MTP</v>
      </c>
      <c r="B102" t="str">
        <f>IF(PNL!B102="","",PNL!B102)</f>
        <v>708</v>
      </c>
      <c r="C102" t="str">
        <f>IF(PNL!C102="","",PNL!C102)</f>
        <v>2026</v>
      </c>
      <c r="D102" t="str">
        <f>IF(PNL!D102="","",PNL!D102)</f>
        <v>ACT</v>
      </c>
      <c r="E102">
        <f t="shared" si="0"/>
        <v>0</v>
      </c>
      <c r="F102">
        <f>IF($A102="","",IF($E102=1,_xlfn.SUMIFS(Compta!$F$1:$F$1448,Compta!$A$1:$A$1448,$A102,Compta!$B$1:$B$1448,$B102,Compta!$C$1:$C$1448,"2026"),0))</f>
        <v>0</v>
      </c>
      <c r="G102" t="s">
        <v>274</v>
      </c>
      <c r="H102" t="s">
        <v>274</v>
      </c>
      <c r="I102" t="s">
        <v>274</v>
      </c>
      <c r="J102" t="s">
        <v>274</v>
      </c>
      <c r="K102" t="s">
        <v>274</v>
      </c>
      <c r="L102" t="s">
        <v>274</v>
      </c>
      <c r="M102" t="s">
        <v>274</v>
      </c>
      <c r="N102" t="e">
        <f t="shared" si="1"/>
        <v>#VALUE!</v>
      </c>
      <c r="O102" t="e">
        <f t="shared" si="2"/>
        <v>#VALUE!</v>
      </c>
      <c r="P102">
        <f>IF($A102="","",IF($E102=1,$F102*$O102,PNL!G102))</f>
        <v>3600</v>
      </c>
      <c r="T102">
        <f t="shared" si="3"/>
        <v>0</v>
      </c>
    </row>
    <row r="103" ht="14.25" customHeight="1">
      <c r="A103" t="str">
        <f>IF(PNL!A103="","",PNL!A103)</f>
        <v>PIGIER_LYO</v>
      </c>
      <c r="B103" t="str">
        <f>IF(PNL!B103="","",PNL!B103)</f>
        <v>708</v>
      </c>
      <c r="C103" t="str">
        <f>IF(PNL!C103="","",PNL!C103)</f>
        <v>2026</v>
      </c>
      <c r="D103" t="str">
        <f>IF(PNL!D103="","",PNL!D103)</f>
        <v>ACT</v>
      </c>
      <c r="E103">
        <f t="shared" si="0"/>
        <v>0</v>
      </c>
      <c r="F103">
        <f>IF($A103="","",IF($E103=1,_xlfn.SUMIFS(Compta!$F$1:$F$1448,Compta!$A$1:$A$1448,$A103,Compta!$B$1:$B$1448,$B103,Compta!$C$1:$C$1448,"2026"),0))</f>
        <v>0</v>
      </c>
      <c r="G103" t="s">
        <v>274</v>
      </c>
      <c r="H103" t="s">
        <v>274</v>
      </c>
      <c r="I103" t="s">
        <v>274</v>
      </c>
      <c r="J103" t="s">
        <v>274</v>
      </c>
      <c r="K103" t="s">
        <v>274</v>
      </c>
      <c r="L103" t="s">
        <v>274</v>
      </c>
      <c r="M103" t="s">
        <v>274</v>
      </c>
      <c r="N103" t="e">
        <f t="shared" si="1"/>
        <v>#VALUE!</v>
      </c>
      <c r="O103" t="e">
        <f t="shared" si="2"/>
        <v>#VALUE!</v>
      </c>
      <c r="P103">
        <f>IF($A103="","",IF($E103=1,$F103*$O103,PNL!G103))</f>
        <v>8280</v>
      </c>
      <c r="T103">
        <f t="shared" si="3"/>
        <v>0</v>
      </c>
    </row>
    <row r="104" ht="14.25" customHeight="1">
      <c r="A104" t="str">
        <f>IF(PNL!A104="","",PNL!A104)</f>
        <v>PIGIER_BOR</v>
      </c>
      <c r="B104" t="str">
        <f>IF(PNL!B104="","",PNL!B104)</f>
        <v>708</v>
      </c>
      <c r="C104" t="str">
        <f>IF(PNL!C104="","",PNL!C104)</f>
        <v>2026</v>
      </c>
      <c r="D104" t="str">
        <f>IF(PNL!D104="","",PNL!D104)</f>
        <v>ACT</v>
      </c>
      <c r="E104">
        <f t="shared" si="0"/>
        <v>0</v>
      </c>
      <c r="F104">
        <f>IF($A104="","",IF($E104=1,_xlfn.SUMIFS(Compta!$F$1:$F$1448,Compta!$A$1:$A$1448,$A104,Compta!$B$1:$B$1448,$B104,Compta!$C$1:$C$1448,"2026"),0))</f>
        <v>0</v>
      </c>
      <c r="G104" t="s">
        <v>274</v>
      </c>
      <c r="H104" t="s">
        <v>274</v>
      </c>
      <c r="I104" t="s">
        <v>274</v>
      </c>
      <c r="J104" t="s">
        <v>274</v>
      </c>
      <c r="K104" t="s">
        <v>274</v>
      </c>
      <c r="L104" t="s">
        <v>274</v>
      </c>
      <c r="M104" t="s">
        <v>274</v>
      </c>
      <c r="N104" t="e">
        <f t="shared" si="1"/>
        <v>#VALUE!</v>
      </c>
      <c r="O104" t="e">
        <f t="shared" si="2"/>
        <v>#VALUE!</v>
      </c>
      <c r="P104">
        <f>IF($A104="","",IF($E104=1,$F104*$O104,PNL!G104))</f>
        <v>6480</v>
      </c>
      <c r="T104">
        <f t="shared" si="3"/>
        <v>0</v>
      </c>
    </row>
    <row r="105" ht="14.25" customHeight="1">
      <c r="A105" t="str">
        <f>IF(PNL!A105="","",PNL!A105)</f>
        <v>TUNON_PAR</v>
      </c>
      <c r="B105" t="str">
        <f>IF(PNL!B105="","",PNL!B105)</f>
        <v>708</v>
      </c>
      <c r="C105" t="str">
        <f>IF(PNL!C105="","",PNL!C105)</f>
        <v>2026</v>
      </c>
      <c r="D105" t="str">
        <f>IF(PNL!D105="","",PNL!D105)</f>
        <v>ACT</v>
      </c>
      <c r="E105">
        <f t="shared" si="0"/>
        <v>0</v>
      </c>
      <c r="F105">
        <f>IF($A105="","",IF($E105=1,_xlfn.SUMIFS(Compta!$F$1:$F$1448,Compta!$A$1:$A$1448,$A105,Compta!$B$1:$B$1448,$B105,Compta!$C$1:$C$1448,"2026"),0))</f>
        <v>0</v>
      </c>
      <c r="G105" t="s">
        <v>274</v>
      </c>
      <c r="H105" t="s">
        <v>274</v>
      </c>
      <c r="I105" t="s">
        <v>274</v>
      </c>
      <c r="J105" t="s">
        <v>274</v>
      </c>
      <c r="K105" t="s">
        <v>274</v>
      </c>
      <c r="L105" t="s">
        <v>274</v>
      </c>
      <c r="M105" t="s">
        <v>274</v>
      </c>
      <c r="N105" t="e">
        <f t="shared" si="1"/>
        <v>#VALUE!</v>
      </c>
      <c r="O105" t="e">
        <f t="shared" si="2"/>
        <v>#VALUE!</v>
      </c>
      <c r="P105">
        <f>IF($A105="","",IF($E105=1,$F105*$O105,PNL!G105))</f>
        <v>4230</v>
      </c>
      <c r="T105">
        <f t="shared" si="3"/>
        <v>0</v>
      </c>
    </row>
    <row r="106" ht="14.25" customHeight="1">
      <c r="A106" t="str">
        <f>IF(PNL!A106="","",PNL!A106)</f>
        <v>TUNON_LYO</v>
      </c>
      <c r="B106" t="str">
        <f>IF(PNL!B106="","",PNL!B106)</f>
        <v>708</v>
      </c>
      <c r="C106" t="str">
        <f>IF(PNL!C106="","",PNL!C106)</f>
        <v>2026</v>
      </c>
      <c r="D106" t="str">
        <f>IF(PNL!D106="","",PNL!D106)</f>
        <v>ACT</v>
      </c>
      <c r="E106">
        <f t="shared" si="0"/>
        <v>0</v>
      </c>
      <c r="F106">
        <f>IF($A106="","",IF($E106=1,_xlfn.SUMIFS(Compta!$F$1:$F$1448,Compta!$A$1:$A$1448,$A106,Compta!$B$1:$B$1448,$B106,Compta!$C$1:$C$1448,"2026"),0))</f>
        <v>0</v>
      </c>
      <c r="G106" t="s">
        <v>274</v>
      </c>
      <c r="H106" t="s">
        <v>274</v>
      </c>
      <c r="I106" t="s">
        <v>274</v>
      </c>
      <c r="J106" t="s">
        <v>274</v>
      </c>
      <c r="K106" t="s">
        <v>274</v>
      </c>
      <c r="L106" t="s">
        <v>274</v>
      </c>
      <c r="M106" t="s">
        <v>274</v>
      </c>
      <c r="N106" t="e">
        <f t="shared" si="1"/>
        <v>#VALUE!</v>
      </c>
      <c r="O106" t="e">
        <f t="shared" si="2"/>
        <v>#VALUE!</v>
      </c>
      <c r="P106">
        <f>IF($A106="","",IF($E106=1,$F106*$O106,PNL!G106))</f>
        <v>3600</v>
      </c>
      <c r="T106">
        <f t="shared" si="3"/>
        <v>0</v>
      </c>
    </row>
    <row r="107" ht="14.25" customHeight="1">
      <c r="A107" t="str">
        <f>IF(PNL!A107="","",PNL!A107)</f>
        <v>MBWAY_PAR</v>
      </c>
      <c r="B107" t="str">
        <f>IF(PNL!B107="","",PNL!B107)</f>
        <v>621</v>
      </c>
      <c r="C107" t="str">
        <f>IF(PNL!C107="","",PNL!C107)</f>
        <v>2024</v>
      </c>
      <c r="D107" t="str">
        <f>IF(PNL!D107="","",PNL!D107)</f>
        <v>ACT</v>
      </c>
      <c r="E107">
        <f t="shared" si="0"/>
        <v>0</v>
      </c>
      <c r="F107">
        <f>IF($A107="","",IF($E107=1,_xlfn.SUMIFS(Compta!$F$1:$F$1448,Compta!$A$1:$A$1448,$A107,Compta!$B$1:$B$1448,$B107,Compta!$C$1:$C$1448,"2026"),0))</f>
        <v>0</v>
      </c>
      <c r="G107" t="s">
        <v>274</v>
      </c>
      <c r="H107" t="s">
        <v>274</v>
      </c>
      <c r="I107" t="s">
        <v>274</v>
      </c>
      <c r="J107" t="s">
        <v>274</v>
      </c>
      <c r="K107" t="s">
        <v>274</v>
      </c>
      <c r="L107" t="s">
        <v>274</v>
      </c>
      <c r="M107" t="s">
        <v>274</v>
      </c>
      <c r="N107" t="e">
        <f t="shared" si="1"/>
        <v>#VALUE!</v>
      </c>
      <c r="O107" t="e">
        <f t="shared" si="2"/>
        <v>#VALUE!</v>
      </c>
      <c r="P107">
        <f>IF($A107="","",IF($E107=1,$F107*$O107,PNL!G107))</f>
        <v>165271</v>
      </c>
      <c r="T107">
        <f t="shared" si="3"/>
        <v>0</v>
      </c>
    </row>
    <row r="108" ht="14.25" customHeight="1">
      <c r="A108" t="str">
        <f>IF(PNL!A108="","",PNL!A108)</f>
        <v>MBWAY_LYO</v>
      </c>
      <c r="B108" t="str">
        <f>IF(PNL!B108="","",PNL!B108)</f>
        <v>621</v>
      </c>
      <c r="C108" t="str">
        <f>IF(PNL!C108="","",PNL!C108)</f>
        <v>2024</v>
      </c>
      <c r="D108" t="str">
        <f>IF(PNL!D108="","",PNL!D108)</f>
        <v>ACT</v>
      </c>
      <c r="E108">
        <f t="shared" si="0"/>
        <v>0</v>
      </c>
      <c r="F108">
        <f>IF($A108="","",IF($E108=1,_xlfn.SUMIFS(Compta!$F$1:$F$1448,Compta!$A$1:$A$1448,$A108,Compta!$B$1:$B$1448,$B108,Compta!$C$1:$C$1448,"2026"),0))</f>
        <v>0</v>
      </c>
      <c r="G108" t="s">
        <v>274</v>
      </c>
      <c r="H108" t="s">
        <v>274</v>
      </c>
      <c r="I108" t="s">
        <v>274</v>
      </c>
      <c r="J108" t="s">
        <v>274</v>
      </c>
      <c r="K108" t="s">
        <v>274</v>
      </c>
      <c r="L108" t="s">
        <v>274</v>
      </c>
      <c r="M108" t="s">
        <v>274</v>
      </c>
      <c r="N108" t="e">
        <f t="shared" si="1"/>
        <v>#VALUE!</v>
      </c>
      <c r="O108" t="e">
        <f t="shared" si="2"/>
        <v>#VALUE!</v>
      </c>
      <c r="P108">
        <f>IF($A108="","",IF($E108=1,$F108*$O108,PNL!G108))</f>
        <v>143235</v>
      </c>
      <c r="T108">
        <f t="shared" si="3"/>
        <v>0</v>
      </c>
    </row>
    <row r="109" ht="14.25" customHeight="1">
      <c r="A109" t="str">
        <f>IF(PNL!A109="","",PNL!A109)</f>
        <v>MBWAY_NAN</v>
      </c>
      <c r="B109" t="str">
        <f>IF(PNL!B109="","",PNL!B109)</f>
        <v>621</v>
      </c>
      <c r="C109" t="str">
        <f>IF(PNL!C109="","",PNL!C109)</f>
        <v>2024</v>
      </c>
      <c r="D109" t="str">
        <f>IF(PNL!D109="","",PNL!D109)</f>
        <v>ACT</v>
      </c>
      <c r="E109">
        <f t="shared" si="0"/>
        <v>0</v>
      </c>
      <c r="F109">
        <f>IF($A109="","",IF($E109=1,_xlfn.SUMIFS(Compta!$F$1:$F$1448,Compta!$A$1:$A$1448,$A109,Compta!$B$1:$B$1448,$B109,Compta!$C$1:$C$1448,"2026"),0))</f>
        <v>0</v>
      </c>
      <c r="G109" t="s">
        <v>274</v>
      </c>
      <c r="H109" t="s">
        <v>274</v>
      </c>
      <c r="I109" t="s">
        <v>274</v>
      </c>
      <c r="J109" t="s">
        <v>274</v>
      </c>
      <c r="K109" t="s">
        <v>274</v>
      </c>
      <c r="L109" t="s">
        <v>274</v>
      </c>
      <c r="M109" t="s">
        <v>274</v>
      </c>
      <c r="N109" t="e">
        <f t="shared" si="1"/>
        <v>#VALUE!</v>
      </c>
      <c r="O109" t="e">
        <f t="shared" si="2"/>
        <v>#VALUE!</v>
      </c>
      <c r="P109">
        <f>IF($A109="","",IF($E109=1,$F109*$O109,PNL!G109))</f>
        <v>132216</v>
      </c>
      <c r="T109">
        <f t="shared" si="3"/>
        <v>0</v>
      </c>
    </row>
    <row r="110" ht="14.25" customHeight="1">
      <c r="A110" t="str">
        <f>IF(PNL!A110="","",PNL!A110)</f>
        <v>MBWAY_BOR</v>
      </c>
      <c r="B110" t="str">
        <f>IF(PNL!B110="","",PNL!B110)</f>
        <v>621</v>
      </c>
      <c r="C110" t="str">
        <f>IF(PNL!C110="","",PNL!C110)</f>
        <v>2024</v>
      </c>
      <c r="D110" t="str">
        <f>IF(PNL!D110="","",PNL!D110)</f>
        <v>ACT</v>
      </c>
      <c r="E110">
        <f t="shared" si="0"/>
        <v>0</v>
      </c>
      <c r="F110">
        <f>IF($A110="","",IF($E110=1,_xlfn.SUMIFS(Compta!$F$1:$F$1448,Compta!$A$1:$A$1448,$A110,Compta!$B$1:$B$1448,$B110,Compta!$C$1:$C$1448,"2026"),0))</f>
        <v>0</v>
      </c>
      <c r="G110" t="s">
        <v>274</v>
      </c>
      <c r="H110" t="s">
        <v>274</v>
      </c>
      <c r="I110" t="s">
        <v>274</v>
      </c>
      <c r="J110" t="s">
        <v>274</v>
      </c>
      <c r="K110" t="s">
        <v>274</v>
      </c>
      <c r="L110" t="s">
        <v>274</v>
      </c>
      <c r="M110" t="s">
        <v>274</v>
      </c>
      <c r="N110" t="e">
        <f t="shared" si="1"/>
        <v>#VALUE!</v>
      </c>
      <c r="O110" t="e">
        <f t="shared" si="2"/>
        <v>#VALUE!</v>
      </c>
      <c r="P110">
        <f>IF($A110="","",IF($E110=1,$F110*$O110,PNL!G110))</f>
        <v>110180</v>
      </c>
      <c r="T110">
        <f t="shared" si="3"/>
        <v>0</v>
      </c>
    </row>
    <row r="111" ht="14.25" customHeight="1">
      <c r="A111" t="str">
        <f>IF(PNL!A111="","",PNL!A111)</f>
        <v>ISCOM_PAR</v>
      </c>
      <c r="B111" t="str">
        <f>IF(PNL!B111="","",PNL!B111)</f>
        <v>621</v>
      </c>
      <c r="C111" t="str">
        <f>IF(PNL!C111="","",PNL!C111)</f>
        <v>2024</v>
      </c>
      <c r="D111" t="str">
        <f>IF(PNL!D111="","",PNL!D111)</f>
        <v>ACT</v>
      </c>
      <c r="E111">
        <f t="shared" si="0"/>
        <v>0</v>
      </c>
      <c r="F111">
        <f>IF($A111="","",IF($E111=1,_xlfn.SUMIFS(Compta!$F$1:$F$1448,Compta!$A$1:$A$1448,$A111,Compta!$B$1:$B$1448,$B111,Compta!$C$1:$C$1448,"2026"),0))</f>
        <v>0</v>
      </c>
      <c r="G111" t="s">
        <v>274</v>
      </c>
      <c r="H111" t="s">
        <v>274</v>
      </c>
      <c r="I111" t="s">
        <v>274</v>
      </c>
      <c r="J111" t="s">
        <v>274</v>
      </c>
      <c r="K111" t="s">
        <v>274</v>
      </c>
      <c r="L111" t="s">
        <v>274</v>
      </c>
      <c r="M111" t="s">
        <v>274</v>
      </c>
      <c r="N111" t="e">
        <f t="shared" si="1"/>
        <v>#VALUE!</v>
      </c>
      <c r="O111" t="e">
        <f t="shared" si="2"/>
        <v>#VALUE!</v>
      </c>
      <c r="P111">
        <f>IF($A111="","",IF($E111=1,$F111*$O111,PNL!G111))</f>
        <v>165271</v>
      </c>
      <c r="T111">
        <f t="shared" si="3"/>
        <v>0</v>
      </c>
    </row>
    <row r="112" ht="14.25" customHeight="1">
      <c r="A112" t="str">
        <f>IF(PNL!A112="","",PNL!A112)</f>
        <v>ISCOM_LIL</v>
      </c>
      <c r="B112" t="str">
        <f>IF(PNL!B112="","",PNL!B112)</f>
        <v>621</v>
      </c>
      <c r="C112" t="str">
        <f>IF(PNL!C112="","",PNL!C112)</f>
        <v>2024</v>
      </c>
      <c r="D112" t="str">
        <f>IF(PNL!D112="","",PNL!D112)</f>
        <v>ACT</v>
      </c>
      <c r="E112">
        <f t="shared" si="0"/>
        <v>0</v>
      </c>
      <c r="F112">
        <f>IF($A112="","",IF($E112=1,_xlfn.SUMIFS(Compta!$F$1:$F$1448,Compta!$A$1:$A$1448,$A112,Compta!$B$1:$B$1448,$B112,Compta!$C$1:$C$1448,"2026"),0))</f>
        <v>0</v>
      </c>
      <c r="G112" t="s">
        <v>274</v>
      </c>
      <c r="H112" t="s">
        <v>274</v>
      </c>
      <c r="I112" t="s">
        <v>274</v>
      </c>
      <c r="J112" t="s">
        <v>274</v>
      </c>
      <c r="K112" t="s">
        <v>274</v>
      </c>
      <c r="L112" t="s">
        <v>274</v>
      </c>
      <c r="M112" t="s">
        <v>274</v>
      </c>
      <c r="N112" t="e">
        <f t="shared" si="1"/>
        <v>#VALUE!</v>
      </c>
      <c r="O112" t="e">
        <f t="shared" si="2"/>
        <v>#VALUE!</v>
      </c>
      <c r="P112">
        <f>IF($A112="","",IF($E112=1,$F112*$O112,PNL!G112))</f>
        <v>110180</v>
      </c>
      <c r="T112">
        <f t="shared" si="3"/>
        <v>0</v>
      </c>
    </row>
    <row r="113" ht="14.25" customHeight="1">
      <c r="A113" t="str">
        <f>IF(PNL!A113="","",PNL!A113)</f>
        <v>ISCOM_TLS</v>
      </c>
      <c r="B113" t="str">
        <f>IF(PNL!B113="","",PNL!B113)</f>
        <v>621</v>
      </c>
      <c r="C113" t="str">
        <f>IF(PNL!C113="","",PNL!C113)</f>
        <v>2024</v>
      </c>
      <c r="D113" t="str">
        <f>IF(PNL!D113="","",PNL!D113)</f>
        <v>ACT</v>
      </c>
      <c r="E113">
        <f t="shared" si="0"/>
        <v>0</v>
      </c>
      <c r="F113">
        <f>IF($A113="","",IF($E113=1,_xlfn.SUMIFS(Compta!$F$1:$F$1448,Compta!$A$1:$A$1448,$A113,Compta!$B$1:$B$1448,$B113,Compta!$C$1:$C$1448,"2026"),0))</f>
        <v>0</v>
      </c>
      <c r="G113" t="s">
        <v>274</v>
      </c>
      <c r="H113" t="s">
        <v>274</v>
      </c>
      <c r="I113" t="s">
        <v>274</v>
      </c>
      <c r="J113" t="s">
        <v>274</v>
      </c>
      <c r="K113" t="s">
        <v>274</v>
      </c>
      <c r="L113" t="s">
        <v>274</v>
      </c>
      <c r="M113" t="s">
        <v>274</v>
      </c>
      <c r="N113" t="e">
        <f t="shared" si="1"/>
        <v>#VALUE!</v>
      </c>
      <c r="O113" t="e">
        <f t="shared" si="2"/>
        <v>#VALUE!</v>
      </c>
      <c r="P113">
        <f>IF($A113="","",IF($E113=1,$F113*$O113,PNL!G113))</f>
        <v>110180</v>
      </c>
      <c r="T113">
        <f t="shared" si="3"/>
        <v>0</v>
      </c>
    </row>
    <row r="114" ht="14.25" customHeight="1">
      <c r="A114" t="str">
        <f>IF(PNL!A114="","",PNL!A114)</f>
        <v>IPAC_NAN</v>
      </c>
      <c r="B114" t="str">
        <f>IF(PNL!B114="","",PNL!B114)</f>
        <v>621</v>
      </c>
      <c r="C114" t="str">
        <f>IF(PNL!C114="","",PNL!C114)</f>
        <v>2024</v>
      </c>
      <c r="D114" t="str">
        <f>IF(PNL!D114="","",PNL!D114)</f>
        <v>ACT</v>
      </c>
      <c r="E114">
        <f t="shared" si="0"/>
        <v>0</v>
      </c>
      <c r="F114">
        <f>IF($A114="","",IF($E114=1,_xlfn.SUMIFS(Compta!$F$1:$F$1448,Compta!$A$1:$A$1448,$A114,Compta!$B$1:$B$1448,$B114,Compta!$C$1:$C$1448,"2026"),0))</f>
        <v>0</v>
      </c>
      <c r="G114" t="s">
        <v>274</v>
      </c>
      <c r="H114" t="s">
        <v>274</v>
      </c>
      <c r="I114" t="s">
        <v>274</v>
      </c>
      <c r="J114" t="s">
        <v>274</v>
      </c>
      <c r="K114" t="s">
        <v>274</v>
      </c>
      <c r="L114" t="s">
        <v>274</v>
      </c>
      <c r="M114" t="s">
        <v>274</v>
      </c>
      <c r="N114" t="e">
        <f t="shared" si="1"/>
        <v>#VALUE!</v>
      </c>
      <c r="O114" t="e">
        <f t="shared" si="2"/>
        <v>#VALUE!</v>
      </c>
      <c r="P114">
        <f>IF($A114="","",IF($E114=1,$F114*$O114,PNL!G114))</f>
        <v>66108</v>
      </c>
      <c r="T114">
        <f t="shared" si="3"/>
        <v>0</v>
      </c>
    </row>
    <row r="115" ht="14.25" customHeight="1">
      <c r="A115" t="str">
        <f>IF(PNL!A115="","",PNL!A115)</f>
        <v>IPAC_REN</v>
      </c>
      <c r="B115" t="str">
        <f>IF(PNL!B115="","",PNL!B115)</f>
        <v>621</v>
      </c>
      <c r="C115" t="str">
        <f>IF(PNL!C115="","",PNL!C115)</f>
        <v>2024</v>
      </c>
      <c r="D115" t="str">
        <f>IF(PNL!D115="","",PNL!D115)</f>
        <v>ACT</v>
      </c>
      <c r="E115">
        <f t="shared" si="0"/>
        <v>0</v>
      </c>
      <c r="F115">
        <f>IF($A115="","",IF($E115=1,_xlfn.SUMIFS(Compta!$F$1:$F$1448,Compta!$A$1:$A$1448,$A115,Compta!$B$1:$B$1448,$B115,Compta!$C$1:$C$1448,"2026"),0))</f>
        <v>0</v>
      </c>
      <c r="G115" t="s">
        <v>274</v>
      </c>
      <c r="H115" t="s">
        <v>274</v>
      </c>
      <c r="I115" t="s">
        <v>274</v>
      </c>
      <c r="J115" t="s">
        <v>274</v>
      </c>
      <c r="K115" t="s">
        <v>274</v>
      </c>
      <c r="L115" t="s">
        <v>274</v>
      </c>
      <c r="M115" t="s">
        <v>274</v>
      </c>
      <c r="N115" t="e">
        <f t="shared" si="1"/>
        <v>#VALUE!</v>
      </c>
      <c r="O115" t="e">
        <f t="shared" si="2"/>
        <v>#VALUE!</v>
      </c>
      <c r="P115">
        <f>IF($A115="","",IF($E115=1,$F115*$O115,PNL!G115))</f>
        <v>66108</v>
      </c>
      <c r="T115">
        <f t="shared" si="3"/>
        <v>0</v>
      </c>
    </row>
    <row r="116" ht="14.25" customHeight="1">
      <c r="A116" t="str">
        <f>IF(PNL!A116="","",PNL!A116)</f>
        <v>IPAC_MTP</v>
      </c>
      <c r="B116" t="str">
        <f>IF(PNL!B116="","",PNL!B116)</f>
        <v>621</v>
      </c>
      <c r="C116" t="str">
        <f>IF(PNL!C116="","",PNL!C116)</f>
        <v>2024</v>
      </c>
      <c r="D116" t="str">
        <f>IF(PNL!D116="","",PNL!D116)</f>
        <v>ACT</v>
      </c>
      <c r="E116">
        <f t="shared" si="0"/>
        <v>0</v>
      </c>
      <c r="F116">
        <f>IF($A116="","",IF($E116=1,_xlfn.SUMIFS(Compta!$F$1:$F$1448,Compta!$A$1:$A$1448,$A116,Compta!$B$1:$B$1448,$B116,Compta!$C$1:$C$1448,"2026"),0))</f>
        <v>0</v>
      </c>
      <c r="G116" t="s">
        <v>274</v>
      </c>
      <c r="H116" t="s">
        <v>274</v>
      </c>
      <c r="I116" t="s">
        <v>274</v>
      </c>
      <c r="J116" t="s">
        <v>274</v>
      </c>
      <c r="K116" t="s">
        <v>274</v>
      </c>
      <c r="L116" t="s">
        <v>274</v>
      </c>
      <c r="M116" t="s">
        <v>274</v>
      </c>
      <c r="N116" t="e">
        <f t="shared" si="1"/>
        <v>#VALUE!</v>
      </c>
      <c r="O116" t="e">
        <f t="shared" si="2"/>
        <v>#VALUE!</v>
      </c>
      <c r="P116">
        <f>IF($A116="","",IF($E116=1,$F116*$O116,PNL!G116))</f>
        <v>66108</v>
      </c>
      <c r="T116">
        <f t="shared" si="3"/>
        <v>0</v>
      </c>
    </row>
    <row r="117" ht="14.25" customHeight="1">
      <c r="A117" t="str">
        <f>IF(PNL!A117="","",PNL!A117)</f>
        <v>PIGIER_LYO</v>
      </c>
      <c r="B117" t="str">
        <f>IF(PNL!B117="","",PNL!B117)</f>
        <v>621</v>
      </c>
      <c r="C117" t="str">
        <f>IF(PNL!C117="","",PNL!C117)</f>
        <v>2024</v>
      </c>
      <c r="D117" t="str">
        <f>IF(PNL!D117="","",PNL!D117)</f>
        <v>ACT</v>
      </c>
      <c r="E117">
        <f t="shared" si="0"/>
        <v>0</v>
      </c>
      <c r="F117">
        <f>IF($A117="","",IF($E117=1,_xlfn.SUMIFS(Compta!$F$1:$F$1448,Compta!$A$1:$A$1448,$A117,Compta!$B$1:$B$1448,$B117,Compta!$C$1:$C$1448,"2026"),0))</f>
        <v>0</v>
      </c>
      <c r="G117" t="s">
        <v>274</v>
      </c>
      <c r="H117" t="s">
        <v>274</v>
      </c>
      <c r="I117" t="s">
        <v>274</v>
      </c>
      <c r="J117" t="s">
        <v>274</v>
      </c>
      <c r="K117" t="s">
        <v>274</v>
      </c>
      <c r="L117" t="s">
        <v>274</v>
      </c>
      <c r="M117" t="s">
        <v>274</v>
      </c>
      <c r="N117" t="e">
        <f t="shared" si="1"/>
        <v>#VALUE!</v>
      </c>
      <c r="O117" t="e">
        <f t="shared" si="2"/>
        <v>#VALUE!</v>
      </c>
      <c r="P117">
        <f>IF($A117="","",IF($E117=1,$F117*$O117,PNL!G117))</f>
        <v>88144</v>
      </c>
      <c r="T117">
        <f t="shared" si="3"/>
        <v>0</v>
      </c>
    </row>
    <row r="118" ht="14.25" customHeight="1">
      <c r="A118" t="str">
        <f>IF(PNL!A118="","",PNL!A118)</f>
        <v>PIGIER_BOR</v>
      </c>
      <c r="B118" t="str">
        <f>IF(PNL!B118="","",PNL!B118)</f>
        <v>621</v>
      </c>
      <c r="C118" t="str">
        <f>IF(PNL!C118="","",PNL!C118)</f>
        <v>2024</v>
      </c>
      <c r="D118" t="str">
        <f>IF(PNL!D118="","",PNL!D118)</f>
        <v>ACT</v>
      </c>
      <c r="E118">
        <f t="shared" si="0"/>
        <v>0</v>
      </c>
      <c r="F118">
        <f>IF($A118="","",IF($E118=1,_xlfn.SUMIFS(Compta!$F$1:$F$1448,Compta!$A$1:$A$1448,$A118,Compta!$B$1:$B$1448,$B118,Compta!$C$1:$C$1448,"2026"),0))</f>
        <v>0</v>
      </c>
      <c r="G118" t="s">
        <v>274</v>
      </c>
      <c r="H118" t="s">
        <v>274</v>
      </c>
      <c r="I118" t="s">
        <v>274</v>
      </c>
      <c r="J118" t="s">
        <v>274</v>
      </c>
      <c r="K118" t="s">
        <v>274</v>
      </c>
      <c r="L118" t="s">
        <v>274</v>
      </c>
      <c r="M118" t="s">
        <v>274</v>
      </c>
      <c r="N118" t="e">
        <f t="shared" si="1"/>
        <v>#VALUE!</v>
      </c>
      <c r="O118" t="e">
        <f t="shared" si="2"/>
        <v>#VALUE!</v>
      </c>
      <c r="P118">
        <f>IF($A118="","",IF($E118=1,$F118*$O118,PNL!G118))</f>
        <v>88144</v>
      </c>
      <c r="T118">
        <f t="shared" si="3"/>
        <v>0</v>
      </c>
    </row>
    <row r="119" ht="14.25" customHeight="1">
      <c r="A119" t="str">
        <f>IF(PNL!A119="","",PNL!A119)</f>
        <v>TUNON_PAR</v>
      </c>
      <c r="B119" t="str">
        <f>IF(PNL!B119="","",PNL!B119)</f>
        <v>621</v>
      </c>
      <c r="C119" t="str">
        <f>IF(PNL!C119="","",PNL!C119)</f>
        <v>2024</v>
      </c>
      <c r="D119" t="str">
        <f>IF(PNL!D119="","",PNL!D119)</f>
        <v>ACT</v>
      </c>
      <c r="E119">
        <f t="shared" si="0"/>
        <v>0</v>
      </c>
      <c r="F119">
        <f>IF($A119="","",IF($E119=1,_xlfn.SUMIFS(Compta!$F$1:$F$1448,Compta!$A$1:$A$1448,$A119,Compta!$B$1:$B$1448,$B119,Compta!$C$1:$C$1448,"2026"),0))</f>
        <v>0</v>
      </c>
      <c r="G119" t="s">
        <v>274</v>
      </c>
      <c r="H119" t="s">
        <v>274</v>
      </c>
      <c r="I119" t="s">
        <v>274</v>
      </c>
      <c r="J119" t="s">
        <v>274</v>
      </c>
      <c r="K119" t="s">
        <v>274</v>
      </c>
      <c r="L119" t="s">
        <v>274</v>
      </c>
      <c r="M119" t="s">
        <v>274</v>
      </c>
      <c r="N119" t="e">
        <f t="shared" si="1"/>
        <v>#VALUE!</v>
      </c>
      <c r="O119" t="e">
        <f t="shared" si="2"/>
        <v>#VALUE!</v>
      </c>
      <c r="P119">
        <f>IF($A119="","",IF($E119=1,$F119*$O119,PNL!G119))</f>
        <v>66108</v>
      </c>
      <c r="T119">
        <f t="shared" si="3"/>
        <v>0</v>
      </c>
    </row>
    <row r="120" ht="14.25" customHeight="1">
      <c r="A120" t="str">
        <f>IF(PNL!A120="","",PNL!A120)</f>
        <v>TUNON_LYO</v>
      </c>
      <c r="B120" t="str">
        <f>IF(PNL!B120="","",PNL!B120)</f>
        <v>621</v>
      </c>
      <c r="C120" t="str">
        <f>IF(PNL!C120="","",PNL!C120)</f>
        <v>2024</v>
      </c>
      <c r="D120" t="str">
        <f>IF(PNL!D120="","",PNL!D120)</f>
        <v>ACT</v>
      </c>
      <c r="E120">
        <f t="shared" si="0"/>
        <v>0</v>
      </c>
      <c r="F120">
        <f>IF($A120="","",IF($E120=1,_xlfn.SUMIFS(Compta!$F$1:$F$1448,Compta!$A$1:$A$1448,$A120,Compta!$B$1:$B$1448,$B120,Compta!$C$1:$C$1448,"2026"),0))</f>
        <v>0</v>
      </c>
      <c r="G120" t="s">
        <v>274</v>
      </c>
      <c r="H120" t="s">
        <v>274</v>
      </c>
      <c r="I120" t="s">
        <v>274</v>
      </c>
      <c r="J120" t="s">
        <v>274</v>
      </c>
      <c r="K120" t="s">
        <v>274</v>
      </c>
      <c r="L120" t="s">
        <v>274</v>
      </c>
      <c r="M120" t="s">
        <v>274</v>
      </c>
      <c r="N120" t="e">
        <f t="shared" si="1"/>
        <v>#VALUE!</v>
      </c>
      <c r="O120" t="e">
        <f t="shared" si="2"/>
        <v>#VALUE!</v>
      </c>
      <c r="P120">
        <f>IF($A120="","",IF($E120=1,$F120*$O120,PNL!G120))</f>
        <v>66108</v>
      </c>
      <c r="T120">
        <f t="shared" si="3"/>
        <v>0</v>
      </c>
    </row>
    <row r="121" ht="14.25" customHeight="1">
      <c r="A121" t="str">
        <f>IF(PNL!A121="","",PNL!A121)</f>
        <v>MBWAY_PAR</v>
      </c>
      <c r="B121" t="str">
        <f>IF(PNL!B121="","",PNL!B121)</f>
        <v>621</v>
      </c>
      <c r="C121" t="str">
        <f>IF(PNL!C121="","",PNL!C121)</f>
        <v>2025</v>
      </c>
      <c r="D121" t="str">
        <f>IF(PNL!D121="","",PNL!D121)</f>
        <v>ACT</v>
      </c>
      <c r="E121">
        <f t="shared" si="0"/>
        <v>0</v>
      </c>
      <c r="F121">
        <f>IF($A121="","",IF($E121=1,_xlfn.SUMIFS(Compta!$F$1:$F$1448,Compta!$A$1:$A$1448,$A121,Compta!$B$1:$B$1448,$B121,Compta!$C$1:$C$1448,"2026"),0))</f>
        <v>0</v>
      </c>
      <c r="G121" t="s">
        <v>274</v>
      </c>
      <c r="H121" t="s">
        <v>274</v>
      </c>
      <c r="I121" t="s">
        <v>274</v>
      </c>
      <c r="J121" t="s">
        <v>274</v>
      </c>
      <c r="K121" t="s">
        <v>274</v>
      </c>
      <c r="L121" t="s">
        <v>274</v>
      </c>
      <c r="M121" t="s">
        <v>274</v>
      </c>
      <c r="N121" t="e">
        <f t="shared" si="1"/>
        <v>#VALUE!</v>
      </c>
      <c r="O121" t="e">
        <f t="shared" si="2"/>
        <v>#VALUE!</v>
      </c>
      <c r="P121">
        <f>IF($A121="","",IF($E121=1,$F121*$O121,PNL!G121))</f>
        <v>172844</v>
      </c>
      <c r="T121">
        <f t="shared" si="3"/>
        <v>0</v>
      </c>
    </row>
    <row r="122" ht="14.25" customHeight="1">
      <c r="A122" t="str">
        <f>IF(PNL!A122="","",PNL!A122)</f>
        <v>MBWAY_LYO</v>
      </c>
      <c r="B122" t="str">
        <f>IF(PNL!B122="","",PNL!B122)</f>
        <v>621</v>
      </c>
      <c r="C122" t="str">
        <f>IF(PNL!C122="","",PNL!C122)</f>
        <v>2025</v>
      </c>
      <c r="D122" t="str">
        <f>IF(PNL!D122="","",PNL!D122)</f>
        <v>ACT</v>
      </c>
      <c r="E122">
        <f t="shared" si="0"/>
        <v>0</v>
      </c>
      <c r="F122">
        <f>IF($A122="","",IF($E122=1,_xlfn.SUMIFS(Compta!$F$1:$F$1448,Compta!$A$1:$A$1448,$A122,Compta!$B$1:$B$1448,$B122,Compta!$C$1:$C$1448,"2026"),0))</f>
        <v>0</v>
      </c>
      <c r="G122" t="s">
        <v>274</v>
      </c>
      <c r="H122" t="s">
        <v>274</v>
      </c>
      <c r="I122" t="s">
        <v>274</v>
      </c>
      <c r="J122" t="s">
        <v>274</v>
      </c>
      <c r="K122" t="s">
        <v>274</v>
      </c>
      <c r="L122" t="s">
        <v>274</v>
      </c>
      <c r="M122" t="s">
        <v>274</v>
      </c>
      <c r="N122" t="e">
        <f t="shared" si="1"/>
        <v>#VALUE!</v>
      </c>
      <c r="O122" t="e">
        <f t="shared" si="2"/>
        <v>#VALUE!</v>
      </c>
      <c r="P122">
        <f>IF($A122="","",IF($E122=1,$F122*$O122,PNL!G122))</f>
        <v>149798</v>
      </c>
      <c r="T122">
        <f t="shared" si="3"/>
        <v>0</v>
      </c>
    </row>
    <row r="123" ht="14.25" customHeight="1">
      <c r="A123" t="str">
        <f>IF(PNL!A123="","",PNL!A123)</f>
        <v>MBWAY_NAN</v>
      </c>
      <c r="B123" t="str">
        <f>IF(PNL!B123="","",PNL!B123)</f>
        <v>621</v>
      </c>
      <c r="C123" t="str">
        <f>IF(PNL!C123="","",PNL!C123)</f>
        <v>2025</v>
      </c>
      <c r="D123" t="str">
        <f>IF(PNL!D123="","",PNL!D123)</f>
        <v>ACT</v>
      </c>
      <c r="E123">
        <f t="shared" si="0"/>
        <v>0</v>
      </c>
      <c r="F123">
        <f>IF($A123="","",IF($E123=1,_xlfn.SUMIFS(Compta!$F$1:$F$1448,Compta!$A$1:$A$1448,$A123,Compta!$B$1:$B$1448,$B123,Compta!$C$1:$C$1448,"2026"),0))</f>
        <v>0</v>
      </c>
      <c r="G123" t="s">
        <v>274</v>
      </c>
      <c r="H123" t="s">
        <v>274</v>
      </c>
      <c r="I123" t="s">
        <v>274</v>
      </c>
      <c r="J123" t="s">
        <v>274</v>
      </c>
      <c r="K123" t="s">
        <v>274</v>
      </c>
      <c r="L123" t="s">
        <v>274</v>
      </c>
      <c r="M123" t="s">
        <v>274</v>
      </c>
      <c r="N123" t="e">
        <f t="shared" si="1"/>
        <v>#VALUE!</v>
      </c>
      <c r="O123" t="e">
        <f t="shared" si="2"/>
        <v>#VALUE!</v>
      </c>
      <c r="P123">
        <f>IF($A123="","",IF($E123=1,$F123*$O123,PNL!G123))</f>
        <v>138275</v>
      </c>
      <c r="T123">
        <f t="shared" si="3"/>
        <v>0</v>
      </c>
    </row>
    <row r="124" ht="14.25" customHeight="1">
      <c r="A124" t="str">
        <f>IF(PNL!A124="","",PNL!A124)</f>
        <v>MBWAY_BOR</v>
      </c>
      <c r="B124" t="str">
        <f>IF(PNL!B124="","",PNL!B124)</f>
        <v>621</v>
      </c>
      <c r="C124" t="str">
        <f>IF(PNL!C124="","",PNL!C124)</f>
        <v>2025</v>
      </c>
      <c r="D124" t="str">
        <f>IF(PNL!D124="","",PNL!D124)</f>
        <v>ACT</v>
      </c>
      <c r="E124">
        <f t="shared" si="0"/>
        <v>0</v>
      </c>
      <c r="F124">
        <f>IF($A124="","",IF($E124=1,_xlfn.SUMIFS(Compta!$F$1:$F$1448,Compta!$A$1:$A$1448,$A124,Compta!$B$1:$B$1448,$B124,Compta!$C$1:$C$1448,"2026"),0))</f>
        <v>0</v>
      </c>
      <c r="G124" t="s">
        <v>274</v>
      </c>
      <c r="H124" t="s">
        <v>274</v>
      </c>
      <c r="I124" t="s">
        <v>274</v>
      </c>
      <c r="J124" t="s">
        <v>274</v>
      </c>
      <c r="K124" t="s">
        <v>274</v>
      </c>
      <c r="L124" t="s">
        <v>274</v>
      </c>
      <c r="M124" t="s">
        <v>274</v>
      </c>
      <c r="N124" t="e">
        <f t="shared" si="1"/>
        <v>#VALUE!</v>
      </c>
      <c r="O124" t="e">
        <f t="shared" si="2"/>
        <v>#VALUE!</v>
      </c>
      <c r="P124">
        <f>IF($A124="","",IF($E124=1,$F124*$O124,PNL!G124))</f>
        <v>115229</v>
      </c>
      <c r="T124">
        <f t="shared" si="3"/>
        <v>0</v>
      </c>
    </row>
    <row r="125" ht="14.25" customHeight="1">
      <c r="A125" t="str">
        <f>IF(PNL!A125="","",PNL!A125)</f>
        <v>ISCOM_PAR</v>
      </c>
      <c r="B125" t="str">
        <f>IF(PNL!B125="","",PNL!B125)</f>
        <v>621</v>
      </c>
      <c r="C125" t="str">
        <f>IF(PNL!C125="","",PNL!C125)</f>
        <v>2025</v>
      </c>
      <c r="D125" t="str">
        <f>IF(PNL!D125="","",PNL!D125)</f>
        <v>ACT</v>
      </c>
      <c r="E125">
        <f t="shared" si="0"/>
        <v>0</v>
      </c>
      <c r="F125">
        <f>IF($A125="","",IF($E125=1,_xlfn.SUMIFS(Compta!$F$1:$F$1448,Compta!$A$1:$A$1448,$A125,Compta!$B$1:$B$1448,$B125,Compta!$C$1:$C$1448,"2026"),0))</f>
        <v>0</v>
      </c>
      <c r="G125" t="s">
        <v>274</v>
      </c>
      <c r="H125" t="s">
        <v>274</v>
      </c>
      <c r="I125" t="s">
        <v>274</v>
      </c>
      <c r="J125" t="s">
        <v>274</v>
      </c>
      <c r="K125" t="s">
        <v>274</v>
      </c>
      <c r="L125" t="s">
        <v>274</v>
      </c>
      <c r="M125" t="s">
        <v>274</v>
      </c>
      <c r="N125" t="e">
        <f t="shared" si="1"/>
        <v>#VALUE!</v>
      </c>
      <c r="O125" t="e">
        <f t="shared" si="2"/>
        <v>#VALUE!</v>
      </c>
      <c r="P125">
        <f>IF($A125="","",IF($E125=1,$F125*$O125,PNL!G125))</f>
        <v>172844</v>
      </c>
      <c r="T125">
        <f t="shared" si="3"/>
        <v>0</v>
      </c>
    </row>
    <row r="126" ht="14.25" customHeight="1">
      <c r="A126" t="str">
        <f>IF(PNL!A126="","",PNL!A126)</f>
        <v>ISCOM_LIL</v>
      </c>
      <c r="B126" t="str">
        <f>IF(PNL!B126="","",PNL!B126)</f>
        <v>621</v>
      </c>
      <c r="C126" t="str">
        <f>IF(PNL!C126="","",PNL!C126)</f>
        <v>2025</v>
      </c>
      <c r="D126" t="str">
        <f>IF(PNL!D126="","",PNL!D126)</f>
        <v>ACT</v>
      </c>
      <c r="E126">
        <f t="shared" si="0"/>
        <v>0</v>
      </c>
      <c r="F126">
        <f>IF($A126="","",IF($E126=1,_xlfn.SUMIFS(Compta!$F$1:$F$1448,Compta!$A$1:$A$1448,$A126,Compta!$B$1:$B$1448,$B126,Compta!$C$1:$C$1448,"2026"),0))</f>
        <v>0</v>
      </c>
      <c r="G126" t="s">
        <v>274</v>
      </c>
      <c r="H126" t="s">
        <v>274</v>
      </c>
      <c r="I126" t="s">
        <v>274</v>
      </c>
      <c r="J126" t="s">
        <v>274</v>
      </c>
      <c r="K126" t="s">
        <v>274</v>
      </c>
      <c r="L126" t="s">
        <v>274</v>
      </c>
      <c r="M126" t="s">
        <v>274</v>
      </c>
      <c r="N126" t="e">
        <f t="shared" si="1"/>
        <v>#VALUE!</v>
      </c>
      <c r="O126" t="e">
        <f t="shared" si="2"/>
        <v>#VALUE!</v>
      </c>
      <c r="P126">
        <f>IF($A126="","",IF($E126=1,$F126*$O126,PNL!G126))</f>
        <v>115229</v>
      </c>
      <c r="T126">
        <f t="shared" si="3"/>
        <v>0</v>
      </c>
    </row>
    <row r="127" ht="14.25" customHeight="1">
      <c r="A127" t="str">
        <f>IF(PNL!A127="","",PNL!A127)</f>
        <v>ISCOM_TLS</v>
      </c>
      <c r="B127" t="str">
        <f>IF(PNL!B127="","",PNL!B127)</f>
        <v>621</v>
      </c>
      <c r="C127" t="str">
        <f>IF(PNL!C127="","",PNL!C127)</f>
        <v>2025</v>
      </c>
      <c r="D127" t="str">
        <f>IF(PNL!D127="","",PNL!D127)</f>
        <v>ACT</v>
      </c>
      <c r="E127">
        <f t="shared" si="0"/>
        <v>0</v>
      </c>
      <c r="F127">
        <f>IF($A127="","",IF($E127=1,_xlfn.SUMIFS(Compta!$F$1:$F$1448,Compta!$A$1:$A$1448,$A127,Compta!$B$1:$B$1448,$B127,Compta!$C$1:$C$1448,"2026"),0))</f>
        <v>0</v>
      </c>
      <c r="G127" t="s">
        <v>274</v>
      </c>
      <c r="H127" t="s">
        <v>274</v>
      </c>
      <c r="I127" t="s">
        <v>274</v>
      </c>
      <c r="J127" t="s">
        <v>274</v>
      </c>
      <c r="K127" t="s">
        <v>274</v>
      </c>
      <c r="L127" t="s">
        <v>274</v>
      </c>
      <c r="M127" t="s">
        <v>274</v>
      </c>
      <c r="N127" t="e">
        <f t="shared" si="1"/>
        <v>#VALUE!</v>
      </c>
      <c r="O127" t="e">
        <f t="shared" si="2"/>
        <v>#VALUE!</v>
      </c>
      <c r="P127">
        <f>IF($A127="","",IF($E127=1,$F127*$O127,PNL!G127))</f>
        <v>115229</v>
      </c>
      <c r="T127">
        <f t="shared" si="3"/>
        <v>0</v>
      </c>
    </row>
    <row r="128" ht="14.25" customHeight="1">
      <c r="A128" t="str">
        <f>IF(PNL!A128="","",PNL!A128)</f>
        <v>IPAC_NAN</v>
      </c>
      <c r="B128" t="str">
        <f>IF(PNL!B128="","",PNL!B128)</f>
        <v>621</v>
      </c>
      <c r="C128" t="str">
        <f>IF(PNL!C128="","",PNL!C128)</f>
        <v>2025</v>
      </c>
      <c r="D128" t="str">
        <f>IF(PNL!D128="","",PNL!D128)</f>
        <v>ACT</v>
      </c>
      <c r="E128">
        <f t="shared" si="0"/>
        <v>0</v>
      </c>
      <c r="F128">
        <f>IF($A128="","",IF($E128=1,_xlfn.SUMIFS(Compta!$F$1:$F$1448,Compta!$A$1:$A$1448,$A128,Compta!$B$1:$B$1448,$B128,Compta!$C$1:$C$1448,"2026"),0))</f>
        <v>0</v>
      </c>
      <c r="G128" t="s">
        <v>274</v>
      </c>
      <c r="H128" t="s">
        <v>274</v>
      </c>
      <c r="I128" t="s">
        <v>274</v>
      </c>
      <c r="J128" t="s">
        <v>274</v>
      </c>
      <c r="K128" t="s">
        <v>274</v>
      </c>
      <c r="L128" t="s">
        <v>274</v>
      </c>
      <c r="M128" t="s">
        <v>274</v>
      </c>
      <c r="N128" t="e">
        <f t="shared" si="1"/>
        <v>#VALUE!</v>
      </c>
      <c r="O128" t="e">
        <f t="shared" si="2"/>
        <v>#VALUE!</v>
      </c>
      <c r="P128">
        <f>IF($A128="","",IF($E128=1,$F128*$O128,PNL!G128))</f>
        <v>69137</v>
      </c>
      <c r="T128">
        <f t="shared" si="3"/>
        <v>0</v>
      </c>
    </row>
    <row r="129" ht="14.25" customHeight="1">
      <c r="A129" t="str">
        <f>IF(PNL!A129="","",PNL!A129)</f>
        <v>IPAC_REN</v>
      </c>
      <c r="B129" t="str">
        <f>IF(PNL!B129="","",PNL!B129)</f>
        <v>621</v>
      </c>
      <c r="C129" t="str">
        <f>IF(PNL!C129="","",PNL!C129)</f>
        <v>2025</v>
      </c>
      <c r="D129" t="str">
        <f>IF(PNL!D129="","",PNL!D129)</f>
        <v>ACT</v>
      </c>
      <c r="E129">
        <f t="shared" si="0"/>
        <v>0</v>
      </c>
      <c r="F129">
        <f>IF($A129="","",IF($E129=1,_xlfn.SUMIFS(Compta!$F$1:$F$1448,Compta!$A$1:$A$1448,$A129,Compta!$B$1:$B$1448,$B129,Compta!$C$1:$C$1448,"2026"),0))</f>
        <v>0</v>
      </c>
      <c r="G129" t="s">
        <v>274</v>
      </c>
      <c r="H129" t="s">
        <v>274</v>
      </c>
      <c r="I129" t="s">
        <v>274</v>
      </c>
      <c r="J129" t="s">
        <v>274</v>
      </c>
      <c r="K129" t="s">
        <v>274</v>
      </c>
      <c r="L129" t="s">
        <v>274</v>
      </c>
      <c r="M129" t="s">
        <v>274</v>
      </c>
      <c r="N129" t="e">
        <f t="shared" si="1"/>
        <v>#VALUE!</v>
      </c>
      <c r="O129" t="e">
        <f t="shared" si="2"/>
        <v>#VALUE!</v>
      </c>
      <c r="P129">
        <f>IF($A129="","",IF($E129=1,$F129*$O129,PNL!G129))</f>
        <v>69137</v>
      </c>
      <c r="T129">
        <f t="shared" si="3"/>
        <v>0</v>
      </c>
    </row>
    <row r="130" ht="14.25" customHeight="1">
      <c r="A130" t="str">
        <f>IF(PNL!A130="","",PNL!A130)</f>
        <v>IPAC_MTP</v>
      </c>
      <c r="B130" t="str">
        <f>IF(PNL!B130="","",PNL!B130)</f>
        <v>621</v>
      </c>
      <c r="C130" t="str">
        <f>IF(PNL!C130="","",PNL!C130)</f>
        <v>2025</v>
      </c>
      <c r="D130" t="str">
        <f>IF(PNL!D130="","",PNL!D130)</f>
        <v>ACT</v>
      </c>
      <c r="E130">
        <f t="shared" si="0"/>
        <v>0</v>
      </c>
      <c r="F130">
        <f>IF($A130="","",IF($E130=1,_xlfn.SUMIFS(Compta!$F$1:$F$1448,Compta!$A$1:$A$1448,$A130,Compta!$B$1:$B$1448,$B130,Compta!$C$1:$C$1448,"2026"),0))</f>
        <v>0</v>
      </c>
      <c r="G130" t="s">
        <v>274</v>
      </c>
      <c r="H130" t="s">
        <v>274</v>
      </c>
      <c r="I130" t="s">
        <v>274</v>
      </c>
      <c r="J130" t="s">
        <v>274</v>
      </c>
      <c r="K130" t="s">
        <v>274</v>
      </c>
      <c r="L130" t="s">
        <v>274</v>
      </c>
      <c r="M130" t="s">
        <v>274</v>
      </c>
      <c r="N130" t="e">
        <f t="shared" si="1"/>
        <v>#VALUE!</v>
      </c>
      <c r="O130" t="e">
        <f t="shared" si="2"/>
        <v>#VALUE!</v>
      </c>
      <c r="P130">
        <f>IF($A130="","",IF($E130=1,$F130*$O130,PNL!G130))</f>
        <v>69137</v>
      </c>
      <c r="T130">
        <f t="shared" si="3"/>
        <v>0</v>
      </c>
    </row>
    <row r="131" ht="14.25" customHeight="1">
      <c r="A131" t="str">
        <f>IF(PNL!A131="","",PNL!A131)</f>
        <v>PIGIER_LYO</v>
      </c>
      <c r="B131" t="str">
        <f>IF(PNL!B131="","",PNL!B131)</f>
        <v>621</v>
      </c>
      <c r="C131" t="str">
        <f>IF(PNL!C131="","",PNL!C131)</f>
        <v>2025</v>
      </c>
      <c r="D131" t="str">
        <f>IF(PNL!D131="","",PNL!D131)</f>
        <v>ACT</v>
      </c>
      <c r="E131">
        <f t="shared" si="0"/>
        <v>0</v>
      </c>
      <c r="F131">
        <f>IF($A131="","",IF($E131=1,_xlfn.SUMIFS(Compta!$F$1:$F$1448,Compta!$A$1:$A$1448,$A131,Compta!$B$1:$B$1448,$B131,Compta!$C$1:$C$1448,"2026"),0))</f>
        <v>0</v>
      </c>
      <c r="G131" t="s">
        <v>274</v>
      </c>
      <c r="H131" t="s">
        <v>274</v>
      </c>
      <c r="I131" t="s">
        <v>274</v>
      </c>
      <c r="J131" t="s">
        <v>274</v>
      </c>
      <c r="K131" t="s">
        <v>274</v>
      </c>
      <c r="L131" t="s">
        <v>274</v>
      </c>
      <c r="M131" t="s">
        <v>274</v>
      </c>
      <c r="N131" t="e">
        <f t="shared" si="1"/>
        <v>#VALUE!</v>
      </c>
      <c r="O131" t="e">
        <f t="shared" si="2"/>
        <v>#VALUE!</v>
      </c>
      <c r="P131">
        <f>IF($A131="","",IF($E131=1,$F131*$O131,PNL!G131))</f>
        <v>92183</v>
      </c>
      <c r="T131">
        <f t="shared" si="3"/>
        <v>0</v>
      </c>
    </row>
    <row r="132" ht="14.25" customHeight="1">
      <c r="A132" t="str">
        <f>IF(PNL!A132="","",PNL!A132)</f>
        <v>PIGIER_BOR</v>
      </c>
      <c r="B132" t="str">
        <f>IF(PNL!B132="","",PNL!B132)</f>
        <v>621</v>
      </c>
      <c r="C132" t="str">
        <f>IF(PNL!C132="","",PNL!C132)</f>
        <v>2025</v>
      </c>
      <c r="D132" t="str">
        <f>IF(PNL!D132="","",PNL!D132)</f>
        <v>ACT</v>
      </c>
      <c r="E132">
        <f t="shared" si="0"/>
        <v>0</v>
      </c>
      <c r="F132">
        <f>IF($A132="","",IF($E132=1,_xlfn.SUMIFS(Compta!$F$1:$F$1448,Compta!$A$1:$A$1448,$A132,Compta!$B$1:$B$1448,$B132,Compta!$C$1:$C$1448,"2026"),0))</f>
        <v>0</v>
      </c>
      <c r="G132" t="s">
        <v>274</v>
      </c>
      <c r="H132" t="s">
        <v>274</v>
      </c>
      <c r="I132" t="s">
        <v>274</v>
      </c>
      <c r="J132" t="s">
        <v>274</v>
      </c>
      <c r="K132" t="s">
        <v>274</v>
      </c>
      <c r="L132" t="s">
        <v>274</v>
      </c>
      <c r="M132" t="s">
        <v>274</v>
      </c>
      <c r="N132" t="e">
        <f t="shared" si="1"/>
        <v>#VALUE!</v>
      </c>
      <c r="O132" t="e">
        <f t="shared" si="2"/>
        <v>#VALUE!</v>
      </c>
      <c r="P132">
        <f>IF($A132="","",IF($E132=1,$F132*$O132,PNL!G132))</f>
        <v>92183</v>
      </c>
      <c r="T132">
        <f t="shared" si="3"/>
        <v>0</v>
      </c>
    </row>
    <row r="133" ht="14.25" customHeight="1">
      <c r="A133" t="str">
        <f>IF(PNL!A133="","",PNL!A133)</f>
        <v>TUNON_PAR</v>
      </c>
      <c r="B133" t="str">
        <f>IF(PNL!B133="","",PNL!B133)</f>
        <v>621</v>
      </c>
      <c r="C133" t="str">
        <f>IF(PNL!C133="","",PNL!C133)</f>
        <v>2025</v>
      </c>
      <c r="D133" t="str">
        <f>IF(PNL!D133="","",PNL!D133)</f>
        <v>ACT</v>
      </c>
      <c r="E133">
        <f t="shared" si="0"/>
        <v>0</v>
      </c>
      <c r="F133">
        <f>IF($A133="","",IF($E133=1,_xlfn.SUMIFS(Compta!$F$1:$F$1448,Compta!$A$1:$A$1448,$A133,Compta!$B$1:$B$1448,$B133,Compta!$C$1:$C$1448,"2026"),0))</f>
        <v>0</v>
      </c>
      <c r="G133" t="s">
        <v>274</v>
      </c>
      <c r="H133" t="s">
        <v>274</v>
      </c>
      <c r="I133" t="s">
        <v>274</v>
      </c>
      <c r="J133" t="s">
        <v>274</v>
      </c>
      <c r="K133" t="s">
        <v>274</v>
      </c>
      <c r="L133" t="s">
        <v>274</v>
      </c>
      <c r="M133" t="s">
        <v>274</v>
      </c>
      <c r="N133" t="e">
        <f t="shared" si="1"/>
        <v>#VALUE!</v>
      </c>
      <c r="O133" t="e">
        <f t="shared" si="2"/>
        <v>#VALUE!</v>
      </c>
      <c r="P133">
        <f>IF($A133="","",IF($E133=1,$F133*$O133,PNL!G133))</f>
        <v>69137</v>
      </c>
      <c r="T133">
        <f t="shared" si="3"/>
        <v>0</v>
      </c>
    </row>
    <row r="134" ht="14.25" customHeight="1">
      <c r="A134" t="str">
        <f>IF(PNL!A134="","",PNL!A134)</f>
        <v>TUNON_LYO</v>
      </c>
      <c r="B134" t="str">
        <f>IF(PNL!B134="","",PNL!B134)</f>
        <v>621</v>
      </c>
      <c r="C134" t="str">
        <f>IF(PNL!C134="","",PNL!C134)</f>
        <v>2025</v>
      </c>
      <c r="D134" t="str">
        <f>IF(PNL!D134="","",PNL!D134)</f>
        <v>ACT</v>
      </c>
      <c r="E134">
        <f t="shared" si="0"/>
        <v>0</v>
      </c>
      <c r="F134">
        <f>IF($A134="","",IF($E134=1,_xlfn.SUMIFS(Compta!$F$1:$F$1448,Compta!$A$1:$A$1448,$A134,Compta!$B$1:$B$1448,$B134,Compta!$C$1:$C$1448,"2026"),0))</f>
        <v>0</v>
      </c>
      <c r="G134" t="s">
        <v>274</v>
      </c>
      <c r="H134" t="s">
        <v>274</v>
      </c>
      <c r="I134" t="s">
        <v>274</v>
      </c>
      <c r="J134" t="s">
        <v>274</v>
      </c>
      <c r="K134" t="s">
        <v>274</v>
      </c>
      <c r="L134" t="s">
        <v>274</v>
      </c>
      <c r="M134" t="s">
        <v>274</v>
      </c>
      <c r="N134" t="e">
        <f t="shared" si="1"/>
        <v>#VALUE!</v>
      </c>
      <c r="O134" t="e">
        <f t="shared" si="2"/>
        <v>#VALUE!</v>
      </c>
      <c r="P134">
        <f>IF($A134="","",IF($E134=1,$F134*$O134,PNL!G134))</f>
        <v>69137</v>
      </c>
      <c r="T134">
        <f t="shared" si="3"/>
        <v>0</v>
      </c>
    </row>
    <row r="135" ht="14.25" customHeight="1">
      <c r="A135" t="str">
        <f>IF(PNL!A135="","",PNL!A135)</f>
        <v>MBWAY_PAR</v>
      </c>
      <c r="B135" t="str">
        <f>IF(PNL!B135="","",PNL!B135)</f>
        <v>621</v>
      </c>
      <c r="C135" t="str">
        <f>IF(PNL!C135="","",PNL!C135)</f>
        <v>2026</v>
      </c>
      <c r="D135" t="str">
        <f>IF(PNL!D135="","",PNL!D135)</f>
        <v>ACT</v>
      </c>
      <c r="E135">
        <f t="shared" si="0"/>
        <v>0</v>
      </c>
      <c r="F135">
        <f>IF($A135="","",IF($E135=1,_xlfn.SUMIFS(Compta!$F$1:$F$1448,Compta!$A$1:$A$1448,$A135,Compta!$B$1:$B$1448,$B135,Compta!$C$1:$C$1448,"2026"),0))</f>
        <v>0</v>
      </c>
      <c r="G135" t="s">
        <v>274</v>
      </c>
      <c r="H135" t="s">
        <v>274</v>
      </c>
      <c r="I135" t="s">
        <v>274</v>
      </c>
      <c r="J135" t="s">
        <v>274</v>
      </c>
      <c r="K135" t="s">
        <v>274</v>
      </c>
      <c r="L135" t="s">
        <v>274</v>
      </c>
      <c r="M135" t="s">
        <v>274</v>
      </c>
      <c r="N135" t="e">
        <f t="shared" si="1"/>
        <v>#VALUE!</v>
      </c>
      <c r="O135" t="e">
        <f t="shared" si="2"/>
        <v>#VALUE!</v>
      </c>
      <c r="P135">
        <f>IF($A135="","",IF($E135=1,$F135*$O135,PNL!G135))</f>
        <v>181094</v>
      </c>
      <c r="T135">
        <f t="shared" si="3"/>
        <v>0</v>
      </c>
    </row>
    <row r="136" ht="14.25" customHeight="1">
      <c r="A136" t="str">
        <f>IF(PNL!A136="","",PNL!A136)</f>
        <v>MBWAY_LYO</v>
      </c>
      <c r="B136" t="str">
        <f>IF(PNL!B136="","",PNL!B136)</f>
        <v>621</v>
      </c>
      <c r="C136" t="str">
        <f>IF(PNL!C136="","",PNL!C136)</f>
        <v>2026</v>
      </c>
      <c r="D136" t="str">
        <f>IF(PNL!D136="","",PNL!D136)</f>
        <v>ACT</v>
      </c>
      <c r="E136">
        <f t="shared" si="0"/>
        <v>0</v>
      </c>
      <c r="F136">
        <f>IF($A136="","",IF($E136=1,_xlfn.SUMIFS(Compta!$F$1:$F$1448,Compta!$A$1:$A$1448,$A136,Compta!$B$1:$B$1448,$B136,Compta!$C$1:$C$1448,"2026"),0))</f>
        <v>0</v>
      </c>
      <c r="G136" t="s">
        <v>274</v>
      </c>
      <c r="H136" t="s">
        <v>274</v>
      </c>
      <c r="I136" t="s">
        <v>274</v>
      </c>
      <c r="J136" t="s">
        <v>274</v>
      </c>
      <c r="K136" t="s">
        <v>274</v>
      </c>
      <c r="L136" t="s">
        <v>274</v>
      </c>
      <c r="M136" t="s">
        <v>274</v>
      </c>
      <c r="N136" t="e">
        <f t="shared" si="1"/>
        <v>#VALUE!</v>
      </c>
      <c r="O136" t="e">
        <f t="shared" si="2"/>
        <v>#VALUE!</v>
      </c>
      <c r="P136">
        <f>IF($A136="","",IF($E136=1,$F136*$O136,PNL!G136))</f>
        <v>156948</v>
      </c>
      <c r="T136">
        <f t="shared" si="3"/>
        <v>0</v>
      </c>
    </row>
    <row r="137" ht="14.25" customHeight="1">
      <c r="A137" t="str">
        <f>IF(PNL!A137="","",PNL!A137)</f>
        <v>MBWAY_NAN</v>
      </c>
      <c r="B137" t="str">
        <f>IF(PNL!B137="","",PNL!B137)</f>
        <v>621</v>
      </c>
      <c r="C137" t="str">
        <f>IF(PNL!C137="","",PNL!C137)</f>
        <v>2026</v>
      </c>
      <c r="D137" t="str">
        <f>IF(PNL!D137="","",PNL!D137)</f>
        <v>ACT</v>
      </c>
      <c r="E137">
        <f t="shared" si="0"/>
        <v>0</v>
      </c>
      <c r="F137">
        <f>IF($A137="","",IF($E137=1,_xlfn.SUMIFS(Compta!$F$1:$F$1448,Compta!$A$1:$A$1448,$A137,Compta!$B$1:$B$1448,$B137,Compta!$C$1:$C$1448,"2026"),0))</f>
        <v>0</v>
      </c>
      <c r="G137" t="s">
        <v>274</v>
      </c>
      <c r="H137" t="s">
        <v>274</v>
      </c>
      <c r="I137" t="s">
        <v>274</v>
      </c>
      <c r="J137" t="s">
        <v>274</v>
      </c>
      <c r="K137" t="s">
        <v>274</v>
      </c>
      <c r="L137" t="s">
        <v>274</v>
      </c>
      <c r="M137" t="s">
        <v>274</v>
      </c>
      <c r="N137" t="e">
        <f t="shared" si="1"/>
        <v>#VALUE!</v>
      </c>
      <c r="O137" t="e">
        <f t="shared" si="2"/>
        <v>#VALUE!</v>
      </c>
      <c r="P137">
        <f>IF($A137="","",IF($E137=1,$F137*$O137,PNL!G137))</f>
        <v>144875</v>
      </c>
      <c r="T137">
        <f t="shared" si="3"/>
        <v>0</v>
      </c>
    </row>
    <row r="138" ht="14.25" customHeight="1">
      <c r="A138" t="str">
        <f>IF(PNL!A138="","",PNL!A138)</f>
        <v>MBWAY_BOR</v>
      </c>
      <c r="B138" t="str">
        <f>IF(PNL!B138="","",PNL!B138)</f>
        <v>621</v>
      </c>
      <c r="C138" t="str">
        <f>IF(PNL!C138="","",PNL!C138)</f>
        <v>2026</v>
      </c>
      <c r="D138" t="str">
        <f>IF(PNL!D138="","",PNL!D138)</f>
        <v>ACT</v>
      </c>
      <c r="E138">
        <f t="shared" si="0"/>
        <v>0</v>
      </c>
      <c r="F138">
        <f>IF($A138="","",IF($E138=1,_xlfn.SUMIFS(Compta!$F$1:$F$1448,Compta!$A$1:$A$1448,$A138,Compta!$B$1:$B$1448,$B138,Compta!$C$1:$C$1448,"2026"),0))</f>
        <v>0</v>
      </c>
      <c r="G138" t="s">
        <v>274</v>
      </c>
      <c r="H138" t="s">
        <v>274</v>
      </c>
      <c r="I138" t="s">
        <v>274</v>
      </c>
      <c r="J138" t="s">
        <v>274</v>
      </c>
      <c r="K138" t="s">
        <v>274</v>
      </c>
      <c r="L138" t="s">
        <v>274</v>
      </c>
      <c r="M138" t="s">
        <v>274</v>
      </c>
      <c r="N138" t="e">
        <f t="shared" si="1"/>
        <v>#VALUE!</v>
      </c>
      <c r="O138" t="e">
        <f t="shared" si="2"/>
        <v>#VALUE!</v>
      </c>
      <c r="P138">
        <f>IF($A138="","",IF($E138=1,$F138*$O138,PNL!G138))</f>
        <v>120729</v>
      </c>
      <c r="T138">
        <f t="shared" si="3"/>
        <v>0</v>
      </c>
    </row>
    <row r="139" ht="14.25" customHeight="1">
      <c r="A139" t="str">
        <f>IF(PNL!A139="","",PNL!A139)</f>
        <v>ISCOM_PAR</v>
      </c>
      <c r="B139" t="str">
        <f>IF(PNL!B139="","",PNL!B139)</f>
        <v>621</v>
      </c>
      <c r="C139" t="str">
        <f>IF(PNL!C139="","",PNL!C139)</f>
        <v>2026</v>
      </c>
      <c r="D139" t="str">
        <f>IF(PNL!D139="","",PNL!D139)</f>
        <v>ACT</v>
      </c>
      <c r="E139">
        <f t="shared" si="0"/>
        <v>0</v>
      </c>
      <c r="F139">
        <f>IF($A139="","",IF($E139=1,_xlfn.SUMIFS(Compta!$F$1:$F$1448,Compta!$A$1:$A$1448,$A139,Compta!$B$1:$B$1448,$B139,Compta!$C$1:$C$1448,"2026"),0))</f>
        <v>0</v>
      </c>
      <c r="G139" t="s">
        <v>274</v>
      </c>
      <c r="H139" t="s">
        <v>274</v>
      </c>
      <c r="I139" t="s">
        <v>274</v>
      </c>
      <c r="J139" t="s">
        <v>274</v>
      </c>
      <c r="K139" t="s">
        <v>274</v>
      </c>
      <c r="L139" t="s">
        <v>274</v>
      </c>
      <c r="M139" t="s">
        <v>274</v>
      </c>
      <c r="N139" t="e">
        <f t="shared" si="1"/>
        <v>#VALUE!</v>
      </c>
      <c r="O139" t="e">
        <f t="shared" si="2"/>
        <v>#VALUE!</v>
      </c>
      <c r="P139">
        <f>IF($A139="","",IF($E139=1,$F139*$O139,PNL!G139))</f>
        <v>181094</v>
      </c>
      <c r="T139">
        <f t="shared" si="3"/>
        <v>0</v>
      </c>
    </row>
    <row r="140" ht="14.25" customHeight="1">
      <c r="A140" t="str">
        <f>IF(PNL!A140="","",PNL!A140)</f>
        <v>ISCOM_LIL</v>
      </c>
      <c r="B140" t="str">
        <f>IF(PNL!B140="","",PNL!B140)</f>
        <v>621</v>
      </c>
      <c r="C140" t="str">
        <f>IF(PNL!C140="","",PNL!C140)</f>
        <v>2026</v>
      </c>
      <c r="D140" t="str">
        <f>IF(PNL!D140="","",PNL!D140)</f>
        <v>ACT</v>
      </c>
      <c r="E140">
        <f t="shared" si="0"/>
        <v>0</v>
      </c>
      <c r="F140">
        <f>IF($A140="","",IF($E140=1,_xlfn.SUMIFS(Compta!$F$1:$F$1448,Compta!$A$1:$A$1448,$A140,Compta!$B$1:$B$1448,$B140,Compta!$C$1:$C$1448,"2026"),0))</f>
        <v>0</v>
      </c>
      <c r="G140" t="s">
        <v>274</v>
      </c>
      <c r="H140" t="s">
        <v>274</v>
      </c>
      <c r="I140" t="s">
        <v>274</v>
      </c>
      <c r="J140" t="s">
        <v>274</v>
      </c>
      <c r="K140" t="s">
        <v>274</v>
      </c>
      <c r="L140" t="s">
        <v>274</v>
      </c>
      <c r="M140" t="s">
        <v>274</v>
      </c>
      <c r="N140" t="e">
        <f t="shared" si="1"/>
        <v>#VALUE!</v>
      </c>
      <c r="O140" t="e">
        <f t="shared" si="2"/>
        <v>#VALUE!</v>
      </c>
      <c r="P140">
        <f>IF($A140="","",IF($E140=1,$F140*$O140,PNL!G140))</f>
        <v>120729</v>
      </c>
      <c r="T140">
        <f t="shared" si="3"/>
        <v>0</v>
      </c>
    </row>
    <row r="141" ht="14.25" customHeight="1">
      <c r="A141" t="str">
        <f>IF(PNL!A141="","",PNL!A141)</f>
        <v>ISCOM_TLS</v>
      </c>
      <c r="B141" t="str">
        <f>IF(PNL!B141="","",PNL!B141)</f>
        <v>621</v>
      </c>
      <c r="C141" t="str">
        <f>IF(PNL!C141="","",PNL!C141)</f>
        <v>2026</v>
      </c>
      <c r="D141" t="str">
        <f>IF(PNL!D141="","",PNL!D141)</f>
        <v>ACT</v>
      </c>
      <c r="E141">
        <f t="shared" si="0"/>
        <v>0</v>
      </c>
      <c r="F141">
        <f>IF($A141="","",IF($E141=1,_xlfn.SUMIFS(Compta!$F$1:$F$1448,Compta!$A$1:$A$1448,$A141,Compta!$B$1:$B$1448,$B141,Compta!$C$1:$C$1448,"2026"),0))</f>
        <v>0</v>
      </c>
      <c r="G141" t="s">
        <v>274</v>
      </c>
      <c r="H141" t="s">
        <v>274</v>
      </c>
      <c r="I141" t="s">
        <v>274</v>
      </c>
      <c r="J141" t="s">
        <v>274</v>
      </c>
      <c r="K141" t="s">
        <v>274</v>
      </c>
      <c r="L141" t="s">
        <v>274</v>
      </c>
      <c r="M141" t="s">
        <v>274</v>
      </c>
      <c r="N141" t="e">
        <f t="shared" si="1"/>
        <v>#VALUE!</v>
      </c>
      <c r="O141" t="e">
        <f t="shared" si="2"/>
        <v>#VALUE!</v>
      </c>
      <c r="P141">
        <f>IF($A141="","",IF($E141=1,$F141*$O141,PNL!G141))</f>
        <v>120729</v>
      </c>
      <c r="T141">
        <f t="shared" si="3"/>
        <v>0</v>
      </c>
    </row>
    <row r="142" ht="14.25" customHeight="1">
      <c r="A142" t="str">
        <f>IF(PNL!A142="","",PNL!A142)</f>
        <v>IPAC_NAN</v>
      </c>
      <c r="B142" t="str">
        <f>IF(PNL!B142="","",PNL!B142)</f>
        <v>621</v>
      </c>
      <c r="C142" t="str">
        <f>IF(PNL!C142="","",PNL!C142)</f>
        <v>2026</v>
      </c>
      <c r="D142" t="str">
        <f>IF(PNL!D142="","",PNL!D142)</f>
        <v>ACT</v>
      </c>
      <c r="E142">
        <f t="shared" si="0"/>
        <v>0</v>
      </c>
      <c r="F142">
        <f>IF($A142="","",IF($E142=1,_xlfn.SUMIFS(Compta!$F$1:$F$1448,Compta!$A$1:$A$1448,$A142,Compta!$B$1:$B$1448,$B142,Compta!$C$1:$C$1448,"2026"),0))</f>
        <v>0</v>
      </c>
      <c r="G142" t="s">
        <v>274</v>
      </c>
      <c r="H142" t="s">
        <v>274</v>
      </c>
      <c r="I142" t="s">
        <v>274</v>
      </c>
      <c r="J142" t="s">
        <v>274</v>
      </c>
      <c r="K142" t="s">
        <v>274</v>
      </c>
      <c r="L142" t="s">
        <v>274</v>
      </c>
      <c r="M142" t="s">
        <v>274</v>
      </c>
      <c r="N142" t="e">
        <f t="shared" si="1"/>
        <v>#VALUE!</v>
      </c>
      <c r="O142" t="e">
        <f t="shared" si="2"/>
        <v>#VALUE!</v>
      </c>
      <c r="P142">
        <f>IF($A142="","",IF($E142=1,$F142*$O142,PNL!G142))</f>
        <v>72438</v>
      </c>
      <c r="T142">
        <f t="shared" si="3"/>
        <v>0</v>
      </c>
    </row>
    <row r="143" ht="14.25" customHeight="1">
      <c r="A143" t="str">
        <f>IF(PNL!A143="","",PNL!A143)</f>
        <v>IPAC_REN</v>
      </c>
      <c r="B143" t="str">
        <f>IF(PNL!B143="","",PNL!B143)</f>
        <v>621</v>
      </c>
      <c r="C143" t="str">
        <f>IF(PNL!C143="","",PNL!C143)</f>
        <v>2026</v>
      </c>
      <c r="D143" t="str">
        <f>IF(PNL!D143="","",PNL!D143)</f>
        <v>ACT</v>
      </c>
      <c r="E143">
        <f t="shared" si="0"/>
        <v>0</v>
      </c>
      <c r="F143">
        <f>IF($A143="","",IF($E143=1,_xlfn.SUMIFS(Compta!$F$1:$F$1448,Compta!$A$1:$A$1448,$A143,Compta!$B$1:$B$1448,$B143,Compta!$C$1:$C$1448,"2026"),0))</f>
        <v>0</v>
      </c>
      <c r="G143" t="s">
        <v>274</v>
      </c>
      <c r="H143" t="s">
        <v>274</v>
      </c>
      <c r="I143" t="s">
        <v>274</v>
      </c>
      <c r="J143" t="s">
        <v>274</v>
      </c>
      <c r="K143" t="s">
        <v>274</v>
      </c>
      <c r="L143" t="s">
        <v>274</v>
      </c>
      <c r="M143" t="s">
        <v>274</v>
      </c>
      <c r="N143" t="e">
        <f t="shared" si="1"/>
        <v>#VALUE!</v>
      </c>
      <c r="O143" t="e">
        <f t="shared" si="2"/>
        <v>#VALUE!</v>
      </c>
      <c r="P143">
        <f>IF($A143="","",IF($E143=1,$F143*$O143,PNL!G143))</f>
        <v>72438</v>
      </c>
      <c r="T143">
        <f t="shared" si="3"/>
        <v>0</v>
      </c>
    </row>
    <row r="144" ht="14.25" customHeight="1">
      <c r="A144" t="str">
        <f>IF(PNL!A144="","",PNL!A144)</f>
        <v>IPAC_MTP</v>
      </c>
      <c r="B144" t="str">
        <f>IF(PNL!B144="","",PNL!B144)</f>
        <v>621</v>
      </c>
      <c r="C144" t="str">
        <f>IF(PNL!C144="","",PNL!C144)</f>
        <v>2026</v>
      </c>
      <c r="D144" t="str">
        <f>IF(PNL!D144="","",PNL!D144)</f>
        <v>ACT</v>
      </c>
      <c r="E144">
        <f t="shared" si="0"/>
        <v>0</v>
      </c>
      <c r="F144">
        <f>IF($A144="","",IF($E144=1,_xlfn.SUMIFS(Compta!$F$1:$F$1448,Compta!$A$1:$A$1448,$A144,Compta!$B$1:$B$1448,$B144,Compta!$C$1:$C$1448,"2026"),0))</f>
        <v>0</v>
      </c>
      <c r="G144" t="s">
        <v>274</v>
      </c>
      <c r="H144" t="s">
        <v>274</v>
      </c>
      <c r="I144" t="s">
        <v>274</v>
      </c>
      <c r="J144" t="s">
        <v>274</v>
      </c>
      <c r="K144" t="s">
        <v>274</v>
      </c>
      <c r="L144" t="s">
        <v>274</v>
      </c>
      <c r="M144" t="s">
        <v>274</v>
      </c>
      <c r="N144" t="e">
        <f t="shared" si="1"/>
        <v>#VALUE!</v>
      </c>
      <c r="O144" t="e">
        <f t="shared" si="2"/>
        <v>#VALUE!</v>
      </c>
      <c r="P144">
        <f>IF($A144="","",IF($E144=1,$F144*$O144,PNL!G144))</f>
        <v>72438</v>
      </c>
      <c r="T144">
        <f t="shared" si="3"/>
        <v>0</v>
      </c>
    </row>
    <row r="145" ht="14.25" customHeight="1">
      <c r="A145" t="str">
        <f>IF(PNL!A145="","",PNL!A145)</f>
        <v>PIGIER_LYO</v>
      </c>
      <c r="B145" t="str">
        <f>IF(PNL!B145="","",PNL!B145)</f>
        <v>621</v>
      </c>
      <c r="C145" t="str">
        <f>IF(PNL!C145="","",PNL!C145)</f>
        <v>2026</v>
      </c>
      <c r="D145" t="str">
        <f>IF(PNL!D145="","",PNL!D145)</f>
        <v>ACT</v>
      </c>
      <c r="E145">
        <f t="shared" si="0"/>
        <v>0</v>
      </c>
      <c r="F145">
        <f>IF($A145="","",IF($E145=1,_xlfn.SUMIFS(Compta!$F$1:$F$1448,Compta!$A$1:$A$1448,$A145,Compta!$B$1:$B$1448,$B145,Compta!$C$1:$C$1448,"2026"),0))</f>
        <v>0</v>
      </c>
      <c r="G145" t="s">
        <v>274</v>
      </c>
      <c r="H145" t="s">
        <v>274</v>
      </c>
      <c r="I145" t="s">
        <v>274</v>
      </c>
      <c r="J145" t="s">
        <v>274</v>
      </c>
      <c r="K145" t="s">
        <v>274</v>
      </c>
      <c r="L145" t="s">
        <v>274</v>
      </c>
      <c r="M145" t="s">
        <v>274</v>
      </c>
      <c r="N145" t="e">
        <f t="shared" si="1"/>
        <v>#VALUE!</v>
      </c>
      <c r="O145" t="e">
        <f t="shared" si="2"/>
        <v>#VALUE!</v>
      </c>
      <c r="P145">
        <f>IF($A145="","",IF($E145=1,$F145*$O145,PNL!G145))</f>
        <v>96583</v>
      </c>
      <c r="T145">
        <f t="shared" si="3"/>
        <v>0</v>
      </c>
    </row>
    <row r="146" ht="14.25" customHeight="1">
      <c r="A146" t="str">
        <f>IF(PNL!A146="","",PNL!A146)</f>
        <v>PIGIER_BOR</v>
      </c>
      <c r="B146" t="str">
        <f>IF(PNL!B146="","",PNL!B146)</f>
        <v>621</v>
      </c>
      <c r="C146" t="str">
        <f>IF(PNL!C146="","",PNL!C146)</f>
        <v>2026</v>
      </c>
      <c r="D146" t="str">
        <f>IF(PNL!D146="","",PNL!D146)</f>
        <v>ACT</v>
      </c>
      <c r="E146">
        <f t="shared" si="0"/>
        <v>0</v>
      </c>
      <c r="F146">
        <f>IF($A146="","",IF($E146=1,_xlfn.SUMIFS(Compta!$F$1:$F$1448,Compta!$A$1:$A$1448,$A146,Compta!$B$1:$B$1448,$B146,Compta!$C$1:$C$1448,"2026"),0))</f>
        <v>0</v>
      </c>
      <c r="G146" t="s">
        <v>274</v>
      </c>
      <c r="H146" t="s">
        <v>274</v>
      </c>
      <c r="I146" t="s">
        <v>274</v>
      </c>
      <c r="J146" t="s">
        <v>274</v>
      </c>
      <c r="K146" t="s">
        <v>274</v>
      </c>
      <c r="L146" t="s">
        <v>274</v>
      </c>
      <c r="M146" t="s">
        <v>274</v>
      </c>
      <c r="N146" t="e">
        <f t="shared" si="1"/>
        <v>#VALUE!</v>
      </c>
      <c r="O146" t="e">
        <f t="shared" si="2"/>
        <v>#VALUE!</v>
      </c>
      <c r="P146">
        <f>IF($A146="","",IF($E146=1,$F146*$O146,PNL!G146))</f>
        <v>96583</v>
      </c>
      <c r="T146">
        <f t="shared" si="3"/>
        <v>0</v>
      </c>
    </row>
    <row r="147" ht="14.25" customHeight="1">
      <c r="A147" t="str">
        <f>IF(PNL!A147="","",PNL!A147)</f>
        <v>TUNON_PAR</v>
      </c>
      <c r="B147" t="str">
        <f>IF(PNL!B147="","",PNL!B147)</f>
        <v>621</v>
      </c>
      <c r="C147" t="str">
        <f>IF(PNL!C147="","",PNL!C147)</f>
        <v>2026</v>
      </c>
      <c r="D147" t="str">
        <f>IF(PNL!D147="","",PNL!D147)</f>
        <v>ACT</v>
      </c>
      <c r="E147">
        <f t="shared" si="0"/>
        <v>0</v>
      </c>
      <c r="F147">
        <f>IF($A147="","",IF($E147=1,_xlfn.SUMIFS(Compta!$F$1:$F$1448,Compta!$A$1:$A$1448,$A147,Compta!$B$1:$B$1448,$B147,Compta!$C$1:$C$1448,"2026"),0))</f>
        <v>0</v>
      </c>
      <c r="G147" t="s">
        <v>274</v>
      </c>
      <c r="H147" t="s">
        <v>274</v>
      </c>
      <c r="I147" t="s">
        <v>274</v>
      </c>
      <c r="J147" t="s">
        <v>274</v>
      </c>
      <c r="K147" t="s">
        <v>274</v>
      </c>
      <c r="L147" t="s">
        <v>274</v>
      </c>
      <c r="M147" t="s">
        <v>274</v>
      </c>
      <c r="N147" t="e">
        <f t="shared" si="1"/>
        <v>#VALUE!</v>
      </c>
      <c r="O147" t="e">
        <f t="shared" si="2"/>
        <v>#VALUE!</v>
      </c>
      <c r="P147">
        <f>IF($A147="","",IF($E147=1,$F147*$O147,PNL!G147))</f>
        <v>72438</v>
      </c>
      <c r="T147">
        <f t="shared" si="3"/>
        <v>0</v>
      </c>
    </row>
    <row r="148" ht="14.25" customHeight="1">
      <c r="A148" t="str">
        <f>IF(PNL!A148="","",PNL!A148)</f>
        <v>TUNON_LYO</v>
      </c>
      <c r="B148" t="str">
        <f>IF(PNL!B148="","",PNL!B148)</f>
        <v>621</v>
      </c>
      <c r="C148" t="str">
        <f>IF(PNL!C148="","",PNL!C148)</f>
        <v>2026</v>
      </c>
      <c r="D148" t="str">
        <f>IF(PNL!D148="","",PNL!D148)</f>
        <v>ACT</v>
      </c>
      <c r="E148">
        <f t="shared" si="0"/>
        <v>0</v>
      </c>
      <c r="F148">
        <f>IF($A148="","",IF($E148=1,_xlfn.SUMIFS(Compta!$F$1:$F$1448,Compta!$A$1:$A$1448,$A148,Compta!$B$1:$B$1448,$B148,Compta!$C$1:$C$1448,"2026"),0))</f>
        <v>0</v>
      </c>
      <c r="G148" t="s">
        <v>274</v>
      </c>
      <c r="H148" t="s">
        <v>274</v>
      </c>
      <c r="I148" t="s">
        <v>274</v>
      </c>
      <c r="J148" t="s">
        <v>274</v>
      </c>
      <c r="K148" t="s">
        <v>274</v>
      </c>
      <c r="L148" t="s">
        <v>274</v>
      </c>
      <c r="M148" t="s">
        <v>274</v>
      </c>
      <c r="N148" t="e">
        <f t="shared" si="1"/>
        <v>#VALUE!</v>
      </c>
      <c r="O148" t="e">
        <f t="shared" si="2"/>
        <v>#VALUE!</v>
      </c>
      <c r="P148">
        <f>IF($A148="","",IF($E148=1,$F148*$O148,PNL!G148))</f>
        <v>72438</v>
      </c>
      <c r="T148">
        <f t="shared" si="3"/>
        <v>0</v>
      </c>
    </row>
    <row r="149" ht="14.25" customHeight="1">
      <c r="A149" t="str">
        <f>IF(PNL!A149="","",PNL!A149)</f>
        <v>MBWAY_PAR</v>
      </c>
      <c r="B149" t="str">
        <f>IF(PNL!B149="","",PNL!B149)</f>
        <v>604</v>
      </c>
      <c r="C149" t="str">
        <f>IF(PNL!C149="","",PNL!C149)</f>
        <v>2024</v>
      </c>
      <c r="D149" t="str">
        <f>IF(PNL!D149="","",PNL!D149)</f>
        <v>ACT</v>
      </c>
      <c r="E149">
        <f t="shared" si="0"/>
        <v>0</v>
      </c>
      <c r="F149">
        <f>IF($A149="","",IF($E149=1,_xlfn.SUMIFS(Compta!$F$1:$F$1448,Compta!$A$1:$A$1448,$A149,Compta!$B$1:$B$1448,$B149,Compta!$C$1:$C$1448,"2026"),0))</f>
        <v>0</v>
      </c>
      <c r="G149" t="s">
        <v>274</v>
      </c>
      <c r="H149" t="s">
        <v>274</v>
      </c>
      <c r="I149" t="s">
        <v>274</v>
      </c>
      <c r="J149" t="s">
        <v>274</v>
      </c>
      <c r="K149" t="s">
        <v>274</v>
      </c>
      <c r="L149" t="s">
        <v>274</v>
      </c>
      <c r="M149" t="s">
        <v>274</v>
      </c>
      <c r="N149" t="e">
        <f t="shared" si="1"/>
        <v>#VALUE!</v>
      </c>
      <c r="O149" t="e">
        <f t="shared" si="2"/>
        <v>#VALUE!</v>
      </c>
      <c r="P149">
        <f>IF($A149="","",IF($E149=1,$F149*$O149,PNL!G149))</f>
        <v>77832</v>
      </c>
      <c r="T149">
        <f t="shared" si="3"/>
        <v>0</v>
      </c>
    </row>
    <row r="150" ht="14.25" customHeight="1">
      <c r="A150" t="str">
        <f>IF(PNL!A150="","",PNL!A150)</f>
        <v>MBWAY_LYO</v>
      </c>
      <c r="B150" t="str">
        <f>IF(PNL!B150="","",PNL!B150)</f>
        <v>604</v>
      </c>
      <c r="C150" t="str">
        <f>IF(PNL!C150="","",PNL!C150)</f>
        <v>2024</v>
      </c>
      <c r="D150" t="str">
        <f>IF(PNL!D150="","",PNL!D150)</f>
        <v>ACT</v>
      </c>
      <c r="E150">
        <f t="shared" si="0"/>
        <v>0</v>
      </c>
      <c r="F150">
        <f>IF($A150="","",IF($E150=1,_xlfn.SUMIFS(Compta!$F$1:$F$1448,Compta!$A$1:$A$1448,$A150,Compta!$B$1:$B$1448,$B150,Compta!$C$1:$C$1448,"2026"),0))</f>
        <v>0</v>
      </c>
      <c r="G150" t="s">
        <v>274</v>
      </c>
      <c r="H150" t="s">
        <v>274</v>
      </c>
      <c r="I150" t="s">
        <v>274</v>
      </c>
      <c r="J150" t="s">
        <v>274</v>
      </c>
      <c r="K150" t="s">
        <v>274</v>
      </c>
      <c r="L150" t="s">
        <v>274</v>
      </c>
      <c r="M150" t="s">
        <v>274</v>
      </c>
      <c r="N150" t="e">
        <f t="shared" si="1"/>
        <v>#VALUE!</v>
      </c>
      <c r="O150" t="e">
        <f t="shared" si="2"/>
        <v>#VALUE!</v>
      </c>
      <c r="P150">
        <f>IF($A150="","",IF($E150=1,$F150*$O150,PNL!G150))</f>
        <v>66015</v>
      </c>
      <c r="T150">
        <f t="shared" si="3"/>
        <v>0</v>
      </c>
    </row>
    <row r="151" ht="14.25" customHeight="1">
      <c r="A151" t="str">
        <f>IF(PNL!A151="","",PNL!A151)</f>
        <v>MBWAY_NAN</v>
      </c>
      <c r="B151" t="str">
        <f>IF(PNL!B151="","",PNL!B151)</f>
        <v>604</v>
      </c>
      <c r="C151" t="str">
        <f>IF(PNL!C151="","",PNL!C151)</f>
        <v>2024</v>
      </c>
      <c r="D151" t="str">
        <f>IF(PNL!D151="","",PNL!D151)</f>
        <v>ACT</v>
      </c>
      <c r="E151">
        <f t="shared" si="0"/>
        <v>0</v>
      </c>
      <c r="F151">
        <f>IF($A151="","",IF($E151=1,_xlfn.SUMIFS(Compta!$F$1:$F$1448,Compta!$A$1:$A$1448,$A151,Compta!$B$1:$B$1448,$B151,Compta!$C$1:$C$1448,"2026"),0))</f>
        <v>0</v>
      </c>
      <c r="G151" t="s">
        <v>274</v>
      </c>
      <c r="H151" t="s">
        <v>274</v>
      </c>
      <c r="I151" t="s">
        <v>274</v>
      </c>
      <c r="J151" t="s">
        <v>274</v>
      </c>
      <c r="K151" t="s">
        <v>274</v>
      </c>
      <c r="L151" t="s">
        <v>274</v>
      </c>
      <c r="M151" t="s">
        <v>274</v>
      </c>
      <c r="N151" t="e">
        <f t="shared" si="1"/>
        <v>#VALUE!</v>
      </c>
      <c r="O151" t="e">
        <f t="shared" si="2"/>
        <v>#VALUE!</v>
      </c>
      <c r="P151">
        <f>IF($A151="","",IF($E151=1,$F151*$O151,PNL!G151))</f>
        <v>59902</v>
      </c>
      <c r="T151">
        <f t="shared" si="3"/>
        <v>0</v>
      </c>
    </row>
    <row r="152" ht="14.25" customHeight="1">
      <c r="A152" t="str">
        <f>IF(PNL!A152="","",PNL!A152)</f>
        <v>MBWAY_BOR</v>
      </c>
      <c r="B152" t="str">
        <f>IF(PNL!B152="","",PNL!B152)</f>
        <v>604</v>
      </c>
      <c r="C152" t="str">
        <f>IF(PNL!C152="","",PNL!C152)</f>
        <v>2024</v>
      </c>
      <c r="D152" t="str">
        <f>IF(PNL!D152="","",PNL!D152)</f>
        <v>ACT</v>
      </c>
      <c r="E152">
        <f t="shared" si="0"/>
        <v>0</v>
      </c>
      <c r="F152">
        <f>IF($A152="","",IF($E152=1,_xlfn.SUMIFS(Compta!$F$1:$F$1448,Compta!$A$1:$A$1448,$A152,Compta!$B$1:$B$1448,$B152,Compta!$C$1:$C$1448,"2026"),0))</f>
        <v>0</v>
      </c>
      <c r="G152" t="s">
        <v>274</v>
      </c>
      <c r="H152" t="s">
        <v>274</v>
      </c>
      <c r="I152" t="s">
        <v>274</v>
      </c>
      <c r="J152" t="s">
        <v>274</v>
      </c>
      <c r="K152" t="s">
        <v>274</v>
      </c>
      <c r="L152" t="s">
        <v>274</v>
      </c>
      <c r="M152" t="s">
        <v>274</v>
      </c>
      <c r="N152" t="e">
        <f t="shared" si="1"/>
        <v>#VALUE!</v>
      </c>
      <c r="O152" t="e">
        <f t="shared" si="2"/>
        <v>#VALUE!</v>
      </c>
      <c r="P152">
        <f>IF($A152="","",IF($E152=1,$F152*$O152,PNL!G152))</f>
        <v>50734</v>
      </c>
      <c r="T152">
        <f t="shared" si="3"/>
        <v>0</v>
      </c>
    </row>
    <row r="153" ht="14.25" customHeight="1">
      <c r="A153" t="str">
        <f>IF(PNL!A153="","",PNL!A153)</f>
        <v>ISCOM_PAR</v>
      </c>
      <c r="B153" t="str">
        <f>IF(PNL!B153="","",PNL!B153)</f>
        <v>604</v>
      </c>
      <c r="C153" t="str">
        <f>IF(PNL!C153="","",PNL!C153)</f>
        <v>2024</v>
      </c>
      <c r="D153" t="str">
        <f>IF(PNL!D153="","",PNL!D153)</f>
        <v>ACT</v>
      </c>
      <c r="E153">
        <f t="shared" si="0"/>
        <v>0</v>
      </c>
      <c r="F153">
        <f>IF($A153="","",IF($E153=1,_xlfn.SUMIFS(Compta!$F$1:$F$1448,Compta!$A$1:$A$1448,$A153,Compta!$B$1:$B$1448,$B153,Compta!$C$1:$C$1448,"2026"),0))</f>
        <v>0</v>
      </c>
      <c r="G153" t="s">
        <v>274</v>
      </c>
      <c r="H153" t="s">
        <v>274</v>
      </c>
      <c r="I153" t="s">
        <v>274</v>
      </c>
      <c r="J153" t="s">
        <v>274</v>
      </c>
      <c r="K153" t="s">
        <v>274</v>
      </c>
      <c r="L153" t="s">
        <v>274</v>
      </c>
      <c r="M153" t="s">
        <v>274</v>
      </c>
      <c r="N153" t="e">
        <f t="shared" si="1"/>
        <v>#VALUE!</v>
      </c>
      <c r="O153" t="e">
        <f t="shared" si="2"/>
        <v>#VALUE!</v>
      </c>
      <c r="P153">
        <f>IF($A153="","",IF($E153=1,$F153*$O153,PNL!G153))</f>
        <v>72127</v>
      </c>
      <c r="T153">
        <f t="shared" si="3"/>
        <v>0</v>
      </c>
    </row>
    <row r="154" ht="14.25" customHeight="1">
      <c r="A154" t="str">
        <f>IF(PNL!A154="","",PNL!A154)</f>
        <v>ISCOM_LIL</v>
      </c>
      <c r="B154" t="str">
        <f>IF(PNL!B154="","",PNL!B154)</f>
        <v>604</v>
      </c>
      <c r="C154" t="str">
        <f>IF(PNL!C154="","",PNL!C154)</f>
        <v>2024</v>
      </c>
      <c r="D154" t="str">
        <f>IF(PNL!D154="","",PNL!D154)</f>
        <v>ACT</v>
      </c>
      <c r="E154">
        <f t="shared" si="0"/>
        <v>0</v>
      </c>
      <c r="F154">
        <f>IF($A154="","",IF($E154=1,_xlfn.SUMIFS(Compta!$F$1:$F$1448,Compta!$A$1:$A$1448,$A154,Compta!$B$1:$B$1448,$B154,Compta!$C$1:$C$1448,"2026"),0))</f>
        <v>0</v>
      </c>
      <c r="G154" t="s">
        <v>274</v>
      </c>
      <c r="H154" t="s">
        <v>274</v>
      </c>
      <c r="I154" t="s">
        <v>274</v>
      </c>
      <c r="J154" t="s">
        <v>274</v>
      </c>
      <c r="K154" t="s">
        <v>274</v>
      </c>
      <c r="L154" t="s">
        <v>274</v>
      </c>
      <c r="M154" t="s">
        <v>274</v>
      </c>
      <c r="N154" t="e">
        <f t="shared" si="1"/>
        <v>#VALUE!</v>
      </c>
      <c r="O154" t="e">
        <f t="shared" si="2"/>
        <v>#VALUE!</v>
      </c>
      <c r="P154">
        <f>IF($A154="","",IF($E154=1,$F154*$O154,PNL!G154))</f>
        <v>49715</v>
      </c>
      <c r="T154">
        <f t="shared" si="3"/>
        <v>0</v>
      </c>
    </row>
    <row r="155" ht="14.25" customHeight="1">
      <c r="A155" t="str">
        <f>IF(PNL!A155="","",PNL!A155)</f>
        <v>ISCOM_TLS</v>
      </c>
      <c r="B155" t="str">
        <f>IF(PNL!B155="","",PNL!B155)</f>
        <v>604</v>
      </c>
      <c r="C155" t="str">
        <f>IF(PNL!C155="","",PNL!C155)</f>
        <v>2024</v>
      </c>
      <c r="D155" t="str">
        <f>IF(PNL!D155="","",PNL!D155)</f>
        <v>ACT</v>
      </c>
      <c r="E155">
        <f t="shared" si="0"/>
        <v>0</v>
      </c>
      <c r="F155">
        <f>IF($A155="","",IF($E155=1,_xlfn.SUMIFS(Compta!$F$1:$F$1448,Compta!$A$1:$A$1448,$A155,Compta!$B$1:$B$1448,$B155,Compta!$C$1:$C$1448,"2026"),0))</f>
        <v>0</v>
      </c>
      <c r="G155" t="s">
        <v>274</v>
      </c>
      <c r="H155" t="s">
        <v>274</v>
      </c>
      <c r="I155" t="s">
        <v>274</v>
      </c>
      <c r="J155" t="s">
        <v>274</v>
      </c>
      <c r="K155" t="s">
        <v>274</v>
      </c>
      <c r="L155" t="s">
        <v>274</v>
      </c>
      <c r="M155" t="s">
        <v>274</v>
      </c>
      <c r="N155" t="e">
        <f t="shared" si="1"/>
        <v>#VALUE!</v>
      </c>
      <c r="O155" t="e">
        <f t="shared" si="2"/>
        <v>#VALUE!</v>
      </c>
      <c r="P155">
        <f>IF($A155="","",IF($E155=1,$F155*$O155,PNL!G155))</f>
        <v>47066</v>
      </c>
      <c r="T155">
        <f t="shared" si="3"/>
        <v>0</v>
      </c>
    </row>
    <row r="156" ht="14.25" customHeight="1">
      <c r="A156" t="str">
        <f>IF(PNL!A156="","",PNL!A156)</f>
        <v>IPAC_NAN</v>
      </c>
      <c r="B156" t="str">
        <f>IF(PNL!B156="","",PNL!B156)</f>
        <v>604</v>
      </c>
      <c r="C156" t="str">
        <f>IF(PNL!C156="","",PNL!C156)</f>
        <v>2024</v>
      </c>
      <c r="D156" t="str">
        <f>IF(PNL!D156="","",PNL!D156)</f>
        <v>ACT</v>
      </c>
      <c r="E156">
        <f t="shared" si="0"/>
        <v>0</v>
      </c>
      <c r="F156">
        <f>IF($A156="","",IF($E156=1,_xlfn.SUMIFS(Compta!$F$1:$F$1448,Compta!$A$1:$A$1448,$A156,Compta!$B$1:$B$1448,$B156,Compta!$C$1:$C$1448,"2026"),0))</f>
        <v>0</v>
      </c>
      <c r="G156" t="s">
        <v>274</v>
      </c>
      <c r="H156" t="s">
        <v>274</v>
      </c>
      <c r="I156" t="s">
        <v>274</v>
      </c>
      <c r="J156" t="s">
        <v>274</v>
      </c>
      <c r="K156" t="s">
        <v>274</v>
      </c>
      <c r="L156" t="s">
        <v>274</v>
      </c>
      <c r="M156" t="s">
        <v>274</v>
      </c>
      <c r="N156" t="e">
        <f t="shared" si="1"/>
        <v>#VALUE!</v>
      </c>
      <c r="O156" t="e">
        <f t="shared" si="2"/>
        <v>#VALUE!</v>
      </c>
      <c r="P156">
        <f>IF($A156="","",IF($E156=1,$F156*$O156,PNL!G156))</f>
        <v>29544</v>
      </c>
      <c r="T156">
        <f t="shared" si="3"/>
        <v>0</v>
      </c>
    </row>
    <row r="157" ht="14.25" customHeight="1">
      <c r="A157" t="str">
        <f>IF(PNL!A157="","",PNL!A157)</f>
        <v>IPAC_REN</v>
      </c>
      <c r="B157" t="str">
        <f>IF(PNL!B157="","",PNL!B157)</f>
        <v>604</v>
      </c>
      <c r="C157" t="str">
        <f>IF(PNL!C157="","",PNL!C157)</f>
        <v>2024</v>
      </c>
      <c r="D157" t="str">
        <f>IF(PNL!D157="","",PNL!D157)</f>
        <v>ACT</v>
      </c>
      <c r="E157">
        <f t="shared" si="0"/>
        <v>0</v>
      </c>
      <c r="F157">
        <f>IF($A157="","",IF($E157=1,_xlfn.SUMIFS(Compta!$F$1:$F$1448,Compta!$A$1:$A$1448,$A157,Compta!$B$1:$B$1448,$B157,Compta!$C$1:$C$1448,"2026"),0))</f>
        <v>0</v>
      </c>
      <c r="G157" t="s">
        <v>274</v>
      </c>
      <c r="H157" t="s">
        <v>274</v>
      </c>
      <c r="I157" t="s">
        <v>274</v>
      </c>
      <c r="J157" t="s">
        <v>274</v>
      </c>
      <c r="K157" t="s">
        <v>274</v>
      </c>
      <c r="L157" t="s">
        <v>274</v>
      </c>
      <c r="M157" t="s">
        <v>274</v>
      </c>
      <c r="N157" t="e">
        <f t="shared" si="1"/>
        <v>#VALUE!</v>
      </c>
      <c r="O157" t="e">
        <f t="shared" si="2"/>
        <v>#VALUE!</v>
      </c>
      <c r="P157">
        <f>IF($A157="","",IF($E157=1,$F157*$O157,PNL!G157))</f>
        <v>23839</v>
      </c>
      <c r="T157">
        <f t="shared" si="3"/>
        <v>0</v>
      </c>
    </row>
    <row r="158" ht="14.25" customHeight="1">
      <c r="A158" t="str">
        <f>IF(PNL!A158="","",PNL!A158)</f>
        <v>IPAC_MTP</v>
      </c>
      <c r="B158" t="str">
        <f>IF(PNL!B158="","",PNL!B158)</f>
        <v>604</v>
      </c>
      <c r="C158" t="str">
        <f>IF(PNL!C158="","",PNL!C158)</f>
        <v>2024</v>
      </c>
      <c r="D158" t="str">
        <f>IF(PNL!D158="","",PNL!D158)</f>
        <v>ACT</v>
      </c>
      <c r="E158">
        <f t="shared" si="0"/>
        <v>0</v>
      </c>
      <c r="F158">
        <f>IF($A158="","",IF($E158=1,_xlfn.SUMIFS(Compta!$F$1:$F$1448,Compta!$A$1:$A$1448,$A158,Compta!$B$1:$B$1448,$B158,Compta!$C$1:$C$1448,"2026"),0))</f>
        <v>0</v>
      </c>
      <c r="G158" t="s">
        <v>274</v>
      </c>
      <c r="H158" t="s">
        <v>274</v>
      </c>
      <c r="I158" t="s">
        <v>274</v>
      </c>
      <c r="J158" t="s">
        <v>274</v>
      </c>
      <c r="K158" t="s">
        <v>274</v>
      </c>
      <c r="L158" t="s">
        <v>274</v>
      </c>
      <c r="M158" t="s">
        <v>274</v>
      </c>
      <c r="N158" t="e">
        <f t="shared" si="1"/>
        <v>#VALUE!</v>
      </c>
      <c r="O158" t="e">
        <f t="shared" si="2"/>
        <v>#VALUE!</v>
      </c>
      <c r="P158">
        <f>IF($A158="","",IF($E158=1,$F158*$O158,PNL!G158))</f>
        <v>23839</v>
      </c>
      <c r="T158">
        <f t="shared" si="3"/>
        <v>0</v>
      </c>
    </row>
    <row r="159" ht="14.25" customHeight="1">
      <c r="A159" t="str">
        <f>IF(PNL!A159="","",PNL!A159)</f>
        <v>PIGIER_LYO</v>
      </c>
      <c r="B159" t="str">
        <f>IF(PNL!B159="","",PNL!B159)</f>
        <v>604</v>
      </c>
      <c r="C159" t="str">
        <f>IF(PNL!C159="","",PNL!C159)</f>
        <v>2024</v>
      </c>
      <c r="D159" t="str">
        <f>IF(PNL!D159="","",PNL!D159)</f>
        <v>ACT</v>
      </c>
      <c r="E159">
        <f t="shared" si="0"/>
        <v>0</v>
      </c>
      <c r="F159">
        <f>IF($A159="","",IF($E159=1,_xlfn.SUMIFS(Compta!$F$1:$F$1448,Compta!$A$1:$A$1448,$A159,Compta!$B$1:$B$1448,$B159,Compta!$C$1:$C$1448,"2026"),0))</f>
        <v>0</v>
      </c>
      <c r="G159" t="s">
        <v>274</v>
      </c>
      <c r="H159" t="s">
        <v>274</v>
      </c>
      <c r="I159" t="s">
        <v>274</v>
      </c>
      <c r="J159" t="s">
        <v>274</v>
      </c>
      <c r="K159" t="s">
        <v>274</v>
      </c>
      <c r="L159" t="s">
        <v>274</v>
      </c>
      <c r="M159" t="s">
        <v>274</v>
      </c>
      <c r="N159" t="e">
        <f t="shared" si="1"/>
        <v>#VALUE!</v>
      </c>
      <c r="O159" t="e">
        <f t="shared" si="2"/>
        <v>#VALUE!</v>
      </c>
      <c r="P159">
        <f>IF($A159="","",IF($E159=1,$F159*$O159,PNL!G159))</f>
        <v>37082</v>
      </c>
      <c r="T159">
        <f t="shared" si="3"/>
        <v>0</v>
      </c>
    </row>
    <row r="160" ht="14.25" customHeight="1">
      <c r="A160" t="str">
        <f>IF(PNL!A160="","",PNL!A160)</f>
        <v>PIGIER_BOR</v>
      </c>
      <c r="B160" t="str">
        <f>IF(PNL!B160="","",PNL!B160)</f>
        <v>604</v>
      </c>
      <c r="C160" t="str">
        <f>IF(PNL!C160="","",PNL!C160)</f>
        <v>2024</v>
      </c>
      <c r="D160" t="str">
        <f>IF(PNL!D160="","",PNL!D160)</f>
        <v>ACT</v>
      </c>
      <c r="E160">
        <f t="shared" si="0"/>
        <v>0</v>
      </c>
      <c r="F160">
        <f>IF($A160="","",IF($E160=1,_xlfn.SUMIFS(Compta!$F$1:$F$1448,Compta!$A$1:$A$1448,$A160,Compta!$B$1:$B$1448,$B160,Compta!$C$1:$C$1448,"2026"),0))</f>
        <v>0</v>
      </c>
      <c r="G160" t="s">
        <v>274</v>
      </c>
      <c r="H160" t="s">
        <v>274</v>
      </c>
      <c r="I160" t="s">
        <v>274</v>
      </c>
      <c r="J160" t="s">
        <v>274</v>
      </c>
      <c r="K160" t="s">
        <v>274</v>
      </c>
      <c r="L160" t="s">
        <v>274</v>
      </c>
      <c r="M160" t="s">
        <v>274</v>
      </c>
      <c r="N160" t="e">
        <f t="shared" si="1"/>
        <v>#VALUE!</v>
      </c>
      <c r="O160" t="e">
        <f t="shared" si="2"/>
        <v>#VALUE!</v>
      </c>
      <c r="P160">
        <f>IF($A160="","",IF($E160=1,$F160*$O160,PNL!G160))</f>
        <v>28932</v>
      </c>
      <c r="T160">
        <f t="shared" si="3"/>
        <v>0</v>
      </c>
    </row>
    <row r="161" ht="14.25" customHeight="1">
      <c r="A161" t="str">
        <f>IF(PNL!A161="","",PNL!A161)</f>
        <v>TUNON_PAR</v>
      </c>
      <c r="B161" t="str">
        <f>IF(PNL!B161="","",PNL!B161)</f>
        <v>604</v>
      </c>
      <c r="C161" t="str">
        <f>IF(PNL!C161="","",PNL!C161)</f>
        <v>2024</v>
      </c>
      <c r="D161" t="str">
        <f>IF(PNL!D161="","",PNL!D161)</f>
        <v>ACT</v>
      </c>
      <c r="E161">
        <f t="shared" si="0"/>
        <v>0</v>
      </c>
      <c r="F161">
        <f>IF($A161="","",IF($E161=1,_xlfn.SUMIFS(Compta!$F$1:$F$1448,Compta!$A$1:$A$1448,$A161,Compta!$B$1:$B$1448,$B161,Compta!$C$1:$C$1448,"2026"),0))</f>
        <v>0</v>
      </c>
      <c r="G161" t="s">
        <v>274</v>
      </c>
      <c r="H161" t="s">
        <v>274</v>
      </c>
      <c r="I161" t="s">
        <v>274</v>
      </c>
      <c r="J161" t="s">
        <v>274</v>
      </c>
      <c r="K161" t="s">
        <v>274</v>
      </c>
      <c r="L161" t="s">
        <v>274</v>
      </c>
      <c r="M161" t="s">
        <v>274</v>
      </c>
      <c r="N161" t="e">
        <f t="shared" si="1"/>
        <v>#VALUE!</v>
      </c>
      <c r="O161" t="e">
        <f t="shared" si="2"/>
        <v>#VALUE!</v>
      </c>
      <c r="P161">
        <f>IF($A161="","",IF($E161=1,$F161*$O161,PNL!G161))</f>
        <v>28117</v>
      </c>
      <c r="T161">
        <f t="shared" si="3"/>
        <v>0</v>
      </c>
    </row>
    <row r="162" ht="14.25" customHeight="1">
      <c r="A162" t="str">
        <f>IF(PNL!A162="","",PNL!A162)</f>
        <v>TUNON_LYO</v>
      </c>
      <c r="B162" t="str">
        <f>IF(PNL!B162="","",PNL!B162)</f>
        <v>604</v>
      </c>
      <c r="C162" t="str">
        <f>IF(PNL!C162="","",PNL!C162)</f>
        <v>2024</v>
      </c>
      <c r="D162" t="str">
        <f>IF(PNL!D162="","",PNL!D162)</f>
        <v>ACT</v>
      </c>
      <c r="E162">
        <f t="shared" si="0"/>
        <v>0</v>
      </c>
      <c r="F162">
        <f>IF($A162="","",IF($E162=1,_xlfn.SUMIFS(Compta!$F$1:$F$1448,Compta!$A$1:$A$1448,$A162,Compta!$B$1:$B$1448,$B162,Compta!$C$1:$C$1448,"2026"),0))</f>
        <v>0</v>
      </c>
      <c r="G162" t="s">
        <v>274</v>
      </c>
      <c r="H162" t="s">
        <v>274</v>
      </c>
      <c r="I162" t="s">
        <v>274</v>
      </c>
      <c r="J162" t="s">
        <v>274</v>
      </c>
      <c r="K162" t="s">
        <v>274</v>
      </c>
      <c r="L162" t="s">
        <v>274</v>
      </c>
      <c r="M162" t="s">
        <v>274</v>
      </c>
      <c r="N162" t="e">
        <f t="shared" si="1"/>
        <v>#VALUE!</v>
      </c>
      <c r="O162" t="e">
        <f t="shared" si="2"/>
        <v>#VALUE!</v>
      </c>
      <c r="P162">
        <f>IF($A162="","",IF($E162=1,$F162*$O162,PNL!G162))</f>
        <v>23839</v>
      </c>
      <c r="T162">
        <f t="shared" si="3"/>
        <v>0</v>
      </c>
    </row>
    <row r="163" ht="14.25" customHeight="1">
      <c r="A163" t="str">
        <f>IF(PNL!A163="","",PNL!A163)</f>
        <v>MBWAY_PAR</v>
      </c>
      <c r="B163" t="str">
        <f>IF(PNL!B163="","",PNL!B163)</f>
        <v>604</v>
      </c>
      <c r="C163" t="str">
        <f>IF(PNL!C163="","",PNL!C163)</f>
        <v>2025</v>
      </c>
      <c r="D163" t="str">
        <f>IF(PNL!D163="","",PNL!D163)</f>
        <v>ACT</v>
      </c>
      <c r="E163">
        <f t="shared" si="0"/>
        <v>0</v>
      </c>
      <c r="F163">
        <f>IF($A163="","",IF($E163=1,_xlfn.SUMIFS(Compta!$F$1:$F$1448,Compta!$A$1:$A$1448,$A163,Compta!$B$1:$B$1448,$B163,Compta!$C$1:$C$1448,"2026"),0))</f>
        <v>0</v>
      </c>
      <c r="G163" t="s">
        <v>274</v>
      </c>
      <c r="H163" t="s">
        <v>274</v>
      </c>
      <c r="I163" t="s">
        <v>274</v>
      </c>
      <c r="J163" t="s">
        <v>274</v>
      </c>
      <c r="K163" t="s">
        <v>274</v>
      </c>
      <c r="L163" t="s">
        <v>274</v>
      </c>
      <c r="M163" t="s">
        <v>274</v>
      </c>
      <c r="N163" t="e">
        <f t="shared" si="1"/>
        <v>#VALUE!</v>
      </c>
      <c r="O163" t="e">
        <f t="shared" si="2"/>
        <v>#VALUE!</v>
      </c>
      <c r="P163">
        <f>IF($A163="","",IF($E163=1,$F163*$O163,PNL!G163))</f>
        <v>81399</v>
      </c>
      <c r="T163">
        <f t="shared" si="3"/>
        <v>0</v>
      </c>
    </row>
    <row r="164" ht="14.25" customHeight="1">
      <c r="A164" t="str">
        <f>IF(PNL!A164="","",PNL!A164)</f>
        <v>MBWAY_LYO</v>
      </c>
      <c r="B164" t="str">
        <f>IF(PNL!B164="","",PNL!B164)</f>
        <v>604</v>
      </c>
      <c r="C164" t="str">
        <f>IF(PNL!C164="","",PNL!C164)</f>
        <v>2025</v>
      </c>
      <c r="D164" t="str">
        <f>IF(PNL!D164="","",PNL!D164)</f>
        <v>ACT</v>
      </c>
      <c r="E164">
        <f t="shared" si="0"/>
        <v>0</v>
      </c>
      <c r="F164">
        <f>IF($A164="","",IF($E164=1,_xlfn.SUMIFS(Compta!$F$1:$F$1448,Compta!$A$1:$A$1448,$A164,Compta!$B$1:$B$1448,$B164,Compta!$C$1:$C$1448,"2026"),0))</f>
        <v>0</v>
      </c>
      <c r="G164" t="s">
        <v>274</v>
      </c>
      <c r="H164" t="s">
        <v>274</v>
      </c>
      <c r="I164" t="s">
        <v>274</v>
      </c>
      <c r="J164" t="s">
        <v>274</v>
      </c>
      <c r="K164" t="s">
        <v>274</v>
      </c>
      <c r="L164" t="s">
        <v>274</v>
      </c>
      <c r="M164" t="s">
        <v>274</v>
      </c>
      <c r="N164" t="e">
        <f t="shared" si="1"/>
        <v>#VALUE!</v>
      </c>
      <c r="O164" t="e">
        <f t="shared" si="2"/>
        <v>#VALUE!</v>
      </c>
      <c r="P164">
        <f>IF($A164="","",IF($E164=1,$F164*$O164,PNL!G164))</f>
        <v>69040</v>
      </c>
      <c r="T164">
        <f t="shared" si="3"/>
        <v>0</v>
      </c>
    </row>
    <row r="165" ht="14.25" customHeight="1">
      <c r="A165" t="str">
        <f>IF(PNL!A165="","",PNL!A165)</f>
        <v>MBWAY_NAN</v>
      </c>
      <c r="B165" t="str">
        <f>IF(PNL!B165="","",PNL!B165)</f>
        <v>604</v>
      </c>
      <c r="C165" t="str">
        <f>IF(PNL!C165="","",PNL!C165)</f>
        <v>2025</v>
      </c>
      <c r="D165" t="str">
        <f>IF(PNL!D165="","",PNL!D165)</f>
        <v>ACT</v>
      </c>
      <c r="E165">
        <f t="shared" si="0"/>
        <v>0</v>
      </c>
      <c r="F165">
        <f>IF($A165="","",IF($E165=1,_xlfn.SUMIFS(Compta!$F$1:$F$1448,Compta!$A$1:$A$1448,$A165,Compta!$B$1:$B$1448,$B165,Compta!$C$1:$C$1448,"2026"),0))</f>
        <v>0</v>
      </c>
      <c r="G165" t="s">
        <v>274</v>
      </c>
      <c r="H165" t="s">
        <v>274</v>
      </c>
      <c r="I165" t="s">
        <v>274</v>
      </c>
      <c r="J165" t="s">
        <v>274</v>
      </c>
      <c r="K165" t="s">
        <v>274</v>
      </c>
      <c r="L165" t="s">
        <v>274</v>
      </c>
      <c r="M165" t="s">
        <v>274</v>
      </c>
      <c r="N165" t="e">
        <f t="shared" si="1"/>
        <v>#VALUE!</v>
      </c>
      <c r="O165" t="e">
        <f t="shared" si="2"/>
        <v>#VALUE!</v>
      </c>
      <c r="P165">
        <f>IF($A165="","",IF($E165=1,$F165*$O165,PNL!G165))</f>
        <v>62647</v>
      </c>
      <c r="T165">
        <f t="shared" si="3"/>
        <v>0</v>
      </c>
    </row>
    <row r="166" ht="14.25" customHeight="1">
      <c r="A166" t="str">
        <f>IF(PNL!A166="","",PNL!A166)</f>
        <v>MBWAY_BOR</v>
      </c>
      <c r="B166" t="str">
        <f>IF(PNL!B166="","",PNL!B166)</f>
        <v>604</v>
      </c>
      <c r="C166" t="str">
        <f>IF(PNL!C166="","",PNL!C166)</f>
        <v>2025</v>
      </c>
      <c r="D166" t="str">
        <f>IF(PNL!D166="","",PNL!D166)</f>
        <v>ACT</v>
      </c>
      <c r="E166">
        <f t="shared" si="0"/>
        <v>0</v>
      </c>
      <c r="F166">
        <f>IF($A166="","",IF($E166=1,_xlfn.SUMIFS(Compta!$F$1:$F$1448,Compta!$A$1:$A$1448,$A166,Compta!$B$1:$B$1448,$B166,Compta!$C$1:$C$1448,"2026"),0))</f>
        <v>0</v>
      </c>
      <c r="G166" t="s">
        <v>274</v>
      </c>
      <c r="H166" t="s">
        <v>274</v>
      </c>
      <c r="I166" t="s">
        <v>274</v>
      </c>
      <c r="J166" t="s">
        <v>274</v>
      </c>
      <c r="K166" t="s">
        <v>274</v>
      </c>
      <c r="L166" t="s">
        <v>274</v>
      </c>
      <c r="M166" t="s">
        <v>274</v>
      </c>
      <c r="N166" t="e">
        <f t="shared" si="1"/>
        <v>#VALUE!</v>
      </c>
      <c r="O166" t="e">
        <f t="shared" si="2"/>
        <v>#VALUE!</v>
      </c>
      <c r="P166">
        <f>IF($A166="","",IF($E166=1,$F166*$O166,PNL!G166))</f>
        <v>53058</v>
      </c>
      <c r="T166">
        <f t="shared" si="3"/>
        <v>0</v>
      </c>
    </row>
    <row r="167" ht="14.25" customHeight="1">
      <c r="A167" t="str">
        <f>IF(PNL!A167="","",PNL!A167)</f>
        <v>ISCOM_PAR</v>
      </c>
      <c r="B167" t="str">
        <f>IF(PNL!B167="","",PNL!B167)</f>
        <v>604</v>
      </c>
      <c r="C167" t="str">
        <f>IF(PNL!C167="","",PNL!C167)</f>
        <v>2025</v>
      </c>
      <c r="D167" t="str">
        <f>IF(PNL!D167="","",PNL!D167)</f>
        <v>ACT</v>
      </c>
      <c r="E167">
        <f t="shared" si="0"/>
        <v>0</v>
      </c>
      <c r="F167">
        <f>IF($A167="","",IF($E167=1,_xlfn.SUMIFS(Compta!$F$1:$F$1448,Compta!$A$1:$A$1448,$A167,Compta!$B$1:$B$1448,$B167,Compta!$C$1:$C$1448,"2026"),0))</f>
        <v>0</v>
      </c>
      <c r="G167" t="s">
        <v>274</v>
      </c>
      <c r="H167" t="s">
        <v>274</v>
      </c>
      <c r="I167" t="s">
        <v>274</v>
      </c>
      <c r="J167" t="s">
        <v>274</v>
      </c>
      <c r="K167" t="s">
        <v>274</v>
      </c>
      <c r="L167" t="s">
        <v>274</v>
      </c>
      <c r="M167" t="s">
        <v>274</v>
      </c>
      <c r="N167" t="e">
        <f t="shared" si="1"/>
        <v>#VALUE!</v>
      </c>
      <c r="O167" t="e">
        <f t="shared" si="2"/>
        <v>#VALUE!</v>
      </c>
      <c r="P167">
        <f>IF($A167="","",IF($E167=1,$F167*$O167,PNL!G167))</f>
        <v>75432</v>
      </c>
      <c r="T167">
        <f t="shared" si="3"/>
        <v>0</v>
      </c>
    </row>
    <row r="168" ht="14.25" customHeight="1">
      <c r="A168" t="str">
        <f>IF(PNL!A168="","",PNL!A168)</f>
        <v>ISCOM_LIL</v>
      </c>
      <c r="B168" t="str">
        <f>IF(PNL!B168="","",PNL!B168)</f>
        <v>604</v>
      </c>
      <c r="C168" t="str">
        <f>IF(PNL!C168="","",PNL!C168)</f>
        <v>2025</v>
      </c>
      <c r="D168" t="str">
        <f>IF(PNL!D168="","",PNL!D168)</f>
        <v>ACT</v>
      </c>
      <c r="E168">
        <f t="shared" si="0"/>
        <v>0</v>
      </c>
      <c r="F168">
        <f>IF($A168="","",IF($E168=1,_xlfn.SUMIFS(Compta!$F$1:$F$1448,Compta!$A$1:$A$1448,$A168,Compta!$B$1:$B$1448,$B168,Compta!$C$1:$C$1448,"2026"),0))</f>
        <v>0</v>
      </c>
      <c r="G168" t="s">
        <v>274</v>
      </c>
      <c r="H168" t="s">
        <v>274</v>
      </c>
      <c r="I168" t="s">
        <v>274</v>
      </c>
      <c r="J168" t="s">
        <v>274</v>
      </c>
      <c r="K168" t="s">
        <v>274</v>
      </c>
      <c r="L168" t="s">
        <v>274</v>
      </c>
      <c r="M168" t="s">
        <v>274</v>
      </c>
      <c r="N168" t="e">
        <f t="shared" si="1"/>
        <v>#VALUE!</v>
      </c>
      <c r="O168" t="e">
        <f t="shared" si="2"/>
        <v>#VALUE!</v>
      </c>
      <c r="P168">
        <f>IF($A168="","",IF($E168=1,$F168*$O168,PNL!G168))</f>
        <v>51993</v>
      </c>
      <c r="T168">
        <f t="shared" si="3"/>
        <v>0</v>
      </c>
    </row>
    <row r="169" ht="14.25" customHeight="1">
      <c r="A169" t="str">
        <f>IF(PNL!A169="","",PNL!A169)</f>
        <v>ISCOM_TLS</v>
      </c>
      <c r="B169" t="str">
        <f>IF(PNL!B169="","",PNL!B169)</f>
        <v>604</v>
      </c>
      <c r="C169" t="str">
        <f>IF(PNL!C169="","",PNL!C169)</f>
        <v>2025</v>
      </c>
      <c r="D169" t="str">
        <f>IF(PNL!D169="","",PNL!D169)</f>
        <v>ACT</v>
      </c>
      <c r="E169">
        <f t="shared" si="0"/>
        <v>0</v>
      </c>
      <c r="F169">
        <f>IF($A169="","",IF($E169=1,_xlfn.SUMIFS(Compta!$F$1:$F$1448,Compta!$A$1:$A$1448,$A169,Compta!$B$1:$B$1448,$B169,Compta!$C$1:$C$1448,"2026"),0))</f>
        <v>0</v>
      </c>
      <c r="G169" t="s">
        <v>274</v>
      </c>
      <c r="H169" t="s">
        <v>274</v>
      </c>
      <c r="I169" t="s">
        <v>274</v>
      </c>
      <c r="J169" t="s">
        <v>274</v>
      </c>
      <c r="K169" t="s">
        <v>274</v>
      </c>
      <c r="L169" t="s">
        <v>274</v>
      </c>
      <c r="M169" t="s">
        <v>274</v>
      </c>
      <c r="N169" t="e">
        <f t="shared" si="1"/>
        <v>#VALUE!</v>
      </c>
      <c r="O169" t="e">
        <f t="shared" si="2"/>
        <v>#VALUE!</v>
      </c>
      <c r="P169">
        <f>IF($A169="","",IF($E169=1,$F169*$O169,PNL!G169))</f>
        <v>49223</v>
      </c>
      <c r="T169">
        <f t="shared" si="3"/>
        <v>0</v>
      </c>
    </row>
    <row r="170" ht="14.25" customHeight="1">
      <c r="A170" t="str">
        <f>IF(PNL!A170="","",PNL!A170)</f>
        <v>IPAC_NAN</v>
      </c>
      <c r="B170" t="str">
        <f>IF(PNL!B170="","",PNL!B170)</f>
        <v>604</v>
      </c>
      <c r="C170" t="str">
        <f>IF(PNL!C170="","",PNL!C170)</f>
        <v>2025</v>
      </c>
      <c r="D170" t="str">
        <f>IF(PNL!D170="","",PNL!D170)</f>
        <v>ACT</v>
      </c>
      <c r="E170">
        <f t="shared" si="0"/>
        <v>0</v>
      </c>
      <c r="F170">
        <f>IF($A170="","",IF($E170=1,_xlfn.SUMIFS(Compta!$F$1:$F$1448,Compta!$A$1:$A$1448,$A170,Compta!$B$1:$B$1448,$B170,Compta!$C$1:$C$1448,"2026"),0))</f>
        <v>0</v>
      </c>
      <c r="G170" t="s">
        <v>274</v>
      </c>
      <c r="H170" t="s">
        <v>274</v>
      </c>
      <c r="I170" t="s">
        <v>274</v>
      </c>
      <c r="J170" t="s">
        <v>274</v>
      </c>
      <c r="K170" t="s">
        <v>274</v>
      </c>
      <c r="L170" t="s">
        <v>274</v>
      </c>
      <c r="M170" t="s">
        <v>274</v>
      </c>
      <c r="N170" t="e">
        <f t="shared" si="1"/>
        <v>#VALUE!</v>
      </c>
      <c r="O170" t="e">
        <f t="shared" si="2"/>
        <v>#VALUE!</v>
      </c>
      <c r="P170">
        <f>IF($A170="","",IF($E170=1,$F170*$O170,PNL!G170))</f>
        <v>30897</v>
      </c>
      <c r="T170">
        <f t="shared" si="3"/>
        <v>0</v>
      </c>
    </row>
    <row r="171" ht="14.25" customHeight="1">
      <c r="A171" t="str">
        <f>IF(PNL!A171="","",PNL!A171)</f>
        <v>IPAC_REN</v>
      </c>
      <c r="B171" t="str">
        <f>IF(PNL!B171="","",PNL!B171)</f>
        <v>604</v>
      </c>
      <c r="C171" t="str">
        <f>IF(PNL!C171="","",PNL!C171)</f>
        <v>2025</v>
      </c>
      <c r="D171" t="str">
        <f>IF(PNL!D171="","",PNL!D171)</f>
        <v>ACT</v>
      </c>
      <c r="E171">
        <f t="shared" si="0"/>
        <v>0</v>
      </c>
      <c r="F171">
        <f>IF($A171="","",IF($E171=1,_xlfn.SUMIFS(Compta!$F$1:$F$1448,Compta!$A$1:$A$1448,$A171,Compta!$B$1:$B$1448,$B171,Compta!$C$1:$C$1448,"2026"),0))</f>
        <v>0</v>
      </c>
      <c r="G171" t="s">
        <v>274</v>
      </c>
      <c r="H171" t="s">
        <v>274</v>
      </c>
      <c r="I171" t="s">
        <v>274</v>
      </c>
      <c r="J171" t="s">
        <v>274</v>
      </c>
      <c r="K171" t="s">
        <v>274</v>
      </c>
      <c r="L171" t="s">
        <v>274</v>
      </c>
      <c r="M171" t="s">
        <v>274</v>
      </c>
      <c r="N171" t="e">
        <f t="shared" si="1"/>
        <v>#VALUE!</v>
      </c>
      <c r="O171" t="e">
        <f t="shared" si="2"/>
        <v>#VALUE!</v>
      </c>
      <c r="P171">
        <f>IF($A171="","",IF($E171=1,$F171*$O171,PNL!G171))</f>
        <v>24931</v>
      </c>
      <c r="T171">
        <f t="shared" si="3"/>
        <v>0</v>
      </c>
    </row>
    <row r="172" ht="14.25" customHeight="1">
      <c r="A172" t="str">
        <f>IF(PNL!A172="","",PNL!A172)</f>
        <v>IPAC_MTP</v>
      </c>
      <c r="B172" t="str">
        <f>IF(PNL!B172="","",PNL!B172)</f>
        <v>604</v>
      </c>
      <c r="C172" t="str">
        <f>IF(PNL!C172="","",PNL!C172)</f>
        <v>2025</v>
      </c>
      <c r="D172" t="str">
        <f>IF(PNL!D172="","",PNL!D172)</f>
        <v>ACT</v>
      </c>
      <c r="E172">
        <f t="shared" si="0"/>
        <v>0</v>
      </c>
      <c r="F172">
        <f>IF($A172="","",IF($E172=1,_xlfn.SUMIFS(Compta!$F$1:$F$1448,Compta!$A$1:$A$1448,$A172,Compta!$B$1:$B$1448,$B172,Compta!$C$1:$C$1448,"2026"),0))</f>
        <v>0</v>
      </c>
      <c r="G172" t="s">
        <v>274</v>
      </c>
      <c r="H172" t="s">
        <v>274</v>
      </c>
      <c r="I172" t="s">
        <v>274</v>
      </c>
      <c r="J172" t="s">
        <v>274</v>
      </c>
      <c r="K172" t="s">
        <v>274</v>
      </c>
      <c r="L172" t="s">
        <v>274</v>
      </c>
      <c r="M172" t="s">
        <v>274</v>
      </c>
      <c r="N172" t="e">
        <f t="shared" si="1"/>
        <v>#VALUE!</v>
      </c>
      <c r="O172" t="e">
        <f t="shared" si="2"/>
        <v>#VALUE!</v>
      </c>
      <c r="P172">
        <f>IF($A172="","",IF($E172=1,$F172*$O172,PNL!G172))</f>
        <v>24931</v>
      </c>
      <c r="T172">
        <f t="shared" si="3"/>
        <v>0</v>
      </c>
    </row>
    <row r="173" ht="14.25" customHeight="1">
      <c r="A173" t="str">
        <f>IF(PNL!A173="","",PNL!A173)</f>
        <v>PIGIER_LYO</v>
      </c>
      <c r="B173" t="str">
        <f>IF(PNL!B173="","",PNL!B173)</f>
        <v>604</v>
      </c>
      <c r="C173" t="str">
        <f>IF(PNL!C173="","",PNL!C173)</f>
        <v>2025</v>
      </c>
      <c r="D173" t="str">
        <f>IF(PNL!D173="","",PNL!D173)</f>
        <v>ACT</v>
      </c>
      <c r="E173">
        <f t="shared" si="0"/>
        <v>0</v>
      </c>
      <c r="F173">
        <f>IF($A173="","",IF($E173=1,_xlfn.SUMIFS(Compta!$F$1:$F$1448,Compta!$A$1:$A$1448,$A173,Compta!$B$1:$B$1448,$B173,Compta!$C$1:$C$1448,"2026"),0))</f>
        <v>0</v>
      </c>
      <c r="G173" t="s">
        <v>274</v>
      </c>
      <c r="H173" t="s">
        <v>274</v>
      </c>
      <c r="I173" t="s">
        <v>274</v>
      </c>
      <c r="J173" t="s">
        <v>274</v>
      </c>
      <c r="K173" t="s">
        <v>274</v>
      </c>
      <c r="L173" t="s">
        <v>274</v>
      </c>
      <c r="M173" t="s">
        <v>274</v>
      </c>
      <c r="N173" t="e">
        <f t="shared" si="1"/>
        <v>#VALUE!</v>
      </c>
      <c r="O173" t="e">
        <f t="shared" si="2"/>
        <v>#VALUE!</v>
      </c>
      <c r="P173">
        <f>IF($A173="","",IF($E173=1,$F173*$O173,PNL!G173))</f>
        <v>38782</v>
      </c>
      <c r="T173">
        <f t="shared" si="3"/>
        <v>0</v>
      </c>
    </row>
    <row r="174" ht="14.25" customHeight="1">
      <c r="A174" t="str">
        <f>IF(PNL!A174="","",PNL!A174)</f>
        <v>PIGIER_BOR</v>
      </c>
      <c r="B174" t="str">
        <f>IF(PNL!B174="","",PNL!B174)</f>
        <v>604</v>
      </c>
      <c r="C174" t="str">
        <f>IF(PNL!C174="","",PNL!C174)</f>
        <v>2025</v>
      </c>
      <c r="D174" t="str">
        <f>IF(PNL!D174="","",PNL!D174)</f>
        <v>ACT</v>
      </c>
      <c r="E174">
        <f t="shared" si="0"/>
        <v>0</v>
      </c>
      <c r="F174">
        <f>IF($A174="","",IF($E174=1,_xlfn.SUMIFS(Compta!$F$1:$F$1448,Compta!$A$1:$A$1448,$A174,Compta!$B$1:$B$1448,$B174,Compta!$C$1:$C$1448,"2026"),0))</f>
        <v>0</v>
      </c>
      <c r="G174" t="s">
        <v>274</v>
      </c>
      <c r="H174" t="s">
        <v>274</v>
      </c>
      <c r="I174" t="s">
        <v>274</v>
      </c>
      <c r="J174" t="s">
        <v>274</v>
      </c>
      <c r="K174" t="s">
        <v>274</v>
      </c>
      <c r="L174" t="s">
        <v>274</v>
      </c>
      <c r="M174" t="s">
        <v>274</v>
      </c>
      <c r="N174" t="e">
        <f t="shared" si="1"/>
        <v>#VALUE!</v>
      </c>
      <c r="O174" t="e">
        <f t="shared" si="2"/>
        <v>#VALUE!</v>
      </c>
      <c r="P174">
        <f>IF($A174="","",IF($E174=1,$F174*$O174,PNL!G174))</f>
        <v>30258</v>
      </c>
      <c r="T174">
        <f t="shared" si="3"/>
        <v>0</v>
      </c>
    </row>
    <row r="175" ht="14.25" customHeight="1">
      <c r="A175" t="str">
        <f>IF(PNL!A175="","",PNL!A175)</f>
        <v>TUNON_PAR</v>
      </c>
      <c r="B175" t="str">
        <f>IF(PNL!B175="","",PNL!B175)</f>
        <v>604</v>
      </c>
      <c r="C175" t="str">
        <f>IF(PNL!C175="","",PNL!C175)</f>
        <v>2025</v>
      </c>
      <c r="D175" t="str">
        <f>IF(PNL!D175="","",PNL!D175)</f>
        <v>ACT</v>
      </c>
      <c r="E175">
        <f t="shared" si="0"/>
        <v>0</v>
      </c>
      <c r="F175">
        <f>IF($A175="","",IF($E175=1,_xlfn.SUMIFS(Compta!$F$1:$F$1448,Compta!$A$1:$A$1448,$A175,Compta!$B$1:$B$1448,$B175,Compta!$C$1:$C$1448,"2026"),0))</f>
        <v>0</v>
      </c>
      <c r="G175" t="s">
        <v>274</v>
      </c>
      <c r="H175" t="s">
        <v>274</v>
      </c>
      <c r="I175" t="s">
        <v>274</v>
      </c>
      <c r="J175" t="s">
        <v>274</v>
      </c>
      <c r="K175" t="s">
        <v>274</v>
      </c>
      <c r="L175" t="s">
        <v>274</v>
      </c>
      <c r="M175" t="s">
        <v>274</v>
      </c>
      <c r="N175" t="e">
        <f t="shared" si="1"/>
        <v>#VALUE!</v>
      </c>
      <c r="O175" t="e">
        <f t="shared" si="2"/>
        <v>#VALUE!</v>
      </c>
      <c r="P175">
        <f>IF($A175="","",IF($E175=1,$F175*$O175,PNL!G175))</f>
        <v>29406</v>
      </c>
      <c r="T175">
        <f t="shared" si="3"/>
        <v>0</v>
      </c>
    </row>
    <row r="176" ht="14.25" customHeight="1">
      <c r="A176" t="str">
        <f>IF(PNL!A176="","",PNL!A176)</f>
        <v>TUNON_LYO</v>
      </c>
      <c r="B176" t="str">
        <f>IF(PNL!B176="","",PNL!B176)</f>
        <v>604</v>
      </c>
      <c r="C176" t="str">
        <f>IF(PNL!C176="","",PNL!C176)</f>
        <v>2025</v>
      </c>
      <c r="D176" t="str">
        <f>IF(PNL!D176="","",PNL!D176)</f>
        <v>ACT</v>
      </c>
      <c r="E176">
        <f t="shared" si="0"/>
        <v>0</v>
      </c>
      <c r="F176">
        <f>IF($A176="","",IF($E176=1,_xlfn.SUMIFS(Compta!$F$1:$F$1448,Compta!$A$1:$A$1448,$A176,Compta!$B$1:$B$1448,$B176,Compta!$C$1:$C$1448,"2026"),0))</f>
        <v>0</v>
      </c>
      <c r="G176" t="s">
        <v>274</v>
      </c>
      <c r="H176" t="s">
        <v>274</v>
      </c>
      <c r="I176" t="s">
        <v>274</v>
      </c>
      <c r="J176" t="s">
        <v>274</v>
      </c>
      <c r="K176" t="s">
        <v>274</v>
      </c>
      <c r="L176" t="s">
        <v>274</v>
      </c>
      <c r="M176" t="s">
        <v>274</v>
      </c>
      <c r="N176" t="e">
        <f t="shared" si="1"/>
        <v>#VALUE!</v>
      </c>
      <c r="O176" t="e">
        <f t="shared" si="2"/>
        <v>#VALUE!</v>
      </c>
      <c r="P176">
        <f>IF($A176="","",IF($E176=1,$F176*$O176,PNL!G176))</f>
        <v>24931</v>
      </c>
      <c r="T176">
        <f t="shared" si="3"/>
        <v>0</v>
      </c>
    </row>
    <row r="177" ht="14.25" customHeight="1">
      <c r="A177" t="str">
        <f>IF(PNL!A177="","",PNL!A177)</f>
        <v>MBWAY_PAR</v>
      </c>
      <c r="B177" t="str">
        <f>IF(PNL!B177="","",PNL!B177)</f>
        <v>604</v>
      </c>
      <c r="C177" t="str">
        <f>IF(PNL!C177="","",PNL!C177)</f>
        <v>2026</v>
      </c>
      <c r="D177" t="str">
        <f>IF(PNL!D177="","",PNL!D177)</f>
        <v>ACT</v>
      </c>
      <c r="E177">
        <f t="shared" si="0"/>
        <v>0</v>
      </c>
      <c r="F177">
        <f>IF($A177="","",IF($E177=1,_xlfn.SUMIFS(Compta!$F$1:$F$1448,Compta!$A$1:$A$1448,$A177,Compta!$B$1:$B$1448,$B177,Compta!$C$1:$C$1448,"2026"),0))</f>
        <v>0</v>
      </c>
      <c r="G177" t="s">
        <v>274</v>
      </c>
      <c r="H177" t="s">
        <v>274</v>
      </c>
      <c r="I177" t="s">
        <v>274</v>
      </c>
      <c r="J177" t="s">
        <v>274</v>
      </c>
      <c r="K177" t="s">
        <v>274</v>
      </c>
      <c r="L177" t="s">
        <v>274</v>
      </c>
      <c r="M177" t="s">
        <v>274</v>
      </c>
      <c r="N177" t="e">
        <f t="shared" si="1"/>
        <v>#VALUE!</v>
      </c>
      <c r="O177" t="e">
        <f t="shared" si="2"/>
        <v>#VALUE!</v>
      </c>
      <c r="P177">
        <f>IF($A177="","",IF($E177=1,$F177*$O177,PNL!G177))</f>
        <v>85284</v>
      </c>
      <c r="T177">
        <f t="shared" si="3"/>
        <v>0</v>
      </c>
    </row>
    <row r="178" ht="14.25" customHeight="1">
      <c r="A178" t="str">
        <f>IF(PNL!A178="","",PNL!A178)</f>
        <v>MBWAY_LYO</v>
      </c>
      <c r="B178" t="str">
        <f>IF(PNL!B178="","",PNL!B178)</f>
        <v>604</v>
      </c>
      <c r="C178" t="str">
        <f>IF(PNL!C178="","",PNL!C178)</f>
        <v>2026</v>
      </c>
      <c r="D178" t="str">
        <f>IF(PNL!D178="","",PNL!D178)</f>
        <v>ACT</v>
      </c>
      <c r="E178">
        <f t="shared" si="0"/>
        <v>0</v>
      </c>
      <c r="F178">
        <f>IF($A178="","",IF($E178=1,_xlfn.SUMIFS(Compta!$F$1:$F$1448,Compta!$A$1:$A$1448,$A178,Compta!$B$1:$B$1448,$B178,Compta!$C$1:$C$1448,"2026"),0))</f>
        <v>0</v>
      </c>
      <c r="G178" t="s">
        <v>274</v>
      </c>
      <c r="H178" t="s">
        <v>274</v>
      </c>
      <c r="I178" t="s">
        <v>274</v>
      </c>
      <c r="J178" t="s">
        <v>274</v>
      </c>
      <c r="K178" t="s">
        <v>274</v>
      </c>
      <c r="L178" t="s">
        <v>274</v>
      </c>
      <c r="M178" t="s">
        <v>274</v>
      </c>
      <c r="N178" t="e">
        <f t="shared" si="1"/>
        <v>#VALUE!</v>
      </c>
      <c r="O178" t="e">
        <f t="shared" si="2"/>
        <v>#VALUE!</v>
      </c>
      <c r="P178">
        <f>IF($A178="","",IF($E178=1,$F178*$O178,PNL!G178))</f>
        <v>72335</v>
      </c>
      <c r="T178">
        <f t="shared" si="3"/>
        <v>0</v>
      </c>
    </row>
    <row r="179" ht="14.25" customHeight="1">
      <c r="A179" t="str">
        <f>IF(PNL!A179="","",PNL!A179)</f>
        <v>MBWAY_NAN</v>
      </c>
      <c r="B179" t="str">
        <f>IF(PNL!B179="","",PNL!B179)</f>
        <v>604</v>
      </c>
      <c r="C179" t="str">
        <f>IF(PNL!C179="","",PNL!C179)</f>
        <v>2026</v>
      </c>
      <c r="D179" t="str">
        <f>IF(PNL!D179="","",PNL!D179)</f>
        <v>ACT</v>
      </c>
      <c r="E179">
        <f t="shared" si="0"/>
        <v>0</v>
      </c>
      <c r="F179">
        <f>IF($A179="","",IF($E179=1,_xlfn.SUMIFS(Compta!$F$1:$F$1448,Compta!$A$1:$A$1448,$A179,Compta!$B$1:$B$1448,$B179,Compta!$C$1:$C$1448,"2026"),0))</f>
        <v>0</v>
      </c>
      <c r="G179" t="s">
        <v>274</v>
      </c>
      <c r="H179" t="s">
        <v>274</v>
      </c>
      <c r="I179" t="s">
        <v>274</v>
      </c>
      <c r="J179" t="s">
        <v>274</v>
      </c>
      <c r="K179" t="s">
        <v>274</v>
      </c>
      <c r="L179" t="s">
        <v>274</v>
      </c>
      <c r="M179" t="s">
        <v>274</v>
      </c>
      <c r="N179" t="e">
        <f t="shared" si="1"/>
        <v>#VALUE!</v>
      </c>
      <c r="O179" t="e">
        <f t="shared" si="2"/>
        <v>#VALUE!</v>
      </c>
      <c r="P179">
        <f>IF($A179="","",IF($E179=1,$F179*$O179,PNL!G179))</f>
        <v>65638</v>
      </c>
      <c r="T179">
        <f t="shared" si="3"/>
        <v>0</v>
      </c>
    </row>
    <row r="180" ht="14.25" customHeight="1">
      <c r="A180" t="str">
        <f>IF(PNL!A180="","",PNL!A180)</f>
        <v>MBWAY_BOR</v>
      </c>
      <c r="B180" t="str">
        <f>IF(PNL!B180="","",PNL!B180)</f>
        <v>604</v>
      </c>
      <c r="C180" t="str">
        <f>IF(PNL!C180="","",PNL!C180)</f>
        <v>2026</v>
      </c>
      <c r="D180" t="str">
        <f>IF(PNL!D180="","",PNL!D180)</f>
        <v>ACT</v>
      </c>
      <c r="E180">
        <f t="shared" si="0"/>
        <v>0</v>
      </c>
      <c r="F180">
        <f>IF($A180="","",IF($E180=1,_xlfn.SUMIFS(Compta!$F$1:$F$1448,Compta!$A$1:$A$1448,$A180,Compta!$B$1:$B$1448,$B180,Compta!$C$1:$C$1448,"2026"),0))</f>
        <v>0</v>
      </c>
      <c r="G180" t="s">
        <v>274</v>
      </c>
      <c r="H180" t="s">
        <v>274</v>
      </c>
      <c r="I180" t="s">
        <v>274</v>
      </c>
      <c r="J180" t="s">
        <v>274</v>
      </c>
      <c r="K180" t="s">
        <v>274</v>
      </c>
      <c r="L180" t="s">
        <v>274</v>
      </c>
      <c r="M180" t="s">
        <v>274</v>
      </c>
      <c r="N180" t="e">
        <f t="shared" si="1"/>
        <v>#VALUE!</v>
      </c>
      <c r="O180" t="e">
        <f t="shared" si="2"/>
        <v>#VALUE!</v>
      </c>
      <c r="P180">
        <f>IF($A180="","",IF($E180=1,$F180*$O180,PNL!G180))</f>
        <v>55591</v>
      </c>
      <c r="T180">
        <f t="shared" si="3"/>
        <v>0</v>
      </c>
    </row>
    <row r="181" ht="14.25" customHeight="1">
      <c r="A181" t="str">
        <f>IF(PNL!A181="","",PNL!A181)</f>
        <v>ISCOM_PAR</v>
      </c>
      <c r="B181" t="str">
        <f>IF(PNL!B181="","",PNL!B181)</f>
        <v>604</v>
      </c>
      <c r="C181" t="str">
        <f>IF(PNL!C181="","",PNL!C181)</f>
        <v>2026</v>
      </c>
      <c r="D181" t="str">
        <f>IF(PNL!D181="","",PNL!D181)</f>
        <v>ACT</v>
      </c>
      <c r="E181">
        <f t="shared" si="0"/>
        <v>0</v>
      </c>
      <c r="F181">
        <f>IF($A181="","",IF($E181=1,_xlfn.SUMIFS(Compta!$F$1:$F$1448,Compta!$A$1:$A$1448,$A181,Compta!$B$1:$B$1448,$B181,Compta!$C$1:$C$1448,"2026"),0))</f>
        <v>0</v>
      </c>
      <c r="G181" t="s">
        <v>274</v>
      </c>
      <c r="H181" t="s">
        <v>274</v>
      </c>
      <c r="I181" t="s">
        <v>274</v>
      </c>
      <c r="J181" t="s">
        <v>274</v>
      </c>
      <c r="K181" t="s">
        <v>274</v>
      </c>
      <c r="L181" t="s">
        <v>274</v>
      </c>
      <c r="M181" t="s">
        <v>274</v>
      </c>
      <c r="N181" t="e">
        <f t="shared" si="1"/>
        <v>#VALUE!</v>
      </c>
      <c r="O181" t="e">
        <f t="shared" si="2"/>
        <v>#VALUE!</v>
      </c>
      <c r="P181">
        <f>IF($A181="","",IF($E181=1,$F181*$O181,PNL!G181))</f>
        <v>79033</v>
      </c>
      <c r="T181">
        <f t="shared" si="3"/>
        <v>0</v>
      </c>
    </row>
    <row r="182" ht="14.25" customHeight="1">
      <c r="A182" t="str">
        <f>IF(PNL!A182="","",PNL!A182)</f>
        <v>ISCOM_LIL</v>
      </c>
      <c r="B182" t="str">
        <f>IF(PNL!B182="","",PNL!B182)</f>
        <v>604</v>
      </c>
      <c r="C182" t="str">
        <f>IF(PNL!C182="","",PNL!C182)</f>
        <v>2026</v>
      </c>
      <c r="D182" t="str">
        <f>IF(PNL!D182="","",PNL!D182)</f>
        <v>ACT</v>
      </c>
      <c r="E182">
        <f t="shared" si="0"/>
        <v>0</v>
      </c>
      <c r="F182">
        <f>IF($A182="","",IF($E182=1,_xlfn.SUMIFS(Compta!$F$1:$F$1448,Compta!$A$1:$A$1448,$A182,Compta!$B$1:$B$1448,$B182,Compta!$C$1:$C$1448,"2026"),0))</f>
        <v>0</v>
      </c>
      <c r="G182" t="s">
        <v>274</v>
      </c>
      <c r="H182" t="s">
        <v>274</v>
      </c>
      <c r="I182" t="s">
        <v>274</v>
      </c>
      <c r="J182" t="s">
        <v>274</v>
      </c>
      <c r="K182" t="s">
        <v>274</v>
      </c>
      <c r="L182" t="s">
        <v>274</v>
      </c>
      <c r="M182" t="s">
        <v>274</v>
      </c>
      <c r="N182" t="e">
        <f t="shared" si="1"/>
        <v>#VALUE!</v>
      </c>
      <c r="O182" t="e">
        <f t="shared" si="2"/>
        <v>#VALUE!</v>
      </c>
      <c r="P182">
        <f>IF($A182="","",IF($E182=1,$F182*$O182,PNL!G182))</f>
        <v>54475</v>
      </c>
      <c r="T182">
        <f t="shared" si="3"/>
        <v>0</v>
      </c>
    </row>
    <row r="183" ht="14.25" customHeight="1">
      <c r="A183" t="str">
        <f>IF(PNL!A183="","",PNL!A183)</f>
        <v>ISCOM_TLS</v>
      </c>
      <c r="B183" t="str">
        <f>IF(PNL!B183="","",PNL!B183)</f>
        <v>604</v>
      </c>
      <c r="C183" t="str">
        <f>IF(PNL!C183="","",PNL!C183)</f>
        <v>2026</v>
      </c>
      <c r="D183" t="str">
        <f>IF(PNL!D183="","",PNL!D183)</f>
        <v>ACT</v>
      </c>
      <c r="E183">
        <f t="shared" si="0"/>
        <v>0</v>
      </c>
      <c r="F183">
        <f>IF($A183="","",IF($E183=1,_xlfn.SUMIFS(Compta!$F$1:$F$1448,Compta!$A$1:$A$1448,$A183,Compta!$B$1:$B$1448,$B183,Compta!$C$1:$C$1448,"2026"),0))</f>
        <v>0</v>
      </c>
      <c r="G183" t="s">
        <v>274</v>
      </c>
      <c r="H183" t="s">
        <v>274</v>
      </c>
      <c r="I183" t="s">
        <v>274</v>
      </c>
      <c r="J183" t="s">
        <v>274</v>
      </c>
      <c r="K183" t="s">
        <v>274</v>
      </c>
      <c r="L183" t="s">
        <v>274</v>
      </c>
      <c r="M183" t="s">
        <v>274</v>
      </c>
      <c r="N183" t="e">
        <f t="shared" si="1"/>
        <v>#VALUE!</v>
      </c>
      <c r="O183" t="e">
        <f t="shared" si="2"/>
        <v>#VALUE!</v>
      </c>
      <c r="P183">
        <f>IF($A183="","",IF($E183=1,$F183*$O183,PNL!G183))</f>
        <v>51572</v>
      </c>
      <c r="T183">
        <f t="shared" si="3"/>
        <v>0</v>
      </c>
    </row>
    <row r="184" ht="14.25" customHeight="1">
      <c r="A184" t="str">
        <f>IF(PNL!A184="","",PNL!A184)</f>
        <v>IPAC_NAN</v>
      </c>
      <c r="B184" t="str">
        <f>IF(PNL!B184="","",PNL!B184)</f>
        <v>604</v>
      </c>
      <c r="C184" t="str">
        <f>IF(PNL!C184="","",PNL!C184)</f>
        <v>2026</v>
      </c>
      <c r="D184" t="str">
        <f>IF(PNL!D184="","",PNL!D184)</f>
        <v>ACT</v>
      </c>
      <c r="E184">
        <f t="shared" si="0"/>
        <v>0</v>
      </c>
      <c r="F184">
        <f>IF($A184="","",IF($E184=1,_xlfn.SUMIFS(Compta!$F$1:$F$1448,Compta!$A$1:$A$1448,$A184,Compta!$B$1:$B$1448,$B184,Compta!$C$1:$C$1448,"2026"),0))</f>
        <v>0</v>
      </c>
      <c r="G184" t="s">
        <v>274</v>
      </c>
      <c r="H184" t="s">
        <v>274</v>
      </c>
      <c r="I184" t="s">
        <v>274</v>
      </c>
      <c r="J184" t="s">
        <v>274</v>
      </c>
      <c r="K184" t="s">
        <v>274</v>
      </c>
      <c r="L184" t="s">
        <v>274</v>
      </c>
      <c r="M184" t="s">
        <v>274</v>
      </c>
      <c r="N184" t="e">
        <f t="shared" si="1"/>
        <v>#VALUE!</v>
      </c>
      <c r="O184" t="e">
        <f t="shared" si="2"/>
        <v>#VALUE!</v>
      </c>
      <c r="P184">
        <f>IF($A184="","",IF($E184=1,$F184*$O184,PNL!G184))</f>
        <v>32372</v>
      </c>
      <c r="T184">
        <f t="shared" si="3"/>
        <v>0</v>
      </c>
    </row>
    <row r="185" ht="14.25" customHeight="1">
      <c r="A185" t="str">
        <f>IF(PNL!A185="","",PNL!A185)</f>
        <v>IPAC_REN</v>
      </c>
      <c r="B185" t="str">
        <f>IF(PNL!B185="","",PNL!B185)</f>
        <v>604</v>
      </c>
      <c r="C185" t="str">
        <f>IF(PNL!C185="","",PNL!C185)</f>
        <v>2026</v>
      </c>
      <c r="D185" t="str">
        <f>IF(PNL!D185="","",PNL!D185)</f>
        <v>ACT</v>
      </c>
      <c r="E185">
        <f t="shared" si="0"/>
        <v>0</v>
      </c>
      <c r="F185">
        <f>IF($A185="","",IF($E185=1,_xlfn.SUMIFS(Compta!$F$1:$F$1448,Compta!$A$1:$A$1448,$A185,Compta!$B$1:$B$1448,$B185,Compta!$C$1:$C$1448,"2026"),0))</f>
        <v>0</v>
      </c>
      <c r="G185" t="s">
        <v>274</v>
      </c>
      <c r="H185" t="s">
        <v>274</v>
      </c>
      <c r="I185" t="s">
        <v>274</v>
      </c>
      <c r="J185" t="s">
        <v>274</v>
      </c>
      <c r="K185" t="s">
        <v>274</v>
      </c>
      <c r="L185" t="s">
        <v>274</v>
      </c>
      <c r="M185" t="s">
        <v>274</v>
      </c>
      <c r="N185" t="e">
        <f t="shared" si="1"/>
        <v>#VALUE!</v>
      </c>
      <c r="O185" t="e">
        <f t="shared" si="2"/>
        <v>#VALUE!</v>
      </c>
      <c r="P185">
        <f>IF($A185="","",IF($E185=1,$F185*$O185,PNL!G185))</f>
        <v>26121</v>
      </c>
      <c r="T185">
        <f t="shared" si="3"/>
        <v>0</v>
      </c>
    </row>
    <row r="186" ht="14.25" customHeight="1">
      <c r="A186" t="str">
        <f>IF(PNL!A186="","",PNL!A186)</f>
        <v>IPAC_MTP</v>
      </c>
      <c r="B186" t="str">
        <f>IF(PNL!B186="","",PNL!B186)</f>
        <v>604</v>
      </c>
      <c r="C186" t="str">
        <f>IF(PNL!C186="","",PNL!C186)</f>
        <v>2026</v>
      </c>
      <c r="D186" t="str">
        <f>IF(PNL!D186="","",PNL!D186)</f>
        <v>ACT</v>
      </c>
      <c r="E186">
        <f t="shared" si="0"/>
        <v>0</v>
      </c>
      <c r="F186">
        <f>IF($A186="","",IF($E186=1,_xlfn.SUMIFS(Compta!$F$1:$F$1448,Compta!$A$1:$A$1448,$A186,Compta!$B$1:$B$1448,$B186,Compta!$C$1:$C$1448,"2026"),0))</f>
        <v>0</v>
      </c>
      <c r="G186" t="s">
        <v>274</v>
      </c>
      <c r="H186" t="s">
        <v>274</v>
      </c>
      <c r="I186" t="s">
        <v>274</v>
      </c>
      <c r="J186" t="s">
        <v>274</v>
      </c>
      <c r="K186" t="s">
        <v>274</v>
      </c>
      <c r="L186" t="s">
        <v>274</v>
      </c>
      <c r="M186" t="s">
        <v>274</v>
      </c>
      <c r="N186" t="e">
        <f t="shared" si="1"/>
        <v>#VALUE!</v>
      </c>
      <c r="O186" t="e">
        <f t="shared" si="2"/>
        <v>#VALUE!</v>
      </c>
      <c r="P186">
        <f>IF($A186="","",IF($E186=1,$F186*$O186,PNL!G186))</f>
        <v>26121</v>
      </c>
      <c r="T186">
        <f t="shared" si="3"/>
        <v>0</v>
      </c>
    </row>
    <row r="187" ht="14.25" customHeight="1">
      <c r="A187" t="str">
        <f>IF(PNL!A187="","",PNL!A187)</f>
        <v>PIGIER_LYO</v>
      </c>
      <c r="B187" t="str">
        <f>IF(PNL!B187="","",PNL!B187)</f>
        <v>604</v>
      </c>
      <c r="C187" t="str">
        <f>IF(PNL!C187="","",PNL!C187)</f>
        <v>2026</v>
      </c>
      <c r="D187" t="str">
        <f>IF(PNL!D187="","",PNL!D187)</f>
        <v>ACT</v>
      </c>
      <c r="E187">
        <f t="shared" si="0"/>
        <v>0</v>
      </c>
      <c r="F187">
        <f>IF($A187="","",IF($E187=1,_xlfn.SUMIFS(Compta!$F$1:$F$1448,Compta!$A$1:$A$1448,$A187,Compta!$B$1:$B$1448,$B187,Compta!$C$1:$C$1448,"2026"),0))</f>
        <v>0</v>
      </c>
      <c r="G187" t="s">
        <v>274</v>
      </c>
      <c r="H187" t="s">
        <v>274</v>
      </c>
      <c r="I187" t="s">
        <v>274</v>
      </c>
      <c r="J187" t="s">
        <v>274</v>
      </c>
      <c r="K187" t="s">
        <v>274</v>
      </c>
      <c r="L187" t="s">
        <v>274</v>
      </c>
      <c r="M187" t="s">
        <v>274</v>
      </c>
      <c r="N187" t="e">
        <f t="shared" si="1"/>
        <v>#VALUE!</v>
      </c>
      <c r="O187" t="e">
        <f t="shared" si="2"/>
        <v>#VALUE!</v>
      </c>
      <c r="P187">
        <f>IF($A187="","",IF($E187=1,$F187*$O187,PNL!G187))</f>
        <v>40633</v>
      </c>
      <c r="T187">
        <f t="shared" si="3"/>
        <v>0</v>
      </c>
    </row>
    <row r="188" ht="14.25" customHeight="1">
      <c r="A188" t="str">
        <f>IF(PNL!A188="","",PNL!A188)</f>
        <v>PIGIER_BOR</v>
      </c>
      <c r="B188" t="str">
        <f>IF(PNL!B188="","",PNL!B188)</f>
        <v>604</v>
      </c>
      <c r="C188" t="str">
        <f>IF(PNL!C188="","",PNL!C188)</f>
        <v>2026</v>
      </c>
      <c r="D188" t="str">
        <f>IF(PNL!D188="","",PNL!D188)</f>
        <v>ACT</v>
      </c>
      <c r="E188">
        <f t="shared" si="0"/>
        <v>0</v>
      </c>
      <c r="F188">
        <f>IF($A188="","",IF($E188=1,_xlfn.SUMIFS(Compta!$F$1:$F$1448,Compta!$A$1:$A$1448,$A188,Compta!$B$1:$B$1448,$B188,Compta!$C$1:$C$1448,"2026"),0))</f>
        <v>0</v>
      </c>
      <c r="G188" t="s">
        <v>274</v>
      </c>
      <c r="H188" t="s">
        <v>274</v>
      </c>
      <c r="I188" t="s">
        <v>274</v>
      </c>
      <c r="J188" t="s">
        <v>274</v>
      </c>
      <c r="K188" t="s">
        <v>274</v>
      </c>
      <c r="L188" t="s">
        <v>274</v>
      </c>
      <c r="M188" t="s">
        <v>274</v>
      </c>
      <c r="N188" t="e">
        <f t="shared" si="1"/>
        <v>#VALUE!</v>
      </c>
      <c r="O188" t="e">
        <f t="shared" si="2"/>
        <v>#VALUE!</v>
      </c>
      <c r="P188">
        <f>IF($A188="","",IF($E188=1,$F188*$O188,PNL!G188))</f>
        <v>31703</v>
      </c>
      <c r="T188">
        <f t="shared" si="3"/>
        <v>0</v>
      </c>
    </row>
    <row r="189" ht="14.25" customHeight="1">
      <c r="A189" t="str">
        <f>IF(PNL!A189="","",PNL!A189)</f>
        <v>TUNON_PAR</v>
      </c>
      <c r="B189" t="str">
        <f>IF(PNL!B189="","",PNL!B189)</f>
        <v>604</v>
      </c>
      <c r="C189" t="str">
        <f>IF(PNL!C189="","",PNL!C189)</f>
        <v>2026</v>
      </c>
      <c r="D189" t="str">
        <f>IF(PNL!D189="","",PNL!D189)</f>
        <v>ACT</v>
      </c>
      <c r="E189">
        <f t="shared" si="0"/>
        <v>0</v>
      </c>
      <c r="F189">
        <f>IF($A189="","",IF($E189=1,_xlfn.SUMIFS(Compta!$F$1:$F$1448,Compta!$A$1:$A$1448,$A189,Compta!$B$1:$B$1448,$B189,Compta!$C$1:$C$1448,"2026"),0))</f>
        <v>0</v>
      </c>
      <c r="G189" t="s">
        <v>274</v>
      </c>
      <c r="H189" t="s">
        <v>274</v>
      </c>
      <c r="I189" t="s">
        <v>274</v>
      </c>
      <c r="J189" t="s">
        <v>274</v>
      </c>
      <c r="K189" t="s">
        <v>274</v>
      </c>
      <c r="L189" t="s">
        <v>274</v>
      </c>
      <c r="M189" t="s">
        <v>274</v>
      </c>
      <c r="N189" t="e">
        <f t="shared" si="1"/>
        <v>#VALUE!</v>
      </c>
      <c r="O189" t="e">
        <f t="shared" si="2"/>
        <v>#VALUE!</v>
      </c>
      <c r="P189">
        <f>IF($A189="","",IF($E189=1,$F189*$O189,PNL!G189))</f>
        <v>30809</v>
      </c>
      <c r="T189">
        <f t="shared" si="3"/>
        <v>0</v>
      </c>
    </row>
    <row r="190" ht="14.25" customHeight="1">
      <c r="A190" t="str">
        <f>IF(PNL!A190="","",PNL!A190)</f>
        <v>TUNON_LYO</v>
      </c>
      <c r="B190" t="str">
        <f>IF(PNL!B190="","",PNL!B190)</f>
        <v>604</v>
      </c>
      <c r="C190" t="str">
        <f>IF(PNL!C190="","",PNL!C190)</f>
        <v>2026</v>
      </c>
      <c r="D190" t="str">
        <f>IF(PNL!D190="","",PNL!D190)</f>
        <v>ACT</v>
      </c>
      <c r="E190">
        <f t="shared" si="0"/>
        <v>0</v>
      </c>
      <c r="F190">
        <f>IF($A190="","",IF($E190=1,_xlfn.SUMIFS(Compta!$F$1:$F$1448,Compta!$A$1:$A$1448,$A190,Compta!$B$1:$B$1448,$B190,Compta!$C$1:$C$1448,"2026"),0))</f>
        <v>0</v>
      </c>
      <c r="G190" t="s">
        <v>274</v>
      </c>
      <c r="H190" t="s">
        <v>274</v>
      </c>
      <c r="I190" t="s">
        <v>274</v>
      </c>
      <c r="J190" t="s">
        <v>274</v>
      </c>
      <c r="K190" t="s">
        <v>274</v>
      </c>
      <c r="L190" t="s">
        <v>274</v>
      </c>
      <c r="M190" t="s">
        <v>274</v>
      </c>
      <c r="N190" t="e">
        <f t="shared" si="1"/>
        <v>#VALUE!</v>
      </c>
      <c r="O190" t="e">
        <f t="shared" si="2"/>
        <v>#VALUE!</v>
      </c>
      <c r="P190">
        <f>IF($A190="","",IF($E190=1,$F190*$O190,PNL!G190))</f>
        <v>26121</v>
      </c>
      <c r="T190">
        <f t="shared" si="3"/>
        <v>0</v>
      </c>
    </row>
    <row r="191" ht="14.25" customHeight="1">
      <c r="A191" t="str">
        <f>IF(PNL!A191="","",PNL!A191)</f>
        <v>MBWAY_PAR</v>
      </c>
      <c r="B191" t="str">
        <f>IF(PNL!B191="","",PNL!B191)</f>
        <v>6063</v>
      </c>
      <c r="C191" t="str">
        <f>IF(PNL!C191="","",PNL!C191)</f>
        <v>2024</v>
      </c>
      <c r="D191" t="str">
        <f>IF(PNL!D191="","",PNL!D191)</f>
        <v>ACT</v>
      </c>
      <c r="E191">
        <f t="shared" si="0"/>
        <v>0</v>
      </c>
      <c r="F191">
        <f>IF($A191="","",IF($E191=1,_xlfn.SUMIFS(Compta!$F$1:$F$1448,Compta!$A$1:$A$1448,$A191,Compta!$B$1:$B$1448,$B191,Compta!$C$1:$C$1448,"2026"),0))</f>
        <v>0</v>
      </c>
      <c r="G191" t="s">
        <v>274</v>
      </c>
      <c r="H191" t="s">
        <v>274</v>
      </c>
      <c r="I191" t="s">
        <v>274</v>
      </c>
      <c r="J191" t="s">
        <v>274</v>
      </c>
      <c r="K191" t="s">
        <v>274</v>
      </c>
      <c r="L191" t="s">
        <v>274</v>
      </c>
      <c r="M191" t="s">
        <v>274</v>
      </c>
      <c r="N191" t="e">
        <f t="shared" si="1"/>
        <v>#VALUE!</v>
      </c>
      <c r="O191" t="e">
        <f t="shared" si="2"/>
        <v>#VALUE!</v>
      </c>
      <c r="P191">
        <f>IF($A191="","",IF($E191=1,$F191*$O191,PNL!G191))</f>
        <v>51888</v>
      </c>
      <c r="T191">
        <f t="shared" si="3"/>
        <v>0</v>
      </c>
    </row>
    <row r="192" ht="14.25" customHeight="1">
      <c r="A192" t="str">
        <f>IF(PNL!A192="","",PNL!A192)</f>
        <v>MBWAY_LYO</v>
      </c>
      <c r="B192" t="str">
        <f>IF(PNL!B192="","",PNL!B192)</f>
        <v>6063</v>
      </c>
      <c r="C192" t="str">
        <f>IF(PNL!C192="","",PNL!C192)</f>
        <v>2024</v>
      </c>
      <c r="D192" t="str">
        <f>IF(PNL!D192="","",PNL!D192)</f>
        <v>ACT</v>
      </c>
      <c r="E192">
        <f t="shared" si="0"/>
        <v>0</v>
      </c>
      <c r="F192">
        <f>IF($A192="","",IF($E192=1,_xlfn.SUMIFS(Compta!$F$1:$F$1448,Compta!$A$1:$A$1448,$A192,Compta!$B$1:$B$1448,$B192,Compta!$C$1:$C$1448,"2026"),0))</f>
        <v>0</v>
      </c>
      <c r="G192" t="s">
        <v>274</v>
      </c>
      <c r="H192" t="s">
        <v>274</v>
      </c>
      <c r="I192" t="s">
        <v>274</v>
      </c>
      <c r="J192" t="s">
        <v>274</v>
      </c>
      <c r="K192" t="s">
        <v>274</v>
      </c>
      <c r="L192" t="s">
        <v>274</v>
      </c>
      <c r="M192" t="s">
        <v>274</v>
      </c>
      <c r="N192" t="e">
        <f t="shared" si="1"/>
        <v>#VALUE!</v>
      </c>
      <c r="O192" t="e">
        <f t="shared" si="2"/>
        <v>#VALUE!</v>
      </c>
      <c r="P192">
        <f>IF($A192="","",IF($E192=1,$F192*$O192,PNL!G192))</f>
        <v>44010</v>
      </c>
      <c r="T192">
        <f t="shared" si="3"/>
        <v>0</v>
      </c>
    </row>
    <row r="193" ht="14.25" customHeight="1">
      <c r="A193" t="str">
        <f>IF(PNL!A193="","",PNL!A193)</f>
        <v>MBWAY_NAN</v>
      </c>
      <c r="B193" t="str">
        <f>IF(PNL!B193="","",PNL!B193)</f>
        <v>6063</v>
      </c>
      <c r="C193" t="str">
        <f>IF(PNL!C193="","",PNL!C193)</f>
        <v>2024</v>
      </c>
      <c r="D193" t="str">
        <f>IF(PNL!D193="","",PNL!D193)</f>
        <v>ACT</v>
      </c>
      <c r="E193">
        <f t="shared" si="0"/>
        <v>0</v>
      </c>
      <c r="F193">
        <f>IF($A193="","",IF($E193=1,_xlfn.SUMIFS(Compta!$F$1:$F$1448,Compta!$A$1:$A$1448,$A193,Compta!$B$1:$B$1448,$B193,Compta!$C$1:$C$1448,"2026"),0))</f>
        <v>0</v>
      </c>
      <c r="G193" t="s">
        <v>274</v>
      </c>
      <c r="H193" t="s">
        <v>274</v>
      </c>
      <c r="I193" t="s">
        <v>274</v>
      </c>
      <c r="J193" t="s">
        <v>274</v>
      </c>
      <c r="K193" t="s">
        <v>274</v>
      </c>
      <c r="L193" t="s">
        <v>274</v>
      </c>
      <c r="M193" t="s">
        <v>274</v>
      </c>
      <c r="N193" t="e">
        <f t="shared" si="1"/>
        <v>#VALUE!</v>
      </c>
      <c r="O193" t="e">
        <f t="shared" si="2"/>
        <v>#VALUE!</v>
      </c>
      <c r="P193">
        <f>IF($A193="","",IF($E193=1,$F193*$O193,PNL!G193))</f>
        <v>39935</v>
      </c>
      <c r="T193">
        <f t="shared" si="3"/>
        <v>0</v>
      </c>
    </row>
    <row r="194" ht="14.25" customHeight="1">
      <c r="A194" t="str">
        <f>IF(PNL!A194="","",PNL!A194)</f>
        <v>MBWAY_BOR</v>
      </c>
      <c r="B194" t="str">
        <f>IF(PNL!B194="","",PNL!B194)</f>
        <v>6063</v>
      </c>
      <c r="C194" t="str">
        <f>IF(PNL!C194="","",PNL!C194)</f>
        <v>2024</v>
      </c>
      <c r="D194" t="str">
        <f>IF(PNL!D194="","",PNL!D194)</f>
        <v>ACT</v>
      </c>
      <c r="E194">
        <f t="shared" si="0"/>
        <v>0</v>
      </c>
      <c r="F194">
        <f>IF($A194="","",IF($E194=1,_xlfn.SUMIFS(Compta!$F$1:$F$1448,Compta!$A$1:$A$1448,$A194,Compta!$B$1:$B$1448,$B194,Compta!$C$1:$C$1448,"2026"),0))</f>
        <v>0</v>
      </c>
      <c r="G194" t="s">
        <v>274</v>
      </c>
      <c r="H194" t="s">
        <v>274</v>
      </c>
      <c r="I194" t="s">
        <v>274</v>
      </c>
      <c r="J194" t="s">
        <v>274</v>
      </c>
      <c r="K194" t="s">
        <v>274</v>
      </c>
      <c r="L194" t="s">
        <v>274</v>
      </c>
      <c r="M194" t="s">
        <v>274</v>
      </c>
      <c r="N194" t="e">
        <f t="shared" si="1"/>
        <v>#VALUE!</v>
      </c>
      <c r="O194" t="e">
        <f t="shared" si="2"/>
        <v>#VALUE!</v>
      </c>
      <c r="P194">
        <f>IF($A194="","",IF($E194=1,$F194*$O194,PNL!G194))</f>
        <v>33822</v>
      </c>
      <c r="T194">
        <f t="shared" si="3"/>
        <v>0</v>
      </c>
    </row>
    <row r="195" ht="14.25" customHeight="1">
      <c r="A195" t="str">
        <f>IF(PNL!A195="","",PNL!A195)</f>
        <v>ISCOM_PAR</v>
      </c>
      <c r="B195" t="str">
        <f>IF(PNL!B195="","",PNL!B195)</f>
        <v>6063</v>
      </c>
      <c r="C195" t="str">
        <f>IF(PNL!C195="","",PNL!C195)</f>
        <v>2024</v>
      </c>
      <c r="D195" t="str">
        <f>IF(PNL!D195="","",PNL!D195)</f>
        <v>ACT</v>
      </c>
      <c r="E195">
        <f t="shared" si="0"/>
        <v>0</v>
      </c>
      <c r="F195">
        <f>IF($A195="","",IF($E195=1,_xlfn.SUMIFS(Compta!$F$1:$F$1448,Compta!$A$1:$A$1448,$A195,Compta!$B$1:$B$1448,$B195,Compta!$C$1:$C$1448,"2026"),0))</f>
        <v>0</v>
      </c>
      <c r="G195" t="s">
        <v>274</v>
      </c>
      <c r="H195" t="s">
        <v>274</v>
      </c>
      <c r="I195" t="s">
        <v>274</v>
      </c>
      <c r="J195" t="s">
        <v>274</v>
      </c>
      <c r="K195" t="s">
        <v>274</v>
      </c>
      <c r="L195" t="s">
        <v>274</v>
      </c>
      <c r="M195" t="s">
        <v>274</v>
      </c>
      <c r="N195" t="e">
        <f t="shared" si="1"/>
        <v>#VALUE!</v>
      </c>
      <c r="O195" t="e">
        <f t="shared" si="2"/>
        <v>#VALUE!</v>
      </c>
      <c r="P195">
        <f>IF($A195="","",IF($E195=1,$F195*$O195,PNL!G195))</f>
        <v>48085</v>
      </c>
      <c r="T195">
        <f t="shared" si="3"/>
        <v>0</v>
      </c>
    </row>
    <row r="196" ht="14.25" customHeight="1">
      <c r="A196" t="str">
        <f>IF(PNL!A196="","",PNL!A196)</f>
        <v>ISCOM_LIL</v>
      </c>
      <c r="B196" t="str">
        <f>IF(PNL!B196="","",PNL!B196)</f>
        <v>6063</v>
      </c>
      <c r="C196" t="str">
        <f>IF(PNL!C196="","",PNL!C196)</f>
        <v>2024</v>
      </c>
      <c r="D196" t="str">
        <f>IF(PNL!D196="","",PNL!D196)</f>
        <v>ACT</v>
      </c>
      <c r="E196">
        <f t="shared" si="0"/>
        <v>0</v>
      </c>
      <c r="F196">
        <f>IF($A196="","",IF($E196=1,_xlfn.SUMIFS(Compta!$F$1:$F$1448,Compta!$A$1:$A$1448,$A196,Compta!$B$1:$B$1448,$B196,Compta!$C$1:$C$1448,"2026"),0))</f>
        <v>0</v>
      </c>
      <c r="G196" t="s">
        <v>274</v>
      </c>
      <c r="H196" t="s">
        <v>274</v>
      </c>
      <c r="I196" t="s">
        <v>274</v>
      </c>
      <c r="J196" t="s">
        <v>274</v>
      </c>
      <c r="K196" t="s">
        <v>274</v>
      </c>
      <c r="L196" t="s">
        <v>274</v>
      </c>
      <c r="M196" t="s">
        <v>274</v>
      </c>
      <c r="N196" t="e">
        <f t="shared" si="1"/>
        <v>#VALUE!</v>
      </c>
      <c r="O196" t="e">
        <f t="shared" si="2"/>
        <v>#VALUE!</v>
      </c>
      <c r="P196">
        <f>IF($A196="","",IF($E196=1,$F196*$O196,PNL!G196))</f>
        <v>33143</v>
      </c>
      <c r="T196">
        <f t="shared" si="3"/>
        <v>0</v>
      </c>
    </row>
    <row r="197" ht="14.25" customHeight="1">
      <c r="A197" t="str">
        <f>IF(PNL!A197="","",PNL!A197)</f>
        <v>ISCOM_TLS</v>
      </c>
      <c r="B197" t="str">
        <f>IF(PNL!B197="","",PNL!B197)</f>
        <v>6063</v>
      </c>
      <c r="C197" t="str">
        <f>IF(PNL!C197="","",PNL!C197)</f>
        <v>2024</v>
      </c>
      <c r="D197" t="str">
        <f>IF(PNL!D197="","",PNL!D197)</f>
        <v>ACT</v>
      </c>
      <c r="E197">
        <f t="shared" si="0"/>
        <v>0</v>
      </c>
      <c r="F197">
        <f>IF($A197="","",IF($E197=1,_xlfn.SUMIFS(Compta!$F$1:$F$1448,Compta!$A$1:$A$1448,$A197,Compta!$B$1:$B$1448,$B197,Compta!$C$1:$C$1448,"2026"),0))</f>
        <v>0</v>
      </c>
      <c r="G197" t="s">
        <v>274</v>
      </c>
      <c r="H197" t="s">
        <v>274</v>
      </c>
      <c r="I197" t="s">
        <v>274</v>
      </c>
      <c r="J197" t="s">
        <v>274</v>
      </c>
      <c r="K197" t="s">
        <v>274</v>
      </c>
      <c r="L197" t="s">
        <v>274</v>
      </c>
      <c r="M197" t="s">
        <v>274</v>
      </c>
      <c r="N197" t="e">
        <f t="shared" si="1"/>
        <v>#VALUE!</v>
      </c>
      <c r="O197" t="e">
        <f t="shared" si="2"/>
        <v>#VALUE!</v>
      </c>
      <c r="P197">
        <f>IF($A197="","",IF($E197=1,$F197*$O197,PNL!G197))</f>
        <v>31377</v>
      </c>
      <c r="T197">
        <f t="shared" si="3"/>
        <v>0</v>
      </c>
    </row>
    <row r="198" ht="14.25" customHeight="1">
      <c r="A198" t="str">
        <f>IF(PNL!A198="","",PNL!A198)</f>
        <v>IPAC_NAN</v>
      </c>
      <c r="B198" t="str">
        <f>IF(PNL!B198="","",PNL!B198)</f>
        <v>6063</v>
      </c>
      <c r="C198" t="str">
        <f>IF(PNL!C198="","",PNL!C198)</f>
        <v>2024</v>
      </c>
      <c r="D198" t="str">
        <f>IF(PNL!D198="","",PNL!D198)</f>
        <v>ACT</v>
      </c>
      <c r="E198">
        <f t="shared" si="0"/>
        <v>0</v>
      </c>
      <c r="F198">
        <f>IF($A198="","",IF($E198=1,_xlfn.SUMIFS(Compta!$F$1:$F$1448,Compta!$A$1:$A$1448,$A198,Compta!$B$1:$B$1448,$B198,Compta!$C$1:$C$1448,"2026"),0))</f>
        <v>0</v>
      </c>
      <c r="G198" t="s">
        <v>274</v>
      </c>
      <c r="H198" t="s">
        <v>274</v>
      </c>
      <c r="I198" t="s">
        <v>274</v>
      </c>
      <c r="J198" t="s">
        <v>274</v>
      </c>
      <c r="K198" t="s">
        <v>274</v>
      </c>
      <c r="L198" t="s">
        <v>274</v>
      </c>
      <c r="M198" t="s">
        <v>274</v>
      </c>
      <c r="N198" t="e">
        <f t="shared" si="1"/>
        <v>#VALUE!</v>
      </c>
      <c r="O198" t="e">
        <f t="shared" si="2"/>
        <v>#VALUE!</v>
      </c>
      <c r="P198">
        <f>IF($A198="","",IF($E198=1,$F198*$O198,PNL!G198))</f>
        <v>19696</v>
      </c>
      <c r="T198">
        <f t="shared" si="3"/>
        <v>0</v>
      </c>
    </row>
    <row r="199" ht="14.25" customHeight="1">
      <c r="A199" t="str">
        <f>IF(PNL!A199="","",PNL!A199)</f>
        <v>IPAC_REN</v>
      </c>
      <c r="B199" t="str">
        <f>IF(PNL!B199="","",PNL!B199)</f>
        <v>6063</v>
      </c>
      <c r="C199" t="str">
        <f>IF(PNL!C199="","",PNL!C199)</f>
        <v>2024</v>
      </c>
      <c r="D199" t="str">
        <f>IF(PNL!D199="","",PNL!D199)</f>
        <v>ACT</v>
      </c>
      <c r="E199">
        <f t="shared" si="0"/>
        <v>0</v>
      </c>
      <c r="F199">
        <f>IF($A199="","",IF($E199=1,_xlfn.SUMIFS(Compta!$F$1:$F$1448,Compta!$A$1:$A$1448,$A199,Compta!$B$1:$B$1448,$B199,Compta!$C$1:$C$1448,"2026"),0))</f>
        <v>0</v>
      </c>
      <c r="G199" t="s">
        <v>274</v>
      </c>
      <c r="H199" t="s">
        <v>274</v>
      </c>
      <c r="I199" t="s">
        <v>274</v>
      </c>
      <c r="J199" t="s">
        <v>274</v>
      </c>
      <c r="K199" t="s">
        <v>274</v>
      </c>
      <c r="L199" t="s">
        <v>274</v>
      </c>
      <c r="M199" t="s">
        <v>274</v>
      </c>
      <c r="N199" t="e">
        <f t="shared" si="1"/>
        <v>#VALUE!</v>
      </c>
      <c r="O199" t="e">
        <f t="shared" si="2"/>
        <v>#VALUE!</v>
      </c>
      <c r="P199">
        <f>IF($A199="","",IF($E199=1,$F199*$O199,PNL!G199))</f>
        <v>15892</v>
      </c>
      <c r="T199">
        <f t="shared" si="3"/>
        <v>0</v>
      </c>
    </row>
    <row r="200" ht="14.25" customHeight="1">
      <c r="A200" t="str">
        <f>IF(PNL!A200="","",PNL!A200)</f>
        <v>IPAC_MTP</v>
      </c>
      <c r="B200" t="str">
        <f>IF(PNL!B200="","",PNL!B200)</f>
        <v>6063</v>
      </c>
      <c r="C200" t="str">
        <f>IF(PNL!C200="","",PNL!C200)</f>
        <v>2024</v>
      </c>
      <c r="D200" t="str">
        <f>IF(PNL!D200="","",PNL!D200)</f>
        <v>ACT</v>
      </c>
      <c r="E200">
        <f t="shared" si="0"/>
        <v>0</v>
      </c>
      <c r="F200">
        <f>IF($A200="","",IF($E200=1,_xlfn.SUMIFS(Compta!$F$1:$F$1448,Compta!$A$1:$A$1448,$A200,Compta!$B$1:$B$1448,$B200,Compta!$C$1:$C$1448,"2026"),0))</f>
        <v>0</v>
      </c>
      <c r="G200" t="s">
        <v>274</v>
      </c>
      <c r="H200" t="s">
        <v>274</v>
      </c>
      <c r="I200" t="s">
        <v>274</v>
      </c>
      <c r="J200" t="s">
        <v>274</v>
      </c>
      <c r="K200" t="s">
        <v>274</v>
      </c>
      <c r="L200" t="s">
        <v>274</v>
      </c>
      <c r="M200" t="s">
        <v>274</v>
      </c>
      <c r="N200" t="e">
        <f t="shared" si="1"/>
        <v>#VALUE!</v>
      </c>
      <c r="O200" t="e">
        <f t="shared" si="2"/>
        <v>#VALUE!</v>
      </c>
      <c r="P200">
        <f>IF($A200="","",IF($E200=1,$F200*$O200,PNL!G200))</f>
        <v>15892</v>
      </c>
      <c r="T200">
        <f t="shared" si="3"/>
        <v>0</v>
      </c>
    </row>
    <row r="201" ht="14.25" customHeight="1">
      <c r="A201" t="str">
        <f>IF(PNL!A201="","",PNL!A201)</f>
        <v>PIGIER_LYO</v>
      </c>
      <c r="B201" t="str">
        <f>IF(PNL!B201="","",PNL!B201)</f>
        <v>6063</v>
      </c>
      <c r="C201" t="str">
        <f>IF(PNL!C201="","",PNL!C201)</f>
        <v>2024</v>
      </c>
      <c r="D201" t="str">
        <f>IF(PNL!D201="","",PNL!D201)</f>
        <v>ACT</v>
      </c>
      <c r="E201">
        <f t="shared" si="0"/>
        <v>0</v>
      </c>
      <c r="F201">
        <f>IF($A201="","",IF($E201=1,_xlfn.SUMIFS(Compta!$F$1:$F$1448,Compta!$A$1:$A$1448,$A201,Compta!$B$1:$B$1448,$B201,Compta!$C$1:$C$1448,"2026"),0))</f>
        <v>0</v>
      </c>
      <c r="G201" t="s">
        <v>274</v>
      </c>
      <c r="H201" t="s">
        <v>274</v>
      </c>
      <c r="I201" t="s">
        <v>274</v>
      </c>
      <c r="J201" t="s">
        <v>274</v>
      </c>
      <c r="K201" t="s">
        <v>274</v>
      </c>
      <c r="L201" t="s">
        <v>274</v>
      </c>
      <c r="M201" t="s">
        <v>274</v>
      </c>
      <c r="N201" t="e">
        <f t="shared" si="1"/>
        <v>#VALUE!</v>
      </c>
      <c r="O201" t="e">
        <f t="shared" si="2"/>
        <v>#VALUE!</v>
      </c>
      <c r="P201">
        <f>IF($A201="","",IF($E201=1,$F201*$O201,PNL!G201))</f>
        <v>24722</v>
      </c>
      <c r="T201">
        <f t="shared" si="3"/>
        <v>0</v>
      </c>
    </row>
    <row r="202" ht="14.25" customHeight="1">
      <c r="A202" t="str">
        <f>IF(PNL!A202="","",PNL!A202)</f>
        <v>PIGIER_BOR</v>
      </c>
      <c r="B202" t="str">
        <f>IF(PNL!B202="","",PNL!B202)</f>
        <v>6063</v>
      </c>
      <c r="C202" t="str">
        <f>IF(PNL!C202="","",PNL!C202)</f>
        <v>2024</v>
      </c>
      <c r="D202" t="str">
        <f>IF(PNL!D202="","",PNL!D202)</f>
        <v>ACT</v>
      </c>
      <c r="E202">
        <f t="shared" si="0"/>
        <v>0</v>
      </c>
      <c r="F202">
        <f>IF($A202="","",IF($E202=1,_xlfn.SUMIFS(Compta!$F$1:$F$1448,Compta!$A$1:$A$1448,$A202,Compta!$B$1:$B$1448,$B202,Compta!$C$1:$C$1448,"2026"),0))</f>
        <v>0</v>
      </c>
      <c r="G202" t="s">
        <v>274</v>
      </c>
      <c r="H202" t="s">
        <v>274</v>
      </c>
      <c r="I202" t="s">
        <v>274</v>
      </c>
      <c r="J202" t="s">
        <v>274</v>
      </c>
      <c r="K202" t="s">
        <v>274</v>
      </c>
      <c r="L202" t="s">
        <v>274</v>
      </c>
      <c r="M202" t="s">
        <v>274</v>
      </c>
      <c r="N202" t="e">
        <f t="shared" si="1"/>
        <v>#VALUE!</v>
      </c>
      <c r="O202" t="e">
        <f t="shared" si="2"/>
        <v>#VALUE!</v>
      </c>
      <c r="P202">
        <f>IF($A202="","",IF($E202=1,$F202*$O202,PNL!G202))</f>
        <v>19288</v>
      </c>
      <c r="T202">
        <f t="shared" si="3"/>
        <v>0</v>
      </c>
    </row>
    <row r="203" ht="14.25" customHeight="1">
      <c r="A203" t="str">
        <f>IF(PNL!A203="","",PNL!A203)</f>
        <v>TUNON_PAR</v>
      </c>
      <c r="B203" t="str">
        <f>IF(PNL!B203="","",PNL!B203)</f>
        <v>6063</v>
      </c>
      <c r="C203" t="str">
        <f>IF(PNL!C203="","",PNL!C203)</f>
        <v>2024</v>
      </c>
      <c r="D203" t="str">
        <f>IF(PNL!D203="","",PNL!D203)</f>
        <v>ACT</v>
      </c>
      <c r="E203">
        <f t="shared" si="0"/>
        <v>0</v>
      </c>
      <c r="F203">
        <f>IF($A203="","",IF($E203=1,_xlfn.SUMIFS(Compta!$F$1:$F$1448,Compta!$A$1:$A$1448,$A203,Compta!$B$1:$B$1448,$B203,Compta!$C$1:$C$1448,"2026"),0))</f>
        <v>0</v>
      </c>
      <c r="G203" t="s">
        <v>274</v>
      </c>
      <c r="H203" t="s">
        <v>274</v>
      </c>
      <c r="I203" t="s">
        <v>274</v>
      </c>
      <c r="J203" t="s">
        <v>274</v>
      </c>
      <c r="K203" t="s">
        <v>274</v>
      </c>
      <c r="L203" t="s">
        <v>274</v>
      </c>
      <c r="M203" t="s">
        <v>274</v>
      </c>
      <c r="N203" t="e">
        <f t="shared" si="1"/>
        <v>#VALUE!</v>
      </c>
      <c r="O203" t="e">
        <f t="shared" si="2"/>
        <v>#VALUE!</v>
      </c>
      <c r="P203">
        <f>IF($A203="","",IF($E203=1,$F203*$O203,PNL!G203))</f>
        <v>18745</v>
      </c>
      <c r="T203">
        <f t="shared" si="3"/>
        <v>0</v>
      </c>
    </row>
    <row r="204" ht="14.25" customHeight="1">
      <c r="A204" t="str">
        <f>IF(PNL!A204="","",PNL!A204)</f>
        <v>TUNON_LYO</v>
      </c>
      <c r="B204" t="str">
        <f>IF(PNL!B204="","",PNL!B204)</f>
        <v>6063</v>
      </c>
      <c r="C204" t="str">
        <f>IF(PNL!C204="","",PNL!C204)</f>
        <v>2024</v>
      </c>
      <c r="D204" t="str">
        <f>IF(PNL!D204="","",PNL!D204)</f>
        <v>ACT</v>
      </c>
      <c r="E204">
        <f t="shared" si="0"/>
        <v>0</v>
      </c>
      <c r="F204">
        <f>IF($A204="","",IF($E204=1,_xlfn.SUMIFS(Compta!$F$1:$F$1448,Compta!$A$1:$A$1448,$A204,Compta!$B$1:$B$1448,$B204,Compta!$C$1:$C$1448,"2026"),0))</f>
        <v>0</v>
      </c>
      <c r="G204" t="s">
        <v>274</v>
      </c>
      <c r="H204" t="s">
        <v>274</v>
      </c>
      <c r="I204" t="s">
        <v>274</v>
      </c>
      <c r="J204" t="s">
        <v>274</v>
      </c>
      <c r="K204" t="s">
        <v>274</v>
      </c>
      <c r="L204" t="s">
        <v>274</v>
      </c>
      <c r="M204" t="s">
        <v>274</v>
      </c>
      <c r="N204" t="e">
        <f t="shared" si="1"/>
        <v>#VALUE!</v>
      </c>
      <c r="O204" t="e">
        <f t="shared" si="2"/>
        <v>#VALUE!</v>
      </c>
      <c r="P204">
        <f>IF($A204="","",IF($E204=1,$F204*$O204,PNL!G204))</f>
        <v>15892</v>
      </c>
      <c r="T204">
        <f t="shared" si="3"/>
        <v>0</v>
      </c>
    </row>
    <row r="205" ht="14.25" customHeight="1">
      <c r="A205" t="str">
        <f>IF(PNL!A205="","",PNL!A205)</f>
        <v>MBWAY_PAR</v>
      </c>
      <c r="B205" t="str">
        <f>IF(PNL!B205="","",PNL!B205)</f>
        <v>6063</v>
      </c>
      <c r="C205" t="str">
        <f>IF(PNL!C205="","",PNL!C205)</f>
        <v>2025</v>
      </c>
      <c r="D205" t="str">
        <f>IF(PNL!D205="","",PNL!D205)</f>
        <v>ACT</v>
      </c>
      <c r="E205">
        <f t="shared" si="0"/>
        <v>0</v>
      </c>
      <c r="F205">
        <f>IF($A205="","",IF($E205=1,_xlfn.SUMIFS(Compta!$F$1:$F$1448,Compta!$A$1:$A$1448,$A205,Compta!$B$1:$B$1448,$B205,Compta!$C$1:$C$1448,"2026"),0))</f>
        <v>0</v>
      </c>
      <c r="G205" t="s">
        <v>274</v>
      </c>
      <c r="H205" t="s">
        <v>274</v>
      </c>
      <c r="I205" t="s">
        <v>274</v>
      </c>
      <c r="J205" t="s">
        <v>274</v>
      </c>
      <c r="K205" t="s">
        <v>274</v>
      </c>
      <c r="L205" t="s">
        <v>274</v>
      </c>
      <c r="M205" t="s">
        <v>274</v>
      </c>
      <c r="N205" t="e">
        <f t="shared" si="1"/>
        <v>#VALUE!</v>
      </c>
      <c r="O205" t="e">
        <f t="shared" si="2"/>
        <v>#VALUE!</v>
      </c>
      <c r="P205">
        <f>IF($A205="","",IF($E205=1,$F205*$O205,PNL!G205))</f>
        <v>54266</v>
      </c>
      <c r="T205">
        <f t="shared" si="3"/>
        <v>0</v>
      </c>
    </row>
    <row r="206" ht="14.25" customHeight="1">
      <c r="A206" t="str">
        <f>IF(PNL!A206="","",PNL!A206)</f>
        <v>MBWAY_LYO</v>
      </c>
      <c r="B206" t="str">
        <f>IF(PNL!B206="","",PNL!B206)</f>
        <v>6063</v>
      </c>
      <c r="C206" t="str">
        <f>IF(PNL!C206="","",PNL!C206)</f>
        <v>2025</v>
      </c>
      <c r="D206" t="str">
        <f>IF(PNL!D206="","",PNL!D206)</f>
        <v>ACT</v>
      </c>
      <c r="E206">
        <f t="shared" si="0"/>
        <v>0</v>
      </c>
      <c r="F206">
        <f>IF($A206="","",IF($E206=1,_xlfn.SUMIFS(Compta!$F$1:$F$1448,Compta!$A$1:$A$1448,$A206,Compta!$B$1:$B$1448,$B206,Compta!$C$1:$C$1448,"2026"),0))</f>
        <v>0</v>
      </c>
      <c r="G206" t="s">
        <v>274</v>
      </c>
      <c r="H206" t="s">
        <v>274</v>
      </c>
      <c r="I206" t="s">
        <v>274</v>
      </c>
      <c r="J206" t="s">
        <v>274</v>
      </c>
      <c r="K206" t="s">
        <v>274</v>
      </c>
      <c r="L206" t="s">
        <v>274</v>
      </c>
      <c r="M206" t="s">
        <v>274</v>
      </c>
      <c r="N206" t="e">
        <f t="shared" si="1"/>
        <v>#VALUE!</v>
      </c>
      <c r="O206" t="e">
        <f t="shared" si="2"/>
        <v>#VALUE!</v>
      </c>
      <c r="P206">
        <f>IF($A206="","",IF($E206=1,$F206*$O206,PNL!G206))</f>
        <v>46027</v>
      </c>
      <c r="T206">
        <f t="shared" si="3"/>
        <v>0</v>
      </c>
    </row>
    <row r="207" ht="14.25" customHeight="1">
      <c r="A207" t="str">
        <f>IF(PNL!A207="","",PNL!A207)</f>
        <v>MBWAY_NAN</v>
      </c>
      <c r="B207" t="str">
        <f>IF(PNL!B207="","",PNL!B207)</f>
        <v>6063</v>
      </c>
      <c r="C207" t="str">
        <f>IF(PNL!C207="","",PNL!C207)</f>
        <v>2025</v>
      </c>
      <c r="D207" t="str">
        <f>IF(PNL!D207="","",PNL!D207)</f>
        <v>ACT</v>
      </c>
      <c r="E207">
        <f t="shared" si="0"/>
        <v>0</v>
      </c>
      <c r="F207">
        <f>IF($A207="","",IF($E207=1,_xlfn.SUMIFS(Compta!$F$1:$F$1448,Compta!$A$1:$A$1448,$A207,Compta!$B$1:$B$1448,$B207,Compta!$C$1:$C$1448,"2026"),0))</f>
        <v>0</v>
      </c>
      <c r="G207" t="s">
        <v>274</v>
      </c>
      <c r="H207" t="s">
        <v>274</v>
      </c>
      <c r="I207" t="s">
        <v>274</v>
      </c>
      <c r="J207" t="s">
        <v>274</v>
      </c>
      <c r="K207" t="s">
        <v>274</v>
      </c>
      <c r="L207" t="s">
        <v>274</v>
      </c>
      <c r="M207" t="s">
        <v>274</v>
      </c>
      <c r="N207" t="e">
        <f t="shared" si="1"/>
        <v>#VALUE!</v>
      </c>
      <c r="O207" t="e">
        <f t="shared" si="2"/>
        <v>#VALUE!</v>
      </c>
      <c r="P207">
        <f>IF($A207="","",IF($E207=1,$F207*$O207,PNL!G207))</f>
        <v>41765</v>
      </c>
      <c r="T207">
        <f t="shared" si="3"/>
        <v>0</v>
      </c>
    </row>
    <row r="208" ht="14.25" customHeight="1">
      <c r="A208" t="str">
        <f>IF(PNL!A208="","",PNL!A208)</f>
        <v>MBWAY_BOR</v>
      </c>
      <c r="B208" t="str">
        <f>IF(PNL!B208="","",PNL!B208)</f>
        <v>6063</v>
      </c>
      <c r="C208" t="str">
        <f>IF(PNL!C208="","",PNL!C208)</f>
        <v>2025</v>
      </c>
      <c r="D208" t="str">
        <f>IF(PNL!D208="","",PNL!D208)</f>
        <v>ACT</v>
      </c>
      <c r="E208">
        <f t="shared" si="0"/>
        <v>0</v>
      </c>
      <c r="F208">
        <f>IF($A208="","",IF($E208=1,_xlfn.SUMIFS(Compta!$F$1:$F$1448,Compta!$A$1:$A$1448,$A208,Compta!$B$1:$B$1448,$B208,Compta!$C$1:$C$1448,"2026"),0))</f>
        <v>0</v>
      </c>
      <c r="G208" t="s">
        <v>274</v>
      </c>
      <c r="H208" t="s">
        <v>274</v>
      </c>
      <c r="I208" t="s">
        <v>274</v>
      </c>
      <c r="J208" t="s">
        <v>274</v>
      </c>
      <c r="K208" t="s">
        <v>274</v>
      </c>
      <c r="L208" t="s">
        <v>274</v>
      </c>
      <c r="M208" t="s">
        <v>274</v>
      </c>
      <c r="N208" t="e">
        <f t="shared" si="1"/>
        <v>#VALUE!</v>
      </c>
      <c r="O208" t="e">
        <f t="shared" si="2"/>
        <v>#VALUE!</v>
      </c>
      <c r="P208">
        <f>IF($A208="","",IF($E208=1,$F208*$O208,PNL!G208))</f>
        <v>35372</v>
      </c>
      <c r="T208">
        <f t="shared" si="3"/>
        <v>0</v>
      </c>
    </row>
    <row r="209" ht="14.25" customHeight="1">
      <c r="A209" t="str">
        <f>IF(PNL!A209="","",PNL!A209)</f>
        <v>ISCOM_PAR</v>
      </c>
      <c r="B209" t="str">
        <f>IF(PNL!B209="","",PNL!B209)</f>
        <v>6063</v>
      </c>
      <c r="C209" t="str">
        <f>IF(PNL!C209="","",PNL!C209)</f>
        <v>2025</v>
      </c>
      <c r="D209" t="str">
        <f>IF(PNL!D209="","",PNL!D209)</f>
        <v>ACT</v>
      </c>
      <c r="E209">
        <f t="shared" si="0"/>
        <v>0</v>
      </c>
      <c r="F209">
        <f>IF($A209="","",IF($E209=1,_xlfn.SUMIFS(Compta!$F$1:$F$1448,Compta!$A$1:$A$1448,$A209,Compta!$B$1:$B$1448,$B209,Compta!$C$1:$C$1448,"2026"),0))</f>
        <v>0</v>
      </c>
      <c r="G209" t="s">
        <v>274</v>
      </c>
      <c r="H209" t="s">
        <v>274</v>
      </c>
      <c r="I209" t="s">
        <v>274</v>
      </c>
      <c r="J209" t="s">
        <v>274</v>
      </c>
      <c r="K209" t="s">
        <v>274</v>
      </c>
      <c r="L209" t="s">
        <v>274</v>
      </c>
      <c r="M209" t="s">
        <v>274</v>
      </c>
      <c r="N209" t="e">
        <f t="shared" si="1"/>
        <v>#VALUE!</v>
      </c>
      <c r="O209" t="e">
        <f t="shared" si="2"/>
        <v>#VALUE!</v>
      </c>
      <c r="P209">
        <f>IF($A209="","",IF($E209=1,$F209*$O209,PNL!G209))</f>
        <v>50288</v>
      </c>
      <c r="T209">
        <f t="shared" si="3"/>
        <v>0</v>
      </c>
    </row>
    <row r="210" ht="14.25" customHeight="1">
      <c r="A210" t="str">
        <f>IF(PNL!A210="","",PNL!A210)</f>
        <v>ISCOM_LIL</v>
      </c>
      <c r="B210" t="str">
        <f>IF(PNL!B210="","",PNL!B210)</f>
        <v>6063</v>
      </c>
      <c r="C210" t="str">
        <f>IF(PNL!C210="","",PNL!C210)</f>
        <v>2025</v>
      </c>
      <c r="D210" t="str">
        <f>IF(PNL!D210="","",PNL!D210)</f>
        <v>ACT</v>
      </c>
      <c r="E210">
        <f t="shared" si="0"/>
        <v>0</v>
      </c>
      <c r="F210">
        <f>IF($A210="","",IF($E210=1,_xlfn.SUMIFS(Compta!$F$1:$F$1448,Compta!$A$1:$A$1448,$A210,Compta!$B$1:$B$1448,$B210,Compta!$C$1:$C$1448,"2026"),0))</f>
        <v>0</v>
      </c>
      <c r="G210" t="s">
        <v>274</v>
      </c>
      <c r="H210" t="s">
        <v>274</v>
      </c>
      <c r="I210" t="s">
        <v>274</v>
      </c>
      <c r="J210" t="s">
        <v>274</v>
      </c>
      <c r="K210" t="s">
        <v>274</v>
      </c>
      <c r="L210" t="s">
        <v>274</v>
      </c>
      <c r="M210" t="s">
        <v>274</v>
      </c>
      <c r="N210" t="e">
        <f t="shared" si="1"/>
        <v>#VALUE!</v>
      </c>
      <c r="O210" t="e">
        <f t="shared" si="2"/>
        <v>#VALUE!</v>
      </c>
      <c r="P210">
        <f>IF($A210="","",IF($E210=1,$F210*$O210,PNL!G210))</f>
        <v>34662</v>
      </c>
      <c r="T210">
        <f t="shared" si="3"/>
        <v>0</v>
      </c>
    </row>
    <row r="211" ht="14.25" customHeight="1">
      <c r="A211" t="str">
        <f>IF(PNL!A211="","",PNL!A211)</f>
        <v>ISCOM_TLS</v>
      </c>
      <c r="B211" t="str">
        <f>IF(PNL!B211="","",PNL!B211)</f>
        <v>6063</v>
      </c>
      <c r="C211" t="str">
        <f>IF(PNL!C211="","",PNL!C211)</f>
        <v>2025</v>
      </c>
      <c r="D211" t="str">
        <f>IF(PNL!D211="","",PNL!D211)</f>
        <v>ACT</v>
      </c>
      <c r="E211">
        <f t="shared" si="0"/>
        <v>0</v>
      </c>
      <c r="F211">
        <f>IF($A211="","",IF($E211=1,_xlfn.SUMIFS(Compta!$F$1:$F$1448,Compta!$A$1:$A$1448,$A211,Compta!$B$1:$B$1448,$B211,Compta!$C$1:$C$1448,"2026"),0))</f>
        <v>0</v>
      </c>
      <c r="G211" t="s">
        <v>274</v>
      </c>
      <c r="H211" t="s">
        <v>274</v>
      </c>
      <c r="I211" t="s">
        <v>274</v>
      </c>
      <c r="J211" t="s">
        <v>274</v>
      </c>
      <c r="K211" t="s">
        <v>274</v>
      </c>
      <c r="L211" t="s">
        <v>274</v>
      </c>
      <c r="M211" t="s">
        <v>274</v>
      </c>
      <c r="N211" t="e">
        <f t="shared" si="1"/>
        <v>#VALUE!</v>
      </c>
      <c r="O211" t="e">
        <f t="shared" si="2"/>
        <v>#VALUE!</v>
      </c>
      <c r="P211">
        <f>IF($A211="","",IF($E211=1,$F211*$O211,PNL!G211))</f>
        <v>32815</v>
      </c>
      <c r="T211">
        <f t="shared" si="3"/>
        <v>0</v>
      </c>
    </row>
    <row r="212" ht="14.25" customHeight="1">
      <c r="A212" t="str">
        <f>IF(PNL!A212="","",PNL!A212)</f>
        <v>IPAC_NAN</v>
      </c>
      <c r="B212" t="str">
        <f>IF(PNL!B212="","",PNL!B212)</f>
        <v>6063</v>
      </c>
      <c r="C212" t="str">
        <f>IF(PNL!C212="","",PNL!C212)</f>
        <v>2025</v>
      </c>
      <c r="D212" t="str">
        <f>IF(PNL!D212="","",PNL!D212)</f>
        <v>ACT</v>
      </c>
      <c r="E212">
        <f t="shared" si="0"/>
        <v>0</v>
      </c>
      <c r="F212">
        <f>IF($A212="","",IF($E212=1,_xlfn.SUMIFS(Compta!$F$1:$F$1448,Compta!$A$1:$A$1448,$A212,Compta!$B$1:$B$1448,$B212,Compta!$C$1:$C$1448,"2026"),0))</f>
        <v>0</v>
      </c>
      <c r="G212" t="s">
        <v>274</v>
      </c>
      <c r="H212" t="s">
        <v>274</v>
      </c>
      <c r="I212" t="s">
        <v>274</v>
      </c>
      <c r="J212" t="s">
        <v>274</v>
      </c>
      <c r="K212" t="s">
        <v>274</v>
      </c>
      <c r="L212" t="s">
        <v>274</v>
      </c>
      <c r="M212" t="s">
        <v>274</v>
      </c>
      <c r="N212" t="e">
        <f t="shared" si="1"/>
        <v>#VALUE!</v>
      </c>
      <c r="O212" t="e">
        <f t="shared" si="2"/>
        <v>#VALUE!</v>
      </c>
      <c r="P212">
        <f>IF($A212="","",IF($E212=1,$F212*$O212,PNL!G212))</f>
        <v>20598</v>
      </c>
      <c r="T212">
        <f t="shared" si="3"/>
        <v>0</v>
      </c>
    </row>
    <row r="213" ht="14.25" customHeight="1">
      <c r="A213" t="str">
        <f>IF(PNL!A213="","",PNL!A213)</f>
        <v>IPAC_REN</v>
      </c>
      <c r="B213" t="str">
        <f>IF(PNL!B213="","",PNL!B213)</f>
        <v>6063</v>
      </c>
      <c r="C213" t="str">
        <f>IF(PNL!C213="","",PNL!C213)</f>
        <v>2025</v>
      </c>
      <c r="D213" t="str">
        <f>IF(PNL!D213="","",PNL!D213)</f>
        <v>ACT</v>
      </c>
      <c r="E213">
        <f t="shared" si="0"/>
        <v>0</v>
      </c>
      <c r="F213">
        <f>IF($A213="","",IF($E213=1,_xlfn.SUMIFS(Compta!$F$1:$F$1448,Compta!$A$1:$A$1448,$A213,Compta!$B$1:$B$1448,$B213,Compta!$C$1:$C$1448,"2026"),0))</f>
        <v>0</v>
      </c>
      <c r="G213" t="s">
        <v>274</v>
      </c>
      <c r="H213" t="s">
        <v>274</v>
      </c>
      <c r="I213" t="s">
        <v>274</v>
      </c>
      <c r="J213" t="s">
        <v>274</v>
      </c>
      <c r="K213" t="s">
        <v>274</v>
      </c>
      <c r="L213" t="s">
        <v>274</v>
      </c>
      <c r="M213" t="s">
        <v>274</v>
      </c>
      <c r="N213" t="e">
        <f t="shared" si="1"/>
        <v>#VALUE!</v>
      </c>
      <c r="O213" t="e">
        <f t="shared" si="2"/>
        <v>#VALUE!</v>
      </c>
      <c r="P213">
        <f>IF($A213="","",IF($E213=1,$F213*$O213,PNL!G213))</f>
        <v>16621</v>
      </c>
      <c r="T213">
        <f t="shared" si="3"/>
        <v>0</v>
      </c>
    </row>
    <row r="214" ht="14.25" customHeight="1">
      <c r="A214" t="str">
        <f>IF(PNL!A214="","",PNL!A214)</f>
        <v>IPAC_MTP</v>
      </c>
      <c r="B214" t="str">
        <f>IF(PNL!B214="","",PNL!B214)</f>
        <v>6063</v>
      </c>
      <c r="C214" t="str">
        <f>IF(PNL!C214="","",PNL!C214)</f>
        <v>2025</v>
      </c>
      <c r="D214" t="str">
        <f>IF(PNL!D214="","",PNL!D214)</f>
        <v>ACT</v>
      </c>
      <c r="E214">
        <f t="shared" si="0"/>
        <v>0</v>
      </c>
      <c r="F214">
        <f>IF($A214="","",IF($E214=1,_xlfn.SUMIFS(Compta!$F$1:$F$1448,Compta!$A$1:$A$1448,$A214,Compta!$B$1:$B$1448,$B214,Compta!$C$1:$C$1448,"2026"),0))</f>
        <v>0</v>
      </c>
      <c r="G214" t="s">
        <v>274</v>
      </c>
      <c r="H214" t="s">
        <v>274</v>
      </c>
      <c r="I214" t="s">
        <v>274</v>
      </c>
      <c r="J214" t="s">
        <v>274</v>
      </c>
      <c r="K214" t="s">
        <v>274</v>
      </c>
      <c r="L214" t="s">
        <v>274</v>
      </c>
      <c r="M214" t="s">
        <v>274</v>
      </c>
      <c r="N214" t="e">
        <f t="shared" si="1"/>
        <v>#VALUE!</v>
      </c>
      <c r="O214" t="e">
        <f t="shared" si="2"/>
        <v>#VALUE!</v>
      </c>
      <c r="P214">
        <f>IF($A214="","",IF($E214=1,$F214*$O214,PNL!G214))</f>
        <v>16621</v>
      </c>
      <c r="T214">
        <f t="shared" si="3"/>
        <v>0</v>
      </c>
    </row>
    <row r="215" ht="14.25" customHeight="1">
      <c r="A215" t="str">
        <f>IF(PNL!A215="","",PNL!A215)</f>
        <v>PIGIER_LYO</v>
      </c>
      <c r="B215" t="str">
        <f>IF(PNL!B215="","",PNL!B215)</f>
        <v>6063</v>
      </c>
      <c r="C215" t="str">
        <f>IF(PNL!C215="","",PNL!C215)</f>
        <v>2025</v>
      </c>
      <c r="D215" t="str">
        <f>IF(PNL!D215="","",PNL!D215)</f>
        <v>ACT</v>
      </c>
      <c r="E215">
        <f t="shared" si="0"/>
        <v>0</v>
      </c>
      <c r="F215">
        <f>IF($A215="","",IF($E215=1,_xlfn.SUMIFS(Compta!$F$1:$F$1448,Compta!$A$1:$A$1448,$A215,Compta!$B$1:$B$1448,$B215,Compta!$C$1:$C$1448,"2026"),0))</f>
        <v>0</v>
      </c>
      <c r="G215" t="s">
        <v>274</v>
      </c>
      <c r="H215" t="s">
        <v>274</v>
      </c>
      <c r="I215" t="s">
        <v>274</v>
      </c>
      <c r="J215" t="s">
        <v>274</v>
      </c>
      <c r="K215" t="s">
        <v>274</v>
      </c>
      <c r="L215" t="s">
        <v>274</v>
      </c>
      <c r="M215" t="s">
        <v>274</v>
      </c>
      <c r="N215" t="e">
        <f t="shared" si="1"/>
        <v>#VALUE!</v>
      </c>
      <c r="O215" t="e">
        <f t="shared" si="2"/>
        <v>#VALUE!</v>
      </c>
      <c r="P215">
        <f>IF($A215="","",IF($E215=1,$F215*$O215,PNL!G215))</f>
        <v>25854</v>
      </c>
      <c r="T215">
        <f t="shared" si="3"/>
        <v>0</v>
      </c>
    </row>
    <row r="216" ht="14.25" customHeight="1">
      <c r="A216" t="str">
        <f>IF(PNL!A216="","",PNL!A216)</f>
        <v>PIGIER_BOR</v>
      </c>
      <c r="B216" t="str">
        <f>IF(PNL!B216="","",PNL!B216)</f>
        <v>6063</v>
      </c>
      <c r="C216" t="str">
        <f>IF(PNL!C216="","",PNL!C216)</f>
        <v>2025</v>
      </c>
      <c r="D216" t="str">
        <f>IF(PNL!D216="","",PNL!D216)</f>
        <v>ACT</v>
      </c>
      <c r="E216">
        <f t="shared" si="0"/>
        <v>0</v>
      </c>
      <c r="F216">
        <f>IF($A216="","",IF($E216=1,_xlfn.SUMIFS(Compta!$F$1:$F$1448,Compta!$A$1:$A$1448,$A216,Compta!$B$1:$B$1448,$B216,Compta!$C$1:$C$1448,"2026"),0))</f>
        <v>0</v>
      </c>
      <c r="G216" t="s">
        <v>274</v>
      </c>
      <c r="H216" t="s">
        <v>274</v>
      </c>
      <c r="I216" t="s">
        <v>274</v>
      </c>
      <c r="J216" t="s">
        <v>274</v>
      </c>
      <c r="K216" t="s">
        <v>274</v>
      </c>
      <c r="L216" t="s">
        <v>274</v>
      </c>
      <c r="M216" t="s">
        <v>274</v>
      </c>
      <c r="N216" t="e">
        <f t="shared" si="1"/>
        <v>#VALUE!</v>
      </c>
      <c r="O216" t="e">
        <f t="shared" si="2"/>
        <v>#VALUE!</v>
      </c>
      <c r="P216">
        <f>IF($A216="","",IF($E216=1,$F216*$O216,PNL!G216))</f>
        <v>20172</v>
      </c>
      <c r="T216">
        <f t="shared" si="3"/>
        <v>0</v>
      </c>
    </row>
    <row r="217" ht="14.25" customHeight="1">
      <c r="A217" t="str">
        <f>IF(PNL!A217="","",PNL!A217)</f>
        <v>TUNON_PAR</v>
      </c>
      <c r="B217" t="str">
        <f>IF(PNL!B217="","",PNL!B217)</f>
        <v>6063</v>
      </c>
      <c r="C217" t="str">
        <f>IF(PNL!C217="","",PNL!C217)</f>
        <v>2025</v>
      </c>
      <c r="D217" t="str">
        <f>IF(PNL!D217="","",PNL!D217)</f>
        <v>ACT</v>
      </c>
      <c r="E217">
        <f t="shared" si="0"/>
        <v>0</v>
      </c>
      <c r="F217">
        <f>IF($A217="","",IF($E217=1,_xlfn.SUMIFS(Compta!$F$1:$F$1448,Compta!$A$1:$A$1448,$A217,Compta!$B$1:$B$1448,$B217,Compta!$C$1:$C$1448,"2026"),0))</f>
        <v>0</v>
      </c>
      <c r="G217" t="s">
        <v>274</v>
      </c>
      <c r="H217" t="s">
        <v>274</v>
      </c>
      <c r="I217" t="s">
        <v>274</v>
      </c>
      <c r="J217" t="s">
        <v>274</v>
      </c>
      <c r="K217" t="s">
        <v>274</v>
      </c>
      <c r="L217" t="s">
        <v>274</v>
      </c>
      <c r="M217" t="s">
        <v>274</v>
      </c>
      <c r="N217" t="e">
        <f t="shared" si="1"/>
        <v>#VALUE!</v>
      </c>
      <c r="O217" t="e">
        <f t="shared" si="2"/>
        <v>#VALUE!</v>
      </c>
      <c r="P217">
        <f>IF($A217="","",IF($E217=1,$F217*$O217,PNL!G217))</f>
        <v>19604</v>
      </c>
      <c r="T217">
        <f t="shared" si="3"/>
        <v>0</v>
      </c>
    </row>
    <row r="218" ht="14.25" customHeight="1">
      <c r="A218" t="str">
        <f>IF(PNL!A218="","",PNL!A218)</f>
        <v>TUNON_LYO</v>
      </c>
      <c r="B218" t="str">
        <f>IF(PNL!B218="","",PNL!B218)</f>
        <v>6063</v>
      </c>
      <c r="C218" t="str">
        <f>IF(PNL!C218="","",PNL!C218)</f>
        <v>2025</v>
      </c>
      <c r="D218" t="str">
        <f>IF(PNL!D218="","",PNL!D218)</f>
        <v>ACT</v>
      </c>
      <c r="E218">
        <f t="shared" si="0"/>
        <v>0</v>
      </c>
      <c r="F218">
        <f>IF($A218="","",IF($E218=1,_xlfn.SUMIFS(Compta!$F$1:$F$1448,Compta!$A$1:$A$1448,$A218,Compta!$B$1:$B$1448,$B218,Compta!$C$1:$C$1448,"2026"),0))</f>
        <v>0</v>
      </c>
      <c r="G218" t="s">
        <v>274</v>
      </c>
      <c r="H218" t="s">
        <v>274</v>
      </c>
      <c r="I218" t="s">
        <v>274</v>
      </c>
      <c r="J218" t="s">
        <v>274</v>
      </c>
      <c r="K218" t="s">
        <v>274</v>
      </c>
      <c r="L218" t="s">
        <v>274</v>
      </c>
      <c r="M218" t="s">
        <v>274</v>
      </c>
      <c r="N218" t="e">
        <f t="shared" si="1"/>
        <v>#VALUE!</v>
      </c>
      <c r="O218" t="e">
        <f t="shared" si="2"/>
        <v>#VALUE!</v>
      </c>
      <c r="P218">
        <f>IF($A218="","",IF($E218=1,$F218*$O218,PNL!G218))</f>
        <v>16621</v>
      </c>
      <c r="T218">
        <f t="shared" si="3"/>
        <v>0</v>
      </c>
    </row>
    <row r="219" ht="14.25" customHeight="1">
      <c r="A219" t="str">
        <f>IF(PNL!A219="","",PNL!A219)</f>
        <v>MBWAY_PAR</v>
      </c>
      <c r="B219" t="str">
        <f>IF(PNL!B219="","",PNL!B219)</f>
        <v>6063</v>
      </c>
      <c r="C219" t="str">
        <f>IF(PNL!C219="","",PNL!C219)</f>
        <v>2026</v>
      </c>
      <c r="D219" t="str">
        <f>IF(PNL!D219="","",PNL!D219)</f>
        <v>ACT</v>
      </c>
      <c r="E219">
        <f t="shared" si="0"/>
        <v>0</v>
      </c>
      <c r="F219">
        <f>IF($A219="","",IF($E219=1,_xlfn.SUMIFS(Compta!$F$1:$F$1448,Compta!$A$1:$A$1448,$A219,Compta!$B$1:$B$1448,$B219,Compta!$C$1:$C$1448,"2026"),0))</f>
        <v>0</v>
      </c>
      <c r="G219" t="s">
        <v>274</v>
      </c>
      <c r="H219" t="s">
        <v>274</v>
      </c>
      <c r="I219" t="s">
        <v>274</v>
      </c>
      <c r="J219" t="s">
        <v>274</v>
      </c>
      <c r="K219" t="s">
        <v>274</v>
      </c>
      <c r="L219" t="s">
        <v>274</v>
      </c>
      <c r="M219" t="s">
        <v>274</v>
      </c>
      <c r="N219" t="e">
        <f t="shared" si="1"/>
        <v>#VALUE!</v>
      </c>
      <c r="O219" t="e">
        <f t="shared" si="2"/>
        <v>#VALUE!</v>
      </c>
      <c r="P219">
        <f>IF($A219="","",IF($E219=1,$F219*$O219,PNL!G219))</f>
        <v>56856</v>
      </c>
      <c r="T219">
        <f t="shared" si="3"/>
        <v>0</v>
      </c>
    </row>
    <row r="220" ht="14.25" customHeight="1">
      <c r="A220" t="str">
        <f>IF(PNL!A220="","",PNL!A220)</f>
        <v>MBWAY_LYO</v>
      </c>
      <c r="B220" t="str">
        <f>IF(PNL!B220="","",PNL!B220)</f>
        <v>6063</v>
      </c>
      <c r="C220" t="str">
        <f>IF(PNL!C220="","",PNL!C220)</f>
        <v>2026</v>
      </c>
      <c r="D220" t="str">
        <f>IF(PNL!D220="","",PNL!D220)</f>
        <v>ACT</v>
      </c>
      <c r="E220">
        <f t="shared" si="0"/>
        <v>0</v>
      </c>
      <c r="F220">
        <f>IF($A220="","",IF($E220=1,_xlfn.SUMIFS(Compta!$F$1:$F$1448,Compta!$A$1:$A$1448,$A220,Compta!$B$1:$B$1448,$B220,Compta!$C$1:$C$1448,"2026"),0))</f>
        <v>0</v>
      </c>
      <c r="G220" t="s">
        <v>274</v>
      </c>
      <c r="H220" t="s">
        <v>274</v>
      </c>
      <c r="I220" t="s">
        <v>274</v>
      </c>
      <c r="J220" t="s">
        <v>274</v>
      </c>
      <c r="K220" t="s">
        <v>274</v>
      </c>
      <c r="L220" t="s">
        <v>274</v>
      </c>
      <c r="M220" t="s">
        <v>274</v>
      </c>
      <c r="N220" t="e">
        <f t="shared" si="1"/>
        <v>#VALUE!</v>
      </c>
      <c r="O220" t="e">
        <f t="shared" si="2"/>
        <v>#VALUE!</v>
      </c>
      <c r="P220">
        <f>IF($A220="","",IF($E220=1,$F220*$O220,PNL!G220))</f>
        <v>48224</v>
      </c>
      <c r="T220">
        <f t="shared" si="3"/>
        <v>0</v>
      </c>
    </row>
    <row r="221" ht="14.25" customHeight="1">
      <c r="A221" t="str">
        <f>IF(PNL!A221="","",PNL!A221)</f>
        <v>MBWAY_NAN</v>
      </c>
      <c r="B221" t="str">
        <f>IF(PNL!B221="","",PNL!B221)</f>
        <v>6063</v>
      </c>
      <c r="C221" t="str">
        <f>IF(PNL!C221="","",PNL!C221)</f>
        <v>2026</v>
      </c>
      <c r="D221" t="str">
        <f>IF(PNL!D221="","",PNL!D221)</f>
        <v>ACT</v>
      </c>
      <c r="E221">
        <f t="shared" si="0"/>
        <v>0</v>
      </c>
      <c r="F221">
        <f>IF($A221="","",IF($E221=1,_xlfn.SUMIFS(Compta!$F$1:$F$1448,Compta!$A$1:$A$1448,$A221,Compta!$B$1:$B$1448,$B221,Compta!$C$1:$C$1448,"2026"),0))</f>
        <v>0</v>
      </c>
      <c r="G221" t="s">
        <v>274</v>
      </c>
      <c r="H221" t="s">
        <v>274</v>
      </c>
      <c r="I221" t="s">
        <v>274</v>
      </c>
      <c r="J221" t="s">
        <v>274</v>
      </c>
      <c r="K221" t="s">
        <v>274</v>
      </c>
      <c r="L221" t="s">
        <v>274</v>
      </c>
      <c r="M221" t="s">
        <v>274</v>
      </c>
      <c r="N221" t="e">
        <f t="shared" si="1"/>
        <v>#VALUE!</v>
      </c>
      <c r="O221" t="e">
        <f t="shared" si="2"/>
        <v>#VALUE!</v>
      </c>
      <c r="P221">
        <f>IF($A221="","",IF($E221=1,$F221*$O221,PNL!G221))</f>
        <v>43758</v>
      </c>
      <c r="T221">
        <f t="shared" si="3"/>
        <v>0</v>
      </c>
    </row>
    <row r="222" ht="14.25" customHeight="1">
      <c r="A222" t="str">
        <f>IF(PNL!A222="","",PNL!A222)</f>
        <v>MBWAY_BOR</v>
      </c>
      <c r="B222" t="str">
        <f>IF(PNL!B222="","",PNL!B222)</f>
        <v>6063</v>
      </c>
      <c r="C222" t="str">
        <f>IF(PNL!C222="","",PNL!C222)</f>
        <v>2026</v>
      </c>
      <c r="D222" t="str">
        <f>IF(PNL!D222="","",PNL!D222)</f>
        <v>ACT</v>
      </c>
      <c r="E222">
        <f t="shared" si="0"/>
        <v>0</v>
      </c>
      <c r="F222">
        <f>IF($A222="","",IF($E222=1,_xlfn.SUMIFS(Compta!$F$1:$F$1448,Compta!$A$1:$A$1448,$A222,Compta!$B$1:$B$1448,$B222,Compta!$C$1:$C$1448,"2026"),0))</f>
        <v>0</v>
      </c>
      <c r="G222" t="s">
        <v>274</v>
      </c>
      <c r="H222" t="s">
        <v>274</v>
      </c>
      <c r="I222" t="s">
        <v>274</v>
      </c>
      <c r="J222" t="s">
        <v>274</v>
      </c>
      <c r="K222" t="s">
        <v>274</v>
      </c>
      <c r="L222" t="s">
        <v>274</v>
      </c>
      <c r="M222" t="s">
        <v>274</v>
      </c>
      <c r="N222" t="e">
        <f t="shared" si="1"/>
        <v>#VALUE!</v>
      </c>
      <c r="O222" t="e">
        <f t="shared" si="2"/>
        <v>#VALUE!</v>
      </c>
      <c r="P222">
        <f>IF($A222="","",IF($E222=1,$F222*$O222,PNL!G222))</f>
        <v>37061</v>
      </c>
      <c r="T222">
        <f t="shared" si="3"/>
        <v>0</v>
      </c>
    </row>
    <row r="223" ht="14.25" customHeight="1">
      <c r="A223" t="str">
        <f>IF(PNL!A223="","",PNL!A223)</f>
        <v>ISCOM_PAR</v>
      </c>
      <c r="B223" t="str">
        <f>IF(PNL!B223="","",PNL!B223)</f>
        <v>6063</v>
      </c>
      <c r="C223" t="str">
        <f>IF(PNL!C223="","",PNL!C223)</f>
        <v>2026</v>
      </c>
      <c r="D223" t="str">
        <f>IF(PNL!D223="","",PNL!D223)</f>
        <v>ACT</v>
      </c>
      <c r="E223">
        <f t="shared" si="0"/>
        <v>0</v>
      </c>
      <c r="F223">
        <f>IF($A223="","",IF($E223=1,_xlfn.SUMIFS(Compta!$F$1:$F$1448,Compta!$A$1:$A$1448,$A223,Compta!$B$1:$B$1448,$B223,Compta!$C$1:$C$1448,"2026"),0))</f>
        <v>0</v>
      </c>
      <c r="G223" t="s">
        <v>274</v>
      </c>
      <c r="H223" t="s">
        <v>274</v>
      </c>
      <c r="I223" t="s">
        <v>274</v>
      </c>
      <c r="J223" t="s">
        <v>274</v>
      </c>
      <c r="K223" t="s">
        <v>274</v>
      </c>
      <c r="L223" t="s">
        <v>274</v>
      </c>
      <c r="M223" t="s">
        <v>274</v>
      </c>
      <c r="N223" t="e">
        <f t="shared" si="1"/>
        <v>#VALUE!</v>
      </c>
      <c r="O223" t="e">
        <f t="shared" si="2"/>
        <v>#VALUE!</v>
      </c>
      <c r="P223">
        <f>IF($A223="","",IF($E223=1,$F223*$O223,PNL!G223))</f>
        <v>52689</v>
      </c>
      <c r="T223">
        <f t="shared" si="3"/>
        <v>0</v>
      </c>
    </row>
    <row r="224" ht="14.25" customHeight="1">
      <c r="A224" t="str">
        <f>IF(PNL!A224="","",PNL!A224)</f>
        <v>ISCOM_LIL</v>
      </c>
      <c r="B224" t="str">
        <f>IF(PNL!B224="","",PNL!B224)</f>
        <v>6063</v>
      </c>
      <c r="C224" t="str">
        <f>IF(PNL!C224="","",PNL!C224)</f>
        <v>2026</v>
      </c>
      <c r="D224" t="str">
        <f>IF(PNL!D224="","",PNL!D224)</f>
        <v>ACT</v>
      </c>
      <c r="E224">
        <f t="shared" si="0"/>
        <v>0</v>
      </c>
      <c r="F224">
        <f>IF($A224="","",IF($E224=1,_xlfn.SUMIFS(Compta!$F$1:$F$1448,Compta!$A$1:$A$1448,$A224,Compta!$B$1:$B$1448,$B224,Compta!$C$1:$C$1448,"2026"),0))</f>
        <v>0</v>
      </c>
      <c r="G224" t="s">
        <v>274</v>
      </c>
      <c r="H224" t="s">
        <v>274</v>
      </c>
      <c r="I224" t="s">
        <v>274</v>
      </c>
      <c r="J224" t="s">
        <v>274</v>
      </c>
      <c r="K224" t="s">
        <v>274</v>
      </c>
      <c r="L224" t="s">
        <v>274</v>
      </c>
      <c r="M224" t="s">
        <v>274</v>
      </c>
      <c r="N224" t="e">
        <f t="shared" si="1"/>
        <v>#VALUE!</v>
      </c>
      <c r="O224" t="e">
        <f t="shared" si="2"/>
        <v>#VALUE!</v>
      </c>
      <c r="P224">
        <f>IF($A224="","",IF($E224=1,$F224*$O224,PNL!G224))</f>
        <v>36316</v>
      </c>
      <c r="T224">
        <f t="shared" si="3"/>
        <v>0</v>
      </c>
    </row>
    <row r="225" ht="14.25" customHeight="1">
      <c r="A225" t="str">
        <f>IF(PNL!A225="","",PNL!A225)</f>
        <v>ISCOM_TLS</v>
      </c>
      <c r="B225" t="str">
        <f>IF(PNL!B225="","",PNL!B225)</f>
        <v>6063</v>
      </c>
      <c r="C225" t="str">
        <f>IF(PNL!C225="","",PNL!C225)</f>
        <v>2026</v>
      </c>
      <c r="D225" t="str">
        <f>IF(PNL!D225="","",PNL!D225)</f>
        <v>ACT</v>
      </c>
      <c r="E225">
        <f t="shared" si="0"/>
        <v>0</v>
      </c>
      <c r="F225">
        <f>IF($A225="","",IF($E225=1,_xlfn.SUMIFS(Compta!$F$1:$F$1448,Compta!$A$1:$A$1448,$A225,Compta!$B$1:$B$1448,$B225,Compta!$C$1:$C$1448,"2026"),0))</f>
        <v>0</v>
      </c>
      <c r="G225" t="s">
        <v>274</v>
      </c>
      <c r="H225" t="s">
        <v>274</v>
      </c>
      <c r="I225" t="s">
        <v>274</v>
      </c>
      <c r="J225" t="s">
        <v>274</v>
      </c>
      <c r="K225" t="s">
        <v>274</v>
      </c>
      <c r="L225" t="s">
        <v>274</v>
      </c>
      <c r="M225" t="s">
        <v>274</v>
      </c>
      <c r="N225" t="e">
        <f t="shared" si="1"/>
        <v>#VALUE!</v>
      </c>
      <c r="O225" t="e">
        <f t="shared" si="2"/>
        <v>#VALUE!</v>
      </c>
      <c r="P225">
        <f>IF($A225="","",IF($E225=1,$F225*$O225,PNL!G225))</f>
        <v>34382</v>
      </c>
      <c r="T225">
        <f t="shared" si="3"/>
        <v>0</v>
      </c>
    </row>
    <row r="226" ht="14.25" customHeight="1">
      <c r="A226" t="str">
        <f>IF(PNL!A226="","",PNL!A226)</f>
        <v>IPAC_NAN</v>
      </c>
      <c r="B226" t="str">
        <f>IF(PNL!B226="","",PNL!B226)</f>
        <v>6063</v>
      </c>
      <c r="C226" t="str">
        <f>IF(PNL!C226="","",PNL!C226)</f>
        <v>2026</v>
      </c>
      <c r="D226" t="str">
        <f>IF(PNL!D226="","",PNL!D226)</f>
        <v>ACT</v>
      </c>
      <c r="E226">
        <f t="shared" si="0"/>
        <v>0</v>
      </c>
      <c r="F226">
        <f>IF($A226="","",IF($E226=1,_xlfn.SUMIFS(Compta!$F$1:$F$1448,Compta!$A$1:$A$1448,$A226,Compta!$B$1:$B$1448,$B226,Compta!$C$1:$C$1448,"2026"),0))</f>
        <v>0</v>
      </c>
      <c r="G226" t="s">
        <v>274</v>
      </c>
      <c r="H226" t="s">
        <v>274</v>
      </c>
      <c r="I226" t="s">
        <v>274</v>
      </c>
      <c r="J226" t="s">
        <v>274</v>
      </c>
      <c r="K226" t="s">
        <v>274</v>
      </c>
      <c r="L226" t="s">
        <v>274</v>
      </c>
      <c r="M226" t="s">
        <v>274</v>
      </c>
      <c r="N226" t="e">
        <f t="shared" si="1"/>
        <v>#VALUE!</v>
      </c>
      <c r="O226" t="e">
        <f t="shared" si="2"/>
        <v>#VALUE!</v>
      </c>
      <c r="P226">
        <f>IF($A226="","",IF($E226=1,$F226*$O226,PNL!G226))</f>
        <v>21582</v>
      </c>
      <c r="T226">
        <f t="shared" si="3"/>
        <v>0</v>
      </c>
    </row>
    <row r="227" ht="14.25" customHeight="1">
      <c r="A227" t="str">
        <f>IF(PNL!A227="","",PNL!A227)</f>
        <v>IPAC_REN</v>
      </c>
      <c r="B227" t="str">
        <f>IF(PNL!B227="","",PNL!B227)</f>
        <v>6063</v>
      </c>
      <c r="C227" t="str">
        <f>IF(PNL!C227="","",PNL!C227)</f>
        <v>2026</v>
      </c>
      <c r="D227" t="str">
        <f>IF(PNL!D227="","",PNL!D227)</f>
        <v>ACT</v>
      </c>
      <c r="E227">
        <f t="shared" si="0"/>
        <v>0</v>
      </c>
      <c r="F227">
        <f>IF($A227="","",IF($E227=1,_xlfn.SUMIFS(Compta!$F$1:$F$1448,Compta!$A$1:$A$1448,$A227,Compta!$B$1:$B$1448,$B227,Compta!$C$1:$C$1448,"2026"),0))</f>
        <v>0</v>
      </c>
      <c r="G227" t="s">
        <v>274</v>
      </c>
      <c r="H227" t="s">
        <v>274</v>
      </c>
      <c r="I227" t="s">
        <v>274</v>
      </c>
      <c r="J227" t="s">
        <v>274</v>
      </c>
      <c r="K227" t="s">
        <v>274</v>
      </c>
      <c r="L227" t="s">
        <v>274</v>
      </c>
      <c r="M227" t="s">
        <v>274</v>
      </c>
      <c r="N227" t="e">
        <f t="shared" si="1"/>
        <v>#VALUE!</v>
      </c>
      <c r="O227" t="e">
        <f t="shared" si="2"/>
        <v>#VALUE!</v>
      </c>
      <c r="P227">
        <f>IF($A227="","",IF($E227=1,$F227*$O227,PNL!G227))</f>
        <v>17414</v>
      </c>
      <c r="T227">
        <f t="shared" si="3"/>
        <v>0</v>
      </c>
    </row>
    <row r="228" ht="14.25" customHeight="1">
      <c r="A228" t="str">
        <f>IF(PNL!A228="","",PNL!A228)</f>
        <v>IPAC_MTP</v>
      </c>
      <c r="B228" t="str">
        <f>IF(PNL!B228="","",PNL!B228)</f>
        <v>6063</v>
      </c>
      <c r="C228" t="str">
        <f>IF(PNL!C228="","",PNL!C228)</f>
        <v>2026</v>
      </c>
      <c r="D228" t="str">
        <f>IF(PNL!D228="","",PNL!D228)</f>
        <v>ACT</v>
      </c>
      <c r="E228">
        <f t="shared" si="0"/>
        <v>0</v>
      </c>
      <c r="F228">
        <f>IF($A228="","",IF($E228=1,_xlfn.SUMIFS(Compta!$F$1:$F$1448,Compta!$A$1:$A$1448,$A228,Compta!$B$1:$B$1448,$B228,Compta!$C$1:$C$1448,"2026"),0))</f>
        <v>0</v>
      </c>
      <c r="G228" t="s">
        <v>274</v>
      </c>
      <c r="H228" t="s">
        <v>274</v>
      </c>
      <c r="I228" t="s">
        <v>274</v>
      </c>
      <c r="J228" t="s">
        <v>274</v>
      </c>
      <c r="K228" t="s">
        <v>274</v>
      </c>
      <c r="L228" t="s">
        <v>274</v>
      </c>
      <c r="M228" t="s">
        <v>274</v>
      </c>
      <c r="N228" t="e">
        <f t="shared" si="1"/>
        <v>#VALUE!</v>
      </c>
      <c r="O228" t="e">
        <f t="shared" si="2"/>
        <v>#VALUE!</v>
      </c>
      <c r="P228">
        <f>IF($A228="","",IF($E228=1,$F228*$O228,PNL!G228))</f>
        <v>17414</v>
      </c>
      <c r="T228">
        <f t="shared" si="3"/>
        <v>0</v>
      </c>
    </row>
    <row r="229" ht="14.25" customHeight="1">
      <c r="A229" t="str">
        <f>IF(PNL!A229="","",PNL!A229)</f>
        <v>PIGIER_LYO</v>
      </c>
      <c r="B229" t="str">
        <f>IF(PNL!B229="","",PNL!B229)</f>
        <v>6063</v>
      </c>
      <c r="C229" t="str">
        <f>IF(PNL!C229="","",PNL!C229)</f>
        <v>2026</v>
      </c>
      <c r="D229" t="str">
        <f>IF(PNL!D229="","",PNL!D229)</f>
        <v>ACT</v>
      </c>
      <c r="E229">
        <f t="shared" si="0"/>
        <v>0</v>
      </c>
      <c r="F229">
        <f>IF($A229="","",IF($E229=1,_xlfn.SUMIFS(Compta!$F$1:$F$1448,Compta!$A$1:$A$1448,$A229,Compta!$B$1:$B$1448,$B229,Compta!$C$1:$C$1448,"2026"),0))</f>
        <v>0</v>
      </c>
      <c r="G229" t="s">
        <v>274</v>
      </c>
      <c r="H229" t="s">
        <v>274</v>
      </c>
      <c r="I229" t="s">
        <v>274</v>
      </c>
      <c r="J229" t="s">
        <v>274</v>
      </c>
      <c r="K229" t="s">
        <v>274</v>
      </c>
      <c r="L229" t="s">
        <v>274</v>
      </c>
      <c r="M229" t="s">
        <v>274</v>
      </c>
      <c r="N229" t="e">
        <f t="shared" si="1"/>
        <v>#VALUE!</v>
      </c>
      <c r="O229" t="e">
        <f t="shared" si="2"/>
        <v>#VALUE!</v>
      </c>
      <c r="P229">
        <f>IF($A229="","",IF($E229=1,$F229*$O229,PNL!G229))</f>
        <v>27089</v>
      </c>
      <c r="T229">
        <f t="shared" si="3"/>
        <v>0</v>
      </c>
    </row>
    <row r="230" ht="14.25" customHeight="1">
      <c r="A230" t="str">
        <f>IF(PNL!A230="","",PNL!A230)</f>
        <v>PIGIER_BOR</v>
      </c>
      <c r="B230" t="str">
        <f>IF(PNL!B230="","",PNL!B230)</f>
        <v>6063</v>
      </c>
      <c r="C230" t="str">
        <f>IF(PNL!C230="","",PNL!C230)</f>
        <v>2026</v>
      </c>
      <c r="D230" t="str">
        <f>IF(PNL!D230="","",PNL!D230)</f>
        <v>ACT</v>
      </c>
      <c r="E230">
        <f t="shared" si="0"/>
        <v>0</v>
      </c>
      <c r="F230">
        <f>IF($A230="","",IF($E230=1,_xlfn.SUMIFS(Compta!$F$1:$F$1448,Compta!$A$1:$A$1448,$A230,Compta!$B$1:$B$1448,$B230,Compta!$C$1:$C$1448,"2026"),0))</f>
        <v>0</v>
      </c>
      <c r="G230" t="s">
        <v>274</v>
      </c>
      <c r="H230" t="s">
        <v>274</v>
      </c>
      <c r="I230" t="s">
        <v>274</v>
      </c>
      <c r="J230" t="s">
        <v>274</v>
      </c>
      <c r="K230" t="s">
        <v>274</v>
      </c>
      <c r="L230" t="s">
        <v>274</v>
      </c>
      <c r="M230" t="s">
        <v>274</v>
      </c>
      <c r="N230" t="e">
        <f t="shared" si="1"/>
        <v>#VALUE!</v>
      </c>
      <c r="O230" t="e">
        <f t="shared" si="2"/>
        <v>#VALUE!</v>
      </c>
      <c r="P230">
        <f>IF($A230="","",IF($E230=1,$F230*$O230,PNL!G230))</f>
        <v>21135</v>
      </c>
      <c r="T230">
        <f t="shared" si="3"/>
        <v>0</v>
      </c>
    </row>
    <row r="231" ht="14.25" customHeight="1">
      <c r="A231" t="str">
        <f>IF(PNL!A231="","",PNL!A231)</f>
        <v>TUNON_PAR</v>
      </c>
      <c r="B231" t="str">
        <f>IF(PNL!B231="","",PNL!B231)</f>
        <v>6063</v>
      </c>
      <c r="C231" t="str">
        <f>IF(PNL!C231="","",PNL!C231)</f>
        <v>2026</v>
      </c>
      <c r="D231" t="str">
        <f>IF(PNL!D231="","",PNL!D231)</f>
        <v>ACT</v>
      </c>
      <c r="E231">
        <f t="shared" si="0"/>
        <v>0</v>
      </c>
      <c r="F231">
        <f>IF($A231="","",IF($E231=1,_xlfn.SUMIFS(Compta!$F$1:$F$1448,Compta!$A$1:$A$1448,$A231,Compta!$B$1:$B$1448,$B231,Compta!$C$1:$C$1448,"2026"),0))</f>
        <v>0</v>
      </c>
      <c r="G231" t="s">
        <v>274</v>
      </c>
      <c r="H231" t="s">
        <v>274</v>
      </c>
      <c r="I231" t="s">
        <v>274</v>
      </c>
      <c r="J231" t="s">
        <v>274</v>
      </c>
      <c r="K231" t="s">
        <v>274</v>
      </c>
      <c r="L231" t="s">
        <v>274</v>
      </c>
      <c r="M231" t="s">
        <v>274</v>
      </c>
      <c r="N231" t="e">
        <f t="shared" si="1"/>
        <v>#VALUE!</v>
      </c>
      <c r="O231" t="e">
        <f t="shared" si="2"/>
        <v>#VALUE!</v>
      </c>
      <c r="P231">
        <f>IF($A231="","",IF($E231=1,$F231*$O231,PNL!G231))</f>
        <v>20540</v>
      </c>
      <c r="T231">
        <f t="shared" si="3"/>
        <v>0</v>
      </c>
    </row>
    <row r="232" ht="14.25" customHeight="1">
      <c r="A232" t="str">
        <f>IF(PNL!A232="","",PNL!A232)</f>
        <v>TUNON_LYO</v>
      </c>
      <c r="B232" t="str">
        <f>IF(PNL!B232="","",PNL!B232)</f>
        <v>6063</v>
      </c>
      <c r="C232" t="str">
        <f>IF(PNL!C232="","",PNL!C232)</f>
        <v>2026</v>
      </c>
      <c r="D232" t="str">
        <f>IF(PNL!D232="","",PNL!D232)</f>
        <v>ACT</v>
      </c>
      <c r="E232">
        <f t="shared" si="0"/>
        <v>0</v>
      </c>
      <c r="F232">
        <f>IF($A232="","",IF($E232=1,_xlfn.SUMIFS(Compta!$F$1:$F$1448,Compta!$A$1:$A$1448,$A232,Compta!$B$1:$B$1448,$B232,Compta!$C$1:$C$1448,"2026"),0))</f>
        <v>0</v>
      </c>
      <c r="G232" t="s">
        <v>274</v>
      </c>
      <c r="H232" t="s">
        <v>274</v>
      </c>
      <c r="I232" t="s">
        <v>274</v>
      </c>
      <c r="J232" t="s">
        <v>274</v>
      </c>
      <c r="K232" t="s">
        <v>274</v>
      </c>
      <c r="L232" t="s">
        <v>274</v>
      </c>
      <c r="M232" t="s">
        <v>274</v>
      </c>
      <c r="N232" t="e">
        <f t="shared" si="1"/>
        <v>#VALUE!</v>
      </c>
      <c r="O232" t="e">
        <f t="shared" si="2"/>
        <v>#VALUE!</v>
      </c>
      <c r="P232">
        <f>IF($A232="","",IF($E232=1,$F232*$O232,PNL!G232))</f>
        <v>17414</v>
      </c>
      <c r="T232">
        <f t="shared" si="3"/>
        <v>0</v>
      </c>
    </row>
    <row r="233" ht="14.25" customHeight="1">
      <c r="A233" t="str">
        <f>IF(PNL!A233="","",PNL!A233)</f>
        <v>MBWAY_PAR</v>
      </c>
      <c r="B233" t="str">
        <f>IF(PNL!B233="","",PNL!B233)</f>
        <v>6231</v>
      </c>
      <c r="C233" t="str">
        <f>IF(PNL!C233="","",PNL!C233)</f>
        <v>2024</v>
      </c>
      <c r="D233" t="str">
        <f>IF(PNL!D233="","",PNL!D233)</f>
        <v>ACT</v>
      </c>
      <c r="E233">
        <f t="shared" si="0"/>
        <v>0</v>
      </c>
      <c r="F233">
        <f>IF($A233="","",IF($E233=1,_xlfn.SUMIFS(Compta!$F$1:$F$1448,Compta!$A$1:$A$1448,$A233,Compta!$B$1:$B$1448,$B233,Compta!$C$1:$C$1448,"2026"),0))</f>
        <v>0</v>
      </c>
      <c r="G233" t="s">
        <v>274</v>
      </c>
      <c r="H233" t="s">
        <v>274</v>
      </c>
      <c r="I233" t="s">
        <v>274</v>
      </c>
      <c r="J233" t="s">
        <v>274</v>
      </c>
      <c r="K233" t="s">
        <v>274</v>
      </c>
      <c r="L233" t="s">
        <v>274</v>
      </c>
      <c r="M233" t="s">
        <v>274</v>
      </c>
      <c r="N233" t="e">
        <f t="shared" si="1"/>
        <v>#VALUE!</v>
      </c>
      <c r="O233" t="e">
        <f t="shared" si="2"/>
        <v>#VALUE!</v>
      </c>
      <c r="P233">
        <f>IF($A233="","",IF($E233=1,$F233*$O233,PNL!G233))</f>
        <v>56438</v>
      </c>
      <c r="T233">
        <f t="shared" si="3"/>
        <v>0</v>
      </c>
    </row>
    <row r="234" ht="14.25" customHeight="1">
      <c r="A234" t="str">
        <f>IF(PNL!A234="","",PNL!A234)</f>
        <v>MBWAY_LYO</v>
      </c>
      <c r="B234" t="str">
        <f>IF(PNL!B234="","",PNL!B234)</f>
        <v>6231</v>
      </c>
      <c r="C234" t="str">
        <f>IF(PNL!C234="","",PNL!C234)</f>
        <v>2024</v>
      </c>
      <c r="D234" t="str">
        <f>IF(PNL!D234="","",PNL!D234)</f>
        <v>ACT</v>
      </c>
      <c r="E234">
        <f t="shared" si="0"/>
        <v>0</v>
      </c>
      <c r="F234">
        <f>IF($A234="","",IF($E234=1,_xlfn.SUMIFS(Compta!$F$1:$F$1448,Compta!$A$1:$A$1448,$A234,Compta!$B$1:$B$1448,$B234,Compta!$C$1:$C$1448,"2026"),0))</f>
        <v>0</v>
      </c>
      <c r="G234" t="s">
        <v>274</v>
      </c>
      <c r="H234" t="s">
        <v>274</v>
      </c>
      <c r="I234" t="s">
        <v>274</v>
      </c>
      <c r="J234" t="s">
        <v>274</v>
      </c>
      <c r="K234" t="s">
        <v>274</v>
      </c>
      <c r="L234" t="s">
        <v>274</v>
      </c>
      <c r="M234" t="s">
        <v>274</v>
      </c>
      <c r="N234" t="e">
        <f t="shared" si="1"/>
        <v>#VALUE!</v>
      </c>
      <c r="O234" t="e">
        <f t="shared" si="2"/>
        <v>#VALUE!</v>
      </c>
      <c r="P234">
        <f>IF($A234="","",IF($E234=1,$F234*$O234,PNL!G234))</f>
        <v>34532</v>
      </c>
      <c r="T234">
        <f t="shared" si="3"/>
        <v>0</v>
      </c>
    </row>
    <row r="235" ht="14.25" customHeight="1">
      <c r="A235" t="str">
        <f>IF(PNL!A235="","",PNL!A235)</f>
        <v>MBWAY_NAN</v>
      </c>
      <c r="B235" t="str">
        <f>IF(PNL!B235="","",PNL!B235)</f>
        <v>6231</v>
      </c>
      <c r="C235" t="str">
        <f>IF(PNL!C235="","",PNL!C235)</f>
        <v>2024</v>
      </c>
      <c r="D235" t="str">
        <f>IF(PNL!D235="","",PNL!D235)</f>
        <v>ACT</v>
      </c>
      <c r="E235">
        <f t="shared" si="0"/>
        <v>0</v>
      </c>
      <c r="F235">
        <f>IF($A235="","",IF($E235=1,_xlfn.SUMIFS(Compta!$F$1:$F$1448,Compta!$A$1:$A$1448,$A235,Compta!$B$1:$B$1448,$B235,Compta!$C$1:$C$1448,"2026"),0))</f>
        <v>0</v>
      </c>
      <c r="G235" t="s">
        <v>274</v>
      </c>
      <c r="H235" t="s">
        <v>274</v>
      </c>
      <c r="I235" t="s">
        <v>274</v>
      </c>
      <c r="J235" t="s">
        <v>274</v>
      </c>
      <c r="K235" t="s">
        <v>274</v>
      </c>
      <c r="L235" t="s">
        <v>274</v>
      </c>
      <c r="M235" t="s">
        <v>274</v>
      </c>
      <c r="N235" t="e">
        <f t="shared" si="1"/>
        <v>#VALUE!</v>
      </c>
      <c r="O235" t="e">
        <f t="shared" si="2"/>
        <v>#VALUE!</v>
      </c>
      <c r="P235">
        <f>IF($A235="","",IF($E235=1,$F235*$O235,PNL!G235))</f>
        <v>26060</v>
      </c>
      <c r="T235">
        <f t="shared" si="3"/>
        <v>0</v>
      </c>
    </row>
    <row r="236" ht="14.25" customHeight="1">
      <c r="A236" t="str">
        <f>IF(PNL!A236="","",PNL!A236)</f>
        <v>MBWAY_BOR</v>
      </c>
      <c r="B236" t="str">
        <f>IF(PNL!B236="","",PNL!B236)</f>
        <v>6231</v>
      </c>
      <c r="C236" t="str">
        <f>IF(PNL!C236="","",PNL!C236)</f>
        <v>2024</v>
      </c>
      <c r="D236" t="str">
        <f>IF(PNL!D236="","",PNL!D236)</f>
        <v>ACT</v>
      </c>
      <c r="E236">
        <f t="shared" si="0"/>
        <v>0</v>
      </c>
      <c r="F236">
        <f>IF($A236="","",IF($E236=1,_xlfn.SUMIFS(Compta!$F$1:$F$1448,Compta!$A$1:$A$1448,$A236,Compta!$B$1:$B$1448,$B236,Compta!$C$1:$C$1448,"2026"),0))</f>
        <v>0</v>
      </c>
      <c r="G236" t="s">
        <v>274</v>
      </c>
      <c r="H236" t="s">
        <v>274</v>
      </c>
      <c r="I236" t="s">
        <v>274</v>
      </c>
      <c r="J236" t="s">
        <v>274</v>
      </c>
      <c r="K236" t="s">
        <v>274</v>
      </c>
      <c r="L236" t="s">
        <v>274</v>
      </c>
      <c r="M236" t="s">
        <v>274</v>
      </c>
      <c r="N236" t="e">
        <f t="shared" si="1"/>
        <v>#VALUE!</v>
      </c>
      <c r="O236" t="e">
        <f t="shared" si="2"/>
        <v>#VALUE!</v>
      </c>
      <c r="P236">
        <f>IF($A236="","",IF($E236=1,$F236*$O236,PNL!G236))</f>
        <v>20597</v>
      </c>
      <c r="T236">
        <f t="shared" si="3"/>
        <v>0</v>
      </c>
    </row>
    <row r="237" ht="14.25" customHeight="1">
      <c r="A237" t="str">
        <f>IF(PNL!A237="","",PNL!A237)</f>
        <v>ISCOM_PAR</v>
      </c>
      <c r="B237" t="str">
        <f>IF(PNL!B237="","",PNL!B237)</f>
        <v>6231</v>
      </c>
      <c r="C237" t="str">
        <f>IF(PNL!C237="","",PNL!C237)</f>
        <v>2024</v>
      </c>
      <c r="D237" t="str">
        <f>IF(PNL!D237="","",PNL!D237)</f>
        <v>ACT</v>
      </c>
      <c r="E237">
        <f t="shared" si="0"/>
        <v>0</v>
      </c>
      <c r="F237">
        <f>IF($A237="","",IF($E237=1,_xlfn.SUMIFS(Compta!$F$1:$F$1448,Compta!$A$1:$A$1448,$A237,Compta!$B$1:$B$1448,$B237,Compta!$C$1:$C$1448,"2026"),0))</f>
        <v>0</v>
      </c>
      <c r="G237" t="s">
        <v>274</v>
      </c>
      <c r="H237" t="s">
        <v>274</v>
      </c>
      <c r="I237" t="s">
        <v>274</v>
      </c>
      <c r="J237" t="s">
        <v>274</v>
      </c>
      <c r="K237" t="s">
        <v>274</v>
      </c>
      <c r="L237" t="s">
        <v>274</v>
      </c>
      <c r="M237" t="s">
        <v>274</v>
      </c>
      <c r="N237" t="e">
        <f t="shared" si="1"/>
        <v>#VALUE!</v>
      </c>
      <c r="O237" t="e">
        <f t="shared" si="2"/>
        <v>#VALUE!</v>
      </c>
      <c r="P237">
        <f>IF($A237="","",IF($E237=1,$F237*$O237,PNL!G237))</f>
        <v>50248</v>
      </c>
      <c r="T237">
        <f t="shared" si="3"/>
        <v>0</v>
      </c>
    </row>
    <row r="238" ht="14.25" customHeight="1">
      <c r="A238" t="str">
        <f>IF(PNL!A238="","",PNL!A238)</f>
        <v>ISCOM_LIL</v>
      </c>
      <c r="B238" t="str">
        <f>IF(PNL!B238="","",PNL!B238)</f>
        <v>6231</v>
      </c>
      <c r="C238" t="str">
        <f>IF(PNL!C238="","",PNL!C238)</f>
        <v>2024</v>
      </c>
      <c r="D238" t="str">
        <f>IF(PNL!D238="","",PNL!D238)</f>
        <v>ACT</v>
      </c>
      <c r="E238">
        <f t="shared" si="0"/>
        <v>0</v>
      </c>
      <c r="F238">
        <f>IF($A238="","",IF($E238=1,_xlfn.SUMIFS(Compta!$F$1:$F$1448,Compta!$A$1:$A$1448,$A238,Compta!$B$1:$B$1448,$B238,Compta!$C$1:$C$1448,"2026"),0))</f>
        <v>0</v>
      </c>
      <c r="G238" t="s">
        <v>274</v>
      </c>
      <c r="H238" t="s">
        <v>274</v>
      </c>
      <c r="I238" t="s">
        <v>274</v>
      </c>
      <c r="J238" t="s">
        <v>274</v>
      </c>
      <c r="K238" t="s">
        <v>274</v>
      </c>
      <c r="L238" t="s">
        <v>274</v>
      </c>
      <c r="M238" t="s">
        <v>274</v>
      </c>
      <c r="N238" t="e">
        <f t="shared" si="1"/>
        <v>#VALUE!</v>
      </c>
      <c r="O238" t="e">
        <f t="shared" si="2"/>
        <v>#VALUE!</v>
      </c>
      <c r="P238">
        <f>IF($A238="","",IF($E238=1,$F238*$O238,PNL!G238))</f>
        <v>20843</v>
      </c>
      <c r="T238">
        <f t="shared" si="3"/>
        <v>0</v>
      </c>
    </row>
    <row r="239" ht="14.25" customHeight="1">
      <c r="A239" t="str">
        <f>IF(PNL!A239="","",PNL!A239)</f>
        <v>ISCOM_TLS</v>
      </c>
      <c r="B239" t="str">
        <f>IF(PNL!B239="","",PNL!B239)</f>
        <v>6231</v>
      </c>
      <c r="C239" t="str">
        <f>IF(PNL!C239="","",PNL!C239)</f>
        <v>2024</v>
      </c>
      <c r="D239" t="str">
        <f>IF(PNL!D239="","",PNL!D239)</f>
        <v>ACT</v>
      </c>
      <c r="E239">
        <f t="shared" si="0"/>
        <v>0</v>
      </c>
      <c r="F239">
        <f>IF($A239="","",IF($E239=1,_xlfn.SUMIFS(Compta!$F$1:$F$1448,Compta!$A$1:$A$1448,$A239,Compta!$B$1:$B$1448,$B239,Compta!$C$1:$C$1448,"2026"),0))</f>
        <v>0</v>
      </c>
      <c r="G239" t="s">
        <v>274</v>
      </c>
      <c r="H239" t="s">
        <v>274</v>
      </c>
      <c r="I239" t="s">
        <v>274</v>
      </c>
      <c r="J239" t="s">
        <v>274</v>
      </c>
      <c r="K239" t="s">
        <v>274</v>
      </c>
      <c r="L239" t="s">
        <v>274</v>
      </c>
      <c r="M239" t="s">
        <v>274</v>
      </c>
      <c r="N239" t="e">
        <f t="shared" si="1"/>
        <v>#VALUE!</v>
      </c>
      <c r="O239" t="e">
        <f t="shared" si="2"/>
        <v>#VALUE!</v>
      </c>
      <c r="P239">
        <f>IF($A239="","",IF($E239=1,$F239*$O239,PNL!G239))</f>
        <v>18251</v>
      </c>
      <c r="T239">
        <f t="shared" si="3"/>
        <v>0</v>
      </c>
    </row>
    <row r="240" ht="14.25" customHeight="1">
      <c r="A240" t="str">
        <f>IF(PNL!A240="","",PNL!A240)</f>
        <v>IPAC_NAN</v>
      </c>
      <c r="B240" t="str">
        <f>IF(PNL!B240="","",PNL!B240)</f>
        <v>6231</v>
      </c>
      <c r="C240" t="str">
        <f>IF(PNL!C240="","",PNL!C240)</f>
        <v>2024</v>
      </c>
      <c r="D240" t="str">
        <f>IF(PNL!D240="","",PNL!D240)</f>
        <v>ACT</v>
      </c>
      <c r="E240">
        <f t="shared" si="0"/>
        <v>0</v>
      </c>
      <c r="F240">
        <f>IF($A240="","",IF($E240=1,_xlfn.SUMIFS(Compta!$F$1:$F$1448,Compta!$A$1:$A$1448,$A240,Compta!$B$1:$B$1448,$B240,Compta!$C$1:$C$1448,"2026"),0))</f>
        <v>0</v>
      </c>
      <c r="G240" t="s">
        <v>274</v>
      </c>
      <c r="H240" t="s">
        <v>274</v>
      </c>
      <c r="I240" t="s">
        <v>274</v>
      </c>
      <c r="J240" t="s">
        <v>274</v>
      </c>
      <c r="K240" t="s">
        <v>274</v>
      </c>
      <c r="L240" t="s">
        <v>274</v>
      </c>
      <c r="M240" t="s">
        <v>274</v>
      </c>
      <c r="N240" t="e">
        <f t="shared" si="1"/>
        <v>#VALUE!</v>
      </c>
      <c r="O240" t="e">
        <f t="shared" si="2"/>
        <v>#VALUE!</v>
      </c>
      <c r="P240">
        <f>IF($A240="","",IF($E240=1,$F240*$O240,PNL!G240))</f>
        <v>17983</v>
      </c>
      <c r="T240">
        <f t="shared" si="3"/>
        <v>0</v>
      </c>
    </row>
    <row r="241" ht="14.25" customHeight="1">
      <c r="A241" t="str">
        <f>IF(PNL!A241="","",PNL!A241)</f>
        <v>IPAC_REN</v>
      </c>
      <c r="B241" t="str">
        <f>IF(PNL!B241="","",PNL!B241)</f>
        <v>6231</v>
      </c>
      <c r="C241" t="str">
        <f>IF(PNL!C241="","",PNL!C241)</f>
        <v>2024</v>
      </c>
      <c r="D241" t="str">
        <f>IF(PNL!D241="","",PNL!D241)</f>
        <v>ACT</v>
      </c>
      <c r="E241">
        <f t="shared" si="0"/>
        <v>0</v>
      </c>
      <c r="F241">
        <f>IF($A241="","",IF($E241=1,_xlfn.SUMIFS(Compta!$F$1:$F$1448,Compta!$A$1:$A$1448,$A241,Compta!$B$1:$B$1448,$B241,Compta!$C$1:$C$1448,"2026"),0))</f>
        <v>0</v>
      </c>
      <c r="G241" t="s">
        <v>274</v>
      </c>
      <c r="H241" t="s">
        <v>274</v>
      </c>
      <c r="I241" t="s">
        <v>274</v>
      </c>
      <c r="J241" t="s">
        <v>274</v>
      </c>
      <c r="K241" t="s">
        <v>274</v>
      </c>
      <c r="L241" t="s">
        <v>274</v>
      </c>
      <c r="M241" t="s">
        <v>274</v>
      </c>
      <c r="N241" t="e">
        <f t="shared" si="1"/>
        <v>#VALUE!</v>
      </c>
      <c r="O241" t="e">
        <f t="shared" si="2"/>
        <v>#VALUE!</v>
      </c>
      <c r="P241">
        <f>IF($A241="","",IF($E241=1,$F241*$O241,PNL!G241))</f>
        <v>12341</v>
      </c>
      <c r="T241">
        <f t="shared" si="3"/>
        <v>0</v>
      </c>
    </row>
    <row r="242" ht="14.25" customHeight="1">
      <c r="A242" t="str">
        <f>IF(PNL!A242="","",PNL!A242)</f>
        <v>IPAC_MTP</v>
      </c>
      <c r="B242" t="str">
        <f>IF(PNL!B242="","",PNL!B242)</f>
        <v>6231</v>
      </c>
      <c r="C242" t="str">
        <f>IF(PNL!C242="","",PNL!C242)</f>
        <v>2024</v>
      </c>
      <c r="D242" t="str">
        <f>IF(PNL!D242="","",PNL!D242)</f>
        <v>ACT</v>
      </c>
      <c r="E242">
        <f t="shared" si="0"/>
        <v>0</v>
      </c>
      <c r="F242">
        <f>IF($A242="","",IF($E242=1,_xlfn.SUMIFS(Compta!$F$1:$F$1448,Compta!$A$1:$A$1448,$A242,Compta!$B$1:$B$1448,$B242,Compta!$C$1:$C$1448,"2026"),0))</f>
        <v>0</v>
      </c>
      <c r="G242" t="s">
        <v>274</v>
      </c>
      <c r="H242" t="s">
        <v>274</v>
      </c>
      <c r="I242" t="s">
        <v>274</v>
      </c>
      <c r="J242" t="s">
        <v>274</v>
      </c>
      <c r="K242" t="s">
        <v>274</v>
      </c>
      <c r="L242" t="s">
        <v>274</v>
      </c>
      <c r="M242" t="s">
        <v>274</v>
      </c>
      <c r="N242" t="e">
        <f t="shared" si="1"/>
        <v>#VALUE!</v>
      </c>
      <c r="O242" t="e">
        <f t="shared" si="2"/>
        <v>#VALUE!</v>
      </c>
      <c r="P242">
        <f>IF($A242="","",IF($E242=1,$F242*$O242,PNL!G242))</f>
        <v>12543</v>
      </c>
      <c r="T242">
        <f t="shared" si="3"/>
        <v>0</v>
      </c>
    </row>
    <row r="243" ht="14.25" customHeight="1">
      <c r="A243" t="str">
        <f>IF(PNL!A243="","",PNL!A243)</f>
        <v>PIGIER_LYO</v>
      </c>
      <c r="B243" t="str">
        <f>IF(PNL!B243="","",PNL!B243)</f>
        <v>6231</v>
      </c>
      <c r="C243" t="str">
        <f>IF(PNL!C243="","",PNL!C243)</f>
        <v>2024</v>
      </c>
      <c r="D243" t="str">
        <f>IF(PNL!D243="","",PNL!D243)</f>
        <v>ACT</v>
      </c>
      <c r="E243">
        <f t="shared" si="0"/>
        <v>0</v>
      </c>
      <c r="F243">
        <f>IF($A243="","",IF($E243=1,_xlfn.SUMIFS(Compta!$F$1:$F$1448,Compta!$A$1:$A$1448,$A243,Compta!$B$1:$B$1448,$B243,Compta!$C$1:$C$1448,"2026"),0))</f>
        <v>0</v>
      </c>
      <c r="G243" t="s">
        <v>274</v>
      </c>
      <c r="H243" t="s">
        <v>274</v>
      </c>
      <c r="I243" t="s">
        <v>274</v>
      </c>
      <c r="J243" t="s">
        <v>274</v>
      </c>
      <c r="K243" t="s">
        <v>274</v>
      </c>
      <c r="L243" t="s">
        <v>274</v>
      </c>
      <c r="M243" t="s">
        <v>274</v>
      </c>
      <c r="N243" t="e">
        <f t="shared" si="1"/>
        <v>#VALUE!</v>
      </c>
      <c r="O243" t="e">
        <f t="shared" si="2"/>
        <v>#VALUE!</v>
      </c>
      <c r="P243">
        <f>IF($A243="","",IF($E243=1,$F243*$O243,PNL!G243))</f>
        <v>30258</v>
      </c>
      <c r="T243">
        <f t="shared" si="3"/>
        <v>0</v>
      </c>
    </row>
    <row r="244" ht="14.25" customHeight="1">
      <c r="A244" t="str">
        <f>IF(PNL!A244="","",PNL!A244)</f>
        <v>PIGIER_BOR</v>
      </c>
      <c r="B244" t="str">
        <f>IF(PNL!B244="","",PNL!B244)</f>
        <v>6231</v>
      </c>
      <c r="C244" t="str">
        <f>IF(PNL!C244="","",PNL!C244)</f>
        <v>2024</v>
      </c>
      <c r="D244" t="str">
        <f>IF(PNL!D244="","",PNL!D244)</f>
        <v>ACT</v>
      </c>
      <c r="E244">
        <f t="shared" si="0"/>
        <v>0</v>
      </c>
      <c r="F244">
        <f>IF($A244="","",IF($E244=1,_xlfn.SUMIFS(Compta!$F$1:$F$1448,Compta!$A$1:$A$1448,$A244,Compta!$B$1:$B$1448,$B244,Compta!$C$1:$C$1448,"2026"),0))</f>
        <v>0</v>
      </c>
      <c r="G244" t="s">
        <v>274</v>
      </c>
      <c r="H244" t="s">
        <v>274</v>
      </c>
      <c r="I244" t="s">
        <v>274</v>
      </c>
      <c r="J244" t="s">
        <v>274</v>
      </c>
      <c r="K244" t="s">
        <v>274</v>
      </c>
      <c r="L244" t="s">
        <v>274</v>
      </c>
      <c r="M244" t="s">
        <v>274</v>
      </c>
      <c r="N244" t="e">
        <f t="shared" si="1"/>
        <v>#VALUE!</v>
      </c>
      <c r="O244" t="e">
        <f t="shared" si="2"/>
        <v>#VALUE!</v>
      </c>
      <c r="P244">
        <f>IF($A244="","",IF($E244=1,$F244*$O244,PNL!G244))</f>
        <v>18155</v>
      </c>
      <c r="T244">
        <f t="shared" si="3"/>
        <v>0</v>
      </c>
    </row>
    <row r="245" ht="14.25" customHeight="1">
      <c r="A245" t="str">
        <f>IF(PNL!A245="","",PNL!A245)</f>
        <v>TUNON_PAR</v>
      </c>
      <c r="B245" t="str">
        <f>IF(PNL!B245="","",PNL!B245)</f>
        <v>6231</v>
      </c>
      <c r="C245" t="str">
        <f>IF(PNL!C245="","",PNL!C245)</f>
        <v>2024</v>
      </c>
      <c r="D245" t="str">
        <f>IF(PNL!D245="","",PNL!D245)</f>
        <v>ACT</v>
      </c>
      <c r="E245">
        <f t="shared" si="0"/>
        <v>0</v>
      </c>
      <c r="F245">
        <f>IF($A245="","",IF($E245=1,_xlfn.SUMIFS(Compta!$F$1:$F$1448,Compta!$A$1:$A$1448,$A245,Compta!$B$1:$B$1448,$B245,Compta!$C$1:$C$1448,"2026"),0))</f>
        <v>0</v>
      </c>
      <c r="G245" t="s">
        <v>274</v>
      </c>
      <c r="H245" t="s">
        <v>274</v>
      </c>
      <c r="I245" t="s">
        <v>274</v>
      </c>
      <c r="J245" t="s">
        <v>274</v>
      </c>
      <c r="K245" t="s">
        <v>274</v>
      </c>
      <c r="L245" t="s">
        <v>274</v>
      </c>
      <c r="M245" t="s">
        <v>274</v>
      </c>
      <c r="N245" t="e">
        <f t="shared" si="1"/>
        <v>#VALUE!</v>
      </c>
      <c r="O245" t="e">
        <f t="shared" si="2"/>
        <v>#VALUE!</v>
      </c>
      <c r="P245">
        <f>IF($A245="","",IF($E245=1,$F245*$O245,PNL!G245))</f>
        <v>24992</v>
      </c>
      <c r="T245">
        <f t="shared" si="3"/>
        <v>0</v>
      </c>
    </row>
    <row r="246" ht="14.25" customHeight="1">
      <c r="A246" t="str">
        <f>IF(PNL!A246="","",PNL!A246)</f>
        <v>TUNON_LYO</v>
      </c>
      <c r="B246" t="str">
        <f>IF(PNL!B246="","",PNL!B246)</f>
        <v>6231</v>
      </c>
      <c r="C246" t="str">
        <f>IF(PNL!C246="","",PNL!C246)</f>
        <v>2024</v>
      </c>
      <c r="D246" t="str">
        <f>IF(PNL!D246="","",PNL!D246)</f>
        <v>ACT</v>
      </c>
      <c r="E246">
        <f t="shared" si="0"/>
        <v>0</v>
      </c>
      <c r="F246">
        <f>IF($A246="","",IF($E246=1,_xlfn.SUMIFS(Compta!$F$1:$F$1448,Compta!$A$1:$A$1448,$A246,Compta!$B$1:$B$1448,$B246,Compta!$C$1:$C$1448,"2026"),0))</f>
        <v>0</v>
      </c>
      <c r="G246" t="s">
        <v>274</v>
      </c>
      <c r="H246" t="s">
        <v>274</v>
      </c>
      <c r="I246" t="s">
        <v>274</v>
      </c>
      <c r="J246" t="s">
        <v>274</v>
      </c>
      <c r="K246" t="s">
        <v>274</v>
      </c>
      <c r="L246" t="s">
        <v>274</v>
      </c>
      <c r="M246" t="s">
        <v>274</v>
      </c>
      <c r="N246" t="e">
        <f t="shared" si="1"/>
        <v>#VALUE!</v>
      </c>
      <c r="O246" t="e">
        <f t="shared" si="2"/>
        <v>#VALUE!</v>
      </c>
      <c r="P246">
        <f>IF($A246="","",IF($E246=1,$F246*$O246,PNL!G246))</f>
        <v>15578</v>
      </c>
      <c r="T246">
        <f t="shared" si="3"/>
        <v>0</v>
      </c>
    </row>
    <row r="247" ht="14.25" customHeight="1">
      <c r="A247" t="str">
        <f>IF(PNL!A247="","",PNL!A247)</f>
        <v>MBWAY_PAR</v>
      </c>
      <c r="B247" t="str">
        <f>IF(PNL!B247="","",PNL!B247)</f>
        <v>6231</v>
      </c>
      <c r="C247" t="str">
        <f>IF(PNL!C247="","",PNL!C247)</f>
        <v>2025</v>
      </c>
      <c r="D247" t="str">
        <f>IF(PNL!D247="","",PNL!D247)</f>
        <v>ACT</v>
      </c>
      <c r="E247">
        <f t="shared" si="0"/>
        <v>0</v>
      </c>
      <c r="F247">
        <f>IF($A247="","",IF($E247=1,_xlfn.SUMIFS(Compta!$F$1:$F$1448,Compta!$A$1:$A$1448,$A247,Compta!$B$1:$B$1448,$B247,Compta!$C$1:$C$1448,"2026"),0))</f>
        <v>0</v>
      </c>
      <c r="G247" t="s">
        <v>274</v>
      </c>
      <c r="H247" t="s">
        <v>274</v>
      </c>
      <c r="I247" t="s">
        <v>274</v>
      </c>
      <c r="J247" t="s">
        <v>274</v>
      </c>
      <c r="K247" t="s">
        <v>274</v>
      </c>
      <c r="L247" t="s">
        <v>274</v>
      </c>
      <c r="M247" t="s">
        <v>274</v>
      </c>
      <c r="N247" t="e">
        <f t="shared" si="1"/>
        <v>#VALUE!</v>
      </c>
      <c r="O247" t="e">
        <f t="shared" si="2"/>
        <v>#VALUE!</v>
      </c>
      <c r="P247">
        <f>IF($A247="","",IF($E247=1,$F247*$O247,PNL!G247))</f>
        <v>62082</v>
      </c>
      <c r="T247">
        <f t="shared" si="3"/>
        <v>0</v>
      </c>
    </row>
    <row r="248" ht="14.25" customHeight="1">
      <c r="A248" t="str">
        <f>IF(PNL!A248="","",PNL!A248)</f>
        <v>MBWAY_LYO</v>
      </c>
      <c r="B248" t="str">
        <f>IF(PNL!B248="","",PNL!B248)</f>
        <v>6231</v>
      </c>
      <c r="C248" t="str">
        <f>IF(PNL!C248="","",PNL!C248)</f>
        <v>2025</v>
      </c>
      <c r="D248" t="str">
        <f>IF(PNL!D248="","",PNL!D248)</f>
        <v>ACT</v>
      </c>
      <c r="E248">
        <f t="shared" si="0"/>
        <v>0</v>
      </c>
      <c r="F248">
        <f>IF($A248="","",IF($E248=1,_xlfn.SUMIFS(Compta!$F$1:$F$1448,Compta!$A$1:$A$1448,$A248,Compta!$B$1:$B$1448,$B248,Compta!$C$1:$C$1448,"2026"),0))</f>
        <v>0</v>
      </c>
      <c r="G248" t="s">
        <v>274</v>
      </c>
      <c r="H248" t="s">
        <v>274</v>
      </c>
      <c r="I248" t="s">
        <v>274</v>
      </c>
      <c r="J248" t="s">
        <v>274</v>
      </c>
      <c r="K248" t="s">
        <v>274</v>
      </c>
      <c r="L248" t="s">
        <v>274</v>
      </c>
      <c r="M248" t="s">
        <v>274</v>
      </c>
      <c r="N248" t="e">
        <f t="shared" si="1"/>
        <v>#VALUE!</v>
      </c>
      <c r="O248" t="e">
        <f t="shared" si="2"/>
        <v>#VALUE!</v>
      </c>
      <c r="P248">
        <f>IF($A248="","",IF($E248=1,$F248*$O248,PNL!G248))</f>
        <v>37985</v>
      </c>
      <c r="T248">
        <f t="shared" si="3"/>
        <v>0</v>
      </c>
    </row>
    <row r="249" ht="14.25" customHeight="1">
      <c r="A249" t="str">
        <f>IF(PNL!A249="","",PNL!A249)</f>
        <v>MBWAY_NAN</v>
      </c>
      <c r="B249" t="str">
        <f>IF(PNL!B249="","",PNL!B249)</f>
        <v>6231</v>
      </c>
      <c r="C249" t="str">
        <f>IF(PNL!C249="","",PNL!C249)</f>
        <v>2025</v>
      </c>
      <c r="D249" t="str">
        <f>IF(PNL!D249="","",PNL!D249)</f>
        <v>ACT</v>
      </c>
      <c r="E249">
        <f t="shared" si="0"/>
        <v>0</v>
      </c>
      <c r="F249">
        <f>IF($A249="","",IF($E249=1,_xlfn.SUMIFS(Compta!$F$1:$F$1448,Compta!$A$1:$A$1448,$A249,Compta!$B$1:$B$1448,$B249,Compta!$C$1:$C$1448,"2026"),0))</f>
        <v>0</v>
      </c>
      <c r="G249" t="s">
        <v>274</v>
      </c>
      <c r="H249" t="s">
        <v>274</v>
      </c>
      <c r="I249" t="s">
        <v>274</v>
      </c>
      <c r="J249" t="s">
        <v>274</v>
      </c>
      <c r="K249" t="s">
        <v>274</v>
      </c>
      <c r="L249" t="s">
        <v>274</v>
      </c>
      <c r="M249" t="s">
        <v>274</v>
      </c>
      <c r="N249" t="e">
        <f t="shared" si="1"/>
        <v>#VALUE!</v>
      </c>
      <c r="O249" t="e">
        <f t="shared" si="2"/>
        <v>#VALUE!</v>
      </c>
      <c r="P249">
        <f>IF($A249="","",IF($E249=1,$F249*$O249,PNL!G249))</f>
        <v>28666</v>
      </c>
      <c r="T249">
        <f t="shared" si="3"/>
        <v>0</v>
      </c>
    </row>
    <row r="250" ht="14.25" customHeight="1">
      <c r="A250" t="str">
        <f>IF(PNL!A250="","",PNL!A250)</f>
        <v>MBWAY_BOR</v>
      </c>
      <c r="B250" t="str">
        <f>IF(PNL!B250="","",PNL!B250)</f>
        <v>6231</v>
      </c>
      <c r="C250" t="str">
        <f>IF(PNL!C250="","",PNL!C250)</f>
        <v>2025</v>
      </c>
      <c r="D250" t="str">
        <f>IF(PNL!D250="","",PNL!D250)</f>
        <v>ACT</v>
      </c>
      <c r="E250">
        <f t="shared" si="0"/>
        <v>0</v>
      </c>
      <c r="F250">
        <f>IF($A250="","",IF($E250=1,_xlfn.SUMIFS(Compta!$F$1:$F$1448,Compta!$A$1:$A$1448,$A250,Compta!$B$1:$B$1448,$B250,Compta!$C$1:$C$1448,"2026"),0))</f>
        <v>0</v>
      </c>
      <c r="G250" t="s">
        <v>274</v>
      </c>
      <c r="H250" t="s">
        <v>274</v>
      </c>
      <c r="I250" t="s">
        <v>274</v>
      </c>
      <c r="J250" t="s">
        <v>274</v>
      </c>
      <c r="K250" t="s">
        <v>274</v>
      </c>
      <c r="L250" t="s">
        <v>274</v>
      </c>
      <c r="M250" t="s">
        <v>274</v>
      </c>
      <c r="N250" t="e">
        <f t="shared" si="1"/>
        <v>#VALUE!</v>
      </c>
      <c r="O250" t="e">
        <f t="shared" si="2"/>
        <v>#VALUE!</v>
      </c>
      <c r="P250">
        <f>IF($A250="","",IF($E250=1,$F250*$O250,PNL!G250))</f>
        <v>22657</v>
      </c>
      <c r="T250">
        <f t="shared" si="3"/>
        <v>0</v>
      </c>
    </row>
    <row r="251" ht="14.25" customHeight="1">
      <c r="A251" t="str">
        <f>IF(PNL!A251="","",PNL!A251)</f>
        <v>ISCOM_PAR</v>
      </c>
      <c r="B251" t="str">
        <f>IF(PNL!B251="","",PNL!B251)</f>
        <v>6231</v>
      </c>
      <c r="C251" t="str">
        <f>IF(PNL!C251="","",PNL!C251)</f>
        <v>2025</v>
      </c>
      <c r="D251" t="str">
        <f>IF(PNL!D251="","",PNL!D251)</f>
        <v>ACT</v>
      </c>
      <c r="E251">
        <f t="shared" si="0"/>
        <v>0</v>
      </c>
      <c r="F251">
        <f>IF($A251="","",IF($E251=1,_xlfn.SUMIFS(Compta!$F$1:$F$1448,Compta!$A$1:$A$1448,$A251,Compta!$B$1:$B$1448,$B251,Compta!$C$1:$C$1448,"2026"),0))</f>
        <v>0</v>
      </c>
      <c r="G251" t="s">
        <v>274</v>
      </c>
      <c r="H251" t="s">
        <v>274</v>
      </c>
      <c r="I251" t="s">
        <v>274</v>
      </c>
      <c r="J251" t="s">
        <v>274</v>
      </c>
      <c r="K251" t="s">
        <v>274</v>
      </c>
      <c r="L251" t="s">
        <v>274</v>
      </c>
      <c r="M251" t="s">
        <v>274</v>
      </c>
      <c r="N251" t="e">
        <f t="shared" si="1"/>
        <v>#VALUE!</v>
      </c>
      <c r="O251" t="e">
        <f t="shared" si="2"/>
        <v>#VALUE!</v>
      </c>
      <c r="P251">
        <f>IF($A251="","",IF($E251=1,$F251*$O251,PNL!G251))</f>
        <v>55272</v>
      </c>
      <c r="T251">
        <f t="shared" si="3"/>
        <v>0</v>
      </c>
    </row>
    <row r="252" ht="14.25" customHeight="1">
      <c r="A252" t="str">
        <f>IF(PNL!A252="","",PNL!A252)</f>
        <v>ISCOM_LIL</v>
      </c>
      <c r="B252" t="str">
        <f>IF(PNL!B252="","",PNL!B252)</f>
        <v>6231</v>
      </c>
      <c r="C252" t="str">
        <f>IF(PNL!C252="","",PNL!C252)</f>
        <v>2025</v>
      </c>
      <c r="D252" t="str">
        <f>IF(PNL!D252="","",PNL!D252)</f>
        <v>ACT</v>
      </c>
      <c r="E252">
        <f t="shared" si="0"/>
        <v>0</v>
      </c>
      <c r="F252">
        <f>IF($A252="","",IF($E252=1,_xlfn.SUMIFS(Compta!$F$1:$F$1448,Compta!$A$1:$A$1448,$A252,Compta!$B$1:$B$1448,$B252,Compta!$C$1:$C$1448,"2026"),0))</f>
        <v>0</v>
      </c>
      <c r="G252" t="s">
        <v>274</v>
      </c>
      <c r="H252" t="s">
        <v>274</v>
      </c>
      <c r="I252" t="s">
        <v>274</v>
      </c>
      <c r="J252" t="s">
        <v>274</v>
      </c>
      <c r="K252" t="s">
        <v>274</v>
      </c>
      <c r="L252" t="s">
        <v>274</v>
      </c>
      <c r="M252" t="s">
        <v>274</v>
      </c>
      <c r="N252" t="e">
        <f t="shared" si="1"/>
        <v>#VALUE!</v>
      </c>
      <c r="O252" t="e">
        <f t="shared" si="2"/>
        <v>#VALUE!</v>
      </c>
      <c r="P252">
        <f>IF($A252="","",IF($E252=1,$F252*$O252,PNL!G252))</f>
        <v>22927</v>
      </c>
      <c r="T252">
        <f t="shared" si="3"/>
        <v>0</v>
      </c>
    </row>
    <row r="253" ht="14.25" customHeight="1">
      <c r="A253" t="str">
        <f>IF(PNL!A253="","",PNL!A253)</f>
        <v>ISCOM_TLS</v>
      </c>
      <c r="B253" t="str">
        <f>IF(PNL!B253="","",PNL!B253)</f>
        <v>6231</v>
      </c>
      <c r="C253" t="str">
        <f>IF(PNL!C253="","",PNL!C253)</f>
        <v>2025</v>
      </c>
      <c r="D253" t="str">
        <f>IF(PNL!D253="","",PNL!D253)</f>
        <v>ACT</v>
      </c>
      <c r="E253">
        <f t="shared" si="0"/>
        <v>0</v>
      </c>
      <c r="F253">
        <f>IF($A253="","",IF($E253=1,_xlfn.SUMIFS(Compta!$F$1:$F$1448,Compta!$A$1:$A$1448,$A253,Compta!$B$1:$B$1448,$B253,Compta!$C$1:$C$1448,"2026"),0))</f>
        <v>0</v>
      </c>
      <c r="G253" t="s">
        <v>274</v>
      </c>
      <c r="H253" t="s">
        <v>274</v>
      </c>
      <c r="I253" t="s">
        <v>274</v>
      </c>
      <c r="J253" t="s">
        <v>274</v>
      </c>
      <c r="K253" t="s">
        <v>274</v>
      </c>
      <c r="L253" t="s">
        <v>274</v>
      </c>
      <c r="M253" t="s">
        <v>274</v>
      </c>
      <c r="N253" t="e">
        <f t="shared" si="1"/>
        <v>#VALUE!</v>
      </c>
      <c r="O253" t="e">
        <f t="shared" si="2"/>
        <v>#VALUE!</v>
      </c>
      <c r="P253">
        <f>IF($A253="","",IF($E253=1,$F253*$O253,PNL!G253))</f>
        <v>20076</v>
      </c>
      <c r="T253">
        <f t="shared" si="3"/>
        <v>0</v>
      </c>
    </row>
    <row r="254" ht="14.25" customHeight="1">
      <c r="A254" t="str">
        <f>IF(PNL!A254="","",PNL!A254)</f>
        <v>IPAC_NAN</v>
      </c>
      <c r="B254" t="str">
        <f>IF(PNL!B254="","",PNL!B254)</f>
        <v>6231</v>
      </c>
      <c r="C254" t="str">
        <f>IF(PNL!C254="","",PNL!C254)</f>
        <v>2025</v>
      </c>
      <c r="D254" t="str">
        <f>IF(PNL!D254="","",PNL!D254)</f>
        <v>ACT</v>
      </c>
      <c r="E254">
        <f t="shared" si="0"/>
        <v>0</v>
      </c>
      <c r="F254">
        <f>IF($A254="","",IF($E254=1,_xlfn.SUMIFS(Compta!$F$1:$F$1448,Compta!$A$1:$A$1448,$A254,Compta!$B$1:$B$1448,$B254,Compta!$C$1:$C$1448,"2026"),0))</f>
        <v>0</v>
      </c>
      <c r="G254" t="s">
        <v>274</v>
      </c>
      <c r="H254" t="s">
        <v>274</v>
      </c>
      <c r="I254" t="s">
        <v>274</v>
      </c>
      <c r="J254" t="s">
        <v>274</v>
      </c>
      <c r="K254" t="s">
        <v>274</v>
      </c>
      <c r="L254" t="s">
        <v>274</v>
      </c>
      <c r="M254" t="s">
        <v>274</v>
      </c>
      <c r="N254" t="e">
        <f t="shared" si="1"/>
        <v>#VALUE!</v>
      </c>
      <c r="O254" t="e">
        <f t="shared" si="2"/>
        <v>#VALUE!</v>
      </c>
      <c r="P254">
        <f>IF($A254="","",IF($E254=1,$F254*$O254,PNL!G254))</f>
        <v>19782</v>
      </c>
      <c r="T254">
        <f t="shared" si="3"/>
        <v>0</v>
      </c>
    </row>
    <row r="255" ht="14.25" customHeight="1">
      <c r="A255" t="str">
        <f>IF(PNL!A255="","",PNL!A255)</f>
        <v>IPAC_REN</v>
      </c>
      <c r="B255" t="str">
        <f>IF(PNL!B255="","",PNL!B255)</f>
        <v>6231</v>
      </c>
      <c r="C255" t="str">
        <f>IF(PNL!C255="","",PNL!C255)</f>
        <v>2025</v>
      </c>
      <c r="D255" t="str">
        <f>IF(PNL!D255="","",PNL!D255)</f>
        <v>ACT</v>
      </c>
      <c r="E255">
        <f t="shared" si="0"/>
        <v>0</v>
      </c>
      <c r="F255">
        <f>IF($A255="","",IF($E255=1,_xlfn.SUMIFS(Compta!$F$1:$F$1448,Compta!$A$1:$A$1448,$A255,Compta!$B$1:$B$1448,$B255,Compta!$C$1:$C$1448,"2026"),0))</f>
        <v>0</v>
      </c>
      <c r="G255" t="s">
        <v>274</v>
      </c>
      <c r="H255" t="s">
        <v>274</v>
      </c>
      <c r="I255" t="s">
        <v>274</v>
      </c>
      <c r="J255" t="s">
        <v>274</v>
      </c>
      <c r="K255" t="s">
        <v>274</v>
      </c>
      <c r="L255" t="s">
        <v>274</v>
      </c>
      <c r="M255" t="s">
        <v>274</v>
      </c>
      <c r="N255" t="e">
        <f t="shared" si="1"/>
        <v>#VALUE!</v>
      </c>
      <c r="O255" t="e">
        <f t="shared" si="2"/>
        <v>#VALUE!</v>
      </c>
      <c r="P255">
        <f>IF($A255="","",IF($E255=1,$F255*$O255,PNL!G255))</f>
        <v>13575</v>
      </c>
      <c r="T255">
        <f t="shared" si="3"/>
        <v>0</v>
      </c>
    </row>
    <row r="256" ht="14.25" customHeight="1">
      <c r="A256" t="str">
        <f>IF(PNL!A256="","",PNL!A256)</f>
        <v>IPAC_MTP</v>
      </c>
      <c r="B256" t="str">
        <f>IF(PNL!B256="","",PNL!B256)</f>
        <v>6231</v>
      </c>
      <c r="C256" t="str">
        <f>IF(PNL!C256="","",PNL!C256)</f>
        <v>2025</v>
      </c>
      <c r="D256" t="str">
        <f>IF(PNL!D256="","",PNL!D256)</f>
        <v>ACT</v>
      </c>
      <c r="E256">
        <f t="shared" si="0"/>
        <v>0</v>
      </c>
      <c r="F256">
        <f>IF($A256="","",IF($E256=1,_xlfn.SUMIFS(Compta!$F$1:$F$1448,Compta!$A$1:$A$1448,$A256,Compta!$B$1:$B$1448,$B256,Compta!$C$1:$C$1448,"2026"),0))</f>
        <v>0</v>
      </c>
      <c r="G256" t="s">
        <v>274</v>
      </c>
      <c r="H256" t="s">
        <v>274</v>
      </c>
      <c r="I256" t="s">
        <v>274</v>
      </c>
      <c r="J256" t="s">
        <v>274</v>
      </c>
      <c r="K256" t="s">
        <v>274</v>
      </c>
      <c r="L256" t="s">
        <v>274</v>
      </c>
      <c r="M256" t="s">
        <v>274</v>
      </c>
      <c r="N256" t="e">
        <f t="shared" si="1"/>
        <v>#VALUE!</v>
      </c>
      <c r="O256" t="e">
        <f t="shared" si="2"/>
        <v>#VALUE!</v>
      </c>
      <c r="P256">
        <f>IF($A256="","",IF($E256=1,$F256*$O256,PNL!G256))</f>
        <v>13798</v>
      </c>
      <c r="T256">
        <f t="shared" si="3"/>
        <v>0</v>
      </c>
    </row>
    <row r="257" ht="14.25" customHeight="1">
      <c r="A257" t="str">
        <f>IF(PNL!A257="","",PNL!A257)</f>
        <v>PIGIER_LYO</v>
      </c>
      <c r="B257" t="str">
        <f>IF(PNL!B257="","",PNL!B257)</f>
        <v>6231</v>
      </c>
      <c r="C257" t="str">
        <f>IF(PNL!C257="","",PNL!C257)</f>
        <v>2025</v>
      </c>
      <c r="D257" t="str">
        <f>IF(PNL!D257="","",PNL!D257)</f>
        <v>ACT</v>
      </c>
      <c r="E257">
        <f t="shared" si="0"/>
        <v>0</v>
      </c>
      <c r="F257">
        <f>IF($A257="","",IF($E257=1,_xlfn.SUMIFS(Compta!$F$1:$F$1448,Compta!$A$1:$A$1448,$A257,Compta!$B$1:$B$1448,$B257,Compta!$C$1:$C$1448,"2026"),0))</f>
        <v>0</v>
      </c>
      <c r="G257" t="s">
        <v>274</v>
      </c>
      <c r="H257" t="s">
        <v>274</v>
      </c>
      <c r="I257" t="s">
        <v>274</v>
      </c>
      <c r="J257" t="s">
        <v>274</v>
      </c>
      <c r="K257" t="s">
        <v>274</v>
      </c>
      <c r="L257" t="s">
        <v>274</v>
      </c>
      <c r="M257" t="s">
        <v>274</v>
      </c>
      <c r="N257" t="e">
        <f t="shared" si="1"/>
        <v>#VALUE!</v>
      </c>
      <c r="O257" t="e">
        <f t="shared" si="2"/>
        <v>#VALUE!</v>
      </c>
      <c r="P257">
        <f>IF($A257="","",IF($E257=1,$F257*$O257,PNL!G257))</f>
        <v>33284</v>
      </c>
      <c r="T257">
        <f t="shared" si="3"/>
        <v>0</v>
      </c>
    </row>
    <row r="258" ht="14.25" customHeight="1">
      <c r="A258" t="str">
        <f>IF(PNL!A258="","",PNL!A258)</f>
        <v>PIGIER_BOR</v>
      </c>
      <c r="B258" t="str">
        <f>IF(PNL!B258="","",PNL!B258)</f>
        <v>6231</v>
      </c>
      <c r="C258" t="str">
        <f>IF(PNL!C258="","",PNL!C258)</f>
        <v>2025</v>
      </c>
      <c r="D258" t="str">
        <f>IF(PNL!D258="","",PNL!D258)</f>
        <v>ACT</v>
      </c>
      <c r="E258">
        <f t="shared" si="0"/>
        <v>0</v>
      </c>
      <c r="F258">
        <f>IF($A258="","",IF($E258=1,_xlfn.SUMIFS(Compta!$F$1:$F$1448,Compta!$A$1:$A$1448,$A258,Compta!$B$1:$B$1448,$B258,Compta!$C$1:$C$1448,"2026"),0))</f>
        <v>0</v>
      </c>
      <c r="G258" t="s">
        <v>274</v>
      </c>
      <c r="H258" t="s">
        <v>274</v>
      </c>
      <c r="I258" t="s">
        <v>274</v>
      </c>
      <c r="J258" t="s">
        <v>274</v>
      </c>
      <c r="K258" t="s">
        <v>274</v>
      </c>
      <c r="L258" t="s">
        <v>274</v>
      </c>
      <c r="M258" t="s">
        <v>274</v>
      </c>
      <c r="N258" t="e">
        <f t="shared" si="1"/>
        <v>#VALUE!</v>
      </c>
      <c r="O258" t="e">
        <f t="shared" si="2"/>
        <v>#VALUE!</v>
      </c>
      <c r="P258">
        <f>IF($A258="","",IF($E258=1,$F258*$O258,PNL!G258))</f>
        <v>19971</v>
      </c>
      <c r="T258">
        <f t="shared" si="3"/>
        <v>0</v>
      </c>
    </row>
    <row r="259" ht="14.25" customHeight="1">
      <c r="A259" t="str">
        <f>IF(PNL!A259="","",PNL!A259)</f>
        <v>TUNON_PAR</v>
      </c>
      <c r="B259" t="str">
        <f>IF(PNL!B259="","",PNL!B259)</f>
        <v>6231</v>
      </c>
      <c r="C259" t="str">
        <f>IF(PNL!C259="","",PNL!C259)</f>
        <v>2025</v>
      </c>
      <c r="D259" t="str">
        <f>IF(PNL!D259="","",PNL!D259)</f>
        <v>ACT</v>
      </c>
      <c r="E259">
        <f t="shared" si="0"/>
        <v>0</v>
      </c>
      <c r="F259">
        <f>IF($A259="","",IF($E259=1,_xlfn.SUMIFS(Compta!$F$1:$F$1448,Compta!$A$1:$A$1448,$A259,Compta!$B$1:$B$1448,$B259,Compta!$C$1:$C$1448,"2026"),0))</f>
        <v>0</v>
      </c>
      <c r="G259" t="s">
        <v>274</v>
      </c>
      <c r="H259" t="s">
        <v>274</v>
      </c>
      <c r="I259" t="s">
        <v>274</v>
      </c>
      <c r="J259" t="s">
        <v>274</v>
      </c>
      <c r="K259" t="s">
        <v>274</v>
      </c>
      <c r="L259" t="s">
        <v>274</v>
      </c>
      <c r="M259" t="s">
        <v>274</v>
      </c>
      <c r="N259" t="e">
        <f t="shared" si="1"/>
        <v>#VALUE!</v>
      </c>
      <c r="O259" t="e">
        <f t="shared" si="2"/>
        <v>#VALUE!</v>
      </c>
      <c r="P259">
        <f>IF($A259="","",IF($E259=1,$F259*$O259,PNL!G259))</f>
        <v>27491</v>
      </c>
      <c r="T259">
        <f t="shared" si="3"/>
        <v>0</v>
      </c>
    </row>
    <row r="260" ht="14.25" customHeight="1">
      <c r="A260" t="str">
        <f>IF(PNL!A260="","",PNL!A260)</f>
        <v>TUNON_LYO</v>
      </c>
      <c r="B260" t="str">
        <f>IF(PNL!B260="","",PNL!B260)</f>
        <v>6231</v>
      </c>
      <c r="C260" t="str">
        <f>IF(PNL!C260="","",PNL!C260)</f>
        <v>2025</v>
      </c>
      <c r="D260" t="str">
        <f>IF(PNL!D260="","",PNL!D260)</f>
        <v>ACT</v>
      </c>
      <c r="E260">
        <f t="shared" si="0"/>
        <v>0</v>
      </c>
      <c r="F260">
        <f>IF($A260="","",IF($E260=1,_xlfn.SUMIFS(Compta!$F$1:$F$1448,Compta!$A$1:$A$1448,$A260,Compta!$B$1:$B$1448,$B260,Compta!$C$1:$C$1448,"2026"),0))</f>
        <v>0</v>
      </c>
      <c r="G260" t="s">
        <v>274</v>
      </c>
      <c r="H260" t="s">
        <v>274</v>
      </c>
      <c r="I260" t="s">
        <v>274</v>
      </c>
      <c r="J260" t="s">
        <v>274</v>
      </c>
      <c r="K260" t="s">
        <v>274</v>
      </c>
      <c r="L260" t="s">
        <v>274</v>
      </c>
      <c r="M260" t="s">
        <v>274</v>
      </c>
      <c r="N260" t="e">
        <f t="shared" si="1"/>
        <v>#VALUE!</v>
      </c>
      <c r="O260" t="e">
        <f t="shared" si="2"/>
        <v>#VALUE!</v>
      </c>
      <c r="P260">
        <f>IF($A260="","",IF($E260=1,$F260*$O260,PNL!G260))</f>
        <v>17136</v>
      </c>
      <c r="T260">
        <f t="shared" si="3"/>
        <v>0</v>
      </c>
    </row>
    <row r="261" ht="14.25" customHeight="1">
      <c r="A261" t="str">
        <f>IF(PNL!A261="","",PNL!A261)</f>
        <v>MBWAY_PAR</v>
      </c>
      <c r="B261" t="str">
        <f>IF(PNL!B261="","",PNL!B261)</f>
        <v>6231</v>
      </c>
      <c r="C261" t="str">
        <f>IF(PNL!C261="","",PNL!C261)</f>
        <v>2026</v>
      </c>
      <c r="D261" t="str">
        <f>IF(PNL!D261="","",PNL!D261)</f>
        <v>ACT</v>
      </c>
      <c r="E261">
        <f t="shared" si="0"/>
        <v>0</v>
      </c>
      <c r="F261">
        <f>IF($A261="","",IF($E261=1,_xlfn.SUMIFS(Compta!$F$1:$F$1448,Compta!$A$1:$A$1448,$A261,Compta!$B$1:$B$1448,$B261,Compta!$C$1:$C$1448,"2026"),0))</f>
        <v>0</v>
      </c>
      <c r="G261" t="s">
        <v>274</v>
      </c>
      <c r="H261" t="s">
        <v>274</v>
      </c>
      <c r="I261" t="s">
        <v>274</v>
      </c>
      <c r="J261" t="s">
        <v>274</v>
      </c>
      <c r="K261" t="s">
        <v>274</v>
      </c>
      <c r="L261" t="s">
        <v>274</v>
      </c>
      <c r="M261" t="s">
        <v>274</v>
      </c>
      <c r="N261" t="e">
        <f t="shared" si="1"/>
        <v>#VALUE!</v>
      </c>
      <c r="O261" t="e">
        <f t="shared" si="2"/>
        <v>#VALUE!</v>
      </c>
      <c r="P261">
        <f>IF($A261="","",IF($E261=1,$F261*$O261,PNL!G261))</f>
        <v>68291</v>
      </c>
      <c r="T261">
        <f t="shared" si="3"/>
        <v>0</v>
      </c>
    </row>
    <row r="262" ht="14.25" customHeight="1">
      <c r="A262" t="str">
        <f>IF(PNL!A262="","",PNL!A262)</f>
        <v>MBWAY_LYO</v>
      </c>
      <c r="B262" t="str">
        <f>IF(PNL!B262="","",PNL!B262)</f>
        <v>6231</v>
      </c>
      <c r="C262" t="str">
        <f>IF(PNL!C262="","",PNL!C262)</f>
        <v>2026</v>
      </c>
      <c r="D262" t="str">
        <f>IF(PNL!D262="","",PNL!D262)</f>
        <v>ACT</v>
      </c>
      <c r="E262">
        <f t="shared" si="0"/>
        <v>0</v>
      </c>
      <c r="F262">
        <f>IF($A262="","",IF($E262=1,_xlfn.SUMIFS(Compta!$F$1:$F$1448,Compta!$A$1:$A$1448,$A262,Compta!$B$1:$B$1448,$B262,Compta!$C$1:$C$1448,"2026"),0))</f>
        <v>0</v>
      </c>
      <c r="G262" t="s">
        <v>274</v>
      </c>
      <c r="H262" t="s">
        <v>274</v>
      </c>
      <c r="I262" t="s">
        <v>274</v>
      </c>
      <c r="J262" t="s">
        <v>274</v>
      </c>
      <c r="K262" t="s">
        <v>274</v>
      </c>
      <c r="L262" t="s">
        <v>274</v>
      </c>
      <c r="M262" t="s">
        <v>274</v>
      </c>
      <c r="N262" t="e">
        <f t="shared" si="1"/>
        <v>#VALUE!</v>
      </c>
      <c r="O262" t="e">
        <f t="shared" si="2"/>
        <v>#VALUE!</v>
      </c>
      <c r="P262">
        <f>IF($A262="","",IF($E262=1,$F262*$O262,PNL!G262))</f>
        <v>41783</v>
      </c>
      <c r="T262">
        <f t="shared" si="3"/>
        <v>0</v>
      </c>
    </row>
    <row r="263" ht="14.25" customHeight="1">
      <c r="A263" t="str">
        <f>IF(PNL!A263="","",PNL!A263)</f>
        <v>MBWAY_NAN</v>
      </c>
      <c r="B263" t="str">
        <f>IF(PNL!B263="","",PNL!B263)</f>
        <v>6231</v>
      </c>
      <c r="C263" t="str">
        <f>IF(PNL!C263="","",PNL!C263)</f>
        <v>2026</v>
      </c>
      <c r="D263" t="str">
        <f>IF(PNL!D263="","",PNL!D263)</f>
        <v>ACT</v>
      </c>
      <c r="E263">
        <f t="shared" si="0"/>
        <v>0</v>
      </c>
      <c r="F263">
        <f>IF($A263="","",IF($E263=1,_xlfn.SUMIFS(Compta!$F$1:$F$1448,Compta!$A$1:$A$1448,$A263,Compta!$B$1:$B$1448,$B263,Compta!$C$1:$C$1448,"2026"),0))</f>
        <v>0</v>
      </c>
      <c r="G263" t="s">
        <v>274</v>
      </c>
      <c r="H263" t="s">
        <v>274</v>
      </c>
      <c r="I263" t="s">
        <v>274</v>
      </c>
      <c r="J263" t="s">
        <v>274</v>
      </c>
      <c r="K263" t="s">
        <v>274</v>
      </c>
      <c r="L263" t="s">
        <v>274</v>
      </c>
      <c r="M263" t="s">
        <v>274</v>
      </c>
      <c r="N263" t="e">
        <f t="shared" si="1"/>
        <v>#VALUE!</v>
      </c>
      <c r="O263" t="e">
        <f t="shared" si="2"/>
        <v>#VALUE!</v>
      </c>
      <c r="P263">
        <f>IF($A263="","",IF($E263=1,$F263*$O263,PNL!G263))</f>
        <v>31533</v>
      </c>
      <c r="T263">
        <f t="shared" si="3"/>
        <v>0</v>
      </c>
    </row>
    <row r="264" ht="14.25" customHeight="1">
      <c r="A264" t="str">
        <f>IF(PNL!A264="","",PNL!A264)</f>
        <v>MBWAY_BOR</v>
      </c>
      <c r="B264" t="str">
        <f>IF(PNL!B264="","",PNL!B264)</f>
        <v>6231</v>
      </c>
      <c r="C264" t="str">
        <f>IF(PNL!C264="","",PNL!C264)</f>
        <v>2026</v>
      </c>
      <c r="D264" t="str">
        <f>IF(PNL!D264="","",PNL!D264)</f>
        <v>ACT</v>
      </c>
      <c r="E264">
        <f t="shared" si="0"/>
        <v>0</v>
      </c>
      <c r="F264">
        <f>IF($A264="","",IF($E264=1,_xlfn.SUMIFS(Compta!$F$1:$F$1448,Compta!$A$1:$A$1448,$A264,Compta!$B$1:$B$1448,$B264,Compta!$C$1:$C$1448,"2026"),0))</f>
        <v>0</v>
      </c>
      <c r="G264" t="s">
        <v>274</v>
      </c>
      <c r="H264" t="s">
        <v>274</v>
      </c>
      <c r="I264" t="s">
        <v>274</v>
      </c>
      <c r="J264" t="s">
        <v>274</v>
      </c>
      <c r="K264" t="s">
        <v>274</v>
      </c>
      <c r="L264" t="s">
        <v>274</v>
      </c>
      <c r="M264" t="s">
        <v>274</v>
      </c>
      <c r="N264" t="e">
        <f t="shared" si="1"/>
        <v>#VALUE!</v>
      </c>
      <c r="O264" t="e">
        <f t="shared" si="2"/>
        <v>#VALUE!</v>
      </c>
      <c r="P264">
        <f>IF($A264="","",IF($E264=1,$F264*$O264,PNL!G264))</f>
        <v>24923</v>
      </c>
      <c r="T264">
        <f t="shared" si="3"/>
        <v>0</v>
      </c>
    </row>
    <row r="265" ht="14.25" customHeight="1">
      <c r="A265" t="str">
        <f>IF(PNL!A265="","",PNL!A265)</f>
        <v>ISCOM_PAR</v>
      </c>
      <c r="B265" t="str">
        <f>IF(PNL!B265="","",PNL!B265)</f>
        <v>6231</v>
      </c>
      <c r="C265" t="str">
        <f>IF(PNL!C265="","",PNL!C265)</f>
        <v>2026</v>
      </c>
      <c r="D265" t="str">
        <f>IF(PNL!D265="","",PNL!D265)</f>
        <v>ACT</v>
      </c>
      <c r="E265">
        <f t="shared" si="0"/>
        <v>0</v>
      </c>
      <c r="F265">
        <f>IF($A265="","",IF($E265=1,_xlfn.SUMIFS(Compta!$F$1:$F$1448,Compta!$A$1:$A$1448,$A265,Compta!$B$1:$B$1448,$B265,Compta!$C$1:$C$1448,"2026"),0))</f>
        <v>0</v>
      </c>
      <c r="G265" t="s">
        <v>274</v>
      </c>
      <c r="H265" t="s">
        <v>274</v>
      </c>
      <c r="I265" t="s">
        <v>274</v>
      </c>
      <c r="J265" t="s">
        <v>274</v>
      </c>
      <c r="K265" t="s">
        <v>274</v>
      </c>
      <c r="L265" t="s">
        <v>274</v>
      </c>
      <c r="M265" t="s">
        <v>274</v>
      </c>
      <c r="N265" t="e">
        <f t="shared" si="1"/>
        <v>#VALUE!</v>
      </c>
      <c r="O265" t="e">
        <f t="shared" si="2"/>
        <v>#VALUE!</v>
      </c>
      <c r="P265">
        <f>IF($A265="","",IF($E265=1,$F265*$O265,PNL!G265))</f>
        <v>60800</v>
      </c>
      <c r="T265">
        <f t="shared" si="3"/>
        <v>0</v>
      </c>
    </row>
    <row r="266" ht="14.25" customHeight="1">
      <c r="A266" t="str">
        <f>IF(PNL!A266="","",PNL!A266)</f>
        <v>ISCOM_LIL</v>
      </c>
      <c r="B266" t="str">
        <f>IF(PNL!B266="","",PNL!B266)</f>
        <v>6231</v>
      </c>
      <c r="C266" t="str">
        <f>IF(PNL!C266="","",PNL!C266)</f>
        <v>2026</v>
      </c>
      <c r="D266" t="str">
        <f>IF(PNL!D266="","",PNL!D266)</f>
        <v>ACT</v>
      </c>
      <c r="E266">
        <f t="shared" si="0"/>
        <v>0</v>
      </c>
      <c r="F266">
        <f>IF($A266="","",IF($E266=1,_xlfn.SUMIFS(Compta!$F$1:$F$1448,Compta!$A$1:$A$1448,$A266,Compta!$B$1:$B$1448,$B266,Compta!$C$1:$C$1448,"2026"),0))</f>
        <v>0</v>
      </c>
      <c r="G266" t="s">
        <v>274</v>
      </c>
      <c r="H266" t="s">
        <v>274</v>
      </c>
      <c r="I266" t="s">
        <v>274</v>
      </c>
      <c r="J266" t="s">
        <v>274</v>
      </c>
      <c r="K266" t="s">
        <v>274</v>
      </c>
      <c r="L266" t="s">
        <v>274</v>
      </c>
      <c r="M266" t="s">
        <v>274</v>
      </c>
      <c r="N266" t="e">
        <f t="shared" si="1"/>
        <v>#VALUE!</v>
      </c>
      <c r="O266" t="e">
        <f t="shared" si="2"/>
        <v>#VALUE!</v>
      </c>
      <c r="P266">
        <f>IF($A266="","",IF($E266=1,$F266*$O266,PNL!G266))</f>
        <v>25220</v>
      </c>
      <c r="T266">
        <f t="shared" si="3"/>
        <v>0</v>
      </c>
    </row>
    <row r="267" ht="14.25" customHeight="1">
      <c r="A267" t="str">
        <f>IF(PNL!A267="","",PNL!A267)</f>
        <v>ISCOM_TLS</v>
      </c>
      <c r="B267" t="str">
        <f>IF(PNL!B267="","",PNL!B267)</f>
        <v>6231</v>
      </c>
      <c r="C267" t="str">
        <f>IF(PNL!C267="","",PNL!C267)</f>
        <v>2026</v>
      </c>
      <c r="D267" t="str">
        <f>IF(PNL!D267="","",PNL!D267)</f>
        <v>ACT</v>
      </c>
      <c r="E267">
        <f t="shared" si="0"/>
        <v>0</v>
      </c>
      <c r="F267">
        <f>IF($A267="","",IF($E267=1,_xlfn.SUMIFS(Compta!$F$1:$F$1448,Compta!$A$1:$A$1448,$A267,Compta!$B$1:$B$1448,$B267,Compta!$C$1:$C$1448,"2026"),0))</f>
        <v>0</v>
      </c>
      <c r="G267" t="s">
        <v>274</v>
      </c>
      <c r="H267" t="s">
        <v>274</v>
      </c>
      <c r="I267" t="s">
        <v>274</v>
      </c>
      <c r="J267" t="s">
        <v>274</v>
      </c>
      <c r="K267" t="s">
        <v>274</v>
      </c>
      <c r="L267" t="s">
        <v>274</v>
      </c>
      <c r="M267" t="s">
        <v>274</v>
      </c>
      <c r="N267" t="e">
        <f t="shared" si="1"/>
        <v>#VALUE!</v>
      </c>
      <c r="O267" t="e">
        <f t="shared" si="2"/>
        <v>#VALUE!</v>
      </c>
      <c r="P267">
        <f>IF($A267="","",IF($E267=1,$F267*$O267,PNL!G267))</f>
        <v>22083</v>
      </c>
      <c r="T267">
        <f t="shared" si="3"/>
        <v>0</v>
      </c>
    </row>
    <row r="268" ht="14.25" customHeight="1">
      <c r="A268" t="str">
        <f>IF(PNL!A268="","",PNL!A268)</f>
        <v>IPAC_NAN</v>
      </c>
      <c r="B268" t="str">
        <f>IF(PNL!B268="","",PNL!B268)</f>
        <v>6231</v>
      </c>
      <c r="C268" t="str">
        <f>IF(PNL!C268="","",PNL!C268)</f>
        <v>2026</v>
      </c>
      <c r="D268" t="str">
        <f>IF(PNL!D268="","",PNL!D268)</f>
        <v>ACT</v>
      </c>
      <c r="E268">
        <f t="shared" si="0"/>
        <v>0</v>
      </c>
      <c r="F268">
        <f>IF($A268="","",IF($E268=1,_xlfn.SUMIFS(Compta!$F$1:$F$1448,Compta!$A$1:$A$1448,$A268,Compta!$B$1:$B$1448,$B268,Compta!$C$1:$C$1448,"2026"),0))</f>
        <v>0</v>
      </c>
      <c r="G268" t="s">
        <v>274</v>
      </c>
      <c r="H268" t="s">
        <v>274</v>
      </c>
      <c r="I268" t="s">
        <v>274</v>
      </c>
      <c r="J268" t="s">
        <v>274</v>
      </c>
      <c r="K268" t="s">
        <v>274</v>
      </c>
      <c r="L268" t="s">
        <v>274</v>
      </c>
      <c r="M268" t="s">
        <v>274</v>
      </c>
      <c r="N268" t="e">
        <f t="shared" si="1"/>
        <v>#VALUE!</v>
      </c>
      <c r="O268" t="e">
        <f t="shared" si="2"/>
        <v>#VALUE!</v>
      </c>
      <c r="P268">
        <f>IF($A268="","",IF($E268=1,$F268*$O268,PNL!G268))</f>
        <v>21760</v>
      </c>
      <c r="T268">
        <f t="shared" si="3"/>
        <v>0</v>
      </c>
    </row>
    <row r="269" ht="14.25" customHeight="1">
      <c r="A269" t="str">
        <f>IF(PNL!A269="","",PNL!A269)</f>
        <v>IPAC_REN</v>
      </c>
      <c r="B269" t="str">
        <f>IF(PNL!B269="","",PNL!B269)</f>
        <v>6231</v>
      </c>
      <c r="C269" t="str">
        <f>IF(PNL!C269="","",PNL!C269)</f>
        <v>2026</v>
      </c>
      <c r="D269" t="str">
        <f>IF(PNL!D269="","",PNL!D269)</f>
        <v>ACT</v>
      </c>
      <c r="E269">
        <f t="shared" si="0"/>
        <v>0</v>
      </c>
      <c r="F269">
        <f>IF($A269="","",IF($E269=1,_xlfn.SUMIFS(Compta!$F$1:$F$1448,Compta!$A$1:$A$1448,$A269,Compta!$B$1:$B$1448,$B269,Compta!$C$1:$C$1448,"2026"),0))</f>
        <v>0</v>
      </c>
      <c r="G269" t="s">
        <v>274</v>
      </c>
      <c r="H269" t="s">
        <v>274</v>
      </c>
      <c r="I269" t="s">
        <v>274</v>
      </c>
      <c r="J269" t="s">
        <v>274</v>
      </c>
      <c r="K269" t="s">
        <v>274</v>
      </c>
      <c r="L269" t="s">
        <v>274</v>
      </c>
      <c r="M269" t="s">
        <v>274</v>
      </c>
      <c r="N269" t="e">
        <f t="shared" si="1"/>
        <v>#VALUE!</v>
      </c>
      <c r="O269" t="e">
        <f t="shared" si="2"/>
        <v>#VALUE!</v>
      </c>
      <c r="P269">
        <f>IF($A269="","",IF($E269=1,$F269*$O269,PNL!G269))</f>
        <v>14933</v>
      </c>
      <c r="T269">
        <f t="shared" si="3"/>
        <v>0</v>
      </c>
    </row>
    <row r="270" ht="14.25" customHeight="1">
      <c r="A270" t="str">
        <f>IF(PNL!A270="","",PNL!A270)</f>
        <v>IPAC_MTP</v>
      </c>
      <c r="B270" t="str">
        <f>IF(PNL!B270="","",PNL!B270)</f>
        <v>6231</v>
      </c>
      <c r="C270" t="str">
        <f>IF(PNL!C270="","",PNL!C270)</f>
        <v>2026</v>
      </c>
      <c r="D270" t="str">
        <f>IF(PNL!D270="","",PNL!D270)</f>
        <v>ACT</v>
      </c>
      <c r="E270">
        <f t="shared" si="0"/>
        <v>0</v>
      </c>
      <c r="F270">
        <f>IF($A270="","",IF($E270=1,_xlfn.SUMIFS(Compta!$F$1:$F$1448,Compta!$A$1:$A$1448,$A270,Compta!$B$1:$B$1448,$B270,Compta!$C$1:$C$1448,"2026"),0))</f>
        <v>0</v>
      </c>
      <c r="G270" t="s">
        <v>274</v>
      </c>
      <c r="H270" t="s">
        <v>274</v>
      </c>
      <c r="I270" t="s">
        <v>274</v>
      </c>
      <c r="J270" t="s">
        <v>274</v>
      </c>
      <c r="K270" t="s">
        <v>274</v>
      </c>
      <c r="L270" t="s">
        <v>274</v>
      </c>
      <c r="M270" t="s">
        <v>274</v>
      </c>
      <c r="N270" t="e">
        <f t="shared" si="1"/>
        <v>#VALUE!</v>
      </c>
      <c r="O270" t="e">
        <f t="shared" si="2"/>
        <v>#VALUE!</v>
      </c>
      <c r="P270">
        <f>IF($A270="","",IF($E270=1,$F270*$O270,PNL!G270))</f>
        <v>15178</v>
      </c>
      <c r="T270">
        <f t="shared" si="3"/>
        <v>0</v>
      </c>
    </row>
    <row r="271" ht="14.25" customHeight="1">
      <c r="A271" t="str">
        <f>IF(PNL!A271="","",PNL!A271)</f>
        <v>PIGIER_LYO</v>
      </c>
      <c r="B271" t="str">
        <f>IF(PNL!B271="","",PNL!B271)</f>
        <v>6231</v>
      </c>
      <c r="C271" t="str">
        <f>IF(PNL!C271="","",PNL!C271)</f>
        <v>2026</v>
      </c>
      <c r="D271" t="str">
        <f>IF(PNL!D271="","",PNL!D271)</f>
        <v>ACT</v>
      </c>
      <c r="E271">
        <f t="shared" si="0"/>
        <v>0</v>
      </c>
      <c r="F271">
        <f>IF($A271="","",IF($E271=1,_xlfn.SUMIFS(Compta!$F$1:$F$1448,Compta!$A$1:$A$1448,$A271,Compta!$B$1:$B$1448,$B271,Compta!$C$1:$C$1448,"2026"),0))</f>
        <v>0</v>
      </c>
      <c r="G271" t="s">
        <v>274</v>
      </c>
      <c r="H271" t="s">
        <v>274</v>
      </c>
      <c r="I271" t="s">
        <v>274</v>
      </c>
      <c r="J271" t="s">
        <v>274</v>
      </c>
      <c r="K271" t="s">
        <v>274</v>
      </c>
      <c r="L271" t="s">
        <v>274</v>
      </c>
      <c r="M271" t="s">
        <v>274</v>
      </c>
      <c r="N271" t="e">
        <f t="shared" si="1"/>
        <v>#VALUE!</v>
      </c>
      <c r="O271" t="e">
        <f t="shared" si="2"/>
        <v>#VALUE!</v>
      </c>
      <c r="P271">
        <f>IF($A271="","",IF($E271=1,$F271*$O271,PNL!G271))</f>
        <v>36612</v>
      </c>
      <c r="T271">
        <f t="shared" si="3"/>
        <v>0</v>
      </c>
    </row>
    <row r="272" ht="14.25" customHeight="1">
      <c r="A272" t="str">
        <f>IF(PNL!A272="","",PNL!A272)</f>
        <v>PIGIER_BOR</v>
      </c>
      <c r="B272" t="str">
        <f>IF(PNL!B272="","",PNL!B272)</f>
        <v>6231</v>
      </c>
      <c r="C272" t="str">
        <f>IF(PNL!C272="","",PNL!C272)</f>
        <v>2026</v>
      </c>
      <c r="D272" t="str">
        <f>IF(PNL!D272="","",PNL!D272)</f>
        <v>ACT</v>
      </c>
      <c r="E272">
        <f t="shared" si="0"/>
        <v>0</v>
      </c>
      <c r="F272">
        <f>IF($A272="","",IF($E272=1,_xlfn.SUMIFS(Compta!$F$1:$F$1448,Compta!$A$1:$A$1448,$A272,Compta!$B$1:$B$1448,$B272,Compta!$C$1:$C$1448,"2026"),0))</f>
        <v>0</v>
      </c>
      <c r="G272" t="s">
        <v>274</v>
      </c>
      <c r="H272" t="s">
        <v>274</v>
      </c>
      <c r="I272" t="s">
        <v>274</v>
      </c>
      <c r="J272" t="s">
        <v>274</v>
      </c>
      <c r="K272" t="s">
        <v>274</v>
      </c>
      <c r="L272" t="s">
        <v>274</v>
      </c>
      <c r="M272" t="s">
        <v>274</v>
      </c>
      <c r="N272" t="e">
        <f t="shared" si="1"/>
        <v>#VALUE!</v>
      </c>
      <c r="O272" t="e">
        <f t="shared" si="2"/>
        <v>#VALUE!</v>
      </c>
      <c r="P272">
        <f>IF($A272="","",IF($E272=1,$F272*$O272,PNL!G272))</f>
        <v>21968</v>
      </c>
      <c r="T272">
        <f t="shared" si="3"/>
        <v>0</v>
      </c>
    </row>
    <row r="273" ht="14.25" customHeight="1">
      <c r="A273" t="str">
        <f>IF(PNL!A273="","",PNL!A273)</f>
        <v>TUNON_PAR</v>
      </c>
      <c r="B273" t="str">
        <f>IF(PNL!B273="","",PNL!B273)</f>
        <v>6231</v>
      </c>
      <c r="C273" t="str">
        <f>IF(PNL!C273="","",PNL!C273)</f>
        <v>2026</v>
      </c>
      <c r="D273" t="str">
        <f>IF(PNL!D273="","",PNL!D273)</f>
        <v>ACT</v>
      </c>
      <c r="E273">
        <f t="shared" si="0"/>
        <v>0</v>
      </c>
      <c r="F273">
        <f>IF($A273="","",IF($E273=1,_xlfn.SUMIFS(Compta!$F$1:$F$1448,Compta!$A$1:$A$1448,$A273,Compta!$B$1:$B$1448,$B273,Compta!$C$1:$C$1448,"2026"),0))</f>
        <v>0</v>
      </c>
      <c r="G273" t="s">
        <v>274</v>
      </c>
      <c r="H273" t="s">
        <v>274</v>
      </c>
      <c r="I273" t="s">
        <v>274</v>
      </c>
      <c r="J273" t="s">
        <v>274</v>
      </c>
      <c r="K273" t="s">
        <v>274</v>
      </c>
      <c r="L273" t="s">
        <v>274</v>
      </c>
      <c r="M273" t="s">
        <v>274</v>
      </c>
      <c r="N273" t="e">
        <f t="shared" si="1"/>
        <v>#VALUE!</v>
      </c>
      <c r="O273" t="e">
        <f t="shared" si="2"/>
        <v>#VALUE!</v>
      </c>
      <c r="P273">
        <f>IF($A273="","",IF($E273=1,$F273*$O273,PNL!G273))</f>
        <v>30240</v>
      </c>
      <c r="T273">
        <f t="shared" si="3"/>
        <v>0</v>
      </c>
    </row>
    <row r="274" ht="14.25" customHeight="1">
      <c r="A274" t="str">
        <f>IF(PNL!A274="","",PNL!A274)</f>
        <v>TUNON_LYO</v>
      </c>
      <c r="B274" t="str">
        <f>IF(PNL!B274="","",PNL!B274)</f>
        <v>6231</v>
      </c>
      <c r="C274" t="str">
        <f>IF(PNL!C274="","",PNL!C274)</f>
        <v>2026</v>
      </c>
      <c r="D274" t="str">
        <f>IF(PNL!D274="","",PNL!D274)</f>
        <v>ACT</v>
      </c>
      <c r="E274">
        <f t="shared" si="0"/>
        <v>0</v>
      </c>
      <c r="F274">
        <f>IF($A274="","",IF($E274=1,_xlfn.SUMIFS(Compta!$F$1:$F$1448,Compta!$A$1:$A$1448,$A274,Compta!$B$1:$B$1448,$B274,Compta!$C$1:$C$1448,"2026"),0))</f>
        <v>0</v>
      </c>
      <c r="G274" t="s">
        <v>274</v>
      </c>
      <c r="H274" t="s">
        <v>274</v>
      </c>
      <c r="I274" t="s">
        <v>274</v>
      </c>
      <c r="J274" t="s">
        <v>274</v>
      </c>
      <c r="K274" t="s">
        <v>274</v>
      </c>
      <c r="L274" t="s">
        <v>274</v>
      </c>
      <c r="M274" t="s">
        <v>274</v>
      </c>
      <c r="N274" t="e">
        <f t="shared" si="1"/>
        <v>#VALUE!</v>
      </c>
      <c r="O274" t="e">
        <f t="shared" si="2"/>
        <v>#VALUE!</v>
      </c>
      <c r="P274">
        <f>IF($A274="","",IF($E274=1,$F274*$O274,PNL!G274))</f>
        <v>18850</v>
      </c>
      <c r="T274">
        <f t="shared" si="3"/>
        <v>0</v>
      </c>
    </row>
    <row r="275" ht="14.25" customHeight="1">
      <c r="A275" t="str">
        <f>IF(PNL!A275="","",PNL!A275)</f>
        <v>MBWAY_PAR</v>
      </c>
      <c r="B275" t="str">
        <f>IF(PNL!B275="","",PNL!B275)</f>
        <v>6411</v>
      </c>
      <c r="C275" t="str">
        <f>IF(PNL!C275="","",PNL!C275)</f>
        <v>2024</v>
      </c>
      <c r="D275" t="str">
        <f>IF(PNL!D275="","",PNL!D275)</f>
        <v>ACT</v>
      </c>
      <c r="E275">
        <f t="shared" si="0"/>
        <v>0</v>
      </c>
      <c r="F275">
        <f>IF($A275="","",IF($E275=1,_xlfn.SUMIFS(Compta!$F$1:$F$1448,Compta!$A$1:$A$1448,$A275,Compta!$B$1:$B$1448,$B275,Compta!$C$1:$C$1448,"2026"),0))</f>
        <v>0</v>
      </c>
      <c r="G275" t="s">
        <v>274</v>
      </c>
      <c r="H275" t="s">
        <v>274</v>
      </c>
      <c r="I275" t="s">
        <v>274</v>
      </c>
      <c r="J275" t="s">
        <v>274</v>
      </c>
      <c r="K275" t="s">
        <v>274</v>
      </c>
      <c r="L275" t="s">
        <v>274</v>
      </c>
      <c r="M275" t="s">
        <v>274</v>
      </c>
      <c r="N275" t="e">
        <f t="shared" si="1"/>
        <v>#VALUE!</v>
      </c>
      <c r="O275" t="e">
        <f t="shared" si="2"/>
        <v>#VALUE!</v>
      </c>
      <c r="P275">
        <f>IF($A275="","",IF($E275=1,$F275*$O275,PNL!G275))</f>
        <v>552322</v>
      </c>
      <c r="T275">
        <f t="shared" si="3"/>
        <v>0</v>
      </c>
    </row>
    <row r="276" ht="14.25" customHeight="1">
      <c r="A276" t="str">
        <f>IF(PNL!A276="","",PNL!A276)</f>
        <v>MBWAY_LYO</v>
      </c>
      <c r="B276" t="str">
        <f>IF(PNL!B276="","",PNL!B276)</f>
        <v>6411</v>
      </c>
      <c r="C276" t="str">
        <f>IF(PNL!C276="","",PNL!C276)</f>
        <v>2024</v>
      </c>
      <c r="D276" t="str">
        <f>IF(PNL!D276="","",PNL!D276)</f>
        <v>ACT</v>
      </c>
      <c r="E276">
        <f t="shared" si="0"/>
        <v>0</v>
      </c>
      <c r="F276">
        <f>IF($A276="","",IF($E276=1,_xlfn.SUMIFS(Compta!$F$1:$F$1448,Compta!$A$1:$A$1448,$A276,Compta!$B$1:$B$1448,$B276,Compta!$C$1:$C$1448,"2026"),0))</f>
        <v>0</v>
      </c>
      <c r="G276" t="s">
        <v>274</v>
      </c>
      <c r="H276" t="s">
        <v>274</v>
      </c>
      <c r="I276" t="s">
        <v>274</v>
      </c>
      <c r="J276" t="s">
        <v>274</v>
      </c>
      <c r="K276" t="s">
        <v>274</v>
      </c>
      <c r="L276" t="s">
        <v>274</v>
      </c>
      <c r="M276" t="s">
        <v>274</v>
      </c>
      <c r="N276" t="e">
        <f t="shared" si="1"/>
        <v>#VALUE!</v>
      </c>
      <c r="O276" t="e">
        <f t="shared" si="2"/>
        <v>#VALUE!</v>
      </c>
      <c r="P276">
        <f>IF($A276="","",IF($E276=1,$F276*$O276,PNL!G276))</f>
        <v>330938</v>
      </c>
      <c r="T276">
        <f t="shared" si="3"/>
        <v>0</v>
      </c>
    </row>
    <row r="277" ht="14.25" customHeight="1">
      <c r="A277" t="str">
        <f>IF(PNL!A277="","",PNL!A277)</f>
        <v>MBWAY_NAN</v>
      </c>
      <c r="B277" t="str">
        <f>IF(PNL!B277="","",PNL!B277)</f>
        <v>6411</v>
      </c>
      <c r="C277" t="str">
        <f>IF(PNL!C277="","",PNL!C277)</f>
        <v>2024</v>
      </c>
      <c r="D277" t="str">
        <f>IF(PNL!D277="","",PNL!D277)</f>
        <v>ACT</v>
      </c>
      <c r="E277">
        <f t="shared" si="0"/>
        <v>0</v>
      </c>
      <c r="F277">
        <f>IF($A277="","",IF($E277=1,_xlfn.SUMIFS(Compta!$F$1:$F$1448,Compta!$A$1:$A$1448,$A277,Compta!$B$1:$B$1448,$B277,Compta!$C$1:$C$1448,"2026"),0))</f>
        <v>0</v>
      </c>
      <c r="G277" t="s">
        <v>274</v>
      </c>
      <c r="H277" t="s">
        <v>274</v>
      </c>
      <c r="I277" t="s">
        <v>274</v>
      </c>
      <c r="J277" t="s">
        <v>274</v>
      </c>
      <c r="K277" t="s">
        <v>274</v>
      </c>
      <c r="L277" t="s">
        <v>274</v>
      </c>
      <c r="M277" t="s">
        <v>274</v>
      </c>
      <c r="N277" t="e">
        <f t="shared" si="1"/>
        <v>#VALUE!</v>
      </c>
      <c r="O277" t="e">
        <f t="shared" si="2"/>
        <v>#VALUE!</v>
      </c>
      <c r="P277">
        <f>IF($A277="","",IF($E277=1,$F277*$O277,PNL!G277))</f>
        <v>272751</v>
      </c>
      <c r="T277">
        <f t="shared" si="3"/>
        <v>0</v>
      </c>
    </row>
    <row r="278" ht="14.25" customHeight="1">
      <c r="A278" t="str">
        <f>IF(PNL!A278="","",PNL!A278)</f>
        <v>MBWAY_BOR</v>
      </c>
      <c r="B278" t="str">
        <f>IF(PNL!B278="","",PNL!B278)</f>
        <v>6411</v>
      </c>
      <c r="C278" t="str">
        <f>IF(PNL!C278="","",PNL!C278)</f>
        <v>2024</v>
      </c>
      <c r="D278" t="str">
        <f>IF(PNL!D278="","",PNL!D278)</f>
        <v>ACT</v>
      </c>
      <c r="E278">
        <f t="shared" si="0"/>
        <v>0</v>
      </c>
      <c r="F278">
        <f>IF($A278="","",IF($E278=1,_xlfn.SUMIFS(Compta!$F$1:$F$1448,Compta!$A$1:$A$1448,$A278,Compta!$B$1:$B$1448,$B278,Compta!$C$1:$C$1448,"2026"),0))</f>
        <v>0</v>
      </c>
      <c r="G278" t="s">
        <v>274</v>
      </c>
      <c r="H278" t="s">
        <v>274</v>
      </c>
      <c r="I278" t="s">
        <v>274</v>
      </c>
      <c r="J278" t="s">
        <v>274</v>
      </c>
      <c r="K278" t="s">
        <v>274</v>
      </c>
      <c r="L278" t="s">
        <v>274</v>
      </c>
      <c r="M278" t="s">
        <v>274</v>
      </c>
      <c r="N278" t="e">
        <f t="shared" si="1"/>
        <v>#VALUE!</v>
      </c>
      <c r="O278" t="e">
        <f t="shared" si="2"/>
        <v>#VALUE!</v>
      </c>
      <c r="P278">
        <f>IF($A278="","",IF($E278=1,$F278*$O278,PNL!G278))</f>
        <v>238657</v>
      </c>
      <c r="T278">
        <f t="shared" si="3"/>
        <v>0</v>
      </c>
    </row>
    <row r="279" ht="14.25" customHeight="1">
      <c r="A279" t="str">
        <f>IF(PNL!A279="","",PNL!A279)</f>
        <v>ISCOM_PAR</v>
      </c>
      <c r="B279" t="str">
        <f>IF(PNL!B279="","",PNL!B279)</f>
        <v>6411</v>
      </c>
      <c r="C279" t="str">
        <f>IF(PNL!C279="","",PNL!C279)</f>
        <v>2024</v>
      </c>
      <c r="D279" t="str">
        <f>IF(PNL!D279="","",PNL!D279)</f>
        <v>ACT</v>
      </c>
      <c r="E279">
        <f t="shared" si="0"/>
        <v>0</v>
      </c>
      <c r="F279">
        <f>IF($A279="","",IF($E279=1,_xlfn.SUMIFS(Compta!$F$1:$F$1448,Compta!$A$1:$A$1448,$A279,Compta!$B$1:$B$1448,$B279,Compta!$C$1:$C$1448,"2026"),0))</f>
        <v>0</v>
      </c>
      <c r="G279" t="s">
        <v>274</v>
      </c>
      <c r="H279" t="s">
        <v>274</v>
      </c>
      <c r="I279" t="s">
        <v>274</v>
      </c>
      <c r="J279" t="s">
        <v>274</v>
      </c>
      <c r="K279" t="s">
        <v>274</v>
      </c>
      <c r="L279" t="s">
        <v>274</v>
      </c>
      <c r="M279" t="s">
        <v>274</v>
      </c>
      <c r="N279" t="e">
        <f t="shared" si="1"/>
        <v>#VALUE!</v>
      </c>
      <c r="O279" t="e">
        <f t="shared" si="2"/>
        <v>#VALUE!</v>
      </c>
      <c r="P279">
        <f>IF($A279="","",IF($E279=1,$F279*$O279,PNL!G279))</f>
        <v>552322</v>
      </c>
      <c r="T279">
        <f t="shared" si="3"/>
        <v>0</v>
      </c>
    </row>
    <row r="280" ht="14.25" customHeight="1">
      <c r="A280" t="str">
        <f>IF(PNL!A280="","",PNL!A280)</f>
        <v>ISCOM_LIL</v>
      </c>
      <c r="B280" t="str">
        <f>IF(PNL!B280="","",PNL!B280)</f>
        <v>6411</v>
      </c>
      <c r="C280" t="str">
        <f>IF(PNL!C280="","",PNL!C280)</f>
        <v>2024</v>
      </c>
      <c r="D280" t="str">
        <f>IF(PNL!D280="","",PNL!D280)</f>
        <v>ACT</v>
      </c>
      <c r="E280">
        <f t="shared" si="0"/>
        <v>0</v>
      </c>
      <c r="F280">
        <f>IF($A280="","",IF($E280=1,_xlfn.SUMIFS(Compta!$F$1:$F$1448,Compta!$A$1:$A$1448,$A280,Compta!$B$1:$B$1448,$B280,Compta!$C$1:$C$1448,"2026"),0))</f>
        <v>0</v>
      </c>
      <c r="G280" t="s">
        <v>274</v>
      </c>
      <c r="H280" t="s">
        <v>274</v>
      </c>
      <c r="I280" t="s">
        <v>274</v>
      </c>
      <c r="J280" t="s">
        <v>274</v>
      </c>
      <c r="K280" t="s">
        <v>274</v>
      </c>
      <c r="L280" t="s">
        <v>274</v>
      </c>
      <c r="M280" t="s">
        <v>274</v>
      </c>
      <c r="N280" t="e">
        <f t="shared" si="1"/>
        <v>#VALUE!</v>
      </c>
      <c r="O280" t="e">
        <f t="shared" si="2"/>
        <v>#VALUE!</v>
      </c>
      <c r="P280">
        <f>IF($A280="","",IF($E280=1,$F280*$O280,PNL!G280))</f>
        <v>209109</v>
      </c>
      <c r="T280">
        <f t="shared" si="3"/>
        <v>0</v>
      </c>
    </row>
    <row r="281" ht="14.25" customHeight="1">
      <c r="A281" t="str">
        <f>IF(PNL!A281="","",PNL!A281)</f>
        <v>ISCOM_TLS</v>
      </c>
      <c r="B281" t="str">
        <f>IF(PNL!B281="","",PNL!B281)</f>
        <v>6411</v>
      </c>
      <c r="C281" t="str">
        <f>IF(PNL!C281="","",PNL!C281)</f>
        <v>2024</v>
      </c>
      <c r="D281" t="str">
        <f>IF(PNL!D281="","",PNL!D281)</f>
        <v>ACT</v>
      </c>
      <c r="E281">
        <f t="shared" si="0"/>
        <v>0</v>
      </c>
      <c r="F281">
        <f>IF($A281="","",IF($E281=1,_xlfn.SUMIFS(Compta!$F$1:$F$1448,Compta!$A$1:$A$1448,$A281,Compta!$B$1:$B$1448,$B281,Compta!$C$1:$C$1448,"2026"),0))</f>
        <v>0</v>
      </c>
      <c r="G281" t="s">
        <v>274</v>
      </c>
      <c r="H281" t="s">
        <v>274</v>
      </c>
      <c r="I281" t="s">
        <v>274</v>
      </c>
      <c r="J281" t="s">
        <v>274</v>
      </c>
      <c r="K281" t="s">
        <v>274</v>
      </c>
      <c r="L281" t="s">
        <v>274</v>
      </c>
      <c r="M281" t="s">
        <v>274</v>
      </c>
      <c r="N281" t="e">
        <f t="shared" si="1"/>
        <v>#VALUE!</v>
      </c>
      <c r="O281" t="e">
        <f t="shared" si="2"/>
        <v>#VALUE!</v>
      </c>
      <c r="P281">
        <f>IF($A281="","",IF($E281=1,$F281*$O281,PNL!G281))</f>
        <v>204564</v>
      </c>
      <c r="T281">
        <f t="shared" si="3"/>
        <v>0</v>
      </c>
    </row>
    <row r="282" ht="14.25" customHeight="1">
      <c r="A282" t="str">
        <f>IF(PNL!A282="","",PNL!A282)</f>
        <v>IPAC_NAN</v>
      </c>
      <c r="B282" t="str">
        <f>IF(PNL!B282="","",PNL!B282)</f>
        <v>6411</v>
      </c>
      <c r="C282" t="str">
        <f>IF(PNL!C282="","",PNL!C282)</f>
        <v>2024</v>
      </c>
      <c r="D282" t="str">
        <f>IF(PNL!D282="","",PNL!D282)</f>
        <v>ACT</v>
      </c>
      <c r="E282">
        <f t="shared" si="0"/>
        <v>0</v>
      </c>
      <c r="F282">
        <f>IF($A282="","",IF($E282=1,_xlfn.SUMIFS(Compta!$F$1:$F$1448,Compta!$A$1:$A$1448,$A282,Compta!$B$1:$B$1448,$B282,Compta!$C$1:$C$1448,"2026"),0))</f>
        <v>0</v>
      </c>
      <c r="G282" t="s">
        <v>274</v>
      </c>
      <c r="H282" t="s">
        <v>274</v>
      </c>
      <c r="I282" t="s">
        <v>274</v>
      </c>
      <c r="J282" t="s">
        <v>274</v>
      </c>
      <c r="K282" t="s">
        <v>274</v>
      </c>
      <c r="L282" t="s">
        <v>274</v>
      </c>
      <c r="M282" t="s">
        <v>274</v>
      </c>
      <c r="N282" t="e">
        <f t="shared" si="1"/>
        <v>#VALUE!</v>
      </c>
      <c r="O282" t="e">
        <f t="shared" si="2"/>
        <v>#VALUE!</v>
      </c>
      <c r="P282">
        <f>IF($A282="","",IF($E282=1,$F282*$O282,PNL!G282))</f>
        <v>136376</v>
      </c>
      <c r="T282">
        <f t="shared" si="3"/>
        <v>0</v>
      </c>
    </row>
    <row r="283" ht="14.25" customHeight="1">
      <c r="A283" t="str">
        <f>IF(PNL!A283="","",PNL!A283)</f>
        <v>IPAC_REN</v>
      </c>
      <c r="B283" t="str">
        <f>IF(PNL!B283="","",PNL!B283)</f>
        <v>6411</v>
      </c>
      <c r="C283" t="str">
        <f>IF(PNL!C283="","",PNL!C283)</f>
        <v>2024</v>
      </c>
      <c r="D283" t="str">
        <f>IF(PNL!D283="","",PNL!D283)</f>
        <v>ACT</v>
      </c>
      <c r="E283">
        <f t="shared" si="0"/>
        <v>0</v>
      </c>
      <c r="F283">
        <f>IF($A283="","",IF($E283=1,_xlfn.SUMIFS(Compta!$F$1:$F$1448,Compta!$A$1:$A$1448,$A283,Compta!$B$1:$B$1448,$B283,Compta!$C$1:$C$1448,"2026"),0))</f>
        <v>0</v>
      </c>
      <c r="G283" t="s">
        <v>274</v>
      </c>
      <c r="H283" t="s">
        <v>274</v>
      </c>
      <c r="I283" t="s">
        <v>274</v>
      </c>
      <c r="J283" t="s">
        <v>274</v>
      </c>
      <c r="K283" t="s">
        <v>274</v>
      </c>
      <c r="L283" t="s">
        <v>274</v>
      </c>
      <c r="M283" t="s">
        <v>274</v>
      </c>
      <c r="N283" t="e">
        <f t="shared" si="1"/>
        <v>#VALUE!</v>
      </c>
      <c r="O283" t="e">
        <f t="shared" si="2"/>
        <v>#VALUE!</v>
      </c>
      <c r="P283">
        <f>IF($A283="","",IF($E283=1,$F283*$O283,PNL!G283))</f>
        <v>120011</v>
      </c>
      <c r="T283">
        <f t="shared" si="3"/>
        <v>0</v>
      </c>
    </row>
    <row r="284" ht="14.25" customHeight="1">
      <c r="A284" t="str">
        <f>IF(PNL!A284="","",PNL!A284)</f>
        <v>IPAC_MTP</v>
      </c>
      <c r="B284" t="str">
        <f>IF(PNL!B284="","",PNL!B284)</f>
        <v>6411</v>
      </c>
      <c r="C284" t="str">
        <f>IF(PNL!C284="","",PNL!C284)</f>
        <v>2024</v>
      </c>
      <c r="D284" t="str">
        <f>IF(PNL!D284="","",PNL!D284)</f>
        <v>ACT</v>
      </c>
      <c r="E284">
        <f t="shared" si="0"/>
        <v>0</v>
      </c>
      <c r="F284">
        <f>IF($A284="","",IF($E284=1,_xlfn.SUMIFS(Compta!$F$1:$F$1448,Compta!$A$1:$A$1448,$A284,Compta!$B$1:$B$1448,$B284,Compta!$C$1:$C$1448,"2026"),0))</f>
        <v>0</v>
      </c>
      <c r="G284" t="s">
        <v>274</v>
      </c>
      <c r="H284" t="s">
        <v>274</v>
      </c>
      <c r="I284" t="s">
        <v>274</v>
      </c>
      <c r="J284" t="s">
        <v>274</v>
      </c>
      <c r="K284" t="s">
        <v>274</v>
      </c>
      <c r="L284" t="s">
        <v>274</v>
      </c>
      <c r="M284" t="s">
        <v>274</v>
      </c>
      <c r="N284" t="e">
        <f t="shared" si="1"/>
        <v>#VALUE!</v>
      </c>
      <c r="O284" t="e">
        <f t="shared" si="2"/>
        <v>#VALUE!</v>
      </c>
      <c r="P284">
        <f>IF($A284="","",IF($E284=1,$F284*$O284,PNL!G284))</f>
        <v>120011</v>
      </c>
      <c r="T284">
        <f t="shared" si="3"/>
        <v>0</v>
      </c>
    </row>
    <row r="285" ht="14.25" customHeight="1">
      <c r="A285" t="str">
        <f>IF(PNL!A285="","",PNL!A285)</f>
        <v>PIGIER_LYO</v>
      </c>
      <c r="B285" t="str">
        <f>IF(PNL!B285="","",PNL!B285)</f>
        <v>6411</v>
      </c>
      <c r="C285" t="str">
        <f>IF(PNL!C285="","",PNL!C285)</f>
        <v>2024</v>
      </c>
      <c r="D285" t="str">
        <f>IF(PNL!D285="","",PNL!D285)</f>
        <v>ACT</v>
      </c>
      <c r="E285">
        <f t="shared" si="0"/>
        <v>0</v>
      </c>
      <c r="F285">
        <f>IF($A285="","",IF($E285=1,_xlfn.SUMIFS(Compta!$F$1:$F$1448,Compta!$A$1:$A$1448,$A285,Compta!$B$1:$B$1448,$B285,Compta!$C$1:$C$1448,"2026"),0))</f>
        <v>0</v>
      </c>
      <c r="G285" t="s">
        <v>274</v>
      </c>
      <c r="H285" t="s">
        <v>274</v>
      </c>
      <c r="I285" t="s">
        <v>274</v>
      </c>
      <c r="J285" t="s">
        <v>274</v>
      </c>
      <c r="K285" t="s">
        <v>274</v>
      </c>
      <c r="L285" t="s">
        <v>274</v>
      </c>
      <c r="M285" t="s">
        <v>274</v>
      </c>
      <c r="N285" t="e">
        <f t="shared" si="1"/>
        <v>#VALUE!</v>
      </c>
      <c r="O285" t="e">
        <f t="shared" si="2"/>
        <v>#VALUE!</v>
      </c>
      <c r="P285">
        <f>IF($A285="","",IF($E285=1,$F285*$O285,PNL!G285))</f>
        <v>203654</v>
      </c>
      <c r="T285">
        <f t="shared" si="3"/>
        <v>0</v>
      </c>
    </row>
    <row r="286" ht="14.25" customHeight="1">
      <c r="A286" t="str">
        <f>IF(PNL!A286="","",PNL!A286)</f>
        <v>PIGIER_BOR</v>
      </c>
      <c r="B286" t="str">
        <f>IF(PNL!B286="","",PNL!B286)</f>
        <v>6411</v>
      </c>
      <c r="C286" t="str">
        <f>IF(PNL!C286="","",PNL!C286)</f>
        <v>2024</v>
      </c>
      <c r="D286" t="str">
        <f>IF(PNL!D286="","",PNL!D286)</f>
        <v>ACT</v>
      </c>
      <c r="E286">
        <f t="shared" si="0"/>
        <v>0</v>
      </c>
      <c r="F286">
        <f>IF($A286="","",IF($E286=1,_xlfn.SUMIFS(Compta!$F$1:$F$1448,Compta!$A$1:$A$1448,$A286,Compta!$B$1:$B$1448,$B286,Compta!$C$1:$C$1448,"2026"),0))</f>
        <v>0</v>
      </c>
      <c r="G286" t="s">
        <v>274</v>
      </c>
      <c r="H286" t="s">
        <v>274</v>
      </c>
      <c r="I286" t="s">
        <v>274</v>
      </c>
      <c r="J286" t="s">
        <v>274</v>
      </c>
      <c r="K286" t="s">
        <v>274</v>
      </c>
      <c r="L286" t="s">
        <v>274</v>
      </c>
      <c r="M286" t="s">
        <v>274</v>
      </c>
      <c r="N286" t="e">
        <f t="shared" si="1"/>
        <v>#VALUE!</v>
      </c>
      <c r="O286" t="e">
        <f t="shared" si="2"/>
        <v>#VALUE!</v>
      </c>
      <c r="P286">
        <f>IF($A286="","",IF($E286=1,$F286*$O286,PNL!G286))</f>
        <v>190926</v>
      </c>
      <c r="T286">
        <f t="shared" si="3"/>
        <v>0</v>
      </c>
    </row>
    <row r="287" ht="14.25" customHeight="1">
      <c r="A287" t="str">
        <f>IF(PNL!A287="","",PNL!A287)</f>
        <v>TUNON_PAR</v>
      </c>
      <c r="B287" t="str">
        <f>IF(PNL!B287="","",PNL!B287)</f>
        <v>6411</v>
      </c>
      <c r="C287" t="str">
        <f>IF(PNL!C287="","",PNL!C287)</f>
        <v>2024</v>
      </c>
      <c r="D287" t="str">
        <f>IF(PNL!D287="","",PNL!D287)</f>
        <v>ACT</v>
      </c>
      <c r="E287">
        <f t="shared" si="0"/>
        <v>0</v>
      </c>
      <c r="F287">
        <f>IF($A287="","",IF($E287=1,_xlfn.SUMIFS(Compta!$F$1:$F$1448,Compta!$A$1:$A$1448,$A287,Compta!$B$1:$B$1448,$B287,Compta!$C$1:$C$1448,"2026"),0))</f>
        <v>0</v>
      </c>
      <c r="G287" t="s">
        <v>274</v>
      </c>
      <c r="H287" t="s">
        <v>274</v>
      </c>
      <c r="I287" t="s">
        <v>274</v>
      </c>
      <c r="J287" t="s">
        <v>274</v>
      </c>
      <c r="K287" t="s">
        <v>274</v>
      </c>
      <c r="L287" t="s">
        <v>274</v>
      </c>
      <c r="M287" t="s">
        <v>274</v>
      </c>
      <c r="N287" t="e">
        <f t="shared" si="1"/>
        <v>#VALUE!</v>
      </c>
      <c r="O287" t="e">
        <f t="shared" si="2"/>
        <v>#VALUE!</v>
      </c>
      <c r="P287">
        <f>IF($A287="","",IF($E287=1,$F287*$O287,PNL!G287))</f>
        <v>220929</v>
      </c>
      <c r="T287">
        <f t="shared" si="3"/>
        <v>0</v>
      </c>
    </row>
    <row r="288" ht="14.25" customHeight="1">
      <c r="A288" t="str">
        <f>IF(PNL!A288="","",PNL!A288)</f>
        <v>TUNON_LYO</v>
      </c>
      <c r="B288" t="str">
        <f>IF(PNL!B288="","",PNL!B288)</f>
        <v>6411</v>
      </c>
      <c r="C288" t="str">
        <f>IF(PNL!C288="","",PNL!C288)</f>
        <v>2024</v>
      </c>
      <c r="D288" t="str">
        <f>IF(PNL!D288="","",PNL!D288)</f>
        <v>ACT</v>
      </c>
      <c r="E288">
        <f t="shared" si="0"/>
        <v>0</v>
      </c>
      <c r="F288">
        <f>IF($A288="","",IF($E288=1,_xlfn.SUMIFS(Compta!$F$1:$F$1448,Compta!$A$1:$A$1448,$A288,Compta!$B$1:$B$1448,$B288,Compta!$C$1:$C$1448,"2026"),0))</f>
        <v>0</v>
      </c>
      <c r="G288" t="s">
        <v>274</v>
      </c>
      <c r="H288" t="s">
        <v>274</v>
      </c>
      <c r="I288" t="s">
        <v>274</v>
      </c>
      <c r="J288" t="s">
        <v>274</v>
      </c>
      <c r="K288" t="s">
        <v>274</v>
      </c>
      <c r="L288" t="s">
        <v>274</v>
      </c>
      <c r="M288" t="s">
        <v>274</v>
      </c>
      <c r="N288" t="e">
        <f t="shared" si="1"/>
        <v>#VALUE!</v>
      </c>
      <c r="O288" t="e">
        <f t="shared" si="2"/>
        <v>#VALUE!</v>
      </c>
      <c r="P288">
        <f>IF($A288="","",IF($E288=1,$F288*$O288,PNL!G288))</f>
        <v>152741</v>
      </c>
      <c r="T288">
        <f t="shared" si="3"/>
        <v>0</v>
      </c>
    </row>
    <row r="289" ht="14.25" customHeight="1">
      <c r="A289" t="str">
        <f>IF(PNL!A289="","",PNL!A289)</f>
        <v>MBWAY_PAR</v>
      </c>
      <c r="B289" t="str">
        <f>IF(PNL!B289="","",PNL!B289)</f>
        <v>6411</v>
      </c>
      <c r="C289" t="str">
        <f>IF(PNL!C289="","",PNL!C289)</f>
        <v>2025</v>
      </c>
      <c r="D289" t="str">
        <f>IF(PNL!D289="","",PNL!D289)</f>
        <v>ACT</v>
      </c>
      <c r="E289">
        <f t="shared" si="0"/>
        <v>0</v>
      </c>
      <c r="F289">
        <f>IF($A289="","",IF($E289=1,_xlfn.SUMIFS(Compta!$F$1:$F$1448,Compta!$A$1:$A$1448,$A289,Compta!$B$1:$B$1448,$B289,Compta!$C$1:$C$1448,"2026"),0))</f>
        <v>0</v>
      </c>
      <c r="G289" t="s">
        <v>274</v>
      </c>
      <c r="H289" t="s">
        <v>274</v>
      </c>
      <c r="I289" t="s">
        <v>274</v>
      </c>
      <c r="J289" t="s">
        <v>274</v>
      </c>
      <c r="K289" t="s">
        <v>274</v>
      </c>
      <c r="L289" t="s">
        <v>274</v>
      </c>
      <c r="M289" t="s">
        <v>274</v>
      </c>
      <c r="N289" t="e">
        <f t="shared" si="1"/>
        <v>#VALUE!</v>
      </c>
      <c r="O289" t="e">
        <f t="shared" si="2"/>
        <v>#VALUE!</v>
      </c>
      <c r="P289">
        <f>IF($A289="","",IF($E289=1,$F289*$O289,PNL!G289))</f>
        <v>577630</v>
      </c>
      <c r="T289">
        <f t="shared" si="3"/>
        <v>0</v>
      </c>
    </row>
    <row r="290" ht="14.25" customHeight="1">
      <c r="A290" t="str">
        <f>IF(PNL!A290="","",PNL!A290)</f>
        <v>MBWAY_LYO</v>
      </c>
      <c r="B290" t="str">
        <f>IF(PNL!B290="","",PNL!B290)</f>
        <v>6411</v>
      </c>
      <c r="C290" t="str">
        <f>IF(PNL!C290="","",PNL!C290)</f>
        <v>2025</v>
      </c>
      <c r="D290" t="str">
        <f>IF(PNL!D290="","",PNL!D290)</f>
        <v>ACT</v>
      </c>
      <c r="E290">
        <f t="shared" si="0"/>
        <v>0</v>
      </c>
      <c r="F290">
        <f>IF($A290="","",IF($E290=1,_xlfn.SUMIFS(Compta!$F$1:$F$1448,Compta!$A$1:$A$1448,$A290,Compta!$B$1:$B$1448,$B290,Compta!$C$1:$C$1448,"2026"),0))</f>
        <v>0</v>
      </c>
      <c r="G290" t="s">
        <v>274</v>
      </c>
      <c r="H290" t="s">
        <v>274</v>
      </c>
      <c r="I290" t="s">
        <v>274</v>
      </c>
      <c r="J290" t="s">
        <v>274</v>
      </c>
      <c r="K290" t="s">
        <v>274</v>
      </c>
      <c r="L290" t="s">
        <v>274</v>
      </c>
      <c r="M290" t="s">
        <v>274</v>
      </c>
      <c r="N290" t="e">
        <f t="shared" si="1"/>
        <v>#VALUE!</v>
      </c>
      <c r="O290" t="e">
        <f t="shared" si="2"/>
        <v>#VALUE!</v>
      </c>
      <c r="P290">
        <f>IF($A290="","",IF($E290=1,$F290*$O290,PNL!G290))</f>
        <v>346103</v>
      </c>
      <c r="T290">
        <f t="shared" si="3"/>
        <v>0</v>
      </c>
    </row>
    <row r="291" ht="14.25" customHeight="1">
      <c r="A291" t="str">
        <f>IF(PNL!A291="","",PNL!A291)</f>
        <v>MBWAY_NAN</v>
      </c>
      <c r="B291" t="str">
        <f>IF(PNL!B291="","",PNL!B291)</f>
        <v>6411</v>
      </c>
      <c r="C291" t="str">
        <f>IF(PNL!C291="","",PNL!C291)</f>
        <v>2025</v>
      </c>
      <c r="D291" t="str">
        <f>IF(PNL!D291="","",PNL!D291)</f>
        <v>ACT</v>
      </c>
      <c r="E291">
        <f t="shared" si="0"/>
        <v>0</v>
      </c>
      <c r="F291">
        <f>IF($A291="","",IF($E291=1,_xlfn.SUMIFS(Compta!$F$1:$F$1448,Compta!$A$1:$A$1448,$A291,Compta!$B$1:$B$1448,$B291,Compta!$C$1:$C$1448,"2026"),0))</f>
        <v>0</v>
      </c>
      <c r="G291" t="s">
        <v>274</v>
      </c>
      <c r="H291" t="s">
        <v>274</v>
      </c>
      <c r="I291" t="s">
        <v>274</v>
      </c>
      <c r="J291" t="s">
        <v>274</v>
      </c>
      <c r="K291" t="s">
        <v>274</v>
      </c>
      <c r="L291" t="s">
        <v>274</v>
      </c>
      <c r="M291" t="s">
        <v>274</v>
      </c>
      <c r="N291" t="e">
        <f t="shared" si="1"/>
        <v>#VALUE!</v>
      </c>
      <c r="O291" t="e">
        <f t="shared" si="2"/>
        <v>#VALUE!</v>
      </c>
      <c r="P291">
        <f>IF($A291="","",IF($E291=1,$F291*$O291,PNL!G291))</f>
        <v>285249</v>
      </c>
      <c r="T291">
        <f t="shared" si="3"/>
        <v>0</v>
      </c>
    </row>
    <row r="292" ht="14.25" customHeight="1">
      <c r="A292" t="str">
        <f>IF(PNL!A292="","",PNL!A292)</f>
        <v>MBWAY_BOR</v>
      </c>
      <c r="B292" t="str">
        <f>IF(PNL!B292="","",PNL!B292)</f>
        <v>6411</v>
      </c>
      <c r="C292" t="str">
        <f>IF(PNL!C292="","",PNL!C292)</f>
        <v>2025</v>
      </c>
      <c r="D292" t="str">
        <f>IF(PNL!D292="","",PNL!D292)</f>
        <v>ACT</v>
      </c>
      <c r="E292">
        <f t="shared" si="0"/>
        <v>0</v>
      </c>
      <c r="F292">
        <f>IF($A292="","",IF($E292=1,_xlfn.SUMIFS(Compta!$F$1:$F$1448,Compta!$A$1:$A$1448,$A292,Compta!$B$1:$B$1448,$B292,Compta!$C$1:$C$1448,"2026"),0))</f>
        <v>0</v>
      </c>
      <c r="G292" t="s">
        <v>274</v>
      </c>
      <c r="H292" t="s">
        <v>274</v>
      </c>
      <c r="I292" t="s">
        <v>274</v>
      </c>
      <c r="J292" t="s">
        <v>274</v>
      </c>
      <c r="K292" t="s">
        <v>274</v>
      </c>
      <c r="L292" t="s">
        <v>274</v>
      </c>
      <c r="M292" t="s">
        <v>274</v>
      </c>
      <c r="N292" t="e">
        <f t="shared" si="1"/>
        <v>#VALUE!</v>
      </c>
      <c r="O292" t="e">
        <f t="shared" si="2"/>
        <v>#VALUE!</v>
      </c>
      <c r="P292">
        <f>IF($A292="","",IF($E292=1,$F292*$O292,PNL!G292))</f>
        <v>249593</v>
      </c>
      <c r="T292">
        <f t="shared" si="3"/>
        <v>0</v>
      </c>
    </row>
    <row r="293" ht="14.25" customHeight="1">
      <c r="A293" t="str">
        <f>IF(PNL!A293="","",PNL!A293)</f>
        <v>ISCOM_PAR</v>
      </c>
      <c r="B293" t="str">
        <f>IF(PNL!B293="","",PNL!B293)</f>
        <v>6411</v>
      </c>
      <c r="C293" t="str">
        <f>IF(PNL!C293="","",PNL!C293)</f>
        <v>2025</v>
      </c>
      <c r="D293" t="str">
        <f>IF(PNL!D293="","",PNL!D293)</f>
        <v>ACT</v>
      </c>
      <c r="E293">
        <f t="shared" si="0"/>
        <v>0</v>
      </c>
      <c r="F293">
        <f>IF($A293="","",IF($E293=1,_xlfn.SUMIFS(Compta!$F$1:$F$1448,Compta!$A$1:$A$1448,$A293,Compta!$B$1:$B$1448,$B293,Compta!$C$1:$C$1448,"2026"),0))</f>
        <v>0</v>
      </c>
      <c r="G293" t="s">
        <v>274</v>
      </c>
      <c r="H293" t="s">
        <v>274</v>
      </c>
      <c r="I293" t="s">
        <v>274</v>
      </c>
      <c r="J293" t="s">
        <v>274</v>
      </c>
      <c r="K293" t="s">
        <v>274</v>
      </c>
      <c r="L293" t="s">
        <v>274</v>
      </c>
      <c r="M293" t="s">
        <v>274</v>
      </c>
      <c r="N293" t="e">
        <f t="shared" si="1"/>
        <v>#VALUE!</v>
      </c>
      <c r="O293" t="e">
        <f t="shared" si="2"/>
        <v>#VALUE!</v>
      </c>
      <c r="P293">
        <f>IF($A293="","",IF($E293=1,$F293*$O293,PNL!G293))</f>
        <v>577630</v>
      </c>
      <c r="T293">
        <f t="shared" si="3"/>
        <v>0</v>
      </c>
    </row>
    <row r="294" ht="14.25" customHeight="1">
      <c r="A294" t="str">
        <f>IF(PNL!A294="","",PNL!A294)</f>
        <v>ISCOM_LIL</v>
      </c>
      <c r="B294" t="str">
        <f>IF(PNL!B294="","",PNL!B294)</f>
        <v>6411</v>
      </c>
      <c r="C294" t="str">
        <f>IF(PNL!C294="","",PNL!C294)</f>
        <v>2025</v>
      </c>
      <c r="D294" t="str">
        <f>IF(PNL!D294="","",PNL!D294)</f>
        <v>ACT</v>
      </c>
      <c r="E294">
        <f t="shared" si="0"/>
        <v>0</v>
      </c>
      <c r="F294">
        <f>IF($A294="","",IF($E294=1,_xlfn.SUMIFS(Compta!$F$1:$F$1448,Compta!$A$1:$A$1448,$A294,Compta!$B$1:$B$1448,$B294,Compta!$C$1:$C$1448,"2026"),0))</f>
        <v>0</v>
      </c>
      <c r="G294" t="s">
        <v>274</v>
      </c>
      <c r="H294" t="s">
        <v>274</v>
      </c>
      <c r="I294" t="s">
        <v>274</v>
      </c>
      <c r="J294" t="s">
        <v>274</v>
      </c>
      <c r="K294" t="s">
        <v>274</v>
      </c>
      <c r="L294" t="s">
        <v>274</v>
      </c>
      <c r="M294" t="s">
        <v>274</v>
      </c>
      <c r="N294" t="e">
        <f t="shared" si="1"/>
        <v>#VALUE!</v>
      </c>
      <c r="O294" t="e">
        <f t="shared" si="2"/>
        <v>#VALUE!</v>
      </c>
      <c r="P294">
        <f>IF($A294="","",IF($E294=1,$F294*$O294,PNL!G294))</f>
        <v>218691</v>
      </c>
      <c r="T294">
        <f t="shared" si="3"/>
        <v>0</v>
      </c>
    </row>
    <row r="295" ht="14.25" customHeight="1">
      <c r="A295" t="str">
        <f>IF(PNL!A295="","",PNL!A295)</f>
        <v>ISCOM_TLS</v>
      </c>
      <c r="B295" t="str">
        <f>IF(PNL!B295="","",PNL!B295)</f>
        <v>6411</v>
      </c>
      <c r="C295" t="str">
        <f>IF(PNL!C295="","",PNL!C295)</f>
        <v>2025</v>
      </c>
      <c r="D295" t="str">
        <f>IF(PNL!D295="","",PNL!D295)</f>
        <v>ACT</v>
      </c>
      <c r="E295">
        <f t="shared" si="0"/>
        <v>0</v>
      </c>
      <c r="F295">
        <f>IF($A295="","",IF($E295=1,_xlfn.SUMIFS(Compta!$F$1:$F$1448,Compta!$A$1:$A$1448,$A295,Compta!$B$1:$B$1448,$B295,Compta!$C$1:$C$1448,"2026"),0))</f>
        <v>0</v>
      </c>
      <c r="G295" t="s">
        <v>274</v>
      </c>
      <c r="H295" t="s">
        <v>274</v>
      </c>
      <c r="I295" t="s">
        <v>274</v>
      </c>
      <c r="J295" t="s">
        <v>274</v>
      </c>
      <c r="K295" t="s">
        <v>274</v>
      </c>
      <c r="L295" t="s">
        <v>274</v>
      </c>
      <c r="M295" t="s">
        <v>274</v>
      </c>
      <c r="N295" t="e">
        <f t="shared" si="1"/>
        <v>#VALUE!</v>
      </c>
      <c r="O295" t="e">
        <f t="shared" si="2"/>
        <v>#VALUE!</v>
      </c>
      <c r="P295">
        <f>IF($A295="","",IF($E295=1,$F295*$O295,PNL!G295))</f>
        <v>213937</v>
      </c>
      <c r="T295">
        <f t="shared" si="3"/>
        <v>0</v>
      </c>
    </row>
    <row r="296" ht="14.25" customHeight="1">
      <c r="A296" t="str">
        <f>IF(PNL!A296="","",PNL!A296)</f>
        <v>IPAC_NAN</v>
      </c>
      <c r="B296" t="str">
        <f>IF(PNL!B296="","",PNL!B296)</f>
        <v>6411</v>
      </c>
      <c r="C296" t="str">
        <f>IF(PNL!C296="","",PNL!C296)</f>
        <v>2025</v>
      </c>
      <c r="D296" t="str">
        <f>IF(PNL!D296="","",PNL!D296)</f>
        <v>ACT</v>
      </c>
      <c r="E296">
        <f t="shared" si="0"/>
        <v>0</v>
      </c>
      <c r="F296">
        <f>IF($A296="","",IF($E296=1,_xlfn.SUMIFS(Compta!$F$1:$F$1448,Compta!$A$1:$A$1448,$A296,Compta!$B$1:$B$1448,$B296,Compta!$C$1:$C$1448,"2026"),0))</f>
        <v>0</v>
      </c>
      <c r="G296" t="s">
        <v>274</v>
      </c>
      <c r="H296" t="s">
        <v>274</v>
      </c>
      <c r="I296" t="s">
        <v>274</v>
      </c>
      <c r="J296" t="s">
        <v>274</v>
      </c>
      <c r="K296" t="s">
        <v>274</v>
      </c>
      <c r="L296" t="s">
        <v>274</v>
      </c>
      <c r="M296" t="s">
        <v>274</v>
      </c>
      <c r="N296" t="e">
        <f t="shared" si="1"/>
        <v>#VALUE!</v>
      </c>
      <c r="O296" t="e">
        <f t="shared" si="2"/>
        <v>#VALUE!</v>
      </c>
      <c r="P296">
        <f>IF($A296="","",IF($E296=1,$F296*$O296,PNL!G296))</f>
        <v>142625</v>
      </c>
      <c r="T296">
        <f t="shared" si="3"/>
        <v>0</v>
      </c>
    </row>
    <row r="297" ht="14.25" customHeight="1">
      <c r="A297" t="str">
        <f>IF(PNL!A297="","",PNL!A297)</f>
        <v>IPAC_REN</v>
      </c>
      <c r="B297" t="str">
        <f>IF(PNL!B297="","",PNL!B297)</f>
        <v>6411</v>
      </c>
      <c r="C297" t="str">
        <f>IF(PNL!C297="","",PNL!C297)</f>
        <v>2025</v>
      </c>
      <c r="D297" t="str">
        <f>IF(PNL!D297="","",PNL!D297)</f>
        <v>ACT</v>
      </c>
      <c r="E297">
        <f t="shared" si="0"/>
        <v>0</v>
      </c>
      <c r="F297">
        <f>IF($A297="","",IF($E297=1,_xlfn.SUMIFS(Compta!$F$1:$F$1448,Compta!$A$1:$A$1448,$A297,Compta!$B$1:$B$1448,$B297,Compta!$C$1:$C$1448,"2026"),0))</f>
        <v>0</v>
      </c>
      <c r="G297" t="s">
        <v>274</v>
      </c>
      <c r="H297" t="s">
        <v>274</v>
      </c>
      <c r="I297" t="s">
        <v>274</v>
      </c>
      <c r="J297" t="s">
        <v>274</v>
      </c>
      <c r="K297" t="s">
        <v>274</v>
      </c>
      <c r="L297" t="s">
        <v>274</v>
      </c>
      <c r="M297" t="s">
        <v>274</v>
      </c>
      <c r="N297" t="e">
        <f t="shared" si="1"/>
        <v>#VALUE!</v>
      </c>
      <c r="O297" t="e">
        <f t="shared" si="2"/>
        <v>#VALUE!</v>
      </c>
      <c r="P297">
        <f>IF($A297="","",IF($E297=1,$F297*$O297,PNL!G297))</f>
        <v>125510</v>
      </c>
      <c r="T297">
        <f t="shared" si="3"/>
        <v>0</v>
      </c>
    </row>
    <row r="298" ht="14.25" customHeight="1">
      <c r="A298" t="str">
        <f>IF(PNL!A298="","",PNL!A298)</f>
        <v>IPAC_MTP</v>
      </c>
      <c r="B298" t="str">
        <f>IF(PNL!B298="","",PNL!B298)</f>
        <v>6411</v>
      </c>
      <c r="C298" t="str">
        <f>IF(PNL!C298="","",PNL!C298)</f>
        <v>2025</v>
      </c>
      <c r="D298" t="str">
        <f>IF(PNL!D298="","",PNL!D298)</f>
        <v>ACT</v>
      </c>
      <c r="E298">
        <f t="shared" si="0"/>
        <v>0</v>
      </c>
      <c r="F298">
        <f>IF($A298="","",IF($E298=1,_xlfn.SUMIFS(Compta!$F$1:$F$1448,Compta!$A$1:$A$1448,$A298,Compta!$B$1:$B$1448,$B298,Compta!$C$1:$C$1448,"2026"),0))</f>
        <v>0</v>
      </c>
      <c r="G298" t="s">
        <v>274</v>
      </c>
      <c r="H298" t="s">
        <v>274</v>
      </c>
      <c r="I298" t="s">
        <v>274</v>
      </c>
      <c r="J298" t="s">
        <v>274</v>
      </c>
      <c r="K298" t="s">
        <v>274</v>
      </c>
      <c r="L298" t="s">
        <v>274</v>
      </c>
      <c r="M298" t="s">
        <v>274</v>
      </c>
      <c r="N298" t="e">
        <f t="shared" si="1"/>
        <v>#VALUE!</v>
      </c>
      <c r="O298" t="e">
        <f t="shared" si="2"/>
        <v>#VALUE!</v>
      </c>
      <c r="P298">
        <f>IF($A298="","",IF($E298=1,$F298*$O298,PNL!G298))</f>
        <v>125510</v>
      </c>
      <c r="T298">
        <f t="shared" si="3"/>
        <v>0</v>
      </c>
    </row>
    <row r="299" ht="14.25" customHeight="1">
      <c r="A299" t="str">
        <f>IF(PNL!A299="","",PNL!A299)</f>
        <v>PIGIER_LYO</v>
      </c>
      <c r="B299" t="str">
        <f>IF(PNL!B299="","",PNL!B299)</f>
        <v>6411</v>
      </c>
      <c r="C299" t="str">
        <f>IF(PNL!C299="","",PNL!C299)</f>
        <v>2025</v>
      </c>
      <c r="D299" t="str">
        <f>IF(PNL!D299="","",PNL!D299)</f>
        <v>ACT</v>
      </c>
      <c r="E299">
        <f t="shared" si="0"/>
        <v>0</v>
      </c>
      <c r="F299">
        <f>IF($A299="","",IF($E299=1,_xlfn.SUMIFS(Compta!$F$1:$F$1448,Compta!$A$1:$A$1448,$A299,Compta!$B$1:$B$1448,$B299,Compta!$C$1:$C$1448,"2026"),0))</f>
        <v>0</v>
      </c>
      <c r="G299" t="s">
        <v>274</v>
      </c>
      <c r="H299" t="s">
        <v>274</v>
      </c>
      <c r="I299" t="s">
        <v>274</v>
      </c>
      <c r="J299" t="s">
        <v>274</v>
      </c>
      <c r="K299" t="s">
        <v>274</v>
      </c>
      <c r="L299" t="s">
        <v>274</v>
      </c>
      <c r="M299" t="s">
        <v>274</v>
      </c>
      <c r="N299" t="e">
        <f t="shared" si="1"/>
        <v>#VALUE!</v>
      </c>
      <c r="O299" t="e">
        <f t="shared" si="2"/>
        <v>#VALUE!</v>
      </c>
      <c r="P299">
        <f>IF($A299="","",IF($E299=1,$F299*$O299,PNL!G299))</f>
        <v>212986</v>
      </c>
      <c r="T299">
        <f t="shared" si="3"/>
        <v>0</v>
      </c>
    </row>
    <row r="300" ht="14.25" customHeight="1">
      <c r="A300" t="str">
        <f>IF(PNL!A300="","",PNL!A300)</f>
        <v>PIGIER_BOR</v>
      </c>
      <c r="B300" t="str">
        <f>IF(PNL!B300="","",PNL!B300)</f>
        <v>6411</v>
      </c>
      <c r="C300" t="str">
        <f>IF(PNL!C300="","",PNL!C300)</f>
        <v>2025</v>
      </c>
      <c r="D300" t="str">
        <f>IF(PNL!D300="","",PNL!D300)</f>
        <v>ACT</v>
      </c>
      <c r="E300">
        <f t="shared" si="0"/>
        <v>0</v>
      </c>
      <c r="F300">
        <f>IF($A300="","",IF($E300=1,_xlfn.SUMIFS(Compta!$F$1:$F$1448,Compta!$A$1:$A$1448,$A300,Compta!$B$1:$B$1448,$B300,Compta!$C$1:$C$1448,"2026"),0))</f>
        <v>0</v>
      </c>
      <c r="G300" t="s">
        <v>274</v>
      </c>
      <c r="H300" t="s">
        <v>274</v>
      </c>
      <c r="I300" t="s">
        <v>274</v>
      </c>
      <c r="J300" t="s">
        <v>274</v>
      </c>
      <c r="K300" t="s">
        <v>274</v>
      </c>
      <c r="L300" t="s">
        <v>274</v>
      </c>
      <c r="M300" t="s">
        <v>274</v>
      </c>
      <c r="N300" t="e">
        <f t="shared" si="1"/>
        <v>#VALUE!</v>
      </c>
      <c r="O300" t="e">
        <f t="shared" si="2"/>
        <v>#VALUE!</v>
      </c>
      <c r="P300">
        <f>IF($A300="","",IF($E300=1,$F300*$O300,PNL!G300))</f>
        <v>199675</v>
      </c>
      <c r="T300">
        <f t="shared" si="3"/>
        <v>0</v>
      </c>
    </row>
    <row r="301" ht="14.25" customHeight="1">
      <c r="A301" t="str">
        <f>IF(PNL!A301="","",PNL!A301)</f>
        <v>TUNON_PAR</v>
      </c>
      <c r="B301" t="str">
        <f>IF(PNL!B301="","",PNL!B301)</f>
        <v>6411</v>
      </c>
      <c r="C301" t="str">
        <f>IF(PNL!C301="","",PNL!C301)</f>
        <v>2025</v>
      </c>
      <c r="D301" t="str">
        <f>IF(PNL!D301="","",PNL!D301)</f>
        <v>ACT</v>
      </c>
      <c r="E301">
        <f t="shared" si="0"/>
        <v>0</v>
      </c>
      <c r="F301">
        <f>IF($A301="","",IF($E301=1,_xlfn.SUMIFS(Compta!$F$1:$F$1448,Compta!$A$1:$A$1448,$A301,Compta!$B$1:$B$1448,$B301,Compta!$C$1:$C$1448,"2026"),0))</f>
        <v>0</v>
      </c>
      <c r="G301" t="s">
        <v>274</v>
      </c>
      <c r="H301" t="s">
        <v>274</v>
      </c>
      <c r="I301" t="s">
        <v>274</v>
      </c>
      <c r="J301" t="s">
        <v>274</v>
      </c>
      <c r="K301" t="s">
        <v>274</v>
      </c>
      <c r="L301" t="s">
        <v>274</v>
      </c>
      <c r="M301" t="s">
        <v>274</v>
      </c>
      <c r="N301" t="e">
        <f t="shared" si="1"/>
        <v>#VALUE!</v>
      </c>
      <c r="O301" t="e">
        <f t="shared" si="2"/>
        <v>#VALUE!</v>
      </c>
      <c r="P301">
        <f>IF($A301="","",IF($E301=1,$F301*$O301,PNL!G301))</f>
        <v>231052</v>
      </c>
      <c r="T301">
        <f t="shared" si="3"/>
        <v>0</v>
      </c>
    </row>
    <row r="302" ht="14.25" customHeight="1">
      <c r="A302" t="str">
        <f>IF(PNL!A302="","",PNL!A302)</f>
        <v>TUNON_LYO</v>
      </c>
      <c r="B302" t="str">
        <f>IF(PNL!B302="","",PNL!B302)</f>
        <v>6411</v>
      </c>
      <c r="C302" t="str">
        <f>IF(PNL!C302="","",PNL!C302)</f>
        <v>2025</v>
      </c>
      <c r="D302" t="str">
        <f>IF(PNL!D302="","",PNL!D302)</f>
        <v>ACT</v>
      </c>
      <c r="E302">
        <f t="shared" si="0"/>
        <v>0</v>
      </c>
      <c r="F302">
        <f>IF($A302="","",IF($E302=1,_xlfn.SUMIFS(Compta!$F$1:$F$1448,Compta!$A$1:$A$1448,$A302,Compta!$B$1:$B$1448,$B302,Compta!$C$1:$C$1448,"2026"),0))</f>
        <v>0</v>
      </c>
      <c r="G302" t="s">
        <v>274</v>
      </c>
      <c r="H302" t="s">
        <v>274</v>
      </c>
      <c r="I302" t="s">
        <v>274</v>
      </c>
      <c r="J302" t="s">
        <v>274</v>
      </c>
      <c r="K302" t="s">
        <v>274</v>
      </c>
      <c r="L302" t="s">
        <v>274</v>
      </c>
      <c r="M302" t="s">
        <v>274</v>
      </c>
      <c r="N302" t="e">
        <f t="shared" si="1"/>
        <v>#VALUE!</v>
      </c>
      <c r="O302" t="e">
        <f t="shared" si="2"/>
        <v>#VALUE!</v>
      </c>
      <c r="P302">
        <f>IF($A302="","",IF($E302=1,$F302*$O302,PNL!G302))</f>
        <v>159740</v>
      </c>
      <c r="T302">
        <f t="shared" si="3"/>
        <v>0</v>
      </c>
    </row>
    <row r="303" ht="14.25" customHeight="1">
      <c r="A303" t="str">
        <f>IF(PNL!A303="","",PNL!A303)</f>
        <v>MBWAY_PAR</v>
      </c>
      <c r="B303" t="str">
        <f>IF(PNL!B303="","",PNL!B303)</f>
        <v>6411</v>
      </c>
      <c r="C303" t="str">
        <f>IF(PNL!C303="","",PNL!C303)</f>
        <v>2026</v>
      </c>
      <c r="D303" t="str">
        <f>IF(PNL!D303="","",PNL!D303)</f>
        <v>ACT</v>
      </c>
      <c r="E303">
        <f t="shared" si="0"/>
        <v>0</v>
      </c>
      <c r="F303">
        <f>IF($A303="","",IF($E303=1,_xlfn.SUMIFS(Compta!$F$1:$F$1448,Compta!$A$1:$A$1448,$A303,Compta!$B$1:$B$1448,$B303,Compta!$C$1:$C$1448,"2026"),0))</f>
        <v>0</v>
      </c>
      <c r="G303" t="s">
        <v>274</v>
      </c>
      <c r="H303" t="s">
        <v>274</v>
      </c>
      <c r="I303" t="s">
        <v>274</v>
      </c>
      <c r="J303" t="s">
        <v>274</v>
      </c>
      <c r="K303" t="s">
        <v>274</v>
      </c>
      <c r="L303" t="s">
        <v>274</v>
      </c>
      <c r="M303" t="s">
        <v>274</v>
      </c>
      <c r="N303" t="e">
        <f t="shared" si="1"/>
        <v>#VALUE!</v>
      </c>
      <c r="O303" t="e">
        <f t="shared" si="2"/>
        <v>#VALUE!</v>
      </c>
      <c r="P303">
        <f>IF($A303="","",IF($E303=1,$F303*$O303,PNL!G303))</f>
        <v>605202</v>
      </c>
      <c r="T303">
        <f t="shared" si="3"/>
        <v>0</v>
      </c>
    </row>
    <row r="304" ht="14.25" customHeight="1">
      <c r="A304" t="str">
        <f>IF(PNL!A304="","",PNL!A304)</f>
        <v>MBWAY_LYO</v>
      </c>
      <c r="B304" t="str">
        <f>IF(PNL!B304="","",PNL!B304)</f>
        <v>6411</v>
      </c>
      <c r="C304" t="str">
        <f>IF(PNL!C304="","",PNL!C304)</f>
        <v>2026</v>
      </c>
      <c r="D304" t="str">
        <f>IF(PNL!D304="","",PNL!D304)</f>
        <v>ACT</v>
      </c>
      <c r="E304">
        <f t="shared" si="0"/>
        <v>0</v>
      </c>
      <c r="F304">
        <f>IF($A304="","",IF($E304=1,_xlfn.SUMIFS(Compta!$F$1:$F$1448,Compta!$A$1:$A$1448,$A304,Compta!$B$1:$B$1448,$B304,Compta!$C$1:$C$1448,"2026"),0))</f>
        <v>0</v>
      </c>
      <c r="G304" t="s">
        <v>274</v>
      </c>
      <c r="H304" t="s">
        <v>274</v>
      </c>
      <c r="I304" t="s">
        <v>274</v>
      </c>
      <c r="J304" t="s">
        <v>274</v>
      </c>
      <c r="K304" t="s">
        <v>274</v>
      </c>
      <c r="L304" t="s">
        <v>274</v>
      </c>
      <c r="M304" t="s">
        <v>274</v>
      </c>
      <c r="N304" t="e">
        <f t="shared" si="1"/>
        <v>#VALUE!</v>
      </c>
      <c r="O304" t="e">
        <f t="shared" si="2"/>
        <v>#VALUE!</v>
      </c>
      <c r="P304">
        <f>IF($A304="","",IF($E304=1,$F304*$O304,PNL!G304))</f>
        <v>362623</v>
      </c>
      <c r="T304">
        <f t="shared" si="3"/>
        <v>0</v>
      </c>
    </row>
    <row r="305" ht="14.25" customHeight="1">
      <c r="A305" t="str">
        <f>IF(PNL!A305="","",PNL!A305)</f>
        <v>MBWAY_NAN</v>
      </c>
      <c r="B305" t="str">
        <f>IF(PNL!B305="","",PNL!B305)</f>
        <v>6411</v>
      </c>
      <c r="C305" t="str">
        <f>IF(PNL!C305="","",PNL!C305)</f>
        <v>2026</v>
      </c>
      <c r="D305" t="str">
        <f>IF(PNL!D305="","",PNL!D305)</f>
        <v>ACT</v>
      </c>
      <c r="E305">
        <f t="shared" si="0"/>
        <v>0</v>
      </c>
      <c r="F305">
        <f>IF($A305="","",IF($E305=1,_xlfn.SUMIFS(Compta!$F$1:$F$1448,Compta!$A$1:$A$1448,$A305,Compta!$B$1:$B$1448,$B305,Compta!$C$1:$C$1448,"2026"),0))</f>
        <v>0</v>
      </c>
      <c r="G305" t="s">
        <v>274</v>
      </c>
      <c r="H305" t="s">
        <v>274</v>
      </c>
      <c r="I305" t="s">
        <v>274</v>
      </c>
      <c r="J305" t="s">
        <v>274</v>
      </c>
      <c r="K305" t="s">
        <v>274</v>
      </c>
      <c r="L305" t="s">
        <v>274</v>
      </c>
      <c r="M305" t="s">
        <v>274</v>
      </c>
      <c r="N305" t="e">
        <f t="shared" si="1"/>
        <v>#VALUE!</v>
      </c>
      <c r="O305" t="e">
        <f t="shared" si="2"/>
        <v>#VALUE!</v>
      </c>
      <c r="P305">
        <f>IF($A305="","",IF($E305=1,$F305*$O305,PNL!G305))</f>
        <v>298865</v>
      </c>
      <c r="T305">
        <f t="shared" si="3"/>
        <v>0</v>
      </c>
    </row>
    <row r="306" ht="14.25" customHeight="1">
      <c r="A306" t="str">
        <f>IF(PNL!A306="","",PNL!A306)</f>
        <v>MBWAY_BOR</v>
      </c>
      <c r="B306" t="str">
        <f>IF(PNL!B306="","",PNL!B306)</f>
        <v>6411</v>
      </c>
      <c r="C306" t="str">
        <f>IF(PNL!C306="","",PNL!C306)</f>
        <v>2026</v>
      </c>
      <c r="D306" t="str">
        <f>IF(PNL!D306="","",PNL!D306)</f>
        <v>ACT</v>
      </c>
      <c r="E306">
        <f t="shared" si="0"/>
        <v>0</v>
      </c>
      <c r="F306">
        <f>IF($A306="","",IF($E306=1,_xlfn.SUMIFS(Compta!$F$1:$F$1448,Compta!$A$1:$A$1448,$A306,Compta!$B$1:$B$1448,$B306,Compta!$C$1:$C$1448,"2026"),0))</f>
        <v>0</v>
      </c>
      <c r="G306" t="s">
        <v>274</v>
      </c>
      <c r="H306" t="s">
        <v>274</v>
      </c>
      <c r="I306" t="s">
        <v>274</v>
      </c>
      <c r="J306" t="s">
        <v>274</v>
      </c>
      <c r="K306" t="s">
        <v>274</v>
      </c>
      <c r="L306" t="s">
        <v>274</v>
      </c>
      <c r="M306" t="s">
        <v>274</v>
      </c>
      <c r="N306" t="e">
        <f t="shared" si="1"/>
        <v>#VALUE!</v>
      </c>
      <c r="O306" t="e">
        <f t="shared" si="2"/>
        <v>#VALUE!</v>
      </c>
      <c r="P306">
        <f>IF($A306="","",IF($E306=1,$F306*$O306,PNL!G306))</f>
        <v>261507</v>
      </c>
      <c r="T306">
        <f t="shared" si="3"/>
        <v>0</v>
      </c>
    </row>
    <row r="307" ht="14.25" customHeight="1">
      <c r="A307" t="str">
        <f>IF(PNL!A307="","",PNL!A307)</f>
        <v>ISCOM_PAR</v>
      </c>
      <c r="B307" t="str">
        <f>IF(PNL!B307="","",PNL!B307)</f>
        <v>6411</v>
      </c>
      <c r="C307" t="str">
        <f>IF(PNL!C307="","",PNL!C307)</f>
        <v>2026</v>
      </c>
      <c r="D307" t="str">
        <f>IF(PNL!D307="","",PNL!D307)</f>
        <v>ACT</v>
      </c>
      <c r="E307">
        <f t="shared" si="0"/>
        <v>0</v>
      </c>
      <c r="F307">
        <f>IF($A307="","",IF($E307=1,_xlfn.SUMIFS(Compta!$F$1:$F$1448,Compta!$A$1:$A$1448,$A307,Compta!$B$1:$B$1448,$B307,Compta!$C$1:$C$1448,"2026"),0))</f>
        <v>0</v>
      </c>
      <c r="G307" t="s">
        <v>274</v>
      </c>
      <c r="H307" t="s">
        <v>274</v>
      </c>
      <c r="I307" t="s">
        <v>274</v>
      </c>
      <c r="J307" t="s">
        <v>274</v>
      </c>
      <c r="K307" t="s">
        <v>274</v>
      </c>
      <c r="L307" t="s">
        <v>274</v>
      </c>
      <c r="M307" t="s">
        <v>274</v>
      </c>
      <c r="N307" t="e">
        <f t="shared" si="1"/>
        <v>#VALUE!</v>
      </c>
      <c r="O307" t="e">
        <f t="shared" si="2"/>
        <v>#VALUE!</v>
      </c>
      <c r="P307">
        <f>IF($A307="","",IF($E307=1,$F307*$O307,PNL!G307))</f>
        <v>605202</v>
      </c>
      <c r="T307">
        <f t="shared" si="3"/>
        <v>0</v>
      </c>
    </row>
    <row r="308" ht="14.25" customHeight="1">
      <c r="A308" t="str">
        <f>IF(PNL!A308="","",PNL!A308)</f>
        <v>ISCOM_LIL</v>
      </c>
      <c r="B308" t="str">
        <f>IF(PNL!B308="","",PNL!B308)</f>
        <v>6411</v>
      </c>
      <c r="C308" t="str">
        <f>IF(PNL!C308="","",PNL!C308)</f>
        <v>2026</v>
      </c>
      <c r="D308" t="str">
        <f>IF(PNL!D308="","",PNL!D308)</f>
        <v>ACT</v>
      </c>
      <c r="E308">
        <f t="shared" si="0"/>
        <v>0</v>
      </c>
      <c r="F308">
        <f>IF($A308="","",IF($E308=1,_xlfn.SUMIFS(Compta!$F$1:$F$1448,Compta!$A$1:$A$1448,$A308,Compta!$B$1:$B$1448,$B308,Compta!$C$1:$C$1448,"2026"),0))</f>
        <v>0</v>
      </c>
      <c r="G308" t="s">
        <v>274</v>
      </c>
      <c r="H308" t="s">
        <v>274</v>
      </c>
      <c r="I308" t="s">
        <v>274</v>
      </c>
      <c r="J308" t="s">
        <v>274</v>
      </c>
      <c r="K308" t="s">
        <v>274</v>
      </c>
      <c r="L308" t="s">
        <v>274</v>
      </c>
      <c r="M308" t="s">
        <v>274</v>
      </c>
      <c r="N308" t="e">
        <f t="shared" si="1"/>
        <v>#VALUE!</v>
      </c>
      <c r="O308" t="e">
        <f t="shared" si="2"/>
        <v>#VALUE!</v>
      </c>
      <c r="P308">
        <f>IF($A308="","",IF($E308=1,$F308*$O308,PNL!G308))</f>
        <v>229130</v>
      </c>
      <c r="T308">
        <f t="shared" si="3"/>
        <v>0</v>
      </c>
    </row>
    <row r="309" ht="14.25" customHeight="1">
      <c r="A309" t="str">
        <f>IF(PNL!A309="","",PNL!A309)</f>
        <v>ISCOM_TLS</v>
      </c>
      <c r="B309" t="str">
        <f>IF(PNL!B309="","",PNL!B309)</f>
        <v>6411</v>
      </c>
      <c r="C309" t="str">
        <f>IF(PNL!C309="","",PNL!C309)</f>
        <v>2026</v>
      </c>
      <c r="D309" t="str">
        <f>IF(PNL!D309="","",PNL!D309)</f>
        <v>ACT</v>
      </c>
      <c r="E309">
        <f t="shared" si="0"/>
        <v>0</v>
      </c>
      <c r="F309">
        <f>IF($A309="","",IF($E309=1,_xlfn.SUMIFS(Compta!$F$1:$F$1448,Compta!$A$1:$A$1448,$A309,Compta!$B$1:$B$1448,$B309,Compta!$C$1:$C$1448,"2026"),0))</f>
        <v>0</v>
      </c>
      <c r="G309" t="s">
        <v>274</v>
      </c>
      <c r="H309" t="s">
        <v>274</v>
      </c>
      <c r="I309" t="s">
        <v>274</v>
      </c>
      <c r="J309" t="s">
        <v>274</v>
      </c>
      <c r="K309" t="s">
        <v>274</v>
      </c>
      <c r="L309" t="s">
        <v>274</v>
      </c>
      <c r="M309" t="s">
        <v>274</v>
      </c>
      <c r="N309" t="e">
        <f t="shared" si="1"/>
        <v>#VALUE!</v>
      </c>
      <c r="O309" t="e">
        <f t="shared" si="2"/>
        <v>#VALUE!</v>
      </c>
      <c r="P309">
        <f>IF($A309="","",IF($E309=1,$F309*$O309,PNL!G309))</f>
        <v>224149</v>
      </c>
      <c r="T309">
        <f t="shared" si="3"/>
        <v>0</v>
      </c>
    </row>
    <row r="310" ht="14.25" customHeight="1">
      <c r="A310" t="str">
        <f>IF(PNL!A310="","",PNL!A310)</f>
        <v>IPAC_NAN</v>
      </c>
      <c r="B310" t="str">
        <f>IF(PNL!B310="","",PNL!B310)</f>
        <v>6411</v>
      </c>
      <c r="C310" t="str">
        <f>IF(PNL!C310="","",PNL!C310)</f>
        <v>2026</v>
      </c>
      <c r="D310" t="str">
        <f>IF(PNL!D310="","",PNL!D310)</f>
        <v>ACT</v>
      </c>
      <c r="E310">
        <f t="shared" si="0"/>
        <v>0</v>
      </c>
      <c r="F310">
        <f>IF($A310="","",IF($E310=1,_xlfn.SUMIFS(Compta!$F$1:$F$1448,Compta!$A$1:$A$1448,$A310,Compta!$B$1:$B$1448,$B310,Compta!$C$1:$C$1448,"2026"),0))</f>
        <v>0</v>
      </c>
      <c r="G310" t="s">
        <v>274</v>
      </c>
      <c r="H310" t="s">
        <v>274</v>
      </c>
      <c r="I310" t="s">
        <v>274</v>
      </c>
      <c r="J310" t="s">
        <v>274</v>
      </c>
      <c r="K310" t="s">
        <v>274</v>
      </c>
      <c r="L310" t="s">
        <v>274</v>
      </c>
      <c r="M310" t="s">
        <v>274</v>
      </c>
      <c r="N310" t="e">
        <f t="shared" si="1"/>
        <v>#VALUE!</v>
      </c>
      <c r="O310" t="e">
        <f t="shared" si="2"/>
        <v>#VALUE!</v>
      </c>
      <c r="P310">
        <f>IF($A310="","",IF($E310=1,$F310*$O310,PNL!G310))</f>
        <v>149433</v>
      </c>
      <c r="T310">
        <f t="shared" si="3"/>
        <v>0</v>
      </c>
    </row>
    <row r="311" ht="14.25" customHeight="1">
      <c r="A311" t="str">
        <f>IF(PNL!A311="","",PNL!A311)</f>
        <v>IPAC_REN</v>
      </c>
      <c r="B311" t="str">
        <f>IF(PNL!B311="","",PNL!B311)</f>
        <v>6411</v>
      </c>
      <c r="C311" t="str">
        <f>IF(PNL!C311="","",PNL!C311)</f>
        <v>2026</v>
      </c>
      <c r="D311" t="str">
        <f>IF(PNL!D311="","",PNL!D311)</f>
        <v>ACT</v>
      </c>
      <c r="E311">
        <f t="shared" si="0"/>
        <v>0</v>
      </c>
      <c r="F311">
        <f>IF($A311="","",IF($E311=1,_xlfn.SUMIFS(Compta!$F$1:$F$1448,Compta!$A$1:$A$1448,$A311,Compta!$B$1:$B$1448,$B311,Compta!$C$1:$C$1448,"2026"),0))</f>
        <v>0</v>
      </c>
      <c r="G311" t="s">
        <v>274</v>
      </c>
      <c r="H311" t="s">
        <v>274</v>
      </c>
      <c r="I311" t="s">
        <v>274</v>
      </c>
      <c r="J311" t="s">
        <v>274</v>
      </c>
      <c r="K311" t="s">
        <v>274</v>
      </c>
      <c r="L311" t="s">
        <v>274</v>
      </c>
      <c r="M311" t="s">
        <v>274</v>
      </c>
      <c r="N311" t="e">
        <f t="shared" si="1"/>
        <v>#VALUE!</v>
      </c>
      <c r="O311" t="e">
        <f t="shared" si="2"/>
        <v>#VALUE!</v>
      </c>
      <c r="P311">
        <f>IF($A311="","",IF($E311=1,$F311*$O311,PNL!G311))</f>
        <v>131501</v>
      </c>
      <c r="T311">
        <f t="shared" si="3"/>
        <v>0</v>
      </c>
    </row>
    <row r="312" ht="14.25" customHeight="1">
      <c r="A312" t="str">
        <f>IF(PNL!A312="","",PNL!A312)</f>
        <v>IPAC_MTP</v>
      </c>
      <c r="B312" t="str">
        <f>IF(PNL!B312="","",PNL!B312)</f>
        <v>6411</v>
      </c>
      <c r="C312" t="str">
        <f>IF(PNL!C312="","",PNL!C312)</f>
        <v>2026</v>
      </c>
      <c r="D312" t="str">
        <f>IF(PNL!D312="","",PNL!D312)</f>
        <v>ACT</v>
      </c>
      <c r="E312">
        <f t="shared" si="0"/>
        <v>0</v>
      </c>
      <c r="F312">
        <f>IF($A312="","",IF($E312=1,_xlfn.SUMIFS(Compta!$F$1:$F$1448,Compta!$A$1:$A$1448,$A312,Compta!$B$1:$B$1448,$B312,Compta!$C$1:$C$1448,"2026"),0))</f>
        <v>0</v>
      </c>
      <c r="G312" t="s">
        <v>274</v>
      </c>
      <c r="H312" t="s">
        <v>274</v>
      </c>
      <c r="I312" t="s">
        <v>274</v>
      </c>
      <c r="J312" t="s">
        <v>274</v>
      </c>
      <c r="K312" t="s">
        <v>274</v>
      </c>
      <c r="L312" t="s">
        <v>274</v>
      </c>
      <c r="M312" t="s">
        <v>274</v>
      </c>
      <c r="N312" t="e">
        <f t="shared" si="1"/>
        <v>#VALUE!</v>
      </c>
      <c r="O312" t="e">
        <f t="shared" si="2"/>
        <v>#VALUE!</v>
      </c>
      <c r="P312">
        <f>IF($A312="","",IF($E312=1,$F312*$O312,PNL!G312))</f>
        <v>131501</v>
      </c>
      <c r="T312">
        <f t="shared" si="3"/>
        <v>0</v>
      </c>
    </row>
    <row r="313" ht="14.25" customHeight="1">
      <c r="A313" t="str">
        <f>IF(PNL!A313="","",PNL!A313)</f>
        <v>PIGIER_LYO</v>
      </c>
      <c r="B313" t="str">
        <f>IF(PNL!B313="","",PNL!B313)</f>
        <v>6411</v>
      </c>
      <c r="C313" t="str">
        <f>IF(PNL!C313="","",PNL!C313)</f>
        <v>2026</v>
      </c>
      <c r="D313" t="str">
        <f>IF(PNL!D313="","",PNL!D313)</f>
        <v>ACT</v>
      </c>
      <c r="E313">
        <f t="shared" si="0"/>
        <v>0</v>
      </c>
      <c r="F313">
        <f>IF($A313="","",IF($E313=1,_xlfn.SUMIFS(Compta!$F$1:$F$1448,Compta!$A$1:$A$1448,$A313,Compta!$B$1:$B$1448,$B313,Compta!$C$1:$C$1448,"2026"),0))</f>
        <v>0</v>
      </c>
      <c r="G313" t="s">
        <v>274</v>
      </c>
      <c r="H313" t="s">
        <v>274</v>
      </c>
      <c r="I313" t="s">
        <v>274</v>
      </c>
      <c r="J313" t="s">
        <v>274</v>
      </c>
      <c r="K313" t="s">
        <v>274</v>
      </c>
      <c r="L313" t="s">
        <v>274</v>
      </c>
      <c r="M313" t="s">
        <v>274</v>
      </c>
      <c r="N313" t="e">
        <f t="shared" si="1"/>
        <v>#VALUE!</v>
      </c>
      <c r="O313" t="e">
        <f t="shared" si="2"/>
        <v>#VALUE!</v>
      </c>
      <c r="P313">
        <f>IF($A313="","",IF($E313=1,$F313*$O313,PNL!G313))</f>
        <v>223153</v>
      </c>
      <c r="T313">
        <f t="shared" si="3"/>
        <v>0</v>
      </c>
    </row>
    <row r="314" ht="14.25" customHeight="1">
      <c r="A314" t="str">
        <f>IF(PNL!A314="","",PNL!A314)</f>
        <v>PIGIER_BOR</v>
      </c>
      <c r="B314" t="str">
        <f>IF(PNL!B314="","",PNL!B314)</f>
        <v>6411</v>
      </c>
      <c r="C314" t="str">
        <f>IF(PNL!C314="","",PNL!C314)</f>
        <v>2026</v>
      </c>
      <c r="D314" t="str">
        <f>IF(PNL!D314="","",PNL!D314)</f>
        <v>ACT</v>
      </c>
      <c r="E314">
        <f t="shared" si="0"/>
        <v>0</v>
      </c>
      <c r="F314">
        <f>IF($A314="","",IF($E314=1,_xlfn.SUMIFS(Compta!$F$1:$F$1448,Compta!$A$1:$A$1448,$A314,Compta!$B$1:$B$1448,$B314,Compta!$C$1:$C$1448,"2026"),0))</f>
        <v>0</v>
      </c>
      <c r="G314" t="s">
        <v>274</v>
      </c>
      <c r="H314" t="s">
        <v>274</v>
      </c>
      <c r="I314" t="s">
        <v>274</v>
      </c>
      <c r="J314" t="s">
        <v>274</v>
      </c>
      <c r="K314" t="s">
        <v>274</v>
      </c>
      <c r="L314" t="s">
        <v>274</v>
      </c>
      <c r="M314" t="s">
        <v>274</v>
      </c>
      <c r="N314" t="e">
        <f t="shared" si="1"/>
        <v>#VALUE!</v>
      </c>
      <c r="O314" t="e">
        <f t="shared" si="2"/>
        <v>#VALUE!</v>
      </c>
      <c r="P314">
        <f>IF($A314="","",IF($E314=1,$F314*$O314,PNL!G314))</f>
        <v>209206</v>
      </c>
      <c r="T314">
        <f t="shared" si="3"/>
        <v>0</v>
      </c>
    </row>
    <row r="315" ht="14.25" customHeight="1">
      <c r="A315" t="str">
        <f>IF(PNL!A315="","",PNL!A315)</f>
        <v>TUNON_PAR</v>
      </c>
      <c r="B315" t="str">
        <f>IF(PNL!B315="","",PNL!B315)</f>
        <v>6411</v>
      </c>
      <c r="C315" t="str">
        <f>IF(PNL!C315="","",PNL!C315)</f>
        <v>2026</v>
      </c>
      <c r="D315" t="str">
        <f>IF(PNL!D315="","",PNL!D315)</f>
        <v>ACT</v>
      </c>
      <c r="E315">
        <f t="shared" si="0"/>
        <v>0</v>
      </c>
      <c r="F315">
        <f>IF($A315="","",IF($E315=1,_xlfn.SUMIFS(Compta!$F$1:$F$1448,Compta!$A$1:$A$1448,$A315,Compta!$B$1:$B$1448,$B315,Compta!$C$1:$C$1448,"2026"),0))</f>
        <v>0</v>
      </c>
      <c r="G315" t="s">
        <v>274</v>
      </c>
      <c r="H315" t="s">
        <v>274</v>
      </c>
      <c r="I315" t="s">
        <v>274</v>
      </c>
      <c r="J315" t="s">
        <v>274</v>
      </c>
      <c r="K315" t="s">
        <v>274</v>
      </c>
      <c r="L315" t="s">
        <v>274</v>
      </c>
      <c r="M315" t="s">
        <v>274</v>
      </c>
      <c r="N315" t="e">
        <f t="shared" si="1"/>
        <v>#VALUE!</v>
      </c>
      <c r="O315" t="e">
        <f t="shared" si="2"/>
        <v>#VALUE!</v>
      </c>
      <c r="P315">
        <f>IF($A315="","",IF($E315=1,$F315*$O315,PNL!G315))</f>
        <v>242081</v>
      </c>
      <c r="T315">
        <f t="shared" si="3"/>
        <v>0</v>
      </c>
    </row>
    <row r="316" ht="14.25" customHeight="1">
      <c r="A316" t="str">
        <f>IF(PNL!A316="","",PNL!A316)</f>
        <v>TUNON_LYO</v>
      </c>
      <c r="B316" t="str">
        <f>IF(PNL!B316="","",PNL!B316)</f>
        <v>6411</v>
      </c>
      <c r="C316" t="str">
        <f>IF(PNL!C316="","",PNL!C316)</f>
        <v>2026</v>
      </c>
      <c r="D316" t="str">
        <f>IF(PNL!D316="","",PNL!D316)</f>
        <v>ACT</v>
      </c>
      <c r="E316">
        <f t="shared" si="0"/>
        <v>0</v>
      </c>
      <c r="F316">
        <f>IF($A316="","",IF($E316=1,_xlfn.SUMIFS(Compta!$F$1:$F$1448,Compta!$A$1:$A$1448,$A316,Compta!$B$1:$B$1448,$B316,Compta!$C$1:$C$1448,"2026"),0))</f>
        <v>0</v>
      </c>
      <c r="G316" t="s">
        <v>274</v>
      </c>
      <c r="H316" t="s">
        <v>274</v>
      </c>
      <c r="I316" t="s">
        <v>274</v>
      </c>
      <c r="J316" t="s">
        <v>274</v>
      </c>
      <c r="K316" t="s">
        <v>274</v>
      </c>
      <c r="L316" t="s">
        <v>274</v>
      </c>
      <c r="M316" t="s">
        <v>274</v>
      </c>
      <c r="N316" t="e">
        <f t="shared" si="1"/>
        <v>#VALUE!</v>
      </c>
      <c r="O316" t="e">
        <f t="shared" si="2"/>
        <v>#VALUE!</v>
      </c>
      <c r="P316">
        <f>IF($A316="","",IF($E316=1,$F316*$O316,PNL!G316))</f>
        <v>167364</v>
      </c>
      <c r="T316">
        <f t="shared" si="3"/>
        <v>0</v>
      </c>
    </row>
    <row r="317" ht="14.25" customHeight="1">
      <c r="A317" t="str">
        <f>IF(PNL!A317="","",PNL!A317)</f>
        <v>MBWAY_PAR</v>
      </c>
      <c r="B317" t="str">
        <f>IF(PNL!B317="","",PNL!B317)</f>
        <v>6413</v>
      </c>
      <c r="C317" t="str">
        <f>IF(PNL!C317="","",PNL!C317)</f>
        <v>2024</v>
      </c>
      <c r="D317" t="str">
        <f>IF(PNL!D317="","",PNL!D317)</f>
        <v>ACT</v>
      </c>
      <c r="E317">
        <f t="shared" si="0"/>
        <v>0</v>
      </c>
      <c r="F317">
        <f>IF($A317="","",IF($E317=1,_xlfn.SUMIFS(Compta!$F$1:$F$1448,Compta!$A$1:$A$1448,$A317,Compta!$B$1:$B$1448,$B317,Compta!$C$1:$C$1448,"2026"),0))</f>
        <v>0</v>
      </c>
      <c r="G317" t="s">
        <v>274</v>
      </c>
      <c r="H317" t="s">
        <v>274</v>
      </c>
      <c r="I317" t="s">
        <v>274</v>
      </c>
      <c r="J317" t="s">
        <v>274</v>
      </c>
      <c r="K317" t="s">
        <v>274</v>
      </c>
      <c r="L317" t="s">
        <v>274</v>
      </c>
      <c r="M317" t="s">
        <v>274</v>
      </c>
      <c r="N317" t="e">
        <f t="shared" si="1"/>
        <v>#VALUE!</v>
      </c>
      <c r="O317" t="e">
        <f t="shared" si="2"/>
        <v>#VALUE!</v>
      </c>
      <c r="P317">
        <f>IF($A317="","",IF($E317=1,$F317*$O317,PNL!G317))</f>
        <v>318872</v>
      </c>
      <c r="T317">
        <f t="shared" si="3"/>
        <v>0</v>
      </c>
    </row>
    <row r="318" ht="14.25" customHeight="1">
      <c r="A318" t="str">
        <f>IF(PNL!A318="","",PNL!A318)</f>
        <v>MBWAY_LYO</v>
      </c>
      <c r="B318" t="str">
        <f>IF(PNL!B318="","",PNL!B318)</f>
        <v>6413</v>
      </c>
      <c r="C318" t="str">
        <f>IF(PNL!C318="","",PNL!C318)</f>
        <v>2024</v>
      </c>
      <c r="D318" t="str">
        <f>IF(PNL!D318="","",PNL!D318)</f>
        <v>ACT</v>
      </c>
      <c r="E318">
        <f t="shared" si="0"/>
        <v>0</v>
      </c>
      <c r="F318">
        <f>IF($A318="","",IF($E318=1,_xlfn.SUMIFS(Compta!$F$1:$F$1448,Compta!$A$1:$A$1448,$A318,Compta!$B$1:$B$1448,$B318,Compta!$C$1:$C$1448,"2026"),0))</f>
        <v>0</v>
      </c>
      <c r="G318" t="s">
        <v>274</v>
      </c>
      <c r="H318" t="s">
        <v>274</v>
      </c>
      <c r="I318" t="s">
        <v>274</v>
      </c>
      <c r="J318" t="s">
        <v>274</v>
      </c>
      <c r="K318" t="s">
        <v>274</v>
      </c>
      <c r="L318" t="s">
        <v>274</v>
      </c>
      <c r="M318" t="s">
        <v>274</v>
      </c>
      <c r="N318" t="e">
        <f t="shared" si="1"/>
        <v>#VALUE!</v>
      </c>
      <c r="O318" t="e">
        <f t="shared" si="2"/>
        <v>#VALUE!</v>
      </c>
      <c r="P318">
        <f>IF($A318="","",IF($E318=1,$F318*$O318,PNL!G318))</f>
        <v>186982</v>
      </c>
      <c r="T318">
        <f t="shared" si="3"/>
        <v>0</v>
      </c>
    </row>
    <row r="319" ht="14.25" customHeight="1">
      <c r="A319" t="str">
        <f>IF(PNL!A319="","",PNL!A319)</f>
        <v>MBWAY_NAN</v>
      </c>
      <c r="B319" t="str">
        <f>IF(PNL!B319="","",PNL!B319)</f>
        <v>6413</v>
      </c>
      <c r="C319" t="str">
        <f>IF(PNL!C319="","",PNL!C319)</f>
        <v>2024</v>
      </c>
      <c r="D319" t="str">
        <f>IF(PNL!D319="","",PNL!D319)</f>
        <v>ACT</v>
      </c>
      <c r="E319">
        <f t="shared" si="0"/>
        <v>0</v>
      </c>
      <c r="F319">
        <f>IF($A319="","",IF($E319=1,_xlfn.SUMIFS(Compta!$F$1:$F$1448,Compta!$A$1:$A$1448,$A319,Compta!$B$1:$B$1448,$B319,Compta!$C$1:$C$1448,"2026"),0))</f>
        <v>0</v>
      </c>
      <c r="G319" t="s">
        <v>274</v>
      </c>
      <c r="H319" t="s">
        <v>274</v>
      </c>
      <c r="I319" t="s">
        <v>274</v>
      </c>
      <c r="J319" t="s">
        <v>274</v>
      </c>
      <c r="K319" t="s">
        <v>274</v>
      </c>
      <c r="L319" t="s">
        <v>274</v>
      </c>
      <c r="M319" t="s">
        <v>274</v>
      </c>
      <c r="N319" t="e">
        <f t="shared" si="1"/>
        <v>#VALUE!</v>
      </c>
      <c r="O319" t="e">
        <f t="shared" si="2"/>
        <v>#VALUE!</v>
      </c>
      <c r="P319">
        <f>IF($A319="","",IF($E319=1,$F319*$O319,PNL!G319))</f>
        <v>151490</v>
      </c>
      <c r="T319">
        <f t="shared" si="3"/>
        <v>0</v>
      </c>
    </row>
    <row r="320" ht="14.25" customHeight="1">
      <c r="A320" t="str">
        <f>IF(PNL!A320="","",PNL!A320)</f>
        <v>MBWAY_BOR</v>
      </c>
      <c r="B320" t="str">
        <f>IF(PNL!B320="","",PNL!B320)</f>
        <v>6413</v>
      </c>
      <c r="C320" t="str">
        <f>IF(PNL!C320="","",PNL!C320)</f>
        <v>2024</v>
      </c>
      <c r="D320" t="str">
        <f>IF(PNL!D320="","",PNL!D320)</f>
        <v>ACT</v>
      </c>
      <c r="E320">
        <f t="shared" si="0"/>
        <v>0</v>
      </c>
      <c r="F320">
        <f>IF($A320="","",IF($E320=1,_xlfn.SUMIFS(Compta!$F$1:$F$1448,Compta!$A$1:$A$1448,$A320,Compta!$B$1:$B$1448,$B320,Compta!$C$1:$C$1448,"2026"),0))</f>
        <v>0</v>
      </c>
      <c r="G320" t="s">
        <v>274</v>
      </c>
      <c r="H320" t="s">
        <v>274</v>
      </c>
      <c r="I320" t="s">
        <v>274</v>
      </c>
      <c r="J320" t="s">
        <v>274</v>
      </c>
      <c r="K320" t="s">
        <v>274</v>
      </c>
      <c r="L320" t="s">
        <v>274</v>
      </c>
      <c r="M320" t="s">
        <v>274</v>
      </c>
      <c r="N320" t="e">
        <f t="shared" si="1"/>
        <v>#VALUE!</v>
      </c>
      <c r="O320" t="e">
        <f t="shared" si="2"/>
        <v>#VALUE!</v>
      </c>
      <c r="P320">
        <f>IF($A320="","",IF($E320=1,$F320*$O320,PNL!G320))</f>
        <v>134718</v>
      </c>
      <c r="T320">
        <f t="shared" si="3"/>
        <v>0</v>
      </c>
    </row>
    <row r="321" ht="14.25" customHeight="1">
      <c r="A321" t="str">
        <f>IF(PNL!A321="","",PNL!A321)</f>
        <v>ISCOM_PAR</v>
      </c>
      <c r="B321" t="str">
        <f>IF(PNL!B321="","",PNL!B321)</f>
        <v>6413</v>
      </c>
      <c r="C321" t="str">
        <f>IF(PNL!C321="","",PNL!C321)</f>
        <v>2024</v>
      </c>
      <c r="D321" t="str">
        <f>IF(PNL!D321="","",PNL!D321)</f>
        <v>ACT</v>
      </c>
      <c r="E321">
        <f t="shared" si="0"/>
        <v>0</v>
      </c>
      <c r="F321">
        <f>IF($A321="","",IF($E321=1,_xlfn.SUMIFS(Compta!$F$1:$F$1448,Compta!$A$1:$A$1448,$A321,Compta!$B$1:$B$1448,$B321,Compta!$C$1:$C$1448,"2026"),0))</f>
        <v>0</v>
      </c>
      <c r="G321" t="s">
        <v>274</v>
      </c>
      <c r="H321" t="s">
        <v>274</v>
      </c>
      <c r="I321" t="s">
        <v>274</v>
      </c>
      <c r="J321" t="s">
        <v>274</v>
      </c>
      <c r="K321" t="s">
        <v>274</v>
      </c>
      <c r="L321" t="s">
        <v>274</v>
      </c>
      <c r="M321" t="s">
        <v>274</v>
      </c>
      <c r="N321" t="e">
        <f t="shared" si="1"/>
        <v>#VALUE!</v>
      </c>
      <c r="O321" t="e">
        <f t="shared" si="2"/>
        <v>#VALUE!</v>
      </c>
      <c r="P321">
        <f>IF($A321="","",IF($E321=1,$F321*$O321,PNL!G321))</f>
        <v>295499</v>
      </c>
      <c r="T321">
        <f t="shared" si="3"/>
        <v>0</v>
      </c>
    </row>
    <row r="322" ht="14.25" customHeight="1">
      <c r="A322" t="str">
        <f>IF(PNL!A322="","",PNL!A322)</f>
        <v>ISCOM_LIL</v>
      </c>
      <c r="B322" t="str">
        <f>IF(PNL!B322="","",PNL!B322)</f>
        <v>6413</v>
      </c>
      <c r="C322" t="str">
        <f>IF(PNL!C322="","",PNL!C322)</f>
        <v>2024</v>
      </c>
      <c r="D322" t="str">
        <f>IF(PNL!D322="","",PNL!D322)</f>
        <v>ACT</v>
      </c>
      <c r="E322">
        <f t="shared" si="0"/>
        <v>0</v>
      </c>
      <c r="F322">
        <f>IF($A322="","",IF($E322=1,_xlfn.SUMIFS(Compta!$F$1:$F$1448,Compta!$A$1:$A$1448,$A322,Compta!$B$1:$B$1448,$B322,Compta!$C$1:$C$1448,"2026"),0))</f>
        <v>0</v>
      </c>
      <c r="G322" t="s">
        <v>274</v>
      </c>
      <c r="H322" t="s">
        <v>274</v>
      </c>
      <c r="I322" t="s">
        <v>274</v>
      </c>
      <c r="J322" t="s">
        <v>274</v>
      </c>
      <c r="K322" t="s">
        <v>274</v>
      </c>
      <c r="L322" t="s">
        <v>274</v>
      </c>
      <c r="M322" t="s">
        <v>274</v>
      </c>
      <c r="N322" t="e">
        <f t="shared" si="1"/>
        <v>#VALUE!</v>
      </c>
      <c r="O322" t="e">
        <f t="shared" si="2"/>
        <v>#VALUE!</v>
      </c>
      <c r="P322">
        <f>IF($A322="","",IF($E322=1,$F322*$O322,PNL!G322))</f>
        <v>115669</v>
      </c>
      <c r="T322">
        <f t="shared" si="3"/>
        <v>0</v>
      </c>
    </row>
    <row r="323" ht="14.25" customHeight="1">
      <c r="A323" t="str">
        <f>IF(PNL!A323="","",PNL!A323)</f>
        <v>ISCOM_TLS</v>
      </c>
      <c r="B323" t="str">
        <f>IF(PNL!B323="","",PNL!B323)</f>
        <v>6413</v>
      </c>
      <c r="C323" t="str">
        <f>IF(PNL!C323="","",PNL!C323)</f>
        <v>2024</v>
      </c>
      <c r="D323" t="str">
        <f>IF(PNL!D323="","",PNL!D323)</f>
        <v>ACT</v>
      </c>
      <c r="E323">
        <f t="shared" si="0"/>
        <v>0</v>
      </c>
      <c r="F323">
        <f>IF($A323="","",IF($E323=1,_xlfn.SUMIFS(Compta!$F$1:$F$1448,Compta!$A$1:$A$1448,$A323,Compta!$B$1:$B$1448,$B323,Compta!$C$1:$C$1448,"2026"),0))</f>
        <v>0</v>
      </c>
      <c r="G323" t="s">
        <v>274</v>
      </c>
      <c r="H323" t="s">
        <v>274</v>
      </c>
      <c r="I323" t="s">
        <v>274</v>
      </c>
      <c r="J323" t="s">
        <v>274</v>
      </c>
      <c r="K323" t="s">
        <v>274</v>
      </c>
      <c r="L323" t="s">
        <v>274</v>
      </c>
      <c r="M323" t="s">
        <v>274</v>
      </c>
      <c r="N323" t="e">
        <f t="shared" si="1"/>
        <v>#VALUE!</v>
      </c>
      <c r="O323" t="e">
        <f t="shared" si="2"/>
        <v>#VALUE!</v>
      </c>
      <c r="P323">
        <f>IF($A323="","",IF($E323=1,$F323*$O323,PNL!G323))</f>
        <v>107125</v>
      </c>
      <c r="T323">
        <f t="shared" si="3"/>
        <v>0</v>
      </c>
    </row>
    <row r="324" ht="14.25" customHeight="1">
      <c r="A324" t="str">
        <f>IF(PNL!A324="","",PNL!A324)</f>
        <v>IPAC_NAN</v>
      </c>
      <c r="B324" t="str">
        <f>IF(PNL!B324="","",PNL!B324)</f>
        <v>6413</v>
      </c>
      <c r="C324" t="str">
        <f>IF(PNL!C324="","",PNL!C324)</f>
        <v>2024</v>
      </c>
      <c r="D324" t="str">
        <f>IF(PNL!D324="","",PNL!D324)</f>
        <v>ACT</v>
      </c>
      <c r="E324">
        <f t="shared" si="0"/>
        <v>0</v>
      </c>
      <c r="F324">
        <f>IF($A324="","",IF($E324=1,_xlfn.SUMIFS(Compta!$F$1:$F$1448,Compta!$A$1:$A$1448,$A324,Compta!$B$1:$B$1448,$B324,Compta!$C$1:$C$1448,"2026"),0))</f>
        <v>0</v>
      </c>
      <c r="G324" t="s">
        <v>274</v>
      </c>
      <c r="H324" t="s">
        <v>274</v>
      </c>
      <c r="I324" t="s">
        <v>274</v>
      </c>
      <c r="J324" t="s">
        <v>274</v>
      </c>
      <c r="K324" t="s">
        <v>274</v>
      </c>
      <c r="L324" t="s">
        <v>274</v>
      </c>
      <c r="M324" t="s">
        <v>274</v>
      </c>
      <c r="N324" t="e">
        <f t="shared" si="1"/>
        <v>#VALUE!</v>
      </c>
      <c r="O324" t="e">
        <f t="shared" si="2"/>
        <v>#VALUE!</v>
      </c>
      <c r="P324">
        <f>IF($A324="","",IF($E324=1,$F324*$O324,PNL!G324))</f>
        <v>74715</v>
      </c>
      <c r="T324">
        <f t="shared" si="3"/>
        <v>0</v>
      </c>
    </row>
    <row r="325" ht="14.25" customHeight="1">
      <c r="A325" t="str">
        <f>IF(PNL!A325="","",PNL!A325)</f>
        <v>IPAC_REN</v>
      </c>
      <c r="B325" t="str">
        <f>IF(PNL!B325="","",PNL!B325)</f>
        <v>6413</v>
      </c>
      <c r="C325" t="str">
        <f>IF(PNL!C325="","",PNL!C325)</f>
        <v>2024</v>
      </c>
      <c r="D325" t="str">
        <f>IF(PNL!D325="","",PNL!D325)</f>
        <v>ACT</v>
      </c>
      <c r="E325">
        <f t="shared" si="0"/>
        <v>0</v>
      </c>
      <c r="F325">
        <f>IF($A325="","",IF($E325=1,_xlfn.SUMIFS(Compta!$F$1:$F$1448,Compta!$A$1:$A$1448,$A325,Compta!$B$1:$B$1448,$B325,Compta!$C$1:$C$1448,"2026"),0))</f>
        <v>0</v>
      </c>
      <c r="G325" t="s">
        <v>274</v>
      </c>
      <c r="H325" t="s">
        <v>274</v>
      </c>
      <c r="I325" t="s">
        <v>274</v>
      </c>
      <c r="J325" t="s">
        <v>274</v>
      </c>
      <c r="K325" t="s">
        <v>274</v>
      </c>
      <c r="L325" t="s">
        <v>274</v>
      </c>
      <c r="M325" t="s">
        <v>274</v>
      </c>
      <c r="N325" t="e">
        <f t="shared" si="1"/>
        <v>#VALUE!</v>
      </c>
      <c r="O325" t="e">
        <f t="shared" si="2"/>
        <v>#VALUE!</v>
      </c>
      <c r="P325">
        <f>IF($A325="","",IF($E325=1,$F325*$O325,PNL!G325))</f>
        <v>53053</v>
      </c>
      <c r="T325">
        <f t="shared" si="3"/>
        <v>0</v>
      </c>
    </row>
    <row r="326" ht="14.25" customHeight="1">
      <c r="A326" t="str">
        <f>IF(PNL!A326="","",PNL!A326)</f>
        <v>IPAC_MTP</v>
      </c>
      <c r="B326" t="str">
        <f>IF(PNL!B326="","",PNL!B326)</f>
        <v>6413</v>
      </c>
      <c r="C326" t="str">
        <f>IF(PNL!C326="","",PNL!C326)</f>
        <v>2024</v>
      </c>
      <c r="D326" t="str">
        <f>IF(PNL!D326="","",PNL!D326)</f>
        <v>ACT</v>
      </c>
      <c r="E326">
        <f t="shared" si="0"/>
        <v>0</v>
      </c>
      <c r="F326">
        <f>IF($A326="","",IF($E326=1,_xlfn.SUMIFS(Compta!$F$1:$F$1448,Compta!$A$1:$A$1448,$A326,Compta!$B$1:$B$1448,$B326,Compta!$C$1:$C$1448,"2026"),0))</f>
        <v>0</v>
      </c>
      <c r="G326" t="s">
        <v>274</v>
      </c>
      <c r="H326" t="s">
        <v>274</v>
      </c>
      <c r="I326" t="s">
        <v>274</v>
      </c>
      <c r="J326" t="s">
        <v>274</v>
      </c>
      <c r="K326" t="s">
        <v>274</v>
      </c>
      <c r="L326" t="s">
        <v>274</v>
      </c>
      <c r="M326" t="s">
        <v>274</v>
      </c>
      <c r="N326" t="e">
        <f t="shared" si="1"/>
        <v>#VALUE!</v>
      </c>
      <c r="O326" t="e">
        <f t="shared" si="2"/>
        <v>#VALUE!</v>
      </c>
      <c r="P326">
        <f>IF($A326="","",IF($E326=1,$F326*$O326,PNL!G326))</f>
        <v>53053</v>
      </c>
      <c r="T326">
        <f t="shared" si="3"/>
        <v>0</v>
      </c>
    </row>
    <row r="327" ht="14.25" customHeight="1">
      <c r="A327" t="str">
        <f>IF(PNL!A327="","",PNL!A327)</f>
        <v>PIGIER_LYO</v>
      </c>
      <c r="B327" t="str">
        <f>IF(PNL!B327="","",PNL!B327)</f>
        <v>6413</v>
      </c>
      <c r="C327" t="str">
        <f>IF(PNL!C327="","",PNL!C327)</f>
        <v>2024</v>
      </c>
      <c r="D327" t="str">
        <f>IF(PNL!D327="","",PNL!D327)</f>
        <v>ACT</v>
      </c>
      <c r="E327">
        <f t="shared" si="0"/>
        <v>0</v>
      </c>
      <c r="F327">
        <f>IF($A327="","",IF($E327=1,_xlfn.SUMIFS(Compta!$F$1:$F$1448,Compta!$A$1:$A$1448,$A327,Compta!$B$1:$B$1448,$B327,Compta!$C$1:$C$1448,"2026"),0))</f>
        <v>0</v>
      </c>
      <c r="G327" t="s">
        <v>274</v>
      </c>
      <c r="H327" t="s">
        <v>274</v>
      </c>
      <c r="I327" t="s">
        <v>274</v>
      </c>
      <c r="J327" t="s">
        <v>274</v>
      </c>
      <c r="K327" t="s">
        <v>274</v>
      </c>
      <c r="L327" t="s">
        <v>274</v>
      </c>
      <c r="M327" t="s">
        <v>274</v>
      </c>
      <c r="N327" t="e">
        <f t="shared" si="1"/>
        <v>#VALUE!</v>
      </c>
      <c r="O327" t="e">
        <f t="shared" si="2"/>
        <v>#VALUE!</v>
      </c>
      <c r="P327">
        <f>IF($A327="","",IF($E327=1,$F327*$O327,PNL!G327))</f>
        <v>105033</v>
      </c>
      <c r="T327">
        <f t="shared" si="3"/>
        <v>0</v>
      </c>
    </row>
    <row r="328" ht="14.25" customHeight="1">
      <c r="A328" t="str">
        <f>IF(PNL!A328="","",PNL!A328)</f>
        <v>PIGIER_BOR</v>
      </c>
      <c r="B328" t="str">
        <f>IF(PNL!B328="","",PNL!B328)</f>
        <v>6413</v>
      </c>
      <c r="C328" t="str">
        <f>IF(PNL!C328="","",PNL!C328)</f>
        <v>2024</v>
      </c>
      <c r="D328" t="str">
        <f>IF(PNL!D328="","",PNL!D328)</f>
        <v>ACT</v>
      </c>
      <c r="E328">
        <f t="shared" si="0"/>
        <v>0</v>
      </c>
      <c r="F328">
        <f>IF($A328="","",IF($E328=1,_xlfn.SUMIFS(Compta!$F$1:$F$1448,Compta!$A$1:$A$1448,$A328,Compta!$B$1:$B$1448,$B328,Compta!$C$1:$C$1448,"2026"),0))</f>
        <v>0</v>
      </c>
      <c r="G328" t="s">
        <v>274</v>
      </c>
      <c r="H328" t="s">
        <v>274</v>
      </c>
      <c r="I328" t="s">
        <v>274</v>
      </c>
      <c r="J328" t="s">
        <v>274</v>
      </c>
      <c r="K328" t="s">
        <v>274</v>
      </c>
      <c r="L328" t="s">
        <v>274</v>
      </c>
      <c r="M328" t="s">
        <v>274</v>
      </c>
      <c r="N328" t="e">
        <f t="shared" si="1"/>
        <v>#VALUE!</v>
      </c>
      <c r="O328" t="e">
        <f t="shared" si="2"/>
        <v>#VALUE!</v>
      </c>
      <c r="P328">
        <f>IF($A328="","",IF($E328=1,$F328*$O328,PNL!G328))</f>
        <v>76827</v>
      </c>
      <c r="T328">
        <f t="shared" si="3"/>
        <v>0</v>
      </c>
    </row>
    <row r="329" ht="14.25" customHeight="1">
      <c r="A329" t="str">
        <f>IF(PNL!A329="","",PNL!A329)</f>
        <v>TUNON_PAR</v>
      </c>
      <c r="B329" t="str">
        <f>IF(PNL!B329="","",PNL!B329)</f>
        <v>6413</v>
      </c>
      <c r="C329" t="str">
        <f>IF(PNL!C329="","",PNL!C329)</f>
        <v>2024</v>
      </c>
      <c r="D329" t="str">
        <f>IF(PNL!D329="","",PNL!D329)</f>
        <v>ACT</v>
      </c>
      <c r="E329">
        <f t="shared" si="0"/>
        <v>0</v>
      </c>
      <c r="F329">
        <f>IF($A329="","",IF($E329=1,_xlfn.SUMIFS(Compta!$F$1:$F$1448,Compta!$A$1:$A$1448,$A329,Compta!$B$1:$B$1448,$B329,Compta!$C$1:$C$1448,"2026"),0))</f>
        <v>0</v>
      </c>
      <c r="G329" t="s">
        <v>274</v>
      </c>
      <c r="H329" t="s">
        <v>274</v>
      </c>
      <c r="I329" t="s">
        <v>274</v>
      </c>
      <c r="J329" t="s">
        <v>274</v>
      </c>
      <c r="K329" t="s">
        <v>274</v>
      </c>
      <c r="L329" t="s">
        <v>274</v>
      </c>
      <c r="M329" t="s">
        <v>274</v>
      </c>
      <c r="N329" t="e">
        <f t="shared" si="1"/>
        <v>#VALUE!</v>
      </c>
      <c r="O329" t="e">
        <f t="shared" si="2"/>
        <v>#VALUE!</v>
      </c>
      <c r="P329">
        <f>IF($A329="","",IF($E329=1,$F329*$O329,PNL!G329))</f>
        <v>115195</v>
      </c>
      <c r="T329">
        <f t="shared" si="3"/>
        <v>0</v>
      </c>
    </row>
    <row r="330" ht="14.25" customHeight="1">
      <c r="A330" t="str">
        <f>IF(PNL!A330="","",PNL!A330)</f>
        <v>TUNON_LYO</v>
      </c>
      <c r="B330" t="str">
        <f>IF(PNL!B330="","",PNL!B330)</f>
        <v>6413</v>
      </c>
      <c r="C330" t="str">
        <f>IF(PNL!C330="","",PNL!C330)</f>
        <v>2024</v>
      </c>
      <c r="D330" t="str">
        <f>IF(PNL!D330="","",PNL!D330)</f>
        <v>ACT</v>
      </c>
      <c r="E330">
        <f t="shared" si="0"/>
        <v>0</v>
      </c>
      <c r="F330">
        <f>IF($A330="","",IF($E330=1,_xlfn.SUMIFS(Compta!$F$1:$F$1448,Compta!$A$1:$A$1448,$A330,Compta!$B$1:$B$1448,$B330,Compta!$C$1:$C$1448,"2026"),0))</f>
        <v>0</v>
      </c>
      <c r="G330" t="s">
        <v>274</v>
      </c>
      <c r="H330" t="s">
        <v>274</v>
      </c>
      <c r="I330" t="s">
        <v>274</v>
      </c>
      <c r="J330" t="s">
        <v>274</v>
      </c>
      <c r="K330" t="s">
        <v>274</v>
      </c>
      <c r="L330" t="s">
        <v>274</v>
      </c>
      <c r="M330" t="s">
        <v>274</v>
      </c>
      <c r="N330" t="e">
        <f t="shared" si="1"/>
        <v>#VALUE!</v>
      </c>
      <c r="O330" t="e">
        <f t="shared" si="2"/>
        <v>#VALUE!</v>
      </c>
      <c r="P330">
        <f>IF($A330="","",IF($E330=1,$F330*$O330,PNL!G330))</f>
        <v>67521</v>
      </c>
      <c r="T330">
        <f t="shared" si="3"/>
        <v>0</v>
      </c>
    </row>
    <row r="331" ht="14.25" customHeight="1">
      <c r="A331" t="str">
        <f>IF(PNL!A331="","",PNL!A331)</f>
        <v>MBWAY_PAR</v>
      </c>
      <c r="B331" t="str">
        <f>IF(PNL!B331="","",PNL!B331)</f>
        <v>6413</v>
      </c>
      <c r="C331" t="str">
        <f>IF(PNL!C331="","",PNL!C331)</f>
        <v>2025</v>
      </c>
      <c r="D331" t="str">
        <f>IF(PNL!D331="","",PNL!D331)</f>
        <v>ACT</v>
      </c>
      <c r="E331">
        <f t="shared" si="0"/>
        <v>0</v>
      </c>
      <c r="F331">
        <f>IF($A331="","",IF($E331=1,_xlfn.SUMIFS(Compta!$F$1:$F$1448,Compta!$A$1:$A$1448,$A331,Compta!$B$1:$B$1448,$B331,Compta!$C$1:$C$1448,"2026"),0))</f>
        <v>0</v>
      </c>
      <c r="G331" t="s">
        <v>274</v>
      </c>
      <c r="H331" t="s">
        <v>274</v>
      </c>
      <c r="I331" t="s">
        <v>274</v>
      </c>
      <c r="J331" t="s">
        <v>274</v>
      </c>
      <c r="K331" t="s">
        <v>274</v>
      </c>
      <c r="L331" t="s">
        <v>274</v>
      </c>
      <c r="M331" t="s">
        <v>274</v>
      </c>
      <c r="N331" t="e">
        <f t="shared" si="1"/>
        <v>#VALUE!</v>
      </c>
      <c r="O331" t="e">
        <f t="shared" si="2"/>
        <v>#VALUE!</v>
      </c>
      <c r="P331">
        <f>IF($A331="","",IF($E331=1,$F331*$O331,PNL!G331))</f>
        <v>333483</v>
      </c>
      <c r="T331">
        <f t="shared" si="3"/>
        <v>0</v>
      </c>
    </row>
    <row r="332" ht="14.25" customHeight="1">
      <c r="A332" t="str">
        <f>IF(PNL!A332="","",PNL!A332)</f>
        <v>MBWAY_LYO</v>
      </c>
      <c r="B332" t="str">
        <f>IF(PNL!B332="","",PNL!B332)</f>
        <v>6413</v>
      </c>
      <c r="C332" t="str">
        <f>IF(PNL!C332="","",PNL!C332)</f>
        <v>2025</v>
      </c>
      <c r="D332" t="str">
        <f>IF(PNL!D332="","",PNL!D332)</f>
        <v>ACT</v>
      </c>
      <c r="E332">
        <f t="shared" si="0"/>
        <v>0</v>
      </c>
      <c r="F332">
        <f>IF($A332="","",IF($E332=1,_xlfn.SUMIFS(Compta!$F$1:$F$1448,Compta!$A$1:$A$1448,$A332,Compta!$B$1:$B$1448,$B332,Compta!$C$1:$C$1448,"2026"),0))</f>
        <v>0</v>
      </c>
      <c r="G332" t="s">
        <v>274</v>
      </c>
      <c r="H332" t="s">
        <v>274</v>
      </c>
      <c r="I332" t="s">
        <v>274</v>
      </c>
      <c r="J332" t="s">
        <v>274</v>
      </c>
      <c r="K332" t="s">
        <v>274</v>
      </c>
      <c r="L332" t="s">
        <v>274</v>
      </c>
      <c r="M332" t="s">
        <v>274</v>
      </c>
      <c r="N332" t="e">
        <f t="shared" si="1"/>
        <v>#VALUE!</v>
      </c>
      <c r="O332" t="e">
        <f t="shared" si="2"/>
        <v>#VALUE!</v>
      </c>
      <c r="P332">
        <f>IF($A332="","",IF($E332=1,$F332*$O332,PNL!G332))</f>
        <v>195550</v>
      </c>
      <c r="T332">
        <f t="shared" si="3"/>
        <v>0</v>
      </c>
    </row>
    <row r="333" ht="14.25" customHeight="1">
      <c r="A333" t="str">
        <f>IF(PNL!A333="","",PNL!A333)</f>
        <v>MBWAY_NAN</v>
      </c>
      <c r="B333" t="str">
        <f>IF(PNL!B333="","",PNL!B333)</f>
        <v>6413</v>
      </c>
      <c r="C333" t="str">
        <f>IF(PNL!C333="","",PNL!C333)</f>
        <v>2025</v>
      </c>
      <c r="D333" t="str">
        <f>IF(PNL!D333="","",PNL!D333)</f>
        <v>ACT</v>
      </c>
      <c r="E333">
        <f t="shared" si="0"/>
        <v>0</v>
      </c>
      <c r="F333">
        <f>IF($A333="","",IF($E333=1,_xlfn.SUMIFS(Compta!$F$1:$F$1448,Compta!$A$1:$A$1448,$A333,Compta!$B$1:$B$1448,$B333,Compta!$C$1:$C$1448,"2026"),0))</f>
        <v>0</v>
      </c>
      <c r="G333" t="s">
        <v>274</v>
      </c>
      <c r="H333" t="s">
        <v>274</v>
      </c>
      <c r="I333" t="s">
        <v>274</v>
      </c>
      <c r="J333" t="s">
        <v>274</v>
      </c>
      <c r="K333" t="s">
        <v>274</v>
      </c>
      <c r="L333" t="s">
        <v>274</v>
      </c>
      <c r="M333" t="s">
        <v>274</v>
      </c>
      <c r="N333" t="e">
        <f t="shared" si="1"/>
        <v>#VALUE!</v>
      </c>
      <c r="O333" t="e">
        <f t="shared" si="2"/>
        <v>#VALUE!</v>
      </c>
      <c r="P333">
        <f>IF($A333="","",IF($E333=1,$F333*$O333,PNL!G333))</f>
        <v>158432</v>
      </c>
      <c r="T333">
        <f t="shared" si="3"/>
        <v>0</v>
      </c>
    </row>
    <row r="334" ht="14.25" customHeight="1">
      <c r="A334" t="str">
        <f>IF(PNL!A334="","",PNL!A334)</f>
        <v>MBWAY_BOR</v>
      </c>
      <c r="B334" t="str">
        <f>IF(PNL!B334="","",PNL!B334)</f>
        <v>6413</v>
      </c>
      <c r="C334" t="str">
        <f>IF(PNL!C334="","",PNL!C334)</f>
        <v>2025</v>
      </c>
      <c r="D334" t="str">
        <f>IF(PNL!D334="","",PNL!D334)</f>
        <v>ACT</v>
      </c>
      <c r="E334">
        <f t="shared" si="0"/>
        <v>0</v>
      </c>
      <c r="F334">
        <f>IF($A334="","",IF($E334=1,_xlfn.SUMIFS(Compta!$F$1:$F$1448,Compta!$A$1:$A$1448,$A334,Compta!$B$1:$B$1448,$B334,Compta!$C$1:$C$1448,"2026"),0))</f>
        <v>0</v>
      </c>
      <c r="G334" t="s">
        <v>274</v>
      </c>
      <c r="H334" t="s">
        <v>274</v>
      </c>
      <c r="I334" t="s">
        <v>274</v>
      </c>
      <c r="J334" t="s">
        <v>274</v>
      </c>
      <c r="K334" t="s">
        <v>274</v>
      </c>
      <c r="L334" t="s">
        <v>274</v>
      </c>
      <c r="M334" t="s">
        <v>274</v>
      </c>
      <c r="N334" t="e">
        <f t="shared" si="1"/>
        <v>#VALUE!</v>
      </c>
      <c r="O334" t="e">
        <f t="shared" si="2"/>
        <v>#VALUE!</v>
      </c>
      <c r="P334">
        <f>IF($A334="","",IF($E334=1,$F334*$O334,PNL!G334))</f>
        <v>140891</v>
      </c>
      <c r="T334">
        <f t="shared" si="3"/>
        <v>0</v>
      </c>
    </row>
    <row r="335" ht="14.25" customHeight="1">
      <c r="A335" t="str">
        <f>IF(PNL!A335="","",PNL!A335)</f>
        <v>ISCOM_PAR</v>
      </c>
      <c r="B335" t="str">
        <f>IF(PNL!B335="","",PNL!B335)</f>
        <v>6413</v>
      </c>
      <c r="C335" t="str">
        <f>IF(PNL!C335="","",PNL!C335)</f>
        <v>2025</v>
      </c>
      <c r="D335" t="str">
        <f>IF(PNL!D335="","",PNL!D335)</f>
        <v>ACT</v>
      </c>
      <c r="E335">
        <f t="shared" si="0"/>
        <v>0</v>
      </c>
      <c r="F335">
        <f>IF($A335="","",IF($E335=1,_xlfn.SUMIFS(Compta!$F$1:$F$1448,Compta!$A$1:$A$1448,$A335,Compta!$B$1:$B$1448,$B335,Compta!$C$1:$C$1448,"2026"),0))</f>
        <v>0</v>
      </c>
      <c r="G335" t="s">
        <v>274</v>
      </c>
      <c r="H335" t="s">
        <v>274</v>
      </c>
      <c r="I335" t="s">
        <v>274</v>
      </c>
      <c r="J335" t="s">
        <v>274</v>
      </c>
      <c r="K335" t="s">
        <v>274</v>
      </c>
      <c r="L335" t="s">
        <v>274</v>
      </c>
      <c r="M335" t="s">
        <v>274</v>
      </c>
      <c r="N335" t="e">
        <f t="shared" si="1"/>
        <v>#VALUE!</v>
      </c>
      <c r="O335" t="e">
        <f t="shared" si="2"/>
        <v>#VALUE!</v>
      </c>
      <c r="P335">
        <f>IF($A335="","",IF($E335=1,$F335*$O335,PNL!G335))</f>
        <v>309039</v>
      </c>
      <c r="T335">
        <f t="shared" si="3"/>
        <v>0</v>
      </c>
    </row>
    <row r="336" ht="14.25" customHeight="1">
      <c r="A336" t="str">
        <f>IF(PNL!A336="","",PNL!A336)</f>
        <v>ISCOM_LIL</v>
      </c>
      <c r="B336" t="str">
        <f>IF(PNL!B336="","",PNL!B336)</f>
        <v>6413</v>
      </c>
      <c r="C336" t="str">
        <f>IF(PNL!C336="","",PNL!C336)</f>
        <v>2025</v>
      </c>
      <c r="D336" t="str">
        <f>IF(PNL!D336="","",PNL!D336)</f>
        <v>ACT</v>
      </c>
      <c r="E336">
        <f t="shared" si="0"/>
        <v>0</v>
      </c>
      <c r="F336">
        <f>IF($A336="","",IF($E336=1,_xlfn.SUMIFS(Compta!$F$1:$F$1448,Compta!$A$1:$A$1448,$A336,Compta!$B$1:$B$1448,$B336,Compta!$C$1:$C$1448,"2026"),0))</f>
        <v>0</v>
      </c>
      <c r="G336" t="s">
        <v>274</v>
      </c>
      <c r="H336" t="s">
        <v>274</v>
      </c>
      <c r="I336" t="s">
        <v>274</v>
      </c>
      <c r="J336" t="s">
        <v>274</v>
      </c>
      <c r="K336" t="s">
        <v>274</v>
      </c>
      <c r="L336" t="s">
        <v>274</v>
      </c>
      <c r="M336" t="s">
        <v>274</v>
      </c>
      <c r="N336" t="e">
        <f t="shared" si="1"/>
        <v>#VALUE!</v>
      </c>
      <c r="O336" t="e">
        <f t="shared" si="2"/>
        <v>#VALUE!</v>
      </c>
      <c r="P336">
        <f>IF($A336="","",IF($E336=1,$F336*$O336,PNL!G336))</f>
        <v>120969</v>
      </c>
      <c r="T336">
        <f t="shared" si="3"/>
        <v>0</v>
      </c>
    </row>
    <row r="337" ht="14.25" customHeight="1">
      <c r="A337" t="str">
        <f>IF(PNL!A337="","",PNL!A337)</f>
        <v>ISCOM_TLS</v>
      </c>
      <c r="B337" t="str">
        <f>IF(PNL!B337="","",PNL!B337)</f>
        <v>6413</v>
      </c>
      <c r="C337" t="str">
        <f>IF(PNL!C337="","",PNL!C337)</f>
        <v>2025</v>
      </c>
      <c r="D337" t="str">
        <f>IF(PNL!D337="","",PNL!D337)</f>
        <v>ACT</v>
      </c>
      <c r="E337">
        <f t="shared" si="0"/>
        <v>0</v>
      </c>
      <c r="F337">
        <f>IF($A337="","",IF($E337=1,_xlfn.SUMIFS(Compta!$F$1:$F$1448,Compta!$A$1:$A$1448,$A337,Compta!$B$1:$B$1448,$B337,Compta!$C$1:$C$1448,"2026"),0))</f>
        <v>0</v>
      </c>
      <c r="G337" t="s">
        <v>274</v>
      </c>
      <c r="H337" t="s">
        <v>274</v>
      </c>
      <c r="I337" t="s">
        <v>274</v>
      </c>
      <c r="J337" t="s">
        <v>274</v>
      </c>
      <c r="K337" t="s">
        <v>274</v>
      </c>
      <c r="L337" t="s">
        <v>274</v>
      </c>
      <c r="M337" t="s">
        <v>274</v>
      </c>
      <c r="N337" t="e">
        <f t="shared" si="1"/>
        <v>#VALUE!</v>
      </c>
      <c r="O337" t="e">
        <f t="shared" si="2"/>
        <v>#VALUE!</v>
      </c>
      <c r="P337">
        <f>IF($A337="","",IF($E337=1,$F337*$O337,PNL!G337))</f>
        <v>112034</v>
      </c>
      <c r="T337">
        <f t="shared" si="3"/>
        <v>0</v>
      </c>
    </row>
    <row r="338" ht="14.25" customHeight="1">
      <c r="A338" t="str">
        <f>IF(PNL!A338="","",PNL!A338)</f>
        <v>IPAC_NAN</v>
      </c>
      <c r="B338" t="str">
        <f>IF(PNL!B338="","",PNL!B338)</f>
        <v>6413</v>
      </c>
      <c r="C338" t="str">
        <f>IF(PNL!C338="","",PNL!C338)</f>
        <v>2025</v>
      </c>
      <c r="D338" t="str">
        <f>IF(PNL!D338="","",PNL!D338)</f>
        <v>ACT</v>
      </c>
      <c r="E338">
        <f t="shared" si="0"/>
        <v>0</v>
      </c>
      <c r="F338">
        <f>IF($A338="","",IF($E338=1,_xlfn.SUMIFS(Compta!$F$1:$F$1448,Compta!$A$1:$A$1448,$A338,Compta!$B$1:$B$1448,$B338,Compta!$C$1:$C$1448,"2026"),0))</f>
        <v>0</v>
      </c>
      <c r="G338" t="s">
        <v>274</v>
      </c>
      <c r="H338" t="s">
        <v>274</v>
      </c>
      <c r="I338" t="s">
        <v>274</v>
      </c>
      <c r="J338" t="s">
        <v>274</v>
      </c>
      <c r="K338" t="s">
        <v>274</v>
      </c>
      <c r="L338" t="s">
        <v>274</v>
      </c>
      <c r="M338" t="s">
        <v>274</v>
      </c>
      <c r="N338" t="e">
        <f t="shared" si="1"/>
        <v>#VALUE!</v>
      </c>
      <c r="O338" t="e">
        <f t="shared" si="2"/>
        <v>#VALUE!</v>
      </c>
      <c r="P338">
        <f>IF($A338="","",IF($E338=1,$F338*$O338,PNL!G338))</f>
        <v>78138</v>
      </c>
      <c r="T338">
        <f t="shared" si="3"/>
        <v>0</v>
      </c>
    </row>
    <row r="339" ht="14.25" customHeight="1">
      <c r="A339" t="str">
        <f>IF(PNL!A339="","",PNL!A339)</f>
        <v>IPAC_REN</v>
      </c>
      <c r="B339" t="str">
        <f>IF(PNL!B339="","",PNL!B339)</f>
        <v>6413</v>
      </c>
      <c r="C339" t="str">
        <f>IF(PNL!C339="","",PNL!C339)</f>
        <v>2025</v>
      </c>
      <c r="D339" t="str">
        <f>IF(PNL!D339="","",PNL!D339)</f>
        <v>ACT</v>
      </c>
      <c r="E339">
        <f t="shared" si="0"/>
        <v>0</v>
      </c>
      <c r="F339">
        <f>IF($A339="","",IF($E339=1,_xlfn.SUMIFS(Compta!$F$1:$F$1448,Compta!$A$1:$A$1448,$A339,Compta!$B$1:$B$1448,$B339,Compta!$C$1:$C$1448,"2026"),0))</f>
        <v>0</v>
      </c>
      <c r="G339" t="s">
        <v>274</v>
      </c>
      <c r="H339" t="s">
        <v>274</v>
      </c>
      <c r="I339" t="s">
        <v>274</v>
      </c>
      <c r="J339" t="s">
        <v>274</v>
      </c>
      <c r="K339" t="s">
        <v>274</v>
      </c>
      <c r="L339" t="s">
        <v>274</v>
      </c>
      <c r="M339" t="s">
        <v>274</v>
      </c>
      <c r="N339" t="e">
        <f t="shared" si="1"/>
        <v>#VALUE!</v>
      </c>
      <c r="O339" t="e">
        <f t="shared" si="2"/>
        <v>#VALUE!</v>
      </c>
      <c r="P339">
        <f>IF($A339="","",IF($E339=1,$F339*$O339,PNL!G339))</f>
        <v>55484</v>
      </c>
      <c r="T339">
        <f t="shared" si="3"/>
        <v>0</v>
      </c>
    </row>
    <row r="340" ht="14.25" customHeight="1">
      <c r="A340" t="str">
        <f>IF(PNL!A340="","",PNL!A340)</f>
        <v>IPAC_MTP</v>
      </c>
      <c r="B340" t="str">
        <f>IF(PNL!B340="","",PNL!B340)</f>
        <v>6413</v>
      </c>
      <c r="C340" t="str">
        <f>IF(PNL!C340="","",PNL!C340)</f>
        <v>2025</v>
      </c>
      <c r="D340" t="str">
        <f>IF(PNL!D340="","",PNL!D340)</f>
        <v>ACT</v>
      </c>
      <c r="E340">
        <f t="shared" si="0"/>
        <v>0</v>
      </c>
      <c r="F340">
        <f>IF($A340="","",IF($E340=1,_xlfn.SUMIFS(Compta!$F$1:$F$1448,Compta!$A$1:$A$1448,$A340,Compta!$B$1:$B$1448,$B340,Compta!$C$1:$C$1448,"2026"),0))</f>
        <v>0</v>
      </c>
      <c r="G340" t="s">
        <v>274</v>
      </c>
      <c r="H340" t="s">
        <v>274</v>
      </c>
      <c r="I340" t="s">
        <v>274</v>
      </c>
      <c r="J340" t="s">
        <v>274</v>
      </c>
      <c r="K340" t="s">
        <v>274</v>
      </c>
      <c r="L340" t="s">
        <v>274</v>
      </c>
      <c r="M340" t="s">
        <v>274</v>
      </c>
      <c r="N340" t="e">
        <f t="shared" si="1"/>
        <v>#VALUE!</v>
      </c>
      <c r="O340" t="e">
        <f t="shared" si="2"/>
        <v>#VALUE!</v>
      </c>
      <c r="P340">
        <f>IF($A340="","",IF($E340=1,$F340*$O340,PNL!G340))</f>
        <v>55484</v>
      </c>
      <c r="T340">
        <f t="shared" si="3"/>
        <v>0</v>
      </c>
    </row>
    <row r="341" ht="14.25" customHeight="1">
      <c r="A341" t="str">
        <f>IF(PNL!A341="","",PNL!A341)</f>
        <v>PIGIER_LYO</v>
      </c>
      <c r="B341" t="str">
        <f>IF(PNL!B341="","",PNL!B341)</f>
        <v>6413</v>
      </c>
      <c r="C341" t="str">
        <f>IF(PNL!C341="","",PNL!C341)</f>
        <v>2025</v>
      </c>
      <c r="D341" t="str">
        <f>IF(PNL!D341="","",PNL!D341)</f>
        <v>ACT</v>
      </c>
      <c r="E341">
        <f t="shared" si="0"/>
        <v>0</v>
      </c>
      <c r="F341">
        <f>IF($A341="","",IF($E341=1,_xlfn.SUMIFS(Compta!$F$1:$F$1448,Compta!$A$1:$A$1448,$A341,Compta!$B$1:$B$1448,$B341,Compta!$C$1:$C$1448,"2026"),0))</f>
        <v>0</v>
      </c>
      <c r="G341" t="s">
        <v>274</v>
      </c>
      <c r="H341" t="s">
        <v>274</v>
      </c>
      <c r="I341" t="s">
        <v>274</v>
      </c>
      <c r="J341" t="s">
        <v>274</v>
      </c>
      <c r="K341" t="s">
        <v>274</v>
      </c>
      <c r="L341" t="s">
        <v>274</v>
      </c>
      <c r="M341" t="s">
        <v>274</v>
      </c>
      <c r="N341" t="e">
        <f t="shared" si="1"/>
        <v>#VALUE!</v>
      </c>
      <c r="O341" t="e">
        <f t="shared" si="2"/>
        <v>#VALUE!</v>
      </c>
      <c r="P341">
        <f>IF($A341="","",IF($E341=1,$F341*$O341,PNL!G341))</f>
        <v>109846</v>
      </c>
      <c r="T341">
        <f t="shared" si="3"/>
        <v>0</v>
      </c>
    </row>
    <row r="342" ht="14.25" customHeight="1">
      <c r="A342" t="str">
        <f>IF(PNL!A342="","",PNL!A342)</f>
        <v>PIGIER_BOR</v>
      </c>
      <c r="B342" t="str">
        <f>IF(PNL!B342="","",PNL!B342)</f>
        <v>6413</v>
      </c>
      <c r="C342" t="str">
        <f>IF(PNL!C342="","",PNL!C342)</f>
        <v>2025</v>
      </c>
      <c r="D342" t="str">
        <f>IF(PNL!D342="","",PNL!D342)</f>
        <v>ACT</v>
      </c>
      <c r="E342">
        <f t="shared" si="0"/>
        <v>0</v>
      </c>
      <c r="F342">
        <f>IF($A342="","",IF($E342=1,_xlfn.SUMIFS(Compta!$F$1:$F$1448,Compta!$A$1:$A$1448,$A342,Compta!$B$1:$B$1448,$B342,Compta!$C$1:$C$1448,"2026"),0))</f>
        <v>0</v>
      </c>
      <c r="G342" t="s">
        <v>274</v>
      </c>
      <c r="H342" t="s">
        <v>274</v>
      </c>
      <c r="I342" t="s">
        <v>274</v>
      </c>
      <c r="J342" t="s">
        <v>274</v>
      </c>
      <c r="K342" t="s">
        <v>274</v>
      </c>
      <c r="L342" t="s">
        <v>274</v>
      </c>
      <c r="M342" t="s">
        <v>274</v>
      </c>
      <c r="N342" t="e">
        <f t="shared" si="1"/>
        <v>#VALUE!</v>
      </c>
      <c r="O342" t="e">
        <f t="shared" si="2"/>
        <v>#VALUE!</v>
      </c>
      <c r="P342">
        <f>IF($A342="","",IF($E342=1,$F342*$O342,PNL!G342))</f>
        <v>80348</v>
      </c>
      <c r="T342">
        <f t="shared" si="3"/>
        <v>0</v>
      </c>
    </row>
    <row r="343" ht="14.25" customHeight="1">
      <c r="A343" t="str">
        <f>IF(PNL!A343="","",PNL!A343)</f>
        <v>TUNON_PAR</v>
      </c>
      <c r="B343" t="str">
        <f>IF(PNL!B343="","",PNL!B343)</f>
        <v>6413</v>
      </c>
      <c r="C343" t="str">
        <f>IF(PNL!C343="","",PNL!C343)</f>
        <v>2025</v>
      </c>
      <c r="D343" t="str">
        <f>IF(PNL!D343="","",PNL!D343)</f>
        <v>ACT</v>
      </c>
      <c r="E343">
        <f t="shared" si="0"/>
        <v>0</v>
      </c>
      <c r="F343">
        <f>IF($A343="","",IF($E343=1,_xlfn.SUMIFS(Compta!$F$1:$F$1448,Compta!$A$1:$A$1448,$A343,Compta!$B$1:$B$1448,$B343,Compta!$C$1:$C$1448,"2026"),0))</f>
        <v>0</v>
      </c>
      <c r="G343" t="s">
        <v>274</v>
      </c>
      <c r="H343" t="s">
        <v>274</v>
      </c>
      <c r="I343" t="s">
        <v>274</v>
      </c>
      <c r="J343" t="s">
        <v>274</v>
      </c>
      <c r="K343" t="s">
        <v>274</v>
      </c>
      <c r="L343" t="s">
        <v>274</v>
      </c>
      <c r="M343" t="s">
        <v>274</v>
      </c>
      <c r="N343" t="e">
        <f t="shared" si="1"/>
        <v>#VALUE!</v>
      </c>
      <c r="O343" t="e">
        <f t="shared" si="2"/>
        <v>#VALUE!</v>
      </c>
      <c r="P343">
        <f>IF($A343="","",IF($E343=1,$F343*$O343,PNL!G343))</f>
        <v>120473</v>
      </c>
      <c r="T343">
        <f t="shared" si="3"/>
        <v>0</v>
      </c>
    </row>
    <row r="344" ht="14.25" customHeight="1">
      <c r="A344" t="str">
        <f>IF(PNL!A344="","",PNL!A344)</f>
        <v>TUNON_LYO</v>
      </c>
      <c r="B344" t="str">
        <f>IF(PNL!B344="","",PNL!B344)</f>
        <v>6413</v>
      </c>
      <c r="C344" t="str">
        <f>IF(PNL!C344="","",PNL!C344)</f>
        <v>2025</v>
      </c>
      <c r="D344" t="str">
        <f>IF(PNL!D344="","",PNL!D344)</f>
        <v>ACT</v>
      </c>
      <c r="E344">
        <f t="shared" si="0"/>
        <v>0</v>
      </c>
      <c r="F344">
        <f>IF($A344="","",IF($E344=1,_xlfn.SUMIFS(Compta!$F$1:$F$1448,Compta!$A$1:$A$1448,$A344,Compta!$B$1:$B$1448,$B344,Compta!$C$1:$C$1448,"2026"),0))</f>
        <v>0</v>
      </c>
      <c r="G344" t="s">
        <v>274</v>
      </c>
      <c r="H344" t="s">
        <v>274</v>
      </c>
      <c r="I344" t="s">
        <v>274</v>
      </c>
      <c r="J344" t="s">
        <v>274</v>
      </c>
      <c r="K344" t="s">
        <v>274</v>
      </c>
      <c r="L344" t="s">
        <v>274</v>
      </c>
      <c r="M344" t="s">
        <v>274</v>
      </c>
      <c r="N344" t="e">
        <f t="shared" si="1"/>
        <v>#VALUE!</v>
      </c>
      <c r="O344" t="e">
        <f t="shared" si="2"/>
        <v>#VALUE!</v>
      </c>
      <c r="P344">
        <f>IF($A344="","",IF($E344=1,$F344*$O344,PNL!G344))</f>
        <v>70615</v>
      </c>
      <c r="T344">
        <f t="shared" si="3"/>
        <v>0</v>
      </c>
    </row>
    <row r="345" ht="14.25" customHeight="1">
      <c r="A345" t="str">
        <f>IF(PNL!A345="","",PNL!A345)</f>
        <v>MBWAY_PAR</v>
      </c>
      <c r="B345" t="str">
        <f>IF(PNL!B345="","",PNL!B345)</f>
        <v>6413</v>
      </c>
      <c r="C345" t="str">
        <f>IF(PNL!C345="","",PNL!C345)</f>
        <v>2026</v>
      </c>
      <c r="D345" t="str">
        <f>IF(PNL!D345="","",PNL!D345)</f>
        <v>ACT</v>
      </c>
      <c r="E345">
        <f t="shared" si="0"/>
        <v>0</v>
      </c>
      <c r="F345">
        <f>IF($A345="","",IF($E345=1,_xlfn.SUMIFS(Compta!$F$1:$F$1448,Compta!$A$1:$A$1448,$A345,Compta!$B$1:$B$1448,$B345,Compta!$C$1:$C$1448,"2026"),0))</f>
        <v>0</v>
      </c>
      <c r="G345" t="s">
        <v>274</v>
      </c>
      <c r="H345" t="s">
        <v>274</v>
      </c>
      <c r="I345" t="s">
        <v>274</v>
      </c>
      <c r="J345" t="s">
        <v>274</v>
      </c>
      <c r="K345" t="s">
        <v>274</v>
      </c>
      <c r="L345" t="s">
        <v>274</v>
      </c>
      <c r="M345" t="s">
        <v>274</v>
      </c>
      <c r="N345" t="e">
        <f t="shared" si="1"/>
        <v>#VALUE!</v>
      </c>
      <c r="O345" t="e">
        <f t="shared" si="2"/>
        <v>#VALUE!</v>
      </c>
      <c r="P345">
        <f>IF($A345="","",IF($E345=1,$F345*$O345,PNL!G345))</f>
        <v>349401</v>
      </c>
      <c r="T345">
        <f t="shared" si="3"/>
        <v>0</v>
      </c>
    </row>
    <row r="346" ht="14.25" customHeight="1">
      <c r="A346" t="str">
        <f>IF(PNL!A346="","",PNL!A346)</f>
        <v>MBWAY_LYO</v>
      </c>
      <c r="B346" t="str">
        <f>IF(PNL!B346="","",PNL!B346)</f>
        <v>6413</v>
      </c>
      <c r="C346" t="str">
        <f>IF(PNL!C346="","",PNL!C346)</f>
        <v>2026</v>
      </c>
      <c r="D346" t="str">
        <f>IF(PNL!D346="","",PNL!D346)</f>
        <v>ACT</v>
      </c>
      <c r="E346">
        <f t="shared" si="0"/>
        <v>0</v>
      </c>
      <c r="F346">
        <f>IF($A346="","",IF($E346=1,_xlfn.SUMIFS(Compta!$F$1:$F$1448,Compta!$A$1:$A$1448,$A346,Compta!$B$1:$B$1448,$B346,Compta!$C$1:$C$1448,"2026"),0))</f>
        <v>0</v>
      </c>
      <c r="G346" t="s">
        <v>274</v>
      </c>
      <c r="H346" t="s">
        <v>274</v>
      </c>
      <c r="I346" t="s">
        <v>274</v>
      </c>
      <c r="J346" t="s">
        <v>274</v>
      </c>
      <c r="K346" t="s">
        <v>274</v>
      </c>
      <c r="L346" t="s">
        <v>274</v>
      </c>
      <c r="M346" t="s">
        <v>274</v>
      </c>
      <c r="N346" t="e">
        <f t="shared" si="1"/>
        <v>#VALUE!</v>
      </c>
      <c r="O346" t="e">
        <f t="shared" si="2"/>
        <v>#VALUE!</v>
      </c>
      <c r="P346">
        <f>IF($A346="","",IF($E346=1,$F346*$O346,PNL!G346))</f>
        <v>204885</v>
      </c>
      <c r="T346">
        <f t="shared" si="3"/>
        <v>0</v>
      </c>
    </row>
    <row r="347" ht="14.25" customHeight="1">
      <c r="A347" t="str">
        <f>IF(PNL!A347="","",PNL!A347)</f>
        <v>MBWAY_NAN</v>
      </c>
      <c r="B347" t="str">
        <f>IF(PNL!B347="","",PNL!B347)</f>
        <v>6413</v>
      </c>
      <c r="C347" t="str">
        <f>IF(PNL!C347="","",PNL!C347)</f>
        <v>2026</v>
      </c>
      <c r="D347" t="str">
        <f>IF(PNL!D347="","",PNL!D347)</f>
        <v>ACT</v>
      </c>
      <c r="E347">
        <f t="shared" si="0"/>
        <v>0</v>
      </c>
      <c r="F347">
        <f>IF($A347="","",IF($E347=1,_xlfn.SUMIFS(Compta!$F$1:$F$1448,Compta!$A$1:$A$1448,$A347,Compta!$B$1:$B$1448,$B347,Compta!$C$1:$C$1448,"2026"),0))</f>
        <v>0</v>
      </c>
      <c r="G347" t="s">
        <v>274</v>
      </c>
      <c r="H347" t="s">
        <v>274</v>
      </c>
      <c r="I347" t="s">
        <v>274</v>
      </c>
      <c r="J347" t="s">
        <v>274</v>
      </c>
      <c r="K347" t="s">
        <v>274</v>
      </c>
      <c r="L347" t="s">
        <v>274</v>
      </c>
      <c r="M347" t="s">
        <v>274</v>
      </c>
      <c r="N347" t="e">
        <f t="shared" si="1"/>
        <v>#VALUE!</v>
      </c>
      <c r="O347" t="e">
        <f t="shared" si="2"/>
        <v>#VALUE!</v>
      </c>
      <c r="P347">
        <f>IF($A347="","",IF($E347=1,$F347*$O347,PNL!G347))</f>
        <v>165994</v>
      </c>
      <c r="T347">
        <f t="shared" si="3"/>
        <v>0</v>
      </c>
    </row>
    <row r="348" ht="14.25" customHeight="1">
      <c r="A348" t="str">
        <f>IF(PNL!A348="","",PNL!A348)</f>
        <v>MBWAY_BOR</v>
      </c>
      <c r="B348" t="str">
        <f>IF(PNL!B348="","",PNL!B348)</f>
        <v>6413</v>
      </c>
      <c r="C348" t="str">
        <f>IF(PNL!C348="","",PNL!C348)</f>
        <v>2026</v>
      </c>
      <c r="D348" t="str">
        <f>IF(PNL!D348="","",PNL!D348)</f>
        <v>ACT</v>
      </c>
      <c r="E348">
        <f t="shared" si="0"/>
        <v>0</v>
      </c>
      <c r="F348">
        <f>IF($A348="","",IF($E348=1,_xlfn.SUMIFS(Compta!$F$1:$F$1448,Compta!$A$1:$A$1448,$A348,Compta!$B$1:$B$1448,$B348,Compta!$C$1:$C$1448,"2026"),0))</f>
        <v>0</v>
      </c>
      <c r="G348" t="s">
        <v>274</v>
      </c>
      <c r="H348" t="s">
        <v>274</v>
      </c>
      <c r="I348" t="s">
        <v>274</v>
      </c>
      <c r="J348" t="s">
        <v>274</v>
      </c>
      <c r="K348" t="s">
        <v>274</v>
      </c>
      <c r="L348" t="s">
        <v>274</v>
      </c>
      <c r="M348" t="s">
        <v>274</v>
      </c>
      <c r="N348" t="e">
        <f t="shared" si="1"/>
        <v>#VALUE!</v>
      </c>
      <c r="O348" t="e">
        <f t="shared" si="2"/>
        <v>#VALUE!</v>
      </c>
      <c r="P348">
        <f>IF($A348="","",IF($E348=1,$F348*$O348,PNL!G348))</f>
        <v>147616</v>
      </c>
      <c r="T348">
        <f t="shared" si="3"/>
        <v>0</v>
      </c>
    </row>
    <row r="349" ht="14.25" customHeight="1">
      <c r="A349" t="str">
        <f>IF(PNL!A349="","",PNL!A349)</f>
        <v>ISCOM_PAR</v>
      </c>
      <c r="B349" t="str">
        <f>IF(PNL!B349="","",PNL!B349)</f>
        <v>6413</v>
      </c>
      <c r="C349" t="str">
        <f>IF(PNL!C349="","",PNL!C349)</f>
        <v>2026</v>
      </c>
      <c r="D349" t="str">
        <f>IF(PNL!D349="","",PNL!D349)</f>
        <v>ACT</v>
      </c>
      <c r="E349">
        <f t="shared" si="0"/>
        <v>0</v>
      </c>
      <c r="F349">
        <f>IF($A349="","",IF($E349=1,_xlfn.SUMIFS(Compta!$F$1:$F$1448,Compta!$A$1:$A$1448,$A349,Compta!$B$1:$B$1448,$B349,Compta!$C$1:$C$1448,"2026"),0))</f>
        <v>0</v>
      </c>
      <c r="G349" t="s">
        <v>274</v>
      </c>
      <c r="H349" t="s">
        <v>274</v>
      </c>
      <c r="I349" t="s">
        <v>274</v>
      </c>
      <c r="J349" t="s">
        <v>274</v>
      </c>
      <c r="K349" t="s">
        <v>274</v>
      </c>
      <c r="L349" t="s">
        <v>274</v>
      </c>
      <c r="M349" t="s">
        <v>274</v>
      </c>
      <c r="N349" t="e">
        <f t="shared" si="1"/>
        <v>#VALUE!</v>
      </c>
      <c r="O349" t="e">
        <f t="shared" si="2"/>
        <v>#VALUE!</v>
      </c>
      <c r="P349">
        <f>IF($A349="","",IF($E349=1,$F349*$O349,PNL!G349))</f>
        <v>323791</v>
      </c>
      <c r="T349">
        <f t="shared" si="3"/>
        <v>0</v>
      </c>
    </row>
    <row r="350" ht="14.25" customHeight="1">
      <c r="A350" t="str">
        <f>IF(PNL!A350="","",PNL!A350)</f>
        <v>ISCOM_LIL</v>
      </c>
      <c r="B350" t="str">
        <f>IF(PNL!B350="","",PNL!B350)</f>
        <v>6413</v>
      </c>
      <c r="C350" t="str">
        <f>IF(PNL!C350="","",PNL!C350)</f>
        <v>2026</v>
      </c>
      <c r="D350" t="str">
        <f>IF(PNL!D350="","",PNL!D350)</f>
        <v>ACT</v>
      </c>
      <c r="E350">
        <f t="shared" si="0"/>
        <v>0</v>
      </c>
      <c r="F350">
        <f>IF($A350="","",IF($E350=1,_xlfn.SUMIFS(Compta!$F$1:$F$1448,Compta!$A$1:$A$1448,$A350,Compta!$B$1:$B$1448,$B350,Compta!$C$1:$C$1448,"2026"),0))</f>
        <v>0</v>
      </c>
      <c r="G350" t="s">
        <v>274</v>
      </c>
      <c r="H350" t="s">
        <v>274</v>
      </c>
      <c r="I350" t="s">
        <v>274</v>
      </c>
      <c r="J350" t="s">
        <v>274</v>
      </c>
      <c r="K350" t="s">
        <v>274</v>
      </c>
      <c r="L350" t="s">
        <v>274</v>
      </c>
      <c r="M350" t="s">
        <v>274</v>
      </c>
      <c r="N350" t="e">
        <f t="shared" si="1"/>
        <v>#VALUE!</v>
      </c>
      <c r="O350" t="e">
        <f t="shared" si="2"/>
        <v>#VALUE!</v>
      </c>
      <c r="P350">
        <f>IF($A350="","",IF($E350=1,$F350*$O350,PNL!G350))</f>
        <v>126743</v>
      </c>
      <c r="T350">
        <f t="shared" si="3"/>
        <v>0</v>
      </c>
    </row>
    <row r="351" ht="14.25" customHeight="1">
      <c r="A351" t="str">
        <f>IF(PNL!A351="","",PNL!A351)</f>
        <v>ISCOM_TLS</v>
      </c>
      <c r="B351" t="str">
        <f>IF(PNL!B351="","",PNL!B351)</f>
        <v>6413</v>
      </c>
      <c r="C351" t="str">
        <f>IF(PNL!C351="","",PNL!C351)</f>
        <v>2026</v>
      </c>
      <c r="D351" t="str">
        <f>IF(PNL!D351="","",PNL!D351)</f>
        <v>ACT</v>
      </c>
      <c r="E351">
        <f t="shared" si="0"/>
        <v>0</v>
      </c>
      <c r="F351">
        <f>IF($A351="","",IF($E351=1,_xlfn.SUMIFS(Compta!$F$1:$F$1448,Compta!$A$1:$A$1448,$A351,Compta!$B$1:$B$1448,$B351,Compta!$C$1:$C$1448,"2026"),0))</f>
        <v>0</v>
      </c>
      <c r="G351" t="s">
        <v>274</v>
      </c>
      <c r="H351" t="s">
        <v>274</v>
      </c>
      <c r="I351" t="s">
        <v>274</v>
      </c>
      <c r="J351" t="s">
        <v>274</v>
      </c>
      <c r="K351" t="s">
        <v>274</v>
      </c>
      <c r="L351" t="s">
        <v>274</v>
      </c>
      <c r="M351" t="s">
        <v>274</v>
      </c>
      <c r="N351" t="e">
        <f t="shared" si="1"/>
        <v>#VALUE!</v>
      </c>
      <c r="O351" t="e">
        <f t="shared" si="2"/>
        <v>#VALUE!</v>
      </c>
      <c r="P351">
        <f>IF($A351="","",IF($E351=1,$F351*$O351,PNL!G351))</f>
        <v>117382</v>
      </c>
      <c r="T351">
        <f t="shared" si="3"/>
        <v>0</v>
      </c>
    </row>
    <row r="352" ht="14.25" customHeight="1">
      <c r="A352" t="str">
        <f>IF(PNL!A352="","",PNL!A352)</f>
        <v>IPAC_NAN</v>
      </c>
      <c r="B352" t="str">
        <f>IF(PNL!B352="","",PNL!B352)</f>
        <v>6413</v>
      </c>
      <c r="C352" t="str">
        <f>IF(PNL!C352="","",PNL!C352)</f>
        <v>2026</v>
      </c>
      <c r="D352" t="str">
        <f>IF(PNL!D352="","",PNL!D352)</f>
        <v>ACT</v>
      </c>
      <c r="E352">
        <f t="shared" si="0"/>
        <v>0</v>
      </c>
      <c r="F352">
        <f>IF($A352="","",IF($E352=1,_xlfn.SUMIFS(Compta!$F$1:$F$1448,Compta!$A$1:$A$1448,$A352,Compta!$B$1:$B$1448,$B352,Compta!$C$1:$C$1448,"2026"),0))</f>
        <v>0</v>
      </c>
      <c r="G352" t="s">
        <v>274</v>
      </c>
      <c r="H352" t="s">
        <v>274</v>
      </c>
      <c r="I352" t="s">
        <v>274</v>
      </c>
      <c r="J352" t="s">
        <v>274</v>
      </c>
      <c r="K352" t="s">
        <v>274</v>
      </c>
      <c r="L352" t="s">
        <v>274</v>
      </c>
      <c r="M352" t="s">
        <v>274</v>
      </c>
      <c r="N352" t="e">
        <f t="shared" si="1"/>
        <v>#VALUE!</v>
      </c>
      <c r="O352" t="e">
        <f t="shared" si="2"/>
        <v>#VALUE!</v>
      </c>
      <c r="P352">
        <f>IF($A352="","",IF($E352=1,$F352*$O352,PNL!G352))</f>
        <v>81868</v>
      </c>
      <c r="T352">
        <f t="shared" si="3"/>
        <v>0</v>
      </c>
    </row>
    <row r="353" ht="14.25" customHeight="1">
      <c r="A353" t="str">
        <f>IF(PNL!A353="","",PNL!A353)</f>
        <v>IPAC_REN</v>
      </c>
      <c r="B353" t="str">
        <f>IF(PNL!B353="","",PNL!B353)</f>
        <v>6413</v>
      </c>
      <c r="C353" t="str">
        <f>IF(PNL!C353="","",PNL!C353)</f>
        <v>2026</v>
      </c>
      <c r="D353" t="str">
        <f>IF(PNL!D353="","",PNL!D353)</f>
        <v>ACT</v>
      </c>
      <c r="E353">
        <f t="shared" si="0"/>
        <v>0</v>
      </c>
      <c r="F353">
        <f>IF($A353="","",IF($E353=1,_xlfn.SUMIFS(Compta!$F$1:$F$1448,Compta!$A$1:$A$1448,$A353,Compta!$B$1:$B$1448,$B353,Compta!$C$1:$C$1448,"2026"),0))</f>
        <v>0</v>
      </c>
      <c r="G353" t="s">
        <v>274</v>
      </c>
      <c r="H353" t="s">
        <v>274</v>
      </c>
      <c r="I353" t="s">
        <v>274</v>
      </c>
      <c r="J353" t="s">
        <v>274</v>
      </c>
      <c r="K353" t="s">
        <v>274</v>
      </c>
      <c r="L353" t="s">
        <v>274</v>
      </c>
      <c r="M353" t="s">
        <v>274</v>
      </c>
      <c r="N353" t="e">
        <f t="shared" si="1"/>
        <v>#VALUE!</v>
      </c>
      <c r="O353" t="e">
        <f t="shared" si="2"/>
        <v>#VALUE!</v>
      </c>
      <c r="P353">
        <f>IF($A353="","",IF($E353=1,$F353*$O353,PNL!G353))</f>
        <v>58132</v>
      </c>
      <c r="T353">
        <f t="shared" si="3"/>
        <v>0</v>
      </c>
    </row>
    <row r="354" ht="14.25" customHeight="1">
      <c r="A354" t="str">
        <f>IF(PNL!A354="","",PNL!A354)</f>
        <v>IPAC_MTP</v>
      </c>
      <c r="B354" t="str">
        <f>IF(PNL!B354="","",PNL!B354)</f>
        <v>6413</v>
      </c>
      <c r="C354" t="str">
        <f>IF(PNL!C354="","",PNL!C354)</f>
        <v>2026</v>
      </c>
      <c r="D354" t="str">
        <f>IF(PNL!D354="","",PNL!D354)</f>
        <v>ACT</v>
      </c>
      <c r="E354">
        <f t="shared" si="0"/>
        <v>0</v>
      </c>
      <c r="F354">
        <f>IF($A354="","",IF($E354=1,_xlfn.SUMIFS(Compta!$F$1:$F$1448,Compta!$A$1:$A$1448,$A354,Compta!$B$1:$B$1448,$B354,Compta!$C$1:$C$1448,"2026"),0))</f>
        <v>0</v>
      </c>
      <c r="G354" t="s">
        <v>274</v>
      </c>
      <c r="H354" t="s">
        <v>274</v>
      </c>
      <c r="I354" t="s">
        <v>274</v>
      </c>
      <c r="J354" t="s">
        <v>274</v>
      </c>
      <c r="K354" t="s">
        <v>274</v>
      </c>
      <c r="L354" t="s">
        <v>274</v>
      </c>
      <c r="M354" t="s">
        <v>274</v>
      </c>
      <c r="N354" t="e">
        <f t="shared" si="1"/>
        <v>#VALUE!</v>
      </c>
      <c r="O354" t="e">
        <f t="shared" si="2"/>
        <v>#VALUE!</v>
      </c>
      <c r="P354">
        <f>IF($A354="","",IF($E354=1,$F354*$O354,PNL!G354))</f>
        <v>58132</v>
      </c>
      <c r="T354">
        <f t="shared" si="3"/>
        <v>0</v>
      </c>
    </row>
    <row r="355" ht="14.25" customHeight="1">
      <c r="A355" t="str">
        <f>IF(PNL!A355="","",PNL!A355)</f>
        <v>PIGIER_LYO</v>
      </c>
      <c r="B355" t="str">
        <f>IF(PNL!B355="","",PNL!B355)</f>
        <v>6413</v>
      </c>
      <c r="C355" t="str">
        <f>IF(PNL!C355="","",PNL!C355)</f>
        <v>2026</v>
      </c>
      <c r="D355" t="str">
        <f>IF(PNL!D355="","",PNL!D355)</f>
        <v>ACT</v>
      </c>
      <c r="E355">
        <f t="shared" si="0"/>
        <v>0</v>
      </c>
      <c r="F355">
        <f>IF($A355="","",IF($E355=1,_xlfn.SUMIFS(Compta!$F$1:$F$1448,Compta!$A$1:$A$1448,$A355,Compta!$B$1:$B$1448,$B355,Compta!$C$1:$C$1448,"2026"),0))</f>
        <v>0</v>
      </c>
      <c r="G355" t="s">
        <v>274</v>
      </c>
      <c r="H355" t="s">
        <v>274</v>
      </c>
      <c r="I355" t="s">
        <v>274</v>
      </c>
      <c r="J355" t="s">
        <v>274</v>
      </c>
      <c r="K355" t="s">
        <v>274</v>
      </c>
      <c r="L355" t="s">
        <v>274</v>
      </c>
      <c r="M355" t="s">
        <v>274</v>
      </c>
      <c r="N355" t="e">
        <f t="shared" si="1"/>
        <v>#VALUE!</v>
      </c>
      <c r="O355" t="e">
        <f t="shared" si="2"/>
        <v>#VALUE!</v>
      </c>
      <c r="P355">
        <f>IF($A355="","",IF($E355=1,$F355*$O355,PNL!G355))</f>
        <v>115089</v>
      </c>
      <c r="T355">
        <f t="shared" si="3"/>
        <v>0</v>
      </c>
    </row>
    <row r="356" ht="14.25" customHeight="1">
      <c r="A356" t="str">
        <f>IF(PNL!A356="","",PNL!A356)</f>
        <v>PIGIER_BOR</v>
      </c>
      <c r="B356" t="str">
        <f>IF(PNL!B356="","",PNL!B356)</f>
        <v>6413</v>
      </c>
      <c r="C356" t="str">
        <f>IF(PNL!C356="","",PNL!C356)</f>
        <v>2026</v>
      </c>
      <c r="D356" t="str">
        <f>IF(PNL!D356="","",PNL!D356)</f>
        <v>ACT</v>
      </c>
      <c r="E356">
        <f t="shared" si="0"/>
        <v>0</v>
      </c>
      <c r="F356">
        <f>IF($A356="","",IF($E356=1,_xlfn.SUMIFS(Compta!$F$1:$F$1448,Compta!$A$1:$A$1448,$A356,Compta!$B$1:$B$1448,$B356,Compta!$C$1:$C$1448,"2026"),0))</f>
        <v>0</v>
      </c>
      <c r="G356" t="s">
        <v>274</v>
      </c>
      <c r="H356" t="s">
        <v>274</v>
      </c>
      <c r="I356" t="s">
        <v>274</v>
      </c>
      <c r="J356" t="s">
        <v>274</v>
      </c>
      <c r="K356" t="s">
        <v>274</v>
      </c>
      <c r="L356" t="s">
        <v>274</v>
      </c>
      <c r="M356" t="s">
        <v>274</v>
      </c>
      <c r="N356" t="e">
        <f t="shared" si="1"/>
        <v>#VALUE!</v>
      </c>
      <c r="O356" t="e">
        <f t="shared" si="2"/>
        <v>#VALUE!</v>
      </c>
      <c r="P356">
        <f>IF($A356="","",IF($E356=1,$F356*$O356,PNL!G356))</f>
        <v>84183</v>
      </c>
      <c r="T356">
        <f t="shared" si="3"/>
        <v>0</v>
      </c>
    </row>
    <row r="357" ht="14.25" customHeight="1">
      <c r="A357" t="str">
        <f>IF(PNL!A357="","",PNL!A357)</f>
        <v>TUNON_PAR</v>
      </c>
      <c r="B357" t="str">
        <f>IF(PNL!B357="","",PNL!B357)</f>
        <v>6413</v>
      </c>
      <c r="C357" t="str">
        <f>IF(PNL!C357="","",PNL!C357)</f>
        <v>2026</v>
      </c>
      <c r="D357" t="str">
        <f>IF(PNL!D357="","",PNL!D357)</f>
        <v>ACT</v>
      </c>
      <c r="E357">
        <f t="shared" si="0"/>
        <v>0</v>
      </c>
      <c r="F357">
        <f>IF($A357="","",IF($E357=1,_xlfn.SUMIFS(Compta!$F$1:$F$1448,Compta!$A$1:$A$1448,$A357,Compta!$B$1:$B$1448,$B357,Compta!$C$1:$C$1448,"2026"),0))</f>
        <v>0</v>
      </c>
      <c r="G357" t="s">
        <v>274</v>
      </c>
      <c r="H357" t="s">
        <v>274</v>
      </c>
      <c r="I357" t="s">
        <v>274</v>
      </c>
      <c r="J357" t="s">
        <v>274</v>
      </c>
      <c r="K357" t="s">
        <v>274</v>
      </c>
      <c r="L357" t="s">
        <v>274</v>
      </c>
      <c r="M357" t="s">
        <v>274</v>
      </c>
      <c r="N357" t="e">
        <f t="shared" si="1"/>
        <v>#VALUE!</v>
      </c>
      <c r="O357" t="e">
        <f t="shared" si="2"/>
        <v>#VALUE!</v>
      </c>
      <c r="P357">
        <f>IF($A357="","",IF($E357=1,$F357*$O357,PNL!G357))</f>
        <v>126224</v>
      </c>
      <c r="T357">
        <f t="shared" si="3"/>
        <v>0</v>
      </c>
    </row>
    <row r="358" ht="14.25" customHeight="1">
      <c r="A358" t="str">
        <f>IF(PNL!A358="","",PNL!A358)</f>
        <v>TUNON_LYO</v>
      </c>
      <c r="B358" t="str">
        <f>IF(PNL!B358="","",PNL!B358)</f>
        <v>6413</v>
      </c>
      <c r="C358" t="str">
        <f>IF(PNL!C358="","",PNL!C358)</f>
        <v>2026</v>
      </c>
      <c r="D358" t="str">
        <f>IF(PNL!D358="","",PNL!D358)</f>
        <v>ACT</v>
      </c>
      <c r="E358">
        <f t="shared" si="0"/>
        <v>0</v>
      </c>
      <c r="F358">
        <f>IF($A358="","",IF($E358=1,_xlfn.SUMIFS(Compta!$F$1:$F$1448,Compta!$A$1:$A$1448,$A358,Compta!$B$1:$B$1448,$B358,Compta!$C$1:$C$1448,"2026"),0))</f>
        <v>0</v>
      </c>
      <c r="G358" t="s">
        <v>274</v>
      </c>
      <c r="H358" t="s">
        <v>274</v>
      </c>
      <c r="I358" t="s">
        <v>274</v>
      </c>
      <c r="J358" t="s">
        <v>274</v>
      </c>
      <c r="K358" t="s">
        <v>274</v>
      </c>
      <c r="L358" t="s">
        <v>274</v>
      </c>
      <c r="M358" t="s">
        <v>274</v>
      </c>
      <c r="N358" t="e">
        <f t="shared" si="1"/>
        <v>#VALUE!</v>
      </c>
      <c r="O358" t="e">
        <f t="shared" si="2"/>
        <v>#VALUE!</v>
      </c>
      <c r="P358">
        <f>IF($A358="","",IF($E358=1,$F358*$O358,PNL!G358))</f>
        <v>73986</v>
      </c>
      <c r="T358">
        <f t="shared" si="3"/>
        <v>0</v>
      </c>
    </row>
    <row r="359" ht="14.25" customHeight="1">
      <c r="A359" t="str">
        <f>IF(PNL!A359="","",PNL!A359)</f>
        <v>GRP</v>
      </c>
      <c r="B359" t="str">
        <f>IF(PNL!B359="","",PNL!B359)</f>
        <v>6414</v>
      </c>
      <c r="C359" t="str">
        <f>IF(PNL!C359="","",PNL!C359)</f>
        <v>2024</v>
      </c>
      <c r="D359" t="str">
        <f>IF(PNL!D359="","",PNL!D359)</f>
        <v>ACT</v>
      </c>
      <c r="E359">
        <f t="shared" si="0"/>
        <v>0</v>
      </c>
      <c r="F359">
        <f>IF($A359="","",IF($E359=1,_xlfn.SUMIFS(Compta!$F$1:$F$1448,Compta!$A$1:$A$1448,$A359,Compta!$B$1:$B$1448,$B359,Compta!$C$1:$C$1448,"2026"),0))</f>
        <v>0</v>
      </c>
      <c r="G359" t="s">
        <v>274</v>
      </c>
      <c r="H359" t="s">
        <v>274</v>
      </c>
      <c r="I359" t="s">
        <v>274</v>
      </c>
      <c r="J359" t="s">
        <v>274</v>
      </c>
      <c r="K359" t="s">
        <v>274</v>
      </c>
      <c r="L359" t="s">
        <v>274</v>
      </c>
      <c r="M359" t="s">
        <v>274</v>
      </c>
      <c r="N359" t="e">
        <f t="shared" si="1"/>
        <v>#VALUE!</v>
      </c>
      <c r="O359" t="e">
        <f t="shared" si="2"/>
        <v>#VALUE!</v>
      </c>
      <c r="P359">
        <f>IF($A359="","",IF($E359=1,$F359*$O359,PNL!G359))</f>
        <v>1134071</v>
      </c>
      <c r="T359">
        <f t="shared" si="3"/>
        <v>0</v>
      </c>
    </row>
    <row r="360" ht="14.25" customHeight="1">
      <c r="A360" t="str">
        <f>IF(PNL!A360="","",PNL!A360)</f>
        <v>GRP</v>
      </c>
      <c r="B360" t="str">
        <f>IF(PNL!B360="","",PNL!B360)</f>
        <v>6414</v>
      </c>
      <c r="C360" t="str">
        <f>IF(PNL!C360="","",PNL!C360)</f>
        <v>2025</v>
      </c>
      <c r="D360" t="str">
        <f>IF(PNL!D360="","",PNL!D360)</f>
        <v>ACT</v>
      </c>
      <c r="E360">
        <f t="shared" si="0"/>
        <v>0</v>
      </c>
      <c r="F360">
        <f>IF($A360="","",IF($E360=1,_xlfn.SUMIFS(Compta!$F$1:$F$1448,Compta!$A$1:$A$1448,$A360,Compta!$B$1:$B$1448,$B360,Compta!$C$1:$C$1448,"2026"),0))</f>
        <v>0</v>
      </c>
      <c r="G360" t="s">
        <v>274</v>
      </c>
      <c r="H360" t="s">
        <v>274</v>
      </c>
      <c r="I360" t="s">
        <v>274</v>
      </c>
      <c r="J360" t="s">
        <v>274</v>
      </c>
      <c r="K360" t="s">
        <v>274</v>
      </c>
      <c r="L360" t="s">
        <v>274</v>
      </c>
      <c r="M360" t="s">
        <v>274</v>
      </c>
      <c r="N360" t="e">
        <f t="shared" si="1"/>
        <v>#VALUE!</v>
      </c>
      <c r="O360" t="e">
        <f t="shared" si="2"/>
        <v>#VALUE!</v>
      </c>
      <c r="P360">
        <f>IF($A360="","",IF($E360=1,$F360*$O360,PNL!G360))</f>
        <v>1186037</v>
      </c>
      <c r="T360">
        <f t="shared" si="3"/>
        <v>0</v>
      </c>
    </row>
    <row r="361" ht="14.25" customHeight="1">
      <c r="A361" t="str">
        <f>IF(PNL!A361="","",PNL!A361)</f>
        <v>GRP</v>
      </c>
      <c r="B361" t="str">
        <f>IF(PNL!B361="","",PNL!B361)</f>
        <v>6414</v>
      </c>
      <c r="C361" t="str">
        <f>IF(PNL!C361="","",PNL!C361)</f>
        <v>2026</v>
      </c>
      <c r="D361" t="str">
        <f>IF(PNL!D361="","",PNL!D361)</f>
        <v>ACT</v>
      </c>
      <c r="E361">
        <f t="shared" si="0"/>
        <v>0</v>
      </c>
      <c r="F361">
        <f>IF($A361="","",IF($E361=1,_xlfn.SUMIFS(Compta!$F$1:$F$1448,Compta!$A$1:$A$1448,$A361,Compta!$B$1:$B$1448,$B361,Compta!$C$1:$C$1448,"2026"),0))</f>
        <v>0</v>
      </c>
      <c r="G361" t="s">
        <v>274</v>
      </c>
      <c r="H361" t="s">
        <v>274</v>
      </c>
      <c r="I361" t="s">
        <v>274</v>
      </c>
      <c r="J361" t="s">
        <v>274</v>
      </c>
      <c r="K361" t="s">
        <v>274</v>
      </c>
      <c r="L361" t="s">
        <v>274</v>
      </c>
      <c r="M361" t="s">
        <v>274</v>
      </c>
      <c r="N361" t="e">
        <f t="shared" si="1"/>
        <v>#VALUE!</v>
      </c>
      <c r="O361" t="e">
        <f t="shared" si="2"/>
        <v>#VALUE!</v>
      </c>
      <c r="P361">
        <f>IF($A361="","",IF($E361=1,$F361*$O361,PNL!G361))</f>
        <v>1242649</v>
      </c>
      <c r="T361">
        <f t="shared" si="3"/>
        <v>0</v>
      </c>
    </row>
    <row r="362" ht="14.25" customHeight="1">
      <c r="A362" t="str">
        <f>IF(PNL!A362="","",PNL!A362)</f>
        <v>MBWAY_PAR</v>
      </c>
      <c r="B362" t="str">
        <f>IF(PNL!B362="","",PNL!B362)</f>
        <v>645</v>
      </c>
      <c r="C362" t="str">
        <f>IF(PNL!C362="","",PNL!C362)</f>
        <v>2024</v>
      </c>
      <c r="D362" t="str">
        <f>IF(PNL!D362="","",PNL!D362)</f>
        <v>ACT</v>
      </c>
      <c r="E362">
        <f t="shared" si="0"/>
        <v>0</v>
      </c>
      <c r="F362">
        <f>IF($A362="","",IF($E362=1,_xlfn.SUMIFS(Compta!$F$1:$F$1448,Compta!$A$1:$A$1448,$A362,Compta!$B$1:$B$1448,$B362,Compta!$C$1:$C$1448,"2026"),0))</f>
        <v>0</v>
      </c>
      <c r="G362" t="s">
        <v>274</v>
      </c>
      <c r="H362" t="s">
        <v>274</v>
      </c>
      <c r="I362" t="s">
        <v>274</v>
      </c>
      <c r="J362" t="s">
        <v>274</v>
      </c>
      <c r="K362" t="s">
        <v>274</v>
      </c>
      <c r="L362" t="s">
        <v>274</v>
      </c>
      <c r="M362" t="s">
        <v>274</v>
      </c>
      <c r="N362" t="e">
        <f t="shared" si="1"/>
        <v>#VALUE!</v>
      </c>
      <c r="O362" t="e">
        <f t="shared" si="2"/>
        <v>#VALUE!</v>
      </c>
      <c r="P362">
        <f>IF($A362="","",IF($E362=1,$F362*$O362,PNL!G362))</f>
        <v>496023</v>
      </c>
      <c r="T362">
        <f t="shared" si="3"/>
        <v>0</v>
      </c>
    </row>
    <row r="363" ht="14.25" customHeight="1">
      <c r="A363" t="str">
        <f>IF(PNL!A363="","",PNL!A363)</f>
        <v>MBWAY_LYO</v>
      </c>
      <c r="B363" t="str">
        <f>IF(PNL!B363="","",PNL!B363)</f>
        <v>645</v>
      </c>
      <c r="C363" t="str">
        <f>IF(PNL!C363="","",PNL!C363)</f>
        <v>2024</v>
      </c>
      <c r="D363" t="str">
        <f>IF(PNL!D363="","",PNL!D363)</f>
        <v>ACT</v>
      </c>
      <c r="E363">
        <f t="shared" si="0"/>
        <v>0</v>
      </c>
      <c r="F363">
        <f>IF($A363="","",IF($E363=1,_xlfn.SUMIFS(Compta!$F$1:$F$1448,Compta!$A$1:$A$1448,$A363,Compta!$B$1:$B$1448,$B363,Compta!$C$1:$C$1448,"2026"),0))</f>
        <v>0</v>
      </c>
      <c r="G363" t="s">
        <v>274</v>
      </c>
      <c r="H363" t="s">
        <v>274</v>
      </c>
      <c r="I363" t="s">
        <v>274</v>
      </c>
      <c r="J363" t="s">
        <v>274</v>
      </c>
      <c r="K363" t="s">
        <v>274</v>
      </c>
      <c r="L363" t="s">
        <v>274</v>
      </c>
      <c r="M363" t="s">
        <v>274</v>
      </c>
      <c r="N363" t="e">
        <f t="shared" si="1"/>
        <v>#VALUE!</v>
      </c>
      <c r="O363" t="e">
        <f t="shared" si="2"/>
        <v>#VALUE!</v>
      </c>
      <c r="P363">
        <f>IF($A363="","",IF($E363=1,$F363*$O363,PNL!G363))</f>
        <v>290862</v>
      </c>
      <c r="T363">
        <f t="shared" si="3"/>
        <v>0</v>
      </c>
    </row>
    <row r="364" ht="14.25" customHeight="1">
      <c r="A364" t="str">
        <f>IF(PNL!A364="","",PNL!A364)</f>
        <v>MBWAY_NAN</v>
      </c>
      <c r="B364" t="str">
        <f>IF(PNL!B364="","",PNL!B364)</f>
        <v>645</v>
      </c>
      <c r="C364" t="str">
        <f>IF(PNL!C364="","",PNL!C364)</f>
        <v>2024</v>
      </c>
      <c r="D364" t="str">
        <f>IF(PNL!D364="","",PNL!D364)</f>
        <v>ACT</v>
      </c>
      <c r="E364">
        <f t="shared" si="0"/>
        <v>0</v>
      </c>
      <c r="F364">
        <f>IF($A364="","",IF($E364=1,_xlfn.SUMIFS(Compta!$F$1:$F$1448,Compta!$A$1:$A$1448,$A364,Compta!$B$1:$B$1448,$B364,Compta!$C$1:$C$1448,"2026"),0))</f>
        <v>0</v>
      </c>
      <c r="G364" t="s">
        <v>274</v>
      </c>
      <c r="H364" t="s">
        <v>274</v>
      </c>
      <c r="I364" t="s">
        <v>274</v>
      </c>
      <c r="J364" t="s">
        <v>274</v>
      </c>
      <c r="K364" t="s">
        <v>274</v>
      </c>
      <c r="L364" t="s">
        <v>274</v>
      </c>
      <c r="M364" t="s">
        <v>274</v>
      </c>
      <c r="N364" t="e">
        <f t="shared" si="1"/>
        <v>#VALUE!</v>
      </c>
      <c r="O364" t="e">
        <f t="shared" si="2"/>
        <v>#VALUE!</v>
      </c>
      <c r="P364">
        <f>IF($A364="","",IF($E364=1,$F364*$O364,PNL!G364))</f>
        <v>235652</v>
      </c>
      <c r="T364">
        <f t="shared" si="3"/>
        <v>0</v>
      </c>
    </row>
    <row r="365" ht="14.25" customHeight="1">
      <c r="A365" t="str">
        <f>IF(PNL!A365="","",PNL!A365)</f>
        <v>MBWAY_BOR</v>
      </c>
      <c r="B365" t="str">
        <f>IF(PNL!B365="","",PNL!B365)</f>
        <v>645</v>
      </c>
      <c r="C365" t="str">
        <f>IF(PNL!C365="","",PNL!C365)</f>
        <v>2024</v>
      </c>
      <c r="D365" t="str">
        <f>IF(PNL!D365="","",PNL!D365)</f>
        <v>ACT</v>
      </c>
      <c r="E365">
        <f t="shared" si="0"/>
        <v>0</v>
      </c>
      <c r="F365">
        <f>IF($A365="","",IF($E365=1,_xlfn.SUMIFS(Compta!$F$1:$F$1448,Compta!$A$1:$A$1448,$A365,Compta!$B$1:$B$1448,$B365,Compta!$C$1:$C$1448,"2026"),0))</f>
        <v>0</v>
      </c>
      <c r="G365" t="s">
        <v>274</v>
      </c>
      <c r="H365" t="s">
        <v>274</v>
      </c>
      <c r="I365" t="s">
        <v>274</v>
      </c>
      <c r="J365" t="s">
        <v>274</v>
      </c>
      <c r="K365" t="s">
        <v>274</v>
      </c>
      <c r="L365" t="s">
        <v>274</v>
      </c>
      <c r="M365" t="s">
        <v>274</v>
      </c>
      <c r="N365" t="e">
        <f t="shared" si="1"/>
        <v>#VALUE!</v>
      </c>
      <c r="O365" t="e">
        <f t="shared" si="2"/>
        <v>#VALUE!</v>
      </c>
      <c r="P365">
        <f>IF($A365="","",IF($E365=1,$F365*$O365,PNL!G365))</f>
        <v>209562</v>
      </c>
      <c r="T365">
        <f t="shared" si="3"/>
        <v>0</v>
      </c>
    </row>
    <row r="366" ht="14.25" customHeight="1">
      <c r="A366" t="str">
        <f>IF(PNL!A366="","",PNL!A366)</f>
        <v>ISCOM_PAR</v>
      </c>
      <c r="B366" t="str">
        <f>IF(PNL!B366="","",PNL!B366)</f>
        <v>645</v>
      </c>
      <c r="C366" t="str">
        <f>IF(PNL!C366="","",PNL!C366)</f>
        <v>2024</v>
      </c>
      <c r="D366" t="str">
        <f>IF(PNL!D366="","",PNL!D366)</f>
        <v>ACT</v>
      </c>
      <c r="E366">
        <f t="shared" si="0"/>
        <v>0</v>
      </c>
      <c r="F366">
        <f>IF($A366="","",IF($E366=1,_xlfn.SUMIFS(Compta!$F$1:$F$1448,Compta!$A$1:$A$1448,$A366,Compta!$B$1:$B$1448,$B366,Compta!$C$1:$C$1448,"2026"),0))</f>
        <v>0</v>
      </c>
      <c r="G366" t="s">
        <v>274</v>
      </c>
      <c r="H366" t="s">
        <v>274</v>
      </c>
      <c r="I366" t="s">
        <v>274</v>
      </c>
      <c r="J366" t="s">
        <v>274</v>
      </c>
      <c r="K366" t="s">
        <v>274</v>
      </c>
      <c r="L366" t="s">
        <v>274</v>
      </c>
      <c r="M366" t="s">
        <v>274</v>
      </c>
      <c r="N366" t="e">
        <f t="shared" si="1"/>
        <v>#VALUE!</v>
      </c>
      <c r="O366" t="e">
        <f t="shared" si="2"/>
        <v>#VALUE!</v>
      </c>
      <c r="P366">
        <f>IF($A366="","",IF($E366=1,$F366*$O366,PNL!G366))</f>
        <v>459665</v>
      </c>
      <c r="T366">
        <f t="shared" si="3"/>
        <v>0</v>
      </c>
    </row>
    <row r="367" ht="14.25" customHeight="1">
      <c r="A367" t="str">
        <f>IF(PNL!A367="","",PNL!A367)</f>
        <v>ISCOM_LIL</v>
      </c>
      <c r="B367" t="str">
        <f>IF(PNL!B367="","",PNL!B367)</f>
        <v>645</v>
      </c>
      <c r="C367" t="str">
        <f>IF(PNL!C367="","",PNL!C367)</f>
        <v>2024</v>
      </c>
      <c r="D367" t="str">
        <f>IF(PNL!D367="","",PNL!D367)</f>
        <v>ACT</v>
      </c>
      <c r="E367">
        <f t="shared" si="0"/>
        <v>0</v>
      </c>
      <c r="F367">
        <f>IF($A367="","",IF($E367=1,_xlfn.SUMIFS(Compta!$F$1:$F$1448,Compta!$A$1:$A$1448,$A367,Compta!$B$1:$B$1448,$B367,Compta!$C$1:$C$1448,"2026"),0))</f>
        <v>0</v>
      </c>
      <c r="G367" t="s">
        <v>274</v>
      </c>
      <c r="H367" t="s">
        <v>274</v>
      </c>
      <c r="I367" t="s">
        <v>274</v>
      </c>
      <c r="J367" t="s">
        <v>274</v>
      </c>
      <c r="K367" t="s">
        <v>274</v>
      </c>
      <c r="L367" t="s">
        <v>274</v>
      </c>
      <c r="M367" t="s">
        <v>274</v>
      </c>
      <c r="N367" t="e">
        <f t="shared" si="1"/>
        <v>#VALUE!</v>
      </c>
      <c r="O367" t="e">
        <f t="shared" si="2"/>
        <v>#VALUE!</v>
      </c>
      <c r="P367">
        <f>IF($A367="","",IF($E367=1,$F367*$O367,PNL!G367))</f>
        <v>179929</v>
      </c>
      <c r="T367">
        <f t="shared" si="3"/>
        <v>0</v>
      </c>
    </row>
    <row r="368" ht="14.25" customHeight="1">
      <c r="A368" t="str">
        <f>IF(PNL!A368="","",PNL!A368)</f>
        <v>ISCOM_TLS</v>
      </c>
      <c r="B368" t="str">
        <f>IF(PNL!B368="","",PNL!B368)</f>
        <v>645</v>
      </c>
      <c r="C368" t="str">
        <f>IF(PNL!C368="","",PNL!C368)</f>
        <v>2024</v>
      </c>
      <c r="D368" t="str">
        <f>IF(PNL!D368="","",PNL!D368)</f>
        <v>ACT</v>
      </c>
      <c r="E368">
        <f t="shared" si="0"/>
        <v>0</v>
      </c>
      <c r="F368">
        <f>IF($A368="","",IF($E368=1,_xlfn.SUMIFS(Compta!$F$1:$F$1448,Compta!$A$1:$A$1448,$A368,Compta!$B$1:$B$1448,$B368,Compta!$C$1:$C$1448,"2026"),0))</f>
        <v>0</v>
      </c>
      <c r="G368" t="s">
        <v>274</v>
      </c>
      <c r="H368" t="s">
        <v>274</v>
      </c>
      <c r="I368" t="s">
        <v>274</v>
      </c>
      <c r="J368" t="s">
        <v>274</v>
      </c>
      <c r="K368" t="s">
        <v>274</v>
      </c>
      <c r="L368" t="s">
        <v>274</v>
      </c>
      <c r="M368" t="s">
        <v>274</v>
      </c>
      <c r="N368" t="e">
        <f t="shared" si="1"/>
        <v>#VALUE!</v>
      </c>
      <c r="O368" t="e">
        <f t="shared" si="2"/>
        <v>#VALUE!</v>
      </c>
      <c r="P368">
        <f>IF($A368="","",IF($E368=1,$F368*$O368,PNL!G368))</f>
        <v>166639</v>
      </c>
      <c r="T368">
        <f t="shared" si="3"/>
        <v>0</v>
      </c>
    </row>
    <row r="369" ht="14.25" customHeight="1">
      <c r="A369" t="str">
        <f>IF(PNL!A369="","",PNL!A369)</f>
        <v>IPAC_NAN</v>
      </c>
      <c r="B369" t="str">
        <f>IF(PNL!B369="","",PNL!B369)</f>
        <v>645</v>
      </c>
      <c r="C369" t="str">
        <f>IF(PNL!C369="","",PNL!C369)</f>
        <v>2024</v>
      </c>
      <c r="D369" t="str">
        <f>IF(PNL!D369="","",PNL!D369)</f>
        <v>ACT</v>
      </c>
      <c r="E369">
        <f t="shared" si="0"/>
        <v>0</v>
      </c>
      <c r="F369">
        <f>IF($A369="","",IF($E369=1,_xlfn.SUMIFS(Compta!$F$1:$F$1448,Compta!$A$1:$A$1448,$A369,Compta!$B$1:$B$1448,$B369,Compta!$C$1:$C$1448,"2026"),0))</f>
        <v>0</v>
      </c>
      <c r="G369" t="s">
        <v>274</v>
      </c>
      <c r="H369" t="s">
        <v>274</v>
      </c>
      <c r="I369" t="s">
        <v>274</v>
      </c>
      <c r="J369" t="s">
        <v>274</v>
      </c>
      <c r="K369" t="s">
        <v>274</v>
      </c>
      <c r="L369" t="s">
        <v>274</v>
      </c>
      <c r="M369" t="s">
        <v>274</v>
      </c>
      <c r="N369" t="e">
        <f t="shared" si="1"/>
        <v>#VALUE!</v>
      </c>
      <c r="O369" t="e">
        <f t="shared" si="2"/>
        <v>#VALUE!</v>
      </c>
      <c r="P369">
        <f>IF($A369="","",IF($E369=1,$F369*$O369,PNL!G369))</f>
        <v>116223</v>
      </c>
      <c r="T369">
        <f t="shared" si="3"/>
        <v>0</v>
      </c>
    </row>
    <row r="370" ht="14.25" customHeight="1">
      <c r="A370" t="str">
        <f>IF(PNL!A370="","",PNL!A370)</f>
        <v>IPAC_REN</v>
      </c>
      <c r="B370" t="str">
        <f>IF(PNL!B370="","",PNL!B370)</f>
        <v>645</v>
      </c>
      <c r="C370" t="str">
        <f>IF(PNL!C370="","",PNL!C370)</f>
        <v>2024</v>
      </c>
      <c r="D370" t="str">
        <f>IF(PNL!D370="","",PNL!D370)</f>
        <v>ACT</v>
      </c>
      <c r="E370">
        <f t="shared" si="0"/>
        <v>0</v>
      </c>
      <c r="F370">
        <f>IF($A370="","",IF($E370=1,_xlfn.SUMIFS(Compta!$F$1:$F$1448,Compta!$A$1:$A$1448,$A370,Compta!$B$1:$B$1448,$B370,Compta!$C$1:$C$1448,"2026"),0))</f>
        <v>0</v>
      </c>
      <c r="G370" t="s">
        <v>274</v>
      </c>
      <c r="H370" t="s">
        <v>274</v>
      </c>
      <c r="I370" t="s">
        <v>274</v>
      </c>
      <c r="J370" t="s">
        <v>274</v>
      </c>
      <c r="K370" t="s">
        <v>274</v>
      </c>
      <c r="L370" t="s">
        <v>274</v>
      </c>
      <c r="M370" t="s">
        <v>274</v>
      </c>
      <c r="N370" t="e">
        <f t="shared" si="1"/>
        <v>#VALUE!</v>
      </c>
      <c r="O370" t="e">
        <f t="shared" si="2"/>
        <v>#VALUE!</v>
      </c>
      <c r="P370">
        <f>IF($A370="","",IF($E370=1,$F370*$O370,PNL!G370))</f>
        <v>82526</v>
      </c>
      <c r="T370">
        <f t="shared" si="3"/>
        <v>0</v>
      </c>
    </row>
    <row r="371" ht="14.25" customHeight="1">
      <c r="A371" t="str">
        <f>IF(PNL!A371="","",PNL!A371)</f>
        <v>IPAC_MTP</v>
      </c>
      <c r="B371" t="str">
        <f>IF(PNL!B371="","",PNL!B371)</f>
        <v>645</v>
      </c>
      <c r="C371" t="str">
        <f>IF(PNL!C371="","",PNL!C371)</f>
        <v>2024</v>
      </c>
      <c r="D371" t="str">
        <f>IF(PNL!D371="","",PNL!D371)</f>
        <v>ACT</v>
      </c>
      <c r="E371">
        <f t="shared" si="0"/>
        <v>0</v>
      </c>
      <c r="F371">
        <f>IF($A371="","",IF($E371=1,_xlfn.SUMIFS(Compta!$F$1:$F$1448,Compta!$A$1:$A$1448,$A371,Compta!$B$1:$B$1448,$B371,Compta!$C$1:$C$1448,"2026"),0))</f>
        <v>0</v>
      </c>
      <c r="G371" t="s">
        <v>274</v>
      </c>
      <c r="H371" t="s">
        <v>274</v>
      </c>
      <c r="I371" t="s">
        <v>274</v>
      </c>
      <c r="J371" t="s">
        <v>274</v>
      </c>
      <c r="K371" t="s">
        <v>274</v>
      </c>
      <c r="L371" t="s">
        <v>274</v>
      </c>
      <c r="M371" t="s">
        <v>274</v>
      </c>
      <c r="N371" t="e">
        <f t="shared" si="1"/>
        <v>#VALUE!</v>
      </c>
      <c r="O371" t="e">
        <f t="shared" si="2"/>
        <v>#VALUE!</v>
      </c>
      <c r="P371">
        <f>IF($A371="","",IF($E371=1,$F371*$O371,PNL!G371))</f>
        <v>82526</v>
      </c>
      <c r="T371">
        <f t="shared" si="3"/>
        <v>0</v>
      </c>
    </row>
    <row r="372" ht="14.25" customHeight="1">
      <c r="A372" t="str">
        <f>IF(PNL!A372="","",PNL!A372)</f>
        <v>PIGIER_LYO</v>
      </c>
      <c r="B372" t="str">
        <f>IF(PNL!B372="","",PNL!B372)</f>
        <v>645</v>
      </c>
      <c r="C372" t="str">
        <f>IF(PNL!C372="","",PNL!C372)</f>
        <v>2024</v>
      </c>
      <c r="D372" t="str">
        <f>IF(PNL!D372="","",PNL!D372)</f>
        <v>ACT</v>
      </c>
      <c r="E372">
        <f t="shared" si="0"/>
        <v>0</v>
      </c>
      <c r="F372">
        <f>IF($A372="","",IF($E372=1,_xlfn.SUMIFS(Compta!$F$1:$F$1448,Compta!$A$1:$A$1448,$A372,Compta!$B$1:$B$1448,$B372,Compta!$C$1:$C$1448,"2026"),0))</f>
        <v>0</v>
      </c>
      <c r="G372" t="s">
        <v>274</v>
      </c>
      <c r="H372" t="s">
        <v>274</v>
      </c>
      <c r="I372" t="s">
        <v>274</v>
      </c>
      <c r="J372" t="s">
        <v>274</v>
      </c>
      <c r="K372" t="s">
        <v>274</v>
      </c>
      <c r="L372" t="s">
        <v>274</v>
      </c>
      <c r="M372" t="s">
        <v>274</v>
      </c>
      <c r="N372" t="e">
        <f t="shared" si="1"/>
        <v>#VALUE!</v>
      </c>
      <c r="O372" t="e">
        <f t="shared" si="2"/>
        <v>#VALUE!</v>
      </c>
      <c r="P372">
        <f>IF($A372="","",IF($E372=1,$F372*$O372,PNL!G372))</f>
        <v>163385</v>
      </c>
      <c r="T372">
        <f t="shared" si="3"/>
        <v>0</v>
      </c>
    </row>
    <row r="373" ht="14.25" customHeight="1">
      <c r="A373" t="str">
        <f>IF(PNL!A373="","",PNL!A373)</f>
        <v>PIGIER_BOR</v>
      </c>
      <c r="B373" t="str">
        <f>IF(PNL!B373="","",PNL!B373)</f>
        <v>645</v>
      </c>
      <c r="C373" t="str">
        <f>IF(PNL!C373="","",PNL!C373)</f>
        <v>2024</v>
      </c>
      <c r="D373" t="str">
        <f>IF(PNL!D373="","",PNL!D373)</f>
        <v>ACT</v>
      </c>
      <c r="E373">
        <f t="shared" si="0"/>
        <v>0</v>
      </c>
      <c r="F373">
        <f>IF($A373="","",IF($E373=1,_xlfn.SUMIFS(Compta!$F$1:$F$1448,Compta!$A$1:$A$1448,$A373,Compta!$B$1:$B$1448,$B373,Compta!$C$1:$C$1448,"2026"),0))</f>
        <v>0</v>
      </c>
      <c r="G373" t="s">
        <v>274</v>
      </c>
      <c r="H373" t="s">
        <v>274</v>
      </c>
      <c r="I373" t="s">
        <v>274</v>
      </c>
      <c r="J373" t="s">
        <v>274</v>
      </c>
      <c r="K373" t="s">
        <v>274</v>
      </c>
      <c r="L373" t="s">
        <v>274</v>
      </c>
      <c r="M373" t="s">
        <v>274</v>
      </c>
      <c r="N373" t="e">
        <f t="shared" si="1"/>
        <v>#VALUE!</v>
      </c>
      <c r="O373" t="e">
        <f t="shared" si="2"/>
        <v>#VALUE!</v>
      </c>
      <c r="P373">
        <f>IF($A373="","",IF($E373=1,$F373*$O373,PNL!G373))</f>
        <v>119509</v>
      </c>
      <c r="T373">
        <f t="shared" si="3"/>
        <v>0</v>
      </c>
    </row>
    <row r="374" ht="14.25" customHeight="1">
      <c r="A374" t="str">
        <f>IF(PNL!A374="","",PNL!A374)</f>
        <v>TUNON_PAR</v>
      </c>
      <c r="B374" t="str">
        <f>IF(PNL!B374="","",PNL!B374)</f>
        <v>645</v>
      </c>
      <c r="C374" t="str">
        <f>IF(PNL!C374="","",PNL!C374)</f>
        <v>2024</v>
      </c>
      <c r="D374" t="str">
        <f>IF(PNL!D374="","",PNL!D374)</f>
        <v>ACT</v>
      </c>
      <c r="E374">
        <f t="shared" si="0"/>
        <v>0</v>
      </c>
      <c r="F374">
        <f>IF($A374="","",IF($E374=1,_xlfn.SUMIFS(Compta!$F$1:$F$1448,Compta!$A$1:$A$1448,$A374,Compta!$B$1:$B$1448,$B374,Compta!$C$1:$C$1448,"2026"),0))</f>
        <v>0</v>
      </c>
      <c r="G374" t="s">
        <v>274</v>
      </c>
      <c r="H374" t="s">
        <v>274</v>
      </c>
      <c r="I374" t="s">
        <v>274</v>
      </c>
      <c r="J374" t="s">
        <v>274</v>
      </c>
      <c r="K374" t="s">
        <v>274</v>
      </c>
      <c r="L374" t="s">
        <v>274</v>
      </c>
      <c r="M374" t="s">
        <v>274</v>
      </c>
      <c r="N374" t="e">
        <f t="shared" si="1"/>
        <v>#VALUE!</v>
      </c>
      <c r="O374" t="e">
        <f t="shared" si="2"/>
        <v>#VALUE!</v>
      </c>
      <c r="P374">
        <f>IF($A374="","",IF($E374=1,$F374*$O374,PNL!G374))</f>
        <v>179192</v>
      </c>
      <c r="T374">
        <f t="shared" si="3"/>
        <v>0</v>
      </c>
    </row>
    <row r="375" ht="14.25" customHeight="1">
      <c r="A375" t="str">
        <f>IF(PNL!A375="","",PNL!A375)</f>
        <v>TUNON_LYO</v>
      </c>
      <c r="B375" t="str">
        <f>IF(PNL!B375="","",PNL!B375)</f>
        <v>645</v>
      </c>
      <c r="C375" t="str">
        <f>IF(PNL!C375="","",PNL!C375)</f>
        <v>2024</v>
      </c>
      <c r="D375" t="str">
        <f>IF(PNL!D375="","",PNL!D375)</f>
        <v>ACT</v>
      </c>
      <c r="E375">
        <f t="shared" si="0"/>
        <v>0</v>
      </c>
      <c r="F375">
        <f>IF($A375="","",IF($E375=1,_xlfn.SUMIFS(Compta!$F$1:$F$1448,Compta!$A$1:$A$1448,$A375,Compta!$B$1:$B$1448,$B375,Compta!$C$1:$C$1448,"2026"),0))</f>
        <v>0</v>
      </c>
      <c r="G375" t="s">
        <v>274</v>
      </c>
      <c r="H375" t="s">
        <v>274</v>
      </c>
      <c r="I375" t="s">
        <v>274</v>
      </c>
      <c r="J375" t="s">
        <v>274</v>
      </c>
      <c r="K375" t="s">
        <v>274</v>
      </c>
      <c r="L375" t="s">
        <v>274</v>
      </c>
      <c r="M375" t="s">
        <v>274</v>
      </c>
      <c r="N375" t="e">
        <f t="shared" si="1"/>
        <v>#VALUE!</v>
      </c>
      <c r="O375" t="e">
        <f t="shared" si="2"/>
        <v>#VALUE!</v>
      </c>
      <c r="P375">
        <f>IF($A375="","",IF($E375=1,$F375*$O375,PNL!G375))</f>
        <v>105033</v>
      </c>
      <c r="T375">
        <f t="shared" si="3"/>
        <v>0</v>
      </c>
    </row>
    <row r="376" ht="14.25" customHeight="1">
      <c r="A376" t="str">
        <f>IF(PNL!A376="","",PNL!A376)</f>
        <v>MBWAY_PAR</v>
      </c>
      <c r="B376" t="str">
        <f>IF(PNL!B376="","",PNL!B376)</f>
        <v>645</v>
      </c>
      <c r="C376" t="str">
        <f>IF(PNL!C376="","",PNL!C376)</f>
        <v>2025</v>
      </c>
      <c r="D376" t="str">
        <f>IF(PNL!D376="","",PNL!D376)</f>
        <v>ACT</v>
      </c>
      <c r="E376">
        <f t="shared" si="0"/>
        <v>0</v>
      </c>
      <c r="F376">
        <f>IF($A376="","",IF($E376=1,_xlfn.SUMIFS(Compta!$F$1:$F$1448,Compta!$A$1:$A$1448,$A376,Compta!$B$1:$B$1448,$B376,Compta!$C$1:$C$1448,"2026"),0))</f>
        <v>0</v>
      </c>
      <c r="G376" t="s">
        <v>274</v>
      </c>
      <c r="H376" t="s">
        <v>274</v>
      </c>
      <c r="I376" t="s">
        <v>274</v>
      </c>
      <c r="J376" t="s">
        <v>274</v>
      </c>
      <c r="K376" t="s">
        <v>274</v>
      </c>
      <c r="L376" t="s">
        <v>274</v>
      </c>
      <c r="M376" t="s">
        <v>274</v>
      </c>
      <c r="N376" t="e">
        <f t="shared" si="1"/>
        <v>#VALUE!</v>
      </c>
      <c r="O376" t="e">
        <f t="shared" si="2"/>
        <v>#VALUE!</v>
      </c>
      <c r="P376">
        <f>IF($A376="","",IF($E376=1,$F376*$O376,PNL!G376))</f>
        <v>518752</v>
      </c>
      <c r="T376">
        <f t="shared" si="3"/>
        <v>0</v>
      </c>
    </row>
    <row r="377" ht="14.25" customHeight="1">
      <c r="A377" t="str">
        <f>IF(PNL!A377="","",PNL!A377)</f>
        <v>MBWAY_LYO</v>
      </c>
      <c r="B377" t="str">
        <f>IF(PNL!B377="","",PNL!B377)</f>
        <v>645</v>
      </c>
      <c r="C377" t="str">
        <f>IF(PNL!C377="","",PNL!C377)</f>
        <v>2025</v>
      </c>
      <c r="D377" t="str">
        <f>IF(PNL!D377="","",PNL!D377)</f>
        <v>ACT</v>
      </c>
      <c r="E377">
        <f t="shared" si="0"/>
        <v>0</v>
      </c>
      <c r="F377">
        <f>IF($A377="","",IF($E377=1,_xlfn.SUMIFS(Compta!$F$1:$F$1448,Compta!$A$1:$A$1448,$A377,Compta!$B$1:$B$1448,$B377,Compta!$C$1:$C$1448,"2026"),0))</f>
        <v>0</v>
      </c>
      <c r="G377" t="s">
        <v>274</v>
      </c>
      <c r="H377" t="s">
        <v>274</v>
      </c>
      <c r="I377" t="s">
        <v>274</v>
      </c>
      <c r="J377" t="s">
        <v>274</v>
      </c>
      <c r="K377" t="s">
        <v>274</v>
      </c>
      <c r="L377" t="s">
        <v>274</v>
      </c>
      <c r="M377" t="s">
        <v>274</v>
      </c>
      <c r="N377" t="e">
        <f t="shared" si="1"/>
        <v>#VALUE!</v>
      </c>
      <c r="O377" t="e">
        <f t="shared" si="2"/>
        <v>#VALUE!</v>
      </c>
      <c r="P377">
        <f>IF($A377="","",IF($E377=1,$F377*$O377,PNL!G377))</f>
        <v>304190</v>
      </c>
      <c r="T377">
        <f t="shared" si="3"/>
        <v>0</v>
      </c>
    </row>
    <row r="378" ht="14.25" customHeight="1">
      <c r="A378" t="str">
        <f>IF(PNL!A378="","",PNL!A378)</f>
        <v>MBWAY_NAN</v>
      </c>
      <c r="B378" t="str">
        <f>IF(PNL!B378="","",PNL!B378)</f>
        <v>645</v>
      </c>
      <c r="C378" t="str">
        <f>IF(PNL!C378="","",PNL!C378)</f>
        <v>2025</v>
      </c>
      <c r="D378" t="str">
        <f>IF(PNL!D378="","",PNL!D378)</f>
        <v>ACT</v>
      </c>
      <c r="E378">
        <f t="shared" si="0"/>
        <v>0</v>
      </c>
      <c r="F378">
        <f>IF($A378="","",IF($E378=1,_xlfn.SUMIFS(Compta!$F$1:$F$1448,Compta!$A$1:$A$1448,$A378,Compta!$B$1:$B$1448,$B378,Compta!$C$1:$C$1448,"2026"),0))</f>
        <v>0</v>
      </c>
      <c r="G378" t="s">
        <v>274</v>
      </c>
      <c r="H378" t="s">
        <v>274</v>
      </c>
      <c r="I378" t="s">
        <v>274</v>
      </c>
      <c r="J378" t="s">
        <v>274</v>
      </c>
      <c r="K378" t="s">
        <v>274</v>
      </c>
      <c r="L378" t="s">
        <v>274</v>
      </c>
      <c r="M378" t="s">
        <v>274</v>
      </c>
      <c r="N378" t="e">
        <f t="shared" si="1"/>
        <v>#VALUE!</v>
      </c>
      <c r="O378" t="e">
        <f t="shared" si="2"/>
        <v>#VALUE!</v>
      </c>
      <c r="P378">
        <f>IF($A378="","",IF($E378=1,$F378*$O378,PNL!G378))</f>
        <v>246450</v>
      </c>
      <c r="T378">
        <f t="shared" si="3"/>
        <v>0</v>
      </c>
    </row>
    <row r="379" ht="14.25" customHeight="1">
      <c r="A379" t="str">
        <f>IF(PNL!A379="","",PNL!A379)</f>
        <v>MBWAY_BOR</v>
      </c>
      <c r="B379" t="str">
        <f>IF(PNL!B379="","",PNL!B379)</f>
        <v>645</v>
      </c>
      <c r="C379" t="str">
        <f>IF(PNL!C379="","",PNL!C379)</f>
        <v>2025</v>
      </c>
      <c r="D379" t="str">
        <f>IF(PNL!D379="","",PNL!D379)</f>
        <v>ACT</v>
      </c>
      <c r="E379">
        <f t="shared" si="0"/>
        <v>0</v>
      </c>
      <c r="F379">
        <f>IF($A379="","",IF($E379=1,_xlfn.SUMIFS(Compta!$F$1:$F$1448,Compta!$A$1:$A$1448,$A379,Compta!$B$1:$B$1448,$B379,Compta!$C$1:$C$1448,"2026"),0))</f>
        <v>0</v>
      </c>
      <c r="G379" t="s">
        <v>274</v>
      </c>
      <c r="H379" t="s">
        <v>274</v>
      </c>
      <c r="I379" t="s">
        <v>274</v>
      </c>
      <c r="J379" t="s">
        <v>274</v>
      </c>
      <c r="K379" t="s">
        <v>274</v>
      </c>
      <c r="L379" t="s">
        <v>274</v>
      </c>
      <c r="M379" t="s">
        <v>274</v>
      </c>
      <c r="N379" t="e">
        <f t="shared" si="1"/>
        <v>#VALUE!</v>
      </c>
      <c r="O379" t="e">
        <f t="shared" si="2"/>
        <v>#VALUE!</v>
      </c>
      <c r="P379">
        <f>IF($A379="","",IF($E379=1,$F379*$O379,PNL!G379))</f>
        <v>219164</v>
      </c>
      <c r="T379">
        <f t="shared" si="3"/>
        <v>0</v>
      </c>
    </row>
    <row r="380" ht="14.25" customHeight="1">
      <c r="A380" t="str">
        <f>IF(PNL!A380="","",PNL!A380)</f>
        <v>ISCOM_PAR</v>
      </c>
      <c r="B380" t="str">
        <f>IF(PNL!B380="","",PNL!B380)</f>
        <v>645</v>
      </c>
      <c r="C380" t="str">
        <f>IF(PNL!C380="","",PNL!C380)</f>
        <v>2025</v>
      </c>
      <c r="D380" t="str">
        <f>IF(PNL!D380="","",PNL!D380)</f>
        <v>ACT</v>
      </c>
      <c r="E380">
        <f t="shared" si="0"/>
        <v>0</v>
      </c>
      <c r="F380">
        <f>IF($A380="","",IF($E380=1,_xlfn.SUMIFS(Compta!$F$1:$F$1448,Compta!$A$1:$A$1448,$A380,Compta!$B$1:$B$1448,$B380,Compta!$C$1:$C$1448,"2026"),0))</f>
        <v>0</v>
      </c>
      <c r="G380" t="s">
        <v>274</v>
      </c>
      <c r="H380" t="s">
        <v>274</v>
      </c>
      <c r="I380" t="s">
        <v>274</v>
      </c>
      <c r="J380" t="s">
        <v>274</v>
      </c>
      <c r="K380" t="s">
        <v>274</v>
      </c>
      <c r="L380" t="s">
        <v>274</v>
      </c>
      <c r="M380" t="s">
        <v>274</v>
      </c>
      <c r="N380" t="e">
        <f t="shared" si="1"/>
        <v>#VALUE!</v>
      </c>
      <c r="O380" t="e">
        <f t="shared" si="2"/>
        <v>#VALUE!</v>
      </c>
      <c r="P380">
        <f>IF($A380="","",IF($E380=1,$F380*$O380,PNL!G380))</f>
        <v>480728</v>
      </c>
      <c r="T380">
        <f t="shared" si="3"/>
        <v>0</v>
      </c>
    </row>
    <row r="381" ht="14.25" customHeight="1">
      <c r="A381" t="str">
        <f>IF(PNL!A381="","",PNL!A381)</f>
        <v>ISCOM_LIL</v>
      </c>
      <c r="B381" t="str">
        <f>IF(PNL!B381="","",PNL!B381)</f>
        <v>645</v>
      </c>
      <c r="C381" t="str">
        <f>IF(PNL!C381="","",PNL!C381)</f>
        <v>2025</v>
      </c>
      <c r="D381" t="str">
        <f>IF(PNL!D381="","",PNL!D381)</f>
        <v>ACT</v>
      </c>
      <c r="E381">
        <f t="shared" si="0"/>
        <v>0</v>
      </c>
      <c r="F381">
        <f>IF($A381="","",IF($E381=1,_xlfn.SUMIFS(Compta!$F$1:$F$1448,Compta!$A$1:$A$1448,$A381,Compta!$B$1:$B$1448,$B381,Compta!$C$1:$C$1448,"2026"),0))</f>
        <v>0</v>
      </c>
      <c r="G381" t="s">
        <v>274</v>
      </c>
      <c r="H381" t="s">
        <v>274</v>
      </c>
      <c r="I381" t="s">
        <v>274</v>
      </c>
      <c r="J381" t="s">
        <v>274</v>
      </c>
      <c r="K381" t="s">
        <v>274</v>
      </c>
      <c r="L381" t="s">
        <v>274</v>
      </c>
      <c r="M381" t="s">
        <v>274</v>
      </c>
      <c r="N381" t="e">
        <f t="shared" si="1"/>
        <v>#VALUE!</v>
      </c>
      <c r="O381" t="e">
        <f t="shared" si="2"/>
        <v>#VALUE!</v>
      </c>
      <c r="P381">
        <f>IF($A381="","",IF($E381=1,$F381*$O381,PNL!G381))</f>
        <v>188174</v>
      </c>
      <c r="T381">
        <f t="shared" si="3"/>
        <v>0</v>
      </c>
    </row>
    <row r="382" ht="14.25" customHeight="1">
      <c r="A382" t="str">
        <f>IF(PNL!A382="","",PNL!A382)</f>
        <v>ISCOM_TLS</v>
      </c>
      <c r="B382" t="str">
        <f>IF(PNL!B382="","",PNL!B382)</f>
        <v>645</v>
      </c>
      <c r="C382" t="str">
        <f>IF(PNL!C382="","",PNL!C382)</f>
        <v>2025</v>
      </c>
      <c r="D382" t="str">
        <f>IF(PNL!D382="","",PNL!D382)</f>
        <v>ACT</v>
      </c>
      <c r="E382">
        <f t="shared" si="0"/>
        <v>0</v>
      </c>
      <c r="F382">
        <f>IF($A382="","",IF($E382=1,_xlfn.SUMIFS(Compta!$F$1:$F$1448,Compta!$A$1:$A$1448,$A382,Compta!$B$1:$B$1448,$B382,Compta!$C$1:$C$1448,"2026"),0))</f>
        <v>0</v>
      </c>
      <c r="G382" t="s">
        <v>274</v>
      </c>
      <c r="H382" t="s">
        <v>274</v>
      </c>
      <c r="I382" t="s">
        <v>274</v>
      </c>
      <c r="J382" t="s">
        <v>274</v>
      </c>
      <c r="K382" t="s">
        <v>274</v>
      </c>
      <c r="L382" t="s">
        <v>274</v>
      </c>
      <c r="M382" t="s">
        <v>274</v>
      </c>
      <c r="N382" t="e">
        <f t="shared" si="1"/>
        <v>#VALUE!</v>
      </c>
      <c r="O382" t="e">
        <f t="shared" si="2"/>
        <v>#VALUE!</v>
      </c>
      <c r="P382">
        <f>IF($A382="","",IF($E382=1,$F382*$O382,PNL!G382))</f>
        <v>174275</v>
      </c>
      <c r="T382">
        <f t="shared" si="3"/>
        <v>0</v>
      </c>
    </row>
    <row r="383" ht="14.25" customHeight="1">
      <c r="A383" t="str">
        <f>IF(PNL!A383="","",PNL!A383)</f>
        <v>IPAC_NAN</v>
      </c>
      <c r="B383" t="str">
        <f>IF(PNL!B383="","",PNL!B383)</f>
        <v>645</v>
      </c>
      <c r="C383" t="str">
        <f>IF(PNL!C383="","",PNL!C383)</f>
        <v>2025</v>
      </c>
      <c r="D383" t="str">
        <f>IF(PNL!D383="","",PNL!D383)</f>
        <v>ACT</v>
      </c>
      <c r="E383">
        <f t="shared" si="0"/>
        <v>0</v>
      </c>
      <c r="F383">
        <f>IF($A383="","",IF($E383=1,_xlfn.SUMIFS(Compta!$F$1:$F$1448,Compta!$A$1:$A$1448,$A383,Compta!$B$1:$B$1448,$B383,Compta!$C$1:$C$1448,"2026"),0))</f>
        <v>0</v>
      </c>
      <c r="G383" t="s">
        <v>274</v>
      </c>
      <c r="H383" t="s">
        <v>274</v>
      </c>
      <c r="I383" t="s">
        <v>274</v>
      </c>
      <c r="J383" t="s">
        <v>274</v>
      </c>
      <c r="K383" t="s">
        <v>274</v>
      </c>
      <c r="L383" t="s">
        <v>274</v>
      </c>
      <c r="M383" t="s">
        <v>274</v>
      </c>
      <c r="N383" t="e">
        <f t="shared" si="1"/>
        <v>#VALUE!</v>
      </c>
      <c r="O383" t="e">
        <f t="shared" si="2"/>
        <v>#VALUE!</v>
      </c>
      <c r="P383">
        <f>IF($A383="","",IF($E383=1,$F383*$O383,PNL!G383))</f>
        <v>121548</v>
      </c>
      <c r="T383">
        <f t="shared" si="3"/>
        <v>0</v>
      </c>
    </row>
    <row r="384" ht="14.25" customHeight="1">
      <c r="A384" t="str">
        <f>IF(PNL!A384="","",PNL!A384)</f>
        <v>IPAC_REN</v>
      </c>
      <c r="B384" t="str">
        <f>IF(PNL!B384="","",PNL!B384)</f>
        <v>645</v>
      </c>
      <c r="C384" t="str">
        <f>IF(PNL!C384="","",PNL!C384)</f>
        <v>2025</v>
      </c>
      <c r="D384" t="str">
        <f>IF(PNL!D384="","",PNL!D384)</f>
        <v>ACT</v>
      </c>
      <c r="E384">
        <f t="shared" si="0"/>
        <v>0</v>
      </c>
      <c r="F384">
        <f>IF($A384="","",IF($E384=1,_xlfn.SUMIFS(Compta!$F$1:$F$1448,Compta!$A$1:$A$1448,$A384,Compta!$B$1:$B$1448,$B384,Compta!$C$1:$C$1448,"2026"),0))</f>
        <v>0</v>
      </c>
      <c r="G384" t="s">
        <v>274</v>
      </c>
      <c r="H384" t="s">
        <v>274</v>
      </c>
      <c r="I384" t="s">
        <v>274</v>
      </c>
      <c r="J384" t="s">
        <v>274</v>
      </c>
      <c r="K384" t="s">
        <v>274</v>
      </c>
      <c r="L384" t="s">
        <v>274</v>
      </c>
      <c r="M384" t="s">
        <v>274</v>
      </c>
      <c r="N384" t="e">
        <f t="shared" si="1"/>
        <v>#VALUE!</v>
      </c>
      <c r="O384" t="e">
        <f t="shared" si="2"/>
        <v>#VALUE!</v>
      </c>
      <c r="P384">
        <f>IF($A384="","",IF($E384=1,$F384*$O384,PNL!G384))</f>
        <v>86308</v>
      </c>
      <c r="T384">
        <f t="shared" si="3"/>
        <v>0</v>
      </c>
    </row>
    <row r="385" ht="14.25" customHeight="1">
      <c r="A385" t="str">
        <f>IF(PNL!A385="","",PNL!A385)</f>
        <v>IPAC_MTP</v>
      </c>
      <c r="B385" t="str">
        <f>IF(PNL!B385="","",PNL!B385)</f>
        <v>645</v>
      </c>
      <c r="C385" t="str">
        <f>IF(PNL!C385="","",PNL!C385)</f>
        <v>2025</v>
      </c>
      <c r="D385" t="str">
        <f>IF(PNL!D385="","",PNL!D385)</f>
        <v>ACT</v>
      </c>
      <c r="E385">
        <f t="shared" si="0"/>
        <v>0</v>
      </c>
      <c r="F385">
        <f>IF($A385="","",IF($E385=1,_xlfn.SUMIFS(Compta!$F$1:$F$1448,Compta!$A$1:$A$1448,$A385,Compta!$B$1:$B$1448,$B385,Compta!$C$1:$C$1448,"2026"),0))</f>
        <v>0</v>
      </c>
      <c r="G385" t="s">
        <v>274</v>
      </c>
      <c r="H385" t="s">
        <v>274</v>
      </c>
      <c r="I385" t="s">
        <v>274</v>
      </c>
      <c r="J385" t="s">
        <v>274</v>
      </c>
      <c r="K385" t="s">
        <v>274</v>
      </c>
      <c r="L385" t="s">
        <v>274</v>
      </c>
      <c r="M385" t="s">
        <v>274</v>
      </c>
      <c r="N385" t="e">
        <f t="shared" si="1"/>
        <v>#VALUE!</v>
      </c>
      <c r="O385" t="e">
        <f t="shared" si="2"/>
        <v>#VALUE!</v>
      </c>
      <c r="P385">
        <f>IF($A385="","",IF($E385=1,$F385*$O385,PNL!G385))</f>
        <v>86308</v>
      </c>
      <c r="T385">
        <f t="shared" si="3"/>
        <v>0</v>
      </c>
    </row>
    <row r="386" ht="14.25" customHeight="1">
      <c r="A386" t="str">
        <f>IF(PNL!A386="","",PNL!A386)</f>
        <v>PIGIER_LYO</v>
      </c>
      <c r="B386" t="str">
        <f>IF(PNL!B386="","",PNL!B386)</f>
        <v>645</v>
      </c>
      <c r="C386" t="str">
        <f>IF(PNL!C386="","",PNL!C386)</f>
        <v>2025</v>
      </c>
      <c r="D386" t="str">
        <f>IF(PNL!D386="","",PNL!D386)</f>
        <v>ACT</v>
      </c>
      <c r="E386">
        <f t="shared" si="0"/>
        <v>0</v>
      </c>
      <c r="F386">
        <f>IF($A386="","",IF($E386=1,_xlfn.SUMIFS(Compta!$F$1:$F$1448,Compta!$A$1:$A$1448,$A386,Compta!$B$1:$B$1448,$B386,Compta!$C$1:$C$1448,"2026"),0))</f>
        <v>0</v>
      </c>
      <c r="G386" t="s">
        <v>274</v>
      </c>
      <c r="H386" t="s">
        <v>274</v>
      </c>
      <c r="I386" t="s">
        <v>274</v>
      </c>
      <c r="J386" t="s">
        <v>274</v>
      </c>
      <c r="K386" t="s">
        <v>274</v>
      </c>
      <c r="L386" t="s">
        <v>274</v>
      </c>
      <c r="M386" t="s">
        <v>274</v>
      </c>
      <c r="N386" t="e">
        <f t="shared" si="1"/>
        <v>#VALUE!</v>
      </c>
      <c r="O386" t="e">
        <f t="shared" si="2"/>
        <v>#VALUE!</v>
      </c>
      <c r="P386">
        <f>IF($A386="","",IF($E386=1,$F386*$O386,PNL!G386))</f>
        <v>170872</v>
      </c>
      <c r="T386">
        <f t="shared" si="3"/>
        <v>0</v>
      </c>
    </row>
    <row r="387" ht="14.25" customHeight="1">
      <c r="A387" t="str">
        <f>IF(PNL!A387="","",PNL!A387)</f>
        <v>PIGIER_BOR</v>
      </c>
      <c r="B387" t="str">
        <f>IF(PNL!B387="","",PNL!B387)</f>
        <v>645</v>
      </c>
      <c r="C387" t="str">
        <f>IF(PNL!C387="","",PNL!C387)</f>
        <v>2025</v>
      </c>
      <c r="D387" t="str">
        <f>IF(PNL!D387="","",PNL!D387)</f>
        <v>ACT</v>
      </c>
      <c r="E387">
        <f t="shared" si="0"/>
        <v>0</v>
      </c>
      <c r="F387">
        <f>IF($A387="","",IF($E387=1,_xlfn.SUMIFS(Compta!$F$1:$F$1448,Compta!$A$1:$A$1448,$A387,Compta!$B$1:$B$1448,$B387,Compta!$C$1:$C$1448,"2026"),0))</f>
        <v>0</v>
      </c>
      <c r="G387" t="s">
        <v>274</v>
      </c>
      <c r="H387" t="s">
        <v>274</v>
      </c>
      <c r="I387" t="s">
        <v>274</v>
      </c>
      <c r="J387" t="s">
        <v>274</v>
      </c>
      <c r="K387" t="s">
        <v>274</v>
      </c>
      <c r="L387" t="s">
        <v>274</v>
      </c>
      <c r="M387" t="s">
        <v>274</v>
      </c>
      <c r="N387" t="e">
        <f t="shared" si="1"/>
        <v>#VALUE!</v>
      </c>
      <c r="O387" t="e">
        <f t="shared" si="2"/>
        <v>#VALUE!</v>
      </c>
      <c r="P387">
        <f>IF($A387="","",IF($E387=1,$F387*$O387,PNL!G387))</f>
        <v>124985</v>
      </c>
      <c r="T387">
        <f t="shared" si="3"/>
        <v>0</v>
      </c>
    </row>
    <row r="388" ht="14.25" customHeight="1">
      <c r="A388" t="str">
        <f>IF(PNL!A388="","",PNL!A388)</f>
        <v>TUNON_PAR</v>
      </c>
      <c r="B388" t="str">
        <f>IF(PNL!B388="","",PNL!B388)</f>
        <v>645</v>
      </c>
      <c r="C388" t="str">
        <f>IF(PNL!C388="","",PNL!C388)</f>
        <v>2025</v>
      </c>
      <c r="D388" t="str">
        <f>IF(PNL!D388="","",PNL!D388)</f>
        <v>ACT</v>
      </c>
      <c r="E388">
        <f t="shared" si="0"/>
        <v>0</v>
      </c>
      <c r="F388">
        <f>IF($A388="","",IF($E388=1,_xlfn.SUMIFS(Compta!$F$1:$F$1448,Compta!$A$1:$A$1448,$A388,Compta!$B$1:$B$1448,$B388,Compta!$C$1:$C$1448,"2026"),0))</f>
        <v>0</v>
      </c>
      <c r="G388" t="s">
        <v>274</v>
      </c>
      <c r="H388" t="s">
        <v>274</v>
      </c>
      <c r="I388" t="s">
        <v>274</v>
      </c>
      <c r="J388" t="s">
        <v>274</v>
      </c>
      <c r="K388" t="s">
        <v>274</v>
      </c>
      <c r="L388" t="s">
        <v>274</v>
      </c>
      <c r="M388" t="s">
        <v>274</v>
      </c>
      <c r="N388" t="e">
        <f t="shared" si="1"/>
        <v>#VALUE!</v>
      </c>
      <c r="O388" t="e">
        <f t="shared" si="2"/>
        <v>#VALUE!</v>
      </c>
      <c r="P388">
        <f>IF($A388="","",IF($E388=1,$F388*$O388,PNL!G388))</f>
        <v>187402</v>
      </c>
      <c r="T388">
        <f t="shared" si="3"/>
        <v>0</v>
      </c>
    </row>
    <row r="389" ht="14.25" customHeight="1">
      <c r="A389" t="str">
        <f>IF(PNL!A389="","",PNL!A389)</f>
        <v>TUNON_LYO</v>
      </c>
      <c r="B389" t="str">
        <f>IF(PNL!B389="","",PNL!B389)</f>
        <v>645</v>
      </c>
      <c r="C389" t="str">
        <f>IF(PNL!C389="","",PNL!C389)</f>
        <v>2025</v>
      </c>
      <c r="D389" t="str">
        <f>IF(PNL!D389="","",PNL!D389)</f>
        <v>ACT</v>
      </c>
      <c r="E389">
        <f t="shared" si="0"/>
        <v>0</v>
      </c>
      <c r="F389">
        <f>IF($A389="","",IF($E389=1,_xlfn.SUMIFS(Compta!$F$1:$F$1448,Compta!$A$1:$A$1448,$A389,Compta!$B$1:$B$1448,$B389,Compta!$C$1:$C$1448,"2026"),0))</f>
        <v>0</v>
      </c>
      <c r="G389" t="s">
        <v>274</v>
      </c>
      <c r="H389" t="s">
        <v>274</v>
      </c>
      <c r="I389" t="s">
        <v>274</v>
      </c>
      <c r="J389" t="s">
        <v>274</v>
      </c>
      <c r="K389" t="s">
        <v>274</v>
      </c>
      <c r="L389" t="s">
        <v>274</v>
      </c>
      <c r="M389" t="s">
        <v>274</v>
      </c>
      <c r="N389" t="e">
        <f t="shared" si="1"/>
        <v>#VALUE!</v>
      </c>
      <c r="O389" t="e">
        <f t="shared" si="2"/>
        <v>#VALUE!</v>
      </c>
      <c r="P389">
        <f>IF($A389="","",IF($E389=1,$F389*$O389,PNL!G389))</f>
        <v>109846</v>
      </c>
      <c r="T389">
        <f t="shared" si="3"/>
        <v>0</v>
      </c>
    </row>
    <row r="390" ht="14.25" customHeight="1">
      <c r="A390" t="str">
        <f>IF(PNL!A390="","",PNL!A390)</f>
        <v>MBWAY_PAR</v>
      </c>
      <c r="B390" t="str">
        <f>IF(PNL!B390="","",PNL!B390)</f>
        <v>645</v>
      </c>
      <c r="C390" t="str">
        <f>IF(PNL!C390="","",PNL!C390)</f>
        <v>2026</v>
      </c>
      <c r="D390" t="str">
        <f>IF(PNL!D390="","",PNL!D390)</f>
        <v>ACT</v>
      </c>
      <c r="E390">
        <f t="shared" si="0"/>
        <v>0</v>
      </c>
      <c r="F390">
        <f>IF($A390="","",IF($E390=1,_xlfn.SUMIFS(Compta!$F$1:$F$1448,Compta!$A$1:$A$1448,$A390,Compta!$B$1:$B$1448,$B390,Compta!$C$1:$C$1448,"2026"),0))</f>
        <v>0</v>
      </c>
      <c r="G390" t="s">
        <v>274</v>
      </c>
      <c r="H390" t="s">
        <v>274</v>
      </c>
      <c r="I390" t="s">
        <v>274</v>
      </c>
      <c r="J390" t="s">
        <v>274</v>
      </c>
      <c r="K390" t="s">
        <v>274</v>
      </c>
      <c r="L390" t="s">
        <v>274</v>
      </c>
      <c r="M390" t="s">
        <v>274</v>
      </c>
      <c r="N390" t="e">
        <f t="shared" si="1"/>
        <v>#VALUE!</v>
      </c>
      <c r="O390" t="e">
        <f t="shared" si="2"/>
        <v>#VALUE!</v>
      </c>
      <c r="P390">
        <f>IF($A390="","",IF($E390=1,$F390*$O390,PNL!G390))</f>
        <v>543513</v>
      </c>
      <c r="T390">
        <f t="shared" si="3"/>
        <v>0</v>
      </c>
    </row>
    <row r="391" ht="14.25" customHeight="1">
      <c r="A391" t="str">
        <f>IF(PNL!A391="","",PNL!A391)</f>
        <v>MBWAY_LYO</v>
      </c>
      <c r="B391" t="str">
        <f>IF(PNL!B391="","",PNL!B391)</f>
        <v>645</v>
      </c>
      <c r="C391" t="str">
        <f>IF(PNL!C391="","",PNL!C391)</f>
        <v>2026</v>
      </c>
      <c r="D391" t="str">
        <f>IF(PNL!D391="","",PNL!D391)</f>
        <v>ACT</v>
      </c>
      <c r="E391">
        <f t="shared" si="0"/>
        <v>0</v>
      </c>
      <c r="F391">
        <f>IF($A391="","",IF($E391=1,_xlfn.SUMIFS(Compta!$F$1:$F$1448,Compta!$A$1:$A$1448,$A391,Compta!$B$1:$B$1448,$B391,Compta!$C$1:$C$1448,"2026"),0))</f>
        <v>0</v>
      </c>
      <c r="G391" t="s">
        <v>274</v>
      </c>
      <c r="H391" t="s">
        <v>274</v>
      </c>
      <c r="I391" t="s">
        <v>274</v>
      </c>
      <c r="J391" t="s">
        <v>274</v>
      </c>
      <c r="K391" t="s">
        <v>274</v>
      </c>
      <c r="L391" t="s">
        <v>274</v>
      </c>
      <c r="M391" t="s">
        <v>274</v>
      </c>
      <c r="N391" t="e">
        <f t="shared" si="1"/>
        <v>#VALUE!</v>
      </c>
      <c r="O391" t="e">
        <f t="shared" si="2"/>
        <v>#VALUE!</v>
      </c>
      <c r="P391">
        <f>IF($A391="","",IF($E391=1,$F391*$O391,PNL!G391))</f>
        <v>318709</v>
      </c>
      <c r="T391">
        <f t="shared" si="3"/>
        <v>0</v>
      </c>
    </row>
    <row r="392" ht="14.25" customHeight="1">
      <c r="A392" t="str">
        <f>IF(PNL!A392="","",PNL!A392)</f>
        <v>MBWAY_NAN</v>
      </c>
      <c r="B392" t="str">
        <f>IF(PNL!B392="","",PNL!B392)</f>
        <v>645</v>
      </c>
      <c r="C392" t="str">
        <f>IF(PNL!C392="","",PNL!C392)</f>
        <v>2026</v>
      </c>
      <c r="D392" t="str">
        <f>IF(PNL!D392="","",PNL!D392)</f>
        <v>ACT</v>
      </c>
      <c r="E392">
        <f t="shared" si="0"/>
        <v>0</v>
      </c>
      <c r="F392">
        <f>IF($A392="","",IF($E392=1,_xlfn.SUMIFS(Compta!$F$1:$F$1448,Compta!$A$1:$A$1448,$A392,Compta!$B$1:$B$1448,$B392,Compta!$C$1:$C$1448,"2026"),0))</f>
        <v>0</v>
      </c>
      <c r="G392" t="s">
        <v>274</v>
      </c>
      <c r="H392" t="s">
        <v>274</v>
      </c>
      <c r="I392" t="s">
        <v>274</v>
      </c>
      <c r="J392" t="s">
        <v>274</v>
      </c>
      <c r="K392" t="s">
        <v>274</v>
      </c>
      <c r="L392" t="s">
        <v>274</v>
      </c>
      <c r="M392" t="s">
        <v>274</v>
      </c>
      <c r="N392" t="e">
        <f t="shared" si="1"/>
        <v>#VALUE!</v>
      </c>
      <c r="O392" t="e">
        <f t="shared" si="2"/>
        <v>#VALUE!</v>
      </c>
      <c r="P392">
        <f>IF($A392="","",IF($E392=1,$F392*$O392,PNL!G392))</f>
        <v>258214</v>
      </c>
      <c r="T392">
        <f t="shared" si="3"/>
        <v>0</v>
      </c>
    </row>
    <row r="393" ht="14.25" customHeight="1">
      <c r="A393" t="str">
        <f>IF(PNL!A393="","",PNL!A393)</f>
        <v>MBWAY_BOR</v>
      </c>
      <c r="B393" t="str">
        <f>IF(PNL!B393="","",PNL!B393)</f>
        <v>645</v>
      </c>
      <c r="C393" t="str">
        <f>IF(PNL!C393="","",PNL!C393)</f>
        <v>2026</v>
      </c>
      <c r="D393" t="str">
        <f>IF(PNL!D393="","",PNL!D393)</f>
        <v>ACT</v>
      </c>
      <c r="E393">
        <f t="shared" si="0"/>
        <v>0</v>
      </c>
      <c r="F393">
        <f>IF($A393="","",IF($E393=1,_xlfn.SUMIFS(Compta!$F$1:$F$1448,Compta!$A$1:$A$1448,$A393,Compta!$B$1:$B$1448,$B393,Compta!$C$1:$C$1448,"2026"),0))</f>
        <v>0</v>
      </c>
      <c r="G393" t="s">
        <v>274</v>
      </c>
      <c r="H393" t="s">
        <v>274</v>
      </c>
      <c r="I393" t="s">
        <v>274</v>
      </c>
      <c r="J393" t="s">
        <v>274</v>
      </c>
      <c r="K393" t="s">
        <v>274</v>
      </c>
      <c r="L393" t="s">
        <v>274</v>
      </c>
      <c r="M393" t="s">
        <v>274</v>
      </c>
      <c r="N393" t="e">
        <f t="shared" si="1"/>
        <v>#VALUE!</v>
      </c>
      <c r="O393" t="e">
        <f t="shared" si="2"/>
        <v>#VALUE!</v>
      </c>
      <c r="P393">
        <f>IF($A393="","",IF($E393=1,$F393*$O393,PNL!G393))</f>
        <v>229626</v>
      </c>
      <c r="T393">
        <f t="shared" si="3"/>
        <v>0</v>
      </c>
    </row>
    <row r="394" ht="14.25" customHeight="1">
      <c r="A394" t="str">
        <f>IF(PNL!A394="","",PNL!A394)</f>
        <v>ISCOM_PAR</v>
      </c>
      <c r="B394" t="str">
        <f>IF(PNL!B394="","",PNL!B394)</f>
        <v>645</v>
      </c>
      <c r="C394" t="str">
        <f>IF(PNL!C394="","",PNL!C394)</f>
        <v>2026</v>
      </c>
      <c r="D394" t="str">
        <f>IF(PNL!D394="","",PNL!D394)</f>
        <v>ACT</v>
      </c>
      <c r="E394">
        <f t="shared" si="0"/>
        <v>0</v>
      </c>
      <c r="F394">
        <f>IF($A394="","",IF($E394=1,_xlfn.SUMIFS(Compta!$F$1:$F$1448,Compta!$A$1:$A$1448,$A394,Compta!$B$1:$B$1448,$B394,Compta!$C$1:$C$1448,"2026"),0))</f>
        <v>0</v>
      </c>
      <c r="G394" t="s">
        <v>274</v>
      </c>
      <c r="H394" t="s">
        <v>274</v>
      </c>
      <c r="I394" t="s">
        <v>274</v>
      </c>
      <c r="J394" t="s">
        <v>274</v>
      </c>
      <c r="K394" t="s">
        <v>274</v>
      </c>
      <c r="L394" t="s">
        <v>274</v>
      </c>
      <c r="M394" t="s">
        <v>274</v>
      </c>
      <c r="N394" t="e">
        <f t="shared" si="1"/>
        <v>#VALUE!</v>
      </c>
      <c r="O394" t="e">
        <f t="shared" si="2"/>
        <v>#VALUE!</v>
      </c>
      <c r="P394">
        <f>IF($A394="","",IF($E394=1,$F394*$O394,PNL!G394))</f>
        <v>503674</v>
      </c>
      <c r="T394">
        <f t="shared" si="3"/>
        <v>0</v>
      </c>
    </row>
    <row r="395" ht="14.25" customHeight="1">
      <c r="A395" t="str">
        <f>IF(PNL!A395="","",PNL!A395)</f>
        <v>ISCOM_LIL</v>
      </c>
      <c r="B395" t="str">
        <f>IF(PNL!B395="","",PNL!B395)</f>
        <v>645</v>
      </c>
      <c r="C395" t="str">
        <f>IF(PNL!C395="","",PNL!C395)</f>
        <v>2026</v>
      </c>
      <c r="D395" t="str">
        <f>IF(PNL!D395="","",PNL!D395)</f>
        <v>ACT</v>
      </c>
      <c r="E395">
        <f t="shared" si="0"/>
        <v>0</v>
      </c>
      <c r="F395">
        <f>IF($A395="","",IF($E395=1,_xlfn.SUMIFS(Compta!$F$1:$F$1448,Compta!$A$1:$A$1448,$A395,Compta!$B$1:$B$1448,$B395,Compta!$C$1:$C$1448,"2026"),0))</f>
        <v>0</v>
      </c>
      <c r="G395" t="s">
        <v>274</v>
      </c>
      <c r="H395" t="s">
        <v>274</v>
      </c>
      <c r="I395" t="s">
        <v>274</v>
      </c>
      <c r="J395" t="s">
        <v>274</v>
      </c>
      <c r="K395" t="s">
        <v>274</v>
      </c>
      <c r="L395" t="s">
        <v>274</v>
      </c>
      <c r="M395" t="s">
        <v>274</v>
      </c>
      <c r="N395" t="e">
        <f t="shared" si="1"/>
        <v>#VALUE!</v>
      </c>
      <c r="O395" t="e">
        <f t="shared" si="2"/>
        <v>#VALUE!</v>
      </c>
      <c r="P395">
        <f>IF($A395="","",IF($E395=1,$F395*$O395,PNL!G395))</f>
        <v>197156</v>
      </c>
      <c r="T395">
        <f t="shared" si="3"/>
        <v>0</v>
      </c>
    </row>
    <row r="396" ht="14.25" customHeight="1">
      <c r="A396" t="str">
        <f>IF(PNL!A396="","",PNL!A396)</f>
        <v>ISCOM_TLS</v>
      </c>
      <c r="B396" t="str">
        <f>IF(PNL!B396="","",PNL!B396)</f>
        <v>645</v>
      </c>
      <c r="C396" t="str">
        <f>IF(PNL!C396="","",PNL!C396)</f>
        <v>2026</v>
      </c>
      <c r="D396" t="str">
        <f>IF(PNL!D396="","",PNL!D396)</f>
        <v>ACT</v>
      </c>
      <c r="E396">
        <f t="shared" si="0"/>
        <v>0</v>
      </c>
      <c r="F396">
        <f>IF($A396="","",IF($E396=1,_xlfn.SUMIFS(Compta!$F$1:$F$1448,Compta!$A$1:$A$1448,$A396,Compta!$B$1:$B$1448,$B396,Compta!$C$1:$C$1448,"2026"),0))</f>
        <v>0</v>
      </c>
      <c r="G396" t="s">
        <v>274</v>
      </c>
      <c r="H396" t="s">
        <v>274</v>
      </c>
      <c r="I396" t="s">
        <v>274</v>
      </c>
      <c r="J396" t="s">
        <v>274</v>
      </c>
      <c r="K396" t="s">
        <v>274</v>
      </c>
      <c r="L396" t="s">
        <v>274</v>
      </c>
      <c r="M396" t="s">
        <v>274</v>
      </c>
      <c r="N396" t="e">
        <f t="shared" si="1"/>
        <v>#VALUE!</v>
      </c>
      <c r="O396" t="e">
        <f t="shared" si="2"/>
        <v>#VALUE!</v>
      </c>
      <c r="P396">
        <f>IF($A396="","",IF($E396=1,$F396*$O396,PNL!G396))</f>
        <v>182594</v>
      </c>
      <c r="T396">
        <f t="shared" si="3"/>
        <v>0</v>
      </c>
    </row>
    <row r="397" ht="14.25" customHeight="1">
      <c r="A397" t="str">
        <f>IF(PNL!A397="","",PNL!A397)</f>
        <v>IPAC_NAN</v>
      </c>
      <c r="B397" t="str">
        <f>IF(PNL!B397="","",PNL!B397)</f>
        <v>645</v>
      </c>
      <c r="C397" t="str">
        <f>IF(PNL!C397="","",PNL!C397)</f>
        <v>2026</v>
      </c>
      <c r="D397" t="str">
        <f>IF(PNL!D397="","",PNL!D397)</f>
        <v>ACT</v>
      </c>
      <c r="E397">
        <f t="shared" si="0"/>
        <v>0</v>
      </c>
      <c r="F397">
        <f>IF($A397="","",IF($E397=1,_xlfn.SUMIFS(Compta!$F$1:$F$1448,Compta!$A$1:$A$1448,$A397,Compta!$B$1:$B$1448,$B397,Compta!$C$1:$C$1448,"2026"),0))</f>
        <v>0</v>
      </c>
      <c r="G397" t="s">
        <v>274</v>
      </c>
      <c r="H397" t="s">
        <v>274</v>
      </c>
      <c r="I397" t="s">
        <v>274</v>
      </c>
      <c r="J397" t="s">
        <v>274</v>
      </c>
      <c r="K397" t="s">
        <v>274</v>
      </c>
      <c r="L397" t="s">
        <v>274</v>
      </c>
      <c r="M397" t="s">
        <v>274</v>
      </c>
      <c r="N397" t="e">
        <f t="shared" si="1"/>
        <v>#VALUE!</v>
      </c>
      <c r="O397" t="e">
        <f t="shared" si="2"/>
        <v>#VALUE!</v>
      </c>
      <c r="P397">
        <f>IF($A397="","",IF($E397=1,$F397*$O397,PNL!G397))</f>
        <v>127350</v>
      </c>
      <c r="T397">
        <f t="shared" si="3"/>
        <v>0</v>
      </c>
    </row>
    <row r="398" ht="14.25" customHeight="1">
      <c r="A398" t="str">
        <f>IF(PNL!A398="","",PNL!A398)</f>
        <v>IPAC_REN</v>
      </c>
      <c r="B398" t="str">
        <f>IF(PNL!B398="","",PNL!B398)</f>
        <v>645</v>
      </c>
      <c r="C398" t="str">
        <f>IF(PNL!C398="","",PNL!C398)</f>
        <v>2026</v>
      </c>
      <c r="D398" t="str">
        <f>IF(PNL!D398="","",PNL!D398)</f>
        <v>ACT</v>
      </c>
      <c r="E398">
        <f t="shared" si="0"/>
        <v>0</v>
      </c>
      <c r="F398">
        <f>IF($A398="","",IF($E398=1,_xlfn.SUMIFS(Compta!$F$1:$F$1448,Compta!$A$1:$A$1448,$A398,Compta!$B$1:$B$1448,$B398,Compta!$C$1:$C$1448,"2026"),0))</f>
        <v>0</v>
      </c>
      <c r="G398" t="s">
        <v>274</v>
      </c>
      <c r="H398" t="s">
        <v>274</v>
      </c>
      <c r="I398" t="s">
        <v>274</v>
      </c>
      <c r="J398" t="s">
        <v>274</v>
      </c>
      <c r="K398" t="s">
        <v>274</v>
      </c>
      <c r="L398" t="s">
        <v>274</v>
      </c>
      <c r="M398" t="s">
        <v>274</v>
      </c>
      <c r="N398" t="e">
        <f t="shared" si="1"/>
        <v>#VALUE!</v>
      </c>
      <c r="O398" t="e">
        <f t="shared" si="2"/>
        <v>#VALUE!</v>
      </c>
      <c r="P398">
        <f>IF($A398="","",IF($E398=1,$F398*$O398,PNL!G398))</f>
        <v>90427</v>
      </c>
      <c r="T398">
        <f t="shared" si="3"/>
        <v>0</v>
      </c>
    </row>
    <row r="399" ht="14.25" customHeight="1">
      <c r="A399" t="str">
        <f>IF(PNL!A399="","",PNL!A399)</f>
        <v>IPAC_MTP</v>
      </c>
      <c r="B399" t="str">
        <f>IF(PNL!B399="","",PNL!B399)</f>
        <v>645</v>
      </c>
      <c r="C399" t="str">
        <f>IF(PNL!C399="","",PNL!C399)</f>
        <v>2026</v>
      </c>
      <c r="D399" t="str">
        <f>IF(PNL!D399="","",PNL!D399)</f>
        <v>ACT</v>
      </c>
      <c r="E399">
        <f t="shared" si="0"/>
        <v>0</v>
      </c>
      <c r="F399">
        <f>IF($A399="","",IF($E399=1,_xlfn.SUMIFS(Compta!$F$1:$F$1448,Compta!$A$1:$A$1448,$A399,Compta!$B$1:$B$1448,$B399,Compta!$C$1:$C$1448,"2026"),0))</f>
        <v>0</v>
      </c>
      <c r="G399" t="s">
        <v>274</v>
      </c>
      <c r="H399" t="s">
        <v>274</v>
      </c>
      <c r="I399" t="s">
        <v>274</v>
      </c>
      <c r="J399" t="s">
        <v>274</v>
      </c>
      <c r="K399" t="s">
        <v>274</v>
      </c>
      <c r="L399" t="s">
        <v>274</v>
      </c>
      <c r="M399" t="s">
        <v>274</v>
      </c>
      <c r="N399" t="e">
        <f t="shared" si="1"/>
        <v>#VALUE!</v>
      </c>
      <c r="O399" t="e">
        <f t="shared" si="2"/>
        <v>#VALUE!</v>
      </c>
      <c r="P399">
        <f>IF($A399="","",IF($E399=1,$F399*$O399,PNL!G399))</f>
        <v>90427</v>
      </c>
      <c r="T399">
        <f t="shared" si="3"/>
        <v>0</v>
      </c>
    </row>
    <row r="400" ht="14.25" customHeight="1">
      <c r="A400" t="str">
        <f>IF(PNL!A400="","",PNL!A400)</f>
        <v>PIGIER_LYO</v>
      </c>
      <c r="B400" t="str">
        <f>IF(PNL!B400="","",PNL!B400)</f>
        <v>645</v>
      </c>
      <c r="C400" t="str">
        <f>IF(PNL!C400="","",PNL!C400)</f>
        <v>2026</v>
      </c>
      <c r="D400" t="str">
        <f>IF(PNL!D400="","",PNL!D400)</f>
        <v>ACT</v>
      </c>
      <c r="E400">
        <f t="shared" si="0"/>
        <v>0</v>
      </c>
      <c r="F400">
        <f>IF($A400="","",IF($E400=1,_xlfn.SUMIFS(Compta!$F$1:$F$1448,Compta!$A$1:$A$1448,$A400,Compta!$B$1:$B$1448,$B400,Compta!$C$1:$C$1448,"2026"),0))</f>
        <v>0</v>
      </c>
      <c r="G400" t="s">
        <v>274</v>
      </c>
      <c r="H400" t="s">
        <v>274</v>
      </c>
      <c r="I400" t="s">
        <v>274</v>
      </c>
      <c r="J400" t="s">
        <v>274</v>
      </c>
      <c r="K400" t="s">
        <v>274</v>
      </c>
      <c r="L400" t="s">
        <v>274</v>
      </c>
      <c r="M400" t="s">
        <v>274</v>
      </c>
      <c r="N400" t="e">
        <f t="shared" si="1"/>
        <v>#VALUE!</v>
      </c>
      <c r="O400" t="e">
        <f t="shared" si="2"/>
        <v>#VALUE!</v>
      </c>
      <c r="P400">
        <f>IF($A400="","",IF($E400=1,$F400*$O400,PNL!G400))</f>
        <v>179028</v>
      </c>
      <c r="T400">
        <f t="shared" si="3"/>
        <v>0</v>
      </c>
    </row>
    <row r="401" ht="14.25" customHeight="1">
      <c r="A401" t="str">
        <f>IF(PNL!A401="","",PNL!A401)</f>
        <v>PIGIER_BOR</v>
      </c>
      <c r="B401" t="str">
        <f>IF(PNL!B401="","",PNL!B401)</f>
        <v>645</v>
      </c>
      <c r="C401" t="str">
        <f>IF(PNL!C401="","",PNL!C401)</f>
        <v>2026</v>
      </c>
      <c r="D401" t="str">
        <f>IF(PNL!D401="","",PNL!D401)</f>
        <v>ACT</v>
      </c>
      <c r="E401">
        <f t="shared" si="0"/>
        <v>0</v>
      </c>
      <c r="F401">
        <f>IF($A401="","",IF($E401=1,_xlfn.SUMIFS(Compta!$F$1:$F$1448,Compta!$A$1:$A$1448,$A401,Compta!$B$1:$B$1448,$B401,Compta!$C$1:$C$1448,"2026"),0))</f>
        <v>0</v>
      </c>
      <c r="G401" t="s">
        <v>274</v>
      </c>
      <c r="H401" t="s">
        <v>274</v>
      </c>
      <c r="I401" t="s">
        <v>274</v>
      </c>
      <c r="J401" t="s">
        <v>274</v>
      </c>
      <c r="K401" t="s">
        <v>274</v>
      </c>
      <c r="L401" t="s">
        <v>274</v>
      </c>
      <c r="M401" t="s">
        <v>274</v>
      </c>
      <c r="N401" t="e">
        <f t="shared" si="1"/>
        <v>#VALUE!</v>
      </c>
      <c r="O401" t="e">
        <f t="shared" si="2"/>
        <v>#VALUE!</v>
      </c>
      <c r="P401">
        <f>IF($A401="","",IF($E401=1,$F401*$O401,PNL!G401))</f>
        <v>130951</v>
      </c>
      <c r="T401">
        <f t="shared" si="3"/>
        <v>0</v>
      </c>
    </row>
    <row r="402" ht="14.25" customHeight="1">
      <c r="A402" t="str">
        <f>IF(PNL!A402="","",PNL!A402)</f>
        <v>TUNON_PAR</v>
      </c>
      <c r="B402" t="str">
        <f>IF(PNL!B402="","",PNL!B402)</f>
        <v>645</v>
      </c>
      <c r="C402" t="str">
        <f>IF(PNL!C402="","",PNL!C402)</f>
        <v>2026</v>
      </c>
      <c r="D402" t="str">
        <f>IF(PNL!D402="","",PNL!D402)</f>
        <v>ACT</v>
      </c>
      <c r="E402">
        <f t="shared" si="0"/>
        <v>0</v>
      </c>
      <c r="F402">
        <f>IF($A402="","",IF($E402=1,_xlfn.SUMIFS(Compta!$F$1:$F$1448,Compta!$A$1:$A$1448,$A402,Compta!$B$1:$B$1448,$B402,Compta!$C$1:$C$1448,"2026"),0))</f>
        <v>0</v>
      </c>
      <c r="G402" t="s">
        <v>274</v>
      </c>
      <c r="H402" t="s">
        <v>274</v>
      </c>
      <c r="I402" t="s">
        <v>274</v>
      </c>
      <c r="J402" t="s">
        <v>274</v>
      </c>
      <c r="K402" t="s">
        <v>274</v>
      </c>
      <c r="L402" t="s">
        <v>274</v>
      </c>
      <c r="M402" t="s">
        <v>274</v>
      </c>
      <c r="N402" t="e">
        <f t="shared" si="1"/>
        <v>#VALUE!</v>
      </c>
      <c r="O402" t="e">
        <f t="shared" si="2"/>
        <v>#VALUE!</v>
      </c>
      <c r="P402">
        <f>IF($A402="","",IF($E402=1,$F402*$O402,PNL!G402))</f>
        <v>196348</v>
      </c>
      <c r="T402">
        <f t="shared" si="3"/>
        <v>0</v>
      </c>
    </row>
    <row r="403" ht="14.25" customHeight="1">
      <c r="A403" t="str">
        <f>IF(PNL!A403="","",PNL!A403)</f>
        <v>TUNON_LYO</v>
      </c>
      <c r="B403" t="str">
        <f>IF(PNL!B403="","",PNL!B403)</f>
        <v>645</v>
      </c>
      <c r="C403" t="str">
        <f>IF(PNL!C403="","",PNL!C403)</f>
        <v>2026</v>
      </c>
      <c r="D403" t="str">
        <f>IF(PNL!D403="","",PNL!D403)</f>
        <v>ACT</v>
      </c>
      <c r="E403">
        <f t="shared" si="0"/>
        <v>0</v>
      </c>
      <c r="F403">
        <f>IF($A403="","",IF($E403=1,_xlfn.SUMIFS(Compta!$F$1:$F$1448,Compta!$A$1:$A$1448,$A403,Compta!$B$1:$B$1448,$B403,Compta!$C$1:$C$1448,"2026"),0))</f>
        <v>0</v>
      </c>
      <c r="G403" t="s">
        <v>274</v>
      </c>
      <c r="H403" t="s">
        <v>274</v>
      </c>
      <c r="I403" t="s">
        <v>274</v>
      </c>
      <c r="J403" t="s">
        <v>274</v>
      </c>
      <c r="K403" t="s">
        <v>274</v>
      </c>
      <c r="L403" t="s">
        <v>274</v>
      </c>
      <c r="M403" t="s">
        <v>274</v>
      </c>
      <c r="N403" t="e">
        <f t="shared" si="1"/>
        <v>#VALUE!</v>
      </c>
      <c r="O403" t="e">
        <f t="shared" si="2"/>
        <v>#VALUE!</v>
      </c>
      <c r="P403">
        <f>IF($A403="","",IF($E403=1,$F403*$O403,PNL!G403))</f>
        <v>115089</v>
      </c>
      <c r="T403">
        <f t="shared" si="3"/>
        <v>0</v>
      </c>
    </row>
    <row r="404" ht="14.25" customHeight="1">
      <c r="A404" t="str">
        <f>IF(PNL!A404="","",PNL!A404)</f>
        <v>MBWAY_PAR</v>
      </c>
      <c r="B404" t="str">
        <f>IF(PNL!B404="","",PNL!B404)</f>
        <v>613</v>
      </c>
      <c r="C404" t="str">
        <f>IF(PNL!C404="","",PNL!C404)</f>
        <v>2024</v>
      </c>
      <c r="D404" t="str">
        <f>IF(PNL!D404="","",PNL!D404)</f>
        <v>ACT</v>
      </c>
      <c r="E404">
        <f t="shared" si="0"/>
        <v>0</v>
      </c>
      <c r="F404">
        <f>IF($A404="","",IF($E404=1,_xlfn.SUMIFS(Compta!$F$1:$F$1448,Compta!$A$1:$A$1448,$A404,Compta!$B$1:$B$1448,$B404,Compta!$C$1:$C$1448,"2026"),0))</f>
        <v>0</v>
      </c>
      <c r="G404" t="s">
        <v>274</v>
      </c>
      <c r="H404" t="s">
        <v>274</v>
      </c>
      <c r="I404" t="s">
        <v>274</v>
      </c>
      <c r="J404" t="s">
        <v>274</v>
      </c>
      <c r="K404" t="s">
        <v>274</v>
      </c>
      <c r="L404" t="s">
        <v>274</v>
      </c>
      <c r="M404" t="s">
        <v>274</v>
      </c>
      <c r="N404" t="e">
        <f t="shared" si="1"/>
        <v>#VALUE!</v>
      </c>
      <c r="O404" t="e">
        <f t="shared" si="2"/>
        <v>#VALUE!</v>
      </c>
      <c r="P404">
        <f>IF($A404="","",IF($E404=1,$F404*$O404,PNL!G404))</f>
        <v>341140</v>
      </c>
      <c r="T404">
        <f t="shared" si="3"/>
        <v>0</v>
      </c>
    </row>
    <row r="405" ht="14.25" customHeight="1">
      <c r="A405" t="str">
        <f>IF(PNL!A405="","",PNL!A405)</f>
        <v>MBWAY_LYO</v>
      </c>
      <c r="B405" t="str">
        <f>IF(PNL!B405="","",PNL!B405)</f>
        <v>613</v>
      </c>
      <c r="C405" t="str">
        <f>IF(PNL!C405="","",PNL!C405)</f>
        <v>2024</v>
      </c>
      <c r="D405" t="str">
        <f>IF(PNL!D405="","",PNL!D405)</f>
        <v>ACT</v>
      </c>
      <c r="E405">
        <f t="shared" si="0"/>
        <v>0</v>
      </c>
      <c r="F405">
        <f>IF($A405="","",IF($E405=1,_xlfn.SUMIFS(Compta!$F$1:$F$1448,Compta!$A$1:$A$1448,$A405,Compta!$B$1:$B$1448,$B405,Compta!$C$1:$C$1448,"2026"),0))</f>
        <v>0</v>
      </c>
      <c r="G405" t="s">
        <v>274</v>
      </c>
      <c r="H405" t="s">
        <v>274</v>
      </c>
      <c r="I405" t="s">
        <v>274</v>
      </c>
      <c r="J405" t="s">
        <v>274</v>
      </c>
      <c r="K405" t="s">
        <v>274</v>
      </c>
      <c r="L405" t="s">
        <v>274</v>
      </c>
      <c r="M405" t="s">
        <v>274</v>
      </c>
      <c r="N405" t="e">
        <f t="shared" si="1"/>
        <v>#VALUE!</v>
      </c>
      <c r="O405" t="e">
        <f t="shared" si="2"/>
        <v>#VALUE!</v>
      </c>
      <c r="P405">
        <f>IF($A405="","",IF($E405=1,$F405*$O405,PNL!G405))</f>
        <v>204403</v>
      </c>
      <c r="T405">
        <f t="shared" si="3"/>
        <v>0</v>
      </c>
    </row>
    <row r="406" ht="14.25" customHeight="1">
      <c r="A406" t="str">
        <f>IF(PNL!A406="","",PNL!A406)</f>
        <v>MBWAY_NAN</v>
      </c>
      <c r="B406" t="str">
        <f>IF(PNL!B406="","",PNL!B406)</f>
        <v>613</v>
      </c>
      <c r="C406" t="str">
        <f>IF(PNL!C406="","",PNL!C406)</f>
        <v>2024</v>
      </c>
      <c r="D406" t="str">
        <f>IF(PNL!D406="","",PNL!D406)</f>
        <v>ACT</v>
      </c>
      <c r="E406">
        <f t="shared" si="0"/>
        <v>0</v>
      </c>
      <c r="F406">
        <f>IF($A406="","",IF($E406=1,_xlfn.SUMIFS(Compta!$F$1:$F$1448,Compta!$A$1:$A$1448,$A406,Compta!$B$1:$B$1448,$B406,Compta!$C$1:$C$1448,"2026"),0))</f>
        <v>0</v>
      </c>
      <c r="G406" t="s">
        <v>274</v>
      </c>
      <c r="H406" t="s">
        <v>274</v>
      </c>
      <c r="I406" t="s">
        <v>274</v>
      </c>
      <c r="J406" t="s">
        <v>274</v>
      </c>
      <c r="K406" t="s">
        <v>274</v>
      </c>
      <c r="L406" t="s">
        <v>274</v>
      </c>
      <c r="M406" t="s">
        <v>274</v>
      </c>
      <c r="N406" t="e">
        <f t="shared" si="1"/>
        <v>#VALUE!</v>
      </c>
      <c r="O406" t="e">
        <f t="shared" si="2"/>
        <v>#VALUE!</v>
      </c>
      <c r="P406">
        <f>IF($A406="","",IF($E406=1,$F406*$O406,PNL!G406))</f>
        <v>168464</v>
      </c>
      <c r="T406">
        <f t="shared" si="3"/>
        <v>0</v>
      </c>
    </row>
    <row r="407" ht="14.25" customHeight="1">
      <c r="A407" t="str">
        <f>IF(PNL!A407="","",PNL!A407)</f>
        <v>MBWAY_BOR</v>
      </c>
      <c r="B407" t="str">
        <f>IF(PNL!B407="","",PNL!B407)</f>
        <v>613</v>
      </c>
      <c r="C407" t="str">
        <f>IF(PNL!C407="","",PNL!C407)</f>
        <v>2024</v>
      </c>
      <c r="D407" t="str">
        <f>IF(PNL!D407="","",PNL!D407)</f>
        <v>ACT</v>
      </c>
      <c r="E407">
        <f t="shared" si="0"/>
        <v>0</v>
      </c>
      <c r="F407">
        <f>IF($A407="","",IF($E407=1,_xlfn.SUMIFS(Compta!$F$1:$F$1448,Compta!$A$1:$A$1448,$A407,Compta!$B$1:$B$1448,$B407,Compta!$C$1:$C$1448,"2026"),0))</f>
        <v>0</v>
      </c>
      <c r="G407" t="s">
        <v>274</v>
      </c>
      <c r="H407" t="s">
        <v>274</v>
      </c>
      <c r="I407" t="s">
        <v>274</v>
      </c>
      <c r="J407" t="s">
        <v>274</v>
      </c>
      <c r="K407" t="s">
        <v>274</v>
      </c>
      <c r="L407" t="s">
        <v>274</v>
      </c>
      <c r="M407" t="s">
        <v>274</v>
      </c>
      <c r="N407" t="e">
        <f t="shared" si="1"/>
        <v>#VALUE!</v>
      </c>
      <c r="O407" t="e">
        <f t="shared" si="2"/>
        <v>#VALUE!</v>
      </c>
      <c r="P407">
        <f>IF($A407="","",IF($E407=1,$F407*$O407,PNL!G407))</f>
        <v>147406</v>
      </c>
      <c r="T407">
        <f t="shared" si="3"/>
        <v>0</v>
      </c>
    </row>
    <row r="408" ht="14.25" customHeight="1">
      <c r="A408" t="str">
        <f>IF(PNL!A408="","",PNL!A408)</f>
        <v>ISCOM_PAR</v>
      </c>
      <c r="B408" t="str">
        <f>IF(PNL!B408="","",PNL!B408)</f>
        <v>613</v>
      </c>
      <c r="C408" t="str">
        <f>IF(PNL!C408="","",PNL!C408)</f>
        <v>2024</v>
      </c>
      <c r="D408" t="str">
        <f>IF(PNL!D408="","",PNL!D408)</f>
        <v>ACT</v>
      </c>
      <c r="E408">
        <f t="shared" si="0"/>
        <v>0</v>
      </c>
      <c r="F408">
        <f>IF($A408="","",IF($E408=1,_xlfn.SUMIFS(Compta!$F$1:$F$1448,Compta!$A$1:$A$1448,$A408,Compta!$B$1:$B$1448,$B408,Compta!$C$1:$C$1448,"2026"),0))</f>
        <v>0</v>
      </c>
      <c r="G408" t="s">
        <v>274</v>
      </c>
      <c r="H408" t="s">
        <v>274</v>
      </c>
      <c r="I408" t="s">
        <v>274</v>
      </c>
      <c r="J408" t="s">
        <v>274</v>
      </c>
      <c r="K408" t="s">
        <v>274</v>
      </c>
      <c r="L408" t="s">
        <v>274</v>
      </c>
      <c r="M408" t="s">
        <v>274</v>
      </c>
      <c r="N408" t="e">
        <f t="shared" si="1"/>
        <v>#VALUE!</v>
      </c>
      <c r="O408" t="e">
        <f t="shared" si="2"/>
        <v>#VALUE!</v>
      </c>
      <c r="P408">
        <f>IF($A408="","",IF($E408=1,$F408*$O408,PNL!G408))</f>
        <v>341140</v>
      </c>
      <c r="T408">
        <f t="shared" si="3"/>
        <v>0</v>
      </c>
    </row>
    <row r="409" ht="14.25" customHeight="1">
      <c r="A409" t="str">
        <f>IF(PNL!A409="","",PNL!A409)</f>
        <v>ISCOM_LIL</v>
      </c>
      <c r="B409" t="str">
        <f>IF(PNL!B409="","",PNL!B409)</f>
        <v>613</v>
      </c>
      <c r="C409" t="str">
        <f>IF(PNL!C409="","",PNL!C409)</f>
        <v>2024</v>
      </c>
      <c r="D409" t="str">
        <f>IF(PNL!D409="","",PNL!D409)</f>
        <v>ACT</v>
      </c>
      <c r="E409">
        <f t="shared" si="0"/>
        <v>0</v>
      </c>
      <c r="F409">
        <f>IF($A409="","",IF($E409=1,_xlfn.SUMIFS(Compta!$F$1:$F$1448,Compta!$A$1:$A$1448,$A409,Compta!$B$1:$B$1448,$B409,Compta!$C$1:$C$1448,"2026"),0))</f>
        <v>0</v>
      </c>
      <c r="G409" t="s">
        <v>274</v>
      </c>
      <c r="H409" t="s">
        <v>274</v>
      </c>
      <c r="I409" t="s">
        <v>274</v>
      </c>
      <c r="J409" t="s">
        <v>274</v>
      </c>
      <c r="K409" t="s">
        <v>274</v>
      </c>
      <c r="L409" t="s">
        <v>274</v>
      </c>
      <c r="M409" t="s">
        <v>274</v>
      </c>
      <c r="N409" t="e">
        <f t="shared" si="1"/>
        <v>#VALUE!</v>
      </c>
      <c r="O409" t="e">
        <f t="shared" si="2"/>
        <v>#VALUE!</v>
      </c>
      <c r="P409">
        <f>IF($A409="","",IF($E409=1,$F409*$O409,PNL!G409))</f>
        <v>129156</v>
      </c>
      <c r="T409">
        <f t="shared" si="3"/>
        <v>0</v>
      </c>
    </row>
    <row r="410" ht="14.25" customHeight="1">
      <c r="A410" t="str">
        <f>IF(PNL!A410="","",PNL!A410)</f>
        <v>ISCOM_TLS</v>
      </c>
      <c r="B410" t="str">
        <f>IF(PNL!B410="","",PNL!B410)</f>
        <v>613</v>
      </c>
      <c r="C410" t="str">
        <f>IF(PNL!C410="","",PNL!C410)</f>
        <v>2024</v>
      </c>
      <c r="D410" t="str">
        <f>IF(PNL!D410="","",PNL!D410)</f>
        <v>ACT</v>
      </c>
      <c r="E410">
        <f t="shared" si="0"/>
        <v>0</v>
      </c>
      <c r="F410">
        <f>IF($A410="","",IF($E410=1,_xlfn.SUMIFS(Compta!$F$1:$F$1448,Compta!$A$1:$A$1448,$A410,Compta!$B$1:$B$1448,$B410,Compta!$C$1:$C$1448,"2026"),0))</f>
        <v>0</v>
      </c>
      <c r="G410" t="s">
        <v>274</v>
      </c>
      <c r="H410" t="s">
        <v>274</v>
      </c>
      <c r="I410" t="s">
        <v>274</v>
      </c>
      <c r="J410" t="s">
        <v>274</v>
      </c>
      <c r="K410" t="s">
        <v>274</v>
      </c>
      <c r="L410" t="s">
        <v>274</v>
      </c>
      <c r="M410" t="s">
        <v>274</v>
      </c>
      <c r="N410" t="e">
        <f t="shared" si="1"/>
        <v>#VALUE!</v>
      </c>
      <c r="O410" t="e">
        <f t="shared" si="2"/>
        <v>#VALUE!</v>
      </c>
      <c r="P410">
        <f>IF($A410="","",IF($E410=1,$F410*$O410,PNL!G410))</f>
        <v>126348</v>
      </c>
      <c r="T410">
        <f t="shared" si="3"/>
        <v>0</v>
      </c>
    </row>
    <row r="411" ht="14.25" customHeight="1">
      <c r="A411" t="str">
        <f>IF(PNL!A411="","",PNL!A411)</f>
        <v>IPAC_NAN</v>
      </c>
      <c r="B411" t="str">
        <f>IF(PNL!B411="","",PNL!B411)</f>
        <v>613</v>
      </c>
      <c r="C411" t="str">
        <f>IF(PNL!C411="","",PNL!C411)</f>
        <v>2024</v>
      </c>
      <c r="D411" t="str">
        <f>IF(PNL!D411="","",PNL!D411)</f>
        <v>ACT</v>
      </c>
      <c r="E411">
        <f t="shared" si="0"/>
        <v>0</v>
      </c>
      <c r="F411">
        <f>IF($A411="","",IF($E411=1,_xlfn.SUMIFS(Compta!$F$1:$F$1448,Compta!$A$1:$A$1448,$A411,Compta!$B$1:$B$1448,$B411,Compta!$C$1:$C$1448,"2026"),0))</f>
        <v>0</v>
      </c>
      <c r="G411" t="s">
        <v>274</v>
      </c>
      <c r="H411" t="s">
        <v>274</v>
      </c>
      <c r="I411" t="s">
        <v>274</v>
      </c>
      <c r="J411" t="s">
        <v>274</v>
      </c>
      <c r="K411" t="s">
        <v>274</v>
      </c>
      <c r="L411" t="s">
        <v>274</v>
      </c>
      <c r="M411" t="s">
        <v>274</v>
      </c>
      <c r="N411" t="e">
        <f t="shared" si="1"/>
        <v>#VALUE!</v>
      </c>
      <c r="O411" t="e">
        <f t="shared" si="2"/>
        <v>#VALUE!</v>
      </c>
      <c r="P411">
        <f>IF($A411="","",IF($E411=1,$F411*$O411,PNL!G411))</f>
        <v>84232</v>
      </c>
      <c r="T411">
        <f t="shared" si="3"/>
        <v>0</v>
      </c>
    </row>
    <row r="412" ht="14.25" customHeight="1">
      <c r="A412" t="str">
        <f>IF(PNL!A412="","",PNL!A412)</f>
        <v>IPAC_REN</v>
      </c>
      <c r="B412" t="str">
        <f>IF(PNL!B412="","",PNL!B412)</f>
        <v>613</v>
      </c>
      <c r="C412" t="str">
        <f>IF(PNL!C412="","",PNL!C412)</f>
        <v>2024</v>
      </c>
      <c r="D412" t="str">
        <f>IF(PNL!D412="","",PNL!D412)</f>
        <v>ACT</v>
      </c>
      <c r="E412">
        <f t="shared" si="0"/>
        <v>0</v>
      </c>
      <c r="F412">
        <f>IF($A412="","",IF($E412=1,_xlfn.SUMIFS(Compta!$F$1:$F$1448,Compta!$A$1:$A$1448,$A412,Compta!$B$1:$B$1448,$B412,Compta!$C$1:$C$1448,"2026"),0))</f>
        <v>0</v>
      </c>
      <c r="G412" t="s">
        <v>274</v>
      </c>
      <c r="H412" t="s">
        <v>274</v>
      </c>
      <c r="I412" t="s">
        <v>274</v>
      </c>
      <c r="J412" t="s">
        <v>274</v>
      </c>
      <c r="K412" t="s">
        <v>274</v>
      </c>
      <c r="L412" t="s">
        <v>274</v>
      </c>
      <c r="M412" t="s">
        <v>274</v>
      </c>
      <c r="N412" t="e">
        <f t="shared" si="1"/>
        <v>#VALUE!</v>
      </c>
      <c r="O412" t="e">
        <f t="shared" si="2"/>
        <v>#VALUE!</v>
      </c>
      <c r="P412">
        <f>IF($A412="","",IF($E412=1,$F412*$O412,PNL!G412))</f>
        <v>74124</v>
      </c>
      <c r="T412">
        <f t="shared" si="3"/>
        <v>0</v>
      </c>
    </row>
    <row r="413" ht="14.25" customHeight="1">
      <c r="A413" t="str">
        <f>IF(PNL!A413="","",PNL!A413)</f>
        <v>IPAC_MTP</v>
      </c>
      <c r="B413" t="str">
        <f>IF(PNL!B413="","",PNL!B413)</f>
        <v>613</v>
      </c>
      <c r="C413" t="str">
        <f>IF(PNL!C413="","",PNL!C413)</f>
        <v>2024</v>
      </c>
      <c r="D413" t="str">
        <f>IF(PNL!D413="","",PNL!D413)</f>
        <v>ACT</v>
      </c>
      <c r="E413">
        <f t="shared" si="0"/>
        <v>0</v>
      </c>
      <c r="F413">
        <f>IF($A413="","",IF($E413=1,_xlfn.SUMIFS(Compta!$F$1:$F$1448,Compta!$A$1:$A$1448,$A413,Compta!$B$1:$B$1448,$B413,Compta!$C$1:$C$1448,"2026"),0))</f>
        <v>0</v>
      </c>
      <c r="G413" t="s">
        <v>274</v>
      </c>
      <c r="H413" t="s">
        <v>274</v>
      </c>
      <c r="I413" t="s">
        <v>274</v>
      </c>
      <c r="J413" t="s">
        <v>274</v>
      </c>
      <c r="K413" t="s">
        <v>274</v>
      </c>
      <c r="L413" t="s">
        <v>274</v>
      </c>
      <c r="M413" t="s">
        <v>274</v>
      </c>
      <c r="N413" t="e">
        <f t="shared" si="1"/>
        <v>#VALUE!</v>
      </c>
      <c r="O413" t="e">
        <f t="shared" si="2"/>
        <v>#VALUE!</v>
      </c>
      <c r="P413">
        <f>IF($A413="","",IF($E413=1,$F413*$O413,PNL!G413))</f>
        <v>74124</v>
      </c>
      <c r="T413">
        <f t="shared" si="3"/>
        <v>0</v>
      </c>
    </row>
    <row r="414" ht="14.25" customHeight="1">
      <c r="A414" t="str">
        <f>IF(PNL!A414="","",PNL!A414)</f>
        <v>PIGIER_LYO</v>
      </c>
      <c r="B414" t="str">
        <f>IF(PNL!B414="","",PNL!B414)</f>
        <v>613</v>
      </c>
      <c r="C414" t="str">
        <f>IF(PNL!C414="","",PNL!C414)</f>
        <v>2024</v>
      </c>
      <c r="D414" t="str">
        <f>IF(PNL!D414="","",PNL!D414)</f>
        <v>ACT</v>
      </c>
      <c r="E414">
        <f t="shared" si="0"/>
        <v>0</v>
      </c>
      <c r="F414">
        <f>IF($A414="","",IF($E414=1,_xlfn.SUMIFS(Compta!$F$1:$F$1448,Compta!$A$1:$A$1448,$A414,Compta!$B$1:$B$1448,$B414,Compta!$C$1:$C$1448,"2026"),0))</f>
        <v>0</v>
      </c>
      <c r="G414" t="s">
        <v>274</v>
      </c>
      <c r="H414" t="s">
        <v>274</v>
      </c>
      <c r="I414" t="s">
        <v>274</v>
      </c>
      <c r="J414" t="s">
        <v>274</v>
      </c>
      <c r="K414" t="s">
        <v>274</v>
      </c>
      <c r="L414" t="s">
        <v>274</v>
      </c>
      <c r="M414" t="s">
        <v>274</v>
      </c>
      <c r="N414" t="e">
        <f t="shared" si="1"/>
        <v>#VALUE!</v>
      </c>
      <c r="O414" t="e">
        <f t="shared" si="2"/>
        <v>#VALUE!</v>
      </c>
      <c r="P414">
        <f>IF($A414="","",IF($E414=1,$F414*$O414,PNL!G414))</f>
        <v>125787</v>
      </c>
      <c r="T414">
        <f t="shared" si="3"/>
        <v>0</v>
      </c>
    </row>
    <row r="415" ht="14.25" customHeight="1">
      <c r="A415" t="str">
        <f>IF(PNL!A415="","",PNL!A415)</f>
        <v>PIGIER_BOR</v>
      </c>
      <c r="B415" t="str">
        <f>IF(PNL!B415="","",PNL!B415)</f>
        <v>613</v>
      </c>
      <c r="C415" t="str">
        <f>IF(PNL!C415="","",PNL!C415)</f>
        <v>2024</v>
      </c>
      <c r="D415" t="str">
        <f>IF(PNL!D415="","",PNL!D415)</f>
        <v>ACT</v>
      </c>
      <c r="E415">
        <f t="shared" si="0"/>
        <v>0</v>
      </c>
      <c r="F415">
        <f>IF($A415="","",IF($E415=1,_xlfn.SUMIFS(Compta!$F$1:$F$1448,Compta!$A$1:$A$1448,$A415,Compta!$B$1:$B$1448,$B415,Compta!$C$1:$C$1448,"2026"),0))</f>
        <v>0</v>
      </c>
      <c r="G415" t="s">
        <v>274</v>
      </c>
      <c r="H415" t="s">
        <v>274</v>
      </c>
      <c r="I415" t="s">
        <v>274</v>
      </c>
      <c r="J415" t="s">
        <v>274</v>
      </c>
      <c r="K415" t="s">
        <v>274</v>
      </c>
      <c r="L415" t="s">
        <v>274</v>
      </c>
      <c r="M415" t="s">
        <v>274</v>
      </c>
      <c r="N415" t="e">
        <f t="shared" si="1"/>
        <v>#VALUE!</v>
      </c>
      <c r="O415" t="e">
        <f t="shared" si="2"/>
        <v>#VALUE!</v>
      </c>
      <c r="P415">
        <f>IF($A415="","",IF($E415=1,$F415*$O415,PNL!G415))</f>
        <v>117925</v>
      </c>
      <c r="T415">
        <f t="shared" si="3"/>
        <v>0</v>
      </c>
    </row>
    <row r="416" ht="14.25" customHeight="1">
      <c r="A416" t="str">
        <f>IF(PNL!A416="","",PNL!A416)</f>
        <v>TUNON_PAR</v>
      </c>
      <c r="B416" t="str">
        <f>IF(PNL!B416="","",PNL!B416)</f>
        <v>613</v>
      </c>
      <c r="C416" t="str">
        <f>IF(PNL!C416="","",PNL!C416)</f>
        <v>2024</v>
      </c>
      <c r="D416" t="str">
        <f>IF(PNL!D416="","",PNL!D416)</f>
        <v>ACT</v>
      </c>
      <c r="E416">
        <f t="shared" si="0"/>
        <v>0</v>
      </c>
      <c r="F416">
        <f>IF($A416="","",IF($E416=1,_xlfn.SUMIFS(Compta!$F$1:$F$1448,Compta!$A$1:$A$1448,$A416,Compta!$B$1:$B$1448,$B416,Compta!$C$1:$C$1448,"2026"),0))</f>
        <v>0</v>
      </c>
      <c r="G416" t="s">
        <v>274</v>
      </c>
      <c r="H416" t="s">
        <v>274</v>
      </c>
      <c r="I416" t="s">
        <v>274</v>
      </c>
      <c r="J416" t="s">
        <v>274</v>
      </c>
      <c r="K416" t="s">
        <v>274</v>
      </c>
      <c r="L416" t="s">
        <v>274</v>
      </c>
      <c r="M416" t="s">
        <v>274</v>
      </c>
      <c r="N416" t="e">
        <f t="shared" si="1"/>
        <v>#VALUE!</v>
      </c>
      <c r="O416" t="e">
        <f t="shared" si="2"/>
        <v>#VALUE!</v>
      </c>
      <c r="P416">
        <f>IF($A416="","",IF($E416=1,$F416*$O416,PNL!G416))</f>
        <v>136456</v>
      </c>
      <c r="T416">
        <f t="shared" si="3"/>
        <v>0</v>
      </c>
    </row>
    <row r="417" ht="14.25" customHeight="1">
      <c r="A417" t="str">
        <f>IF(PNL!A417="","",PNL!A417)</f>
        <v>TUNON_LYO</v>
      </c>
      <c r="B417" t="str">
        <f>IF(PNL!B417="","",PNL!B417)</f>
        <v>613</v>
      </c>
      <c r="C417" t="str">
        <f>IF(PNL!C417="","",PNL!C417)</f>
        <v>2024</v>
      </c>
      <c r="D417" t="str">
        <f>IF(PNL!D417="","",PNL!D417)</f>
        <v>ACT</v>
      </c>
      <c r="E417">
        <f t="shared" si="0"/>
        <v>0</v>
      </c>
      <c r="F417">
        <f>IF($A417="","",IF($E417=1,_xlfn.SUMIFS(Compta!$F$1:$F$1448,Compta!$A$1:$A$1448,$A417,Compta!$B$1:$B$1448,$B417,Compta!$C$1:$C$1448,"2026"),0))</f>
        <v>0</v>
      </c>
      <c r="G417" t="s">
        <v>274</v>
      </c>
      <c r="H417" t="s">
        <v>274</v>
      </c>
      <c r="I417" t="s">
        <v>274</v>
      </c>
      <c r="J417" t="s">
        <v>274</v>
      </c>
      <c r="K417" t="s">
        <v>274</v>
      </c>
      <c r="L417" t="s">
        <v>274</v>
      </c>
      <c r="M417" t="s">
        <v>274</v>
      </c>
      <c r="N417" t="e">
        <f t="shared" si="1"/>
        <v>#VALUE!</v>
      </c>
      <c r="O417" t="e">
        <f t="shared" si="2"/>
        <v>#VALUE!</v>
      </c>
      <c r="P417">
        <f>IF($A417="","",IF($E417=1,$F417*$O417,PNL!G417))</f>
        <v>94340</v>
      </c>
      <c r="T417">
        <f t="shared" si="3"/>
        <v>0</v>
      </c>
    </row>
    <row r="418" ht="14.25" customHeight="1">
      <c r="A418" t="str">
        <f>IF(PNL!A418="","",PNL!A418)</f>
        <v>MBWAY_PAR</v>
      </c>
      <c r="B418" t="str">
        <f>IF(PNL!B418="","",PNL!B418)</f>
        <v>613</v>
      </c>
      <c r="C418" t="str">
        <f>IF(PNL!C418="","",PNL!C418)</f>
        <v>2025</v>
      </c>
      <c r="D418" t="str">
        <f>IF(PNL!D418="","",PNL!D418)</f>
        <v>ACT</v>
      </c>
      <c r="E418">
        <f t="shared" si="0"/>
        <v>0</v>
      </c>
      <c r="F418">
        <f>IF($A418="","",IF($E418=1,_xlfn.SUMIFS(Compta!$F$1:$F$1448,Compta!$A$1:$A$1448,$A418,Compta!$B$1:$B$1448,$B418,Compta!$C$1:$C$1448,"2026"),0))</f>
        <v>0</v>
      </c>
      <c r="G418" t="s">
        <v>274</v>
      </c>
      <c r="H418" t="s">
        <v>274</v>
      </c>
      <c r="I418" t="s">
        <v>274</v>
      </c>
      <c r="J418" t="s">
        <v>274</v>
      </c>
      <c r="K418" t="s">
        <v>274</v>
      </c>
      <c r="L418" t="s">
        <v>274</v>
      </c>
      <c r="M418" t="s">
        <v>274</v>
      </c>
      <c r="N418" t="e">
        <f t="shared" si="1"/>
        <v>#VALUE!</v>
      </c>
      <c r="O418" t="e">
        <f t="shared" si="2"/>
        <v>#VALUE!</v>
      </c>
      <c r="P418">
        <f>IF($A418="","",IF($E418=1,$F418*$O418,PNL!G418))</f>
        <v>356772</v>
      </c>
      <c r="T418">
        <f t="shared" si="3"/>
        <v>0</v>
      </c>
    </row>
    <row r="419" ht="14.25" customHeight="1">
      <c r="A419" t="str">
        <f>IF(PNL!A419="","",PNL!A419)</f>
        <v>MBWAY_LYO</v>
      </c>
      <c r="B419" t="str">
        <f>IF(PNL!B419="","",PNL!B419)</f>
        <v>613</v>
      </c>
      <c r="C419" t="str">
        <f>IF(PNL!C419="","",PNL!C419)</f>
        <v>2025</v>
      </c>
      <c r="D419" t="str">
        <f>IF(PNL!D419="","",PNL!D419)</f>
        <v>ACT</v>
      </c>
      <c r="E419">
        <f t="shared" si="0"/>
        <v>0</v>
      </c>
      <c r="F419">
        <f>IF($A419="","",IF($E419=1,_xlfn.SUMIFS(Compta!$F$1:$F$1448,Compta!$A$1:$A$1448,$A419,Compta!$B$1:$B$1448,$B419,Compta!$C$1:$C$1448,"2026"),0))</f>
        <v>0</v>
      </c>
      <c r="G419" t="s">
        <v>274</v>
      </c>
      <c r="H419" t="s">
        <v>274</v>
      </c>
      <c r="I419" t="s">
        <v>274</v>
      </c>
      <c r="J419" t="s">
        <v>274</v>
      </c>
      <c r="K419" t="s">
        <v>274</v>
      </c>
      <c r="L419" t="s">
        <v>274</v>
      </c>
      <c r="M419" t="s">
        <v>274</v>
      </c>
      <c r="N419" t="e">
        <f t="shared" si="1"/>
        <v>#VALUE!</v>
      </c>
      <c r="O419" t="e">
        <f t="shared" si="2"/>
        <v>#VALUE!</v>
      </c>
      <c r="P419">
        <f>IF($A419="","",IF($E419=1,$F419*$O419,PNL!G419))</f>
        <v>213769</v>
      </c>
      <c r="T419">
        <f t="shared" si="3"/>
        <v>0</v>
      </c>
    </row>
    <row r="420" ht="14.25" customHeight="1">
      <c r="A420" t="str">
        <f>IF(PNL!A420="","",PNL!A420)</f>
        <v>MBWAY_NAN</v>
      </c>
      <c r="B420" t="str">
        <f>IF(PNL!B420="","",PNL!B420)</f>
        <v>613</v>
      </c>
      <c r="C420" t="str">
        <f>IF(PNL!C420="","",PNL!C420)</f>
        <v>2025</v>
      </c>
      <c r="D420" t="str">
        <f>IF(PNL!D420="","",PNL!D420)</f>
        <v>ACT</v>
      </c>
      <c r="E420">
        <f t="shared" si="0"/>
        <v>0</v>
      </c>
      <c r="F420">
        <f>IF($A420="","",IF($E420=1,_xlfn.SUMIFS(Compta!$F$1:$F$1448,Compta!$A$1:$A$1448,$A420,Compta!$B$1:$B$1448,$B420,Compta!$C$1:$C$1448,"2026"),0))</f>
        <v>0</v>
      </c>
      <c r="G420" t="s">
        <v>274</v>
      </c>
      <c r="H420" t="s">
        <v>274</v>
      </c>
      <c r="I420" t="s">
        <v>274</v>
      </c>
      <c r="J420" t="s">
        <v>274</v>
      </c>
      <c r="K420" t="s">
        <v>274</v>
      </c>
      <c r="L420" t="s">
        <v>274</v>
      </c>
      <c r="M420" t="s">
        <v>274</v>
      </c>
      <c r="N420" t="e">
        <f t="shared" si="1"/>
        <v>#VALUE!</v>
      </c>
      <c r="O420" t="e">
        <f t="shared" si="2"/>
        <v>#VALUE!</v>
      </c>
      <c r="P420">
        <f>IF($A420="","",IF($E420=1,$F420*$O420,PNL!G420))</f>
        <v>176184</v>
      </c>
      <c r="T420">
        <f t="shared" si="3"/>
        <v>0</v>
      </c>
    </row>
    <row r="421" ht="14.25" customHeight="1">
      <c r="A421" t="str">
        <f>IF(PNL!A421="","",PNL!A421)</f>
        <v>MBWAY_BOR</v>
      </c>
      <c r="B421" t="str">
        <f>IF(PNL!B421="","",PNL!B421)</f>
        <v>613</v>
      </c>
      <c r="C421" t="str">
        <f>IF(PNL!C421="","",PNL!C421)</f>
        <v>2025</v>
      </c>
      <c r="D421" t="str">
        <f>IF(PNL!D421="","",PNL!D421)</f>
        <v>ACT</v>
      </c>
      <c r="E421">
        <f t="shared" si="0"/>
        <v>0</v>
      </c>
      <c r="F421">
        <f>IF($A421="","",IF($E421=1,_xlfn.SUMIFS(Compta!$F$1:$F$1448,Compta!$A$1:$A$1448,$A421,Compta!$B$1:$B$1448,$B421,Compta!$C$1:$C$1448,"2026"),0))</f>
        <v>0</v>
      </c>
      <c r="G421" t="s">
        <v>274</v>
      </c>
      <c r="H421" t="s">
        <v>274</v>
      </c>
      <c r="I421" t="s">
        <v>274</v>
      </c>
      <c r="J421" t="s">
        <v>274</v>
      </c>
      <c r="K421" t="s">
        <v>274</v>
      </c>
      <c r="L421" t="s">
        <v>274</v>
      </c>
      <c r="M421" t="s">
        <v>274</v>
      </c>
      <c r="N421" t="e">
        <f t="shared" si="1"/>
        <v>#VALUE!</v>
      </c>
      <c r="O421" t="e">
        <f t="shared" si="2"/>
        <v>#VALUE!</v>
      </c>
      <c r="P421">
        <f>IF($A421="","",IF($E421=1,$F421*$O421,PNL!G421))</f>
        <v>154161</v>
      </c>
      <c r="T421">
        <f t="shared" si="3"/>
        <v>0</v>
      </c>
    </row>
    <row r="422" ht="14.25" customHeight="1">
      <c r="A422" t="str">
        <f>IF(PNL!A422="","",PNL!A422)</f>
        <v>ISCOM_PAR</v>
      </c>
      <c r="B422" t="str">
        <f>IF(PNL!B422="","",PNL!B422)</f>
        <v>613</v>
      </c>
      <c r="C422" t="str">
        <f>IF(PNL!C422="","",PNL!C422)</f>
        <v>2025</v>
      </c>
      <c r="D422" t="str">
        <f>IF(PNL!D422="","",PNL!D422)</f>
        <v>ACT</v>
      </c>
      <c r="E422">
        <f t="shared" si="0"/>
        <v>0</v>
      </c>
      <c r="F422">
        <f>IF($A422="","",IF($E422=1,_xlfn.SUMIFS(Compta!$F$1:$F$1448,Compta!$A$1:$A$1448,$A422,Compta!$B$1:$B$1448,$B422,Compta!$C$1:$C$1448,"2026"),0))</f>
        <v>0</v>
      </c>
      <c r="G422" t="s">
        <v>274</v>
      </c>
      <c r="H422" t="s">
        <v>274</v>
      </c>
      <c r="I422" t="s">
        <v>274</v>
      </c>
      <c r="J422" t="s">
        <v>274</v>
      </c>
      <c r="K422" t="s">
        <v>274</v>
      </c>
      <c r="L422" t="s">
        <v>274</v>
      </c>
      <c r="M422" t="s">
        <v>274</v>
      </c>
      <c r="N422" t="e">
        <f t="shared" si="1"/>
        <v>#VALUE!</v>
      </c>
      <c r="O422" t="e">
        <f t="shared" si="2"/>
        <v>#VALUE!</v>
      </c>
      <c r="P422">
        <f>IF($A422="","",IF($E422=1,$F422*$O422,PNL!G422))</f>
        <v>356772</v>
      </c>
      <c r="T422">
        <f t="shared" si="3"/>
        <v>0</v>
      </c>
    </row>
    <row r="423" ht="14.25" customHeight="1">
      <c r="A423" t="str">
        <f>IF(PNL!A423="","",PNL!A423)</f>
        <v>ISCOM_LIL</v>
      </c>
      <c r="B423" t="str">
        <f>IF(PNL!B423="","",PNL!B423)</f>
        <v>613</v>
      </c>
      <c r="C423" t="str">
        <f>IF(PNL!C423="","",PNL!C423)</f>
        <v>2025</v>
      </c>
      <c r="D423" t="str">
        <f>IF(PNL!D423="","",PNL!D423)</f>
        <v>ACT</v>
      </c>
      <c r="E423">
        <f t="shared" si="0"/>
        <v>0</v>
      </c>
      <c r="F423">
        <f>IF($A423="","",IF($E423=1,_xlfn.SUMIFS(Compta!$F$1:$F$1448,Compta!$A$1:$A$1448,$A423,Compta!$B$1:$B$1448,$B423,Compta!$C$1:$C$1448,"2026"),0))</f>
        <v>0</v>
      </c>
      <c r="G423" t="s">
        <v>274</v>
      </c>
      <c r="H423" t="s">
        <v>274</v>
      </c>
      <c r="I423" t="s">
        <v>274</v>
      </c>
      <c r="J423" t="s">
        <v>274</v>
      </c>
      <c r="K423" t="s">
        <v>274</v>
      </c>
      <c r="L423" t="s">
        <v>274</v>
      </c>
      <c r="M423" t="s">
        <v>274</v>
      </c>
      <c r="N423" t="e">
        <f t="shared" si="1"/>
        <v>#VALUE!</v>
      </c>
      <c r="O423" t="e">
        <f t="shared" si="2"/>
        <v>#VALUE!</v>
      </c>
      <c r="P423">
        <f>IF($A423="","",IF($E423=1,$F423*$O423,PNL!G423))</f>
        <v>135074</v>
      </c>
      <c r="T423">
        <f t="shared" si="3"/>
        <v>0</v>
      </c>
    </row>
    <row r="424" ht="14.25" customHeight="1">
      <c r="A424" t="str">
        <f>IF(PNL!A424="","",PNL!A424)</f>
        <v>ISCOM_TLS</v>
      </c>
      <c r="B424" t="str">
        <f>IF(PNL!B424="","",PNL!B424)</f>
        <v>613</v>
      </c>
      <c r="C424" t="str">
        <f>IF(PNL!C424="","",PNL!C424)</f>
        <v>2025</v>
      </c>
      <c r="D424" t="str">
        <f>IF(PNL!D424="","",PNL!D424)</f>
        <v>ACT</v>
      </c>
      <c r="E424">
        <f t="shared" si="0"/>
        <v>0</v>
      </c>
      <c r="F424">
        <f>IF($A424="","",IF($E424=1,_xlfn.SUMIFS(Compta!$F$1:$F$1448,Compta!$A$1:$A$1448,$A424,Compta!$B$1:$B$1448,$B424,Compta!$C$1:$C$1448,"2026"),0))</f>
        <v>0</v>
      </c>
      <c r="G424" t="s">
        <v>274</v>
      </c>
      <c r="H424" t="s">
        <v>274</v>
      </c>
      <c r="I424" t="s">
        <v>274</v>
      </c>
      <c r="J424" t="s">
        <v>274</v>
      </c>
      <c r="K424" t="s">
        <v>274</v>
      </c>
      <c r="L424" t="s">
        <v>274</v>
      </c>
      <c r="M424" t="s">
        <v>274</v>
      </c>
      <c r="N424" t="e">
        <f t="shared" si="1"/>
        <v>#VALUE!</v>
      </c>
      <c r="O424" t="e">
        <f t="shared" si="2"/>
        <v>#VALUE!</v>
      </c>
      <c r="P424">
        <f>IF($A424="","",IF($E424=1,$F424*$O424,PNL!G424))</f>
        <v>132138</v>
      </c>
      <c r="T424">
        <f t="shared" si="3"/>
        <v>0</v>
      </c>
    </row>
    <row r="425" ht="14.25" customHeight="1">
      <c r="A425" t="str">
        <f>IF(PNL!A425="","",PNL!A425)</f>
        <v>IPAC_NAN</v>
      </c>
      <c r="B425" t="str">
        <f>IF(PNL!B425="","",PNL!B425)</f>
        <v>613</v>
      </c>
      <c r="C425" t="str">
        <f>IF(PNL!C425="","",PNL!C425)</f>
        <v>2025</v>
      </c>
      <c r="D425" t="str">
        <f>IF(PNL!D425="","",PNL!D425)</f>
        <v>ACT</v>
      </c>
      <c r="E425">
        <f t="shared" si="0"/>
        <v>0</v>
      </c>
      <c r="F425">
        <f>IF($A425="","",IF($E425=1,_xlfn.SUMIFS(Compta!$F$1:$F$1448,Compta!$A$1:$A$1448,$A425,Compta!$B$1:$B$1448,$B425,Compta!$C$1:$C$1448,"2026"),0))</f>
        <v>0</v>
      </c>
      <c r="G425" t="s">
        <v>274</v>
      </c>
      <c r="H425" t="s">
        <v>274</v>
      </c>
      <c r="I425" t="s">
        <v>274</v>
      </c>
      <c r="J425" t="s">
        <v>274</v>
      </c>
      <c r="K425" t="s">
        <v>274</v>
      </c>
      <c r="L425" t="s">
        <v>274</v>
      </c>
      <c r="M425" t="s">
        <v>274</v>
      </c>
      <c r="N425" t="e">
        <f t="shared" si="1"/>
        <v>#VALUE!</v>
      </c>
      <c r="O425" t="e">
        <f t="shared" si="2"/>
        <v>#VALUE!</v>
      </c>
      <c r="P425">
        <f>IF($A425="","",IF($E425=1,$F425*$O425,PNL!G425))</f>
        <v>88092</v>
      </c>
      <c r="T425">
        <f t="shared" si="3"/>
        <v>0</v>
      </c>
    </row>
    <row r="426" ht="14.25" customHeight="1">
      <c r="A426" t="str">
        <f>IF(PNL!A426="","",PNL!A426)</f>
        <v>IPAC_REN</v>
      </c>
      <c r="B426" t="str">
        <f>IF(PNL!B426="","",PNL!B426)</f>
        <v>613</v>
      </c>
      <c r="C426" t="str">
        <f>IF(PNL!C426="","",PNL!C426)</f>
        <v>2025</v>
      </c>
      <c r="D426" t="str">
        <f>IF(PNL!D426="","",PNL!D426)</f>
        <v>ACT</v>
      </c>
      <c r="E426">
        <f t="shared" si="0"/>
        <v>0</v>
      </c>
      <c r="F426">
        <f>IF($A426="","",IF($E426=1,_xlfn.SUMIFS(Compta!$F$1:$F$1448,Compta!$A$1:$A$1448,$A426,Compta!$B$1:$B$1448,$B426,Compta!$C$1:$C$1448,"2026"),0))</f>
        <v>0</v>
      </c>
      <c r="G426" t="s">
        <v>274</v>
      </c>
      <c r="H426" t="s">
        <v>274</v>
      </c>
      <c r="I426" t="s">
        <v>274</v>
      </c>
      <c r="J426" t="s">
        <v>274</v>
      </c>
      <c r="K426" t="s">
        <v>274</v>
      </c>
      <c r="L426" t="s">
        <v>274</v>
      </c>
      <c r="M426" t="s">
        <v>274</v>
      </c>
      <c r="N426" t="e">
        <f t="shared" si="1"/>
        <v>#VALUE!</v>
      </c>
      <c r="O426" t="e">
        <f t="shared" si="2"/>
        <v>#VALUE!</v>
      </c>
      <c r="P426">
        <f>IF($A426="","",IF($E426=1,$F426*$O426,PNL!G426))</f>
        <v>77521</v>
      </c>
      <c r="T426">
        <f t="shared" si="3"/>
        <v>0</v>
      </c>
    </row>
    <row r="427" ht="14.25" customHeight="1">
      <c r="A427" t="str">
        <f>IF(PNL!A427="","",PNL!A427)</f>
        <v>IPAC_MTP</v>
      </c>
      <c r="B427" t="str">
        <f>IF(PNL!B427="","",PNL!B427)</f>
        <v>613</v>
      </c>
      <c r="C427" t="str">
        <f>IF(PNL!C427="","",PNL!C427)</f>
        <v>2025</v>
      </c>
      <c r="D427" t="str">
        <f>IF(PNL!D427="","",PNL!D427)</f>
        <v>ACT</v>
      </c>
      <c r="E427">
        <f t="shared" si="0"/>
        <v>0</v>
      </c>
      <c r="F427">
        <f>IF($A427="","",IF($E427=1,_xlfn.SUMIFS(Compta!$F$1:$F$1448,Compta!$A$1:$A$1448,$A427,Compta!$B$1:$B$1448,$B427,Compta!$C$1:$C$1448,"2026"),0))</f>
        <v>0</v>
      </c>
      <c r="G427" t="s">
        <v>274</v>
      </c>
      <c r="H427" t="s">
        <v>274</v>
      </c>
      <c r="I427" t="s">
        <v>274</v>
      </c>
      <c r="J427" t="s">
        <v>274</v>
      </c>
      <c r="K427" t="s">
        <v>274</v>
      </c>
      <c r="L427" t="s">
        <v>274</v>
      </c>
      <c r="M427" t="s">
        <v>274</v>
      </c>
      <c r="N427" t="e">
        <f t="shared" si="1"/>
        <v>#VALUE!</v>
      </c>
      <c r="O427" t="e">
        <f t="shared" si="2"/>
        <v>#VALUE!</v>
      </c>
      <c r="P427">
        <f>IF($A427="","",IF($E427=1,$F427*$O427,PNL!G427))</f>
        <v>77521</v>
      </c>
      <c r="T427">
        <f t="shared" si="3"/>
        <v>0</v>
      </c>
    </row>
    <row r="428" ht="14.25" customHeight="1">
      <c r="A428" t="str">
        <f>IF(PNL!A428="","",PNL!A428)</f>
        <v>PIGIER_LYO</v>
      </c>
      <c r="B428" t="str">
        <f>IF(PNL!B428="","",PNL!B428)</f>
        <v>613</v>
      </c>
      <c r="C428" t="str">
        <f>IF(PNL!C428="","",PNL!C428)</f>
        <v>2025</v>
      </c>
      <c r="D428" t="str">
        <f>IF(PNL!D428="","",PNL!D428)</f>
        <v>ACT</v>
      </c>
      <c r="E428">
        <f t="shared" si="0"/>
        <v>0</v>
      </c>
      <c r="F428">
        <f>IF($A428="","",IF($E428=1,_xlfn.SUMIFS(Compta!$F$1:$F$1448,Compta!$A$1:$A$1448,$A428,Compta!$B$1:$B$1448,$B428,Compta!$C$1:$C$1448,"2026"),0))</f>
        <v>0</v>
      </c>
      <c r="G428" t="s">
        <v>274</v>
      </c>
      <c r="H428" t="s">
        <v>274</v>
      </c>
      <c r="I428" t="s">
        <v>274</v>
      </c>
      <c r="J428" t="s">
        <v>274</v>
      </c>
      <c r="K428" t="s">
        <v>274</v>
      </c>
      <c r="L428" t="s">
        <v>274</v>
      </c>
      <c r="M428" t="s">
        <v>274</v>
      </c>
      <c r="N428" t="e">
        <f t="shared" si="1"/>
        <v>#VALUE!</v>
      </c>
      <c r="O428" t="e">
        <f t="shared" si="2"/>
        <v>#VALUE!</v>
      </c>
      <c r="P428">
        <f>IF($A428="","",IF($E428=1,$F428*$O428,PNL!G428))</f>
        <v>131550</v>
      </c>
      <c r="T428">
        <f t="shared" si="3"/>
        <v>0</v>
      </c>
    </row>
    <row r="429" ht="14.25" customHeight="1">
      <c r="A429" t="str">
        <f>IF(PNL!A429="","",PNL!A429)</f>
        <v>PIGIER_BOR</v>
      </c>
      <c r="B429" t="str">
        <f>IF(PNL!B429="","",PNL!B429)</f>
        <v>613</v>
      </c>
      <c r="C429" t="str">
        <f>IF(PNL!C429="","",PNL!C429)</f>
        <v>2025</v>
      </c>
      <c r="D429" t="str">
        <f>IF(PNL!D429="","",PNL!D429)</f>
        <v>ACT</v>
      </c>
      <c r="E429">
        <f t="shared" si="0"/>
        <v>0</v>
      </c>
      <c r="F429">
        <f>IF($A429="","",IF($E429=1,_xlfn.SUMIFS(Compta!$F$1:$F$1448,Compta!$A$1:$A$1448,$A429,Compta!$B$1:$B$1448,$B429,Compta!$C$1:$C$1448,"2026"),0))</f>
        <v>0</v>
      </c>
      <c r="G429" t="s">
        <v>274</v>
      </c>
      <c r="H429" t="s">
        <v>274</v>
      </c>
      <c r="I429" t="s">
        <v>274</v>
      </c>
      <c r="J429" t="s">
        <v>274</v>
      </c>
      <c r="K429" t="s">
        <v>274</v>
      </c>
      <c r="L429" t="s">
        <v>274</v>
      </c>
      <c r="M429" t="s">
        <v>274</v>
      </c>
      <c r="N429" t="e">
        <f t="shared" si="1"/>
        <v>#VALUE!</v>
      </c>
      <c r="O429" t="e">
        <f t="shared" si="2"/>
        <v>#VALUE!</v>
      </c>
      <c r="P429">
        <f>IF($A429="","",IF($E429=1,$F429*$O429,PNL!G429))</f>
        <v>123328</v>
      </c>
      <c r="T429">
        <f t="shared" si="3"/>
        <v>0</v>
      </c>
    </row>
    <row r="430" ht="14.25" customHeight="1">
      <c r="A430" t="str">
        <f>IF(PNL!A430="","",PNL!A430)</f>
        <v>TUNON_PAR</v>
      </c>
      <c r="B430" t="str">
        <f>IF(PNL!B430="","",PNL!B430)</f>
        <v>613</v>
      </c>
      <c r="C430" t="str">
        <f>IF(PNL!C430="","",PNL!C430)</f>
        <v>2025</v>
      </c>
      <c r="D430" t="str">
        <f>IF(PNL!D430="","",PNL!D430)</f>
        <v>ACT</v>
      </c>
      <c r="E430">
        <f t="shared" si="0"/>
        <v>0</v>
      </c>
      <c r="F430">
        <f>IF($A430="","",IF($E430=1,_xlfn.SUMIFS(Compta!$F$1:$F$1448,Compta!$A$1:$A$1448,$A430,Compta!$B$1:$B$1448,$B430,Compta!$C$1:$C$1448,"2026"),0))</f>
        <v>0</v>
      </c>
      <c r="G430" t="s">
        <v>274</v>
      </c>
      <c r="H430" t="s">
        <v>274</v>
      </c>
      <c r="I430" t="s">
        <v>274</v>
      </c>
      <c r="J430" t="s">
        <v>274</v>
      </c>
      <c r="K430" t="s">
        <v>274</v>
      </c>
      <c r="L430" t="s">
        <v>274</v>
      </c>
      <c r="M430" t="s">
        <v>274</v>
      </c>
      <c r="N430" t="e">
        <f t="shared" si="1"/>
        <v>#VALUE!</v>
      </c>
      <c r="O430" t="e">
        <f t="shared" si="2"/>
        <v>#VALUE!</v>
      </c>
      <c r="P430">
        <f>IF($A430="","",IF($E430=1,$F430*$O430,PNL!G430))</f>
        <v>142709</v>
      </c>
      <c r="T430">
        <f t="shared" si="3"/>
        <v>0</v>
      </c>
    </row>
    <row r="431" ht="14.25" customHeight="1">
      <c r="A431" t="str">
        <f>IF(PNL!A431="","",PNL!A431)</f>
        <v>TUNON_LYO</v>
      </c>
      <c r="B431" t="str">
        <f>IF(PNL!B431="","",PNL!B431)</f>
        <v>613</v>
      </c>
      <c r="C431" t="str">
        <f>IF(PNL!C431="","",PNL!C431)</f>
        <v>2025</v>
      </c>
      <c r="D431" t="str">
        <f>IF(PNL!D431="","",PNL!D431)</f>
        <v>ACT</v>
      </c>
      <c r="E431">
        <f t="shared" si="0"/>
        <v>0</v>
      </c>
      <c r="F431">
        <f>IF($A431="","",IF($E431=1,_xlfn.SUMIFS(Compta!$F$1:$F$1448,Compta!$A$1:$A$1448,$A431,Compta!$B$1:$B$1448,$B431,Compta!$C$1:$C$1448,"2026"),0))</f>
        <v>0</v>
      </c>
      <c r="G431" t="s">
        <v>274</v>
      </c>
      <c r="H431" t="s">
        <v>274</v>
      </c>
      <c r="I431" t="s">
        <v>274</v>
      </c>
      <c r="J431" t="s">
        <v>274</v>
      </c>
      <c r="K431" t="s">
        <v>274</v>
      </c>
      <c r="L431" t="s">
        <v>274</v>
      </c>
      <c r="M431" t="s">
        <v>274</v>
      </c>
      <c r="N431" t="e">
        <f t="shared" si="1"/>
        <v>#VALUE!</v>
      </c>
      <c r="O431" t="e">
        <f t="shared" si="2"/>
        <v>#VALUE!</v>
      </c>
      <c r="P431">
        <f>IF($A431="","",IF($E431=1,$F431*$O431,PNL!G431))</f>
        <v>98663</v>
      </c>
      <c r="T431">
        <f t="shared" si="3"/>
        <v>0</v>
      </c>
    </row>
    <row r="432" ht="14.25" customHeight="1">
      <c r="A432" t="str">
        <f>IF(PNL!A432="","",PNL!A432)</f>
        <v>MBWAY_PAR</v>
      </c>
      <c r="B432" t="str">
        <f>IF(PNL!B432="","",PNL!B432)</f>
        <v>613</v>
      </c>
      <c r="C432" t="str">
        <f>IF(PNL!C432="","",PNL!C432)</f>
        <v>2026</v>
      </c>
      <c r="D432" t="str">
        <f>IF(PNL!D432="","",PNL!D432)</f>
        <v>ACT</v>
      </c>
      <c r="E432">
        <f t="shared" si="0"/>
        <v>0</v>
      </c>
      <c r="F432">
        <f>IF($A432="","",IF($E432=1,_xlfn.SUMIFS(Compta!$F$1:$F$1448,Compta!$A$1:$A$1448,$A432,Compta!$B$1:$B$1448,$B432,Compta!$C$1:$C$1448,"2026"),0))</f>
        <v>0</v>
      </c>
      <c r="G432" t="s">
        <v>274</v>
      </c>
      <c r="H432" t="s">
        <v>274</v>
      </c>
      <c r="I432" t="s">
        <v>274</v>
      </c>
      <c r="J432" t="s">
        <v>274</v>
      </c>
      <c r="K432" t="s">
        <v>274</v>
      </c>
      <c r="L432" t="s">
        <v>274</v>
      </c>
      <c r="M432" t="s">
        <v>274</v>
      </c>
      <c r="N432" t="e">
        <f t="shared" si="1"/>
        <v>#VALUE!</v>
      </c>
      <c r="O432" t="e">
        <f t="shared" si="2"/>
        <v>#VALUE!</v>
      </c>
      <c r="P432">
        <f>IF($A432="","",IF($E432=1,$F432*$O432,PNL!G432))</f>
        <v>373801</v>
      </c>
      <c r="T432">
        <f t="shared" si="3"/>
        <v>0</v>
      </c>
    </row>
    <row r="433" ht="14.25" customHeight="1">
      <c r="A433" t="str">
        <f>IF(PNL!A433="","",PNL!A433)</f>
        <v>MBWAY_LYO</v>
      </c>
      <c r="B433" t="str">
        <f>IF(PNL!B433="","",PNL!B433)</f>
        <v>613</v>
      </c>
      <c r="C433" t="str">
        <f>IF(PNL!C433="","",PNL!C433)</f>
        <v>2026</v>
      </c>
      <c r="D433" t="str">
        <f>IF(PNL!D433="","",PNL!D433)</f>
        <v>ACT</v>
      </c>
      <c r="E433">
        <f t="shared" si="0"/>
        <v>0</v>
      </c>
      <c r="F433">
        <f>IF($A433="","",IF($E433=1,_xlfn.SUMIFS(Compta!$F$1:$F$1448,Compta!$A$1:$A$1448,$A433,Compta!$B$1:$B$1448,$B433,Compta!$C$1:$C$1448,"2026"),0))</f>
        <v>0</v>
      </c>
      <c r="G433" t="s">
        <v>274</v>
      </c>
      <c r="H433" t="s">
        <v>274</v>
      </c>
      <c r="I433" t="s">
        <v>274</v>
      </c>
      <c r="J433" t="s">
        <v>274</v>
      </c>
      <c r="K433" t="s">
        <v>274</v>
      </c>
      <c r="L433" t="s">
        <v>274</v>
      </c>
      <c r="M433" t="s">
        <v>274</v>
      </c>
      <c r="N433" t="e">
        <f t="shared" si="1"/>
        <v>#VALUE!</v>
      </c>
      <c r="O433" t="e">
        <f t="shared" si="2"/>
        <v>#VALUE!</v>
      </c>
      <c r="P433">
        <f>IF($A433="","",IF($E433=1,$F433*$O433,PNL!G433))</f>
        <v>223973</v>
      </c>
      <c r="T433">
        <f t="shared" si="3"/>
        <v>0</v>
      </c>
    </row>
    <row r="434" ht="14.25" customHeight="1">
      <c r="A434" t="str">
        <f>IF(PNL!A434="","",PNL!A434)</f>
        <v>MBWAY_NAN</v>
      </c>
      <c r="B434" t="str">
        <f>IF(PNL!B434="","",PNL!B434)</f>
        <v>613</v>
      </c>
      <c r="C434" t="str">
        <f>IF(PNL!C434="","",PNL!C434)</f>
        <v>2026</v>
      </c>
      <c r="D434" t="str">
        <f>IF(PNL!D434="","",PNL!D434)</f>
        <v>ACT</v>
      </c>
      <c r="E434">
        <f t="shared" si="0"/>
        <v>0</v>
      </c>
      <c r="F434">
        <f>IF($A434="","",IF($E434=1,_xlfn.SUMIFS(Compta!$F$1:$F$1448,Compta!$A$1:$A$1448,$A434,Compta!$B$1:$B$1448,$B434,Compta!$C$1:$C$1448,"2026"),0))</f>
        <v>0</v>
      </c>
      <c r="G434" t="s">
        <v>274</v>
      </c>
      <c r="H434" t="s">
        <v>274</v>
      </c>
      <c r="I434" t="s">
        <v>274</v>
      </c>
      <c r="J434" t="s">
        <v>274</v>
      </c>
      <c r="K434" t="s">
        <v>274</v>
      </c>
      <c r="L434" t="s">
        <v>274</v>
      </c>
      <c r="M434" t="s">
        <v>274</v>
      </c>
      <c r="N434" t="e">
        <f t="shared" si="1"/>
        <v>#VALUE!</v>
      </c>
      <c r="O434" t="e">
        <f t="shared" si="2"/>
        <v>#VALUE!</v>
      </c>
      <c r="P434">
        <f>IF($A434="","",IF($E434=1,$F434*$O434,PNL!G434))</f>
        <v>184593</v>
      </c>
      <c r="T434">
        <f t="shared" si="3"/>
        <v>0</v>
      </c>
    </row>
    <row r="435" ht="14.25" customHeight="1">
      <c r="A435" t="str">
        <f>IF(PNL!A435="","",PNL!A435)</f>
        <v>MBWAY_BOR</v>
      </c>
      <c r="B435" t="str">
        <f>IF(PNL!B435="","",PNL!B435)</f>
        <v>613</v>
      </c>
      <c r="C435" t="str">
        <f>IF(PNL!C435="","",PNL!C435)</f>
        <v>2026</v>
      </c>
      <c r="D435" t="str">
        <f>IF(PNL!D435="","",PNL!D435)</f>
        <v>ACT</v>
      </c>
      <c r="E435">
        <f t="shared" si="0"/>
        <v>0</v>
      </c>
      <c r="F435">
        <f>IF($A435="","",IF($E435=1,_xlfn.SUMIFS(Compta!$F$1:$F$1448,Compta!$A$1:$A$1448,$A435,Compta!$B$1:$B$1448,$B435,Compta!$C$1:$C$1448,"2026"),0))</f>
        <v>0</v>
      </c>
      <c r="G435" t="s">
        <v>274</v>
      </c>
      <c r="H435" t="s">
        <v>274</v>
      </c>
      <c r="I435" t="s">
        <v>274</v>
      </c>
      <c r="J435" t="s">
        <v>274</v>
      </c>
      <c r="K435" t="s">
        <v>274</v>
      </c>
      <c r="L435" t="s">
        <v>274</v>
      </c>
      <c r="M435" t="s">
        <v>274</v>
      </c>
      <c r="N435" t="e">
        <f t="shared" si="1"/>
        <v>#VALUE!</v>
      </c>
      <c r="O435" t="e">
        <f t="shared" si="2"/>
        <v>#VALUE!</v>
      </c>
      <c r="P435">
        <f>IF($A435="","",IF($E435=1,$F435*$O435,PNL!G435))</f>
        <v>161519</v>
      </c>
      <c r="T435">
        <f t="shared" si="3"/>
        <v>0</v>
      </c>
    </row>
    <row r="436" ht="14.25" customHeight="1">
      <c r="A436" t="str">
        <f>IF(PNL!A436="","",PNL!A436)</f>
        <v>ISCOM_PAR</v>
      </c>
      <c r="B436" t="str">
        <f>IF(PNL!B436="","",PNL!B436)</f>
        <v>613</v>
      </c>
      <c r="C436" t="str">
        <f>IF(PNL!C436="","",PNL!C436)</f>
        <v>2026</v>
      </c>
      <c r="D436" t="str">
        <f>IF(PNL!D436="","",PNL!D436)</f>
        <v>ACT</v>
      </c>
      <c r="E436">
        <f t="shared" si="0"/>
        <v>0</v>
      </c>
      <c r="F436">
        <f>IF($A436="","",IF($E436=1,_xlfn.SUMIFS(Compta!$F$1:$F$1448,Compta!$A$1:$A$1448,$A436,Compta!$B$1:$B$1448,$B436,Compta!$C$1:$C$1448,"2026"),0))</f>
        <v>0</v>
      </c>
      <c r="G436" t="s">
        <v>274</v>
      </c>
      <c r="H436" t="s">
        <v>274</v>
      </c>
      <c r="I436" t="s">
        <v>274</v>
      </c>
      <c r="J436" t="s">
        <v>274</v>
      </c>
      <c r="K436" t="s">
        <v>274</v>
      </c>
      <c r="L436" t="s">
        <v>274</v>
      </c>
      <c r="M436" t="s">
        <v>274</v>
      </c>
      <c r="N436" t="e">
        <f t="shared" si="1"/>
        <v>#VALUE!</v>
      </c>
      <c r="O436" t="e">
        <f t="shared" si="2"/>
        <v>#VALUE!</v>
      </c>
      <c r="P436">
        <f>IF($A436="","",IF($E436=1,$F436*$O436,PNL!G436))</f>
        <v>373801</v>
      </c>
      <c r="T436">
        <f t="shared" si="3"/>
        <v>0</v>
      </c>
    </row>
    <row r="437" ht="14.25" customHeight="1">
      <c r="A437" t="str">
        <f>IF(PNL!A437="","",PNL!A437)</f>
        <v>ISCOM_LIL</v>
      </c>
      <c r="B437" t="str">
        <f>IF(PNL!B437="","",PNL!B437)</f>
        <v>613</v>
      </c>
      <c r="C437" t="str">
        <f>IF(PNL!C437="","",PNL!C437)</f>
        <v>2026</v>
      </c>
      <c r="D437" t="str">
        <f>IF(PNL!D437="","",PNL!D437)</f>
        <v>ACT</v>
      </c>
      <c r="E437">
        <f t="shared" si="0"/>
        <v>0</v>
      </c>
      <c r="F437">
        <f>IF($A437="","",IF($E437=1,_xlfn.SUMIFS(Compta!$F$1:$F$1448,Compta!$A$1:$A$1448,$A437,Compta!$B$1:$B$1448,$B437,Compta!$C$1:$C$1448,"2026"),0))</f>
        <v>0</v>
      </c>
      <c r="G437" t="s">
        <v>274</v>
      </c>
      <c r="H437" t="s">
        <v>274</v>
      </c>
      <c r="I437" t="s">
        <v>274</v>
      </c>
      <c r="J437" t="s">
        <v>274</v>
      </c>
      <c r="K437" t="s">
        <v>274</v>
      </c>
      <c r="L437" t="s">
        <v>274</v>
      </c>
      <c r="M437" t="s">
        <v>274</v>
      </c>
      <c r="N437" t="e">
        <f t="shared" si="1"/>
        <v>#VALUE!</v>
      </c>
      <c r="O437" t="e">
        <f t="shared" si="2"/>
        <v>#VALUE!</v>
      </c>
      <c r="P437">
        <f>IF($A437="","",IF($E437=1,$F437*$O437,PNL!G437))</f>
        <v>141521</v>
      </c>
      <c r="T437">
        <f t="shared" si="3"/>
        <v>0</v>
      </c>
    </row>
    <row r="438" ht="14.25" customHeight="1">
      <c r="A438" t="str">
        <f>IF(PNL!A438="","",PNL!A438)</f>
        <v>ISCOM_TLS</v>
      </c>
      <c r="B438" t="str">
        <f>IF(PNL!B438="","",PNL!B438)</f>
        <v>613</v>
      </c>
      <c r="C438" t="str">
        <f>IF(PNL!C438="","",PNL!C438)</f>
        <v>2026</v>
      </c>
      <c r="D438" t="str">
        <f>IF(PNL!D438="","",PNL!D438)</f>
        <v>ACT</v>
      </c>
      <c r="E438">
        <f t="shared" si="0"/>
        <v>0</v>
      </c>
      <c r="F438">
        <f>IF($A438="","",IF($E438=1,_xlfn.SUMIFS(Compta!$F$1:$F$1448,Compta!$A$1:$A$1448,$A438,Compta!$B$1:$B$1448,$B438,Compta!$C$1:$C$1448,"2026"),0))</f>
        <v>0</v>
      </c>
      <c r="G438" t="s">
        <v>274</v>
      </c>
      <c r="H438" t="s">
        <v>274</v>
      </c>
      <c r="I438" t="s">
        <v>274</v>
      </c>
      <c r="J438" t="s">
        <v>274</v>
      </c>
      <c r="K438" t="s">
        <v>274</v>
      </c>
      <c r="L438" t="s">
        <v>274</v>
      </c>
      <c r="M438" t="s">
        <v>274</v>
      </c>
      <c r="N438" t="e">
        <f t="shared" si="1"/>
        <v>#VALUE!</v>
      </c>
      <c r="O438" t="e">
        <f t="shared" si="2"/>
        <v>#VALUE!</v>
      </c>
      <c r="P438">
        <f>IF($A438="","",IF($E438=1,$F438*$O438,PNL!G438))</f>
        <v>138445</v>
      </c>
      <c r="T438">
        <f t="shared" si="3"/>
        <v>0</v>
      </c>
    </row>
    <row r="439" ht="14.25" customHeight="1">
      <c r="A439" t="str">
        <f>IF(PNL!A439="","",PNL!A439)</f>
        <v>IPAC_NAN</v>
      </c>
      <c r="B439" t="str">
        <f>IF(PNL!B439="","",PNL!B439)</f>
        <v>613</v>
      </c>
      <c r="C439" t="str">
        <f>IF(PNL!C439="","",PNL!C439)</f>
        <v>2026</v>
      </c>
      <c r="D439" t="str">
        <f>IF(PNL!D439="","",PNL!D439)</f>
        <v>ACT</v>
      </c>
      <c r="E439">
        <f t="shared" si="0"/>
        <v>0</v>
      </c>
      <c r="F439">
        <f>IF($A439="","",IF($E439=1,_xlfn.SUMIFS(Compta!$F$1:$F$1448,Compta!$A$1:$A$1448,$A439,Compta!$B$1:$B$1448,$B439,Compta!$C$1:$C$1448,"2026"),0))</f>
        <v>0</v>
      </c>
      <c r="G439" t="s">
        <v>274</v>
      </c>
      <c r="H439" t="s">
        <v>274</v>
      </c>
      <c r="I439" t="s">
        <v>274</v>
      </c>
      <c r="J439" t="s">
        <v>274</v>
      </c>
      <c r="K439" t="s">
        <v>274</v>
      </c>
      <c r="L439" t="s">
        <v>274</v>
      </c>
      <c r="M439" t="s">
        <v>274</v>
      </c>
      <c r="N439" t="e">
        <f t="shared" si="1"/>
        <v>#VALUE!</v>
      </c>
      <c r="O439" t="e">
        <f t="shared" si="2"/>
        <v>#VALUE!</v>
      </c>
      <c r="P439">
        <f>IF($A439="","",IF($E439=1,$F439*$O439,PNL!G439))</f>
        <v>92297</v>
      </c>
      <c r="T439">
        <f t="shared" si="3"/>
        <v>0</v>
      </c>
    </row>
    <row r="440" ht="14.25" customHeight="1">
      <c r="A440" t="str">
        <f>IF(PNL!A440="","",PNL!A440)</f>
        <v>IPAC_REN</v>
      </c>
      <c r="B440" t="str">
        <f>IF(PNL!B440="","",PNL!B440)</f>
        <v>613</v>
      </c>
      <c r="C440" t="str">
        <f>IF(PNL!C440="","",PNL!C440)</f>
        <v>2026</v>
      </c>
      <c r="D440" t="str">
        <f>IF(PNL!D440="","",PNL!D440)</f>
        <v>ACT</v>
      </c>
      <c r="E440">
        <f t="shared" si="0"/>
        <v>0</v>
      </c>
      <c r="F440">
        <f>IF($A440="","",IF($E440=1,_xlfn.SUMIFS(Compta!$F$1:$F$1448,Compta!$A$1:$A$1448,$A440,Compta!$B$1:$B$1448,$B440,Compta!$C$1:$C$1448,"2026"),0))</f>
        <v>0</v>
      </c>
      <c r="G440" t="s">
        <v>274</v>
      </c>
      <c r="H440" t="s">
        <v>274</v>
      </c>
      <c r="I440" t="s">
        <v>274</v>
      </c>
      <c r="J440" t="s">
        <v>274</v>
      </c>
      <c r="K440" t="s">
        <v>274</v>
      </c>
      <c r="L440" t="s">
        <v>274</v>
      </c>
      <c r="M440" t="s">
        <v>274</v>
      </c>
      <c r="N440" t="e">
        <f t="shared" si="1"/>
        <v>#VALUE!</v>
      </c>
      <c r="O440" t="e">
        <f t="shared" si="2"/>
        <v>#VALUE!</v>
      </c>
      <c r="P440">
        <f>IF($A440="","",IF($E440=1,$F440*$O440,PNL!G440))</f>
        <v>81221</v>
      </c>
      <c r="T440">
        <f t="shared" si="3"/>
        <v>0</v>
      </c>
    </row>
    <row r="441" ht="14.25" customHeight="1">
      <c r="A441" t="str">
        <f>IF(PNL!A441="","",PNL!A441)</f>
        <v>IPAC_MTP</v>
      </c>
      <c r="B441" t="str">
        <f>IF(PNL!B441="","",PNL!B441)</f>
        <v>613</v>
      </c>
      <c r="C441" t="str">
        <f>IF(PNL!C441="","",PNL!C441)</f>
        <v>2026</v>
      </c>
      <c r="D441" t="str">
        <f>IF(PNL!D441="","",PNL!D441)</f>
        <v>ACT</v>
      </c>
      <c r="E441">
        <f t="shared" si="0"/>
        <v>0</v>
      </c>
      <c r="F441">
        <f>IF($A441="","",IF($E441=1,_xlfn.SUMIFS(Compta!$F$1:$F$1448,Compta!$A$1:$A$1448,$A441,Compta!$B$1:$B$1448,$B441,Compta!$C$1:$C$1448,"2026"),0))</f>
        <v>0</v>
      </c>
      <c r="G441" t="s">
        <v>274</v>
      </c>
      <c r="H441" t="s">
        <v>274</v>
      </c>
      <c r="I441" t="s">
        <v>274</v>
      </c>
      <c r="J441" t="s">
        <v>274</v>
      </c>
      <c r="K441" t="s">
        <v>274</v>
      </c>
      <c r="L441" t="s">
        <v>274</v>
      </c>
      <c r="M441" t="s">
        <v>274</v>
      </c>
      <c r="N441" t="e">
        <f t="shared" si="1"/>
        <v>#VALUE!</v>
      </c>
      <c r="O441" t="e">
        <f t="shared" si="2"/>
        <v>#VALUE!</v>
      </c>
      <c r="P441">
        <f>IF($A441="","",IF($E441=1,$F441*$O441,PNL!G441))</f>
        <v>81221</v>
      </c>
      <c r="T441">
        <f t="shared" si="3"/>
        <v>0</v>
      </c>
    </row>
    <row r="442" ht="14.25" customHeight="1">
      <c r="A442" t="str">
        <f>IF(PNL!A442="","",PNL!A442)</f>
        <v>PIGIER_LYO</v>
      </c>
      <c r="B442" t="str">
        <f>IF(PNL!B442="","",PNL!B442)</f>
        <v>613</v>
      </c>
      <c r="C442" t="str">
        <f>IF(PNL!C442="","",PNL!C442)</f>
        <v>2026</v>
      </c>
      <c r="D442" t="str">
        <f>IF(PNL!D442="","",PNL!D442)</f>
        <v>ACT</v>
      </c>
      <c r="E442">
        <f t="shared" si="0"/>
        <v>0</v>
      </c>
      <c r="F442">
        <f>IF($A442="","",IF($E442=1,_xlfn.SUMIFS(Compta!$F$1:$F$1448,Compta!$A$1:$A$1448,$A442,Compta!$B$1:$B$1448,$B442,Compta!$C$1:$C$1448,"2026"),0))</f>
        <v>0</v>
      </c>
      <c r="G442" t="s">
        <v>274</v>
      </c>
      <c r="H442" t="s">
        <v>274</v>
      </c>
      <c r="I442" t="s">
        <v>274</v>
      </c>
      <c r="J442" t="s">
        <v>274</v>
      </c>
      <c r="K442" t="s">
        <v>274</v>
      </c>
      <c r="L442" t="s">
        <v>274</v>
      </c>
      <c r="M442" t="s">
        <v>274</v>
      </c>
      <c r="N442" t="e">
        <f t="shared" si="1"/>
        <v>#VALUE!</v>
      </c>
      <c r="O442" t="e">
        <f t="shared" si="2"/>
        <v>#VALUE!</v>
      </c>
      <c r="P442">
        <f>IF($A442="","",IF($E442=1,$F442*$O442,PNL!G442))</f>
        <v>137830</v>
      </c>
      <c r="T442">
        <f t="shared" si="3"/>
        <v>0</v>
      </c>
    </row>
    <row r="443" ht="14.25" customHeight="1">
      <c r="A443" t="str">
        <f>IF(PNL!A443="","",PNL!A443)</f>
        <v>PIGIER_BOR</v>
      </c>
      <c r="B443" t="str">
        <f>IF(PNL!B443="","",PNL!B443)</f>
        <v>613</v>
      </c>
      <c r="C443" t="str">
        <f>IF(PNL!C443="","",PNL!C443)</f>
        <v>2026</v>
      </c>
      <c r="D443" t="str">
        <f>IF(PNL!D443="","",PNL!D443)</f>
        <v>ACT</v>
      </c>
      <c r="E443">
        <f t="shared" si="0"/>
        <v>0</v>
      </c>
      <c r="F443">
        <f>IF($A443="","",IF($E443=1,_xlfn.SUMIFS(Compta!$F$1:$F$1448,Compta!$A$1:$A$1448,$A443,Compta!$B$1:$B$1448,$B443,Compta!$C$1:$C$1448,"2026"),0))</f>
        <v>0</v>
      </c>
      <c r="G443" t="s">
        <v>274</v>
      </c>
      <c r="H443" t="s">
        <v>274</v>
      </c>
      <c r="I443" t="s">
        <v>274</v>
      </c>
      <c r="J443" t="s">
        <v>274</v>
      </c>
      <c r="K443" t="s">
        <v>274</v>
      </c>
      <c r="L443" t="s">
        <v>274</v>
      </c>
      <c r="M443" t="s">
        <v>274</v>
      </c>
      <c r="N443" t="e">
        <f t="shared" si="1"/>
        <v>#VALUE!</v>
      </c>
      <c r="O443" t="e">
        <f t="shared" si="2"/>
        <v>#VALUE!</v>
      </c>
      <c r="P443">
        <f>IF($A443="","",IF($E443=1,$F443*$O443,PNL!G443))</f>
        <v>129215</v>
      </c>
      <c r="T443">
        <f t="shared" si="3"/>
        <v>0</v>
      </c>
    </row>
    <row r="444" ht="14.25" customHeight="1">
      <c r="A444" t="str">
        <f>IF(PNL!A444="","",PNL!A444)</f>
        <v>TUNON_PAR</v>
      </c>
      <c r="B444" t="str">
        <f>IF(PNL!B444="","",PNL!B444)</f>
        <v>613</v>
      </c>
      <c r="C444" t="str">
        <f>IF(PNL!C444="","",PNL!C444)</f>
        <v>2026</v>
      </c>
      <c r="D444" t="str">
        <f>IF(PNL!D444="","",PNL!D444)</f>
        <v>ACT</v>
      </c>
      <c r="E444">
        <f t="shared" si="0"/>
        <v>0</v>
      </c>
      <c r="F444">
        <f>IF($A444="","",IF($E444=1,_xlfn.SUMIFS(Compta!$F$1:$F$1448,Compta!$A$1:$A$1448,$A444,Compta!$B$1:$B$1448,$B444,Compta!$C$1:$C$1448,"2026"),0))</f>
        <v>0</v>
      </c>
      <c r="G444" t="s">
        <v>274</v>
      </c>
      <c r="H444" t="s">
        <v>274</v>
      </c>
      <c r="I444" t="s">
        <v>274</v>
      </c>
      <c r="J444" t="s">
        <v>274</v>
      </c>
      <c r="K444" t="s">
        <v>274</v>
      </c>
      <c r="L444" t="s">
        <v>274</v>
      </c>
      <c r="M444" t="s">
        <v>274</v>
      </c>
      <c r="N444" t="e">
        <f t="shared" si="1"/>
        <v>#VALUE!</v>
      </c>
      <c r="O444" t="e">
        <f t="shared" si="2"/>
        <v>#VALUE!</v>
      </c>
      <c r="P444">
        <f>IF($A444="","",IF($E444=1,$F444*$O444,PNL!G444))</f>
        <v>149520</v>
      </c>
      <c r="T444">
        <f t="shared" si="3"/>
        <v>0</v>
      </c>
    </row>
    <row r="445" ht="14.25" customHeight="1">
      <c r="A445" t="str">
        <f>IF(PNL!A445="","",PNL!A445)</f>
        <v>TUNON_LYO</v>
      </c>
      <c r="B445" t="str">
        <f>IF(PNL!B445="","",PNL!B445)</f>
        <v>613</v>
      </c>
      <c r="C445" t="str">
        <f>IF(PNL!C445="","",PNL!C445)</f>
        <v>2026</v>
      </c>
      <c r="D445" t="str">
        <f>IF(PNL!D445="","",PNL!D445)</f>
        <v>ACT</v>
      </c>
      <c r="E445">
        <f t="shared" si="0"/>
        <v>0</v>
      </c>
      <c r="F445">
        <f>IF($A445="","",IF($E445=1,_xlfn.SUMIFS(Compta!$F$1:$F$1448,Compta!$A$1:$A$1448,$A445,Compta!$B$1:$B$1448,$B445,Compta!$C$1:$C$1448,"2026"),0))</f>
        <v>0</v>
      </c>
      <c r="G445" t="s">
        <v>274</v>
      </c>
      <c r="H445" t="s">
        <v>274</v>
      </c>
      <c r="I445" t="s">
        <v>274</v>
      </c>
      <c r="J445" t="s">
        <v>274</v>
      </c>
      <c r="K445" t="s">
        <v>274</v>
      </c>
      <c r="L445" t="s">
        <v>274</v>
      </c>
      <c r="M445" t="s">
        <v>274</v>
      </c>
      <c r="N445" t="e">
        <f t="shared" si="1"/>
        <v>#VALUE!</v>
      </c>
      <c r="O445" t="e">
        <f t="shared" si="2"/>
        <v>#VALUE!</v>
      </c>
      <c r="P445">
        <f>IF($A445="","",IF($E445=1,$F445*$O445,PNL!G445))</f>
        <v>103372</v>
      </c>
      <c r="T445">
        <f t="shared" si="3"/>
        <v>0</v>
      </c>
    </row>
    <row r="446" ht="14.25" customHeight="1">
      <c r="A446" t="str">
        <f>IF(PNL!A446="","",PNL!A446)</f>
        <v>MBWAY_PAR</v>
      </c>
      <c r="B446" t="str">
        <f>IF(PNL!B446="","",PNL!B446)</f>
        <v>615</v>
      </c>
      <c r="C446" t="str">
        <f>IF(PNL!C446="","",PNL!C446)</f>
        <v>2024</v>
      </c>
      <c r="D446" t="str">
        <f>IF(PNL!D446="","",PNL!D446)</f>
        <v>ACT</v>
      </c>
      <c r="E446">
        <f t="shared" si="0"/>
        <v>0</v>
      </c>
      <c r="F446">
        <f>IF($A446="","",IF($E446=1,_xlfn.SUMIFS(Compta!$F$1:$F$1448,Compta!$A$1:$A$1448,$A446,Compta!$B$1:$B$1448,$B446,Compta!$C$1:$C$1448,"2026"),0))</f>
        <v>0</v>
      </c>
      <c r="G446" t="s">
        <v>274</v>
      </c>
      <c r="H446" t="s">
        <v>274</v>
      </c>
      <c r="I446" t="s">
        <v>274</v>
      </c>
      <c r="J446" t="s">
        <v>274</v>
      </c>
      <c r="K446" t="s">
        <v>274</v>
      </c>
      <c r="L446" t="s">
        <v>274</v>
      </c>
      <c r="M446" t="s">
        <v>274</v>
      </c>
      <c r="N446" t="e">
        <f t="shared" si="1"/>
        <v>#VALUE!</v>
      </c>
      <c r="O446" t="e">
        <f t="shared" si="2"/>
        <v>#VALUE!</v>
      </c>
      <c r="P446">
        <f>IF($A446="","",IF($E446=1,$F446*$O446,PNL!G446))</f>
        <v>48734</v>
      </c>
      <c r="T446">
        <f t="shared" si="3"/>
        <v>0</v>
      </c>
    </row>
    <row r="447" ht="14.25" customHeight="1">
      <c r="A447" t="str">
        <f>IF(PNL!A447="","",PNL!A447)</f>
        <v>MBWAY_LYO</v>
      </c>
      <c r="B447" t="str">
        <f>IF(PNL!B447="","",PNL!B447)</f>
        <v>615</v>
      </c>
      <c r="C447" t="str">
        <f>IF(PNL!C447="","",PNL!C447)</f>
        <v>2024</v>
      </c>
      <c r="D447" t="str">
        <f>IF(PNL!D447="","",PNL!D447)</f>
        <v>ACT</v>
      </c>
      <c r="E447">
        <f t="shared" si="0"/>
        <v>0</v>
      </c>
      <c r="F447">
        <f>IF($A447="","",IF($E447=1,_xlfn.SUMIFS(Compta!$F$1:$F$1448,Compta!$A$1:$A$1448,$A447,Compta!$B$1:$B$1448,$B447,Compta!$C$1:$C$1448,"2026"),0))</f>
        <v>0</v>
      </c>
      <c r="G447" t="s">
        <v>274</v>
      </c>
      <c r="H447" t="s">
        <v>274</v>
      </c>
      <c r="I447" t="s">
        <v>274</v>
      </c>
      <c r="J447" t="s">
        <v>274</v>
      </c>
      <c r="K447" t="s">
        <v>274</v>
      </c>
      <c r="L447" t="s">
        <v>274</v>
      </c>
      <c r="M447" t="s">
        <v>274</v>
      </c>
      <c r="N447" t="e">
        <f t="shared" si="1"/>
        <v>#VALUE!</v>
      </c>
      <c r="O447" t="e">
        <f t="shared" si="2"/>
        <v>#VALUE!</v>
      </c>
      <c r="P447">
        <f>IF($A447="","",IF($E447=1,$F447*$O447,PNL!G447))</f>
        <v>29200</v>
      </c>
      <c r="T447">
        <f t="shared" si="3"/>
        <v>0</v>
      </c>
    </row>
    <row r="448" ht="14.25" customHeight="1">
      <c r="A448" t="str">
        <f>IF(PNL!A448="","",PNL!A448)</f>
        <v>MBWAY_NAN</v>
      </c>
      <c r="B448" t="str">
        <f>IF(PNL!B448="","",PNL!B448)</f>
        <v>615</v>
      </c>
      <c r="C448" t="str">
        <f>IF(PNL!C448="","",PNL!C448)</f>
        <v>2024</v>
      </c>
      <c r="D448" t="str">
        <f>IF(PNL!D448="","",PNL!D448)</f>
        <v>ACT</v>
      </c>
      <c r="E448">
        <f t="shared" si="0"/>
        <v>0</v>
      </c>
      <c r="F448">
        <f>IF($A448="","",IF($E448=1,_xlfn.SUMIFS(Compta!$F$1:$F$1448,Compta!$A$1:$A$1448,$A448,Compta!$B$1:$B$1448,$B448,Compta!$C$1:$C$1448,"2026"),0))</f>
        <v>0</v>
      </c>
      <c r="G448" t="s">
        <v>274</v>
      </c>
      <c r="H448" t="s">
        <v>274</v>
      </c>
      <c r="I448" t="s">
        <v>274</v>
      </c>
      <c r="J448" t="s">
        <v>274</v>
      </c>
      <c r="K448" t="s">
        <v>274</v>
      </c>
      <c r="L448" t="s">
        <v>274</v>
      </c>
      <c r="M448" t="s">
        <v>274</v>
      </c>
      <c r="N448" t="e">
        <f t="shared" si="1"/>
        <v>#VALUE!</v>
      </c>
      <c r="O448" t="e">
        <f t="shared" si="2"/>
        <v>#VALUE!</v>
      </c>
      <c r="P448">
        <f>IF($A448="","",IF($E448=1,$F448*$O448,PNL!G448))</f>
        <v>24066</v>
      </c>
      <c r="T448">
        <f t="shared" si="3"/>
        <v>0</v>
      </c>
    </row>
    <row r="449" ht="14.25" customHeight="1">
      <c r="A449" t="str">
        <f>IF(PNL!A449="","",PNL!A449)</f>
        <v>MBWAY_BOR</v>
      </c>
      <c r="B449" t="str">
        <f>IF(PNL!B449="","",PNL!B449)</f>
        <v>615</v>
      </c>
      <c r="C449" t="str">
        <f>IF(PNL!C449="","",PNL!C449)</f>
        <v>2024</v>
      </c>
      <c r="D449" t="str">
        <f>IF(PNL!D449="","",PNL!D449)</f>
        <v>ACT</v>
      </c>
      <c r="E449">
        <f t="shared" si="0"/>
        <v>0</v>
      </c>
      <c r="F449">
        <f>IF($A449="","",IF($E449=1,_xlfn.SUMIFS(Compta!$F$1:$F$1448,Compta!$A$1:$A$1448,$A449,Compta!$B$1:$B$1448,$B449,Compta!$C$1:$C$1448,"2026"),0))</f>
        <v>0</v>
      </c>
      <c r="G449" t="s">
        <v>274</v>
      </c>
      <c r="H449" t="s">
        <v>274</v>
      </c>
      <c r="I449" t="s">
        <v>274</v>
      </c>
      <c r="J449" t="s">
        <v>274</v>
      </c>
      <c r="K449" t="s">
        <v>274</v>
      </c>
      <c r="L449" t="s">
        <v>274</v>
      </c>
      <c r="M449" t="s">
        <v>274</v>
      </c>
      <c r="N449" t="e">
        <f t="shared" si="1"/>
        <v>#VALUE!</v>
      </c>
      <c r="O449" t="e">
        <f t="shared" si="2"/>
        <v>#VALUE!</v>
      </c>
      <c r="P449">
        <f>IF($A449="","",IF($E449=1,$F449*$O449,PNL!G449))</f>
        <v>21058</v>
      </c>
      <c r="T449">
        <f t="shared" si="3"/>
        <v>0</v>
      </c>
    </row>
    <row r="450" ht="14.25" customHeight="1">
      <c r="A450" t="str">
        <f>IF(PNL!A450="","",PNL!A450)</f>
        <v>ISCOM_PAR</v>
      </c>
      <c r="B450" t="str">
        <f>IF(PNL!B450="","",PNL!B450)</f>
        <v>615</v>
      </c>
      <c r="C450" t="str">
        <f>IF(PNL!C450="","",PNL!C450)</f>
        <v>2024</v>
      </c>
      <c r="D450" t="str">
        <f>IF(PNL!D450="","",PNL!D450)</f>
        <v>ACT</v>
      </c>
      <c r="E450">
        <f t="shared" si="0"/>
        <v>0</v>
      </c>
      <c r="F450">
        <f>IF($A450="","",IF($E450=1,_xlfn.SUMIFS(Compta!$F$1:$F$1448,Compta!$A$1:$A$1448,$A450,Compta!$B$1:$B$1448,$B450,Compta!$C$1:$C$1448,"2026"),0))</f>
        <v>0</v>
      </c>
      <c r="G450" t="s">
        <v>274</v>
      </c>
      <c r="H450" t="s">
        <v>274</v>
      </c>
      <c r="I450" t="s">
        <v>274</v>
      </c>
      <c r="J450" t="s">
        <v>274</v>
      </c>
      <c r="K450" t="s">
        <v>274</v>
      </c>
      <c r="L450" t="s">
        <v>274</v>
      </c>
      <c r="M450" t="s">
        <v>274</v>
      </c>
      <c r="N450" t="e">
        <f t="shared" si="1"/>
        <v>#VALUE!</v>
      </c>
      <c r="O450" t="e">
        <f t="shared" si="2"/>
        <v>#VALUE!</v>
      </c>
      <c r="P450">
        <f>IF($A450="","",IF($E450=1,$F450*$O450,PNL!G450))</f>
        <v>48734</v>
      </c>
      <c r="T450">
        <f t="shared" si="3"/>
        <v>0</v>
      </c>
    </row>
    <row r="451" ht="14.25" customHeight="1">
      <c r="A451" t="str">
        <f>IF(PNL!A451="","",PNL!A451)</f>
        <v>ISCOM_LIL</v>
      </c>
      <c r="B451" t="str">
        <f>IF(PNL!B451="","",PNL!B451)</f>
        <v>615</v>
      </c>
      <c r="C451" t="str">
        <f>IF(PNL!C451="","",PNL!C451)</f>
        <v>2024</v>
      </c>
      <c r="D451" t="str">
        <f>IF(PNL!D451="","",PNL!D451)</f>
        <v>ACT</v>
      </c>
      <c r="E451">
        <f t="shared" si="0"/>
        <v>0</v>
      </c>
      <c r="F451">
        <f>IF($A451="","",IF($E451=1,_xlfn.SUMIFS(Compta!$F$1:$F$1448,Compta!$A$1:$A$1448,$A451,Compta!$B$1:$B$1448,$B451,Compta!$C$1:$C$1448,"2026"),0))</f>
        <v>0</v>
      </c>
      <c r="G451" t="s">
        <v>274</v>
      </c>
      <c r="H451" t="s">
        <v>274</v>
      </c>
      <c r="I451" t="s">
        <v>274</v>
      </c>
      <c r="J451" t="s">
        <v>274</v>
      </c>
      <c r="K451" t="s">
        <v>274</v>
      </c>
      <c r="L451" t="s">
        <v>274</v>
      </c>
      <c r="M451" t="s">
        <v>274</v>
      </c>
      <c r="N451" t="e">
        <f t="shared" si="1"/>
        <v>#VALUE!</v>
      </c>
      <c r="O451" t="e">
        <f t="shared" si="2"/>
        <v>#VALUE!</v>
      </c>
      <c r="P451">
        <f>IF($A451="","",IF($E451=1,$F451*$O451,PNL!G451))</f>
        <v>18451</v>
      </c>
      <c r="T451">
        <f t="shared" si="3"/>
        <v>0</v>
      </c>
    </row>
    <row r="452" ht="14.25" customHeight="1">
      <c r="A452" t="str">
        <f>IF(PNL!A452="","",PNL!A452)</f>
        <v>ISCOM_TLS</v>
      </c>
      <c r="B452" t="str">
        <f>IF(PNL!B452="","",PNL!B452)</f>
        <v>615</v>
      </c>
      <c r="C452" t="str">
        <f>IF(PNL!C452="","",PNL!C452)</f>
        <v>2024</v>
      </c>
      <c r="D452" t="str">
        <f>IF(PNL!D452="","",PNL!D452)</f>
        <v>ACT</v>
      </c>
      <c r="E452">
        <f t="shared" si="0"/>
        <v>0</v>
      </c>
      <c r="F452">
        <f>IF($A452="","",IF($E452=1,_xlfn.SUMIFS(Compta!$F$1:$F$1448,Compta!$A$1:$A$1448,$A452,Compta!$B$1:$B$1448,$B452,Compta!$C$1:$C$1448,"2026"),0))</f>
        <v>0</v>
      </c>
      <c r="G452" t="s">
        <v>274</v>
      </c>
      <c r="H452" t="s">
        <v>274</v>
      </c>
      <c r="I452" t="s">
        <v>274</v>
      </c>
      <c r="J452" t="s">
        <v>274</v>
      </c>
      <c r="K452" t="s">
        <v>274</v>
      </c>
      <c r="L452" t="s">
        <v>274</v>
      </c>
      <c r="M452" t="s">
        <v>274</v>
      </c>
      <c r="N452" t="e">
        <f t="shared" si="1"/>
        <v>#VALUE!</v>
      </c>
      <c r="O452" t="e">
        <f t="shared" si="2"/>
        <v>#VALUE!</v>
      </c>
      <c r="P452">
        <f>IF($A452="","",IF($E452=1,$F452*$O452,PNL!G452))</f>
        <v>18050</v>
      </c>
      <c r="T452">
        <f t="shared" si="3"/>
        <v>0</v>
      </c>
    </row>
    <row r="453" ht="14.25" customHeight="1">
      <c r="A453" t="str">
        <f>IF(PNL!A453="","",PNL!A453)</f>
        <v>IPAC_NAN</v>
      </c>
      <c r="B453" t="str">
        <f>IF(PNL!B453="","",PNL!B453)</f>
        <v>615</v>
      </c>
      <c r="C453" t="str">
        <f>IF(PNL!C453="","",PNL!C453)</f>
        <v>2024</v>
      </c>
      <c r="D453" t="str">
        <f>IF(PNL!D453="","",PNL!D453)</f>
        <v>ACT</v>
      </c>
      <c r="E453">
        <f t="shared" si="0"/>
        <v>0</v>
      </c>
      <c r="F453">
        <f>IF($A453="","",IF($E453=1,_xlfn.SUMIFS(Compta!$F$1:$F$1448,Compta!$A$1:$A$1448,$A453,Compta!$B$1:$B$1448,$B453,Compta!$C$1:$C$1448,"2026"),0))</f>
        <v>0</v>
      </c>
      <c r="G453" t="s">
        <v>274</v>
      </c>
      <c r="H453" t="s">
        <v>274</v>
      </c>
      <c r="I453" t="s">
        <v>274</v>
      </c>
      <c r="J453" t="s">
        <v>274</v>
      </c>
      <c r="K453" t="s">
        <v>274</v>
      </c>
      <c r="L453" t="s">
        <v>274</v>
      </c>
      <c r="M453" t="s">
        <v>274</v>
      </c>
      <c r="N453" t="e">
        <f t="shared" si="1"/>
        <v>#VALUE!</v>
      </c>
      <c r="O453" t="e">
        <f t="shared" si="2"/>
        <v>#VALUE!</v>
      </c>
      <c r="P453">
        <f>IF($A453="","",IF($E453=1,$F453*$O453,PNL!G453))</f>
        <v>12033</v>
      </c>
      <c r="T453">
        <f t="shared" si="3"/>
        <v>0</v>
      </c>
    </row>
    <row r="454" ht="14.25" customHeight="1">
      <c r="A454" t="str">
        <f>IF(PNL!A454="","",PNL!A454)</f>
        <v>IPAC_REN</v>
      </c>
      <c r="B454" t="str">
        <f>IF(PNL!B454="","",PNL!B454)</f>
        <v>615</v>
      </c>
      <c r="C454" t="str">
        <f>IF(PNL!C454="","",PNL!C454)</f>
        <v>2024</v>
      </c>
      <c r="D454" t="str">
        <f>IF(PNL!D454="","",PNL!D454)</f>
        <v>ACT</v>
      </c>
      <c r="E454">
        <f t="shared" si="0"/>
        <v>0</v>
      </c>
      <c r="F454">
        <f>IF($A454="","",IF($E454=1,_xlfn.SUMIFS(Compta!$F$1:$F$1448,Compta!$A$1:$A$1448,$A454,Compta!$B$1:$B$1448,$B454,Compta!$C$1:$C$1448,"2026"),0))</f>
        <v>0</v>
      </c>
      <c r="G454" t="s">
        <v>274</v>
      </c>
      <c r="H454" t="s">
        <v>274</v>
      </c>
      <c r="I454" t="s">
        <v>274</v>
      </c>
      <c r="J454" t="s">
        <v>274</v>
      </c>
      <c r="K454" t="s">
        <v>274</v>
      </c>
      <c r="L454" t="s">
        <v>274</v>
      </c>
      <c r="M454" t="s">
        <v>274</v>
      </c>
      <c r="N454" t="e">
        <f t="shared" si="1"/>
        <v>#VALUE!</v>
      </c>
      <c r="O454" t="e">
        <f t="shared" si="2"/>
        <v>#VALUE!</v>
      </c>
      <c r="P454">
        <f>IF($A454="","",IF($E454=1,$F454*$O454,PNL!G454))</f>
        <v>10589</v>
      </c>
      <c r="T454">
        <f t="shared" si="3"/>
        <v>0</v>
      </c>
    </row>
    <row r="455" ht="14.25" customHeight="1">
      <c r="A455" t="str">
        <f>IF(PNL!A455="","",PNL!A455)</f>
        <v>IPAC_MTP</v>
      </c>
      <c r="B455" t="str">
        <f>IF(PNL!B455="","",PNL!B455)</f>
        <v>615</v>
      </c>
      <c r="C455" t="str">
        <f>IF(PNL!C455="","",PNL!C455)</f>
        <v>2024</v>
      </c>
      <c r="D455" t="str">
        <f>IF(PNL!D455="","",PNL!D455)</f>
        <v>ACT</v>
      </c>
      <c r="E455">
        <f t="shared" si="0"/>
        <v>0</v>
      </c>
      <c r="F455">
        <f>IF($A455="","",IF($E455=1,_xlfn.SUMIFS(Compta!$F$1:$F$1448,Compta!$A$1:$A$1448,$A455,Compta!$B$1:$B$1448,$B455,Compta!$C$1:$C$1448,"2026"),0))</f>
        <v>0</v>
      </c>
      <c r="G455" t="s">
        <v>274</v>
      </c>
      <c r="H455" t="s">
        <v>274</v>
      </c>
      <c r="I455" t="s">
        <v>274</v>
      </c>
      <c r="J455" t="s">
        <v>274</v>
      </c>
      <c r="K455" t="s">
        <v>274</v>
      </c>
      <c r="L455" t="s">
        <v>274</v>
      </c>
      <c r="M455" t="s">
        <v>274</v>
      </c>
      <c r="N455" t="e">
        <f t="shared" si="1"/>
        <v>#VALUE!</v>
      </c>
      <c r="O455" t="e">
        <f t="shared" si="2"/>
        <v>#VALUE!</v>
      </c>
      <c r="P455">
        <f>IF($A455="","",IF($E455=1,$F455*$O455,PNL!G455))</f>
        <v>10589</v>
      </c>
      <c r="T455">
        <f t="shared" si="3"/>
        <v>0</v>
      </c>
    </row>
    <row r="456" ht="14.25" customHeight="1">
      <c r="A456" t="str">
        <f>IF(PNL!A456="","",PNL!A456)</f>
        <v>PIGIER_LYO</v>
      </c>
      <c r="B456" t="str">
        <f>IF(PNL!B456="","",PNL!B456)</f>
        <v>615</v>
      </c>
      <c r="C456" t="str">
        <f>IF(PNL!C456="","",PNL!C456)</f>
        <v>2024</v>
      </c>
      <c r="D456" t="str">
        <f>IF(PNL!D456="","",PNL!D456)</f>
        <v>ACT</v>
      </c>
      <c r="E456">
        <f t="shared" si="0"/>
        <v>0</v>
      </c>
      <c r="F456">
        <f>IF($A456="","",IF($E456=1,_xlfn.SUMIFS(Compta!$F$1:$F$1448,Compta!$A$1:$A$1448,$A456,Compta!$B$1:$B$1448,$B456,Compta!$C$1:$C$1448,"2026"),0))</f>
        <v>0</v>
      </c>
      <c r="G456" t="s">
        <v>274</v>
      </c>
      <c r="H456" t="s">
        <v>274</v>
      </c>
      <c r="I456" t="s">
        <v>274</v>
      </c>
      <c r="J456" t="s">
        <v>274</v>
      </c>
      <c r="K456" t="s">
        <v>274</v>
      </c>
      <c r="L456" t="s">
        <v>274</v>
      </c>
      <c r="M456" t="s">
        <v>274</v>
      </c>
      <c r="N456" t="e">
        <f t="shared" si="1"/>
        <v>#VALUE!</v>
      </c>
      <c r="O456" t="e">
        <f t="shared" si="2"/>
        <v>#VALUE!</v>
      </c>
      <c r="P456">
        <f>IF($A456="","",IF($E456=1,$F456*$O456,PNL!G456))</f>
        <v>17970</v>
      </c>
      <c r="T456">
        <f t="shared" si="3"/>
        <v>0</v>
      </c>
    </row>
    <row r="457" ht="14.25" customHeight="1">
      <c r="A457" t="str">
        <f>IF(PNL!A457="","",PNL!A457)</f>
        <v>PIGIER_BOR</v>
      </c>
      <c r="B457" t="str">
        <f>IF(PNL!B457="","",PNL!B457)</f>
        <v>615</v>
      </c>
      <c r="C457" t="str">
        <f>IF(PNL!C457="","",PNL!C457)</f>
        <v>2024</v>
      </c>
      <c r="D457" t="str">
        <f>IF(PNL!D457="","",PNL!D457)</f>
        <v>ACT</v>
      </c>
      <c r="E457">
        <f t="shared" si="0"/>
        <v>0</v>
      </c>
      <c r="F457">
        <f>IF($A457="","",IF($E457=1,_xlfn.SUMIFS(Compta!$F$1:$F$1448,Compta!$A$1:$A$1448,$A457,Compta!$B$1:$B$1448,$B457,Compta!$C$1:$C$1448,"2026"),0))</f>
        <v>0</v>
      </c>
      <c r="G457" t="s">
        <v>274</v>
      </c>
      <c r="H457" t="s">
        <v>274</v>
      </c>
      <c r="I457" t="s">
        <v>274</v>
      </c>
      <c r="J457" t="s">
        <v>274</v>
      </c>
      <c r="K457" t="s">
        <v>274</v>
      </c>
      <c r="L457" t="s">
        <v>274</v>
      </c>
      <c r="M457" t="s">
        <v>274</v>
      </c>
      <c r="N457" t="e">
        <f t="shared" si="1"/>
        <v>#VALUE!</v>
      </c>
      <c r="O457" t="e">
        <f t="shared" si="2"/>
        <v>#VALUE!</v>
      </c>
      <c r="P457">
        <f>IF($A457="","",IF($E457=1,$F457*$O457,PNL!G457))</f>
        <v>16846</v>
      </c>
      <c r="T457">
        <f t="shared" si="3"/>
        <v>0</v>
      </c>
    </row>
    <row r="458" ht="14.25" customHeight="1">
      <c r="A458" t="str">
        <f>IF(PNL!A458="","",PNL!A458)</f>
        <v>TUNON_PAR</v>
      </c>
      <c r="B458" t="str">
        <f>IF(PNL!B458="","",PNL!B458)</f>
        <v>615</v>
      </c>
      <c r="C458" t="str">
        <f>IF(PNL!C458="","",PNL!C458)</f>
        <v>2024</v>
      </c>
      <c r="D458" t="str">
        <f>IF(PNL!D458="","",PNL!D458)</f>
        <v>ACT</v>
      </c>
      <c r="E458">
        <f t="shared" si="0"/>
        <v>0</v>
      </c>
      <c r="F458">
        <f>IF($A458="","",IF($E458=1,_xlfn.SUMIFS(Compta!$F$1:$F$1448,Compta!$A$1:$A$1448,$A458,Compta!$B$1:$B$1448,$B458,Compta!$C$1:$C$1448,"2026"),0))</f>
        <v>0</v>
      </c>
      <c r="G458" t="s">
        <v>274</v>
      </c>
      <c r="H458" t="s">
        <v>274</v>
      </c>
      <c r="I458" t="s">
        <v>274</v>
      </c>
      <c r="J458" t="s">
        <v>274</v>
      </c>
      <c r="K458" t="s">
        <v>274</v>
      </c>
      <c r="L458" t="s">
        <v>274</v>
      </c>
      <c r="M458" t="s">
        <v>274</v>
      </c>
      <c r="N458" t="e">
        <f t="shared" si="1"/>
        <v>#VALUE!</v>
      </c>
      <c r="O458" t="e">
        <f t="shared" si="2"/>
        <v>#VALUE!</v>
      </c>
      <c r="P458">
        <f>IF($A458="","",IF($E458=1,$F458*$O458,PNL!G458))</f>
        <v>19494</v>
      </c>
      <c r="T458">
        <f t="shared" si="3"/>
        <v>0</v>
      </c>
    </row>
    <row r="459" ht="14.25" customHeight="1">
      <c r="A459" t="str">
        <f>IF(PNL!A459="","",PNL!A459)</f>
        <v>TUNON_LYO</v>
      </c>
      <c r="B459" t="str">
        <f>IF(PNL!B459="","",PNL!B459)</f>
        <v>615</v>
      </c>
      <c r="C459" t="str">
        <f>IF(PNL!C459="","",PNL!C459)</f>
        <v>2024</v>
      </c>
      <c r="D459" t="str">
        <f>IF(PNL!D459="","",PNL!D459)</f>
        <v>ACT</v>
      </c>
      <c r="E459">
        <f t="shared" si="0"/>
        <v>0</v>
      </c>
      <c r="F459">
        <f>IF($A459="","",IF($E459=1,_xlfn.SUMIFS(Compta!$F$1:$F$1448,Compta!$A$1:$A$1448,$A459,Compta!$B$1:$B$1448,$B459,Compta!$C$1:$C$1448,"2026"),0))</f>
        <v>0</v>
      </c>
      <c r="G459" t="s">
        <v>274</v>
      </c>
      <c r="H459" t="s">
        <v>274</v>
      </c>
      <c r="I459" t="s">
        <v>274</v>
      </c>
      <c r="J459" t="s">
        <v>274</v>
      </c>
      <c r="K459" t="s">
        <v>274</v>
      </c>
      <c r="L459" t="s">
        <v>274</v>
      </c>
      <c r="M459" t="s">
        <v>274</v>
      </c>
      <c r="N459" t="e">
        <f t="shared" si="1"/>
        <v>#VALUE!</v>
      </c>
      <c r="O459" t="e">
        <f t="shared" si="2"/>
        <v>#VALUE!</v>
      </c>
      <c r="P459">
        <f>IF($A459="","",IF($E459=1,$F459*$O459,PNL!G459))</f>
        <v>13477</v>
      </c>
      <c r="T459">
        <f t="shared" si="3"/>
        <v>0</v>
      </c>
    </row>
    <row r="460" ht="14.25" customHeight="1">
      <c r="A460" t="str">
        <f>IF(PNL!A460="","",PNL!A460)</f>
        <v>MBWAY_PAR</v>
      </c>
      <c r="B460" t="str">
        <f>IF(PNL!B460="","",PNL!B460)</f>
        <v>615</v>
      </c>
      <c r="C460" t="str">
        <f>IF(PNL!C460="","",PNL!C460)</f>
        <v>2025</v>
      </c>
      <c r="D460" t="str">
        <f>IF(PNL!D460="","",PNL!D460)</f>
        <v>ACT</v>
      </c>
      <c r="E460">
        <f t="shared" si="0"/>
        <v>0</v>
      </c>
      <c r="F460">
        <f>IF($A460="","",IF($E460=1,_xlfn.SUMIFS(Compta!$F$1:$F$1448,Compta!$A$1:$A$1448,$A460,Compta!$B$1:$B$1448,$B460,Compta!$C$1:$C$1448,"2026"),0))</f>
        <v>0</v>
      </c>
      <c r="G460" t="s">
        <v>274</v>
      </c>
      <c r="H460" t="s">
        <v>274</v>
      </c>
      <c r="I460" t="s">
        <v>274</v>
      </c>
      <c r="J460" t="s">
        <v>274</v>
      </c>
      <c r="K460" t="s">
        <v>274</v>
      </c>
      <c r="L460" t="s">
        <v>274</v>
      </c>
      <c r="M460" t="s">
        <v>274</v>
      </c>
      <c r="N460" t="e">
        <f t="shared" si="1"/>
        <v>#VALUE!</v>
      </c>
      <c r="O460" t="e">
        <f t="shared" si="2"/>
        <v>#VALUE!</v>
      </c>
      <c r="P460">
        <f>IF($A460="","",IF($E460=1,$F460*$O460,PNL!G460))</f>
        <v>50967</v>
      </c>
      <c r="T460">
        <f t="shared" si="3"/>
        <v>0</v>
      </c>
    </row>
    <row r="461" ht="14.25" customHeight="1">
      <c r="A461" t="str">
        <f>IF(PNL!A461="","",PNL!A461)</f>
        <v>MBWAY_LYO</v>
      </c>
      <c r="B461" t="str">
        <f>IF(PNL!B461="","",PNL!B461)</f>
        <v>615</v>
      </c>
      <c r="C461" t="str">
        <f>IF(PNL!C461="","",PNL!C461)</f>
        <v>2025</v>
      </c>
      <c r="D461" t="str">
        <f>IF(PNL!D461="","",PNL!D461)</f>
        <v>ACT</v>
      </c>
      <c r="E461">
        <f t="shared" si="0"/>
        <v>0</v>
      </c>
      <c r="F461">
        <f>IF($A461="","",IF($E461=1,_xlfn.SUMIFS(Compta!$F$1:$F$1448,Compta!$A$1:$A$1448,$A461,Compta!$B$1:$B$1448,$B461,Compta!$C$1:$C$1448,"2026"),0))</f>
        <v>0</v>
      </c>
      <c r="G461" t="s">
        <v>274</v>
      </c>
      <c r="H461" t="s">
        <v>274</v>
      </c>
      <c r="I461" t="s">
        <v>274</v>
      </c>
      <c r="J461" t="s">
        <v>274</v>
      </c>
      <c r="K461" t="s">
        <v>274</v>
      </c>
      <c r="L461" t="s">
        <v>274</v>
      </c>
      <c r="M461" t="s">
        <v>274</v>
      </c>
      <c r="N461" t="e">
        <f t="shared" si="1"/>
        <v>#VALUE!</v>
      </c>
      <c r="O461" t="e">
        <f t="shared" si="2"/>
        <v>#VALUE!</v>
      </c>
      <c r="P461">
        <f>IF($A461="","",IF($E461=1,$F461*$O461,PNL!G461))</f>
        <v>30538</v>
      </c>
      <c r="T461">
        <f t="shared" si="3"/>
        <v>0</v>
      </c>
    </row>
    <row r="462" ht="14.25" customHeight="1">
      <c r="A462" t="str">
        <f>IF(PNL!A462="","",PNL!A462)</f>
        <v>MBWAY_NAN</v>
      </c>
      <c r="B462" t="str">
        <f>IF(PNL!B462="","",PNL!B462)</f>
        <v>615</v>
      </c>
      <c r="C462" t="str">
        <f>IF(PNL!C462="","",PNL!C462)</f>
        <v>2025</v>
      </c>
      <c r="D462" t="str">
        <f>IF(PNL!D462="","",PNL!D462)</f>
        <v>ACT</v>
      </c>
      <c r="E462">
        <f t="shared" si="0"/>
        <v>0</v>
      </c>
      <c r="F462">
        <f>IF($A462="","",IF($E462=1,_xlfn.SUMIFS(Compta!$F$1:$F$1448,Compta!$A$1:$A$1448,$A462,Compta!$B$1:$B$1448,$B462,Compta!$C$1:$C$1448,"2026"),0))</f>
        <v>0</v>
      </c>
      <c r="G462" t="s">
        <v>274</v>
      </c>
      <c r="H462" t="s">
        <v>274</v>
      </c>
      <c r="I462" t="s">
        <v>274</v>
      </c>
      <c r="J462" t="s">
        <v>274</v>
      </c>
      <c r="K462" t="s">
        <v>274</v>
      </c>
      <c r="L462" t="s">
        <v>274</v>
      </c>
      <c r="M462" t="s">
        <v>274</v>
      </c>
      <c r="N462" t="e">
        <f t="shared" si="1"/>
        <v>#VALUE!</v>
      </c>
      <c r="O462" t="e">
        <f t="shared" si="2"/>
        <v>#VALUE!</v>
      </c>
      <c r="P462">
        <f>IF($A462="","",IF($E462=1,$F462*$O462,PNL!G462))</f>
        <v>25169</v>
      </c>
      <c r="T462">
        <f t="shared" si="3"/>
        <v>0</v>
      </c>
    </row>
    <row r="463" ht="14.25" customHeight="1">
      <c r="A463" t="str">
        <f>IF(PNL!A463="","",PNL!A463)</f>
        <v>MBWAY_BOR</v>
      </c>
      <c r="B463" t="str">
        <f>IF(PNL!B463="","",PNL!B463)</f>
        <v>615</v>
      </c>
      <c r="C463" t="str">
        <f>IF(PNL!C463="","",PNL!C463)</f>
        <v>2025</v>
      </c>
      <c r="D463" t="str">
        <f>IF(PNL!D463="","",PNL!D463)</f>
        <v>ACT</v>
      </c>
      <c r="E463">
        <f t="shared" si="0"/>
        <v>0</v>
      </c>
      <c r="F463">
        <f>IF($A463="","",IF($E463=1,_xlfn.SUMIFS(Compta!$F$1:$F$1448,Compta!$A$1:$A$1448,$A463,Compta!$B$1:$B$1448,$B463,Compta!$C$1:$C$1448,"2026"),0))</f>
        <v>0</v>
      </c>
      <c r="G463" t="s">
        <v>274</v>
      </c>
      <c r="H463" t="s">
        <v>274</v>
      </c>
      <c r="I463" t="s">
        <v>274</v>
      </c>
      <c r="J463" t="s">
        <v>274</v>
      </c>
      <c r="K463" t="s">
        <v>274</v>
      </c>
      <c r="L463" t="s">
        <v>274</v>
      </c>
      <c r="M463" t="s">
        <v>274</v>
      </c>
      <c r="N463" t="e">
        <f t="shared" si="1"/>
        <v>#VALUE!</v>
      </c>
      <c r="O463" t="e">
        <f t="shared" si="2"/>
        <v>#VALUE!</v>
      </c>
      <c r="P463">
        <f>IF($A463="","",IF($E463=1,$F463*$O463,PNL!G463))</f>
        <v>22023</v>
      </c>
      <c r="T463">
        <f t="shared" si="3"/>
        <v>0</v>
      </c>
    </row>
    <row r="464" ht="14.25" customHeight="1">
      <c r="A464" t="str">
        <f>IF(PNL!A464="","",PNL!A464)</f>
        <v>ISCOM_PAR</v>
      </c>
      <c r="B464" t="str">
        <f>IF(PNL!B464="","",PNL!B464)</f>
        <v>615</v>
      </c>
      <c r="C464" t="str">
        <f>IF(PNL!C464="","",PNL!C464)</f>
        <v>2025</v>
      </c>
      <c r="D464" t="str">
        <f>IF(PNL!D464="","",PNL!D464)</f>
        <v>ACT</v>
      </c>
      <c r="E464">
        <f t="shared" si="0"/>
        <v>0</v>
      </c>
      <c r="F464">
        <f>IF($A464="","",IF($E464=1,_xlfn.SUMIFS(Compta!$F$1:$F$1448,Compta!$A$1:$A$1448,$A464,Compta!$B$1:$B$1448,$B464,Compta!$C$1:$C$1448,"2026"),0))</f>
        <v>0</v>
      </c>
      <c r="G464" t="s">
        <v>274</v>
      </c>
      <c r="H464" t="s">
        <v>274</v>
      </c>
      <c r="I464" t="s">
        <v>274</v>
      </c>
      <c r="J464" t="s">
        <v>274</v>
      </c>
      <c r="K464" t="s">
        <v>274</v>
      </c>
      <c r="L464" t="s">
        <v>274</v>
      </c>
      <c r="M464" t="s">
        <v>274</v>
      </c>
      <c r="N464" t="e">
        <f t="shared" si="1"/>
        <v>#VALUE!</v>
      </c>
      <c r="O464" t="e">
        <f t="shared" si="2"/>
        <v>#VALUE!</v>
      </c>
      <c r="P464">
        <f>IF($A464="","",IF($E464=1,$F464*$O464,PNL!G464))</f>
        <v>50967</v>
      </c>
      <c r="T464">
        <f t="shared" si="3"/>
        <v>0</v>
      </c>
    </row>
    <row r="465" ht="14.25" customHeight="1">
      <c r="A465" t="str">
        <f>IF(PNL!A465="","",PNL!A465)</f>
        <v>ISCOM_LIL</v>
      </c>
      <c r="B465" t="str">
        <f>IF(PNL!B465="","",PNL!B465)</f>
        <v>615</v>
      </c>
      <c r="C465" t="str">
        <f>IF(PNL!C465="","",PNL!C465)</f>
        <v>2025</v>
      </c>
      <c r="D465" t="str">
        <f>IF(PNL!D465="","",PNL!D465)</f>
        <v>ACT</v>
      </c>
      <c r="E465">
        <f t="shared" si="0"/>
        <v>0</v>
      </c>
      <c r="F465">
        <f>IF($A465="","",IF($E465=1,_xlfn.SUMIFS(Compta!$F$1:$F$1448,Compta!$A$1:$A$1448,$A465,Compta!$B$1:$B$1448,$B465,Compta!$C$1:$C$1448,"2026"),0))</f>
        <v>0</v>
      </c>
      <c r="G465" t="s">
        <v>274</v>
      </c>
      <c r="H465" t="s">
        <v>274</v>
      </c>
      <c r="I465" t="s">
        <v>274</v>
      </c>
      <c r="J465" t="s">
        <v>274</v>
      </c>
      <c r="K465" t="s">
        <v>274</v>
      </c>
      <c r="L465" t="s">
        <v>274</v>
      </c>
      <c r="M465" t="s">
        <v>274</v>
      </c>
      <c r="N465" t="e">
        <f t="shared" si="1"/>
        <v>#VALUE!</v>
      </c>
      <c r="O465" t="e">
        <f t="shared" si="2"/>
        <v>#VALUE!</v>
      </c>
      <c r="P465">
        <f>IF($A465="","",IF($E465=1,$F465*$O465,PNL!G465))</f>
        <v>19296</v>
      </c>
      <c r="T465">
        <f t="shared" si="3"/>
        <v>0</v>
      </c>
    </row>
    <row r="466" ht="14.25" customHeight="1">
      <c r="A466" t="str">
        <f>IF(PNL!A466="","",PNL!A466)</f>
        <v>ISCOM_TLS</v>
      </c>
      <c r="B466" t="str">
        <f>IF(PNL!B466="","",PNL!B466)</f>
        <v>615</v>
      </c>
      <c r="C466" t="str">
        <f>IF(PNL!C466="","",PNL!C466)</f>
        <v>2025</v>
      </c>
      <c r="D466" t="str">
        <f>IF(PNL!D466="","",PNL!D466)</f>
        <v>ACT</v>
      </c>
      <c r="E466">
        <f t="shared" si="0"/>
        <v>0</v>
      </c>
      <c r="F466">
        <f>IF($A466="","",IF($E466=1,_xlfn.SUMIFS(Compta!$F$1:$F$1448,Compta!$A$1:$A$1448,$A466,Compta!$B$1:$B$1448,$B466,Compta!$C$1:$C$1448,"2026"),0))</f>
        <v>0</v>
      </c>
      <c r="G466" t="s">
        <v>274</v>
      </c>
      <c r="H466" t="s">
        <v>274</v>
      </c>
      <c r="I466" t="s">
        <v>274</v>
      </c>
      <c r="J466" t="s">
        <v>274</v>
      </c>
      <c r="K466" t="s">
        <v>274</v>
      </c>
      <c r="L466" t="s">
        <v>274</v>
      </c>
      <c r="M466" t="s">
        <v>274</v>
      </c>
      <c r="N466" t="e">
        <f t="shared" si="1"/>
        <v>#VALUE!</v>
      </c>
      <c r="O466" t="e">
        <f t="shared" si="2"/>
        <v>#VALUE!</v>
      </c>
      <c r="P466">
        <f>IF($A466="","",IF($E466=1,$F466*$O466,PNL!G466))</f>
        <v>18877</v>
      </c>
      <c r="T466">
        <f t="shared" si="3"/>
        <v>0</v>
      </c>
    </row>
    <row r="467" ht="14.25" customHeight="1">
      <c r="A467" t="str">
        <f>IF(PNL!A467="","",PNL!A467)</f>
        <v>IPAC_NAN</v>
      </c>
      <c r="B467" t="str">
        <f>IF(PNL!B467="","",PNL!B467)</f>
        <v>615</v>
      </c>
      <c r="C467" t="str">
        <f>IF(PNL!C467="","",PNL!C467)</f>
        <v>2025</v>
      </c>
      <c r="D467" t="str">
        <f>IF(PNL!D467="","",PNL!D467)</f>
        <v>ACT</v>
      </c>
      <c r="E467">
        <f t="shared" si="0"/>
        <v>0</v>
      </c>
      <c r="F467">
        <f>IF($A467="","",IF($E467=1,_xlfn.SUMIFS(Compta!$F$1:$F$1448,Compta!$A$1:$A$1448,$A467,Compta!$B$1:$B$1448,$B467,Compta!$C$1:$C$1448,"2026"),0))</f>
        <v>0</v>
      </c>
      <c r="G467" t="s">
        <v>274</v>
      </c>
      <c r="H467" t="s">
        <v>274</v>
      </c>
      <c r="I467" t="s">
        <v>274</v>
      </c>
      <c r="J467" t="s">
        <v>274</v>
      </c>
      <c r="K467" t="s">
        <v>274</v>
      </c>
      <c r="L467" t="s">
        <v>274</v>
      </c>
      <c r="M467" t="s">
        <v>274</v>
      </c>
      <c r="N467" t="e">
        <f t="shared" si="1"/>
        <v>#VALUE!</v>
      </c>
      <c r="O467" t="e">
        <f t="shared" si="2"/>
        <v>#VALUE!</v>
      </c>
      <c r="P467">
        <f>IF($A467="","",IF($E467=1,$F467*$O467,PNL!G467))</f>
        <v>12585</v>
      </c>
      <c r="T467">
        <f t="shared" si="3"/>
        <v>0</v>
      </c>
    </row>
    <row r="468" ht="14.25" customHeight="1">
      <c r="A468" t="str">
        <f>IF(PNL!A468="","",PNL!A468)</f>
        <v>IPAC_REN</v>
      </c>
      <c r="B468" t="str">
        <f>IF(PNL!B468="","",PNL!B468)</f>
        <v>615</v>
      </c>
      <c r="C468" t="str">
        <f>IF(PNL!C468="","",PNL!C468)</f>
        <v>2025</v>
      </c>
      <c r="D468" t="str">
        <f>IF(PNL!D468="","",PNL!D468)</f>
        <v>ACT</v>
      </c>
      <c r="E468">
        <f t="shared" si="0"/>
        <v>0</v>
      </c>
      <c r="F468">
        <f>IF($A468="","",IF($E468=1,_xlfn.SUMIFS(Compta!$F$1:$F$1448,Compta!$A$1:$A$1448,$A468,Compta!$B$1:$B$1448,$B468,Compta!$C$1:$C$1448,"2026"),0))</f>
        <v>0</v>
      </c>
      <c r="G468" t="s">
        <v>274</v>
      </c>
      <c r="H468" t="s">
        <v>274</v>
      </c>
      <c r="I468" t="s">
        <v>274</v>
      </c>
      <c r="J468" t="s">
        <v>274</v>
      </c>
      <c r="K468" t="s">
        <v>274</v>
      </c>
      <c r="L468" t="s">
        <v>274</v>
      </c>
      <c r="M468" t="s">
        <v>274</v>
      </c>
      <c r="N468" t="e">
        <f t="shared" si="1"/>
        <v>#VALUE!</v>
      </c>
      <c r="O468" t="e">
        <f t="shared" si="2"/>
        <v>#VALUE!</v>
      </c>
      <c r="P468">
        <f>IF($A468="","",IF($E468=1,$F468*$O468,PNL!G468))</f>
        <v>11074</v>
      </c>
      <c r="T468">
        <f t="shared" si="3"/>
        <v>0</v>
      </c>
    </row>
    <row r="469" ht="14.25" customHeight="1">
      <c r="A469" t="str">
        <f>IF(PNL!A469="","",PNL!A469)</f>
        <v>IPAC_MTP</v>
      </c>
      <c r="B469" t="str">
        <f>IF(PNL!B469="","",PNL!B469)</f>
        <v>615</v>
      </c>
      <c r="C469" t="str">
        <f>IF(PNL!C469="","",PNL!C469)</f>
        <v>2025</v>
      </c>
      <c r="D469" t="str">
        <f>IF(PNL!D469="","",PNL!D469)</f>
        <v>ACT</v>
      </c>
      <c r="E469">
        <f t="shared" si="0"/>
        <v>0</v>
      </c>
      <c r="F469">
        <f>IF($A469="","",IF($E469=1,_xlfn.SUMIFS(Compta!$F$1:$F$1448,Compta!$A$1:$A$1448,$A469,Compta!$B$1:$B$1448,$B469,Compta!$C$1:$C$1448,"2026"),0))</f>
        <v>0</v>
      </c>
      <c r="G469" t="s">
        <v>274</v>
      </c>
      <c r="H469" t="s">
        <v>274</v>
      </c>
      <c r="I469" t="s">
        <v>274</v>
      </c>
      <c r="J469" t="s">
        <v>274</v>
      </c>
      <c r="K469" t="s">
        <v>274</v>
      </c>
      <c r="L469" t="s">
        <v>274</v>
      </c>
      <c r="M469" t="s">
        <v>274</v>
      </c>
      <c r="N469" t="e">
        <f t="shared" si="1"/>
        <v>#VALUE!</v>
      </c>
      <c r="O469" t="e">
        <f t="shared" si="2"/>
        <v>#VALUE!</v>
      </c>
      <c r="P469">
        <f>IF($A469="","",IF($E469=1,$F469*$O469,PNL!G469))</f>
        <v>11074</v>
      </c>
      <c r="T469">
        <f t="shared" si="3"/>
        <v>0</v>
      </c>
    </row>
    <row r="470" ht="14.25" customHeight="1">
      <c r="A470" t="str">
        <f>IF(PNL!A470="","",PNL!A470)</f>
        <v>PIGIER_LYO</v>
      </c>
      <c r="B470" t="str">
        <f>IF(PNL!B470="","",PNL!B470)</f>
        <v>615</v>
      </c>
      <c r="C470" t="str">
        <f>IF(PNL!C470="","",PNL!C470)</f>
        <v>2025</v>
      </c>
      <c r="D470" t="str">
        <f>IF(PNL!D470="","",PNL!D470)</f>
        <v>ACT</v>
      </c>
      <c r="E470">
        <f t="shared" si="0"/>
        <v>0</v>
      </c>
      <c r="F470">
        <f>IF($A470="","",IF($E470=1,_xlfn.SUMIFS(Compta!$F$1:$F$1448,Compta!$A$1:$A$1448,$A470,Compta!$B$1:$B$1448,$B470,Compta!$C$1:$C$1448,"2026"),0))</f>
        <v>0</v>
      </c>
      <c r="G470" t="s">
        <v>274</v>
      </c>
      <c r="H470" t="s">
        <v>274</v>
      </c>
      <c r="I470" t="s">
        <v>274</v>
      </c>
      <c r="J470" t="s">
        <v>274</v>
      </c>
      <c r="K470" t="s">
        <v>274</v>
      </c>
      <c r="L470" t="s">
        <v>274</v>
      </c>
      <c r="M470" t="s">
        <v>274</v>
      </c>
      <c r="N470" t="e">
        <f t="shared" si="1"/>
        <v>#VALUE!</v>
      </c>
      <c r="O470" t="e">
        <f t="shared" si="2"/>
        <v>#VALUE!</v>
      </c>
      <c r="P470">
        <f>IF($A470="","",IF($E470=1,$F470*$O470,PNL!G470))</f>
        <v>18793</v>
      </c>
      <c r="T470">
        <f t="shared" si="3"/>
        <v>0</v>
      </c>
    </row>
    <row r="471" ht="14.25" customHeight="1">
      <c r="A471" t="str">
        <f>IF(PNL!A471="","",PNL!A471)</f>
        <v>PIGIER_BOR</v>
      </c>
      <c r="B471" t="str">
        <f>IF(PNL!B471="","",PNL!B471)</f>
        <v>615</v>
      </c>
      <c r="C471" t="str">
        <f>IF(PNL!C471="","",PNL!C471)</f>
        <v>2025</v>
      </c>
      <c r="D471" t="str">
        <f>IF(PNL!D471="","",PNL!D471)</f>
        <v>ACT</v>
      </c>
      <c r="E471">
        <f t="shared" si="0"/>
        <v>0</v>
      </c>
      <c r="F471">
        <f>IF($A471="","",IF($E471=1,_xlfn.SUMIFS(Compta!$F$1:$F$1448,Compta!$A$1:$A$1448,$A471,Compta!$B$1:$B$1448,$B471,Compta!$C$1:$C$1448,"2026"),0))</f>
        <v>0</v>
      </c>
      <c r="G471" t="s">
        <v>274</v>
      </c>
      <c r="H471" t="s">
        <v>274</v>
      </c>
      <c r="I471" t="s">
        <v>274</v>
      </c>
      <c r="J471" t="s">
        <v>274</v>
      </c>
      <c r="K471" t="s">
        <v>274</v>
      </c>
      <c r="L471" t="s">
        <v>274</v>
      </c>
      <c r="M471" t="s">
        <v>274</v>
      </c>
      <c r="N471" t="e">
        <f t="shared" si="1"/>
        <v>#VALUE!</v>
      </c>
      <c r="O471" t="e">
        <f t="shared" si="2"/>
        <v>#VALUE!</v>
      </c>
      <c r="P471">
        <f>IF($A471="","",IF($E471=1,$F471*$O471,PNL!G471))</f>
        <v>17618</v>
      </c>
      <c r="T471">
        <f t="shared" si="3"/>
        <v>0</v>
      </c>
    </row>
    <row r="472" ht="14.25" customHeight="1">
      <c r="A472" t="str">
        <f>IF(PNL!A472="","",PNL!A472)</f>
        <v>TUNON_PAR</v>
      </c>
      <c r="B472" t="str">
        <f>IF(PNL!B472="","",PNL!B472)</f>
        <v>615</v>
      </c>
      <c r="C472" t="str">
        <f>IF(PNL!C472="","",PNL!C472)</f>
        <v>2025</v>
      </c>
      <c r="D472" t="str">
        <f>IF(PNL!D472="","",PNL!D472)</f>
        <v>ACT</v>
      </c>
      <c r="E472">
        <f t="shared" si="0"/>
        <v>0</v>
      </c>
      <c r="F472">
        <f>IF($A472="","",IF($E472=1,_xlfn.SUMIFS(Compta!$F$1:$F$1448,Compta!$A$1:$A$1448,$A472,Compta!$B$1:$B$1448,$B472,Compta!$C$1:$C$1448,"2026"),0))</f>
        <v>0</v>
      </c>
      <c r="G472" t="s">
        <v>274</v>
      </c>
      <c r="H472" t="s">
        <v>274</v>
      </c>
      <c r="I472" t="s">
        <v>274</v>
      </c>
      <c r="J472" t="s">
        <v>274</v>
      </c>
      <c r="K472" t="s">
        <v>274</v>
      </c>
      <c r="L472" t="s">
        <v>274</v>
      </c>
      <c r="M472" t="s">
        <v>274</v>
      </c>
      <c r="N472" t="e">
        <f t="shared" si="1"/>
        <v>#VALUE!</v>
      </c>
      <c r="O472" t="e">
        <f t="shared" si="2"/>
        <v>#VALUE!</v>
      </c>
      <c r="P472">
        <f>IF($A472="","",IF($E472=1,$F472*$O472,PNL!G472))</f>
        <v>20387</v>
      </c>
      <c r="T472">
        <f t="shared" si="3"/>
        <v>0</v>
      </c>
    </row>
    <row r="473" ht="14.25" customHeight="1">
      <c r="A473" t="str">
        <f>IF(PNL!A473="","",PNL!A473)</f>
        <v>TUNON_LYO</v>
      </c>
      <c r="B473" t="str">
        <f>IF(PNL!B473="","",PNL!B473)</f>
        <v>615</v>
      </c>
      <c r="C473" t="str">
        <f>IF(PNL!C473="","",PNL!C473)</f>
        <v>2025</v>
      </c>
      <c r="D473" t="str">
        <f>IF(PNL!D473="","",PNL!D473)</f>
        <v>ACT</v>
      </c>
      <c r="E473">
        <f t="shared" si="0"/>
        <v>0</v>
      </c>
      <c r="F473">
        <f>IF($A473="","",IF($E473=1,_xlfn.SUMIFS(Compta!$F$1:$F$1448,Compta!$A$1:$A$1448,$A473,Compta!$B$1:$B$1448,$B473,Compta!$C$1:$C$1448,"2026"),0))</f>
        <v>0</v>
      </c>
      <c r="G473" t="s">
        <v>274</v>
      </c>
      <c r="H473" t="s">
        <v>274</v>
      </c>
      <c r="I473" t="s">
        <v>274</v>
      </c>
      <c r="J473" t="s">
        <v>274</v>
      </c>
      <c r="K473" t="s">
        <v>274</v>
      </c>
      <c r="L473" t="s">
        <v>274</v>
      </c>
      <c r="M473" t="s">
        <v>274</v>
      </c>
      <c r="N473" t="e">
        <f t="shared" si="1"/>
        <v>#VALUE!</v>
      </c>
      <c r="O473" t="e">
        <f t="shared" si="2"/>
        <v>#VALUE!</v>
      </c>
      <c r="P473">
        <f>IF($A473="","",IF($E473=1,$F473*$O473,PNL!G473))</f>
        <v>14095</v>
      </c>
      <c r="T473">
        <f t="shared" si="3"/>
        <v>0</v>
      </c>
    </row>
    <row r="474" ht="14.25" customHeight="1">
      <c r="A474" t="str">
        <f>IF(PNL!A474="","",PNL!A474)</f>
        <v>MBWAY_PAR</v>
      </c>
      <c r="B474" t="str">
        <f>IF(PNL!B474="","",PNL!B474)</f>
        <v>615</v>
      </c>
      <c r="C474" t="str">
        <f>IF(PNL!C474="","",PNL!C474)</f>
        <v>2026</v>
      </c>
      <c r="D474" t="str">
        <f>IF(PNL!D474="","",PNL!D474)</f>
        <v>ACT</v>
      </c>
      <c r="E474">
        <f t="shared" si="0"/>
        <v>0</v>
      </c>
      <c r="F474">
        <f>IF($A474="","",IF($E474=1,_xlfn.SUMIFS(Compta!$F$1:$F$1448,Compta!$A$1:$A$1448,$A474,Compta!$B$1:$B$1448,$B474,Compta!$C$1:$C$1448,"2026"),0))</f>
        <v>0</v>
      </c>
      <c r="G474" t="s">
        <v>274</v>
      </c>
      <c r="H474" t="s">
        <v>274</v>
      </c>
      <c r="I474" t="s">
        <v>274</v>
      </c>
      <c r="J474" t="s">
        <v>274</v>
      </c>
      <c r="K474" t="s">
        <v>274</v>
      </c>
      <c r="L474" t="s">
        <v>274</v>
      </c>
      <c r="M474" t="s">
        <v>274</v>
      </c>
      <c r="N474" t="e">
        <f t="shared" si="1"/>
        <v>#VALUE!</v>
      </c>
      <c r="O474" t="e">
        <f t="shared" si="2"/>
        <v>#VALUE!</v>
      </c>
      <c r="P474">
        <f>IF($A474="","",IF($E474=1,$F474*$O474,PNL!G474))</f>
        <v>53400</v>
      </c>
      <c r="T474">
        <f t="shared" si="3"/>
        <v>0</v>
      </c>
    </row>
    <row r="475" ht="14.25" customHeight="1">
      <c r="A475" t="str">
        <f>IF(PNL!A475="","",PNL!A475)</f>
        <v>MBWAY_LYO</v>
      </c>
      <c r="B475" t="str">
        <f>IF(PNL!B475="","",PNL!B475)</f>
        <v>615</v>
      </c>
      <c r="C475" t="str">
        <f>IF(PNL!C475="","",PNL!C475)</f>
        <v>2026</v>
      </c>
      <c r="D475" t="str">
        <f>IF(PNL!D475="","",PNL!D475)</f>
        <v>ACT</v>
      </c>
      <c r="E475">
        <f t="shared" si="0"/>
        <v>0</v>
      </c>
      <c r="F475">
        <f>IF($A475="","",IF($E475=1,_xlfn.SUMIFS(Compta!$F$1:$F$1448,Compta!$A$1:$A$1448,$A475,Compta!$B$1:$B$1448,$B475,Compta!$C$1:$C$1448,"2026"),0))</f>
        <v>0</v>
      </c>
      <c r="G475" t="s">
        <v>274</v>
      </c>
      <c r="H475" t="s">
        <v>274</v>
      </c>
      <c r="I475" t="s">
        <v>274</v>
      </c>
      <c r="J475" t="s">
        <v>274</v>
      </c>
      <c r="K475" t="s">
        <v>274</v>
      </c>
      <c r="L475" t="s">
        <v>274</v>
      </c>
      <c r="M475" t="s">
        <v>274</v>
      </c>
      <c r="N475" t="e">
        <f t="shared" si="1"/>
        <v>#VALUE!</v>
      </c>
      <c r="O475" t="e">
        <f t="shared" si="2"/>
        <v>#VALUE!</v>
      </c>
      <c r="P475">
        <f>IF($A475="","",IF($E475=1,$F475*$O475,PNL!G475))</f>
        <v>31996</v>
      </c>
      <c r="T475">
        <f t="shared" si="3"/>
        <v>0</v>
      </c>
    </row>
    <row r="476" ht="14.25" customHeight="1">
      <c r="A476" t="str">
        <f>IF(PNL!A476="","",PNL!A476)</f>
        <v>MBWAY_NAN</v>
      </c>
      <c r="B476" t="str">
        <f>IF(PNL!B476="","",PNL!B476)</f>
        <v>615</v>
      </c>
      <c r="C476" t="str">
        <f>IF(PNL!C476="","",PNL!C476)</f>
        <v>2026</v>
      </c>
      <c r="D476" t="str">
        <f>IF(PNL!D476="","",PNL!D476)</f>
        <v>ACT</v>
      </c>
      <c r="E476">
        <f t="shared" si="0"/>
        <v>0</v>
      </c>
      <c r="F476">
        <f>IF($A476="","",IF($E476=1,_xlfn.SUMIFS(Compta!$F$1:$F$1448,Compta!$A$1:$A$1448,$A476,Compta!$B$1:$B$1448,$B476,Compta!$C$1:$C$1448,"2026"),0))</f>
        <v>0</v>
      </c>
      <c r="G476" t="s">
        <v>274</v>
      </c>
      <c r="H476" t="s">
        <v>274</v>
      </c>
      <c r="I476" t="s">
        <v>274</v>
      </c>
      <c r="J476" t="s">
        <v>274</v>
      </c>
      <c r="K476" t="s">
        <v>274</v>
      </c>
      <c r="L476" t="s">
        <v>274</v>
      </c>
      <c r="M476" t="s">
        <v>274</v>
      </c>
      <c r="N476" t="e">
        <f t="shared" si="1"/>
        <v>#VALUE!</v>
      </c>
      <c r="O476" t="e">
        <f t="shared" si="2"/>
        <v>#VALUE!</v>
      </c>
      <c r="P476">
        <f>IF($A476="","",IF($E476=1,$F476*$O476,PNL!G476))</f>
        <v>26370</v>
      </c>
      <c r="T476">
        <f t="shared" si="3"/>
        <v>0</v>
      </c>
    </row>
    <row r="477" ht="14.25" customHeight="1">
      <c r="A477" t="str">
        <f>IF(PNL!A477="","",PNL!A477)</f>
        <v>MBWAY_BOR</v>
      </c>
      <c r="B477" t="str">
        <f>IF(PNL!B477="","",PNL!B477)</f>
        <v>615</v>
      </c>
      <c r="C477" t="str">
        <f>IF(PNL!C477="","",PNL!C477)</f>
        <v>2026</v>
      </c>
      <c r="D477" t="str">
        <f>IF(PNL!D477="","",PNL!D477)</f>
        <v>ACT</v>
      </c>
      <c r="E477">
        <f t="shared" si="0"/>
        <v>0</v>
      </c>
      <c r="F477">
        <f>IF($A477="","",IF($E477=1,_xlfn.SUMIFS(Compta!$F$1:$F$1448,Compta!$A$1:$A$1448,$A477,Compta!$B$1:$B$1448,$B477,Compta!$C$1:$C$1448,"2026"),0))</f>
        <v>0</v>
      </c>
      <c r="G477" t="s">
        <v>274</v>
      </c>
      <c r="H477" t="s">
        <v>274</v>
      </c>
      <c r="I477" t="s">
        <v>274</v>
      </c>
      <c r="J477" t="s">
        <v>274</v>
      </c>
      <c r="K477" t="s">
        <v>274</v>
      </c>
      <c r="L477" t="s">
        <v>274</v>
      </c>
      <c r="M477" t="s">
        <v>274</v>
      </c>
      <c r="N477" t="e">
        <f t="shared" si="1"/>
        <v>#VALUE!</v>
      </c>
      <c r="O477" t="e">
        <f t="shared" si="2"/>
        <v>#VALUE!</v>
      </c>
      <c r="P477">
        <f>IF($A477="","",IF($E477=1,$F477*$O477,PNL!G477))</f>
        <v>23074</v>
      </c>
      <c r="T477">
        <f t="shared" si="3"/>
        <v>0</v>
      </c>
    </row>
    <row r="478" ht="14.25" customHeight="1">
      <c r="A478" t="str">
        <f>IF(PNL!A478="","",PNL!A478)</f>
        <v>ISCOM_PAR</v>
      </c>
      <c r="B478" t="str">
        <f>IF(PNL!B478="","",PNL!B478)</f>
        <v>615</v>
      </c>
      <c r="C478" t="str">
        <f>IF(PNL!C478="","",PNL!C478)</f>
        <v>2026</v>
      </c>
      <c r="D478" t="str">
        <f>IF(PNL!D478="","",PNL!D478)</f>
        <v>ACT</v>
      </c>
      <c r="E478">
        <f t="shared" si="0"/>
        <v>0</v>
      </c>
      <c r="F478">
        <f>IF($A478="","",IF($E478=1,_xlfn.SUMIFS(Compta!$F$1:$F$1448,Compta!$A$1:$A$1448,$A478,Compta!$B$1:$B$1448,$B478,Compta!$C$1:$C$1448,"2026"),0))</f>
        <v>0</v>
      </c>
      <c r="G478" t="s">
        <v>274</v>
      </c>
      <c r="H478" t="s">
        <v>274</v>
      </c>
      <c r="I478" t="s">
        <v>274</v>
      </c>
      <c r="J478" t="s">
        <v>274</v>
      </c>
      <c r="K478" t="s">
        <v>274</v>
      </c>
      <c r="L478" t="s">
        <v>274</v>
      </c>
      <c r="M478" t="s">
        <v>274</v>
      </c>
      <c r="N478" t="e">
        <f t="shared" si="1"/>
        <v>#VALUE!</v>
      </c>
      <c r="O478" t="e">
        <f t="shared" si="2"/>
        <v>#VALUE!</v>
      </c>
      <c r="P478">
        <f>IF($A478="","",IF($E478=1,$F478*$O478,PNL!G478))</f>
        <v>53400</v>
      </c>
      <c r="T478">
        <f t="shared" si="3"/>
        <v>0</v>
      </c>
    </row>
    <row r="479" ht="14.25" customHeight="1">
      <c r="A479" t="str">
        <f>IF(PNL!A479="","",PNL!A479)</f>
        <v>ISCOM_LIL</v>
      </c>
      <c r="B479" t="str">
        <f>IF(PNL!B479="","",PNL!B479)</f>
        <v>615</v>
      </c>
      <c r="C479" t="str">
        <f>IF(PNL!C479="","",PNL!C479)</f>
        <v>2026</v>
      </c>
      <c r="D479" t="str">
        <f>IF(PNL!D479="","",PNL!D479)</f>
        <v>ACT</v>
      </c>
      <c r="E479">
        <f t="shared" si="0"/>
        <v>0</v>
      </c>
      <c r="F479">
        <f>IF($A479="","",IF($E479=1,_xlfn.SUMIFS(Compta!$F$1:$F$1448,Compta!$A$1:$A$1448,$A479,Compta!$B$1:$B$1448,$B479,Compta!$C$1:$C$1448,"2026"),0))</f>
        <v>0</v>
      </c>
      <c r="G479" t="s">
        <v>274</v>
      </c>
      <c r="H479" t="s">
        <v>274</v>
      </c>
      <c r="I479" t="s">
        <v>274</v>
      </c>
      <c r="J479" t="s">
        <v>274</v>
      </c>
      <c r="K479" t="s">
        <v>274</v>
      </c>
      <c r="L479" t="s">
        <v>274</v>
      </c>
      <c r="M479" t="s">
        <v>274</v>
      </c>
      <c r="N479" t="e">
        <f t="shared" si="1"/>
        <v>#VALUE!</v>
      </c>
      <c r="O479" t="e">
        <f t="shared" si="2"/>
        <v>#VALUE!</v>
      </c>
      <c r="P479">
        <f>IF($A479="","",IF($E479=1,$F479*$O479,PNL!G479))</f>
        <v>20217</v>
      </c>
      <c r="T479">
        <f t="shared" si="3"/>
        <v>0</v>
      </c>
    </row>
    <row r="480" ht="14.25" customHeight="1">
      <c r="A480" t="str">
        <f>IF(PNL!A480="","",PNL!A480)</f>
        <v>ISCOM_TLS</v>
      </c>
      <c r="B480" t="str">
        <f>IF(PNL!B480="","",PNL!B480)</f>
        <v>615</v>
      </c>
      <c r="C480" t="str">
        <f>IF(PNL!C480="","",PNL!C480)</f>
        <v>2026</v>
      </c>
      <c r="D480" t="str">
        <f>IF(PNL!D480="","",PNL!D480)</f>
        <v>ACT</v>
      </c>
      <c r="E480">
        <f t="shared" si="0"/>
        <v>0</v>
      </c>
      <c r="F480">
        <f>IF($A480="","",IF($E480=1,_xlfn.SUMIFS(Compta!$F$1:$F$1448,Compta!$A$1:$A$1448,$A480,Compta!$B$1:$B$1448,$B480,Compta!$C$1:$C$1448,"2026"),0))</f>
        <v>0</v>
      </c>
      <c r="G480" t="s">
        <v>274</v>
      </c>
      <c r="H480" t="s">
        <v>274</v>
      </c>
      <c r="I480" t="s">
        <v>274</v>
      </c>
      <c r="J480" t="s">
        <v>274</v>
      </c>
      <c r="K480" t="s">
        <v>274</v>
      </c>
      <c r="L480" t="s">
        <v>274</v>
      </c>
      <c r="M480" t="s">
        <v>274</v>
      </c>
      <c r="N480" t="e">
        <f t="shared" si="1"/>
        <v>#VALUE!</v>
      </c>
      <c r="O480" t="e">
        <f t="shared" si="2"/>
        <v>#VALUE!</v>
      </c>
      <c r="P480">
        <f>IF($A480="","",IF($E480=1,$F480*$O480,PNL!G480))</f>
        <v>19778</v>
      </c>
      <c r="T480">
        <f t="shared" si="3"/>
        <v>0</v>
      </c>
    </row>
    <row r="481" ht="14.25" customHeight="1">
      <c r="A481" t="str">
        <f>IF(PNL!A481="","",PNL!A481)</f>
        <v>IPAC_NAN</v>
      </c>
      <c r="B481" t="str">
        <f>IF(PNL!B481="","",PNL!B481)</f>
        <v>615</v>
      </c>
      <c r="C481" t="str">
        <f>IF(PNL!C481="","",PNL!C481)</f>
        <v>2026</v>
      </c>
      <c r="D481" t="str">
        <f>IF(PNL!D481="","",PNL!D481)</f>
        <v>ACT</v>
      </c>
      <c r="E481">
        <f t="shared" si="0"/>
        <v>0</v>
      </c>
      <c r="F481">
        <f>IF($A481="","",IF($E481=1,_xlfn.SUMIFS(Compta!$F$1:$F$1448,Compta!$A$1:$A$1448,$A481,Compta!$B$1:$B$1448,$B481,Compta!$C$1:$C$1448,"2026"),0))</f>
        <v>0</v>
      </c>
      <c r="G481" t="s">
        <v>274</v>
      </c>
      <c r="H481" t="s">
        <v>274</v>
      </c>
      <c r="I481" t="s">
        <v>274</v>
      </c>
      <c r="J481" t="s">
        <v>274</v>
      </c>
      <c r="K481" t="s">
        <v>274</v>
      </c>
      <c r="L481" t="s">
        <v>274</v>
      </c>
      <c r="M481" t="s">
        <v>274</v>
      </c>
      <c r="N481" t="e">
        <f t="shared" si="1"/>
        <v>#VALUE!</v>
      </c>
      <c r="O481" t="e">
        <f t="shared" si="2"/>
        <v>#VALUE!</v>
      </c>
      <c r="P481">
        <f>IF($A481="","",IF($E481=1,$F481*$O481,PNL!G481))</f>
        <v>13185</v>
      </c>
      <c r="T481">
        <f t="shared" si="3"/>
        <v>0</v>
      </c>
    </row>
    <row r="482" ht="14.25" customHeight="1">
      <c r="A482" t="str">
        <f>IF(PNL!A482="","",PNL!A482)</f>
        <v>IPAC_REN</v>
      </c>
      <c r="B482" t="str">
        <f>IF(PNL!B482="","",PNL!B482)</f>
        <v>615</v>
      </c>
      <c r="C482" t="str">
        <f>IF(PNL!C482="","",PNL!C482)</f>
        <v>2026</v>
      </c>
      <c r="D482" t="str">
        <f>IF(PNL!D482="","",PNL!D482)</f>
        <v>ACT</v>
      </c>
      <c r="E482">
        <f t="shared" si="0"/>
        <v>0</v>
      </c>
      <c r="F482">
        <f>IF($A482="","",IF($E482=1,_xlfn.SUMIFS(Compta!$F$1:$F$1448,Compta!$A$1:$A$1448,$A482,Compta!$B$1:$B$1448,$B482,Compta!$C$1:$C$1448,"2026"),0))</f>
        <v>0</v>
      </c>
      <c r="G482" t="s">
        <v>274</v>
      </c>
      <c r="H482" t="s">
        <v>274</v>
      </c>
      <c r="I482" t="s">
        <v>274</v>
      </c>
      <c r="J482" t="s">
        <v>274</v>
      </c>
      <c r="K482" t="s">
        <v>274</v>
      </c>
      <c r="L482" t="s">
        <v>274</v>
      </c>
      <c r="M482" t="s">
        <v>274</v>
      </c>
      <c r="N482" t="e">
        <f t="shared" si="1"/>
        <v>#VALUE!</v>
      </c>
      <c r="O482" t="e">
        <f t="shared" si="2"/>
        <v>#VALUE!</v>
      </c>
      <c r="P482">
        <f>IF($A482="","",IF($E482=1,$F482*$O482,PNL!G482))</f>
        <v>11603</v>
      </c>
      <c r="T482">
        <f t="shared" si="3"/>
        <v>0</v>
      </c>
    </row>
    <row r="483" ht="14.25" customHeight="1">
      <c r="A483" t="str">
        <f>IF(PNL!A483="","",PNL!A483)</f>
        <v>IPAC_MTP</v>
      </c>
      <c r="B483" t="str">
        <f>IF(PNL!B483="","",PNL!B483)</f>
        <v>615</v>
      </c>
      <c r="C483" t="str">
        <f>IF(PNL!C483="","",PNL!C483)</f>
        <v>2026</v>
      </c>
      <c r="D483" t="str">
        <f>IF(PNL!D483="","",PNL!D483)</f>
        <v>ACT</v>
      </c>
      <c r="E483">
        <f t="shared" si="0"/>
        <v>0</v>
      </c>
      <c r="F483">
        <f>IF($A483="","",IF($E483=1,_xlfn.SUMIFS(Compta!$F$1:$F$1448,Compta!$A$1:$A$1448,$A483,Compta!$B$1:$B$1448,$B483,Compta!$C$1:$C$1448,"2026"),0))</f>
        <v>0</v>
      </c>
      <c r="G483" t="s">
        <v>274</v>
      </c>
      <c r="H483" t="s">
        <v>274</v>
      </c>
      <c r="I483" t="s">
        <v>274</v>
      </c>
      <c r="J483" t="s">
        <v>274</v>
      </c>
      <c r="K483" t="s">
        <v>274</v>
      </c>
      <c r="L483" t="s">
        <v>274</v>
      </c>
      <c r="M483" t="s">
        <v>274</v>
      </c>
      <c r="N483" t="e">
        <f t="shared" si="1"/>
        <v>#VALUE!</v>
      </c>
      <c r="O483" t="e">
        <f t="shared" si="2"/>
        <v>#VALUE!</v>
      </c>
      <c r="P483">
        <f>IF($A483="","",IF($E483=1,$F483*$O483,PNL!G483))</f>
        <v>11603</v>
      </c>
      <c r="T483">
        <f t="shared" si="3"/>
        <v>0</v>
      </c>
    </row>
    <row r="484" ht="14.25" customHeight="1">
      <c r="A484" t="str">
        <f>IF(PNL!A484="","",PNL!A484)</f>
        <v>PIGIER_LYO</v>
      </c>
      <c r="B484" t="str">
        <f>IF(PNL!B484="","",PNL!B484)</f>
        <v>615</v>
      </c>
      <c r="C484" t="str">
        <f>IF(PNL!C484="","",PNL!C484)</f>
        <v>2026</v>
      </c>
      <c r="D484" t="str">
        <f>IF(PNL!D484="","",PNL!D484)</f>
        <v>ACT</v>
      </c>
      <c r="E484">
        <f t="shared" si="0"/>
        <v>0</v>
      </c>
      <c r="F484">
        <f>IF($A484="","",IF($E484=1,_xlfn.SUMIFS(Compta!$F$1:$F$1448,Compta!$A$1:$A$1448,$A484,Compta!$B$1:$B$1448,$B484,Compta!$C$1:$C$1448,"2026"),0))</f>
        <v>0</v>
      </c>
      <c r="G484" t="s">
        <v>274</v>
      </c>
      <c r="H484" t="s">
        <v>274</v>
      </c>
      <c r="I484" t="s">
        <v>274</v>
      </c>
      <c r="J484" t="s">
        <v>274</v>
      </c>
      <c r="K484" t="s">
        <v>274</v>
      </c>
      <c r="L484" t="s">
        <v>274</v>
      </c>
      <c r="M484" t="s">
        <v>274</v>
      </c>
      <c r="N484" t="e">
        <f t="shared" si="1"/>
        <v>#VALUE!</v>
      </c>
      <c r="O484" t="e">
        <f t="shared" si="2"/>
        <v>#VALUE!</v>
      </c>
      <c r="P484">
        <f>IF($A484="","",IF($E484=1,$F484*$O484,PNL!G484))</f>
        <v>19690</v>
      </c>
      <c r="T484">
        <f t="shared" si="3"/>
        <v>0</v>
      </c>
    </row>
    <row r="485" ht="14.25" customHeight="1">
      <c r="A485" t="str">
        <f>IF(PNL!A485="","",PNL!A485)</f>
        <v>PIGIER_BOR</v>
      </c>
      <c r="B485" t="str">
        <f>IF(PNL!B485="","",PNL!B485)</f>
        <v>615</v>
      </c>
      <c r="C485" t="str">
        <f>IF(PNL!C485="","",PNL!C485)</f>
        <v>2026</v>
      </c>
      <c r="D485" t="str">
        <f>IF(PNL!D485="","",PNL!D485)</f>
        <v>ACT</v>
      </c>
      <c r="E485">
        <f t="shared" si="0"/>
        <v>0</v>
      </c>
      <c r="F485">
        <f>IF($A485="","",IF($E485=1,_xlfn.SUMIFS(Compta!$F$1:$F$1448,Compta!$A$1:$A$1448,$A485,Compta!$B$1:$B$1448,$B485,Compta!$C$1:$C$1448,"2026"),0))</f>
        <v>0</v>
      </c>
      <c r="G485" t="s">
        <v>274</v>
      </c>
      <c r="H485" t="s">
        <v>274</v>
      </c>
      <c r="I485" t="s">
        <v>274</v>
      </c>
      <c r="J485" t="s">
        <v>274</v>
      </c>
      <c r="K485" t="s">
        <v>274</v>
      </c>
      <c r="L485" t="s">
        <v>274</v>
      </c>
      <c r="M485" t="s">
        <v>274</v>
      </c>
      <c r="N485" t="e">
        <f t="shared" si="1"/>
        <v>#VALUE!</v>
      </c>
      <c r="O485" t="e">
        <f t="shared" si="2"/>
        <v>#VALUE!</v>
      </c>
      <c r="P485">
        <f>IF($A485="","",IF($E485=1,$F485*$O485,PNL!G485))</f>
        <v>18459</v>
      </c>
      <c r="T485">
        <f t="shared" si="3"/>
        <v>0</v>
      </c>
    </row>
    <row r="486" ht="14.25" customHeight="1">
      <c r="A486" t="str">
        <f>IF(PNL!A486="","",PNL!A486)</f>
        <v>TUNON_PAR</v>
      </c>
      <c r="B486" t="str">
        <f>IF(PNL!B486="","",PNL!B486)</f>
        <v>615</v>
      </c>
      <c r="C486" t="str">
        <f>IF(PNL!C486="","",PNL!C486)</f>
        <v>2026</v>
      </c>
      <c r="D486" t="str">
        <f>IF(PNL!D486="","",PNL!D486)</f>
        <v>ACT</v>
      </c>
      <c r="E486">
        <f t="shared" si="0"/>
        <v>0</v>
      </c>
      <c r="F486">
        <f>IF($A486="","",IF($E486=1,_xlfn.SUMIFS(Compta!$F$1:$F$1448,Compta!$A$1:$A$1448,$A486,Compta!$B$1:$B$1448,$B486,Compta!$C$1:$C$1448,"2026"),0))</f>
        <v>0</v>
      </c>
      <c r="G486" t="s">
        <v>274</v>
      </c>
      <c r="H486" t="s">
        <v>274</v>
      </c>
      <c r="I486" t="s">
        <v>274</v>
      </c>
      <c r="J486" t="s">
        <v>274</v>
      </c>
      <c r="K486" t="s">
        <v>274</v>
      </c>
      <c r="L486" t="s">
        <v>274</v>
      </c>
      <c r="M486" t="s">
        <v>274</v>
      </c>
      <c r="N486" t="e">
        <f t="shared" si="1"/>
        <v>#VALUE!</v>
      </c>
      <c r="O486" t="e">
        <f t="shared" si="2"/>
        <v>#VALUE!</v>
      </c>
      <c r="P486">
        <f>IF($A486="","",IF($E486=1,$F486*$O486,PNL!G486))</f>
        <v>21360</v>
      </c>
      <c r="T486">
        <f t="shared" si="3"/>
        <v>0</v>
      </c>
    </row>
    <row r="487" ht="14.25" customHeight="1">
      <c r="A487" t="str">
        <f>IF(PNL!A487="","",PNL!A487)</f>
        <v>TUNON_LYO</v>
      </c>
      <c r="B487" t="str">
        <f>IF(PNL!B487="","",PNL!B487)</f>
        <v>615</v>
      </c>
      <c r="C487" t="str">
        <f>IF(PNL!C487="","",PNL!C487)</f>
        <v>2026</v>
      </c>
      <c r="D487" t="str">
        <f>IF(PNL!D487="","",PNL!D487)</f>
        <v>ACT</v>
      </c>
      <c r="E487">
        <f t="shared" si="0"/>
        <v>0</v>
      </c>
      <c r="F487">
        <f>IF($A487="","",IF($E487=1,_xlfn.SUMIFS(Compta!$F$1:$F$1448,Compta!$A$1:$A$1448,$A487,Compta!$B$1:$B$1448,$B487,Compta!$C$1:$C$1448,"2026"),0))</f>
        <v>0</v>
      </c>
      <c r="G487" t="s">
        <v>274</v>
      </c>
      <c r="H487" t="s">
        <v>274</v>
      </c>
      <c r="I487" t="s">
        <v>274</v>
      </c>
      <c r="J487" t="s">
        <v>274</v>
      </c>
      <c r="K487" t="s">
        <v>274</v>
      </c>
      <c r="L487" t="s">
        <v>274</v>
      </c>
      <c r="M487" t="s">
        <v>274</v>
      </c>
      <c r="N487" t="e">
        <f t="shared" si="1"/>
        <v>#VALUE!</v>
      </c>
      <c r="O487" t="e">
        <f t="shared" si="2"/>
        <v>#VALUE!</v>
      </c>
      <c r="P487">
        <f>IF($A487="","",IF($E487=1,$F487*$O487,PNL!G487))</f>
        <v>14767</v>
      </c>
      <c r="T487">
        <f t="shared" si="3"/>
        <v>0</v>
      </c>
    </row>
    <row r="488" ht="14.25" customHeight="1">
      <c r="A488" t="str">
        <f>IF(PNL!A488="","",PNL!A488)</f>
        <v>MBWAY_PAR</v>
      </c>
      <c r="B488" t="str">
        <f>IF(PNL!B488="","",PNL!B488)</f>
        <v>616</v>
      </c>
      <c r="C488" t="str">
        <f>IF(PNL!C488="","",PNL!C488)</f>
        <v>2024</v>
      </c>
      <c r="D488" t="str">
        <f>IF(PNL!D488="","",PNL!D488)</f>
        <v>ACT</v>
      </c>
      <c r="E488">
        <f t="shared" si="0"/>
        <v>0</v>
      </c>
      <c r="F488">
        <f>IF($A488="","",IF($E488=1,_xlfn.SUMIFS(Compta!$F$1:$F$1448,Compta!$A$1:$A$1448,$A488,Compta!$B$1:$B$1448,$B488,Compta!$C$1:$C$1448,"2026"),0))</f>
        <v>0</v>
      </c>
      <c r="G488" t="s">
        <v>274</v>
      </c>
      <c r="H488" t="s">
        <v>274</v>
      </c>
      <c r="I488" t="s">
        <v>274</v>
      </c>
      <c r="J488" t="s">
        <v>274</v>
      </c>
      <c r="K488" t="s">
        <v>274</v>
      </c>
      <c r="L488" t="s">
        <v>274</v>
      </c>
      <c r="M488" t="s">
        <v>274</v>
      </c>
      <c r="N488" t="e">
        <f t="shared" si="1"/>
        <v>#VALUE!</v>
      </c>
      <c r="O488" t="e">
        <f t="shared" si="2"/>
        <v>#VALUE!</v>
      </c>
      <c r="P488">
        <f>IF($A488="","",IF($E488=1,$F488*$O488,PNL!G488))</f>
        <v>35430</v>
      </c>
      <c r="T488">
        <f t="shared" si="3"/>
        <v>0</v>
      </c>
    </row>
    <row r="489" ht="14.25" customHeight="1">
      <c r="A489" t="str">
        <f>IF(PNL!A489="","",PNL!A489)</f>
        <v>MBWAY_LYO</v>
      </c>
      <c r="B489" t="str">
        <f>IF(PNL!B489="","",PNL!B489)</f>
        <v>616</v>
      </c>
      <c r="C489" t="str">
        <f>IF(PNL!C489="","",PNL!C489)</f>
        <v>2024</v>
      </c>
      <c r="D489" t="str">
        <f>IF(PNL!D489="","",PNL!D489)</f>
        <v>ACT</v>
      </c>
      <c r="E489">
        <f t="shared" si="0"/>
        <v>0</v>
      </c>
      <c r="F489">
        <f>IF($A489="","",IF($E489=1,_xlfn.SUMIFS(Compta!$F$1:$F$1448,Compta!$A$1:$A$1448,$A489,Compta!$B$1:$B$1448,$B489,Compta!$C$1:$C$1448,"2026"),0))</f>
        <v>0</v>
      </c>
      <c r="G489" t="s">
        <v>274</v>
      </c>
      <c r="H489" t="s">
        <v>274</v>
      </c>
      <c r="I489" t="s">
        <v>274</v>
      </c>
      <c r="J489" t="s">
        <v>274</v>
      </c>
      <c r="K489" t="s">
        <v>274</v>
      </c>
      <c r="L489" t="s">
        <v>274</v>
      </c>
      <c r="M489" t="s">
        <v>274</v>
      </c>
      <c r="N489" t="e">
        <f t="shared" si="1"/>
        <v>#VALUE!</v>
      </c>
      <c r="O489" t="e">
        <f t="shared" si="2"/>
        <v>#VALUE!</v>
      </c>
      <c r="P489">
        <f>IF($A489="","",IF($E489=1,$F489*$O489,PNL!G489))</f>
        <v>20776</v>
      </c>
      <c r="T489">
        <f t="shared" si="3"/>
        <v>0</v>
      </c>
    </row>
    <row r="490" ht="14.25" customHeight="1">
      <c r="A490" t="str">
        <f>IF(PNL!A490="","",PNL!A490)</f>
        <v>MBWAY_NAN</v>
      </c>
      <c r="B490" t="str">
        <f>IF(PNL!B490="","",PNL!B490)</f>
        <v>616</v>
      </c>
      <c r="C490" t="str">
        <f>IF(PNL!C490="","",PNL!C490)</f>
        <v>2024</v>
      </c>
      <c r="D490" t="str">
        <f>IF(PNL!D490="","",PNL!D490)</f>
        <v>ACT</v>
      </c>
      <c r="E490">
        <f t="shared" si="0"/>
        <v>0</v>
      </c>
      <c r="F490">
        <f>IF($A490="","",IF($E490=1,_xlfn.SUMIFS(Compta!$F$1:$F$1448,Compta!$A$1:$A$1448,$A490,Compta!$B$1:$B$1448,$B490,Compta!$C$1:$C$1448,"2026"),0))</f>
        <v>0</v>
      </c>
      <c r="G490" t="s">
        <v>274</v>
      </c>
      <c r="H490" t="s">
        <v>274</v>
      </c>
      <c r="I490" t="s">
        <v>274</v>
      </c>
      <c r="J490" t="s">
        <v>274</v>
      </c>
      <c r="K490" t="s">
        <v>274</v>
      </c>
      <c r="L490" t="s">
        <v>274</v>
      </c>
      <c r="M490" t="s">
        <v>274</v>
      </c>
      <c r="N490" t="e">
        <f t="shared" si="1"/>
        <v>#VALUE!</v>
      </c>
      <c r="O490" t="e">
        <f t="shared" si="2"/>
        <v>#VALUE!</v>
      </c>
      <c r="P490">
        <f>IF($A490="","",IF($E490=1,$F490*$O490,PNL!G490))</f>
        <v>16832</v>
      </c>
      <c r="T490">
        <f t="shared" si="3"/>
        <v>0</v>
      </c>
    </row>
    <row r="491" ht="14.25" customHeight="1">
      <c r="A491" t="str">
        <f>IF(PNL!A491="","",PNL!A491)</f>
        <v>MBWAY_BOR</v>
      </c>
      <c r="B491" t="str">
        <f>IF(PNL!B491="","",PNL!B491)</f>
        <v>616</v>
      </c>
      <c r="C491" t="str">
        <f>IF(PNL!C491="","",PNL!C491)</f>
        <v>2024</v>
      </c>
      <c r="D491" t="str">
        <f>IF(PNL!D491="","",PNL!D491)</f>
        <v>ACT</v>
      </c>
      <c r="E491">
        <f t="shared" si="0"/>
        <v>0</v>
      </c>
      <c r="F491">
        <f>IF($A491="","",IF($E491=1,_xlfn.SUMIFS(Compta!$F$1:$F$1448,Compta!$A$1:$A$1448,$A491,Compta!$B$1:$B$1448,$B491,Compta!$C$1:$C$1448,"2026"),0))</f>
        <v>0</v>
      </c>
      <c r="G491" t="s">
        <v>274</v>
      </c>
      <c r="H491" t="s">
        <v>274</v>
      </c>
      <c r="I491" t="s">
        <v>274</v>
      </c>
      <c r="J491" t="s">
        <v>274</v>
      </c>
      <c r="K491" t="s">
        <v>274</v>
      </c>
      <c r="L491" t="s">
        <v>274</v>
      </c>
      <c r="M491" t="s">
        <v>274</v>
      </c>
      <c r="N491" t="e">
        <f t="shared" si="1"/>
        <v>#VALUE!</v>
      </c>
      <c r="O491" t="e">
        <f t="shared" si="2"/>
        <v>#VALUE!</v>
      </c>
      <c r="P491">
        <f>IF($A491="","",IF($E491=1,$F491*$O491,PNL!G491))</f>
        <v>14969</v>
      </c>
      <c r="T491">
        <f t="shared" si="3"/>
        <v>0</v>
      </c>
    </row>
    <row r="492" ht="14.25" customHeight="1">
      <c r="A492" t="str">
        <f>IF(PNL!A492="","",PNL!A492)</f>
        <v>ISCOM_PAR</v>
      </c>
      <c r="B492" t="str">
        <f>IF(PNL!B492="","",PNL!B492)</f>
        <v>616</v>
      </c>
      <c r="C492" t="str">
        <f>IF(PNL!C492="","",PNL!C492)</f>
        <v>2024</v>
      </c>
      <c r="D492" t="str">
        <f>IF(PNL!D492="","",PNL!D492)</f>
        <v>ACT</v>
      </c>
      <c r="E492">
        <f t="shared" si="0"/>
        <v>0</v>
      </c>
      <c r="F492">
        <f>IF($A492="","",IF($E492=1,_xlfn.SUMIFS(Compta!$F$1:$F$1448,Compta!$A$1:$A$1448,$A492,Compta!$B$1:$B$1448,$B492,Compta!$C$1:$C$1448,"2026"),0))</f>
        <v>0</v>
      </c>
      <c r="G492" t="s">
        <v>274</v>
      </c>
      <c r="H492" t="s">
        <v>274</v>
      </c>
      <c r="I492" t="s">
        <v>274</v>
      </c>
      <c r="J492" t="s">
        <v>274</v>
      </c>
      <c r="K492" t="s">
        <v>274</v>
      </c>
      <c r="L492" t="s">
        <v>274</v>
      </c>
      <c r="M492" t="s">
        <v>274</v>
      </c>
      <c r="N492" t="e">
        <f t="shared" si="1"/>
        <v>#VALUE!</v>
      </c>
      <c r="O492" t="e">
        <f t="shared" si="2"/>
        <v>#VALUE!</v>
      </c>
      <c r="P492">
        <f>IF($A492="","",IF($E492=1,$F492*$O492,PNL!G492))</f>
        <v>32833</v>
      </c>
      <c r="T492">
        <f t="shared" si="3"/>
        <v>0</v>
      </c>
    </row>
    <row r="493" ht="14.25" customHeight="1">
      <c r="A493" t="str">
        <f>IF(PNL!A493="","",PNL!A493)</f>
        <v>ISCOM_LIL</v>
      </c>
      <c r="B493" t="str">
        <f>IF(PNL!B493="","",PNL!B493)</f>
        <v>616</v>
      </c>
      <c r="C493" t="str">
        <f>IF(PNL!C493="","",PNL!C493)</f>
        <v>2024</v>
      </c>
      <c r="D493" t="str">
        <f>IF(PNL!D493="","",PNL!D493)</f>
        <v>ACT</v>
      </c>
      <c r="E493">
        <f t="shared" si="0"/>
        <v>0</v>
      </c>
      <c r="F493">
        <f>IF($A493="","",IF($E493=1,_xlfn.SUMIFS(Compta!$F$1:$F$1448,Compta!$A$1:$A$1448,$A493,Compta!$B$1:$B$1448,$B493,Compta!$C$1:$C$1448,"2026"),0))</f>
        <v>0</v>
      </c>
      <c r="G493" t="s">
        <v>274</v>
      </c>
      <c r="H493" t="s">
        <v>274</v>
      </c>
      <c r="I493" t="s">
        <v>274</v>
      </c>
      <c r="J493" t="s">
        <v>274</v>
      </c>
      <c r="K493" t="s">
        <v>274</v>
      </c>
      <c r="L493" t="s">
        <v>274</v>
      </c>
      <c r="M493" t="s">
        <v>274</v>
      </c>
      <c r="N493" t="e">
        <f t="shared" si="1"/>
        <v>#VALUE!</v>
      </c>
      <c r="O493" t="e">
        <f t="shared" si="2"/>
        <v>#VALUE!</v>
      </c>
      <c r="P493">
        <f>IF($A493="","",IF($E493=1,$F493*$O493,PNL!G493))</f>
        <v>12852</v>
      </c>
      <c r="T493">
        <f t="shared" si="3"/>
        <v>0</v>
      </c>
    </row>
    <row r="494" ht="14.25" customHeight="1">
      <c r="A494" t="str">
        <f>IF(PNL!A494="","",PNL!A494)</f>
        <v>ISCOM_TLS</v>
      </c>
      <c r="B494" t="str">
        <f>IF(PNL!B494="","",PNL!B494)</f>
        <v>616</v>
      </c>
      <c r="C494" t="str">
        <f>IF(PNL!C494="","",PNL!C494)</f>
        <v>2024</v>
      </c>
      <c r="D494" t="str">
        <f>IF(PNL!D494="","",PNL!D494)</f>
        <v>ACT</v>
      </c>
      <c r="E494">
        <f t="shared" si="0"/>
        <v>0</v>
      </c>
      <c r="F494">
        <f>IF($A494="","",IF($E494=1,_xlfn.SUMIFS(Compta!$F$1:$F$1448,Compta!$A$1:$A$1448,$A494,Compta!$B$1:$B$1448,$B494,Compta!$C$1:$C$1448,"2026"),0))</f>
        <v>0</v>
      </c>
      <c r="G494" t="s">
        <v>274</v>
      </c>
      <c r="H494" t="s">
        <v>274</v>
      </c>
      <c r="I494" t="s">
        <v>274</v>
      </c>
      <c r="J494" t="s">
        <v>274</v>
      </c>
      <c r="K494" t="s">
        <v>274</v>
      </c>
      <c r="L494" t="s">
        <v>274</v>
      </c>
      <c r="M494" t="s">
        <v>274</v>
      </c>
      <c r="N494" t="e">
        <f t="shared" si="1"/>
        <v>#VALUE!</v>
      </c>
      <c r="O494" t="e">
        <f t="shared" si="2"/>
        <v>#VALUE!</v>
      </c>
      <c r="P494">
        <f>IF($A494="","",IF($E494=1,$F494*$O494,PNL!G494))</f>
        <v>11903</v>
      </c>
      <c r="T494">
        <f t="shared" si="3"/>
        <v>0</v>
      </c>
    </row>
    <row r="495" ht="14.25" customHeight="1">
      <c r="A495" t="str">
        <f>IF(PNL!A495="","",PNL!A495)</f>
        <v>IPAC_NAN</v>
      </c>
      <c r="B495" t="str">
        <f>IF(PNL!B495="","",PNL!B495)</f>
        <v>616</v>
      </c>
      <c r="C495" t="str">
        <f>IF(PNL!C495="","",PNL!C495)</f>
        <v>2024</v>
      </c>
      <c r="D495" t="str">
        <f>IF(PNL!D495="","",PNL!D495)</f>
        <v>ACT</v>
      </c>
      <c r="E495">
        <f t="shared" si="0"/>
        <v>0</v>
      </c>
      <c r="F495">
        <f>IF($A495="","",IF($E495=1,_xlfn.SUMIFS(Compta!$F$1:$F$1448,Compta!$A$1:$A$1448,$A495,Compta!$B$1:$B$1448,$B495,Compta!$C$1:$C$1448,"2026"),0))</f>
        <v>0</v>
      </c>
      <c r="G495" t="s">
        <v>274</v>
      </c>
      <c r="H495" t="s">
        <v>274</v>
      </c>
      <c r="I495" t="s">
        <v>274</v>
      </c>
      <c r="J495" t="s">
        <v>274</v>
      </c>
      <c r="K495" t="s">
        <v>274</v>
      </c>
      <c r="L495" t="s">
        <v>274</v>
      </c>
      <c r="M495" t="s">
        <v>274</v>
      </c>
      <c r="N495" t="e">
        <f t="shared" si="1"/>
        <v>#VALUE!</v>
      </c>
      <c r="O495" t="e">
        <f t="shared" si="2"/>
        <v>#VALUE!</v>
      </c>
      <c r="P495">
        <f>IF($A495="","",IF($E495=1,$F495*$O495,PNL!G495))</f>
        <v>8302</v>
      </c>
      <c r="T495">
        <f t="shared" si="3"/>
        <v>0</v>
      </c>
    </row>
    <row r="496" ht="14.25" customHeight="1">
      <c r="A496" t="str">
        <f>IF(PNL!A496="","",PNL!A496)</f>
        <v>IPAC_REN</v>
      </c>
      <c r="B496" t="str">
        <f>IF(PNL!B496="","",PNL!B496)</f>
        <v>616</v>
      </c>
      <c r="C496" t="str">
        <f>IF(PNL!C496="","",PNL!C496)</f>
        <v>2024</v>
      </c>
      <c r="D496" t="str">
        <f>IF(PNL!D496="","",PNL!D496)</f>
        <v>ACT</v>
      </c>
      <c r="E496">
        <f t="shared" si="0"/>
        <v>0</v>
      </c>
      <c r="F496">
        <f>IF($A496="","",IF($E496=1,_xlfn.SUMIFS(Compta!$F$1:$F$1448,Compta!$A$1:$A$1448,$A496,Compta!$B$1:$B$1448,$B496,Compta!$C$1:$C$1448,"2026"),0))</f>
        <v>0</v>
      </c>
      <c r="G496" t="s">
        <v>274</v>
      </c>
      <c r="H496" t="s">
        <v>274</v>
      </c>
      <c r="I496" t="s">
        <v>274</v>
      </c>
      <c r="J496" t="s">
        <v>274</v>
      </c>
      <c r="K496" t="s">
        <v>274</v>
      </c>
      <c r="L496" t="s">
        <v>274</v>
      </c>
      <c r="M496" t="s">
        <v>274</v>
      </c>
      <c r="N496" t="e">
        <f t="shared" si="1"/>
        <v>#VALUE!</v>
      </c>
      <c r="O496" t="e">
        <f t="shared" si="2"/>
        <v>#VALUE!</v>
      </c>
      <c r="P496">
        <f>IF($A496="","",IF($E496=1,$F496*$O496,PNL!G496))</f>
        <v>5895</v>
      </c>
      <c r="T496">
        <f t="shared" si="3"/>
        <v>0</v>
      </c>
    </row>
    <row r="497" ht="14.25" customHeight="1">
      <c r="A497" t="str">
        <f>IF(PNL!A497="","",PNL!A497)</f>
        <v>IPAC_MTP</v>
      </c>
      <c r="B497" t="str">
        <f>IF(PNL!B497="","",PNL!B497)</f>
        <v>616</v>
      </c>
      <c r="C497" t="str">
        <f>IF(PNL!C497="","",PNL!C497)</f>
        <v>2024</v>
      </c>
      <c r="D497" t="str">
        <f>IF(PNL!D497="","",PNL!D497)</f>
        <v>ACT</v>
      </c>
      <c r="E497">
        <f t="shared" si="0"/>
        <v>0</v>
      </c>
      <c r="F497">
        <f>IF($A497="","",IF($E497=1,_xlfn.SUMIFS(Compta!$F$1:$F$1448,Compta!$A$1:$A$1448,$A497,Compta!$B$1:$B$1448,$B497,Compta!$C$1:$C$1448,"2026"),0))</f>
        <v>0</v>
      </c>
      <c r="G497" t="s">
        <v>274</v>
      </c>
      <c r="H497" t="s">
        <v>274</v>
      </c>
      <c r="I497" t="s">
        <v>274</v>
      </c>
      <c r="J497" t="s">
        <v>274</v>
      </c>
      <c r="K497" t="s">
        <v>274</v>
      </c>
      <c r="L497" t="s">
        <v>274</v>
      </c>
      <c r="M497" t="s">
        <v>274</v>
      </c>
      <c r="N497" t="e">
        <f t="shared" si="1"/>
        <v>#VALUE!</v>
      </c>
      <c r="O497" t="e">
        <f t="shared" si="2"/>
        <v>#VALUE!</v>
      </c>
      <c r="P497">
        <f>IF($A497="","",IF($E497=1,$F497*$O497,PNL!G497))</f>
        <v>5895</v>
      </c>
      <c r="T497">
        <f t="shared" si="3"/>
        <v>0</v>
      </c>
    </row>
    <row r="498" ht="14.25" customHeight="1">
      <c r="A498" t="str">
        <f>IF(PNL!A498="","",PNL!A498)</f>
        <v>PIGIER_LYO</v>
      </c>
      <c r="B498" t="str">
        <f>IF(PNL!B498="","",PNL!B498)</f>
        <v>616</v>
      </c>
      <c r="C498" t="str">
        <f>IF(PNL!C498="","",PNL!C498)</f>
        <v>2024</v>
      </c>
      <c r="D498" t="str">
        <f>IF(PNL!D498="","",PNL!D498)</f>
        <v>ACT</v>
      </c>
      <c r="E498">
        <f t="shared" si="0"/>
        <v>0</v>
      </c>
      <c r="F498">
        <f>IF($A498="","",IF($E498=1,_xlfn.SUMIFS(Compta!$F$1:$F$1448,Compta!$A$1:$A$1448,$A498,Compta!$B$1:$B$1448,$B498,Compta!$C$1:$C$1448,"2026"),0))</f>
        <v>0</v>
      </c>
      <c r="G498" t="s">
        <v>274</v>
      </c>
      <c r="H498" t="s">
        <v>274</v>
      </c>
      <c r="I498" t="s">
        <v>274</v>
      </c>
      <c r="J498" t="s">
        <v>274</v>
      </c>
      <c r="K498" t="s">
        <v>274</v>
      </c>
      <c r="L498" t="s">
        <v>274</v>
      </c>
      <c r="M498" t="s">
        <v>274</v>
      </c>
      <c r="N498" t="e">
        <f t="shared" si="1"/>
        <v>#VALUE!</v>
      </c>
      <c r="O498" t="e">
        <f t="shared" si="2"/>
        <v>#VALUE!</v>
      </c>
      <c r="P498">
        <f>IF($A498="","",IF($E498=1,$F498*$O498,PNL!G498))</f>
        <v>11670</v>
      </c>
      <c r="T498">
        <f t="shared" si="3"/>
        <v>0</v>
      </c>
    </row>
    <row r="499" ht="14.25" customHeight="1">
      <c r="A499" t="str">
        <f>IF(PNL!A499="","",PNL!A499)</f>
        <v>PIGIER_BOR</v>
      </c>
      <c r="B499" t="str">
        <f>IF(PNL!B499="","",PNL!B499)</f>
        <v>616</v>
      </c>
      <c r="C499" t="str">
        <f>IF(PNL!C499="","",PNL!C499)</f>
        <v>2024</v>
      </c>
      <c r="D499" t="str">
        <f>IF(PNL!D499="","",PNL!D499)</f>
        <v>ACT</v>
      </c>
      <c r="E499">
        <f t="shared" si="0"/>
        <v>0</v>
      </c>
      <c r="F499">
        <f>IF($A499="","",IF($E499=1,_xlfn.SUMIFS(Compta!$F$1:$F$1448,Compta!$A$1:$A$1448,$A499,Compta!$B$1:$B$1448,$B499,Compta!$C$1:$C$1448,"2026"),0))</f>
        <v>0</v>
      </c>
      <c r="G499" t="s">
        <v>274</v>
      </c>
      <c r="H499" t="s">
        <v>274</v>
      </c>
      <c r="I499" t="s">
        <v>274</v>
      </c>
      <c r="J499" t="s">
        <v>274</v>
      </c>
      <c r="K499" t="s">
        <v>274</v>
      </c>
      <c r="L499" t="s">
        <v>274</v>
      </c>
      <c r="M499" t="s">
        <v>274</v>
      </c>
      <c r="N499" t="e">
        <f t="shared" si="1"/>
        <v>#VALUE!</v>
      </c>
      <c r="O499" t="e">
        <f t="shared" si="2"/>
        <v>#VALUE!</v>
      </c>
      <c r="P499">
        <f>IF($A499="","",IF($E499=1,$F499*$O499,PNL!G499))</f>
        <v>8536</v>
      </c>
      <c r="T499">
        <f t="shared" si="3"/>
        <v>0</v>
      </c>
    </row>
    <row r="500" ht="14.25" customHeight="1">
      <c r="A500" t="str">
        <f>IF(PNL!A500="","",PNL!A500)</f>
        <v>TUNON_PAR</v>
      </c>
      <c r="B500" t="str">
        <f>IF(PNL!B500="","",PNL!B500)</f>
        <v>616</v>
      </c>
      <c r="C500" t="str">
        <f>IF(PNL!C500="","",PNL!C500)</f>
        <v>2024</v>
      </c>
      <c r="D500" t="str">
        <f>IF(PNL!D500="","",PNL!D500)</f>
        <v>ACT</v>
      </c>
      <c r="E500">
        <f t="shared" si="0"/>
        <v>0</v>
      </c>
      <c r="F500">
        <f>IF($A500="","",IF($E500=1,_xlfn.SUMIFS(Compta!$F$1:$F$1448,Compta!$A$1:$A$1448,$A500,Compta!$B$1:$B$1448,$B500,Compta!$C$1:$C$1448,"2026"),0))</f>
        <v>0</v>
      </c>
      <c r="G500" t="s">
        <v>274</v>
      </c>
      <c r="H500" t="s">
        <v>274</v>
      </c>
      <c r="I500" t="s">
        <v>274</v>
      </c>
      <c r="J500" t="s">
        <v>274</v>
      </c>
      <c r="K500" t="s">
        <v>274</v>
      </c>
      <c r="L500" t="s">
        <v>274</v>
      </c>
      <c r="M500" t="s">
        <v>274</v>
      </c>
      <c r="N500" t="e">
        <f t="shared" si="1"/>
        <v>#VALUE!</v>
      </c>
      <c r="O500" t="e">
        <f t="shared" si="2"/>
        <v>#VALUE!</v>
      </c>
      <c r="P500">
        <f>IF($A500="","",IF($E500=1,$F500*$O500,PNL!G500))</f>
        <v>12799</v>
      </c>
      <c r="T500">
        <f t="shared" si="3"/>
        <v>0</v>
      </c>
    </row>
    <row r="501" ht="14.25" customHeight="1">
      <c r="A501" t="str">
        <f>IF(PNL!A501="","",PNL!A501)</f>
        <v>TUNON_LYO</v>
      </c>
      <c r="B501" t="str">
        <f>IF(PNL!B501="","",PNL!B501)</f>
        <v>616</v>
      </c>
      <c r="C501" t="str">
        <f>IF(PNL!C501="","",PNL!C501)</f>
        <v>2024</v>
      </c>
      <c r="D501" t="str">
        <f>IF(PNL!D501="","",PNL!D501)</f>
        <v>ACT</v>
      </c>
      <c r="E501">
        <f t="shared" si="0"/>
        <v>0</v>
      </c>
      <c r="F501">
        <f>IF($A501="","",IF($E501=1,_xlfn.SUMIFS(Compta!$F$1:$F$1448,Compta!$A$1:$A$1448,$A501,Compta!$B$1:$B$1448,$B501,Compta!$C$1:$C$1448,"2026"),0))</f>
        <v>0</v>
      </c>
      <c r="G501" t="s">
        <v>274</v>
      </c>
      <c r="H501" t="s">
        <v>274</v>
      </c>
      <c r="I501" t="s">
        <v>274</v>
      </c>
      <c r="J501" t="s">
        <v>274</v>
      </c>
      <c r="K501" t="s">
        <v>274</v>
      </c>
      <c r="L501" t="s">
        <v>274</v>
      </c>
      <c r="M501" t="s">
        <v>274</v>
      </c>
      <c r="N501" t="e">
        <f t="shared" si="1"/>
        <v>#VALUE!</v>
      </c>
      <c r="O501" t="e">
        <f t="shared" si="2"/>
        <v>#VALUE!</v>
      </c>
      <c r="P501">
        <f>IF($A501="","",IF($E501=1,$F501*$O501,PNL!G501))</f>
        <v>7502</v>
      </c>
      <c r="T501">
        <f t="shared" si="3"/>
        <v>0</v>
      </c>
    </row>
    <row r="502" ht="14.25" customHeight="1">
      <c r="A502" t="str">
        <f>IF(PNL!A502="","",PNL!A502)</f>
        <v>MBWAY_PAR</v>
      </c>
      <c r="B502" t="str">
        <f>IF(PNL!B502="","",PNL!B502)</f>
        <v>616</v>
      </c>
      <c r="C502" t="str">
        <f>IF(PNL!C502="","",PNL!C502)</f>
        <v>2025</v>
      </c>
      <c r="D502" t="str">
        <f>IF(PNL!D502="","",PNL!D502)</f>
        <v>ACT</v>
      </c>
      <c r="E502">
        <f t="shared" si="0"/>
        <v>0</v>
      </c>
      <c r="F502">
        <f>IF($A502="","",IF($E502=1,_xlfn.SUMIFS(Compta!$F$1:$F$1448,Compta!$A$1:$A$1448,$A502,Compta!$B$1:$B$1448,$B502,Compta!$C$1:$C$1448,"2026"),0))</f>
        <v>0</v>
      </c>
      <c r="G502" t="s">
        <v>274</v>
      </c>
      <c r="H502" t="s">
        <v>274</v>
      </c>
      <c r="I502" t="s">
        <v>274</v>
      </c>
      <c r="J502" t="s">
        <v>274</v>
      </c>
      <c r="K502" t="s">
        <v>274</v>
      </c>
      <c r="L502" t="s">
        <v>274</v>
      </c>
      <c r="M502" t="s">
        <v>274</v>
      </c>
      <c r="N502" t="e">
        <f t="shared" si="1"/>
        <v>#VALUE!</v>
      </c>
      <c r="O502" t="e">
        <f t="shared" si="2"/>
        <v>#VALUE!</v>
      </c>
      <c r="P502">
        <f>IF($A502="","",IF($E502=1,$F502*$O502,PNL!G502))</f>
        <v>37054</v>
      </c>
      <c r="T502">
        <f t="shared" si="3"/>
        <v>0</v>
      </c>
    </row>
    <row r="503" ht="14.25" customHeight="1">
      <c r="A503" t="str">
        <f>IF(PNL!A503="","",PNL!A503)</f>
        <v>MBWAY_LYO</v>
      </c>
      <c r="B503" t="str">
        <f>IF(PNL!B503="","",PNL!B503)</f>
        <v>616</v>
      </c>
      <c r="C503" t="str">
        <f>IF(PNL!C503="","",PNL!C503)</f>
        <v>2025</v>
      </c>
      <c r="D503" t="str">
        <f>IF(PNL!D503="","",PNL!D503)</f>
        <v>ACT</v>
      </c>
      <c r="E503">
        <f t="shared" si="0"/>
        <v>0</v>
      </c>
      <c r="F503">
        <f>IF($A503="","",IF($E503=1,_xlfn.SUMIFS(Compta!$F$1:$F$1448,Compta!$A$1:$A$1448,$A503,Compta!$B$1:$B$1448,$B503,Compta!$C$1:$C$1448,"2026"),0))</f>
        <v>0</v>
      </c>
      <c r="G503" t="s">
        <v>274</v>
      </c>
      <c r="H503" t="s">
        <v>274</v>
      </c>
      <c r="I503" t="s">
        <v>274</v>
      </c>
      <c r="J503" t="s">
        <v>274</v>
      </c>
      <c r="K503" t="s">
        <v>274</v>
      </c>
      <c r="L503" t="s">
        <v>274</v>
      </c>
      <c r="M503" t="s">
        <v>274</v>
      </c>
      <c r="N503" t="e">
        <f t="shared" si="1"/>
        <v>#VALUE!</v>
      </c>
      <c r="O503" t="e">
        <f t="shared" si="2"/>
        <v>#VALUE!</v>
      </c>
      <c r="P503">
        <f>IF($A503="","",IF($E503=1,$F503*$O503,PNL!G503))</f>
        <v>21728</v>
      </c>
      <c r="T503">
        <f t="shared" si="3"/>
        <v>0</v>
      </c>
    </row>
    <row r="504" ht="14.25" customHeight="1">
      <c r="A504" t="str">
        <f>IF(PNL!A504="","",PNL!A504)</f>
        <v>MBWAY_NAN</v>
      </c>
      <c r="B504" t="str">
        <f>IF(PNL!B504="","",PNL!B504)</f>
        <v>616</v>
      </c>
      <c r="C504" t="str">
        <f>IF(PNL!C504="","",PNL!C504)</f>
        <v>2025</v>
      </c>
      <c r="D504" t="str">
        <f>IF(PNL!D504="","",PNL!D504)</f>
        <v>ACT</v>
      </c>
      <c r="E504">
        <f t="shared" si="0"/>
        <v>0</v>
      </c>
      <c r="F504">
        <f>IF($A504="","",IF($E504=1,_xlfn.SUMIFS(Compta!$F$1:$F$1448,Compta!$A$1:$A$1448,$A504,Compta!$B$1:$B$1448,$B504,Compta!$C$1:$C$1448,"2026"),0))</f>
        <v>0</v>
      </c>
      <c r="G504" t="s">
        <v>274</v>
      </c>
      <c r="H504" t="s">
        <v>274</v>
      </c>
      <c r="I504" t="s">
        <v>274</v>
      </c>
      <c r="J504" t="s">
        <v>274</v>
      </c>
      <c r="K504" t="s">
        <v>274</v>
      </c>
      <c r="L504" t="s">
        <v>274</v>
      </c>
      <c r="M504" t="s">
        <v>274</v>
      </c>
      <c r="N504" t="e">
        <f t="shared" si="1"/>
        <v>#VALUE!</v>
      </c>
      <c r="O504" t="e">
        <f t="shared" si="2"/>
        <v>#VALUE!</v>
      </c>
      <c r="P504">
        <f>IF($A504="","",IF($E504=1,$F504*$O504,PNL!G504))</f>
        <v>17604</v>
      </c>
      <c r="T504">
        <f t="shared" si="3"/>
        <v>0</v>
      </c>
    </row>
    <row r="505" ht="14.25" customHeight="1">
      <c r="A505" t="str">
        <f>IF(PNL!A505="","",PNL!A505)</f>
        <v>MBWAY_BOR</v>
      </c>
      <c r="B505" t="str">
        <f>IF(PNL!B505="","",PNL!B505)</f>
        <v>616</v>
      </c>
      <c r="C505" t="str">
        <f>IF(PNL!C505="","",PNL!C505)</f>
        <v>2025</v>
      </c>
      <c r="D505" t="str">
        <f>IF(PNL!D505="","",PNL!D505)</f>
        <v>ACT</v>
      </c>
      <c r="E505">
        <f t="shared" si="0"/>
        <v>0</v>
      </c>
      <c r="F505">
        <f>IF($A505="","",IF($E505=1,_xlfn.SUMIFS(Compta!$F$1:$F$1448,Compta!$A$1:$A$1448,$A505,Compta!$B$1:$B$1448,$B505,Compta!$C$1:$C$1448,"2026"),0))</f>
        <v>0</v>
      </c>
      <c r="G505" t="s">
        <v>274</v>
      </c>
      <c r="H505" t="s">
        <v>274</v>
      </c>
      <c r="I505" t="s">
        <v>274</v>
      </c>
      <c r="J505" t="s">
        <v>274</v>
      </c>
      <c r="K505" t="s">
        <v>274</v>
      </c>
      <c r="L505" t="s">
        <v>274</v>
      </c>
      <c r="M505" t="s">
        <v>274</v>
      </c>
      <c r="N505" t="e">
        <f t="shared" si="1"/>
        <v>#VALUE!</v>
      </c>
      <c r="O505" t="e">
        <f t="shared" si="2"/>
        <v>#VALUE!</v>
      </c>
      <c r="P505">
        <f>IF($A505="","",IF($E505=1,$F505*$O505,PNL!G505))</f>
        <v>15655</v>
      </c>
      <c r="T505">
        <f t="shared" si="3"/>
        <v>0</v>
      </c>
    </row>
    <row r="506" ht="14.25" customHeight="1">
      <c r="A506" t="str">
        <f>IF(PNL!A506="","",PNL!A506)</f>
        <v>ISCOM_PAR</v>
      </c>
      <c r="B506" t="str">
        <f>IF(PNL!B506="","",PNL!B506)</f>
        <v>616</v>
      </c>
      <c r="C506" t="str">
        <f>IF(PNL!C506="","",PNL!C506)</f>
        <v>2025</v>
      </c>
      <c r="D506" t="str">
        <f>IF(PNL!D506="","",PNL!D506)</f>
        <v>ACT</v>
      </c>
      <c r="E506">
        <f t="shared" si="0"/>
        <v>0</v>
      </c>
      <c r="F506">
        <f>IF($A506="","",IF($E506=1,_xlfn.SUMIFS(Compta!$F$1:$F$1448,Compta!$A$1:$A$1448,$A506,Compta!$B$1:$B$1448,$B506,Compta!$C$1:$C$1448,"2026"),0))</f>
        <v>0</v>
      </c>
      <c r="G506" t="s">
        <v>274</v>
      </c>
      <c r="H506" t="s">
        <v>274</v>
      </c>
      <c r="I506" t="s">
        <v>274</v>
      </c>
      <c r="J506" t="s">
        <v>274</v>
      </c>
      <c r="K506" t="s">
        <v>274</v>
      </c>
      <c r="L506" t="s">
        <v>274</v>
      </c>
      <c r="M506" t="s">
        <v>274</v>
      </c>
      <c r="N506" t="e">
        <f t="shared" si="1"/>
        <v>#VALUE!</v>
      </c>
      <c r="O506" t="e">
        <f t="shared" si="2"/>
        <v>#VALUE!</v>
      </c>
      <c r="P506">
        <f>IF($A506="","",IF($E506=1,$F506*$O506,PNL!G506))</f>
        <v>34338</v>
      </c>
      <c r="T506">
        <f t="shared" si="3"/>
        <v>0</v>
      </c>
    </row>
    <row r="507" ht="14.25" customHeight="1">
      <c r="A507" t="str">
        <f>IF(PNL!A507="","",PNL!A507)</f>
        <v>ISCOM_LIL</v>
      </c>
      <c r="B507" t="str">
        <f>IF(PNL!B507="","",PNL!B507)</f>
        <v>616</v>
      </c>
      <c r="C507" t="str">
        <f>IF(PNL!C507="","",PNL!C507)</f>
        <v>2025</v>
      </c>
      <c r="D507" t="str">
        <f>IF(PNL!D507="","",PNL!D507)</f>
        <v>ACT</v>
      </c>
      <c r="E507">
        <f t="shared" si="0"/>
        <v>0</v>
      </c>
      <c r="F507">
        <f>IF($A507="","",IF($E507=1,_xlfn.SUMIFS(Compta!$F$1:$F$1448,Compta!$A$1:$A$1448,$A507,Compta!$B$1:$B$1448,$B507,Compta!$C$1:$C$1448,"2026"),0))</f>
        <v>0</v>
      </c>
      <c r="G507" t="s">
        <v>274</v>
      </c>
      <c r="H507" t="s">
        <v>274</v>
      </c>
      <c r="I507" t="s">
        <v>274</v>
      </c>
      <c r="J507" t="s">
        <v>274</v>
      </c>
      <c r="K507" t="s">
        <v>274</v>
      </c>
      <c r="L507" t="s">
        <v>274</v>
      </c>
      <c r="M507" t="s">
        <v>274</v>
      </c>
      <c r="N507" t="e">
        <f t="shared" si="1"/>
        <v>#VALUE!</v>
      </c>
      <c r="O507" t="e">
        <f t="shared" si="2"/>
        <v>#VALUE!</v>
      </c>
      <c r="P507">
        <f>IF($A507="","",IF($E507=1,$F507*$O507,PNL!G507))</f>
        <v>13441</v>
      </c>
      <c r="T507">
        <f t="shared" si="3"/>
        <v>0</v>
      </c>
    </row>
    <row r="508" ht="14.25" customHeight="1">
      <c r="A508" t="str">
        <f>IF(PNL!A508="","",PNL!A508)</f>
        <v>ISCOM_TLS</v>
      </c>
      <c r="B508" t="str">
        <f>IF(PNL!B508="","",PNL!B508)</f>
        <v>616</v>
      </c>
      <c r="C508" t="str">
        <f>IF(PNL!C508="","",PNL!C508)</f>
        <v>2025</v>
      </c>
      <c r="D508" t="str">
        <f>IF(PNL!D508="","",PNL!D508)</f>
        <v>ACT</v>
      </c>
      <c r="E508">
        <f t="shared" si="0"/>
        <v>0</v>
      </c>
      <c r="F508">
        <f>IF($A508="","",IF($E508=1,_xlfn.SUMIFS(Compta!$F$1:$F$1448,Compta!$A$1:$A$1448,$A508,Compta!$B$1:$B$1448,$B508,Compta!$C$1:$C$1448,"2026"),0))</f>
        <v>0</v>
      </c>
      <c r="G508" t="s">
        <v>274</v>
      </c>
      <c r="H508" t="s">
        <v>274</v>
      </c>
      <c r="I508" t="s">
        <v>274</v>
      </c>
      <c r="J508" t="s">
        <v>274</v>
      </c>
      <c r="K508" t="s">
        <v>274</v>
      </c>
      <c r="L508" t="s">
        <v>274</v>
      </c>
      <c r="M508" t="s">
        <v>274</v>
      </c>
      <c r="N508" t="e">
        <f t="shared" si="1"/>
        <v>#VALUE!</v>
      </c>
      <c r="O508" t="e">
        <f t="shared" si="2"/>
        <v>#VALUE!</v>
      </c>
      <c r="P508">
        <f>IF($A508="","",IF($E508=1,$F508*$O508,PNL!G508))</f>
        <v>12448</v>
      </c>
      <c r="T508">
        <f t="shared" si="3"/>
        <v>0</v>
      </c>
    </row>
    <row r="509" ht="14.25" customHeight="1">
      <c r="A509" t="str">
        <f>IF(PNL!A509="","",PNL!A509)</f>
        <v>IPAC_NAN</v>
      </c>
      <c r="B509" t="str">
        <f>IF(PNL!B509="","",PNL!B509)</f>
        <v>616</v>
      </c>
      <c r="C509" t="str">
        <f>IF(PNL!C509="","",PNL!C509)</f>
        <v>2025</v>
      </c>
      <c r="D509" t="str">
        <f>IF(PNL!D509="","",PNL!D509)</f>
        <v>ACT</v>
      </c>
      <c r="E509">
        <f t="shared" si="0"/>
        <v>0</v>
      </c>
      <c r="F509">
        <f>IF($A509="","",IF($E509=1,_xlfn.SUMIFS(Compta!$F$1:$F$1448,Compta!$A$1:$A$1448,$A509,Compta!$B$1:$B$1448,$B509,Compta!$C$1:$C$1448,"2026"),0))</f>
        <v>0</v>
      </c>
      <c r="G509" t="s">
        <v>274</v>
      </c>
      <c r="H509" t="s">
        <v>274</v>
      </c>
      <c r="I509" t="s">
        <v>274</v>
      </c>
      <c r="J509" t="s">
        <v>274</v>
      </c>
      <c r="K509" t="s">
        <v>274</v>
      </c>
      <c r="L509" t="s">
        <v>274</v>
      </c>
      <c r="M509" t="s">
        <v>274</v>
      </c>
      <c r="N509" t="e">
        <f t="shared" si="1"/>
        <v>#VALUE!</v>
      </c>
      <c r="O509" t="e">
        <f t="shared" si="2"/>
        <v>#VALUE!</v>
      </c>
      <c r="P509">
        <f>IF($A509="","",IF($E509=1,$F509*$O509,PNL!G509))</f>
        <v>8682</v>
      </c>
      <c r="T509">
        <f t="shared" si="3"/>
        <v>0</v>
      </c>
    </row>
    <row r="510" ht="14.25" customHeight="1">
      <c r="A510" t="str">
        <f>IF(PNL!A510="","",PNL!A510)</f>
        <v>IPAC_REN</v>
      </c>
      <c r="B510" t="str">
        <f>IF(PNL!B510="","",PNL!B510)</f>
        <v>616</v>
      </c>
      <c r="C510" t="str">
        <f>IF(PNL!C510="","",PNL!C510)</f>
        <v>2025</v>
      </c>
      <c r="D510" t="str">
        <f>IF(PNL!D510="","",PNL!D510)</f>
        <v>ACT</v>
      </c>
      <c r="E510">
        <f t="shared" si="0"/>
        <v>0</v>
      </c>
      <c r="F510">
        <f>IF($A510="","",IF($E510=1,_xlfn.SUMIFS(Compta!$F$1:$F$1448,Compta!$A$1:$A$1448,$A510,Compta!$B$1:$B$1448,$B510,Compta!$C$1:$C$1448,"2026"),0))</f>
        <v>0</v>
      </c>
      <c r="G510" t="s">
        <v>274</v>
      </c>
      <c r="H510" t="s">
        <v>274</v>
      </c>
      <c r="I510" t="s">
        <v>274</v>
      </c>
      <c r="J510" t="s">
        <v>274</v>
      </c>
      <c r="K510" t="s">
        <v>274</v>
      </c>
      <c r="L510" t="s">
        <v>274</v>
      </c>
      <c r="M510" t="s">
        <v>274</v>
      </c>
      <c r="N510" t="e">
        <f t="shared" si="1"/>
        <v>#VALUE!</v>
      </c>
      <c r="O510" t="e">
        <f t="shared" si="2"/>
        <v>#VALUE!</v>
      </c>
      <c r="P510">
        <f>IF($A510="","",IF($E510=1,$F510*$O510,PNL!G510))</f>
        <v>6165</v>
      </c>
      <c r="T510">
        <f t="shared" si="3"/>
        <v>0</v>
      </c>
    </row>
    <row r="511" ht="14.25" customHeight="1">
      <c r="A511" t="str">
        <f>IF(PNL!A511="","",PNL!A511)</f>
        <v>IPAC_MTP</v>
      </c>
      <c r="B511" t="str">
        <f>IF(PNL!B511="","",PNL!B511)</f>
        <v>616</v>
      </c>
      <c r="C511" t="str">
        <f>IF(PNL!C511="","",PNL!C511)</f>
        <v>2025</v>
      </c>
      <c r="D511" t="str">
        <f>IF(PNL!D511="","",PNL!D511)</f>
        <v>ACT</v>
      </c>
      <c r="E511">
        <f t="shared" si="0"/>
        <v>0</v>
      </c>
      <c r="F511">
        <f>IF($A511="","",IF($E511=1,_xlfn.SUMIFS(Compta!$F$1:$F$1448,Compta!$A$1:$A$1448,$A511,Compta!$B$1:$B$1448,$B511,Compta!$C$1:$C$1448,"2026"),0))</f>
        <v>0</v>
      </c>
      <c r="G511" t="s">
        <v>274</v>
      </c>
      <c r="H511" t="s">
        <v>274</v>
      </c>
      <c r="I511" t="s">
        <v>274</v>
      </c>
      <c r="J511" t="s">
        <v>274</v>
      </c>
      <c r="K511" t="s">
        <v>274</v>
      </c>
      <c r="L511" t="s">
        <v>274</v>
      </c>
      <c r="M511" t="s">
        <v>274</v>
      </c>
      <c r="N511" t="e">
        <f t="shared" si="1"/>
        <v>#VALUE!</v>
      </c>
      <c r="O511" t="e">
        <f t="shared" si="2"/>
        <v>#VALUE!</v>
      </c>
      <c r="P511">
        <f>IF($A511="","",IF($E511=1,$F511*$O511,PNL!G511))</f>
        <v>6165</v>
      </c>
      <c r="T511">
        <f t="shared" si="3"/>
        <v>0</v>
      </c>
    </row>
    <row r="512" ht="14.25" customHeight="1">
      <c r="A512" t="str">
        <f>IF(PNL!A512="","",PNL!A512)</f>
        <v>PIGIER_LYO</v>
      </c>
      <c r="B512" t="str">
        <f>IF(PNL!B512="","",PNL!B512)</f>
        <v>616</v>
      </c>
      <c r="C512" t="str">
        <f>IF(PNL!C512="","",PNL!C512)</f>
        <v>2025</v>
      </c>
      <c r="D512" t="str">
        <f>IF(PNL!D512="","",PNL!D512)</f>
        <v>ACT</v>
      </c>
      <c r="E512">
        <f t="shared" si="0"/>
        <v>0</v>
      </c>
      <c r="F512">
        <f>IF($A512="","",IF($E512=1,_xlfn.SUMIFS(Compta!$F$1:$F$1448,Compta!$A$1:$A$1448,$A512,Compta!$B$1:$B$1448,$B512,Compta!$C$1:$C$1448,"2026"),0))</f>
        <v>0</v>
      </c>
      <c r="G512" t="s">
        <v>274</v>
      </c>
      <c r="H512" t="s">
        <v>274</v>
      </c>
      <c r="I512" t="s">
        <v>274</v>
      </c>
      <c r="J512" t="s">
        <v>274</v>
      </c>
      <c r="K512" t="s">
        <v>274</v>
      </c>
      <c r="L512" t="s">
        <v>274</v>
      </c>
      <c r="M512" t="s">
        <v>274</v>
      </c>
      <c r="N512" t="e">
        <f t="shared" si="1"/>
        <v>#VALUE!</v>
      </c>
      <c r="O512" t="e">
        <f t="shared" si="2"/>
        <v>#VALUE!</v>
      </c>
      <c r="P512">
        <f>IF($A512="","",IF($E512=1,$F512*$O512,PNL!G512))</f>
        <v>12205</v>
      </c>
      <c r="T512">
        <f t="shared" si="3"/>
        <v>0</v>
      </c>
    </row>
    <row r="513" ht="14.25" customHeight="1">
      <c r="A513" t="str">
        <f>IF(PNL!A513="","",PNL!A513)</f>
        <v>PIGIER_BOR</v>
      </c>
      <c r="B513" t="str">
        <f>IF(PNL!B513="","",PNL!B513)</f>
        <v>616</v>
      </c>
      <c r="C513" t="str">
        <f>IF(PNL!C513="","",PNL!C513)</f>
        <v>2025</v>
      </c>
      <c r="D513" t="str">
        <f>IF(PNL!D513="","",PNL!D513)</f>
        <v>ACT</v>
      </c>
      <c r="E513">
        <f t="shared" si="0"/>
        <v>0</v>
      </c>
      <c r="F513">
        <f>IF($A513="","",IF($E513=1,_xlfn.SUMIFS(Compta!$F$1:$F$1448,Compta!$A$1:$A$1448,$A513,Compta!$B$1:$B$1448,$B513,Compta!$C$1:$C$1448,"2026"),0))</f>
        <v>0</v>
      </c>
      <c r="G513" t="s">
        <v>274</v>
      </c>
      <c r="H513" t="s">
        <v>274</v>
      </c>
      <c r="I513" t="s">
        <v>274</v>
      </c>
      <c r="J513" t="s">
        <v>274</v>
      </c>
      <c r="K513" t="s">
        <v>274</v>
      </c>
      <c r="L513" t="s">
        <v>274</v>
      </c>
      <c r="M513" t="s">
        <v>274</v>
      </c>
      <c r="N513" t="e">
        <f t="shared" si="1"/>
        <v>#VALUE!</v>
      </c>
      <c r="O513" t="e">
        <f t="shared" si="2"/>
        <v>#VALUE!</v>
      </c>
      <c r="P513">
        <f>IF($A513="","",IF($E513=1,$F513*$O513,PNL!G513))</f>
        <v>8928</v>
      </c>
      <c r="T513">
        <f t="shared" si="3"/>
        <v>0</v>
      </c>
    </row>
    <row r="514" ht="14.25" customHeight="1">
      <c r="A514" t="str">
        <f>IF(PNL!A514="","",PNL!A514)</f>
        <v>TUNON_PAR</v>
      </c>
      <c r="B514" t="str">
        <f>IF(PNL!B514="","",PNL!B514)</f>
        <v>616</v>
      </c>
      <c r="C514" t="str">
        <f>IF(PNL!C514="","",PNL!C514)</f>
        <v>2025</v>
      </c>
      <c r="D514" t="str">
        <f>IF(PNL!D514="","",PNL!D514)</f>
        <v>ACT</v>
      </c>
      <c r="E514">
        <f t="shared" si="0"/>
        <v>0</v>
      </c>
      <c r="F514">
        <f>IF($A514="","",IF($E514=1,_xlfn.SUMIFS(Compta!$F$1:$F$1448,Compta!$A$1:$A$1448,$A514,Compta!$B$1:$B$1448,$B514,Compta!$C$1:$C$1448,"2026"),0))</f>
        <v>0</v>
      </c>
      <c r="G514" t="s">
        <v>274</v>
      </c>
      <c r="H514" t="s">
        <v>274</v>
      </c>
      <c r="I514" t="s">
        <v>274</v>
      </c>
      <c r="J514" t="s">
        <v>274</v>
      </c>
      <c r="K514" t="s">
        <v>274</v>
      </c>
      <c r="L514" t="s">
        <v>274</v>
      </c>
      <c r="M514" t="s">
        <v>274</v>
      </c>
      <c r="N514" t="e">
        <f t="shared" si="1"/>
        <v>#VALUE!</v>
      </c>
      <c r="O514" t="e">
        <f t="shared" si="2"/>
        <v>#VALUE!</v>
      </c>
      <c r="P514">
        <f>IF($A514="","",IF($E514=1,$F514*$O514,PNL!G514))</f>
        <v>13386</v>
      </c>
      <c r="T514">
        <f t="shared" si="3"/>
        <v>0</v>
      </c>
    </row>
    <row r="515" ht="14.25" customHeight="1">
      <c r="A515" t="str">
        <f>IF(PNL!A515="","",PNL!A515)</f>
        <v>TUNON_LYO</v>
      </c>
      <c r="B515" t="str">
        <f>IF(PNL!B515="","",PNL!B515)</f>
        <v>616</v>
      </c>
      <c r="C515" t="str">
        <f>IF(PNL!C515="","",PNL!C515)</f>
        <v>2025</v>
      </c>
      <c r="D515" t="str">
        <f>IF(PNL!D515="","",PNL!D515)</f>
        <v>ACT</v>
      </c>
      <c r="E515">
        <f t="shared" si="0"/>
        <v>0</v>
      </c>
      <c r="F515">
        <f>IF($A515="","",IF($E515=1,_xlfn.SUMIFS(Compta!$F$1:$F$1448,Compta!$A$1:$A$1448,$A515,Compta!$B$1:$B$1448,$B515,Compta!$C$1:$C$1448,"2026"),0))</f>
        <v>0</v>
      </c>
      <c r="G515" t="s">
        <v>274</v>
      </c>
      <c r="H515" t="s">
        <v>274</v>
      </c>
      <c r="I515" t="s">
        <v>274</v>
      </c>
      <c r="J515" t="s">
        <v>274</v>
      </c>
      <c r="K515" t="s">
        <v>274</v>
      </c>
      <c r="L515" t="s">
        <v>274</v>
      </c>
      <c r="M515" t="s">
        <v>274</v>
      </c>
      <c r="N515" t="e">
        <f t="shared" si="1"/>
        <v>#VALUE!</v>
      </c>
      <c r="O515" t="e">
        <f t="shared" si="2"/>
        <v>#VALUE!</v>
      </c>
      <c r="P515">
        <f>IF($A515="","",IF($E515=1,$F515*$O515,PNL!G515))</f>
        <v>7846</v>
      </c>
      <c r="T515">
        <f t="shared" si="3"/>
        <v>0</v>
      </c>
    </row>
    <row r="516" ht="14.25" customHeight="1">
      <c r="A516" t="str">
        <f>IF(PNL!A516="","",PNL!A516)</f>
        <v>MBWAY_PAR</v>
      </c>
      <c r="B516" t="str">
        <f>IF(PNL!B516="","",PNL!B516)</f>
        <v>616</v>
      </c>
      <c r="C516" t="str">
        <f>IF(PNL!C516="","",PNL!C516)</f>
        <v>2026</v>
      </c>
      <c r="D516" t="str">
        <f>IF(PNL!D516="","",PNL!D516)</f>
        <v>ACT</v>
      </c>
      <c r="E516">
        <f t="shared" si="0"/>
        <v>0</v>
      </c>
      <c r="F516">
        <f>IF($A516="","",IF($E516=1,_xlfn.SUMIFS(Compta!$F$1:$F$1448,Compta!$A$1:$A$1448,$A516,Compta!$B$1:$B$1448,$B516,Compta!$C$1:$C$1448,"2026"),0))</f>
        <v>0</v>
      </c>
      <c r="G516" t="s">
        <v>274</v>
      </c>
      <c r="H516" t="s">
        <v>274</v>
      </c>
      <c r="I516" t="s">
        <v>274</v>
      </c>
      <c r="J516" t="s">
        <v>274</v>
      </c>
      <c r="K516" t="s">
        <v>274</v>
      </c>
      <c r="L516" t="s">
        <v>274</v>
      </c>
      <c r="M516" t="s">
        <v>274</v>
      </c>
      <c r="N516" t="e">
        <f t="shared" si="1"/>
        <v>#VALUE!</v>
      </c>
      <c r="O516" t="e">
        <f t="shared" si="2"/>
        <v>#VALUE!</v>
      </c>
      <c r="P516">
        <f>IF($A516="","",IF($E516=1,$F516*$O516,PNL!G516))</f>
        <v>38822</v>
      </c>
      <c r="T516">
        <f t="shared" si="3"/>
        <v>0</v>
      </c>
    </row>
    <row r="517" ht="14.25" customHeight="1">
      <c r="A517" t="str">
        <f>IF(PNL!A517="","",PNL!A517)</f>
        <v>MBWAY_LYO</v>
      </c>
      <c r="B517" t="str">
        <f>IF(PNL!B517="","",PNL!B517)</f>
        <v>616</v>
      </c>
      <c r="C517" t="str">
        <f>IF(PNL!C517="","",PNL!C517)</f>
        <v>2026</v>
      </c>
      <c r="D517" t="str">
        <f>IF(PNL!D517="","",PNL!D517)</f>
        <v>ACT</v>
      </c>
      <c r="E517">
        <f t="shared" si="0"/>
        <v>0</v>
      </c>
      <c r="F517">
        <f>IF($A517="","",IF($E517=1,_xlfn.SUMIFS(Compta!$F$1:$F$1448,Compta!$A$1:$A$1448,$A517,Compta!$B$1:$B$1448,$B517,Compta!$C$1:$C$1448,"2026"),0))</f>
        <v>0</v>
      </c>
      <c r="G517" t="s">
        <v>274</v>
      </c>
      <c r="H517" t="s">
        <v>274</v>
      </c>
      <c r="I517" t="s">
        <v>274</v>
      </c>
      <c r="J517" t="s">
        <v>274</v>
      </c>
      <c r="K517" t="s">
        <v>274</v>
      </c>
      <c r="L517" t="s">
        <v>274</v>
      </c>
      <c r="M517" t="s">
        <v>274</v>
      </c>
      <c r="N517" t="e">
        <f t="shared" si="1"/>
        <v>#VALUE!</v>
      </c>
      <c r="O517" t="e">
        <f t="shared" si="2"/>
        <v>#VALUE!</v>
      </c>
      <c r="P517">
        <f>IF($A517="","",IF($E517=1,$F517*$O517,PNL!G517))</f>
        <v>22765</v>
      </c>
      <c r="T517">
        <f t="shared" si="3"/>
        <v>0</v>
      </c>
    </row>
    <row r="518" ht="14.25" customHeight="1">
      <c r="A518" t="str">
        <f>IF(PNL!A518="","",PNL!A518)</f>
        <v>MBWAY_NAN</v>
      </c>
      <c r="B518" t="str">
        <f>IF(PNL!B518="","",PNL!B518)</f>
        <v>616</v>
      </c>
      <c r="C518" t="str">
        <f>IF(PNL!C518="","",PNL!C518)</f>
        <v>2026</v>
      </c>
      <c r="D518" t="str">
        <f>IF(PNL!D518="","",PNL!D518)</f>
        <v>ACT</v>
      </c>
      <c r="E518">
        <f t="shared" si="0"/>
        <v>0</v>
      </c>
      <c r="F518">
        <f>IF($A518="","",IF($E518=1,_xlfn.SUMIFS(Compta!$F$1:$F$1448,Compta!$A$1:$A$1448,$A518,Compta!$B$1:$B$1448,$B518,Compta!$C$1:$C$1448,"2026"),0))</f>
        <v>0</v>
      </c>
      <c r="G518" t="s">
        <v>274</v>
      </c>
      <c r="H518" t="s">
        <v>274</v>
      </c>
      <c r="I518" t="s">
        <v>274</v>
      </c>
      <c r="J518" t="s">
        <v>274</v>
      </c>
      <c r="K518" t="s">
        <v>274</v>
      </c>
      <c r="L518" t="s">
        <v>274</v>
      </c>
      <c r="M518" t="s">
        <v>274</v>
      </c>
      <c r="N518" t="e">
        <f t="shared" si="1"/>
        <v>#VALUE!</v>
      </c>
      <c r="O518" t="e">
        <f t="shared" si="2"/>
        <v>#VALUE!</v>
      </c>
      <c r="P518">
        <f>IF($A518="","",IF($E518=1,$F518*$O518,PNL!G518))</f>
        <v>18444</v>
      </c>
      <c r="T518">
        <f t="shared" si="3"/>
        <v>0</v>
      </c>
    </row>
    <row r="519" ht="14.25" customHeight="1">
      <c r="A519" t="str">
        <f>IF(PNL!A519="","",PNL!A519)</f>
        <v>MBWAY_BOR</v>
      </c>
      <c r="B519" t="str">
        <f>IF(PNL!B519="","",PNL!B519)</f>
        <v>616</v>
      </c>
      <c r="C519" t="str">
        <f>IF(PNL!C519="","",PNL!C519)</f>
        <v>2026</v>
      </c>
      <c r="D519" t="str">
        <f>IF(PNL!D519="","",PNL!D519)</f>
        <v>ACT</v>
      </c>
      <c r="E519">
        <f t="shared" si="0"/>
        <v>0</v>
      </c>
      <c r="F519">
        <f>IF($A519="","",IF($E519=1,_xlfn.SUMIFS(Compta!$F$1:$F$1448,Compta!$A$1:$A$1448,$A519,Compta!$B$1:$B$1448,$B519,Compta!$C$1:$C$1448,"2026"),0))</f>
        <v>0</v>
      </c>
      <c r="G519" t="s">
        <v>274</v>
      </c>
      <c r="H519" t="s">
        <v>274</v>
      </c>
      <c r="I519" t="s">
        <v>274</v>
      </c>
      <c r="J519" t="s">
        <v>274</v>
      </c>
      <c r="K519" t="s">
        <v>274</v>
      </c>
      <c r="L519" t="s">
        <v>274</v>
      </c>
      <c r="M519" t="s">
        <v>274</v>
      </c>
      <c r="N519" t="e">
        <f t="shared" si="1"/>
        <v>#VALUE!</v>
      </c>
      <c r="O519" t="e">
        <f t="shared" si="2"/>
        <v>#VALUE!</v>
      </c>
      <c r="P519">
        <f>IF($A519="","",IF($E519=1,$F519*$O519,PNL!G519))</f>
        <v>16402</v>
      </c>
      <c r="T519">
        <f t="shared" si="3"/>
        <v>0</v>
      </c>
    </row>
    <row r="520" ht="14.25" customHeight="1">
      <c r="A520" t="str">
        <f>IF(PNL!A520="","",PNL!A520)</f>
        <v>ISCOM_PAR</v>
      </c>
      <c r="B520" t="str">
        <f>IF(PNL!B520="","",PNL!B520)</f>
        <v>616</v>
      </c>
      <c r="C520" t="str">
        <f>IF(PNL!C520="","",PNL!C520)</f>
        <v>2026</v>
      </c>
      <c r="D520" t="str">
        <f>IF(PNL!D520="","",PNL!D520)</f>
        <v>ACT</v>
      </c>
      <c r="E520">
        <f t="shared" si="0"/>
        <v>0</v>
      </c>
      <c r="F520">
        <f>IF($A520="","",IF($E520=1,_xlfn.SUMIFS(Compta!$F$1:$F$1448,Compta!$A$1:$A$1448,$A520,Compta!$B$1:$B$1448,$B520,Compta!$C$1:$C$1448,"2026"),0))</f>
        <v>0</v>
      </c>
      <c r="G520" t="s">
        <v>274</v>
      </c>
      <c r="H520" t="s">
        <v>274</v>
      </c>
      <c r="I520" t="s">
        <v>274</v>
      </c>
      <c r="J520" t="s">
        <v>274</v>
      </c>
      <c r="K520" t="s">
        <v>274</v>
      </c>
      <c r="L520" t="s">
        <v>274</v>
      </c>
      <c r="M520" t="s">
        <v>274</v>
      </c>
      <c r="N520" t="e">
        <f t="shared" si="1"/>
        <v>#VALUE!</v>
      </c>
      <c r="O520" t="e">
        <f t="shared" si="2"/>
        <v>#VALUE!</v>
      </c>
      <c r="P520">
        <f>IF($A520="","",IF($E520=1,$F520*$O520,PNL!G520))</f>
        <v>35977</v>
      </c>
      <c r="T520">
        <f t="shared" si="3"/>
        <v>0</v>
      </c>
    </row>
    <row r="521" ht="14.25" customHeight="1">
      <c r="A521" t="str">
        <f>IF(PNL!A521="","",PNL!A521)</f>
        <v>ISCOM_LIL</v>
      </c>
      <c r="B521" t="str">
        <f>IF(PNL!B521="","",PNL!B521)</f>
        <v>616</v>
      </c>
      <c r="C521" t="str">
        <f>IF(PNL!C521="","",PNL!C521)</f>
        <v>2026</v>
      </c>
      <c r="D521" t="str">
        <f>IF(PNL!D521="","",PNL!D521)</f>
        <v>ACT</v>
      </c>
      <c r="E521">
        <f t="shared" si="0"/>
        <v>0</v>
      </c>
      <c r="F521">
        <f>IF($A521="","",IF($E521=1,_xlfn.SUMIFS(Compta!$F$1:$F$1448,Compta!$A$1:$A$1448,$A521,Compta!$B$1:$B$1448,$B521,Compta!$C$1:$C$1448,"2026"),0))</f>
        <v>0</v>
      </c>
      <c r="G521" t="s">
        <v>274</v>
      </c>
      <c r="H521" t="s">
        <v>274</v>
      </c>
      <c r="I521" t="s">
        <v>274</v>
      </c>
      <c r="J521" t="s">
        <v>274</v>
      </c>
      <c r="K521" t="s">
        <v>274</v>
      </c>
      <c r="L521" t="s">
        <v>274</v>
      </c>
      <c r="M521" t="s">
        <v>274</v>
      </c>
      <c r="N521" t="e">
        <f t="shared" si="1"/>
        <v>#VALUE!</v>
      </c>
      <c r="O521" t="e">
        <f t="shared" si="2"/>
        <v>#VALUE!</v>
      </c>
      <c r="P521">
        <f>IF($A521="","",IF($E521=1,$F521*$O521,PNL!G521))</f>
        <v>14083</v>
      </c>
      <c r="T521">
        <f t="shared" si="3"/>
        <v>0</v>
      </c>
    </row>
    <row r="522" ht="14.25" customHeight="1">
      <c r="A522" t="str">
        <f>IF(PNL!A522="","",PNL!A522)</f>
        <v>ISCOM_TLS</v>
      </c>
      <c r="B522" t="str">
        <f>IF(PNL!B522="","",PNL!B522)</f>
        <v>616</v>
      </c>
      <c r="C522" t="str">
        <f>IF(PNL!C522="","",PNL!C522)</f>
        <v>2026</v>
      </c>
      <c r="D522" t="str">
        <f>IF(PNL!D522="","",PNL!D522)</f>
        <v>ACT</v>
      </c>
      <c r="E522">
        <f t="shared" si="0"/>
        <v>0</v>
      </c>
      <c r="F522">
        <f>IF($A522="","",IF($E522=1,_xlfn.SUMIFS(Compta!$F$1:$F$1448,Compta!$A$1:$A$1448,$A522,Compta!$B$1:$B$1448,$B522,Compta!$C$1:$C$1448,"2026"),0))</f>
        <v>0</v>
      </c>
      <c r="G522" t="s">
        <v>274</v>
      </c>
      <c r="H522" t="s">
        <v>274</v>
      </c>
      <c r="I522" t="s">
        <v>274</v>
      </c>
      <c r="J522" t="s">
        <v>274</v>
      </c>
      <c r="K522" t="s">
        <v>274</v>
      </c>
      <c r="L522" t="s">
        <v>274</v>
      </c>
      <c r="M522" t="s">
        <v>274</v>
      </c>
      <c r="N522" t="e">
        <f t="shared" si="1"/>
        <v>#VALUE!</v>
      </c>
      <c r="O522" t="e">
        <f t="shared" si="2"/>
        <v>#VALUE!</v>
      </c>
      <c r="P522">
        <f>IF($A522="","",IF($E522=1,$F522*$O522,PNL!G522))</f>
        <v>13042</v>
      </c>
      <c r="T522">
        <f t="shared" si="3"/>
        <v>0</v>
      </c>
    </row>
    <row r="523" ht="14.25" customHeight="1">
      <c r="A523" t="str">
        <f>IF(PNL!A523="","",PNL!A523)</f>
        <v>IPAC_NAN</v>
      </c>
      <c r="B523" t="str">
        <f>IF(PNL!B523="","",PNL!B523)</f>
        <v>616</v>
      </c>
      <c r="C523" t="str">
        <f>IF(PNL!C523="","",PNL!C523)</f>
        <v>2026</v>
      </c>
      <c r="D523" t="str">
        <f>IF(PNL!D523="","",PNL!D523)</f>
        <v>ACT</v>
      </c>
      <c r="E523">
        <f t="shared" si="0"/>
        <v>0</v>
      </c>
      <c r="F523">
        <f>IF($A523="","",IF($E523=1,_xlfn.SUMIFS(Compta!$F$1:$F$1448,Compta!$A$1:$A$1448,$A523,Compta!$B$1:$B$1448,$B523,Compta!$C$1:$C$1448,"2026"),0))</f>
        <v>0</v>
      </c>
      <c r="G523" t="s">
        <v>274</v>
      </c>
      <c r="H523" t="s">
        <v>274</v>
      </c>
      <c r="I523" t="s">
        <v>274</v>
      </c>
      <c r="J523" t="s">
        <v>274</v>
      </c>
      <c r="K523" t="s">
        <v>274</v>
      </c>
      <c r="L523" t="s">
        <v>274</v>
      </c>
      <c r="M523" t="s">
        <v>274</v>
      </c>
      <c r="N523" t="e">
        <f t="shared" si="1"/>
        <v>#VALUE!</v>
      </c>
      <c r="O523" t="e">
        <f t="shared" si="2"/>
        <v>#VALUE!</v>
      </c>
      <c r="P523">
        <f>IF($A523="","",IF($E523=1,$F523*$O523,PNL!G523))</f>
        <v>9096</v>
      </c>
      <c r="T523">
        <f t="shared" si="3"/>
        <v>0</v>
      </c>
    </row>
    <row r="524" ht="14.25" customHeight="1">
      <c r="A524" t="str">
        <f>IF(PNL!A524="","",PNL!A524)</f>
        <v>IPAC_REN</v>
      </c>
      <c r="B524" t="str">
        <f>IF(PNL!B524="","",PNL!B524)</f>
        <v>616</v>
      </c>
      <c r="C524" t="str">
        <f>IF(PNL!C524="","",PNL!C524)</f>
        <v>2026</v>
      </c>
      <c r="D524" t="str">
        <f>IF(PNL!D524="","",PNL!D524)</f>
        <v>ACT</v>
      </c>
      <c r="E524">
        <f t="shared" si="0"/>
        <v>0</v>
      </c>
      <c r="F524">
        <f>IF($A524="","",IF($E524=1,_xlfn.SUMIFS(Compta!$F$1:$F$1448,Compta!$A$1:$A$1448,$A524,Compta!$B$1:$B$1448,$B524,Compta!$C$1:$C$1448,"2026"),0))</f>
        <v>0</v>
      </c>
      <c r="G524" t="s">
        <v>274</v>
      </c>
      <c r="H524" t="s">
        <v>274</v>
      </c>
      <c r="I524" t="s">
        <v>274</v>
      </c>
      <c r="J524" t="s">
        <v>274</v>
      </c>
      <c r="K524" t="s">
        <v>274</v>
      </c>
      <c r="L524" t="s">
        <v>274</v>
      </c>
      <c r="M524" t="s">
        <v>274</v>
      </c>
      <c r="N524" t="e">
        <f t="shared" si="1"/>
        <v>#VALUE!</v>
      </c>
      <c r="O524" t="e">
        <f t="shared" si="2"/>
        <v>#VALUE!</v>
      </c>
      <c r="P524">
        <f>IF($A524="","",IF($E524=1,$F524*$O524,PNL!G524))</f>
        <v>6459</v>
      </c>
      <c r="T524">
        <f t="shared" si="3"/>
        <v>0</v>
      </c>
    </row>
    <row r="525" ht="14.25" customHeight="1">
      <c r="A525" t="str">
        <f>IF(PNL!A525="","",PNL!A525)</f>
        <v>IPAC_MTP</v>
      </c>
      <c r="B525" t="str">
        <f>IF(PNL!B525="","",PNL!B525)</f>
        <v>616</v>
      </c>
      <c r="C525" t="str">
        <f>IF(PNL!C525="","",PNL!C525)</f>
        <v>2026</v>
      </c>
      <c r="D525" t="str">
        <f>IF(PNL!D525="","",PNL!D525)</f>
        <v>ACT</v>
      </c>
      <c r="E525">
        <f t="shared" si="0"/>
        <v>0</v>
      </c>
      <c r="F525">
        <f>IF($A525="","",IF($E525=1,_xlfn.SUMIFS(Compta!$F$1:$F$1448,Compta!$A$1:$A$1448,$A525,Compta!$B$1:$B$1448,$B525,Compta!$C$1:$C$1448,"2026"),0))</f>
        <v>0</v>
      </c>
      <c r="G525" t="s">
        <v>274</v>
      </c>
      <c r="H525" t="s">
        <v>274</v>
      </c>
      <c r="I525" t="s">
        <v>274</v>
      </c>
      <c r="J525" t="s">
        <v>274</v>
      </c>
      <c r="K525" t="s">
        <v>274</v>
      </c>
      <c r="L525" t="s">
        <v>274</v>
      </c>
      <c r="M525" t="s">
        <v>274</v>
      </c>
      <c r="N525" t="e">
        <f t="shared" si="1"/>
        <v>#VALUE!</v>
      </c>
      <c r="O525" t="e">
        <f t="shared" si="2"/>
        <v>#VALUE!</v>
      </c>
      <c r="P525">
        <f>IF($A525="","",IF($E525=1,$F525*$O525,PNL!G525))</f>
        <v>6459</v>
      </c>
      <c r="T525">
        <f t="shared" si="3"/>
        <v>0</v>
      </c>
    </row>
    <row r="526" ht="14.25" customHeight="1">
      <c r="A526" t="str">
        <f>IF(PNL!A526="","",PNL!A526)</f>
        <v>PIGIER_LYO</v>
      </c>
      <c r="B526" t="str">
        <f>IF(PNL!B526="","",PNL!B526)</f>
        <v>616</v>
      </c>
      <c r="C526" t="str">
        <f>IF(PNL!C526="","",PNL!C526)</f>
        <v>2026</v>
      </c>
      <c r="D526" t="str">
        <f>IF(PNL!D526="","",PNL!D526)</f>
        <v>ACT</v>
      </c>
      <c r="E526">
        <f t="shared" si="0"/>
        <v>0</v>
      </c>
      <c r="F526">
        <f>IF($A526="","",IF($E526=1,_xlfn.SUMIFS(Compta!$F$1:$F$1448,Compta!$A$1:$A$1448,$A526,Compta!$B$1:$B$1448,$B526,Compta!$C$1:$C$1448,"2026"),0))</f>
        <v>0</v>
      </c>
      <c r="G526" t="s">
        <v>274</v>
      </c>
      <c r="H526" t="s">
        <v>274</v>
      </c>
      <c r="I526" t="s">
        <v>274</v>
      </c>
      <c r="J526" t="s">
        <v>274</v>
      </c>
      <c r="K526" t="s">
        <v>274</v>
      </c>
      <c r="L526" t="s">
        <v>274</v>
      </c>
      <c r="M526" t="s">
        <v>274</v>
      </c>
      <c r="N526" t="e">
        <f t="shared" si="1"/>
        <v>#VALUE!</v>
      </c>
      <c r="O526" t="e">
        <f t="shared" si="2"/>
        <v>#VALUE!</v>
      </c>
      <c r="P526">
        <f>IF($A526="","",IF($E526=1,$F526*$O526,PNL!G526))</f>
        <v>12788</v>
      </c>
      <c r="T526">
        <f t="shared" si="3"/>
        <v>0</v>
      </c>
    </row>
    <row r="527" ht="14.25" customHeight="1">
      <c r="A527" t="str">
        <f>IF(PNL!A527="","",PNL!A527)</f>
        <v>PIGIER_BOR</v>
      </c>
      <c r="B527" t="str">
        <f>IF(PNL!B527="","",PNL!B527)</f>
        <v>616</v>
      </c>
      <c r="C527" t="str">
        <f>IF(PNL!C527="","",PNL!C527)</f>
        <v>2026</v>
      </c>
      <c r="D527" t="str">
        <f>IF(PNL!D527="","",PNL!D527)</f>
        <v>ACT</v>
      </c>
      <c r="E527">
        <f t="shared" si="0"/>
        <v>0</v>
      </c>
      <c r="F527">
        <f>IF($A527="","",IF($E527=1,_xlfn.SUMIFS(Compta!$F$1:$F$1448,Compta!$A$1:$A$1448,$A527,Compta!$B$1:$B$1448,$B527,Compta!$C$1:$C$1448,"2026"),0))</f>
        <v>0</v>
      </c>
      <c r="G527" t="s">
        <v>274</v>
      </c>
      <c r="H527" t="s">
        <v>274</v>
      </c>
      <c r="I527" t="s">
        <v>274</v>
      </c>
      <c r="J527" t="s">
        <v>274</v>
      </c>
      <c r="K527" t="s">
        <v>274</v>
      </c>
      <c r="L527" t="s">
        <v>274</v>
      </c>
      <c r="M527" t="s">
        <v>274</v>
      </c>
      <c r="N527" t="e">
        <f t="shared" si="1"/>
        <v>#VALUE!</v>
      </c>
      <c r="O527" t="e">
        <f t="shared" si="2"/>
        <v>#VALUE!</v>
      </c>
      <c r="P527">
        <f>IF($A527="","",IF($E527=1,$F527*$O527,PNL!G527))</f>
        <v>9354</v>
      </c>
      <c r="T527">
        <f t="shared" si="3"/>
        <v>0</v>
      </c>
    </row>
    <row r="528" ht="14.25" customHeight="1">
      <c r="A528" t="str">
        <f>IF(PNL!A528="","",PNL!A528)</f>
        <v>TUNON_PAR</v>
      </c>
      <c r="B528" t="str">
        <f>IF(PNL!B528="","",PNL!B528)</f>
        <v>616</v>
      </c>
      <c r="C528" t="str">
        <f>IF(PNL!C528="","",PNL!C528)</f>
        <v>2026</v>
      </c>
      <c r="D528" t="str">
        <f>IF(PNL!D528="","",PNL!D528)</f>
        <v>ACT</v>
      </c>
      <c r="E528">
        <f t="shared" si="0"/>
        <v>0</v>
      </c>
      <c r="F528">
        <f>IF($A528="","",IF($E528=1,_xlfn.SUMIFS(Compta!$F$1:$F$1448,Compta!$A$1:$A$1448,$A528,Compta!$B$1:$B$1448,$B528,Compta!$C$1:$C$1448,"2026"),0))</f>
        <v>0</v>
      </c>
      <c r="G528" t="s">
        <v>274</v>
      </c>
      <c r="H528" t="s">
        <v>274</v>
      </c>
      <c r="I528" t="s">
        <v>274</v>
      </c>
      <c r="J528" t="s">
        <v>274</v>
      </c>
      <c r="K528" t="s">
        <v>274</v>
      </c>
      <c r="L528" t="s">
        <v>274</v>
      </c>
      <c r="M528" t="s">
        <v>274</v>
      </c>
      <c r="N528" t="e">
        <f t="shared" si="1"/>
        <v>#VALUE!</v>
      </c>
      <c r="O528" t="e">
        <f t="shared" si="2"/>
        <v>#VALUE!</v>
      </c>
      <c r="P528">
        <f>IF($A528="","",IF($E528=1,$F528*$O528,PNL!G528))</f>
        <v>14025</v>
      </c>
      <c r="T528">
        <f t="shared" si="3"/>
        <v>0</v>
      </c>
    </row>
    <row r="529" ht="14.25" customHeight="1">
      <c r="A529" t="str">
        <f>IF(PNL!A529="","",PNL!A529)</f>
        <v>TUNON_LYO</v>
      </c>
      <c r="B529" t="str">
        <f>IF(PNL!B529="","",PNL!B529)</f>
        <v>616</v>
      </c>
      <c r="C529" t="str">
        <f>IF(PNL!C529="","",PNL!C529)</f>
        <v>2026</v>
      </c>
      <c r="D529" t="str">
        <f>IF(PNL!D529="","",PNL!D529)</f>
        <v>ACT</v>
      </c>
      <c r="E529">
        <f t="shared" si="0"/>
        <v>0</v>
      </c>
      <c r="F529">
        <f>IF($A529="","",IF($E529=1,_xlfn.SUMIFS(Compta!$F$1:$F$1448,Compta!$A$1:$A$1448,$A529,Compta!$B$1:$B$1448,$B529,Compta!$C$1:$C$1448,"2026"),0))</f>
        <v>0</v>
      </c>
      <c r="G529" t="s">
        <v>274</v>
      </c>
      <c r="H529" t="s">
        <v>274</v>
      </c>
      <c r="I529" t="s">
        <v>274</v>
      </c>
      <c r="J529" t="s">
        <v>274</v>
      </c>
      <c r="K529" t="s">
        <v>274</v>
      </c>
      <c r="L529" t="s">
        <v>274</v>
      </c>
      <c r="M529" t="s">
        <v>274</v>
      </c>
      <c r="N529" t="e">
        <f t="shared" si="1"/>
        <v>#VALUE!</v>
      </c>
      <c r="O529" t="e">
        <f t="shared" si="2"/>
        <v>#VALUE!</v>
      </c>
      <c r="P529">
        <f>IF($A529="","",IF($E529=1,$F529*$O529,PNL!G529))</f>
        <v>8221</v>
      </c>
      <c r="T529">
        <f t="shared" si="3"/>
        <v>0</v>
      </c>
    </row>
    <row r="530" ht="14.25" customHeight="1">
      <c r="A530" t="str">
        <f>IF(PNL!A530="","",PNL!A530)</f>
        <v>GRP</v>
      </c>
      <c r="B530" t="str">
        <f>IF(PNL!B530="","",PNL!B530)</f>
        <v>6226</v>
      </c>
      <c r="C530" t="str">
        <f>IF(PNL!C530="","",PNL!C530)</f>
        <v>2024</v>
      </c>
      <c r="D530" t="str">
        <f>IF(PNL!D530="","",PNL!D530)</f>
        <v>ACT</v>
      </c>
      <c r="E530">
        <f t="shared" si="0"/>
        <v>0</v>
      </c>
      <c r="F530">
        <f>IF($A530="","",IF($E530=1,_xlfn.SUMIFS(Compta!$F$1:$F$1448,Compta!$A$1:$A$1448,$A530,Compta!$B$1:$B$1448,$B530,Compta!$C$1:$C$1448,"2026"),0))</f>
        <v>0</v>
      </c>
      <c r="G530" t="s">
        <v>274</v>
      </c>
      <c r="H530" t="s">
        <v>274</v>
      </c>
      <c r="I530" t="s">
        <v>274</v>
      </c>
      <c r="J530" t="s">
        <v>274</v>
      </c>
      <c r="K530" t="s">
        <v>274</v>
      </c>
      <c r="L530" t="s">
        <v>274</v>
      </c>
      <c r="M530" t="s">
        <v>274</v>
      </c>
      <c r="N530" t="e">
        <f t="shared" si="1"/>
        <v>#VALUE!</v>
      </c>
      <c r="O530" t="e">
        <f t="shared" si="2"/>
        <v>#VALUE!</v>
      </c>
      <c r="P530">
        <f>IF($A530="","",IF($E530=1,$F530*$O530,PNL!G530))</f>
        <v>515487</v>
      </c>
      <c r="T530">
        <f t="shared" si="3"/>
        <v>0</v>
      </c>
    </row>
    <row r="531" ht="14.25" customHeight="1">
      <c r="A531" t="str">
        <f>IF(PNL!A531="","",PNL!A531)</f>
        <v>GRP</v>
      </c>
      <c r="B531" t="str">
        <f>IF(PNL!B531="","",PNL!B531)</f>
        <v>6226</v>
      </c>
      <c r="C531" t="str">
        <f>IF(PNL!C531="","",PNL!C531)</f>
        <v>2025</v>
      </c>
      <c r="D531" t="str">
        <f>IF(PNL!D531="","",PNL!D531)</f>
        <v>ACT</v>
      </c>
      <c r="E531">
        <f t="shared" si="0"/>
        <v>0</v>
      </c>
      <c r="F531">
        <f>IF($A531="","",IF($E531=1,_xlfn.SUMIFS(Compta!$F$1:$F$1448,Compta!$A$1:$A$1448,$A531,Compta!$B$1:$B$1448,$B531,Compta!$C$1:$C$1448,"2026"),0))</f>
        <v>0</v>
      </c>
      <c r="G531" t="s">
        <v>274</v>
      </c>
      <c r="H531" t="s">
        <v>274</v>
      </c>
      <c r="I531" t="s">
        <v>274</v>
      </c>
      <c r="J531" t="s">
        <v>274</v>
      </c>
      <c r="K531" t="s">
        <v>274</v>
      </c>
      <c r="L531" t="s">
        <v>274</v>
      </c>
      <c r="M531" t="s">
        <v>274</v>
      </c>
      <c r="N531" t="e">
        <f t="shared" si="1"/>
        <v>#VALUE!</v>
      </c>
      <c r="O531" t="e">
        <f t="shared" si="2"/>
        <v>#VALUE!</v>
      </c>
      <c r="P531">
        <f>IF($A531="","",IF($E531=1,$F531*$O531,PNL!G531))</f>
        <v>539108</v>
      </c>
      <c r="T531">
        <f t="shared" si="3"/>
        <v>0</v>
      </c>
    </row>
    <row r="532" ht="14.25" customHeight="1">
      <c r="A532" t="str">
        <f>IF(PNL!A532="","",PNL!A532)</f>
        <v>GRP</v>
      </c>
      <c r="B532" t="str">
        <f>IF(PNL!B532="","",PNL!B532)</f>
        <v>6226</v>
      </c>
      <c r="C532" t="str">
        <f>IF(PNL!C532="","",PNL!C532)</f>
        <v>2026</v>
      </c>
      <c r="D532" t="str">
        <f>IF(PNL!D532="","",PNL!D532)</f>
        <v>ACT</v>
      </c>
      <c r="E532">
        <f t="shared" si="0"/>
        <v>0</v>
      </c>
      <c r="F532">
        <f>IF($A532="","",IF($E532=1,_xlfn.SUMIFS(Compta!$F$1:$F$1448,Compta!$A$1:$A$1448,$A532,Compta!$B$1:$B$1448,$B532,Compta!$C$1:$C$1448,"2026"),0))</f>
        <v>0</v>
      </c>
      <c r="G532" t="s">
        <v>274</v>
      </c>
      <c r="H532" t="s">
        <v>274</v>
      </c>
      <c r="I532" t="s">
        <v>274</v>
      </c>
      <c r="J532" t="s">
        <v>274</v>
      </c>
      <c r="K532" t="s">
        <v>274</v>
      </c>
      <c r="L532" t="s">
        <v>274</v>
      </c>
      <c r="M532" t="s">
        <v>274</v>
      </c>
      <c r="N532" t="e">
        <f t="shared" si="1"/>
        <v>#VALUE!</v>
      </c>
      <c r="O532" t="e">
        <f t="shared" si="2"/>
        <v>#VALUE!</v>
      </c>
      <c r="P532">
        <f>IF($A532="","",IF($E532=1,$F532*$O532,PNL!G532))</f>
        <v>564841</v>
      </c>
      <c r="T532">
        <f t="shared" si="3"/>
        <v>0</v>
      </c>
    </row>
    <row r="533" ht="14.25" customHeight="1">
      <c r="A533" t="str">
        <f>IF(PNL!A533="","",PNL!A533)</f>
        <v>GRP</v>
      </c>
      <c r="B533" t="str">
        <f>IF(PNL!B533="","",PNL!B533)</f>
        <v>6236</v>
      </c>
      <c r="C533" t="str">
        <f>IF(PNL!C533="","",PNL!C533)</f>
        <v>2024</v>
      </c>
      <c r="D533" t="str">
        <f>IF(PNL!D533="","",PNL!D533)</f>
        <v>ACT</v>
      </c>
      <c r="E533">
        <f t="shared" si="0"/>
        <v>0</v>
      </c>
      <c r="F533">
        <f>IF($A533="","",IF($E533=1,_xlfn.SUMIFS(Compta!$F$1:$F$1448,Compta!$A$1:$A$1448,$A533,Compta!$B$1:$B$1448,$B533,Compta!$C$1:$C$1448,"2026"),0))</f>
        <v>0</v>
      </c>
      <c r="G533" t="s">
        <v>274</v>
      </c>
      <c r="H533" t="s">
        <v>274</v>
      </c>
      <c r="I533" t="s">
        <v>274</v>
      </c>
      <c r="J533" t="s">
        <v>274</v>
      </c>
      <c r="K533" t="s">
        <v>274</v>
      </c>
      <c r="L533" t="s">
        <v>274</v>
      </c>
      <c r="M533" t="s">
        <v>274</v>
      </c>
      <c r="N533" t="e">
        <f t="shared" si="1"/>
        <v>#VALUE!</v>
      </c>
      <c r="O533" t="e">
        <f t="shared" si="2"/>
        <v>#VALUE!</v>
      </c>
      <c r="P533">
        <f>IF($A533="","",IF($E533=1,$F533*$O533,PNL!G533))</f>
        <v>499926</v>
      </c>
      <c r="T533">
        <f t="shared" si="3"/>
        <v>0</v>
      </c>
    </row>
    <row r="534" ht="14.25" customHeight="1">
      <c r="A534" t="str">
        <f>IF(PNL!A534="","",PNL!A534)</f>
        <v>GRP</v>
      </c>
      <c r="B534" t="str">
        <f>IF(PNL!B534="","",PNL!B534)</f>
        <v>6236</v>
      </c>
      <c r="C534" t="str">
        <f>IF(PNL!C534="","",PNL!C534)</f>
        <v>2025</v>
      </c>
      <c r="D534" t="str">
        <f>IF(PNL!D534="","",PNL!D534)</f>
        <v>ACT</v>
      </c>
      <c r="E534">
        <f t="shared" si="0"/>
        <v>0</v>
      </c>
      <c r="F534">
        <f>IF($A534="","",IF($E534=1,_xlfn.SUMIFS(Compta!$F$1:$F$1448,Compta!$A$1:$A$1448,$A534,Compta!$B$1:$B$1448,$B534,Compta!$C$1:$C$1448,"2026"),0))</f>
        <v>0</v>
      </c>
      <c r="G534" t="s">
        <v>274</v>
      </c>
      <c r="H534" t="s">
        <v>274</v>
      </c>
      <c r="I534" t="s">
        <v>274</v>
      </c>
      <c r="J534" t="s">
        <v>274</v>
      </c>
      <c r="K534" t="s">
        <v>274</v>
      </c>
      <c r="L534" t="s">
        <v>274</v>
      </c>
      <c r="M534" t="s">
        <v>274</v>
      </c>
      <c r="N534" t="e">
        <f t="shared" si="1"/>
        <v>#VALUE!</v>
      </c>
      <c r="O534" t="e">
        <f t="shared" si="2"/>
        <v>#VALUE!</v>
      </c>
      <c r="P534">
        <f>IF($A534="","",IF($E534=1,$F534*$O534,PNL!G534))</f>
        <v>580167</v>
      </c>
      <c r="T534">
        <f t="shared" si="3"/>
        <v>0</v>
      </c>
    </row>
    <row r="535" ht="14.25" customHeight="1">
      <c r="A535" t="str">
        <f>IF(PNL!A535="","",PNL!A535)</f>
        <v>GRP</v>
      </c>
      <c r="B535" t="str">
        <f>IF(PNL!B535="","",PNL!B535)</f>
        <v>6236</v>
      </c>
      <c r="C535" t="str">
        <f>IF(PNL!C535="","",PNL!C535)</f>
        <v>2026</v>
      </c>
      <c r="D535" t="str">
        <f>IF(PNL!D535="","",PNL!D535)</f>
        <v>ACT</v>
      </c>
      <c r="E535">
        <f t="shared" si="0"/>
        <v>0</v>
      </c>
      <c r="F535">
        <f>IF($A535="","",IF($E535=1,_xlfn.SUMIFS(Compta!$F$1:$F$1448,Compta!$A$1:$A$1448,$A535,Compta!$B$1:$B$1448,$B535,Compta!$C$1:$C$1448,"2026"),0))</f>
        <v>0</v>
      </c>
      <c r="G535" t="s">
        <v>274</v>
      </c>
      <c r="H535" t="s">
        <v>274</v>
      </c>
      <c r="I535" t="s">
        <v>274</v>
      </c>
      <c r="J535" t="s">
        <v>274</v>
      </c>
      <c r="K535" t="s">
        <v>274</v>
      </c>
      <c r="L535" t="s">
        <v>274</v>
      </c>
      <c r="M535" t="s">
        <v>274</v>
      </c>
      <c r="N535" t="e">
        <f t="shared" si="1"/>
        <v>#VALUE!</v>
      </c>
      <c r="O535" t="e">
        <f t="shared" si="2"/>
        <v>#VALUE!</v>
      </c>
      <c r="P535">
        <f>IF($A535="","",IF($E535=1,$F535*$O535,PNL!G535))</f>
        <v>676344</v>
      </c>
      <c r="T535">
        <f t="shared" si="3"/>
        <v>0</v>
      </c>
    </row>
    <row r="536" ht="14.25" customHeight="1">
      <c r="A536" t="str">
        <f>IF(PNL!A536="","",PNL!A536)</f>
        <v>MBWAY_PAR</v>
      </c>
      <c r="B536" t="str">
        <f>IF(PNL!B536="","",PNL!B536)</f>
        <v>625</v>
      </c>
      <c r="C536" t="str">
        <f>IF(PNL!C536="","",PNL!C536)</f>
        <v>2024</v>
      </c>
      <c r="D536" t="str">
        <f>IF(PNL!D536="","",PNL!D536)</f>
        <v>ACT</v>
      </c>
      <c r="E536">
        <f t="shared" si="0"/>
        <v>0</v>
      </c>
      <c r="F536">
        <f>IF($A536="","",IF($E536=1,_xlfn.SUMIFS(Compta!$F$1:$F$1448,Compta!$A$1:$A$1448,$A536,Compta!$B$1:$B$1448,$B536,Compta!$C$1:$C$1448,"2026"),0))</f>
        <v>0</v>
      </c>
      <c r="G536" t="s">
        <v>274</v>
      </c>
      <c r="H536" t="s">
        <v>274</v>
      </c>
      <c r="I536" t="s">
        <v>274</v>
      </c>
      <c r="J536" t="s">
        <v>274</v>
      </c>
      <c r="K536" t="s">
        <v>274</v>
      </c>
      <c r="L536" t="s">
        <v>274</v>
      </c>
      <c r="M536" t="s">
        <v>274</v>
      </c>
      <c r="N536" t="e">
        <f t="shared" si="1"/>
        <v>#VALUE!</v>
      </c>
      <c r="O536" t="e">
        <f t="shared" si="2"/>
        <v>#VALUE!</v>
      </c>
      <c r="P536">
        <f>IF($A536="","",IF($E536=1,$F536*$O536,PNL!G536))</f>
        <v>53145</v>
      </c>
      <c r="T536">
        <f t="shared" si="3"/>
        <v>0</v>
      </c>
    </row>
    <row r="537" ht="14.25" customHeight="1">
      <c r="A537" t="str">
        <f>IF(PNL!A537="","",PNL!A537)</f>
        <v>MBWAY_LYO</v>
      </c>
      <c r="B537" t="str">
        <f>IF(PNL!B537="","",PNL!B537)</f>
        <v>625</v>
      </c>
      <c r="C537" t="str">
        <f>IF(PNL!C537="","",PNL!C537)</f>
        <v>2024</v>
      </c>
      <c r="D537" t="str">
        <f>IF(PNL!D537="","",PNL!D537)</f>
        <v>ACT</v>
      </c>
      <c r="E537">
        <f t="shared" si="0"/>
        <v>0</v>
      </c>
      <c r="F537">
        <f>IF($A537="","",IF($E537=1,_xlfn.SUMIFS(Compta!$F$1:$F$1448,Compta!$A$1:$A$1448,$A537,Compta!$B$1:$B$1448,$B537,Compta!$C$1:$C$1448,"2026"),0))</f>
        <v>0</v>
      </c>
      <c r="G537" t="s">
        <v>274</v>
      </c>
      <c r="H537" t="s">
        <v>274</v>
      </c>
      <c r="I537" t="s">
        <v>274</v>
      </c>
      <c r="J537" t="s">
        <v>274</v>
      </c>
      <c r="K537" t="s">
        <v>274</v>
      </c>
      <c r="L537" t="s">
        <v>274</v>
      </c>
      <c r="M537" t="s">
        <v>274</v>
      </c>
      <c r="N537" t="e">
        <f t="shared" si="1"/>
        <v>#VALUE!</v>
      </c>
      <c r="O537" t="e">
        <f t="shared" si="2"/>
        <v>#VALUE!</v>
      </c>
      <c r="P537">
        <f>IF($A537="","",IF($E537=1,$F537*$O537,PNL!G537))</f>
        <v>31164</v>
      </c>
      <c r="T537">
        <f t="shared" si="3"/>
        <v>0</v>
      </c>
    </row>
    <row r="538" ht="14.25" customHeight="1">
      <c r="A538" t="str">
        <f>IF(PNL!A538="","",PNL!A538)</f>
        <v>MBWAY_NAN</v>
      </c>
      <c r="B538" t="str">
        <f>IF(PNL!B538="","",PNL!B538)</f>
        <v>625</v>
      </c>
      <c r="C538" t="str">
        <f>IF(PNL!C538="","",PNL!C538)</f>
        <v>2024</v>
      </c>
      <c r="D538" t="str">
        <f>IF(PNL!D538="","",PNL!D538)</f>
        <v>ACT</v>
      </c>
      <c r="E538">
        <f t="shared" si="0"/>
        <v>0</v>
      </c>
      <c r="F538">
        <f>IF($A538="","",IF($E538=1,_xlfn.SUMIFS(Compta!$F$1:$F$1448,Compta!$A$1:$A$1448,$A538,Compta!$B$1:$B$1448,$B538,Compta!$C$1:$C$1448,"2026"),0))</f>
        <v>0</v>
      </c>
      <c r="G538" t="s">
        <v>274</v>
      </c>
      <c r="H538" t="s">
        <v>274</v>
      </c>
      <c r="I538" t="s">
        <v>274</v>
      </c>
      <c r="J538" t="s">
        <v>274</v>
      </c>
      <c r="K538" t="s">
        <v>274</v>
      </c>
      <c r="L538" t="s">
        <v>274</v>
      </c>
      <c r="M538" t="s">
        <v>274</v>
      </c>
      <c r="N538" t="e">
        <f t="shared" si="1"/>
        <v>#VALUE!</v>
      </c>
      <c r="O538" t="e">
        <f t="shared" si="2"/>
        <v>#VALUE!</v>
      </c>
      <c r="P538">
        <f>IF($A538="","",IF($E538=1,$F538*$O538,PNL!G538))</f>
        <v>25248</v>
      </c>
      <c r="T538">
        <f t="shared" si="3"/>
        <v>0</v>
      </c>
    </row>
    <row r="539" ht="14.25" customHeight="1">
      <c r="A539" t="str">
        <f>IF(PNL!A539="","",PNL!A539)</f>
        <v>MBWAY_BOR</v>
      </c>
      <c r="B539" t="str">
        <f>IF(PNL!B539="","",PNL!B539)</f>
        <v>625</v>
      </c>
      <c r="C539" t="str">
        <f>IF(PNL!C539="","",PNL!C539)</f>
        <v>2024</v>
      </c>
      <c r="D539" t="str">
        <f>IF(PNL!D539="","",PNL!D539)</f>
        <v>ACT</v>
      </c>
      <c r="E539">
        <f t="shared" si="0"/>
        <v>0</v>
      </c>
      <c r="F539">
        <f>IF($A539="","",IF($E539=1,_xlfn.SUMIFS(Compta!$F$1:$F$1448,Compta!$A$1:$A$1448,$A539,Compta!$B$1:$B$1448,$B539,Compta!$C$1:$C$1448,"2026"),0))</f>
        <v>0</v>
      </c>
      <c r="G539" t="s">
        <v>274</v>
      </c>
      <c r="H539" t="s">
        <v>274</v>
      </c>
      <c r="I539" t="s">
        <v>274</v>
      </c>
      <c r="J539" t="s">
        <v>274</v>
      </c>
      <c r="K539" t="s">
        <v>274</v>
      </c>
      <c r="L539" t="s">
        <v>274</v>
      </c>
      <c r="M539" t="s">
        <v>274</v>
      </c>
      <c r="N539" t="e">
        <f t="shared" si="1"/>
        <v>#VALUE!</v>
      </c>
      <c r="O539" t="e">
        <f t="shared" si="2"/>
        <v>#VALUE!</v>
      </c>
      <c r="P539">
        <f>IF($A539="","",IF($E539=1,$F539*$O539,PNL!G539))</f>
        <v>22453</v>
      </c>
      <c r="T539">
        <f t="shared" si="3"/>
        <v>0</v>
      </c>
    </row>
    <row r="540" ht="14.25" customHeight="1">
      <c r="A540" t="str">
        <f>IF(PNL!A540="","",PNL!A540)</f>
        <v>ISCOM_PAR</v>
      </c>
      <c r="B540" t="str">
        <f>IF(PNL!B540="","",PNL!B540)</f>
        <v>625</v>
      </c>
      <c r="C540" t="str">
        <f>IF(PNL!C540="","",PNL!C540)</f>
        <v>2024</v>
      </c>
      <c r="D540" t="str">
        <f>IF(PNL!D540="","",PNL!D540)</f>
        <v>ACT</v>
      </c>
      <c r="E540">
        <f t="shared" si="0"/>
        <v>0</v>
      </c>
      <c r="F540">
        <f>IF($A540="","",IF($E540=1,_xlfn.SUMIFS(Compta!$F$1:$F$1448,Compta!$A$1:$A$1448,$A540,Compta!$B$1:$B$1448,$B540,Compta!$C$1:$C$1448,"2026"),0))</f>
        <v>0</v>
      </c>
      <c r="G540" t="s">
        <v>274</v>
      </c>
      <c r="H540" t="s">
        <v>274</v>
      </c>
      <c r="I540" t="s">
        <v>274</v>
      </c>
      <c r="J540" t="s">
        <v>274</v>
      </c>
      <c r="K540" t="s">
        <v>274</v>
      </c>
      <c r="L540" t="s">
        <v>274</v>
      </c>
      <c r="M540" t="s">
        <v>274</v>
      </c>
      <c r="N540" t="e">
        <f t="shared" si="1"/>
        <v>#VALUE!</v>
      </c>
      <c r="O540" t="e">
        <f t="shared" si="2"/>
        <v>#VALUE!</v>
      </c>
      <c r="P540">
        <f>IF($A540="","",IF($E540=1,$F540*$O540,PNL!G540))</f>
        <v>49250</v>
      </c>
      <c r="T540">
        <f t="shared" si="3"/>
        <v>0</v>
      </c>
    </row>
    <row r="541" ht="14.25" customHeight="1">
      <c r="A541" t="str">
        <f>IF(PNL!A541="","",PNL!A541)</f>
        <v>ISCOM_LIL</v>
      </c>
      <c r="B541" t="str">
        <f>IF(PNL!B541="","",PNL!B541)</f>
        <v>625</v>
      </c>
      <c r="C541" t="str">
        <f>IF(PNL!C541="","",PNL!C541)</f>
        <v>2024</v>
      </c>
      <c r="D541" t="str">
        <f>IF(PNL!D541="","",PNL!D541)</f>
        <v>ACT</v>
      </c>
      <c r="E541">
        <f t="shared" si="0"/>
        <v>0</v>
      </c>
      <c r="F541">
        <f>IF($A541="","",IF($E541=1,_xlfn.SUMIFS(Compta!$F$1:$F$1448,Compta!$A$1:$A$1448,$A541,Compta!$B$1:$B$1448,$B541,Compta!$C$1:$C$1448,"2026"),0))</f>
        <v>0</v>
      </c>
      <c r="G541" t="s">
        <v>274</v>
      </c>
      <c r="H541" t="s">
        <v>274</v>
      </c>
      <c r="I541" t="s">
        <v>274</v>
      </c>
      <c r="J541" t="s">
        <v>274</v>
      </c>
      <c r="K541" t="s">
        <v>274</v>
      </c>
      <c r="L541" t="s">
        <v>274</v>
      </c>
      <c r="M541" t="s">
        <v>274</v>
      </c>
      <c r="N541" t="e">
        <f t="shared" si="1"/>
        <v>#VALUE!</v>
      </c>
      <c r="O541" t="e">
        <f t="shared" si="2"/>
        <v>#VALUE!</v>
      </c>
      <c r="P541">
        <f>IF($A541="","",IF($E541=1,$F541*$O541,PNL!G541))</f>
        <v>19278</v>
      </c>
      <c r="T541">
        <f t="shared" si="3"/>
        <v>0</v>
      </c>
    </row>
    <row r="542" ht="14.25" customHeight="1">
      <c r="A542" t="str">
        <f>IF(PNL!A542="","",PNL!A542)</f>
        <v>ISCOM_TLS</v>
      </c>
      <c r="B542" t="str">
        <f>IF(PNL!B542="","",PNL!B542)</f>
        <v>625</v>
      </c>
      <c r="C542" t="str">
        <f>IF(PNL!C542="","",PNL!C542)</f>
        <v>2024</v>
      </c>
      <c r="D542" t="str">
        <f>IF(PNL!D542="","",PNL!D542)</f>
        <v>ACT</v>
      </c>
      <c r="E542">
        <f t="shared" si="0"/>
        <v>0</v>
      </c>
      <c r="F542">
        <f>IF($A542="","",IF($E542=1,_xlfn.SUMIFS(Compta!$F$1:$F$1448,Compta!$A$1:$A$1448,$A542,Compta!$B$1:$B$1448,$B542,Compta!$C$1:$C$1448,"2026"),0))</f>
        <v>0</v>
      </c>
      <c r="G542" t="s">
        <v>274</v>
      </c>
      <c r="H542" t="s">
        <v>274</v>
      </c>
      <c r="I542" t="s">
        <v>274</v>
      </c>
      <c r="J542" t="s">
        <v>274</v>
      </c>
      <c r="K542" t="s">
        <v>274</v>
      </c>
      <c r="L542" t="s">
        <v>274</v>
      </c>
      <c r="M542" t="s">
        <v>274</v>
      </c>
      <c r="N542" t="e">
        <f t="shared" si="1"/>
        <v>#VALUE!</v>
      </c>
      <c r="O542" t="e">
        <f t="shared" si="2"/>
        <v>#VALUE!</v>
      </c>
      <c r="P542">
        <f>IF($A542="","",IF($E542=1,$F542*$O542,PNL!G542))</f>
        <v>17854</v>
      </c>
      <c r="T542">
        <f t="shared" si="3"/>
        <v>0</v>
      </c>
    </row>
    <row r="543" ht="14.25" customHeight="1">
      <c r="A543" t="str">
        <f>IF(PNL!A543="","",PNL!A543)</f>
        <v>IPAC_NAN</v>
      </c>
      <c r="B543" t="str">
        <f>IF(PNL!B543="","",PNL!B543)</f>
        <v>625</v>
      </c>
      <c r="C543" t="str">
        <f>IF(PNL!C543="","",PNL!C543)</f>
        <v>2024</v>
      </c>
      <c r="D543" t="str">
        <f>IF(PNL!D543="","",PNL!D543)</f>
        <v>ACT</v>
      </c>
      <c r="E543">
        <f t="shared" si="0"/>
        <v>0</v>
      </c>
      <c r="F543">
        <f>IF($A543="","",IF($E543=1,_xlfn.SUMIFS(Compta!$F$1:$F$1448,Compta!$A$1:$A$1448,$A543,Compta!$B$1:$B$1448,$B543,Compta!$C$1:$C$1448,"2026"),0))</f>
        <v>0</v>
      </c>
      <c r="G543" t="s">
        <v>274</v>
      </c>
      <c r="H543" t="s">
        <v>274</v>
      </c>
      <c r="I543" t="s">
        <v>274</v>
      </c>
      <c r="J543" t="s">
        <v>274</v>
      </c>
      <c r="K543" t="s">
        <v>274</v>
      </c>
      <c r="L543" t="s">
        <v>274</v>
      </c>
      <c r="M543" t="s">
        <v>274</v>
      </c>
      <c r="N543" t="e">
        <f t="shared" si="1"/>
        <v>#VALUE!</v>
      </c>
      <c r="O543" t="e">
        <f t="shared" si="2"/>
        <v>#VALUE!</v>
      </c>
      <c r="P543">
        <f>IF($A543="","",IF($E543=1,$F543*$O543,PNL!G543))</f>
        <v>12452</v>
      </c>
      <c r="T543">
        <f t="shared" si="3"/>
        <v>0</v>
      </c>
    </row>
    <row r="544" ht="14.25" customHeight="1">
      <c r="A544" t="str">
        <f>IF(PNL!A544="","",PNL!A544)</f>
        <v>IPAC_REN</v>
      </c>
      <c r="B544" t="str">
        <f>IF(PNL!B544="","",PNL!B544)</f>
        <v>625</v>
      </c>
      <c r="C544" t="str">
        <f>IF(PNL!C544="","",PNL!C544)</f>
        <v>2024</v>
      </c>
      <c r="D544" t="str">
        <f>IF(PNL!D544="","",PNL!D544)</f>
        <v>ACT</v>
      </c>
      <c r="E544">
        <f t="shared" si="0"/>
        <v>0</v>
      </c>
      <c r="F544">
        <f>IF($A544="","",IF($E544=1,_xlfn.SUMIFS(Compta!$F$1:$F$1448,Compta!$A$1:$A$1448,$A544,Compta!$B$1:$B$1448,$B544,Compta!$C$1:$C$1448,"2026"),0))</f>
        <v>0</v>
      </c>
      <c r="G544" t="s">
        <v>274</v>
      </c>
      <c r="H544" t="s">
        <v>274</v>
      </c>
      <c r="I544" t="s">
        <v>274</v>
      </c>
      <c r="J544" t="s">
        <v>274</v>
      </c>
      <c r="K544" t="s">
        <v>274</v>
      </c>
      <c r="L544" t="s">
        <v>274</v>
      </c>
      <c r="M544" t="s">
        <v>274</v>
      </c>
      <c r="N544" t="e">
        <f t="shared" si="1"/>
        <v>#VALUE!</v>
      </c>
      <c r="O544" t="e">
        <f t="shared" si="2"/>
        <v>#VALUE!</v>
      </c>
      <c r="P544">
        <f>IF($A544="","",IF($E544=1,$F544*$O544,PNL!G544))</f>
        <v>8842</v>
      </c>
      <c r="T544">
        <f t="shared" si="3"/>
        <v>0</v>
      </c>
    </row>
    <row r="545" ht="14.25" customHeight="1">
      <c r="A545" t="str">
        <f>IF(PNL!A545="","",PNL!A545)</f>
        <v>IPAC_MTP</v>
      </c>
      <c r="B545" t="str">
        <f>IF(PNL!B545="","",PNL!B545)</f>
        <v>625</v>
      </c>
      <c r="C545" t="str">
        <f>IF(PNL!C545="","",PNL!C545)</f>
        <v>2024</v>
      </c>
      <c r="D545" t="str">
        <f>IF(PNL!D545="","",PNL!D545)</f>
        <v>ACT</v>
      </c>
      <c r="E545">
        <f t="shared" si="0"/>
        <v>0</v>
      </c>
      <c r="F545">
        <f>IF($A545="","",IF($E545=1,_xlfn.SUMIFS(Compta!$F$1:$F$1448,Compta!$A$1:$A$1448,$A545,Compta!$B$1:$B$1448,$B545,Compta!$C$1:$C$1448,"2026"),0))</f>
        <v>0</v>
      </c>
      <c r="G545" t="s">
        <v>274</v>
      </c>
      <c r="H545" t="s">
        <v>274</v>
      </c>
      <c r="I545" t="s">
        <v>274</v>
      </c>
      <c r="J545" t="s">
        <v>274</v>
      </c>
      <c r="K545" t="s">
        <v>274</v>
      </c>
      <c r="L545" t="s">
        <v>274</v>
      </c>
      <c r="M545" t="s">
        <v>274</v>
      </c>
      <c r="N545" t="e">
        <f t="shared" si="1"/>
        <v>#VALUE!</v>
      </c>
      <c r="O545" t="e">
        <f t="shared" si="2"/>
        <v>#VALUE!</v>
      </c>
      <c r="P545">
        <f>IF($A545="","",IF($E545=1,$F545*$O545,PNL!G545))</f>
        <v>8842</v>
      </c>
      <c r="T545">
        <f t="shared" si="3"/>
        <v>0</v>
      </c>
    </row>
    <row r="546" ht="14.25" customHeight="1">
      <c r="A546" t="str">
        <f>IF(PNL!A546="","",PNL!A546)</f>
        <v>PIGIER_LYO</v>
      </c>
      <c r="B546" t="str">
        <f>IF(PNL!B546="","",PNL!B546)</f>
        <v>625</v>
      </c>
      <c r="C546" t="str">
        <f>IF(PNL!C546="","",PNL!C546)</f>
        <v>2024</v>
      </c>
      <c r="D546" t="str">
        <f>IF(PNL!D546="","",PNL!D546)</f>
        <v>ACT</v>
      </c>
      <c r="E546">
        <f t="shared" si="0"/>
        <v>0</v>
      </c>
      <c r="F546">
        <f>IF($A546="","",IF($E546=1,_xlfn.SUMIFS(Compta!$F$1:$F$1448,Compta!$A$1:$A$1448,$A546,Compta!$B$1:$B$1448,$B546,Compta!$C$1:$C$1448,"2026"),0))</f>
        <v>0</v>
      </c>
      <c r="G546" t="s">
        <v>274</v>
      </c>
      <c r="H546" t="s">
        <v>274</v>
      </c>
      <c r="I546" t="s">
        <v>274</v>
      </c>
      <c r="J546" t="s">
        <v>274</v>
      </c>
      <c r="K546" t="s">
        <v>274</v>
      </c>
      <c r="L546" t="s">
        <v>274</v>
      </c>
      <c r="M546" t="s">
        <v>274</v>
      </c>
      <c r="N546" t="e">
        <f t="shared" si="1"/>
        <v>#VALUE!</v>
      </c>
      <c r="O546" t="e">
        <f t="shared" si="2"/>
        <v>#VALUE!</v>
      </c>
      <c r="P546">
        <f>IF($A546="","",IF($E546=1,$F546*$O546,PNL!G546))</f>
        <v>17506</v>
      </c>
      <c r="T546">
        <f t="shared" si="3"/>
        <v>0</v>
      </c>
    </row>
    <row r="547" ht="14.25" customHeight="1">
      <c r="A547" t="str">
        <f>IF(PNL!A547="","",PNL!A547)</f>
        <v>PIGIER_BOR</v>
      </c>
      <c r="B547" t="str">
        <f>IF(PNL!B547="","",PNL!B547)</f>
        <v>625</v>
      </c>
      <c r="C547" t="str">
        <f>IF(PNL!C547="","",PNL!C547)</f>
        <v>2024</v>
      </c>
      <c r="D547" t="str">
        <f>IF(PNL!D547="","",PNL!D547)</f>
        <v>ACT</v>
      </c>
      <c r="E547">
        <f t="shared" si="0"/>
        <v>0</v>
      </c>
      <c r="F547">
        <f>IF($A547="","",IF($E547=1,_xlfn.SUMIFS(Compta!$F$1:$F$1448,Compta!$A$1:$A$1448,$A547,Compta!$B$1:$B$1448,$B547,Compta!$C$1:$C$1448,"2026"),0))</f>
        <v>0</v>
      </c>
      <c r="G547" t="s">
        <v>274</v>
      </c>
      <c r="H547" t="s">
        <v>274</v>
      </c>
      <c r="I547" t="s">
        <v>274</v>
      </c>
      <c r="J547" t="s">
        <v>274</v>
      </c>
      <c r="K547" t="s">
        <v>274</v>
      </c>
      <c r="L547" t="s">
        <v>274</v>
      </c>
      <c r="M547" t="s">
        <v>274</v>
      </c>
      <c r="N547" t="e">
        <f t="shared" si="1"/>
        <v>#VALUE!</v>
      </c>
      <c r="O547" t="e">
        <f t="shared" si="2"/>
        <v>#VALUE!</v>
      </c>
      <c r="P547">
        <f>IF($A547="","",IF($E547=1,$F547*$O547,PNL!G547))</f>
        <v>12805</v>
      </c>
      <c r="T547">
        <f t="shared" si="3"/>
        <v>0</v>
      </c>
    </row>
    <row r="548" ht="14.25" customHeight="1">
      <c r="A548" t="str">
        <f>IF(PNL!A548="","",PNL!A548)</f>
        <v>TUNON_PAR</v>
      </c>
      <c r="B548" t="str">
        <f>IF(PNL!B548="","",PNL!B548)</f>
        <v>625</v>
      </c>
      <c r="C548" t="str">
        <f>IF(PNL!C548="","",PNL!C548)</f>
        <v>2024</v>
      </c>
      <c r="D548" t="str">
        <f>IF(PNL!D548="","",PNL!D548)</f>
        <v>ACT</v>
      </c>
      <c r="E548">
        <f t="shared" si="0"/>
        <v>0</v>
      </c>
      <c r="F548">
        <f>IF($A548="","",IF($E548=1,_xlfn.SUMIFS(Compta!$F$1:$F$1448,Compta!$A$1:$A$1448,$A548,Compta!$B$1:$B$1448,$B548,Compta!$C$1:$C$1448,"2026"),0))</f>
        <v>0</v>
      </c>
      <c r="G548" t="s">
        <v>274</v>
      </c>
      <c r="H548" t="s">
        <v>274</v>
      </c>
      <c r="I548" t="s">
        <v>274</v>
      </c>
      <c r="J548" t="s">
        <v>274</v>
      </c>
      <c r="K548" t="s">
        <v>274</v>
      </c>
      <c r="L548" t="s">
        <v>274</v>
      </c>
      <c r="M548" t="s">
        <v>274</v>
      </c>
      <c r="N548" t="e">
        <f t="shared" si="1"/>
        <v>#VALUE!</v>
      </c>
      <c r="O548" t="e">
        <f t="shared" si="2"/>
        <v>#VALUE!</v>
      </c>
      <c r="P548">
        <f>IF($A548="","",IF($E548=1,$F548*$O548,PNL!G548))</f>
        <v>19199</v>
      </c>
      <c r="T548">
        <f t="shared" si="3"/>
        <v>0</v>
      </c>
    </row>
    <row r="549" ht="14.25" customHeight="1">
      <c r="A549" t="str">
        <f>IF(PNL!A549="","",PNL!A549)</f>
        <v>TUNON_LYO</v>
      </c>
      <c r="B549" t="str">
        <f>IF(PNL!B549="","",PNL!B549)</f>
        <v>625</v>
      </c>
      <c r="C549" t="str">
        <f>IF(PNL!C549="","",PNL!C549)</f>
        <v>2024</v>
      </c>
      <c r="D549" t="str">
        <f>IF(PNL!D549="","",PNL!D549)</f>
        <v>ACT</v>
      </c>
      <c r="E549">
        <f t="shared" si="0"/>
        <v>0</v>
      </c>
      <c r="F549">
        <f>IF($A549="","",IF($E549=1,_xlfn.SUMIFS(Compta!$F$1:$F$1448,Compta!$A$1:$A$1448,$A549,Compta!$B$1:$B$1448,$B549,Compta!$C$1:$C$1448,"2026"),0))</f>
        <v>0</v>
      </c>
      <c r="G549" t="s">
        <v>274</v>
      </c>
      <c r="H549" t="s">
        <v>274</v>
      </c>
      <c r="I549" t="s">
        <v>274</v>
      </c>
      <c r="J549" t="s">
        <v>274</v>
      </c>
      <c r="K549" t="s">
        <v>274</v>
      </c>
      <c r="L549" t="s">
        <v>274</v>
      </c>
      <c r="M549" t="s">
        <v>274</v>
      </c>
      <c r="N549" t="e">
        <f t="shared" si="1"/>
        <v>#VALUE!</v>
      </c>
      <c r="O549" t="e">
        <f t="shared" si="2"/>
        <v>#VALUE!</v>
      </c>
      <c r="P549">
        <f>IF($A549="","",IF($E549=1,$F549*$O549,PNL!G549))</f>
        <v>11254</v>
      </c>
      <c r="T549">
        <f t="shared" si="3"/>
        <v>0</v>
      </c>
    </row>
    <row r="550" ht="14.25" customHeight="1">
      <c r="A550" t="str">
        <f>IF(PNL!A550="","",PNL!A550)</f>
        <v>MBWAY_PAR</v>
      </c>
      <c r="B550" t="str">
        <f>IF(PNL!B550="","",PNL!B550)</f>
        <v>625</v>
      </c>
      <c r="C550" t="str">
        <f>IF(PNL!C550="","",PNL!C550)</f>
        <v>2025</v>
      </c>
      <c r="D550" t="str">
        <f>IF(PNL!D550="","",PNL!D550)</f>
        <v>ACT</v>
      </c>
      <c r="E550">
        <f t="shared" si="0"/>
        <v>0</v>
      </c>
      <c r="F550">
        <f>IF($A550="","",IF($E550=1,_xlfn.SUMIFS(Compta!$F$1:$F$1448,Compta!$A$1:$A$1448,$A550,Compta!$B$1:$B$1448,$B550,Compta!$C$1:$C$1448,"2026"),0))</f>
        <v>0</v>
      </c>
      <c r="G550" t="s">
        <v>274</v>
      </c>
      <c r="H550" t="s">
        <v>274</v>
      </c>
      <c r="I550" t="s">
        <v>274</v>
      </c>
      <c r="J550" t="s">
        <v>274</v>
      </c>
      <c r="K550" t="s">
        <v>274</v>
      </c>
      <c r="L550" t="s">
        <v>274</v>
      </c>
      <c r="M550" t="s">
        <v>274</v>
      </c>
      <c r="N550" t="e">
        <f t="shared" si="1"/>
        <v>#VALUE!</v>
      </c>
      <c r="O550" t="e">
        <f t="shared" si="2"/>
        <v>#VALUE!</v>
      </c>
      <c r="P550">
        <f>IF($A550="","",IF($E550=1,$F550*$O550,PNL!G550))</f>
        <v>55581</v>
      </c>
      <c r="T550">
        <f t="shared" si="3"/>
        <v>0</v>
      </c>
    </row>
    <row r="551" ht="14.25" customHeight="1">
      <c r="A551" t="str">
        <f>IF(PNL!A551="","",PNL!A551)</f>
        <v>MBWAY_LYO</v>
      </c>
      <c r="B551" t="str">
        <f>IF(PNL!B551="","",PNL!B551)</f>
        <v>625</v>
      </c>
      <c r="C551" t="str">
        <f>IF(PNL!C551="","",PNL!C551)</f>
        <v>2025</v>
      </c>
      <c r="D551" t="str">
        <f>IF(PNL!D551="","",PNL!D551)</f>
        <v>ACT</v>
      </c>
      <c r="E551">
        <f t="shared" si="0"/>
        <v>0</v>
      </c>
      <c r="F551">
        <f>IF($A551="","",IF($E551=1,_xlfn.SUMIFS(Compta!$F$1:$F$1448,Compta!$A$1:$A$1448,$A551,Compta!$B$1:$B$1448,$B551,Compta!$C$1:$C$1448,"2026"),0))</f>
        <v>0</v>
      </c>
      <c r="G551" t="s">
        <v>274</v>
      </c>
      <c r="H551" t="s">
        <v>274</v>
      </c>
      <c r="I551" t="s">
        <v>274</v>
      </c>
      <c r="J551" t="s">
        <v>274</v>
      </c>
      <c r="K551" t="s">
        <v>274</v>
      </c>
      <c r="L551" t="s">
        <v>274</v>
      </c>
      <c r="M551" t="s">
        <v>274</v>
      </c>
      <c r="N551" t="e">
        <f t="shared" si="1"/>
        <v>#VALUE!</v>
      </c>
      <c r="O551" t="e">
        <f t="shared" si="2"/>
        <v>#VALUE!</v>
      </c>
      <c r="P551">
        <f>IF($A551="","",IF($E551=1,$F551*$O551,PNL!G551))</f>
        <v>32592</v>
      </c>
      <c r="T551">
        <f t="shared" si="3"/>
        <v>0</v>
      </c>
    </row>
    <row r="552" ht="14.25" customHeight="1">
      <c r="A552" t="str">
        <f>IF(PNL!A552="","",PNL!A552)</f>
        <v>MBWAY_NAN</v>
      </c>
      <c r="B552" t="str">
        <f>IF(PNL!B552="","",PNL!B552)</f>
        <v>625</v>
      </c>
      <c r="C552" t="str">
        <f>IF(PNL!C552="","",PNL!C552)</f>
        <v>2025</v>
      </c>
      <c r="D552" t="str">
        <f>IF(PNL!D552="","",PNL!D552)</f>
        <v>ACT</v>
      </c>
      <c r="E552">
        <f t="shared" si="0"/>
        <v>0</v>
      </c>
      <c r="F552">
        <f>IF($A552="","",IF($E552=1,_xlfn.SUMIFS(Compta!$F$1:$F$1448,Compta!$A$1:$A$1448,$A552,Compta!$B$1:$B$1448,$B552,Compta!$C$1:$C$1448,"2026"),0))</f>
        <v>0</v>
      </c>
      <c r="G552" t="s">
        <v>274</v>
      </c>
      <c r="H552" t="s">
        <v>274</v>
      </c>
      <c r="I552" t="s">
        <v>274</v>
      </c>
      <c r="J552" t="s">
        <v>274</v>
      </c>
      <c r="K552" t="s">
        <v>274</v>
      </c>
      <c r="L552" t="s">
        <v>274</v>
      </c>
      <c r="M552" t="s">
        <v>274</v>
      </c>
      <c r="N552" t="e">
        <f t="shared" si="1"/>
        <v>#VALUE!</v>
      </c>
      <c r="O552" t="e">
        <f t="shared" si="2"/>
        <v>#VALUE!</v>
      </c>
      <c r="P552">
        <f>IF($A552="","",IF($E552=1,$F552*$O552,PNL!G552))</f>
        <v>26405</v>
      </c>
      <c r="T552">
        <f t="shared" si="3"/>
        <v>0</v>
      </c>
    </row>
    <row r="553" ht="14.25" customHeight="1">
      <c r="A553" t="str">
        <f>IF(PNL!A553="","",PNL!A553)</f>
        <v>MBWAY_BOR</v>
      </c>
      <c r="B553" t="str">
        <f>IF(PNL!B553="","",PNL!B553)</f>
        <v>625</v>
      </c>
      <c r="C553" t="str">
        <f>IF(PNL!C553="","",PNL!C553)</f>
        <v>2025</v>
      </c>
      <c r="D553" t="str">
        <f>IF(PNL!D553="","",PNL!D553)</f>
        <v>ACT</v>
      </c>
      <c r="E553">
        <f t="shared" si="0"/>
        <v>0</v>
      </c>
      <c r="F553">
        <f>IF($A553="","",IF($E553=1,_xlfn.SUMIFS(Compta!$F$1:$F$1448,Compta!$A$1:$A$1448,$A553,Compta!$B$1:$B$1448,$B553,Compta!$C$1:$C$1448,"2026"),0))</f>
        <v>0</v>
      </c>
      <c r="G553" t="s">
        <v>274</v>
      </c>
      <c r="H553" t="s">
        <v>274</v>
      </c>
      <c r="I553" t="s">
        <v>274</v>
      </c>
      <c r="J553" t="s">
        <v>274</v>
      </c>
      <c r="K553" t="s">
        <v>274</v>
      </c>
      <c r="L553" t="s">
        <v>274</v>
      </c>
      <c r="M553" t="s">
        <v>274</v>
      </c>
      <c r="N553" t="e">
        <f t="shared" si="1"/>
        <v>#VALUE!</v>
      </c>
      <c r="O553" t="e">
        <f t="shared" si="2"/>
        <v>#VALUE!</v>
      </c>
      <c r="P553">
        <f>IF($A553="","",IF($E553=1,$F553*$O553,PNL!G553))</f>
        <v>23482</v>
      </c>
      <c r="T553">
        <f t="shared" si="3"/>
        <v>0</v>
      </c>
    </row>
    <row r="554" ht="14.25" customHeight="1">
      <c r="A554" t="str">
        <f>IF(PNL!A554="","",PNL!A554)</f>
        <v>ISCOM_PAR</v>
      </c>
      <c r="B554" t="str">
        <f>IF(PNL!B554="","",PNL!B554)</f>
        <v>625</v>
      </c>
      <c r="C554" t="str">
        <f>IF(PNL!C554="","",PNL!C554)</f>
        <v>2025</v>
      </c>
      <c r="D554" t="str">
        <f>IF(PNL!D554="","",PNL!D554)</f>
        <v>ACT</v>
      </c>
      <c r="E554">
        <f t="shared" si="0"/>
        <v>0</v>
      </c>
      <c r="F554">
        <f>IF($A554="","",IF($E554=1,_xlfn.SUMIFS(Compta!$F$1:$F$1448,Compta!$A$1:$A$1448,$A554,Compta!$B$1:$B$1448,$B554,Compta!$C$1:$C$1448,"2026"),0))</f>
        <v>0</v>
      </c>
      <c r="G554" t="s">
        <v>274</v>
      </c>
      <c r="H554" t="s">
        <v>274</v>
      </c>
      <c r="I554" t="s">
        <v>274</v>
      </c>
      <c r="J554" t="s">
        <v>274</v>
      </c>
      <c r="K554" t="s">
        <v>274</v>
      </c>
      <c r="L554" t="s">
        <v>274</v>
      </c>
      <c r="M554" t="s">
        <v>274</v>
      </c>
      <c r="N554" t="e">
        <f t="shared" si="1"/>
        <v>#VALUE!</v>
      </c>
      <c r="O554" t="e">
        <f t="shared" si="2"/>
        <v>#VALUE!</v>
      </c>
      <c r="P554">
        <f>IF($A554="","",IF($E554=1,$F554*$O554,PNL!G554))</f>
        <v>51507</v>
      </c>
      <c r="T554">
        <f t="shared" si="3"/>
        <v>0</v>
      </c>
    </row>
    <row r="555" ht="14.25" customHeight="1">
      <c r="A555" t="str">
        <f>IF(PNL!A555="","",PNL!A555)</f>
        <v>ISCOM_LIL</v>
      </c>
      <c r="B555" t="str">
        <f>IF(PNL!B555="","",PNL!B555)</f>
        <v>625</v>
      </c>
      <c r="C555" t="str">
        <f>IF(PNL!C555="","",PNL!C555)</f>
        <v>2025</v>
      </c>
      <c r="D555" t="str">
        <f>IF(PNL!D555="","",PNL!D555)</f>
        <v>ACT</v>
      </c>
      <c r="E555">
        <f t="shared" si="0"/>
        <v>0</v>
      </c>
      <c r="F555">
        <f>IF($A555="","",IF($E555=1,_xlfn.SUMIFS(Compta!$F$1:$F$1448,Compta!$A$1:$A$1448,$A555,Compta!$B$1:$B$1448,$B555,Compta!$C$1:$C$1448,"2026"),0))</f>
        <v>0</v>
      </c>
      <c r="G555" t="s">
        <v>274</v>
      </c>
      <c r="H555" t="s">
        <v>274</v>
      </c>
      <c r="I555" t="s">
        <v>274</v>
      </c>
      <c r="J555" t="s">
        <v>274</v>
      </c>
      <c r="K555" t="s">
        <v>274</v>
      </c>
      <c r="L555" t="s">
        <v>274</v>
      </c>
      <c r="M555" t="s">
        <v>274</v>
      </c>
      <c r="N555" t="e">
        <f t="shared" si="1"/>
        <v>#VALUE!</v>
      </c>
      <c r="O555" t="e">
        <f t="shared" si="2"/>
        <v>#VALUE!</v>
      </c>
      <c r="P555">
        <f>IF($A555="","",IF($E555=1,$F555*$O555,PNL!G555))</f>
        <v>20161</v>
      </c>
      <c r="T555">
        <f t="shared" si="3"/>
        <v>0</v>
      </c>
    </row>
    <row r="556" ht="14.25" customHeight="1">
      <c r="A556" t="str">
        <f>IF(PNL!A556="","",PNL!A556)</f>
        <v>ISCOM_TLS</v>
      </c>
      <c r="B556" t="str">
        <f>IF(PNL!B556="","",PNL!B556)</f>
        <v>625</v>
      </c>
      <c r="C556" t="str">
        <f>IF(PNL!C556="","",PNL!C556)</f>
        <v>2025</v>
      </c>
      <c r="D556" t="str">
        <f>IF(PNL!D556="","",PNL!D556)</f>
        <v>ACT</v>
      </c>
      <c r="E556">
        <f t="shared" si="0"/>
        <v>0</v>
      </c>
      <c r="F556">
        <f>IF($A556="","",IF($E556=1,_xlfn.SUMIFS(Compta!$F$1:$F$1448,Compta!$A$1:$A$1448,$A556,Compta!$B$1:$B$1448,$B556,Compta!$C$1:$C$1448,"2026"),0))</f>
        <v>0</v>
      </c>
      <c r="G556" t="s">
        <v>274</v>
      </c>
      <c r="H556" t="s">
        <v>274</v>
      </c>
      <c r="I556" t="s">
        <v>274</v>
      </c>
      <c r="J556" t="s">
        <v>274</v>
      </c>
      <c r="K556" t="s">
        <v>274</v>
      </c>
      <c r="L556" t="s">
        <v>274</v>
      </c>
      <c r="M556" t="s">
        <v>274</v>
      </c>
      <c r="N556" t="e">
        <f t="shared" si="1"/>
        <v>#VALUE!</v>
      </c>
      <c r="O556" t="e">
        <f t="shared" si="2"/>
        <v>#VALUE!</v>
      </c>
      <c r="P556">
        <f>IF($A556="","",IF($E556=1,$F556*$O556,PNL!G556))</f>
        <v>18672</v>
      </c>
      <c r="T556">
        <f t="shared" si="3"/>
        <v>0</v>
      </c>
    </row>
    <row r="557" ht="14.25" customHeight="1">
      <c r="A557" t="str">
        <f>IF(PNL!A557="","",PNL!A557)</f>
        <v>IPAC_NAN</v>
      </c>
      <c r="B557" t="str">
        <f>IF(PNL!B557="","",PNL!B557)</f>
        <v>625</v>
      </c>
      <c r="C557" t="str">
        <f>IF(PNL!C557="","",PNL!C557)</f>
        <v>2025</v>
      </c>
      <c r="D557" t="str">
        <f>IF(PNL!D557="","",PNL!D557)</f>
        <v>ACT</v>
      </c>
      <c r="E557">
        <f t="shared" si="0"/>
        <v>0</v>
      </c>
      <c r="F557">
        <f>IF($A557="","",IF($E557=1,_xlfn.SUMIFS(Compta!$F$1:$F$1448,Compta!$A$1:$A$1448,$A557,Compta!$B$1:$B$1448,$B557,Compta!$C$1:$C$1448,"2026"),0))</f>
        <v>0</v>
      </c>
      <c r="G557" t="s">
        <v>274</v>
      </c>
      <c r="H557" t="s">
        <v>274</v>
      </c>
      <c r="I557" t="s">
        <v>274</v>
      </c>
      <c r="J557" t="s">
        <v>274</v>
      </c>
      <c r="K557" t="s">
        <v>274</v>
      </c>
      <c r="L557" t="s">
        <v>274</v>
      </c>
      <c r="M557" t="s">
        <v>274</v>
      </c>
      <c r="N557" t="e">
        <f t="shared" si="1"/>
        <v>#VALUE!</v>
      </c>
      <c r="O557" t="e">
        <f t="shared" si="2"/>
        <v>#VALUE!</v>
      </c>
      <c r="P557">
        <f>IF($A557="","",IF($E557=1,$F557*$O557,PNL!G557))</f>
        <v>13023</v>
      </c>
      <c r="T557">
        <f t="shared" si="3"/>
        <v>0</v>
      </c>
    </row>
    <row r="558" ht="14.25" customHeight="1">
      <c r="A558" t="str">
        <f>IF(PNL!A558="","",PNL!A558)</f>
        <v>IPAC_REN</v>
      </c>
      <c r="B558" t="str">
        <f>IF(PNL!B558="","",PNL!B558)</f>
        <v>625</v>
      </c>
      <c r="C558" t="str">
        <f>IF(PNL!C558="","",PNL!C558)</f>
        <v>2025</v>
      </c>
      <c r="D558" t="str">
        <f>IF(PNL!D558="","",PNL!D558)</f>
        <v>ACT</v>
      </c>
      <c r="E558">
        <f t="shared" si="0"/>
        <v>0</v>
      </c>
      <c r="F558">
        <f>IF($A558="","",IF($E558=1,_xlfn.SUMIFS(Compta!$F$1:$F$1448,Compta!$A$1:$A$1448,$A558,Compta!$B$1:$B$1448,$B558,Compta!$C$1:$C$1448,"2026"),0))</f>
        <v>0</v>
      </c>
      <c r="G558" t="s">
        <v>274</v>
      </c>
      <c r="H558" t="s">
        <v>274</v>
      </c>
      <c r="I558" t="s">
        <v>274</v>
      </c>
      <c r="J558" t="s">
        <v>274</v>
      </c>
      <c r="K558" t="s">
        <v>274</v>
      </c>
      <c r="L558" t="s">
        <v>274</v>
      </c>
      <c r="M558" t="s">
        <v>274</v>
      </c>
      <c r="N558" t="e">
        <f t="shared" si="1"/>
        <v>#VALUE!</v>
      </c>
      <c r="O558" t="e">
        <f t="shared" si="2"/>
        <v>#VALUE!</v>
      </c>
      <c r="P558">
        <f>IF($A558="","",IF($E558=1,$F558*$O558,PNL!G558))</f>
        <v>9247</v>
      </c>
      <c r="T558">
        <f t="shared" si="3"/>
        <v>0</v>
      </c>
    </row>
    <row r="559" ht="14.25" customHeight="1">
      <c r="A559" t="str">
        <f>IF(PNL!A559="","",PNL!A559)</f>
        <v>IPAC_MTP</v>
      </c>
      <c r="B559" t="str">
        <f>IF(PNL!B559="","",PNL!B559)</f>
        <v>625</v>
      </c>
      <c r="C559" t="str">
        <f>IF(PNL!C559="","",PNL!C559)</f>
        <v>2025</v>
      </c>
      <c r="D559" t="str">
        <f>IF(PNL!D559="","",PNL!D559)</f>
        <v>ACT</v>
      </c>
      <c r="E559">
        <f t="shared" si="0"/>
        <v>0</v>
      </c>
      <c r="F559">
        <f>IF($A559="","",IF($E559=1,_xlfn.SUMIFS(Compta!$F$1:$F$1448,Compta!$A$1:$A$1448,$A559,Compta!$B$1:$B$1448,$B559,Compta!$C$1:$C$1448,"2026"),0))</f>
        <v>0</v>
      </c>
      <c r="G559" t="s">
        <v>274</v>
      </c>
      <c r="H559" t="s">
        <v>274</v>
      </c>
      <c r="I559" t="s">
        <v>274</v>
      </c>
      <c r="J559" t="s">
        <v>274</v>
      </c>
      <c r="K559" t="s">
        <v>274</v>
      </c>
      <c r="L559" t="s">
        <v>274</v>
      </c>
      <c r="M559" t="s">
        <v>274</v>
      </c>
      <c r="N559" t="e">
        <f t="shared" si="1"/>
        <v>#VALUE!</v>
      </c>
      <c r="O559" t="e">
        <f t="shared" si="2"/>
        <v>#VALUE!</v>
      </c>
      <c r="P559">
        <f>IF($A559="","",IF($E559=1,$F559*$O559,PNL!G559))</f>
        <v>9247</v>
      </c>
      <c r="T559">
        <f t="shared" si="3"/>
        <v>0</v>
      </c>
    </row>
    <row r="560" ht="14.25" customHeight="1">
      <c r="A560" t="str">
        <f>IF(PNL!A560="","",PNL!A560)</f>
        <v>PIGIER_LYO</v>
      </c>
      <c r="B560" t="str">
        <f>IF(PNL!B560="","",PNL!B560)</f>
        <v>625</v>
      </c>
      <c r="C560" t="str">
        <f>IF(PNL!C560="","",PNL!C560)</f>
        <v>2025</v>
      </c>
      <c r="D560" t="str">
        <f>IF(PNL!D560="","",PNL!D560)</f>
        <v>ACT</v>
      </c>
      <c r="E560">
        <f t="shared" si="0"/>
        <v>0</v>
      </c>
      <c r="F560">
        <f>IF($A560="","",IF($E560=1,_xlfn.SUMIFS(Compta!$F$1:$F$1448,Compta!$A$1:$A$1448,$A560,Compta!$B$1:$B$1448,$B560,Compta!$C$1:$C$1448,"2026"),0))</f>
        <v>0</v>
      </c>
      <c r="G560" t="s">
        <v>274</v>
      </c>
      <c r="H560" t="s">
        <v>274</v>
      </c>
      <c r="I560" t="s">
        <v>274</v>
      </c>
      <c r="J560" t="s">
        <v>274</v>
      </c>
      <c r="K560" t="s">
        <v>274</v>
      </c>
      <c r="L560" t="s">
        <v>274</v>
      </c>
      <c r="M560" t="s">
        <v>274</v>
      </c>
      <c r="N560" t="e">
        <f t="shared" si="1"/>
        <v>#VALUE!</v>
      </c>
      <c r="O560" t="e">
        <f t="shared" si="2"/>
        <v>#VALUE!</v>
      </c>
      <c r="P560">
        <f>IF($A560="","",IF($E560=1,$F560*$O560,PNL!G560))</f>
        <v>18308</v>
      </c>
      <c r="T560">
        <f t="shared" si="3"/>
        <v>0</v>
      </c>
    </row>
    <row r="561" ht="14.25" customHeight="1">
      <c r="A561" t="str">
        <f>IF(PNL!A561="","",PNL!A561)</f>
        <v>PIGIER_BOR</v>
      </c>
      <c r="B561" t="str">
        <f>IF(PNL!B561="","",PNL!B561)</f>
        <v>625</v>
      </c>
      <c r="C561" t="str">
        <f>IF(PNL!C561="","",PNL!C561)</f>
        <v>2025</v>
      </c>
      <c r="D561" t="str">
        <f>IF(PNL!D561="","",PNL!D561)</f>
        <v>ACT</v>
      </c>
      <c r="E561">
        <f t="shared" si="0"/>
        <v>0</v>
      </c>
      <c r="F561">
        <f>IF($A561="","",IF($E561=1,_xlfn.SUMIFS(Compta!$F$1:$F$1448,Compta!$A$1:$A$1448,$A561,Compta!$B$1:$B$1448,$B561,Compta!$C$1:$C$1448,"2026"),0))</f>
        <v>0</v>
      </c>
      <c r="G561" t="s">
        <v>274</v>
      </c>
      <c r="H561" t="s">
        <v>274</v>
      </c>
      <c r="I561" t="s">
        <v>274</v>
      </c>
      <c r="J561" t="s">
        <v>274</v>
      </c>
      <c r="K561" t="s">
        <v>274</v>
      </c>
      <c r="L561" t="s">
        <v>274</v>
      </c>
      <c r="M561" t="s">
        <v>274</v>
      </c>
      <c r="N561" t="e">
        <f t="shared" si="1"/>
        <v>#VALUE!</v>
      </c>
      <c r="O561" t="e">
        <f t="shared" si="2"/>
        <v>#VALUE!</v>
      </c>
      <c r="P561">
        <f>IF($A561="","",IF($E561=1,$F561*$O561,PNL!G561))</f>
        <v>13391</v>
      </c>
      <c r="T561">
        <f t="shared" si="3"/>
        <v>0</v>
      </c>
    </row>
    <row r="562" ht="14.25" customHeight="1">
      <c r="A562" t="str">
        <f>IF(PNL!A562="","",PNL!A562)</f>
        <v>TUNON_PAR</v>
      </c>
      <c r="B562" t="str">
        <f>IF(PNL!B562="","",PNL!B562)</f>
        <v>625</v>
      </c>
      <c r="C562" t="str">
        <f>IF(PNL!C562="","",PNL!C562)</f>
        <v>2025</v>
      </c>
      <c r="D562" t="str">
        <f>IF(PNL!D562="","",PNL!D562)</f>
        <v>ACT</v>
      </c>
      <c r="E562">
        <f t="shared" si="0"/>
        <v>0</v>
      </c>
      <c r="F562">
        <f>IF($A562="","",IF($E562=1,_xlfn.SUMIFS(Compta!$F$1:$F$1448,Compta!$A$1:$A$1448,$A562,Compta!$B$1:$B$1448,$B562,Compta!$C$1:$C$1448,"2026"),0))</f>
        <v>0</v>
      </c>
      <c r="G562" t="s">
        <v>274</v>
      </c>
      <c r="H562" t="s">
        <v>274</v>
      </c>
      <c r="I562" t="s">
        <v>274</v>
      </c>
      <c r="J562" t="s">
        <v>274</v>
      </c>
      <c r="K562" t="s">
        <v>274</v>
      </c>
      <c r="L562" t="s">
        <v>274</v>
      </c>
      <c r="M562" t="s">
        <v>274</v>
      </c>
      <c r="N562" t="e">
        <f t="shared" si="1"/>
        <v>#VALUE!</v>
      </c>
      <c r="O562" t="e">
        <f t="shared" si="2"/>
        <v>#VALUE!</v>
      </c>
      <c r="P562">
        <f>IF($A562="","",IF($E562=1,$F562*$O562,PNL!G562))</f>
        <v>20079</v>
      </c>
      <c r="T562">
        <f t="shared" si="3"/>
        <v>0</v>
      </c>
    </row>
    <row r="563" ht="14.25" customHeight="1">
      <c r="A563" t="str">
        <f>IF(PNL!A563="","",PNL!A563)</f>
        <v>TUNON_LYO</v>
      </c>
      <c r="B563" t="str">
        <f>IF(PNL!B563="","",PNL!B563)</f>
        <v>625</v>
      </c>
      <c r="C563" t="str">
        <f>IF(PNL!C563="","",PNL!C563)</f>
        <v>2025</v>
      </c>
      <c r="D563" t="str">
        <f>IF(PNL!D563="","",PNL!D563)</f>
        <v>ACT</v>
      </c>
      <c r="E563">
        <f t="shared" si="0"/>
        <v>0</v>
      </c>
      <c r="F563">
        <f>IF($A563="","",IF($E563=1,_xlfn.SUMIFS(Compta!$F$1:$F$1448,Compta!$A$1:$A$1448,$A563,Compta!$B$1:$B$1448,$B563,Compta!$C$1:$C$1448,"2026"),0))</f>
        <v>0</v>
      </c>
      <c r="G563" t="s">
        <v>274</v>
      </c>
      <c r="H563" t="s">
        <v>274</v>
      </c>
      <c r="I563" t="s">
        <v>274</v>
      </c>
      <c r="J563" t="s">
        <v>274</v>
      </c>
      <c r="K563" t="s">
        <v>274</v>
      </c>
      <c r="L563" t="s">
        <v>274</v>
      </c>
      <c r="M563" t="s">
        <v>274</v>
      </c>
      <c r="N563" t="e">
        <f t="shared" si="1"/>
        <v>#VALUE!</v>
      </c>
      <c r="O563" t="e">
        <f t="shared" si="2"/>
        <v>#VALUE!</v>
      </c>
      <c r="P563">
        <f>IF($A563="","",IF($E563=1,$F563*$O563,PNL!G563))</f>
        <v>11769</v>
      </c>
      <c r="T563">
        <f t="shared" si="3"/>
        <v>0</v>
      </c>
    </row>
    <row r="564" ht="14.25" customHeight="1">
      <c r="A564" t="str">
        <f>IF(PNL!A564="","",PNL!A564)</f>
        <v>MBWAY_PAR</v>
      </c>
      <c r="B564" t="str">
        <f>IF(PNL!B564="","",PNL!B564)</f>
        <v>625</v>
      </c>
      <c r="C564" t="str">
        <f>IF(PNL!C564="","",PNL!C564)</f>
        <v>2026</v>
      </c>
      <c r="D564" t="str">
        <f>IF(PNL!D564="","",PNL!D564)</f>
        <v>ACT</v>
      </c>
      <c r="E564">
        <f t="shared" si="0"/>
        <v>0</v>
      </c>
      <c r="F564">
        <f>IF($A564="","",IF($E564=1,_xlfn.SUMIFS(Compta!$F$1:$F$1448,Compta!$A$1:$A$1448,$A564,Compta!$B$1:$B$1448,$B564,Compta!$C$1:$C$1448,"2026"),0))</f>
        <v>0</v>
      </c>
      <c r="G564" t="s">
        <v>274</v>
      </c>
      <c r="H564" t="s">
        <v>274</v>
      </c>
      <c r="I564" t="s">
        <v>274</v>
      </c>
      <c r="J564" t="s">
        <v>274</v>
      </c>
      <c r="K564" t="s">
        <v>274</v>
      </c>
      <c r="L564" t="s">
        <v>274</v>
      </c>
      <c r="M564" t="s">
        <v>274</v>
      </c>
      <c r="N564" t="e">
        <f t="shared" si="1"/>
        <v>#VALUE!</v>
      </c>
      <c r="O564" t="e">
        <f t="shared" si="2"/>
        <v>#VALUE!</v>
      </c>
      <c r="P564">
        <f>IF($A564="","",IF($E564=1,$F564*$O564,PNL!G564))</f>
        <v>58234</v>
      </c>
      <c r="T564">
        <f t="shared" si="3"/>
        <v>0</v>
      </c>
    </row>
    <row r="565" ht="14.25" customHeight="1">
      <c r="A565" t="str">
        <f>IF(PNL!A565="","",PNL!A565)</f>
        <v>MBWAY_LYO</v>
      </c>
      <c r="B565" t="str">
        <f>IF(PNL!B565="","",PNL!B565)</f>
        <v>625</v>
      </c>
      <c r="C565" t="str">
        <f>IF(PNL!C565="","",PNL!C565)</f>
        <v>2026</v>
      </c>
      <c r="D565" t="str">
        <f>IF(PNL!D565="","",PNL!D565)</f>
        <v>ACT</v>
      </c>
      <c r="E565">
        <f t="shared" si="0"/>
        <v>0</v>
      </c>
      <c r="F565">
        <f>IF($A565="","",IF($E565=1,_xlfn.SUMIFS(Compta!$F$1:$F$1448,Compta!$A$1:$A$1448,$A565,Compta!$B$1:$B$1448,$B565,Compta!$C$1:$C$1448,"2026"),0))</f>
        <v>0</v>
      </c>
      <c r="G565" t="s">
        <v>274</v>
      </c>
      <c r="H565" t="s">
        <v>274</v>
      </c>
      <c r="I565" t="s">
        <v>274</v>
      </c>
      <c r="J565" t="s">
        <v>274</v>
      </c>
      <c r="K565" t="s">
        <v>274</v>
      </c>
      <c r="L565" t="s">
        <v>274</v>
      </c>
      <c r="M565" t="s">
        <v>274</v>
      </c>
      <c r="N565" t="e">
        <f t="shared" si="1"/>
        <v>#VALUE!</v>
      </c>
      <c r="O565" t="e">
        <f t="shared" si="2"/>
        <v>#VALUE!</v>
      </c>
      <c r="P565">
        <f>IF($A565="","",IF($E565=1,$F565*$O565,PNL!G565))</f>
        <v>34147</v>
      </c>
      <c r="T565">
        <f t="shared" si="3"/>
        <v>0</v>
      </c>
    </row>
    <row r="566" ht="14.25" customHeight="1">
      <c r="A566" t="str">
        <f>IF(PNL!A566="","",PNL!A566)</f>
        <v>MBWAY_NAN</v>
      </c>
      <c r="B566" t="str">
        <f>IF(PNL!B566="","",PNL!B566)</f>
        <v>625</v>
      </c>
      <c r="C566" t="str">
        <f>IF(PNL!C566="","",PNL!C566)</f>
        <v>2026</v>
      </c>
      <c r="D566" t="str">
        <f>IF(PNL!D566="","",PNL!D566)</f>
        <v>ACT</v>
      </c>
      <c r="E566">
        <f t="shared" si="0"/>
        <v>0</v>
      </c>
      <c r="F566">
        <f>IF($A566="","",IF($E566=1,_xlfn.SUMIFS(Compta!$F$1:$F$1448,Compta!$A$1:$A$1448,$A566,Compta!$B$1:$B$1448,$B566,Compta!$C$1:$C$1448,"2026"),0))</f>
        <v>0</v>
      </c>
      <c r="G566" t="s">
        <v>274</v>
      </c>
      <c r="H566" t="s">
        <v>274</v>
      </c>
      <c r="I566" t="s">
        <v>274</v>
      </c>
      <c r="J566" t="s">
        <v>274</v>
      </c>
      <c r="K566" t="s">
        <v>274</v>
      </c>
      <c r="L566" t="s">
        <v>274</v>
      </c>
      <c r="M566" t="s">
        <v>274</v>
      </c>
      <c r="N566" t="e">
        <f t="shared" si="1"/>
        <v>#VALUE!</v>
      </c>
      <c r="O566" t="e">
        <f t="shared" si="2"/>
        <v>#VALUE!</v>
      </c>
      <c r="P566">
        <f>IF($A566="","",IF($E566=1,$F566*$O566,PNL!G566))</f>
        <v>27666</v>
      </c>
      <c r="T566">
        <f t="shared" si="3"/>
        <v>0</v>
      </c>
    </row>
    <row r="567" ht="14.25" customHeight="1">
      <c r="A567" t="str">
        <f>IF(PNL!A567="","",PNL!A567)</f>
        <v>MBWAY_BOR</v>
      </c>
      <c r="B567" t="str">
        <f>IF(PNL!B567="","",PNL!B567)</f>
        <v>625</v>
      </c>
      <c r="C567" t="str">
        <f>IF(PNL!C567="","",PNL!C567)</f>
        <v>2026</v>
      </c>
      <c r="D567" t="str">
        <f>IF(PNL!D567="","",PNL!D567)</f>
        <v>ACT</v>
      </c>
      <c r="E567">
        <f t="shared" si="0"/>
        <v>0</v>
      </c>
      <c r="F567">
        <f>IF($A567="","",IF($E567=1,_xlfn.SUMIFS(Compta!$F$1:$F$1448,Compta!$A$1:$A$1448,$A567,Compta!$B$1:$B$1448,$B567,Compta!$C$1:$C$1448,"2026"),0))</f>
        <v>0</v>
      </c>
      <c r="G567" t="s">
        <v>274</v>
      </c>
      <c r="H567" t="s">
        <v>274</v>
      </c>
      <c r="I567" t="s">
        <v>274</v>
      </c>
      <c r="J567" t="s">
        <v>274</v>
      </c>
      <c r="K567" t="s">
        <v>274</v>
      </c>
      <c r="L567" t="s">
        <v>274</v>
      </c>
      <c r="M567" t="s">
        <v>274</v>
      </c>
      <c r="N567" t="e">
        <f t="shared" si="1"/>
        <v>#VALUE!</v>
      </c>
      <c r="O567" t="e">
        <f t="shared" si="2"/>
        <v>#VALUE!</v>
      </c>
      <c r="P567">
        <f>IF($A567="","",IF($E567=1,$F567*$O567,PNL!G567))</f>
        <v>24603</v>
      </c>
      <c r="T567">
        <f t="shared" si="3"/>
        <v>0</v>
      </c>
    </row>
    <row r="568" ht="14.25" customHeight="1">
      <c r="A568" t="str">
        <f>IF(PNL!A568="","",PNL!A568)</f>
        <v>ISCOM_PAR</v>
      </c>
      <c r="B568" t="str">
        <f>IF(PNL!B568="","",PNL!B568)</f>
        <v>625</v>
      </c>
      <c r="C568" t="str">
        <f>IF(PNL!C568="","",PNL!C568)</f>
        <v>2026</v>
      </c>
      <c r="D568" t="str">
        <f>IF(PNL!D568="","",PNL!D568)</f>
        <v>ACT</v>
      </c>
      <c r="E568">
        <f t="shared" si="0"/>
        <v>0</v>
      </c>
      <c r="F568">
        <f>IF($A568="","",IF($E568=1,_xlfn.SUMIFS(Compta!$F$1:$F$1448,Compta!$A$1:$A$1448,$A568,Compta!$B$1:$B$1448,$B568,Compta!$C$1:$C$1448,"2026"),0))</f>
        <v>0</v>
      </c>
      <c r="G568" t="s">
        <v>274</v>
      </c>
      <c r="H568" t="s">
        <v>274</v>
      </c>
      <c r="I568" t="s">
        <v>274</v>
      </c>
      <c r="J568" t="s">
        <v>274</v>
      </c>
      <c r="K568" t="s">
        <v>274</v>
      </c>
      <c r="L568" t="s">
        <v>274</v>
      </c>
      <c r="M568" t="s">
        <v>274</v>
      </c>
      <c r="N568" t="e">
        <f t="shared" si="1"/>
        <v>#VALUE!</v>
      </c>
      <c r="O568" t="e">
        <f t="shared" si="2"/>
        <v>#VALUE!</v>
      </c>
      <c r="P568">
        <f>IF($A568="","",IF($E568=1,$F568*$O568,PNL!G568))</f>
        <v>53965</v>
      </c>
      <c r="T568">
        <f t="shared" si="3"/>
        <v>0</v>
      </c>
    </row>
    <row r="569" ht="14.25" customHeight="1">
      <c r="A569" t="str">
        <f>IF(PNL!A569="","",PNL!A569)</f>
        <v>ISCOM_LIL</v>
      </c>
      <c r="B569" t="str">
        <f>IF(PNL!B569="","",PNL!B569)</f>
        <v>625</v>
      </c>
      <c r="C569" t="str">
        <f>IF(PNL!C569="","",PNL!C569)</f>
        <v>2026</v>
      </c>
      <c r="D569" t="str">
        <f>IF(PNL!D569="","",PNL!D569)</f>
        <v>ACT</v>
      </c>
      <c r="E569">
        <f t="shared" si="0"/>
        <v>0</v>
      </c>
      <c r="F569">
        <f>IF($A569="","",IF($E569=1,_xlfn.SUMIFS(Compta!$F$1:$F$1448,Compta!$A$1:$A$1448,$A569,Compta!$B$1:$B$1448,$B569,Compta!$C$1:$C$1448,"2026"),0))</f>
        <v>0</v>
      </c>
      <c r="G569" t="s">
        <v>274</v>
      </c>
      <c r="H569" t="s">
        <v>274</v>
      </c>
      <c r="I569" t="s">
        <v>274</v>
      </c>
      <c r="J569" t="s">
        <v>274</v>
      </c>
      <c r="K569" t="s">
        <v>274</v>
      </c>
      <c r="L569" t="s">
        <v>274</v>
      </c>
      <c r="M569" t="s">
        <v>274</v>
      </c>
      <c r="N569" t="e">
        <f t="shared" si="1"/>
        <v>#VALUE!</v>
      </c>
      <c r="O569" t="e">
        <f t="shared" si="2"/>
        <v>#VALUE!</v>
      </c>
      <c r="P569">
        <f>IF($A569="","",IF($E569=1,$F569*$O569,PNL!G569))</f>
        <v>21124</v>
      </c>
      <c r="T569">
        <f t="shared" si="3"/>
        <v>0</v>
      </c>
    </row>
    <row r="570" ht="14.25" customHeight="1">
      <c r="A570" t="str">
        <f>IF(PNL!A570="","",PNL!A570)</f>
        <v>ISCOM_TLS</v>
      </c>
      <c r="B570" t="str">
        <f>IF(PNL!B570="","",PNL!B570)</f>
        <v>625</v>
      </c>
      <c r="C570" t="str">
        <f>IF(PNL!C570="","",PNL!C570)</f>
        <v>2026</v>
      </c>
      <c r="D570" t="str">
        <f>IF(PNL!D570="","",PNL!D570)</f>
        <v>ACT</v>
      </c>
      <c r="E570">
        <f t="shared" si="0"/>
        <v>0</v>
      </c>
      <c r="F570">
        <f>IF($A570="","",IF($E570=1,_xlfn.SUMIFS(Compta!$F$1:$F$1448,Compta!$A$1:$A$1448,$A570,Compta!$B$1:$B$1448,$B570,Compta!$C$1:$C$1448,"2026"),0))</f>
        <v>0</v>
      </c>
      <c r="G570" t="s">
        <v>274</v>
      </c>
      <c r="H570" t="s">
        <v>274</v>
      </c>
      <c r="I570" t="s">
        <v>274</v>
      </c>
      <c r="J570" t="s">
        <v>274</v>
      </c>
      <c r="K570" t="s">
        <v>274</v>
      </c>
      <c r="L570" t="s">
        <v>274</v>
      </c>
      <c r="M570" t="s">
        <v>274</v>
      </c>
      <c r="N570" t="e">
        <f t="shared" si="1"/>
        <v>#VALUE!</v>
      </c>
      <c r="O570" t="e">
        <f t="shared" si="2"/>
        <v>#VALUE!</v>
      </c>
      <c r="P570">
        <f>IF($A570="","",IF($E570=1,$F570*$O570,PNL!G570))</f>
        <v>19564</v>
      </c>
      <c r="T570">
        <f t="shared" si="3"/>
        <v>0</v>
      </c>
    </row>
    <row r="571" ht="14.25" customHeight="1">
      <c r="A571" t="str">
        <f>IF(PNL!A571="","",PNL!A571)</f>
        <v>IPAC_NAN</v>
      </c>
      <c r="B571" t="str">
        <f>IF(PNL!B571="","",PNL!B571)</f>
        <v>625</v>
      </c>
      <c r="C571" t="str">
        <f>IF(PNL!C571="","",PNL!C571)</f>
        <v>2026</v>
      </c>
      <c r="D571" t="str">
        <f>IF(PNL!D571="","",PNL!D571)</f>
        <v>ACT</v>
      </c>
      <c r="E571">
        <f t="shared" si="0"/>
        <v>0</v>
      </c>
      <c r="F571">
        <f>IF($A571="","",IF($E571=1,_xlfn.SUMIFS(Compta!$F$1:$F$1448,Compta!$A$1:$A$1448,$A571,Compta!$B$1:$B$1448,$B571,Compta!$C$1:$C$1448,"2026"),0))</f>
        <v>0</v>
      </c>
      <c r="G571" t="s">
        <v>274</v>
      </c>
      <c r="H571" t="s">
        <v>274</v>
      </c>
      <c r="I571" t="s">
        <v>274</v>
      </c>
      <c r="J571" t="s">
        <v>274</v>
      </c>
      <c r="K571" t="s">
        <v>274</v>
      </c>
      <c r="L571" t="s">
        <v>274</v>
      </c>
      <c r="M571" t="s">
        <v>274</v>
      </c>
      <c r="N571" t="e">
        <f t="shared" si="1"/>
        <v>#VALUE!</v>
      </c>
      <c r="O571" t="e">
        <f t="shared" si="2"/>
        <v>#VALUE!</v>
      </c>
      <c r="P571">
        <f>IF($A571="","",IF($E571=1,$F571*$O571,PNL!G571))</f>
        <v>13645</v>
      </c>
      <c r="T571">
        <f t="shared" si="3"/>
        <v>0</v>
      </c>
    </row>
    <row r="572" ht="14.25" customHeight="1">
      <c r="A572" t="str">
        <f>IF(PNL!A572="","",PNL!A572)</f>
        <v>IPAC_REN</v>
      </c>
      <c r="B572" t="str">
        <f>IF(PNL!B572="","",PNL!B572)</f>
        <v>625</v>
      </c>
      <c r="C572" t="str">
        <f>IF(PNL!C572="","",PNL!C572)</f>
        <v>2026</v>
      </c>
      <c r="D572" t="str">
        <f>IF(PNL!D572="","",PNL!D572)</f>
        <v>ACT</v>
      </c>
      <c r="E572">
        <f t="shared" si="0"/>
        <v>0</v>
      </c>
      <c r="F572">
        <f>IF($A572="","",IF($E572=1,_xlfn.SUMIFS(Compta!$F$1:$F$1448,Compta!$A$1:$A$1448,$A572,Compta!$B$1:$B$1448,$B572,Compta!$C$1:$C$1448,"2026"),0))</f>
        <v>0</v>
      </c>
      <c r="G572" t="s">
        <v>274</v>
      </c>
      <c r="H572" t="s">
        <v>274</v>
      </c>
      <c r="I572" t="s">
        <v>274</v>
      </c>
      <c r="J572" t="s">
        <v>274</v>
      </c>
      <c r="K572" t="s">
        <v>274</v>
      </c>
      <c r="L572" t="s">
        <v>274</v>
      </c>
      <c r="M572" t="s">
        <v>274</v>
      </c>
      <c r="N572" t="e">
        <f t="shared" si="1"/>
        <v>#VALUE!</v>
      </c>
      <c r="O572" t="e">
        <f t="shared" si="2"/>
        <v>#VALUE!</v>
      </c>
      <c r="P572">
        <f>IF($A572="","",IF($E572=1,$F572*$O572,PNL!G572))</f>
        <v>9689</v>
      </c>
      <c r="T572">
        <f t="shared" si="3"/>
        <v>0</v>
      </c>
    </row>
    <row r="573" ht="14.25" customHeight="1">
      <c r="A573" t="str">
        <f>IF(PNL!A573="","",PNL!A573)</f>
        <v>IPAC_MTP</v>
      </c>
      <c r="B573" t="str">
        <f>IF(PNL!B573="","",PNL!B573)</f>
        <v>625</v>
      </c>
      <c r="C573" t="str">
        <f>IF(PNL!C573="","",PNL!C573)</f>
        <v>2026</v>
      </c>
      <c r="D573" t="str">
        <f>IF(PNL!D573="","",PNL!D573)</f>
        <v>ACT</v>
      </c>
      <c r="E573">
        <f t="shared" si="0"/>
        <v>0</v>
      </c>
      <c r="F573">
        <f>IF($A573="","",IF($E573=1,_xlfn.SUMIFS(Compta!$F$1:$F$1448,Compta!$A$1:$A$1448,$A573,Compta!$B$1:$B$1448,$B573,Compta!$C$1:$C$1448,"2026"),0))</f>
        <v>0</v>
      </c>
      <c r="G573" t="s">
        <v>274</v>
      </c>
      <c r="H573" t="s">
        <v>274</v>
      </c>
      <c r="I573" t="s">
        <v>274</v>
      </c>
      <c r="J573" t="s">
        <v>274</v>
      </c>
      <c r="K573" t="s">
        <v>274</v>
      </c>
      <c r="L573" t="s">
        <v>274</v>
      </c>
      <c r="M573" t="s">
        <v>274</v>
      </c>
      <c r="N573" t="e">
        <f t="shared" si="1"/>
        <v>#VALUE!</v>
      </c>
      <c r="O573" t="e">
        <f t="shared" si="2"/>
        <v>#VALUE!</v>
      </c>
      <c r="P573">
        <f>IF($A573="","",IF($E573=1,$F573*$O573,PNL!G573))</f>
        <v>9689</v>
      </c>
      <c r="T573">
        <f t="shared" si="3"/>
        <v>0</v>
      </c>
    </row>
    <row r="574" ht="14.25" customHeight="1">
      <c r="A574" t="str">
        <f>IF(PNL!A574="","",PNL!A574)</f>
        <v>PIGIER_LYO</v>
      </c>
      <c r="B574" t="str">
        <f>IF(PNL!B574="","",PNL!B574)</f>
        <v>625</v>
      </c>
      <c r="C574" t="str">
        <f>IF(PNL!C574="","",PNL!C574)</f>
        <v>2026</v>
      </c>
      <c r="D574" t="str">
        <f>IF(PNL!D574="","",PNL!D574)</f>
        <v>ACT</v>
      </c>
      <c r="E574">
        <f t="shared" si="0"/>
        <v>0</v>
      </c>
      <c r="F574">
        <f>IF($A574="","",IF($E574=1,_xlfn.SUMIFS(Compta!$F$1:$F$1448,Compta!$A$1:$A$1448,$A574,Compta!$B$1:$B$1448,$B574,Compta!$C$1:$C$1448,"2026"),0))</f>
        <v>0</v>
      </c>
      <c r="G574" t="s">
        <v>274</v>
      </c>
      <c r="H574" t="s">
        <v>274</v>
      </c>
      <c r="I574" t="s">
        <v>274</v>
      </c>
      <c r="J574" t="s">
        <v>274</v>
      </c>
      <c r="K574" t="s">
        <v>274</v>
      </c>
      <c r="L574" t="s">
        <v>274</v>
      </c>
      <c r="M574" t="s">
        <v>274</v>
      </c>
      <c r="N574" t="e">
        <f t="shared" si="1"/>
        <v>#VALUE!</v>
      </c>
      <c r="O574" t="e">
        <f t="shared" si="2"/>
        <v>#VALUE!</v>
      </c>
      <c r="P574">
        <f>IF($A574="","",IF($E574=1,$F574*$O574,PNL!G574))</f>
        <v>19182</v>
      </c>
      <c r="T574">
        <f t="shared" si="3"/>
        <v>0</v>
      </c>
    </row>
    <row r="575" ht="14.25" customHeight="1">
      <c r="A575" t="str">
        <f>IF(PNL!A575="","",PNL!A575)</f>
        <v>PIGIER_BOR</v>
      </c>
      <c r="B575" t="str">
        <f>IF(PNL!B575="","",PNL!B575)</f>
        <v>625</v>
      </c>
      <c r="C575" t="str">
        <f>IF(PNL!C575="","",PNL!C575)</f>
        <v>2026</v>
      </c>
      <c r="D575" t="str">
        <f>IF(PNL!D575="","",PNL!D575)</f>
        <v>ACT</v>
      </c>
      <c r="E575">
        <f t="shared" si="0"/>
        <v>0</v>
      </c>
      <c r="F575">
        <f>IF($A575="","",IF($E575=1,_xlfn.SUMIFS(Compta!$F$1:$F$1448,Compta!$A$1:$A$1448,$A575,Compta!$B$1:$B$1448,$B575,Compta!$C$1:$C$1448,"2026"),0))</f>
        <v>0</v>
      </c>
      <c r="G575" t="s">
        <v>274</v>
      </c>
      <c r="H575" t="s">
        <v>274</v>
      </c>
      <c r="I575" t="s">
        <v>274</v>
      </c>
      <c r="J575" t="s">
        <v>274</v>
      </c>
      <c r="K575" t="s">
        <v>274</v>
      </c>
      <c r="L575" t="s">
        <v>274</v>
      </c>
      <c r="M575" t="s">
        <v>274</v>
      </c>
      <c r="N575" t="e">
        <f t="shared" si="1"/>
        <v>#VALUE!</v>
      </c>
      <c r="O575" t="e">
        <f t="shared" si="2"/>
        <v>#VALUE!</v>
      </c>
      <c r="P575">
        <f>IF($A575="","",IF($E575=1,$F575*$O575,PNL!G575))</f>
        <v>14030</v>
      </c>
      <c r="T575">
        <f t="shared" si="3"/>
        <v>0</v>
      </c>
    </row>
    <row r="576" ht="14.25" customHeight="1">
      <c r="A576" t="str">
        <f>IF(PNL!A576="","",PNL!A576)</f>
        <v>TUNON_PAR</v>
      </c>
      <c r="B576" t="str">
        <f>IF(PNL!B576="","",PNL!B576)</f>
        <v>625</v>
      </c>
      <c r="C576" t="str">
        <f>IF(PNL!C576="","",PNL!C576)</f>
        <v>2026</v>
      </c>
      <c r="D576" t="str">
        <f>IF(PNL!D576="","",PNL!D576)</f>
        <v>ACT</v>
      </c>
      <c r="E576">
        <f t="shared" si="0"/>
        <v>0</v>
      </c>
      <c r="F576">
        <f>IF($A576="","",IF($E576=1,_xlfn.SUMIFS(Compta!$F$1:$F$1448,Compta!$A$1:$A$1448,$A576,Compta!$B$1:$B$1448,$B576,Compta!$C$1:$C$1448,"2026"),0))</f>
        <v>0</v>
      </c>
      <c r="G576" t="s">
        <v>274</v>
      </c>
      <c r="H576" t="s">
        <v>274</v>
      </c>
      <c r="I576" t="s">
        <v>274</v>
      </c>
      <c r="J576" t="s">
        <v>274</v>
      </c>
      <c r="K576" t="s">
        <v>274</v>
      </c>
      <c r="L576" t="s">
        <v>274</v>
      </c>
      <c r="M576" t="s">
        <v>274</v>
      </c>
      <c r="N576" t="e">
        <f t="shared" si="1"/>
        <v>#VALUE!</v>
      </c>
      <c r="O576" t="e">
        <f t="shared" si="2"/>
        <v>#VALUE!</v>
      </c>
      <c r="P576">
        <f>IF($A576="","",IF($E576=1,$F576*$O576,PNL!G576))</f>
        <v>21037</v>
      </c>
      <c r="T576">
        <f t="shared" si="3"/>
        <v>0</v>
      </c>
    </row>
    <row r="577" ht="14.25" customHeight="1">
      <c r="A577" t="str">
        <f>IF(PNL!A577="","",PNL!A577)</f>
        <v>TUNON_LYO</v>
      </c>
      <c r="B577" t="str">
        <f>IF(PNL!B577="","",PNL!B577)</f>
        <v>625</v>
      </c>
      <c r="C577" t="str">
        <f>IF(PNL!C577="","",PNL!C577)</f>
        <v>2026</v>
      </c>
      <c r="D577" t="str">
        <f>IF(PNL!D577="","",PNL!D577)</f>
        <v>ACT</v>
      </c>
      <c r="E577">
        <f t="shared" si="0"/>
        <v>0</v>
      </c>
      <c r="F577">
        <f>IF($A577="","",IF($E577=1,_xlfn.SUMIFS(Compta!$F$1:$F$1448,Compta!$A$1:$A$1448,$A577,Compta!$B$1:$B$1448,$B577,Compta!$C$1:$C$1448,"2026"),0))</f>
        <v>0</v>
      </c>
      <c r="G577" t="s">
        <v>274</v>
      </c>
      <c r="H577" t="s">
        <v>274</v>
      </c>
      <c r="I577" t="s">
        <v>274</v>
      </c>
      <c r="J577" t="s">
        <v>274</v>
      </c>
      <c r="K577" t="s">
        <v>274</v>
      </c>
      <c r="L577" t="s">
        <v>274</v>
      </c>
      <c r="M577" t="s">
        <v>274</v>
      </c>
      <c r="N577" t="e">
        <f t="shared" si="1"/>
        <v>#VALUE!</v>
      </c>
      <c r="O577" t="e">
        <f t="shared" si="2"/>
        <v>#VALUE!</v>
      </c>
      <c r="P577">
        <f>IF($A577="","",IF($E577=1,$F577*$O577,PNL!G577))</f>
        <v>12331</v>
      </c>
      <c r="T577">
        <f t="shared" si="3"/>
        <v>0</v>
      </c>
    </row>
    <row r="578" ht="14.25" customHeight="1">
      <c r="A578" t="str">
        <f>IF(PNL!A578="","",PNL!A578)</f>
        <v>GRP</v>
      </c>
      <c r="B578" t="str">
        <f>IF(PNL!B578="","",PNL!B578)</f>
        <v>626</v>
      </c>
      <c r="C578" t="str">
        <f>IF(PNL!C578="","",PNL!C578)</f>
        <v>2024</v>
      </c>
      <c r="D578" t="str">
        <f>IF(PNL!D578="","",PNL!D578)</f>
        <v>ACT</v>
      </c>
      <c r="E578">
        <f t="shared" si="0"/>
        <v>0</v>
      </c>
      <c r="F578">
        <f>IF($A578="","",IF($E578=1,_xlfn.SUMIFS(Compta!$F$1:$F$1448,Compta!$A$1:$A$1448,$A578,Compta!$B$1:$B$1448,$B578,Compta!$C$1:$C$1448,"2026"),0))</f>
        <v>0</v>
      </c>
      <c r="G578" t="s">
        <v>274</v>
      </c>
      <c r="H578" t="s">
        <v>274</v>
      </c>
      <c r="I578" t="s">
        <v>274</v>
      </c>
      <c r="J578" t="s">
        <v>274</v>
      </c>
      <c r="K578" t="s">
        <v>274</v>
      </c>
      <c r="L578" t="s">
        <v>274</v>
      </c>
      <c r="M578" t="s">
        <v>274</v>
      </c>
      <c r="N578" t="e">
        <f t="shared" si="1"/>
        <v>#VALUE!</v>
      </c>
      <c r="O578" t="e">
        <f t="shared" si="2"/>
        <v>#VALUE!</v>
      </c>
      <c r="P578">
        <f>IF($A578="","",IF($E578=1,$F578*$O578,PNL!G578))</f>
        <v>412389</v>
      </c>
      <c r="T578">
        <f t="shared" si="3"/>
        <v>0</v>
      </c>
    </row>
    <row r="579" ht="14.25" customHeight="1">
      <c r="A579" t="str">
        <f>IF(PNL!A579="","",PNL!A579)</f>
        <v>GRP</v>
      </c>
      <c r="B579" t="str">
        <f>IF(PNL!B579="","",PNL!B579)</f>
        <v>626</v>
      </c>
      <c r="C579" t="str">
        <f>IF(PNL!C579="","",PNL!C579)</f>
        <v>2025</v>
      </c>
      <c r="D579" t="str">
        <f>IF(PNL!D579="","",PNL!D579)</f>
        <v>ACT</v>
      </c>
      <c r="E579">
        <f t="shared" si="0"/>
        <v>0</v>
      </c>
      <c r="F579">
        <f>IF($A579="","",IF($E579=1,_xlfn.SUMIFS(Compta!$F$1:$F$1448,Compta!$A$1:$A$1448,$A579,Compta!$B$1:$B$1448,$B579,Compta!$C$1:$C$1448,"2026"),0))</f>
        <v>0</v>
      </c>
      <c r="G579" t="s">
        <v>274</v>
      </c>
      <c r="H579" t="s">
        <v>274</v>
      </c>
      <c r="I579" t="s">
        <v>274</v>
      </c>
      <c r="J579" t="s">
        <v>274</v>
      </c>
      <c r="K579" t="s">
        <v>274</v>
      </c>
      <c r="L579" t="s">
        <v>274</v>
      </c>
      <c r="M579" t="s">
        <v>274</v>
      </c>
      <c r="N579" t="e">
        <f t="shared" si="1"/>
        <v>#VALUE!</v>
      </c>
      <c r="O579" t="e">
        <f t="shared" si="2"/>
        <v>#VALUE!</v>
      </c>
      <c r="P579">
        <f>IF($A579="","",IF($E579=1,$F579*$O579,PNL!G579))</f>
        <v>431286</v>
      </c>
      <c r="T579">
        <f t="shared" si="3"/>
        <v>0</v>
      </c>
    </row>
    <row r="580" ht="14.25" customHeight="1">
      <c r="A580" t="str">
        <f>IF(PNL!A580="","",PNL!A580)</f>
        <v>GRP</v>
      </c>
      <c r="B580" t="str">
        <f>IF(PNL!B580="","",PNL!B580)</f>
        <v>626</v>
      </c>
      <c r="C580" t="str">
        <f>IF(PNL!C580="","",PNL!C580)</f>
        <v>2026</v>
      </c>
      <c r="D580" t="str">
        <f>IF(PNL!D580="","",PNL!D580)</f>
        <v>ACT</v>
      </c>
      <c r="E580">
        <f t="shared" si="0"/>
        <v>0</v>
      </c>
      <c r="F580">
        <f>IF($A580="","",IF($E580=1,_xlfn.SUMIFS(Compta!$F$1:$F$1448,Compta!$A$1:$A$1448,$A580,Compta!$B$1:$B$1448,$B580,Compta!$C$1:$C$1448,"2026"),0))</f>
        <v>0</v>
      </c>
      <c r="G580" t="s">
        <v>274</v>
      </c>
      <c r="H580" t="s">
        <v>274</v>
      </c>
      <c r="I580" t="s">
        <v>274</v>
      </c>
      <c r="J580" t="s">
        <v>274</v>
      </c>
      <c r="K580" t="s">
        <v>274</v>
      </c>
      <c r="L580" t="s">
        <v>274</v>
      </c>
      <c r="M580" t="s">
        <v>274</v>
      </c>
      <c r="N580" t="e">
        <f t="shared" si="1"/>
        <v>#VALUE!</v>
      </c>
      <c r="O580" t="e">
        <f t="shared" si="2"/>
        <v>#VALUE!</v>
      </c>
      <c r="P580">
        <f>IF($A580="","",IF($E580=1,$F580*$O580,PNL!G580))</f>
        <v>451872</v>
      </c>
      <c r="T580">
        <f t="shared" si="3"/>
        <v>0</v>
      </c>
    </row>
    <row r="581" ht="14.25" customHeight="1">
      <c r="A581" t="str">
        <f>IF(PNL!A581="","",PNL!A581)</f>
        <v>GRP</v>
      </c>
      <c r="B581" t="str">
        <f>IF(PNL!B581="","",PNL!B581)</f>
        <v>6281</v>
      </c>
      <c r="C581" t="str">
        <f>IF(PNL!C581="","",PNL!C581)</f>
        <v>2024</v>
      </c>
      <c r="D581" t="str">
        <f>IF(PNL!D581="","",PNL!D581)</f>
        <v>ACT</v>
      </c>
      <c r="E581">
        <f t="shared" si="0"/>
        <v>0</v>
      </c>
      <c r="F581">
        <f>IF($A581="","",IF($E581=1,_xlfn.SUMIFS(Compta!$F$1:$F$1448,Compta!$A$1:$A$1448,$A581,Compta!$B$1:$B$1448,$B581,Compta!$C$1:$C$1448,"2026"),0))</f>
        <v>0</v>
      </c>
      <c r="G581" t="s">
        <v>274</v>
      </c>
      <c r="H581" t="s">
        <v>274</v>
      </c>
      <c r="I581" t="s">
        <v>274</v>
      </c>
      <c r="J581" t="s">
        <v>274</v>
      </c>
      <c r="K581" t="s">
        <v>274</v>
      </c>
      <c r="L581" t="s">
        <v>274</v>
      </c>
      <c r="M581" t="s">
        <v>274</v>
      </c>
      <c r="N581" t="e">
        <f t="shared" si="1"/>
        <v>#VALUE!</v>
      </c>
      <c r="O581" t="e">
        <f t="shared" si="2"/>
        <v>#VALUE!</v>
      </c>
      <c r="P581">
        <f>IF($A581="","",IF($E581=1,$F581*$O581,PNL!G581))</f>
        <v>164956</v>
      </c>
      <c r="T581">
        <f t="shared" si="3"/>
        <v>0</v>
      </c>
    </row>
    <row r="582" ht="14.25" customHeight="1">
      <c r="A582" t="str">
        <f>IF(PNL!A582="","",PNL!A582)</f>
        <v>GRP</v>
      </c>
      <c r="B582" t="str">
        <f>IF(PNL!B582="","",PNL!B582)</f>
        <v>6281</v>
      </c>
      <c r="C582" t="str">
        <f>IF(PNL!C582="","",PNL!C582)</f>
        <v>2025</v>
      </c>
      <c r="D582" t="str">
        <f>IF(PNL!D582="","",PNL!D582)</f>
        <v>ACT</v>
      </c>
      <c r="E582">
        <f t="shared" si="0"/>
        <v>0</v>
      </c>
      <c r="F582">
        <f>IF($A582="","",IF($E582=1,_xlfn.SUMIFS(Compta!$F$1:$F$1448,Compta!$A$1:$A$1448,$A582,Compta!$B$1:$B$1448,$B582,Compta!$C$1:$C$1448,"2026"),0))</f>
        <v>0</v>
      </c>
      <c r="G582" t="s">
        <v>274</v>
      </c>
      <c r="H582" t="s">
        <v>274</v>
      </c>
      <c r="I582" t="s">
        <v>274</v>
      </c>
      <c r="J582" t="s">
        <v>274</v>
      </c>
      <c r="K582" t="s">
        <v>274</v>
      </c>
      <c r="L582" t="s">
        <v>274</v>
      </c>
      <c r="M582" t="s">
        <v>274</v>
      </c>
      <c r="N582" t="e">
        <f t="shared" si="1"/>
        <v>#VALUE!</v>
      </c>
      <c r="O582" t="e">
        <f t="shared" si="2"/>
        <v>#VALUE!</v>
      </c>
      <c r="P582">
        <f>IF($A582="","",IF($E582=1,$F582*$O582,PNL!G582))</f>
        <v>172514</v>
      </c>
      <c r="T582">
        <f t="shared" si="3"/>
        <v>0</v>
      </c>
    </row>
    <row r="583" ht="14.25" customHeight="1">
      <c r="A583" t="str">
        <f>IF(PNL!A583="","",PNL!A583)</f>
        <v>GRP</v>
      </c>
      <c r="B583" t="str">
        <f>IF(PNL!B583="","",PNL!B583)</f>
        <v>6281</v>
      </c>
      <c r="C583" t="str">
        <f>IF(PNL!C583="","",PNL!C583)</f>
        <v>2026</v>
      </c>
      <c r="D583" t="str">
        <f>IF(PNL!D583="","",PNL!D583)</f>
        <v>ACT</v>
      </c>
      <c r="E583">
        <f t="shared" si="0"/>
        <v>0</v>
      </c>
      <c r="F583">
        <f>IF($A583="","",IF($E583=1,_xlfn.SUMIFS(Compta!$F$1:$F$1448,Compta!$A$1:$A$1448,$A583,Compta!$B$1:$B$1448,$B583,Compta!$C$1:$C$1448,"2026"),0))</f>
        <v>0</v>
      </c>
      <c r="G583" t="s">
        <v>274</v>
      </c>
      <c r="H583" t="s">
        <v>274</v>
      </c>
      <c r="I583" t="s">
        <v>274</v>
      </c>
      <c r="J583" t="s">
        <v>274</v>
      </c>
      <c r="K583" t="s">
        <v>274</v>
      </c>
      <c r="L583" t="s">
        <v>274</v>
      </c>
      <c r="M583" t="s">
        <v>274</v>
      </c>
      <c r="N583" t="e">
        <f t="shared" si="1"/>
        <v>#VALUE!</v>
      </c>
      <c r="O583" t="e">
        <f t="shared" si="2"/>
        <v>#VALUE!</v>
      </c>
      <c r="P583">
        <f>IF($A583="","",IF($E583=1,$F583*$O583,PNL!G583))</f>
        <v>180749</v>
      </c>
      <c r="T583">
        <f t="shared" si="3"/>
        <v>0</v>
      </c>
    </row>
    <row r="584" ht="14.25" customHeight="1">
      <c r="A584" t="str">
        <f>IF(PNL!A584="","",PNL!A584)</f>
        <v>GRP</v>
      </c>
      <c r="B584" t="str">
        <f>IF(PNL!B584="","",PNL!B584)</f>
        <v>6331</v>
      </c>
      <c r="C584" t="str">
        <f>IF(PNL!C584="","",PNL!C584)</f>
        <v>2024</v>
      </c>
      <c r="D584" t="str">
        <f>IF(PNL!D584="","",PNL!D584)</f>
        <v>ACT</v>
      </c>
      <c r="E584">
        <f t="shared" si="0"/>
        <v>0</v>
      </c>
      <c r="F584">
        <f>IF($A584="","",IF($E584=1,_xlfn.SUMIFS(Compta!$F$1:$F$1448,Compta!$A$1:$A$1448,$A584,Compta!$B$1:$B$1448,$B584,Compta!$C$1:$C$1448,"2026"),0))</f>
        <v>0</v>
      </c>
      <c r="G584" t="s">
        <v>274</v>
      </c>
      <c r="H584" t="s">
        <v>274</v>
      </c>
      <c r="I584" t="s">
        <v>274</v>
      </c>
      <c r="J584" t="s">
        <v>274</v>
      </c>
      <c r="K584" t="s">
        <v>274</v>
      </c>
      <c r="L584" t="s">
        <v>274</v>
      </c>
      <c r="M584" t="s">
        <v>274</v>
      </c>
      <c r="N584" t="e">
        <f t="shared" si="1"/>
        <v>#VALUE!</v>
      </c>
      <c r="O584" t="e">
        <f t="shared" si="2"/>
        <v>#VALUE!</v>
      </c>
      <c r="P584">
        <f>IF($A584="","",IF($E584=1,$F584*$O584,PNL!G584))</f>
        <v>309292</v>
      </c>
      <c r="T584">
        <f t="shared" si="3"/>
        <v>0</v>
      </c>
    </row>
    <row r="585" ht="14.25" customHeight="1">
      <c r="A585" t="str">
        <f>IF(PNL!A585="","",PNL!A585)</f>
        <v>GRP</v>
      </c>
      <c r="B585" t="str">
        <f>IF(PNL!B585="","",PNL!B585)</f>
        <v>6331</v>
      </c>
      <c r="C585" t="str">
        <f>IF(PNL!C585="","",PNL!C585)</f>
        <v>2025</v>
      </c>
      <c r="D585" t="str">
        <f>IF(PNL!D585="","",PNL!D585)</f>
        <v>ACT</v>
      </c>
      <c r="E585">
        <f t="shared" si="0"/>
        <v>0</v>
      </c>
      <c r="F585">
        <f>IF($A585="","",IF($E585=1,_xlfn.SUMIFS(Compta!$F$1:$F$1448,Compta!$A$1:$A$1448,$A585,Compta!$B$1:$B$1448,$B585,Compta!$C$1:$C$1448,"2026"),0))</f>
        <v>0</v>
      </c>
      <c r="G585" t="s">
        <v>274</v>
      </c>
      <c r="H585" t="s">
        <v>274</v>
      </c>
      <c r="I585" t="s">
        <v>274</v>
      </c>
      <c r="J585" t="s">
        <v>274</v>
      </c>
      <c r="K585" t="s">
        <v>274</v>
      </c>
      <c r="L585" t="s">
        <v>274</v>
      </c>
      <c r="M585" t="s">
        <v>274</v>
      </c>
      <c r="N585" t="e">
        <f t="shared" si="1"/>
        <v>#VALUE!</v>
      </c>
      <c r="O585" t="e">
        <f t="shared" si="2"/>
        <v>#VALUE!</v>
      </c>
      <c r="P585">
        <f>IF($A585="","",IF($E585=1,$F585*$O585,PNL!G585))</f>
        <v>323465</v>
      </c>
      <c r="T585">
        <f t="shared" si="3"/>
        <v>0</v>
      </c>
    </row>
    <row r="586" ht="14.25" customHeight="1">
      <c r="A586" t="str">
        <f>IF(PNL!A586="","",PNL!A586)</f>
        <v>GRP</v>
      </c>
      <c r="B586" t="str">
        <f>IF(PNL!B586="","",PNL!B586)</f>
        <v>6331</v>
      </c>
      <c r="C586" t="str">
        <f>IF(PNL!C586="","",PNL!C586)</f>
        <v>2026</v>
      </c>
      <c r="D586" t="str">
        <f>IF(PNL!D586="","",PNL!D586)</f>
        <v>ACT</v>
      </c>
      <c r="E586">
        <f t="shared" si="0"/>
        <v>0</v>
      </c>
      <c r="F586">
        <f>IF($A586="","",IF($E586=1,_xlfn.SUMIFS(Compta!$F$1:$F$1448,Compta!$A$1:$A$1448,$A586,Compta!$B$1:$B$1448,$B586,Compta!$C$1:$C$1448,"2026"),0))</f>
        <v>0</v>
      </c>
      <c r="G586" t="s">
        <v>274</v>
      </c>
      <c r="H586" t="s">
        <v>274</v>
      </c>
      <c r="I586" t="s">
        <v>274</v>
      </c>
      <c r="J586" t="s">
        <v>274</v>
      </c>
      <c r="K586" t="s">
        <v>274</v>
      </c>
      <c r="L586" t="s">
        <v>274</v>
      </c>
      <c r="M586" t="s">
        <v>274</v>
      </c>
      <c r="N586" t="e">
        <f t="shared" si="1"/>
        <v>#VALUE!</v>
      </c>
      <c r="O586" t="e">
        <f t="shared" si="2"/>
        <v>#VALUE!</v>
      </c>
      <c r="P586">
        <f>IF($A586="","",IF($E586=1,$F586*$O586,PNL!G586))</f>
        <v>338904</v>
      </c>
      <c r="T586">
        <f t="shared" si="3"/>
        <v>0</v>
      </c>
    </row>
    <row r="587" ht="14.25" customHeight="1">
      <c r="A587" t="str">
        <f>IF(PNL!A587="","",PNL!A587)</f>
        <v>MBWAY_PAR</v>
      </c>
      <c r="B587" t="str">
        <f>IF(PNL!B587="","",PNL!B587)</f>
        <v>63511</v>
      </c>
      <c r="C587" t="str">
        <f>IF(PNL!C587="","",PNL!C587)</f>
        <v>2024</v>
      </c>
      <c r="D587" t="str">
        <f>IF(PNL!D587="","",PNL!D587)</f>
        <v>ACT</v>
      </c>
      <c r="E587">
        <f t="shared" si="0"/>
        <v>0</v>
      </c>
      <c r="F587">
        <f>IF($A587="","",IF($E587=1,_xlfn.SUMIFS(Compta!$F$1:$F$1448,Compta!$A$1:$A$1448,$A587,Compta!$B$1:$B$1448,$B587,Compta!$C$1:$C$1448,"2026"),0))</f>
        <v>0</v>
      </c>
      <c r="G587" t="s">
        <v>274</v>
      </c>
      <c r="H587" t="s">
        <v>274</v>
      </c>
      <c r="I587" t="s">
        <v>274</v>
      </c>
      <c r="J587" t="s">
        <v>274</v>
      </c>
      <c r="K587" t="s">
        <v>274</v>
      </c>
      <c r="L587" t="s">
        <v>274</v>
      </c>
      <c r="M587" t="s">
        <v>274</v>
      </c>
      <c r="N587" t="e">
        <f t="shared" si="1"/>
        <v>#VALUE!</v>
      </c>
      <c r="O587" t="e">
        <f t="shared" si="2"/>
        <v>#VALUE!</v>
      </c>
      <c r="P587">
        <f>IF($A587="","",IF($E587=1,$F587*$O587,PNL!G587))</f>
        <v>32490</v>
      </c>
      <c r="T587">
        <f t="shared" si="3"/>
        <v>0</v>
      </c>
    </row>
    <row r="588" ht="14.25" customHeight="1">
      <c r="A588" t="str">
        <f>IF(PNL!A588="","",PNL!A588)</f>
        <v>MBWAY_LYO</v>
      </c>
      <c r="B588" t="str">
        <f>IF(PNL!B588="","",PNL!B588)</f>
        <v>63511</v>
      </c>
      <c r="C588" t="str">
        <f>IF(PNL!C588="","",PNL!C588)</f>
        <v>2024</v>
      </c>
      <c r="D588" t="str">
        <f>IF(PNL!D588="","",PNL!D588)</f>
        <v>ACT</v>
      </c>
      <c r="E588">
        <f t="shared" si="0"/>
        <v>0</v>
      </c>
      <c r="F588">
        <f>IF($A588="","",IF($E588=1,_xlfn.SUMIFS(Compta!$F$1:$F$1448,Compta!$A$1:$A$1448,$A588,Compta!$B$1:$B$1448,$B588,Compta!$C$1:$C$1448,"2026"),0))</f>
        <v>0</v>
      </c>
      <c r="G588" t="s">
        <v>274</v>
      </c>
      <c r="H588" t="s">
        <v>274</v>
      </c>
      <c r="I588" t="s">
        <v>274</v>
      </c>
      <c r="J588" t="s">
        <v>274</v>
      </c>
      <c r="K588" t="s">
        <v>274</v>
      </c>
      <c r="L588" t="s">
        <v>274</v>
      </c>
      <c r="M588" t="s">
        <v>274</v>
      </c>
      <c r="N588" t="e">
        <f t="shared" si="1"/>
        <v>#VALUE!</v>
      </c>
      <c r="O588" t="e">
        <f t="shared" si="2"/>
        <v>#VALUE!</v>
      </c>
      <c r="P588">
        <f>IF($A588="","",IF($E588=1,$F588*$O588,PNL!G588))</f>
        <v>19467</v>
      </c>
      <c r="T588">
        <f t="shared" si="3"/>
        <v>0</v>
      </c>
    </row>
    <row r="589" ht="14.25" customHeight="1">
      <c r="A589" t="str">
        <f>IF(PNL!A589="","",PNL!A589)</f>
        <v>MBWAY_NAN</v>
      </c>
      <c r="B589" t="str">
        <f>IF(PNL!B589="","",PNL!B589)</f>
        <v>63511</v>
      </c>
      <c r="C589" t="str">
        <f>IF(PNL!C589="","",PNL!C589)</f>
        <v>2024</v>
      </c>
      <c r="D589" t="str">
        <f>IF(PNL!D589="","",PNL!D589)</f>
        <v>ACT</v>
      </c>
      <c r="E589">
        <f t="shared" si="0"/>
        <v>0</v>
      </c>
      <c r="F589">
        <f>IF($A589="","",IF($E589=1,_xlfn.SUMIFS(Compta!$F$1:$F$1448,Compta!$A$1:$A$1448,$A589,Compta!$B$1:$B$1448,$B589,Compta!$C$1:$C$1448,"2026"),0))</f>
        <v>0</v>
      </c>
      <c r="G589" t="s">
        <v>274</v>
      </c>
      <c r="H589" t="s">
        <v>274</v>
      </c>
      <c r="I589" t="s">
        <v>274</v>
      </c>
      <c r="J589" t="s">
        <v>274</v>
      </c>
      <c r="K589" t="s">
        <v>274</v>
      </c>
      <c r="L589" t="s">
        <v>274</v>
      </c>
      <c r="M589" t="s">
        <v>274</v>
      </c>
      <c r="N589" t="e">
        <f t="shared" si="1"/>
        <v>#VALUE!</v>
      </c>
      <c r="O589" t="e">
        <f t="shared" si="2"/>
        <v>#VALUE!</v>
      </c>
      <c r="P589">
        <f>IF($A589="","",IF($E589=1,$F589*$O589,PNL!G589))</f>
        <v>16044</v>
      </c>
      <c r="T589">
        <f t="shared" si="3"/>
        <v>0</v>
      </c>
    </row>
    <row r="590" ht="14.25" customHeight="1">
      <c r="A590" t="str">
        <f>IF(PNL!A590="","",PNL!A590)</f>
        <v>MBWAY_BOR</v>
      </c>
      <c r="B590" t="str">
        <f>IF(PNL!B590="","",PNL!B590)</f>
        <v>63511</v>
      </c>
      <c r="C590" t="str">
        <f>IF(PNL!C590="","",PNL!C590)</f>
        <v>2024</v>
      </c>
      <c r="D590" t="str">
        <f>IF(PNL!D590="","",PNL!D590)</f>
        <v>ACT</v>
      </c>
      <c r="E590">
        <f t="shared" si="0"/>
        <v>0</v>
      </c>
      <c r="F590">
        <f>IF($A590="","",IF($E590=1,_xlfn.SUMIFS(Compta!$F$1:$F$1448,Compta!$A$1:$A$1448,$A590,Compta!$B$1:$B$1448,$B590,Compta!$C$1:$C$1448,"2026"),0))</f>
        <v>0</v>
      </c>
      <c r="G590" t="s">
        <v>274</v>
      </c>
      <c r="H590" t="s">
        <v>274</v>
      </c>
      <c r="I590" t="s">
        <v>274</v>
      </c>
      <c r="J590" t="s">
        <v>274</v>
      </c>
      <c r="K590" t="s">
        <v>274</v>
      </c>
      <c r="L590" t="s">
        <v>274</v>
      </c>
      <c r="M590" t="s">
        <v>274</v>
      </c>
      <c r="N590" t="e">
        <f t="shared" si="1"/>
        <v>#VALUE!</v>
      </c>
      <c r="O590" t="e">
        <f t="shared" si="2"/>
        <v>#VALUE!</v>
      </c>
      <c r="P590">
        <f>IF($A590="","",IF($E590=1,$F590*$O590,PNL!G590))</f>
        <v>14039</v>
      </c>
      <c r="T590">
        <f t="shared" si="3"/>
        <v>0</v>
      </c>
    </row>
    <row r="591" ht="14.25" customHeight="1">
      <c r="A591" t="str">
        <f>IF(PNL!A591="","",PNL!A591)</f>
        <v>ISCOM_PAR</v>
      </c>
      <c r="B591" t="str">
        <f>IF(PNL!B591="","",PNL!B591)</f>
        <v>63511</v>
      </c>
      <c r="C591" t="str">
        <f>IF(PNL!C591="","",PNL!C591)</f>
        <v>2024</v>
      </c>
      <c r="D591" t="str">
        <f>IF(PNL!D591="","",PNL!D591)</f>
        <v>ACT</v>
      </c>
      <c r="E591">
        <f t="shared" si="0"/>
        <v>0</v>
      </c>
      <c r="F591">
        <f>IF($A591="","",IF($E591=1,_xlfn.SUMIFS(Compta!$F$1:$F$1448,Compta!$A$1:$A$1448,$A591,Compta!$B$1:$B$1448,$B591,Compta!$C$1:$C$1448,"2026"),0))</f>
        <v>0</v>
      </c>
      <c r="G591" t="s">
        <v>274</v>
      </c>
      <c r="H591" t="s">
        <v>274</v>
      </c>
      <c r="I591" t="s">
        <v>274</v>
      </c>
      <c r="J591" t="s">
        <v>274</v>
      </c>
      <c r="K591" t="s">
        <v>274</v>
      </c>
      <c r="L591" t="s">
        <v>274</v>
      </c>
      <c r="M591" t="s">
        <v>274</v>
      </c>
      <c r="N591" t="e">
        <f t="shared" si="1"/>
        <v>#VALUE!</v>
      </c>
      <c r="O591" t="e">
        <f t="shared" si="2"/>
        <v>#VALUE!</v>
      </c>
      <c r="P591">
        <f>IF($A591="","",IF($E591=1,$F591*$O591,PNL!G591))</f>
        <v>32490</v>
      </c>
      <c r="T591">
        <f t="shared" si="3"/>
        <v>0</v>
      </c>
    </row>
    <row r="592" ht="14.25" customHeight="1">
      <c r="A592" t="str">
        <f>IF(PNL!A592="","",PNL!A592)</f>
        <v>ISCOM_LIL</v>
      </c>
      <c r="B592" t="str">
        <f>IF(PNL!B592="","",PNL!B592)</f>
        <v>63511</v>
      </c>
      <c r="C592" t="str">
        <f>IF(PNL!C592="","",PNL!C592)</f>
        <v>2024</v>
      </c>
      <c r="D592" t="str">
        <f>IF(PNL!D592="","",PNL!D592)</f>
        <v>ACT</v>
      </c>
      <c r="E592">
        <f t="shared" si="0"/>
        <v>0</v>
      </c>
      <c r="F592">
        <f>IF($A592="","",IF($E592=1,_xlfn.SUMIFS(Compta!$F$1:$F$1448,Compta!$A$1:$A$1448,$A592,Compta!$B$1:$B$1448,$B592,Compta!$C$1:$C$1448,"2026"),0))</f>
        <v>0</v>
      </c>
      <c r="G592" t="s">
        <v>274</v>
      </c>
      <c r="H592" t="s">
        <v>274</v>
      </c>
      <c r="I592" t="s">
        <v>274</v>
      </c>
      <c r="J592" t="s">
        <v>274</v>
      </c>
      <c r="K592" t="s">
        <v>274</v>
      </c>
      <c r="L592" t="s">
        <v>274</v>
      </c>
      <c r="M592" t="s">
        <v>274</v>
      </c>
      <c r="N592" t="e">
        <f t="shared" si="1"/>
        <v>#VALUE!</v>
      </c>
      <c r="O592" t="e">
        <f t="shared" si="2"/>
        <v>#VALUE!</v>
      </c>
      <c r="P592">
        <f>IF($A592="","",IF($E592=1,$F592*$O592,PNL!G592))</f>
        <v>12301</v>
      </c>
      <c r="T592">
        <f t="shared" si="3"/>
        <v>0</v>
      </c>
    </row>
    <row r="593" ht="14.25" customHeight="1">
      <c r="A593" t="str">
        <f>IF(PNL!A593="","",PNL!A593)</f>
        <v>ISCOM_TLS</v>
      </c>
      <c r="B593" t="str">
        <f>IF(PNL!B593="","",PNL!B593)</f>
        <v>63511</v>
      </c>
      <c r="C593" t="str">
        <f>IF(PNL!C593="","",PNL!C593)</f>
        <v>2024</v>
      </c>
      <c r="D593" t="str">
        <f>IF(PNL!D593="","",PNL!D593)</f>
        <v>ACT</v>
      </c>
      <c r="E593">
        <f t="shared" si="0"/>
        <v>0</v>
      </c>
      <c r="F593">
        <f>IF($A593="","",IF($E593=1,_xlfn.SUMIFS(Compta!$F$1:$F$1448,Compta!$A$1:$A$1448,$A593,Compta!$B$1:$B$1448,$B593,Compta!$C$1:$C$1448,"2026"),0))</f>
        <v>0</v>
      </c>
      <c r="G593" t="s">
        <v>274</v>
      </c>
      <c r="H593" t="s">
        <v>274</v>
      </c>
      <c r="I593" t="s">
        <v>274</v>
      </c>
      <c r="J593" t="s">
        <v>274</v>
      </c>
      <c r="K593" t="s">
        <v>274</v>
      </c>
      <c r="L593" t="s">
        <v>274</v>
      </c>
      <c r="M593" t="s">
        <v>274</v>
      </c>
      <c r="N593" t="e">
        <f t="shared" si="1"/>
        <v>#VALUE!</v>
      </c>
      <c r="O593" t="e">
        <f t="shared" si="2"/>
        <v>#VALUE!</v>
      </c>
      <c r="P593">
        <f>IF($A593="","",IF($E593=1,$F593*$O593,PNL!G593))</f>
        <v>12033</v>
      </c>
      <c r="T593">
        <f t="shared" si="3"/>
        <v>0</v>
      </c>
    </row>
    <row r="594" ht="14.25" customHeight="1">
      <c r="A594" t="str">
        <f>IF(PNL!A594="","",PNL!A594)</f>
        <v>IPAC_NAN</v>
      </c>
      <c r="B594" t="str">
        <f>IF(PNL!B594="","",PNL!B594)</f>
        <v>63511</v>
      </c>
      <c r="C594" t="str">
        <f>IF(PNL!C594="","",PNL!C594)</f>
        <v>2024</v>
      </c>
      <c r="D594" t="str">
        <f>IF(PNL!D594="","",PNL!D594)</f>
        <v>ACT</v>
      </c>
      <c r="E594">
        <f t="shared" si="0"/>
        <v>0</v>
      </c>
      <c r="F594">
        <f>IF($A594="","",IF($E594=1,_xlfn.SUMIFS(Compta!$F$1:$F$1448,Compta!$A$1:$A$1448,$A594,Compta!$B$1:$B$1448,$B594,Compta!$C$1:$C$1448,"2026"),0))</f>
        <v>0</v>
      </c>
      <c r="G594" t="s">
        <v>274</v>
      </c>
      <c r="H594" t="s">
        <v>274</v>
      </c>
      <c r="I594" t="s">
        <v>274</v>
      </c>
      <c r="J594" t="s">
        <v>274</v>
      </c>
      <c r="K594" t="s">
        <v>274</v>
      </c>
      <c r="L594" t="s">
        <v>274</v>
      </c>
      <c r="M594" t="s">
        <v>274</v>
      </c>
      <c r="N594" t="e">
        <f t="shared" si="1"/>
        <v>#VALUE!</v>
      </c>
      <c r="O594" t="e">
        <f t="shared" si="2"/>
        <v>#VALUE!</v>
      </c>
      <c r="P594">
        <f>IF($A594="","",IF($E594=1,$F594*$O594,PNL!G594))</f>
        <v>8022</v>
      </c>
      <c r="T594">
        <f t="shared" si="3"/>
        <v>0</v>
      </c>
    </row>
    <row r="595" ht="14.25" customHeight="1">
      <c r="A595" t="str">
        <f>IF(PNL!A595="","",PNL!A595)</f>
        <v>IPAC_REN</v>
      </c>
      <c r="B595" t="str">
        <f>IF(PNL!B595="","",PNL!B595)</f>
        <v>63511</v>
      </c>
      <c r="C595" t="str">
        <f>IF(PNL!C595="","",PNL!C595)</f>
        <v>2024</v>
      </c>
      <c r="D595" t="str">
        <f>IF(PNL!D595="","",PNL!D595)</f>
        <v>ACT</v>
      </c>
      <c r="E595">
        <f t="shared" si="0"/>
        <v>0</v>
      </c>
      <c r="F595">
        <f>IF($A595="","",IF($E595=1,_xlfn.SUMIFS(Compta!$F$1:$F$1448,Compta!$A$1:$A$1448,$A595,Compta!$B$1:$B$1448,$B595,Compta!$C$1:$C$1448,"2026"),0))</f>
        <v>0</v>
      </c>
      <c r="G595" t="s">
        <v>274</v>
      </c>
      <c r="H595" t="s">
        <v>274</v>
      </c>
      <c r="I595" t="s">
        <v>274</v>
      </c>
      <c r="J595" t="s">
        <v>274</v>
      </c>
      <c r="K595" t="s">
        <v>274</v>
      </c>
      <c r="L595" t="s">
        <v>274</v>
      </c>
      <c r="M595" t="s">
        <v>274</v>
      </c>
      <c r="N595" t="e">
        <f t="shared" si="1"/>
        <v>#VALUE!</v>
      </c>
      <c r="O595" t="e">
        <f t="shared" si="2"/>
        <v>#VALUE!</v>
      </c>
      <c r="P595">
        <f>IF($A595="","",IF($E595=1,$F595*$O595,PNL!G595))</f>
        <v>7059</v>
      </c>
      <c r="T595">
        <f t="shared" si="3"/>
        <v>0</v>
      </c>
    </row>
    <row r="596" ht="14.25" customHeight="1">
      <c r="A596" t="str">
        <f>IF(PNL!A596="","",PNL!A596)</f>
        <v>IPAC_MTP</v>
      </c>
      <c r="B596" t="str">
        <f>IF(PNL!B596="","",PNL!B596)</f>
        <v>63511</v>
      </c>
      <c r="C596" t="str">
        <f>IF(PNL!C596="","",PNL!C596)</f>
        <v>2024</v>
      </c>
      <c r="D596" t="str">
        <f>IF(PNL!D596="","",PNL!D596)</f>
        <v>ACT</v>
      </c>
      <c r="E596">
        <f t="shared" si="0"/>
        <v>0</v>
      </c>
      <c r="F596">
        <f>IF($A596="","",IF($E596=1,_xlfn.SUMIFS(Compta!$F$1:$F$1448,Compta!$A$1:$A$1448,$A596,Compta!$B$1:$B$1448,$B596,Compta!$C$1:$C$1448,"2026"),0))</f>
        <v>0</v>
      </c>
      <c r="G596" t="s">
        <v>274</v>
      </c>
      <c r="H596" t="s">
        <v>274</v>
      </c>
      <c r="I596" t="s">
        <v>274</v>
      </c>
      <c r="J596" t="s">
        <v>274</v>
      </c>
      <c r="K596" t="s">
        <v>274</v>
      </c>
      <c r="L596" t="s">
        <v>274</v>
      </c>
      <c r="M596" t="s">
        <v>274</v>
      </c>
      <c r="N596" t="e">
        <f t="shared" si="1"/>
        <v>#VALUE!</v>
      </c>
      <c r="O596" t="e">
        <f t="shared" si="2"/>
        <v>#VALUE!</v>
      </c>
      <c r="P596">
        <f>IF($A596="","",IF($E596=1,$F596*$O596,PNL!G596))</f>
        <v>7059</v>
      </c>
      <c r="T596">
        <f t="shared" si="3"/>
        <v>0</v>
      </c>
    </row>
    <row r="597" ht="14.25" customHeight="1">
      <c r="A597" t="str">
        <f>IF(PNL!A597="","",PNL!A597)</f>
        <v>PIGIER_LYO</v>
      </c>
      <c r="B597" t="str">
        <f>IF(PNL!B597="","",PNL!B597)</f>
        <v>63511</v>
      </c>
      <c r="C597" t="str">
        <f>IF(PNL!C597="","",PNL!C597)</f>
        <v>2024</v>
      </c>
      <c r="D597" t="str">
        <f>IF(PNL!D597="","",PNL!D597)</f>
        <v>ACT</v>
      </c>
      <c r="E597">
        <f t="shared" si="0"/>
        <v>0</v>
      </c>
      <c r="F597">
        <f>IF($A597="","",IF($E597=1,_xlfn.SUMIFS(Compta!$F$1:$F$1448,Compta!$A$1:$A$1448,$A597,Compta!$B$1:$B$1448,$B597,Compta!$C$1:$C$1448,"2026"),0))</f>
        <v>0</v>
      </c>
      <c r="G597" t="s">
        <v>274</v>
      </c>
      <c r="H597" t="s">
        <v>274</v>
      </c>
      <c r="I597" t="s">
        <v>274</v>
      </c>
      <c r="J597" t="s">
        <v>274</v>
      </c>
      <c r="K597" t="s">
        <v>274</v>
      </c>
      <c r="L597" t="s">
        <v>274</v>
      </c>
      <c r="M597" t="s">
        <v>274</v>
      </c>
      <c r="N597" t="e">
        <f t="shared" si="1"/>
        <v>#VALUE!</v>
      </c>
      <c r="O597" t="e">
        <f t="shared" si="2"/>
        <v>#VALUE!</v>
      </c>
      <c r="P597">
        <f>IF($A597="","",IF($E597=1,$F597*$O597,PNL!G597))</f>
        <v>11980</v>
      </c>
      <c r="T597">
        <f t="shared" si="3"/>
        <v>0</v>
      </c>
    </row>
    <row r="598" ht="14.25" customHeight="1">
      <c r="A598" t="str">
        <f>IF(PNL!A598="","",PNL!A598)</f>
        <v>PIGIER_BOR</v>
      </c>
      <c r="B598" t="str">
        <f>IF(PNL!B598="","",PNL!B598)</f>
        <v>63511</v>
      </c>
      <c r="C598" t="str">
        <f>IF(PNL!C598="","",PNL!C598)</f>
        <v>2024</v>
      </c>
      <c r="D598" t="str">
        <f>IF(PNL!D598="","",PNL!D598)</f>
        <v>ACT</v>
      </c>
      <c r="E598">
        <f t="shared" si="0"/>
        <v>0</v>
      </c>
      <c r="F598">
        <f>IF($A598="","",IF($E598=1,_xlfn.SUMIFS(Compta!$F$1:$F$1448,Compta!$A$1:$A$1448,$A598,Compta!$B$1:$B$1448,$B598,Compta!$C$1:$C$1448,"2026"),0))</f>
        <v>0</v>
      </c>
      <c r="G598" t="s">
        <v>274</v>
      </c>
      <c r="H598" t="s">
        <v>274</v>
      </c>
      <c r="I598" t="s">
        <v>274</v>
      </c>
      <c r="J598" t="s">
        <v>274</v>
      </c>
      <c r="K598" t="s">
        <v>274</v>
      </c>
      <c r="L598" t="s">
        <v>274</v>
      </c>
      <c r="M598" t="s">
        <v>274</v>
      </c>
      <c r="N598" t="e">
        <f t="shared" si="1"/>
        <v>#VALUE!</v>
      </c>
      <c r="O598" t="e">
        <f t="shared" si="2"/>
        <v>#VALUE!</v>
      </c>
      <c r="P598">
        <f>IF($A598="","",IF($E598=1,$F598*$O598,PNL!G598))</f>
        <v>11231</v>
      </c>
      <c r="T598">
        <f t="shared" si="3"/>
        <v>0</v>
      </c>
    </row>
    <row r="599" ht="14.25" customHeight="1">
      <c r="A599" t="str">
        <f>IF(PNL!A599="","",PNL!A599)</f>
        <v>TUNON_PAR</v>
      </c>
      <c r="B599" t="str">
        <f>IF(PNL!B599="","",PNL!B599)</f>
        <v>63511</v>
      </c>
      <c r="C599" t="str">
        <f>IF(PNL!C599="","",PNL!C599)</f>
        <v>2024</v>
      </c>
      <c r="D599" t="str">
        <f>IF(PNL!D599="","",PNL!D599)</f>
        <v>ACT</v>
      </c>
      <c r="E599">
        <f t="shared" si="0"/>
        <v>0</v>
      </c>
      <c r="F599">
        <f>IF($A599="","",IF($E599=1,_xlfn.SUMIFS(Compta!$F$1:$F$1448,Compta!$A$1:$A$1448,$A599,Compta!$B$1:$B$1448,$B599,Compta!$C$1:$C$1448,"2026"),0))</f>
        <v>0</v>
      </c>
      <c r="G599" t="s">
        <v>274</v>
      </c>
      <c r="H599" t="s">
        <v>274</v>
      </c>
      <c r="I599" t="s">
        <v>274</v>
      </c>
      <c r="J599" t="s">
        <v>274</v>
      </c>
      <c r="K599" t="s">
        <v>274</v>
      </c>
      <c r="L599" t="s">
        <v>274</v>
      </c>
      <c r="M599" t="s">
        <v>274</v>
      </c>
      <c r="N599" t="e">
        <f t="shared" si="1"/>
        <v>#VALUE!</v>
      </c>
      <c r="O599" t="e">
        <f t="shared" si="2"/>
        <v>#VALUE!</v>
      </c>
      <c r="P599">
        <f>IF($A599="","",IF($E599=1,$F599*$O599,PNL!G599))</f>
        <v>12996</v>
      </c>
      <c r="T599">
        <f t="shared" si="3"/>
        <v>0</v>
      </c>
    </row>
    <row r="600" ht="14.25" customHeight="1">
      <c r="A600" t="str">
        <f>IF(PNL!A600="","",PNL!A600)</f>
        <v>TUNON_LYO</v>
      </c>
      <c r="B600" t="str">
        <f>IF(PNL!B600="","",PNL!B600)</f>
        <v>63511</v>
      </c>
      <c r="C600" t="str">
        <f>IF(PNL!C600="","",PNL!C600)</f>
        <v>2024</v>
      </c>
      <c r="D600" t="str">
        <f>IF(PNL!D600="","",PNL!D600)</f>
        <v>ACT</v>
      </c>
      <c r="E600">
        <f t="shared" si="0"/>
        <v>0</v>
      </c>
      <c r="F600">
        <f>IF($A600="","",IF($E600=1,_xlfn.SUMIFS(Compta!$F$1:$F$1448,Compta!$A$1:$A$1448,$A600,Compta!$B$1:$B$1448,$B600,Compta!$C$1:$C$1448,"2026"),0))</f>
        <v>0</v>
      </c>
      <c r="G600" t="s">
        <v>274</v>
      </c>
      <c r="H600" t="s">
        <v>274</v>
      </c>
      <c r="I600" t="s">
        <v>274</v>
      </c>
      <c r="J600" t="s">
        <v>274</v>
      </c>
      <c r="K600" t="s">
        <v>274</v>
      </c>
      <c r="L600" t="s">
        <v>274</v>
      </c>
      <c r="M600" t="s">
        <v>274</v>
      </c>
      <c r="N600" t="e">
        <f t="shared" si="1"/>
        <v>#VALUE!</v>
      </c>
      <c r="O600" t="e">
        <f t="shared" si="2"/>
        <v>#VALUE!</v>
      </c>
      <c r="P600">
        <f>IF($A600="","",IF($E600=1,$F600*$O600,PNL!G600))</f>
        <v>8985</v>
      </c>
      <c r="T600">
        <f t="shared" si="3"/>
        <v>0</v>
      </c>
    </row>
    <row r="601" ht="14.25" customHeight="1">
      <c r="A601" t="str">
        <f>IF(PNL!A601="","",PNL!A601)</f>
        <v>MBWAY_PAR</v>
      </c>
      <c r="B601" t="str">
        <f>IF(PNL!B601="","",PNL!B601)</f>
        <v>63511</v>
      </c>
      <c r="C601" t="str">
        <f>IF(PNL!C601="","",PNL!C601)</f>
        <v>2025</v>
      </c>
      <c r="D601" t="str">
        <f>IF(PNL!D601="","",PNL!D601)</f>
        <v>ACT</v>
      </c>
      <c r="E601">
        <f t="shared" si="0"/>
        <v>0</v>
      </c>
      <c r="F601">
        <f>IF($A601="","",IF($E601=1,_xlfn.SUMIFS(Compta!$F$1:$F$1448,Compta!$A$1:$A$1448,$A601,Compta!$B$1:$B$1448,$B601,Compta!$C$1:$C$1448,"2026"),0))</f>
        <v>0</v>
      </c>
      <c r="G601" t="s">
        <v>274</v>
      </c>
      <c r="H601" t="s">
        <v>274</v>
      </c>
      <c r="I601" t="s">
        <v>274</v>
      </c>
      <c r="J601" t="s">
        <v>274</v>
      </c>
      <c r="K601" t="s">
        <v>274</v>
      </c>
      <c r="L601" t="s">
        <v>274</v>
      </c>
      <c r="M601" t="s">
        <v>274</v>
      </c>
      <c r="N601" t="e">
        <f t="shared" si="1"/>
        <v>#VALUE!</v>
      </c>
      <c r="O601" t="e">
        <f t="shared" si="2"/>
        <v>#VALUE!</v>
      </c>
      <c r="P601">
        <f>IF($A601="","",IF($E601=1,$F601*$O601,PNL!G601))</f>
        <v>33978</v>
      </c>
      <c r="T601">
        <f t="shared" si="3"/>
        <v>0</v>
      </c>
    </row>
    <row r="602" ht="14.25" customHeight="1">
      <c r="A602" t="str">
        <f>IF(PNL!A602="","",PNL!A602)</f>
        <v>MBWAY_LYO</v>
      </c>
      <c r="B602" t="str">
        <f>IF(PNL!B602="","",PNL!B602)</f>
        <v>63511</v>
      </c>
      <c r="C602" t="str">
        <f>IF(PNL!C602="","",PNL!C602)</f>
        <v>2025</v>
      </c>
      <c r="D602" t="str">
        <f>IF(PNL!D602="","",PNL!D602)</f>
        <v>ACT</v>
      </c>
      <c r="E602">
        <f t="shared" si="0"/>
        <v>0</v>
      </c>
      <c r="F602">
        <f>IF($A602="","",IF($E602=1,_xlfn.SUMIFS(Compta!$F$1:$F$1448,Compta!$A$1:$A$1448,$A602,Compta!$B$1:$B$1448,$B602,Compta!$C$1:$C$1448,"2026"),0))</f>
        <v>0</v>
      </c>
      <c r="G602" t="s">
        <v>274</v>
      </c>
      <c r="H602" t="s">
        <v>274</v>
      </c>
      <c r="I602" t="s">
        <v>274</v>
      </c>
      <c r="J602" t="s">
        <v>274</v>
      </c>
      <c r="K602" t="s">
        <v>274</v>
      </c>
      <c r="L602" t="s">
        <v>274</v>
      </c>
      <c r="M602" t="s">
        <v>274</v>
      </c>
      <c r="N602" t="e">
        <f t="shared" si="1"/>
        <v>#VALUE!</v>
      </c>
      <c r="O602" t="e">
        <f t="shared" si="2"/>
        <v>#VALUE!</v>
      </c>
      <c r="P602">
        <f>IF($A602="","",IF($E602=1,$F602*$O602,PNL!G602))</f>
        <v>20359</v>
      </c>
      <c r="T602">
        <f t="shared" si="3"/>
        <v>0</v>
      </c>
    </row>
    <row r="603" ht="14.25" customHeight="1">
      <c r="A603" t="str">
        <f>IF(PNL!A603="","",PNL!A603)</f>
        <v>MBWAY_NAN</v>
      </c>
      <c r="B603" t="str">
        <f>IF(PNL!B603="","",PNL!B603)</f>
        <v>63511</v>
      </c>
      <c r="C603" t="str">
        <f>IF(PNL!C603="","",PNL!C603)</f>
        <v>2025</v>
      </c>
      <c r="D603" t="str">
        <f>IF(PNL!D603="","",PNL!D603)</f>
        <v>ACT</v>
      </c>
      <c r="E603">
        <f t="shared" si="0"/>
        <v>0</v>
      </c>
      <c r="F603">
        <f>IF($A603="","",IF($E603=1,_xlfn.SUMIFS(Compta!$F$1:$F$1448,Compta!$A$1:$A$1448,$A603,Compta!$B$1:$B$1448,$B603,Compta!$C$1:$C$1448,"2026"),0))</f>
        <v>0</v>
      </c>
      <c r="G603" t="s">
        <v>274</v>
      </c>
      <c r="H603" t="s">
        <v>274</v>
      </c>
      <c r="I603" t="s">
        <v>274</v>
      </c>
      <c r="J603" t="s">
        <v>274</v>
      </c>
      <c r="K603" t="s">
        <v>274</v>
      </c>
      <c r="L603" t="s">
        <v>274</v>
      </c>
      <c r="M603" t="s">
        <v>274</v>
      </c>
      <c r="N603" t="e">
        <f t="shared" si="1"/>
        <v>#VALUE!</v>
      </c>
      <c r="O603" t="e">
        <f t="shared" si="2"/>
        <v>#VALUE!</v>
      </c>
      <c r="P603">
        <f>IF($A603="","",IF($E603=1,$F603*$O603,PNL!G603))</f>
        <v>16779</v>
      </c>
      <c r="T603">
        <f t="shared" si="3"/>
        <v>0</v>
      </c>
    </row>
    <row r="604" ht="14.25" customHeight="1">
      <c r="A604" t="str">
        <f>IF(PNL!A604="","",PNL!A604)</f>
        <v>MBWAY_BOR</v>
      </c>
      <c r="B604" t="str">
        <f>IF(PNL!B604="","",PNL!B604)</f>
        <v>63511</v>
      </c>
      <c r="C604" t="str">
        <f>IF(PNL!C604="","",PNL!C604)</f>
        <v>2025</v>
      </c>
      <c r="D604" t="str">
        <f>IF(PNL!D604="","",PNL!D604)</f>
        <v>ACT</v>
      </c>
      <c r="E604">
        <f t="shared" si="0"/>
        <v>0</v>
      </c>
      <c r="F604">
        <f>IF($A604="","",IF($E604=1,_xlfn.SUMIFS(Compta!$F$1:$F$1448,Compta!$A$1:$A$1448,$A604,Compta!$B$1:$B$1448,$B604,Compta!$C$1:$C$1448,"2026"),0))</f>
        <v>0</v>
      </c>
      <c r="G604" t="s">
        <v>274</v>
      </c>
      <c r="H604" t="s">
        <v>274</v>
      </c>
      <c r="I604" t="s">
        <v>274</v>
      </c>
      <c r="J604" t="s">
        <v>274</v>
      </c>
      <c r="K604" t="s">
        <v>274</v>
      </c>
      <c r="L604" t="s">
        <v>274</v>
      </c>
      <c r="M604" t="s">
        <v>274</v>
      </c>
      <c r="N604" t="e">
        <f t="shared" si="1"/>
        <v>#VALUE!</v>
      </c>
      <c r="O604" t="e">
        <f t="shared" si="2"/>
        <v>#VALUE!</v>
      </c>
      <c r="P604">
        <f>IF($A604="","",IF($E604=1,$F604*$O604,PNL!G604))</f>
        <v>14682</v>
      </c>
      <c r="T604">
        <f t="shared" si="3"/>
        <v>0</v>
      </c>
    </row>
    <row r="605" ht="14.25" customHeight="1">
      <c r="A605" t="str">
        <f>IF(PNL!A605="","",PNL!A605)</f>
        <v>ISCOM_PAR</v>
      </c>
      <c r="B605" t="str">
        <f>IF(PNL!B605="","",PNL!B605)</f>
        <v>63511</v>
      </c>
      <c r="C605" t="str">
        <f>IF(PNL!C605="","",PNL!C605)</f>
        <v>2025</v>
      </c>
      <c r="D605" t="str">
        <f>IF(PNL!D605="","",PNL!D605)</f>
        <v>ACT</v>
      </c>
      <c r="E605">
        <f t="shared" si="0"/>
        <v>0</v>
      </c>
      <c r="F605">
        <f>IF($A605="","",IF($E605=1,_xlfn.SUMIFS(Compta!$F$1:$F$1448,Compta!$A$1:$A$1448,$A605,Compta!$B$1:$B$1448,$B605,Compta!$C$1:$C$1448,"2026"),0))</f>
        <v>0</v>
      </c>
      <c r="G605" t="s">
        <v>274</v>
      </c>
      <c r="H605" t="s">
        <v>274</v>
      </c>
      <c r="I605" t="s">
        <v>274</v>
      </c>
      <c r="J605" t="s">
        <v>274</v>
      </c>
      <c r="K605" t="s">
        <v>274</v>
      </c>
      <c r="L605" t="s">
        <v>274</v>
      </c>
      <c r="M605" t="s">
        <v>274</v>
      </c>
      <c r="N605" t="e">
        <f t="shared" si="1"/>
        <v>#VALUE!</v>
      </c>
      <c r="O605" t="e">
        <f t="shared" si="2"/>
        <v>#VALUE!</v>
      </c>
      <c r="P605">
        <f>IF($A605="","",IF($E605=1,$F605*$O605,PNL!G605))</f>
        <v>33978</v>
      </c>
      <c r="T605">
        <f t="shared" si="3"/>
        <v>0</v>
      </c>
    </row>
    <row r="606" ht="14.25" customHeight="1">
      <c r="A606" t="str">
        <f>IF(PNL!A606="","",PNL!A606)</f>
        <v>ISCOM_LIL</v>
      </c>
      <c r="B606" t="str">
        <f>IF(PNL!B606="","",PNL!B606)</f>
        <v>63511</v>
      </c>
      <c r="C606" t="str">
        <f>IF(PNL!C606="","",PNL!C606)</f>
        <v>2025</v>
      </c>
      <c r="D606" t="str">
        <f>IF(PNL!D606="","",PNL!D606)</f>
        <v>ACT</v>
      </c>
      <c r="E606">
        <f t="shared" si="0"/>
        <v>0</v>
      </c>
      <c r="F606">
        <f>IF($A606="","",IF($E606=1,_xlfn.SUMIFS(Compta!$F$1:$F$1448,Compta!$A$1:$A$1448,$A606,Compta!$B$1:$B$1448,$B606,Compta!$C$1:$C$1448,"2026"),0))</f>
        <v>0</v>
      </c>
      <c r="G606" t="s">
        <v>274</v>
      </c>
      <c r="H606" t="s">
        <v>274</v>
      </c>
      <c r="I606" t="s">
        <v>274</v>
      </c>
      <c r="J606" t="s">
        <v>274</v>
      </c>
      <c r="K606" t="s">
        <v>274</v>
      </c>
      <c r="L606" t="s">
        <v>274</v>
      </c>
      <c r="M606" t="s">
        <v>274</v>
      </c>
      <c r="N606" t="e">
        <f t="shared" si="1"/>
        <v>#VALUE!</v>
      </c>
      <c r="O606" t="e">
        <f t="shared" si="2"/>
        <v>#VALUE!</v>
      </c>
      <c r="P606">
        <f>IF($A606="","",IF($E606=1,$F606*$O606,PNL!G606))</f>
        <v>12864</v>
      </c>
      <c r="T606">
        <f t="shared" si="3"/>
        <v>0</v>
      </c>
    </row>
    <row r="607" ht="14.25" customHeight="1">
      <c r="A607" t="str">
        <f>IF(PNL!A607="","",PNL!A607)</f>
        <v>ISCOM_TLS</v>
      </c>
      <c r="B607" t="str">
        <f>IF(PNL!B607="","",PNL!B607)</f>
        <v>63511</v>
      </c>
      <c r="C607" t="str">
        <f>IF(PNL!C607="","",PNL!C607)</f>
        <v>2025</v>
      </c>
      <c r="D607" t="str">
        <f>IF(PNL!D607="","",PNL!D607)</f>
        <v>ACT</v>
      </c>
      <c r="E607">
        <f t="shared" si="0"/>
        <v>0</v>
      </c>
      <c r="F607">
        <f>IF($A607="","",IF($E607=1,_xlfn.SUMIFS(Compta!$F$1:$F$1448,Compta!$A$1:$A$1448,$A607,Compta!$B$1:$B$1448,$B607,Compta!$C$1:$C$1448,"2026"),0))</f>
        <v>0</v>
      </c>
      <c r="G607" t="s">
        <v>274</v>
      </c>
      <c r="H607" t="s">
        <v>274</v>
      </c>
      <c r="I607" t="s">
        <v>274</v>
      </c>
      <c r="J607" t="s">
        <v>274</v>
      </c>
      <c r="K607" t="s">
        <v>274</v>
      </c>
      <c r="L607" t="s">
        <v>274</v>
      </c>
      <c r="M607" t="s">
        <v>274</v>
      </c>
      <c r="N607" t="e">
        <f t="shared" si="1"/>
        <v>#VALUE!</v>
      </c>
      <c r="O607" t="e">
        <f t="shared" si="2"/>
        <v>#VALUE!</v>
      </c>
      <c r="P607">
        <f>IF($A607="","",IF($E607=1,$F607*$O607,PNL!G607))</f>
        <v>12585</v>
      </c>
      <c r="T607">
        <f t="shared" si="3"/>
        <v>0</v>
      </c>
    </row>
    <row r="608" ht="14.25" customHeight="1">
      <c r="A608" t="str">
        <f>IF(PNL!A608="","",PNL!A608)</f>
        <v>IPAC_NAN</v>
      </c>
      <c r="B608" t="str">
        <f>IF(PNL!B608="","",PNL!B608)</f>
        <v>63511</v>
      </c>
      <c r="C608" t="str">
        <f>IF(PNL!C608="","",PNL!C608)</f>
        <v>2025</v>
      </c>
      <c r="D608" t="str">
        <f>IF(PNL!D608="","",PNL!D608)</f>
        <v>ACT</v>
      </c>
      <c r="E608">
        <f t="shared" si="0"/>
        <v>0</v>
      </c>
      <c r="F608">
        <f>IF($A608="","",IF($E608=1,_xlfn.SUMIFS(Compta!$F$1:$F$1448,Compta!$A$1:$A$1448,$A608,Compta!$B$1:$B$1448,$B608,Compta!$C$1:$C$1448,"2026"),0))</f>
        <v>0</v>
      </c>
      <c r="G608" t="s">
        <v>274</v>
      </c>
      <c r="H608" t="s">
        <v>274</v>
      </c>
      <c r="I608" t="s">
        <v>274</v>
      </c>
      <c r="J608" t="s">
        <v>274</v>
      </c>
      <c r="K608" t="s">
        <v>274</v>
      </c>
      <c r="L608" t="s">
        <v>274</v>
      </c>
      <c r="M608" t="s">
        <v>274</v>
      </c>
      <c r="N608" t="e">
        <f t="shared" si="1"/>
        <v>#VALUE!</v>
      </c>
      <c r="O608" t="e">
        <f t="shared" si="2"/>
        <v>#VALUE!</v>
      </c>
      <c r="P608">
        <f>IF($A608="","",IF($E608=1,$F608*$O608,PNL!G608))</f>
        <v>8390</v>
      </c>
      <c r="T608">
        <f t="shared" si="3"/>
        <v>0</v>
      </c>
    </row>
    <row r="609" ht="14.25" customHeight="1">
      <c r="A609" t="str">
        <f>IF(PNL!A609="","",PNL!A609)</f>
        <v>IPAC_REN</v>
      </c>
      <c r="B609" t="str">
        <f>IF(PNL!B609="","",PNL!B609)</f>
        <v>63511</v>
      </c>
      <c r="C609" t="str">
        <f>IF(PNL!C609="","",PNL!C609)</f>
        <v>2025</v>
      </c>
      <c r="D609" t="str">
        <f>IF(PNL!D609="","",PNL!D609)</f>
        <v>ACT</v>
      </c>
      <c r="E609">
        <f t="shared" si="0"/>
        <v>0</v>
      </c>
      <c r="F609">
        <f>IF($A609="","",IF($E609=1,_xlfn.SUMIFS(Compta!$F$1:$F$1448,Compta!$A$1:$A$1448,$A609,Compta!$B$1:$B$1448,$B609,Compta!$C$1:$C$1448,"2026"),0))</f>
        <v>0</v>
      </c>
      <c r="G609" t="s">
        <v>274</v>
      </c>
      <c r="H609" t="s">
        <v>274</v>
      </c>
      <c r="I609" t="s">
        <v>274</v>
      </c>
      <c r="J609" t="s">
        <v>274</v>
      </c>
      <c r="K609" t="s">
        <v>274</v>
      </c>
      <c r="L609" t="s">
        <v>274</v>
      </c>
      <c r="M609" t="s">
        <v>274</v>
      </c>
      <c r="N609" t="e">
        <f t="shared" si="1"/>
        <v>#VALUE!</v>
      </c>
      <c r="O609" t="e">
        <f t="shared" si="2"/>
        <v>#VALUE!</v>
      </c>
      <c r="P609">
        <f>IF($A609="","",IF($E609=1,$F609*$O609,PNL!G609))</f>
        <v>7383</v>
      </c>
      <c r="T609">
        <f t="shared" si="3"/>
        <v>0</v>
      </c>
    </row>
    <row r="610" ht="14.25" customHeight="1">
      <c r="A610" t="str">
        <f>IF(PNL!A610="","",PNL!A610)</f>
        <v>IPAC_MTP</v>
      </c>
      <c r="B610" t="str">
        <f>IF(PNL!B610="","",PNL!B610)</f>
        <v>63511</v>
      </c>
      <c r="C610" t="str">
        <f>IF(PNL!C610="","",PNL!C610)</f>
        <v>2025</v>
      </c>
      <c r="D610" t="str">
        <f>IF(PNL!D610="","",PNL!D610)</f>
        <v>ACT</v>
      </c>
      <c r="E610">
        <f t="shared" si="0"/>
        <v>0</v>
      </c>
      <c r="F610">
        <f>IF($A610="","",IF($E610=1,_xlfn.SUMIFS(Compta!$F$1:$F$1448,Compta!$A$1:$A$1448,$A610,Compta!$B$1:$B$1448,$B610,Compta!$C$1:$C$1448,"2026"),0))</f>
        <v>0</v>
      </c>
      <c r="G610" t="s">
        <v>274</v>
      </c>
      <c r="H610" t="s">
        <v>274</v>
      </c>
      <c r="I610" t="s">
        <v>274</v>
      </c>
      <c r="J610" t="s">
        <v>274</v>
      </c>
      <c r="K610" t="s">
        <v>274</v>
      </c>
      <c r="L610" t="s">
        <v>274</v>
      </c>
      <c r="M610" t="s">
        <v>274</v>
      </c>
      <c r="N610" t="e">
        <f t="shared" si="1"/>
        <v>#VALUE!</v>
      </c>
      <c r="O610" t="e">
        <f t="shared" si="2"/>
        <v>#VALUE!</v>
      </c>
      <c r="P610">
        <f>IF($A610="","",IF($E610=1,$F610*$O610,PNL!G610))</f>
        <v>7383</v>
      </c>
      <c r="T610">
        <f t="shared" si="3"/>
        <v>0</v>
      </c>
    </row>
    <row r="611" ht="14.25" customHeight="1">
      <c r="A611" t="str">
        <f>IF(PNL!A611="","",PNL!A611)</f>
        <v>PIGIER_LYO</v>
      </c>
      <c r="B611" t="str">
        <f>IF(PNL!B611="","",PNL!B611)</f>
        <v>63511</v>
      </c>
      <c r="C611" t="str">
        <f>IF(PNL!C611="","",PNL!C611)</f>
        <v>2025</v>
      </c>
      <c r="D611" t="str">
        <f>IF(PNL!D611="","",PNL!D611)</f>
        <v>ACT</v>
      </c>
      <c r="E611">
        <f t="shared" si="0"/>
        <v>0</v>
      </c>
      <c r="F611">
        <f>IF($A611="","",IF($E611=1,_xlfn.SUMIFS(Compta!$F$1:$F$1448,Compta!$A$1:$A$1448,$A611,Compta!$B$1:$B$1448,$B611,Compta!$C$1:$C$1448,"2026"),0))</f>
        <v>0</v>
      </c>
      <c r="G611" t="s">
        <v>274</v>
      </c>
      <c r="H611" t="s">
        <v>274</v>
      </c>
      <c r="I611" t="s">
        <v>274</v>
      </c>
      <c r="J611" t="s">
        <v>274</v>
      </c>
      <c r="K611" t="s">
        <v>274</v>
      </c>
      <c r="L611" t="s">
        <v>274</v>
      </c>
      <c r="M611" t="s">
        <v>274</v>
      </c>
      <c r="N611" t="e">
        <f t="shared" si="1"/>
        <v>#VALUE!</v>
      </c>
      <c r="O611" t="e">
        <f t="shared" si="2"/>
        <v>#VALUE!</v>
      </c>
      <c r="P611">
        <f>IF($A611="","",IF($E611=1,$F611*$O611,PNL!G611))</f>
        <v>12529</v>
      </c>
      <c r="T611">
        <f t="shared" si="3"/>
        <v>0</v>
      </c>
    </row>
    <row r="612" ht="14.25" customHeight="1">
      <c r="A612" t="str">
        <f>IF(PNL!A612="","",PNL!A612)</f>
        <v>PIGIER_BOR</v>
      </c>
      <c r="B612" t="str">
        <f>IF(PNL!B612="","",PNL!B612)</f>
        <v>63511</v>
      </c>
      <c r="C612" t="str">
        <f>IF(PNL!C612="","",PNL!C612)</f>
        <v>2025</v>
      </c>
      <c r="D612" t="str">
        <f>IF(PNL!D612="","",PNL!D612)</f>
        <v>ACT</v>
      </c>
      <c r="E612">
        <f t="shared" si="0"/>
        <v>0</v>
      </c>
      <c r="F612">
        <f>IF($A612="","",IF($E612=1,_xlfn.SUMIFS(Compta!$F$1:$F$1448,Compta!$A$1:$A$1448,$A612,Compta!$B$1:$B$1448,$B612,Compta!$C$1:$C$1448,"2026"),0))</f>
        <v>0</v>
      </c>
      <c r="G612" t="s">
        <v>274</v>
      </c>
      <c r="H612" t="s">
        <v>274</v>
      </c>
      <c r="I612" t="s">
        <v>274</v>
      </c>
      <c r="J612" t="s">
        <v>274</v>
      </c>
      <c r="K612" t="s">
        <v>274</v>
      </c>
      <c r="L612" t="s">
        <v>274</v>
      </c>
      <c r="M612" t="s">
        <v>274</v>
      </c>
      <c r="N612" t="e">
        <f t="shared" si="1"/>
        <v>#VALUE!</v>
      </c>
      <c r="O612" t="e">
        <f t="shared" si="2"/>
        <v>#VALUE!</v>
      </c>
      <c r="P612">
        <f>IF($A612="","",IF($E612=1,$F612*$O612,PNL!G612))</f>
        <v>11746</v>
      </c>
      <c r="T612">
        <f t="shared" si="3"/>
        <v>0</v>
      </c>
    </row>
    <row r="613" ht="14.25" customHeight="1">
      <c r="A613" t="str">
        <f>IF(PNL!A613="","",PNL!A613)</f>
        <v>TUNON_PAR</v>
      </c>
      <c r="B613" t="str">
        <f>IF(PNL!B613="","",PNL!B613)</f>
        <v>63511</v>
      </c>
      <c r="C613" t="str">
        <f>IF(PNL!C613="","",PNL!C613)</f>
        <v>2025</v>
      </c>
      <c r="D613" t="str">
        <f>IF(PNL!D613="","",PNL!D613)</f>
        <v>ACT</v>
      </c>
      <c r="E613">
        <f t="shared" si="0"/>
        <v>0</v>
      </c>
      <c r="F613">
        <f>IF($A613="","",IF($E613=1,_xlfn.SUMIFS(Compta!$F$1:$F$1448,Compta!$A$1:$A$1448,$A613,Compta!$B$1:$B$1448,$B613,Compta!$C$1:$C$1448,"2026"),0))</f>
        <v>0</v>
      </c>
      <c r="G613" t="s">
        <v>274</v>
      </c>
      <c r="H613" t="s">
        <v>274</v>
      </c>
      <c r="I613" t="s">
        <v>274</v>
      </c>
      <c r="J613" t="s">
        <v>274</v>
      </c>
      <c r="K613" t="s">
        <v>274</v>
      </c>
      <c r="L613" t="s">
        <v>274</v>
      </c>
      <c r="M613" t="s">
        <v>274</v>
      </c>
      <c r="N613" t="e">
        <f t="shared" si="1"/>
        <v>#VALUE!</v>
      </c>
      <c r="O613" t="e">
        <f t="shared" si="2"/>
        <v>#VALUE!</v>
      </c>
      <c r="P613">
        <f>IF($A613="","",IF($E613=1,$F613*$O613,PNL!G613))</f>
        <v>13591</v>
      </c>
      <c r="T613">
        <f t="shared" si="3"/>
        <v>0</v>
      </c>
    </row>
    <row r="614" ht="14.25" customHeight="1">
      <c r="A614" t="str">
        <f>IF(PNL!A614="","",PNL!A614)</f>
        <v>TUNON_LYO</v>
      </c>
      <c r="B614" t="str">
        <f>IF(PNL!B614="","",PNL!B614)</f>
        <v>63511</v>
      </c>
      <c r="C614" t="str">
        <f>IF(PNL!C614="","",PNL!C614)</f>
        <v>2025</v>
      </c>
      <c r="D614" t="str">
        <f>IF(PNL!D614="","",PNL!D614)</f>
        <v>ACT</v>
      </c>
      <c r="E614">
        <f t="shared" si="0"/>
        <v>0</v>
      </c>
      <c r="F614">
        <f>IF($A614="","",IF($E614=1,_xlfn.SUMIFS(Compta!$F$1:$F$1448,Compta!$A$1:$A$1448,$A614,Compta!$B$1:$B$1448,$B614,Compta!$C$1:$C$1448,"2026"),0))</f>
        <v>0</v>
      </c>
      <c r="G614" t="s">
        <v>274</v>
      </c>
      <c r="H614" t="s">
        <v>274</v>
      </c>
      <c r="I614" t="s">
        <v>274</v>
      </c>
      <c r="J614" t="s">
        <v>274</v>
      </c>
      <c r="K614" t="s">
        <v>274</v>
      </c>
      <c r="L614" t="s">
        <v>274</v>
      </c>
      <c r="M614" t="s">
        <v>274</v>
      </c>
      <c r="N614" t="e">
        <f t="shared" si="1"/>
        <v>#VALUE!</v>
      </c>
      <c r="O614" t="e">
        <f t="shared" si="2"/>
        <v>#VALUE!</v>
      </c>
      <c r="P614">
        <f>IF($A614="","",IF($E614=1,$F614*$O614,PNL!G614))</f>
        <v>9396</v>
      </c>
      <c r="T614">
        <f t="shared" si="3"/>
        <v>0</v>
      </c>
    </row>
    <row r="615" ht="14.25" customHeight="1">
      <c r="A615" t="str">
        <f>IF(PNL!A615="","",PNL!A615)</f>
        <v>MBWAY_PAR</v>
      </c>
      <c r="B615" t="str">
        <f>IF(PNL!B615="","",PNL!B615)</f>
        <v>63511</v>
      </c>
      <c r="C615" t="str">
        <f>IF(PNL!C615="","",PNL!C615)</f>
        <v>2026</v>
      </c>
      <c r="D615" t="str">
        <f>IF(PNL!D615="","",PNL!D615)</f>
        <v>ACT</v>
      </c>
      <c r="E615">
        <f t="shared" si="0"/>
        <v>0</v>
      </c>
      <c r="F615">
        <f>IF($A615="","",IF($E615=1,_xlfn.SUMIFS(Compta!$F$1:$F$1448,Compta!$A$1:$A$1448,$A615,Compta!$B$1:$B$1448,$B615,Compta!$C$1:$C$1448,"2026"),0))</f>
        <v>0</v>
      </c>
      <c r="G615" t="s">
        <v>274</v>
      </c>
      <c r="H615" t="s">
        <v>274</v>
      </c>
      <c r="I615" t="s">
        <v>274</v>
      </c>
      <c r="J615" t="s">
        <v>274</v>
      </c>
      <c r="K615" t="s">
        <v>274</v>
      </c>
      <c r="L615" t="s">
        <v>274</v>
      </c>
      <c r="M615" t="s">
        <v>274</v>
      </c>
      <c r="N615" t="e">
        <f t="shared" si="1"/>
        <v>#VALUE!</v>
      </c>
      <c r="O615" t="e">
        <f t="shared" si="2"/>
        <v>#VALUE!</v>
      </c>
      <c r="P615">
        <f>IF($A615="","",IF($E615=1,$F615*$O615,PNL!G615))</f>
        <v>35600</v>
      </c>
      <c r="T615">
        <f t="shared" si="3"/>
        <v>0</v>
      </c>
    </row>
    <row r="616" ht="14.25" customHeight="1">
      <c r="A616" t="str">
        <f>IF(PNL!A616="","",PNL!A616)</f>
        <v>MBWAY_LYO</v>
      </c>
      <c r="B616" t="str">
        <f>IF(PNL!B616="","",PNL!B616)</f>
        <v>63511</v>
      </c>
      <c r="C616" t="str">
        <f>IF(PNL!C616="","",PNL!C616)</f>
        <v>2026</v>
      </c>
      <c r="D616" t="str">
        <f>IF(PNL!D616="","",PNL!D616)</f>
        <v>ACT</v>
      </c>
      <c r="E616">
        <f t="shared" si="0"/>
        <v>0</v>
      </c>
      <c r="F616">
        <f>IF($A616="","",IF($E616=1,_xlfn.SUMIFS(Compta!$F$1:$F$1448,Compta!$A$1:$A$1448,$A616,Compta!$B$1:$B$1448,$B616,Compta!$C$1:$C$1448,"2026"),0))</f>
        <v>0</v>
      </c>
      <c r="G616" t="s">
        <v>274</v>
      </c>
      <c r="H616" t="s">
        <v>274</v>
      </c>
      <c r="I616" t="s">
        <v>274</v>
      </c>
      <c r="J616" t="s">
        <v>274</v>
      </c>
      <c r="K616" t="s">
        <v>274</v>
      </c>
      <c r="L616" t="s">
        <v>274</v>
      </c>
      <c r="M616" t="s">
        <v>274</v>
      </c>
      <c r="N616" t="e">
        <f t="shared" si="1"/>
        <v>#VALUE!</v>
      </c>
      <c r="O616" t="e">
        <f t="shared" si="2"/>
        <v>#VALUE!</v>
      </c>
      <c r="P616">
        <f>IF($A616="","",IF($E616=1,$F616*$O616,PNL!G616))</f>
        <v>21331</v>
      </c>
      <c r="T616">
        <f t="shared" si="3"/>
        <v>0</v>
      </c>
    </row>
    <row r="617" ht="14.25" customHeight="1">
      <c r="A617" t="str">
        <f>IF(PNL!A617="","",PNL!A617)</f>
        <v>MBWAY_NAN</v>
      </c>
      <c r="B617" t="str">
        <f>IF(PNL!B617="","",PNL!B617)</f>
        <v>63511</v>
      </c>
      <c r="C617" t="str">
        <f>IF(PNL!C617="","",PNL!C617)</f>
        <v>2026</v>
      </c>
      <c r="D617" t="str">
        <f>IF(PNL!D617="","",PNL!D617)</f>
        <v>ACT</v>
      </c>
      <c r="E617">
        <f t="shared" si="0"/>
        <v>0</v>
      </c>
      <c r="F617">
        <f>IF($A617="","",IF($E617=1,_xlfn.SUMIFS(Compta!$F$1:$F$1448,Compta!$A$1:$A$1448,$A617,Compta!$B$1:$B$1448,$B617,Compta!$C$1:$C$1448,"2026"),0))</f>
        <v>0</v>
      </c>
      <c r="G617" t="s">
        <v>274</v>
      </c>
      <c r="H617" t="s">
        <v>274</v>
      </c>
      <c r="I617" t="s">
        <v>274</v>
      </c>
      <c r="J617" t="s">
        <v>274</v>
      </c>
      <c r="K617" t="s">
        <v>274</v>
      </c>
      <c r="L617" t="s">
        <v>274</v>
      </c>
      <c r="M617" t="s">
        <v>274</v>
      </c>
      <c r="N617" t="e">
        <f t="shared" si="1"/>
        <v>#VALUE!</v>
      </c>
      <c r="O617" t="e">
        <f t="shared" si="2"/>
        <v>#VALUE!</v>
      </c>
      <c r="P617">
        <f>IF($A617="","",IF($E617=1,$F617*$O617,PNL!G617))</f>
        <v>17580</v>
      </c>
      <c r="T617">
        <f t="shared" si="3"/>
        <v>0</v>
      </c>
    </row>
    <row r="618" ht="14.25" customHeight="1">
      <c r="A618" t="str">
        <f>IF(PNL!A618="","",PNL!A618)</f>
        <v>MBWAY_BOR</v>
      </c>
      <c r="B618" t="str">
        <f>IF(PNL!B618="","",PNL!B618)</f>
        <v>63511</v>
      </c>
      <c r="C618" t="str">
        <f>IF(PNL!C618="","",PNL!C618)</f>
        <v>2026</v>
      </c>
      <c r="D618" t="str">
        <f>IF(PNL!D618="","",PNL!D618)</f>
        <v>ACT</v>
      </c>
      <c r="E618">
        <f t="shared" si="0"/>
        <v>0</v>
      </c>
      <c r="F618">
        <f>IF($A618="","",IF($E618=1,_xlfn.SUMIFS(Compta!$F$1:$F$1448,Compta!$A$1:$A$1448,$A618,Compta!$B$1:$B$1448,$B618,Compta!$C$1:$C$1448,"2026"),0))</f>
        <v>0</v>
      </c>
      <c r="G618" t="s">
        <v>274</v>
      </c>
      <c r="H618" t="s">
        <v>274</v>
      </c>
      <c r="I618" t="s">
        <v>274</v>
      </c>
      <c r="J618" t="s">
        <v>274</v>
      </c>
      <c r="K618" t="s">
        <v>274</v>
      </c>
      <c r="L618" t="s">
        <v>274</v>
      </c>
      <c r="M618" t="s">
        <v>274</v>
      </c>
      <c r="N618" t="e">
        <f t="shared" si="1"/>
        <v>#VALUE!</v>
      </c>
      <c r="O618" t="e">
        <f t="shared" si="2"/>
        <v>#VALUE!</v>
      </c>
      <c r="P618">
        <f>IF($A618="","",IF($E618=1,$F618*$O618,PNL!G618))</f>
        <v>15383</v>
      </c>
      <c r="T618">
        <f t="shared" si="3"/>
        <v>0</v>
      </c>
    </row>
    <row r="619" ht="14.25" customHeight="1">
      <c r="A619" t="str">
        <f>IF(PNL!A619="","",PNL!A619)</f>
        <v>ISCOM_PAR</v>
      </c>
      <c r="B619" t="str">
        <f>IF(PNL!B619="","",PNL!B619)</f>
        <v>63511</v>
      </c>
      <c r="C619" t="str">
        <f>IF(PNL!C619="","",PNL!C619)</f>
        <v>2026</v>
      </c>
      <c r="D619" t="str">
        <f>IF(PNL!D619="","",PNL!D619)</f>
        <v>ACT</v>
      </c>
      <c r="E619">
        <f t="shared" si="0"/>
        <v>0</v>
      </c>
      <c r="F619">
        <f>IF($A619="","",IF($E619=1,_xlfn.SUMIFS(Compta!$F$1:$F$1448,Compta!$A$1:$A$1448,$A619,Compta!$B$1:$B$1448,$B619,Compta!$C$1:$C$1448,"2026"),0))</f>
        <v>0</v>
      </c>
      <c r="G619" t="s">
        <v>274</v>
      </c>
      <c r="H619" t="s">
        <v>274</v>
      </c>
      <c r="I619" t="s">
        <v>274</v>
      </c>
      <c r="J619" t="s">
        <v>274</v>
      </c>
      <c r="K619" t="s">
        <v>274</v>
      </c>
      <c r="L619" t="s">
        <v>274</v>
      </c>
      <c r="M619" t="s">
        <v>274</v>
      </c>
      <c r="N619" t="e">
        <f t="shared" si="1"/>
        <v>#VALUE!</v>
      </c>
      <c r="O619" t="e">
        <f t="shared" si="2"/>
        <v>#VALUE!</v>
      </c>
      <c r="P619">
        <f>IF($A619="","",IF($E619=1,$F619*$O619,PNL!G619))</f>
        <v>35600</v>
      </c>
      <c r="T619">
        <f t="shared" si="3"/>
        <v>0</v>
      </c>
    </row>
    <row r="620" ht="14.25" customHeight="1">
      <c r="A620" t="str">
        <f>IF(PNL!A620="","",PNL!A620)</f>
        <v>ISCOM_LIL</v>
      </c>
      <c r="B620" t="str">
        <f>IF(PNL!B620="","",PNL!B620)</f>
        <v>63511</v>
      </c>
      <c r="C620" t="str">
        <f>IF(PNL!C620="","",PNL!C620)</f>
        <v>2026</v>
      </c>
      <c r="D620" t="str">
        <f>IF(PNL!D620="","",PNL!D620)</f>
        <v>ACT</v>
      </c>
      <c r="E620">
        <f t="shared" si="0"/>
        <v>0</v>
      </c>
      <c r="F620">
        <f>IF($A620="","",IF($E620=1,_xlfn.SUMIFS(Compta!$F$1:$F$1448,Compta!$A$1:$A$1448,$A620,Compta!$B$1:$B$1448,$B620,Compta!$C$1:$C$1448,"2026"),0))</f>
        <v>0</v>
      </c>
      <c r="G620" t="s">
        <v>274</v>
      </c>
      <c r="H620" t="s">
        <v>274</v>
      </c>
      <c r="I620" t="s">
        <v>274</v>
      </c>
      <c r="J620" t="s">
        <v>274</v>
      </c>
      <c r="K620" t="s">
        <v>274</v>
      </c>
      <c r="L620" t="s">
        <v>274</v>
      </c>
      <c r="M620" t="s">
        <v>274</v>
      </c>
      <c r="N620" t="e">
        <f t="shared" si="1"/>
        <v>#VALUE!</v>
      </c>
      <c r="O620" t="e">
        <f t="shared" si="2"/>
        <v>#VALUE!</v>
      </c>
      <c r="P620">
        <f>IF($A620="","",IF($E620=1,$F620*$O620,PNL!G620))</f>
        <v>13478</v>
      </c>
      <c r="T620">
        <f t="shared" si="3"/>
        <v>0</v>
      </c>
    </row>
    <row r="621" ht="14.25" customHeight="1">
      <c r="A621" t="str">
        <f>IF(PNL!A621="","",PNL!A621)</f>
        <v>ISCOM_TLS</v>
      </c>
      <c r="B621" t="str">
        <f>IF(PNL!B621="","",PNL!B621)</f>
        <v>63511</v>
      </c>
      <c r="C621" t="str">
        <f>IF(PNL!C621="","",PNL!C621)</f>
        <v>2026</v>
      </c>
      <c r="D621" t="str">
        <f>IF(PNL!D621="","",PNL!D621)</f>
        <v>ACT</v>
      </c>
      <c r="E621">
        <f t="shared" si="0"/>
        <v>0</v>
      </c>
      <c r="F621">
        <f>IF($A621="","",IF($E621=1,_xlfn.SUMIFS(Compta!$F$1:$F$1448,Compta!$A$1:$A$1448,$A621,Compta!$B$1:$B$1448,$B621,Compta!$C$1:$C$1448,"2026"),0))</f>
        <v>0</v>
      </c>
      <c r="G621" t="s">
        <v>274</v>
      </c>
      <c r="H621" t="s">
        <v>274</v>
      </c>
      <c r="I621" t="s">
        <v>274</v>
      </c>
      <c r="J621" t="s">
        <v>274</v>
      </c>
      <c r="K621" t="s">
        <v>274</v>
      </c>
      <c r="L621" t="s">
        <v>274</v>
      </c>
      <c r="M621" t="s">
        <v>274</v>
      </c>
      <c r="N621" t="e">
        <f t="shared" si="1"/>
        <v>#VALUE!</v>
      </c>
      <c r="O621" t="e">
        <f t="shared" si="2"/>
        <v>#VALUE!</v>
      </c>
      <c r="P621">
        <f>IF($A621="","",IF($E621=1,$F621*$O621,PNL!G621))</f>
        <v>13185</v>
      </c>
      <c r="T621">
        <f t="shared" si="3"/>
        <v>0</v>
      </c>
    </row>
    <row r="622" ht="14.25" customHeight="1">
      <c r="A622" t="str">
        <f>IF(PNL!A622="","",PNL!A622)</f>
        <v>IPAC_NAN</v>
      </c>
      <c r="B622" t="str">
        <f>IF(PNL!B622="","",PNL!B622)</f>
        <v>63511</v>
      </c>
      <c r="C622" t="str">
        <f>IF(PNL!C622="","",PNL!C622)</f>
        <v>2026</v>
      </c>
      <c r="D622" t="str">
        <f>IF(PNL!D622="","",PNL!D622)</f>
        <v>ACT</v>
      </c>
      <c r="E622">
        <f t="shared" si="0"/>
        <v>0</v>
      </c>
      <c r="F622">
        <f>IF($A622="","",IF($E622=1,_xlfn.SUMIFS(Compta!$F$1:$F$1448,Compta!$A$1:$A$1448,$A622,Compta!$B$1:$B$1448,$B622,Compta!$C$1:$C$1448,"2026"),0))</f>
        <v>0</v>
      </c>
      <c r="G622" t="s">
        <v>274</v>
      </c>
      <c r="H622" t="s">
        <v>274</v>
      </c>
      <c r="I622" t="s">
        <v>274</v>
      </c>
      <c r="J622" t="s">
        <v>274</v>
      </c>
      <c r="K622" t="s">
        <v>274</v>
      </c>
      <c r="L622" t="s">
        <v>274</v>
      </c>
      <c r="M622" t="s">
        <v>274</v>
      </c>
      <c r="N622" t="e">
        <f t="shared" si="1"/>
        <v>#VALUE!</v>
      </c>
      <c r="O622" t="e">
        <f t="shared" si="2"/>
        <v>#VALUE!</v>
      </c>
      <c r="P622">
        <f>IF($A622="","",IF($E622=1,$F622*$O622,PNL!G622))</f>
        <v>8790</v>
      </c>
      <c r="T622">
        <f t="shared" si="3"/>
        <v>0</v>
      </c>
    </row>
    <row r="623" ht="14.25" customHeight="1">
      <c r="A623" t="str">
        <f>IF(PNL!A623="","",PNL!A623)</f>
        <v>IPAC_REN</v>
      </c>
      <c r="B623" t="str">
        <f>IF(PNL!B623="","",PNL!B623)</f>
        <v>63511</v>
      </c>
      <c r="C623" t="str">
        <f>IF(PNL!C623="","",PNL!C623)</f>
        <v>2026</v>
      </c>
      <c r="D623" t="str">
        <f>IF(PNL!D623="","",PNL!D623)</f>
        <v>ACT</v>
      </c>
      <c r="E623">
        <f t="shared" si="0"/>
        <v>0</v>
      </c>
      <c r="F623">
        <f>IF($A623="","",IF($E623=1,_xlfn.SUMIFS(Compta!$F$1:$F$1448,Compta!$A$1:$A$1448,$A623,Compta!$B$1:$B$1448,$B623,Compta!$C$1:$C$1448,"2026"),0))</f>
        <v>0</v>
      </c>
      <c r="G623" t="s">
        <v>274</v>
      </c>
      <c r="H623" t="s">
        <v>274</v>
      </c>
      <c r="I623" t="s">
        <v>274</v>
      </c>
      <c r="J623" t="s">
        <v>274</v>
      </c>
      <c r="K623" t="s">
        <v>274</v>
      </c>
      <c r="L623" t="s">
        <v>274</v>
      </c>
      <c r="M623" t="s">
        <v>274</v>
      </c>
      <c r="N623" t="e">
        <f t="shared" si="1"/>
        <v>#VALUE!</v>
      </c>
      <c r="O623" t="e">
        <f t="shared" si="2"/>
        <v>#VALUE!</v>
      </c>
      <c r="P623">
        <f>IF($A623="","",IF($E623=1,$F623*$O623,PNL!G623))</f>
        <v>7735</v>
      </c>
      <c r="T623">
        <f t="shared" si="3"/>
        <v>0</v>
      </c>
    </row>
    <row r="624" ht="14.25" customHeight="1">
      <c r="A624" t="str">
        <f>IF(PNL!A624="","",PNL!A624)</f>
        <v>IPAC_MTP</v>
      </c>
      <c r="B624" t="str">
        <f>IF(PNL!B624="","",PNL!B624)</f>
        <v>63511</v>
      </c>
      <c r="C624" t="str">
        <f>IF(PNL!C624="","",PNL!C624)</f>
        <v>2026</v>
      </c>
      <c r="D624" t="str">
        <f>IF(PNL!D624="","",PNL!D624)</f>
        <v>ACT</v>
      </c>
      <c r="E624">
        <f t="shared" si="0"/>
        <v>0</v>
      </c>
      <c r="F624">
        <f>IF($A624="","",IF($E624=1,_xlfn.SUMIFS(Compta!$F$1:$F$1448,Compta!$A$1:$A$1448,$A624,Compta!$B$1:$B$1448,$B624,Compta!$C$1:$C$1448,"2026"),0))</f>
        <v>0</v>
      </c>
      <c r="G624" t="s">
        <v>274</v>
      </c>
      <c r="H624" t="s">
        <v>274</v>
      </c>
      <c r="I624" t="s">
        <v>274</v>
      </c>
      <c r="J624" t="s">
        <v>274</v>
      </c>
      <c r="K624" t="s">
        <v>274</v>
      </c>
      <c r="L624" t="s">
        <v>274</v>
      </c>
      <c r="M624" t="s">
        <v>274</v>
      </c>
      <c r="N624" t="e">
        <f t="shared" si="1"/>
        <v>#VALUE!</v>
      </c>
      <c r="O624" t="e">
        <f t="shared" si="2"/>
        <v>#VALUE!</v>
      </c>
      <c r="P624">
        <f>IF($A624="","",IF($E624=1,$F624*$O624,PNL!G624))</f>
        <v>7735</v>
      </c>
      <c r="T624">
        <f t="shared" si="3"/>
        <v>0</v>
      </c>
    </row>
    <row r="625" ht="14.25" customHeight="1">
      <c r="A625" t="str">
        <f>IF(PNL!A625="","",PNL!A625)</f>
        <v>PIGIER_LYO</v>
      </c>
      <c r="B625" t="str">
        <f>IF(PNL!B625="","",PNL!B625)</f>
        <v>63511</v>
      </c>
      <c r="C625" t="str">
        <f>IF(PNL!C625="","",PNL!C625)</f>
        <v>2026</v>
      </c>
      <c r="D625" t="str">
        <f>IF(PNL!D625="","",PNL!D625)</f>
        <v>ACT</v>
      </c>
      <c r="E625">
        <f t="shared" si="0"/>
        <v>0</v>
      </c>
      <c r="F625">
        <f>IF($A625="","",IF($E625=1,_xlfn.SUMIFS(Compta!$F$1:$F$1448,Compta!$A$1:$A$1448,$A625,Compta!$B$1:$B$1448,$B625,Compta!$C$1:$C$1448,"2026"),0))</f>
        <v>0</v>
      </c>
      <c r="G625" t="s">
        <v>274</v>
      </c>
      <c r="H625" t="s">
        <v>274</v>
      </c>
      <c r="I625" t="s">
        <v>274</v>
      </c>
      <c r="J625" t="s">
        <v>274</v>
      </c>
      <c r="K625" t="s">
        <v>274</v>
      </c>
      <c r="L625" t="s">
        <v>274</v>
      </c>
      <c r="M625" t="s">
        <v>274</v>
      </c>
      <c r="N625" t="e">
        <f t="shared" si="1"/>
        <v>#VALUE!</v>
      </c>
      <c r="O625" t="e">
        <f t="shared" si="2"/>
        <v>#VALUE!</v>
      </c>
      <c r="P625">
        <f>IF($A625="","",IF($E625=1,$F625*$O625,PNL!G625))</f>
        <v>13127</v>
      </c>
      <c r="T625">
        <f t="shared" si="3"/>
        <v>0</v>
      </c>
    </row>
    <row r="626" ht="14.25" customHeight="1">
      <c r="A626" t="str">
        <f>IF(PNL!A626="","",PNL!A626)</f>
        <v>PIGIER_BOR</v>
      </c>
      <c r="B626" t="str">
        <f>IF(PNL!B626="","",PNL!B626)</f>
        <v>63511</v>
      </c>
      <c r="C626" t="str">
        <f>IF(PNL!C626="","",PNL!C626)</f>
        <v>2026</v>
      </c>
      <c r="D626" t="str">
        <f>IF(PNL!D626="","",PNL!D626)</f>
        <v>ACT</v>
      </c>
      <c r="E626">
        <f t="shared" si="0"/>
        <v>0</v>
      </c>
      <c r="F626">
        <f>IF($A626="","",IF($E626=1,_xlfn.SUMIFS(Compta!$F$1:$F$1448,Compta!$A$1:$A$1448,$A626,Compta!$B$1:$B$1448,$B626,Compta!$C$1:$C$1448,"2026"),0))</f>
        <v>0</v>
      </c>
      <c r="G626" t="s">
        <v>274</v>
      </c>
      <c r="H626" t="s">
        <v>274</v>
      </c>
      <c r="I626" t="s">
        <v>274</v>
      </c>
      <c r="J626" t="s">
        <v>274</v>
      </c>
      <c r="K626" t="s">
        <v>274</v>
      </c>
      <c r="L626" t="s">
        <v>274</v>
      </c>
      <c r="M626" t="s">
        <v>274</v>
      </c>
      <c r="N626" t="e">
        <f t="shared" si="1"/>
        <v>#VALUE!</v>
      </c>
      <c r="O626" t="e">
        <f t="shared" si="2"/>
        <v>#VALUE!</v>
      </c>
      <c r="P626">
        <f>IF($A626="","",IF($E626=1,$F626*$O626,PNL!G626))</f>
        <v>12306</v>
      </c>
      <c r="T626">
        <f t="shared" si="3"/>
        <v>0</v>
      </c>
    </row>
    <row r="627" ht="14.25" customHeight="1">
      <c r="A627" t="str">
        <f>IF(PNL!A627="","",PNL!A627)</f>
        <v>TUNON_PAR</v>
      </c>
      <c r="B627" t="str">
        <f>IF(PNL!B627="","",PNL!B627)</f>
        <v>63511</v>
      </c>
      <c r="C627" t="str">
        <f>IF(PNL!C627="","",PNL!C627)</f>
        <v>2026</v>
      </c>
      <c r="D627" t="str">
        <f>IF(PNL!D627="","",PNL!D627)</f>
        <v>ACT</v>
      </c>
      <c r="E627">
        <f t="shared" si="0"/>
        <v>0</v>
      </c>
      <c r="F627">
        <f>IF($A627="","",IF($E627=1,_xlfn.SUMIFS(Compta!$F$1:$F$1448,Compta!$A$1:$A$1448,$A627,Compta!$B$1:$B$1448,$B627,Compta!$C$1:$C$1448,"2026"),0))</f>
        <v>0</v>
      </c>
      <c r="G627" t="s">
        <v>274</v>
      </c>
      <c r="H627" t="s">
        <v>274</v>
      </c>
      <c r="I627" t="s">
        <v>274</v>
      </c>
      <c r="J627" t="s">
        <v>274</v>
      </c>
      <c r="K627" t="s">
        <v>274</v>
      </c>
      <c r="L627" t="s">
        <v>274</v>
      </c>
      <c r="M627" t="s">
        <v>274</v>
      </c>
      <c r="N627" t="e">
        <f t="shared" si="1"/>
        <v>#VALUE!</v>
      </c>
      <c r="O627" t="e">
        <f t="shared" si="2"/>
        <v>#VALUE!</v>
      </c>
      <c r="P627">
        <f>IF($A627="","",IF($E627=1,$F627*$O627,PNL!G627))</f>
        <v>14240</v>
      </c>
      <c r="T627">
        <f t="shared" si="3"/>
        <v>0</v>
      </c>
    </row>
    <row r="628" ht="14.25" customHeight="1">
      <c r="A628" t="str">
        <f>IF(PNL!A628="","",PNL!A628)</f>
        <v>TUNON_LYO</v>
      </c>
      <c r="B628" t="str">
        <f>IF(PNL!B628="","",PNL!B628)</f>
        <v>63511</v>
      </c>
      <c r="C628" t="str">
        <f>IF(PNL!C628="","",PNL!C628)</f>
        <v>2026</v>
      </c>
      <c r="D628" t="str">
        <f>IF(PNL!D628="","",PNL!D628)</f>
        <v>ACT</v>
      </c>
      <c r="E628">
        <f t="shared" si="0"/>
        <v>0</v>
      </c>
      <c r="F628">
        <f>IF($A628="","",IF($E628=1,_xlfn.SUMIFS(Compta!$F$1:$F$1448,Compta!$A$1:$A$1448,$A628,Compta!$B$1:$B$1448,$B628,Compta!$C$1:$C$1448,"2026"),0))</f>
        <v>0</v>
      </c>
      <c r="G628" t="s">
        <v>274</v>
      </c>
      <c r="H628" t="s">
        <v>274</v>
      </c>
      <c r="I628" t="s">
        <v>274</v>
      </c>
      <c r="J628" t="s">
        <v>274</v>
      </c>
      <c r="K628" t="s">
        <v>274</v>
      </c>
      <c r="L628" t="s">
        <v>274</v>
      </c>
      <c r="M628" t="s">
        <v>274</v>
      </c>
      <c r="N628" t="e">
        <f t="shared" si="1"/>
        <v>#VALUE!</v>
      </c>
      <c r="O628" t="e">
        <f t="shared" si="2"/>
        <v>#VALUE!</v>
      </c>
      <c r="P628">
        <f>IF($A628="","",IF($E628=1,$F628*$O628,PNL!G628))</f>
        <v>9845</v>
      </c>
      <c r="T628">
        <f t="shared" si="3"/>
        <v>0</v>
      </c>
    </row>
    <row r="629" ht="14.25" customHeight="1">
      <c r="A629" t="str">
        <f>IF(PNL!A629="","",PNL!A629)</f>
        <v>GRP</v>
      </c>
      <c r="B629" t="str">
        <f>IF(PNL!B629="","",PNL!B629)</f>
        <v>6333</v>
      </c>
      <c r="C629" t="str">
        <f>IF(PNL!C629="","",PNL!C629)</f>
        <v>2024</v>
      </c>
      <c r="D629" t="str">
        <f>IF(PNL!D629="","",PNL!D629)</f>
        <v>ACT</v>
      </c>
      <c r="E629">
        <f t="shared" si="0"/>
        <v>0</v>
      </c>
      <c r="F629">
        <f>IF($A629="","",IF($E629=1,_xlfn.SUMIFS(Compta!$F$1:$F$1448,Compta!$A$1:$A$1448,$A629,Compta!$B$1:$B$1448,$B629,Compta!$C$1:$C$1448,"2026"),0))</f>
        <v>0</v>
      </c>
      <c r="G629" t="s">
        <v>274</v>
      </c>
      <c r="H629" t="s">
        <v>274</v>
      </c>
      <c r="I629" t="s">
        <v>274</v>
      </c>
      <c r="J629" t="s">
        <v>274</v>
      </c>
      <c r="K629" t="s">
        <v>274</v>
      </c>
      <c r="L629" t="s">
        <v>274</v>
      </c>
      <c r="M629" t="s">
        <v>274</v>
      </c>
      <c r="N629" t="e">
        <f t="shared" si="1"/>
        <v>#VALUE!</v>
      </c>
      <c r="O629" t="e">
        <f t="shared" si="2"/>
        <v>#VALUE!</v>
      </c>
      <c r="P629">
        <f>IF($A629="","",IF($E629=1,$F629*$O629,PNL!G629))</f>
        <v>103097</v>
      </c>
      <c r="T629">
        <f t="shared" si="3"/>
        <v>0</v>
      </c>
    </row>
    <row r="630" ht="14.25" customHeight="1">
      <c r="A630" t="str">
        <f>IF(PNL!A630="","",PNL!A630)</f>
        <v>GRP</v>
      </c>
      <c r="B630" t="str">
        <f>IF(PNL!B630="","",PNL!B630)</f>
        <v>6333</v>
      </c>
      <c r="C630" t="str">
        <f>IF(PNL!C630="","",PNL!C630)</f>
        <v>2025</v>
      </c>
      <c r="D630" t="str">
        <f>IF(PNL!D630="","",PNL!D630)</f>
        <v>ACT</v>
      </c>
      <c r="E630">
        <f t="shared" si="0"/>
        <v>0</v>
      </c>
      <c r="F630">
        <f>IF($A630="","",IF($E630=1,_xlfn.SUMIFS(Compta!$F$1:$F$1448,Compta!$A$1:$A$1448,$A630,Compta!$B$1:$B$1448,$B630,Compta!$C$1:$C$1448,"2026"),0))</f>
        <v>0</v>
      </c>
      <c r="G630" t="s">
        <v>274</v>
      </c>
      <c r="H630" t="s">
        <v>274</v>
      </c>
      <c r="I630" t="s">
        <v>274</v>
      </c>
      <c r="J630" t="s">
        <v>274</v>
      </c>
      <c r="K630" t="s">
        <v>274</v>
      </c>
      <c r="L630" t="s">
        <v>274</v>
      </c>
      <c r="M630" t="s">
        <v>274</v>
      </c>
      <c r="N630" t="e">
        <f t="shared" si="1"/>
        <v>#VALUE!</v>
      </c>
      <c r="O630" t="e">
        <f t="shared" si="2"/>
        <v>#VALUE!</v>
      </c>
      <c r="P630">
        <f>IF($A630="","",IF($E630=1,$F630*$O630,PNL!G630))</f>
        <v>107822</v>
      </c>
      <c r="T630">
        <f t="shared" si="3"/>
        <v>0</v>
      </c>
    </row>
    <row r="631" ht="14.25" customHeight="1">
      <c r="A631" t="str">
        <f>IF(PNL!A631="","",PNL!A631)</f>
        <v>GRP</v>
      </c>
      <c r="B631" t="str">
        <f>IF(PNL!B631="","",PNL!B631)</f>
        <v>6333</v>
      </c>
      <c r="C631" t="str">
        <f>IF(PNL!C631="","",PNL!C631)</f>
        <v>2026</v>
      </c>
      <c r="D631" t="str">
        <f>IF(PNL!D631="","",PNL!D631)</f>
        <v>ACT</v>
      </c>
      <c r="E631">
        <f t="shared" si="0"/>
        <v>0</v>
      </c>
      <c r="F631">
        <f>IF($A631="","",IF($E631=1,_xlfn.SUMIFS(Compta!$F$1:$F$1448,Compta!$A$1:$A$1448,$A631,Compta!$B$1:$B$1448,$B631,Compta!$C$1:$C$1448,"2026"),0))</f>
        <v>0</v>
      </c>
      <c r="G631" t="s">
        <v>274</v>
      </c>
      <c r="H631" t="s">
        <v>274</v>
      </c>
      <c r="I631" t="s">
        <v>274</v>
      </c>
      <c r="J631" t="s">
        <v>274</v>
      </c>
      <c r="K631" t="s">
        <v>274</v>
      </c>
      <c r="L631" t="s">
        <v>274</v>
      </c>
      <c r="M631" t="s">
        <v>274</v>
      </c>
      <c r="N631" t="e">
        <f t="shared" si="1"/>
        <v>#VALUE!</v>
      </c>
      <c r="O631" t="e">
        <f t="shared" si="2"/>
        <v>#VALUE!</v>
      </c>
      <c r="P631">
        <f>IF($A631="","",IF($E631=1,$F631*$O631,PNL!G631))</f>
        <v>112968</v>
      </c>
      <c r="T631">
        <f t="shared" si="3"/>
        <v>0</v>
      </c>
    </row>
    <row r="632" ht="14.25" customHeight="1">
      <c r="A632" t="str">
        <f>IF(PNL!A632="","",PNL!A632)</f>
        <v>MBWAY_PAR</v>
      </c>
      <c r="B632" t="str">
        <f>IF(PNL!B632="","",PNL!B632)</f>
        <v>6811</v>
      </c>
      <c r="C632" t="str">
        <f>IF(PNL!C632="","",PNL!C632)</f>
        <v>2024</v>
      </c>
      <c r="D632" t="str">
        <f>IF(PNL!D632="","",PNL!D632)</f>
        <v>ACT</v>
      </c>
      <c r="E632">
        <f t="shared" si="0"/>
        <v>0</v>
      </c>
      <c r="F632">
        <f>IF($A632="","",IF($E632=1,_xlfn.SUMIFS(Compta!$F$1:$F$1448,Compta!$A$1:$A$1448,$A632,Compta!$B$1:$B$1448,$B632,Compta!$C$1:$C$1448,"2026"),0))</f>
        <v>0</v>
      </c>
      <c r="G632" t="s">
        <v>274</v>
      </c>
      <c r="H632" t="s">
        <v>274</v>
      </c>
      <c r="I632" t="s">
        <v>274</v>
      </c>
      <c r="J632" t="s">
        <v>274</v>
      </c>
      <c r="K632" t="s">
        <v>274</v>
      </c>
      <c r="L632" t="s">
        <v>274</v>
      </c>
      <c r="M632" t="s">
        <v>274</v>
      </c>
      <c r="N632" t="e">
        <f t="shared" si="1"/>
        <v>#VALUE!</v>
      </c>
      <c r="O632" t="e">
        <f t="shared" si="2"/>
        <v>#VALUE!</v>
      </c>
      <c r="P632">
        <f>IF($A632="","",IF($E632=1,$F632*$O632,PNL!G632))</f>
        <v>137849</v>
      </c>
      <c r="T632">
        <f t="shared" si="3"/>
        <v>0</v>
      </c>
    </row>
    <row r="633" ht="14.25" customHeight="1">
      <c r="A633" t="str">
        <f>IF(PNL!A633="","",PNL!A633)</f>
        <v>MBWAY_LYO</v>
      </c>
      <c r="B633" t="str">
        <f>IF(PNL!B633="","",PNL!B633)</f>
        <v>6811</v>
      </c>
      <c r="C633" t="str">
        <f>IF(PNL!C633="","",PNL!C633)</f>
        <v>2024</v>
      </c>
      <c r="D633" t="str">
        <f>IF(PNL!D633="","",PNL!D633)</f>
        <v>ACT</v>
      </c>
      <c r="E633">
        <f t="shared" si="0"/>
        <v>0</v>
      </c>
      <c r="F633">
        <f>IF($A633="","",IF($E633=1,_xlfn.SUMIFS(Compta!$F$1:$F$1448,Compta!$A$1:$A$1448,$A633,Compta!$B$1:$B$1448,$B633,Compta!$C$1:$C$1448,"2026"),0))</f>
        <v>0</v>
      </c>
      <c r="G633" t="s">
        <v>274</v>
      </c>
      <c r="H633" t="s">
        <v>274</v>
      </c>
      <c r="I633" t="s">
        <v>274</v>
      </c>
      <c r="J633" t="s">
        <v>274</v>
      </c>
      <c r="K633" t="s">
        <v>274</v>
      </c>
      <c r="L633" t="s">
        <v>274</v>
      </c>
      <c r="M633" t="s">
        <v>274</v>
      </c>
      <c r="N633" t="e">
        <f t="shared" si="1"/>
        <v>#VALUE!</v>
      </c>
      <c r="O633" t="e">
        <f t="shared" si="2"/>
        <v>#VALUE!</v>
      </c>
      <c r="P633">
        <f>IF($A633="","",IF($E633=1,$F633*$O633,PNL!G633))</f>
        <v>119469</v>
      </c>
      <c r="T633">
        <f t="shared" si="3"/>
        <v>0</v>
      </c>
    </row>
    <row r="634" ht="14.25" customHeight="1">
      <c r="A634" t="str">
        <f>IF(PNL!A634="","",PNL!A634)</f>
        <v>MBWAY_NAN</v>
      </c>
      <c r="B634" t="str">
        <f>IF(PNL!B634="","",PNL!B634)</f>
        <v>6811</v>
      </c>
      <c r="C634" t="str">
        <f>IF(PNL!C634="","",PNL!C634)</f>
        <v>2024</v>
      </c>
      <c r="D634" t="str">
        <f>IF(PNL!D634="","",PNL!D634)</f>
        <v>ACT</v>
      </c>
      <c r="E634">
        <f t="shared" si="0"/>
        <v>0</v>
      </c>
      <c r="F634">
        <f>IF($A634="","",IF($E634=1,_xlfn.SUMIFS(Compta!$F$1:$F$1448,Compta!$A$1:$A$1448,$A634,Compta!$B$1:$B$1448,$B634,Compta!$C$1:$C$1448,"2026"),0))</f>
        <v>0</v>
      </c>
      <c r="G634" t="s">
        <v>274</v>
      </c>
      <c r="H634" t="s">
        <v>274</v>
      </c>
      <c r="I634" t="s">
        <v>274</v>
      </c>
      <c r="J634" t="s">
        <v>274</v>
      </c>
      <c r="K634" t="s">
        <v>274</v>
      </c>
      <c r="L634" t="s">
        <v>274</v>
      </c>
      <c r="M634" t="s">
        <v>274</v>
      </c>
      <c r="N634" t="e">
        <f t="shared" si="1"/>
        <v>#VALUE!</v>
      </c>
      <c r="O634" t="e">
        <f t="shared" si="2"/>
        <v>#VALUE!</v>
      </c>
      <c r="P634">
        <f>IF($A634="","",IF($E634=1,$F634*$O634,PNL!G634))</f>
        <v>110279</v>
      </c>
      <c r="T634">
        <f t="shared" si="3"/>
        <v>0</v>
      </c>
    </row>
    <row r="635" ht="14.25" customHeight="1">
      <c r="A635" t="str">
        <f>IF(PNL!A635="","",PNL!A635)</f>
        <v>MBWAY_BOR</v>
      </c>
      <c r="B635" t="str">
        <f>IF(PNL!B635="","",PNL!B635)</f>
        <v>6811</v>
      </c>
      <c r="C635" t="str">
        <f>IF(PNL!C635="","",PNL!C635)</f>
        <v>2024</v>
      </c>
      <c r="D635" t="str">
        <f>IF(PNL!D635="","",PNL!D635)</f>
        <v>ACT</v>
      </c>
      <c r="E635">
        <f t="shared" si="0"/>
        <v>0</v>
      </c>
      <c r="F635">
        <f>IF($A635="","",IF($E635=1,_xlfn.SUMIFS(Compta!$F$1:$F$1448,Compta!$A$1:$A$1448,$A635,Compta!$B$1:$B$1448,$B635,Compta!$C$1:$C$1448,"2026"),0))</f>
        <v>0</v>
      </c>
      <c r="G635" t="s">
        <v>274</v>
      </c>
      <c r="H635" t="s">
        <v>274</v>
      </c>
      <c r="I635" t="s">
        <v>274</v>
      </c>
      <c r="J635" t="s">
        <v>274</v>
      </c>
      <c r="K635" t="s">
        <v>274</v>
      </c>
      <c r="L635" t="s">
        <v>274</v>
      </c>
      <c r="M635" t="s">
        <v>274</v>
      </c>
      <c r="N635" t="e">
        <f t="shared" si="1"/>
        <v>#VALUE!</v>
      </c>
      <c r="O635" t="e">
        <f t="shared" si="2"/>
        <v>#VALUE!</v>
      </c>
      <c r="P635">
        <f>IF($A635="","",IF($E635=1,$F635*$O635,PNL!G635))</f>
        <v>91900</v>
      </c>
      <c r="T635">
        <f t="shared" si="3"/>
        <v>0</v>
      </c>
    </row>
    <row r="636" ht="14.25" customHeight="1">
      <c r="A636" t="str">
        <f>IF(PNL!A636="","",PNL!A636)</f>
        <v>ISCOM_PAR</v>
      </c>
      <c r="B636" t="str">
        <f>IF(PNL!B636="","",PNL!B636)</f>
        <v>6811</v>
      </c>
      <c r="C636" t="str">
        <f>IF(PNL!C636="","",PNL!C636)</f>
        <v>2024</v>
      </c>
      <c r="D636" t="str">
        <f>IF(PNL!D636="","",PNL!D636)</f>
        <v>ACT</v>
      </c>
      <c r="E636">
        <f t="shared" si="0"/>
        <v>0</v>
      </c>
      <c r="F636">
        <f>IF($A636="","",IF($E636=1,_xlfn.SUMIFS(Compta!$F$1:$F$1448,Compta!$A$1:$A$1448,$A636,Compta!$B$1:$B$1448,$B636,Compta!$C$1:$C$1448,"2026"),0))</f>
        <v>0</v>
      </c>
      <c r="G636" t="s">
        <v>274</v>
      </c>
      <c r="H636" t="s">
        <v>274</v>
      </c>
      <c r="I636" t="s">
        <v>274</v>
      </c>
      <c r="J636" t="s">
        <v>274</v>
      </c>
      <c r="K636" t="s">
        <v>274</v>
      </c>
      <c r="L636" t="s">
        <v>274</v>
      </c>
      <c r="M636" t="s">
        <v>274</v>
      </c>
      <c r="N636" t="e">
        <f t="shared" si="1"/>
        <v>#VALUE!</v>
      </c>
      <c r="O636" t="e">
        <f t="shared" si="2"/>
        <v>#VALUE!</v>
      </c>
      <c r="P636">
        <f>IF($A636="","",IF($E636=1,$F636*$O636,PNL!G636))</f>
        <v>137849</v>
      </c>
      <c r="T636">
        <f t="shared" si="3"/>
        <v>0</v>
      </c>
    </row>
    <row r="637" ht="14.25" customHeight="1">
      <c r="A637" t="str">
        <f>IF(PNL!A637="","",PNL!A637)</f>
        <v>ISCOM_LIL</v>
      </c>
      <c r="B637" t="str">
        <f>IF(PNL!B637="","",PNL!B637)</f>
        <v>6811</v>
      </c>
      <c r="C637" t="str">
        <f>IF(PNL!C637="","",PNL!C637)</f>
        <v>2024</v>
      </c>
      <c r="D637" t="str">
        <f>IF(PNL!D637="","",PNL!D637)</f>
        <v>ACT</v>
      </c>
      <c r="E637">
        <f t="shared" si="0"/>
        <v>0</v>
      </c>
      <c r="F637">
        <f>IF($A637="","",IF($E637=1,_xlfn.SUMIFS(Compta!$F$1:$F$1448,Compta!$A$1:$A$1448,$A637,Compta!$B$1:$B$1448,$B637,Compta!$C$1:$C$1448,"2026"),0))</f>
        <v>0</v>
      </c>
      <c r="G637" t="s">
        <v>274</v>
      </c>
      <c r="H637" t="s">
        <v>274</v>
      </c>
      <c r="I637" t="s">
        <v>274</v>
      </c>
      <c r="J637" t="s">
        <v>274</v>
      </c>
      <c r="K637" t="s">
        <v>274</v>
      </c>
      <c r="L637" t="s">
        <v>274</v>
      </c>
      <c r="M637" t="s">
        <v>274</v>
      </c>
      <c r="N637" t="e">
        <f t="shared" si="1"/>
        <v>#VALUE!</v>
      </c>
      <c r="O637" t="e">
        <f t="shared" si="2"/>
        <v>#VALUE!</v>
      </c>
      <c r="P637">
        <f>IF($A637="","",IF($E637=1,$F637*$O637,PNL!G637))</f>
        <v>91900</v>
      </c>
      <c r="T637">
        <f t="shared" si="3"/>
        <v>0</v>
      </c>
    </row>
    <row r="638" ht="14.25" customHeight="1">
      <c r="A638" t="str">
        <f>IF(PNL!A638="","",PNL!A638)</f>
        <v>ISCOM_TLS</v>
      </c>
      <c r="B638" t="str">
        <f>IF(PNL!B638="","",PNL!B638)</f>
        <v>6811</v>
      </c>
      <c r="C638" t="str">
        <f>IF(PNL!C638="","",PNL!C638)</f>
        <v>2024</v>
      </c>
      <c r="D638" t="str">
        <f>IF(PNL!D638="","",PNL!D638)</f>
        <v>ACT</v>
      </c>
      <c r="E638">
        <f t="shared" si="0"/>
        <v>0</v>
      </c>
      <c r="F638">
        <f>IF($A638="","",IF($E638=1,_xlfn.SUMIFS(Compta!$F$1:$F$1448,Compta!$A$1:$A$1448,$A638,Compta!$B$1:$B$1448,$B638,Compta!$C$1:$C$1448,"2026"),0))</f>
        <v>0</v>
      </c>
      <c r="G638" t="s">
        <v>274</v>
      </c>
      <c r="H638" t="s">
        <v>274</v>
      </c>
      <c r="I638" t="s">
        <v>274</v>
      </c>
      <c r="J638" t="s">
        <v>274</v>
      </c>
      <c r="K638" t="s">
        <v>274</v>
      </c>
      <c r="L638" t="s">
        <v>274</v>
      </c>
      <c r="M638" t="s">
        <v>274</v>
      </c>
      <c r="N638" t="e">
        <f t="shared" si="1"/>
        <v>#VALUE!</v>
      </c>
      <c r="O638" t="e">
        <f t="shared" si="2"/>
        <v>#VALUE!</v>
      </c>
      <c r="P638">
        <f>IF($A638="","",IF($E638=1,$F638*$O638,PNL!G638))</f>
        <v>91900</v>
      </c>
      <c r="T638">
        <f t="shared" si="3"/>
        <v>0</v>
      </c>
    </row>
    <row r="639" ht="14.25" customHeight="1">
      <c r="A639" t="str">
        <f>IF(PNL!A639="","",PNL!A639)</f>
        <v>IPAC_NAN</v>
      </c>
      <c r="B639" t="str">
        <f>IF(PNL!B639="","",PNL!B639)</f>
        <v>6811</v>
      </c>
      <c r="C639" t="str">
        <f>IF(PNL!C639="","",PNL!C639)</f>
        <v>2024</v>
      </c>
      <c r="D639" t="str">
        <f>IF(PNL!D639="","",PNL!D639)</f>
        <v>ACT</v>
      </c>
      <c r="E639">
        <f t="shared" si="0"/>
        <v>0</v>
      </c>
      <c r="F639">
        <f>IF($A639="","",IF($E639=1,_xlfn.SUMIFS(Compta!$F$1:$F$1448,Compta!$A$1:$A$1448,$A639,Compta!$B$1:$B$1448,$B639,Compta!$C$1:$C$1448,"2026"),0))</f>
        <v>0</v>
      </c>
      <c r="G639" t="s">
        <v>274</v>
      </c>
      <c r="H639" t="s">
        <v>274</v>
      </c>
      <c r="I639" t="s">
        <v>274</v>
      </c>
      <c r="J639" t="s">
        <v>274</v>
      </c>
      <c r="K639" t="s">
        <v>274</v>
      </c>
      <c r="L639" t="s">
        <v>274</v>
      </c>
      <c r="M639" t="s">
        <v>274</v>
      </c>
      <c r="N639" t="e">
        <f t="shared" si="1"/>
        <v>#VALUE!</v>
      </c>
      <c r="O639" t="e">
        <f t="shared" si="2"/>
        <v>#VALUE!</v>
      </c>
      <c r="P639">
        <f>IF($A639="","",IF($E639=1,$F639*$O639,PNL!G639))</f>
        <v>55140</v>
      </c>
      <c r="T639">
        <f t="shared" si="3"/>
        <v>0</v>
      </c>
    </row>
    <row r="640" ht="14.25" customHeight="1">
      <c r="A640" t="str">
        <f>IF(PNL!A640="","",PNL!A640)</f>
        <v>IPAC_REN</v>
      </c>
      <c r="B640" t="str">
        <f>IF(PNL!B640="","",PNL!B640)</f>
        <v>6811</v>
      </c>
      <c r="C640" t="str">
        <f>IF(PNL!C640="","",PNL!C640)</f>
        <v>2024</v>
      </c>
      <c r="D640" t="str">
        <f>IF(PNL!D640="","",PNL!D640)</f>
        <v>ACT</v>
      </c>
      <c r="E640">
        <f t="shared" si="0"/>
        <v>0</v>
      </c>
      <c r="F640">
        <f>IF($A640="","",IF($E640=1,_xlfn.SUMIFS(Compta!$F$1:$F$1448,Compta!$A$1:$A$1448,$A640,Compta!$B$1:$B$1448,$B640,Compta!$C$1:$C$1448,"2026"),0))</f>
        <v>0</v>
      </c>
      <c r="G640" t="s">
        <v>274</v>
      </c>
      <c r="H640" t="s">
        <v>274</v>
      </c>
      <c r="I640" t="s">
        <v>274</v>
      </c>
      <c r="J640" t="s">
        <v>274</v>
      </c>
      <c r="K640" t="s">
        <v>274</v>
      </c>
      <c r="L640" t="s">
        <v>274</v>
      </c>
      <c r="M640" t="s">
        <v>274</v>
      </c>
      <c r="N640" t="e">
        <f t="shared" si="1"/>
        <v>#VALUE!</v>
      </c>
      <c r="O640" t="e">
        <f t="shared" si="2"/>
        <v>#VALUE!</v>
      </c>
      <c r="P640">
        <f>IF($A640="","",IF($E640=1,$F640*$O640,PNL!G640))</f>
        <v>55140</v>
      </c>
      <c r="T640">
        <f t="shared" si="3"/>
        <v>0</v>
      </c>
    </row>
    <row r="641" ht="14.25" customHeight="1">
      <c r="A641" t="str">
        <f>IF(PNL!A641="","",PNL!A641)</f>
        <v>IPAC_MTP</v>
      </c>
      <c r="B641" t="str">
        <f>IF(PNL!B641="","",PNL!B641)</f>
        <v>6811</v>
      </c>
      <c r="C641" t="str">
        <f>IF(PNL!C641="","",PNL!C641)</f>
        <v>2024</v>
      </c>
      <c r="D641" t="str">
        <f>IF(PNL!D641="","",PNL!D641)</f>
        <v>ACT</v>
      </c>
      <c r="E641">
        <f t="shared" si="0"/>
        <v>0</v>
      </c>
      <c r="F641">
        <f>IF($A641="","",IF($E641=1,_xlfn.SUMIFS(Compta!$F$1:$F$1448,Compta!$A$1:$A$1448,$A641,Compta!$B$1:$B$1448,$B641,Compta!$C$1:$C$1448,"2026"),0))</f>
        <v>0</v>
      </c>
      <c r="G641" t="s">
        <v>274</v>
      </c>
      <c r="H641" t="s">
        <v>274</v>
      </c>
      <c r="I641" t="s">
        <v>274</v>
      </c>
      <c r="J641" t="s">
        <v>274</v>
      </c>
      <c r="K641" t="s">
        <v>274</v>
      </c>
      <c r="L641" t="s">
        <v>274</v>
      </c>
      <c r="M641" t="s">
        <v>274</v>
      </c>
      <c r="N641" t="e">
        <f t="shared" si="1"/>
        <v>#VALUE!</v>
      </c>
      <c r="O641" t="e">
        <f t="shared" si="2"/>
        <v>#VALUE!</v>
      </c>
      <c r="P641">
        <f>IF($A641="","",IF($E641=1,$F641*$O641,PNL!G641))</f>
        <v>55140</v>
      </c>
      <c r="T641">
        <f t="shared" si="3"/>
        <v>0</v>
      </c>
    </row>
    <row r="642" ht="14.25" customHeight="1">
      <c r="A642" t="str">
        <f>IF(PNL!A642="","",PNL!A642)</f>
        <v>PIGIER_LYO</v>
      </c>
      <c r="B642" t="str">
        <f>IF(PNL!B642="","",PNL!B642)</f>
        <v>6811</v>
      </c>
      <c r="C642" t="str">
        <f>IF(PNL!C642="","",PNL!C642)</f>
        <v>2024</v>
      </c>
      <c r="D642" t="str">
        <f>IF(PNL!D642="","",PNL!D642)</f>
        <v>ACT</v>
      </c>
      <c r="E642">
        <f t="shared" si="0"/>
        <v>0</v>
      </c>
      <c r="F642">
        <f>IF($A642="","",IF($E642=1,_xlfn.SUMIFS(Compta!$F$1:$F$1448,Compta!$A$1:$A$1448,$A642,Compta!$B$1:$B$1448,$B642,Compta!$C$1:$C$1448,"2026"),0))</f>
        <v>0</v>
      </c>
      <c r="G642" t="s">
        <v>274</v>
      </c>
      <c r="H642" t="s">
        <v>274</v>
      </c>
      <c r="I642" t="s">
        <v>274</v>
      </c>
      <c r="J642" t="s">
        <v>274</v>
      </c>
      <c r="K642" t="s">
        <v>274</v>
      </c>
      <c r="L642" t="s">
        <v>274</v>
      </c>
      <c r="M642" t="s">
        <v>274</v>
      </c>
      <c r="N642" t="e">
        <f t="shared" si="1"/>
        <v>#VALUE!</v>
      </c>
      <c r="O642" t="e">
        <f t="shared" si="2"/>
        <v>#VALUE!</v>
      </c>
      <c r="P642">
        <f>IF($A642="","",IF($E642=1,$F642*$O642,PNL!G642))</f>
        <v>73520</v>
      </c>
      <c r="T642">
        <f t="shared" si="3"/>
        <v>0</v>
      </c>
    </row>
    <row r="643" ht="14.25" customHeight="1">
      <c r="A643" t="str">
        <f>IF(PNL!A643="","",PNL!A643)</f>
        <v>PIGIER_BOR</v>
      </c>
      <c r="B643" t="str">
        <f>IF(PNL!B643="","",PNL!B643)</f>
        <v>6811</v>
      </c>
      <c r="C643" t="str">
        <f>IF(PNL!C643="","",PNL!C643)</f>
        <v>2024</v>
      </c>
      <c r="D643" t="str">
        <f>IF(PNL!D643="","",PNL!D643)</f>
        <v>ACT</v>
      </c>
      <c r="E643">
        <f t="shared" si="0"/>
        <v>0</v>
      </c>
      <c r="F643">
        <f>IF($A643="","",IF($E643=1,_xlfn.SUMIFS(Compta!$F$1:$F$1448,Compta!$A$1:$A$1448,$A643,Compta!$B$1:$B$1448,$B643,Compta!$C$1:$C$1448,"2026"),0))</f>
        <v>0</v>
      </c>
      <c r="G643" t="s">
        <v>274</v>
      </c>
      <c r="H643" t="s">
        <v>274</v>
      </c>
      <c r="I643" t="s">
        <v>274</v>
      </c>
      <c r="J643" t="s">
        <v>274</v>
      </c>
      <c r="K643" t="s">
        <v>274</v>
      </c>
      <c r="L643" t="s">
        <v>274</v>
      </c>
      <c r="M643" t="s">
        <v>274</v>
      </c>
      <c r="N643" t="e">
        <f t="shared" si="1"/>
        <v>#VALUE!</v>
      </c>
      <c r="O643" t="e">
        <f t="shared" si="2"/>
        <v>#VALUE!</v>
      </c>
      <c r="P643">
        <f>IF($A643="","",IF($E643=1,$F643*$O643,PNL!G643))</f>
        <v>73520</v>
      </c>
      <c r="T643">
        <f t="shared" si="3"/>
        <v>0</v>
      </c>
    </row>
    <row r="644" ht="14.25" customHeight="1">
      <c r="A644" t="str">
        <f>IF(PNL!A644="","",PNL!A644)</f>
        <v>TUNON_PAR</v>
      </c>
      <c r="B644" t="str">
        <f>IF(PNL!B644="","",PNL!B644)</f>
        <v>6811</v>
      </c>
      <c r="C644" t="str">
        <f>IF(PNL!C644="","",PNL!C644)</f>
        <v>2024</v>
      </c>
      <c r="D644" t="str">
        <f>IF(PNL!D644="","",PNL!D644)</f>
        <v>ACT</v>
      </c>
      <c r="E644">
        <f t="shared" si="0"/>
        <v>0</v>
      </c>
      <c r="F644">
        <f>IF($A644="","",IF($E644=1,_xlfn.SUMIFS(Compta!$F$1:$F$1448,Compta!$A$1:$A$1448,$A644,Compta!$B$1:$B$1448,$B644,Compta!$C$1:$C$1448,"2026"),0))</f>
        <v>0</v>
      </c>
      <c r="G644" t="s">
        <v>274</v>
      </c>
      <c r="H644" t="s">
        <v>274</v>
      </c>
      <c r="I644" t="s">
        <v>274</v>
      </c>
      <c r="J644" t="s">
        <v>274</v>
      </c>
      <c r="K644" t="s">
        <v>274</v>
      </c>
      <c r="L644" t="s">
        <v>274</v>
      </c>
      <c r="M644" t="s">
        <v>274</v>
      </c>
      <c r="N644" t="e">
        <f t="shared" si="1"/>
        <v>#VALUE!</v>
      </c>
      <c r="O644" t="e">
        <f t="shared" si="2"/>
        <v>#VALUE!</v>
      </c>
      <c r="P644">
        <f>IF($A644="","",IF($E644=1,$F644*$O644,PNL!G644))</f>
        <v>55140</v>
      </c>
      <c r="T644">
        <f t="shared" si="3"/>
        <v>0</v>
      </c>
    </row>
    <row r="645" ht="14.25" customHeight="1">
      <c r="A645" t="str">
        <f>IF(PNL!A645="","",PNL!A645)</f>
        <v>TUNON_LYO</v>
      </c>
      <c r="B645" t="str">
        <f>IF(PNL!B645="","",PNL!B645)</f>
        <v>6811</v>
      </c>
      <c r="C645" t="str">
        <f>IF(PNL!C645="","",PNL!C645)</f>
        <v>2024</v>
      </c>
      <c r="D645" t="str">
        <f>IF(PNL!D645="","",PNL!D645)</f>
        <v>ACT</v>
      </c>
      <c r="E645">
        <f t="shared" si="0"/>
        <v>0</v>
      </c>
      <c r="F645">
        <f>IF($A645="","",IF($E645=1,_xlfn.SUMIFS(Compta!$F$1:$F$1448,Compta!$A$1:$A$1448,$A645,Compta!$B$1:$B$1448,$B645,Compta!$C$1:$C$1448,"2026"),0))</f>
        <v>0</v>
      </c>
      <c r="G645" t="s">
        <v>274</v>
      </c>
      <c r="H645" t="s">
        <v>274</v>
      </c>
      <c r="I645" t="s">
        <v>274</v>
      </c>
      <c r="J645" t="s">
        <v>274</v>
      </c>
      <c r="K645" t="s">
        <v>274</v>
      </c>
      <c r="L645" t="s">
        <v>274</v>
      </c>
      <c r="M645" t="s">
        <v>274</v>
      </c>
      <c r="N645" t="e">
        <f t="shared" si="1"/>
        <v>#VALUE!</v>
      </c>
      <c r="O645" t="e">
        <f t="shared" si="2"/>
        <v>#VALUE!</v>
      </c>
      <c r="P645">
        <f>IF($A645="","",IF($E645=1,$F645*$O645,PNL!G645))</f>
        <v>55140</v>
      </c>
      <c r="T645">
        <f t="shared" si="3"/>
        <v>0</v>
      </c>
    </row>
    <row r="646" ht="14.25" customHeight="1">
      <c r="A646" t="str">
        <f>IF(PNL!A646="","",PNL!A646)</f>
        <v>MBWAY_PAR</v>
      </c>
      <c r="B646" t="str">
        <f>IF(PNL!B646="","",PNL!B646)</f>
        <v>6811</v>
      </c>
      <c r="C646" t="str">
        <f>IF(PNL!C646="","",PNL!C646)</f>
        <v>2025</v>
      </c>
      <c r="D646" t="str">
        <f>IF(PNL!D646="","",PNL!D646)</f>
        <v>ACT</v>
      </c>
      <c r="E646">
        <f t="shared" si="0"/>
        <v>0</v>
      </c>
      <c r="F646">
        <f>IF($A646="","",IF($E646=1,_xlfn.SUMIFS(Compta!$F$1:$F$1448,Compta!$A$1:$A$1448,$A646,Compta!$B$1:$B$1448,$B646,Compta!$C$1:$C$1448,"2026"),0))</f>
        <v>0</v>
      </c>
      <c r="G646" t="s">
        <v>274</v>
      </c>
      <c r="H646" t="s">
        <v>274</v>
      </c>
      <c r="I646" t="s">
        <v>274</v>
      </c>
      <c r="J646" t="s">
        <v>274</v>
      </c>
      <c r="K646" t="s">
        <v>274</v>
      </c>
      <c r="L646" t="s">
        <v>274</v>
      </c>
      <c r="M646" t="s">
        <v>274</v>
      </c>
      <c r="N646" t="e">
        <f t="shared" si="1"/>
        <v>#VALUE!</v>
      </c>
      <c r="O646" t="e">
        <f t="shared" si="2"/>
        <v>#VALUE!</v>
      </c>
      <c r="P646">
        <f>IF($A646="","",IF($E646=1,$F646*$O646,PNL!G646))</f>
        <v>146120</v>
      </c>
      <c r="T646">
        <f t="shared" si="3"/>
        <v>0</v>
      </c>
    </row>
    <row r="647" ht="14.25" customHeight="1">
      <c r="A647" t="str">
        <f>IF(PNL!A647="","",PNL!A647)</f>
        <v>MBWAY_LYO</v>
      </c>
      <c r="B647" t="str">
        <f>IF(PNL!B647="","",PNL!B647)</f>
        <v>6811</v>
      </c>
      <c r="C647" t="str">
        <f>IF(PNL!C647="","",PNL!C647)</f>
        <v>2025</v>
      </c>
      <c r="D647" t="str">
        <f>IF(PNL!D647="","",PNL!D647)</f>
        <v>ACT</v>
      </c>
      <c r="E647">
        <f t="shared" si="0"/>
        <v>0</v>
      </c>
      <c r="F647">
        <f>IF($A647="","",IF($E647=1,_xlfn.SUMIFS(Compta!$F$1:$F$1448,Compta!$A$1:$A$1448,$A647,Compta!$B$1:$B$1448,$B647,Compta!$C$1:$C$1448,"2026"),0))</f>
        <v>0</v>
      </c>
      <c r="G647" t="s">
        <v>274</v>
      </c>
      <c r="H647" t="s">
        <v>274</v>
      </c>
      <c r="I647" t="s">
        <v>274</v>
      </c>
      <c r="J647" t="s">
        <v>274</v>
      </c>
      <c r="K647" t="s">
        <v>274</v>
      </c>
      <c r="L647" t="s">
        <v>274</v>
      </c>
      <c r="M647" t="s">
        <v>274</v>
      </c>
      <c r="N647" t="e">
        <f t="shared" si="1"/>
        <v>#VALUE!</v>
      </c>
      <c r="O647" t="e">
        <f t="shared" si="2"/>
        <v>#VALUE!</v>
      </c>
      <c r="P647">
        <f>IF($A647="","",IF($E647=1,$F647*$O647,PNL!G647))</f>
        <v>126638</v>
      </c>
      <c r="T647">
        <f t="shared" si="3"/>
        <v>0</v>
      </c>
    </row>
    <row r="648" ht="14.25" customHeight="1">
      <c r="A648" t="str">
        <f>IF(PNL!A648="","",PNL!A648)</f>
        <v>MBWAY_NAN</v>
      </c>
      <c r="B648" t="str">
        <f>IF(PNL!B648="","",PNL!B648)</f>
        <v>6811</v>
      </c>
      <c r="C648" t="str">
        <f>IF(PNL!C648="","",PNL!C648)</f>
        <v>2025</v>
      </c>
      <c r="D648" t="str">
        <f>IF(PNL!D648="","",PNL!D648)</f>
        <v>ACT</v>
      </c>
      <c r="E648">
        <f t="shared" si="0"/>
        <v>0</v>
      </c>
      <c r="F648">
        <f>IF($A648="","",IF($E648=1,_xlfn.SUMIFS(Compta!$F$1:$F$1448,Compta!$A$1:$A$1448,$A648,Compta!$B$1:$B$1448,$B648,Compta!$C$1:$C$1448,"2026"),0))</f>
        <v>0</v>
      </c>
      <c r="G648" t="s">
        <v>274</v>
      </c>
      <c r="H648" t="s">
        <v>274</v>
      </c>
      <c r="I648" t="s">
        <v>274</v>
      </c>
      <c r="J648" t="s">
        <v>274</v>
      </c>
      <c r="K648" t="s">
        <v>274</v>
      </c>
      <c r="L648" t="s">
        <v>274</v>
      </c>
      <c r="M648" t="s">
        <v>274</v>
      </c>
      <c r="N648" t="e">
        <f t="shared" si="1"/>
        <v>#VALUE!</v>
      </c>
      <c r="O648" t="e">
        <f t="shared" si="2"/>
        <v>#VALUE!</v>
      </c>
      <c r="P648">
        <f>IF($A648="","",IF($E648=1,$F648*$O648,PNL!G648))</f>
        <v>116896</v>
      </c>
      <c r="T648">
        <f t="shared" si="3"/>
        <v>0</v>
      </c>
    </row>
    <row r="649" ht="14.25" customHeight="1">
      <c r="A649" t="str">
        <f>IF(PNL!A649="","",PNL!A649)</f>
        <v>MBWAY_BOR</v>
      </c>
      <c r="B649" t="str">
        <f>IF(PNL!B649="","",PNL!B649)</f>
        <v>6811</v>
      </c>
      <c r="C649" t="str">
        <f>IF(PNL!C649="","",PNL!C649)</f>
        <v>2025</v>
      </c>
      <c r="D649" t="str">
        <f>IF(PNL!D649="","",PNL!D649)</f>
        <v>ACT</v>
      </c>
      <c r="E649">
        <f t="shared" si="0"/>
        <v>0</v>
      </c>
      <c r="F649">
        <f>IF($A649="","",IF($E649=1,_xlfn.SUMIFS(Compta!$F$1:$F$1448,Compta!$A$1:$A$1448,$A649,Compta!$B$1:$B$1448,$B649,Compta!$C$1:$C$1448,"2026"),0))</f>
        <v>0</v>
      </c>
      <c r="G649" t="s">
        <v>274</v>
      </c>
      <c r="H649" t="s">
        <v>274</v>
      </c>
      <c r="I649" t="s">
        <v>274</v>
      </c>
      <c r="J649" t="s">
        <v>274</v>
      </c>
      <c r="K649" t="s">
        <v>274</v>
      </c>
      <c r="L649" t="s">
        <v>274</v>
      </c>
      <c r="M649" t="s">
        <v>274</v>
      </c>
      <c r="N649" t="e">
        <f t="shared" si="1"/>
        <v>#VALUE!</v>
      </c>
      <c r="O649" t="e">
        <f t="shared" si="2"/>
        <v>#VALUE!</v>
      </c>
      <c r="P649">
        <f>IF($A649="","",IF($E649=1,$F649*$O649,PNL!G649))</f>
        <v>97413</v>
      </c>
      <c r="T649">
        <f t="shared" si="3"/>
        <v>0</v>
      </c>
    </row>
    <row r="650" ht="14.25" customHeight="1">
      <c r="A650" t="str">
        <f>IF(PNL!A650="","",PNL!A650)</f>
        <v>ISCOM_PAR</v>
      </c>
      <c r="B650" t="str">
        <f>IF(PNL!B650="","",PNL!B650)</f>
        <v>6811</v>
      </c>
      <c r="C650" t="str">
        <f>IF(PNL!C650="","",PNL!C650)</f>
        <v>2025</v>
      </c>
      <c r="D650" t="str">
        <f>IF(PNL!D650="","",PNL!D650)</f>
        <v>ACT</v>
      </c>
      <c r="E650">
        <f t="shared" si="0"/>
        <v>0</v>
      </c>
      <c r="F650">
        <f>IF($A650="","",IF($E650=1,_xlfn.SUMIFS(Compta!$F$1:$F$1448,Compta!$A$1:$A$1448,$A650,Compta!$B$1:$B$1448,$B650,Compta!$C$1:$C$1448,"2026"),0))</f>
        <v>0</v>
      </c>
      <c r="G650" t="s">
        <v>274</v>
      </c>
      <c r="H650" t="s">
        <v>274</v>
      </c>
      <c r="I650" t="s">
        <v>274</v>
      </c>
      <c r="J650" t="s">
        <v>274</v>
      </c>
      <c r="K650" t="s">
        <v>274</v>
      </c>
      <c r="L650" t="s">
        <v>274</v>
      </c>
      <c r="M650" t="s">
        <v>274</v>
      </c>
      <c r="N650" t="e">
        <f t="shared" si="1"/>
        <v>#VALUE!</v>
      </c>
      <c r="O650" t="e">
        <f t="shared" si="2"/>
        <v>#VALUE!</v>
      </c>
      <c r="P650">
        <f>IF($A650="","",IF($E650=1,$F650*$O650,PNL!G650))</f>
        <v>146120</v>
      </c>
      <c r="T650">
        <f t="shared" si="3"/>
        <v>0</v>
      </c>
    </row>
    <row r="651" ht="14.25" customHeight="1">
      <c r="A651" t="str">
        <f>IF(PNL!A651="","",PNL!A651)</f>
        <v>ISCOM_LIL</v>
      </c>
      <c r="B651" t="str">
        <f>IF(PNL!B651="","",PNL!B651)</f>
        <v>6811</v>
      </c>
      <c r="C651" t="str">
        <f>IF(PNL!C651="","",PNL!C651)</f>
        <v>2025</v>
      </c>
      <c r="D651" t="str">
        <f>IF(PNL!D651="","",PNL!D651)</f>
        <v>ACT</v>
      </c>
      <c r="E651">
        <f t="shared" si="0"/>
        <v>0</v>
      </c>
      <c r="F651">
        <f>IF($A651="","",IF($E651=1,_xlfn.SUMIFS(Compta!$F$1:$F$1448,Compta!$A$1:$A$1448,$A651,Compta!$B$1:$B$1448,$B651,Compta!$C$1:$C$1448,"2026"),0))</f>
        <v>0</v>
      </c>
      <c r="G651" t="s">
        <v>274</v>
      </c>
      <c r="H651" t="s">
        <v>274</v>
      </c>
      <c r="I651" t="s">
        <v>274</v>
      </c>
      <c r="J651" t="s">
        <v>274</v>
      </c>
      <c r="K651" t="s">
        <v>274</v>
      </c>
      <c r="L651" t="s">
        <v>274</v>
      </c>
      <c r="M651" t="s">
        <v>274</v>
      </c>
      <c r="N651" t="e">
        <f t="shared" si="1"/>
        <v>#VALUE!</v>
      </c>
      <c r="O651" t="e">
        <f t="shared" si="2"/>
        <v>#VALUE!</v>
      </c>
      <c r="P651">
        <f>IF($A651="","",IF($E651=1,$F651*$O651,PNL!G651))</f>
        <v>97413</v>
      </c>
      <c r="T651">
        <f t="shared" si="3"/>
        <v>0</v>
      </c>
    </row>
    <row r="652" ht="14.25" customHeight="1">
      <c r="A652" t="str">
        <f>IF(PNL!A652="","",PNL!A652)</f>
        <v>ISCOM_TLS</v>
      </c>
      <c r="B652" t="str">
        <f>IF(PNL!B652="","",PNL!B652)</f>
        <v>6811</v>
      </c>
      <c r="C652" t="str">
        <f>IF(PNL!C652="","",PNL!C652)</f>
        <v>2025</v>
      </c>
      <c r="D652" t="str">
        <f>IF(PNL!D652="","",PNL!D652)</f>
        <v>ACT</v>
      </c>
      <c r="E652">
        <f t="shared" si="0"/>
        <v>0</v>
      </c>
      <c r="F652">
        <f>IF($A652="","",IF($E652=1,_xlfn.SUMIFS(Compta!$F$1:$F$1448,Compta!$A$1:$A$1448,$A652,Compta!$B$1:$B$1448,$B652,Compta!$C$1:$C$1448,"2026"),0))</f>
        <v>0</v>
      </c>
      <c r="G652" t="s">
        <v>274</v>
      </c>
      <c r="H652" t="s">
        <v>274</v>
      </c>
      <c r="I652" t="s">
        <v>274</v>
      </c>
      <c r="J652" t="s">
        <v>274</v>
      </c>
      <c r="K652" t="s">
        <v>274</v>
      </c>
      <c r="L652" t="s">
        <v>274</v>
      </c>
      <c r="M652" t="s">
        <v>274</v>
      </c>
      <c r="N652" t="e">
        <f t="shared" si="1"/>
        <v>#VALUE!</v>
      </c>
      <c r="O652" t="e">
        <f t="shared" si="2"/>
        <v>#VALUE!</v>
      </c>
      <c r="P652">
        <f>IF($A652="","",IF($E652=1,$F652*$O652,PNL!G652))</f>
        <v>97413</v>
      </c>
      <c r="T652">
        <f t="shared" si="3"/>
        <v>0</v>
      </c>
    </row>
    <row r="653" ht="14.25" customHeight="1">
      <c r="A653" t="str">
        <f>IF(PNL!A653="","",PNL!A653)</f>
        <v>IPAC_NAN</v>
      </c>
      <c r="B653" t="str">
        <f>IF(PNL!B653="","",PNL!B653)</f>
        <v>6811</v>
      </c>
      <c r="C653" t="str">
        <f>IF(PNL!C653="","",PNL!C653)</f>
        <v>2025</v>
      </c>
      <c r="D653" t="str">
        <f>IF(PNL!D653="","",PNL!D653)</f>
        <v>ACT</v>
      </c>
      <c r="E653">
        <f t="shared" si="0"/>
        <v>0</v>
      </c>
      <c r="F653">
        <f>IF($A653="","",IF($E653=1,_xlfn.SUMIFS(Compta!$F$1:$F$1448,Compta!$A$1:$A$1448,$A653,Compta!$B$1:$B$1448,$B653,Compta!$C$1:$C$1448,"2026"),0))</f>
        <v>0</v>
      </c>
      <c r="G653" t="s">
        <v>274</v>
      </c>
      <c r="H653" t="s">
        <v>274</v>
      </c>
      <c r="I653" t="s">
        <v>274</v>
      </c>
      <c r="J653" t="s">
        <v>274</v>
      </c>
      <c r="K653" t="s">
        <v>274</v>
      </c>
      <c r="L653" t="s">
        <v>274</v>
      </c>
      <c r="M653" t="s">
        <v>274</v>
      </c>
      <c r="N653" t="e">
        <f t="shared" si="1"/>
        <v>#VALUE!</v>
      </c>
      <c r="O653" t="e">
        <f t="shared" si="2"/>
        <v>#VALUE!</v>
      </c>
      <c r="P653">
        <f>IF($A653="","",IF($E653=1,$F653*$O653,PNL!G653))</f>
        <v>58448</v>
      </c>
      <c r="T653">
        <f t="shared" si="3"/>
        <v>0</v>
      </c>
    </row>
    <row r="654" ht="14.25" customHeight="1">
      <c r="A654" t="str">
        <f>IF(PNL!A654="","",PNL!A654)</f>
        <v>IPAC_REN</v>
      </c>
      <c r="B654" t="str">
        <f>IF(PNL!B654="","",PNL!B654)</f>
        <v>6811</v>
      </c>
      <c r="C654" t="str">
        <f>IF(PNL!C654="","",PNL!C654)</f>
        <v>2025</v>
      </c>
      <c r="D654" t="str">
        <f>IF(PNL!D654="","",PNL!D654)</f>
        <v>ACT</v>
      </c>
      <c r="E654">
        <f t="shared" si="0"/>
        <v>0</v>
      </c>
      <c r="F654">
        <f>IF($A654="","",IF($E654=1,_xlfn.SUMIFS(Compta!$F$1:$F$1448,Compta!$A$1:$A$1448,$A654,Compta!$B$1:$B$1448,$B654,Compta!$C$1:$C$1448,"2026"),0))</f>
        <v>0</v>
      </c>
      <c r="G654" t="s">
        <v>274</v>
      </c>
      <c r="H654" t="s">
        <v>274</v>
      </c>
      <c r="I654" t="s">
        <v>274</v>
      </c>
      <c r="J654" t="s">
        <v>274</v>
      </c>
      <c r="K654" t="s">
        <v>274</v>
      </c>
      <c r="L654" t="s">
        <v>274</v>
      </c>
      <c r="M654" t="s">
        <v>274</v>
      </c>
      <c r="N654" t="e">
        <f t="shared" si="1"/>
        <v>#VALUE!</v>
      </c>
      <c r="O654" t="e">
        <f t="shared" si="2"/>
        <v>#VALUE!</v>
      </c>
      <c r="P654">
        <f>IF($A654="","",IF($E654=1,$F654*$O654,PNL!G654))</f>
        <v>58448</v>
      </c>
      <c r="T654">
        <f t="shared" si="3"/>
        <v>0</v>
      </c>
    </row>
    <row r="655" ht="14.25" customHeight="1">
      <c r="A655" t="str">
        <f>IF(PNL!A655="","",PNL!A655)</f>
        <v>IPAC_MTP</v>
      </c>
      <c r="B655" t="str">
        <f>IF(PNL!B655="","",PNL!B655)</f>
        <v>6811</v>
      </c>
      <c r="C655" t="str">
        <f>IF(PNL!C655="","",PNL!C655)</f>
        <v>2025</v>
      </c>
      <c r="D655" t="str">
        <f>IF(PNL!D655="","",PNL!D655)</f>
        <v>ACT</v>
      </c>
      <c r="E655">
        <f t="shared" si="0"/>
        <v>0</v>
      </c>
      <c r="F655">
        <f>IF($A655="","",IF($E655=1,_xlfn.SUMIFS(Compta!$F$1:$F$1448,Compta!$A$1:$A$1448,$A655,Compta!$B$1:$B$1448,$B655,Compta!$C$1:$C$1448,"2026"),0))</f>
        <v>0</v>
      </c>
      <c r="G655" t="s">
        <v>274</v>
      </c>
      <c r="H655" t="s">
        <v>274</v>
      </c>
      <c r="I655" t="s">
        <v>274</v>
      </c>
      <c r="J655" t="s">
        <v>274</v>
      </c>
      <c r="K655" t="s">
        <v>274</v>
      </c>
      <c r="L655" t="s">
        <v>274</v>
      </c>
      <c r="M655" t="s">
        <v>274</v>
      </c>
      <c r="N655" t="e">
        <f t="shared" si="1"/>
        <v>#VALUE!</v>
      </c>
      <c r="O655" t="e">
        <f t="shared" si="2"/>
        <v>#VALUE!</v>
      </c>
      <c r="P655">
        <f>IF($A655="","",IF($E655=1,$F655*$O655,PNL!G655))</f>
        <v>58448</v>
      </c>
      <c r="T655">
        <f t="shared" si="3"/>
        <v>0</v>
      </c>
    </row>
    <row r="656" ht="14.25" customHeight="1">
      <c r="A656" t="str">
        <f>IF(PNL!A656="","",PNL!A656)</f>
        <v>PIGIER_LYO</v>
      </c>
      <c r="B656" t="str">
        <f>IF(PNL!B656="","",PNL!B656)</f>
        <v>6811</v>
      </c>
      <c r="C656" t="str">
        <f>IF(PNL!C656="","",PNL!C656)</f>
        <v>2025</v>
      </c>
      <c r="D656" t="str">
        <f>IF(PNL!D656="","",PNL!D656)</f>
        <v>ACT</v>
      </c>
      <c r="E656">
        <f t="shared" si="0"/>
        <v>0</v>
      </c>
      <c r="F656">
        <f>IF($A656="","",IF($E656=1,_xlfn.SUMIFS(Compta!$F$1:$F$1448,Compta!$A$1:$A$1448,$A656,Compta!$B$1:$B$1448,$B656,Compta!$C$1:$C$1448,"2026"),0))</f>
        <v>0</v>
      </c>
      <c r="G656" t="s">
        <v>274</v>
      </c>
      <c r="H656" t="s">
        <v>274</v>
      </c>
      <c r="I656" t="s">
        <v>274</v>
      </c>
      <c r="J656" t="s">
        <v>274</v>
      </c>
      <c r="K656" t="s">
        <v>274</v>
      </c>
      <c r="L656" t="s">
        <v>274</v>
      </c>
      <c r="M656" t="s">
        <v>274</v>
      </c>
      <c r="N656" t="e">
        <f t="shared" si="1"/>
        <v>#VALUE!</v>
      </c>
      <c r="O656" t="e">
        <f t="shared" si="2"/>
        <v>#VALUE!</v>
      </c>
      <c r="P656">
        <f>IF($A656="","",IF($E656=1,$F656*$O656,PNL!G656))</f>
        <v>77931</v>
      </c>
      <c r="T656">
        <f t="shared" si="3"/>
        <v>0</v>
      </c>
    </row>
    <row r="657" ht="14.25" customHeight="1">
      <c r="A657" t="str">
        <f>IF(PNL!A657="","",PNL!A657)</f>
        <v>PIGIER_BOR</v>
      </c>
      <c r="B657" t="str">
        <f>IF(PNL!B657="","",PNL!B657)</f>
        <v>6811</v>
      </c>
      <c r="C657" t="str">
        <f>IF(PNL!C657="","",PNL!C657)</f>
        <v>2025</v>
      </c>
      <c r="D657" t="str">
        <f>IF(PNL!D657="","",PNL!D657)</f>
        <v>ACT</v>
      </c>
      <c r="E657">
        <f t="shared" si="0"/>
        <v>0</v>
      </c>
      <c r="F657">
        <f>IF($A657="","",IF($E657=1,_xlfn.SUMIFS(Compta!$F$1:$F$1448,Compta!$A$1:$A$1448,$A657,Compta!$B$1:$B$1448,$B657,Compta!$C$1:$C$1448,"2026"),0))</f>
        <v>0</v>
      </c>
      <c r="G657" t="s">
        <v>274</v>
      </c>
      <c r="H657" t="s">
        <v>274</v>
      </c>
      <c r="I657" t="s">
        <v>274</v>
      </c>
      <c r="J657" t="s">
        <v>274</v>
      </c>
      <c r="K657" t="s">
        <v>274</v>
      </c>
      <c r="L657" t="s">
        <v>274</v>
      </c>
      <c r="M657" t="s">
        <v>274</v>
      </c>
      <c r="N657" t="e">
        <f t="shared" si="1"/>
        <v>#VALUE!</v>
      </c>
      <c r="O657" t="e">
        <f t="shared" si="2"/>
        <v>#VALUE!</v>
      </c>
      <c r="P657">
        <f>IF($A657="","",IF($E657=1,$F657*$O657,PNL!G657))</f>
        <v>77931</v>
      </c>
      <c r="T657">
        <f t="shared" si="3"/>
        <v>0</v>
      </c>
    </row>
    <row r="658" ht="14.25" customHeight="1">
      <c r="A658" t="str">
        <f>IF(PNL!A658="","",PNL!A658)</f>
        <v>TUNON_PAR</v>
      </c>
      <c r="B658" t="str">
        <f>IF(PNL!B658="","",PNL!B658)</f>
        <v>6811</v>
      </c>
      <c r="C658" t="str">
        <f>IF(PNL!C658="","",PNL!C658)</f>
        <v>2025</v>
      </c>
      <c r="D658" t="str">
        <f>IF(PNL!D658="","",PNL!D658)</f>
        <v>ACT</v>
      </c>
      <c r="E658">
        <f t="shared" si="0"/>
        <v>0</v>
      </c>
      <c r="F658">
        <f>IF($A658="","",IF($E658=1,_xlfn.SUMIFS(Compta!$F$1:$F$1448,Compta!$A$1:$A$1448,$A658,Compta!$B$1:$B$1448,$B658,Compta!$C$1:$C$1448,"2026"),0))</f>
        <v>0</v>
      </c>
      <c r="G658" t="s">
        <v>274</v>
      </c>
      <c r="H658" t="s">
        <v>274</v>
      </c>
      <c r="I658" t="s">
        <v>274</v>
      </c>
      <c r="J658" t="s">
        <v>274</v>
      </c>
      <c r="K658" t="s">
        <v>274</v>
      </c>
      <c r="L658" t="s">
        <v>274</v>
      </c>
      <c r="M658" t="s">
        <v>274</v>
      </c>
      <c r="N658" t="e">
        <f t="shared" si="1"/>
        <v>#VALUE!</v>
      </c>
      <c r="O658" t="e">
        <f t="shared" si="2"/>
        <v>#VALUE!</v>
      </c>
      <c r="P658">
        <f>IF($A658="","",IF($E658=1,$F658*$O658,PNL!G658))</f>
        <v>58448</v>
      </c>
      <c r="T658">
        <f t="shared" si="3"/>
        <v>0</v>
      </c>
    </row>
    <row r="659" ht="14.25" customHeight="1">
      <c r="A659" t="str">
        <f>IF(PNL!A659="","",PNL!A659)</f>
        <v>TUNON_LYO</v>
      </c>
      <c r="B659" t="str">
        <f>IF(PNL!B659="","",PNL!B659)</f>
        <v>6811</v>
      </c>
      <c r="C659" t="str">
        <f>IF(PNL!C659="","",PNL!C659)</f>
        <v>2025</v>
      </c>
      <c r="D659" t="str">
        <f>IF(PNL!D659="","",PNL!D659)</f>
        <v>ACT</v>
      </c>
      <c r="E659">
        <f t="shared" si="0"/>
        <v>0</v>
      </c>
      <c r="F659">
        <f>IF($A659="","",IF($E659=1,_xlfn.SUMIFS(Compta!$F$1:$F$1448,Compta!$A$1:$A$1448,$A659,Compta!$B$1:$B$1448,$B659,Compta!$C$1:$C$1448,"2026"),0))</f>
        <v>0</v>
      </c>
      <c r="G659" t="s">
        <v>274</v>
      </c>
      <c r="H659" t="s">
        <v>274</v>
      </c>
      <c r="I659" t="s">
        <v>274</v>
      </c>
      <c r="J659" t="s">
        <v>274</v>
      </c>
      <c r="K659" t="s">
        <v>274</v>
      </c>
      <c r="L659" t="s">
        <v>274</v>
      </c>
      <c r="M659" t="s">
        <v>274</v>
      </c>
      <c r="N659" t="e">
        <f t="shared" si="1"/>
        <v>#VALUE!</v>
      </c>
      <c r="O659" t="e">
        <f t="shared" si="2"/>
        <v>#VALUE!</v>
      </c>
      <c r="P659">
        <f>IF($A659="","",IF($E659=1,$F659*$O659,PNL!G659))</f>
        <v>58448</v>
      </c>
      <c r="T659">
        <f t="shared" si="3"/>
        <v>0</v>
      </c>
    </row>
    <row r="660" ht="14.25" customHeight="1">
      <c r="A660" t="str">
        <f>IF(PNL!A660="","",PNL!A660)</f>
        <v>MBWAY_PAR</v>
      </c>
      <c r="B660" t="str">
        <f>IF(PNL!B660="","",PNL!B660)</f>
        <v>6811</v>
      </c>
      <c r="C660" t="str">
        <f>IF(PNL!C660="","",PNL!C660)</f>
        <v>2026</v>
      </c>
      <c r="D660" t="str">
        <f>IF(PNL!D660="","",PNL!D660)</f>
        <v>ACT</v>
      </c>
      <c r="E660">
        <f t="shared" si="0"/>
        <v>0</v>
      </c>
      <c r="F660">
        <f>IF($A660="","",IF($E660=1,_xlfn.SUMIFS(Compta!$F$1:$F$1448,Compta!$A$1:$A$1448,$A660,Compta!$B$1:$B$1448,$B660,Compta!$C$1:$C$1448,"2026"),0))</f>
        <v>0</v>
      </c>
      <c r="G660" t="s">
        <v>274</v>
      </c>
      <c r="H660" t="s">
        <v>274</v>
      </c>
      <c r="I660" t="s">
        <v>274</v>
      </c>
      <c r="J660" t="s">
        <v>274</v>
      </c>
      <c r="K660" t="s">
        <v>274</v>
      </c>
      <c r="L660" t="s">
        <v>274</v>
      </c>
      <c r="M660" t="s">
        <v>274</v>
      </c>
      <c r="N660" t="e">
        <f t="shared" si="1"/>
        <v>#VALUE!</v>
      </c>
      <c r="O660" t="e">
        <f t="shared" si="2"/>
        <v>#VALUE!</v>
      </c>
      <c r="P660">
        <f>IF($A660="","",IF($E660=1,$F660*$O660,PNL!G660))</f>
        <v>154887</v>
      </c>
      <c r="T660">
        <f t="shared" si="3"/>
        <v>0</v>
      </c>
    </row>
    <row r="661" ht="14.25" customHeight="1">
      <c r="A661" t="str">
        <f>IF(PNL!A661="","",PNL!A661)</f>
        <v>MBWAY_LYO</v>
      </c>
      <c r="B661" t="str">
        <f>IF(PNL!B661="","",PNL!B661)</f>
        <v>6811</v>
      </c>
      <c r="C661" t="str">
        <f>IF(PNL!C661="","",PNL!C661)</f>
        <v>2026</v>
      </c>
      <c r="D661" t="str">
        <f>IF(PNL!D661="","",PNL!D661)</f>
        <v>ACT</v>
      </c>
      <c r="E661">
        <f t="shared" si="0"/>
        <v>0</v>
      </c>
      <c r="F661">
        <f>IF($A661="","",IF($E661=1,_xlfn.SUMIFS(Compta!$F$1:$F$1448,Compta!$A$1:$A$1448,$A661,Compta!$B$1:$B$1448,$B661,Compta!$C$1:$C$1448,"2026"),0))</f>
        <v>0</v>
      </c>
      <c r="G661" t="s">
        <v>274</v>
      </c>
      <c r="H661" t="s">
        <v>274</v>
      </c>
      <c r="I661" t="s">
        <v>274</v>
      </c>
      <c r="J661" t="s">
        <v>274</v>
      </c>
      <c r="K661" t="s">
        <v>274</v>
      </c>
      <c r="L661" t="s">
        <v>274</v>
      </c>
      <c r="M661" t="s">
        <v>274</v>
      </c>
      <c r="N661" t="e">
        <f t="shared" si="1"/>
        <v>#VALUE!</v>
      </c>
      <c r="O661" t="e">
        <f t="shared" si="2"/>
        <v>#VALUE!</v>
      </c>
      <c r="P661">
        <f>IF($A661="","",IF($E661=1,$F661*$O661,PNL!G661))</f>
        <v>134236</v>
      </c>
      <c r="T661">
        <f t="shared" si="3"/>
        <v>0</v>
      </c>
    </row>
    <row r="662" ht="14.25" customHeight="1">
      <c r="A662" t="str">
        <f>IF(PNL!A662="","",PNL!A662)</f>
        <v>MBWAY_NAN</v>
      </c>
      <c r="B662" t="str">
        <f>IF(PNL!B662="","",PNL!B662)</f>
        <v>6811</v>
      </c>
      <c r="C662" t="str">
        <f>IF(PNL!C662="","",PNL!C662)</f>
        <v>2026</v>
      </c>
      <c r="D662" t="str">
        <f>IF(PNL!D662="","",PNL!D662)</f>
        <v>ACT</v>
      </c>
      <c r="E662">
        <f t="shared" si="0"/>
        <v>0</v>
      </c>
      <c r="F662">
        <f>IF($A662="","",IF($E662=1,_xlfn.SUMIFS(Compta!$F$1:$F$1448,Compta!$A$1:$A$1448,$A662,Compta!$B$1:$B$1448,$B662,Compta!$C$1:$C$1448,"2026"),0))</f>
        <v>0</v>
      </c>
      <c r="G662" t="s">
        <v>274</v>
      </c>
      <c r="H662" t="s">
        <v>274</v>
      </c>
      <c r="I662" t="s">
        <v>274</v>
      </c>
      <c r="J662" t="s">
        <v>274</v>
      </c>
      <c r="K662" t="s">
        <v>274</v>
      </c>
      <c r="L662" t="s">
        <v>274</v>
      </c>
      <c r="M662" t="s">
        <v>274</v>
      </c>
      <c r="N662" t="e">
        <f t="shared" si="1"/>
        <v>#VALUE!</v>
      </c>
      <c r="O662" t="e">
        <f t="shared" si="2"/>
        <v>#VALUE!</v>
      </c>
      <c r="P662">
        <f>IF($A662="","",IF($E662=1,$F662*$O662,PNL!G662))</f>
        <v>123910</v>
      </c>
      <c r="T662">
        <f t="shared" si="3"/>
        <v>0</v>
      </c>
    </row>
    <row r="663" ht="14.25" customHeight="1">
      <c r="A663" t="str">
        <f>IF(PNL!A663="","",PNL!A663)</f>
        <v>MBWAY_BOR</v>
      </c>
      <c r="B663" t="str">
        <f>IF(PNL!B663="","",PNL!B663)</f>
        <v>6811</v>
      </c>
      <c r="C663" t="str">
        <f>IF(PNL!C663="","",PNL!C663)</f>
        <v>2026</v>
      </c>
      <c r="D663" t="str">
        <f>IF(PNL!D663="","",PNL!D663)</f>
        <v>ACT</v>
      </c>
      <c r="E663">
        <f t="shared" si="0"/>
        <v>0</v>
      </c>
      <c r="F663">
        <f>IF($A663="","",IF($E663=1,_xlfn.SUMIFS(Compta!$F$1:$F$1448,Compta!$A$1:$A$1448,$A663,Compta!$B$1:$B$1448,$B663,Compta!$C$1:$C$1448,"2026"),0))</f>
        <v>0</v>
      </c>
      <c r="G663" t="s">
        <v>274</v>
      </c>
      <c r="H663" t="s">
        <v>274</v>
      </c>
      <c r="I663" t="s">
        <v>274</v>
      </c>
      <c r="J663" t="s">
        <v>274</v>
      </c>
      <c r="K663" t="s">
        <v>274</v>
      </c>
      <c r="L663" t="s">
        <v>274</v>
      </c>
      <c r="M663" t="s">
        <v>274</v>
      </c>
      <c r="N663" t="e">
        <f t="shared" si="1"/>
        <v>#VALUE!</v>
      </c>
      <c r="O663" t="e">
        <f t="shared" si="2"/>
        <v>#VALUE!</v>
      </c>
      <c r="P663">
        <f>IF($A663="","",IF($E663=1,$F663*$O663,PNL!G663))</f>
        <v>103258</v>
      </c>
      <c r="T663">
        <f t="shared" si="3"/>
        <v>0</v>
      </c>
    </row>
    <row r="664" ht="14.25" customHeight="1">
      <c r="A664" t="str">
        <f>IF(PNL!A664="","",PNL!A664)</f>
        <v>ISCOM_PAR</v>
      </c>
      <c r="B664" t="str">
        <f>IF(PNL!B664="","",PNL!B664)</f>
        <v>6811</v>
      </c>
      <c r="C664" t="str">
        <f>IF(PNL!C664="","",PNL!C664)</f>
        <v>2026</v>
      </c>
      <c r="D664" t="str">
        <f>IF(PNL!D664="","",PNL!D664)</f>
        <v>ACT</v>
      </c>
      <c r="E664">
        <f t="shared" si="0"/>
        <v>0</v>
      </c>
      <c r="F664">
        <f>IF($A664="","",IF($E664=1,_xlfn.SUMIFS(Compta!$F$1:$F$1448,Compta!$A$1:$A$1448,$A664,Compta!$B$1:$B$1448,$B664,Compta!$C$1:$C$1448,"2026"),0))</f>
        <v>0</v>
      </c>
      <c r="G664" t="s">
        <v>274</v>
      </c>
      <c r="H664" t="s">
        <v>274</v>
      </c>
      <c r="I664" t="s">
        <v>274</v>
      </c>
      <c r="J664" t="s">
        <v>274</v>
      </c>
      <c r="K664" t="s">
        <v>274</v>
      </c>
      <c r="L664" t="s">
        <v>274</v>
      </c>
      <c r="M664" t="s">
        <v>274</v>
      </c>
      <c r="N664" t="e">
        <f t="shared" si="1"/>
        <v>#VALUE!</v>
      </c>
      <c r="O664" t="e">
        <f t="shared" si="2"/>
        <v>#VALUE!</v>
      </c>
      <c r="P664">
        <f>IF($A664="","",IF($E664=1,$F664*$O664,PNL!G664))</f>
        <v>154887</v>
      </c>
      <c r="T664">
        <f t="shared" si="3"/>
        <v>0</v>
      </c>
    </row>
    <row r="665" ht="14.25" customHeight="1">
      <c r="A665" t="str">
        <f>IF(PNL!A665="","",PNL!A665)</f>
        <v>ISCOM_LIL</v>
      </c>
      <c r="B665" t="str">
        <f>IF(PNL!B665="","",PNL!B665)</f>
        <v>6811</v>
      </c>
      <c r="C665" t="str">
        <f>IF(PNL!C665="","",PNL!C665)</f>
        <v>2026</v>
      </c>
      <c r="D665" t="str">
        <f>IF(PNL!D665="","",PNL!D665)</f>
        <v>ACT</v>
      </c>
      <c r="E665">
        <f t="shared" si="0"/>
        <v>0</v>
      </c>
      <c r="F665">
        <f>IF($A665="","",IF($E665=1,_xlfn.SUMIFS(Compta!$F$1:$F$1448,Compta!$A$1:$A$1448,$A665,Compta!$B$1:$B$1448,$B665,Compta!$C$1:$C$1448,"2026"),0))</f>
        <v>0</v>
      </c>
      <c r="G665" t="s">
        <v>274</v>
      </c>
      <c r="H665" t="s">
        <v>274</v>
      </c>
      <c r="I665" t="s">
        <v>274</v>
      </c>
      <c r="J665" t="s">
        <v>274</v>
      </c>
      <c r="K665" t="s">
        <v>274</v>
      </c>
      <c r="L665" t="s">
        <v>274</v>
      </c>
      <c r="M665" t="s">
        <v>274</v>
      </c>
      <c r="N665" t="e">
        <f t="shared" si="1"/>
        <v>#VALUE!</v>
      </c>
      <c r="O665" t="e">
        <f t="shared" si="2"/>
        <v>#VALUE!</v>
      </c>
      <c r="P665">
        <f>IF($A665="","",IF($E665=1,$F665*$O665,PNL!G665))</f>
        <v>103258</v>
      </c>
      <c r="T665">
        <f t="shared" si="3"/>
        <v>0</v>
      </c>
    </row>
    <row r="666" ht="14.25" customHeight="1">
      <c r="A666" t="str">
        <f>IF(PNL!A666="","",PNL!A666)</f>
        <v>ISCOM_TLS</v>
      </c>
      <c r="B666" t="str">
        <f>IF(PNL!B666="","",PNL!B666)</f>
        <v>6811</v>
      </c>
      <c r="C666" t="str">
        <f>IF(PNL!C666="","",PNL!C666)</f>
        <v>2026</v>
      </c>
      <c r="D666" t="str">
        <f>IF(PNL!D666="","",PNL!D666)</f>
        <v>ACT</v>
      </c>
      <c r="E666">
        <f t="shared" si="0"/>
        <v>0</v>
      </c>
      <c r="F666">
        <f>IF($A666="","",IF($E666=1,_xlfn.SUMIFS(Compta!$F$1:$F$1448,Compta!$A$1:$A$1448,$A666,Compta!$B$1:$B$1448,$B666,Compta!$C$1:$C$1448,"2026"),0))</f>
        <v>0</v>
      </c>
      <c r="G666" t="s">
        <v>274</v>
      </c>
      <c r="H666" t="s">
        <v>274</v>
      </c>
      <c r="I666" t="s">
        <v>274</v>
      </c>
      <c r="J666" t="s">
        <v>274</v>
      </c>
      <c r="K666" t="s">
        <v>274</v>
      </c>
      <c r="L666" t="s">
        <v>274</v>
      </c>
      <c r="M666" t="s">
        <v>274</v>
      </c>
      <c r="N666" t="e">
        <f t="shared" si="1"/>
        <v>#VALUE!</v>
      </c>
      <c r="O666" t="e">
        <f t="shared" si="2"/>
        <v>#VALUE!</v>
      </c>
      <c r="P666">
        <f>IF($A666="","",IF($E666=1,$F666*$O666,PNL!G666))</f>
        <v>103258</v>
      </c>
      <c r="T666">
        <f t="shared" si="3"/>
        <v>0</v>
      </c>
    </row>
    <row r="667" ht="14.25" customHeight="1">
      <c r="A667" t="str">
        <f>IF(PNL!A667="","",PNL!A667)</f>
        <v>IPAC_NAN</v>
      </c>
      <c r="B667" t="str">
        <f>IF(PNL!B667="","",PNL!B667)</f>
        <v>6811</v>
      </c>
      <c r="C667" t="str">
        <f>IF(PNL!C667="","",PNL!C667)</f>
        <v>2026</v>
      </c>
      <c r="D667" t="str">
        <f>IF(PNL!D667="","",PNL!D667)</f>
        <v>ACT</v>
      </c>
      <c r="E667">
        <f t="shared" si="0"/>
        <v>0</v>
      </c>
      <c r="F667">
        <f>IF($A667="","",IF($E667=1,_xlfn.SUMIFS(Compta!$F$1:$F$1448,Compta!$A$1:$A$1448,$A667,Compta!$B$1:$B$1448,$B667,Compta!$C$1:$C$1448,"2026"),0))</f>
        <v>0</v>
      </c>
      <c r="G667" t="s">
        <v>274</v>
      </c>
      <c r="H667" t="s">
        <v>274</v>
      </c>
      <c r="I667" t="s">
        <v>274</v>
      </c>
      <c r="J667" t="s">
        <v>274</v>
      </c>
      <c r="K667" t="s">
        <v>274</v>
      </c>
      <c r="L667" t="s">
        <v>274</v>
      </c>
      <c r="M667" t="s">
        <v>274</v>
      </c>
      <c r="N667" t="e">
        <f t="shared" si="1"/>
        <v>#VALUE!</v>
      </c>
      <c r="O667" t="e">
        <f t="shared" si="2"/>
        <v>#VALUE!</v>
      </c>
      <c r="P667">
        <f>IF($A667="","",IF($E667=1,$F667*$O667,PNL!G667))</f>
        <v>61955</v>
      </c>
      <c r="T667">
        <f t="shared" si="3"/>
        <v>0</v>
      </c>
    </row>
    <row r="668" ht="14.25" customHeight="1">
      <c r="A668" t="str">
        <f>IF(PNL!A668="","",PNL!A668)</f>
        <v>IPAC_REN</v>
      </c>
      <c r="B668" t="str">
        <f>IF(PNL!B668="","",PNL!B668)</f>
        <v>6811</v>
      </c>
      <c r="C668" t="str">
        <f>IF(PNL!C668="","",PNL!C668)</f>
        <v>2026</v>
      </c>
      <c r="D668" t="str">
        <f>IF(PNL!D668="","",PNL!D668)</f>
        <v>ACT</v>
      </c>
      <c r="E668">
        <f t="shared" si="0"/>
        <v>0</v>
      </c>
      <c r="F668">
        <f>IF($A668="","",IF($E668=1,_xlfn.SUMIFS(Compta!$F$1:$F$1448,Compta!$A$1:$A$1448,$A668,Compta!$B$1:$B$1448,$B668,Compta!$C$1:$C$1448,"2026"),0))</f>
        <v>0</v>
      </c>
      <c r="G668" t="s">
        <v>274</v>
      </c>
      <c r="H668" t="s">
        <v>274</v>
      </c>
      <c r="I668" t="s">
        <v>274</v>
      </c>
      <c r="J668" t="s">
        <v>274</v>
      </c>
      <c r="K668" t="s">
        <v>274</v>
      </c>
      <c r="L668" t="s">
        <v>274</v>
      </c>
      <c r="M668" t="s">
        <v>274</v>
      </c>
      <c r="N668" t="e">
        <f t="shared" si="1"/>
        <v>#VALUE!</v>
      </c>
      <c r="O668" t="e">
        <f t="shared" si="2"/>
        <v>#VALUE!</v>
      </c>
      <c r="P668">
        <f>IF($A668="","",IF($E668=1,$F668*$O668,PNL!G668))</f>
        <v>61955</v>
      </c>
      <c r="T668">
        <f t="shared" si="3"/>
        <v>0</v>
      </c>
    </row>
    <row r="669" ht="14.25" customHeight="1">
      <c r="A669" t="str">
        <f>IF(PNL!A669="","",PNL!A669)</f>
        <v>IPAC_MTP</v>
      </c>
      <c r="B669" t="str">
        <f>IF(PNL!B669="","",PNL!B669)</f>
        <v>6811</v>
      </c>
      <c r="C669" t="str">
        <f>IF(PNL!C669="","",PNL!C669)</f>
        <v>2026</v>
      </c>
      <c r="D669" t="str">
        <f>IF(PNL!D669="","",PNL!D669)</f>
        <v>ACT</v>
      </c>
      <c r="E669">
        <f t="shared" si="0"/>
        <v>0</v>
      </c>
      <c r="F669">
        <f>IF($A669="","",IF($E669=1,_xlfn.SUMIFS(Compta!$F$1:$F$1448,Compta!$A$1:$A$1448,$A669,Compta!$B$1:$B$1448,$B669,Compta!$C$1:$C$1448,"2026"),0))</f>
        <v>0</v>
      </c>
      <c r="G669" t="s">
        <v>274</v>
      </c>
      <c r="H669" t="s">
        <v>274</v>
      </c>
      <c r="I669" t="s">
        <v>274</v>
      </c>
      <c r="J669" t="s">
        <v>274</v>
      </c>
      <c r="K669" t="s">
        <v>274</v>
      </c>
      <c r="L669" t="s">
        <v>274</v>
      </c>
      <c r="M669" t="s">
        <v>274</v>
      </c>
      <c r="N669" t="e">
        <f t="shared" si="1"/>
        <v>#VALUE!</v>
      </c>
      <c r="O669" t="e">
        <f t="shared" si="2"/>
        <v>#VALUE!</v>
      </c>
      <c r="P669">
        <f>IF($A669="","",IF($E669=1,$F669*$O669,PNL!G669))</f>
        <v>61955</v>
      </c>
      <c r="T669">
        <f t="shared" si="3"/>
        <v>0</v>
      </c>
    </row>
    <row r="670" ht="14.25" customHeight="1">
      <c r="A670" t="str">
        <f>IF(PNL!A670="","",PNL!A670)</f>
        <v>PIGIER_LYO</v>
      </c>
      <c r="B670" t="str">
        <f>IF(PNL!B670="","",PNL!B670)</f>
        <v>6811</v>
      </c>
      <c r="C670" t="str">
        <f>IF(PNL!C670="","",PNL!C670)</f>
        <v>2026</v>
      </c>
      <c r="D670" t="str">
        <f>IF(PNL!D670="","",PNL!D670)</f>
        <v>ACT</v>
      </c>
      <c r="E670">
        <f t="shared" si="0"/>
        <v>0</v>
      </c>
      <c r="F670">
        <f>IF($A670="","",IF($E670=1,_xlfn.SUMIFS(Compta!$F$1:$F$1448,Compta!$A$1:$A$1448,$A670,Compta!$B$1:$B$1448,$B670,Compta!$C$1:$C$1448,"2026"),0))</f>
        <v>0</v>
      </c>
      <c r="G670" t="s">
        <v>274</v>
      </c>
      <c r="H670" t="s">
        <v>274</v>
      </c>
      <c r="I670" t="s">
        <v>274</v>
      </c>
      <c r="J670" t="s">
        <v>274</v>
      </c>
      <c r="K670" t="s">
        <v>274</v>
      </c>
      <c r="L670" t="s">
        <v>274</v>
      </c>
      <c r="M670" t="s">
        <v>274</v>
      </c>
      <c r="N670" t="e">
        <f t="shared" si="1"/>
        <v>#VALUE!</v>
      </c>
      <c r="O670" t="e">
        <f t="shared" si="2"/>
        <v>#VALUE!</v>
      </c>
      <c r="P670">
        <f>IF($A670="","",IF($E670=1,$F670*$O670,PNL!G670))</f>
        <v>82607</v>
      </c>
      <c r="T670">
        <f t="shared" si="3"/>
        <v>0</v>
      </c>
    </row>
    <row r="671" ht="14.25" customHeight="1">
      <c r="A671" t="str">
        <f>IF(PNL!A671="","",PNL!A671)</f>
        <v>PIGIER_BOR</v>
      </c>
      <c r="B671" t="str">
        <f>IF(PNL!B671="","",PNL!B671)</f>
        <v>6811</v>
      </c>
      <c r="C671" t="str">
        <f>IF(PNL!C671="","",PNL!C671)</f>
        <v>2026</v>
      </c>
      <c r="D671" t="str">
        <f>IF(PNL!D671="","",PNL!D671)</f>
        <v>ACT</v>
      </c>
      <c r="E671">
        <f t="shared" si="0"/>
        <v>0</v>
      </c>
      <c r="F671">
        <f>IF($A671="","",IF($E671=1,_xlfn.SUMIFS(Compta!$F$1:$F$1448,Compta!$A$1:$A$1448,$A671,Compta!$B$1:$B$1448,$B671,Compta!$C$1:$C$1448,"2026"),0))</f>
        <v>0</v>
      </c>
      <c r="G671" t="s">
        <v>274</v>
      </c>
      <c r="H671" t="s">
        <v>274</v>
      </c>
      <c r="I671" t="s">
        <v>274</v>
      </c>
      <c r="J671" t="s">
        <v>274</v>
      </c>
      <c r="K671" t="s">
        <v>274</v>
      </c>
      <c r="L671" t="s">
        <v>274</v>
      </c>
      <c r="M671" t="s">
        <v>274</v>
      </c>
      <c r="N671" t="e">
        <f t="shared" si="1"/>
        <v>#VALUE!</v>
      </c>
      <c r="O671" t="e">
        <f t="shared" si="2"/>
        <v>#VALUE!</v>
      </c>
      <c r="P671">
        <f>IF($A671="","",IF($E671=1,$F671*$O671,PNL!G671))</f>
        <v>82607</v>
      </c>
      <c r="T671">
        <f t="shared" si="3"/>
        <v>0</v>
      </c>
    </row>
    <row r="672" ht="14.25" customHeight="1">
      <c r="A672" t="str">
        <f>IF(PNL!A672="","",PNL!A672)</f>
        <v>TUNON_PAR</v>
      </c>
      <c r="B672" t="str">
        <f>IF(PNL!B672="","",PNL!B672)</f>
        <v>6811</v>
      </c>
      <c r="C672" t="str">
        <f>IF(PNL!C672="","",PNL!C672)</f>
        <v>2026</v>
      </c>
      <c r="D672" t="str">
        <f>IF(PNL!D672="","",PNL!D672)</f>
        <v>ACT</v>
      </c>
      <c r="E672">
        <f t="shared" si="0"/>
        <v>0</v>
      </c>
      <c r="F672">
        <f>IF($A672="","",IF($E672=1,_xlfn.SUMIFS(Compta!$F$1:$F$1448,Compta!$A$1:$A$1448,$A672,Compta!$B$1:$B$1448,$B672,Compta!$C$1:$C$1448,"2026"),0))</f>
        <v>0</v>
      </c>
      <c r="G672" t="s">
        <v>274</v>
      </c>
      <c r="H672" t="s">
        <v>274</v>
      </c>
      <c r="I672" t="s">
        <v>274</v>
      </c>
      <c r="J672" t="s">
        <v>274</v>
      </c>
      <c r="K672" t="s">
        <v>274</v>
      </c>
      <c r="L672" t="s">
        <v>274</v>
      </c>
      <c r="M672" t="s">
        <v>274</v>
      </c>
      <c r="N672" t="e">
        <f t="shared" si="1"/>
        <v>#VALUE!</v>
      </c>
      <c r="O672" t="e">
        <f t="shared" si="2"/>
        <v>#VALUE!</v>
      </c>
      <c r="P672">
        <f>IF($A672="","",IF($E672=1,$F672*$O672,PNL!G672))</f>
        <v>61955</v>
      </c>
      <c r="T672">
        <f t="shared" si="3"/>
        <v>0</v>
      </c>
    </row>
    <row r="673" ht="14.25" customHeight="1">
      <c r="A673" t="str">
        <f>IF(PNL!A673="","",PNL!A673)</f>
        <v>TUNON_LYO</v>
      </c>
      <c r="B673" t="str">
        <f>IF(PNL!B673="","",PNL!B673)</f>
        <v>6811</v>
      </c>
      <c r="C673" t="str">
        <f>IF(PNL!C673="","",PNL!C673)</f>
        <v>2026</v>
      </c>
      <c r="D673" t="str">
        <f>IF(PNL!D673="","",PNL!D673)</f>
        <v>ACT</v>
      </c>
      <c r="E673">
        <f t="shared" si="0"/>
        <v>0</v>
      </c>
      <c r="F673">
        <f>IF($A673="","",IF($E673=1,_xlfn.SUMIFS(Compta!$F$1:$F$1448,Compta!$A$1:$A$1448,$A673,Compta!$B$1:$B$1448,$B673,Compta!$C$1:$C$1448,"2026"),0))</f>
        <v>0</v>
      </c>
      <c r="G673" t="s">
        <v>274</v>
      </c>
      <c r="H673" t="s">
        <v>274</v>
      </c>
      <c r="I673" t="s">
        <v>274</v>
      </c>
      <c r="J673" t="s">
        <v>274</v>
      </c>
      <c r="K673" t="s">
        <v>274</v>
      </c>
      <c r="L673" t="s">
        <v>274</v>
      </c>
      <c r="M673" t="s">
        <v>274</v>
      </c>
      <c r="N673" t="e">
        <f t="shared" si="1"/>
        <v>#VALUE!</v>
      </c>
      <c r="O673" t="e">
        <f t="shared" si="2"/>
        <v>#VALUE!</v>
      </c>
      <c r="P673">
        <f>IF($A673="","",IF($E673=1,$F673*$O673,PNL!G673))</f>
        <v>61955</v>
      </c>
      <c r="T673">
        <f t="shared" si="3"/>
        <v>0</v>
      </c>
    </row>
    <row r="674" ht="14.25" customHeight="1">
      <c r="A674" t="str">
        <f>IF(PNL!A674="","",PNL!A674)</f>
        <v>GRP</v>
      </c>
      <c r="B674" t="str">
        <f>IF(PNL!B674="","",PNL!B674)</f>
        <v>TEC_PL</v>
      </c>
      <c r="C674" t="str">
        <f>IF(PNL!C674="","",PNL!C674)</f>
        <v>2027</v>
      </c>
      <c r="D674" t="str">
        <f>IF(PNL!D674="","",PNL!D674)</f>
        <v>ACT</v>
      </c>
      <c r="E674">
        <f t="shared" si="0"/>
        <v>0</v>
      </c>
      <c r="F674">
        <f>IF($A674="","",IF($E674=1,_xlfn.SUMIFS(Compta!$F$1:$F$1448,Compta!$A$1:$A$1448,$A674,Compta!$B$1:$B$1448,$B674,Compta!$C$1:$C$1448,"2026"),0))</f>
        <v>0</v>
      </c>
      <c r="G674" t="s">
        <v>274</v>
      </c>
      <c r="H674" t="s">
        <v>274</v>
      </c>
      <c r="I674" t="s">
        <v>274</v>
      </c>
      <c r="J674" t="s">
        <v>274</v>
      </c>
      <c r="K674" t="s">
        <v>274</v>
      </c>
      <c r="L674" t="s">
        <v>274</v>
      </c>
      <c r="M674" t="s">
        <v>274</v>
      </c>
      <c r="N674" t="e">
        <f t="shared" si="1"/>
        <v>#VALUE!</v>
      </c>
      <c r="O674">
        <f t="shared" si="2"/>
        <v>1</v>
      </c>
      <c r="P674">
        <f>IF($A674="","",IF($E674=1,$F674*$O674,PNL!G674))</f>
        <v>0.05</v>
      </c>
      <c r="T674">
        <f t="shared" si="3"/>
        <v>0</v>
      </c>
    </row>
    <row r="675" ht="14.25" customHeight="1">
      <c r="A675" t="str">
        <f>IF(PNL!A675="","",PNL!A675)</f>
        <v>GRP</v>
      </c>
      <c r="B675" t="str">
        <f>IF(PNL!B675="","",PNL!B675)</f>
        <v>TEC_EBITDA</v>
      </c>
      <c r="C675" t="str">
        <f>IF(PNL!C675="","",PNL!C675)</f>
        <v>2027</v>
      </c>
      <c r="D675" t="str">
        <f>IF(PNL!D675="","",PNL!D675)</f>
        <v>ACT</v>
      </c>
      <c r="E675">
        <f t="shared" si="0"/>
        <v>0</v>
      </c>
      <c r="F675">
        <f>IF($A675="","",IF($E675=1,_xlfn.SUMIFS(Compta!$F$1:$F$1448,Compta!$A$1:$A$1448,$A675,Compta!$B$1:$B$1448,$B675,Compta!$C$1:$C$1448,"2026"),0))</f>
        <v>0</v>
      </c>
      <c r="G675" t="s">
        <v>274</v>
      </c>
      <c r="H675" t="s">
        <v>274</v>
      </c>
      <c r="I675" t="s">
        <v>274</v>
      </c>
      <c r="J675" t="s">
        <v>274</v>
      </c>
      <c r="K675" t="s">
        <v>274</v>
      </c>
      <c r="L675" t="s">
        <v>274</v>
      </c>
      <c r="M675" t="s">
        <v>274</v>
      </c>
      <c r="N675" t="e">
        <f t="shared" si="1"/>
        <v>#VALUE!</v>
      </c>
      <c r="O675">
        <f t="shared" si="2"/>
        <v>1</v>
      </c>
      <c r="P675">
        <f>IF($A675="","",IF($E675=1,$F675*$O675,PNL!G675))</f>
        <v>0.15</v>
      </c>
      <c r="T675">
        <f t="shared" si="3"/>
        <v>0</v>
      </c>
    </row>
    <row r="676" ht="14.25" customHeight="1">
      <c r="A676" t="str">
        <f>IF(PNL!A676="","",PNL!A676)</f>
        <v>IPAC_NAN</v>
      </c>
      <c r="B676" t="str">
        <f>IF(PNL!B676="","",PNL!B676)</f>
        <v>6413</v>
      </c>
      <c r="C676" t="str">
        <f>IF(PNL!C676="","",PNL!C676)</f>
        <v>2027</v>
      </c>
      <c r="D676" t="str">
        <f>IF(PNL!D676="","",PNL!D676)</f>
        <v>V01</v>
      </c>
      <c r="E676">
        <f t="shared" si="0"/>
        <v>1</v>
      </c>
      <c r="F676">
        <f>IF($A676="","",IF($E676=1,_xlfn.SUMIFS(Compta!$F$1:$F$1448,Compta!$A$1:$A$1448,$A676,Compta!$B$1:$B$1448,$B676,Compta!$C$1:$C$1448,"2026"),0))</f>
        <v>81868</v>
      </c>
      <c r="G676" t="s">
        <v>274</v>
      </c>
      <c r="H676" t="s">
        <v>274</v>
      </c>
      <c r="I676" t="s">
        <v>274</v>
      </c>
      <c r="J676" t="s">
        <v>274</v>
      </c>
      <c r="K676" t="s">
        <v>274</v>
      </c>
      <c r="L676" t="s">
        <v>274</v>
      </c>
      <c r="M676" t="s">
        <v>274</v>
      </c>
      <c r="N676" t="e">
        <f t="shared" si="1"/>
        <v>#VALUE!</v>
      </c>
      <c r="O676" t="e">
        <f t="shared" si="2"/>
        <v>#VALUE!</v>
      </c>
      <c r="P676" t="e">
        <f>IF($A676="","",IF($E676=1,$F676*$O676,PNL!G676))</f>
        <v>#VALUE!</v>
      </c>
      <c r="T676" t="e">
        <f t="shared" si="3"/>
        <v>#VALUE!</v>
      </c>
    </row>
    <row r="677" ht="14.25" customHeight="1">
      <c r="A677" t="str">
        <f>IF(PNL!A677="","",PNL!A677)</f>
        <v>IPAC_NAN</v>
      </c>
      <c r="B677" t="str">
        <f>IF(PNL!B677="","",PNL!B677)</f>
        <v>6413</v>
      </c>
      <c r="C677" t="str">
        <f>IF(PNL!C677="","",PNL!C677)</f>
        <v>2027</v>
      </c>
      <c r="D677" t="str">
        <f>IF(PNL!D677="","",PNL!D677)</f>
        <v>V02</v>
      </c>
      <c r="E677">
        <f t="shared" si="0"/>
        <v>1</v>
      </c>
      <c r="F677">
        <f>IF($A677="","",IF($E677=1,_xlfn.SUMIFS(Compta!$F$1:$F$1448,Compta!$A$1:$A$1448,$A677,Compta!$B$1:$B$1448,$B677,Compta!$C$1:$C$1448,"2026"),0))</f>
        <v>81868</v>
      </c>
      <c r="G677" t="s">
        <v>274</v>
      </c>
      <c r="H677" t="s">
        <v>274</v>
      </c>
      <c r="I677" t="s">
        <v>274</v>
      </c>
      <c r="J677" t="s">
        <v>274</v>
      </c>
      <c r="K677" t="s">
        <v>274</v>
      </c>
      <c r="L677" t="s">
        <v>274</v>
      </c>
      <c r="M677" t="s">
        <v>274</v>
      </c>
      <c r="N677" t="e">
        <f t="shared" si="1"/>
        <v>#VALUE!</v>
      </c>
      <c r="O677" t="e">
        <f t="shared" si="2"/>
        <v>#VALUE!</v>
      </c>
      <c r="P677" t="e">
        <f>IF($A677="","",IF($E677=1,$F677*$O677,PNL!G677))</f>
        <v>#VALUE!</v>
      </c>
      <c r="T677" t="e">
        <f t="shared" si="3"/>
        <v>#VALUE!</v>
      </c>
    </row>
    <row r="678" ht="14.25" customHeight="1">
      <c r="A678" t="str">
        <f>IF(PNL!A678="","",PNL!A678)</f>
        <v>IPAC_NAN</v>
      </c>
      <c r="B678" t="str">
        <f>IF(PNL!B678="","",PNL!B678)</f>
        <v>6413</v>
      </c>
      <c r="C678" t="str">
        <f>IF(PNL!C678="","",PNL!C678)</f>
        <v>2027</v>
      </c>
      <c r="D678" t="str">
        <f>IF(PNL!D678="","",PNL!D678)</f>
        <v>V03</v>
      </c>
      <c r="E678">
        <f t="shared" si="0"/>
        <v>1</v>
      </c>
      <c r="F678">
        <f>IF($A678="","",IF($E678=1,_xlfn.SUMIFS(Compta!$F$1:$F$1448,Compta!$A$1:$A$1448,$A678,Compta!$B$1:$B$1448,$B678,Compta!$C$1:$C$1448,"2026"),0))</f>
        <v>81868</v>
      </c>
      <c r="G678" t="s">
        <v>274</v>
      </c>
      <c r="H678" t="s">
        <v>274</v>
      </c>
      <c r="I678" t="s">
        <v>274</v>
      </c>
      <c r="J678" t="s">
        <v>274</v>
      </c>
      <c r="K678" t="s">
        <v>274</v>
      </c>
      <c r="L678" t="s">
        <v>274</v>
      </c>
      <c r="M678" t="s">
        <v>274</v>
      </c>
      <c r="N678" t="e">
        <f t="shared" si="1"/>
        <v>#VALUE!</v>
      </c>
      <c r="O678" t="e">
        <f t="shared" si="2"/>
        <v>#VALUE!</v>
      </c>
      <c r="P678" t="e">
        <f>IF($A678="","",IF($E678=1,$F678*$O678,PNL!G678))</f>
        <v>#VALUE!</v>
      </c>
      <c r="T678" t="e">
        <f t="shared" si="3"/>
        <v>#VALUE!</v>
      </c>
    </row>
    <row r="679" ht="14.25" customHeight="1">
      <c r="A679" t="str">
        <f>IF(PNL!A679="","",PNL!A679)</f>
        <v>IPAC_REN</v>
      </c>
      <c r="B679" t="str">
        <f>IF(PNL!B679="","",PNL!B679)</f>
        <v>6413</v>
      </c>
      <c r="C679" t="str">
        <f>IF(PNL!C679="","",PNL!C679)</f>
        <v>2027</v>
      </c>
      <c r="D679" t="str">
        <f>IF(PNL!D679="","",PNL!D679)</f>
        <v>V01</v>
      </c>
      <c r="E679">
        <f t="shared" si="0"/>
        <v>1</v>
      </c>
      <c r="F679">
        <f>IF($A679="","",IF($E679=1,_xlfn.SUMIFS(Compta!$F$1:$F$1448,Compta!$A$1:$A$1448,$A679,Compta!$B$1:$B$1448,$B679,Compta!$C$1:$C$1448,"2026"),0))</f>
        <v>58132</v>
      </c>
      <c r="G679" t="s">
        <v>274</v>
      </c>
      <c r="H679" t="s">
        <v>274</v>
      </c>
      <c r="I679" t="s">
        <v>274</v>
      </c>
      <c r="J679" t="s">
        <v>274</v>
      </c>
      <c r="K679" t="s">
        <v>274</v>
      </c>
      <c r="L679" t="s">
        <v>274</v>
      </c>
      <c r="M679" t="s">
        <v>274</v>
      </c>
      <c r="N679" t="e">
        <f t="shared" si="1"/>
        <v>#VALUE!</v>
      </c>
      <c r="O679" t="e">
        <f t="shared" si="2"/>
        <v>#VALUE!</v>
      </c>
      <c r="P679" t="e">
        <f>IF($A679="","",IF($E679=1,$F679*$O679,PNL!G679))</f>
        <v>#VALUE!</v>
      </c>
      <c r="T679" t="e">
        <f t="shared" si="3"/>
        <v>#VALUE!</v>
      </c>
    </row>
    <row r="680" ht="14.25" customHeight="1">
      <c r="A680" t="str">
        <f>IF(PNL!A680="","",PNL!A680)</f>
        <v>IPAC_REN</v>
      </c>
      <c r="B680" t="str">
        <f>IF(PNL!B680="","",PNL!B680)</f>
        <v>6413</v>
      </c>
      <c r="C680" t="str">
        <f>IF(PNL!C680="","",PNL!C680)</f>
        <v>2027</v>
      </c>
      <c r="D680" t="str">
        <f>IF(PNL!D680="","",PNL!D680)</f>
        <v>V02</v>
      </c>
      <c r="E680">
        <f t="shared" si="0"/>
        <v>1</v>
      </c>
      <c r="F680">
        <f>IF($A680="","",IF($E680=1,_xlfn.SUMIFS(Compta!$F$1:$F$1448,Compta!$A$1:$A$1448,$A680,Compta!$B$1:$B$1448,$B680,Compta!$C$1:$C$1448,"2026"),0))</f>
        <v>58132</v>
      </c>
      <c r="G680" t="s">
        <v>274</v>
      </c>
      <c r="H680" t="s">
        <v>274</v>
      </c>
      <c r="I680" t="s">
        <v>274</v>
      </c>
      <c r="J680" t="s">
        <v>274</v>
      </c>
      <c r="K680" t="s">
        <v>274</v>
      </c>
      <c r="L680" t="s">
        <v>274</v>
      </c>
      <c r="M680" t="s">
        <v>274</v>
      </c>
      <c r="N680" t="e">
        <f t="shared" si="1"/>
        <v>#VALUE!</v>
      </c>
      <c r="O680" t="e">
        <f t="shared" si="2"/>
        <v>#VALUE!</v>
      </c>
      <c r="P680" t="e">
        <f>IF($A680="","",IF($E680=1,$F680*$O680,PNL!G680))</f>
        <v>#VALUE!</v>
      </c>
      <c r="T680" t="e">
        <f t="shared" si="3"/>
        <v>#VALUE!</v>
      </c>
    </row>
    <row r="681" ht="14.25" customHeight="1">
      <c r="A681" t="str">
        <f>IF(PNL!A681="","",PNL!A681)</f>
        <v>IPAC_REN</v>
      </c>
      <c r="B681" t="str">
        <f>IF(PNL!B681="","",PNL!B681)</f>
        <v>6413</v>
      </c>
      <c r="C681" t="str">
        <f>IF(PNL!C681="","",PNL!C681)</f>
        <v>2027</v>
      </c>
      <c r="D681" t="str">
        <f>IF(PNL!D681="","",PNL!D681)</f>
        <v>V03</v>
      </c>
      <c r="E681">
        <f t="shared" si="0"/>
        <v>1</v>
      </c>
      <c r="F681">
        <f>IF($A681="","",IF($E681=1,_xlfn.SUMIFS(Compta!$F$1:$F$1448,Compta!$A$1:$A$1448,$A681,Compta!$B$1:$B$1448,$B681,Compta!$C$1:$C$1448,"2026"),0))</f>
        <v>58132</v>
      </c>
      <c r="G681" t="s">
        <v>274</v>
      </c>
      <c r="H681" t="s">
        <v>274</v>
      </c>
      <c r="I681" t="s">
        <v>274</v>
      </c>
      <c r="J681" t="s">
        <v>274</v>
      </c>
      <c r="K681" t="s">
        <v>274</v>
      </c>
      <c r="L681" t="s">
        <v>274</v>
      </c>
      <c r="M681" t="s">
        <v>274</v>
      </c>
      <c r="N681" t="e">
        <f t="shared" si="1"/>
        <v>#VALUE!</v>
      </c>
      <c r="O681" t="e">
        <f t="shared" si="2"/>
        <v>#VALUE!</v>
      </c>
      <c r="P681" t="e">
        <f>IF($A681="","",IF($E681=1,$F681*$O681,PNL!G681))</f>
        <v>#VALUE!</v>
      </c>
      <c r="T681" t="e">
        <f t="shared" si="3"/>
        <v>#VALUE!</v>
      </c>
    </row>
    <row r="682" ht="14.25" customHeight="1">
      <c r="A682" t="str">
        <f>IF(PNL!A682="","",PNL!A682)</f>
        <v>IPAC_MTP</v>
      </c>
      <c r="B682" t="str">
        <f>IF(PNL!B682="","",PNL!B682)</f>
        <v>6413</v>
      </c>
      <c r="C682" t="str">
        <f>IF(PNL!C682="","",PNL!C682)</f>
        <v>2027</v>
      </c>
      <c r="D682" t="str">
        <f>IF(PNL!D682="","",PNL!D682)</f>
        <v>V01</v>
      </c>
      <c r="E682">
        <f t="shared" si="0"/>
        <v>1</v>
      </c>
      <c r="F682">
        <f>IF($A682="","",IF($E682=1,_xlfn.SUMIFS(Compta!$F$1:$F$1448,Compta!$A$1:$A$1448,$A682,Compta!$B$1:$B$1448,$B682,Compta!$C$1:$C$1448,"2026"),0))</f>
        <v>58132</v>
      </c>
      <c r="G682" t="s">
        <v>274</v>
      </c>
      <c r="H682" t="s">
        <v>274</v>
      </c>
      <c r="I682" t="s">
        <v>274</v>
      </c>
      <c r="J682" t="s">
        <v>274</v>
      </c>
      <c r="K682" t="s">
        <v>274</v>
      </c>
      <c r="L682" t="s">
        <v>274</v>
      </c>
      <c r="M682" t="s">
        <v>274</v>
      </c>
      <c r="N682" t="e">
        <f t="shared" si="1"/>
        <v>#VALUE!</v>
      </c>
      <c r="O682" t="e">
        <f t="shared" si="2"/>
        <v>#VALUE!</v>
      </c>
      <c r="P682" t="e">
        <f>IF($A682="","",IF($E682=1,$F682*$O682,PNL!G682))</f>
        <v>#VALUE!</v>
      </c>
      <c r="T682" t="e">
        <f t="shared" si="3"/>
        <v>#VALUE!</v>
      </c>
    </row>
    <row r="683" ht="14.25" customHeight="1">
      <c r="A683" t="str">
        <f>IF(PNL!A683="","",PNL!A683)</f>
        <v>IPAC_MTP</v>
      </c>
      <c r="B683" t="str">
        <f>IF(PNL!B683="","",PNL!B683)</f>
        <v>6413</v>
      </c>
      <c r="C683" t="str">
        <f>IF(PNL!C683="","",PNL!C683)</f>
        <v>2027</v>
      </c>
      <c r="D683" t="str">
        <f>IF(PNL!D683="","",PNL!D683)</f>
        <v>V02</v>
      </c>
      <c r="E683">
        <f t="shared" si="0"/>
        <v>1</v>
      </c>
      <c r="F683">
        <f>IF($A683="","",IF($E683=1,_xlfn.SUMIFS(Compta!$F$1:$F$1448,Compta!$A$1:$A$1448,$A683,Compta!$B$1:$B$1448,$B683,Compta!$C$1:$C$1448,"2026"),0))</f>
        <v>58132</v>
      </c>
      <c r="G683" t="s">
        <v>274</v>
      </c>
      <c r="H683" t="s">
        <v>274</v>
      </c>
      <c r="I683" t="s">
        <v>274</v>
      </c>
      <c r="J683" t="s">
        <v>274</v>
      </c>
      <c r="K683" t="s">
        <v>274</v>
      </c>
      <c r="L683" t="s">
        <v>274</v>
      </c>
      <c r="M683" t="s">
        <v>274</v>
      </c>
      <c r="N683" t="e">
        <f t="shared" si="1"/>
        <v>#VALUE!</v>
      </c>
      <c r="O683" t="e">
        <f t="shared" si="2"/>
        <v>#VALUE!</v>
      </c>
      <c r="P683" t="e">
        <f>IF($A683="","",IF($E683=1,$F683*$O683,PNL!G683))</f>
        <v>#VALUE!</v>
      </c>
      <c r="T683" t="e">
        <f t="shared" si="3"/>
        <v>#VALUE!</v>
      </c>
    </row>
    <row r="684" ht="14.25" customHeight="1">
      <c r="A684" t="str">
        <f>IF(PNL!A684="","",PNL!A684)</f>
        <v>IPAC_MTP</v>
      </c>
      <c r="B684" t="str">
        <f>IF(PNL!B684="","",PNL!B684)</f>
        <v>6413</v>
      </c>
      <c r="C684" t="str">
        <f>IF(PNL!C684="","",PNL!C684)</f>
        <v>2027</v>
      </c>
      <c r="D684" t="str">
        <f>IF(PNL!D684="","",PNL!D684)</f>
        <v>V03</v>
      </c>
      <c r="E684">
        <f t="shared" si="0"/>
        <v>1</v>
      </c>
      <c r="F684">
        <f>IF($A684="","",IF($E684=1,_xlfn.SUMIFS(Compta!$F$1:$F$1448,Compta!$A$1:$A$1448,$A684,Compta!$B$1:$B$1448,$B684,Compta!$C$1:$C$1448,"2026"),0))</f>
        <v>58132</v>
      </c>
      <c r="G684" t="s">
        <v>274</v>
      </c>
      <c r="H684" t="s">
        <v>274</v>
      </c>
      <c r="I684" t="s">
        <v>274</v>
      </c>
      <c r="J684" t="s">
        <v>274</v>
      </c>
      <c r="K684" t="s">
        <v>274</v>
      </c>
      <c r="L684" t="s">
        <v>274</v>
      </c>
      <c r="M684" t="s">
        <v>274</v>
      </c>
      <c r="N684" t="e">
        <f t="shared" si="1"/>
        <v>#VALUE!</v>
      </c>
      <c r="O684" t="e">
        <f t="shared" si="2"/>
        <v>#VALUE!</v>
      </c>
      <c r="P684" t="e">
        <f>IF($A684="","",IF($E684=1,$F684*$O684,PNL!G684))</f>
        <v>#VALUE!</v>
      </c>
      <c r="T684" t="e">
        <f t="shared" si="3"/>
        <v>#VALUE!</v>
      </c>
    </row>
    <row r="685" ht="14.25" customHeight="1">
      <c r="A685" t="str">
        <f>IF(PNL!A685="","",PNL!A685)</f>
        <v>PIGIER_LYO</v>
      </c>
      <c r="B685" t="str">
        <f>IF(PNL!B685="","",PNL!B685)</f>
        <v>6413</v>
      </c>
      <c r="C685" t="str">
        <f>IF(PNL!C685="","",PNL!C685)</f>
        <v>2027</v>
      </c>
      <c r="D685" t="str">
        <f>IF(PNL!D685="","",PNL!D685)</f>
        <v>V01</v>
      </c>
      <c r="E685">
        <f t="shared" si="0"/>
        <v>1</v>
      </c>
      <c r="F685">
        <f>IF($A685="","",IF($E685=1,_xlfn.SUMIFS(Compta!$F$1:$F$1448,Compta!$A$1:$A$1448,$A685,Compta!$B$1:$B$1448,$B685,Compta!$C$1:$C$1448,"2026"),0))</f>
        <v>115089</v>
      </c>
      <c r="G685" t="s">
        <v>274</v>
      </c>
      <c r="H685" t="s">
        <v>274</v>
      </c>
      <c r="I685" t="s">
        <v>274</v>
      </c>
      <c r="J685" t="s">
        <v>274</v>
      </c>
      <c r="K685" t="s">
        <v>274</v>
      </c>
      <c r="L685" t="s">
        <v>274</v>
      </c>
      <c r="M685" t="s">
        <v>274</v>
      </c>
      <c r="N685" t="e">
        <f t="shared" si="1"/>
        <v>#VALUE!</v>
      </c>
      <c r="O685" t="e">
        <f t="shared" si="2"/>
        <v>#VALUE!</v>
      </c>
      <c r="P685" t="e">
        <f>IF($A685="","",IF($E685=1,$F685*$O685,PNL!G685))</f>
        <v>#VALUE!</v>
      </c>
      <c r="T685" t="e">
        <f t="shared" si="3"/>
        <v>#VALUE!</v>
      </c>
    </row>
    <row r="686" ht="14.25" customHeight="1">
      <c r="A686" t="str">
        <f>IF(PNL!A686="","",PNL!A686)</f>
        <v>PIGIER_LYO</v>
      </c>
      <c r="B686" t="str">
        <f>IF(PNL!B686="","",PNL!B686)</f>
        <v>6413</v>
      </c>
      <c r="C686" t="str">
        <f>IF(PNL!C686="","",PNL!C686)</f>
        <v>2027</v>
      </c>
      <c r="D686" t="str">
        <f>IF(PNL!D686="","",PNL!D686)</f>
        <v>V02</v>
      </c>
      <c r="E686">
        <f t="shared" si="0"/>
        <v>1</v>
      </c>
      <c r="F686">
        <f>IF($A686="","",IF($E686=1,_xlfn.SUMIFS(Compta!$F$1:$F$1448,Compta!$A$1:$A$1448,$A686,Compta!$B$1:$B$1448,$B686,Compta!$C$1:$C$1448,"2026"),0))</f>
        <v>115089</v>
      </c>
      <c r="G686" t="s">
        <v>274</v>
      </c>
      <c r="H686" t="s">
        <v>274</v>
      </c>
      <c r="I686" t="s">
        <v>274</v>
      </c>
      <c r="J686" t="s">
        <v>274</v>
      </c>
      <c r="K686" t="s">
        <v>274</v>
      </c>
      <c r="L686" t="s">
        <v>274</v>
      </c>
      <c r="M686" t="s">
        <v>274</v>
      </c>
      <c r="N686" t="e">
        <f t="shared" si="1"/>
        <v>#VALUE!</v>
      </c>
      <c r="O686" t="e">
        <f t="shared" si="2"/>
        <v>#VALUE!</v>
      </c>
      <c r="P686" t="e">
        <f>IF($A686="","",IF($E686=1,$F686*$O686,PNL!G686))</f>
        <v>#VALUE!</v>
      </c>
      <c r="T686" t="e">
        <f t="shared" si="3"/>
        <v>#VALUE!</v>
      </c>
    </row>
    <row r="687" ht="14.25" customHeight="1">
      <c r="A687" t="str">
        <f>IF(PNL!A687="","",PNL!A687)</f>
        <v>PIGIER_LYO</v>
      </c>
      <c r="B687" t="str">
        <f>IF(PNL!B687="","",PNL!B687)</f>
        <v>6413</v>
      </c>
      <c r="C687" t="str">
        <f>IF(PNL!C687="","",PNL!C687)</f>
        <v>2027</v>
      </c>
      <c r="D687" t="str">
        <f>IF(PNL!D687="","",PNL!D687)</f>
        <v>V03</v>
      </c>
      <c r="E687">
        <f t="shared" si="0"/>
        <v>1</v>
      </c>
      <c r="F687">
        <f>IF($A687="","",IF($E687=1,_xlfn.SUMIFS(Compta!$F$1:$F$1448,Compta!$A$1:$A$1448,$A687,Compta!$B$1:$B$1448,$B687,Compta!$C$1:$C$1448,"2026"),0))</f>
        <v>115089</v>
      </c>
      <c r="G687" t="s">
        <v>274</v>
      </c>
      <c r="H687" t="s">
        <v>274</v>
      </c>
      <c r="I687" t="s">
        <v>274</v>
      </c>
      <c r="J687" t="s">
        <v>274</v>
      </c>
      <c r="K687" t="s">
        <v>274</v>
      </c>
      <c r="L687" t="s">
        <v>274</v>
      </c>
      <c r="M687" t="s">
        <v>274</v>
      </c>
      <c r="N687" t="e">
        <f t="shared" si="1"/>
        <v>#VALUE!</v>
      </c>
      <c r="O687" t="e">
        <f t="shared" si="2"/>
        <v>#VALUE!</v>
      </c>
      <c r="P687" t="e">
        <f>IF($A687="","",IF($E687=1,$F687*$O687,PNL!G687))</f>
        <v>#VALUE!</v>
      </c>
      <c r="T687" t="e">
        <f t="shared" si="3"/>
        <v>#VALUE!</v>
      </c>
    </row>
    <row r="688" ht="14.25" customHeight="1">
      <c r="A688" t="str">
        <f>IF(PNL!A688="","",PNL!A688)</f>
        <v>PIGIER_BOR</v>
      </c>
      <c r="B688" t="str">
        <f>IF(PNL!B688="","",PNL!B688)</f>
        <v>6413</v>
      </c>
      <c r="C688" t="str">
        <f>IF(PNL!C688="","",PNL!C688)</f>
        <v>2027</v>
      </c>
      <c r="D688" t="str">
        <f>IF(PNL!D688="","",PNL!D688)</f>
        <v>V01</v>
      </c>
      <c r="E688">
        <f t="shared" si="0"/>
        <v>1</v>
      </c>
      <c r="F688">
        <f>IF($A688="","",IF($E688=1,_xlfn.SUMIFS(Compta!$F$1:$F$1448,Compta!$A$1:$A$1448,$A688,Compta!$B$1:$B$1448,$B688,Compta!$C$1:$C$1448,"2026"),0))</f>
        <v>84183</v>
      </c>
      <c r="G688" t="s">
        <v>274</v>
      </c>
      <c r="H688" t="s">
        <v>274</v>
      </c>
      <c r="I688" t="s">
        <v>274</v>
      </c>
      <c r="J688" t="s">
        <v>274</v>
      </c>
      <c r="K688" t="s">
        <v>274</v>
      </c>
      <c r="L688" t="s">
        <v>274</v>
      </c>
      <c r="M688" t="s">
        <v>274</v>
      </c>
      <c r="N688" t="e">
        <f t="shared" si="1"/>
        <v>#VALUE!</v>
      </c>
      <c r="O688" t="e">
        <f t="shared" si="2"/>
        <v>#VALUE!</v>
      </c>
      <c r="P688" t="e">
        <f>IF($A688="","",IF($E688=1,$F688*$O688,PNL!G688))</f>
        <v>#VALUE!</v>
      </c>
      <c r="T688" t="e">
        <f t="shared" si="3"/>
        <v>#VALUE!</v>
      </c>
    </row>
    <row r="689" ht="14.25" customHeight="1">
      <c r="A689" t="str">
        <f>IF(PNL!A689="","",PNL!A689)</f>
        <v>PIGIER_BOR</v>
      </c>
      <c r="B689" t="str">
        <f>IF(PNL!B689="","",PNL!B689)</f>
        <v>6413</v>
      </c>
      <c r="C689" t="str">
        <f>IF(PNL!C689="","",PNL!C689)</f>
        <v>2027</v>
      </c>
      <c r="D689" t="str">
        <f>IF(PNL!D689="","",PNL!D689)</f>
        <v>V02</v>
      </c>
      <c r="E689">
        <f t="shared" si="0"/>
        <v>1</v>
      </c>
      <c r="F689">
        <f>IF($A689="","",IF($E689=1,_xlfn.SUMIFS(Compta!$F$1:$F$1448,Compta!$A$1:$A$1448,$A689,Compta!$B$1:$B$1448,$B689,Compta!$C$1:$C$1448,"2026"),0))</f>
        <v>84183</v>
      </c>
      <c r="G689" t="s">
        <v>274</v>
      </c>
      <c r="H689" t="s">
        <v>274</v>
      </c>
      <c r="I689" t="s">
        <v>274</v>
      </c>
      <c r="J689" t="s">
        <v>274</v>
      </c>
      <c r="K689" t="s">
        <v>274</v>
      </c>
      <c r="L689" t="s">
        <v>274</v>
      </c>
      <c r="M689" t="s">
        <v>274</v>
      </c>
      <c r="N689" t="e">
        <f t="shared" si="1"/>
        <v>#VALUE!</v>
      </c>
      <c r="O689" t="e">
        <f t="shared" si="2"/>
        <v>#VALUE!</v>
      </c>
      <c r="P689" t="e">
        <f>IF($A689="","",IF($E689=1,$F689*$O689,PNL!G689))</f>
        <v>#VALUE!</v>
      </c>
      <c r="T689" t="e">
        <f t="shared" si="3"/>
        <v>#VALUE!</v>
      </c>
    </row>
    <row r="690" ht="14.25" customHeight="1">
      <c r="A690" t="str">
        <f>IF(PNL!A690="","",PNL!A690)</f>
        <v>PIGIER_BOR</v>
      </c>
      <c r="B690" t="str">
        <f>IF(PNL!B690="","",PNL!B690)</f>
        <v>6413</v>
      </c>
      <c r="C690" t="str">
        <f>IF(PNL!C690="","",PNL!C690)</f>
        <v>2027</v>
      </c>
      <c r="D690" t="str">
        <f>IF(PNL!D690="","",PNL!D690)</f>
        <v>V03</v>
      </c>
      <c r="E690">
        <f t="shared" si="0"/>
        <v>1</v>
      </c>
      <c r="F690">
        <f>IF($A690="","",IF($E690=1,_xlfn.SUMIFS(Compta!$F$1:$F$1448,Compta!$A$1:$A$1448,$A690,Compta!$B$1:$B$1448,$B690,Compta!$C$1:$C$1448,"2026"),0))</f>
        <v>84183</v>
      </c>
      <c r="G690" t="s">
        <v>274</v>
      </c>
      <c r="H690" t="s">
        <v>274</v>
      </c>
      <c r="I690" t="s">
        <v>274</v>
      </c>
      <c r="J690" t="s">
        <v>274</v>
      </c>
      <c r="K690" t="s">
        <v>274</v>
      </c>
      <c r="L690" t="s">
        <v>274</v>
      </c>
      <c r="M690" t="s">
        <v>274</v>
      </c>
      <c r="N690" t="e">
        <f t="shared" si="1"/>
        <v>#VALUE!</v>
      </c>
      <c r="O690" t="e">
        <f t="shared" si="2"/>
        <v>#VALUE!</v>
      </c>
      <c r="P690" t="e">
        <f>IF($A690="","",IF($E690=1,$F690*$O690,PNL!G690))</f>
        <v>#VALUE!</v>
      </c>
      <c r="T690" t="e">
        <f t="shared" si="3"/>
        <v>#VALUE!</v>
      </c>
    </row>
    <row r="691" ht="14.25" customHeight="1">
      <c r="A691" t="str">
        <f>IF(PNL!A691="","",PNL!A691)</f>
        <v>TUNON_PAR</v>
      </c>
      <c r="B691" t="str">
        <f>IF(PNL!B691="","",PNL!B691)</f>
        <v>6413</v>
      </c>
      <c r="C691" t="str">
        <f>IF(PNL!C691="","",PNL!C691)</f>
        <v>2027</v>
      </c>
      <c r="D691" t="str">
        <f>IF(PNL!D691="","",PNL!D691)</f>
        <v>V01</v>
      </c>
      <c r="E691">
        <f t="shared" si="0"/>
        <v>1</v>
      </c>
      <c r="F691">
        <f>IF($A691="","",IF($E691=1,_xlfn.SUMIFS(Compta!$F$1:$F$1448,Compta!$A$1:$A$1448,$A691,Compta!$B$1:$B$1448,$B691,Compta!$C$1:$C$1448,"2026"),0))</f>
        <v>126224</v>
      </c>
      <c r="G691" t="s">
        <v>274</v>
      </c>
      <c r="H691" t="s">
        <v>274</v>
      </c>
      <c r="I691" t="s">
        <v>274</v>
      </c>
      <c r="J691" t="s">
        <v>274</v>
      </c>
      <c r="K691" t="s">
        <v>274</v>
      </c>
      <c r="L691" t="s">
        <v>274</v>
      </c>
      <c r="M691" t="s">
        <v>274</v>
      </c>
      <c r="N691" t="e">
        <f t="shared" si="1"/>
        <v>#VALUE!</v>
      </c>
      <c r="O691" t="e">
        <f t="shared" si="2"/>
        <v>#VALUE!</v>
      </c>
      <c r="P691" t="e">
        <f>IF($A691="","",IF($E691=1,$F691*$O691,PNL!G691))</f>
        <v>#VALUE!</v>
      </c>
      <c r="T691" t="e">
        <f t="shared" si="3"/>
        <v>#VALUE!</v>
      </c>
    </row>
    <row r="692" ht="14.25" customHeight="1">
      <c r="A692" t="str">
        <f>IF(PNL!A692="","",PNL!A692)</f>
        <v>TUNON_PAR</v>
      </c>
      <c r="B692" t="str">
        <f>IF(PNL!B692="","",PNL!B692)</f>
        <v>6413</v>
      </c>
      <c r="C692" t="str">
        <f>IF(PNL!C692="","",PNL!C692)</f>
        <v>2027</v>
      </c>
      <c r="D692" t="str">
        <f>IF(PNL!D692="","",PNL!D692)</f>
        <v>V02</v>
      </c>
      <c r="E692">
        <f t="shared" si="0"/>
        <v>1</v>
      </c>
      <c r="F692">
        <f>IF($A692="","",IF($E692=1,_xlfn.SUMIFS(Compta!$F$1:$F$1448,Compta!$A$1:$A$1448,$A692,Compta!$B$1:$B$1448,$B692,Compta!$C$1:$C$1448,"2026"),0))</f>
        <v>126224</v>
      </c>
      <c r="G692" t="s">
        <v>274</v>
      </c>
      <c r="H692" t="s">
        <v>274</v>
      </c>
      <c r="I692" t="s">
        <v>274</v>
      </c>
      <c r="J692" t="s">
        <v>274</v>
      </c>
      <c r="K692" t="s">
        <v>274</v>
      </c>
      <c r="L692" t="s">
        <v>274</v>
      </c>
      <c r="M692" t="s">
        <v>274</v>
      </c>
      <c r="N692" t="e">
        <f t="shared" si="1"/>
        <v>#VALUE!</v>
      </c>
      <c r="O692" t="e">
        <f t="shared" si="2"/>
        <v>#VALUE!</v>
      </c>
      <c r="P692" t="e">
        <f>IF($A692="","",IF($E692=1,$F692*$O692,PNL!G692))</f>
        <v>#VALUE!</v>
      </c>
      <c r="T692" t="e">
        <f t="shared" si="3"/>
        <v>#VALUE!</v>
      </c>
    </row>
    <row r="693" ht="14.25" customHeight="1">
      <c r="A693" t="str">
        <f>IF(PNL!A693="","",PNL!A693)</f>
        <v>TUNON_PAR</v>
      </c>
      <c r="B693" t="str">
        <f>IF(PNL!B693="","",PNL!B693)</f>
        <v>6413</v>
      </c>
      <c r="C693" t="str">
        <f>IF(PNL!C693="","",PNL!C693)</f>
        <v>2027</v>
      </c>
      <c r="D693" t="str">
        <f>IF(PNL!D693="","",PNL!D693)</f>
        <v>V03</v>
      </c>
      <c r="E693">
        <f t="shared" si="0"/>
        <v>1</v>
      </c>
      <c r="F693">
        <f>IF($A693="","",IF($E693=1,_xlfn.SUMIFS(Compta!$F$1:$F$1448,Compta!$A$1:$A$1448,$A693,Compta!$B$1:$B$1448,$B693,Compta!$C$1:$C$1448,"2026"),0))</f>
        <v>126224</v>
      </c>
      <c r="G693" t="s">
        <v>274</v>
      </c>
      <c r="H693" t="s">
        <v>274</v>
      </c>
      <c r="I693" t="s">
        <v>274</v>
      </c>
      <c r="J693" t="s">
        <v>274</v>
      </c>
      <c r="K693" t="s">
        <v>274</v>
      </c>
      <c r="L693" t="s">
        <v>274</v>
      </c>
      <c r="M693" t="s">
        <v>274</v>
      </c>
      <c r="N693" t="e">
        <f t="shared" si="1"/>
        <v>#VALUE!</v>
      </c>
      <c r="O693" t="e">
        <f t="shared" si="2"/>
        <v>#VALUE!</v>
      </c>
      <c r="P693" t="e">
        <f>IF($A693="","",IF($E693=1,$F693*$O693,PNL!G693))</f>
        <v>#VALUE!</v>
      </c>
      <c r="T693" t="e">
        <f t="shared" si="3"/>
        <v>#VALUE!</v>
      </c>
    </row>
    <row r="694" ht="14.25" customHeight="1">
      <c r="A694" t="str">
        <f>IF(PNL!A694="","",PNL!A694)</f>
        <v>TUNON_LYO</v>
      </c>
      <c r="B694" t="str">
        <f>IF(PNL!B694="","",PNL!B694)</f>
        <v>6413</v>
      </c>
      <c r="C694" t="str">
        <f>IF(PNL!C694="","",PNL!C694)</f>
        <v>2027</v>
      </c>
      <c r="D694" t="str">
        <f>IF(PNL!D694="","",PNL!D694)</f>
        <v>V01</v>
      </c>
      <c r="E694">
        <f t="shared" si="0"/>
        <v>1</v>
      </c>
      <c r="F694">
        <f>IF($A694="","",IF($E694=1,_xlfn.SUMIFS(Compta!$F$1:$F$1448,Compta!$A$1:$A$1448,$A694,Compta!$B$1:$B$1448,$B694,Compta!$C$1:$C$1448,"2026"),0))</f>
        <v>73986</v>
      </c>
      <c r="G694" t="s">
        <v>274</v>
      </c>
      <c r="H694" t="s">
        <v>274</v>
      </c>
      <c r="I694" t="s">
        <v>274</v>
      </c>
      <c r="J694" t="s">
        <v>274</v>
      </c>
      <c r="K694" t="s">
        <v>274</v>
      </c>
      <c r="L694" t="s">
        <v>274</v>
      </c>
      <c r="M694" t="s">
        <v>274</v>
      </c>
      <c r="N694" t="e">
        <f t="shared" si="1"/>
        <v>#VALUE!</v>
      </c>
      <c r="O694" t="e">
        <f t="shared" si="2"/>
        <v>#VALUE!</v>
      </c>
      <c r="P694" t="e">
        <f>IF($A694="","",IF($E694=1,$F694*$O694,PNL!G694))</f>
        <v>#VALUE!</v>
      </c>
      <c r="T694" t="e">
        <f t="shared" si="3"/>
        <v>#VALUE!</v>
      </c>
    </row>
    <row r="695" ht="14.25" customHeight="1">
      <c r="A695" t="str">
        <f>IF(PNL!A695="","",PNL!A695)</f>
        <v>TUNON_LYO</v>
      </c>
      <c r="B695" t="str">
        <f>IF(PNL!B695="","",PNL!B695)</f>
        <v>6413</v>
      </c>
      <c r="C695" t="str">
        <f>IF(PNL!C695="","",PNL!C695)</f>
        <v>2027</v>
      </c>
      <c r="D695" t="str">
        <f>IF(PNL!D695="","",PNL!D695)</f>
        <v>V02</v>
      </c>
      <c r="E695">
        <f t="shared" si="0"/>
        <v>1</v>
      </c>
      <c r="F695">
        <f>IF($A695="","",IF($E695=1,_xlfn.SUMIFS(Compta!$F$1:$F$1448,Compta!$A$1:$A$1448,$A695,Compta!$B$1:$B$1448,$B695,Compta!$C$1:$C$1448,"2026"),0))</f>
        <v>73986</v>
      </c>
      <c r="G695" t="s">
        <v>274</v>
      </c>
      <c r="H695" t="s">
        <v>274</v>
      </c>
      <c r="I695" t="s">
        <v>274</v>
      </c>
      <c r="J695" t="s">
        <v>274</v>
      </c>
      <c r="K695" t="s">
        <v>274</v>
      </c>
      <c r="L695" t="s">
        <v>274</v>
      </c>
      <c r="M695" t="s">
        <v>274</v>
      </c>
      <c r="N695" t="e">
        <f t="shared" si="1"/>
        <v>#VALUE!</v>
      </c>
      <c r="O695" t="e">
        <f t="shared" si="2"/>
        <v>#VALUE!</v>
      </c>
      <c r="P695" t="e">
        <f>IF($A695="","",IF($E695=1,$F695*$O695,PNL!G695))</f>
        <v>#VALUE!</v>
      </c>
      <c r="T695" t="e">
        <f t="shared" si="3"/>
        <v>#VALUE!</v>
      </c>
    </row>
    <row r="696" ht="14.25" customHeight="1">
      <c r="A696" t="str">
        <f>IF(PNL!A696="","",PNL!A696)</f>
        <v>TUNON_LYO</v>
      </c>
      <c r="B696" t="str">
        <f>IF(PNL!B696="","",PNL!B696)</f>
        <v>6413</v>
      </c>
      <c r="C696" t="str">
        <f>IF(PNL!C696="","",PNL!C696)</f>
        <v>2027</v>
      </c>
      <c r="D696" t="str">
        <f>IF(PNL!D696="","",PNL!D696)</f>
        <v>V03</v>
      </c>
      <c r="E696">
        <f t="shared" si="0"/>
        <v>1</v>
      </c>
      <c r="F696">
        <f>IF($A696="","",IF($E696=1,_xlfn.SUMIFS(Compta!$F$1:$F$1448,Compta!$A$1:$A$1448,$A696,Compta!$B$1:$B$1448,$B696,Compta!$C$1:$C$1448,"2026"),0))</f>
        <v>73986</v>
      </c>
      <c r="G696" t="s">
        <v>274</v>
      </c>
      <c r="H696" t="s">
        <v>274</v>
      </c>
      <c r="I696" t="s">
        <v>274</v>
      </c>
      <c r="J696" t="s">
        <v>274</v>
      </c>
      <c r="K696" t="s">
        <v>274</v>
      </c>
      <c r="L696" t="s">
        <v>274</v>
      </c>
      <c r="M696" t="s">
        <v>274</v>
      </c>
      <c r="N696" t="e">
        <f t="shared" si="1"/>
        <v>#VALUE!</v>
      </c>
      <c r="O696" t="e">
        <f t="shared" si="2"/>
        <v>#VALUE!</v>
      </c>
      <c r="P696" t="e">
        <f>IF($A696="","",IF($E696=1,$F696*$O696,PNL!G696))</f>
        <v>#VALUE!</v>
      </c>
      <c r="T696" t="e">
        <f t="shared" si="3"/>
        <v>#VALUE!</v>
      </c>
    </row>
    <row r="697" ht="14.25" customHeight="1">
      <c r="A697" t="str">
        <f>IF(PNL!A697="","",PNL!A697)</f>
        <v>GRP</v>
      </c>
      <c r="B697" t="str">
        <f>IF(PNL!B697="","",PNL!B697)</f>
        <v>6414</v>
      </c>
      <c r="C697" t="str">
        <f>IF(PNL!C697="","",PNL!C697)</f>
        <v>2027</v>
      </c>
      <c r="D697" t="str">
        <f>IF(PNL!D697="","",PNL!D697)</f>
        <v>V01</v>
      </c>
      <c r="E697">
        <f t="shared" si="0"/>
        <v>1</v>
      </c>
      <c r="F697">
        <f>IF($A697="","",IF($E697=1,_xlfn.SUMIFS(Compta!$F$1:$F$1448,Compta!$A$1:$A$1448,$A697,Compta!$B$1:$B$1448,$B697,Compta!$C$1:$C$1448,"2026"),0))</f>
        <v>1242649</v>
      </c>
      <c r="G697" t="s">
        <v>274</v>
      </c>
      <c r="H697" t="s">
        <v>274</v>
      </c>
      <c r="I697" t="s">
        <v>274</v>
      </c>
      <c r="J697" t="s">
        <v>274</v>
      </c>
      <c r="K697" t="s">
        <v>274</v>
      </c>
      <c r="L697" t="s">
        <v>274</v>
      </c>
      <c r="M697" t="s">
        <v>274</v>
      </c>
      <c r="N697" t="e">
        <f t="shared" si="1"/>
        <v>#VALUE!</v>
      </c>
      <c r="O697" t="e">
        <f t="shared" si="2"/>
        <v>#VALUE!</v>
      </c>
      <c r="P697" t="e">
        <f>IF($A697="","",IF($E697=1,$F697*$O697,PNL!G697))</f>
        <v>#VALUE!</v>
      </c>
      <c r="T697" t="e">
        <f t="shared" si="3"/>
        <v>#VALUE!</v>
      </c>
    </row>
    <row r="698" ht="14.25" customHeight="1">
      <c r="A698" t="str">
        <f>IF(PNL!A698="","",PNL!A698)</f>
        <v>GRP</v>
      </c>
      <c r="B698" t="str">
        <f>IF(PNL!B698="","",PNL!B698)</f>
        <v>6414</v>
      </c>
      <c r="C698" t="str">
        <f>IF(PNL!C698="","",PNL!C698)</f>
        <v>2027</v>
      </c>
      <c r="D698" t="str">
        <f>IF(PNL!D698="","",PNL!D698)</f>
        <v>V02</v>
      </c>
      <c r="E698">
        <f t="shared" si="0"/>
        <v>1</v>
      </c>
      <c r="F698">
        <f>IF($A698="","",IF($E698=1,_xlfn.SUMIFS(Compta!$F$1:$F$1448,Compta!$A$1:$A$1448,$A698,Compta!$B$1:$B$1448,$B698,Compta!$C$1:$C$1448,"2026"),0))</f>
        <v>1242649</v>
      </c>
      <c r="G698" t="s">
        <v>274</v>
      </c>
      <c r="H698" t="s">
        <v>274</v>
      </c>
      <c r="I698" t="s">
        <v>274</v>
      </c>
      <c r="J698" t="s">
        <v>274</v>
      </c>
      <c r="K698" t="s">
        <v>274</v>
      </c>
      <c r="L698" t="s">
        <v>274</v>
      </c>
      <c r="M698" t="s">
        <v>274</v>
      </c>
      <c r="N698" t="e">
        <f t="shared" si="1"/>
        <v>#VALUE!</v>
      </c>
      <c r="O698" t="e">
        <f t="shared" si="2"/>
        <v>#VALUE!</v>
      </c>
      <c r="P698" t="e">
        <f>IF($A698="","",IF($E698=1,$F698*$O698,PNL!G698))</f>
        <v>#VALUE!</v>
      </c>
      <c r="T698" t="e">
        <f t="shared" si="3"/>
        <v>#VALUE!</v>
      </c>
    </row>
    <row r="699" ht="14.25" customHeight="1">
      <c r="A699" t="str">
        <f>IF(PNL!A699="","",PNL!A699)</f>
        <v>GRP</v>
      </c>
      <c r="B699" t="str">
        <f>IF(PNL!B699="","",PNL!B699)</f>
        <v>6414</v>
      </c>
      <c r="C699" t="str">
        <f>IF(PNL!C699="","",PNL!C699)</f>
        <v>2027</v>
      </c>
      <c r="D699" t="str">
        <f>IF(PNL!D699="","",PNL!D699)</f>
        <v>V03</v>
      </c>
      <c r="E699">
        <f t="shared" si="0"/>
        <v>1</v>
      </c>
      <c r="F699">
        <f>IF($A699="","",IF($E699=1,_xlfn.SUMIFS(Compta!$F$1:$F$1448,Compta!$A$1:$A$1448,$A699,Compta!$B$1:$B$1448,$B699,Compta!$C$1:$C$1448,"2026"),0))</f>
        <v>1242649</v>
      </c>
      <c r="G699" t="s">
        <v>274</v>
      </c>
      <c r="H699" t="s">
        <v>274</v>
      </c>
      <c r="I699" t="s">
        <v>274</v>
      </c>
      <c r="J699" t="s">
        <v>274</v>
      </c>
      <c r="K699" t="s">
        <v>274</v>
      </c>
      <c r="L699" t="s">
        <v>274</v>
      </c>
      <c r="M699" t="s">
        <v>274</v>
      </c>
      <c r="N699" t="e">
        <f t="shared" si="1"/>
        <v>#VALUE!</v>
      </c>
      <c r="O699" t="e">
        <f t="shared" si="2"/>
        <v>#VALUE!</v>
      </c>
      <c r="P699" t="e">
        <f>IF($A699="","",IF($E699=1,$F699*$O699,PNL!G699))</f>
        <v>#VALUE!</v>
      </c>
      <c r="T699" t="e">
        <f t="shared" si="3"/>
        <v>#VALUE!</v>
      </c>
    </row>
    <row r="700" ht="14.25" customHeight="1">
      <c r="A700" t="str">
        <f>IF(PNL!A700="","",PNL!A700)</f>
        <v>MBWAY_PAR</v>
      </c>
      <c r="B700" t="str">
        <f>IF(PNL!B700="","",PNL!B700)</f>
        <v>645</v>
      </c>
      <c r="C700" t="str">
        <f>IF(PNL!C700="","",PNL!C700)</f>
        <v>2027</v>
      </c>
      <c r="D700" t="str">
        <f>IF(PNL!D700="","",PNL!D700)</f>
        <v>V01</v>
      </c>
      <c r="E700">
        <f t="shared" si="0"/>
        <v>1</v>
      </c>
      <c r="F700">
        <f>IF($A700="","",IF($E700=1,_xlfn.SUMIFS(Compta!$F$1:$F$1448,Compta!$A$1:$A$1448,$A700,Compta!$B$1:$B$1448,$B700,Compta!$C$1:$C$1448,"2026"),0))</f>
        <v>543513</v>
      </c>
      <c r="G700" t="s">
        <v>274</v>
      </c>
      <c r="H700" t="s">
        <v>274</v>
      </c>
      <c r="I700" t="s">
        <v>274</v>
      </c>
      <c r="J700" t="s">
        <v>274</v>
      </c>
      <c r="K700" t="s">
        <v>274</v>
      </c>
      <c r="L700" t="s">
        <v>274</v>
      </c>
      <c r="M700" t="s">
        <v>274</v>
      </c>
      <c r="N700" t="e">
        <f t="shared" si="1"/>
        <v>#VALUE!</v>
      </c>
      <c r="O700" t="e">
        <f t="shared" si="2"/>
        <v>#VALUE!</v>
      </c>
      <c r="P700" t="e">
        <f>IF($A700="","",IF($E700=1,$F700*$O700,PNL!G700))</f>
        <v>#VALUE!</v>
      </c>
      <c r="T700" t="e">
        <f t="shared" si="3"/>
        <v>#VALUE!</v>
      </c>
    </row>
    <row r="701" ht="14.25" customHeight="1">
      <c r="A701" t="str">
        <f>IF(PNL!A701="","",PNL!A701)</f>
        <v>MBWAY_PAR</v>
      </c>
      <c r="B701" t="str">
        <f>IF(PNL!B701="","",PNL!B701)</f>
        <v>645</v>
      </c>
      <c r="C701" t="str">
        <f>IF(PNL!C701="","",PNL!C701)</f>
        <v>2027</v>
      </c>
      <c r="D701" t="str">
        <f>IF(PNL!D701="","",PNL!D701)</f>
        <v>V02</v>
      </c>
      <c r="E701">
        <f t="shared" si="0"/>
        <v>1</v>
      </c>
      <c r="F701">
        <f>IF($A701="","",IF($E701=1,_xlfn.SUMIFS(Compta!$F$1:$F$1448,Compta!$A$1:$A$1448,$A701,Compta!$B$1:$B$1448,$B701,Compta!$C$1:$C$1448,"2026"),0))</f>
        <v>543513</v>
      </c>
      <c r="G701" t="s">
        <v>274</v>
      </c>
      <c r="H701" t="s">
        <v>274</v>
      </c>
      <c r="I701" t="s">
        <v>274</v>
      </c>
      <c r="J701" t="s">
        <v>274</v>
      </c>
      <c r="K701" t="s">
        <v>274</v>
      </c>
      <c r="L701" t="s">
        <v>274</v>
      </c>
      <c r="M701" t="s">
        <v>274</v>
      </c>
      <c r="N701" t="e">
        <f t="shared" si="1"/>
        <v>#VALUE!</v>
      </c>
      <c r="O701" t="e">
        <f t="shared" si="2"/>
        <v>#VALUE!</v>
      </c>
      <c r="P701" t="e">
        <f>IF($A701="","",IF($E701=1,$F701*$O701,PNL!G701))</f>
        <v>#VALUE!</v>
      </c>
      <c r="T701" t="e">
        <f t="shared" si="3"/>
        <v>#VALUE!</v>
      </c>
    </row>
    <row r="702" ht="14.25" customHeight="1">
      <c r="A702" t="str">
        <f>IF(PNL!A702="","",PNL!A702)</f>
        <v>MBWAY_PAR</v>
      </c>
      <c r="B702" t="str">
        <f>IF(PNL!B702="","",PNL!B702)</f>
        <v>645</v>
      </c>
      <c r="C702" t="str">
        <f>IF(PNL!C702="","",PNL!C702)</f>
        <v>2027</v>
      </c>
      <c r="D702" t="str">
        <f>IF(PNL!D702="","",PNL!D702)</f>
        <v>V03</v>
      </c>
      <c r="E702">
        <f t="shared" si="0"/>
        <v>1</v>
      </c>
      <c r="F702">
        <f>IF($A702="","",IF($E702=1,_xlfn.SUMIFS(Compta!$F$1:$F$1448,Compta!$A$1:$A$1448,$A702,Compta!$B$1:$B$1448,$B702,Compta!$C$1:$C$1448,"2026"),0))</f>
        <v>543513</v>
      </c>
      <c r="G702" t="s">
        <v>274</v>
      </c>
      <c r="H702" t="s">
        <v>274</v>
      </c>
      <c r="I702" t="s">
        <v>274</v>
      </c>
      <c r="J702" t="s">
        <v>274</v>
      </c>
      <c r="K702" t="s">
        <v>274</v>
      </c>
      <c r="L702" t="s">
        <v>274</v>
      </c>
      <c r="M702" t="s">
        <v>274</v>
      </c>
      <c r="N702" t="e">
        <f t="shared" si="1"/>
        <v>#VALUE!</v>
      </c>
      <c r="O702" t="e">
        <f t="shared" si="2"/>
        <v>#VALUE!</v>
      </c>
      <c r="P702" t="e">
        <f>IF($A702="","",IF($E702=1,$F702*$O702,PNL!G702))</f>
        <v>#VALUE!</v>
      </c>
      <c r="T702" t="e">
        <f t="shared" si="3"/>
        <v>#VALUE!</v>
      </c>
    </row>
    <row r="703" ht="14.25" customHeight="1">
      <c r="A703" t="str">
        <f>IF(PNL!A703="","",PNL!A703)</f>
        <v>MBWAY_LYO</v>
      </c>
      <c r="B703" t="str">
        <f>IF(PNL!B703="","",PNL!B703)</f>
        <v>645</v>
      </c>
      <c r="C703" t="str">
        <f>IF(PNL!C703="","",PNL!C703)</f>
        <v>2027</v>
      </c>
      <c r="D703" t="str">
        <f>IF(PNL!D703="","",PNL!D703)</f>
        <v>V01</v>
      </c>
      <c r="E703">
        <f t="shared" si="0"/>
        <v>1</v>
      </c>
      <c r="F703">
        <f>IF($A703="","",IF($E703=1,_xlfn.SUMIFS(Compta!$F$1:$F$1448,Compta!$A$1:$A$1448,$A703,Compta!$B$1:$B$1448,$B703,Compta!$C$1:$C$1448,"2026"),0))</f>
        <v>318709</v>
      </c>
      <c r="G703" t="s">
        <v>274</v>
      </c>
      <c r="H703" t="s">
        <v>274</v>
      </c>
      <c r="I703" t="s">
        <v>274</v>
      </c>
      <c r="J703" t="s">
        <v>274</v>
      </c>
      <c r="K703" t="s">
        <v>274</v>
      </c>
      <c r="L703" t="s">
        <v>274</v>
      </c>
      <c r="M703" t="s">
        <v>274</v>
      </c>
      <c r="N703" t="e">
        <f t="shared" si="1"/>
        <v>#VALUE!</v>
      </c>
      <c r="O703" t="e">
        <f t="shared" si="2"/>
        <v>#VALUE!</v>
      </c>
      <c r="P703" t="e">
        <f>IF($A703="","",IF($E703=1,$F703*$O703,PNL!G703))</f>
        <v>#VALUE!</v>
      </c>
      <c r="T703" t="e">
        <f t="shared" si="3"/>
        <v>#VALUE!</v>
      </c>
    </row>
    <row r="704" ht="14.25" customHeight="1">
      <c r="A704" t="str">
        <f>IF(PNL!A704="","",PNL!A704)</f>
        <v>MBWAY_LYO</v>
      </c>
      <c r="B704" t="str">
        <f>IF(PNL!B704="","",PNL!B704)</f>
        <v>645</v>
      </c>
      <c r="C704" t="str">
        <f>IF(PNL!C704="","",PNL!C704)</f>
        <v>2027</v>
      </c>
      <c r="D704" t="str">
        <f>IF(PNL!D704="","",PNL!D704)</f>
        <v>V02</v>
      </c>
      <c r="E704">
        <f t="shared" si="0"/>
        <v>1</v>
      </c>
      <c r="F704">
        <f>IF($A704="","",IF($E704=1,_xlfn.SUMIFS(Compta!$F$1:$F$1448,Compta!$A$1:$A$1448,$A704,Compta!$B$1:$B$1448,$B704,Compta!$C$1:$C$1448,"2026"),0))</f>
        <v>318709</v>
      </c>
      <c r="G704" t="s">
        <v>274</v>
      </c>
      <c r="H704" t="s">
        <v>274</v>
      </c>
      <c r="I704" t="s">
        <v>274</v>
      </c>
      <c r="J704" t="s">
        <v>274</v>
      </c>
      <c r="K704" t="s">
        <v>274</v>
      </c>
      <c r="L704" t="s">
        <v>274</v>
      </c>
      <c r="M704" t="s">
        <v>274</v>
      </c>
      <c r="N704" t="e">
        <f t="shared" si="1"/>
        <v>#VALUE!</v>
      </c>
      <c r="O704" t="e">
        <f t="shared" si="2"/>
        <v>#VALUE!</v>
      </c>
      <c r="P704" t="e">
        <f>IF($A704="","",IF($E704=1,$F704*$O704,PNL!G704))</f>
        <v>#VALUE!</v>
      </c>
      <c r="T704" t="e">
        <f t="shared" si="3"/>
        <v>#VALUE!</v>
      </c>
    </row>
    <row r="705" ht="14.25" customHeight="1">
      <c r="A705" t="str">
        <f>IF(PNL!A705="","",PNL!A705)</f>
        <v>MBWAY_LYO</v>
      </c>
      <c r="B705" t="str">
        <f>IF(PNL!B705="","",PNL!B705)</f>
        <v>645</v>
      </c>
      <c r="C705" t="str">
        <f>IF(PNL!C705="","",PNL!C705)</f>
        <v>2027</v>
      </c>
      <c r="D705" t="str">
        <f>IF(PNL!D705="","",PNL!D705)</f>
        <v>V03</v>
      </c>
      <c r="E705">
        <f t="shared" si="0"/>
        <v>1</v>
      </c>
      <c r="F705">
        <f>IF($A705="","",IF($E705=1,_xlfn.SUMIFS(Compta!$F$1:$F$1448,Compta!$A$1:$A$1448,$A705,Compta!$B$1:$B$1448,$B705,Compta!$C$1:$C$1448,"2026"),0))</f>
        <v>318709</v>
      </c>
      <c r="G705" t="s">
        <v>274</v>
      </c>
      <c r="H705" t="s">
        <v>274</v>
      </c>
      <c r="I705" t="s">
        <v>274</v>
      </c>
      <c r="J705" t="s">
        <v>274</v>
      </c>
      <c r="K705" t="s">
        <v>274</v>
      </c>
      <c r="L705" t="s">
        <v>274</v>
      </c>
      <c r="M705" t="s">
        <v>274</v>
      </c>
      <c r="N705" t="e">
        <f t="shared" si="1"/>
        <v>#VALUE!</v>
      </c>
      <c r="O705" t="e">
        <f t="shared" si="2"/>
        <v>#VALUE!</v>
      </c>
      <c r="P705" t="e">
        <f>IF($A705="","",IF($E705=1,$F705*$O705,PNL!G705))</f>
        <v>#VALUE!</v>
      </c>
      <c r="T705" t="e">
        <f t="shared" si="3"/>
        <v>#VALUE!</v>
      </c>
    </row>
    <row r="706" ht="14.25" customHeight="1">
      <c r="A706" t="str">
        <f>IF(PNL!A706="","",PNL!A706)</f>
        <v>MBWAY_NAN</v>
      </c>
      <c r="B706" t="str">
        <f>IF(PNL!B706="","",PNL!B706)</f>
        <v>645</v>
      </c>
      <c r="C706" t="str">
        <f>IF(PNL!C706="","",PNL!C706)</f>
        <v>2027</v>
      </c>
      <c r="D706" t="str">
        <f>IF(PNL!D706="","",PNL!D706)</f>
        <v>V01</v>
      </c>
      <c r="E706">
        <f t="shared" si="0"/>
        <v>1</v>
      </c>
      <c r="F706">
        <f>IF($A706="","",IF($E706=1,_xlfn.SUMIFS(Compta!$F$1:$F$1448,Compta!$A$1:$A$1448,$A706,Compta!$B$1:$B$1448,$B706,Compta!$C$1:$C$1448,"2026"),0))</f>
        <v>258214</v>
      </c>
      <c r="G706" t="s">
        <v>274</v>
      </c>
      <c r="H706" t="s">
        <v>274</v>
      </c>
      <c r="I706" t="s">
        <v>274</v>
      </c>
      <c r="J706" t="s">
        <v>274</v>
      </c>
      <c r="K706" t="s">
        <v>274</v>
      </c>
      <c r="L706" t="s">
        <v>274</v>
      </c>
      <c r="M706" t="s">
        <v>274</v>
      </c>
      <c r="N706" t="e">
        <f t="shared" si="1"/>
        <v>#VALUE!</v>
      </c>
      <c r="O706" t="e">
        <f t="shared" si="2"/>
        <v>#VALUE!</v>
      </c>
      <c r="P706" t="e">
        <f>IF($A706="","",IF($E706=1,$F706*$O706,PNL!G706))</f>
        <v>#VALUE!</v>
      </c>
      <c r="T706" t="e">
        <f t="shared" si="3"/>
        <v>#VALUE!</v>
      </c>
    </row>
    <row r="707" ht="14.25" customHeight="1">
      <c r="A707" t="str">
        <f>IF(PNL!A707="","",PNL!A707)</f>
        <v>MBWAY_NAN</v>
      </c>
      <c r="B707" t="str">
        <f>IF(PNL!B707="","",PNL!B707)</f>
        <v>645</v>
      </c>
      <c r="C707" t="str">
        <f>IF(PNL!C707="","",PNL!C707)</f>
        <v>2027</v>
      </c>
      <c r="D707" t="str">
        <f>IF(PNL!D707="","",PNL!D707)</f>
        <v>V02</v>
      </c>
      <c r="E707">
        <f t="shared" si="0"/>
        <v>1</v>
      </c>
      <c r="F707">
        <f>IF($A707="","",IF($E707=1,_xlfn.SUMIFS(Compta!$F$1:$F$1448,Compta!$A$1:$A$1448,$A707,Compta!$B$1:$B$1448,$B707,Compta!$C$1:$C$1448,"2026"),0))</f>
        <v>258214</v>
      </c>
      <c r="G707" t="s">
        <v>274</v>
      </c>
      <c r="H707" t="s">
        <v>274</v>
      </c>
      <c r="I707" t="s">
        <v>274</v>
      </c>
      <c r="J707" t="s">
        <v>274</v>
      </c>
      <c r="K707" t="s">
        <v>274</v>
      </c>
      <c r="L707" t="s">
        <v>274</v>
      </c>
      <c r="M707" t="s">
        <v>274</v>
      </c>
      <c r="N707" t="e">
        <f t="shared" si="1"/>
        <v>#VALUE!</v>
      </c>
      <c r="O707" t="e">
        <f t="shared" si="2"/>
        <v>#VALUE!</v>
      </c>
      <c r="P707" t="e">
        <f>IF($A707="","",IF($E707=1,$F707*$O707,PNL!G707))</f>
        <v>#VALUE!</v>
      </c>
      <c r="T707" t="e">
        <f t="shared" si="3"/>
        <v>#VALUE!</v>
      </c>
    </row>
    <row r="708" ht="14.25" customHeight="1">
      <c r="A708" t="str">
        <f>IF(PNL!A708="","",PNL!A708)</f>
        <v>MBWAY_NAN</v>
      </c>
      <c r="B708" t="str">
        <f>IF(PNL!B708="","",PNL!B708)</f>
        <v>645</v>
      </c>
      <c r="C708" t="str">
        <f>IF(PNL!C708="","",PNL!C708)</f>
        <v>2027</v>
      </c>
      <c r="D708" t="str">
        <f>IF(PNL!D708="","",PNL!D708)</f>
        <v>V03</v>
      </c>
      <c r="E708">
        <f t="shared" si="0"/>
        <v>1</v>
      </c>
      <c r="F708">
        <f>IF($A708="","",IF($E708=1,_xlfn.SUMIFS(Compta!$F$1:$F$1448,Compta!$A$1:$A$1448,$A708,Compta!$B$1:$B$1448,$B708,Compta!$C$1:$C$1448,"2026"),0))</f>
        <v>258214</v>
      </c>
      <c r="G708" t="s">
        <v>274</v>
      </c>
      <c r="H708" t="s">
        <v>274</v>
      </c>
      <c r="I708" t="s">
        <v>274</v>
      </c>
      <c r="J708" t="s">
        <v>274</v>
      </c>
      <c r="K708" t="s">
        <v>274</v>
      </c>
      <c r="L708" t="s">
        <v>274</v>
      </c>
      <c r="M708" t="s">
        <v>274</v>
      </c>
      <c r="N708" t="e">
        <f t="shared" si="1"/>
        <v>#VALUE!</v>
      </c>
      <c r="O708" t="e">
        <f t="shared" si="2"/>
        <v>#VALUE!</v>
      </c>
      <c r="P708" t="e">
        <f>IF($A708="","",IF($E708=1,$F708*$O708,PNL!G708))</f>
        <v>#VALUE!</v>
      </c>
      <c r="T708" t="e">
        <f t="shared" si="3"/>
        <v>#VALUE!</v>
      </c>
    </row>
    <row r="709" ht="14.25" customHeight="1">
      <c r="A709" t="str">
        <f>IF(PNL!A709="","",PNL!A709)</f>
        <v>MBWAY_BOR</v>
      </c>
      <c r="B709" t="str">
        <f>IF(PNL!B709="","",PNL!B709)</f>
        <v>645</v>
      </c>
      <c r="C709" t="str">
        <f>IF(PNL!C709="","",PNL!C709)</f>
        <v>2027</v>
      </c>
      <c r="D709" t="str">
        <f>IF(PNL!D709="","",PNL!D709)</f>
        <v>V01</v>
      </c>
      <c r="E709">
        <f t="shared" si="0"/>
        <v>1</v>
      </c>
      <c r="F709">
        <f>IF($A709="","",IF($E709=1,_xlfn.SUMIFS(Compta!$F$1:$F$1448,Compta!$A$1:$A$1448,$A709,Compta!$B$1:$B$1448,$B709,Compta!$C$1:$C$1448,"2026"),0))</f>
        <v>229626</v>
      </c>
      <c r="G709" t="s">
        <v>274</v>
      </c>
      <c r="H709" t="s">
        <v>274</v>
      </c>
      <c r="I709" t="s">
        <v>274</v>
      </c>
      <c r="J709" t="s">
        <v>274</v>
      </c>
      <c r="K709" t="s">
        <v>274</v>
      </c>
      <c r="L709" t="s">
        <v>274</v>
      </c>
      <c r="M709" t="s">
        <v>274</v>
      </c>
      <c r="N709" t="e">
        <f t="shared" si="1"/>
        <v>#VALUE!</v>
      </c>
      <c r="O709" t="e">
        <f t="shared" si="2"/>
        <v>#VALUE!</v>
      </c>
      <c r="P709" t="e">
        <f>IF($A709="","",IF($E709=1,$F709*$O709,PNL!G709))</f>
        <v>#VALUE!</v>
      </c>
      <c r="T709" t="e">
        <f t="shared" si="3"/>
        <v>#VALUE!</v>
      </c>
    </row>
    <row r="710" ht="14.25" customHeight="1">
      <c r="A710" t="str">
        <f>IF(PNL!A710="","",PNL!A710)</f>
        <v>MBWAY_BOR</v>
      </c>
      <c r="B710" t="str">
        <f>IF(PNL!B710="","",PNL!B710)</f>
        <v>645</v>
      </c>
      <c r="C710" t="str">
        <f>IF(PNL!C710="","",PNL!C710)</f>
        <v>2027</v>
      </c>
      <c r="D710" t="str">
        <f>IF(PNL!D710="","",PNL!D710)</f>
        <v>V02</v>
      </c>
      <c r="E710">
        <f t="shared" si="0"/>
        <v>1</v>
      </c>
      <c r="F710">
        <f>IF($A710="","",IF($E710=1,_xlfn.SUMIFS(Compta!$F$1:$F$1448,Compta!$A$1:$A$1448,$A710,Compta!$B$1:$B$1448,$B710,Compta!$C$1:$C$1448,"2026"),0))</f>
        <v>229626</v>
      </c>
      <c r="G710" t="s">
        <v>274</v>
      </c>
      <c r="H710" t="s">
        <v>274</v>
      </c>
      <c r="I710" t="s">
        <v>274</v>
      </c>
      <c r="J710" t="s">
        <v>274</v>
      </c>
      <c r="K710" t="s">
        <v>274</v>
      </c>
      <c r="L710" t="s">
        <v>274</v>
      </c>
      <c r="M710" t="s">
        <v>274</v>
      </c>
      <c r="N710" t="e">
        <f t="shared" si="1"/>
        <v>#VALUE!</v>
      </c>
      <c r="O710" t="e">
        <f t="shared" si="2"/>
        <v>#VALUE!</v>
      </c>
      <c r="P710" t="e">
        <f>IF($A710="","",IF($E710=1,$F710*$O710,PNL!G710))</f>
        <v>#VALUE!</v>
      </c>
      <c r="T710" t="e">
        <f t="shared" si="3"/>
        <v>#VALUE!</v>
      </c>
    </row>
    <row r="711" ht="14.25" customHeight="1">
      <c r="A711" t="str">
        <f>IF(PNL!A711="","",PNL!A711)</f>
        <v>MBWAY_BOR</v>
      </c>
      <c r="B711" t="str">
        <f>IF(PNL!B711="","",PNL!B711)</f>
        <v>645</v>
      </c>
      <c r="C711" t="str">
        <f>IF(PNL!C711="","",PNL!C711)</f>
        <v>2027</v>
      </c>
      <c r="D711" t="str">
        <f>IF(PNL!D711="","",PNL!D711)</f>
        <v>V03</v>
      </c>
      <c r="E711">
        <f t="shared" si="0"/>
        <v>1</v>
      </c>
      <c r="F711">
        <f>IF($A711="","",IF($E711=1,_xlfn.SUMIFS(Compta!$F$1:$F$1448,Compta!$A$1:$A$1448,$A711,Compta!$B$1:$B$1448,$B711,Compta!$C$1:$C$1448,"2026"),0))</f>
        <v>229626</v>
      </c>
      <c r="G711" t="s">
        <v>274</v>
      </c>
      <c r="H711" t="s">
        <v>274</v>
      </c>
      <c r="I711" t="s">
        <v>274</v>
      </c>
      <c r="J711" t="s">
        <v>274</v>
      </c>
      <c r="K711" t="s">
        <v>274</v>
      </c>
      <c r="L711" t="s">
        <v>274</v>
      </c>
      <c r="M711" t="s">
        <v>274</v>
      </c>
      <c r="N711" t="e">
        <f t="shared" si="1"/>
        <v>#VALUE!</v>
      </c>
      <c r="O711" t="e">
        <f t="shared" si="2"/>
        <v>#VALUE!</v>
      </c>
      <c r="P711" t="e">
        <f>IF($A711="","",IF($E711=1,$F711*$O711,PNL!G711))</f>
        <v>#VALUE!</v>
      </c>
      <c r="T711" t="e">
        <f t="shared" si="3"/>
        <v>#VALUE!</v>
      </c>
    </row>
    <row r="712" ht="14.25" customHeight="1">
      <c r="A712" t="str">
        <f>IF(PNL!A712="","",PNL!A712)</f>
        <v>ISCOM_PAR</v>
      </c>
      <c r="B712" t="str">
        <f>IF(PNL!B712="","",PNL!B712)</f>
        <v>645</v>
      </c>
      <c r="C712" t="str">
        <f>IF(PNL!C712="","",PNL!C712)</f>
        <v>2027</v>
      </c>
      <c r="D712" t="str">
        <f>IF(PNL!D712="","",PNL!D712)</f>
        <v>V01</v>
      </c>
      <c r="E712">
        <f t="shared" si="0"/>
        <v>1</v>
      </c>
      <c r="F712">
        <f>IF($A712="","",IF($E712=1,_xlfn.SUMIFS(Compta!$F$1:$F$1448,Compta!$A$1:$A$1448,$A712,Compta!$B$1:$B$1448,$B712,Compta!$C$1:$C$1448,"2026"),0))</f>
        <v>503674</v>
      </c>
      <c r="G712" t="s">
        <v>274</v>
      </c>
      <c r="H712" t="s">
        <v>274</v>
      </c>
      <c r="I712" t="s">
        <v>274</v>
      </c>
      <c r="J712" t="s">
        <v>274</v>
      </c>
      <c r="K712" t="s">
        <v>274</v>
      </c>
      <c r="L712" t="s">
        <v>274</v>
      </c>
      <c r="M712" t="s">
        <v>274</v>
      </c>
      <c r="N712" t="e">
        <f t="shared" si="1"/>
        <v>#VALUE!</v>
      </c>
      <c r="O712" t="e">
        <f t="shared" si="2"/>
        <v>#VALUE!</v>
      </c>
      <c r="P712" t="e">
        <f>IF($A712="","",IF($E712=1,$F712*$O712,PNL!G712))</f>
        <v>#VALUE!</v>
      </c>
      <c r="T712" t="e">
        <f t="shared" si="3"/>
        <v>#VALUE!</v>
      </c>
    </row>
    <row r="713" ht="14.25" customHeight="1">
      <c r="A713" t="str">
        <f>IF(PNL!A713="","",PNL!A713)</f>
        <v>ISCOM_PAR</v>
      </c>
      <c r="B713" t="str">
        <f>IF(PNL!B713="","",PNL!B713)</f>
        <v>645</v>
      </c>
      <c r="C713" t="str">
        <f>IF(PNL!C713="","",PNL!C713)</f>
        <v>2027</v>
      </c>
      <c r="D713" t="str">
        <f>IF(PNL!D713="","",PNL!D713)</f>
        <v>V02</v>
      </c>
      <c r="E713">
        <f t="shared" si="0"/>
        <v>1</v>
      </c>
      <c r="F713">
        <f>IF($A713="","",IF($E713=1,_xlfn.SUMIFS(Compta!$F$1:$F$1448,Compta!$A$1:$A$1448,$A713,Compta!$B$1:$B$1448,$B713,Compta!$C$1:$C$1448,"2026"),0))</f>
        <v>503674</v>
      </c>
      <c r="G713" t="s">
        <v>274</v>
      </c>
      <c r="H713" t="s">
        <v>274</v>
      </c>
      <c r="I713" t="s">
        <v>274</v>
      </c>
      <c r="J713" t="s">
        <v>274</v>
      </c>
      <c r="K713" t="s">
        <v>274</v>
      </c>
      <c r="L713" t="s">
        <v>274</v>
      </c>
      <c r="M713" t="s">
        <v>274</v>
      </c>
      <c r="N713" t="e">
        <f t="shared" si="1"/>
        <v>#VALUE!</v>
      </c>
      <c r="O713" t="e">
        <f t="shared" si="2"/>
        <v>#VALUE!</v>
      </c>
      <c r="P713" t="e">
        <f>IF($A713="","",IF($E713=1,$F713*$O713,PNL!G713))</f>
        <v>#VALUE!</v>
      </c>
      <c r="T713" t="e">
        <f t="shared" si="3"/>
        <v>#VALUE!</v>
      </c>
    </row>
    <row r="714" ht="14.25" customHeight="1">
      <c r="A714" t="str">
        <f>IF(PNL!A714="","",PNL!A714)</f>
        <v>ISCOM_PAR</v>
      </c>
      <c r="B714" t="str">
        <f>IF(PNL!B714="","",PNL!B714)</f>
        <v>645</v>
      </c>
      <c r="C714" t="str">
        <f>IF(PNL!C714="","",PNL!C714)</f>
        <v>2027</v>
      </c>
      <c r="D714" t="str">
        <f>IF(PNL!D714="","",PNL!D714)</f>
        <v>V03</v>
      </c>
      <c r="E714">
        <f t="shared" si="0"/>
        <v>1</v>
      </c>
      <c r="F714">
        <f>IF($A714="","",IF($E714=1,_xlfn.SUMIFS(Compta!$F$1:$F$1448,Compta!$A$1:$A$1448,$A714,Compta!$B$1:$B$1448,$B714,Compta!$C$1:$C$1448,"2026"),0))</f>
        <v>503674</v>
      </c>
      <c r="G714" t="s">
        <v>274</v>
      </c>
      <c r="H714" t="s">
        <v>274</v>
      </c>
      <c r="I714" t="s">
        <v>274</v>
      </c>
      <c r="J714" t="s">
        <v>274</v>
      </c>
      <c r="K714" t="s">
        <v>274</v>
      </c>
      <c r="L714" t="s">
        <v>274</v>
      </c>
      <c r="M714" t="s">
        <v>274</v>
      </c>
      <c r="N714" t="e">
        <f t="shared" si="1"/>
        <v>#VALUE!</v>
      </c>
      <c r="O714" t="e">
        <f t="shared" si="2"/>
        <v>#VALUE!</v>
      </c>
      <c r="P714" t="e">
        <f>IF($A714="","",IF($E714=1,$F714*$O714,PNL!G714))</f>
        <v>#VALUE!</v>
      </c>
      <c r="T714" t="e">
        <f t="shared" si="3"/>
        <v>#VALUE!</v>
      </c>
    </row>
    <row r="715" ht="14.25" customHeight="1">
      <c r="A715" t="str">
        <f>IF(PNL!A715="","",PNL!A715)</f>
        <v>ISCOM_LIL</v>
      </c>
      <c r="B715" t="str">
        <f>IF(PNL!B715="","",PNL!B715)</f>
        <v>645</v>
      </c>
      <c r="C715" t="str">
        <f>IF(PNL!C715="","",PNL!C715)</f>
        <v>2027</v>
      </c>
      <c r="D715" t="str">
        <f>IF(PNL!D715="","",PNL!D715)</f>
        <v>V01</v>
      </c>
      <c r="E715">
        <f t="shared" si="0"/>
        <v>1</v>
      </c>
      <c r="F715">
        <f>IF($A715="","",IF($E715=1,_xlfn.SUMIFS(Compta!$F$1:$F$1448,Compta!$A$1:$A$1448,$A715,Compta!$B$1:$B$1448,$B715,Compta!$C$1:$C$1448,"2026"),0))</f>
        <v>197156</v>
      </c>
      <c r="G715" t="s">
        <v>274</v>
      </c>
      <c r="H715" t="s">
        <v>274</v>
      </c>
      <c r="I715" t="s">
        <v>274</v>
      </c>
      <c r="J715" t="s">
        <v>274</v>
      </c>
      <c r="K715" t="s">
        <v>274</v>
      </c>
      <c r="L715" t="s">
        <v>274</v>
      </c>
      <c r="M715" t="s">
        <v>274</v>
      </c>
      <c r="N715" t="e">
        <f t="shared" si="1"/>
        <v>#VALUE!</v>
      </c>
      <c r="O715" t="e">
        <f t="shared" si="2"/>
        <v>#VALUE!</v>
      </c>
      <c r="P715" t="e">
        <f>IF($A715="","",IF($E715=1,$F715*$O715,PNL!G715))</f>
        <v>#VALUE!</v>
      </c>
      <c r="T715" t="e">
        <f t="shared" si="3"/>
        <v>#VALUE!</v>
      </c>
    </row>
    <row r="716" ht="14.25" customHeight="1">
      <c r="A716" t="str">
        <f>IF(PNL!A716="","",PNL!A716)</f>
        <v>ISCOM_LIL</v>
      </c>
      <c r="B716" t="str">
        <f>IF(PNL!B716="","",PNL!B716)</f>
        <v>645</v>
      </c>
      <c r="C716" t="str">
        <f>IF(PNL!C716="","",PNL!C716)</f>
        <v>2027</v>
      </c>
      <c r="D716" t="str">
        <f>IF(PNL!D716="","",PNL!D716)</f>
        <v>V02</v>
      </c>
      <c r="E716">
        <f t="shared" si="0"/>
        <v>1</v>
      </c>
      <c r="F716">
        <f>IF($A716="","",IF($E716=1,_xlfn.SUMIFS(Compta!$F$1:$F$1448,Compta!$A$1:$A$1448,$A716,Compta!$B$1:$B$1448,$B716,Compta!$C$1:$C$1448,"2026"),0))</f>
        <v>197156</v>
      </c>
      <c r="G716" t="s">
        <v>274</v>
      </c>
      <c r="H716" t="s">
        <v>274</v>
      </c>
      <c r="I716" t="s">
        <v>274</v>
      </c>
      <c r="J716" t="s">
        <v>274</v>
      </c>
      <c r="K716" t="s">
        <v>274</v>
      </c>
      <c r="L716" t="s">
        <v>274</v>
      </c>
      <c r="M716" t="s">
        <v>274</v>
      </c>
      <c r="N716" t="e">
        <f t="shared" si="1"/>
        <v>#VALUE!</v>
      </c>
      <c r="O716" t="e">
        <f t="shared" si="2"/>
        <v>#VALUE!</v>
      </c>
      <c r="P716" t="e">
        <f>IF($A716="","",IF($E716=1,$F716*$O716,PNL!G716))</f>
        <v>#VALUE!</v>
      </c>
      <c r="T716" t="e">
        <f t="shared" si="3"/>
        <v>#VALUE!</v>
      </c>
    </row>
    <row r="717" ht="14.25" customHeight="1">
      <c r="A717" t="str">
        <f>IF(PNL!A717="","",PNL!A717)</f>
        <v>ISCOM_LIL</v>
      </c>
      <c r="B717" t="str">
        <f>IF(PNL!B717="","",PNL!B717)</f>
        <v>645</v>
      </c>
      <c r="C717" t="str">
        <f>IF(PNL!C717="","",PNL!C717)</f>
        <v>2027</v>
      </c>
      <c r="D717" t="str">
        <f>IF(PNL!D717="","",PNL!D717)</f>
        <v>V03</v>
      </c>
      <c r="E717">
        <f t="shared" si="0"/>
        <v>1</v>
      </c>
      <c r="F717">
        <f>IF($A717="","",IF($E717=1,_xlfn.SUMIFS(Compta!$F$1:$F$1448,Compta!$A$1:$A$1448,$A717,Compta!$B$1:$B$1448,$B717,Compta!$C$1:$C$1448,"2026"),0))</f>
        <v>197156</v>
      </c>
      <c r="G717" t="s">
        <v>274</v>
      </c>
      <c r="H717" t="s">
        <v>274</v>
      </c>
      <c r="I717" t="s">
        <v>274</v>
      </c>
      <c r="J717" t="s">
        <v>274</v>
      </c>
      <c r="K717" t="s">
        <v>274</v>
      </c>
      <c r="L717" t="s">
        <v>274</v>
      </c>
      <c r="M717" t="s">
        <v>274</v>
      </c>
      <c r="N717" t="e">
        <f t="shared" si="1"/>
        <v>#VALUE!</v>
      </c>
      <c r="O717" t="e">
        <f t="shared" si="2"/>
        <v>#VALUE!</v>
      </c>
      <c r="P717" t="e">
        <f>IF($A717="","",IF($E717=1,$F717*$O717,PNL!G717))</f>
        <v>#VALUE!</v>
      </c>
      <c r="T717" t="e">
        <f t="shared" si="3"/>
        <v>#VALUE!</v>
      </c>
    </row>
    <row r="718" ht="14.25" customHeight="1">
      <c r="A718" t="str">
        <f>IF(PNL!A718="","",PNL!A718)</f>
        <v>ISCOM_TLS</v>
      </c>
      <c r="B718" t="str">
        <f>IF(PNL!B718="","",PNL!B718)</f>
        <v>645</v>
      </c>
      <c r="C718" t="str">
        <f>IF(PNL!C718="","",PNL!C718)</f>
        <v>2027</v>
      </c>
      <c r="D718" t="str">
        <f>IF(PNL!D718="","",PNL!D718)</f>
        <v>V01</v>
      </c>
      <c r="E718">
        <f t="shared" si="0"/>
        <v>1</v>
      </c>
      <c r="F718">
        <f>IF($A718="","",IF($E718=1,_xlfn.SUMIFS(Compta!$F$1:$F$1448,Compta!$A$1:$A$1448,$A718,Compta!$B$1:$B$1448,$B718,Compta!$C$1:$C$1448,"2026"),0))</f>
        <v>182594</v>
      </c>
      <c r="G718" t="s">
        <v>274</v>
      </c>
      <c r="H718" t="s">
        <v>274</v>
      </c>
      <c r="I718" t="s">
        <v>274</v>
      </c>
      <c r="J718" t="s">
        <v>274</v>
      </c>
      <c r="K718" t="s">
        <v>274</v>
      </c>
      <c r="L718" t="s">
        <v>274</v>
      </c>
      <c r="M718" t="s">
        <v>274</v>
      </c>
      <c r="N718" t="e">
        <f t="shared" si="1"/>
        <v>#VALUE!</v>
      </c>
      <c r="O718" t="e">
        <f t="shared" si="2"/>
        <v>#VALUE!</v>
      </c>
      <c r="P718" t="e">
        <f>IF($A718="","",IF($E718=1,$F718*$O718,PNL!G718))</f>
        <v>#VALUE!</v>
      </c>
      <c r="T718" t="e">
        <f t="shared" si="3"/>
        <v>#VALUE!</v>
      </c>
    </row>
    <row r="719" ht="14.25" customHeight="1">
      <c r="A719" t="str">
        <f>IF(PNL!A719="","",PNL!A719)</f>
        <v>ISCOM_TLS</v>
      </c>
      <c r="B719" t="str">
        <f>IF(PNL!B719="","",PNL!B719)</f>
        <v>645</v>
      </c>
      <c r="C719" t="str">
        <f>IF(PNL!C719="","",PNL!C719)</f>
        <v>2027</v>
      </c>
      <c r="D719" t="str">
        <f>IF(PNL!D719="","",PNL!D719)</f>
        <v>V02</v>
      </c>
      <c r="E719">
        <f t="shared" si="0"/>
        <v>1</v>
      </c>
      <c r="F719">
        <f>IF($A719="","",IF($E719=1,_xlfn.SUMIFS(Compta!$F$1:$F$1448,Compta!$A$1:$A$1448,$A719,Compta!$B$1:$B$1448,$B719,Compta!$C$1:$C$1448,"2026"),0))</f>
        <v>182594</v>
      </c>
      <c r="G719" t="s">
        <v>274</v>
      </c>
      <c r="H719" t="s">
        <v>274</v>
      </c>
      <c r="I719" t="s">
        <v>274</v>
      </c>
      <c r="J719" t="s">
        <v>274</v>
      </c>
      <c r="K719" t="s">
        <v>274</v>
      </c>
      <c r="L719" t="s">
        <v>274</v>
      </c>
      <c r="M719" t="s">
        <v>274</v>
      </c>
      <c r="N719" t="e">
        <f t="shared" si="1"/>
        <v>#VALUE!</v>
      </c>
      <c r="O719" t="e">
        <f t="shared" si="2"/>
        <v>#VALUE!</v>
      </c>
      <c r="P719" t="e">
        <f>IF($A719="","",IF($E719=1,$F719*$O719,PNL!G719))</f>
        <v>#VALUE!</v>
      </c>
      <c r="T719" t="e">
        <f t="shared" si="3"/>
        <v>#VALUE!</v>
      </c>
    </row>
    <row r="720" ht="14.25" customHeight="1">
      <c r="A720" t="str">
        <f>IF(PNL!A720="","",PNL!A720)</f>
        <v>ISCOM_TLS</v>
      </c>
      <c r="B720" t="str">
        <f>IF(PNL!B720="","",PNL!B720)</f>
        <v>645</v>
      </c>
      <c r="C720" t="str">
        <f>IF(PNL!C720="","",PNL!C720)</f>
        <v>2027</v>
      </c>
      <c r="D720" t="str">
        <f>IF(PNL!D720="","",PNL!D720)</f>
        <v>V03</v>
      </c>
      <c r="E720">
        <f t="shared" si="0"/>
        <v>1</v>
      </c>
      <c r="F720">
        <f>IF($A720="","",IF($E720=1,_xlfn.SUMIFS(Compta!$F$1:$F$1448,Compta!$A$1:$A$1448,$A720,Compta!$B$1:$B$1448,$B720,Compta!$C$1:$C$1448,"2026"),0))</f>
        <v>182594</v>
      </c>
      <c r="G720" t="s">
        <v>274</v>
      </c>
      <c r="H720" t="s">
        <v>274</v>
      </c>
      <c r="I720" t="s">
        <v>274</v>
      </c>
      <c r="J720" t="s">
        <v>274</v>
      </c>
      <c r="K720" t="s">
        <v>274</v>
      </c>
      <c r="L720" t="s">
        <v>274</v>
      </c>
      <c r="M720" t="s">
        <v>274</v>
      </c>
      <c r="N720" t="e">
        <f t="shared" si="1"/>
        <v>#VALUE!</v>
      </c>
      <c r="O720" t="e">
        <f t="shared" si="2"/>
        <v>#VALUE!</v>
      </c>
      <c r="P720" t="e">
        <f>IF($A720="","",IF($E720=1,$F720*$O720,PNL!G720))</f>
        <v>#VALUE!</v>
      </c>
      <c r="T720" t="e">
        <f t="shared" si="3"/>
        <v>#VALUE!</v>
      </c>
    </row>
    <row r="721" ht="14.25" customHeight="1">
      <c r="A721" t="str">
        <f>IF(PNL!A721="","",PNL!A721)</f>
        <v>IPAC_NAN</v>
      </c>
      <c r="B721" t="str">
        <f>IF(PNL!B721="","",PNL!B721)</f>
        <v>645</v>
      </c>
      <c r="C721" t="str">
        <f>IF(PNL!C721="","",PNL!C721)</f>
        <v>2027</v>
      </c>
      <c r="D721" t="str">
        <f>IF(PNL!D721="","",PNL!D721)</f>
        <v>V01</v>
      </c>
      <c r="E721">
        <f t="shared" si="0"/>
        <v>1</v>
      </c>
      <c r="F721">
        <f>IF($A721="","",IF($E721=1,_xlfn.SUMIFS(Compta!$F$1:$F$1448,Compta!$A$1:$A$1448,$A721,Compta!$B$1:$B$1448,$B721,Compta!$C$1:$C$1448,"2026"),0))</f>
        <v>127350</v>
      </c>
      <c r="G721" t="s">
        <v>274</v>
      </c>
      <c r="H721" t="s">
        <v>274</v>
      </c>
      <c r="I721" t="s">
        <v>274</v>
      </c>
      <c r="J721" t="s">
        <v>274</v>
      </c>
      <c r="K721" t="s">
        <v>274</v>
      </c>
      <c r="L721" t="s">
        <v>274</v>
      </c>
      <c r="M721" t="s">
        <v>274</v>
      </c>
      <c r="N721" t="e">
        <f t="shared" si="1"/>
        <v>#VALUE!</v>
      </c>
      <c r="O721" t="e">
        <f t="shared" si="2"/>
        <v>#VALUE!</v>
      </c>
      <c r="P721" t="e">
        <f>IF($A721="","",IF($E721=1,$F721*$O721,PNL!G721))</f>
        <v>#VALUE!</v>
      </c>
      <c r="T721" t="e">
        <f t="shared" si="3"/>
        <v>#VALUE!</v>
      </c>
    </row>
    <row r="722" ht="14.25" customHeight="1">
      <c r="A722" t="str">
        <f>IF(PNL!A722="","",PNL!A722)</f>
        <v>IPAC_NAN</v>
      </c>
      <c r="B722" t="str">
        <f>IF(PNL!B722="","",PNL!B722)</f>
        <v>645</v>
      </c>
      <c r="C722" t="str">
        <f>IF(PNL!C722="","",PNL!C722)</f>
        <v>2027</v>
      </c>
      <c r="D722" t="str">
        <f>IF(PNL!D722="","",PNL!D722)</f>
        <v>V02</v>
      </c>
      <c r="E722">
        <f t="shared" si="0"/>
        <v>1</v>
      </c>
      <c r="F722">
        <f>IF($A722="","",IF($E722=1,_xlfn.SUMIFS(Compta!$F$1:$F$1448,Compta!$A$1:$A$1448,$A722,Compta!$B$1:$B$1448,$B722,Compta!$C$1:$C$1448,"2026"),0))</f>
        <v>127350</v>
      </c>
      <c r="G722" t="s">
        <v>274</v>
      </c>
      <c r="H722" t="s">
        <v>274</v>
      </c>
      <c r="I722" t="s">
        <v>274</v>
      </c>
      <c r="J722" t="s">
        <v>274</v>
      </c>
      <c r="K722" t="s">
        <v>274</v>
      </c>
      <c r="L722" t="s">
        <v>274</v>
      </c>
      <c r="M722" t="s">
        <v>274</v>
      </c>
      <c r="N722" t="e">
        <f t="shared" si="1"/>
        <v>#VALUE!</v>
      </c>
      <c r="O722" t="e">
        <f t="shared" si="2"/>
        <v>#VALUE!</v>
      </c>
      <c r="P722" t="e">
        <f>IF($A722="","",IF($E722=1,$F722*$O722,PNL!G722))</f>
        <v>#VALUE!</v>
      </c>
      <c r="T722" t="e">
        <f t="shared" si="3"/>
        <v>#VALUE!</v>
      </c>
    </row>
    <row r="723" ht="14.25" customHeight="1">
      <c r="A723" t="str">
        <f>IF(PNL!A723="","",PNL!A723)</f>
        <v>IPAC_NAN</v>
      </c>
      <c r="B723" t="str">
        <f>IF(PNL!B723="","",PNL!B723)</f>
        <v>645</v>
      </c>
      <c r="C723" t="str">
        <f>IF(PNL!C723="","",PNL!C723)</f>
        <v>2027</v>
      </c>
      <c r="D723" t="str">
        <f>IF(PNL!D723="","",PNL!D723)</f>
        <v>V03</v>
      </c>
      <c r="E723">
        <f t="shared" si="0"/>
        <v>1</v>
      </c>
      <c r="F723">
        <f>IF($A723="","",IF($E723=1,_xlfn.SUMIFS(Compta!$F$1:$F$1448,Compta!$A$1:$A$1448,$A723,Compta!$B$1:$B$1448,$B723,Compta!$C$1:$C$1448,"2026"),0))</f>
        <v>127350</v>
      </c>
      <c r="G723" t="s">
        <v>274</v>
      </c>
      <c r="H723" t="s">
        <v>274</v>
      </c>
      <c r="I723" t="s">
        <v>274</v>
      </c>
      <c r="J723" t="s">
        <v>274</v>
      </c>
      <c r="K723" t="s">
        <v>274</v>
      </c>
      <c r="L723" t="s">
        <v>274</v>
      </c>
      <c r="M723" t="s">
        <v>274</v>
      </c>
      <c r="N723" t="e">
        <f t="shared" si="1"/>
        <v>#VALUE!</v>
      </c>
      <c r="O723" t="e">
        <f t="shared" si="2"/>
        <v>#VALUE!</v>
      </c>
      <c r="P723" t="e">
        <f>IF($A723="","",IF($E723=1,$F723*$O723,PNL!G723))</f>
        <v>#VALUE!</v>
      </c>
      <c r="T723" t="e">
        <f t="shared" si="3"/>
        <v>#VALUE!</v>
      </c>
    </row>
    <row r="724" ht="14.25" customHeight="1">
      <c r="A724" t="str">
        <f>IF(PNL!A724="","",PNL!A724)</f>
        <v>IPAC_REN</v>
      </c>
      <c r="B724" t="str">
        <f>IF(PNL!B724="","",PNL!B724)</f>
        <v>645</v>
      </c>
      <c r="C724" t="str">
        <f>IF(PNL!C724="","",PNL!C724)</f>
        <v>2027</v>
      </c>
      <c r="D724" t="str">
        <f>IF(PNL!D724="","",PNL!D724)</f>
        <v>V01</v>
      </c>
      <c r="E724">
        <f t="shared" si="0"/>
        <v>1</v>
      </c>
      <c r="F724">
        <f>IF($A724="","",IF($E724=1,_xlfn.SUMIFS(Compta!$F$1:$F$1448,Compta!$A$1:$A$1448,$A724,Compta!$B$1:$B$1448,$B724,Compta!$C$1:$C$1448,"2026"),0))</f>
        <v>90427</v>
      </c>
      <c r="G724" t="s">
        <v>274</v>
      </c>
      <c r="H724" t="s">
        <v>274</v>
      </c>
      <c r="I724" t="s">
        <v>274</v>
      </c>
      <c r="J724" t="s">
        <v>274</v>
      </c>
      <c r="K724" t="s">
        <v>274</v>
      </c>
      <c r="L724" t="s">
        <v>274</v>
      </c>
      <c r="M724" t="s">
        <v>274</v>
      </c>
      <c r="N724" t="e">
        <f t="shared" si="1"/>
        <v>#VALUE!</v>
      </c>
      <c r="O724" t="e">
        <f t="shared" si="2"/>
        <v>#VALUE!</v>
      </c>
      <c r="P724" t="e">
        <f>IF($A724="","",IF($E724=1,$F724*$O724,PNL!G724))</f>
        <v>#VALUE!</v>
      </c>
      <c r="T724" t="e">
        <f t="shared" si="3"/>
        <v>#VALUE!</v>
      </c>
    </row>
    <row r="725" ht="14.25" customHeight="1">
      <c r="A725" t="str">
        <f>IF(PNL!A725="","",PNL!A725)</f>
        <v>IPAC_REN</v>
      </c>
      <c r="B725" t="str">
        <f>IF(PNL!B725="","",PNL!B725)</f>
        <v>645</v>
      </c>
      <c r="C725" t="str">
        <f>IF(PNL!C725="","",PNL!C725)</f>
        <v>2027</v>
      </c>
      <c r="D725" t="str">
        <f>IF(PNL!D725="","",PNL!D725)</f>
        <v>V02</v>
      </c>
      <c r="E725">
        <f t="shared" si="0"/>
        <v>1</v>
      </c>
      <c r="F725">
        <f>IF($A725="","",IF($E725=1,_xlfn.SUMIFS(Compta!$F$1:$F$1448,Compta!$A$1:$A$1448,$A725,Compta!$B$1:$B$1448,$B725,Compta!$C$1:$C$1448,"2026"),0))</f>
        <v>90427</v>
      </c>
      <c r="G725" t="s">
        <v>274</v>
      </c>
      <c r="H725" t="s">
        <v>274</v>
      </c>
      <c r="I725" t="s">
        <v>274</v>
      </c>
      <c r="J725" t="s">
        <v>274</v>
      </c>
      <c r="K725" t="s">
        <v>274</v>
      </c>
      <c r="L725" t="s">
        <v>274</v>
      </c>
      <c r="M725" t="s">
        <v>274</v>
      </c>
      <c r="N725" t="e">
        <f t="shared" si="1"/>
        <v>#VALUE!</v>
      </c>
      <c r="O725" t="e">
        <f t="shared" si="2"/>
        <v>#VALUE!</v>
      </c>
      <c r="P725" t="e">
        <f>IF($A725="","",IF($E725=1,$F725*$O725,PNL!G725))</f>
        <v>#VALUE!</v>
      </c>
      <c r="T725" t="e">
        <f t="shared" si="3"/>
        <v>#VALUE!</v>
      </c>
    </row>
    <row r="726" ht="14.25" customHeight="1">
      <c r="A726" t="str">
        <f>IF(PNL!A726="","",PNL!A726)</f>
        <v>IPAC_REN</v>
      </c>
      <c r="B726" t="str">
        <f>IF(PNL!B726="","",PNL!B726)</f>
        <v>645</v>
      </c>
      <c r="C726" t="str">
        <f>IF(PNL!C726="","",PNL!C726)</f>
        <v>2027</v>
      </c>
      <c r="D726" t="str">
        <f>IF(PNL!D726="","",PNL!D726)</f>
        <v>V03</v>
      </c>
      <c r="E726">
        <f t="shared" si="0"/>
        <v>1</v>
      </c>
      <c r="F726">
        <f>IF($A726="","",IF($E726=1,_xlfn.SUMIFS(Compta!$F$1:$F$1448,Compta!$A$1:$A$1448,$A726,Compta!$B$1:$B$1448,$B726,Compta!$C$1:$C$1448,"2026"),0))</f>
        <v>90427</v>
      </c>
      <c r="G726" t="s">
        <v>274</v>
      </c>
      <c r="H726" t="s">
        <v>274</v>
      </c>
      <c r="I726" t="s">
        <v>274</v>
      </c>
      <c r="J726" t="s">
        <v>274</v>
      </c>
      <c r="K726" t="s">
        <v>274</v>
      </c>
      <c r="L726" t="s">
        <v>274</v>
      </c>
      <c r="M726" t="s">
        <v>274</v>
      </c>
      <c r="N726" t="e">
        <f t="shared" si="1"/>
        <v>#VALUE!</v>
      </c>
      <c r="O726" t="e">
        <f t="shared" si="2"/>
        <v>#VALUE!</v>
      </c>
      <c r="P726" t="e">
        <f>IF($A726="","",IF($E726=1,$F726*$O726,PNL!G726))</f>
        <v>#VALUE!</v>
      </c>
      <c r="T726" t="e">
        <f t="shared" si="3"/>
        <v>#VALUE!</v>
      </c>
    </row>
    <row r="727" ht="14.25" customHeight="1">
      <c r="A727" t="str">
        <f>IF(PNL!A727="","",PNL!A727)</f>
        <v>IPAC_MTP</v>
      </c>
      <c r="B727" t="str">
        <f>IF(PNL!B727="","",PNL!B727)</f>
        <v>645</v>
      </c>
      <c r="C727" t="str">
        <f>IF(PNL!C727="","",PNL!C727)</f>
        <v>2027</v>
      </c>
      <c r="D727" t="str">
        <f>IF(PNL!D727="","",PNL!D727)</f>
        <v>V01</v>
      </c>
      <c r="E727">
        <f t="shared" si="0"/>
        <v>1</v>
      </c>
      <c r="F727">
        <f>IF($A727="","",IF($E727=1,_xlfn.SUMIFS(Compta!$F$1:$F$1448,Compta!$A$1:$A$1448,$A727,Compta!$B$1:$B$1448,$B727,Compta!$C$1:$C$1448,"2026"),0))</f>
        <v>90427</v>
      </c>
      <c r="G727" t="s">
        <v>274</v>
      </c>
      <c r="H727" t="s">
        <v>274</v>
      </c>
      <c r="I727" t="s">
        <v>274</v>
      </c>
      <c r="J727" t="s">
        <v>274</v>
      </c>
      <c r="K727" t="s">
        <v>274</v>
      </c>
      <c r="L727" t="s">
        <v>274</v>
      </c>
      <c r="M727" t="s">
        <v>274</v>
      </c>
      <c r="N727" t="e">
        <f t="shared" si="1"/>
        <v>#VALUE!</v>
      </c>
      <c r="O727" t="e">
        <f t="shared" si="2"/>
        <v>#VALUE!</v>
      </c>
      <c r="P727" t="e">
        <f>IF($A727="","",IF($E727=1,$F727*$O727,PNL!G727))</f>
        <v>#VALUE!</v>
      </c>
      <c r="T727" t="e">
        <f t="shared" si="3"/>
        <v>#VALUE!</v>
      </c>
    </row>
    <row r="728" ht="14.25" customHeight="1">
      <c r="A728" t="str">
        <f>IF(PNL!A728="","",PNL!A728)</f>
        <v>IPAC_MTP</v>
      </c>
      <c r="B728" t="str">
        <f>IF(PNL!B728="","",PNL!B728)</f>
        <v>645</v>
      </c>
      <c r="C728" t="str">
        <f>IF(PNL!C728="","",PNL!C728)</f>
        <v>2027</v>
      </c>
      <c r="D728" t="str">
        <f>IF(PNL!D728="","",PNL!D728)</f>
        <v>V02</v>
      </c>
      <c r="E728">
        <f t="shared" si="0"/>
        <v>1</v>
      </c>
      <c r="F728">
        <f>IF($A728="","",IF($E728=1,_xlfn.SUMIFS(Compta!$F$1:$F$1448,Compta!$A$1:$A$1448,$A728,Compta!$B$1:$B$1448,$B728,Compta!$C$1:$C$1448,"2026"),0))</f>
        <v>90427</v>
      </c>
      <c r="G728" t="s">
        <v>274</v>
      </c>
      <c r="H728" t="s">
        <v>274</v>
      </c>
      <c r="I728" t="s">
        <v>274</v>
      </c>
      <c r="J728" t="s">
        <v>274</v>
      </c>
      <c r="K728" t="s">
        <v>274</v>
      </c>
      <c r="L728" t="s">
        <v>274</v>
      </c>
      <c r="M728" t="s">
        <v>274</v>
      </c>
      <c r="N728" t="e">
        <f t="shared" si="1"/>
        <v>#VALUE!</v>
      </c>
      <c r="O728" t="e">
        <f t="shared" si="2"/>
        <v>#VALUE!</v>
      </c>
      <c r="P728" t="e">
        <f>IF($A728="","",IF($E728=1,$F728*$O728,PNL!G728))</f>
        <v>#VALUE!</v>
      </c>
      <c r="T728" t="e">
        <f t="shared" si="3"/>
        <v>#VALUE!</v>
      </c>
    </row>
    <row r="729" ht="14.25" customHeight="1">
      <c r="A729" t="str">
        <f>IF(PNL!A729="","",PNL!A729)</f>
        <v>IPAC_MTP</v>
      </c>
      <c r="B729" t="str">
        <f>IF(PNL!B729="","",PNL!B729)</f>
        <v>645</v>
      </c>
      <c r="C729" t="str">
        <f>IF(PNL!C729="","",PNL!C729)</f>
        <v>2027</v>
      </c>
      <c r="D729" t="str">
        <f>IF(PNL!D729="","",PNL!D729)</f>
        <v>V03</v>
      </c>
      <c r="E729">
        <f t="shared" si="0"/>
        <v>1</v>
      </c>
      <c r="F729">
        <f>IF($A729="","",IF($E729=1,_xlfn.SUMIFS(Compta!$F$1:$F$1448,Compta!$A$1:$A$1448,$A729,Compta!$B$1:$B$1448,$B729,Compta!$C$1:$C$1448,"2026"),0))</f>
        <v>90427</v>
      </c>
      <c r="G729" t="s">
        <v>274</v>
      </c>
      <c r="H729" t="s">
        <v>274</v>
      </c>
      <c r="I729" t="s">
        <v>274</v>
      </c>
      <c r="J729" t="s">
        <v>274</v>
      </c>
      <c r="K729" t="s">
        <v>274</v>
      </c>
      <c r="L729" t="s">
        <v>274</v>
      </c>
      <c r="M729" t="s">
        <v>274</v>
      </c>
      <c r="N729" t="e">
        <f t="shared" si="1"/>
        <v>#VALUE!</v>
      </c>
      <c r="O729" t="e">
        <f t="shared" si="2"/>
        <v>#VALUE!</v>
      </c>
      <c r="P729" t="e">
        <f>IF($A729="","",IF($E729=1,$F729*$O729,PNL!G729))</f>
        <v>#VALUE!</v>
      </c>
      <c r="T729" t="e">
        <f t="shared" si="3"/>
        <v>#VALUE!</v>
      </c>
    </row>
    <row r="730" ht="14.25" customHeight="1">
      <c r="A730" t="str">
        <f>IF(PNL!A730="","",PNL!A730)</f>
        <v>PIGIER_LYO</v>
      </c>
      <c r="B730" t="str">
        <f>IF(PNL!B730="","",PNL!B730)</f>
        <v>645</v>
      </c>
      <c r="C730" t="str">
        <f>IF(PNL!C730="","",PNL!C730)</f>
        <v>2027</v>
      </c>
      <c r="D730" t="str">
        <f>IF(PNL!D730="","",PNL!D730)</f>
        <v>V01</v>
      </c>
      <c r="E730">
        <f t="shared" si="0"/>
        <v>1</v>
      </c>
      <c r="F730">
        <f>IF($A730="","",IF($E730=1,_xlfn.SUMIFS(Compta!$F$1:$F$1448,Compta!$A$1:$A$1448,$A730,Compta!$B$1:$B$1448,$B730,Compta!$C$1:$C$1448,"2026"),0))</f>
        <v>179028</v>
      </c>
      <c r="G730" t="s">
        <v>274</v>
      </c>
      <c r="H730" t="s">
        <v>274</v>
      </c>
      <c r="I730" t="s">
        <v>274</v>
      </c>
      <c r="J730" t="s">
        <v>274</v>
      </c>
      <c r="K730" t="s">
        <v>274</v>
      </c>
      <c r="L730" t="s">
        <v>274</v>
      </c>
      <c r="M730" t="s">
        <v>274</v>
      </c>
      <c r="N730" t="e">
        <f t="shared" si="1"/>
        <v>#VALUE!</v>
      </c>
      <c r="O730" t="e">
        <f t="shared" si="2"/>
        <v>#VALUE!</v>
      </c>
      <c r="P730" t="e">
        <f>IF($A730="","",IF($E730=1,$F730*$O730,PNL!G730))</f>
        <v>#VALUE!</v>
      </c>
      <c r="T730" t="e">
        <f t="shared" si="3"/>
        <v>#VALUE!</v>
      </c>
    </row>
    <row r="731" ht="14.25" customHeight="1">
      <c r="A731" t="str">
        <f>IF(PNL!A731="","",PNL!A731)</f>
        <v>PIGIER_LYO</v>
      </c>
      <c r="B731" t="str">
        <f>IF(PNL!B731="","",PNL!B731)</f>
        <v>645</v>
      </c>
      <c r="C731" t="str">
        <f>IF(PNL!C731="","",PNL!C731)</f>
        <v>2027</v>
      </c>
      <c r="D731" t="str">
        <f>IF(PNL!D731="","",PNL!D731)</f>
        <v>V02</v>
      </c>
      <c r="E731">
        <f t="shared" si="0"/>
        <v>1</v>
      </c>
      <c r="F731">
        <f>IF($A731="","",IF($E731=1,_xlfn.SUMIFS(Compta!$F$1:$F$1448,Compta!$A$1:$A$1448,$A731,Compta!$B$1:$B$1448,$B731,Compta!$C$1:$C$1448,"2026"),0))</f>
        <v>179028</v>
      </c>
      <c r="G731" t="s">
        <v>274</v>
      </c>
      <c r="H731" t="s">
        <v>274</v>
      </c>
      <c r="I731" t="s">
        <v>274</v>
      </c>
      <c r="J731" t="s">
        <v>274</v>
      </c>
      <c r="K731" t="s">
        <v>274</v>
      </c>
      <c r="L731" t="s">
        <v>274</v>
      </c>
      <c r="M731" t="s">
        <v>274</v>
      </c>
      <c r="N731" t="e">
        <f t="shared" si="1"/>
        <v>#VALUE!</v>
      </c>
      <c r="O731" t="e">
        <f t="shared" si="2"/>
        <v>#VALUE!</v>
      </c>
      <c r="P731" t="e">
        <f>IF($A731="","",IF($E731=1,$F731*$O731,PNL!G731))</f>
        <v>#VALUE!</v>
      </c>
      <c r="T731" t="e">
        <f t="shared" si="3"/>
        <v>#VALUE!</v>
      </c>
    </row>
    <row r="732" ht="14.25" customHeight="1">
      <c r="A732" t="str">
        <f>IF(PNL!A732="","",PNL!A732)</f>
        <v>PIGIER_LYO</v>
      </c>
      <c r="B732" t="str">
        <f>IF(PNL!B732="","",PNL!B732)</f>
        <v>645</v>
      </c>
      <c r="C732" t="str">
        <f>IF(PNL!C732="","",PNL!C732)</f>
        <v>2027</v>
      </c>
      <c r="D732" t="str">
        <f>IF(PNL!D732="","",PNL!D732)</f>
        <v>V03</v>
      </c>
      <c r="E732">
        <f t="shared" si="0"/>
        <v>1</v>
      </c>
      <c r="F732">
        <f>IF($A732="","",IF($E732=1,_xlfn.SUMIFS(Compta!$F$1:$F$1448,Compta!$A$1:$A$1448,$A732,Compta!$B$1:$B$1448,$B732,Compta!$C$1:$C$1448,"2026"),0))</f>
        <v>179028</v>
      </c>
      <c r="G732" t="s">
        <v>274</v>
      </c>
      <c r="H732" t="s">
        <v>274</v>
      </c>
      <c r="I732" t="s">
        <v>274</v>
      </c>
      <c r="J732" t="s">
        <v>274</v>
      </c>
      <c r="K732" t="s">
        <v>274</v>
      </c>
      <c r="L732" t="s">
        <v>274</v>
      </c>
      <c r="M732" t="s">
        <v>274</v>
      </c>
      <c r="N732" t="e">
        <f t="shared" si="1"/>
        <v>#VALUE!</v>
      </c>
      <c r="O732" t="e">
        <f t="shared" si="2"/>
        <v>#VALUE!</v>
      </c>
      <c r="P732" t="e">
        <f>IF($A732="","",IF($E732=1,$F732*$O732,PNL!G732))</f>
        <v>#VALUE!</v>
      </c>
      <c r="T732" t="e">
        <f t="shared" si="3"/>
        <v>#VALUE!</v>
      </c>
    </row>
    <row r="733" ht="14.25" customHeight="1">
      <c r="A733" t="str">
        <f>IF(PNL!A733="","",PNL!A733)</f>
        <v>PIGIER_BOR</v>
      </c>
      <c r="B733" t="str">
        <f>IF(PNL!B733="","",PNL!B733)</f>
        <v>645</v>
      </c>
      <c r="C733" t="str">
        <f>IF(PNL!C733="","",PNL!C733)</f>
        <v>2027</v>
      </c>
      <c r="D733" t="str">
        <f>IF(PNL!D733="","",PNL!D733)</f>
        <v>V01</v>
      </c>
      <c r="E733">
        <f t="shared" si="0"/>
        <v>1</v>
      </c>
      <c r="F733">
        <f>IF($A733="","",IF($E733=1,_xlfn.SUMIFS(Compta!$F$1:$F$1448,Compta!$A$1:$A$1448,$A733,Compta!$B$1:$B$1448,$B733,Compta!$C$1:$C$1448,"2026"),0))</f>
        <v>130951</v>
      </c>
      <c r="G733" t="s">
        <v>274</v>
      </c>
      <c r="H733" t="s">
        <v>274</v>
      </c>
      <c r="I733" t="s">
        <v>274</v>
      </c>
      <c r="J733" t="s">
        <v>274</v>
      </c>
      <c r="K733" t="s">
        <v>274</v>
      </c>
      <c r="L733" t="s">
        <v>274</v>
      </c>
      <c r="M733" t="s">
        <v>274</v>
      </c>
      <c r="N733" t="e">
        <f t="shared" si="1"/>
        <v>#VALUE!</v>
      </c>
      <c r="O733" t="e">
        <f t="shared" si="2"/>
        <v>#VALUE!</v>
      </c>
      <c r="P733" t="e">
        <f>IF($A733="","",IF($E733=1,$F733*$O733,PNL!G733))</f>
        <v>#VALUE!</v>
      </c>
      <c r="T733" t="e">
        <f t="shared" si="3"/>
        <v>#VALUE!</v>
      </c>
    </row>
    <row r="734" ht="14.25" customHeight="1">
      <c r="A734" t="str">
        <f>IF(PNL!A734="","",PNL!A734)</f>
        <v>PIGIER_BOR</v>
      </c>
      <c r="B734" t="str">
        <f>IF(PNL!B734="","",PNL!B734)</f>
        <v>645</v>
      </c>
      <c r="C734" t="str">
        <f>IF(PNL!C734="","",PNL!C734)</f>
        <v>2027</v>
      </c>
      <c r="D734" t="str">
        <f>IF(PNL!D734="","",PNL!D734)</f>
        <v>V02</v>
      </c>
      <c r="E734">
        <f t="shared" si="0"/>
        <v>1</v>
      </c>
      <c r="F734">
        <f>IF($A734="","",IF($E734=1,_xlfn.SUMIFS(Compta!$F$1:$F$1448,Compta!$A$1:$A$1448,$A734,Compta!$B$1:$B$1448,$B734,Compta!$C$1:$C$1448,"2026"),0))</f>
        <v>130951</v>
      </c>
      <c r="G734" t="s">
        <v>274</v>
      </c>
      <c r="H734" t="s">
        <v>274</v>
      </c>
      <c r="I734" t="s">
        <v>274</v>
      </c>
      <c r="J734" t="s">
        <v>274</v>
      </c>
      <c r="K734" t="s">
        <v>274</v>
      </c>
      <c r="L734" t="s">
        <v>274</v>
      </c>
      <c r="M734" t="s">
        <v>274</v>
      </c>
      <c r="N734" t="e">
        <f t="shared" si="1"/>
        <v>#VALUE!</v>
      </c>
      <c r="O734" t="e">
        <f t="shared" si="2"/>
        <v>#VALUE!</v>
      </c>
      <c r="P734" t="e">
        <f>IF($A734="","",IF($E734=1,$F734*$O734,PNL!G734))</f>
        <v>#VALUE!</v>
      </c>
      <c r="T734" t="e">
        <f t="shared" si="3"/>
        <v>#VALUE!</v>
      </c>
    </row>
    <row r="735" ht="14.25" customHeight="1">
      <c r="A735" t="str">
        <f>IF(PNL!A735="","",PNL!A735)</f>
        <v>PIGIER_BOR</v>
      </c>
      <c r="B735" t="str">
        <f>IF(PNL!B735="","",PNL!B735)</f>
        <v>645</v>
      </c>
      <c r="C735" t="str">
        <f>IF(PNL!C735="","",PNL!C735)</f>
        <v>2027</v>
      </c>
      <c r="D735" t="str">
        <f>IF(PNL!D735="","",PNL!D735)</f>
        <v>V03</v>
      </c>
      <c r="E735">
        <f t="shared" si="0"/>
        <v>1</v>
      </c>
      <c r="F735">
        <f>IF($A735="","",IF($E735=1,_xlfn.SUMIFS(Compta!$F$1:$F$1448,Compta!$A$1:$A$1448,$A735,Compta!$B$1:$B$1448,$B735,Compta!$C$1:$C$1448,"2026"),0))</f>
        <v>130951</v>
      </c>
      <c r="G735" t="s">
        <v>274</v>
      </c>
      <c r="H735" t="s">
        <v>274</v>
      </c>
      <c r="I735" t="s">
        <v>274</v>
      </c>
      <c r="J735" t="s">
        <v>274</v>
      </c>
      <c r="K735" t="s">
        <v>274</v>
      </c>
      <c r="L735" t="s">
        <v>274</v>
      </c>
      <c r="M735" t="s">
        <v>274</v>
      </c>
      <c r="N735" t="e">
        <f t="shared" si="1"/>
        <v>#VALUE!</v>
      </c>
      <c r="O735" t="e">
        <f t="shared" si="2"/>
        <v>#VALUE!</v>
      </c>
      <c r="P735" t="e">
        <f>IF($A735="","",IF($E735=1,$F735*$O735,PNL!G735))</f>
        <v>#VALUE!</v>
      </c>
      <c r="T735" t="e">
        <f t="shared" si="3"/>
        <v>#VALUE!</v>
      </c>
    </row>
    <row r="736" ht="14.25" customHeight="1">
      <c r="A736" t="str">
        <f>IF(PNL!A736="","",PNL!A736)</f>
        <v>TUNON_PAR</v>
      </c>
      <c r="B736" t="str">
        <f>IF(PNL!B736="","",PNL!B736)</f>
        <v>645</v>
      </c>
      <c r="C736" t="str">
        <f>IF(PNL!C736="","",PNL!C736)</f>
        <v>2027</v>
      </c>
      <c r="D736" t="str">
        <f>IF(PNL!D736="","",PNL!D736)</f>
        <v>V01</v>
      </c>
      <c r="E736">
        <f t="shared" si="0"/>
        <v>1</v>
      </c>
      <c r="F736">
        <f>IF($A736="","",IF($E736=1,_xlfn.SUMIFS(Compta!$F$1:$F$1448,Compta!$A$1:$A$1448,$A736,Compta!$B$1:$B$1448,$B736,Compta!$C$1:$C$1448,"2026"),0))</f>
        <v>196348</v>
      </c>
      <c r="G736" t="s">
        <v>274</v>
      </c>
      <c r="H736" t="s">
        <v>274</v>
      </c>
      <c r="I736" t="s">
        <v>274</v>
      </c>
      <c r="J736" t="s">
        <v>274</v>
      </c>
      <c r="K736" t="s">
        <v>274</v>
      </c>
      <c r="L736" t="s">
        <v>274</v>
      </c>
      <c r="M736" t="s">
        <v>274</v>
      </c>
      <c r="N736" t="e">
        <f t="shared" si="1"/>
        <v>#VALUE!</v>
      </c>
      <c r="O736" t="e">
        <f t="shared" si="2"/>
        <v>#VALUE!</v>
      </c>
      <c r="P736" t="e">
        <f>IF($A736="","",IF($E736=1,$F736*$O736,PNL!G736))</f>
        <v>#VALUE!</v>
      </c>
      <c r="T736" t="e">
        <f t="shared" si="3"/>
        <v>#VALUE!</v>
      </c>
    </row>
    <row r="737" ht="14.25" customHeight="1">
      <c r="A737" t="str">
        <f>IF(PNL!A737="","",PNL!A737)</f>
        <v>TUNON_PAR</v>
      </c>
      <c r="B737" t="str">
        <f>IF(PNL!B737="","",PNL!B737)</f>
        <v>645</v>
      </c>
      <c r="C737" t="str">
        <f>IF(PNL!C737="","",PNL!C737)</f>
        <v>2027</v>
      </c>
      <c r="D737" t="str">
        <f>IF(PNL!D737="","",PNL!D737)</f>
        <v>V02</v>
      </c>
      <c r="E737">
        <f t="shared" si="0"/>
        <v>1</v>
      </c>
      <c r="F737">
        <f>IF($A737="","",IF($E737=1,_xlfn.SUMIFS(Compta!$F$1:$F$1448,Compta!$A$1:$A$1448,$A737,Compta!$B$1:$B$1448,$B737,Compta!$C$1:$C$1448,"2026"),0))</f>
        <v>196348</v>
      </c>
      <c r="G737" t="s">
        <v>274</v>
      </c>
      <c r="H737" t="s">
        <v>274</v>
      </c>
      <c r="I737" t="s">
        <v>274</v>
      </c>
      <c r="J737" t="s">
        <v>274</v>
      </c>
      <c r="K737" t="s">
        <v>274</v>
      </c>
      <c r="L737" t="s">
        <v>274</v>
      </c>
      <c r="M737" t="s">
        <v>274</v>
      </c>
      <c r="N737" t="e">
        <f t="shared" si="1"/>
        <v>#VALUE!</v>
      </c>
      <c r="O737" t="e">
        <f t="shared" si="2"/>
        <v>#VALUE!</v>
      </c>
      <c r="P737" t="e">
        <f>IF($A737="","",IF($E737=1,$F737*$O737,PNL!G737))</f>
        <v>#VALUE!</v>
      </c>
      <c r="T737" t="e">
        <f t="shared" si="3"/>
        <v>#VALUE!</v>
      </c>
    </row>
    <row r="738" ht="14.25" customHeight="1">
      <c r="A738" t="str">
        <f>IF(PNL!A738="","",PNL!A738)</f>
        <v>TUNON_PAR</v>
      </c>
      <c r="B738" t="str">
        <f>IF(PNL!B738="","",PNL!B738)</f>
        <v>645</v>
      </c>
      <c r="C738" t="str">
        <f>IF(PNL!C738="","",PNL!C738)</f>
        <v>2027</v>
      </c>
      <c r="D738" t="str">
        <f>IF(PNL!D738="","",PNL!D738)</f>
        <v>V03</v>
      </c>
      <c r="E738">
        <f t="shared" si="0"/>
        <v>1</v>
      </c>
      <c r="F738">
        <f>IF($A738="","",IF($E738=1,_xlfn.SUMIFS(Compta!$F$1:$F$1448,Compta!$A$1:$A$1448,$A738,Compta!$B$1:$B$1448,$B738,Compta!$C$1:$C$1448,"2026"),0))</f>
        <v>196348</v>
      </c>
      <c r="G738" t="s">
        <v>274</v>
      </c>
      <c r="H738" t="s">
        <v>274</v>
      </c>
      <c r="I738" t="s">
        <v>274</v>
      </c>
      <c r="J738" t="s">
        <v>274</v>
      </c>
      <c r="K738" t="s">
        <v>274</v>
      </c>
      <c r="L738" t="s">
        <v>274</v>
      </c>
      <c r="M738" t="s">
        <v>274</v>
      </c>
      <c r="N738" t="e">
        <f t="shared" si="1"/>
        <v>#VALUE!</v>
      </c>
      <c r="O738" t="e">
        <f t="shared" si="2"/>
        <v>#VALUE!</v>
      </c>
      <c r="P738" t="e">
        <f>IF($A738="","",IF($E738=1,$F738*$O738,PNL!G738))</f>
        <v>#VALUE!</v>
      </c>
      <c r="T738" t="e">
        <f t="shared" si="3"/>
        <v>#VALUE!</v>
      </c>
    </row>
    <row r="739" ht="14.25" customHeight="1">
      <c r="A739" t="str">
        <f>IF(PNL!A739="","",PNL!A739)</f>
        <v>TUNON_LYO</v>
      </c>
      <c r="B739" t="str">
        <f>IF(PNL!B739="","",PNL!B739)</f>
        <v>645</v>
      </c>
      <c r="C739" t="str">
        <f>IF(PNL!C739="","",PNL!C739)</f>
        <v>2027</v>
      </c>
      <c r="D739" t="str">
        <f>IF(PNL!D739="","",PNL!D739)</f>
        <v>V01</v>
      </c>
      <c r="E739">
        <f t="shared" si="0"/>
        <v>1</v>
      </c>
      <c r="F739">
        <f>IF($A739="","",IF($E739=1,_xlfn.SUMIFS(Compta!$F$1:$F$1448,Compta!$A$1:$A$1448,$A739,Compta!$B$1:$B$1448,$B739,Compta!$C$1:$C$1448,"2026"),0))</f>
        <v>115089</v>
      </c>
      <c r="G739" t="s">
        <v>274</v>
      </c>
      <c r="H739" t="s">
        <v>274</v>
      </c>
      <c r="I739" t="s">
        <v>274</v>
      </c>
      <c r="J739" t="s">
        <v>274</v>
      </c>
      <c r="K739" t="s">
        <v>274</v>
      </c>
      <c r="L739" t="s">
        <v>274</v>
      </c>
      <c r="M739" t="s">
        <v>274</v>
      </c>
      <c r="N739" t="e">
        <f t="shared" si="1"/>
        <v>#VALUE!</v>
      </c>
      <c r="O739" t="e">
        <f t="shared" si="2"/>
        <v>#VALUE!</v>
      </c>
      <c r="P739" t="e">
        <f>IF($A739="","",IF($E739=1,$F739*$O739,PNL!G739))</f>
        <v>#VALUE!</v>
      </c>
      <c r="T739" t="e">
        <f t="shared" si="3"/>
        <v>#VALUE!</v>
      </c>
    </row>
    <row r="740" ht="14.25" customHeight="1">
      <c r="A740" t="str">
        <f>IF(PNL!A740="","",PNL!A740)</f>
        <v>TUNON_LYO</v>
      </c>
      <c r="B740" t="str">
        <f>IF(PNL!B740="","",PNL!B740)</f>
        <v>645</v>
      </c>
      <c r="C740" t="str">
        <f>IF(PNL!C740="","",PNL!C740)</f>
        <v>2027</v>
      </c>
      <c r="D740" t="str">
        <f>IF(PNL!D740="","",PNL!D740)</f>
        <v>V02</v>
      </c>
      <c r="E740">
        <f t="shared" si="0"/>
        <v>1</v>
      </c>
      <c r="F740">
        <f>IF($A740="","",IF($E740=1,_xlfn.SUMIFS(Compta!$F$1:$F$1448,Compta!$A$1:$A$1448,$A740,Compta!$B$1:$B$1448,$B740,Compta!$C$1:$C$1448,"2026"),0))</f>
        <v>115089</v>
      </c>
      <c r="G740" t="s">
        <v>274</v>
      </c>
      <c r="H740" t="s">
        <v>274</v>
      </c>
      <c r="I740" t="s">
        <v>274</v>
      </c>
      <c r="J740" t="s">
        <v>274</v>
      </c>
      <c r="K740" t="s">
        <v>274</v>
      </c>
      <c r="L740" t="s">
        <v>274</v>
      </c>
      <c r="M740" t="s">
        <v>274</v>
      </c>
      <c r="N740" t="e">
        <f t="shared" si="1"/>
        <v>#VALUE!</v>
      </c>
      <c r="O740" t="e">
        <f t="shared" si="2"/>
        <v>#VALUE!</v>
      </c>
      <c r="P740" t="e">
        <f>IF($A740="","",IF($E740=1,$F740*$O740,PNL!G740))</f>
        <v>#VALUE!</v>
      </c>
      <c r="T740" t="e">
        <f t="shared" si="3"/>
        <v>#VALUE!</v>
      </c>
    </row>
    <row r="741" ht="14.25" customHeight="1">
      <c r="A741" t="str">
        <f>IF(PNL!A741="","",PNL!A741)</f>
        <v>TUNON_LYO</v>
      </c>
      <c r="B741" t="str">
        <f>IF(PNL!B741="","",PNL!B741)</f>
        <v>645</v>
      </c>
      <c r="C741" t="str">
        <f>IF(PNL!C741="","",PNL!C741)</f>
        <v>2027</v>
      </c>
      <c r="D741" t="str">
        <f>IF(PNL!D741="","",PNL!D741)</f>
        <v>V03</v>
      </c>
      <c r="E741">
        <f t="shared" si="0"/>
        <v>1</v>
      </c>
      <c r="F741">
        <f>IF($A741="","",IF($E741=1,_xlfn.SUMIFS(Compta!$F$1:$F$1448,Compta!$A$1:$A$1448,$A741,Compta!$B$1:$B$1448,$B741,Compta!$C$1:$C$1448,"2026"),0))</f>
        <v>115089</v>
      </c>
      <c r="G741" t="s">
        <v>274</v>
      </c>
      <c r="H741" t="s">
        <v>274</v>
      </c>
      <c r="I741" t="s">
        <v>274</v>
      </c>
      <c r="J741" t="s">
        <v>274</v>
      </c>
      <c r="K741" t="s">
        <v>274</v>
      </c>
      <c r="L741" t="s">
        <v>274</v>
      </c>
      <c r="M741" t="s">
        <v>274</v>
      </c>
      <c r="N741" t="e">
        <f t="shared" si="1"/>
        <v>#VALUE!</v>
      </c>
      <c r="O741" t="e">
        <f t="shared" si="2"/>
        <v>#VALUE!</v>
      </c>
      <c r="P741" t="e">
        <f>IF($A741="","",IF($E741=1,$F741*$O741,PNL!G741))</f>
        <v>#VALUE!</v>
      </c>
      <c r="T741" t="e">
        <f t="shared" si="3"/>
        <v>#VALUE!</v>
      </c>
    </row>
    <row r="742" ht="14.25" customHeight="1">
      <c r="A742" t="str">
        <f>IF(PNL!A742="","",PNL!A742)</f>
        <v>MBWAY_PAR</v>
      </c>
      <c r="B742" t="str">
        <f>IF(PNL!B742="","",PNL!B742)</f>
        <v>613</v>
      </c>
      <c r="C742" t="str">
        <f>IF(PNL!C742="","",PNL!C742)</f>
        <v>2027</v>
      </c>
      <c r="D742" t="str">
        <f>IF(PNL!D742="","",PNL!D742)</f>
        <v>V01</v>
      </c>
      <c r="E742">
        <f t="shared" si="0"/>
        <v>1</v>
      </c>
      <c r="F742">
        <f>IF($A742="","",IF($E742=1,_xlfn.SUMIFS(Compta!$F$1:$F$1448,Compta!$A$1:$A$1448,$A742,Compta!$B$1:$B$1448,$B742,Compta!$C$1:$C$1448,"2026"),0))</f>
        <v>373801</v>
      </c>
      <c r="G742" t="s">
        <v>274</v>
      </c>
      <c r="H742" t="s">
        <v>274</v>
      </c>
      <c r="I742" t="s">
        <v>274</v>
      </c>
      <c r="J742" t="s">
        <v>274</v>
      </c>
      <c r="K742" t="s">
        <v>274</v>
      </c>
      <c r="L742" t="s">
        <v>274</v>
      </c>
      <c r="M742" t="s">
        <v>274</v>
      </c>
      <c r="N742" t="e">
        <f t="shared" si="1"/>
        <v>#VALUE!</v>
      </c>
      <c r="O742" t="e">
        <f t="shared" si="2"/>
        <v>#VALUE!</v>
      </c>
      <c r="P742" t="e">
        <f>IF($A742="","",IF($E742=1,$F742*$O742,PNL!G742))</f>
        <v>#VALUE!</v>
      </c>
      <c r="T742" t="e">
        <f t="shared" si="3"/>
        <v>#VALUE!</v>
      </c>
    </row>
    <row r="743" ht="14.25" customHeight="1">
      <c r="A743" t="str">
        <f>IF(PNL!A743="","",PNL!A743)</f>
        <v>MBWAY_PAR</v>
      </c>
      <c r="B743" t="str">
        <f>IF(PNL!B743="","",PNL!B743)</f>
        <v>613</v>
      </c>
      <c r="C743" t="str">
        <f>IF(PNL!C743="","",PNL!C743)</f>
        <v>2027</v>
      </c>
      <c r="D743" t="str">
        <f>IF(PNL!D743="","",PNL!D743)</f>
        <v>V02</v>
      </c>
      <c r="E743">
        <f t="shared" si="0"/>
        <v>1</v>
      </c>
      <c r="F743">
        <f>IF($A743="","",IF($E743=1,_xlfn.SUMIFS(Compta!$F$1:$F$1448,Compta!$A$1:$A$1448,$A743,Compta!$B$1:$B$1448,$B743,Compta!$C$1:$C$1448,"2026"),0))</f>
        <v>373801</v>
      </c>
      <c r="G743" t="s">
        <v>274</v>
      </c>
      <c r="H743" t="s">
        <v>274</v>
      </c>
      <c r="I743" t="s">
        <v>274</v>
      </c>
      <c r="J743" t="s">
        <v>274</v>
      </c>
      <c r="K743" t="s">
        <v>274</v>
      </c>
      <c r="L743" t="s">
        <v>274</v>
      </c>
      <c r="M743" t="s">
        <v>274</v>
      </c>
      <c r="N743" t="e">
        <f t="shared" si="1"/>
        <v>#VALUE!</v>
      </c>
      <c r="O743" t="e">
        <f t="shared" si="2"/>
        <v>#VALUE!</v>
      </c>
      <c r="P743" t="e">
        <f>IF($A743="","",IF($E743=1,$F743*$O743,PNL!G743))</f>
        <v>#VALUE!</v>
      </c>
      <c r="T743" t="e">
        <f t="shared" si="3"/>
        <v>#VALUE!</v>
      </c>
    </row>
    <row r="744" ht="14.25" customHeight="1">
      <c r="A744" t="str">
        <f>IF(PNL!A744="","",PNL!A744)</f>
        <v>MBWAY_PAR</v>
      </c>
      <c r="B744" t="str">
        <f>IF(PNL!B744="","",PNL!B744)</f>
        <v>613</v>
      </c>
      <c r="C744" t="str">
        <f>IF(PNL!C744="","",PNL!C744)</f>
        <v>2027</v>
      </c>
      <c r="D744" t="str">
        <f>IF(PNL!D744="","",PNL!D744)</f>
        <v>V03</v>
      </c>
      <c r="E744">
        <f t="shared" si="0"/>
        <v>1</v>
      </c>
      <c r="F744">
        <f>IF($A744="","",IF($E744=1,_xlfn.SUMIFS(Compta!$F$1:$F$1448,Compta!$A$1:$A$1448,$A744,Compta!$B$1:$B$1448,$B744,Compta!$C$1:$C$1448,"2026"),0))</f>
        <v>373801</v>
      </c>
      <c r="G744" t="s">
        <v>274</v>
      </c>
      <c r="H744" t="s">
        <v>274</v>
      </c>
      <c r="I744" t="s">
        <v>274</v>
      </c>
      <c r="J744" t="s">
        <v>274</v>
      </c>
      <c r="K744" t="s">
        <v>274</v>
      </c>
      <c r="L744" t="s">
        <v>274</v>
      </c>
      <c r="M744" t="s">
        <v>274</v>
      </c>
      <c r="N744" t="e">
        <f t="shared" si="1"/>
        <v>#VALUE!</v>
      </c>
      <c r="O744" t="e">
        <f t="shared" si="2"/>
        <v>#VALUE!</v>
      </c>
      <c r="P744" t="e">
        <f>IF($A744="","",IF($E744=1,$F744*$O744,PNL!G744))</f>
        <v>#VALUE!</v>
      </c>
      <c r="T744" t="e">
        <f t="shared" si="3"/>
        <v>#VALUE!</v>
      </c>
    </row>
    <row r="745" ht="14.25" customHeight="1">
      <c r="A745" t="str">
        <f>IF(PNL!A745="","",PNL!A745)</f>
        <v>MBWAY_LYO</v>
      </c>
      <c r="B745" t="str">
        <f>IF(PNL!B745="","",PNL!B745)</f>
        <v>613</v>
      </c>
      <c r="C745" t="str">
        <f>IF(PNL!C745="","",PNL!C745)</f>
        <v>2027</v>
      </c>
      <c r="D745" t="str">
        <f>IF(PNL!D745="","",PNL!D745)</f>
        <v>V01</v>
      </c>
      <c r="E745">
        <f t="shared" si="0"/>
        <v>1</v>
      </c>
      <c r="F745">
        <f>IF($A745="","",IF($E745=1,_xlfn.SUMIFS(Compta!$F$1:$F$1448,Compta!$A$1:$A$1448,$A745,Compta!$B$1:$B$1448,$B745,Compta!$C$1:$C$1448,"2026"),0))</f>
        <v>223973</v>
      </c>
      <c r="G745" t="s">
        <v>274</v>
      </c>
      <c r="H745" t="s">
        <v>274</v>
      </c>
      <c r="I745" t="s">
        <v>274</v>
      </c>
      <c r="J745" t="s">
        <v>274</v>
      </c>
      <c r="K745" t="s">
        <v>274</v>
      </c>
      <c r="L745" t="s">
        <v>274</v>
      </c>
      <c r="M745" t="s">
        <v>274</v>
      </c>
      <c r="N745" t="e">
        <f t="shared" si="1"/>
        <v>#VALUE!</v>
      </c>
      <c r="O745" t="e">
        <f t="shared" si="2"/>
        <v>#VALUE!</v>
      </c>
      <c r="P745" t="e">
        <f>IF($A745="","",IF($E745=1,$F745*$O745,PNL!G745))</f>
        <v>#VALUE!</v>
      </c>
      <c r="T745" t="e">
        <f t="shared" si="3"/>
        <v>#VALUE!</v>
      </c>
    </row>
    <row r="746" ht="14.25" customHeight="1">
      <c r="A746" t="str">
        <f>IF(PNL!A746="","",PNL!A746)</f>
        <v>MBWAY_LYO</v>
      </c>
      <c r="B746" t="str">
        <f>IF(PNL!B746="","",PNL!B746)</f>
        <v>613</v>
      </c>
      <c r="C746" t="str">
        <f>IF(PNL!C746="","",PNL!C746)</f>
        <v>2027</v>
      </c>
      <c r="D746" t="str">
        <f>IF(PNL!D746="","",PNL!D746)</f>
        <v>V02</v>
      </c>
      <c r="E746">
        <f t="shared" si="0"/>
        <v>1</v>
      </c>
      <c r="F746">
        <f>IF($A746="","",IF($E746=1,_xlfn.SUMIFS(Compta!$F$1:$F$1448,Compta!$A$1:$A$1448,$A746,Compta!$B$1:$B$1448,$B746,Compta!$C$1:$C$1448,"2026"),0))</f>
        <v>223973</v>
      </c>
      <c r="G746" t="s">
        <v>274</v>
      </c>
      <c r="H746" t="s">
        <v>274</v>
      </c>
      <c r="I746" t="s">
        <v>274</v>
      </c>
      <c r="J746" t="s">
        <v>274</v>
      </c>
      <c r="K746" t="s">
        <v>274</v>
      </c>
      <c r="L746" t="s">
        <v>274</v>
      </c>
      <c r="M746" t="s">
        <v>274</v>
      </c>
      <c r="N746" t="e">
        <f t="shared" si="1"/>
        <v>#VALUE!</v>
      </c>
      <c r="O746" t="e">
        <f t="shared" si="2"/>
        <v>#VALUE!</v>
      </c>
      <c r="P746" t="e">
        <f>IF($A746="","",IF($E746=1,$F746*$O746,PNL!G746))</f>
        <v>#VALUE!</v>
      </c>
      <c r="T746" t="e">
        <f t="shared" si="3"/>
        <v>#VALUE!</v>
      </c>
    </row>
    <row r="747" ht="14.25" customHeight="1">
      <c r="A747" t="str">
        <f>IF(PNL!A747="","",PNL!A747)</f>
        <v>MBWAY_LYO</v>
      </c>
      <c r="B747" t="str">
        <f>IF(PNL!B747="","",PNL!B747)</f>
        <v>613</v>
      </c>
      <c r="C747" t="str">
        <f>IF(PNL!C747="","",PNL!C747)</f>
        <v>2027</v>
      </c>
      <c r="D747" t="str">
        <f>IF(PNL!D747="","",PNL!D747)</f>
        <v>V03</v>
      </c>
      <c r="E747">
        <f t="shared" si="0"/>
        <v>1</v>
      </c>
      <c r="F747">
        <f>IF($A747="","",IF($E747=1,_xlfn.SUMIFS(Compta!$F$1:$F$1448,Compta!$A$1:$A$1448,$A747,Compta!$B$1:$B$1448,$B747,Compta!$C$1:$C$1448,"2026"),0))</f>
        <v>223973</v>
      </c>
      <c r="G747" t="s">
        <v>274</v>
      </c>
      <c r="H747" t="s">
        <v>274</v>
      </c>
      <c r="I747" t="s">
        <v>274</v>
      </c>
      <c r="J747" t="s">
        <v>274</v>
      </c>
      <c r="K747" t="s">
        <v>274</v>
      </c>
      <c r="L747" t="s">
        <v>274</v>
      </c>
      <c r="M747" t="s">
        <v>274</v>
      </c>
      <c r="N747" t="e">
        <f t="shared" si="1"/>
        <v>#VALUE!</v>
      </c>
      <c r="O747" t="e">
        <f t="shared" si="2"/>
        <v>#VALUE!</v>
      </c>
      <c r="P747" t="e">
        <f>IF($A747="","",IF($E747=1,$F747*$O747,PNL!G747))</f>
        <v>#VALUE!</v>
      </c>
      <c r="T747" t="e">
        <f t="shared" si="3"/>
        <v>#VALUE!</v>
      </c>
    </row>
    <row r="748" ht="14.25" customHeight="1">
      <c r="A748" t="str">
        <f>IF(PNL!A748="","",PNL!A748)</f>
        <v>MBWAY_NAN</v>
      </c>
      <c r="B748" t="str">
        <f>IF(PNL!B748="","",PNL!B748)</f>
        <v>613</v>
      </c>
      <c r="C748" t="str">
        <f>IF(PNL!C748="","",PNL!C748)</f>
        <v>2027</v>
      </c>
      <c r="D748" t="str">
        <f>IF(PNL!D748="","",PNL!D748)</f>
        <v>V01</v>
      </c>
      <c r="E748">
        <f t="shared" si="0"/>
        <v>1</v>
      </c>
      <c r="F748">
        <f>IF($A748="","",IF($E748=1,_xlfn.SUMIFS(Compta!$F$1:$F$1448,Compta!$A$1:$A$1448,$A748,Compta!$B$1:$B$1448,$B748,Compta!$C$1:$C$1448,"2026"),0))</f>
        <v>184593</v>
      </c>
      <c r="G748" t="s">
        <v>274</v>
      </c>
      <c r="H748" t="s">
        <v>274</v>
      </c>
      <c r="I748" t="s">
        <v>274</v>
      </c>
      <c r="J748" t="s">
        <v>274</v>
      </c>
      <c r="K748" t="s">
        <v>274</v>
      </c>
      <c r="L748" t="s">
        <v>274</v>
      </c>
      <c r="M748" t="s">
        <v>274</v>
      </c>
      <c r="N748" t="e">
        <f t="shared" si="1"/>
        <v>#VALUE!</v>
      </c>
      <c r="O748" t="e">
        <f t="shared" si="2"/>
        <v>#VALUE!</v>
      </c>
      <c r="P748" t="e">
        <f>IF($A748="","",IF($E748=1,$F748*$O748,PNL!G748))</f>
        <v>#VALUE!</v>
      </c>
      <c r="T748" t="e">
        <f t="shared" si="3"/>
        <v>#VALUE!</v>
      </c>
    </row>
    <row r="749" ht="14.25" customHeight="1">
      <c r="A749" t="str">
        <f>IF(PNL!A749="","",PNL!A749)</f>
        <v>MBWAY_NAN</v>
      </c>
      <c r="B749" t="str">
        <f>IF(PNL!B749="","",PNL!B749)</f>
        <v>613</v>
      </c>
      <c r="C749" t="str">
        <f>IF(PNL!C749="","",PNL!C749)</f>
        <v>2027</v>
      </c>
      <c r="D749" t="str">
        <f>IF(PNL!D749="","",PNL!D749)</f>
        <v>V02</v>
      </c>
      <c r="E749">
        <f t="shared" si="0"/>
        <v>1</v>
      </c>
      <c r="F749">
        <f>IF($A749="","",IF($E749=1,_xlfn.SUMIFS(Compta!$F$1:$F$1448,Compta!$A$1:$A$1448,$A749,Compta!$B$1:$B$1448,$B749,Compta!$C$1:$C$1448,"2026"),0))</f>
        <v>184593</v>
      </c>
      <c r="G749" t="s">
        <v>274</v>
      </c>
      <c r="H749" t="s">
        <v>274</v>
      </c>
      <c r="I749" t="s">
        <v>274</v>
      </c>
      <c r="J749" t="s">
        <v>274</v>
      </c>
      <c r="K749" t="s">
        <v>274</v>
      </c>
      <c r="L749" t="s">
        <v>274</v>
      </c>
      <c r="M749" t="s">
        <v>274</v>
      </c>
      <c r="N749" t="e">
        <f t="shared" si="1"/>
        <v>#VALUE!</v>
      </c>
      <c r="O749" t="e">
        <f t="shared" si="2"/>
        <v>#VALUE!</v>
      </c>
      <c r="P749" t="e">
        <f>IF($A749="","",IF($E749=1,$F749*$O749,PNL!G749))</f>
        <v>#VALUE!</v>
      </c>
      <c r="T749" t="e">
        <f t="shared" si="3"/>
        <v>#VALUE!</v>
      </c>
    </row>
    <row r="750" ht="14.25" customHeight="1">
      <c r="A750" t="str">
        <f>IF(PNL!A750="","",PNL!A750)</f>
        <v>MBWAY_NAN</v>
      </c>
      <c r="B750" t="str">
        <f>IF(PNL!B750="","",PNL!B750)</f>
        <v>613</v>
      </c>
      <c r="C750" t="str">
        <f>IF(PNL!C750="","",PNL!C750)</f>
        <v>2027</v>
      </c>
      <c r="D750" t="str">
        <f>IF(PNL!D750="","",PNL!D750)</f>
        <v>V03</v>
      </c>
      <c r="E750">
        <f t="shared" si="0"/>
        <v>1</v>
      </c>
      <c r="F750">
        <f>IF($A750="","",IF($E750=1,_xlfn.SUMIFS(Compta!$F$1:$F$1448,Compta!$A$1:$A$1448,$A750,Compta!$B$1:$B$1448,$B750,Compta!$C$1:$C$1448,"2026"),0))</f>
        <v>184593</v>
      </c>
      <c r="G750" t="s">
        <v>274</v>
      </c>
      <c r="H750" t="s">
        <v>274</v>
      </c>
      <c r="I750" t="s">
        <v>274</v>
      </c>
      <c r="J750" t="s">
        <v>274</v>
      </c>
      <c r="K750" t="s">
        <v>274</v>
      </c>
      <c r="L750" t="s">
        <v>274</v>
      </c>
      <c r="M750" t="s">
        <v>274</v>
      </c>
      <c r="N750" t="e">
        <f t="shared" si="1"/>
        <v>#VALUE!</v>
      </c>
      <c r="O750" t="e">
        <f t="shared" si="2"/>
        <v>#VALUE!</v>
      </c>
      <c r="P750" t="e">
        <f>IF($A750="","",IF($E750=1,$F750*$O750,PNL!G750))</f>
        <v>#VALUE!</v>
      </c>
      <c r="T750" t="e">
        <f t="shared" si="3"/>
        <v>#VALUE!</v>
      </c>
    </row>
    <row r="751" ht="14.25" customHeight="1">
      <c r="A751" t="str">
        <f>IF(PNL!A751="","",PNL!A751)</f>
        <v>MBWAY_BOR</v>
      </c>
      <c r="B751" t="str">
        <f>IF(PNL!B751="","",PNL!B751)</f>
        <v>613</v>
      </c>
      <c r="C751" t="str">
        <f>IF(PNL!C751="","",PNL!C751)</f>
        <v>2027</v>
      </c>
      <c r="D751" t="str">
        <f>IF(PNL!D751="","",PNL!D751)</f>
        <v>V01</v>
      </c>
      <c r="E751">
        <f t="shared" si="0"/>
        <v>1</v>
      </c>
      <c r="F751">
        <f>IF($A751="","",IF($E751=1,_xlfn.SUMIFS(Compta!$F$1:$F$1448,Compta!$A$1:$A$1448,$A751,Compta!$B$1:$B$1448,$B751,Compta!$C$1:$C$1448,"2026"),0))</f>
        <v>161519</v>
      </c>
      <c r="G751" t="s">
        <v>274</v>
      </c>
      <c r="H751" t="s">
        <v>274</v>
      </c>
      <c r="I751" t="s">
        <v>274</v>
      </c>
      <c r="J751" t="s">
        <v>274</v>
      </c>
      <c r="K751" t="s">
        <v>274</v>
      </c>
      <c r="L751" t="s">
        <v>274</v>
      </c>
      <c r="M751" t="s">
        <v>274</v>
      </c>
      <c r="N751" t="e">
        <f t="shared" si="1"/>
        <v>#VALUE!</v>
      </c>
      <c r="O751" t="e">
        <f t="shared" si="2"/>
        <v>#VALUE!</v>
      </c>
      <c r="P751" t="e">
        <f>IF($A751="","",IF($E751=1,$F751*$O751,PNL!G751))</f>
        <v>#VALUE!</v>
      </c>
      <c r="T751" t="e">
        <f t="shared" si="3"/>
        <v>#VALUE!</v>
      </c>
    </row>
    <row r="752" ht="14.25" customHeight="1">
      <c r="A752" t="str">
        <f>IF(PNL!A752="","",PNL!A752)</f>
        <v>MBWAY_BOR</v>
      </c>
      <c r="B752" t="str">
        <f>IF(PNL!B752="","",PNL!B752)</f>
        <v>613</v>
      </c>
      <c r="C752" t="str">
        <f>IF(PNL!C752="","",PNL!C752)</f>
        <v>2027</v>
      </c>
      <c r="D752" t="str">
        <f>IF(PNL!D752="","",PNL!D752)</f>
        <v>V02</v>
      </c>
      <c r="E752">
        <f t="shared" si="0"/>
        <v>1</v>
      </c>
      <c r="F752">
        <f>IF($A752="","",IF($E752=1,_xlfn.SUMIFS(Compta!$F$1:$F$1448,Compta!$A$1:$A$1448,$A752,Compta!$B$1:$B$1448,$B752,Compta!$C$1:$C$1448,"2026"),0))</f>
        <v>161519</v>
      </c>
      <c r="G752" t="s">
        <v>274</v>
      </c>
      <c r="H752" t="s">
        <v>274</v>
      </c>
      <c r="I752" t="s">
        <v>274</v>
      </c>
      <c r="J752" t="s">
        <v>274</v>
      </c>
      <c r="K752" t="s">
        <v>274</v>
      </c>
      <c r="L752" t="s">
        <v>274</v>
      </c>
      <c r="M752" t="s">
        <v>274</v>
      </c>
      <c r="N752" t="e">
        <f t="shared" si="1"/>
        <v>#VALUE!</v>
      </c>
      <c r="O752" t="e">
        <f t="shared" si="2"/>
        <v>#VALUE!</v>
      </c>
      <c r="P752" t="e">
        <f>IF($A752="","",IF($E752=1,$F752*$O752,PNL!G752))</f>
        <v>#VALUE!</v>
      </c>
      <c r="T752" t="e">
        <f t="shared" si="3"/>
        <v>#VALUE!</v>
      </c>
    </row>
    <row r="753" ht="14.25" customHeight="1">
      <c r="A753" t="str">
        <f>IF(PNL!A753="","",PNL!A753)</f>
        <v>MBWAY_BOR</v>
      </c>
      <c r="B753" t="str">
        <f>IF(PNL!B753="","",PNL!B753)</f>
        <v>613</v>
      </c>
      <c r="C753" t="str">
        <f>IF(PNL!C753="","",PNL!C753)</f>
        <v>2027</v>
      </c>
      <c r="D753" t="str">
        <f>IF(PNL!D753="","",PNL!D753)</f>
        <v>V03</v>
      </c>
      <c r="E753">
        <f t="shared" si="0"/>
        <v>1</v>
      </c>
      <c r="F753">
        <f>IF($A753="","",IF($E753=1,_xlfn.SUMIFS(Compta!$F$1:$F$1448,Compta!$A$1:$A$1448,$A753,Compta!$B$1:$B$1448,$B753,Compta!$C$1:$C$1448,"2026"),0))</f>
        <v>161519</v>
      </c>
      <c r="G753" t="s">
        <v>274</v>
      </c>
      <c r="H753" t="s">
        <v>274</v>
      </c>
      <c r="I753" t="s">
        <v>274</v>
      </c>
      <c r="J753" t="s">
        <v>274</v>
      </c>
      <c r="K753" t="s">
        <v>274</v>
      </c>
      <c r="L753" t="s">
        <v>274</v>
      </c>
      <c r="M753" t="s">
        <v>274</v>
      </c>
      <c r="N753" t="e">
        <f t="shared" si="1"/>
        <v>#VALUE!</v>
      </c>
      <c r="O753" t="e">
        <f t="shared" si="2"/>
        <v>#VALUE!</v>
      </c>
      <c r="P753" t="e">
        <f>IF($A753="","",IF($E753=1,$F753*$O753,PNL!G753))</f>
        <v>#VALUE!</v>
      </c>
      <c r="T753" t="e">
        <f t="shared" si="3"/>
        <v>#VALUE!</v>
      </c>
    </row>
    <row r="754" ht="14.25" customHeight="1">
      <c r="A754" t="str">
        <f>IF(PNL!A754="","",PNL!A754)</f>
        <v>ISCOM_PAR</v>
      </c>
      <c r="B754" t="str">
        <f>IF(PNL!B754="","",PNL!B754)</f>
        <v>613</v>
      </c>
      <c r="C754" t="str">
        <f>IF(PNL!C754="","",PNL!C754)</f>
        <v>2027</v>
      </c>
      <c r="D754" t="str">
        <f>IF(PNL!D754="","",PNL!D754)</f>
        <v>V01</v>
      </c>
      <c r="E754">
        <f t="shared" si="0"/>
        <v>1</v>
      </c>
      <c r="F754">
        <f>IF($A754="","",IF($E754=1,_xlfn.SUMIFS(Compta!$F$1:$F$1448,Compta!$A$1:$A$1448,$A754,Compta!$B$1:$B$1448,$B754,Compta!$C$1:$C$1448,"2026"),0))</f>
        <v>373801</v>
      </c>
      <c r="G754" t="s">
        <v>274</v>
      </c>
      <c r="H754" t="s">
        <v>274</v>
      </c>
      <c r="I754" t="s">
        <v>274</v>
      </c>
      <c r="J754" t="s">
        <v>274</v>
      </c>
      <c r="K754" t="s">
        <v>274</v>
      </c>
      <c r="L754" t="s">
        <v>274</v>
      </c>
      <c r="M754" t="s">
        <v>274</v>
      </c>
      <c r="N754" t="e">
        <f t="shared" si="1"/>
        <v>#VALUE!</v>
      </c>
      <c r="O754" t="e">
        <f t="shared" si="2"/>
        <v>#VALUE!</v>
      </c>
      <c r="P754" t="e">
        <f>IF($A754="","",IF($E754=1,$F754*$O754,PNL!G754))</f>
        <v>#VALUE!</v>
      </c>
      <c r="T754" t="e">
        <f t="shared" si="3"/>
        <v>#VALUE!</v>
      </c>
    </row>
    <row r="755" ht="14.25" customHeight="1">
      <c r="A755" t="str">
        <f>IF(PNL!A755="","",PNL!A755)</f>
        <v>ISCOM_PAR</v>
      </c>
      <c r="B755" t="str">
        <f>IF(PNL!B755="","",PNL!B755)</f>
        <v>613</v>
      </c>
      <c r="C755" t="str">
        <f>IF(PNL!C755="","",PNL!C755)</f>
        <v>2027</v>
      </c>
      <c r="D755" t="str">
        <f>IF(PNL!D755="","",PNL!D755)</f>
        <v>V02</v>
      </c>
      <c r="E755">
        <f t="shared" si="0"/>
        <v>1</v>
      </c>
      <c r="F755">
        <f>IF($A755="","",IF($E755=1,_xlfn.SUMIFS(Compta!$F$1:$F$1448,Compta!$A$1:$A$1448,$A755,Compta!$B$1:$B$1448,$B755,Compta!$C$1:$C$1448,"2026"),0))</f>
        <v>373801</v>
      </c>
      <c r="G755" t="s">
        <v>274</v>
      </c>
      <c r="H755" t="s">
        <v>274</v>
      </c>
      <c r="I755" t="s">
        <v>274</v>
      </c>
      <c r="J755" t="s">
        <v>274</v>
      </c>
      <c r="K755" t="s">
        <v>274</v>
      </c>
      <c r="L755" t="s">
        <v>274</v>
      </c>
      <c r="M755" t="s">
        <v>274</v>
      </c>
      <c r="N755" t="e">
        <f t="shared" si="1"/>
        <v>#VALUE!</v>
      </c>
      <c r="O755" t="e">
        <f t="shared" si="2"/>
        <v>#VALUE!</v>
      </c>
      <c r="P755" t="e">
        <f>IF($A755="","",IF($E755=1,$F755*$O755,PNL!G755))</f>
        <v>#VALUE!</v>
      </c>
      <c r="T755" t="e">
        <f t="shared" si="3"/>
        <v>#VALUE!</v>
      </c>
    </row>
    <row r="756" ht="14.25" customHeight="1">
      <c r="A756" t="str">
        <f>IF(PNL!A756="","",PNL!A756)</f>
        <v>ISCOM_PAR</v>
      </c>
      <c r="B756" t="str">
        <f>IF(PNL!B756="","",PNL!B756)</f>
        <v>613</v>
      </c>
      <c r="C756" t="str">
        <f>IF(PNL!C756="","",PNL!C756)</f>
        <v>2027</v>
      </c>
      <c r="D756" t="str">
        <f>IF(PNL!D756="","",PNL!D756)</f>
        <v>V03</v>
      </c>
      <c r="E756">
        <f t="shared" si="0"/>
        <v>1</v>
      </c>
      <c r="F756">
        <f>IF($A756="","",IF($E756=1,_xlfn.SUMIFS(Compta!$F$1:$F$1448,Compta!$A$1:$A$1448,$A756,Compta!$B$1:$B$1448,$B756,Compta!$C$1:$C$1448,"2026"),0))</f>
        <v>373801</v>
      </c>
      <c r="G756" t="s">
        <v>274</v>
      </c>
      <c r="H756" t="s">
        <v>274</v>
      </c>
      <c r="I756" t="s">
        <v>274</v>
      </c>
      <c r="J756" t="s">
        <v>274</v>
      </c>
      <c r="K756" t="s">
        <v>274</v>
      </c>
      <c r="L756" t="s">
        <v>274</v>
      </c>
      <c r="M756" t="s">
        <v>274</v>
      </c>
      <c r="N756" t="e">
        <f t="shared" si="1"/>
        <v>#VALUE!</v>
      </c>
      <c r="O756" t="e">
        <f t="shared" si="2"/>
        <v>#VALUE!</v>
      </c>
      <c r="P756" t="e">
        <f>IF($A756="","",IF($E756=1,$F756*$O756,PNL!G756))</f>
        <v>#VALUE!</v>
      </c>
      <c r="T756" t="e">
        <f t="shared" si="3"/>
        <v>#VALUE!</v>
      </c>
    </row>
    <row r="757" ht="14.25" customHeight="1">
      <c r="A757" t="str">
        <f>IF(PNL!A757="","",PNL!A757)</f>
        <v>ISCOM_LIL</v>
      </c>
      <c r="B757" t="str">
        <f>IF(PNL!B757="","",PNL!B757)</f>
        <v>613</v>
      </c>
      <c r="C757" t="str">
        <f>IF(PNL!C757="","",PNL!C757)</f>
        <v>2027</v>
      </c>
      <c r="D757" t="str">
        <f>IF(PNL!D757="","",PNL!D757)</f>
        <v>V01</v>
      </c>
      <c r="E757">
        <f t="shared" si="0"/>
        <v>1</v>
      </c>
      <c r="F757">
        <f>IF($A757="","",IF($E757=1,_xlfn.SUMIFS(Compta!$F$1:$F$1448,Compta!$A$1:$A$1448,$A757,Compta!$B$1:$B$1448,$B757,Compta!$C$1:$C$1448,"2026"),0))</f>
        <v>141521</v>
      </c>
      <c r="G757" t="s">
        <v>274</v>
      </c>
      <c r="H757" t="s">
        <v>274</v>
      </c>
      <c r="I757" t="s">
        <v>274</v>
      </c>
      <c r="J757" t="s">
        <v>274</v>
      </c>
      <c r="K757" t="s">
        <v>274</v>
      </c>
      <c r="L757" t="s">
        <v>274</v>
      </c>
      <c r="M757" t="s">
        <v>274</v>
      </c>
      <c r="N757" t="e">
        <f t="shared" si="1"/>
        <v>#VALUE!</v>
      </c>
      <c r="O757" t="e">
        <f t="shared" si="2"/>
        <v>#VALUE!</v>
      </c>
      <c r="P757" t="e">
        <f>IF($A757="","",IF($E757=1,$F757*$O757,PNL!G757))</f>
        <v>#VALUE!</v>
      </c>
      <c r="T757" t="e">
        <f t="shared" si="3"/>
        <v>#VALUE!</v>
      </c>
    </row>
    <row r="758" ht="14.25" customHeight="1">
      <c r="A758" t="str">
        <f>IF(PNL!A758="","",PNL!A758)</f>
        <v>ISCOM_LIL</v>
      </c>
      <c r="B758" t="str">
        <f>IF(PNL!B758="","",PNL!B758)</f>
        <v>613</v>
      </c>
      <c r="C758" t="str">
        <f>IF(PNL!C758="","",PNL!C758)</f>
        <v>2027</v>
      </c>
      <c r="D758" t="str">
        <f>IF(PNL!D758="","",PNL!D758)</f>
        <v>V02</v>
      </c>
      <c r="E758">
        <f t="shared" si="0"/>
        <v>1</v>
      </c>
      <c r="F758">
        <f>IF($A758="","",IF($E758=1,_xlfn.SUMIFS(Compta!$F$1:$F$1448,Compta!$A$1:$A$1448,$A758,Compta!$B$1:$B$1448,$B758,Compta!$C$1:$C$1448,"2026"),0))</f>
        <v>141521</v>
      </c>
      <c r="G758" t="s">
        <v>274</v>
      </c>
      <c r="H758" t="s">
        <v>274</v>
      </c>
      <c r="I758" t="s">
        <v>274</v>
      </c>
      <c r="J758" t="s">
        <v>274</v>
      </c>
      <c r="K758" t="s">
        <v>274</v>
      </c>
      <c r="L758" t="s">
        <v>274</v>
      </c>
      <c r="M758" t="s">
        <v>274</v>
      </c>
      <c r="N758" t="e">
        <f t="shared" si="1"/>
        <v>#VALUE!</v>
      </c>
      <c r="O758" t="e">
        <f t="shared" si="2"/>
        <v>#VALUE!</v>
      </c>
      <c r="P758" t="e">
        <f>IF($A758="","",IF($E758=1,$F758*$O758,PNL!G758))</f>
        <v>#VALUE!</v>
      </c>
      <c r="T758" t="e">
        <f t="shared" si="3"/>
        <v>#VALUE!</v>
      </c>
    </row>
    <row r="759" ht="14.25" customHeight="1">
      <c r="A759" t="str">
        <f>IF(PNL!A759="","",PNL!A759)</f>
        <v>ISCOM_LIL</v>
      </c>
      <c r="B759" t="str">
        <f>IF(PNL!B759="","",PNL!B759)</f>
        <v>613</v>
      </c>
      <c r="C759" t="str">
        <f>IF(PNL!C759="","",PNL!C759)</f>
        <v>2027</v>
      </c>
      <c r="D759" t="str">
        <f>IF(PNL!D759="","",PNL!D759)</f>
        <v>V03</v>
      </c>
      <c r="E759">
        <f t="shared" si="0"/>
        <v>1</v>
      </c>
      <c r="F759">
        <f>IF($A759="","",IF($E759=1,_xlfn.SUMIFS(Compta!$F$1:$F$1448,Compta!$A$1:$A$1448,$A759,Compta!$B$1:$B$1448,$B759,Compta!$C$1:$C$1448,"2026"),0))</f>
        <v>141521</v>
      </c>
      <c r="G759" t="s">
        <v>274</v>
      </c>
      <c r="H759" t="s">
        <v>274</v>
      </c>
      <c r="I759" t="s">
        <v>274</v>
      </c>
      <c r="J759" t="s">
        <v>274</v>
      </c>
      <c r="K759" t="s">
        <v>274</v>
      </c>
      <c r="L759" t="s">
        <v>274</v>
      </c>
      <c r="M759" t="s">
        <v>274</v>
      </c>
      <c r="N759" t="e">
        <f t="shared" si="1"/>
        <v>#VALUE!</v>
      </c>
      <c r="O759" t="e">
        <f t="shared" si="2"/>
        <v>#VALUE!</v>
      </c>
      <c r="P759" t="e">
        <f>IF($A759="","",IF($E759=1,$F759*$O759,PNL!G759))</f>
        <v>#VALUE!</v>
      </c>
      <c r="T759" t="e">
        <f t="shared" si="3"/>
        <v>#VALUE!</v>
      </c>
    </row>
    <row r="760" ht="14.25" customHeight="1">
      <c r="A760" t="str">
        <f>IF(PNL!A760="","",PNL!A760)</f>
        <v>ISCOM_TLS</v>
      </c>
      <c r="B760" t="str">
        <f>IF(PNL!B760="","",PNL!B760)</f>
        <v>613</v>
      </c>
      <c r="C760" t="str">
        <f>IF(PNL!C760="","",PNL!C760)</f>
        <v>2027</v>
      </c>
      <c r="D760" t="str">
        <f>IF(PNL!D760="","",PNL!D760)</f>
        <v>V01</v>
      </c>
      <c r="E760">
        <f t="shared" si="0"/>
        <v>1</v>
      </c>
      <c r="F760">
        <f>IF($A760="","",IF($E760=1,_xlfn.SUMIFS(Compta!$F$1:$F$1448,Compta!$A$1:$A$1448,$A760,Compta!$B$1:$B$1448,$B760,Compta!$C$1:$C$1448,"2026"),0))</f>
        <v>138445</v>
      </c>
      <c r="G760" t="s">
        <v>274</v>
      </c>
      <c r="H760" t="s">
        <v>274</v>
      </c>
      <c r="I760" t="s">
        <v>274</v>
      </c>
      <c r="J760" t="s">
        <v>274</v>
      </c>
      <c r="K760" t="s">
        <v>274</v>
      </c>
      <c r="L760" t="s">
        <v>274</v>
      </c>
      <c r="M760" t="s">
        <v>274</v>
      </c>
      <c r="N760" t="e">
        <f t="shared" si="1"/>
        <v>#VALUE!</v>
      </c>
      <c r="O760" t="e">
        <f t="shared" si="2"/>
        <v>#VALUE!</v>
      </c>
      <c r="P760" t="e">
        <f>IF($A760="","",IF($E760=1,$F760*$O760,PNL!G760))</f>
        <v>#VALUE!</v>
      </c>
      <c r="T760" t="e">
        <f t="shared" si="3"/>
        <v>#VALUE!</v>
      </c>
    </row>
    <row r="761" ht="14.25" customHeight="1">
      <c r="A761" t="str">
        <f>IF(PNL!A761="","",PNL!A761)</f>
        <v>ISCOM_TLS</v>
      </c>
      <c r="B761" t="str">
        <f>IF(PNL!B761="","",PNL!B761)</f>
        <v>613</v>
      </c>
      <c r="C761" t="str">
        <f>IF(PNL!C761="","",PNL!C761)</f>
        <v>2027</v>
      </c>
      <c r="D761" t="str">
        <f>IF(PNL!D761="","",PNL!D761)</f>
        <v>V02</v>
      </c>
      <c r="E761">
        <f t="shared" si="0"/>
        <v>1</v>
      </c>
      <c r="F761">
        <f>IF($A761="","",IF($E761=1,_xlfn.SUMIFS(Compta!$F$1:$F$1448,Compta!$A$1:$A$1448,$A761,Compta!$B$1:$B$1448,$B761,Compta!$C$1:$C$1448,"2026"),0))</f>
        <v>138445</v>
      </c>
      <c r="G761" t="s">
        <v>274</v>
      </c>
      <c r="H761" t="s">
        <v>274</v>
      </c>
      <c r="I761" t="s">
        <v>274</v>
      </c>
      <c r="J761" t="s">
        <v>274</v>
      </c>
      <c r="K761" t="s">
        <v>274</v>
      </c>
      <c r="L761" t="s">
        <v>274</v>
      </c>
      <c r="M761" t="s">
        <v>274</v>
      </c>
      <c r="N761" t="e">
        <f t="shared" si="1"/>
        <v>#VALUE!</v>
      </c>
      <c r="O761" t="e">
        <f t="shared" si="2"/>
        <v>#VALUE!</v>
      </c>
      <c r="P761" t="e">
        <f>IF($A761="","",IF($E761=1,$F761*$O761,PNL!G761))</f>
        <v>#VALUE!</v>
      </c>
      <c r="T761" t="e">
        <f t="shared" si="3"/>
        <v>#VALUE!</v>
      </c>
    </row>
    <row r="762" ht="14.25" customHeight="1">
      <c r="A762" t="str">
        <f>IF(PNL!A762="","",PNL!A762)</f>
        <v>ISCOM_TLS</v>
      </c>
      <c r="B762" t="str">
        <f>IF(PNL!B762="","",PNL!B762)</f>
        <v>613</v>
      </c>
      <c r="C762" t="str">
        <f>IF(PNL!C762="","",PNL!C762)</f>
        <v>2027</v>
      </c>
      <c r="D762" t="str">
        <f>IF(PNL!D762="","",PNL!D762)</f>
        <v>V03</v>
      </c>
      <c r="E762">
        <f t="shared" si="0"/>
        <v>1</v>
      </c>
      <c r="F762">
        <f>IF($A762="","",IF($E762=1,_xlfn.SUMIFS(Compta!$F$1:$F$1448,Compta!$A$1:$A$1448,$A762,Compta!$B$1:$B$1448,$B762,Compta!$C$1:$C$1448,"2026"),0))</f>
        <v>138445</v>
      </c>
      <c r="G762" t="s">
        <v>274</v>
      </c>
      <c r="H762" t="s">
        <v>274</v>
      </c>
      <c r="I762" t="s">
        <v>274</v>
      </c>
      <c r="J762" t="s">
        <v>274</v>
      </c>
      <c r="K762" t="s">
        <v>274</v>
      </c>
      <c r="L762" t="s">
        <v>274</v>
      </c>
      <c r="M762" t="s">
        <v>274</v>
      </c>
      <c r="N762" t="e">
        <f t="shared" si="1"/>
        <v>#VALUE!</v>
      </c>
      <c r="O762" t="e">
        <f t="shared" si="2"/>
        <v>#VALUE!</v>
      </c>
      <c r="P762" t="e">
        <f>IF($A762="","",IF($E762=1,$F762*$O762,PNL!G762))</f>
        <v>#VALUE!</v>
      </c>
      <c r="T762" t="e">
        <f t="shared" si="3"/>
        <v>#VALUE!</v>
      </c>
    </row>
    <row r="763" ht="14.25" customHeight="1">
      <c r="A763" t="str">
        <f>IF(PNL!A763="","",PNL!A763)</f>
        <v>IPAC_NAN</v>
      </c>
      <c r="B763" t="str">
        <f>IF(PNL!B763="","",PNL!B763)</f>
        <v>613</v>
      </c>
      <c r="C763" t="str">
        <f>IF(PNL!C763="","",PNL!C763)</f>
        <v>2027</v>
      </c>
      <c r="D763" t="str">
        <f>IF(PNL!D763="","",PNL!D763)</f>
        <v>V01</v>
      </c>
      <c r="E763">
        <f t="shared" si="0"/>
        <v>1</v>
      </c>
      <c r="F763">
        <f>IF($A763="","",IF($E763=1,_xlfn.SUMIFS(Compta!$F$1:$F$1448,Compta!$A$1:$A$1448,$A763,Compta!$B$1:$B$1448,$B763,Compta!$C$1:$C$1448,"2026"),0))</f>
        <v>92297</v>
      </c>
      <c r="G763" t="s">
        <v>274</v>
      </c>
      <c r="H763" t="s">
        <v>274</v>
      </c>
      <c r="I763" t="s">
        <v>274</v>
      </c>
      <c r="J763" t="s">
        <v>274</v>
      </c>
      <c r="K763" t="s">
        <v>274</v>
      </c>
      <c r="L763" t="s">
        <v>274</v>
      </c>
      <c r="M763" t="s">
        <v>274</v>
      </c>
      <c r="N763" t="e">
        <f t="shared" si="1"/>
        <v>#VALUE!</v>
      </c>
      <c r="O763" t="e">
        <f t="shared" si="2"/>
        <v>#VALUE!</v>
      </c>
      <c r="P763" t="e">
        <f>IF($A763="","",IF($E763=1,$F763*$O763,PNL!G763))</f>
        <v>#VALUE!</v>
      </c>
      <c r="T763" t="e">
        <f t="shared" si="3"/>
        <v>#VALUE!</v>
      </c>
    </row>
    <row r="764" ht="14.25" customHeight="1">
      <c r="A764" t="str">
        <f>IF(PNL!A764="","",PNL!A764)</f>
        <v>IPAC_NAN</v>
      </c>
      <c r="B764" t="str">
        <f>IF(PNL!B764="","",PNL!B764)</f>
        <v>613</v>
      </c>
      <c r="C764" t="str">
        <f>IF(PNL!C764="","",PNL!C764)</f>
        <v>2027</v>
      </c>
      <c r="D764" t="str">
        <f>IF(PNL!D764="","",PNL!D764)</f>
        <v>V02</v>
      </c>
      <c r="E764">
        <f t="shared" si="0"/>
        <v>1</v>
      </c>
      <c r="F764">
        <f>IF($A764="","",IF($E764=1,_xlfn.SUMIFS(Compta!$F$1:$F$1448,Compta!$A$1:$A$1448,$A764,Compta!$B$1:$B$1448,$B764,Compta!$C$1:$C$1448,"2026"),0))</f>
        <v>92297</v>
      </c>
      <c r="G764" t="s">
        <v>274</v>
      </c>
      <c r="H764" t="s">
        <v>274</v>
      </c>
      <c r="I764" t="s">
        <v>274</v>
      </c>
      <c r="J764" t="s">
        <v>274</v>
      </c>
      <c r="K764" t="s">
        <v>274</v>
      </c>
      <c r="L764" t="s">
        <v>274</v>
      </c>
      <c r="M764" t="s">
        <v>274</v>
      </c>
      <c r="N764" t="e">
        <f t="shared" si="1"/>
        <v>#VALUE!</v>
      </c>
      <c r="O764" t="e">
        <f t="shared" si="2"/>
        <v>#VALUE!</v>
      </c>
      <c r="P764" t="e">
        <f>IF($A764="","",IF($E764=1,$F764*$O764,PNL!G764))</f>
        <v>#VALUE!</v>
      </c>
      <c r="T764" t="e">
        <f t="shared" si="3"/>
        <v>#VALUE!</v>
      </c>
    </row>
    <row r="765" ht="14.25" customHeight="1">
      <c r="A765" t="str">
        <f>IF(PNL!A765="","",PNL!A765)</f>
        <v>IPAC_NAN</v>
      </c>
      <c r="B765" t="str">
        <f>IF(PNL!B765="","",PNL!B765)</f>
        <v>613</v>
      </c>
      <c r="C765" t="str">
        <f>IF(PNL!C765="","",PNL!C765)</f>
        <v>2027</v>
      </c>
      <c r="D765" t="str">
        <f>IF(PNL!D765="","",PNL!D765)</f>
        <v>V03</v>
      </c>
      <c r="E765">
        <f t="shared" si="0"/>
        <v>1</v>
      </c>
      <c r="F765">
        <f>IF($A765="","",IF($E765=1,_xlfn.SUMIFS(Compta!$F$1:$F$1448,Compta!$A$1:$A$1448,$A765,Compta!$B$1:$B$1448,$B765,Compta!$C$1:$C$1448,"2026"),0))</f>
        <v>92297</v>
      </c>
      <c r="G765" t="s">
        <v>274</v>
      </c>
      <c r="H765" t="s">
        <v>274</v>
      </c>
      <c r="I765" t="s">
        <v>274</v>
      </c>
      <c r="J765" t="s">
        <v>274</v>
      </c>
      <c r="K765" t="s">
        <v>274</v>
      </c>
      <c r="L765" t="s">
        <v>274</v>
      </c>
      <c r="M765" t="s">
        <v>274</v>
      </c>
      <c r="N765" t="e">
        <f t="shared" si="1"/>
        <v>#VALUE!</v>
      </c>
      <c r="O765" t="e">
        <f t="shared" si="2"/>
        <v>#VALUE!</v>
      </c>
      <c r="P765" t="e">
        <f>IF($A765="","",IF($E765=1,$F765*$O765,PNL!G765))</f>
        <v>#VALUE!</v>
      </c>
      <c r="T765" t="e">
        <f t="shared" si="3"/>
        <v>#VALUE!</v>
      </c>
    </row>
    <row r="766" ht="14.25" customHeight="1">
      <c r="A766" t="str">
        <f>IF(PNL!A766="","",PNL!A766)</f>
        <v>IPAC_REN</v>
      </c>
      <c r="B766" t="str">
        <f>IF(PNL!B766="","",PNL!B766)</f>
        <v>613</v>
      </c>
      <c r="C766" t="str">
        <f>IF(PNL!C766="","",PNL!C766)</f>
        <v>2027</v>
      </c>
      <c r="D766" t="str">
        <f>IF(PNL!D766="","",PNL!D766)</f>
        <v>V01</v>
      </c>
      <c r="E766">
        <f t="shared" si="0"/>
        <v>1</v>
      </c>
      <c r="F766">
        <f>IF($A766="","",IF($E766=1,_xlfn.SUMIFS(Compta!$F$1:$F$1448,Compta!$A$1:$A$1448,$A766,Compta!$B$1:$B$1448,$B766,Compta!$C$1:$C$1448,"2026"),0))</f>
        <v>81221</v>
      </c>
      <c r="G766" t="s">
        <v>274</v>
      </c>
      <c r="H766" t="s">
        <v>274</v>
      </c>
      <c r="I766" t="s">
        <v>274</v>
      </c>
      <c r="J766" t="s">
        <v>274</v>
      </c>
      <c r="K766" t="s">
        <v>274</v>
      </c>
      <c r="L766" t="s">
        <v>274</v>
      </c>
      <c r="M766" t="s">
        <v>274</v>
      </c>
      <c r="N766" t="e">
        <f t="shared" si="1"/>
        <v>#VALUE!</v>
      </c>
      <c r="O766" t="e">
        <f t="shared" si="2"/>
        <v>#VALUE!</v>
      </c>
      <c r="P766" t="e">
        <f>IF($A766="","",IF($E766=1,$F766*$O766,PNL!G766))</f>
        <v>#VALUE!</v>
      </c>
      <c r="T766" t="e">
        <f t="shared" si="3"/>
        <v>#VALUE!</v>
      </c>
    </row>
    <row r="767" ht="14.25" customHeight="1">
      <c r="A767" t="str">
        <f>IF(PNL!A767="","",PNL!A767)</f>
        <v>IPAC_REN</v>
      </c>
      <c r="B767" t="str">
        <f>IF(PNL!B767="","",PNL!B767)</f>
        <v>613</v>
      </c>
      <c r="C767" t="str">
        <f>IF(PNL!C767="","",PNL!C767)</f>
        <v>2027</v>
      </c>
      <c r="D767" t="str">
        <f>IF(PNL!D767="","",PNL!D767)</f>
        <v>V02</v>
      </c>
      <c r="E767">
        <f t="shared" si="0"/>
        <v>1</v>
      </c>
      <c r="F767">
        <f>IF($A767="","",IF($E767=1,_xlfn.SUMIFS(Compta!$F$1:$F$1448,Compta!$A$1:$A$1448,$A767,Compta!$B$1:$B$1448,$B767,Compta!$C$1:$C$1448,"2026"),0))</f>
        <v>81221</v>
      </c>
      <c r="G767" t="s">
        <v>274</v>
      </c>
      <c r="H767" t="s">
        <v>274</v>
      </c>
      <c r="I767" t="s">
        <v>274</v>
      </c>
      <c r="J767" t="s">
        <v>274</v>
      </c>
      <c r="K767" t="s">
        <v>274</v>
      </c>
      <c r="L767" t="s">
        <v>274</v>
      </c>
      <c r="M767" t="s">
        <v>274</v>
      </c>
      <c r="N767" t="e">
        <f t="shared" si="1"/>
        <v>#VALUE!</v>
      </c>
      <c r="O767" t="e">
        <f t="shared" si="2"/>
        <v>#VALUE!</v>
      </c>
      <c r="P767" t="e">
        <f>IF($A767="","",IF($E767=1,$F767*$O767,PNL!G767))</f>
        <v>#VALUE!</v>
      </c>
      <c r="T767" t="e">
        <f t="shared" si="3"/>
        <v>#VALUE!</v>
      </c>
    </row>
    <row r="768" ht="14.25" customHeight="1">
      <c r="A768" t="str">
        <f>IF(PNL!A768="","",PNL!A768)</f>
        <v>IPAC_REN</v>
      </c>
      <c r="B768" t="str">
        <f>IF(PNL!B768="","",PNL!B768)</f>
        <v>613</v>
      </c>
      <c r="C768" t="str">
        <f>IF(PNL!C768="","",PNL!C768)</f>
        <v>2027</v>
      </c>
      <c r="D768" t="str">
        <f>IF(PNL!D768="","",PNL!D768)</f>
        <v>V03</v>
      </c>
      <c r="E768">
        <f t="shared" si="0"/>
        <v>1</v>
      </c>
      <c r="F768">
        <f>IF($A768="","",IF($E768=1,_xlfn.SUMIFS(Compta!$F$1:$F$1448,Compta!$A$1:$A$1448,$A768,Compta!$B$1:$B$1448,$B768,Compta!$C$1:$C$1448,"2026"),0))</f>
        <v>81221</v>
      </c>
      <c r="G768" t="s">
        <v>274</v>
      </c>
      <c r="H768" t="s">
        <v>274</v>
      </c>
      <c r="I768" t="s">
        <v>274</v>
      </c>
      <c r="J768" t="s">
        <v>274</v>
      </c>
      <c r="K768" t="s">
        <v>274</v>
      </c>
      <c r="L768" t="s">
        <v>274</v>
      </c>
      <c r="M768" t="s">
        <v>274</v>
      </c>
      <c r="N768" t="e">
        <f t="shared" si="1"/>
        <v>#VALUE!</v>
      </c>
      <c r="O768" t="e">
        <f t="shared" si="2"/>
        <v>#VALUE!</v>
      </c>
      <c r="P768" t="e">
        <f>IF($A768="","",IF($E768=1,$F768*$O768,PNL!G768))</f>
        <v>#VALUE!</v>
      </c>
      <c r="T768" t="e">
        <f t="shared" si="3"/>
        <v>#VALUE!</v>
      </c>
    </row>
    <row r="769" ht="14.25" customHeight="1">
      <c r="A769" t="str">
        <f>IF(PNL!A769="","",PNL!A769)</f>
        <v>IPAC_MTP</v>
      </c>
      <c r="B769" t="str">
        <f>IF(PNL!B769="","",PNL!B769)</f>
        <v>613</v>
      </c>
      <c r="C769" t="str">
        <f>IF(PNL!C769="","",PNL!C769)</f>
        <v>2027</v>
      </c>
      <c r="D769" t="str">
        <f>IF(PNL!D769="","",PNL!D769)</f>
        <v>V01</v>
      </c>
      <c r="E769">
        <f t="shared" si="0"/>
        <v>1</v>
      </c>
      <c r="F769">
        <f>IF($A769="","",IF($E769=1,_xlfn.SUMIFS(Compta!$F$1:$F$1448,Compta!$A$1:$A$1448,$A769,Compta!$B$1:$B$1448,$B769,Compta!$C$1:$C$1448,"2026"),0))</f>
        <v>81221</v>
      </c>
      <c r="G769" t="s">
        <v>274</v>
      </c>
      <c r="H769" t="s">
        <v>274</v>
      </c>
      <c r="I769" t="s">
        <v>274</v>
      </c>
      <c r="J769" t="s">
        <v>274</v>
      </c>
      <c r="K769" t="s">
        <v>274</v>
      </c>
      <c r="L769" t="s">
        <v>274</v>
      </c>
      <c r="M769" t="s">
        <v>274</v>
      </c>
      <c r="N769" t="e">
        <f t="shared" si="1"/>
        <v>#VALUE!</v>
      </c>
      <c r="O769" t="e">
        <f t="shared" si="2"/>
        <v>#VALUE!</v>
      </c>
      <c r="P769" t="e">
        <f>IF($A769="","",IF($E769=1,$F769*$O769,PNL!G769))</f>
        <v>#VALUE!</v>
      </c>
      <c r="T769" t="e">
        <f t="shared" si="3"/>
        <v>#VALUE!</v>
      </c>
    </row>
    <row r="770" ht="14.25" customHeight="1">
      <c r="A770" t="str">
        <f>IF(PNL!A770="","",PNL!A770)</f>
        <v>IPAC_MTP</v>
      </c>
      <c r="B770" t="str">
        <f>IF(PNL!B770="","",PNL!B770)</f>
        <v>613</v>
      </c>
      <c r="C770" t="str">
        <f>IF(PNL!C770="","",PNL!C770)</f>
        <v>2027</v>
      </c>
      <c r="D770" t="str">
        <f>IF(PNL!D770="","",PNL!D770)</f>
        <v>V02</v>
      </c>
      <c r="E770">
        <f t="shared" si="0"/>
        <v>1</v>
      </c>
      <c r="F770">
        <f>IF($A770="","",IF($E770=1,_xlfn.SUMIFS(Compta!$F$1:$F$1448,Compta!$A$1:$A$1448,$A770,Compta!$B$1:$B$1448,$B770,Compta!$C$1:$C$1448,"2026"),0))</f>
        <v>81221</v>
      </c>
      <c r="G770" t="s">
        <v>274</v>
      </c>
      <c r="H770" t="s">
        <v>274</v>
      </c>
      <c r="I770" t="s">
        <v>274</v>
      </c>
      <c r="J770" t="s">
        <v>274</v>
      </c>
      <c r="K770" t="s">
        <v>274</v>
      </c>
      <c r="L770" t="s">
        <v>274</v>
      </c>
      <c r="M770" t="s">
        <v>274</v>
      </c>
      <c r="N770" t="e">
        <f t="shared" si="1"/>
        <v>#VALUE!</v>
      </c>
      <c r="O770" t="e">
        <f t="shared" si="2"/>
        <v>#VALUE!</v>
      </c>
      <c r="P770" t="e">
        <f>IF($A770="","",IF($E770=1,$F770*$O770,PNL!G770))</f>
        <v>#VALUE!</v>
      </c>
      <c r="T770" t="e">
        <f t="shared" si="3"/>
        <v>#VALUE!</v>
      </c>
    </row>
    <row r="771" ht="14.25" customHeight="1">
      <c r="A771" t="str">
        <f>IF(PNL!A771="","",PNL!A771)</f>
        <v>IPAC_MTP</v>
      </c>
      <c r="B771" t="str">
        <f>IF(PNL!B771="","",PNL!B771)</f>
        <v>613</v>
      </c>
      <c r="C771" t="str">
        <f>IF(PNL!C771="","",PNL!C771)</f>
        <v>2027</v>
      </c>
      <c r="D771" t="str">
        <f>IF(PNL!D771="","",PNL!D771)</f>
        <v>V03</v>
      </c>
      <c r="E771">
        <f t="shared" si="0"/>
        <v>1</v>
      </c>
      <c r="F771">
        <f>IF($A771="","",IF($E771=1,_xlfn.SUMIFS(Compta!$F$1:$F$1448,Compta!$A$1:$A$1448,$A771,Compta!$B$1:$B$1448,$B771,Compta!$C$1:$C$1448,"2026"),0))</f>
        <v>81221</v>
      </c>
      <c r="G771" t="s">
        <v>274</v>
      </c>
      <c r="H771" t="s">
        <v>274</v>
      </c>
      <c r="I771" t="s">
        <v>274</v>
      </c>
      <c r="J771" t="s">
        <v>274</v>
      </c>
      <c r="K771" t="s">
        <v>274</v>
      </c>
      <c r="L771" t="s">
        <v>274</v>
      </c>
      <c r="M771" t="s">
        <v>274</v>
      </c>
      <c r="N771" t="e">
        <f t="shared" si="1"/>
        <v>#VALUE!</v>
      </c>
      <c r="O771" t="e">
        <f t="shared" si="2"/>
        <v>#VALUE!</v>
      </c>
      <c r="P771" t="e">
        <f>IF($A771="","",IF($E771=1,$F771*$O771,PNL!G771))</f>
        <v>#VALUE!</v>
      </c>
      <c r="T771" t="e">
        <f t="shared" si="3"/>
        <v>#VALUE!</v>
      </c>
    </row>
    <row r="772" ht="14.25" customHeight="1">
      <c r="A772" t="str">
        <f>IF(PNL!A772="","",PNL!A772)</f>
        <v>PIGIER_LYO</v>
      </c>
      <c r="B772" t="str">
        <f>IF(PNL!B772="","",PNL!B772)</f>
        <v>613</v>
      </c>
      <c r="C772" t="str">
        <f>IF(PNL!C772="","",PNL!C772)</f>
        <v>2027</v>
      </c>
      <c r="D772" t="str">
        <f>IF(PNL!D772="","",PNL!D772)</f>
        <v>V01</v>
      </c>
      <c r="E772">
        <f t="shared" si="0"/>
        <v>1</v>
      </c>
      <c r="F772">
        <f>IF($A772="","",IF($E772=1,_xlfn.SUMIFS(Compta!$F$1:$F$1448,Compta!$A$1:$A$1448,$A772,Compta!$B$1:$B$1448,$B772,Compta!$C$1:$C$1448,"2026"),0))</f>
        <v>137830</v>
      </c>
      <c r="G772" t="s">
        <v>274</v>
      </c>
      <c r="H772" t="s">
        <v>274</v>
      </c>
      <c r="I772" t="s">
        <v>274</v>
      </c>
      <c r="J772" t="s">
        <v>274</v>
      </c>
      <c r="K772" t="s">
        <v>274</v>
      </c>
      <c r="L772" t="s">
        <v>274</v>
      </c>
      <c r="M772" t="s">
        <v>274</v>
      </c>
      <c r="N772" t="e">
        <f t="shared" si="1"/>
        <v>#VALUE!</v>
      </c>
      <c r="O772" t="e">
        <f t="shared" si="2"/>
        <v>#VALUE!</v>
      </c>
      <c r="P772" t="e">
        <f>IF($A772="","",IF($E772=1,$F772*$O772,PNL!G772))</f>
        <v>#VALUE!</v>
      </c>
      <c r="T772" t="e">
        <f t="shared" si="3"/>
        <v>#VALUE!</v>
      </c>
    </row>
    <row r="773" ht="14.25" customHeight="1">
      <c r="A773" t="str">
        <f>IF(PNL!A773="","",PNL!A773)</f>
        <v>PIGIER_LYO</v>
      </c>
      <c r="B773" t="str">
        <f>IF(PNL!B773="","",PNL!B773)</f>
        <v>613</v>
      </c>
      <c r="C773" t="str">
        <f>IF(PNL!C773="","",PNL!C773)</f>
        <v>2027</v>
      </c>
      <c r="D773" t="str">
        <f>IF(PNL!D773="","",PNL!D773)</f>
        <v>V02</v>
      </c>
      <c r="E773">
        <f t="shared" si="0"/>
        <v>1</v>
      </c>
      <c r="F773">
        <f>IF($A773="","",IF($E773=1,_xlfn.SUMIFS(Compta!$F$1:$F$1448,Compta!$A$1:$A$1448,$A773,Compta!$B$1:$B$1448,$B773,Compta!$C$1:$C$1448,"2026"),0))</f>
        <v>137830</v>
      </c>
      <c r="G773" t="s">
        <v>274</v>
      </c>
      <c r="H773" t="s">
        <v>274</v>
      </c>
      <c r="I773" t="s">
        <v>274</v>
      </c>
      <c r="J773" t="s">
        <v>274</v>
      </c>
      <c r="K773" t="s">
        <v>274</v>
      </c>
      <c r="L773" t="s">
        <v>274</v>
      </c>
      <c r="M773" t="s">
        <v>274</v>
      </c>
      <c r="N773" t="e">
        <f t="shared" si="1"/>
        <v>#VALUE!</v>
      </c>
      <c r="O773" t="e">
        <f t="shared" si="2"/>
        <v>#VALUE!</v>
      </c>
      <c r="P773" t="e">
        <f>IF($A773="","",IF($E773=1,$F773*$O773,PNL!G773))</f>
        <v>#VALUE!</v>
      </c>
      <c r="T773" t="e">
        <f t="shared" si="3"/>
        <v>#VALUE!</v>
      </c>
    </row>
    <row r="774" ht="14.25" customHeight="1">
      <c r="A774" t="str">
        <f>IF(PNL!A774="","",PNL!A774)</f>
        <v>PIGIER_LYO</v>
      </c>
      <c r="B774" t="str">
        <f>IF(PNL!B774="","",PNL!B774)</f>
        <v>613</v>
      </c>
      <c r="C774" t="str">
        <f>IF(PNL!C774="","",PNL!C774)</f>
        <v>2027</v>
      </c>
      <c r="D774" t="str">
        <f>IF(PNL!D774="","",PNL!D774)</f>
        <v>V03</v>
      </c>
      <c r="E774">
        <f t="shared" si="0"/>
        <v>1</v>
      </c>
      <c r="F774">
        <f>IF($A774="","",IF($E774=1,_xlfn.SUMIFS(Compta!$F$1:$F$1448,Compta!$A$1:$A$1448,$A774,Compta!$B$1:$B$1448,$B774,Compta!$C$1:$C$1448,"2026"),0))</f>
        <v>137830</v>
      </c>
      <c r="G774" t="s">
        <v>274</v>
      </c>
      <c r="H774" t="s">
        <v>274</v>
      </c>
      <c r="I774" t="s">
        <v>274</v>
      </c>
      <c r="J774" t="s">
        <v>274</v>
      </c>
      <c r="K774" t="s">
        <v>274</v>
      </c>
      <c r="L774" t="s">
        <v>274</v>
      </c>
      <c r="M774" t="s">
        <v>274</v>
      </c>
      <c r="N774" t="e">
        <f t="shared" si="1"/>
        <v>#VALUE!</v>
      </c>
      <c r="O774" t="e">
        <f t="shared" si="2"/>
        <v>#VALUE!</v>
      </c>
      <c r="P774" t="e">
        <f>IF($A774="","",IF($E774=1,$F774*$O774,PNL!G774))</f>
        <v>#VALUE!</v>
      </c>
      <c r="T774" t="e">
        <f t="shared" si="3"/>
        <v>#VALUE!</v>
      </c>
    </row>
    <row r="775" ht="14.25" customHeight="1">
      <c r="A775" t="str">
        <f>IF(PNL!A775="","",PNL!A775)</f>
        <v>PIGIER_BOR</v>
      </c>
      <c r="B775" t="str">
        <f>IF(PNL!B775="","",PNL!B775)</f>
        <v>613</v>
      </c>
      <c r="C775" t="str">
        <f>IF(PNL!C775="","",PNL!C775)</f>
        <v>2027</v>
      </c>
      <c r="D775" t="str">
        <f>IF(PNL!D775="","",PNL!D775)</f>
        <v>V01</v>
      </c>
      <c r="E775">
        <f t="shared" si="0"/>
        <v>1</v>
      </c>
      <c r="F775">
        <f>IF($A775="","",IF($E775=1,_xlfn.SUMIFS(Compta!$F$1:$F$1448,Compta!$A$1:$A$1448,$A775,Compta!$B$1:$B$1448,$B775,Compta!$C$1:$C$1448,"2026"),0))</f>
        <v>129215</v>
      </c>
      <c r="G775" t="s">
        <v>274</v>
      </c>
      <c r="H775" t="s">
        <v>274</v>
      </c>
      <c r="I775" t="s">
        <v>274</v>
      </c>
      <c r="J775" t="s">
        <v>274</v>
      </c>
      <c r="K775" t="s">
        <v>274</v>
      </c>
      <c r="L775" t="s">
        <v>274</v>
      </c>
      <c r="M775" t="s">
        <v>274</v>
      </c>
      <c r="N775" t="e">
        <f t="shared" si="1"/>
        <v>#VALUE!</v>
      </c>
      <c r="O775" t="e">
        <f t="shared" si="2"/>
        <v>#VALUE!</v>
      </c>
      <c r="P775" t="e">
        <f>IF($A775="","",IF($E775=1,$F775*$O775,PNL!G775))</f>
        <v>#VALUE!</v>
      </c>
      <c r="T775" t="e">
        <f t="shared" si="3"/>
        <v>#VALUE!</v>
      </c>
    </row>
    <row r="776" ht="14.25" customHeight="1">
      <c r="A776" t="str">
        <f>IF(PNL!A776="","",PNL!A776)</f>
        <v>PIGIER_BOR</v>
      </c>
      <c r="B776" t="str">
        <f>IF(PNL!B776="","",PNL!B776)</f>
        <v>613</v>
      </c>
      <c r="C776" t="str">
        <f>IF(PNL!C776="","",PNL!C776)</f>
        <v>2027</v>
      </c>
      <c r="D776" t="str">
        <f>IF(PNL!D776="","",PNL!D776)</f>
        <v>V02</v>
      </c>
      <c r="E776">
        <f t="shared" si="0"/>
        <v>1</v>
      </c>
      <c r="F776">
        <f>IF($A776="","",IF($E776=1,_xlfn.SUMIFS(Compta!$F$1:$F$1448,Compta!$A$1:$A$1448,$A776,Compta!$B$1:$B$1448,$B776,Compta!$C$1:$C$1448,"2026"),0))</f>
        <v>129215</v>
      </c>
      <c r="G776" t="s">
        <v>274</v>
      </c>
      <c r="H776" t="s">
        <v>274</v>
      </c>
      <c r="I776" t="s">
        <v>274</v>
      </c>
      <c r="J776" t="s">
        <v>274</v>
      </c>
      <c r="K776" t="s">
        <v>274</v>
      </c>
      <c r="L776" t="s">
        <v>274</v>
      </c>
      <c r="M776" t="s">
        <v>274</v>
      </c>
      <c r="N776" t="e">
        <f t="shared" si="1"/>
        <v>#VALUE!</v>
      </c>
      <c r="O776" t="e">
        <f t="shared" si="2"/>
        <v>#VALUE!</v>
      </c>
      <c r="P776" t="e">
        <f>IF($A776="","",IF($E776=1,$F776*$O776,PNL!G776))</f>
        <v>#VALUE!</v>
      </c>
      <c r="T776" t="e">
        <f t="shared" si="3"/>
        <v>#VALUE!</v>
      </c>
    </row>
    <row r="777" ht="14.25" customHeight="1">
      <c r="A777" t="str">
        <f>IF(PNL!A777="","",PNL!A777)</f>
        <v>PIGIER_BOR</v>
      </c>
      <c r="B777" t="str">
        <f>IF(PNL!B777="","",PNL!B777)</f>
        <v>613</v>
      </c>
      <c r="C777" t="str">
        <f>IF(PNL!C777="","",PNL!C777)</f>
        <v>2027</v>
      </c>
      <c r="D777" t="str">
        <f>IF(PNL!D777="","",PNL!D777)</f>
        <v>V03</v>
      </c>
      <c r="E777">
        <f t="shared" si="0"/>
        <v>1</v>
      </c>
      <c r="F777">
        <f>IF($A777="","",IF($E777=1,_xlfn.SUMIFS(Compta!$F$1:$F$1448,Compta!$A$1:$A$1448,$A777,Compta!$B$1:$B$1448,$B777,Compta!$C$1:$C$1448,"2026"),0))</f>
        <v>129215</v>
      </c>
      <c r="G777" t="s">
        <v>274</v>
      </c>
      <c r="H777" t="s">
        <v>274</v>
      </c>
      <c r="I777" t="s">
        <v>274</v>
      </c>
      <c r="J777" t="s">
        <v>274</v>
      </c>
      <c r="K777" t="s">
        <v>274</v>
      </c>
      <c r="L777" t="s">
        <v>274</v>
      </c>
      <c r="M777" t="s">
        <v>274</v>
      </c>
      <c r="N777" t="e">
        <f t="shared" si="1"/>
        <v>#VALUE!</v>
      </c>
      <c r="O777" t="e">
        <f t="shared" si="2"/>
        <v>#VALUE!</v>
      </c>
      <c r="P777" t="e">
        <f>IF($A777="","",IF($E777=1,$F777*$O777,PNL!G777))</f>
        <v>#VALUE!</v>
      </c>
      <c r="T777" t="e">
        <f t="shared" si="3"/>
        <v>#VALUE!</v>
      </c>
    </row>
    <row r="778" ht="14.25" customHeight="1">
      <c r="A778" t="str">
        <f>IF(PNL!A778="","",PNL!A778)</f>
        <v>TUNON_PAR</v>
      </c>
      <c r="B778" t="str">
        <f>IF(PNL!B778="","",PNL!B778)</f>
        <v>613</v>
      </c>
      <c r="C778" t="str">
        <f>IF(PNL!C778="","",PNL!C778)</f>
        <v>2027</v>
      </c>
      <c r="D778" t="str">
        <f>IF(PNL!D778="","",PNL!D778)</f>
        <v>V01</v>
      </c>
      <c r="E778">
        <f t="shared" si="0"/>
        <v>1</v>
      </c>
      <c r="F778">
        <f>IF($A778="","",IF($E778=1,_xlfn.SUMIFS(Compta!$F$1:$F$1448,Compta!$A$1:$A$1448,$A778,Compta!$B$1:$B$1448,$B778,Compta!$C$1:$C$1448,"2026"),0))</f>
        <v>149520</v>
      </c>
      <c r="G778" t="s">
        <v>274</v>
      </c>
      <c r="H778" t="s">
        <v>274</v>
      </c>
      <c r="I778" t="s">
        <v>274</v>
      </c>
      <c r="J778" t="s">
        <v>274</v>
      </c>
      <c r="K778" t="s">
        <v>274</v>
      </c>
      <c r="L778" t="s">
        <v>274</v>
      </c>
      <c r="M778" t="s">
        <v>274</v>
      </c>
      <c r="N778" t="e">
        <f t="shared" si="1"/>
        <v>#VALUE!</v>
      </c>
      <c r="O778" t="e">
        <f t="shared" si="2"/>
        <v>#VALUE!</v>
      </c>
      <c r="P778" t="e">
        <f>IF($A778="","",IF($E778=1,$F778*$O778,PNL!G778))</f>
        <v>#VALUE!</v>
      </c>
      <c r="T778" t="e">
        <f t="shared" si="3"/>
        <v>#VALUE!</v>
      </c>
    </row>
    <row r="779" ht="14.25" customHeight="1">
      <c r="A779" t="str">
        <f>IF(PNL!A779="","",PNL!A779)</f>
        <v>TUNON_PAR</v>
      </c>
      <c r="B779" t="str">
        <f>IF(PNL!B779="","",PNL!B779)</f>
        <v>613</v>
      </c>
      <c r="C779" t="str">
        <f>IF(PNL!C779="","",PNL!C779)</f>
        <v>2027</v>
      </c>
      <c r="D779" t="str">
        <f>IF(PNL!D779="","",PNL!D779)</f>
        <v>V02</v>
      </c>
      <c r="E779">
        <f t="shared" si="0"/>
        <v>1</v>
      </c>
      <c r="F779">
        <f>IF($A779="","",IF($E779=1,_xlfn.SUMIFS(Compta!$F$1:$F$1448,Compta!$A$1:$A$1448,$A779,Compta!$B$1:$B$1448,$B779,Compta!$C$1:$C$1448,"2026"),0))</f>
        <v>149520</v>
      </c>
      <c r="G779" t="s">
        <v>274</v>
      </c>
      <c r="H779" t="s">
        <v>274</v>
      </c>
      <c r="I779" t="s">
        <v>274</v>
      </c>
      <c r="J779" t="s">
        <v>274</v>
      </c>
      <c r="K779" t="s">
        <v>274</v>
      </c>
      <c r="L779" t="s">
        <v>274</v>
      </c>
      <c r="M779" t="s">
        <v>274</v>
      </c>
      <c r="N779" t="e">
        <f t="shared" si="1"/>
        <v>#VALUE!</v>
      </c>
      <c r="O779" t="e">
        <f t="shared" si="2"/>
        <v>#VALUE!</v>
      </c>
      <c r="P779" t="e">
        <f>IF($A779="","",IF($E779=1,$F779*$O779,PNL!G779))</f>
        <v>#VALUE!</v>
      </c>
      <c r="T779" t="e">
        <f t="shared" si="3"/>
        <v>#VALUE!</v>
      </c>
    </row>
    <row r="780" ht="14.25" customHeight="1">
      <c r="A780" t="str">
        <f>IF(PNL!A780="","",PNL!A780)</f>
        <v>TUNON_PAR</v>
      </c>
      <c r="B780" t="str">
        <f>IF(PNL!B780="","",PNL!B780)</f>
        <v>613</v>
      </c>
      <c r="C780" t="str">
        <f>IF(PNL!C780="","",PNL!C780)</f>
        <v>2027</v>
      </c>
      <c r="D780" t="str">
        <f>IF(PNL!D780="","",PNL!D780)</f>
        <v>V03</v>
      </c>
      <c r="E780">
        <f t="shared" si="0"/>
        <v>1</v>
      </c>
      <c r="F780">
        <f>IF($A780="","",IF($E780=1,_xlfn.SUMIFS(Compta!$F$1:$F$1448,Compta!$A$1:$A$1448,$A780,Compta!$B$1:$B$1448,$B780,Compta!$C$1:$C$1448,"2026"),0))</f>
        <v>149520</v>
      </c>
      <c r="G780" t="s">
        <v>274</v>
      </c>
      <c r="H780" t="s">
        <v>274</v>
      </c>
      <c r="I780" t="s">
        <v>274</v>
      </c>
      <c r="J780" t="s">
        <v>274</v>
      </c>
      <c r="K780" t="s">
        <v>274</v>
      </c>
      <c r="L780" t="s">
        <v>274</v>
      </c>
      <c r="M780" t="s">
        <v>274</v>
      </c>
      <c r="N780" t="e">
        <f t="shared" si="1"/>
        <v>#VALUE!</v>
      </c>
      <c r="O780" t="e">
        <f t="shared" si="2"/>
        <v>#VALUE!</v>
      </c>
      <c r="P780" t="e">
        <f>IF($A780="","",IF($E780=1,$F780*$O780,PNL!G780))</f>
        <v>#VALUE!</v>
      </c>
      <c r="T780" t="e">
        <f t="shared" si="3"/>
        <v>#VALUE!</v>
      </c>
    </row>
    <row r="781" ht="14.25" customHeight="1">
      <c r="A781" t="str">
        <f>IF(PNL!A781="","",PNL!A781)</f>
        <v>TUNON_LYO</v>
      </c>
      <c r="B781" t="str">
        <f>IF(PNL!B781="","",PNL!B781)</f>
        <v>613</v>
      </c>
      <c r="C781" t="str">
        <f>IF(PNL!C781="","",PNL!C781)</f>
        <v>2027</v>
      </c>
      <c r="D781" t="str">
        <f>IF(PNL!D781="","",PNL!D781)</f>
        <v>V01</v>
      </c>
      <c r="E781">
        <f t="shared" si="0"/>
        <v>1</v>
      </c>
      <c r="F781">
        <f>IF($A781="","",IF($E781=1,_xlfn.SUMIFS(Compta!$F$1:$F$1448,Compta!$A$1:$A$1448,$A781,Compta!$B$1:$B$1448,$B781,Compta!$C$1:$C$1448,"2026"),0))</f>
        <v>103372</v>
      </c>
      <c r="G781" t="s">
        <v>274</v>
      </c>
      <c r="H781" t="s">
        <v>274</v>
      </c>
      <c r="I781" t="s">
        <v>274</v>
      </c>
      <c r="J781" t="s">
        <v>274</v>
      </c>
      <c r="K781" t="s">
        <v>274</v>
      </c>
      <c r="L781" t="s">
        <v>274</v>
      </c>
      <c r="M781" t="s">
        <v>274</v>
      </c>
      <c r="N781" t="e">
        <f t="shared" si="1"/>
        <v>#VALUE!</v>
      </c>
      <c r="O781" t="e">
        <f t="shared" si="2"/>
        <v>#VALUE!</v>
      </c>
      <c r="P781" t="e">
        <f>IF($A781="","",IF($E781=1,$F781*$O781,PNL!G781))</f>
        <v>#VALUE!</v>
      </c>
      <c r="T781" t="e">
        <f t="shared" si="3"/>
        <v>#VALUE!</v>
      </c>
    </row>
    <row r="782" ht="14.25" customHeight="1">
      <c r="A782" t="str">
        <f>IF(PNL!A782="","",PNL!A782)</f>
        <v>TUNON_LYO</v>
      </c>
      <c r="B782" t="str">
        <f>IF(PNL!B782="","",PNL!B782)</f>
        <v>613</v>
      </c>
      <c r="C782" t="str">
        <f>IF(PNL!C782="","",PNL!C782)</f>
        <v>2027</v>
      </c>
      <c r="D782" t="str">
        <f>IF(PNL!D782="","",PNL!D782)</f>
        <v>V02</v>
      </c>
      <c r="E782">
        <f t="shared" si="0"/>
        <v>1</v>
      </c>
      <c r="F782">
        <f>IF($A782="","",IF($E782=1,_xlfn.SUMIFS(Compta!$F$1:$F$1448,Compta!$A$1:$A$1448,$A782,Compta!$B$1:$B$1448,$B782,Compta!$C$1:$C$1448,"2026"),0))</f>
        <v>103372</v>
      </c>
      <c r="G782" t="s">
        <v>274</v>
      </c>
      <c r="H782" t="s">
        <v>274</v>
      </c>
      <c r="I782" t="s">
        <v>274</v>
      </c>
      <c r="J782" t="s">
        <v>274</v>
      </c>
      <c r="K782" t="s">
        <v>274</v>
      </c>
      <c r="L782" t="s">
        <v>274</v>
      </c>
      <c r="M782" t="s">
        <v>274</v>
      </c>
      <c r="N782" t="e">
        <f t="shared" si="1"/>
        <v>#VALUE!</v>
      </c>
      <c r="O782" t="e">
        <f t="shared" si="2"/>
        <v>#VALUE!</v>
      </c>
      <c r="P782" t="e">
        <f>IF($A782="","",IF($E782=1,$F782*$O782,PNL!G782))</f>
        <v>#VALUE!</v>
      </c>
      <c r="T782" t="e">
        <f t="shared" si="3"/>
        <v>#VALUE!</v>
      </c>
    </row>
    <row r="783" ht="14.25" customHeight="1">
      <c r="A783" t="str">
        <f>IF(PNL!A783="","",PNL!A783)</f>
        <v>TUNON_LYO</v>
      </c>
      <c r="B783" t="str">
        <f>IF(PNL!B783="","",PNL!B783)</f>
        <v>613</v>
      </c>
      <c r="C783" t="str">
        <f>IF(PNL!C783="","",PNL!C783)</f>
        <v>2027</v>
      </c>
      <c r="D783" t="str">
        <f>IF(PNL!D783="","",PNL!D783)</f>
        <v>V03</v>
      </c>
      <c r="E783">
        <f t="shared" si="0"/>
        <v>1</v>
      </c>
      <c r="F783">
        <f>IF($A783="","",IF($E783=1,_xlfn.SUMIFS(Compta!$F$1:$F$1448,Compta!$A$1:$A$1448,$A783,Compta!$B$1:$B$1448,$B783,Compta!$C$1:$C$1448,"2026"),0))</f>
        <v>103372</v>
      </c>
      <c r="G783" t="s">
        <v>274</v>
      </c>
      <c r="H783" t="s">
        <v>274</v>
      </c>
      <c r="I783" t="s">
        <v>274</v>
      </c>
      <c r="J783" t="s">
        <v>274</v>
      </c>
      <c r="K783" t="s">
        <v>274</v>
      </c>
      <c r="L783" t="s">
        <v>274</v>
      </c>
      <c r="M783" t="s">
        <v>274</v>
      </c>
      <c r="N783" t="e">
        <f t="shared" si="1"/>
        <v>#VALUE!</v>
      </c>
      <c r="O783" t="e">
        <f t="shared" si="2"/>
        <v>#VALUE!</v>
      </c>
      <c r="P783" t="e">
        <f>IF($A783="","",IF($E783=1,$F783*$O783,PNL!G783))</f>
        <v>#VALUE!</v>
      </c>
      <c r="T783" t="e">
        <f t="shared" si="3"/>
        <v>#VALUE!</v>
      </c>
    </row>
    <row r="784" ht="14.25" customHeight="1">
      <c r="A784" t="str">
        <f>IF(PNL!A784="","",PNL!A784)</f>
        <v>MBWAY_PAR</v>
      </c>
      <c r="B784" t="str">
        <f>IF(PNL!B784="","",PNL!B784)</f>
        <v>615</v>
      </c>
      <c r="C784" t="str">
        <f>IF(PNL!C784="","",PNL!C784)</f>
        <v>2027</v>
      </c>
      <c r="D784" t="str">
        <f>IF(PNL!D784="","",PNL!D784)</f>
        <v>V01</v>
      </c>
      <c r="E784">
        <f t="shared" si="0"/>
        <v>1</v>
      </c>
      <c r="F784">
        <f>IF($A784="","",IF($E784=1,_xlfn.SUMIFS(Compta!$F$1:$F$1448,Compta!$A$1:$A$1448,$A784,Compta!$B$1:$B$1448,$B784,Compta!$C$1:$C$1448,"2026"),0))</f>
        <v>53400</v>
      </c>
      <c r="G784" t="s">
        <v>274</v>
      </c>
      <c r="H784" t="s">
        <v>274</v>
      </c>
      <c r="I784" t="s">
        <v>274</v>
      </c>
      <c r="J784" t="s">
        <v>274</v>
      </c>
      <c r="K784" t="s">
        <v>274</v>
      </c>
      <c r="L784" t="s">
        <v>274</v>
      </c>
      <c r="M784" t="s">
        <v>274</v>
      </c>
      <c r="N784" t="e">
        <f t="shared" si="1"/>
        <v>#VALUE!</v>
      </c>
      <c r="O784" t="e">
        <f t="shared" si="2"/>
        <v>#VALUE!</v>
      </c>
      <c r="P784" t="e">
        <f>IF($A784="","",IF($E784=1,$F784*$O784,PNL!G784))</f>
        <v>#VALUE!</v>
      </c>
      <c r="T784" t="e">
        <f t="shared" si="3"/>
        <v>#VALUE!</v>
      </c>
    </row>
    <row r="785" ht="14.25" customHeight="1">
      <c r="A785" t="str">
        <f>IF(PNL!A785="","",PNL!A785)</f>
        <v>MBWAY_PAR</v>
      </c>
      <c r="B785" t="str">
        <f>IF(PNL!B785="","",PNL!B785)</f>
        <v>615</v>
      </c>
      <c r="C785" t="str">
        <f>IF(PNL!C785="","",PNL!C785)</f>
        <v>2027</v>
      </c>
      <c r="D785" t="str">
        <f>IF(PNL!D785="","",PNL!D785)</f>
        <v>V02</v>
      </c>
      <c r="E785">
        <f t="shared" si="0"/>
        <v>1</v>
      </c>
      <c r="F785">
        <f>IF($A785="","",IF($E785=1,_xlfn.SUMIFS(Compta!$F$1:$F$1448,Compta!$A$1:$A$1448,$A785,Compta!$B$1:$B$1448,$B785,Compta!$C$1:$C$1448,"2026"),0))</f>
        <v>53400</v>
      </c>
      <c r="G785" t="s">
        <v>274</v>
      </c>
      <c r="H785" t="s">
        <v>274</v>
      </c>
      <c r="I785" t="s">
        <v>274</v>
      </c>
      <c r="J785" t="s">
        <v>274</v>
      </c>
      <c r="K785" t="s">
        <v>274</v>
      </c>
      <c r="L785" t="s">
        <v>274</v>
      </c>
      <c r="M785" t="s">
        <v>274</v>
      </c>
      <c r="N785" t="e">
        <f t="shared" si="1"/>
        <v>#VALUE!</v>
      </c>
      <c r="O785" t="e">
        <f t="shared" si="2"/>
        <v>#VALUE!</v>
      </c>
      <c r="P785" t="e">
        <f>IF($A785="","",IF($E785=1,$F785*$O785,PNL!G785))</f>
        <v>#VALUE!</v>
      </c>
      <c r="T785" t="e">
        <f t="shared" si="3"/>
        <v>#VALUE!</v>
      </c>
    </row>
    <row r="786" ht="14.25" customHeight="1">
      <c r="A786" t="str">
        <f>IF(PNL!A786="","",PNL!A786)</f>
        <v>MBWAY_PAR</v>
      </c>
      <c r="B786" t="str">
        <f>IF(PNL!B786="","",PNL!B786)</f>
        <v>615</v>
      </c>
      <c r="C786" t="str">
        <f>IF(PNL!C786="","",PNL!C786)</f>
        <v>2027</v>
      </c>
      <c r="D786" t="str">
        <f>IF(PNL!D786="","",PNL!D786)</f>
        <v>V03</v>
      </c>
      <c r="E786">
        <f t="shared" si="0"/>
        <v>1</v>
      </c>
      <c r="F786">
        <f>IF($A786="","",IF($E786=1,_xlfn.SUMIFS(Compta!$F$1:$F$1448,Compta!$A$1:$A$1448,$A786,Compta!$B$1:$B$1448,$B786,Compta!$C$1:$C$1448,"2026"),0))</f>
        <v>53400</v>
      </c>
      <c r="G786" t="s">
        <v>274</v>
      </c>
      <c r="H786" t="s">
        <v>274</v>
      </c>
      <c r="I786" t="s">
        <v>274</v>
      </c>
      <c r="J786" t="s">
        <v>274</v>
      </c>
      <c r="K786" t="s">
        <v>274</v>
      </c>
      <c r="L786" t="s">
        <v>274</v>
      </c>
      <c r="M786" t="s">
        <v>274</v>
      </c>
      <c r="N786" t="e">
        <f t="shared" si="1"/>
        <v>#VALUE!</v>
      </c>
      <c r="O786" t="e">
        <f t="shared" si="2"/>
        <v>#VALUE!</v>
      </c>
      <c r="P786" t="e">
        <f>IF($A786="","",IF($E786=1,$F786*$O786,PNL!G786))</f>
        <v>#VALUE!</v>
      </c>
      <c r="T786" t="e">
        <f t="shared" si="3"/>
        <v>#VALUE!</v>
      </c>
    </row>
    <row r="787" ht="14.25" customHeight="1">
      <c r="A787" t="str">
        <f>IF(PNL!A787="","",PNL!A787)</f>
        <v>MBWAY_LYO</v>
      </c>
      <c r="B787" t="str">
        <f>IF(PNL!B787="","",PNL!B787)</f>
        <v>615</v>
      </c>
      <c r="C787" t="str">
        <f>IF(PNL!C787="","",PNL!C787)</f>
        <v>2027</v>
      </c>
      <c r="D787" t="str">
        <f>IF(PNL!D787="","",PNL!D787)</f>
        <v>V01</v>
      </c>
      <c r="E787">
        <f t="shared" si="0"/>
        <v>1</v>
      </c>
      <c r="F787">
        <f>IF($A787="","",IF($E787=1,_xlfn.SUMIFS(Compta!$F$1:$F$1448,Compta!$A$1:$A$1448,$A787,Compta!$B$1:$B$1448,$B787,Compta!$C$1:$C$1448,"2026"),0))</f>
        <v>31996</v>
      </c>
      <c r="G787" t="s">
        <v>274</v>
      </c>
      <c r="H787" t="s">
        <v>274</v>
      </c>
      <c r="I787" t="s">
        <v>274</v>
      </c>
      <c r="J787" t="s">
        <v>274</v>
      </c>
      <c r="K787" t="s">
        <v>274</v>
      </c>
      <c r="L787" t="s">
        <v>274</v>
      </c>
      <c r="M787" t="s">
        <v>274</v>
      </c>
      <c r="N787" t="e">
        <f t="shared" si="1"/>
        <v>#VALUE!</v>
      </c>
      <c r="O787" t="e">
        <f t="shared" si="2"/>
        <v>#VALUE!</v>
      </c>
      <c r="P787" t="e">
        <f>IF($A787="","",IF($E787=1,$F787*$O787,PNL!G787))</f>
        <v>#VALUE!</v>
      </c>
      <c r="T787" t="e">
        <f t="shared" si="3"/>
        <v>#VALUE!</v>
      </c>
    </row>
    <row r="788" ht="14.25" customHeight="1">
      <c r="A788" t="str">
        <f>IF(PNL!A788="","",PNL!A788)</f>
        <v>MBWAY_LYO</v>
      </c>
      <c r="B788" t="str">
        <f>IF(PNL!B788="","",PNL!B788)</f>
        <v>615</v>
      </c>
      <c r="C788" t="str">
        <f>IF(PNL!C788="","",PNL!C788)</f>
        <v>2027</v>
      </c>
      <c r="D788" t="str">
        <f>IF(PNL!D788="","",PNL!D788)</f>
        <v>V02</v>
      </c>
      <c r="E788">
        <f t="shared" si="0"/>
        <v>1</v>
      </c>
      <c r="F788">
        <f>IF($A788="","",IF($E788=1,_xlfn.SUMIFS(Compta!$F$1:$F$1448,Compta!$A$1:$A$1448,$A788,Compta!$B$1:$B$1448,$B788,Compta!$C$1:$C$1448,"2026"),0))</f>
        <v>31996</v>
      </c>
      <c r="G788" t="s">
        <v>274</v>
      </c>
      <c r="H788" t="s">
        <v>274</v>
      </c>
      <c r="I788" t="s">
        <v>274</v>
      </c>
      <c r="J788" t="s">
        <v>274</v>
      </c>
      <c r="K788" t="s">
        <v>274</v>
      </c>
      <c r="L788" t="s">
        <v>274</v>
      </c>
      <c r="M788" t="s">
        <v>274</v>
      </c>
      <c r="N788" t="e">
        <f t="shared" si="1"/>
        <v>#VALUE!</v>
      </c>
      <c r="O788" t="e">
        <f t="shared" si="2"/>
        <v>#VALUE!</v>
      </c>
      <c r="P788" t="e">
        <f>IF($A788="","",IF($E788=1,$F788*$O788,PNL!G788))</f>
        <v>#VALUE!</v>
      </c>
      <c r="T788" t="e">
        <f t="shared" si="3"/>
        <v>#VALUE!</v>
      </c>
    </row>
    <row r="789" ht="14.25" customHeight="1">
      <c r="A789" t="str">
        <f>IF(PNL!A789="","",PNL!A789)</f>
        <v>MBWAY_LYO</v>
      </c>
      <c r="B789" t="str">
        <f>IF(PNL!B789="","",PNL!B789)</f>
        <v>615</v>
      </c>
      <c r="C789" t="str">
        <f>IF(PNL!C789="","",PNL!C789)</f>
        <v>2027</v>
      </c>
      <c r="D789" t="str">
        <f>IF(PNL!D789="","",PNL!D789)</f>
        <v>V03</v>
      </c>
      <c r="E789">
        <f t="shared" si="0"/>
        <v>1</v>
      </c>
      <c r="F789">
        <f>IF($A789="","",IF($E789=1,_xlfn.SUMIFS(Compta!$F$1:$F$1448,Compta!$A$1:$A$1448,$A789,Compta!$B$1:$B$1448,$B789,Compta!$C$1:$C$1448,"2026"),0))</f>
        <v>31996</v>
      </c>
      <c r="G789" t="s">
        <v>274</v>
      </c>
      <c r="H789" t="s">
        <v>274</v>
      </c>
      <c r="I789" t="s">
        <v>274</v>
      </c>
      <c r="J789" t="s">
        <v>274</v>
      </c>
      <c r="K789" t="s">
        <v>274</v>
      </c>
      <c r="L789" t="s">
        <v>274</v>
      </c>
      <c r="M789" t="s">
        <v>274</v>
      </c>
      <c r="N789" t="e">
        <f t="shared" si="1"/>
        <v>#VALUE!</v>
      </c>
      <c r="O789" t="e">
        <f t="shared" si="2"/>
        <v>#VALUE!</v>
      </c>
      <c r="P789" t="e">
        <f>IF($A789="","",IF($E789=1,$F789*$O789,PNL!G789))</f>
        <v>#VALUE!</v>
      </c>
      <c r="T789" t="e">
        <f t="shared" si="3"/>
        <v>#VALUE!</v>
      </c>
    </row>
    <row r="790" ht="14.25" customHeight="1">
      <c r="A790" t="str">
        <f>IF(PNL!A790="","",PNL!A790)</f>
        <v>MBWAY_NAN</v>
      </c>
      <c r="B790" t="str">
        <f>IF(PNL!B790="","",PNL!B790)</f>
        <v>615</v>
      </c>
      <c r="C790" t="str">
        <f>IF(PNL!C790="","",PNL!C790)</f>
        <v>2027</v>
      </c>
      <c r="D790" t="str">
        <f>IF(PNL!D790="","",PNL!D790)</f>
        <v>V01</v>
      </c>
      <c r="E790">
        <f t="shared" si="0"/>
        <v>1</v>
      </c>
      <c r="F790">
        <f>IF($A790="","",IF($E790=1,_xlfn.SUMIFS(Compta!$F$1:$F$1448,Compta!$A$1:$A$1448,$A790,Compta!$B$1:$B$1448,$B790,Compta!$C$1:$C$1448,"2026"),0))</f>
        <v>26370</v>
      </c>
      <c r="G790" t="s">
        <v>274</v>
      </c>
      <c r="H790" t="s">
        <v>274</v>
      </c>
      <c r="I790" t="s">
        <v>274</v>
      </c>
      <c r="J790" t="s">
        <v>274</v>
      </c>
      <c r="K790" t="s">
        <v>274</v>
      </c>
      <c r="L790" t="s">
        <v>274</v>
      </c>
      <c r="M790" t="s">
        <v>274</v>
      </c>
      <c r="N790" t="e">
        <f t="shared" si="1"/>
        <v>#VALUE!</v>
      </c>
      <c r="O790" t="e">
        <f t="shared" si="2"/>
        <v>#VALUE!</v>
      </c>
      <c r="P790" t="e">
        <f>IF($A790="","",IF($E790=1,$F790*$O790,PNL!G790))</f>
        <v>#VALUE!</v>
      </c>
      <c r="T790" t="e">
        <f t="shared" si="3"/>
        <v>#VALUE!</v>
      </c>
    </row>
    <row r="791" ht="14.25" customHeight="1">
      <c r="A791" t="str">
        <f>IF(PNL!A791="","",PNL!A791)</f>
        <v>MBWAY_NAN</v>
      </c>
      <c r="B791" t="str">
        <f>IF(PNL!B791="","",PNL!B791)</f>
        <v>615</v>
      </c>
      <c r="C791" t="str">
        <f>IF(PNL!C791="","",PNL!C791)</f>
        <v>2027</v>
      </c>
      <c r="D791" t="str">
        <f>IF(PNL!D791="","",PNL!D791)</f>
        <v>V02</v>
      </c>
      <c r="E791">
        <f t="shared" si="0"/>
        <v>1</v>
      </c>
      <c r="F791">
        <f>IF($A791="","",IF($E791=1,_xlfn.SUMIFS(Compta!$F$1:$F$1448,Compta!$A$1:$A$1448,$A791,Compta!$B$1:$B$1448,$B791,Compta!$C$1:$C$1448,"2026"),0))</f>
        <v>26370</v>
      </c>
      <c r="G791" t="s">
        <v>274</v>
      </c>
      <c r="H791" t="s">
        <v>274</v>
      </c>
      <c r="I791" t="s">
        <v>274</v>
      </c>
      <c r="J791" t="s">
        <v>274</v>
      </c>
      <c r="K791" t="s">
        <v>274</v>
      </c>
      <c r="L791" t="s">
        <v>274</v>
      </c>
      <c r="M791" t="s">
        <v>274</v>
      </c>
      <c r="N791" t="e">
        <f t="shared" si="1"/>
        <v>#VALUE!</v>
      </c>
      <c r="O791" t="e">
        <f t="shared" si="2"/>
        <v>#VALUE!</v>
      </c>
      <c r="P791" t="e">
        <f>IF($A791="","",IF($E791=1,$F791*$O791,PNL!G791))</f>
        <v>#VALUE!</v>
      </c>
      <c r="T791" t="e">
        <f t="shared" si="3"/>
        <v>#VALUE!</v>
      </c>
    </row>
    <row r="792" ht="14.25" customHeight="1">
      <c r="A792" t="str">
        <f>IF(PNL!A792="","",PNL!A792)</f>
        <v>MBWAY_NAN</v>
      </c>
      <c r="B792" t="str">
        <f>IF(PNL!B792="","",PNL!B792)</f>
        <v>615</v>
      </c>
      <c r="C792" t="str">
        <f>IF(PNL!C792="","",PNL!C792)</f>
        <v>2027</v>
      </c>
      <c r="D792" t="str">
        <f>IF(PNL!D792="","",PNL!D792)</f>
        <v>V03</v>
      </c>
      <c r="E792">
        <f t="shared" si="0"/>
        <v>1</v>
      </c>
      <c r="F792">
        <f>IF($A792="","",IF($E792=1,_xlfn.SUMIFS(Compta!$F$1:$F$1448,Compta!$A$1:$A$1448,$A792,Compta!$B$1:$B$1448,$B792,Compta!$C$1:$C$1448,"2026"),0))</f>
        <v>26370</v>
      </c>
      <c r="G792" t="s">
        <v>274</v>
      </c>
      <c r="H792" t="s">
        <v>274</v>
      </c>
      <c r="I792" t="s">
        <v>274</v>
      </c>
      <c r="J792" t="s">
        <v>274</v>
      </c>
      <c r="K792" t="s">
        <v>274</v>
      </c>
      <c r="L792" t="s">
        <v>274</v>
      </c>
      <c r="M792" t="s">
        <v>274</v>
      </c>
      <c r="N792" t="e">
        <f t="shared" si="1"/>
        <v>#VALUE!</v>
      </c>
      <c r="O792" t="e">
        <f t="shared" si="2"/>
        <v>#VALUE!</v>
      </c>
      <c r="P792" t="e">
        <f>IF($A792="","",IF($E792=1,$F792*$O792,PNL!G792))</f>
        <v>#VALUE!</v>
      </c>
      <c r="T792" t="e">
        <f t="shared" si="3"/>
        <v>#VALUE!</v>
      </c>
    </row>
    <row r="793" ht="14.25" customHeight="1">
      <c r="A793" t="str">
        <f>IF(PNL!A793="","",PNL!A793)</f>
        <v>MBWAY_BOR</v>
      </c>
      <c r="B793" t="str">
        <f>IF(PNL!B793="","",PNL!B793)</f>
        <v>615</v>
      </c>
      <c r="C793" t="str">
        <f>IF(PNL!C793="","",PNL!C793)</f>
        <v>2027</v>
      </c>
      <c r="D793" t="str">
        <f>IF(PNL!D793="","",PNL!D793)</f>
        <v>V01</v>
      </c>
      <c r="E793">
        <f t="shared" si="0"/>
        <v>1</v>
      </c>
      <c r="F793">
        <f>IF($A793="","",IF($E793=1,_xlfn.SUMIFS(Compta!$F$1:$F$1448,Compta!$A$1:$A$1448,$A793,Compta!$B$1:$B$1448,$B793,Compta!$C$1:$C$1448,"2026"),0))</f>
        <v>23074</v>
      </c>
      <c r="G793" t="s">
        <v>274</v>
      </c>
      <c r="H793" t="s">
        <v>274</v>
      </c>
      <c r="I793" t="s">
        <v>274</v>
      </c>
      <c r="J793" t="s">
        <v>274</v>
      </c>
      <c r="K793" t="s">
        <v>274</v>
      </c>
      <c r="L793" t="s">
        <v>274</v>
      </c>
      <c r="M793" t="s">
        <v>274</v>
      </c>
      <c r="N793" t="e">
        <f t="shared" si="1"/>
        <v>#VALUE!</v>
      </c>
      <c r="O793" t="e">
        <f t="shared" si="2"/>
        <v>#VALUE!</v>
      </c>
      <c r="P793" t="e">
        <f>IF($A793="","",IF($E793=1,$F793*$O793,PNL!G793))</f>
        <v>#VALUE!</v>
      </c>
      <c r="T793" t="e">
        <f t="shared" si="3"/>
        <v>#VALUE!</v>
      </c>
    </row>
    <row r="794" ht="14.25" customHeight="1">
      <c r="A794" t="str">
        <f>IF(PNL!A794="","",PNL!A794)</f>
        <v>MBWAY_BOR</v>
      </c>
      <c r="B794" t="str">
        <f>IF(PNL!B794="","",PNL!B794)</f>
        <v>615</v>
      </c>
      <c r="C794" t="str">
        <f>IF(PNL!C794="","",PNL!C794)</f>
        <v>2027</v>
      </c>
      <c r="D794" t="str">
        <f>IF(PNL!D794="","",PNL!D794)</f>
        <v>V02</v>
      </c>
      <c r="E794">
        <f t="shared" si="0"/>
        <v>1</v>
      </c>
      <c r="F794">
        <f>IF($A794="","",IF($E794=1,_xlfn.SUMIFS(Compta!$F$1:$F$1448,Compta!$A$1:$A$1448,$A794,Compta!$B$1:$B$1448,$B794,Compta!$C$1:$C$1448,"2026"),0))</f>
        <v>23074</v>
      </c>
      <c r="G794" t="s">
        <v>274</v>
      </c>
      <c r="H794" t="s">
        <v>274</v>
      </c>
      <c r="I794" t="s">
        <v>274</v>
      </c>
      <c r="J794" t="s">
        <v>274</v>
      </c>
      <c r="K794" t="s">
        <v>274</v>
      </c>
      <c r="L794" t="s">
        <v>274</v>
      </c>
      <c r="M794" t="s">
        <v>274</v>
      </c>
      <c r="N794" t="e">
        <f t="shared" si="1"/>
        <v>#VALUE!</v>
      </c>
      <c r="O794" t="e">
        <f t="shared" si="2"/>
        <v>#VALUE!</v>
      </c>
      <c r="P794" t="e">
        <f>IF($A794="","",IF($E794=1,$F794*$O794,PNL!G794))</f>
        <v>#VALUE!</v>
      </c>
      <c r="T794" t="e">
        <f t="shared" si="3"/>
        <v>#VALUE!</v>
      </c>
    </row>
    <row r="795" ht="14.25" customHeight="1">
      <c r="A795" t="str">
        <f>IF(PNL!A795="","",PNL!A795)</f>
        <v>MBWAY_BOR</v>
      </c>
      <c r="B795" t="str">
        <f>IF(PNL!B795="","",PNL!B795)</f>
        <v>615</v>
      </c>
      <c r="C795" t="str">
        <f>IF(PNL!C795="","",PNL!C795)</f>
        <v>2027</v>
      </c>
      <c r="D795" t="str">
        <f>IF(PNL!D795="","",PNL!D795)</f>
        <v>V03</v>
      </c>
      <c r="E795">
        <f t="shared" si="0"/>
        <v>1</v>
      </c>
      <c r="F795">
        <f>IF($A795="","",IF($E795=1,_xlfn.SUMIFS(Compta!$F$1:$F$1448,Compta!$A$1:$A$1448,$A795,Compta!$B$1:$B$1448,$B795,Compta!$C$1:$C$1448,"2026"),0))</f>
        <v>23074</v>
      </c>
      <c r="G795" t="s">
        <v>274</v>
      </c>
      <c r="H795" t="s">
        <v>274</v>
      </c>
      <c r="I795" t="s">
        <v>274</v>
      </c>
      <c r="J795" t="s">
        <v>274</v>
      </c>
      <c r="K795" t="s">
        <v>274</v>
      </c>
      <c r="L795" t="s">
        <v>274</v>
      </c>
      <c r="M795" t="s">
        <v>274</v>
      </c>
      <c r="N795" t="e">
        <f t="shared" si="1"/>
        <v>#VALUE!</v>
      </c>
      <c r="O795" t="e">
        <f t="shared" si="2"/>
        <v>#VALUE!</v>
      </c>
      <c r="P795" t="e">
        <f>IF($A795="","",IF($E795=1,$F795*$O795,PNL!G795))</f>
        <v>#VALUE!</v>
      </c>
      <c r="T795" t="e">
        <f t="shared" si="3"/>
        <v>#VALUE!</v>
      </c>
    </row>
    <row r="796" ht="14.25" customHeight="1">
      <c r="A796" t="str">
        <f>IF(PNL!A796="","",PNL!A796)</f>
        <v>ISCOM_PAR</v>
      </c>
      <c r="B796" t="str">
        <f>IF(PNL!B796="","",PNL!B796)</f>
        <v>615</v>
      </c>
      <c r="C796" t="str">
        <f>IF(PNL!C796="","",PNL!C796)</f>
        <v>2027</v>
      </c>
      <c r="D796" t="str">
        <f>IF(PNL!D796="","",PNL!D796)</f>
        <v>V01</v>
      </c>
      <c r="E796">
        <f t="shared" si="0"/>
        <v>1</v>
      </c>
      <c r="F796">
        <f>IF($A796="","",IF($E796=1,_xlfn.SUMIFS(Compta!$F$1:$F$1448,Compta!$A$1:$A$1448,$A796,Compta!$B$1:$B$1448,$B796,Compta!$C$1:$C$1448,"2026"),0))</f>
        <v>53400</v>
      </c>
      <c r="G796" t="s">
        <v>274</v>
      </c>
      <c r="H796" t="s">
        <v>274</v>
      </c>
      <c r="I796" t="s">
        <v>274</v>
      </c>
      <c r="J796" t="s">
        <v>274</v>
      </c>
      <c r="K796" t="s">
        <v>274</v>
      </c>
      <c r="L796" t="s">
        <v>274</v>
      </c>
      <c r="M796" t="s">
        <v>274</v>
      </c>
      <c r="N796" t="e">
        <f t="shared" si="1"/>
        <v>#VALUE!</v>
      </c>
      <c r="O796" t="e">
        <f t="shared" si="2"/>
        <v>#VALUE!</v>
      </c>
      <c r="P796" t="e">
        <f>IF($A796="","",IF($E796=1,$F796*$O796,PNL!G796))</f>
        <v>#VALUE!</v>
      </c>
      <c r="T796" t="e">
        <f t="shared" si="3"/>
        <v>#VALUE!</v>
      </c>
    </row>
    <row r="797" ht="14.25" customHeight="1">
      <c r="A797" t="str">
        <f>IF(PNL!A797="","",PNL!A797)</f>
        <v>ISCOM_PAR</v>
      </c>
      <c r="B797" t="str">
        <f>IF(PNL!B797="","",PNL!B797)</f>
        <v>615</v>
      </c>
      <c r="C797" t="str">
        <f>IF(PNL!C797="","",PNL!C797)</f>
        <v>2027</v>
      </c>
      <c r="D797" t="str">
        <f>IF(PNL!D797="","",PNL!D797)</f>
        <v>V02</v>
      </c>
      <c r="E797">
        <f t="shared" si="0"/>
        <v>1</v>
      </c>
      <c r="F797">
        <f>IF($A797="","",IF($E797=1,_xlfn.SUMIFS(Compta!$F$1:$F$1448,Compta!$A$1:$A$1448,$A797,Compta!$B$1:$B$1448,$B797,Compta!$C$1:$C$1448,"2026"),0))</f>
        <v>53400</v>
      </c>
      <c r="G797" t="s">
        <v>274</v>
      </c>
      <c r="H797" t="s">
        <v>274</v>
      </c>
      <c r="I797" t="s">
        <v>274</v>
      </c>
      <c r="J797" t="s">
        <v>274</v>
      </c>
      <c r="K797" t="s">
        <v>274</v>
      </c>
      <c r="L797" t="s">
        <v>274</v>
      </c>
      <c r="M797" t="s">
        <v>274</v>
      </c>
      <c r="N797" t="e">
        <f t="shared" si="1"/>
        <v>#VALUE!</v>
      </c>
      <c r="O797" t="e">
        <f t="shared" si="2"/>
        <v>#VALUE!</v>
      </c>
      <c r="P797" t="e">
        <f>IF($A797="","",IF($E797=1,$F797*$O797,PNL!G797))</f>
        <v>#VALUE!</v>
      </c>
      <c r="T797" t="e">
        <f t="shared" si="3"/>
        <v>#VALUE!</v>
      </c>
    </row>
    <row r="798" ht="14.25" customHeight="1">
      <c r="A798" t="str">
        <f>IF(PNL!A798="","",PNL!A798)</f>
        <v>ISCOM_PAR</v>
      </c>
      <c r="B798" t="str">
        <f>IF(PNL!B798="","",PNL!B798)</f>
        <v>615</v>
      </c>
      <c r="C798" t="str">
        <f>IF(PNL!C798="","",PNL!C798)</f>
        <v>2027</v>
      </c>
      <c r="D798" t="str">
        <f>IF(PNL!D798="","",PNL!D798)</f>
        <v>V03</v>
      </c>
      <c r="E798">
        <f t="shared" si="0"/>
        <v>1</v>
      </c>
      <c r="F798">
        <f>IF($A798="","",IF($E798=1,_xlfn.SUMIFS(Compta!$F$1:$F$1448,Compta!$A$1:$A$1448,$A798,Compta!$B$1:$B$1448,$B798,Compta!$C$1:$C$1448,"2026"),0))</f>
        <v>53400</v>
      </c>
      <c r="G798" t="s">
        <v>274</v>
      </c>
      <c r="H798" t="s">
        <v>274</v>
      </c>
      <c r="I798" t="s">
        <v>274</v>
      </c>
      <c r="J798" t="s">
        <v>274</v>
      </c>
      <c r="K798" t="s">
        <v>274</v>
      </c>
      <c r="L798" t="s">
        <v>274</v>
      </c>
      <c r="M798" t="s">
        <v>274</v>
      </c>
      <c r="N798" t="e">
        <f t="shared" si="1"/>
        <v>#VALUE!</v>
      </c>
      <c r="O798" t="e">
        <f t="shared" si="2"/>
        <v>#VALUE!</v>
      </c>
      <c r="P798" t="e">
        <f>IF($A798="","",IF($E798=1,$F798*$O798,PNL!G798))</f>
        <v>#VALUE!</v>
      </c>
      <c r="T798" t="e">
        <f t="shared" si="3"/>
        <v>#VALUE!</v>
      </c>
    </row>
    <row r="799" ht="14.25" customHeight="1">
      <c r="A799" t="str">
        <f>IF(PNL!A799="","",PNL!A799)</f>
        <v>ISCOM_LIL</v>
      </c>
      <c r="B799" t="str">
        <f>IF(PNL!B799="","",PNL!B799)</f>
        <v>615</v>
      </c>
      <c r="C799" t="str">
        <f>IF(PNL!C799="","",PNL!C799)</f>
        <v>2027</v>
      </c>
      <c r="D799" t="str">
        <f>IF(PNL!D799="","",PNL!D799)</f>
        <v>V01</v>
      </c>
      <c r="E799">
        <f t="shared" si="0"/>
        <v>1</v>
      </c>
      <c r="F799">
        <f>IF($A799="","",IF($E799=1,_xlfn.SUMIFS(Compta!$F$1:$F$1448,Compta!$A$1:$A$1448,$A799,Compta!$B$1:$B$1448,$B799,Compta!$C$1:$C$1448,"2026"),0))</f>
        <v>20217</v>
      </c>
      <c r="G799" t="s">
        <v>274</v>
      </c>
      <c r="H799" t="s">
        <v>274</v>
      </c>
      <c r="I799" t="s">
        <v>274</v>
      </c>
      <c r="J799" t="s">
        <v>274</v>
      </c>
      <c r="K799" t="s">
        <v>274</v>
      </c>
      <c r="L799" t="s">
        <v>274</v>
      </c>
      <c r="M799" t="s">
        <v>274</v>
      </c>
      <c r="N799" t="e">
        <f t="shared" si="1"/>
        <v>#VALUE!</v>
      </c>
      <c r="O799" t="e">
        <f t="shared" si="2"/>
        <v>#VALUE!</v>
      </c>
      <c r="P799" t="e">
        <f>IF($A799="","",IF($E799=1,$F799*$O799,PNL!G799))</f>
        <v>#VALUE!</v>
      </c>
      <c r="T799" t="e">
        <f t="shared" si="3"/>
        <v>#VALUE!</v>
      </c>
    </row>
    <row r="800" ht="14.25" customHeight="1">
      <c r="A800" t="str">
        <f>IF(PNL!A800="","",PNL!A800)</f>
        <v>ISCOM_LIL</v>
      </c>
      <c r="B800" t="str">
        <f>IF(PNL!B800="","",PNL!B800)</f>
        <v>615</v>
      </c>
      <c r="C800" t="str">
        <f>IF(PNL!C800="","",PNL!C800)</f>
        <v>2027</v>
      </c>
      <c r="D800" t="str">
        <f>IF(PNL!D800="","",PNL!D800)</f>
        <v>V02</v>
      </c>
      <c r="E800">
        <f t="shared" si="0"/>
        <v>1</v>
      </c>
      <c r="F800">
        <f>IF($A800="","",IF($E800=1,_xlfn.SUMIFS(Compta!$F$1:$F$1448,Compta!$A$1:$A$1448,$A800,Compta!$B$1:$B$1448,$B800,Compta!$C$1:$C$1448,"2026"),0))</f>
        <v>20217</v>
      </c>
      <c r="G800" t="s">
        <v>274</v>
      </c>
      <c r="H800" t="s">
        <v>274</v>
      </c>
      <c r="I800" t="s">
        <v>274</v>
      </c>
      <c r="J800" t="s">
        <v>274</v>
      </c>
      <c r="K800" t="s">
        <v>274</v>
      </c>
      <c r="L800" t="s">
        <v>274</v>
      </c>
      <c r="M800" t="s">
        <v>274</v>
      </c>
      <c r="N800" t="e">
        <f t="shared" si="1"/>
        <v>#VALUE!</v>
      </c>
      <c r="O800" t="e">
        <f t="shared" si="2"/>
        <v>#VALUE!</v>
      </c>
      <c r="P800" t="e">
        <f>IF($A800="","",IF($E800=1,$F800*$O800,PNL!G800))</f>
        <v>#VALUE!</v>
      </c>
      <c r="T800" t="e">
        <f t="shared" si="3"/>
        <v>#VALUE!</v>
      </c>
    </row>
    <row r="801" ht="14.25" customHeight="1">
      <c r="A801" t="str">
        <f>IF(PNL!A801="","",PNL!A801)</f>
        <v>ISCOM_LIL</v>
      </c>
      <c r="B801" t="str">
        <f>IF(PNL!B801="","",PNL!B801)</f>
        <v>615</v>
      </c>
      <c r="C801" t="str">
        <f>IF(PNL!C801="","",PNL!C801)</f>
        <v>2027</v>
      </c>
      <c r="D801" t="str">
        <f>IF(PNL!D801="","",PNL!D801)</f>
        <v>V03</v>
      </c>
      <c r="E801">
        <f t="shared" si="0"/>
        <v>1</v>
      </c>
      <c r="F801">
        <f>IF($A801="","",IF($E801=1,_xlfn.SUMIFS(Compta!$F$1:$F$1448,Compta!$A$1:$A$1448,$A801,Compta!$B$1:$B$1448,$B801,Compta!$C$1:$C$1448,"2026"),0))</f>
        <v>20217</v>
      </c>
      <c r="G801" t="s">
        <v>274</v>
      </c>
      <c r="H801" t="s">
        <v>274</v>
      </c>
      <c r="I801" t="s">
        <v>274</v>
      </c>
      <c r="J801" t="s">
        <v>274</v>
      </c>
      <c r="K801" t="s">
        <v>274</v>
      </c>
      <c r="L801" t="s">
        <v>274</v>
      </c>
      <c r="M801" t="s">
        <v>274</v>
      </c>
      <c r="N801" t="e">
        <f t="shared" si="1"/>
        <v>#VALUE!</v>
      </c>
      <c r="O801" t="e">
        <f t="shared" si="2"/>
        <v>#VALUE!</v>
      </c>
      <c r="P801" t="e">
        <f>IF($A801="","",IF($E801=1,$F801*$O801,PNL!G801))</f>
        <v>#VALUE!</v>
      </c>
      <c r="T801" t="e">
        <f t="shared" si="3"/>
        <v>#VALUE!</v>
      </c>
    </row>
    <row r="802" ht="14.25" customHeight="1">
      <c r="A802" t="str">
        <f>IF(PNL!A802="","",PNL!A802)</f>
        <v>ISCOM_TLS</v>
      </c>
      <c r="B802" t="str">
        <f>IF(PNL!B802="","",PNL!B802)</f>
        <v>615</v>
      </c>
      <c r="C802" t="str">
        <f>IF(PNL!C802="","",PNL!C802)</f>
        <v>2027</v>
      </c>
      <c r="D802" t="str">
        <f>IF(PNL!D802="","",PNL!D802)</f>
        <v>V01</v>
      </c>
      <c r="E802">
        <f t="shared" si="0"/>
        <v>1</v>
      </c>
      <c r="F802">
        <f>IF($A802="","",IF($E802=1,_xlfn.SUMIFS(Compta!$F$1:$F$1448,Compta!$A$1:$A$1448,$A802,Compta!$B$1:$B$1448,$B802,Compta!$C$1:$C$1448,"2026"),0))</f>
        <v>19778</v>
      </c>
      <c r="G802" t="s">
        <v>274</v>
      </c>
      <c r="H802" t="s">
        <v>274</v>
      </c>
      <c r="I802" t="s">
        <v>274</v>
      </c>
      <c r="J802" t="s">
        <v>274</v>
      </c>
      <c r="K802" t="s">
        <v>274</v>
      </c>
      <c r="L802" t="s">
        <v>274</v>
      </c>
      <c r="M802" t="s">
        <v>274</v>
      </c>
      <c r="N802" t="e">
        <f t="shared" si="1"/>
        <v>#VALUE!</v>
      </c>
      <c r="O802" t="e">
        <f t="shared" si="2"/>
        <v>#VALUE!</v>
      </c>
      <c r="P802" t="e">
        <f>IF($A802="","",IF($E802=1,$F802*$O802,PNL!G802))</f>
        <v>#VALUE!</v>
      </c>
      <c r="T802" t="e">
        <f t="shared" si="3"/>
        <v>#VALUE!</v>
      </c>
    </row>
    <row r="803" ht="14.25" customHeight="1">
      <c r="A803" t="str">
        <f>IF(PNL!A803="","",PNL!A803)</f>
        <v>ISCOM_TLS</v>
      </c>
      <c r="B803" t="str">
        <f>IF(PNL!B803="","",PNL!B803)</f>
        <v>615</v>
      </c>
      <c r="C803" t="str">
        <f>IF(PNL!C803="","",PNL!C803)</f>
        <v>2027</v>
      </c>
      <c r="D803" t="str">
        <f>IF(PNL!D803="","",PNL!D803)</f>
        <v>V02</v>
      </c>
      <c r="E803">
        <f t="shared" si="0"/>
        <v>1</v>
      </c>
      <c r="F803">
        <f>IF($A803="","",IF($E803=1,_xlfn.SUMIFS(Compta!$F$1:$F$1448,Compta!$A$1:$A$1448,$A803,Compta!$B$1:$B$1448,$B803,Compta!$C$1:$C$1448,"2026"),0))</f>
        <v>19778</v>
      </c>
      <c r="G803" t="s">
        <v>274</v>
      </c>
      <c r="H803" t="s">
        <v>274</v>
      </c>
      <c r="I803" t="s">
        <v>274</v>
      </c>
      <c r="J803" t="s">
        <v>274</v>
      </c>
      <c r="K803" t="s">
        <v>274</v>
      </c>
      <c r="L803" t="s">
        <v>274</v>
      </c>
      <c r="M803" t="s">
        <v>274</v>
      </c>
      <c r="N803" t="e">
        <f t="shared" si="1"/>
        <v>#VALUE!</v>
      </c>
      <c r="O803" t="e">
        <f t="shared" si="2"/>
        <v>#VALUE!</v>
      </c>
      <c r="P803" t="e">
        <f>IF($A803="","",IF($E803=1,$F803*$O803,PNL!G803))</f>
        <v>#VALUE!</v>
      </c>
      <c r="T803" t="e">
        <f t="shared" si="3"/>
        <v>#VALUE!</v>
      </c>
    </row>
    <row r="804" ht="14.25" customHeight="1">
      <c r="A804" t="str">
        <f>IF(PNL!A804="","",PNL!A804)</f>
        <v>ISCOM_TLS</v>
      </c>
      <c r="B804" t="str">
        <f>IF(PNL!B804="","",PNL!B804)</f>
        <v>615</v>
      </c>
      <c r="C804" t="str">
        <f>IF(PNL!C804="","",PNL!C804)</f>
        <v>2027</v>
      </c>
      <c r="D804" t="str">
        <f>IF(PNL!D804="","",PNL!D804)</f>
        <v>V03</v>
      </c>
      <c r="E804">
        <f t="shared" si="0"/>
        <v>1</v>
      </c>
      <c r="F804">
        <f>IF($A804="","",IF($E804=1,_xlfn.SUMIFS(Compta!$F$1:$F$1448,Compta!$A$1:$A$1448,$A804,Compta!$B$1:$B$1448,$B804,Compta!$C$1:$C$1448,"2026"),0))</f>
        <v>19778</v>
      </c>
      <c r="G804" t="s">
        <v>274</v>
      </c>
      <c r="H804" t="s">
        <v>274</v>
      </c>
      <c r="I804" t="s">
        <v>274</v>
      </c>
      <c r="J804" t="s">
        <v>274</v>
      </c>
      <c r="K804" t="s">
        <v>274</v>
      </c>
      <c r="L804" t="s">
        <v>274</v>
      </c>
      <c r="M804" t="s">
        <v>274</v>
      </c>
      <c r="N804" t="e">
        <f t="shared" si="1"/>
        <v>#VALUE!</v>
      </c>
      <c r="O804" t="e">
        <f t="shared" si="2"/>
        <v>#VALUE!</v>
      </c>
      <c r="P804" t="e">
        <f>IF($A804="","",IF($E804=1,$F804*$O804,PNL!G804))</f>
        <v>#VALUE!</v>
      </c>
      <c r="T804" t="e">
        <f t="shared" si="3"/>
        <v>#VALUE!</v>
      </c>
    </row>
    <row r="805" ht="14.25" customHeight="1">
      <c r="A805" t="str">
        <f>IF(PNL!A805="","",PNL!A805)</f>
        <v>IPAC_NAN</v>
      </c>
      <c r="B805" t="str">
        <f>IF(PNL!B805="","",PNL!B805)</f>
        <v>615</v>
      </c>
      <c r="C805" t="str">
        <f>IF(PNL!C805="","",PNL!C805)</f>
        <v>2027</v>
      </c>
      <c r="D805" t="str">
        <f>IF(PNL!D805="","",PNL!D805)</f>
        <v>V01</v>
      </c>
      <c r="E805">
        <f t="shared" si="0"/>
        <v>1</v>
      </c>
      <c r="F805">
        <f>IF($A805="","",IF($E805=1,_xlfn.SUMIFS(Compta!$F$1:$F$1448,Compta!$A$1:$A$1448,$A805,Compta!$B$1:$B$1448,$B805,Compta!$C$1:$C$1448,"2026"),0))</f>
        <v>13185</v>
      </c>
      <c r="G805" t="s">
        <v>274</v>
      </c>
      <c r="H805" t="s">
        <v>274</v>
      </c>
      <c r="I805" t="s">
        <v>274</v>
      </c>
      <c r="J805" t="s">
        <v>274</v>
      </c>
      <c r="K805" t="s">
        <v>274</v>
      </c>
      <c r="L805" t="s">
        <v>274</v>
      </c>
      <c r="M805" t="s">
        <v>274</v>
      </c>
      <c r="N805" t="e">
        <f t="shared" si="1"/>
        <v>#VALUE!</v>
      </c>
      <c r="O805" t="e">
        <f t="shared" si="2"/>
        <v>#VALUE!</v>
      </c>
      <c r="P805" t="e">
        <f>IF($A805="","",IF($E805=1,$F805*$O805,PNL!G805))</f>
        <v>#VALUE!</v>
      </c>
      <c r="T805" t="e">
        <f t="shared" si="3"/>
        <v>#VALUE!</v>
      </c>
    </row>
    <row r="806" ht="14.25" customHeight="1">
      <c r="A806" t="str">
        <f>IF(PNL!A806="","",PNL!A806)</f>
        <v>IPAC_NAN</v>
      </c>
      <c r="B806" t="str">
        <f>IF(PNL!B806="","",PNL!B806)</f>
        <v>615</v>
      </c>
      <c r="C806" t="str">
        <f>IF(PNL!C806="","",PNL!C806)</f>
        <v>2027</v>
      </c>
      <c r="D806" t="str">
        <f>IF(PNL!D806="","",PNL!D806)</f>
        <v>V02</v>
      </c>
      <c r="E806">
        <f t="shared" si="0"/>
        <v>1</v>
      </c>
      <c r="F806">
        <f>IF($A806="","",IF($E806=1,_xlfn.SUMIFS(Compta!$F$1:$F$1448,Compta!$A$1:$A$1448,$A806,Compta!$B$1:$B$1448,$B806,Compta!$C$1:$C$1448,"2026"),0))</f>
        <v>13185</v>
      </c>
      <c r="G806" t="s">
        <v>274</v>
      </c>
      <c r="H806" t="s">
        <v>274</v>
      </c>
      <c r="I806" t="s">
        <v>274</v>
      </c>
      <c r="J806" t="s">
        <v>274</v>
      </c>
      <c r="K806" t="s">
        <v>274</v>
      </c>
      <c r="L806" t="s">
        <v>274</v>
      </c>
      <c r="M806" t="s">
        <v>274</v>
      </c>
      <c r="N806" t="e">
        <f t="shared" si="1"/>
        <v>#VALUE!</v>
      </c>
      <c r="O806" t="e">
        <f t="shared" si="2"/>
        <v>#VALUE!</v>
      </c>
      <c r="P806" t="e">
        <f>IF($A806="","",IF($E806=1,$F806*$O806,PNL!G806))</f>
        <v>#VALUE!</v>
      </c>
      <c r="T806" t="e">
        <f t="shared" si="3"/>
        <v>#VALUE!</v>
      </c>
    </row>
    <row r="807" ht="14.25" customHeight="1">
      <c r="A807" t="str">
        <f>IF(PNL!A807="","",PNL!A807)</f>
        <v>IPAC_NAN</v>
      </c>
      <c r="B807" t="str">
        <f>IF(PNL!B807="","",PNL!B807)</f>
        <v>615</v>
      </c>
      <c r="C807" t="str">
        <f>IF(PNL!C807="","",PNL!C807)</f>
        <v>2027</v>
      </c>
      <c r="D807" t="str">
        <f>IF(PNL!D807="","",PNL!D807)</f>
        <v>V03</v>
      </c>
      <c r="E807">
        <f t="shared" si="0"/>
        <v>1</v>
      </c>
      <c r="F807">
        <f>IF($A807="","",IF($E807=1,_xlfn.SUMIFS(Compta!$F$1:$F$1448,Compta!$A$1:$A$1448,$A807,Compta!$B$1:$B$1448,$B807,Compta!$C$1:$C$1448,"2026"),0))</f>
        <v>13185</v>
      </c>
      <c r="G807" t="s">
        <v>274</v>
      </c>
      <c r="H807" t="s">
        <v>274</v>
      </c>
      <c r="I807" t="s">
        <v>274</v>
      </c>
      <c r="J807" t="s">
        <v>274</v>
      </c>
      <c r="K807" t="s">
        <v>274</v>
      </c>
      <c r="L807" t="s">
        <v>274</v>
      </c>
      <c r="M807" t="s">
        <v>274</v>
      </c>
      <c r="N807" t="e">
        <f t="shared" si="1"/>
        <v>#VALUE!</v>
      </c>
      <c r="O807" t="e">
        <f t="shared" si="2"/>
        <v>#VALUE!</v>
      </c>
      <c r="P807" t="e">
        <f>IF($A807="","",IF($E807=1,$F807*$O807,PNL!G807))</f>
        <v>#VALUE!</v>
      </c>
      <c r="T807" t="e">
        <f t="shared" si="3"/>
        <v>#VALUE!</v>
      </c>
    </row>
    <row r="808" ht="14.25" customHeight="1">
      <c r="A808" t="str">
        <f>IF(PNL!A808="","",PNL!A808)</f>
        <v>IPAC_REN</v>
      </c>
      <c r="B808" t="str">
        <f>IF(PNL!B808="","",PNL!B808)</f>
        <v>615</v>
      </c>
      <c r="C808" t="str">
        <f>IF(PNL!C808="","",PNL!C808)</f>
        <v>2027</v>
      </c>
      <c r="D808" t="str">
        <f>IF(PNL!D808="","",PNL!D808)</f>
        <v>V01</v>
      </c>
      <c r="E808">
        <f t="shared" si="0"/>
        <v>1</v>
      </c>
      <c r="F808">
        <f>IF($A808="","",IF($E808=1,_xlfn.SUMIFS(Compta!$F$1:$F$1448,Compta!$A$1:$A$1448,$A808,Compta!$B$1:$B$1448,$B808,Compta!$C$1:$C$1448,"2026"),0))</f>
        <v>11603</v>
      </c>
      <c r="G808" t="s">
        <v>274</v>
      </c>
      <c r="H808" t="s">
        <v>274</v>
      </c>
      <c r="I808" t="s">
        <v>274</v>
      </c>
      <c r="J808" t="s">
        <v>274</v>
      </c>
      <c r="K808" t="s">
        <v>274</v>
      </c>
      <c r="L808" t="s">
        <v>274</v>
      </c>
      <c r="M808" t="s">
        <v>274</v>
      </c>
      <c r="N808" t="e">
        <f t="shared" si="1"/>
        <v>#VALUE!</v>
      </c>
      <c r="O808" t="e">
        <f t="shared" si="2"/>
        <v>#VALUE!</v>
      </c>
      <c r="P808" t="e">
        <f>IF($A808="","",IF($E808=1,$F808*$O808,PNL!G808))</f>
        <v>#VALUE!</v>
      </c>
      <c r="T808" t="e">
        <f t="shared" si="3"/>
        <v>#VALUE!</v>
      </c>
    </row>
    <row r="809" ht="14.25" customHeight="1">
      <c r="A809" t="str">
        <f>IF(PNL!A809="","",PNL!A809)</f>
        <v>IPAC_REN</v>
      </c>
      <c r="B809" t="str">
        <f>IF(PNL!B809="","",PNL!B809)</f>
        <v>615</v>
      </c>
      <c r="C809" t="str">
        <f>IF(PNL!C809="","",PNL!C809)</f>
        <v>2027</v>
      </c>
      <c r="D809" t="str">
        <f>IF(PNL!D809="","",PNL!D809)</f>
        <v>V02</v>
      </c>
      <c r="E809">
        <f t="shared" si="0"/>
        <v>1</v>
      </c>
      <c r="F809">
        <f>IF($A809="","",IF($E809=1,_xlfn.SUMIFS(Compta!$F$1:$F$1448,Compta!$A$1:$A$1448,$A809,Compta!$B$1:$B$1448,$B809,Compta!$C$1:$C$1448,"2026"),0))</f>
        <v>11603</v>
      </c>
      <c r="G809" t="s">
        <v>274</v>
      </c>
      <c r="H809" t="s">
        <v>274</v>
      </c>
      <c r="I809" t="s">
        <v>274</v>
      </c>
      <c r="J809" t="s">
        <v>274</v>
      </c>
      <c r="K809" t="s">
        <v>274</v>
      </c>
      <c r="L809" t="s">
        <v>274</v>
      </c>
      <c r="M809" t="s">
        <v>274</v>
      </c>
      <c r="N809" t="e">
        <f t="shared" si="1"/>
        <v>#VALUE!</v>
      </c>
      <c r="O809" t="e">
        <f t="shared" si="2"/>
        <v>#VALUE!</v>
      </c>
      <c r="P809" t="e">
        <f>IF($A809="","",IF($E809=1,$F809*$O809,PNL!G809))</f>
        <v>#VALUE!</v>
      </c>
      <c r="T809" t="e">
        <f t="shared" si="3"/>
        <v>#VALUE!</v>
      </c>
    </row>
    <row r="810" ht="14.25" customHeight="1">
      <c r="A810" t="str">
        <f>IF(PNL!A810="","",PNL!A810)</f>
        <v>IPAC_REN</v>
      </c>
      <c r="B810" t="str">
        <f>IF(PNL!B810="","",PNL!B810)</f>
        <v>615</v>
      </c>
      <c r="C810" t="str">
        <f>IF(PNL!C810="","",PNL!C810)</f>
        <v>2027</v>
      </c>
      <c r="D810" t="str">
        <f>IF(PNL!D810="","",PNL!D810)</f>
        <v>V03</v>
      </c>
      <c r="E810">
        <f t="shared" si="0"/>
        <v>1</v>
      </c>
      <c r="F810">
        <f>IF($A810="","",IF($E810=1,_xlfn.SUMIFS(Compta!$F$1:$F$1448,Compta!$A$1:$A$1448,$A810,Compta!$B$1:$B$1448,$B810,Compta!$C$1:$C$1448,"2026"),0))</f>
        <v>11603</v>
      </c>
      <c r="G810" t="s">
        <v>274</v>
      </c>
      <c r="H810" t="s">
        <v>274</v>
      </c>
      <c r="I810" t="s">
        <v>274</v>
      </c>
      <c r="J810" t="s">
        <v>274</v>
      </c>
      <c r="K810" t="s">
        <v>274</v>
      </c>
      <c r="L810" t="s">
        <v>274</v>
      </c>
      <c r="M810" t="s">
        <v>274</v>
      </c>
      <c r="N810" t="e">
        <f t="shared" si="1"/>
        <v>#VALUE!</v>
      </c>
      <c r="O810" t="e">
        <f t="shared" si="2"/>
        <v>#VALUE!</v>
      </c>
      <c r="P810" t="e">
        <f>IF($A810="","",IF($E810=1,$F810*$O810,PNL!G810))</f>
        <v>#VALUE!</v>
      </c>
      <c r="T810" t="e">
        <f t="shared" si="3"/>
        <v>#VALUE!</v>
      </c>
    </row>
    <row r="811" ht="14.25" customHeight="1">
      <c r="A811" t="str">
        <f>IF(PNL!A811="","",PNL!A811)</f>
        <v>IPAC_MTP</v>
      </c>
      <c r="B811" t="str">
        <f>IF(PNL!B811="","",PNL!B811)</f>
        <v>615</v>
      </c>
      <c r="C811" t="str">
        <f>IF(PNL!C811="","",PNL!C811)</f>
        <v>2027</v>
      </c>
      <c r="D811" t="str">
        <f>IF(PNL!D811="","",PNL!D811)</f>
        <v>V01</v>
      </c>
      <c r="E811">
        <f t="shared" si="0"/>
        <v>1</v>
      </c>
      <c r="F811">
        <f>IF($A811="","",IF($E811=1,_xlfn.SUMIFS(Compta!$F$1:$F$1448,Compta!$A$1:$A$1448,$A811,Compta!$B$1:$B$1448,$B811,Compta!$C$1:$C$1448,"2026"),0))</f>
        <v>11603</v>
      </c>
      <c r="G811" t="s">
        <v>274</v>
      </c>
      <c r="H811" t="s">
        <v>274</v>
      </c>
      <c r="I811" t="s">
        <v>274</v>
      </c>
      <c r="J811" t="s">
        <v>274</v>
      </c>
      <c r="K811" t="s">
        <v>274</v>
      </c>
      <c r="L811" t="s">
        <v>274</v>
      </c>
      <c r="M811" t="s">
        <v>274</v>
      </c>
      <c r="N811" t="e">
        <f t="shared" si="1"/>
        <v>#VALUE!</v>
      </c>
      <c r="O811" t="e">
        <f t="shared" si="2"/>
        <v>#VALUE!</v>
      </c>
      <c r="P811" t="e">
        <f>IF($A811="","",IF($E811=1,$F811*$O811,PNL!G811))</f>
        <v>#VALUE!</v>
      </c>
      <c r="T811" t="e">
        <f t="shared" si="3"/>
        <v>#VALUE!</v>
      </c>
    </row>
    <row r="812" ht="14.25" customHeight="1">
      <c r="A812" t="str">
        <f>IF(PNL!A812="","",PNL!A812)</f>
        <v>IPAC_MTP</v>
      </c>
      <c r="B812" t="str">
        <f>IF(PNL!B812="","",PNL!B812)</f>
        <v>615</v>
      </c>
      <c r="C812" t="str">
        <f>IF(PNL!C812="","",PNL!C812)</f>
        <v>2027</v>
      </c>
      <c r="D812" t="str">
        <f>IF(PNL!D812="","",PNL!D812)</f>
        <v>V02</v>
      </c>
      <c r="E812">
        <f t="shared" si="0"/>
        <v>1</v>
      </c>
      <c r="F812">
        <f>IF($A812="","",IF($E812=1,_xlfn.SUMIFS(Compta!$F$1:$F$1448,Compta!$A$1:$A$1448,$A812,Compta!$B$1:$B$1448,$B812,Compta!$C$1:$C$1448,"2026"),0))</f>
        <v>11603</v>
      </c>
      <c r="G812" t="s">
        <v>274</v>
      </c>
      <c r="H812" t="s">
        <v>274</v>
      </c>
      <c r="I812" t="s">
        <v>274</v>
      </c>
      <c r="J812" t="s">
        <v>274</v>
      </c>
      <c r="K812" t="s">
        <v>274</v>
      </c>
      <c r="L812" t="s">
        <v>274</v>
      </c>
      <c r="M812" t="s">
        <v>274</v>
      </c>
      <c r="N812" t="e">
        <f t="shared" si="1"/>
        <v>#VALUE!</v>
      </c>
      <c r="O812" t="e">
        <f t="shared" si="2"/>
        <v>#VALUE!</v>
      </c>
      <c r="P812" t="e">
        <f>IF($A812="","",IF($E812=1,$F812*$O812,PNL!G812))</f>
        <v>#VALUE!</v>
      </c>
      <c r="T812" t="e">
        <f t="shared" si="3"/>
        <v>#VALUE!</v>
      </c>
    </row>
    <row r="813" ht="14.25" customHeight="1">
      <c r="A813" t="str">
        <f>IF(PNL!A813="","",PNL!A813)</f>
        <v>IPAC_MTP</v>
      </c>
      <c r="B813" t="str">
        <f>IF(PNL!B813="","",PNL!B813)</f>
        <v>615</v>
      </c>
      <c r="C813" t="str">
        <f>IF(PNL!C813="","",PNL!C813)</f>
        <v>2027</v>
      </c>
      <c r="D813" t="str">
        <f>IF(PNL!D813="","",PNL!D813)</f>
        <v>V03</v>
      </c>
      <c r="E813">
        <f t="shared" si="0"/>
        <v>1</v>
      </c>
      <c r="F813">
        <f>IF($A813="","",IF($E813=1,_xlfn.SUMIFS(Compta!$F$1:$F$1448,Compta!$A$1:$A$1448,$A813,Compta!$B$1:$B$1448,$B813,Compta!$C$1:$C$1448,"2026"),0))</f>
        <v>11603</v>
      </c>
      <c r="G813" t="s">
        <v>274</v>
      </c>
      <c r="H813" t="s">
        <v>274</v>
      </c>
      <c r="I813" t="s">
        <v>274</v>
      </c>
      <c r="J813" t="s">
        <v>274</v>
      </c>
      <c r="K813" t="s">
        <v>274</v>
      </c>
      <c r="L813" t="s">
        <v>274</v>
      </c>
      <c r="M813" t="s">
        <v>274</v>
      </c>
      <c r="N813" t="e">
        <f t="shared" si="1"/>
        <v>#VALUE!</v>
      </c>
      <c r="O813" t="e">
        <f t="shared" si="2"/>
        <v>#VALUE!</v>
      </c>
      <c r="P813" t="e">
        <f>IF($A813="","",IF($E813=1,$F813*$O813,PNL!G813))</f>
        <v>#VALUE!</v>
      </c>
      <c r="T813" t="e">
        <f t="shared" si="3"/>
        <v>#VALUE!</v>
      </c>
    </row>
    <row r="814" ht="14.25" customHeight="1">
      <c r="A814" t="str">
        <f>IF(PNL!A814="","",PNL!A814)</f>
        <v>PIGIER_LYO</v>
      </c>
      <c r="B814" t="str">
        <f>IF(PNL!B814="","",PNL!B814)</f>
        <v>615</v>
      </c>
      <c r="C814" t="str">
        <f>IF(PNL!C814="","",PNL!C814)</f>
        <v>2027</v>
      </c>
      <c r="D814" t="str">
        <f>IF(PNL!D814="","",PNL!D814)</f>
        <v>V01</v>
      </c>
      <c r="E814">
        <f t="shared" si="0"/>
        <v>1</v>
      </c>
      <c r="F814">
        <f>IF($A814="","",IF($E814=1,_xlfn.SUMIFS(Compta!$F$1:$F$1448,Compta!$A$1:$A$1448,$A814,Compta!$B$1:$B$1448,$B814,Compta!$C$1:$C$1448,"2026"),0))</f>
        <v>19690</v>
      </c>
      <c r="G814" t="s">
        <v>274</v>
      </c>
      <c r="H814" t="s">
        <v>274</v>
      </c>
      <c r="I814" t="s">
        <v>274</v>
      </c>
      <c r="J814" t="s">
        <v>274</v>
      </c>
      <c r="K814" t="s">
        <v>274</v>
      </c>
      <c r="L814" t="s">
        <v>274</v>
      </c>
      <c r="M814" t="s">
        <v>274</v>
      </c>
      <c r="N814" t="e">
        <f t="shared" si="1"/>
        <v>#VALUE!</v>
      </c>
      <c r="O814" t="e">
        <f t="shared" si="2"/>
        <v>#VALUE!</v>
      </c>
      <c r="P814" t="e">
        <f>IF($A814="","",IF($E814=1,$F814*$O814,PNL!G814))</f>
        <v>#VALUE!</v>
      </c>
      <c r="T814" t="e">
        <f t="shared" si="3"/>
        <v>#VALUE!</v>
      </c>
    </row>
    <row r="815" ht="14.25" customHeight="1">
      <c r="A815" t="str">
        <f>IF(PNL!A815="","",PNL!A815)</f>
        <v>PIGIER_LYO</v>
      </c>
      <c r="B815" t="str">
        <f>IF(PNL!B815="","",PNL!B815)</f>
        <v>615</v>
      </c>
      <c r="C815" t="str">
        <f>IF(PNL!C815="","",PNL!C815)</f>
        <v>2027</v>
      </c>
      <c r="D815" t="str">
        <f>IF(PNL!D815="","",PNL!D815)</f>
        <v>V02</v>
      </c>
      <c r="E815">
        <f t="shared" si="0"/>
        <v>1</v>
      </c>
      <c r="F815">
        <f>IF($A815="","",IF($E815=1,_xlfn.SUMIFS(Compta!$F$1:$F$1448,Compta!$A$1:$A$1448,$A815,Compta!$B$1:$B$1448,$B815,Compta!$C$1:$C$1448,"2026"),0))</f>
        <v>19690</v>
      </c>
      <c r="G815" t="s">
        <v>274</v>
      </c>
      <c r="H815" t="s">
        <v>274</v>
      </c>
      <c r="I815" t="s">
        <v>274</v>
      </c>
      <c r="J815" t="s">
        <v>274</v>
      </c>
      <c r="K815" t="s">
        <v>274</v>
      </c>
      <c r="L815" t="s">
        <v>274</v>
      </c>
      <c r="M815" t="s">
        <v>274</v>
      </c>
      <c r="N815" t="e">
        <f t="shared" si="1"/>
        <v>#VALUE!</v>
      </c>
      <c r="O815" t="e">
        <f t="shared" si="2"/>
        <v>#VALUE!</v>
      </c>
      <c r="P815" t="e">
        <f>IF($A815="","",IF($E815=1,$F815*$O815,PNL!G815))</f>
        <v>#VALUE!</v>
      </c>
      <c r="T815" t="e">
        <f t="shared" si="3"/>
        <v>#VALUE!</v>
      </c>
    </row>
    <row r="816" ht="14.25" customHeight="1">
      <c r="A816" t="str">
        <f>IF(PNL!A816="","",PNL!A816)</f>
        <v>PIGIER_LYO</v>
      </c>
      <c r="B816" t="str">
        <f>IF(PNL!B816="","",PNL!B816)</f>
        <v>615</v>
      </c>
      <c r="C816" t="str">
        <f>IF(PNL!C816="","",PNL!C816)</f>
        <v>2027</v>
      </c>
      <c r="D816" t="str">
        <f>IF(PNL!D816="","",PNL!D816)</f>
        <v>V03</v>
      </c>
      <c r="E816">
        <f t="shared" si="0"/>
        <v>1</v>
      </c>
      <c r="F816">
        <f>IF($A816="","",IF($E816=1,_xlfn.SUMIFS(Compta!$F$1:$F$1448,Compta!$A$1:$A$1448,$A816,Compta!$B$1:$B$1448,$B816,Compta!$C$1:$C$1448,"2026"),0))</f>
        <v>19690</v>
      </c>
      <c r="G816" t="s">
        <v>274</v>
      </c>
      <c r="H816" t="s">
        <v>274</v>
      </c>
      <c r="I816" t="s">
        <v>274</v>
      </c>
      <c r="J816" t="s">
        <v>274</v>
      </c>
      <c r="K816" t="s">
        <v>274</v>
      </c>
      <c r="L816" t="s">
        <v>274</v>
      </c>
      <c r="M816" t="s">
        <v>274</v>
      </c>
      <c r="N816" t="e">
        <f t="shared" si="1"/>
        <v>#VALUE!</v>
      </c>
      <c r="O816" t="e">
        <f t="shared" si="2"/>
        <v>#VALUE!</v>
      </c>
      <c r="P816" t="e">
        <f>IF($A816="","",IF($E816=1,$F816*$O816,PNL!G816))</f>
        <v>#VALUE!</v>
      </c>
      <c r="T816" t="e">
        <f t="shared" si="3"/>
        <v>#VALUE!</v>
      </c>
    </row>
    <row r="817" ht="14.25" customHeight="1">
      <c r="A817" t="str">
        <f>IF(PNL!A817="","",PNL!A817)</f>
        <v>PIGIER_BOR</v>
      </c>
      <c r="B817" t="str">
        <f>IF(PNL!B817="","",PNL!B817)</f>
        <v>615</v>
      </c>
      <c r="C817" t="str">
        <f>IF(PNL!C817="","",PNL!C817)</f>
        <v>2027</v>
      </c>
      <c r="D817" t="str">
        <f>IF(PNL!D817="","",PNL!D817)</f>
        <v>V01</v>
      </c>
      <c r="E817">
        <f t="shared" si="0"/>
        <v>1</v>
      </c>
      <c r="F817">
        <f>IF($A817="","",IF($E817=1,_xlfn.SUMIFS(Compta!$F$1:$F$1448,Compta!$A$1:$A$1448,$A817,Compta!$B$1:$B$1448,$B817,Compta!$C$1:$C$1448,"2026"),0))</f>
        <v>18459</v>
      </c>
      <c r="G817" t="s">
        <v>274</v>
      </c>
      <c r="H817" t="s">
        <v>274</v>
      </c>
      <c r="I817" t="s">
        <v>274</v>
      </c>
      <c r="J817" t="s">
        <v>274</v>
      </c>
      <c r="K817" t="s">
        <v>274</v>
      </c>
      <c r="L817" t="s">
        <v>274</v>
      </c>
      <c r="M817" t="s">
        <v>274</v>
      </c>
      <c r="N817" t="e">
        <f t="shared" si="1"/>
        <v>#VALUE!</v>
      </c>
      <c r="O817" t="e">
        <f t="shared" si="2"/>
        <v>#VALUE!</v>
      </c>
      <c r="P817" t="e">
        <f>IF($A817="","",IF($E817=1,$F817*$O817,PNL!G817))</f>
        <v>#VALUE!</v>
      </c>
      <c r="T817" t="e">
        <f t="shared" si="3"/>
        <v>#VALUE!</v>
      </c>
    </row>
    <row r="818" ht="14.25" customHeight="1">
      <c r="A818" t="str">
        <f>IF(PNL!A818="","",PNL!A818)</f>
        <v>PIGIER_BOR</v>
      </c>
      <c r="B818" t="str">
        <f>IF(PNL!B818="","",PNL!B818)</f>
        <v>615</v>
      </c>
      <c r="C818" t="str">
        <f>IF(PNL!C818="","",PNL!C818)</f>
        <v>2027</v>
      </c>
      <c r="D818" t="str">
        <f>IF(PNL!D818="","",PNL!D818)</f>
        <v>V02</v>
      </c>
      <c r="E818">
        <f t="shared" si="0"/>
        <v>1</v>
      </c>
      <c r="F818">
        <f>IF($A818="","",IF($E818=1,_xlfn.SUMIFS(Compta!$F$1:$F$1448,Compta!$A$1:$A$1448,$A818,Compta!$B$1:$B$1448,$B818,Compta!$C$1:$C$1448,"2026"),0))</f>
        <v>18459</v>
      </c>
      <c r="G818" t="s">
        <v>274</v>
      </c>
      <c r="H818" t="s">
        <v>274</v>
      </c>
      <c r="I818" t="s">
        <v>274</v>
      </c>
      <c r="J818" t="s">
        <v>274</v>
      </c>
      <c r="K818" t="s">
        <v>274</v>
      </c>
      <c r="L818" t="s">
        <v>274</v>
      </c>
      <c r="M818" t="s">
        <v>274</v>
      </c>
      <c r="N818" t="e">
        <f t="shared" si="1"/>
        <v>#VALUE!</v>
      </c>
      <c r="O818" t="e">
        <f t="shared" si="2"/>
        <v>#VALUE!</v>
      </c>
      <c r="P818" t="e">
        <f>IF($A818="","",IF($E818=1,$F818*$O818,PNL!G818))</f>
        <v>#VALUE!</v>
      </c>
      <c r="T818" t="e">
        <f t="shared" si="3"/>
        <v>#VALUE!</v>
      </c>
    </row>
    <row r="819" ht="14.25" customHeight="1">
      <c r="A819" t="str">
        <f>IF(PNL!A819="","",PNL!A819)</f>
        <v>PIGIER_BOR</v>
      </c>
      <c r="B819" t="str">
        <f>IF(PNL!B819="","",PNL!B819)</f>
        <v>615</v>
      </c>
      <c r="C819" t="str">
        <f>IF(PNL!C819="","",PNL!C819)</f>
        <v>2027</v>
      </c>
      <c r="D819" t="str">
        <f>IF(PNL!D819="","",PNL!D819)</f>
        <v>V03</v>
      </c>
      <c r="E819">
        <f t="shared" si="0"/>
        <v>1</v>
      </c>
      <c r="F819">
        <f>IF($A819="","",IF($E819=1,_xlfn.SUMIFS(Compta!$F$1:$F$1448,Compta!$A$1:$A$1448,$A819,Compta!$B$1:$B$1448,$B819,Compta!$C$1:$C$1448,"2026"),0))</f>
        <v>18459</v>
      </c>
      <c r="G819" t="s">
        <v>274</v>
      </c>
      <c r="H819" t="s">
        <v>274</v>
      </c>
      <c r="I819" t="s">
        <v>274</v>
      </c>
      <c r="J819" t="s">
        <v>274</v>
      </c>
      <c r="K819" t="s">
        <v>274</v>
      </c>
      <c r="L819" t="s">
        <v>274</v>
      </c>
      <c r="M819" t="s">
        <v>274</v>
      </c>
      <c r="N819" t="e">
        <f t="shared" si="1"/>
        <v>#VALUE!</v>
      </c>
      <c r="O819" t="e">
        <f t="shared" si="2"/>
        <v>#VALUE!</v>
      </c>
      <c r="P819" t="e">
        <f>IF($A819="","",IF($E819=1,$F819*$O819,PNL!G819))</f>
        <v>#VALUE!</v>
      </c>
      <c r="T819" t="e">
        <f t="shared" si="3"/>
        <v>#VALUE!</v>
      </c>
    </row>
    <row r="820" ht="14.25" customHeight="1">
      <c r="A820" t="str">
        <f>IF(PNL!A820="","",PNL!A820)</f>
        <v>TUNON_PAR</v>
      </c>
      <c r="B820" t="str">
        <f>IF(PNL!B820="","",PNL!B820)</f>
        <v>615</v>
      </c>
      <c r="C820" t="str">
        <f>IF(PNL!C820="","",PNL!C820)</f>
        <v>2027</v>
      </c>
      <c r="D820" t="str">
        <f>IF(PNL!D820="","",PNL!D820)</f>
        <v>V01</v>
      </c>
      <c r="E820">
        <f t="shared" si="0"/>
        <v>1</v>
      </c>
      <c r="F820">
        <f>IF($A820="","",IF($E820=1,_xlfn.SUMIFS(Compta!$F$1:$F$1448,Compta!$A$1:$A$1448,$A820,Compta!$B$1:$B$1448,$B820,Compta!$C$1:$C$1448,"2026"),0))</f>
        <v>21360</v>
      </c>
      <c r="G820" t="s">
        <v>274</v>
      </c>
      <c r="H820" t="s">
        <v>274</v>
      </c>
      <c r="I820" t="s">
        <v>274</v>
      </c>
      <c r="J820" t="s">
        <v>274</v>
      </c>
      <c r="K820" t="s">
        <v>274</v>
      </c>
      <c r="L820" t="s">
        <v>274</v>
      </c>
      <c r="M820" t="s">
        <v>274</v>
      </c>
      <c r="N820" t="e">
        <f t="shared" si="1"/>
        <v>#VALUE!</v>
      </c>
      <c r="O820" t="e">
        <f t="shared" si="2"/>
        <v>#VALUE!</v>
      </c>
      <c r="P820" t="e">
        <f>IF($A820="","",IF($E820=1,$F820*$O820,PNL!G820))</f>
        <v>#VALUE!</v>
      </c>
      <c r="T820" t="e">
        <f t="shared" si="3"/>
        <v>#VALUE!</v>
      </c>
    </row>
    <row r="821" ht="14.25" customHeight="1">
      <c r="A821" t="str">
        <f>IF(PNL!A821="","",PNL!A821)</f>
        <v>TUNON_PAR</v>
      </c>
      <c r="B821" t="str">
        <f>IF(PNL!B821="","",PNL!B821)</f>
        <v>615</v>
      </c>
      <c r="C821" t="str">
        <f>IF(PNL!C821="","",PNL!C821)</f>
        <v>2027</v>
      </c>
      <c r="D821" t="str">
        <f>IF(PNL!D821="","",PNL!D821)</f>
        <v>V02</v>
      </c>
      <c r="E821">
        <f t="shared" si="0"/>
        <v>1</v>
      </c>
      <c r="F821">
        <f>IF($A821="","",IF($E821=1,_xlfn.SUMIFS(Compta!$F$1:$F$1448,Compta!$A$1:$A$1448,$A821,Compta!$B$1:$B$1448,$B821,Compta!$C$1:$C$1448,"2026"),0))</f>
        <v>21360</v>
      </c>
      <c r="G821" t="s">
        <v>274</v>
      </c>
      <c r="H821" t="s">
        <v>274</v>
      </c>
      <c r="I821" t="s">
        <v>274</v>
      </c>
      <c r="J821" t="s">
        <v>274</v>
      </c>
      <c r="K821" t="s">
        <v>274</v>
      </c>
      <c r="L821" t="s">
        <v>274</v>
      </c>
      <c r="M821" t="s">
        <v>274</v>
      </c>
      <c r="N821" t="e">
        <f t="shared" si="1"/>
        <v>#VALUE!</v>
      </c>
      <c r="O821" t="e">
        <f t="shared" si="2"/>
        <v>#VALUE!</v>
      </c>
      <c r="P821" t="e">
        <f>IF($A821="","",IF($E821=1,$F821*$O821,PNL!G821))</f>
        <v>#VALUE!</v>
      </c>
      <c r="T821" t="e">
        <f t="shared" si="3"/>
        <v>#VALUE!</v>
      </c>
    </row>
    <row r="822" ht="14.25" customHeight="1">
      <c r="A822" t="str">
        <f>IF(PNL!A822="","",PNL!A822)</f>
        <v>TUNON_PAR</v>
      </c>
      <c r="B822" t="str">
        <f>IF(PNL!B822="","",PNL!B822)</f>
        <v>615</v>
      </c>
      <c r="C822" t="str">
        <f>IF(PNL!C822="","",PNL!C822)</f>
        <v>2027</v>
      </c>
      <c r="D822" t="str">
        <f>IF(PNL!D822="","",PNL!D822)</f>
        <v>V03</v>
      </c>
      <c r="E822">
        <f t="shared" si="0"/>
        <v>1</v>
      </c>
      <c r="F822">
        <f>IF($A822="","",IF($E822=1,_xlfn.SUMIFS(Compta!$F$1:$F$1448,Compta!$A$1:$A$1448,$A822,Compta!$B$1:$B$1448,$B822,Compta!$C$1:$C$1448,"2026"),0))</f>
        <v>21360</v>
      </c>
      <c r="G822" t="s">
        <v>274</v>
      </c>
      <c r="H822" t="s">
        <v>274</v>
      </c>
      <c r="I822" t="s">
        <v>274</v>
      </c>
      <c r="J822" t="s">
        <v>274</v>
      </c>
      <c r="K822" t="s">
        <v>274</v>
      </c>
      <c r="L822" t="s">
        <v>274</v>
      </c>
      <c r="M822" t="s">
        <v>274</v>
      </c>
      <c r="N822" t="e">
        <f t="shared" si="1"/>
        <v>#VALUE!</v>
      </c>
      <c r="O822" t="e">
        <f t="shared" si="2"/>
        <v>#VALUE!</v>
      </c>
      <c r="P822" t="e">
        <f>IF($A822="","",IF($E822=1,$F822*$O822,PNL!G822))</f>
        <v>#VALUE!</v>
      </c>
      <c r="T822" t="e">
        <f t="shared" si="3"/>
        <v>#VALUE!</v>
      </c>
    </row>
    <row r="823" ht="14.25" customHeight="1">
      <c r="A823" t="str">
        <f>IF(PNL!A823="","",PNL!A823)</f>
        <v>TUNON_LYO</v>
      </c>
      <c r="B823" t="str">
        <f>IF(PNL!B823="","",PNL!B823)</f>
        <v>615</v>
      </c>
      <c r="C823" t="str">
        <f>IF(PNL!C823="","",PNL!C823)</f>
        <v>2027</v>
      </c>
      <c r="D823" t="str">
        <f>IF(PNL!D823="","",PNL!D823)</f>
        <v>V01</v>
      </c>
      <c r="E823">
        <f t="shared" si="0"/>
        <v>1</v>
      </c>
      <c r="F823">
        <f>IF($A823="","",IF($E823=1,_xlfn.SUMIFS(Compta!$F$1:$F$1448,Compta!$A$1:$A$1448,$A823,Compta!$B$1:$B$1448,$B823,Compta!$C$1:$C$1448,"2026"),0))</f>
        <v>14767</v>
      </c>
      <c r="G823" t="s">
        <v>274</v>
      </c>
      <c r="H823" t="s">
        <v>274</v>
      </c>
      <c r="I823" t="s">
        <v>274</v>
      </c>
      <c r="J823" t="s">
        <v>274</v>
      </c>
      <c r="K823" t="s">
        <v>274</v>
      </c>
      <c r="L823" t="s">
        <v>274</v>
      </c>
      <c r="M823" t="s">
        <v>274</v>
      </c>
      <c r="N823" t="e">
        <f t="shared" si="1"/>
        <v>#VALUE!</v>
      </c>
      <c r="O823" t="e">
        <f t="shared" si="2"/>
        <v>#VALUE!</v>
      </c>
      <c r="P823" t="e">
        <f>IF($A823="","",IF($E823=1,$F823*$O823,PNL!G823))</f>
        <v>#VALUE!</v>
      </c>
      <c r="T823" t="e">
        <f t="shared" si="3"/>
        <v>#VALUE!</v>
      </c>
    </row>
    <row r="824" ht="14.25" customHeight="1">
      <c r="A824" t="str">
        <f>IF(PNL!A824="","",PNL!A824)</f>
        <v>TUNON_LYO</v>
      </c>
      <c r="B824" t="str">
        <f>IF(PNL!B824="","",PNL!B824)</f>
        <v>615</v>
      </c>
      <c r="C824" t="str">
        <f>IF(PNL!C824="","",PNL!C824)</f>
        <v>2027</v>
      </c>
      <c r="D824" t="str">
        <f>IF(PNL!D824="","",PNL!D824)</f>
        <v>V02</v>
      </c>
      <c r="E824">
        <f t="shared" si="0"/>
        <v>1</v>
      </c>
      <c r="F824">
        <f>IF($A824="","",IF($E824=1,_xlfn.SUMIFS(Compta!$F$1:$F$1448,Compta!$A$1:$A$1448,$A824,Compta!$B$1:$B$1448,$B824,Compta!$C$1:$C$1448,"2026"),0))</f>
        <v>14767</v>
      </c>
      <c r="G824" t="s">
        <v>274</v>
      </c>
      <c r="H824" t="s">
        <v>274</v>
      </c>
      <c r="I824" t="s">
        <v>274</v>
      </c>
      <c r="J824" t="s">
        <v>274</v>
      </c>
      <c r="K824" t="s">
        <v>274</v>
      </c>
      <c r="L824" t="s">
        <v>274</v>
      </c>
      <c r="M824" t="s">
        <v>274</v>
      </c>
      <c r="N824" t="e">
        <f t="shared" si="1"/>
        <v>#VALUE!</v>
      </c>
      <c r="O824" t="e">
        <f t="shared" si="2"/>
        <v>#VALUE!</v>
      </c>
      <c r="P824" t="e">
        <f>IF($A824="","",IF($E824=1,$F824*$O824,PNL!G824))</f>
        <v>#VALUE!</v>
      </c>
      <c r="T824" t="e">
        <f t="shared" si="3"/>
        <v>#VALUE!</v>
      </c>
    </row>
    <row r="825" ht="14.25" customHeight="1">
      <c r="A825" t="str">
        <f>IF(PNL!A825="","",PNL!A825)</f>
        <v>TUNON_LYO</v>
      </c>
      <c r="B825" t="str">
        <f>IF(PNL!B825="","",PNL!B825)</f>
        <v>615</v>
      </c>
      <c r="C825" t="str">
        <f>IF(PNL!C825="","",PNL!C825)</f>
        <v>2027</v>
      </c>
      <c r="D825" t="str">
        <f>IF(PNL!D825="","",PNL!D825)</f>
        <v>V03</v>
      </c>
      <c r="E825">
        <f t="shared" si="0"/>
        <v>1</v>
      </c>
      <c r="F825">
        <f>IF($A825="","",IF($E825=1,_xlfn.SUMIFS(Compta!$F$1:$F$1448,Compta!$A$1:$A$1448,$A825,Compta!$B$1:$B$1448,$B825,Compta!$C$1:$C$1448,"2026"),0))</f>
        <v>14767</v>
      </c>
      <c r="G825" t="s">
        <v>274</v>
      </c>
      <c r="H825" t="s">
        <v>274</v>
      </c>
      <c r="I825" t="s">
        <v>274</v>
      </c>
      <c r="J825" t="s">
        <v>274</v>
      </c>
      <c r="K825" t="s">
        <v>274</v>
      </c>
      <c r="L825" t="s">
        <v>274</v>
      </c>
      <c r="M825" t="s">
        <v>274</v>
      </c>
      <c r="N825" t="e">
        <f t="shared" si="1"/>
        <v>#VALUE!</v>
      </c>
      <c r="O825" t="e">
        <f t="shared" si="2"/>
        <v>#VALUE!</v>
      </c>
      <c r="P825" t="e">
        <f>IF($A825="","",IF($E825=1,$F825*$O825,PNL!G825))</f>
        <v>#VALUE!</v>
      </c>
      <c r="T825" t="e">
        <f t="shared" si="3"/>
        <v>#VALUE!</v>
      </c>
    </row>
    <row r="826" ht="14.25" customHeight="1">
      <c r="A826" t="str">
        <f>IF(PNL!A826="","",PNL!A826)</f>
        <v>MBWAY_PAR</v>
      </c>
      <c r="B826" t="str">
        <f>IF(PNL!B826="","",PNL!B826)</f>
        <v>616</v>
      </c>
      <c r="C826" t="str">
        <f>IF(PNL!C826="","",PNL!C826)</f>
        <v>2027</v>
      </c>
      <c r="D826" t="str">
        <f>IF(PNL!D826="","",PNL!D826)</f>
        <v>V01</v>
      </c>
      <c r="E826">
        <f t="shared" si="0"/>
        <v>1</v>
      </c>
      <c r="F826">
        <f>IF($A826="","",IF($E826=1,_xlfn.SUMIFS(Compta!$F$1:$F$1448,Compta!$A$1:$A$1448,$A826,Compta!$B$1:$B$1448,$B826,Compta!$C$1:$C$1448,"2026"),0))</f>
        <v>38822</v>
      </c>
      <c r="G826" t="s">
        <v>274</v>
      </c>
      <c r="H826" t="s">
        <v>274</v>
      </c>
      <c r="I826" t="s">
        <v>274</v>
      </c>
      <c r="J826" t="s">
        <v>274</v>
      </c>
      <c r="K826" t="s">
        <v>274</v>
      </c>
      <c r="L826" t="s">
        <v>274</v>
      </c>
      <c r="M826" t="s">
        <v>274</v>
      </c>
      <c r="N826" t="e">
        <f t="shared" si="1"/>
        <v>#VALUE!</v>
      </c>
      <c r="O826" t="e">
        <f t="shared" si="2"/>
        <v>#VALUE!</v>
      </c>
      <c r="P826" t="e">
        <f>IF($A826="","",IF($E826=1,$F826*$O826,PNL!G826))</f>
        <v>#VALUE!</v>
      </c>
      <c r="T826" t="e">
        <f t="shared" si="3"/>
        <v>#VALUE!</v>
      </c>
    </row>
    <row r="827" ht="14.25" customHeight="1">
      <c r="A827" t="str">
        <f>IF(PNL!A827="","",PNL!A827)</f>
        <v>MBWAY_PAR</v>
      </c>
      <c r="B827" t="str">
        <f>IF(PNL!B827="","",PNL!B827)</f>
        <v>616</v>
      </c>
      <c r="C827" t="str">
        <f>IF(PNL!C827="","",PNL!C827)</f>
        <v>2027</v>
      </c>
      <c r="D827" t="str">
        <f>IF(PNL!D827="","",PNL!D827)</f>
        <v>V02</v>
      </c>
      <c r="E827">
        <f t="shared" si="0"/>
        <v>1</v>
      </c>
      <c r="F827">
        <f>IF($A827="","",IF($E827=1,_xlfn.SUMIFS(Compta!$F$1:$F$1448,Compta!$A$1:$A$1448,$A827,Compta!$B$1:$B$1448,$B827,Compta!$C$1:$C$1448,"2026"),0))</f>
        <v>38822</v>
      </c>
      <c r="G827" t="s">
        <v>274</v>
      </c>
      <c r="H827" t="s">
        <v>274</v>
      </c>
      <c r="I827" t="s">
        <v>274</v>
      </c>
      <c r="J827" t="s">
        <v>274</v>
      </c>
      <c r="K827" t="s">
        <v>274</v>
      </c>
      <c r="L827" t="s">
        <v>274</v>
      </c>
      <c r="M827" t="s">
        <v>274</v>
      </c>
      <c r="N827" t="e">
        <f t="shared" si="1"/>
        <v>#VALUE!</v>
      </c>
      <c r="O827" t="e">
        <f t="shared" si="2"/>
        <v>#VALUE!</v>
      </c>
      <c r="P827" t="e">
        <f>IF($A827="","",IF($E827=1,$F827*$O827,PNL!G827))</f>
        <v>#VALUE!</v>
      </c>
      <c r="T827" t="e">
        <f t="shared" si="3"/>
        <v>#VALUE!</v>
      </c>
    </row>
    <row r="828" ht="14.25" customHeight="1">
      <c r="A828" t="str">
        <f>IF(PNL!A828="","",PNL!A828)</f>
        <v>MBWAY_PAR</v>
      </c>
      <c r="B828" t="str">
        <f>IF(PNL!B828="","",PNL!B828)</f>
        <v>616</v>
      </c>
      <c r="C828" t="str">
        <f>IF(PNL!C828="","",PNL!C828)</f>
        <v>2027</v>
      </c>
      <c r="D828" t="str">
        <f>IF(PNL!D828="","",PNL!D828)</f>
        <v>V03</v>
      </c>
      <c r="E828">
        <f t="shared" si="0"/>
        <v>1</v>
      </c>
      <c r="F828">
        <f>IF($A828="","",IF($E828=1,_xlfn.SUMIFS(Compta!$F$1:$F$1448,Compta!$A$1:$A$1448,$A828,Compta!$B$1:$B$1448,$B828,Compta!$C$1:$C$1448,"2026"),0))</f>
        <v>38822</v>
      </c>
      <c r="G828" t="s">
        <v>274</v>
      </c>
      <c r="H828" t="s">
        <v>274</v>
      </c>
      <c r="I828" t="s">
        <v>274</v>
      </c>
      <c r="J828" t="s">
        <v>274</v>
      </c>
      <c r="K828" t="s">
        <v>274</v>
      </c>
      <c r="L828" t="s">
        <v>274</v>
      </c>
      <c r="M828" t="s">
        <v>274</v>
      </c>
      <c r="N828" t="e">
        <f t="shared" si="1"/>
        <v>#VALUE!</v>
      </c>
      <c r="O828" t="e">
        <f t="shared" si="2"/>
        <v>#VALUE!</v>
      </c>
      <c r="P828" t="e">
        <f>IF($A828="","",IF($E828=1,$F828*$O828,PNL!G828))</f>
        <v>#VALUE!</v>
      </c>
      <c r="T828" t="e">
        <f t="shared" si="3"/>
        <v>#VALUE!</v>
      </c>
    </row>
    <row r="829" ht="14.25" customHeight="1">
      <c r="A829" t="str">
        <f>IF(PNL!A829="","",PNL!A829)</f>
        <v>MBWAY_LYO</v>
      </c>
      <c r="B829" t="str">
        <f>IF(PNL!B829="","",PNL!B829)</f>
        <v>616</v>
      </c>
      <c r="C829" t="str">
        <f>IF(PNL!C829="","",PNL!C829)</f>
        <v>2027</v>
      </c>
      <c r="D829" t="str">
        <f>IF(PNL!D829="","",PNL!D829)</f>
        <v>V01</v>
      </c>
      <c r="E829">
        <f t="shared" si="0"/>
        <v>1</v>
      </c>
      <c r="F829">
        <f>IF($A829="","",IF($E829=1,_xlfn.SUMIFS(Compta!$F$1:$F$1448,Compta!$A$1:$A$1448,$A829,Compta!$B$1:$B$1448,$B829,Compta!$C$1:$C$1448,"2026"),0))</f>
        <v>22765</v>
      </c>
      <c r="G829" t="s">
        <v>274</v>
      </c>
      <c r="H829" t="s">
        <v>274</v>
      </c>
      <c r="I829" t="s">
        <v>274</v>
      </c>
      <c r="J829" t="s">
        <v>274</v>
      </c>
      <c r="K829" t="s">
        <v>274</v>
      </c>
      <c r="L829" t="s">
        <v>274</v>
      </c>
      <c r="M829" t="s">
        <v>274</v>
      </c>
      <c r="N829" t="e">
        <f t="shared" si="1"/>
        <v>#VALUE!</v>
      </c>
      <c r="O829" t="e">
        <f t="shared" si="2"/>
        <v>#VALUE!</v>
      </c>
      <c r="P829" t="e">
        <f>IF($A829="","",IF($E829=1,$F829*$O829,PNL!G829))</f>
        <v>#VALUE!</v>
      </c>
      <c r="T829" t="e">
        <f t="shared" si="3"/>
        <v>#VALUE!</v>
      </c>
    </row>
    <row r="830" ht="14.25" customHeight="1">
      <c r="A830" t="str">
        <f>IF(PNL!A830="","",PNL!A830)</f>
        <v>MBWAY_LYO</v>
      </c>
      <c r="B830" t="str">
        <f>IF(PNL!B830="","",PNL!B830)</f>
        <v>616</v>
      </c>
      <c r="C830" t="str">
        <f>IF(PNL!C830="","",PNL!C830)</f>
        <v>2027</v>
      </c>
      <c r="D830" t="str">
        <f>IF(PNL!D830="","",PNL!D830)</f>
        <v>V02</v>
      </c>
      <c r="E830">
        <f t="shared" si="0"/>
        <v>1</v>
      </c>
      <c r="F830">
        <f>IF($A830="","",IF($E830=1,_xlfn.SUMIFS(Compta!$F$1:$F$1448,Compta!$A$1:$A$1448,$A830,Compta!$B$1:$B$1448,$B830,Compta!$C$1:$C$1448,"2026"),0))</f>
        <v>22765</v>
      </c>
      <c r="G830" t="s">
        <v>274</v>
      </c>
      <c r="H830" t="s">
        <v>274</v>
      </c>
      <c r="I830" t="s">
        <v>274</v>
      </c>
      <c r="J830" t="s">
        <v>274</v>
      </c>
      <c r="K830" t="s">
        <v>274</v>
      </c>
      <c r="L830" t="s">
        <v>274</v>
      </c>
      <c r="M830" t="s">
        <v>274</v>
      </c>
      <c r="N830" t="e">
        <f t="shared" si="1"/>
        <v>#VALUE!</v>
      </c>
      <c r="O830" t="e">
        <f t="shared" si="2"/>
        <v>#VALUE!</v>
      </c>
      <c r="P830" t="e">
        <f>IF($A830="","",IF($E830=1,$F830*$O830,PNL!G830))</f>
        <v>#VALUE!</v>
      </c>
      <c r="T830" t="e">
        <f t="shared" si="3"/>
        <v>#VALUE!</v>
      </c>
    </row>
    <row r="831" ht="14.25" customHeight="1">
      <c r="A831" t="str">
        <f>IF(PNL!A831="","",PNL!A831)</f>
        <v>MBWAY_LYO</v>
      </c>
      <c r="B831" t="str">
        <f>IF(PNL!B831="","",PNL!B831)</f>
        <v>616</v>
      </c>
      <c r="C831" t="str">
        <f>IF(PNL!C831="","",PNL!C831)</f>
        <v>2027</v>
      </c>
      <c r="D831" t="str">
        <f>IF(PNL!D831="","",PNL!D831)</f>
        <v>V03</v>
      </c>
      <c r="E831">
        <f t="shared" si="0"/>
        <v>1</v>
      </c>
      <c r="F831">
        <f>IF($A831="","",IF($E831=1,_xlfn.SUMIFS(Compta!$F$1:$F$1448,Compta!$A$1:$A$1448,$A831,Compta!$B$1:$B$1448,$B831,Compta!$C$1:$C$1448,"2026"),0))</f>
        <v>22765</v>
      </c>
      <c r="G831" t="s">
        <v>274</v>
      </c>
      <c r="H831" t="s">
        <v>274</v>
      </c>
      <c r="I831" t="s">
        <v>274</v>
      </c>
      <c r="J831" t="s">
        <v>274</v>
      </c>
      <c r="K831" t="s">
        <v>274</v>
      </c>
      <c r="L831" t="s">
        <v>274</v>
      </c>
      <c r="M831" t="s">
        <v>274</v>
      </c>
      <c r="N831" t="e">
        <f t="shared" si="1"/>
        <v>#VALUE!</v>
      </c>
      <c r="O831" t="e">
        <f t="shared" si="2"/>
        <v>#VALUE!</v>
      </c>
      <c r="P831" t="e">
        <f>IF($A831="","",IF($E831=1,$F831*$O831,PNL!G831))</f>
        <v>#VALUE!</v>
      </c>
      <c r="T831" t="e">
        <f t="shared" si="3"/>
        <v>#VALUE!</v>
      </c>
    </row>
    <row r="832" ht="14.25" customHeight="1">
      <c r="A832" t="str">
        <f>IF(PNL!A832="","",PNL!A832)</f>
        <v>MBWAY_NAN</v>
      </c>
      <c r="B832" t="str">
        <f>IF(PNL!B832="","",PNL!B832)</f>
        <v>616</v>
      </c>
      <c r="C832" t="str">
        <f>IF(PNL!C832="","",PNL!C832)</f>
        <v>2027</v>
      </c>
      <c r="D832" t="str">
        <f>IF(PNL!D832="","",PNL!D832)</f>
        <v>V01</v>
      </c>
      <c r="E832">
        <f t="shared" si="0"/>
        <v>1</v>
      </c>
      <c r="F832">
        <f>IF($A832="","",IF($E832=1,_xlfn.SUMIFS(Compta!$F$1:$F$1448,Compta!$A$1:$A$1448,$A832,Compta!$B$1:$B$1448,$B832,Compta!$C$1:$C$1448,"2026"),0))</f>
        <v>18444</v>
      </c>
      <c r="G832" t="s">
        <v>274</v>
      </c>
      <c r="H832" t="s">
        <v>274</v>
      </c>
      <c r="I832" t="s">
        <v>274</v>
      </c>
      <c r="J832" t="s">
        <v>274</v>
      </c>
      <c r="K832" t="s">
        <v>274</v>
      </c>
      <c r="L832" t="s">
        <v>274</v>
      </c>
      <c r="M832" t="s">
        <v>274</v>
      </c>
      <c r="N832" t="e">
        <f t="shared" si="1"/>
        <v>#VALUE!</v>
      </c>
      <c r="O832" t="e">
        <f t="shared" si="2"/>
        <v>#VALUE!</v>
      </c>
      <c r="P832" t="e">
        <f>IF($A832="","",IF($E832=1,$F832*$O832,PNL!G832))</f>
        <v>#VALUE!</v>
      </c>
      <c r="T832" t="e">
        <f t="shared" si="3"/>
        <v>#VALUE!</v>
      </c>
    </row>
    <row r="833" ht="14.25" customHeight="1">
      <c r="A833" t="str">
        <f>IF(PNL!A833="","",PNL!A833)</f>
        <v>MBWAY_NAN</v>
      </c>
      <c r="B833" t="str">
        <f>IF(PNL!B833="","",PNL!B833)</f>
        <v>616</v>
      </c>
      <c r="C833" t="str">
        <f>IF(PNL!C833="","",PNL!C833)</f>
        <v>2027</v>
      </c>
      <c r="D833" t="str">
        <f>IF(PNL!D833="","",PNL!D833)</f>
        <v>V02</v>
      </c>
      <c r="E833">
        <f t="shared" si="0"/>
        <v>1</v>
      </c>
      <c r="F833">
        <f>IF($A833="","",IF($E833=1,_xlfn.SUMIFS(Compta!$F$1:$F$1448,Compta!$A$1:$A$1448,$A833,Compta!$B$1:$B$1448,$B833,Compta!$C$1:$C$1448,"2026"),0))</f>
        <v>18444</v>
      </c>
      <c r="G833" t="s">
        <v>274</v>
      </c>
      <c r="H833" t="s">
        <v>274</v>
      </c>
      <c r="I833" t="s">
        <v>274</v>
      </c>
      <c r="J833" t="s">
        <v>274</v>
      </c>
      <c r="K833" t="s">
        <v>274</v>
      </c>
      <c r="L833" t="s">
        <v>274</v>
      </c>
      <c r="M833" t="s">
        <v>274</v>
      </c>
      <c r="N833" t="e">
        <f t="shared" si="1"/>
        <v>#VALUE!</v>
      </c>
      <c r="O833" t="e">
        <f t="shared" si="2"/>
        <v>#VALUE!</v>
      </c>
      <c r="P833" t="e">
        <f>IF($A833="","",IF($E833=1,$F833*$O833,PNL!G833))</f>
        <v>#VALUE!</v>
      </c>
      <c r="T833" t="e">
        <f t="shared" si="3"/>
        <v>#VALUE!</v>
      </c>
    </row>
    <row r="834" ht="14.25" customHeight="1">
      <c r="A834" t="str">
        <f>IF(PNL!A834="","",PNL!A834)</f>
        <v>MBWAY_NAN</v>
      </c>
      <c r="B834" t="str">
        <f>IF(PNL!B834="","",PNL!B834)</f>
        <v>616</v>
      </c>
      <c r="C834" t="str">
        <f>IF(PNL!C834="","",PNL!C834)</f>
        <v>2027</v>
      </c>
      <c r="D834" t="str">
        <f>IF(PNL!D834="","",PNL!D834)</f>
        <v>V03</v>
      </c>
      <c r="E834">
        <f t="shared" si="0"/>
        <v>1</v>
      </c>
      <c r="F834">
        <f>IF($A834="","",IF($E834=1,_xlfn.SUMIFS(Compta!$F$1:$F$1448,Compta!$A$1:$A$1448,$A834,Compta!$B$1:$B$1448,$B834,Compta!$C$1:$C$1448,"2026"),0))</f>
        <v>18444</v>
      </c>
      <c r="G834" t="s">
        <v>274</v>
      </c>
      <c r="H834" t="s">
        <v>274</v>
      </c>
      <c r="I834" t="s">
        <v>274</v>
      </c>
      <c r="J834" t="s">
        <v>274</v>
      </c>
      <c r="K834" t="s">
        <v>274</v>
      </c>
      <c r="L834" t="s">
        <v>274</v>
      </c>
      <c r="M834" t="s">
        <v>274</v>
      </c>
      <c r="N834" t="e">
        <f t="shared" si="1"/>
        <v>#VALUE!</v>
      </c>
      <c r="O834" t="e">
        <f t="shared" si="2"/>
        <v>#VALUE!</v>
      </c>
      <c r="P834" t="e">
        <f>IF($A834="","",IF($E834=1,$F834*$O834,PNL!G834))</f>
        <v>#VALUE!</v>
      </c>
      <c r="T834" t="e">
        <f t="shared" si="3"/>
        <v>#VALUE!</v>
      </c>
    </row>
    <row r="835" ht="14.25" customHeight="1">
      <c r="A835" t="str">
        <f>IF(PNL!A835="","",PNL!A835)</f>
        <v>MBWAY_BOR</v>
      </c>
      <c r="B835" t="str">
        <f>IF(PNL!B835="","",PNL!B835)</f>
        <v>616</v>
      </c>
      <c r="C835" t="str">
        <f>IF(PNL!C835="","",PNL!C835)</f>
        <v>2027</v>
      </c>
      <c r="D835" t="str">
        <f>IF(PNL!D835="","",PNL!D835)</f>
        <v>V01</v>
      </c>
      <c r="E835">
        <f t="shared" si="0"/>
        <v>1</v>
      </c>
      <c r="F835">
        <f>IF($A835="","",IF($E835=1,_xlfn.SUMIFS(Compta!$F$1:$F$1448,Compta!$A$1:$A$1448,$A835,Compta!$B$1:$B$1448,$B835,Compta!$C$1:$C$1448,"2026"),0))</f>
        <v>16402</v>
      </c>
      <c r="G835" t="s">
        <v>274</v>
      </c>
      <c r="H835" t="s">
        <v>274</v>
      </c>
      <c r="I835" t="s">
        <v>274</v>
      </c>
      <c r="J835" t="s">
        <v>274</v>
      </c>
      <c r="K835" t="s">
        <v>274</v>
      </c>
      <c r="L835" t="s">
        <v>274</v>
      </c>
      <c r="M835" t="s">
        <v>274</v>
      </c>
      <c r="N835" t="e">
        <f t="shared" si="1"/>
        <v>#VALUE!</v>
      </c>
      <c r="O835" t="e">
        <f t="shared" si="2"/>
        <v>#VALUE!</v>
      </c>
      <c r="P835" t="e">
        <f>IF($A835="","",IF($E835=1,$F835*$O835,PNL!G835))</f>
        <v>#VALUE!</v>
      </c>
      <c r="T835" t="e">
        <f t="shared" si="3"/>
        <v>#VALUE!</v>
      </c>
    </row>
    <row r="836" ht="14.25" customHeight="1">
      <c r="A836" t="str">
        <f>IF(PNL!A836="","",PNL!A836)</f>
        <v>MBWAY_BOR</v>
      </c>
      <c r="B836" t="str">
        <f>IF(PNL!B836="","",PNL!B836)</f>
        <v>616</v>
      </c>
      <c r="C836" t="str">
        <f>IF(PNL!C836="","",PNL!C836)</f>
        <v>2027</v>
      </c>
      <c r="D836" t="str">
        <f>IF(PNL!D836="","",PNL!D836)</f>
        <v>V02</v>
      </c>
      <c r="E836">
        <f t="shared" si="0"/>
        <v>1</v>
      </c>
      <c r="F836">
        <f>IF($A836="","",IF($E836=1,_xlfn.SUMIFS(Compta!$F$1:$F$1448,Compta!$A$1:$A$1448,$A836,Compta!$B$1:$B$1448,$B836,Compta!$C$1:$C$1448,"2026"),0))</f>
        <v>16402</v>
      </c>
      <c r="G836" t="s">
        <v>274</v>
      </c>
      <c r="H836" t="s">
        <v>274</v>
      </c>
      <c r="I836" t="s">
        <v>274</v>
      </c>
      <c r="J836" t="s">
        <v>274</v>
      </c>
      <c r="K836" t="s">
        <v>274</v>
      </c>
      <c r="L836" t="s">
        <v>274</v>
      </c>
      <c r="M836" t="s">
        <v>274</v>
      </c>
      <c r="N836" t="e">
        <f t="shared" si="1"/>
        <v>#VALUE!</v>
      </c>
      <c r="O836" t="e">
        <f t="shared" si="2"/>
        <v>#VALUE!</v>
      </c>
      <c r="P836" t="e">
        <f>IF($A836="","",IF($E836=1,$F836*$O836,PNL!G836))</f>
        <v>#VALUE!</v>
      </c>
      <c r="T836" t="e">
        <f t="shared" si="3"/>
        <v>#VALUE!</v>
      </c>
    </row>
    <row r="837" ht="14.25" customHeight="1">
      <c r="A837" t="str">
        <f>IF(PNL!A837="","",PNL!A837)</f>
        <v>MBWAY_BOR</v>
      </c>
      <c r="B837" t="str">
        <f>IF(PNL!B837="","",PNL!B837)</f>
        <v>616</v>
      </c>
      <c r="C837" t="str">
        <f>IF(PNL!C837="","",PNL!C837)</f>
        <v>2027</v>
      </c>
      <c r="D837" t="str">
        <f>IF(PNL!D837="","",PNL!D837)</f>
        <v>V03</v>
      </c>
      <c r="E837">
        <f t="shared" si="0"/>
        <v>1</v>
      </c>
      <c r="F837">
        <f>IF($A837="","",IF($E837=1,_xlfn.SUMIFS(Compta!$F$1:$F$1448,Compta!$A$1:$A$1448,$A837,Compta!$B$1:$B$1448,$B837,Compta!$C$1:$C$1448,"2026"),0))</f>
        <v>16402</v>
      </c>
      <c r="G837" t="s">
        <v>274</v>
      </c>
      <c r="H837" t="s">
        <v>274</v>
      </c>
      <c r="I837" t="s">
        <v>274</v>
      </c>
      <c r="J837" t="s">
        <v>274</v>
      </c>
      <c r="K837" t="s">
        <v>274</v>
      </c>
      <c r="L837" t="s">
        <v>274</v>
      </c>
      <c r="M837" t="s">
        <v>274</v>
      </c>
      <c r="N837" t="e">
        <f t="shared" si="1"/>
        <v>#VALUE!</v>
      </c>
      <c r="O837" t="e">
        <f t="shared" si="2"/>
        <v>#VALUE!</v>
      </c>
      <c r="P837" t="e">
        <f>IF($A837="","",IF($E837=1,$F837*$O837,PNL!G837))</f>
        <v>#VALUE!</v>
      </c>
      <c r="T837" t="e">
        <f t="shared" si="3"/>
        <v>#VALUE!</v>
      </c>
    </row>
    <row r="838" ht="14.25" customHeight="1">
      <c r="A838" t="str">
        <f>IF(PNL!A838="","",PNL!A838)</f>
        <v>ISCOM_PAR</v>
      </c>
      <c r="B838" t="str">
        <f>IF(PNL!B838="","",PNL!B838)</f>
        <v>616</v>
      </c>
      <c r="C838" t="str">
        <f>IF(PNL!C838="","",PNL!C838)</f>
        <v>2027</v>
      </c>
      <c r="D838" t="str">
        <f>IF(PNL!D838="","",PNL!D838)</f>
        <v>V01</v>
      </c>
      <c r="E838">
        <f t="shared" si="0"/>
        <v>1</v>
      </c>
      <c r="F838">
        <f>IF($A838="","",IF($E838=1,_xlfn.SUMIFS(Compta!$F$1:$F$1448,Compta!$A$1:$A$1448,$A838,Compta!$B$1:$B$1448,$B838,Compta!$C$1:$C$1448,"2026"),0))</f>
        <v>35977</v>
      </c>
      <c r="G838" t="s">
        <v>274</v>
      </c>
      <c r="H838" t="s">
        <v>274</v>
      </c>
      <c r="I838" t="s">
        <v>274</v>
      </c>
      <c r="J838" t="s">
        <v>274</v>
      </c>
      <c r="K838" t="s">
        <v>274</v>
      </c>
      <c r="L838" t="s">
        <v>274</v>
      </c>
      <c r="M838" t="s">
        <v>274</v>
      </c>
      <c r="N838" t="e">
        <f t="shared" si="1"/>
        <v>#VALUE!</v>
      </c>
      <c r="O838" t="e">
        <f t="shared" si="2"/>
        <v>#VALUE!</v>
      </c>
      <c r="P838" t="e">
        <f>IF($A838="","",IF($E838=1,$F838*$O838,PNL!G838))</f>
        <v>#VALUE!</v>
      </c>
      <c r="T838" t="e">
        <f t="shared" si="3"/>
        <v>#VALUE!</v>
      </c>
    </row>
    <row r="839" ht="14.25" customHeight="1">
      <c r="A839" t="str">
        <f>IF(PNL!A839="","",PNL!A839)</f>
        <v>ISCOM_PAR</v>
      </c>
      <c r="B839" t="str">
        <f>IF(PNL!B839="","",PNL!B839)</f>
        <v>616</v>
      </c>
      <c r="C839" t="str">
        <f>IF(PNL!C839="","",PNL!C839)</f>
        <v>2027</v>
      </c>
      <c r="D839" t="str">
        <f>IF(PNL!D839="","",PNL!D839)</f>
        <v>V02</v>
      </c>
      <c r="E839">
        <f t="shared" si="0"/>
        <v>1</v>
      </c>
      <c r="F839">
        <f>IF($A839="","",IF($E839=1,_xlfn.SUMIFS(Compta!$F$1:$F$1448,Compta!$A$1:$A$1448,$A839,Compta!$B$1:$B$1448,$B839,Compta!$C$1:$C$1448,"2026"),0))</f>
        <v>35977</v>
      </c>
      <c r="G839" t="s">
        <v>274</v>
      </c>
      <c r="H839" t="s">
        <v>274</v>
      </c>
      <c r="I839" t="s">
        <v>274</v>
      </c>
      <c r="J839" t="s">
        <v>274</v>
      </c>
      <c r="K839" t="s">
        <v>274</v>
      </c>
      <c r="L839" t="s">
        <v>274</v>
      </c>
      <c r="M839" t="s">
        <v>274</v>
      </c>
      <c r="N839" t="e">
        <f t="shared" si="1"/>
        <v>#VALUE!</v>
      </c>
      <c r="O839" t="e">
        <f t="shared" si="2"/>
        <v>#VALUE!</v>
      </c>
      <c r="P839" t="e">
        <f>IF($A839="","",IF($E839=1,$F839*$O839,PNL!G839))</f>
        <v>#VALUE!</v>
      </c>
      <c r="T839" t="e">
        <f t="shared" si="3"/>
        <v>#VALUE!</v>
      </c>
    </row>
    <row r="840" ht="14.25" customHeight="1">
      <c r="A840" t="str">
        <f>IF(PNL!A840="","",PNL!A840)</f>
        <v>ISCOM_PAR</v>
      </c>
      <c r="B840" t="str">
        <f>IF(PNL!B840="","",PNL!B840)</f>
        <v>616</v>
      </c>
      <c r="C840" t="str">
        <f>IF(PNL!C840="","",PNL!C840)</f>
        <v>2027</v>
      </c>
      <c r="D840" t="str">
        <f>IF(PNL!D840="","",PNL!D840)</f>
        <v>V03</v>
      </c>
      <c r="E840">
        <f t="shared" si="0"/>
        <v>1</v>
      </c>
      <c r="F840">
        <f>IF($A840="","",IF($E840=1,_xlfn.SUMIFS(Compta!$F$1:$F$1448,Compta!$A$1:$A$1448,$A840,Compta!$B$1:$B$1448,$B840,Compta!$C$1:$C$1448,"2026"),0))</f>
        <v>35977</v>
      </c>
      <c r="G840" t="s">
        <v>274</v>
      </c>
      <c r="H840" t="s">
        <v>274</v>
      </c>
      <c r="I840" t="s">
        <v>274</v>
      </c>
      <c r="J840" t="s">
        <v>274</v>
      </c>
      <c r="K840" t="s">
        <v>274</v>
      </c>
      <c r="L840" t="s">
        <v>274</v>
      </c>
      <c r="M840" t="s">
        <v>274</v>
      </c>
      <c r="N840" t="e">
        <f t="shared" si="1"/>
        <v>#VALUE!</v>
      </c>
      <c r="O840" t="e">
        <f t="shared" si="2"/>
        <v>#VALUE!</v>
      </c>
      <c r="P840" t="e">
        <f>IF($A840="","",IF($E840=1,$F840*$O840,PNL!G840))</f>
        <v>#VALUE!</v>
      </c>
      <c r="T840" t="e">
        <f t="shared" si="3"/>
        <v>#VALUE!</v>
      </c>
    </row>
    <row r="841" ht="14.25" customHeight="1">
      <c r="A841" t="str">
        <f>IF(PNL!A841="","",PNL!A841)</f>
        <v>ISCOM_LIL</v>
      </c>
      <c r="B841" t="str">
        <f>IF(PNL!B841="","",PNL!B841)</f>
        <v>616</v>
      </c>
      <c r="C841" t="str">
        <f>IF(PNL!C841="","",PNL!C841)</f>
        <v>2027</v>
      </c>
      <c r="D841" t="str">
        <f>IF(PNL!D841="","",PNL!D841)</f>
        <v>V01</v>
      </c>
      <c r="E841">
        <f t="shared" si="0"/>
        <v>1</v>
      </c>
      <c r="F841">
        <f>IF($A841="","",IF($E841=1,_xlfn.SUMIFS(Compta!$F$1:$F$1448,Compta!$A$1:$A$1448,$A841,Compta!$B$1:$B$1448,$B841,Compta!$C$1:$C$1448,"2026"),0))</f>
        <v>14083</v>
      </c>
      <c r="G841" t="s">
        <v>274</v>
      </c>
      <c r="H841" t="s">
        <v>274</v>
      </c>
      <c r="I841" t="s">
        <v>274</v>
      </c>
      <c r="J841" t="s">
        <v>274</v>
      </c>
      <c r="K841" t="s">
        <v>274</v>
      </c>
      <c r="L841" t="s">
        <v>274</v>
      </c>
      <c r="M841" t="s">
        <v>274</v>
      </c>
      <c r="N841" t="e">
        <f t="shared" si="1"/>
        <v>#VALUE!</v>
      </c>
      <c r="O841" t="e">
        <f t="shared" si="2"/>
        <v>#VALUE!</v>
      </c>
      <c r="P841" t="e">
        <f>IF($A841="","",IF($E841=1,$F841*$O841,PNL!G841))</f>
        <v>#VALUE!</v>
      </c>
      <c r="T841" t="e">
        <f t="shared" si="3"/>
        <v>#VALUE!</v>
      </c>
    </row>
    <row r="842" ht="14.25" customHeight="1">
      <c r="A842" t="str">
        <f>IF(PNL!A842="","",PNL!A842)</f>
        <v>ISCOM_LIL</v>
      </c>
      <c r="B842" t="str">
        <f>IF(PNL!B842="","",PNL!B842)</f>
        <v>616</v>
      </c>
      <c r="C842" t="str">
        <f>IF(PNL!C842="","",PNL!C842)</f>
        <v>2027</v>
      </c>
      <c r="D842" t="str">
        <f>IF(PNL!D842="","",PNL!D842)</f>
        <v>V02</v>
      </c>
      <c r="E842">
        <f t="shared" si="0"/>
        <v>1</v>
      </c>
      <c r="F842">
        <f>IF($A842="","",IF($E842=1,_xlfn.SUMIFS(Compta!$F$1:$F$1448,Compta!$A$1:$A$1448,$A842,Compta!$B$1:$B$1448,$B842,Compta!$C$1:$C$1448,"2026"),0))</f>
        <v>14083</v>
      </c>
      <c r="G842" t="s">
        <v>274</v>
      </c>
      <c r="H842" t="s">
        <v>274</v>
      </c>
      <c r="I842" t="s">
        <v>274</v>
      </c>
      <c r="J842" t="s">
        <v>274</v>
      </c>
      <c r="K842" t="s">
        <v>274</v>
      </c>
      <c r="L842" t="s">
        <v>274</v>
      </c>
      <c r="M842" t="s">
        <v>274</v>
      </c>
      <c r="N842" t="e">
        <f t="shared" si="1"/>
        <v>#VALUE!</v>
      </c>
      <c r="O842" t="e">
        <f t="shared" si="2"/>
        <v>#VALUE!</v>
      </c>
      <c r="P842" t="e">
        <f>IF($A842="","",IF($E842=1,$F842*$O842,PNL!G842))</f>
        <v>#VALUE!</v>
      </c>
      <c r="T842" t="e">
        <f t="shared" si="3"/>
        <v>#VALUE!</v>
      </c>
    </row>
    <row r="843" ht="14.25" customHeight="1">
      <c r="A843" t="str">
        <f>IF(PNL!A843="","",PNL!A843)</f>
        <v>ISCOM_LIL</v>
      </c>
      <c r="B843" t="str">
        <f>IF(PNL!B843="","",PNL!B843)</f>
        <v>616</v>
      </c>
      <c r="C843" t="str">
        <f>IF(PNL!C843="","",PNL!C843)</f>
        <v>2027</v>
      </c>
      <c r="D843" t="str">
        <f>IF(PNL!D843="","",PNL!D843)</f>
        <v>V03</v>
      </c>
      <c r="E843">
        <f t="shared" si="0"/>
        <v>1</v>
      </c>
      <c r="F843">
        <f>IF($A843="","",IF($E843=1,_xlfn.SUMIFS(Compta!$F$1:$F$1448,Compta!$A$1:$A$1448,$A843,Compta!$B$1:$B$1448,$B843,Compta!$C$1:$C$1448,"2026"),0))</f>
        <v>14083</v>
      </c>
      <c r="G843" t="s">
        <v>274</v>
      </c>
      <c r="H843" t="s">
        <v>274</v>
      </c>
      <c r="I843" t="s">
        <v>274</v>
      </c>
      <c r="J843" t="s">
        <v>274</v>
      </c>
      <c r="K843" t="s">
        <v>274</v>
      </c>
      <c r="L843" t="s">
        <v>274</v>
      </c>
      <c r="M843" t="s">
        <v>274</v>
      </c>
      <c r="N843" t="e">
        <f t="shared" si="1"/>
        <v>#VALUE!</v>
      </c>
      <c r="O843" t="e">
        <f t="shared" si="2"/>
        <v>#VALUE!</v>
      </c>
      <c r="P843" t="e">
        <f>IF($A843="","",IF($E843=1,$F843*$O843,PNL!G843))</f>
        <v>#VALUE!</v>
      </c>
      <c r="T843" t="e">
        <f t="shared" si="3"/>
        <v>#VALUE!</v>
      </c>
    </row>
    <row r="844" ht="14.25" customHeight="1">
      <c r="A844" t="str">
        <f>IF(PNL!A844="","",PNL!A844)</f>
        <v>ISCOM_TLS</v>
      </c>
      <c r="B844" t="str">
        <f>IF(PNL!B844="","",PNL!B844)</f>
        <v>616</v>
      </c>
      <c r="C844" t="str">
        <f>IF(PNL!C844="","",PNL!C844)</f>
        <v>2027</v>
      </c>
      <c r="D844" t="str">
        <f>IF(PNL!D844="","",PNL!D844)</f>
        <v>V01</v>
      </c>
      <c r="E844">
        <f t="shared" si="0"/>
        <v>1</v>
      </c>
      <c r="F844">
        <f>IF($A844="","",IF($E844=1,_xlfn.SUMIFS(Compta!$F$1:$F$1448,Compta!$A$1:$A$1448,$A844,Compta!$B$1:$B$1448,$B844,Compta!$C$1:$C$1448,"2026"),0))</f>
        <v>13042</v>
      </c>
      <c r="G844" t="s">
        <v>274</v>
      </c>
      <c r="H844" t="s">
        <v>274</v>
      </c>
      <c r="I844" t="s">
        <v>274</v>
      </c>
      <c r="J844" t="s">
        <v>274</v>
      </c>
      <c r="K844" t="s">
        <v>274</v>
      </c>
      <c r="L844" t="s">
        <v>274</v>
      </c>
      <c r="M844" t="s">
        <v>274</v>
      </c>
      <c r="N844" t="e">
        <f t="shared" si="1"/>
        <v>#VALUE!</v>
      </c>
      <c r="O844" t="e">
        <f t="shared" si="2"/>
        <v>#VALUE!</v>
      </c>
      <c r="P844" t="e">
        <f>IF($A844="","",IF($E844=1,$F844*$O844,PNL!G844))</f>
        <v>#VALUE!</v>
      </c>
      <c r="T844" t="e">
        <f t="shared" si="3"/>
        <v>#VALUE!</v>
      </c>
    </row>
    <row r="845" ht="14.25" customHeight="1">
      <c r="A845" t="str">
        <f>IF(PNL!A845="","",PNL!A845)</f>
        <v>ISCOM_TLS</v>
      </c>
      <c r="B845" t="str">
        <f>IF(PNL!B845="","",PNL!B845)</f>
        <v>616</v>
      </c>
      <c r="C845" t="str">
        <f>IF(PNL!C845="","",PNL!C845)</f>
        <v>2027</v>
      </c>
      <c r="D845" t="str">
        <f>IF(PNL!D845="","",PNL!D845)</f>
        <v>V02</v>
      </c>
      <c r="E845">
        <f t="shared" si="0"/>
        <v>1</v>
      </c>
      <c r="F845">
        <f>IF($A845="","",IF($E845=1,_xlfn.SUMIFS(Compta!$F$1:$F$1448,Compta!$A$1:$A$1448,$A845,Compta!$B$1:$B$1448,$B845,Compta!$C$1:$C$1448,"2026"),0))</f>
        <v>13042</v>
      </c>
      <c r="G845" t="s">
        <v>274</v>
      </c>
      <c r="H845" t="s">
        <v>274</v>
      </c>
      <c r="I845" t="s">
        <v>274</v>
      </c>
      <c r="J845" t="s">
        <v>274</v>
      </c>
      <c r="K845" t="s">
        <v>274</v>
      </c>
      <c r="L845" t="s">
        <v>274</v>
      </c>
      <c r="M845" t="s">
        <v>274</v>
      </c>
      <c r="N845" t="e">
        <f t="shared" si="1"/>
        <v>#VALUE!</v>
      </c>
      <c r="O845" t="e">
        <f t="shared" si="2"/>
        <v>#VALUE!</v>
      </c>
      <c r="P845" t="e">
        <f>IF($A845="","",IF($E845=1,$F845*$O845,PNL!G845))</f>
        <v>#VALUE!</v>
      </c>
      <c r="T845" t="e">
        <f t="shared" si="3"/>
        <v>#VALUE!</v>
      </c>
    </row>
    <row r="846" ht="14.25" customHeight="1">
      <c r="A846" t="str">
        <f>IF(PNL!A846="","",PNL!A846)</f>
        <v>ISCOM_TLS</v>
      </c>
      <c r="B846" t="str">
        <f>IF(PNL!B846="","",PNL!B846)</f>
        <v>616</v>
      </c>
      <c r="C846" t="str">
        <f>IF(PNL!C846="","",PNL!C846)</f>
        <v>2027</v>
      </c>
      <c r="D846" t="str">
        <f>IF(PNL!D846="","",PNL!D846)</f>
        <v>V03</v>
      </c>
      <c r="E846">
        <f t="shared" si="0"/>
        <v>1</v>
      </c>
      <c r="F846">
        <f>IF($A846="","",IF($E846=1,_xlfn.SUMIFS(Compta!$F$1:$F$1448,Compta!$A$1:$A$1448,$A846,Compta!$B$1:$B$1448,$B846,Compta!$C$1:$C$1448,"2026"),0))</f>
        <v>13042</v>
      </c>
      <c r="G846" t="s">
        <v>274</v>
      </c>
      <c r="H846" t="s">
        <v>274</v>
      </c>
      <c r="I846" t="s">
        <v>274</v>
      </c>
      <c r="J846" t="s">
        <v>274</v>
      </c>
      <c r="K846" t="s">
        <v>274</v>
      </c>
      <c r="L846" t="s">
        <v>274</v>
      </c>
      <c r="M846" t="s">
        <v>274</v>
      </c>
      <c r="N846" t="e">
        <f t="shared" si="1"/>
        <v>#VALUE!</v>
      </c>
      <c r="O846" t="e">
        <f t="shared" si="2"/>
        <v>#VALUE!</v>
      </c>
      <c r="P846" t="e">
        <f>IF($A846="","",IF($E846=1,$F846*$O846,PNL!G846))</f>
        <v>#VALUE!</v>
      </c>
      <c r="T846" t="e">
        <f t="shared" si="3"/>
        <v>#VALUE!</v>
      </c>
    </row>
    <row r="847" ht="14.25" customHeight="1">
      <c r="A847" t="str">
        <f>IF(PNL!A847="","",PNL!A847)</f>
        <v>IPAC_NAN</v>
      </c>
      <c r="B847" t="str">
        <f>IF(PNL!B847="","",PNL!B847)</f>
        <v>616</v>
      </c>
      <c r="C847" t="str">
        <f>IF(PNL!C847="","",PNL!C847)</f>
        <v>2027</v>
      </c>
      <c r="D847" t="str">
        <f>IF(PNL!D847="","",PNL!D847)</f>
        <v>V01</v>
      </c>
      <c r="E847">
        <f t="shared" si="0"/>
        <v>1</v>
      </c>
      <c r="F847">
        <f>IF($A847="","",IF($E847=1,_xlfn.SUMIFS(Compta!$F$1:$F$1448,Compta!$A$1:$A$1448,$A847,Compta!$B$1:$B$1448,$B847,Compta!$C$1:$C$1448,"2026"),0))</f>
        <v>9096</v>
      </c>
      <c r="G847" t="s">
        <v>274</v>
      </c>
      <c r="H847" t="s">
        <v>274</v>
      </c>
      <c r="I847" t="s">
        <v>274</v>
      </c>
      <c r="J847" t="s">
        <v>274</v>
      </c>
      <c r="K847" t="s">
        <v>274</v>
      </c>
      <c r="L847" t="s">
        <v>274</v>
      </c>
      <c r="M847" t="s">
        <v>274</v>
      </c>
      <c r="N847" t="e">
        <f t="shared" si="1"/>
        <v>#VALUE!</v>
      </c>
      <c r="O847" t="e">
        <f t="shared" si="2"/>
        <v>#VALUE!</v>
      </c>
      <c r="P847" t="e">
        <f>IF($A847="","",IF($E847=1,$F847*$O847,PNL!G847))</f>
        <v>#VALUE!</v>
      </c>
      <c r="T847" t="e">
        <f t="shared" si="3"/>
        <v>#VALUE!</v>
      </c>
    </row>
    <row r="848" ht="14.25" customHeight="1">
      <c r="A848" t="str">
        <f>IF(PNL!A848="","",PNL!A848)</f>
        <v>IPAC_NAN</v>
      </c>
      <c r="B848" t="str">
        <f>IF(PNL!B848="","",PNL!B848)</f>
        <v>616</v>
      </c>
      <c r="C848" t="str">
        <f>IF(PNL!C848="","",PNL!C848)</f>
        <v>2027</v>
      </c>
      <c r="D848" t="str">
        <f>IF(PNL!D848="","",PNL!D848)</f>
        <v>V02</v>
      </c>
      <c r="E848">
        <f t="shared" si="0"/>
        <v>1</v>
      </c>
      <c r="F848">
        <f>IF($A848="","",IF($E848=1,_xlfn.SUMIFS(Compta!$F$1:$F$1448,Compta!$A$1:$A$1448,$A848,Compta!$B$1:$B$1448,$B848,Compta!$C$1:$C$1448,"2026"),0))</f>
        <v>9096</v>
      </c>
      <c r="G848" t="s">
        <v>274</v>
      </c>
      <c r="H848" t="s">
        <v>274</v>
      </c>
      <c r="I848" t="s">
        <v>274</v>
      </c>
      <c r="J848" t="s">
        <v>274</v>
      </c>
      <c r="K848" t="s">
        <v>274</v>
      </c>
      <c r="L848" t="s">
        <v>274</v>
      </c>
      <c r="M848" t="s">
        <v>274</v>
      </c>
      <c r="N848" t="e">
        <f t="shared" si="1"/>
        <v>#VALUE!</v>
      </c>
      <c r="O848" t="e">
        <f t="shared" si="2"/>
        <v>#VALUE!</v>
      </c>
      <c r="P848" t="e">
        <f>IF($A848="","",IF($E848=1,$F848*$O848,PNL!G848))</f>
        <v>#VALUE!</v>
      </c>
      <c r="T848" t="e">
        <f t="shared" si="3"/>
        <v>#VALUE!</v>
      </c>
    </row>
    <row r="849" ht="14.25" customHeight="1">
      <c r="A849" t="str">
        <f>IF(PNL!A849="","",PNL!A849)</f>
        <v>IPAC_NAN</v>
      </c>
      <c r="B849" t="str">
        <f>IF(PNL!B849="","",PNL!B849)</f>
        <v>616</v>
      </c>
      <c r="C849" t="str">
        <f>IF(PNL!C849="","",PNL!C849)</f>
        <v>2027</v>
      </c>
      <c r="D849" t="str">
        <f>IF(PNL!D849="","",PNL!D849)</f>
        <v>V03</v>
      </c>
      <c r="E849">
        <f t="shared" si="0"/>
        <v>1</v>
      </c>
      <c r="F849">
        <f>IF($A849="","",IF($E849=1,_xlfn.SUMIFS(Compta!$F$1:$F$1448,Compta!$A$1:$A$1448,$A849,Compta!$B$1:$B$1448,$B849,Compta!$C$1:$C$1448,"2026"),0))</f>
        <v>9096</v>
      </c>
      <c r="G849" t="s">
        <v>274</v>
      </c>
      <c r="H849" t="s">
        <v>274</v>
      </c>
      <c r="I849" t="s">
        <v>274</v>
      </c>
      <c r="J849" t="s">
        <v>274</v>
      </c>
      <c r="K849" t="s">
        <v>274</v>
      </c>
      <c r="L849" t="s">
        <v>274</v>
      </c>
      <c r="M849" t="s">
        <v>274</v>
      </c>
      <c r="N849" t="e">
        <f t="shared" si="1"/>
        <v>#VALUE!</v>
      </c>
      <c r="O849" t="e">
        <f t="shared" si="2"/>
        <v>#VALUE!</v>
      </c>
      <c r="P849" t="e">
        <f>IF($A849="","",IF($E849=1,$F849*$O849,PNL!G849))</f>
        <v>#VALUE!</v>
      </c>
      <c r="T849" t="e">
        <f t="shared" si="3"/>
        <v>#VALUE!</v>
      </c>
    </row>
    <row r="850" ht="14.25" customHeight="1">
      <c r="A850" t="str">
        <f>IF(PNL!A850="","",PNL!A850)</f>
        <v>IPAC_REN</v>
      </c>
      <c r="B850" t="str">
        <f>IF(PNL!B850="","",PNL!B850)</f>
        <v>616</v>
      </c>
      <c r="C850" t="str">
        <f>IF(PNL!C850="","",PNL!C850)</f>
        <v>2027</v>
      </c>
      <c r="D850" t="str">
        <f>IF(PNL!D850="","",PNL!D850)</f>
        <v>V01</v>
      </c>
      <c r="E850">
        <f t="shared" si="0"/>
        <v>1</v>
      </c>
      <c r="F850">
        <f>IF($A850="","",IF($E850=1,_xlfn.SUMIFS(Compta!$F$1:$F$1448,Compta!$A$1:$A$1448,$A850,Compta!$B$1:$B$1448,$B850,Compta!$C$1:$C$1448,"2026"),0))</f>
        <v>6459</v>
      </c>
      <c r="G850" t="s">
        <v>274</v>
      </c>
      <c r="H850" t="s">
        <v>274</v>
      </c>
      <c r="I850" t="s">
        <v>274</v>
      </c>
      <c r="J850" t="s">
        <v>274</v>
      </c>
      <c r="K850" t="s">
        <v>274</v>
      </c>
      <c r="L850" t="s">
        <v>274</v>
      </c>
      <c r="M850" t="s">
        <v>274</v>
      </c>
      <c r="N850" t="e">
        <f t="shared" si="1"/>
        <v>#VALUE!</v>
      </c>
      <c r="O850" t="e">
        <f t="shared" si="2"/>
        <v>#VALUE!</v>
      </c>
      <c r="P850" t="e">
        <f>IF($A850="","",IF($E850=1,$F850*$O850,PNL!G850))</f>
        <v>#VALUE!</v>
      </c>
      <c r="T850" t="e">
        <f t="shared" si="3"/>
        <v>#VALUE!</v>
      </c>
    </row>
    <row r="851" ht="14.25" customHeight="1">
      <c r="A851" t="str">
        <f>IF(PNL!A851="","",PNL!A851)</f>
        <v>IPAC_REN</v>
      </c>
      <c r="B851" t="str">
        <f>IF(PNL!B851="","",PNL!B851)</f>
        <v>616</v>
      </c>
      <c r="C851" t="str">
        <f>IF(PNL!C851="","",PNL!C851)</f>
        <v>2027</v>
      </c>
      <c r="D851" t="str">
        <f>IF(PNL!D851="","",PNL!D851)</f>
        <v>V02</v>
      </c>
      <c r="E851">
        <f t="shared" si="0"/>
        <v>1</v>
      </c>
      <c r="F851">
        <f>IF($A851="","",IF($E851=1,_xlfn.SUMIFS(Compta!$F$1:$F$1448,Compta!$A$1:$A$1448,$A851,Compta!$B$1:$B$1448,$B851,Compta!$C$1:$C$1448,"2026"),0))</f>
        <v>6459</v>
      </c>
      <c r="G851" t="s">
        <v>274</v>
      </c>
      <c r="H851" t="s">
        <v>274</v>
      </c>
      <c r="I851" t="s">
        <v>274</v>
      </c>
      <c r="J851" t="s">
        <v>274</v>
      </c>
      <c r="K851" t="s">
        <v>274</v>
      </c>
      <c r="L851" t="s">
        <v>274</v>
      </c>
      <c r="M851" t="s">
        <v>274</v>
      </c>
      <c r="N851" t="e">
        <f t="shared" si="1"/>
        <v>#VALUE!</v>
      </c>
      <c r="O851" t="e">
        <f t="shared" si="2"/>
        <v>#VALUE!</v>
      </c>
      <c r="P851" t="e">
        <f>IF($A851="","",IF($E851=1,$F851*$O851,PNL!G851))</f>
        <v>#VALUE!</v>
      </c>
      <c r="T851" t="e">
        <f t="shared" si="3"/>
        <v>#VALUE!</v>
      </c>
    </row>
    <row r="852" ht="14.25" customHeight="1">
      <c r="A852" t="str">
        <f>IF(PNL!A852="","",PNL!A852)</f>
        <v>IPAC_REN</v>
      </c>
      <c r="B852" t="str">
        <f>IF(PNL!B852="","",PNL!B852)</f>
        <v>616</v>
      </c>
      <c r="C852" t="str">
        <f>IF(PNL!C852="","",PNL!C852)</f>
        <v>2027</v>
      </c>
      <c r="D852" t="str">
        <f>IF(PNL!D852="","",PNL!D852)</f>
        <v>V03</v>
      </c>
      <c r="E852">
        <f t="shared" si="0"/>
        <v>1</v>
      </c>
      <c r="F852">
        <f>IF($A852="","",IF($E852=1,_xlfn.SUMIFS(Compta!$F$1:$F$1448,Compta!$A$1:$A$1448,$A852,Compta!$B$1:$B$1448,$B852,Compta!$C$1:$C$1448,"2026"),0))</f>
        <v>6459</v>
      </c>
      <c r="G852" t="s">
        <v>274</v>
      </c>
      <c r="H852" t="s">
        <v>274</v>
      </c>
      <c r="I852" t="s">
        <v>274</v>
      </c>
      <c r="J852" t="s">
        <v>274</v>
      </c>
      <c r="K852" t="s">
        <v>274</v>
      </c>
      <c r="L852" t="s">
        <v>274</v>
      </c>
      <c r="M852" t="s">
        <v>274</v>
      </c>
      <c r="N852" t="e">
        <f t="shared" si="1"/>
        <v>#VALUE!</v>
      </c>
      <c r="O852" t="e">
        <f t="shared" si="2"/>
        <v>#VALUE!</v>
      </c>
      <c r="P852" t="e">
        <f>IF($A852="","",IF($E852=1,$F852*$O852,PNL!G852))</f>
        <v>#VALUE!</v>
      </c>
      <c r="T852" t="e">
        <f t="shared" si="3"/>
        <v>#VALUE!</v>
      </c>
    </row>
    <row r="853" ht="14.25" customHeight="1">
      <c r="A853" t="str">
        <f>IF(PNL!A853="","",PNL!A853)</f>
        <v>IPAC_MTP</v>
      </c>
      <c r="B853" t="str">
        <f>IF(PNL!B853="","",PNL!B853)</f>
        <v>616</v>
      </c>
      <c r="C853" t="str">
        <f>IF(PNL!C853="","",PNL!C853)</f>
        <v>2027</v>
      </c>
      <c r="D853" t="str">
        <f>IF(PNL!D853="","",PNL!D853)</f>
        <v>V01</v>
      </c>
      <c r="E853">
        <f t="shared" si="0"/>
        <v>1</v>
      </c>
      <c r="F853">
        <f>IF($A853="","",IF($E853=1,_xlfn.SUMIFS(Compta!$F$1:$F$1448,Compta!$A$1:$A$1448,$A853,Compta!$B$1:$B$1448,$B853,Compta!$C$1:$C$1448,"2026"),0))</f>
        <v>6459</v>
      </c>
      <c r="G853" t="s">
        <v>274</v>
      </c>
      <c r="H853" t="s">
        <v>274</v>
      </c>
      <c r="I853" t="s">
        <v>274</v>
      </c>
      <c r="J853" t="s">
        <v>274</v>
      </c>
      <c r="K853" t="s">
        <v>274</v>
      </c>
      <c r="L853" t="s">
        <v>274</v>
      </c>
      <c r="M853" t="s">
        <v>274</v>
      </c>
      <c r="N853" t="e">
        <f t="shared" si="1"/>
        <v>#VALUE!</v>
      </c>
      <c r="O853" t="e">
        <f t="shared" si="2"/>
        <v>#VALUE!</v>
      </c>
      <c r="P853" t="e">
        <f>IF($A853="","",IF($E853=1,$F853*$O853,PNL!G853))</f>
        <v>#VALUE!</v>
      </c>
      <c r="T853" t="e">
        <f t="shared" si="3"/>
        <v>#VALUE!</v>
      </c>
    </row>
    <row r="854" ht="14.25" customHeight="1">
      <c r="A854" t="str">
        <f>IF(PNL!A854="","",PNL!A854)</f>
        <v>IPAC_MTP</v>
      </c>
      <c r="B854" t="str">
        <f>IF(PNL!B854="","",PNL!B854)</f>
        <v>616</v>
      </c>
      <c r="C854" t="str">
        <f>IF(PNL!C854="","",PNL!C854)</f>
        <v>2027</v>
      </c>
      <c r="D854" t="str">
        <f>IF(PNL!D854="","",PNL!D854)</f>
        <v>V02</v>
      </c>
      <c r="E854">
        <f t="shared" si="0"/>
        <v>1</v>
      </c>
      <c r="F854">
        <f>IF($A854="","",IF($E854=1,_xlfn.SUMIFS(Compta!$F$1:$F$1448,Compta!$A$1:$A$1448,$A854,Compta!$B$1:$B$1448,$B854,Compta!$C$1:$C$1448,"2026"),0))</f>
        <v>6459</v>
      </c>
      <c r="G854" t="s">
        <v>274</v>
      </c>
      <c r="H854" t="s">
        <v>274</v>
      </c>
      <c r="I854" t="s">
        <v>274</v>
      </c>
      <c r="J854" t="s">
        <v>274</v>
      </c>
      <c r="K854" t="s">
        <v>274</v>
      </c>
      <c r="L854" t="s">
        <v>274</v>
      </c>
      <c r="M854" t="s">
        <v>274</v>
      </c>
      <c r="N854" t="e">
        <f t="shared" si="1"/>
        <v>#VALUE!</v>
      </c>
      <c r="O854" t="e">
        <f t="shared" si="2"/>
        <v>#VALUE!</v>
      </c>
      <c r="P854" t="e">
        <f>IF($A854="","",IF($E854=1,$F854*$O854,PNL!G854))</f>
        <v>#VALUE!</v>
      </c>
      <c r="T854" t="e">
        <f t="shared" si="3"/>
        <v>#VALUE!</v>
      </c>
    </row>
    <row r="855" ht="14.25" customHeight="1">
      <c r="A855" t="str">
        <f>IF(PNL!A855="","",PNL!A855)</f>
        <v>IPAC_MTP</v>
      </c>
      <c r="B855" t="str">
        <f>IF(PNL!B855="","",PNL!B855)</f>
        <v>616</v>
      </c>
      <c r="C855" t="str">
        <f>IF(PNL!C855="","",PNL!C855)</f>
        <v>2027</v>
      </c>
      <c r="D855" t="str">
        <f>IF(PNL!D855="","",PNL!D855)</f>
        <v>V03</v>
      </c>
      <c r="E855">
        <f t="shared" si="0"/>
        <v>1</v>
      </c>
      <c r="F855">
        <f>IF($A855="","",IF($E855=1,_xlfn.SUMIFS(Compta!$F$1:$F$1448,Compta!$A$1:$A$1448,$A855,Compta!$B$1:$B$1448,$B855,Compta!$C$1:$C$1448,"2026"),0))</f>
        <v>6459</v>
      </c>
      <c r="G855" t="s">
        <v>274</v>
      </c>
      <c r="H855" t="s">
        <v>274</v>
      </c>
      <c r="I855" t="s">
        <v>274</v>
      </c>
      <c r="J855" t="s">
        <v>274</v>
      </c>
      <c r="K855" t="s">
        <v>274</v>
      </c>
      <c r="L855" t="s">
        <v>274</v>
      </c>
      <c r="M855" t="s">
        <v>274</v>
      </c>
      <c r="N855" t="e">
        <f t="shared" si="1"/>
        <v>#VALUE!</v>
      </c>
      <c r="O855" t="e">
        <f t="shared" si="2"/>
        <v>#VALUE!</v>
      </c>
      <c r="P855" t="e">
        <f>IF($A855="","",IF($E855=1,$F855*$O855,PNL!G855))</f>
        <v>#VALUE!</v>
      </c>
      <c r="T855" t="e">
        <f t="shared" si="3"/>
        <v>#VALUE!</v>
      </c>
    </row>
    <row r="856" ht="14.25" customHeight="1">
      <c r="A856" t="str">
        <f>IF(PNL!A856="","",PNL!A856)</f>
        <v>PIGIER_LYO</v>
      </c>
      <c r="B856" t="str">
        <f>IF(PNL!B856="","",PNL!B856)</f>
        <v>616</v>
      </c>
      <c r="C856" t="str">
        <f>IF(PNL!C856="","",PNL!C856)</f>
        <v>2027</v>
      </c>
      <c r="D856" t="str">
        <f>IF(PNL!D856="","",PNL!D856)</f>
        <v>V01</v>
      </c>
      <c r="E856">
        <f t="shared" si="0"/>
        <v>1</v>
      </c>
      <c r="F856">
        <f>IF($A856="","",IF($E856=1,_xlfn.SUMIFS(Compta!$F$1:$F$1448,Compta!$A$1:$A$1448,$A856,Compta!$B$1:$B$1448,$B856,Compta!$C$1:$C$1448,"2026"),0))</f>
        <v>12788</v>
      </c>
      <c r="G856" t="s">
        <v>274</v>
      </c>
      <c r="H856" t="s">
        <v>274</v>
      </c>
      <c r="I856" t="s">
        <v>274</v>
      </c>
      <c r="J856" t="s">
        <v>274</v>
      </c>
      <c r="K856" t="s">
        <v>274</v>
      </c>
      <c r="L856" t="s">
        <v>274</v>
      </c>
      <c r="M856" t="s">
        <v>274</v>
      </c>
      <c r="N856" t="e">
        <f t="shared" si="1"/>
        <v>#VALUE!</v>
      </c>
      <c r="O856" t="e">
        <f t="shared" si="2"/>
        <v>#VALUE!</v>
      </c>
      <c r="P856" t="e">
        <f>IF($A856="","",IF($E856=1,$F856*$O856,PNL!G856))</f>
        <v>#VALUE!</v>
      </c>
      <c r="T856" t="e">
        <f t="shared" si="3"/>
        <v>#VALUE!</v>
      </c>
    </row>
    <row r="857" ht="14.25" customHeight="1">
      <c r="A857" t="str">
        <f>IF(PNL!A857="","",PNL!A857)</f>
        <v>PIGIER_LYO</v>
      </c>
      <c r="B857" t="str">
        <f>IF(PNL!B857="","",PNL!B857)</f>
        <v>616</v>
      </c>
      <c r="C857" t="str">
        <f>IF(PNL!C857="","",PNL!C857)</f>
        <v>2027</v>
      </c>
      <c r="D857" t="str">
        <f>IF(PNL!D857="","",PNL!D857)</f>
        <v>V02</v>
      </c>
      <c r="E857">
        <f t="shared" si="0"/>
        <v>1</v>
      </c>
      <c r="F857">
        <f>IF($A857="","",IF($E857=1,_xlfn.SUMIFS(Compta!$F$1:$F$1448,Compta!$A$1:$A$1448,$A857,Compta!$B$1:$B$1448,$B857,Compta!$C$1:$C$1448,"2026"),0))</f>
        <v>12788</v>
      </c>
      <c r="G857" t="s">
        <v>274</v>
      </c>
      <c r="H857" t="s">
        <v>274</v>
      </c>
      <c r="I857" t="s">
        <v>274</v>
      </c>
      <c r="J857" t="s">
        <v>274</v>
      </c>
      <c r="K857" t="s">
        <v>274</v>
      </c>
      <c r="L857" t="s">
        <v>274</v>
      </c>
      <c r="M857" t="s">
        <v>274</v>
      </c>
      <c r="N857" t="e">
        <f t="shared" si="1"/>
        <v>#VALUE!</v>
      </c>
      <c r="O857" t="e">
        <f t="shared" si="2"/>
        <v>#VALUE!</v>
      </c>
      <c r="P857" t="e">
        <f>IF($A857="","",IF($E857=1,$F857*$O857,PNL!G857))</f>
        <v>#VALUE!</v>
      </c>
      <c r="T857" t="e">
        <f t="shared" si="3"/>
        <v>#VALUE!</v>
      </c>
    </row>
    <row r="858" ht="14.25" customHeight="1">
      <c r="A858" t="str">
        <f>IF(PNL!A858="","",PNL!A858)</f>
        <v>PIGIER_LYO</v>
      </c>
      <c r="B858" t="str">
        <f>IF(PNL!B858="","",PNL!B858)</f>
        <v>616</v>
      </c>
      <c r="C858" t="str">
        <f>IF(PNL!C858="","",PNL!C858)</f>
        <v>2027</v>
      </c>
      <c r="D858" t="str">
        <f>IF(PNL!D858="","",PNL!D858)</f>
        <v>V03</v>
      </c>
      <c r="E858">
        <f t="shared" si="0"/>
        <v>1</v>
      </c>
      <c r="F858">
        <f>IF($A858="","",IF($E858=1,_xlfn.SUMIFS(Compta!$F$1:$F$1448,Compta!$A$1:$A$1448,$A858,Compta!$B$1:$B$1448,$B858,Compta!$C$1:$C$1448,"2026"),0))</f>
        <v>12788</v>
      </c>
      <c r="G858" t="s">
        <v>274</v>
      </c>
      <c r="H858" t="s">
        <v>274</v>
      </c>
      <c r="I858" t="s">
        <v>274</v>
      </c>
      <c r="J858" t="s">
        <v>274</v>
      </c>
      <c r="K858" t="s">
        <v>274</v>
      </c>
      <c r="L858" t="s">
        <v>274</v>
      </c>
      <c r="M858" t="s">
        <v>274</v>
      </c>
      <c r="N858" t="e">
        <f t="shared" si="1"/>
        <v>#VALUE!</v>
      </c>
      <c r="O858" t="e">
        <f t="shared" si="2"/>
        <v>#VALUE!</v>
      </c>
      <c r="P858" t="e">
        <f>IF($A858="","",IF($E858=1,$F858*$O858,PNL!G858))</f>
        <v>#VALUE!</v>
      </c>
      <c r="T858" t="e">
        <f t="shared" si="3"/>
        <v>#VALUE!</v>
      </c>
    </row>
    <row r="859" ht="14.25" customHeight="1">
      <c r="A859" t="str">
        <f>IF(PNL!A859="","",PNL!A859)</f>
        <v>PIGIER_BOR</v>
      </c>
      <c r="B859" t="str">
        <f>IF(PNL!B859="","",PNL!B859)</f>
        <v>616</v>
      </c>
      <c r="C859" t="str">
        <f>IF(PNL!C859="","",PNL!C859)</f>
        <v>2027</v>
      </c>
      <c r="D859" t="str">
        <f>IF(PNL!D859="","",PNL!D859)</f>
        <v>V01</v>
      </c>
      <c r="E859">
        <f t="shared" si="0"/>
        <v>1</v>
      </c>
      <c r="F859">
        <f>IF($A859="","",IF($E859=1,_xlfn.SUMIFS(Compta!$F$1:$F$1448,Compta!$A$1:$A$1448,$A859,Compta!$B$1:$B$1448,$B859,Compta!$C$1:$C$1448,"2026"),0))</f>
        <v>9354</v>
      </c>
      <c r="G859" t="s">
        <v>274</v>
      </c>
      <c r="H859" t="s">
        <v>274</v>
      </c>
      <c r="I859" t="s">
        <v>274</v>
      </c>
      <c r="J859" t="s">
        <v>274</v>
      </c>
      <c r="K859" t="s">
        <v>274</v>
      </c>
      <c r="L859" t="s">
        <v>274</v>
      </c>
      <c r="M859" t="s">
        <v>274</v>
      </c>
      <c r="N859" t="e">
        <f t="shared" si="1"/>
        <v>#VALUE!</v>
      </c>
      <c r="O859" t="e">
        <f t="shared" si="2"/>
        <v>#VALUE!</v>
      </c>
      <c r="P859" t="e">
        <f>IF($A859="","",IF($E859=1,$F859*$O859,PNL!G859))</f>
        <v>#VALUE!</v>
      </c>
      <c r="T859" t="e">
        <f t="shared" si="3"/>
        <v>#VALUE!</v>
      </c>
    </row>
    <row r="860" ht="14.25" customHeight="1">
      <c r="A860" t="str">
        <f>IF(PNL!A860="","",PNL!A860)</f>
        <v>PIGIER_BOR</v>
      </c>
      <c r="B860" t="str">
        <f>IF(PNL!B860="","",PNL!B860)</f>
        <v>616</v>
      </c>
      <c r="C860" t="str">
        <f>IF(PNL!C860="","",PNL!C860)</f>
        <v>2027</v>
      </c>
      <c r="D860" t="str">
        <f>IF(PNL!D860="","",PNL!D860)</f>
        <v>V02</v>
      </c>
      <c r="E860">
        <f t="shared" si="0"/>
        <v>1</v>
      </c>
      <c r="F860">
        <f>IF($A860="","",IF($E860=1,_xlfn.SUMIFS(Compta!$F$1:$F$1448,Compta!$A$1:$A$1448,$A860,Compta!$B$1:$B$1448,$B860,Compta!$C$1:$C$1448,"2026"),0))</f>
        <v>9354</v>
      </c>
      <c r="G860" t="s">
        <v>274</v>
      </c>
      <c r="H860" t="s">
        <v>274</v>
      </c>
      <c r="I860" t="s">
        <v>274</v>
      </c>
      <c r="J860" t="s">
        <v>274</v>
      </c>
      <c r="K860" t="s">
        <v>274</v>
      </c>
      <c r="L860" t="s">
        <v>274</v>
      </c>
      <c r="M860" t="s">
        <v>274</v>
      </c>
      <c r="N860" t="e">
        <f t="shared" si="1"/>
        <v>#VALUE!</v>
      </c>
      <c r="O860" t="e">
        <f t="shared" si="2"/>
        <v>#VALUE!</v>
      </c>
      <c r="P860" t="e">
        <f>IF($A860="","",IF($E860=1,$F860*$O860,PNL!G860))</f>
        <v>#VALUE!</v>
      </c>
      <c r="T860" t="e">
        <f t="shared" si="3"/>
        <v>#VALUE!</v>
      </c>
    </row>
    <row r="861" ht="14.25" customHeight="1">
      <c r="A861" t="str">
        <f>IF(PNL!A861="","",PNL!A861)</f>
        <v>PIGIER_BOR</v>
      </c>
      <c r="B861" t="str">
        <f>IF(PNL!B861="","",PNL!B861)</f>
        <v>616</v>
      </c>
      <c r="C861" t="str">
        <f>IF(PNL!C861="","",PNL!C861)</f>
        <v>2027</v>
      </c>
      <c r="D861" t="str">
        <f>IF(PNL!D861="","",PNL!D861)</f>
        <v>V03</v>
      </c>
      <c r="E861">
        <f t="shared" si="0"/>
        <v>1</v>
      </c>
      <c r="F861">
        <f>IF($A861="","",IF($E861=1,_xlfn.SUMIFS(Compta!$F$1:$F$1448,Compta!$A$1:$A$1448,$A861,Compta!$B$1:$B$1448,$B861,Compta!$C$1:$C$1448,"2026"),0))</f>
        <v>9354</v>
      </c>
      <c r="G861" t="s">
        <v>274</v>
      </c>
      <c r="H861" t="s">
        <v>274</v>
      </c>
      <c r="I861" t="s">
        <v>274</v>
      </c>
      <c r="J861" t="s">
        <v>274</v>
      </c>
      <c r="K861" t="s">
        <v>274</v>
      </c>
      <c r="L861" t="s">
        <v>274</v>
      </c>
      <c r="M861" t="s">
        <v>274</v>
      </c>
      <c r="N861" t="e">
        <f t="shared" si="1"/>
        <v>#VALUE!</v>
      </c>
      <c r="O861" t="e">
        <f t="shared" si="2"/>
        <v>#VALUE!</v>
      </c>
      <c r="P861" t="e">
        <f>IF($A861="","",IF($E861=1,$F861*$O861,PNL!G861))</f>
        <v>#VALUE!</v>
      </c>
      <c r="T861" t="e">
        <f t="shared" si="3"/>
        <v>#VALUE!</v>
      </c>
    </row>
    <row r="862" ht="14.25" customHeight="1">
      <c r="A862" t="str">
        <f>IF(PNL!A862="","",PNL!A862)</f>
        <v>TUNON_PAR</v>
      </c>
      <c r="B862" t="str">
        <f>IF(PNL!B862="","",PNL!B862)</f>
        <v>616</v>
      </c>
      <c r="C862" t="str">
        <f>IF(PNL!C862="","",PNL!C862)</f>
        <v>2027</v>
      </c>
      <c r="D862" t="str">
        <f>IF(PNL!D862="","",PNL!D862)</f>
        <v>V01</v>
      </c>
      <c r="E862">
        <f t="shared" si="0"/>
        <v>1</v>
      </c>
      <c r="F862">
        <f>IF($A862="","",IF($E862=1,_xlfn.SUMIFS(Compta!$F$1:$F$1448,Compta!$A$1:$A$1448,$A862,Compta!$B$1:$B$1448,$B862,Compta!$C$1:$C$1448,"2026"),0))</f>
        <v>14025</v>
      </c>
      <c r="G862" t="s">
        <v>274</v>
      </c>
      <c r="H862" t="s">
        <v>274</v>
      </c>
      <c r="I862" t="s">
        <v>274</v>
      </c>
      <c r="J862" t="s">
        <v>274</v>
      </c>
      <c r="K862" t="s">
        <v>274</v>
      </c>
      <c r="L862" t="s">
        <v>274</v>
      </c>
      <c r="M862" t="s">
        <v>274</v>
      </c>
      <c r="N862" t="e">
        <f t="shared" si="1"/>
        <v>#VALUE!</v>
      </c>
      <c r="O862" t="e">
        <f t="shared" si="2"/>
        <v>#VALUE!</v>
      </c>
      <c r="P862" t="e">
        <f>IF($A862="","",IF($E862=1,$F862*$O862,PNL!G862))</f>
        <v>#VALUE!</v>
      </c>
      <c r="T862" t="e">
        <f t="shared" si="3"/>
        <v>#VALUE!</v>
      </c>
    </row>
    <row r="863" ht="14.25" customHeight="1">
      <c r="A863" t="str">
        <f>IF(PNL!A863="","",PNL!A863)</f>
        <v>TUNON_PAR</v>
      </c>
      <c r="B863" t="str">
        <f>IF(PNL!B863="","",PNL!B863)</f>
        <v>616</v>
      </c>
      <c r="C863" t="str">
        <f>IF(PNL!C863="","",PNL!C863)</f>
        <v>2027</v>
      </c>
      <c r="D863" t="str">
        <f>IF(PNL!D863="","",PNL!D863)</f>
        <v>V02</v>
      </c>
      <c r="E863">
        <f t="shared" si="0"/>
        <v>1</v>
      </c>
      <c r="F863">
        <f>IF($A863="","",IF($E863=1,_xlfn.SUMIFS(Compta!$F$1:$F$1448,Compta!$A$1:$A$1448,$A863,Compta!$B$1:$B$1448,$B863,Compta!$C$1:$C$1448,"2026"),0))</f>
        <v>14025</v>
      </c>
      <c r="G863" t="s">
        <v>274</v>
      </c>
      <c r="H863" t="s">
        <v>274</v>
      </c>
      <c r="I863" t="s">
        <v>274</v>
      </c>
      <c r="J863" t="s">
        <v>274</v>
      </c>
      <c r="K863" t="s">
        <v>274</v>
      </c>
      <c r="L863" t="s">
        <v>274</v>
      </c>
      <c r="M863" t="s">
        <v>274</v>
      </c>
      <c r="N863" t="e">
        <f t="shared" si="1"/>
        <v>#VALUE!</v>
      </c>
      <c r="O863" t="e">
        <f t="shared" si="2"/>
        <v>#VALUE!</v>
      </c>
      <c r="P863" t="e">
        <f>IF($A863="","",IF($E863=1,$F863*$O863,PNL!G863))</f>
        <v>#VALUE!</v>
      </c>
      <c r="T863" t="e">
        <f t="shared" si="3"/>
        <v>#VALUE!</v>
      </c>
    </row>
    <row r="864" ht="14.25" customHeight="1">
      <c r="A864" t="str">
        <f>IF(PNL!A864="","",PNL!A864)</f>
        <v>TUNON_PAR</v>
      </c>
      <c r="B864" t="str">
        <f>IF(PNL!B864="","",PNL!B864)</f>
        <v>616</v>
      </c>
      <c r="C864" t="str">
        <f>IF(PNL!C864="","",PNL!C864)</f>
        <v>2027</v>
      </c>
      <c r="D864" t="str">
        <f>IF(PNL!D864="","",PNL!D864)</f>
        <v>V03</v>
      </c>
      <c r="E864">
        <f t="shared" si="0"/>
        <v>1</v>
      </c>
      <c r="F864">
        <f>IF($A864="","",IF($E864=1,_xlfn.SUMIFS(Compta!$F$1:$F$1448,Compta!$A$1:$A$1448,$A864,Compta!$B$1:$B$1448,$B864,Compta!$C$1:$C$1448,"2026"),0))</f>
        <v>14025</v>
      </c>
      <c r="G864" t="s">
        <v>274</v>
      </c>
      <c r="H864" t="s">
        <v>274</v>
      </c>
      <c r="I864" t="s">
        <v>274</v>
      </c>
      <c r="J864" t="s">
        <v>274</v>
      </c>
      <c r="K864" t="s">
        <v>274</v>
      </c>
      <c r="L864" t="s">
        <v>274</v>
      </c>
      <c r="M864" t="s">
        <v>274</v>
      </c>
      <c r="N864" t="e">
        <f t="shared" si="1"/>
        <v>#VALUE!</v>
      </c>
      <c r="O864" t="e">
        <f t="shared" si="2"/>
        <v>#VALUE!</v>
      </c>
      <c r="P864" t="e">
        <f>IF($A864="","",IF($E864=1,$F864*$O864,PNL!G864))</f>
        <v>#VALUE!</v>
      </c>
      <c r="T864" t="e">
        <f t="shared" si="3"/>
        <v>#VALUE!</v>
      </c>
    </row>
    <row r="865" ht="14.25" customHeight="1">
      <c r="A865" t="str">
        <f>IF(PNL!A865="","",PNL!A865)</f>
        <v>TUNON_LYO</v>
      </c>
      <c r="B865" t="str">
        <f>IF(PNL!B865="","",PNL!B865)</f>
        <v>616</v>
      </c>
      <c r="C865" t="str">
        <f>IF(PNL!C865="","",PNL!C865)</f>
        <v>2027</v>
      </c>
      <c r="D865" t="str">
        <f>IF(PNL!D865="","",PNL!D865)</f>
        <v>V01</v>
      </c>
      <c r="E865">
        <f t="shared" si="0"/>
        <v>1</v>
      </c>
      <c r="F865">
        <f>IF($A865="","",IF($E865=1,_xlfn.SUMIFS(Compta!$F$1:$F$1448,Compta!$A$1:$A$1448,$A865,Compta!$B$1:$B$1448,$B865,Compta!$C$1:$C$1448,"2026"),0))</f>
        <v>8221</v>
      </c>
      <c r="G865" t="s">
        <v>274</v>
      </c>
      <c r="H865" t="s">
        <v>274</v>
      </c>
      <c r="I865" t="s">
        <v>274</v>
      </c>
      <c r="J865" t="s">
        <v>274</v>
      </c>
      <c r="K865" t="s">
        <v>274</v>
      </c>
      <c r="L865" t="s">
        <v>274</v>
      </c>
      <c r="M865" t="s">
        <v>274</v>
      </c>
      <c r="N865" t="e">
        <f t="shared" si="1"/>
        <v>#VALUE!</v>
      </c>
      <c r="O865" t="e">
        <f t="shared" si="2"/>
        <v>#VALUE!</v>
      </c>
      <c r="P865" t="e">
        <f>IF($A865="","",IF($E865=1,$F865*$O865,PNL!G865))</f>
        <v>#VALUE!</v>
      </c>
      <c r="T865" t="e">
        <f t="shared" si="3"/>
        <v>#VALUE!</v>
      </c>
    </row>
    <row r="866" ht="14.25" customHeight="1">
      <c r="A866" t="str">
        <f>IF(PNL!A866="","",PNL!A866)</f>
        <v>TUNON_LYO</v>
      </c>
      <c r="B866" t="str">
        <f>IF(PNL!B866="","",PNL!B866)</f>
        <v>616</v>
      </c>
      <c r="C866" t="str">
        <f>IF(PNL!C866="","",PNL!C866)</f>
        <v>2027</v>
      </c>
      <c r="D866" t="str">
        <f>IF(PNL!D866="","",PNL!D866)</f>
        <v>V02</v>
      </c>
      <c r="E866">
        <f t="shared" si="0"/>
        <v>1</v>
      </c>
      <c r="F866">
        <f>IF($A866="","",IF($E866=1,_xlfn.SUMIFS(Compta!$F$1:$F$1448,Compta!$A$1:$A$1448,$A866,Compta!$B$1:$B$1448,$B866,Compta!$C$1:$C$1448,"2026"),0))</f>
        <v>8221</v>
      </c>
      <c r="G866" t="s">
        <v>274</v>
      </c>
      <c r="H866" t="s">
        <v>274</v>
      </c>
      <c r="I866" t="s">
        <v>274</v>
      </c>
      <c r="J866" t="s">
        <v>274</v>
      </c>
      <c r="K866" t="s">
        <v>274</v>
      </c>
      <c r="L866" t="s">
        <v>274</v>
      </c>
      <c r="M866" t="s">
        <v>274</v>
      </c>
      <c r="N866" t="e">
        <f t="shared" si="1"/>
        <v>#VALUE!</v>
      </c>
      <c r="O866" t="e">
        <f t="shared" si="2"/>
        <v>#VALUE!</v>
      </c>
      <c r="P866" t="e">
        <f>IF($A866="","",IF($E866=1,$F866*$O866,PNL!G866))</f>
        <v>#VALUE!</v>
      </c>
      <c r="T866" t="e">
        <f t="shared" si="3"/>
        <v>#VALUE!</v>
      </c>
    </row>
    <row r="867" ht="14.25" customHeight="1">
      <c r="A867" t="str">
        <f>IF(PNL!A867="","",PNL!A867)</f>
        <v>TUNON_LYO</v>
      </c>
      <c r="B867" t="str">
        <f>IF(PNL!B867="","",PNL!B867)</f>
        <v>616</v>
      </c>
      <c r="C867" t="str">
        <f>IF(PNL!C867="","",PNL!C867)</f>
        <v>2027</v>
      </c>
      <c r="D867" t="str">
        <f>IF(PNL!D867="","",PNL!D867)</f>
        <v>V03</v>
      </c>
      <c r="E867">
        <f t="shared" si="0"/>
        <v>1</v>
      </c>
      <c r="F867">
        <f>IF($A867="","",IF($E867=1,_xlfn.SUMIFS(Compta!$F$1:$F$1448,Compta!$A$1:$A$1448,$A867,Compta!$B$1:$B$1448,$B867,Compta!$C$1:$C$1448,"2026"),0))</f>
        <v>8221</v>
      </c>
      <c r="G867" t="s">
        <v>274</v>
      </c>
      <c r="H867" t="s">
        <v>274</v>
      </c>
      <c r="I867" t="s">
        <v>274</v>
      </c>
      <c r="J867" t="s">
        <v>274</v>
      </c>
      <c r="K867" t="s">
        <v>274</v>
      </c>
      <c r="L867" t="s">
        <v>274</v>
      </c>
      <c r="M867" t="s">
        <v>274</v>
      </c>
      <c r="N867" t="e">
        <f t="shared" si="1"/>
        <v>#VALUE!</v>
      </c>
      <c r="O867" t="e">
        <f t="shared" si="2"/>
        <v>#VALUE!</v>
      </c>
      <c r="P867" t="e">
        <f>IF($A867="","",IF($E867=1,$F867*$O867,PNL!G867))</f>
        <v>#VALUE!</v>
      </c>
      <c r="T867" t="e">
        <f t="shared" si="3"/>
        <v>#VALUE!</v>
      </c>
    </row>
    <row r="868" ht="14.25" customHeight="1">
      <c r="A868" t="str">
        <f>IF(PNL!A868="","",PNL!A868)</f>
        <v>GRP</v>
      </c>
      <c r="B868" t="str">
        <f>IF(PNL!B868="","",PNL!B868)</f>
        <v>6226</v>
      </c>
      <c r="C868" t="str">
        <f>IF(PNL!C868="","",PNL!C868)</f>
        <v>2027</v>
      </c>
      <c r="D868" t="str">
        <f>IF(PNL!D868="","",PNL!D868)</f>
        <v>V01</v>
      </c>
      <c r="E868">
        <f t="shared" si="0"/>
        <v>1</v>
      </c>
      <c r="F868">
        <f>IF($A868="","",IF($E868=1,_xlfn.SUMIFS(Compta!$F$1:$F$1448,Compta!$A$1:$A$1448,$A868,Compta!$B$1:$B$1448,$B868,Compta!$C$1:$C$1448,"2026"),0))</f>
        <v>564841</v>
      </c>
      <c r="G868" t="s">
        <v>274</v>
      </c>
      <c r="H868" t="s">
        <v>274</v>
      </c>
      <c r="I868" t="s">
        <v>274</v>
      </c>
      <c r="J868" t="s">
        <v>274</v>
      </c>
      <c r="K868" t="s">
        <v>274</v>
      </c>
      <c r="L868" t="s">
        <v>274</v>
      </c>
      <c r="M868" t="s">
        <v>274</v>
      </c>
      <c r="N868" t="e">
        <f t="shared" si="1"/>
        <v>#VALUE!</v>
      </c>
      <c r="O868" t="e">
        <f t="shared" si="2"/>
        <v>#VALUE!</v>
      </c>
      <c r="P868" t="e">
        <f>IF($A868="","",IF($E868=1,$F868*$O868,PNL!G868))</f>
        <v>#VALUE!</v>
      </c>
      <c r="T868" t="e">
        <f t="shared" si="3"/>
        <v>#VALUE!</v>
      </c>
    </row>
    <row r="869" ht="14.25" customHeight="1">
      <c r="A869" t="str">
        <f>IF(PNL!A869="","",PNL!A869)</f>
        <v>GRP</v>
      </c>
      <c r="B869" t="str">
        <f>IF(PNL!B869="","",PNL!B869)</f>
        <v>6226</v>
      </c>
      <c r="C869" t="str">
        <f>IF(PNL!C869="","",PNL!C869)</f>
        <v>2027</v>
      </c>
      <c r="D869" t="str">
        <f>IF(PNL!D869="","",PNL!D869)</f>
        <v>V02</v>
      </c>
      <c r="E869">
        <f t="shared" si="0"/>
        <v>1</v>
      </c>
      <c r="F869">
        <f>IF($A869="","",IF($E869=1,_xlfn.SUMIFS(Compta!$F$1:$F$1448,Compta!$A$1:$A$1448,$A869,Compta!$B$1:$B$1448,$B869,Compta!$C$1:$C$1448,"2026"),0))</f>
        <v>564841</v>
      </c>
      <c r="G869" t="s">
        <v>274</v>
      </c>
      <c r="H869" t="s">
        <v>274</v>
      </c>
      <c r="I869" t="s">
        <v>274</v>
      </c>
      <c r="J869" t="s">
        <v>274</v>
      </c>
      <c r="K869" t="s">
        <v>274</v>
      </c>
      <c r="L869" t="s">
        <v>274</v>
      </c>
      <c r="M869" t="s">
        <v>274</v>
      </c>
      <c r="N869" t="e">
        <f t="shared" si="1"/>
        <v>#VALUE!</v>
      </c>
      <c r="O869" t="e">
        <f t="shared" si="2"/>
        <v>#VALUE!</v>
      </c>
      <c r="P869" t="e">
        <f>IF($A869="","",IF($E869=1,$F869*$O869,PNL!G869))</f>
        <v>#VALUE!</v>
      </c>
      <c r="T869" t="e">
        <f t="shared" si="3"/>
        <v>#VALUE!</v>
      </c>
    </row>
    <row r="870" ht="14.25" customHeight="1">
      <c r="A870" t="str">
        <f>IF(PNL!A870="","",PNL!A870)</f>
        <v>GRP</v>
      </c>
      <c r="B870" t="str">
        <f>IF(PNL!B870="","",PNL!B870)</f>
        <v>6226</v>
      </c>
      <c r="C870" t="str">
        <f>IF(PNL!C870="","",PNL!C870)</f>
        <v>2027</v>
      </c>
      <c r="D870" t="str">
        <f>IF(PNL!D870="","",PNL!D870)</f>
        <v>V03</v>
      </c>
      <c r="E870">
        <f t="shared" si="0"/>
        <v>1</v>
      </c>
      <c r="F870">
        <f>IF($A870="","",IF($E870=1,_xlfn.SUMIFS(Compta!$F$1:$F$1448,Compta!$A$1:$A$1448,$A870,Compta!$B$1:$B$1448,$B870,Compta!$C$1:$C$1448,"2026"),0))</f>
        <v>564841</v>
      </c>
      <c r="G870" t="s">
        <v>274</v>
      </c>
      <c r="H870" t="s">
        <v>274</v>
      </c>
      <c r="I870" t="s">
        <v>274</v>
      </c>
      <c r="J870" t="s">
        <v>274</v>
      </c>
      <c r="K870" t="s">
        <v>274</v>
      </c>
      <c r="L870" t="s">
        <v>274</v>
      </c>
      <c r="M870" t="s">
        <v>274</v>
      </c>
      <c r="N870" t="e">
        <f t="shared" si="1"/>
        <v>#VALUE!</v>
      </c>
      <c r="O870" t="e">
        <f t="shared" si="2"/>
        <v>#VALUE!</v>
      </c>
      <c r="P870" t="e">
        <f>IF($A870="","",IF($E870=1,$F870*$O870,PNL!G870))</f>
        <v>#VALUE!</v>
      </c>
      <c r="T870" t="e">
        <f t="shared" si="3"/>
        <v>#VALUE!</v>
      </c>
    </row>
    <row r="871" ht="14.25" customHeight="1">
      <c r="A871" t="str">
        <f>IF(PNL!A871="","",PNL!A871)</f>
        <v>GRP</v>
      </c>
      <c r="B871" t="str">
        <f>IF(PNL!B871="","",PNL!B871)</f>
        <v>6236</v>
      </c>
      <c r="C871" t="str">
        <f>IF(PNL!C871="","",PNL!C871)</f>
        <v>2027</v>
      </c>
      <c r="D871" t="str">
        <f>IF(PNL!D871="","",PNL!D871)</f>
        <v>V01</v>
      </c>
      <c r="E871">
        <f t="shared" si="0"/>
        <v>1</v>
      </c>
      <c r="F871">
        <f>IF($A871="","",IF($E871=1,_xlfn.SUMIFS(Compta!$F$1:$F$1448,Compta!$A$1:$A$1448,$A871,Compta!$B$1:$B$1448,$B871,Compta!$C$1:$C$1448,"2026"),0))</f>
        <v>676344</v>
      </c>
      <c r="G871" t="s">
        <v>274</v>
      </c>
      <c r="H871" t="s">
        <v>274</v>
      </c>
      <c r="I871" t="s">
        <v>274</v>
      </c>
      <c r="J871" t="s">
        <v>274</v>
      </c>
      <c r="K871" t="s">
        <v>274</v>
      </c>
      <c r="L871" t="s">
        <v>274</v>
      </c>
      <c r="M871" t="s">
        <v>274</v>
      </c>
      <c r="N871" t="e">
        <f t="shared" si="1"/>
        <v>#VALUE!</v>
      </c>
      <c r="O871" t="e">
        <f t="shared" si="2"/>
        <v>#VALUE!</v>
      </c>
      <c r="P871" t="e">
        <f>IF($A871="","",IF($E871=1,$F871*$O871,PNL!G871))</f>
        <v>#VALUE!</v>
      </c>
      <c r="T871" t="e">
        <f t="shared" si="3"/>
        <v>#VALUE!</v>
      </c>
    </row>
    <row r="872" ht="14.25" customHeight="1">
      <c r="A872" t="str">
        <f>IF(PNL!A872="","",PNL!A872)</f>
        <v>GRP</v>
      </c>
      <c r="B872" t="str">
        <f>IF(PNL!B872="","",PNL!B872)</f>
        <v>6236</v>
      </c>
      <c r="C872" t="str">
        <f>IF(PNL!C872="","",PNL!C872)</f>
        <v>2027</v>
      </c>
      <c r="D872" t="str">
        <f>IF(PNL!D872="","",PNL!D872)</f>
        <v>V02</v>
      </c>
      <c r="E872">
        <f t="shared" si="0"/>
        <v>1</v>
      </c>
      <c r="F872">
        <f>IF($A872="","",IF($E872=1,_xlfn.SUMIFS(Compta!$F$1:$F$1448,Compta!$A$1:$A$1448,$A872,Compta!$B$1:$B$1448,$B872,Compta!$C$1:$C$1448,"2026"),0))</f>
        <v>676344</v>
      </c>
      <c r="G872" t="s">
        <v>274</v>
      </c>
      <c r="H872" t="s">
        <v>274</v>
      </c>
      <c r="I872" t="s">
        <v>274</v>
      </c>
      <c r="J872" t="s">
        <v>274</v>
      </c>
      <c r="K872" t="s">
        <v>274</v>
      </c>
      <c r="L872" t="s">
        <v>274</v>
      </c>
      <c r="M872" t="s">
        <v>274</v>
      </c>
      <c r="N872" t="e">
        <f t="shared" si="1"/>
        <v>#VALUE!</v>
      </c>
      <c r="O872" t="e">
        <f t="shared" si="2"/>
        <v>#VALUE!</v>
      </c>
      <c r="P872" t="e">
        <f>IF($A872="","",IF($E872=1,$F872*$O872,PNL!G872))</f>
        <v>#VALUE!</v>
      </c>
      <c r="T872" t="e">
        <f t="shared" si="3"/>
        <v>#VALUE!</v>
      </c>
    </row>
    <row r="873" ht="14.25" customHeight="1">
      <c r="A873" t="str">
        <f>IF(PNL!A873="","",PNL!A873)</f>
        <v>GRP</v>
      </c>
      <c r="B873" t="str">
        <f>IF(PNL!B873="","",PNL!B873)</f>
        <v>6236</v>
      </c>
      <c r="C873" t="str">
        <f>IF(PNL!C873="","",PNL!C873)</f>
        <v>2027</v>
      </c>
      <c r="D873" t="str">
        <f>IF(PNL!D873="","",PNL!D873)</f>
        <v>V03</v>
      </c>
      <c r="E873">
        <f t="shared" si="0"/>
        <v>1</v>
      </c>
      <c r="F873">
        <f>IF($A873="","",IF($E873=1,_xlfn.SUMIFS(Compta!$F$1:$F$1448,Compta!$A$1:$A$1448,$A873,Compta!$B$1:$B$1448,$B873,Compta!$C$1:$C$1448,"2026"),0))</f>
        <v>676344</v>
      </c>
      <c r="G873" t="s">
        <v>274</v>
      </c>
      <c r="H873" t="s">
        <v>274</v>
      </c>
      <c r="I873" t="s">
        <v>274</v>
      </c>
      <c r="J873" t="s">
        <v>274</v>
      </c>
      <c r="K873" t="s">
        <v>274</v>
      </c>
      <c r="L873" t="s">
        <v>274</v>
      </c>
      <c r="M873" t="s">
        <v>274</v>
      </c>
      <c r="N873" t="e">
        <f t="shared" si="1"/>
        <v>#VALUE!</v>
      </c>
      <c r="O873" t="e">
        <f t="shared" si="2"/>
        <v>#VALUE!</v>
      </c>
      <c r="P873" t="e">
        <f>IF($A873="","",IF($E873=1,$F873*$O873,PNL!G873))</f>
        <v>#VALUE!</v>
      </c>
      <c r="T873" t="e">
        <f t="shared" si="3"/>
        <v>#VALUE!</v>
      </c>
    </row>
    <row r="874" ht="14.25" customHeight="1">
      <c r="A874" t="str">
        <f>IF(PNL!A874="","",PNL!A874)</f>
        <v>MBWAY_PAR</v>
      </c>
      <c r="B874" t="str">
        <f>IF(PNL!B874="","",PNL!B874)</f>
        <v>625</v>
      </c>
      <c r="C874" t="str">
        <f>IF(PNL!C874="","",PNL!C874)</f>
        <v>2027</v>
      </c>
      <c r="D874" t="str">
        <f>IF(PNL!D874="","",PNL!D874)</f>
        <v>V01</v>
      </c>
      <c r="E874">
        <f t="shared" si="0"/>
        <v>1</v>
      </c>
      <c r="F874">
        <f>IF($A874="","",IF($E874=1,_xlfn.SUMIFS(Compta!$F$1:$F$1448,Compta!$A$1:$A$1448,$A874,Compta!$B$1:$B$1448,$B874,Compta!$C$1:$C$1448,"2026"),0))</f>
        <v>58234</v>
      </c>
      <c r="G874" t="s">
        <v>274</v>
      </c>
      <c r="H874" t="s">
        <v>274</v>
      </c>
      <c r="I874" t="s">
        <v>274</v>
      </c>
      <c r="J874" t="s">
        <v>274</v>
      </c>
      <c r="K874" t="s">
        <v>274</v>
      </c>
      <c r="L874" t="s">
        <v>274</v>
      </c>
      <c r="M874" t="s">
        <v>274</v>
      </c>
      <c r="N874" t="e">
        <f t="shared" si="1"/>
        <v>#VALUE!</v>
      </c>
      <c r="O874" t="e">
        <f t="shared" si="2"/>
        <v>#VALUE!</v>
      </c>
      <c r="P874" t="e">
        <f>IF($A874="","",IF($E874=1,$F874*$O874,PNL!G874))</f>
        <v>#VALUE!</v>
      </c>
      <c r="T874" t="e">
        <f t="shared" si="3"/>
        <v>#VALUE!</v>
      </c>
    </row>
    <row r="875" ht="14.25" customHeight="1">
      <c r="A875" t="str">
        <f>IF(PNL!A875="","",PNL!A875)</f>
        <v>MBWAY_PAR</v>
      </c>
      <c r="B875" t="str">
        <f>IF(PNL!B875="","",PNL!B875)</f>
        <v>625</v>
      </c>
      <c r="C875" t="str">
        <f>IF(PNL!C875="","",PNL!C875)</f>
        <v>2027</v>
      </c>
      <c r="D875" t="str">
        <f>IF(PNL!D875="","",PNL!D875)</f>
        <v>V02</v>
      </c>
      <c r="E875">
        <f t="shared" si="0"/>
        <v>1</v>
      </c>
      <c r="F875">
        <f>IF($A875="","",IF($E875=1,_xlfn.SUMIFS(Compta!$F$1:$F$1448,Compta!$A$1:$A$1448,$A875,Compta!$B$1:$B$1448,$B875,Compta!$C$1:$C$1448,"2026"),0))</f>
        <v>58234</v>
      </c>
      <c r="G875" t="s">
        <v>274</v>
      </c>
      <c r="H875" t="s">
        <v>274</v>
      </c>
      <c r="I875" t="s">
        <v>274</v>
      </c>
      <c r="J875" t="s">
        <v>274</v>
      </c>
      <c r="K875" t="s">
        <v>274</v>
      </c>
      <c r="L875" t="s">
        <v>274</v>
      </c>
      <c r="M875" t="s">
        <v>274</v>
      </c>
      <c r="N875" t="e">
        <f t="shared" si="1"/>
        <v>#VALUE!</v>
      </c>
      <c r="O875" t="e">
        <f t="shared" si="2"/>
        <v>#VALUE!</v>
      </c>
      <c r="P875" t="e">
        <f>IF($A875="","",IF($E875=1,$F875*$O875,PNL!G875))</f>
        <v>#VALUE!</v>
      </c>
      <c r="T875" t="e">
        <f t="shared" si="3"/>
        <v>#VALUE!</v>
      </c>
    </row>
    <row r="876" ht="14.25" customHeight="1">
      <c r="A876" t="str">
        <f>IF(PNL!A876="","",PNL!A876)</f>
        <v>MBWAY_PAR</v>
      </c>
      <c r="B876" t="str">
        <f>IF(PNL!B876="","",PNL!B876)</f>
        <v>625</v>
      </c>
      <c r="C876" t="str">
        <f>IF(PNL!C876="","",PNL!C876)</f>
        <v>2027</v>
      </c>
      <c r="D876" t="str">
        <f>IF(PNL!D876="","",PNL!D876)</f>
        <v>V03</v>
      </c>
      <c r="E876">
        <f t="shared" si="0"/>
        <v>1</v>
      </c>
      <c r="F876">
        <f>IF($A876="","",IF($E876=1,_xlfn.SUMIFS(Compta!$F$1:$F$1448,Compta!$A$1:$A$1448,$A876,Compta!$B$1:$B$1448,$B876,Compta!$C$1:$C$1448,"2026"),0))</f>
        <v>58234</v>
      </c>
      <c r="G876" t="s">
        <v>274</v>
      </c>
      <c r="H876" t="s">
        <v>274</v>
      </c>
      <c r="I876" t="s">
        <v>274</v>
      </c>
      <c r="J876" t="s">
        <v>274</v>
      </c>
      <c r="K876" t="s">
        <v>274</v>
      </c>
      <c r="L876" t="s">
        <v>274</v>
      </c>
      <c r="M876" t="s">
        <v>274</v>
      </c>
      <c r="N876" t="e">
        <f t="shared" si="1"/>
        <v>#VALUE!</v>
      </c>
      <c r="O876" t="e">
        <f t="shared" si="2"/>
        <v>#VALUE!</v>
      </c>
      <c r="P876" t="e">
        <f>IF($A876="","",IF($E876=1,$F876*$O876,PNL!G876))</f>
        <v>#VALUE!</v>
      </c>
      <c r="T876" t="e">
        <f t="shared" si="3"/>
        <v>#VALUE!</v>
      </c>
    </row>
    <row r="877" ht="14.25" customHeight="1">
      <c r="A877" t="str">
        <f>IF(PNL!A877="","",PNL!A877)</f>
        <v>MBWAY_LYO</v>
      </c>
      <c r="B877" t="str">
        <f>IF(PNL!B877="","",PNL!B877)</f>
        <v>625</v>
      </c>
      <c r="C877" t="str">
        <f>IF(PNL!C877="","",PNL!C877)</f>
        <v>2027</v>
      </c>
      <c r="D877" t="str">
        <f>IF(PNL!D877="","",PNL!D877)</f>
        <v>V01</v>
      </c>
      <c r="E877">
        <f t="shared" si="0"/>
        <v>1</v>
      </c>
      <c r="F877">
        <f>IF($A877="","",IF($E877=1,_xlfn.SUMIFS(Compta!$F$1:$F$1448,Compta!$A$1:$A$1448,$A877,Compta!$B$1:$B$1448,$B877,Compta!$C$1:$C$1448,"2026"),0))</f>
        <v>34147</v>
      </c>
      <c r="G877" t="s">
        <v>274</v>
      </c>
      <c r="H877" t="s">
        <v>274</v>
      </c>
      <c r="I877" t="s">
        <v>274</v>
      </c>
      <c r="J877" t="s">
        <v>274</v>
      </c>
      <c r="K877" t="s">
        <v>274</v>
      </c>
      <c r="L877" t="s">
        <v>274</v>
      </c>
      <c r="M877" t="s">
        <v>274</v>
      </c>
      <c r="N877" t="e">
        <f t="shared" si="1"/>
        <v>#VALUE!</v>
      </c>
      <c r="O877" t="e">
        <f t="shared" si="2"/>
        <v>#VALUE!</v>
      </c>
      <c r="P877" t="e">
        <f>IF($A877="","",IF($E877=1,$F877*$O877,PNL!G877))</f>
        <v>#VALUE!</v>
      </c>
      <c r="T877" t="e">
        <f t="shared" si="3"/>
        <v>#VALUE!</v>
      </c>
    </row>
    <row r="878" ht="14.25" customHeight="1">
      <c r="A878" t="str">
        <f>IF(PNL!A878="","",PNL!A878)</f>
        <v>MBWAY_LYO</v>
      </c>
      <c r="B878" t="str">
        <f>IF(PNL!B878="","",PNL!B878)</f>
        <v>625</v>
      </c>
      <c r="C878" t="str">
        <f>IF(PNL!C878="","",PNL!C878)</f>
        <v>2027</v>
      </c>
      <c r="D878" t="str">
        <f>IF(PNL!D878="","",PNL!D878)</f>
        <v>V02</v>
      </c>
      <c r="E878">
        <f t="shared" si="0"/>
        <v>1</v>
      </c>
      <c r="F878">
        <f>IF($A878="","",IF($E878=1,_xlfn.SUMIFS(Compta!$F$1:$F$1448,Compta!$A$1:$A$1448,$A878,Compta!$B$1:$B$1448,$B878,Compta!$C$1:$C$1448,"2026"),0))</f>
        <v>34147</v>
      </c>
      <c r="G878" t="s">
        <v>274</v>
      </c>
      <c r="H878" t="s">
        <v>274</v>
      </c>
      <c r="I878" t="s">
        <v>274</v>
      </c>
      <c r="J878" t="s">
        <v>274</v>
      </c>
      <c r="K878" t="s">
        <v>274</v>
      </c>
      <c r="L878" t="s">
        <v>274</v>
      </c>
      <c r="M878" t="s">
        <v>274</v>
      </c>
      <c r="N878" t="e">
        <f t="shared" si="1"/>
        <v>#VALUE!</v>
      </c>
      <c r="O878" t="e">
        <f t="shared" si="2"/>
        <v>#VALUE!</v>
      </c>
      <c r="P878" t="e">
        <f>IF($A878="","",IF($E878=1,$F878*$O878,PNL!G878))</f>
        <v>#VALUE!</v>
      </c>
      <c r="T878" t="e">
        <f t="shared" si="3"/>
        <v>#VALUE!</v>
      </c>
    </row>
    <row r="879" ht="14.25" customHeight="1">
      <c r="A879" t="str">
        <f>IF(PNL!A879="","",PNL!A879)</f>
        <v>MBWAY_LYO</v>
      </c>
      <c r="B879" t="str">
        <f>IF(PNL!B879="","",PNL!B879)</f>
        <v>625</v>
      </c>
      <c r="C879" t="str">
        <f>IF(PNL!C879="","",PNL!C879)</f>
        <v>2027</v>
      </c>
      <c r="D879" t="str">
        <f>IF(PNL!D879="","",PNL!D879)</f>
        <v>V03</v>
      </c>
      <c r="E879">
        <f t="shared" si="0"/>
        <v>1</v>
      </c>
      <c r="F879">
        <f>IF($A879="","",IF($E879=1,_xlfn.SUMIFS(Compta!$F$1:$F$1448,Compta!$A$1:$A$1448,$A879,Compta!$B$1:$B$1448,$B879,Compta!$C$1:$C$1448,"2026"),0))</f>
        <v>34147</v>
      </c>
      <c r="G879" t="s">
        <v>274</v>
      </c>
      <c r="H879" t="s">
        <v>274</v>
      </c>
      <c r="I879" t="s">
        <v>274</v>
      </c>
      <c r="J879" t="s">
        <v>274</v>
      </c>
      <c r="K879" t="s">
        <v>274</v>
      </c>
      <c r="L879" t="s">
        <v>274</v>
      </c>
      <c r="M879" t="s">
        <v>274</v>
      </c>
      <c r="N879" t="e">
        <f t="shared" si="1"/>
        <v>#VALUE!</v>
      </c>
      <c r="O879" t="e">
        <f t="shared" si="2"/>
        <v>#VALUE!</v>
      </c>
      <c r="P879" t="e">
        <f>IF($A879="","",IF($E879=1,$F879*$O879,PNL!G879))</f>
        <v>#VALUE!</v>
      </c>
      <c r="T879" t="e">
        <f t="shared" si="3"/>
        <v>#VALUE!</v>
      </c>
    </row>
    <row r="880" ht="14.25" customHeight="1">
      <c r="A880" t="str">
        <f>IF(PNL!A880="","",PNL!A880)</f>
        <v>MBWAY_NAN</v>
      </c>
      <c r="B880" t="str">
        <f>IF(PNL!B880="","",PNL!B880)</f>
        <v>625</v>
      </c>
      <c r="C880" t="str">
        <f>IF(PNL!C880="","",PNL!C880)</f>
        <v>2027</v>
      </c>
      <c r="D880" t="str">
        <f>IF(PNL!D880="","",PNL!D880)</f>
        <v>V01</v>
      </c>
      <c r="E880">
        <f t="shared" si="0"/>
        <v>1</v>
      </c>
      <c r="F880">
        <f>IF($A880="","",IF($E880=1,_xlfn.SUMIFS(Compta!$F$1:$F$1448,Compta!$A$1:$A$1448,$A880,Compta!$B$1:$B$1448,$B880,Compta!$C$1:$C$1448,"2026"),0))</f>
        <v>27666</v>
      </c>
      <c r="G880" t="s">
        <v>274</v>
      </c>
      <c r="H880" t="s">
        <v>274</v>
      </c>
      <c r="I880" t="s">
        <v>274</v>
      </c>
      <c r="J880" t="s">
        <v>274</v>
      </c>
      <c r="K880" t="s">
        <v>274</v>
      </c>
      <c r="L880" t="s">
        <v>274</v>
      </c>
      <c r="M880" t="s">
        <v>274</v>
      </c>
      <c r="N880" t="e">
        <f t="shared" si="1"/>
        <v>#VALUE!</v>
      </c>
      <c r="O880" t="e">
        <f t="shared" si="2"/>
        <v>#VALUE!</v>
      </c>
      <c r="P880" t="e">
        <f>IF($A880="","",IF($E880=1,$F880*$O880,PNL!G880))</f>
        <v>#VALUE!</v>
      </c>
      <c r="T880" t="e">
        <f t="shared" si="3"/>
        <v>#VALUE!</v>
      </c>
    </row>
    <row r="881" ht="14.25" customHeight="1">
      <c r="A881" t="str">
        <f>IF(PNL!A881="","",PNL!A881)</f>
        <v>MBWAY_NAN</v>
      </c>
      <c r="B881" t="str">
        <f>IF(PNL!B881="","",PNL!B881)</f>
        <v>625</v>
      </c>
      <c r="C881" t="str">
        <f>IF(PNL!C881="","",PNL!C881)</f>
        <v>2027</v>
      </c>
      <c r="D881" t="str">
        <f>IF(PNL!D881="","",PNL!D881)</f>
        <v>V02</v>
      </c>
      <c r="E881">
        <f t="shared" si="0"/>
        <v>1</v>
      </c>
      <c r="F881">
        <f>IF($A881="","",IF($E881=1,_xlfn.SUMIFS(Compta!$F$1:$F$1448,Compta!$A$1:$A$1448,$A881,Compta!$B$1:$B$1448,$B881,Compta!$C$1:$C$1448,"2026"),0))</f>
        <v>27666</v>
      </c>
      <c r="G881" t="s">
        <v>274</v>
      </c>
      <c r="H881" t="s">
        <v>274</v>
      </c>
      <c r="I881" t="s">
        <v>274</v>
      </c>
      <c r="J881" t="s">
        <v>274</v>
      </c>
      <c r="K881" t="s">
        <v>274</v>
      </c>
      <c r="L881" t="s">
        <v>274</v>
      </c>
      <c r="M881" t="s">
        <v>274</v>
      </c>
      <c r="N881" t="e">
        <f t="shared" si="1"/>
        <v>#VALUE!</v>
      </c>
      <c r="O881" t="e">
        <f t="shared" si="2"/>
        <v>#VALUE!</v>
      </c>
      <c r="P881" t="e">
        <f>IF($A881="","",IF($E881=1,$F881*$O881,PNL!G881))</f>
        <v>#VALUE!</v>
      </c>
      <c r="T881" t="e">
        <f t="shared" si="3"/>
        <v>#VALUE!</v>
      </c>
    </row>
    <row r="882" ht="14.25" customHeight="1">
      <c r="A882" t="str">
        <f>IF(PNL!A882="","",PNL!A882)</f>
        <v>MBWAY_NAN</v>
      </c>
      <c r="B882" t="str">
        <f>IF(PNL!B882="","",PNL!B882)</f>
        <v>625</v>
      </c>
      <c r="C882" t="str">
        <f>IF(PNL!C882="","",PNL!C882)</f>
        <v>2027</v>
      </c>
      <c r="D882" t="str">
        <f>IF(PNL!D882="","",PNL!D882)</f>
        <v>V03</v>
      </c>
      <c r="E882">
        <f t="shared" si="0"/>
        <v>1</v>
      </c>
      <c r="F882">
        <f>IF($A882="","",IF($E882=1,_xlfn.SUMIFS(Compta!$F$1:$F$1448,Compta!$A$1:$A$1448,$A882,Compta!$B$1:$B$1448,$B882,Compta!$C$1:$C$1448,"2026"),0))</f>
        <v>27666</v>
      </c>
      <c r="G882" t="s">
        <v>274</v>
      </c>
      <c r="H882" t="s">
        <v>274</v>
      </c>
      <c r="I882" t="s">
        <v>274</v>
      </c>
      <c r="J882" t="s">
        <v>274</v>
      </c>
      <c r="K882" t="s">
        <v>274</v>
      </c>
      <c r="L882" t="s">
        <v>274</v>
      </c>
      <c r="M882" t="s">
        <v>274</v>
      </c>
      <c r="N882" t="e">
        <f t="shared" si="1"/>
        <v>#VALUE!</v>
      </c>
      <c r="O882" t="e">
        <f t="shared" si="2"/>
        <v>#VALUE!</v>
      </c>
      <c r="P882" t="e">
        <f>IF($A882="","",IF($E882=1,$F882*$O882,PNL!G882))</f>
        <v>#VALUE!</v>
      </c>
      <c r="T882" t="e">
        <f t="shared" si="3"/>
        <v>#VALUE!</v>
      </c>
    </row>
    <row r="883" ht="14.25" customHeight="1">
      <c r="A883" t="str">
        <f>IF(PNL!A883="","",PNL!A883)</f>
        <v>MBWAY_BOR</v>
      </c>
      <c r="B883" t="str">
        <f>IF(PNL!B883="","",PNL!B883)</f>
        <v>625</v>
      </c>
      <c r="C883" t="str">
        <f>IF(PNL!C883="","",PNL!C883)</f>
        <v>2027</v>
      </c>
      <c r="D883" t="str">
        <f>IF(PNL!D883="","",PNL!D883)</f>
        <v>V01</v>
      </c>
      <c r="E883">
        <f t="shared" si="0"/>
        <v>1</v>
      </c>
      <c r="F883">
        <f>IF($A883="","",IF($E883=1,_xlfn.SUMIFS(Compta!$F$1:$F$1448,Compta!$A$1:$A$1448,$A883,Compta!$B$1:$B$1448,$B883,Compta!$C$1:$C$1448,"2026"),0))</f>
        <v>24603</v>
      </c>
      <c r="G883" t="s">
        <v>274</v>
      </c>
      <c r="H883" t="s">
        <v>274</v>
      </c>
      <c r="I883" t="s">
        <v>274</v>
      </c>
      <c r="J883" t="s">
        <v>274</v>
      </c>
      <c r="K883" t="s">
        <v>274</v>
      </c>
      <c r="L883" t="s">
        <v>274</v>
      </c>
      <c r="M883" t="s">
        <v>274</v>
      </c>
      <c r="N883" t="e">
        <f t="shared" si="1"/>
        <v>#VALUE!</v>
      </c>
      <c r="O883" t="e">
        <f t="shared" si="2"/>
        <v>#VALUE!</v>
      </c>
      <c r="P883" t="e">
        <f>IF($A883="","",IF($E883=1,$F883*$O883,PNL!G883))</f>
        <v>#VALUE!</v>
      </c>
      <c r="T883" t="e">
        <f t="shared" si="3"/>
        <v>#VALUE!</v>
      </c>
    </row>
    <row r="884" ht="14.25" customHeight="1">
      <c r="A884" t="str">
        <f>IF(PNL!A884="","",PNL!A884)</f>
        <v>MBWAY_BOR</v>
      </c>
      <c r="B884" t="str">
        <f>IF(PNL!B884="","",PNL!B884)</f>
        <v>625</v>
      </c>
      <c r="C884" t="str">
        <f>IF(PNL!C884="","",PNL!C884)</f>
        <v>2027</v>
      </c>
      <c r="D884" t="str">
        <f>IF(PNL!D884="","",PNL!D884)</f>
        <v>V02</v>
      </c>
      <c r="E884">
        <f t="shared" si="0"/>
        <v>1</v>
      </c>
      <c r="F884">
        <f>IF($A884="","",IF($E884=1,_xlfn.SUMIFS(Compta!$F$1:$F$1448,Compta!$A$1:$A$1448,$A884,Compta!$B$1:$B$1448,$B884,Compta!$C$1:$C$1448,"2026"),0))</f>
        <v>24603</v>
      </c>
      <c r="G884" t="s">
        <v>274</v>
      </c>
      <c r="H884" t="s">
        <v>274</v>
      </c>
      <c r="I884" t="s">
        <v>274</v>
      </c>
      <c r="J884" t="s">
        <v>274</v>
      </c>
      <c r="K884" t="s">
        <v>274</v>
      </c>
      <c r="L884" t="s">
        <v>274</v>
      </c>
      <c r="M884" t="s">
        <v>274</v>
      </c>
      <c r="N884" t="e">
        <f t="shared" si="1"/>
        <v>#VALUE!</v>
      </c>
      <c r="O884" t="e">
        <f t="shared" si="2"/>
        <v>#VALUE!</v>
      </c>
      <c r="P884" t="e">
        <f>IF($A884="","",IF($E884=1,$F884*$O884,PNL!G884))</f>
        <v>#VALUE!</v>
      </c>
      <c r="T884" t="e">
        <f t="shared" si="3"/>
        <v>#VALUE!</v>
      </c>
    </row>
    <row r="885" ht="14.25" customHeight="1">
      <c r="A885" t="str">
        <f>IF(PNL!A885="","",PNL!A885)</f>
        <v>MBWAY_BOR</v>
      </c>
      <c r="B885" t="str">
        <f>IF(PNL!B885="","",PNL!B885)</f>
        <v>625</v>
      </c>
      <c r="C885" t="str">
        <f>IF(PNL!C885="","",PNL!C885)</f>
        <v>2027</v>
      </c>
      <c r="D885" t="str">
        <f>IF(PNL!D885="","",PNL!D885)</f>
        <v>V03</v>
      </c>
      <c r="E885">
        <f t="shared" si="0"/>
        <v>1</v>
      </c>
      <c r="F885">
        <f>IF($A885="","",IF($E885=1,_xlfn.SUMIFS(Compta!$F$1:$F$1448,Compta!$A$1:$A$1448,$A885,Compta!$B$1:$B$1448,$B885,Compta!$C$1:$C$1448,"2026"),0))</f>
        <v>24603</v>
      </c>
      <c r="G885" t="s">
        <v>274</v>
      </c>
      <c r="H885" t="s">
        <v>274</v>
      </c>
      <c r="I885" t="s">
        <v>274</v>
      </c>
      <c r="J885" t="s">
        <v>274</v>
      </c>
      <c r="K885" t="s">
        <v>274</v>
      </c>
      <c r="L885" t="s">
        <v>274</v>
      </c>
      <c r="M885" t="s">
        <v>274</v>
      </c>
      <c r="N885" t="e">
        <f t="shared" si="1"/>
        <v>#VALUE!</v>
      </c>
      <c r="O885" t="e">
        <f t="shared" si="2"/>
        <v>#VALUE!</v>
      </c>
      <c r="P885" t="e">
        <f>IF($A885="","",IF($E885=1,$F885*$O885,PNL!G885))</f>
        <v>#VALUE!</v>
      </c>
      <c r="T885" t="e">
        <f t="shared" si="3"/>
        <v>#VALUE!</v>
      </c>
    </row>
    <row r="886" ht="14.25" customHeight="1">
      <c r="A886" t="str">
        <f>IF(PNL!A886="","",PNL!A886)</f>
        <v>ISCOM_PAR</v>
      </c>
      <c r="B886" t="str">
        <f>IF(PNL!B886="","",PNL!B886)</f>
        <v>625</v>
      </c>
      <c r="C886" t="str">
        <f>IF(PNL!C886="","",PNL!C886)</f>
        <v>2027</v>
      </c>
      <c r="D886" t="str">
        <f>IF(PNL!D886="","",PNL!D886)</f>
        <v>V01</v>
      </c>
      <c r="E886">
        <f t="shared" si="0"/>
        <v>1</v>
      </c>
      <c r="F886">
        <f>IF($A886="","",IF($E886=1,_xlfn.SUMIFS(Compta!$F$1:$F$1448,Compta!$A$1:$A$1448,$A886,Compta!$B$1:$B$1448,$B886,Compta!$C$1:$C$1448,"2026"),0))</f>
        <v>53965</v>
      </c>
      <c r="G886" t="s">
        <v>274</v>
      </c>
      <c r="H886" t="s">
        <v>274</v>
      </c>
      <c r="I886" t="s">
        <v>274</v>
      </c>
      <c r="J886" t="s">
        <v>274</v>
      </c>
      <c r="K886" t="s">
        <v>274</v>
      </c>
      <c r="L886" t="s">
        <v>274</v>
      </c>
      <c r="M886" t="s">
        <v>274</v>
      </c>
      <c r="N886" t="e">
        <f t="shared" si="1"/>
        <v>#VALUE!</v>
      </c>
      <c r="O886" t="e">
        <f t="shared" si="2"/>
        <v>#VALUE!</v>
      </c>
      <c r="P886" t="e">
        <f>IF($A886="","",IF($E886=1,$F886*$O886,PNL!G886))</f>
        <v>#VALUE!</v>
      </c>
      <c r="T886" t="e">
        <f t="shared" si="3"/>
        <v>#VALUE!</v>
      </c>
    </row>
    <row r="887" ht="14.25" customHeight="1">
      <c r="A887" t="str">
        <f>IF(PNL!A887="","",PNL!A887)</f>
        <v>ISCOM_PAR</v>
      </c>
      <c r="B887" t="str">
        <f>IF(PNL!B887="","",PNL!B887)</f>
        <v>625</v>
      </c>
      <c r="C887" t="str">
        <f>IF(PNL!C887="","",PNL!C887)</f>
        <v>2027</v>
      </c>
      <c r="D887" t="str">
        <f>IF(PNL!D887="","",PNL!D887)</f>
        <v>V02</v>
      </c>
      <c r="E887">
        <f t="shared" si="0"/>
        <v>1</v>
      </c>
      <c r="F887">
        <f>IF($A887="","",IF($E887=1,_xlfn.SUMIFS(Compta!$F$1:$F$1448,Compta!$A$1:$A$1448,$A887,Compta!$B$1:$B$1448,$B887,Compta!$C$1:$C$1448,"2026"),0))</f>
        <v>53965</v>
      </c>
      <c r="G887" t="s">
        <v>274</v>
      </c>
      <c r="H887" t="s">
        <v>274</v>
      </c>
      <c r="I887" t="s">
        <v>274</v>
      </c>
      <c r="J887" t="s">
        <v>274</v>
      </c>
      <c r="K887" t="s">
        <v>274</v>
      </c>
      <c r="L887" t="s">
        <v>274</v>
      </c>
      <c r="M887" t="s">
        <v>274</v>
      </c>
      <c r="N887" t="e">
        <f t="shared" si="1"/>
        <v>#VALUE!</v>
      </c>
      <c r="O887" t="e">
        <f t="shared" si="2"/>
        <v>#VALUE!</v>
      </c>
      <c r="P887" t="e">
        <f>IF($A887="","",IF($E887=1,$F887*$O887,PNL!G887))</f>
        <v>#VALUE!</v>
      </c>
      <c r="T887" t="e">
        <f t="shared" si="3"/>
        <v>#VALUE!</v>
      </c>
    </row>
    <row r="888" ht="14.25" customHeight="1">
      <c r="A888" t="str">
        <f>IF(PNL!A888="","",PNL!A888)</f>
        <v>ISCOM_PAR</v>
      </c>
      <c r="B888" t="str">
        <f>IF(PNL!B888="","",PNL!B888)</f>
        <v>625</v>
      </c>
      <c r="C888" t="str">
        <f>IF(PNL!C888="","",PNL!C888)</f>
        <v>2027</v>
      </c>
      <c r="D888" t="str">
        <f>IF(PNL!D888="","",PNL!D888)</f>
        <v>V03</v>
      </c>
      <c r="E888">
        <f t="shared" si="0"/>
        <v>1</v>
      </c>
      <c r="F888">
        <f>IF($A888="","",IF($E888=1,_xlfn.SUMIFS(Compta!$F$1:$F$1448,Compta!$A$1:$A$1448,$A888,Compta!$B$1:$B$1448,$B888,Compta!$C$1:$C$1448,"2026"),0))</f>
        <v>53965</v>
      </c>
      <c r="G888" t="s">
        <v>274</v>
      </c>
      <c r="H888" t="s">
        <v>274</v>
      </c>
      <c r="I888" t="s">
        <v>274</v>
      </c>
      <c r="J888" t="s">
        <v>274</v>
      </c>
      <c r="K888" t="s">
        <v>274</v>
      </c>
      <c r="L888" t="s">
        <v>274</v>
      </c>
      <c r="M888" t="s">
        <v>274</v>
      </c>
      <c r="N888" t="e">
        <f t="shared" si="1"/>
        <v>#VALUE!</v>
      </c>
      <c r="O888" t="e">
        <f t="shared" si="2"/>
        <v>#VALUE!</v>
      </c>
      <c r="P888" t="e">
        <f>IF($A888="","",IF($E888=1,$F888*$O888,PNL!G888))</f>
        <v>#VALUE!</v>
      </c>
      <c r="T888" t="e">
        <f t="shared" si="3"/>
        <v>#VALUE!</v>
      </c>
    </row>
    <row r="889" ht="14.25" customHeight="1">
      <c r="A889" t="str">
        <f>IF(PNL!A889="","",PNL!A889)</f>
        <v>ISCOM_LIL</v>
      </c>
      <c r="B889" t="str">
        <f>IF(PNL!B889="","",PNL!B889)</f>
        <v>625</v>
      </c>
      <c r="C889" t="str">
        <f>IF(PNL!C889="","",PNL!C889)</f>
        <v>2027</v>
      </c>
      <c r="D889" t="str">
        <f>IF(PNL!D889="","",PNL!D889)</f>
        <v>V01</v>
      </c>
      <c r="E889">
        <f t="shared" si="0"/>
        <v>1</v>
      </c>
      <c r="F889">
        <f>IF($A889="","",IF($E889=1,_xlfn.SUMIFS(Compta!$F$1:$F$1448,Compta!$A$1:$A$1448,$A889,Compta!$B$1:$B$1448,$B889,Compta!$C$1:$C$1448,"2026"),0))</f>
        <v>21124</v>
      </c>
      <c r="G889" t="s">
        <v>274</v>
      </c>
      <c r="H889" t="s">
        <v>274</v>
      </c>
      <c r="I889" t="s">
        <v>274</v>
      </c>
      <c r="J889" t="s">
        <v>274</v>
      </c>
      <c r="K889" t="s">
        <v>274</v>
      </c>
      <c r="L889" t="s">
        <v>274</v>
      </c>
      <c r="M889" t="s">
        <v>274</v>
      </c>
      <c r="N889" t="e">
        <f t="shared" si="1"/>
        <v>#VALUE!</v>
      </c>
      <c r="O889" t="e">
        <f t="shared" si="2"/>
        <v>#VALUE!</v>
      </c>
      <c r="P889" t="e">
        <f>IF($A889="","",IF($E889=1,$F889*$O889,PNL!G889))</f>
        <v>#VALUE!</v>
      </c>
      <c r="T889" t="e">
        <f t="shared" si="3"/>
        <v>#VALUE!</v>
      </c>
    </row>
    <row r="890" ht="14.25" customHeight="1">
      <c r="A890" t="str">
        <f>IF(PNL!A890="","",PNL!A890)</f>
        <v>ISCOM_LIL</v>
      </c>
      <c r="B890" t="str">
        <f>IF(PNL!B890="","",PNL!B890)</f>
        <v>625</v>
      </c>
      <c r="C890" t="str">
        <f>IF(PNL!C890="","",PNL!C890)</f>
        <v>2027</v>
      </c>
      <c r="D890" t="str">
        <f>IF(PNL!D890="","",PNL!D890)</f>
        <v>V02</v>
      </c>
      <c r="E890">
        <f t="shared" si="0"/>
        <v>1</v>
      </c>
      <c r="F890">
        <f>IF($A890="","",IF($E890=1,_xlfn.SUMIFS(Compta!$F$1:$F$1448,Compta!$A$1:$A$1448,$A890,Compta!$B$1:$B$1448,$B890,Compta!$C$1:$C$1448,"2026"),0))</f>
        <v>21124</v>
      </c>
      <c r="G890" t="s">
        <v>274</v>
      </c>
      <c r="H890" t="s">
        <v>274</v>
      </c>
      <c r="I890" t="s">
        <v>274</v>
      </c>
      <c r="J890" t="s">
        <v>274</v>
      </c>
      <c r="K890" t="s">
        <v>274</v>
      </c>
      <c r="L890" t="s">
        <v>274</v>
      </c>
      <c r="M890" t="s">
        <v>274</v>
      </c>
      <c r="N890" t="e">
        <f t="shared" si="1"/>
        <v>#VALUE!</v>
      </c>
      <c r="O890" t="e">
        <f t="shared" si="2"/>
        <v>#VALUE!</v>
      </c>
      <c r="P890" t="e">
        <f>IF($A890="","",IF($E890=1,$F890*$O890,PNL!G890))</f>
        <v>#VALUE!</v>
      </c>
      <c r="T890" t="e">
        <f t="shared" si="3"/>
        <v>#VALUE!</v>
      </c>
    </row>
    <row r="891" ht="14.25" customHeight="1">
      <c r="A891" t="str">
        <f>IF(PNL!A891="","",PNL!A891)</f>
        <v>ISCOM_LIL</v>
      </c>
      <c r="B891" t="str">
        <f>IF(PNL!B891="","",PNL!B891)</f>
        <v>625</v>
      </c>
      <c r="C891" t="str">
        <f>IF(PNL!C891="","",PNL!C891)</f>
        <v>2027</v>
      </c>
      <c r="D891" t="str">
        <f>IF(PNL!D891="","",PNL!D891)</f>
        <v>V03</v>
      </c>
      <c r="E891">
        <f t="shared" si="0"/>
        <v>1</v>
      </c>
      <c r="F891">
        <f>IF($A891="","",IF($E891=1,_xlfn.SUMIFS(Compta!$F$1:$F$1448,Compta!$A$1:$A$1448,$A891,Compta!$B$1:$B$1448,$B891,Compta!$C$1:$C$1448,"2026"),0))</f>
        <v>21124</v>
      </c>
      <c r="G891" t="s">
        <v>274</v>
      </c>
      <c r="H891" t="s">
        <v>274</v>
      </c>
      <c r="I891" t="s">
        <v>274</v>
      </c>
      <c r="J891" t="s">
        <v>274</v>
      </c>
      <c r="K891" t="s">
        <v>274</v>
      </c>
      <c r="L891" t="s">
        <v>274</v>
      </c>
      <c r="M891" t="s">
        <v>274</v>
      </c>
      <c r="N891" t="e">
        <f t="shared" si="1"/>
        <v>#VALUE!</v>
      </c>
      <c r="O891" t="e">
        <f t="shared" si="2"/>
        <v>#VALUE!</v>
      </c>
      <c r="P891" t="e">
        <f>IF($A891="","",IF($E891=1,$F891*$O891,PNL!G891))</f>
        <v>#VALUE!</v>
      </c>
      <c r="T891" t="e">
        <f t="shared" si="3"/>
        <v>#VALUE!</v>
      </c>
    </row>
    <row r="892" ht="14.25" customHeight="1">
      <c r="A892" t="str">
        <f>IF(PNL!A892="","",PNL!A892)</f>
        <v>ISCOM_TLS</v>
      </c>
      <c r="B892" t="str">
        <f>IF(PNL!B892="","",PNL!B892)</f>
        <v>625</v>
      </c>
      <c r="C892" t="str">
        <f>IF(PNL!C892="","",PNL!C892)</f>
        <v>2027</v>
      </c>
      <c r="D892" t="str">
        <f>IF(PNL!D892="","",PNL!D892)</f>
        <v>V01</v>
      </c>
      <c r="E892">
        <f t="shared" si="0"/>
        <v>1</v>
      </c>
      <c r="F892">
        <f>IF($A892="","",IF($E892=1,_xlfn.SUMIFS(Compta!$F$1:$F$1448,Compta!$A$1:$A$1448,$A892,Compta!$B$1:$B$1448,$B892,Compta!$C$1:$C$1448,"2026"),0))</f>
        <v>19564</v>
      </c>
      <c r="G892" t="s">
        <v>274</v>
      </c>
      <c r="H892" t="s">
        <v>274</v>
      </c>
      <c r="I892" t="s">
        <v>274</v>
      </c>
      <c r="J892" t="s">
        <v>274</v>
      </c>
      <c r="K892" t="s">
        <v>274</v>
      </c>
      <c r="L892" t="s">
        <v>274</v>
      </c>
      <c r="M892" t="s">
        <v>274</v>
      </c>
      <c r="N892" t="e">
        <f t="shared" si="1"/>
        <v>#VALUE!</v>
      </c>
      <c r="O892" t="e">
        <f t="shared" si="2"/>
        <v>#VALUE!</v>
      </c>
      <c r="P892" t="e">
        <f>IF($A892="","",IF($E892=1,$F892*$O892,PNL!G892))</f>
        <v>#VALUE!</v>
      </c>
      <c r="T892" t="e">
        <f t="shared" si="3"/>
        <v>#VALUE!</v>
      </c>
    </row>
    <row r="893" ht="14.25" customHeight="1">
      <c r="A893" t="str">
        <f>IF(PNL!A893="","",PNL!A893)</f>
        <v>ISCOM_TLS</v>
      </c>
      <c r="B893" t="str">
        <f>IF(PNL!B893="","",PNL!B893)</f>
        <v>625</v>
      </c>
      <c r="C893" t="str">
        <f>IF(PNL!C893="","",PNL!C893)</f>
        <v>2027</v>
      </c>
      <c r="D893" t="str">
        <f>IF(PNL!D893="","",PNL!D893)</f>
        <v>V02</v>
      </c>
      <c r="E893">
        <f t="shared" si="0"/>
        <v>1</v>
      </c>
      <c r="F893">
        <f>IF($A893="","",IF($E893=1,_xlfn.SUMIFS(Compta!$F$1:$F$1448,Compta!$A$1:$A$1448,$A893,Compta!$B$1:$B$1448,$B893,Compta!$C$1:$C$1448,"2026"),0))</f>
        <v>19564</v>
      </c>
      <c r="G893" t="s">
        <v>274</v>
      </c>
      <c r="H893" t="s">
        <v>274</v>
      </c>
      <c r="I893" t="s">
        <v>274</v>
      </c>
      <c r="J893" t="s">
        <v>274</v>
      </c>
      <c r="K893" t="s">
        <v>274</v>
      </c>
      <c r="L893" t="s">
        <v>274</v>
      </c>
      <c r="M893" t="s">
        <v>274</v>
      </c>
      <c r="N893" t="e">
        <f t="shared" si="1"/>
        <v>#VALUE!</v>
      </c>
      <c r="O893" t="e">
        <f t="shared" si="2"/>
        <v>#VALUE!</v>
      </c>
      <c r="P893" t="e">
        <f>IF($A893="","",IF($E893=1,$F893*$O893,PNL!G893))</f>
        <v>#VALUE!</v>
      </c>
      <c r="T893" t="e">
        <f t="shared" si="3"/>
        <v>#VALUE!</v>
      </c>
    </row>
    <row r="894" ht="14.25" customHeight="1">
      <c r="A894" t="str">
        <f>IF(PNL!A894="","",PNL!A894)</f>
        <v>ISCOM_TLS</v>
      </c>
      <c r="B894" t="str">
        <f>IF(PNL!B894="","",PNL!B894)</f>
        <v>625</v>
      </c>
      <c r="C894" t="str">
        <f>IF(PNL!C894="","",PNL!C894)</f>
        <v>2027</v>
      </c>
      <c r="D894" t="str">
        <f>IF(PNL!D894="","",PNL!D894)</f>
        <v>V03</v>
      </c>
      <c r="E894">
        <f t="shared" si="0"/>
        <v>1</v>
      </c>
      <c r="F894">
        <f>IF($A894="","",IF($E894=1,_xlfn.SUMIFS(Compta!$F$1:$F$1448,Compta!$A$1:$A$1448,$A894,Compta!$B$1:$B$1448,$B894,Compta!$C$1:$C$1448,"2026"),0))</f>
        <v>19564</v>
      </c>
      <c r="G894" t="s">
        <v>274</v>
      </c>
      <c r="H894" t="s">
        <v>274</v>
      </c>
      <c r="I894" t="s">
        <v>274</v>
      </c>
      <c r="J894" t="s">
        <v>274</v>
      </c>
      <c r="K894" t="s">
        <v>274</v>
      </c>
      <c r="L894" t="s">
        <v>274</v>
      </c>
      <c r="M894" t="s">
        <v>274</v>
      </c>
      <c r="N894" t="e">
        <f t="shared" si="1"/>
        <v>#VALUE!</v>
      </c>
      <c r="O894" t="e">
        <f t="shared" si="2"/>
        <v>#VALUE!</v>
      </c>
      <c r="P894" t="e">
        <f>IF($A894="","",IF($E894=1,$F894*$O894,PNL!G894))</f>
        <v>#VALUE!</v>
      </c>
      <c r="T894" t="e">
        <f t="shared" si="3"/>
        <v>#VALUE!</v>
      </c>
    </row>
    <row r="895" ht="14.25" customHeight="1">
      <c r="A895" t="str">
        <f>IF(PNL!A895="","",PNL!A895)</f>
        <v>IPAC_NAN</v>
      </c>
      <c r="B895" t="str">
        <f>IF(PNL!B895="","",PNL!B895)</f>
        <v>625</v>
      </c>
      <c r="C895" t="str">
        <f>IF(PNL!C895="","",PNL!C895)</f>
        <v>2027</v>
      </c>
      <c r="D895" t="str">
        <f>IF(PNL!D895="","",PNL!D895)</f>
        <v>V01</v>
      </c>
      <c r="E895">
        <f t="shared" si="0"/>
        <v>1</v>
      </c>
      <c r="F895">
        <f>IF($A895="","",IF($E895=1,_xlfn.SUMIFS(Compta!$F$1:$F$1448,Compta!$A$1:$A$1448,$A895,Compta!$B$1:$B$1448,$B895,Compta!$C$1:$C$1448,"2026"),0))</f>
        <v>13645</v>
      </c>
      <c r="G895" t="s">
        <v>274</v>
      </c>
      <c r="H895" t="s">
        <v>274</v>
      </c>
      <c r="I895" t="s">
        <v>274</v>
      </c>
      <c r="J895" t="s">
        <v>274</v>
      </c>
      <c r="K895" t="s">
        <v>274</v>
      </c>
      <c r="L895" t="s">
        <v>274</v>
      </c>
      <c r="M895" t="s">
        <v>274</v>
      </c>
      <c r="N895" t="e">
        <f t="shared" si="1"/>
        <v>#VALUE!</v>
      </c>
      <c r="O895" t="e">
        <f t="shared" si="2"/>
        <v>#VALUE!</v>
      </c>
      <c r="P895" t="e">
        <f>IF($A895="","",IF($E895=1,$F895*$O895,PNL!G895))</f>
        <v>#VALUE!</v>
      </c>
      <c r="T895" t="e">
        <f t="shared" si="3"/>
        <v>#VALUE!</v>
      </c>
    </row>
    <row r="896" ht="14.25" customHeight="1">
      <c r="A896" t="str">
        <f>IF(PNL!A896="","",PNL!A896)</f>
        <v>IPAC_NAN</v>
      </c>
      <c r="B896" t="str">
        <f>IF(PNL!B896="","",PNL!B896)</f>
        <v>625</v>
      </c>
      <c r="C896" t="str">
        <f>IF(PNL!C896="","",PNL!C896)</f>
        <v>2027</v>
      </c>
      <c r="D896" t="str">
        <f>IF(PNL!D896="","",PNL!D896)</f>
        <v>V02</v>
      </c>
      <c r="E896">
        <f t="shared" si="0"/>
        <v>1</v>
      </c>
      <c r="F896">
        <f>IF($A896="","",IF($E896=1,_xlfn.SUMIFS(Compta!$F$1:$F$1448,Compta!$A$1:$A$1448,$A896,Compta!$B$1:$B$1448,$B896,Compta!$C$1:$C$1448,"2026"),0))</f>
        <v>13645</v>
      </c>
      <c r="G896" t="s">
        <v>274</v>
      </c>
      <c r="H896" t="s">
        <v>274</v>
      </c>
      <c r="I896" t="s">
        <v>274</v>
      </c>
      <c r="J896" t="s">
        <v>274</v>
      </c>
      <c r="K896" t="s">
        <v>274</v>
      </c>
      <c r="L896" t="s">
        <v>274</v>
      </c>
      <c r="M896" t="s">
        <v>274</v>
      </c>
      <c r="N896" t="e">
        <f t="shared" si="1"/>
        <v>#VALUE!</v>
      </c>
      <c r="O896" t="e">
        <f t="shared" si="2"/>
        <v>#VALUE!</v>
      </c>
      <c r="P896" t="e">
        <f>IF($A896="","",IF($E896=1,$F896*$O896,PNL!G896))</f>
        <v>#VALUE!</v>
      </c>
      <c r="T896" t="e">
        <f t="shared" si="3"/>
        <v>#VALUE!</v>
      </c>
    </row>
    <row r="897" ht="14.25" customHeight="1">
      <c r="A897" t="str">
        <f>IF(PNL!A897="","",PNL!A897)</f>
        <v>IPAC_NAN</v>
      </c>
      <c r="B897" t="str">
        <f>IF(PNL!B897="","",PNL!B897)</f>
        <v>625</v>
      </c>
      <c r="C897" t="str">
        <f>IF(PNL!C897="","",PNL!C897)</f>
        <v>2027</v>
      </c>
      <c r="D897" t="str">
        <f>IF(PNL!D897="","",PNL!D897)</f>
        <v>V03</v>
      </c>
      <c r="E897">
        <f t="shared" si="0"/>
        <v>1</v>
      </c>
      <c r="F897">
        <f>IF($A897="","",IF($E897=1,_xlfn.SUMIFS(Compta!$F$1:$F$1448,Compta!$A$1:$A$1448,$A897,Compta!$B$1:$B$1448,$B897,Compta!$C$1:$C$1448,"2026"),0))</f>
        <v>13645</v>
      </c>
      <c r="G897" t="s">
        <v>274</v>
      </c>
      <c r="H897" t="s">
        <v>274</v>
      </c>
      <c r="I897" t="s">
        <v>274</v>
      </c>
      <c r="J897" t="s">
        <v>274</v>
      </c>
      <c r="K897" t="s">
        <v>274</v>
      </c>
      <c r="L897" t="s">
        <v>274</v>
      </c>
      <c r="M897" t="s">
        <v>274</v>
      </c>
      <c r="N897" t="e">
        <f t="shared" si="1"/>
        <v>#VALUE!</v>
      </c>
      <c r="O897" t="e">
        <f t="shared" si="2"/>
        <v>#VALUE!</v>
      </c>
      <c r="P897" t="e">
        <f>IF($A897="","",IF($E897=1,$F897*$O897,PNL!G897))</f>
        <v>#VALUE!</v>
      </c>
      <c r="T897" t="e">
        <f t="shared" si="3"/>
        <v>#VALUE!</v>
      </c>
    </row>
    <row r="898" ht="14.25" customHeight="1">
      <c r="A898" t="str">
        <f>IF(PNL!A898="","",PNL!A898)</f>
        <v>IPAC_REN</v>
      </c>
      <c r="B898" t="str">
        <f>IF(PNL!B898="","",PNL!B898)</f>
        <v>625</v>
      </c>
      <c r="C898" t="str">
        <f>IF(PNL!C898="","",PNL!C898)</f>
        <v>2027</v>
      </c>
      <c r="D898" t="str">
        <f>IF(PNL!D898="","",PNL!D898)</f>
        <v>V01</v>
      </c>
      <c r="E898">
        <f t="shared" si="0"/>
        <v>1</v>
      </c>
      <c r="F898">
        <f>IF($A898="","",IF($E898=1,_xlfn.SUMIFS(Compta!$F$1:$F$1448,Compta!$A$1:$A$1448,$A898,Compta!$B$1:$B$1448,$B898,Compta!$C$1:$C$1448,"2026"),0))</f>
        <v>9689</v>
      </c>
      <c r="G898" t="s">
        <v>274</v>
      </c>
      <c r="H898" t="s">
        <v>274</v>
      </c>
      <c r="I898" t="s">
        <v>274</v>
      </c>
      <c r="J898" t="s">
        <v>274</v>
      </c>
      <c r="K898" t="s">
        <v>274</v>
      </c>
      <c r="L898" t="s">
        <v>274</v>
      </c>
      <c r="M898" t="s">
        <v>274</v>
      </c>
      <c r="N898" t="e">
        <f t="shared" si="1"/>
        <v>#VALUE!</v>
      </c>
      <c r="O898" t="e">
        <f t="shared" si="2"/>
        <v>#VALUE!</v>
      </c>
      <c r="P898" t="e">
        <f>IF($A898="","",IF($E898=1,$F898*$O898,PNL!G898))</f>
        <v>#VALUE!</v>
      </c>
      <c r="T898" t="e">
        <f t="shared" si="3"/>
        <v>#VALUE!</v>
      </c>
    </row>
    <row r="899" ht="14.25" customHeight="1">
      <c r="A899" t="str">
        <f>IF(PNL!A899="","",PNL!A899)</f>
        <v>IPAC_REN</v>
      </c>
      <c r="B899" t="str">
        <f>IF(PNL!B899="","",PNL!B899)</f>
        <v>625</v>
      </c>
      <c r="C899" t="str">
        <f>IF(PNL!C899="","",PNL!C899)</f>
        <v>2027</v>
      </c>
      <c r="D899" t="str">
        <f>IF(PNL!D899="","",PNL!D899)</f>
        <v>V02</v>
      </c>
      <c r="E899">
        <f t="shared" si="0"/>
        <v>1</v>
      </c>
      <c r="F899">
        <f>IF($A899="","",IF($E899=1,_xlfn.SUMIFS(Compta!$F$1:$F$1448,Compta!$A$1:$A$1448,$A899,Compta!$B$1:$B$1448,$B899,Compta!$C$1:$C$1448,"2026"),0))</f>
        <v>9689</v>
      </c>
      <c r="G899" t="s">
        <v>274</v>
      </c>
      <c r="H899" t="s">
        <v>274</v>
      </c>
      <c r="I899" t="s">
        <v>274</v>
      </c>
      <c r="J899" t="s">
        <v>274</v>
      </c>
      <c r="K899" t="s">
        <v>274</v>
      </c>
      <c r="L899" t="s">
        <v>274</v>
      </c>
      <c r="M899" t="s">
        <v>274</v>
      </c>
      <c r="N899" t="e">
        <f t="shared" si="1"/>
        <v>#VALUE!</v>
      </c>
      <c r="O899" t="e">
        <f t="shared" si="2"/>
        <v>#VALUE!</v>
      </c>
      <c r="P899" t="e">
        <f>IF($A899="","",IF($E899=1,$F899*$O899,PNL!G899))</f>
        <v>#VALUE!</v>
      </c>
      <c r="T899" t="e">
        <f t="shared" si="3"/>
        <v>#VALUE!</v>
      </c>
    </row>
    <row r="900" ht="14.25" customHeight="1">
      <c r="A900" t="str">
        <f>IF(PNL!A900="","",PNL!A900)</f>
        <v>IPAC_REN</v>
      </c>
      <c r="B900" t="str">
        <f>IF(PNL!B900="","",PNL!B900)</f>
        <v>625</v>
      </c>
      <c r="C900" t="str">
        <f>IF(PNL!C900="","",PNL!C900)</f>
        <v>2027</v>
      </c>
      <c r="D900" t="str">
        <f>IF(PNL!D900="","",PNL!D900)</f>
        <v>V03</v>
      </c>
      <c r="E900">
        <f t="shared" si="0"/>
        <v>1</v>
      </c>
      <c r="F900">
        <f>IF($A900="","",IF($E900=1,_xlfn.SUMIFS(Compta!$F$1:$F$1448,Compta!$A$1:$A$1448,$A900,Compta!$B$1:$B$1448,$B900,Compta!$C$1:$C$1448,"2026"),0))</f>
        <v>9689</v>
      </c>
      <c r="G900" t="s">
        <v>274</v>
      </c>
      <c r="H900" t="s">
        <v>274</v>
      </c>
      <c r="I900" t="s">
        <v>274</v>
      </c>
      <c r="J900" t="s">
        <v>274</v>
      </c>
      <c r="K900" t="s">
        <v>274</v>
      </c>
      <c r="L900" t="s">
        <v>274</v>
      </c>
      <c r="M900" t="s">
        <v>274</v>
      </c>
      <c r="N900" t="e">
        <f t="shared" si="1"/>
        <v>#VALUE!</v>
      </c>
      <c r="O900" t="e">
        <f t="shared" si="2"/>
        <v>#VALUE!</v>
      </c>
      <c r="P900" t="e">
        <f>IF($A900="","",IF($E900=1,$F900*$O900,PNL!G900))</f>
        <v>#VALUE!</v>
      </c>
      <c r="T900" t="e">
        <f t="shared" si="3"/>
        <v>#VALUE!</v>
      </c>
    </row>
    <row r="901" ht="14.25" customHeight="1">
      <c r="A901" t="str">
        <f>IF(PNL!A901="","",PNL!A901)</f>
        <v>IPAC_MTP</v>
      </c>
      <c r="B901" t="str">
        <f>IF(PNL!B901="","",PNL!B901)</f>
        <v>625</v>
      </c>
      <c r="C901" t="str">
        <f>IF(PNL!C901="","",PNL!C901)</f>
        <v>2027</v>
      </c>
      <c r="D901" t="str">
        <f>IF(PNL!D901="","",PNL!D901)</f>
        <v>V01</v>
      </c>
      <c r="E901">
        <f t="shared" si="0"/>
        <v>1</v>
      </c>
      <c r="F901">
        <f>IF($A901="","",IF($E901=1,_xlfn.SUMIFS(Compta!$F$1:$F$1448,Compta!$A$1:$A$1448,$A901,Compta!$B$1:$B$1448,$B901,Compta!$C$1:$C$1448,"2026"),0))</f>
        <v>9689</v>
      </c>
      <c r="G901" t="s">
        <v>274</v>
      </c>
      <c r="H901" t="s">
        <v>274</v>
      </c>
      <c r="I901" t="s">
        <v>274</v>
      </c>
      <c r="J901" t="s">
        <v>274</v>
      </c>
      <c r="K901" t="s">
        <v>274</v>
      </c>
      <c r="L901" t="s">
        <v>274</v>
      </c>
      <c r="M901" t="s">
        <v>274</v>
      </c>
      <c r="N901" t="e">
        <f t="shared" si="1"/>
        <v>#VALUE!</v>
      </c>
      <c r="O901" t="e">
        <f t="shared" si="2"/>
        <v>#VALUE!</v>
      </c>
      <c r="P901" t="e">
        <f>IF($A901="","",IF($E901=1,$F901*$O901,PNL!G901))</f>
        <v>#VALUE!</v>
      </c>
      <c r="T901" t="e">
        <f t="shared" si="3"/>
        <v>#VALUE!</v>
      </c>
    </row>
    <row r="902" ht="14.25" customHeight="1">
      <c r="A902" t="str">
        <f>IF(PNL!A902="","",PNL!A902)</f>
        <v>IPAC_MTP</v>
      </c>
      <c r="B902" t="str">
        <f>IF(PNL!B902="","",PNL!B902)</f>
        <v>625</v>
      </c>
      <c r="C902" t="str">
        <f>IF(PNL!C902="","",PNL!C902)</f>
        <v>2027</v>
      </c>
      <c r="D902" t="str">
        <f>IF(PNL!D902="","",PNL!D902)</f>
        <v>V02</v>
      </c>
      <c r="E902">
        <f t="shared" si="0"/>
        <v>1</v>
      </c>
      <c r="F902">
        <f>IF($A902="","",IF($E902=1,_xlfn.SUMIFS(Compta!$F$1:$F$1448,Compta!$A$1:$A$1448,$A902,Compta!$B$1:$B$1448,$B902,Compta!$C$1:$C$1448,"2026"),0))</f>
        <v>9689</v>
      </c>
      <c r="G902" t="s">
        <v>274</v>
      </c>
      <c r="H902" t="s">
        <v>274</v>
      </c>
      <c r="I902" t="s">
        <v>274</v>
      </c>
      <c r="J902" t="s">
        <v>274</v>
      </c>
      <c r="K902" t="s">
        <v>274</v>
      </c>
      <c r="L902" t="s">
        <v>274</v>
      </c>
      <c r="M902" t="s">
        <v>274</v>
      </c>
      <c r="N902" t="e">
        <f t="shared" si="1"/>
        <v>#VALUE!</v>
      </c>
      <c r="O902" t="e">
        <f t="shared" si="2"/>
        <v>#VALUE!</v>
      </c>
      <c r="P902" t="e">
        <f>IF($A902="","",IF($E902=1,$F902*$O902,PNL!G902))</f>
        <v>#VALUE!</v>
      </c>
      <c r="T902" t="e">
        <f t="shared" si="3"/>
        <v>#VALUE!</v>
      </c>
    </row>
    <row r="903" ht="14.25" customHeight="1">
      <c r="A903" t="str">
        <f>IF(PNL!A903="","",PNL!A903)</f>
        <v>IPAC_MTP</v>
      </c>
      <c r="B903" t="str">
        <f>IF(PNL!B903="","",PNL!B903)</f>
        <v>625</v>
      </c>
      <c r="C903" t="str">
        <f>IF(PNL!C903="","",PNL!C903)</f>
        <v>2027</v>
      </c>
      <c r="D903" t="str">
        <f>IF(PNL!D903="","",PNL!D903)</f>
        <v>V03</v>
      </c>
      <c r="E903">
        <f t="shared" si="0"/>
        <v>1</v>
      </c>
      <c r="F903">
        <f>IF($A903="","",IF($E903=1,_xlfn.SUMIFS(Compta!$F$1:$F$1448,Compta!$A$1:$A$1448,$A903,Compta!$B$1:$B$1448,$B903,Compta!$C$1:$C$1448,"2026"),0))</f>
        <v>9689</v>
      </c>
      <c r="G903" t="s">
        <v>274</v>
      </c>
      <c r="H903" t="s">
        <v>274</v>
      </c>
      <c r="I903" t="s">
        <v>274</v>
      </c>
      <c r="J903" t="s">
        <v>274</v>
      </c>
      <c r="K903" t="s">
        <v>274</v>
      </c>
      <c r="L903" t="s">
        <v>274</v>
      </c>
      <c r="M903" t="s">
        <v>274</v>
      </c>
      <c r="N903" t="e">
        <f t="shared" si="1"/>
        <v>#VALUE!</v>
      </c>
      <c r="O903" t="e">
        <f t="shared" si="2"/>
        <v>#VALUE!</v>
      </c>
      <c r="P903" t="e">
        <f>IF($A903="","",IF($E903=1,$F903*$O903,PNL!G903))</f>
        <v>#VALUE!</v>
      </c>
      <c r="T903" t="e">
        <f t="shared" si="3"/>
        <v>#VALUE!</v>
      </c>
    </row>
    <row r="904" ht="14.25" customHeight="1">
      <c r="A904" t="str">
        <f>IF(PNL!A904="","",PNL!A904)</f>
        <v>PIGIER_LYO</v>
      </c>
      <c r="B904" t="str">
        <f>IF(PNL!B904="","",PNL!B904)</f>
        <v>625</v>
      </c>
      <c r="C904" t="str">
        <f>IF(PNL!C904="","",PNL!C904)</f>
        <v>2027</v>
      </c>
      <c r="D904" t="str">
        <f>IF(PNL!D904="","",PNL!D904)</f>
        <v>V01</v>
      </c>
      <c r="E904">
        <f t="shared" si="0"/>
        <v>1</v>
      </c>
      <c r="F904">
        <f>IF($A904="","",IF($E904=1,_xlfn.SUMIFS(Compta!$F$1:$F$1448,Compta!$A$1:$A$1448,$A904,Compta!$B$1:$B$1448,$B904,Compta!$C$1:$C$1448,"2026"),0))</f>
        <v>19182</v>
      </c>
      <c r="G904" t="s">
        <v>274</v>
      </c>
      <c r="H904" t="s">
        <v>274</v>
      </c>
      <c r="I904" t="s">
        <v>274</v>
      </c>
      <c r="J904" t="s">
        <v>274</v>
      </c>
      <c r="K904" t="s">
        <v>274</v>
      </c>
      <c r="L904" t="s">
        <v>274</v>
      </c>
      <c r="M904" t="s">
        <v>274</v>
      </c>
      <c r="N904" t="e">
        <f t="shared" si="1"/>
        <v>#VALUE!</v>
      </c>
      <c r="O904" t="e">
        <f t="shared" si="2"/>
        <v>#VALUE!</v>
      </c>
      <c r="P904" t="e">
        <f>IF($A904="","",IF($E904=1,$F904*$O904,PNL!G904))</f>
        <v>#VALUE!</v>
      </c>
      <c r="T904" t="e">
        <f t="shared" si="3"/>
        <v>#VALUE!</v>
      </c>
    </row>
    <row r="905" ht="14.25" customHeight="1">
      <c r="A905" t="str">
        <f>IF(PNL!A905="","",PNL!A905)</f>
        <v>PIGIER_LYO</v>
      </c>
      <c r="B905" t="str">
        <f>IF(PNL!B905="","",PNL!B905)</f>
        <v>625</v>
      </c>
      <c r="C905" t="str">
        <f>IF(PNL!C905="","",PNL!C905)</f>
        <v>2027</v>
      </c>
      <c r="D905" t="str">
        <f>IF(PNL!D905="","",PNL!D905)</f>
        <v>V02</v>
      </c>
      <c r="E905">
        <f t="shared" si="0"/>
        <v>1</v>
      </c>
      <c r="F905">
        <f>IF($A905="","",IF($E905=1,_xlfn.SUMIFS(Compta!$F$1:$F$1448,Compta!$A$1:$A$1448,$A905,Compta!$B$1:$B$1448,$B905,Compta!$C$1:$C$1448,"2026"),0))</f>
        <v>19182</v>
      </c>
      <c r="G905" t="s">
        <v>274</v>
      </c>
      <c r="H905" t="s">
        <v>274</v>
      </c>
      <c r="I905" t="s">
        <v>274</v>
      </c>
      <c r="J905" t="s">
        <v>274</v>
      </c>
      <c r="K905" t="s">
        <v>274</v>
      </c>
      <c r="L905" t="s">
        <v>274</v>
      </c>
      <c r="M905" t="s">
        <v>274</v>
      </c>
      <c r="N905" t="e">
        <f t="shared" si="1"/>
        <v>#VALUE!</v>
      </c>
      <c r="O905" t="e">
        <f t="shared" si="2"/>
        <v>#VALUE!</v>
      </c>
      <c r="P905" t="e">
        <f>IF($A905="","",IF($E905=1,$F905*$O905,PNL!G905))</f>
        <v>#VALUE!</v>
      </c>
      <c r="T905" t="e">
        <f t="shared" si="3"/>
        <v>#VALUE!</v>
      </c>
    </row>
    <row r="906" ht="14.25" customHeight="1">
      <c r="A906" t="str">
        <f>IF(PNL!A906="","",PNL!A906)</f>
        <v>PIGIER_LYO</v>
      </c>
      <c r="B906" t="str">
        <f>IF(PNL!B906="","",PNL!B906)</f>
        <v>625</v>
      </c>
      <c r="C906" t="str">
        <f>IF(PNL!C906="","",PNL!C906)</f>
        <v>2027</v>
      </c>
      <c r="D906" t="str">
        <f>IF(PNL!D906="","",PNL!D906)</f>
        <v>V03</v>
      </c>
      <c r="E906">
        <f t="shared" si="0"/>
        <v>1</v>
      </c>
      <c r="F906">
        <f>IF($A906="","",IF($E906=1,_xlfn.SUMIFS(Compta!$F$1:$F$1448,Compta!$A$1:$A$1448,$A906,Compta!$B$1:$B$1448,$B906,Compta!$C$1:$C$1448,"2026"),0))</f>
        <v>19182</v>
      </c>
      <c r="G906" t="s">
        <v>274</v>
      </c>
      <c r="H906" t="s">
        <v>274</v>
      </c>
      <c r="I906" t="s">
        <v>274</v>
      </c>
      <c r="J906" t="s">
        <v>274</v>
      </c>
      <c r="K906" t="s">
        <v>274</v>
      </c>
      <c r="L906" t="s">
        <v>274</v>
      </c>
      <c r="M906" t="s">
        <v>274</v>
      </c>
      <c r="N906" t="e">
        <f t="shared" si="1"/>
        <v>#VALUE!</v>
      </c>
      <c r="O906" t="e">
        <f t="shared" si="2"/>
        <v>#VALUE!</v>
      </c>
      <c r="P906" t="e">
        <f>IF($A906="","",IF($E906=1,$F906*$O906,PNL!G906))</f>
        <v>#VALUE!</v>
      </c>
      <c r="T906" t="e">
        <f t="shared" si="3"/>
        <v>#VALUE!</v>
      </c>
    </row>
    <row r="907" ht="14.25" customHeight="1">
      <c r="A907" t="str">
        <f>IF(PNL!A907="","",PNL!A907)</f>
        <v>PIGIER_BOR</v>
      </c>
      <c r="B907" t="str">
        <f>IF(PNL!B907="","",PNL!B907)</f>
        <v>625</v>
      </c>
      <c r="C907" t="str">
        <f>IF(PNL!C907="","",PNL!C907)</f>
        <v>2027</v>
      </c>
      <c r="D907" t="str">
        <f>IF(PNL!D907="","",PNL!D907)</f>
        <v>V01</v>
      </c>
      <c r="E907">
        <f t="shared" si="0"/>
        <v>1</v>
      </c>
      <c r="F907">
        <f>IF($A907="","",IF($E907=1,_xlfn.SUMIFS(Compta!$F$1:$F$1448,Compta!$A$1:$A$1448,$A907,Compta!$B$1:$B$1448,$B907,Compta!$C$1:$C$1448,"2026"),0))</f>
        <v>14030</v>
      </c>
      <c r="G907" t="s">
        <v>274</v>
      </c>
      <c r="H907" t="s">
        <v>274</v>
      </c>
      <c r="I907" t="s">
        <v>274</v>
      </c>
      <c r="J907" t="s">
        <v>274</v>
      </c>
      <c r="K907" t="s">
        <v>274</v>
      </c>
      <c r="L907" t="s">
        <v>274</v>
      </c>
      <c r="M907" t="s">
        <v>274</v>
      </c>
      <c r="N907" t="e">
        <f t="shared" si="1"/>
        <v>#VALUE!</v>
      </c>
      <c r="O907" t="e">
        <f t="shared" si="2"/>
        <v>#VALUE!</v>
      </c>
      <c r="P907" t="e">
        <f>IF($A907="","",IF($E907=1,$F907*$O907,PNL!G907))</f>
        <v>#VALUE!</v>
      </c>
      <c r="T907" t="e">
        <f t="shared" si="3"/>
        <v>#VALUE!</v>
      </c>
    </row>
    <row r="908" ht="14.25" customHeight="1">
      <c r="A908" t="str">
        <f>IF(PNL!A908="","",PNL!A908)</f>
        <v>PIGIER_BOR</v>
      </c>
      <c r="B908" t="str">
        <f>IF(PNL!B908="","",PNL!B908)</f>
        <v>625</v>
      </c>
      <c r="C908" t="str">
        <f>IF(PNL!C908="","",PNL!C908)</f>
        <v>2027</v>
      </c>
      <c r="D908" t="str">
        <f>IF(PNL!D908="","",PNL!D908)</f>
        <v>V02</v>
      </c>
      <c r="E908">
        <f t="shared" si="0"/>
        <v>1</v>
      </c>
      <c r="F908">
        <f>IF($A908="","",IF($E908=1,_xlfn.SUMIFS(Compta!$F$1:$F$1448,Compta!$A$1:$A$1448,$A908,Compta!$B$1:$B$1448,$B908,Compta!$C$1:$C$1448,"2026"),0))</f>
        <v>14030</v>
      </c>
      <c r="G908" t="s">
        <v>274</v>
      </c>
      <c r="H908" t="s">
        <v>274</v>
      </c>
      <c r="I908" t="s">
        <v>274</v>
      </c>
      <c r="J908" t="s">
        <v>274</v>
      </c>
      <c r="K908" t="s">
        <v>274</v>
      </c>
      <c r="L908" t="s">
        <v>274</v>
      </c>
      <c r="M908" t="s">
        <v>274</v>
      </c>
      <c r="N908" t="e">
        <f t="shared" si="1"/>
        <v>#VALUE!</v>
      </c>
      <c r="O908" t="e">
        <f t="shared" si="2"/>
        <v>#VALUE!</v>
      </c>
      <c r="P908" t="e">
        <f>IF($A908="","",IF($E908=1,$F908*$O908,PNL!G908))</f>
        <v>#VALUE!</v>
      </c>
      <c r="T908" t="e">
        <f t="shared" si="3"/>
        <v>#VALUE!</v>
      </c>
    </row>
    <row r="909" ht="14.25" customHeight="1">
      <c r="A909" t="str">
        <f>IF(PNL!A909="","",PNL!A909)</f>
        <v>PIGIER_BOR</v>
      </c>
      <c r="B909" t="str">
        <f>IF(PNL!B909="","",PNL!B909)</f>
        <v>625</v>
      </c>
      <c r="C909" t="str">
        <f>IF(PNL!C909="","",PNL!C909)</f>
        <v>2027</v>
      </c>
      <c r="D909" t="str">
        <f>IF(PNL!D909="","",PNL!D909)</f>
        <v>V03</v>
      </c>
      <c r="E909">
        <f t="shared" si="0"/>
        <v>1</v>
      </c>
      <c r="F909">
        <f>IF($A909="","",IF($E909=1,_xlfn.SUMIFS(Compta!$F$1:$F$1448,Compta!$A$1:$A$1448,$A909,Compta!$B$1:$B$1448,$B909,Compta!$C$1:$C$1448,"2026"),0))</f>
        <v>14030</v>
      </c>
      <c r="G909" t="s">
        <v>274</v>
      </c>
      <c r="H909" t="s">
        <v>274</v>
      </c>
      <c r="I909" t="s">
        <v>274</v>
      </c>
      <c r="J909" t="s">
        <v>274</v>
      </c>
      <c r="K909" t="s">
        <v>274</v>
      </c>
      <c r="L909" t="s">
        <v>274</v>
      </c>
      <c r="M909" t="s">
        <v>274</v>
      </c>
      <c r="N909" t="e">
        <f t="shared" si="1"/>
        <v>#VALUE!</v>
      </c>
      <c r="O909" t="e">
        <f t="shared" si="2"/>
        <v>#VALUE!</v>
      </c>
      <c r="P909" t="e">
        <f>IF($A909="","",IF($E909=1,$F909*$O909,PNL!G909))</f>
        <v>#VALUE!</v>
      </c>
      <c r="T909" t="e">
        <f t="shared" si="3"/>
        <v>#VALUE!</v>
      </c>
    </row>
    <row r="910" ht="14.25" customHeight="1">
      <c r="A910" t="str">
        <f>IF(PNL!A910="","",PNL!A910)</f>
        <v>TUNON_PAR</v>
      </c>
      <c r="B910" t="str">
        <f>IF(PNL!B910="","",PNL!B910)</f>
        <v>625</v>
      </c>
      <c r="C910" t="str">
        <f>IF(PNL!C910="","",PNL!C910)</f>
        <v>2027</v>
      </c>
      <c r="D910" t="str">
        <f>IF(PNL!D910="","",PNL!D910)</f>
        <v>V01</v>
      </c>
      <c r="E910">
        <f t="shared" si="0"/>
        <v>1</v>
      </c>
      <c r="F910">
        <f>IF($A910="","",IF($E910=1,_xlfn.SUMIFS(Compta!$F$1:$F$1448,Compta!$A$1:$A$1448,$A910,Compta!$B$1:$B$1448,$B910,Compta!$C$1:$C$1448,"2026"),0))</f>
        <v>21037</v>
      </c>
      <c r="G910" t="s">
        <v>274</v>
      </c>
      <c r="H910" t="s">
        <v>274</v>
      </c>
      <c r="I910" t="s">
        <v>274</v>
      </c>
      <c r="J910" t="s">
        <v>274</v>
      </c>
      <c r="K910" t="s">
        <v>274</v>
      </c>
      <c r="L910" t="s">
        <v>274</v>
      </c>
      <c r="M910" t="s">
        <v>274</v>
      </c>
      <c r="N910" t="e">
        <f t="shared" si="1"/>
        <v>#VALUE!</v>
      </c>
      <c r="O910" t="e">
        <f t="shared" si="2"/>
        <v>#VALUE!</v>
      </c>
      <c r="P910" t="e">
        <f>IF($A910="","",IF($E910=1,$F910*$O910,PNL!G910))</f>
        <v>#VALUE!</v>
      </c>
      <c r="T910" t="e">
        <f t="shared" si="3"/>
        <v>#VALUE!</v>
      </c>
    </row>
    <row r="911" ht="14.25" customHeight="1">
      <c r="A911" t="str">
        <f>IF(PNL!A911="","",PNL!A911)</f>
        <v>TUNON_PAR</v>
      </c>
      <c r="B911" t="str">
        <f>IF(PNL!B911="","",PNL!B911)</f>
        <v>625</v>
      </c>
      <c r="C911" t="str">
        <f>IF(PNL!C911="","",PNL!C911)</f>
        <v>2027</v>
      </c>
      <c r="D911" t="str">
        <f>IF(PNL!D911="","",PNL!D911)</f>
        <v>V02</v>
      </c>
      <c r="E911">
        <f t="shared" si="0"/>
        <v>1</v>
      </c>
      <c r="F911">
        <f>IF($A911="","",IF($E911=1,_xlfn.SUMIFS(Compta!$F$1:$F$1448,Compta!$A$1:$A$1448,$A911,Compta!$B$1:$B$1448,$B911,Compta!$C$1:$C$1448,"2026"),0))</f>
        <v>21037</v>
      </c>
      <c r="G911" t="s">
        <v>274</v>
      </c>
      <c r="H911" t="s">
        <v>274</v>
      </c>
      <c r="I911" t="s">
        <v>274</v>
      </c>
      <c r="J911" t="s">
        <v>274</v>
      </c>
      <c r="K911" t="s">
        <v>274</v>
      </c>
      <c r="L911" t="s">
        <v>274</v>
      </c>
      <c r="M911" t="s">
        <v>274</v>
      </c>
      <c r="N911" t="e">
        <f t="shared" si="1"/>
        <v>#VALUE!</v>
      </c>
      <c r="O911" t="e">
        <f t="shared" si="2"/>
        <v>#VALUE!</v>
      </c>
      <c r="P911" t="e">
        <f>IF($A911="","",IF($E911=1,$F911*$O911,PNL!G911))</f>
        <v>#VALUE!</v>
      </c>
      <c r="T911" t="e">
        <f t="shared" si="3"/>
        <v>#VALUE!</v>
      </c>
    </row>
    <row r="912" ht="14.25" customHeight="1">
      <c r="A912" t="str">
        <f>IF(PNL!A912="","",PNL!A912)</f>
        <v>TUNON_PAR</v>
      </c>
      <c r="B912" t="str">
        <f>IF(PNL!B912="","",PNL!B912)</f>
        <v>625</v>
      </c>
      <c r="C912" t="str">
        <f>IF(PNL!C912="","",PNL!C912)</f>
        <v>2027</v>
      </c>
      <c r="D912" t="str">
        <f>IF(PNL!D912="","",PNL!D912)</f>
        <v>V03</v>
      </c>
      <c r="E912">
        <f t="shared" si="0"/>
        <v>1</v>
      </c>
      <c r="F912">
        <f>IF($A912="","",IF($E912=1,_xlfn.SUMIFS(Compta!$F$1:$F$1448,Compta!$A$1:$A$1448,$A912,Compta!$B$1:$B$1448,$B912,Compta!$C$1:$C$1448,"2026"),0))</f>
        <v>21037</v>
      </c>
      <c r="G912" t="s">
        <v>274</v>
      </c>
      <c r="H912" t="s">
        <v>274</v>
      </c>
      <c r="I912" t="s">
        <v>274</v>
      </c>
      <c r="J912" t="s">
        <v>274</v>
      </c>
      <c r="K912" t="s">
        <v>274</v>
      </c>
      <c r="L912" t="s">
        <v>274</v>
      </c>
      <c r="M912" t="s">
        <v>274</v>
      </c>
      <c r="N912" t="e">
        <f t="shared" si="1"/>
        <v>#VALUE!</v>
      </c>
      <c r="O912" t="e">
        <f t="shared" si="2"/>
        <v>#VALUE!</v>
      </c>
      <c r="P912" t="e">
        <f>IF($A912="","",IF($E912=1,$F912*$O912,PNL!G912))</f>
        <v>#VALUE!</v>
      </c>
      <c r="T912" t="e">
        <f t="shared" si="3"/>
        <v>#VALUE!</v>
      </c>
    </row>
    <row r="913" ht="14.25" customHeight="1">
      <c r="A913" t="str">
        <f>IF(PNL!A913="","",PNL!A913)</f>
        <v>TUNON_LYO</v>
      </c>
      <c r="B913" t="str">
        <f>IF(PNL!B913="","",PNL!B913)</f>
        <v>625</v>
      </c>
      <c r="C913" t="str">
        <f>IF(PNL!C913="","",PNL!C913)</f>
        <v>2027</v>
      </c>
      <c r="D913" t="str">
        <f>IF(PNL!D913="","",PNL!D913)</f>
        <v>V01</v>
      </c>
      <c r="E913">
        <f t="shared" si="0"/>
        <v>1</v>
      </c>
      <c r="F913">
        <f>IF($A913="","",IF($E913=1,_xlfn.SUMIFS(Compta!$F$1:$F$1448,Compta!$A$1:$A$1448,$A913,Compta!$B$1:$B$1448,$B913,Compta!$C$1:$C$1448,"2026"),0))</f>
        <v>12331</v>
      </c>
      <c r="G913" t="s">
        <v>274</v>
      </c>
      <c r="H913" t="s">
        <v>274</v>
      </c>
      <c r="I913" t="s">
        <v>274</v>
      </c>
      <c r="J913" t="s">
        <v>274</v>
      </c>
      <c r="K913" t="s">
        <v>274</v>
      </c>
      <c r="L913" t="s">
        <v>274</v>
      </c>
      <c r="M913" t="s">
        <v>274</v>
      </c>
      <c r="N913" t="e">
        <f t="shared" si="1"/>
        <v>#VALUE!</v>
      </c>
      <c r="O913" t="e">
        <f t="shared" si="2"/>
        <v>#VALUE!</v>
      </c>
      <c r="P913" t="e">
        <f>IF($A913="","",IF($E913=1,$F913*$O913,PNL!G913))</f>
        <v>#VALUE!</v>
      </c>
      <c r="T913" t="e">
        <f t="shared" si="3"/>
        <v>#VALUE!</v>
      </c>
    </row>
    <row r="914" ht="14.25" customHeight="1">
      <c r="A914" t="str">
        <f>IF(PNL!A914="","",PNL!A914)</f>
        <v>TUNON_LYO</v>
      </c>
      <c r="B914" t="str">
        <f>IF(PNL!B914="","",PNL!B914)</f>
        <v>625</v>
      </c>
      <c r="C914" t="str">
        <f>IF(PNL!C914="","",PNL!C914)</f>
        <v>2027</v>
      </c>
      <c r="D914" t="str">
        <f>IF(PNL!D914="","",PNL!D914)</f>
        <v>V02</v>
      </c>
      <c r="E914">
        <f t="shared" si="0"/>
        <v>1</v>
      </c>
      <c r="F914">
        <f>IF($A914="","",IF($E914=1,_xlfn.SUMIFS(Compta!$F$1:$F$1448,Compta!$A$1:$A$1448,$A914,Compta!$B$1:$B$1448,$B914,Compta!$C$1:$C$1448,"2026"),0))</f>
        <v>12331</v>
      </c>
      <c r="G914" t="s">
        <v>274</v>
      </c>
      <c r="H914" t="s">
        <v>274</v>
      </c>
      <c r="I914" t="s">
        <v>274</v>
      </c>
      <c r="J914" t="s">
        <v>274</v>
      </c>
      <c r="K914" t="s">
        <v>274</v>
      </c>
      <c r="L914" t="s">
        <v>274</v>
      </c>
      <c r="M914" t="s">
        <v>274</v>
      </c>
      <c r="N914" t="e">
        <f t="shared" si="1"/>
        <v>#VALUE!</v>
      </c>
      <c r="O914" t="e">
        <f t="shared" si="2"/>
        <v>#VALUE!</v>
      </c>
      <c r="P914" t="e">
        <f>IF($A914="","",IF($E914=1,$F914*$O914,PNL!G914))</f>
        <v>#VALUE!</v>
      </c>
      <c r="T914" t="e">
        <f t="shared" si="3"/>
        <v>#VALUE!</v>
      </c>
    </row>
    <row r="915" ht="14.25" customHeight="1">
      <c r="A915" t="str">
        <f>IF(PNL!A915="","",PNL!A915)</f>
        <v>TUNON_LYO</v>
      </c>
      <c r="B915" t="str">
        <f>IF(PNL!B915="","",PNL!B915)</f>
        <v>625</v>
      </c>
      <c r="C915" t="str">
        <f>IF(PNL!C915="","",PNL!C915)</f>
        <v>2027</v>
      </c>
      <c r="D915" t="str">
        <f>IF(PNL!D915="","",PNL!D915)</f>
        <v>V03</v>
      </c>
      <c r="E915">
        <f t="shared" si="0"/>
        <v>1</v>
      </c>
      <c r="F915">
        <f>IF($A915="","",IF($E915=1,_xlfn.SUMIFS(Compta!$F$1:$F$1448,Compta!$A$1:$A$1448,$A915,Compta!$B$1:$B$1448,$B915,Compta!$C$1:$C$1448,"2026"),0))</f>
        <v>12331</v>
      </c>
      <c r="G915" t="s">
        <v>274</v>
      </c>
      <c r="H915" t="s">
        <v>274</v>
      </c>
      <c r="I915" t="s">
        <v>274</v>
      </c>
      <c r="J915" t="s">
        <v>274</v>
      </c>
      <c r="K915" t="s">
        <v>274</v>
      </c>
      <c r="L915" t="s">
        <v>274</v>
      </c>
      <c r="M915" t="s">
        <v>274</v>
      </c>
      <c r="N915" t="e">
        <f t="shared" si="1"/>
        <v>#VALUE!</v>
      </c>
      <c r="O915" t="e">
        <f t="shared" si="2"/>
        <v>#VALUE!</v>
      </c>
      <c r="P915" t="e">
        <f>IF($A915="","",IF($E915=1,$F915*$O915,PNL!G915))</f>
        <v>#VALUE!</v>
      </c>
      <c r="T915" t="e">
        <f t="shared" si="3"/>
        <v>#VALUE!</v>
      </c>
    </row>
    <row r="916" ht="14.25" customHeight="1">
      <c r="A916" t="str">
        <f>IF(PNL!A916="","",PNL!A916)</f>
        <v>GRP</v>
      </c>
      <c r="B916" t="str">
        <f>IF(PNL!B916="","",PNL!B916)</f>
        <v>626</v>
      </c>
      <c r="C916" t="str">
        <f>IF(PNL!C916="","",PNL!C916)</f>
        <v>2027</v>
      </c>
      <c r="D916" t="str">
        <f>IF(PNL!D916="","",PNL!D916)</f>
        <v>V01</v>
      </c>
      <c r="E916">
        <f t="shared" si="0"/>
        <v>1</v>
      </c>
      <c r="F916">
        <f>IF($A916="","",IF($E916=1,_xlfn.SUMIFS(Compta!$F$1:$F$1448,Compta!$A$1:$A$1448,$A916,Compta!$B$1:$B$1448,$B916,Compta!$C$1:$C$1448,"2026"),0))</f>
        <v>451872</v>
      </c>
      <c r="G916" t="s">
        <v>274</v>
      </c>
      <c r="H916" t="s">
        <v>274</v>
      </c>
      <c r="I916" t="s">
        <v>274</v>
      </c>
      <c r="J916" t="s">
        <v>274</v>
      </c>
      <c r="K916" t="s">
        <v>274</v>
      </c>
      <c r="L916" t="s">
        <v>274</v>
      </c>
      <c r="M916" t="s">
        <v>274</v>
      </c>
      <c r="N916" t="e">
        <f t="shared" si="1"/>
        <v>#VALUE!</v>
      </c>
      <c r="O916" t="e">
        <f t="shared" si="2"/>
        <v>#VALUE!</v>
      </c>
      <c r="P916" t="e">
        <f>IF($A916="","",IF($E916=1,$F916*$O916,PNL!G916))</f>
        <v>#VALUE!</v>
      </c>
      <c r="T916" t="e">
        <f t="shared" si="3"/>
        <v>#VALUE!</v>
      </c>
    </row>
    <row r="917" ht="14.25" customHeight="1">
      <c r="A917" t="str">
        <f>IF(PNL!A917="","",PNL!A917)</f>
        <v>GRP</v>
      </c>
      <c r="B917" t="str">
        <f>IF(PNL!B917="","",PNL!B917)</f>
        <v>626</v>
      </c>
      <c r="C917" t="str">
        <f>IF(PNL!C917="","",PNL!C917)</f>
        <v>2027</v>
      </c>
      <c r="D917" t="str">
        <f>IF(PNL!D917="","",PNL!D917)</f>
        <v>V02</v>
      </c>
      <c r="E917">
        <f t="shared" si="0"/>
        <v>1</v>
      </c>
      <c r="F917">
        <f>IF($A917="","",IF($E917=1,_xlfn.SUMIFS(Compta!$F$1:$F$1448,Compta!$A$1:$A$1448,$A917,Compta!$B$1:$B$1448,$B917,Compta!$C$1:$C$1448,"2026"),0))</f>
        <v>451872</v>
      </c>
      <c r="G917" t="s">
        <v>274</v>
      </c>
      <c r="H917" t="s">
        <v>274</v>
      </c>
      <c r="I917" t="s">
        <v>274</v>
      </c>
      <c r="J917" t="s">
        <v>274</v>
      </c>
      <c r="K917" t="s">
        <v>274</v>
      </c>
      <c r="L917" t="s">
        <v>274</v>
      </c>
      <c r="M917" t="s">
        <v>274</v>
      </c>
      <c r="N917" t="e">
        <f t="shared" si="1"/>
        <v>#VALUE!</v>
      </c>
      <c r="O917" t="e">
        <f t="shared" si="2"/>
        <v>#VALUE!</v>
      </c>
      <c r="P917" t="e">
        <f>IF($A917="","",IF($E917=1,$F917*$O917,PNL!G917))</f>
        <v>#VALUE!</v>
      </c>
      <c r="T917" t="e">
        <f t="shared" si="3"/>
        <v>#VALUE!</v>
      </c>
    </row>
    <row r="918" ht="14.25" customHeight="1">
      <c r="A918" t="str">
        <f>IF(PNL!A918="","",PNL!A918)</f>
        <v>GRP</v>
      </c>
      <c r="B918" t="str">
        <f>IF(PNL!B918="","",PNL!B918)</f>
        <v>626</v>
      </c>
      <c r="C918" t="str">
        <f>IF(PNL!C918="","",PNL!C918)</f>
        <v>2027</v>
      </c>
      <c r="D918" t="str">
        <f>IF(PNL!D918="","",PNL!D918)</f>
        <v>V03</v>
      </c>
      <c r="E918">
        <f t="shared" si="0"/>
        <v>1</v>
      </c>
      <c r="F918">
        <f>IF($A918="","",IF($E918=1,_xlfn.SUMIFS(Compta!$F$1:$F$1448,Compta!$A$1:$A$1448,$A918,Compta!$B$1:$B$1448,$B918,Compta!$C$1:$C$1448,"2026"),0))</f>
        <v>451872</v>
      </c>
      <c r="G918" t="s">
        <v>274</v>
      </c>
      <c r="H918" t="s">
        <v>274</v>
      </c>
      <c r="I918" t="s">
        <v>274</v>
      </c>
      <c r="J918" t="s">
        <v>274</v>
      </c>
      <c r="K918" t="s">
        <v>274</v>
      </c>
      <c r="L918" t="s">
        <v>274</v>
      </c>
      <c r="M918" t="s">
        <v>274</v>
      </c>
      <c r="N918" t="e">
        <f t="shared" si="1"/>
        <v>#VALUE!</v>
      </c>
      <c r="O918" t="e">
        <f t="shared" si="2"/>
        <v>#VALUE!</v>
      </c>
      <c r="P918" t="e">
        <f>IF($A918="","",IF($E918=1,$F918*$O918,PNL!G918))</f>
        <v>#VALUE!</v>
      </c>
      <c r="T918" t="e">
        <f t="shared" si="3"/>
        <v>#VALUE!</v>
      </c>
    </row>
    <row r="919" ht="14.25" customHeight="1">
      <c r="A919" t="str">
        <f>IF(PNL!A919="","",PNL!A919)</f>
        <v>GRP</v>
      </c>
      <c r="B919" t="str">
        <f>IF(PNL!B919="","",PNL!B919)</f>
        <v>6281</v>
      </c>
      <c r="C919" t="str">
        <f>IF(PNL!C919="","",PNL!C919)</f>
        <v>2027</v>
      </c>
      <c r="D919" t="str">
        <f>IF(PNL!D919="","",PNL!D919)</f>
        <v>V01</v>
      </c>
      <c r="E919">
        <f t="shared" si="0"/>
        <v>1</v>
      </c>
      <c r="F919">
        <f>IF($A919="","",IF($E919=1,_xlfn.SUMIFS(Compta!$F$1:$F$1448,Compta!$A$1:$A$1448,$A919,Compta!$B$1:$B$1448,$B919,Compta!$C$1:$C$1448,"2026"),0))</f>
        <v>180749</v>
      </c>
      <c r="G919" t="s">
        <v>274</v>
      </c>
      <c r="H919" t="s">
        <v>274</v>
      </c>
      <c r="I919" t="s">
        <v>274</v>
      </c>
      <c r="J919" t="s">
        <v>274</v>
      </c>
      <c r="K919" t="s">
        <v>274</v>
      </c>
      <c r="L919" t="s">
        <v>274</v>
      </c>
      <c r="M919" t="s">
        <v>274</v>
      </c>
      <c r="N919" t="e">
        <f t="shared" si="1"/>
        <v>#VALUE!</v>
      </c>
      <c r="O919" t="e">
        <f t="shared" si="2"/>
        <v>#VALUE!</v>
      </c>
      <c r="P919" t="e">
        <f>IF($A919="","",IF($E919=1,$F919*$O919,PNL!G919))</f>
        <v>#VALUE!</v>
      </c>
      <c r="T919" t="e">
        <f t="shared" si="3"/>
        <v>#VALUE!</v>
      </c>
    </row>
    <row r="920" ht="14.25" customHeight="1">
      <c r="A920" t="str">
        <f>IF(PNL!A920="","",PNL!A920)</f>
        <v>GRP</v>
      </c>
      <c r="B920" t="str">
        <f>IF(PNL!B920="","",PNL!B920)</f>
        <v>6281</v>
      </c>
      <c r="C920" t="str">
        <f>IF(PNL!C920="","",PNL!C920)</f>
        <v>2027</v>
      </c>
      <c r="D920" t="str">
        <f>IF(PNL!D920="","",PNL!D920)</f>
        <v>V02</v>
      </c>
      <c r="E920">
        <f t="shared" si="0"/>
        <v>1</v>
      </c>
      <c r="F920">
        <f>IF($A920="","",IF($E920=1,_xlfn.SUMIFS(Compta!$F$1:$F$1448,Compta!$A$1:$A$1448,$A920,Compta!$B$1:$B$1448,$B920,Compta!$C$1:$C$1448,"2026"),0))</f>
        <v>180749</v>
      </c>
      <c r="G920" t="s">
        <v>274</v>
      </c>
      <c r="H920" t="s">
        <v>274</v>
      </c>
      <c r="I920" t="s">
        <v>274</v>
      </c>
      <c r="J920" t="s">
        <v>274</v>
      </c>
      <c r="K920" t="s">
        <v>274</v>
      </c>
      <c r="L920" t="s">
        <v>274</v>
      </c>
      <c r="M920" t="s">
        <v>274</v>
      </c>
      <c r="N920" t="e">
        <f t="shared" si="1"/>
        <v>#VALUE!</v>
      </c>
      <c r="O920" t="e">
        <f t="shared" si="2"/>
        <v>#VALUE!</v>
      </c>
      <c r="P920" t="e">
        <f>IF($A920="","",IF($E920=1,$F920*$O920,PNL!G920))</f>
        <v>#VALUE!</v>
      </c>
      <c r="T920" t="e">
        <f t="shared" si="3"/>
        <v>#VALUE!</v>
      </c>
    </row>
    <row r="921" ht="14.25" customHeight="1">
      <c r="A921" t="str">
        <f>IF(PNL!A921="","",PNL!A921)</f>
        <v>GRP</v>
      </c>
      <c r="B921" t="str">
        <f>IF(PNL!B921="","",PNL!B921)</f>
        <v>6281</v>
      </c>
      <c r="C921" t="str">
        <f>IF(PNL!C921="","",PNL!C921)</f>
        <v>2027</v>
      </c>
      <c r="D921" t="str">
        <f>IF(PNL!D921="","",PNL!D921)</f>
        <v>V03</v>
      </c>
      <c r="E921">
        <f t="shared" si="0"/>
        <v>1</v>
      </c>
      <c r="F921">
        <f>IF($A921="","",IF($E921=1,_xlfn.SUMIFS(Compta!$F$1:$F$1448,Compta!$A$1:$A$1448,$A921,Compta!$B$1:$B$1448,$B921,Compta!$C$1:$C$1448,"2026"),0))</f>
        <v>180749</v>
      </c>
      <c r="G921" t="s">
        <v>274</v>
      </c>
      <c r="H921" t="s">
        <v>274</v>
      </c>
      <c r="I921" t="s">
        <v>274</v>
      </c>
      <c r="J921" t="s">
        <v>274</v>
      </c>
      <c r="K921" t="s">
        <v>274</v>
      </c>
      <c r="L921" t="s">
        <v>274</v>
      </c>
      <c r="M921" t="s">
        <v>274</v>
      </c>
      <c r="N921" t="e">
        <f t="shared" si="1"/>
        <v>#VALUE!</v>
      </c>
      <c r="O921" t="e">
        <f t="shared" si="2"/>
        <v>#VALUE!</v>
      </c>
      <c r="P921" t="e">
        <f>IF($A921="","",IF($E921=1,$F921*$O921,PNL!G921))</f>
        <v>#VALUE!</v>
      </c>
      <c r="T921" t="e">
        <f t="shared" si="3"/>
        <v>#VALUE!</v>
      </c>
    </row>
    <row r="922" ht="14.25" customHeight="1">
      <c r="A922" t="str">
        <f>IF(PNL!A922="","",PNL!A922)</f>
        <v>GRP</v>
      </c>
      <c r="B922" t="str">
        <f>IF(PNL!B922="","",PNL!B922)</f>
        <v>6331</v>
      </c>
      <c r="C922" t="str">
        <f>IF(PNL!C922="","",PNL!C922)</f>
        <v>2027</v>
      </c>
      <c r="D922" t="str">
        <f>IF(PNL!D922="","",PNL!D922)</f>
        <v>V01</v>
      </c>
      <c r="E922">
        <f t="shared" si="0"/>
        <v>1</v>
      </c>
      <c r="F922">
        <f>IF($A922="","",IF($E922=1,_xlfn.SUMIFS(Compta!$F$1:$F$1448,Compta!$A$1:$A$1448,$A922,Compta!$B$1:$B$1448,$B922,Compta!$C$1:$C$1448,"2026"),0))</f>
        <v>338904</v>
      </c>
      <c r="G922" t="s">
        <v>274</v>
      </c>
      <c r="H922" t="s">
        <v>274</v>
      </c>
      <c r="I922" t="s">
        <v>274</v>
      </c>
      <c r="J922" t="s">
        <v>274</v>
      </c>
      <c r="K922" t="s">
        <v>274</v>
      </c>
      <c r="L922" t="s">
        <v>274</v>
      </c>
      <c r="M922" t="s">
        <v>274</v>
      </c>
      <c r="N922" t="e">
        <f t="shared" si="1"/>
        <v>#VALUE!</v>
      </c>
      <c r="O922" t="e">
        <f t="shared" si="2"/>
        <v>#VALUE!</v>
      </c>
      <c r="P922" t="e">
        <f>IF($A922="","",IF($E922=1,$F922*$O922,PNL!G922))</f>
        <v>#VALUE!</v>
      </c>
      <c r="T922" t="e">
        <f t="shared" si="3"/>
        <v>#VALUE!</v>
      </c>
    </row>
    <row r="923" ht="14.25" customHeight="1">
      <c r="A923" t="str">
        <f>IF(PNL!A923="","",PNL!A923)</f>
        <v>GRP</v>
      </c>
      <c r="B923" t="str">
        <f>IF(PNL!B923="","",PNL!B923)</f>
        <v>6331</v>
      </c>
      <c r="C923" t="str">
        <f>IF(PNL!C923="","",PNL!C923)</f>
        <v>2027</v>
      </c>
      <c r="D923" t="str">
        <f>IF(PNL!D923="","",PNL!D923)</f>
        <v>V02</v>
      </c>
      <c r="E923">
        <f t="shared" si="0"/>
        <v>1</v>
      </c>
      <c r="F923">
        <f>IF($A923="","",IF($E923=1,_xlfn.SUMIFS(Compta!$F$1:$F$1448,Compta!$A$1:$A$1448,$A923,Compta!$B$1:$B$1448,$B923,Compta!$C$1:$C$1448,"2026"),0))</f>
        <v>338904</v>
      </c>
      <c r="G923" t="s">
        <v>274</v>
      </c>
      <c r="H923" t="s">
        <v>274</v>
      </c>
      <c r="I923" t="s">
        <v>274</v>
      </c>
      <c r="J923" t="s">
        <v>274</v>
      </c>
      <c r="K923" t="s">
        <v>274</v>
      </c>
      <c r="L923" t="s">
        <v>274</v>
      </c>
      <c r="M923" t="s">
        <v>274</v>
      </c>
      <c r="N923" t="e">
        <f t="shared" si="1"/>
        <v>#VALUE!</v>
      </c>
      <c r="O923" t="e">
        <f t="shared" si="2"/>
        <v>#VALUE!</v>
      </c>
      <c r="P923" t="e">
        <f>IF($A923="","",IF($E923=1,$F923*$O923,PNL!G923))</f>
        <v>#VALUE!</v>
      </c>
      <c r="T923" t="e">
        <f t="shared" si="3"/>
        <v>#VALUE!</v>
      </c>
    </row>
    <row r="924" ht="14.25" customHeight="1">
      <c r="A924" t="str">
        <f>IF(PNL!A924="","",PNL!A924)</f>
        <v>GRP</v>
      </c>
      <c r="B924" t="str">
        <f>IF(PNL!B924="","",PNL!B924)</f>
        <v>6331</v>
      </c>
      <c r="C924" t="str">
        <f>IF(PNL!C924="","",PNL!C924)</f>
        <v>2027</v>
      </c>
      <c r="D924" t="str">
        <f>IF(PNL!D924="","",PNL!D924)</f>
        <v>V03</v>
      </c>
      <c r="E924">
        <f t="shared" si="0"/>
        <v>1</v>
      </c>
      <c r="F924">
        <f>IF($A924="","",IF($E924=1,_xlfn.SUMIFS(Compta!$F$1:$F$1448,Compta!$A$1:$A$1448,$A924,Compta!$B$1:$B$1448,$B924,Compta!$C$1:$C$1448,"2026"),0))</f>
        <v>338904</v>
      </c>
      <c r="G924" t="s">
        <v>274</v>
      </c>
      <c r="H924" t="s">
        <v>274</v>
      </c>
      <c r="I924" t="s">
        <v>274</v>
      </c>
      <c r="J924" t="s">
        <v>274</v>
      </c>
      <c r="K924" t="s">
        <v>274</v>
      </c>
      <c r="L924" t="s">
        <v>274</v>
      </c>
      <c r="M924" t="s">
        <v>274</v>
      </c>
      <c r="N924" t="e">
        <f t="shared" si="1"/>
        <v>#VALUE!</v>
      </c>
      <c r="O924" t="e">
        <f t="shared" si="2"/>
        <v>#VALUE!</v>
      </c>
      <c r="P924" t="e">
        <f>IF($A924="","",IF($E924=1,$F924*$O924,PNL!G924))</f>
        <v>#VALUE!</v>
      </c>
      <c r="T924" t="e">
        <f t="shared" si="3"/>
        <v>#VALUE!</v>
      </c>
    </row>
    <row r="925" ht="14.25" customHeight="1">
      <c r="A925" t="str">
        <f>IF(PNL!A925="","",PNL!A925)</f>
        <v>MBWAY_PAR</v>
      </c>
      <c r="B925" t="str">
        <f>IF(PNL!B925="","",PNL!B925)</f>
        <v>63511</v>
      </c>
      <c r="C925" t="str">
        <f>IF(PNL!C925="","",PNL!C925)</f>
        <v>2027</v>
      </c>
      <c r="D925" t="str">
        <f>IF(PNL!D925="","",PNL!D925)</f>
        <v>V01</v>
      </c>
      <c r="E925">
        <f t="shared" si="0"/>
        <v>1</v>
      </c>
      <c r="F925">
        <f>IF($A925="","",IF($E925=1,_xlfn.SUMIFS(Compta!$F$1:$F$1448,Compta!$A$1:$A$1448,$A925,Compta!$B$1:$B$1448,$B925,Compta!$C$1:$C$1448,"2026"),0))</f>
        <v>35600</v>
      </c>
      <c r="G925" t="s">
        <v>274</v>
      </c>
      <c r="H925" t="s">
        <v>274</v>
      </c>
      <c r="I925" t="s">
        <v>274</v>
      </c>
      <c r="J925" t="s">
        <v>274</v>
      </c>
      <c r="K925" t="s">
        <v>274</v>
      </c>
      <c r="L925" t="s">
        <v>274</v>
      </c>
      <c r="M925" t="s">
        <v>274</v>
      </c>
      <c r="N925" t="e">
        <f t="shared" si="1"/>
        <v>#VALUE!</v>
      </c>
      <c r="O925" t="e">
        <f t="shared" si="2"/>
        <v>#VALUE!</v>
      </c>
      <c r="P925" t="e">
        <f>IF($A925="","",IF($E925=1,$F925*$O925,PNL!G925))</f>
        <v>#VALUE!</v>
      </c>
      <c r="T925" t="e">
        <f t="shared" si="3"/>
        <v>#VALUE!</v>
      </c>
    </row>
    <row r="926" ht="14.25" customHeight="1">
      <c r="A926" t="str">
        <f>IF(PNL!A926="","",PNL!A926)</f>
        <v>MBWAY_PAR</v>
      </c>
      <c r="B926" t="str">
        <f>IF(PNL!B926="","",PNL!B926)</f>
        <v>63511</v>
      </c>
      <c r="C926" t="str">
        <f>IF(PNL!C926="","",PNL!C926)</f>
        <v>2027</v>
      </c>
      <c r="D926" t="str">
        <f>IF(PNL!D926="","",PNL!D926)</f>
        <v>V02</v>
      </c>
      <c r="E926">
        <f t="shared" si="0"/>
        <v>1</v>
      </c>
      <c r="F926">
        <f>IF($A926="","",IF($E926=1,_xlfn.SUMIFS(Compta!$F$1:$F$1448,Compta!$A$1:$A$1448,$A926,Compta!$B$1:$B$1448,$B926,Compta!$C$1:$C$1448,"2026"),0))</f>
        <v>35600</v>
      </c>
      <c r="G926" t="s">
        <v>274</v>
      </c>
      <c r="H926" t="s">
        <v>274</v>
      </c>
      <c r="I926" t="s">
        <v>274</v>
      </c>
      <c r="J926" t="s">
        <v>274</v>
      </c>
      <c r="K926" t="s">
        <v>274</v>
      </c>
      <c r="L926" t="s">
        <v>274</v>
      </c>
      <c r="M926" t="s">
        <v>274</v>
      </c>
      <c r="N926" t="e">
        <f t="shared" si="1"/>
        <v>#VALUE!</v>
      </c>
      <c r="O926" t="e">
        <f t="shared" si="2"/>
        <v>#VALUE!</v>
      </c>
      <c r="P926" t="e">
        <f>IF($A926="","",IF($E926=1,$F926*$O926,PNL!G926))</f>
        <v>#VALUE!</v>
      </c>
      <c r="T926" t="e">
        <f t="shared" si="3"/>
        <v>#VALUE!</v>
      </c>
    </row>
    <row r="927" ht="14.25" customHeight="1">
      <c r="A927" t="str">
        <f>IF(PNL!A927="","",PNL!A927)</f>
        <v>MBWAY_PAR</v>
      </c>
      <c r="B927" t="str">
        <f>IF(PNL!B927="","",PNL!B927)</f>
        <v>63511</v>
      </c>
      <c r="C927" t="str">
        <f>IF(PNL!C927="","",PNL!C927)</f>
        <v>2027</v>
      </c>
      <c r="D927" t="str">
        <f>IF(PNL!D927="","",PNL!D927)</f>
        <v>V03</v>
      </c>
      <c r="E927">
        <f t="shared" si="0"/>
        <v>1</v>
      </c>
      <c r="F927">
        <f>IF($A927="","",IF($E927=1,_xlfn.SUMIFS(Compta!$F$1:$F$1448,Compta!$A$1:$A$1448,$A927,Compta!$B$1:$B$1448,$B927,Compta!$C$1:$C$1448,"2026"),0))</f>
        <v>35600</v>
      </c>
      <c r="G927" t="s">
        <v>274</v>
      </c>
      <c r="H927" t="s">
        <v>274</v>
      </c>
      <c r="I927" t="s">
        <v>274</v>
      </c>
      <c r="J927" t="s">
        <v>274</v>
      </c>
      <c r="K927" t="s">
        <v>274</v>
      </c>
      <c r="L927" t="s">
        <v>274</v>
      </c>
      <c r="M927" t="s">
        <v>274</v>
      </c>
      <c r="N927" t="e">
        <f t="shared" si="1"/>
        <v>#VALUE!</v>
      </c>
      <c r="O927" t="e">
        <f t="shared" si="2"/>
        <v>#VALUE!</v>
      </c>
      <c r="P927" t="e">
        <f>IF($A927="","",IF($E927=1,$F927*$O927,PNL!G927))</f>
        <v>#VALUE!</v>
      </c>
      <c r="T927" t="e">
        <f t="shared" si="3"/>
        <v>#VALUE!</v>
      </c>
    </row>
    <row r="928" ht="14.25" customHeight="1">
      <c r="A928" t="str">
        <f>IF(PNL!A928="","",PNL!A928)</f>
        <v>MBWAY_LYO</v>
      </c>
      <c r="B928" t="str">
        <f>IF(PNL!B928="","",PNL!B928)</f>
        <v>63511</v>
      </c>
      <c r="C928" t="str">
        <f>IF(PNL!C928="","",PNL!C928)</f>
        <v>2027</v>
      </c>
      <c r="D928" t="str">
        <f>IF(PNL!D928="","",PNL!D928)</f>
        <v>V01</v>
      </c>
      <c r="E928">
        <f t="shared" si="0"/>
        <v>1</v>
      </c>
      <c r="F928">
        <f>IF($A928="","",IF($E928=1,_xlfn.SUMIFS(Compta!$F$1:$F$1448,Compta!$A$1:$A$1448,$A928,Compta!$B$1:$B$1448,$B928,Compta!$C$1:$C$1448,"2026"),0))</f>
        <v>21331</v>
      </c>
      <c r="G928" t="s">
        <v>274</v>
      </c>
      <c r="H928" t="s">
        <v>274</v>
      </c>
      <c r="I928" t="s">
        <v>274</v>
      </c>
      <c r="J928" t="s">
        <v>274</v>
      </c>
      <c r="K928" t="s">
        <v>274</v>
      </c>
      <c r="L928" t="s">
        <v>274</v>
      </c>
      <c r="M928" t="s">
        <v>274</v>
      </c>
      <c r="N928" t="e">
        <f t="shared" si="1"/>
        <v>#VALUE!</v>
      </c>
      <c r="O928" t="e">
        <f t="shared" si="2"/>
        <v>#VALUE!</v>
      </c>
      <c r="P928" t="e">
        <f>IF($A928="","",IF($E928=1,$F928*$O928,PNL!G928))</f>
        <v>#VALUE!</v>
      </c>
      <c r="T928" t="e">
        <f t="shared" si="3"/>
        <v>#VALUE!</v>
      </c>
    </row>
    <row r="929" ht="14.25" customHeight="1">
      <c r="A929" t="str">
        <f>IF(PNL!A929="","",PNL!A929)</f>
        <v>MBWAY_LYO</v>
      </c>
      <c r="B929" t="str">
        <f>IF(PNL!B929="","",PNL!B929)</f>
        <v>63511</v>
      </c>
      <c r="C929" t="str">
        <f>IF(PNL!C929="","",PNL!C929)</f>
        <v>2027</v>
      </c>
      <c r="D929" t="str">
        <f>IF(PNL!D929="","",PNL!D929)</f>
        <v>V02</v>
      </c>
      <c r="E929">
        <f t="shared" si="0"/>
        <v>1</v>
      </c>
      <c r="F929">
        <f>IF($A929="","",IF($E929=1,_xlfn.SUMIFS(Compta!$F$1:$F$1448,Compta!$A$1:$A$1448,$A929,Compta!$B$1:$B$1448,$B929,Compta!$C$1:$C$1448,"2026"),0))</f>
        <v>21331</v>
      </c>
      <c r="G929" t="s">
        <v>274</v>
      </c>
      <c r="H929" t="s">
        <v>274</v>
      </c>
      <c r="I929" t="s">
        <v>274</v>
      </c>
      <c r="J929" t="s">
        <v>274</v>
      </c>
      <c r="K929" t="s">
        <v>274</v>
      </c>
      <c r="L929" t="s">
        <v>274</v>
      </c>
      <c r="M929" t="s">
        <v>274</v>
      </c>
      <c r="N929" t="e">
        <f t="shared" si="1"/>
        <v>#VALUE!</v>
      </c>
      <c r="O929" t="e">
        <f t="shared" si="2"/>
        <v>#VALUE!</v>
      </c>
      <c r="P929" t="e">
        <f>IF($A929="","",IF($E929=1,$F929*$O929,PNL!G929))</f>
        <v>#VALUE!</v>
      </c>
      <c r="T929" t="e">
        <f t="shared" si="3"/>
        <v>#VALUE!</v>
      </c>
    </row>
    <row r="930" ht="14.25" customHeight="1">
      <c r="A930" t="str">
        <f>IF(PNL!A930="","",PNL!A930)</f>
        <v>MBWAY_LYO</v>
      </c>
      <c r="B930" t="str">
        <f>IF(PNL!B930="","",PNL!B930)</f>
        <v>63511</v>
      </c>
      <c r="C930" t="str">
        <f>IF(PNL!C930="","",PNL!C930)</f>
        <v>2027</v>
      </c>
      <c r="D930" t="str">
        <f>IF(PNL!D930="","",PNL!D930)</f>
        <v>V03</v>
      </c>
      <c r="E930">
        <f t="shared" si="0"/>
        <v>1</v>
      </c>
      <c r="F930">
        <f>IF($A930="","",IF($E930=1,_xlfn.SUMIFS(Compta!$F$1:$F$1448,Compta!$A$1:$A$1448,$A930,Compta!$B$1:$B$1448,$B930,Compta!$C$1:$C$1448,"2026"),0))</f>
        <v>21331</v>
      </c>
      <c r="G930" t="s">
        <v>274</v>
      </c>
      <c r="H930" t="s">
        <v>274</v>
      </c>
      <c r="I930" t="s">
        <v>274</v>
      </c>
      <c r="J930" t="s">
        <v>274</v>
      </c>
      <c r="K930" t="s">
        <v>274</v>
      </c>
      <c r="L930" t="s">
        <v>274</v>
      </c>
      <c r="M930" t="s">
        <v>274</v>
      </c>
      <c r="N930" t="e">
        <f t="shared" si="1"/>
        <v>#VALUE!</v>
      </c>
      <c r="O930" t="e">
        <f t="shared" si="2"/>
        <v>#VALUE!</v>
      </c>
      <c r="P930" t="e">
        <f>IF($A930="","",IF($E930=1,$F930*$O930,PNL!G930))</f>
        <v>#VALUE!</v>
      </c>
      <c r="T930" t="e">
        <f t="shared" si="3"/>
        <v>#VALUE!</v>
      </c>
    </row>
    <row r="931" ht="14.25" customHeight="1">
      <c r="A931" t="str">
        <f>IF(PNL!A931="","",PNL!A931)</f>
        <v>MBWAY_NAN</v>
      </c>
      <c r="B931" t="str">
        <f>IF(PNL!B931="","",PNL!B931)</f>
        <v>63511</v>
      </c>
      <c r="C931" t="str">
        <f>IF(PNL!C931="","",PNL!C931)</f>
        <v>2027</v>
      </c>
      <c r="D931" t="str">
        <f>IF(PNL!D931="","",PNL!D931)</f>
        <v>V01</v>
      </c>
      <c r="E931">
        <f t="shared" si="0"/>
        <v>1</v>
      </c>
      <c r="F931">
        <f>IF($A931="","",IF($E931=1,_xlfn.SUMIFS(Compta!$F$1:$F$1448,Compta!$A$1:$A$1448,$A931,Compta!$B$1:$B$1448,$B931,Compta!$C$1:$C$1448,"2026"),0))</f>
        <v>17580</v>
      </c>
      <c r="G931" t="s">
        <v>274</v>
      </c>
      <c r="H931" t="s">
        <v>274</v>
      </c>
      <c r="I931" t="s">
        <v>274</v>
      </c>
      <c r="J931" t="s">
        <v>274</v>
      </c>
      <c r="K931" t="s">
        <v>274</v>
      </c>
      <c r="L931" t="s">
        <v>274</v>
      </c>
      <c r="M931" t="s">
        <v>274</v>
      </c>
      <c r="N931" t="e">
        <f t="shared" si="1"/>
        <v>#VALUE!</v>
      </c>
      <c r="O931" t="e">
        <f t="shared" si="2"/>
        <v>#VALUE!</v>
      </c>
      <c r="P931" t="e">
        <f>IF($A931="","",IF($E931=1,$F931*$O931,PNL!G931))</f>
        <v>#VALUE!</v>
      </c>
      <c r="T931" t="e">
        <f t="shared" si="3"/>
        <v>#VALUE!</v>
      </c>
    </row>
    <row r="932" ht="14.25" customHeight="1">
      <c r="A932" t="str">
        <f>IF(PNL!A932="","",PNL!A932)</f>
        <v>MBWAY_NAN</v>
      </c>
      <c r="B932" t="str">
        <f>IF(PNL!B932="","",PNL!B932)</f>
        <v>63511</v>
      </c>
      <c r="C932" t="str">
        <f>IF(PNL!C932="","",PNL!C932)</f>
        <v>2027</v>
      </c>
      <c r="D932" t="str">
        <f>IF(PNL!D932="","",PNL!D932)</f>
        <v>V02</v>
      </c>
      <c r="E932">
        <f t="shared" si="0"/>
        <v>1</v>
      </c>
      <c r="F932">
        <f>IF($A932="","",IF($E932=1,_xlfn.SUMIFS(Compta!$F$1:$F$1448,Compta!$A$1:$A$1448,$A932,Compta!$B$1:$B$1448,$B932,Compta!$C$1:$C$1448,"2026"),0))</f>
        <v>17580</v>
      </c>
      <c r="G932" t="s">
        <v>274</v>
      </c>
      <c r="H932" t="s">
        <v>274</v>
      </c>
      <c r="I932" t="s">
        <v>274</v>
      </c>
      <c r="J932" t="s">
        <v>274</v>
      </c>
      <c r="K932" t="s">
        <v>274</v>
      </c>
      <c r="L932" t="s">
        <v>274</v>
      </c>
      <c r="M932" t="s">
        <v>274</v>
      </c>
      <c r="N932" t="e">
        <f t="shared" si="1"/>
        <v>#VALUE!</v>
      </c>
      <c r="O932" t="e">
        <f t="shared" si="2"/>
        <v>#VALUE!</v>
      </c>
      <c r="P932" t="e">
        <f>IF($A932="","",IF($E932=1,$F932*$O932,PNL!G932))</f>
        <v>#VALUE!</v>
      </c>
      <c r="T932" t="e">
        <f t="shared" si="3"/>
        <v>#VALUE!</v>
      </c>
    </row>
    <row r="933" ht="14.25" customHeight="1">
      <c r="A933" t="str">
        <f>IF(PNL!A933="","",PNL!A933)</f>
        <v>MBWAY_NAN</v>
      </c>
      <c r="B933" t="str">
        <f>IF(PNL!B933="","",PNL!B933)</f>
        <v>63511</v>
      </c>
      <c r="C933" t="str">
        <f>IF(PNL!C933="","",PNL!C933)</f>
        <v>2027</v>
      </c>
      <c r="D933" t="str">
        <f>IF(PNL!D933="","",PNL!D933)</f>
        <v>V03</v>
      </c>
      <c r="E933">
        <f t="shared" si="0"/>
        <v>1</v>
      </c>
      <c r="F933">
        <f>IF($A933="","",IF($E933=1,_xlfn.SUMIFS(Compta!$F$1:$F$1448,Compta!$A$1:$A$1448,$A933,Compta!$B$1:$B$1448,$B933,Compta!$C$1:$C$1448,"2026"),0))</f>
        <v>17580</v>
      </c>
      <c r="G933" t="s">
        <v>274</v>
      </c>
      <c r="H933" t="s">
        <v>274</v>
      </c>
      <c r="I933" t="s">
        <v>274</v>
      </c>
      <c r="J933" t="s">
        <v>274</v>
      </c>
      <c r="K933" t="s">
        <v>274</v>
      </c>
      <c r="L933" t="s">
        <v>274</v>
      </c>
      <c r="M933" t="s">
        <v>274</v>
      </c>
      <c r="N933" t="e">
        <f t="shared" si="1"/>
        <v>#VALUE!</v>
      </c>
      <c r="O933" t="e">
        <f t="shared" si="2"/>
        <v>#VALUE!</v>
      </c>
      <c r="P933" t="e">
        <f>IF($A933="","",IF($E933=1,$F933*$O933,PNL!G933))</f>
        <v>#VALUE!</v>
      </c>
      <c r="T933" t="e">
        <f t="shared" si="3"/>
        <v>#VALUE!</v>
      </c>
    </row>
    <row r="934" ht="14.25" customHeight="1">
      <c r="A934" t="str">
        <f>IF(PNL!A934="","",PNL!A934)</f>
        <v>MBWAY_BOR</v>
      </c>
      <c r="B934" t="str">
        <f>IF(PNL!B934="","",PNL!B934)</f>
        <v>63511</v>
      </c>
      <c r="C934" t="str">
        <f>IF(PNL!C934="","",PNL!C934)</f>
        <v>2027</v>
      </c>
      <c r="D934" t="str">
        <f>IF(PNL!D934="","",PNL!D934)</f>
        <v>V01</v>
      </c>
      <c r="E934">
        <f t="shared" si="0"/>
        <v>1</v>
      </c>
      <c r="F934">
        <f>IF($A934="","",IF($E934=1,_xlfn.SUMIFS(Compta!$F$1:$F$1448,Compta!$A$1:$A$1448,$A934,Compta!$B$1:$B$1448,$B934,Compta!$C$1:$C$1448,"2026"),0))</f>
        <v>15383</v>
      </c>
      <c r="G934" t="s">
        <v>274</v>
      </c>
      <c r="H934" t="s">
        <v>274</v>
      </c>
      <c r="I934" t="s">
        <v>274</v>
      </c>
      <c r="J934" t="s">
        <v>274</v>
      </c>
      <c r="K934" t="s">
        <v>274</v>
      </c>
      <c r="L934" t="s">
        <v>274</v>
      </c>
      <c r="M934" t="s">
        <v>274</v>
      </c>
      <c r="N934" t="e">
        <f t="shared" si="1"/>
        <v>#VALUE!</v>
      </c>
      <c r="O934" t="e">
        <f t="shared" si="2"/>
        <v>#VALUE!</v>
      </c>
      <c r="P934" t="e">
        <f>IF($A934="","",IF($E934=1,$F934*$O934,PNL!G934))</f>
        <v>#VALUE!</v>
      </c>
      <c r="T934" t="e">
        <f t="shared" si="3"/>
        <v>#VALUE!</v>
      </c>
    </row>
    <row r="935" ht="14.25" customHeight="1">
      <c r="A935" t="str">
        <f>IF(PNL!A935="","",PNL!A935)</f>
        <v>MBWAY_BOR</v>
      </c>
      <c r="B935" t="str">
        <f>IF(PNL!B935="","",PNL!B935)</f>
        <v>63511</v>
      </c>
      <c r="C935" t="str">
        <f>IF(PNL!C935="","",PNL!C935)</f>
        <v>2027</v>
      </c>
      <c r="D935" t="str">
        <f>IF(PNL!D935="","",PNL!D935)</f>
        <v>V02</v>
      </c>
      <c r="E935">
        <f t="shared" si="0"/>
        <v>1</v>
      </c>
      <c r="F935">
        <f>IF($A935="","",IF($E935=1,_xlfn.SUMIFS(Compta!$F$1:$F$1448,Compta!$A$1:$A$1448,$A935,Compta!$B$1:$B$1448,$B935,Compta!$C$1:$C$1448,"2026"),0))</f>
        <v>15383</v>
      </c>
      <c r="G935" t="s">
        <v>274</v>
      </c>
      <c r="H935" t="s">
        <v>274</v>
      </c>
      <c r="I935" t="s">
        <v>274</v>
      </c>
      <c r="J935" t="s">
        <v>274</v>
      </c>
      <c r="K935" t="s">
        <v>274</v>
      </c>
      <c r="L935" t="s">
        <v>274</v>
      </c>
      <c r="M935" t="s">
        <v>274</v>
      </c>
      <c r="N935" t="e">
        <f t="shared" si="1"/>
        <v>#VALUE!</v>
      </c>
      <c r="O935" t="e">
        <f t="shared" si="2"/>
        <v>#VALUE!</v>
      </c>
      <c r="P935" t="e">
        <f>IF($A935="","",IF($E935=1,$F935*$O935,PNL!G935))</f>
        <v>#VALUE!</v>
      </c>
      <c r="T935" t="e">
        <f t="shared" si="3"/>
        <v>#VALUE!</v>
      </c>
    </row>
    <row r="936" ht="14.25" customHeight="1">
      <c r="A936" t="str">
        <f>IF(PNL!A936="","",PNL!A936)</f>
        <v>MBWAY_BOR</v>
      </c>
      <c r="B936" t="str">
        <f>IF(PNL!B936="","",PNL!B936)</f>
        <v>63511</v>
      </c>
      <c r="C936" t="str">
        <f>IF(PNL!C936="","",PNL!C936)</f>
        <v>2027</v>
      </c>
      <c r="D936" t="str">
        <f>IF(PNL!D936="","",PNL!D936)</f>
        <v>V03</v>
      </c>
      <c r="E936">
        <f t="shared" si="0"/>
        <v>1</v>
      </c>
      <c r="F936">
        <f>IF($A936="","",IF($E936=1,_xlfn.SUMIFS(Compta!$F$1:$F$1448,Compta!$A$1:$A$1448,$A936,Compta!$B$1:$B$1448,$B936,Compta!$C$1:$C$1448,"2026"),0))</f>
        <v>15383</v>
      </c>
      <c r="G936" t="s">
        <v>274</v>
      </c>
      <c r="H936" t="s">
        <v>274</v>
      </c>
      <c r="I936" t="s">
        <v>274</v>
      </c>
      <c r="J936" t="s">
        <v>274</v>
      </c>
      <c r="K936" t="s">
        <v>274</v>
      </c>
      <c r="L936" t="s">
        <v>274</v>
      </c>
      <c r="M936" t="s">
        <v>274</v>
      </c>
      <c r="N936" t="e">
        <f t="shared" si="1"/>
        <v>#VALUE!</v>
      </c>
      <c r="O936" t="e">
        <f t="shared" si="2"/>
        <v>#VALUE!</v>
      </c>
      <c r="P936" t="e">
        <f>IF($A936="","",IF($E936=1,$F936*$O936,PNL!G936))</f>
        <v>#VALUE!</v>
      </c>
      <c r="T936" t="e">
        <f t="shared" si="3"/>
        <v>#VALUE!</v>
      </c>
    </row>
    <row r="937" ht="14.25" customHeight="1">
      <c r="A937" t="str">
        <f>IF(PNL!A937="","",PNL!A937)</f>
        <v>ISCOM_PAR</v>
      </c>
      <c r="B937" t="str">
        <f>IF(PNL!B937="","",PNL!B937)</f>
        <v>63511</v>
      </c>
      <c r="C937" t="str">
        <f>IF(PNL!C937="","",PNL!C937)</f>
        <v>2027</v>
      </c>
      <c r="D937" t="str">
        <f>IF(PNL!D937="","",PNL!D937)</f>
        <v>V01</v>
      </c>
      <c r="E937">
        <f t="shared" si="0"/>
        <v>1</v>
      </c>
      <c r="F937">
        <f>IF($A937="","",IF($E937=1,_xlfn.SUMIFS(Compta!$F$1:$F$1448,Compta!$A$1:$A$1448,$A937,Compta!$B$1:$B$1448,$B937,Compta!$C$1:$C$1448,"2026"),0))</f>
        <v>35600</v>
      </c>
      <c r="G937" t="s">
        <v>274</v>
      </c>
      <c r="H937" t="s">
        <v>274</v>
      </c>
      <c r="I937" t="s">
        <v>274</v>
      </c>
      <c r="J937" t="s">
        <v>274</v>
      </c>
      <c r="K937" t="s">
        <v>274</v>
      </c>
      <c r="L937" t="s">
        <v>274</v>
      </c>
      <c r="M937" t="s">
        <v>274</v>
      </c>
      <c r="N937" t="e">
        <f t="shared" si="1"/>
        <v>#VALUE!</v>
      </c>
      <c r="O937" t="e">
        <f t="shared" si="2"/>
        <v>#VALUE!</v>
      </c>
      <c r="P937" t="e">
        <f>IF($A937="","",IF($E937=1,$F937*$O937,PNL!G937))</f>
        <v>#VALUE!</v>
      </c>
      <c r="T937" t="e">
        <f t="shared" si="3"/>
        <v>#VALUE!</v>
      </c>
    </row>
    <row r="938" ht="14.25" customHeight="1">
      <c r="A938" t="str">
        <f>IF(PNL!A938="","",PNL!A938)</f>
        <v>ISCOM_PAR</v>
      </c>
      <c r="B938" t="str">
        <f>IF(PNL!B938="","",PNL!B938)</f>
        <v>63511</v>
      </c>
      <c r="C938" t="str">
        <f>IF(PNL!C938="","",PNL!C938)</f>
        <v>2027</v>
      </c>
      <c r="D938" t="str">
        <f>IF(PNL!D938="","",PNL!D938)</f>
        <v>V02</v>
      </c>
      <c r="E938">
        <f t="shared" si="0"/>
        <v>1</v>
      </c>
      <c r="F938">
        <f>IF($A938="","",IF($E938=1,_xlfn.SUMIFS(Compta!$F$1:$F$1448,Compta!$A$1:$A$1448,$A938,Compta!$B$1:$B$1448,$B938,Compta!$C$1:$C$1448,"2026"),0))</f>
        <v>35600</v>
      </c>
      <c r="G938" t="s">
        <v>274</v>
      </c>
      <c r="H938" t="s">
        <v>274</v>
      </c>
      <c r="I938" t="s">
        <v>274</v>
      </c>
      <c r="J938" t="s">
        <v>274</v>
      </c>
      <c r="K938" t="s">
        <v>274</v>
      </c>
      <c r="L938" t="s">
        <v>274</v>
      </c>
      <c r="M938" t="s">
        <v>274</v>
      </c>
      <c r="N938" t="e">
        <f t="shared" si="1"/>
        <v>#VALUE!</v>
      </c>
      <c r="O938" t="e">
        <f t="shared" si="2"/>
        <v>#VALUE!</v>
      </c>
      <c r="P938" t="e">
        <f>IF($A938="","",IF($E938=1,$F938*$O938,PNL!G938))</f>
        <v>#VALUE!</v>
      </c>
      <c r="T938" t="e">
        <f t="shared" si="3"/>
        <v>#VALUE!</v>
      </c>
    </row>
    <row r="939" ht="14.25" customHeight="1">
      <c r="A939" t="str">
        <f>IF(PNL!A939="","",PNL!A939)</f>
        <v>ISCOM_PAR</v>
      </c>
      <c r="B939" t="str">
        <f>IF(PNL!B939="","",PNL!B939)</f>
        <v>63511</v>
      </c>
      <c r="C939" t="str">
        <f>IF(PNL!C939="","",PNL!C939)</f>
        <v>2027</v>
      </c>
      <c r="D939" t="str">
        <f>IF(PNL!D939="","",PNL!D939)</f>
        <v>V03</v>
      </c>
      <c r="E939">
        <f t="shared" si="0"/>
        <v>1</v>
      </c>
      <c r="F939">
        <f>IF($A939="","",IF($E939=1,_xlfn.SUMIFS(Compta!$F$1:$F$1448,Compta!$A$1:$A$1448,$A939,Compta!$B$1:$B$1448,$B939,Compta!$C$1:$C$1448,"2026"),0))</f>
        <v>35600</v>
      </c>
      <c r="G939" t="s">
        <v>274</v>
      </c>
      <c r="H939" t="s">
        <v>274</v>
      </c>
      <c r="I939" t="s">
        <v>274</v>
      </c>
      <c r="J939" t="s">
        <v>274</v>
      </c>
      <c r="K939" t="s">
        <v>274</v>
      </c>
      <c r="L939" t="s">
        <v>274</v>
      </c>
      <c r="M939" t="s">
        <v>274</v>
      </c>
      <c r="N939" t="e">
        <f t="shared" si="1"/>
        <v>#VALUE!</v>
      </c>
      <c r="O939" t="e">
        <f t="shared" si="2"/>
        <v>#VALUE!</v>
      </c>
      <c r="P939" t="e">
        <f>IF($A939="","",IF($E939=1,$F939*$O939,PNL!G939))</f>
        <v>#VALUE!</v>
      </c>
      <c r="T939" t="e">
        <f t="shared" si="3"/>
        <v>#VALUE!</v>
      </c>
    </row>
    <row r="940" ht="14.25" customHeight="1">
      <c r="A940" t="str">
        <f>IF(PNL!A940="","",PNL!A940)</f>
        <v>ISCOM_LIL</v>
      </c>
      <c r="B940" t="str">
        <f>IF(PNL!B940="","",PNL!B940)</f>
        <v>63511</v>
      </c>
      <c r="C940" t="str">
        <f>IF(PNL!C940="","",PNL!C940)</f>
        <v>2027</v>
      </c>
      <c r="D940" t="str">
        <f>IF(PNL!D940="","",PNL!D940)</f>
        <v>V01</v>
      </c>
      <c r="E940">
        <f t="shared" si="0"/>
        <v>1</v>
      </c>
      <c r="F940">
        <f>IF($A940="","",IF($E940=1,_xlfn.SUMIFS(Compta!$F$1:$F$1448,Compta!$A$1:$A$1448,$A940,Compta!$B$1:$B$1448,$B940,Compta!$C$1:$C$1448,"2026"),0))</f>
        <v>13478</v>
      </c>
      <c r="G940" t="s">
        <v>274</v>
      </c>
      <c r="H940" t="s">
        <v>274</v>
      </c>
      <c r="I940" t="s">
        <v>274</v>
      </c>
      <c r="J940" t="s">
        <v>274</v>
      </c>
      <c r="K940" t="s">
        <v>274</v>
      </c>
      <c r="L940" t="s">
        <v>274</v>
      </c>
      <c r="M940" t="s">
        <v>274</v>
      </c>
      <c r="N940" t="e">
        <f t="shared" si="1"/>
        <v>#VALUE!</v>
      </c>
      <c r="O940" t="e">
        <f t="shared" si="2"/>
        <v>#VALUE!</v>
      </c>
      <c r="P940" t="e">
        <f>IF($A940="","",IF($E940=1,$F940*$O940,PNL!G940))</f>
        <v>#VALUE!</v>
      </c>
      <c r="T940" t="e">
        <f t="shared" si="3"/>
        <v>#VALUE!</v>
      </c>
    </row>
    <row r="941" ht="14.25" customHeight="1">
      <c r="A941" t="str">
        <f>IF(PNL!A941="","",PNL!A941)</f>
        <v>ISCOM_LIL</v>
      </c>
      <c r="B941" t="str">
        <f>IF(PNL!B941="","",PNL!B941)</f>
        <v>63511</v>
      </c>
      <c r="C941" t="str">
        <f>IF(PNL!C941="","",PNL!C941)</f>
        <v>2027</v>
      </c>
      <c r="D941" t="str">
        <f>IF(PNL!D941="","",PNL!D941)</f>
        <v>V02</v>
      </c>
      <c r="E941">
        <f t="shared" si="0"/>
        <v>1</v>
      </c>
      <c r="F941">
        <f>IF($A941="","",IF($E941=1,_xlfn.SUMIFS(Compta!$F$1:$F$1448,Compta!$A$1:$A$1448,$A941,Compta!$B$1:$B$1448,$B941,Compta!$C$1:$C$1448,"2026"),0))</f>
        <v>13478</v>
      </c>
      <c r="G941" t="s">
        <v>274</v>
      </c>
      <c r="H941" t="s">
        <v>274</v>
      </c>
      <c r="I941" t="s">
        <v>274</v>
      </c>
      <c r="J941" t="s">
        <v>274</v>
      </c>
      <c r="K941" t="s">
        <v>274</v>
      </c>
      <c r="L941" t="s">
        <v>274</v>
      </c>
      <c r="M941" t="s">
        <v>274</v>
      </c>
      <c r="N941" t="e">
        <f t="shared" si="1"/>
        <v>#VALUE!</v>
      </c>
      <c r="O941" t="e">
        <f t="shared" si="2"/>
        <v>#VALUE!</v>
      </c>
      <c r="P941" t="e">
        <f>IF($A941="","",IF($E941=1,$F941*$O941,PNL!G941))</f>
        <v>#VALUE!</v>
      </c>
      <c r="T941" t="e">
        <f t="shared" si="3"/>
        <v>#VALUE!</v>
      </c>
    </row>
    <row r="942" ht="14.25" customHeight="1">
      <c r="A942" t="str">
        <f>IF(PNL!A942="","",PNL!A942)</f>
        <v>ISCOM_LIL</v>
      </c>
      <c r="B942" t="str">
        <f>IF(PNL!B942="","",PNL!B942)</f>
        <v>63511</v>
      </c>
      <c r="C942" t="str">
        <f>IF(PNL!C942="","",PNL!C942)</f>
        <v>2027</v>
      </c>
      <c r="D942" t="str">
        <f>IF(PNL!D942="","",PNL!D942)</f>
        <v>V03</v>
      </c>
      <c r="E942">
        <f t="shared" si="0"/>
        <v>1</v>
      </c>
      <c r="F942">
        <f>IF($A942="","",IF($E942=1,_xlfn.SUMIFS(Compta!$F$1:$F$1448,Compta!$A$1:$A$1448,$A942,Compta!$B$1:$B$1448,$B942,Compta!$C$1:$C$1448,"2026"),0))</f>
        <v>13478</v>
      </c>
      <c r="G942" t="s">
        <v>274</v>
      </c>
      <c r="H942" t="s">
        <v>274</v>
      </c>
      <c r="I942" t="s">
        <v>274</v>
      </c>
      <c r="J942" t="s">
        <v>274</v>
      </c>
      <c r="K942" t="s">
        <v>274</v>
      </c>
      <c r="L942" t="s">
        <v>274</v>
      </c>
      <c r="M942" t="s">
        <v>274</v>
      </c>
      <c r="N942" t="e">
        <f t="shared" si="1"/>
        <v>#VALUE!</v>
      </c>
      <c r="O942" t="e">
        <f t="shared" si="2"/>
        <v>#VALUE!</v>
      </c>
      <c r="P942" t="e">
        <f>IF($A942="","",IF($E942=1,$F942*$O942,PNL!G942))</f>
        <v>#VALUE!</v>
      </c>
      <c r="T942" t="e">
        <f t="shared" si="3"/>
        <v>#VALUE!</v>
      </c>
    </row>
    <row r="943" ht="14.25" customHeight="1">
      <c r="A943" t="str">
        <f>IF(PNL!A943="","",PNL!A943)</f>
        <v>ISCOM_TLS</v>
      </c>
      <c r="B943" t="str">
        <f>IF(PNL!B943="","",PNL!B943)</f>
        <v>63511</v>
      </c>
      <c r="C943" t="str">
        <f>IF(PNL!C943="","",PNL!C943)</f>
        <v>2027</v>
      </c>
      <c r="D943" t="str">
        <f>IF(PNL!D943="","",PNL!D943)</f>
        <v>V01</v>
      </c>
      <c r="E943">
        <f t="shared" si="0"/>
        <v>1</v>
      </c>
      <c r="F943">
        <f>IF($A943="","",IF($E943=1,_xlfn.SUMIFS(Compta!$F$1:$F$1448,Compta!$A$1:$A$1448,$A943,Compta!$B$1:$B$1448,$B943,Compta!$C$1:$C$1448,"2026"),0))</f>
        <v>13185</v>
      </c>
      <c r="G943" t="s">
        <v>274</v>
      </c>
      <c r="H943" t="s">
        <v>274</v>
      </c>
      <c r="I943" t="s">
        <v>274</v>
      </c>
      <c r="J943" t="s">
        <v>274</v>
      </c>
      <c r="K943" t="s">
        <v>274</v>
      </c>
      <c r="L943" t="s">
        <v>274</v>
      </c>
      <c r="M943" t="s">
        <v>274</v>
      </c>
      <c r="N943" t="e">
        <f t="shared" si="1"/>
        <v>#VALUE!</v>
      </c>
      <c r="O943" t="e">
        <f t="shared" si="2"/>
        <v>#VALUE!</v>
      </c>
      <c r="P943" t="e">
        <f>IF($A943="","",IF($E943=1,$F943*$O943,PNL!G943))</f>
        <v>#VALUE!</v>
      </c>
      <c r="T943" t="e">
        <f t="shared" si="3"/>
        <v>#VALUE!</v>
      </c>
    </row>
    <row r="944" ht="14.25" customHeight="1">
      <c r="A944" t="str">
        <f>IF(PNL!A944="","",PNL!A944)</f>
        <v>ISCOM_TLS</v>
      </c>
      <c r="B944" t="str">
        <f>IF(PNL!B944="","",PNL!B944)</f>
        <v>63511</v>
      </c>
      <c r="C944" t="str">
        <f>IF(PNL!C944="","",PNL!C944)</f>
        <v>2027</v>
      </c>
      <c r="D944" t="str">
        <f>IF(PNL!D944="","",PNL!D944)</f>
        <v>V02</v>
      </c>
      <c r="E944">
        <f t="shared" si="0"/>
        <v>1</v>
      </c>
      <c r="F944">
        <f>IF($A944="","",IF($E944=1,_xlfn.SUMIFS(Compta!$F$1:$F$1448,Compta!$A$1:$A$1448,$A944,Compta!$B$1:$B$1448,$B944,Compta!$C$1:$C$1448,"2026"),0))</f>
        <v>13185</v>
      </c>
      <c r="G944" t="s">
        <v>274</v>
      </c>
      <c r="H944" t="s">
        <v>274</v>
      </c>
      <c r="I944" t="s">
        <v>274</v>
      </c>
      <c r="J944" t="s">
        <v>274</v>
      </c>
      <c r="K944" t="s">
        <v>274</v>
      </c>
      <c r="L944" t="s">
        <v>274</v>
      </c>
      <c r="M944" t="s">
        <v>274</v>
      </c>
      <c r="N944" t="e">
        <f t="shared" si="1"/>
        <v>#VALUE!</v>
      </c>
      <c r="O944" t="e">
        <f t="shared" si="2"/>
        <v>#VALUE!</v>
      </c>
      <c r="P944" t="e">
        <f>IF($A944="","",IF($E944=1,$F944*$O944,PNL!G944))</f>
        <v>#VALUE!</v>
      </c>
      <c r="T944" t="e">
        <f t="shared" si="3"/>
        <v>#VALUE!</v>
      </c>
    </row>
    <row r="945" ht="14.25" customHeight="1">
      <c r="A945" t="str">
        <f>IF(PNL!A945="","",PNL!A945)</f>
        <v>ISCOM_TLS</v>
      </c>
      <c r="B945" t="str">
        <f>IF(PNL!B945="","",PNL!B945)</f>
        <v>63511</v>
      </c>
      <c r="C945" t="str">
        <f>IF(PNL!C945="","",PNL!C945)</f>
        <v>2027</v>
      </c>
      <c r="D945" t="str">
        <f>IF(PNL!D945="","",PNL!D945)</f>
        <v>V03</v>
      </c>
      <c r="E945">
        <f t="shared" si="0"/>
        <v>1</v>
      </c>
      <c r="F945">
        <f>IF($A945="","",IF($E945=1,_xlfn.SUMIFS(Compta!$F$1:$F$1448,Compta!$A$1:$A$1448,$A945,Compta!$B$1:$B$1448,$B945,Compta!$C$1:$C$1448,"2026"),0))</f>
        <v>13185</v>
      </c>
      <c r="G945" t="s">
        <v>274</v>
      </c>
      <c r="H945" t="s">
        <v>274</v>
      </c>
      <c r="I945" t="s">
        <v>274</v>
      </c>
      <c r="J945" t="s">
        <v>274</v>
      </c>
      <c r="K945" t="s">
        <v>274</v>
      </c>
      <c r="L945" t="s">
        <v>274</v>
      </c>
      <c r="M945" t="s">
        <v>274</v>
      </c>
      <c r="N945" t="e">
        <f t="shared" si="1"/>
        <v>#VALUE!</v>
      </c>
      <c r="O945" t="e">
        <f t="shared" si="2"/>
        <v>#VALUE!</v>
      </c>
      <c r="P945" t="e">
        <f>IF($A945="","",IF($E945=1,$F945*$O945,PNL!G945))</f>
        <v>#VALUE!</v>
      </c>
      <c r="T945" t="e">
        <f t="shared" si="3"/>
        <v>#VALUE!</v>
      </c>
    </row>
    <row r="946" ht="14.25" customHeight="1">
      <c r="A946" t="str">
        <f>IF(PNL!A946="","",PNL!A946)</f>
        <v>IPAC_NAN</v>
      </c>
      <c r="B946" t="str">
        <f>IF(PNL!B946="","",PNL!B946)</f>
        <v>63511</v>
      </c>
      <c r="C946" t="str">
        <f>IF(PNL!C946="","",PNL!C946)</f>
        <v>2027</v>
      </c>
      <c r="D946" t="str">
        <f>IF(PNL!D946="","",PNL!D946)</f>
        <v>V01</v>
      </c>
      <c r="E946">
        <f t="shared" si="0"/>
        <v>1</v>
      </c>
      <c r="F946">
        <f>IF($A946="","",IF($E946=1,_xlfn.SUMIFS(Compta!$F$1:$F$1448,Compta!$A$1:$A$1448,$A946,Compta!$B$1:$B$1448,$B946,Compta!$C$1:$C$1448,"2026"),0))</f>
        <v>8790</v>
      </c>
      <c r="G946" t="s">
        <v>274</v>
      </c>
      <c r="H946" t="s">
        <v>274</v>
      </c>
      <c r="I946" t="s">
        <v>274</v>
      </c>
      <c r="J946" t="s">
        <v>274</v>
      </c>
      <c r="K946" t="s">
        <v>274</v>
      </c>
      <c r="L946" t="s">
        <v>274</v>
      </c>
      <c r="M946" t="s">
        <v>274</v>
      </c>
      <c r="N946" t="e">
        <f t="shared" si="1"/>
        <v>#VALUE!</v>
      </c>
      <c r="O946" t="e">
        <f t="shared" si="2"/>
        <v>#VALUE!</v>
      </c>
      <c r="P946" t="e">
        <f>IF($A946="","",IF($E946=1,$F946*$O946,PNL!G946))</f>
        <v>#VALUE!</v>
      </c>
      <c r="T946" t="e">
        <f t="shared" si="3"/>
        <v>#VALUE!</v>
      </c>
    </row>
    <row r="947" ht="14.25" customHeight="1">
      <c r="A947" t="str">
        <f>IF(PNL!A947="","",PNL!A947)</f>
        <v>IPAC_NAN</v>
      </c>
      <c r="B947" t="str">
        <f>IF(PNL!B947="","",PNL!B947)</f>
        <v>63511</v>
      </c>
      <c r="C947" t="str">
        <f>IF(PNL!C947="","",PNL!C947)</f>
        <v>2027</v>
      </c>
      <c r="D947" t="str">
        <f>IF(PNL!D947="","",PNL!D947)</f>
        <v>V02</v>
      </c>
      <c r="E947">
        <f t="shared" si="0"/>
        <v>1</v>
      </c>
      <c r="F947">
        <f>IF($A947="","",IF($E947=1,_xlfn.SUMIFS(Compta!$F$1:$F$1448,Compta!$A$1:$A$1448,$A947,Compta!$B$1:$B$1448,$B947,Compta!$C$1:$C$1448,"2026"),0))</f>
        <v>8790</v>
      </c>
      <c r="G947" t="s">
        <v>274</v>
      </c>
      <c r="H947" t="s">
        <v>274</v>
      </c>
      <c r="I947" t="s">
        <v>274</v>
      </c>
      <c r="J947" t="s">
        <v>274</v>
      </c>
      <c r="K947" t="s">
        <v>274</v>
      </c>
      <c r="L947" t="s">
        <v>274</v>
      </c>
      <c r="M947" t="s">
        <v>274</v>
      </c>
      <c r="N947" t="e">
        <f t="shared" si="1"/>
        <v>#VALUE!</v>
      </c>
      <c r="O947" t="e">
        <f t="shared" si="2"/>
        <v>#VALUE!</v>
      </c>
      <c r="P947" t="e">
        <f>IF($A947="","",IF($E947=1,$F947*$O947,PNL!G947))</f>
        <v>#VALUE!</v>
      </c>
      <c r="T947" t="e">
        <f t="shared" si="3"/>
        <v>#VALUE!</v>
      </c>
    </row>
    <row r="948" ht="14.25" customHeight="1">
      <c r="A948" t="str">
        <f>IF(PNL!A948="","",PNL!A948)</f>
        <v>IPAC_NAN</v>
      </c>
      <c r="B948" t="str">
        <f>IF(PNL!B948="","",PNL!B948)</f>
        <v>63511</v>
      </c>
      <c r="C948" t="str">
        <f>IF(PNL!C948="","",PNL!C948)</f>
        <v>2027</v>
      </c>
      <c r="D948" t="str">
        <f>IF(PNL!D948="","",PNL!D948)</f>
        <v>V03</v>
      </c>
      <c r="E948">
        <f t="shared" si="0"/>
        <v>1</v>
      </c>
      <c r="F948">
        <f>IF($A948="","",IF($E948=1,_xlfn.SUMIFS(Compta!$F$1:$F$1448,Compta!$A$1:$A$1448,$A948,Compta!$B$1:$B$1448,$B948,Compta!$C$1:$C$1448,"2026"),0))</f>
        <v>8790</v>
      </c>
      <c r="G948" t="s">
        <v>274</v>
      </c>
      <c r="H948" t="s">
        <v>274</v>
      </c>
      <c r="I948" t="s">
        <v>274</v>
      </c>
      <c r="J948" t="s">
        <v>274</v>
      </c>
      <c r="K948" t="s">
        <v>274</v>
      </c>
      <c r="L948" t="s">
        <v>274</v>
      </c>
      <c r="M948" t="s">
        <v>274</v>
      </c>
      <c r="N948" t="e">
        <f t="shared" si="1"/>
        <v>#VALUE!</v>
      </c>
      <c r="O948" t="e">
        <f t="shared" si="2"/>
        <v>#VALUE!</v>
      </c>
      <c r="P948" t="e">
        <f>IF($A948="","",IF($E948=1,$F948*$O948,PNL!G948))</f>
        <v>#VALUE!</v>
      </c>
      <c r="T948" t="e">
        <f t="shared" si="3"/>
        <v>#VALUE!</v>
      </c>
    </row>
    <row r="949" ht="14.25" customHeight="1">
      <c r="A949" t="str">
        <f>IF(PNL!A949="","",PNL!A949)</f>
        <v>IPAC_REN</v>
      </c>
      <c r="B949" t="str">
        <f>IF(PNL!B949="","",PNL!B949)</f>
        <v>63511</v>
      </c>
      <c r="C949" t="str">
        <f>IF(PNL!C949="","",PNL!C949)</f>
        <v>2027</v>
      </c>
      <c r="D949" t="str">
        <f>IF(PNL!D949="","",PNL!D949)</f>
        <v>V01</v>
      </c>
      <c r="E949">
        <f t="shared" si="0"/>
        <v>1</v>
      </c>
      <c r="F949">
        <f>IF($A949="","",IF($E949=1,_xlfn.SUMIFS(Compta!$F$1:$F$1448,Compta!$A$1:$A$1448,$A949,Compta!$B$1:$B$1448,$B949,Compta!$C$1:$C$1448,"2026"),0))</f>
        <v>7735</v>
      </c>
      <c r="G949" t="s">
        <v>274</v>
      </c>
      <c r="H949" t="s">
        <v>274</v>
      </c>
      <c r="I949" t="s">
        <v>274</v>
      </c>
      <c r="J949" t="s">
        <v>274</v>
      </c>
      <c r="K949" t="s">
        <v>274</v>
      </c>
      <c r="L949" t="s">
        <v>274</v>
      </c>
      <c r="M949" t="s">
        <v>274</v>
      </c>
      <c r="N949" t="e">
        <f t="shared" si="1"/>
        <v>#VALUE!</v>
      </c>
      <c r="O949" t="e">
        <f t="shared" si="2"/>
        <v>#VALUE!</v>
      </c>
      <c r="P949" t="e">
        <f>IF($A949="","",IF($E949=1,$F949*$O949,PNL!G949))</f>
        <v>#VALUE!</v>
      </c>
      <c r="T949" t="e">
        <f t="shared" si="3"/>
        <v>#VALUE!</v>
      </c>
    </row>
    <row r="950" ht="14.25" customHeight="1">
      <c r="A950" t="str">
        <f>IF(PNL!A950="","",PNL!A950)</f>
        <v>IPAC_REN</v>
      </c>
      <c r="B950" t="str">
        <f>IF(PNL!B950="","",PNL!B950)</f>
        <v>63511</v>
      </c>
      <c r="C950" t="str">
        <f>IF(PNL!C950="","",PNL!C950)</f>
        <v>2027</v>
      </c>
      <c r="D950" t="str">
        <f>IF(PNL!D950="","",PNL!D950)</f>
        <v>V02</v>
      </c>
      <c r="E950">
        <f t="shared" si="0"/>
        <v>1</v>
      </c>
      <c r="F950">
        <f>IF($A950="","",IF($E950=1,_xlfn.SUMIFS(Compta!$F$1:$F$1448,Compta!$A$1:$A$1448,$A950,Compta!$B$1:$B$1448,$B950,Compta!$C$1:$C$1448,"2026"),0))</f>
        <v>7735</v>
      </c>
      <c r="G950" t="s">
        <v>274</v>
      </c>
      <c r="H950" t="s">
        <v>274</v>
      </c>
      <c r="I950" t="s">
        <v>274</v>
      </c>
      <c r="J950" t="s">
        <v>274</v>
      </c>
      <c r="K950" t="s">
        <v>274</v>
      </c>
      <c r="L950" t="s">
        <v>274</v>
      </c>
      <c r="M950" t="s">
        <v>274</v>
      </c>
      <c r="N950" t="e">
        <f t="shared" si="1"/>
        <v>#VALUE!</v>
      </c>
      <c r="O950" t="e">
        <f t="shared" si="2"/>
        <v>#VALUE!</v>
      </c>
      <c r="P950" t="e">
        <f>IF($A950="","",IF($E950=1,$F950*$O950,PNL!G950))</f>
        <v>#VALUE!</v>
      </c>
      <c r="T950" t="e">
        <f t="shared" si="3"/>
        <v>#VALUE!</v>
      </c>
    </row>
    <row r="951" ht="14.25" customHeight="1">
      <c r="A951" t="str">
        <f>IF(PNL!A951="","",PNL!A951)</f>
        <v>IPAC_REN</v>
      </c>
      <c r="B951" t="str">
        <f>IF(PNL!B951="","",PNL!B951)</f>
        <v>63511</v>
      </c>
      <c r="C951" t="str">
        <f>IF(PNL!C951="","",PNL!C951)</f>
        <v>2027</v>
      </c>
      <c r="D951" t="str">
        <f>IF(PNL!D951="","",PNL!D951)</f>
        <v>V03</v>
      </c>
      <c r="E951">
        <f t="shared" si="0"/>
        <v>1</v>
      </c>
      <c r="F951">
        <f>IF($A951="","",IF($E951=1,_xlfn.SUMIFS(Compta!$F$1:$F$1448,Compta!$A$1:$A$1448,$A951,Compta!$B$1:$B$1448,$B951,Compta!$C$1:$C$1448,"2026"),0))</f>
        <v>7735</v>
      </c>
      <c r="G951" t="s">
        <v>274</v>
      </c>
      <c r="H951" t="s">
        <v>274</v>
      </c>
      <c r="I951" t="s">
        <v>274</v>
      </c>
      <c r="J951" t="s">
        <v>274</v>
      </c>
      <c r="K951" t="s">
        <v>274</v>
      </c>
      <c r="L951" t="s">
        <v>274</v>
      </c>
      <c r="M951" t="s">
        <v>274</v>
      </c>
      <c r="N951" t="e">
        <f t="shared" si="1"/>
        <v>#VALUE!</v>
      </c>
      <c r="O951" t="e">
        <f t="shared" si="2"/>
        <v>#VALUE!</v>
      </c>
      <c r="P951" t="e">
        <f>IF($A951="","",IF($E951=1,$F951*$O951,PNL!G951))</f>
        <v>#VALUE!</v>
      </c>
      <c r="T951" t="e">
        <f t="shared" si="3"/>
        <v>#VALUE!</v>
      </c>
    </row>
    <row r="952" ht="14.25" customHeight="1">
      <c r="A952" t="str">
        <f>IF(PNL!A952="","",PNL!A952)</f>
        <v>IPAC_MTP</v>
      </c>
      <c r="B952" t="str">
        <f>IF(PNL!B952="","",PNL!B952)</f>
        <v>63511</v>
      </c>
      <c r="C952" t="str">
        <f>IF(PNL!C952="","",PNL!C952)</f>
        <v>2027</v>
      </c>
      <c r="D952" t="str">
        <f>IF(PNL!D952="","",PNL!D952)</f>
        <v>V01</v>
      </c>
      <c r="E952">
        <f t="shared" si="0"/>
        <v>1</v>
      </c>
      <c r="F952">
        <f>IF($A952="","",IF($E952=1,_xlfn.SUMIFS(Compta!$F$1:$F$1448,Compta!$A$1:$A$1448,$A952,Compta!$B$1:$B$1448,$B952,Compta!$C$1:$C$1448,"2026"),0))</f>
        <v>7735</v>
      </c>
      <c r="G952" t="s">
        <v>274</v>
      </c>
      <c r="H952" t="s">
        <v>274</v>
      </c>
      <c r="I952" t="s">
        <v>274</v>
      </c>
      <c r="J952" t="s">
        <v>274</v>
      </c>
      <c r="K952" t="s">
        <v>274</v>
      </c>
      <c r="L952" t="s">
        <v>274</v>
      </c>
      <c r="M952" t="s">
        <v>274</v>
      </c>
      <c r="N952" t="e">
        <f t="shared" si="1"/>
        <v>#VALUE!</v>
      </c>
      <c r="O952" t="e">
        <f t="shared" si="2"/>
        <v>#VALUE!</v>
      </c>
      <c r="P952" t="e">
        <f>IF($A952="","",IF($E952=1,$F952*$O952,PNL!G952))</f>
        <v>#VALUE!</v>
      </c>
      <c r="T952" t="e">
        <f t="shared" si="3"/>
        <v>#VALUE!</v>
      </c>
    </row>
    <row r="953" ht="14.25" customHeight="1">
      <c r="A953" t="str">
        <f>IF(PNL!A953="","",PNL!A953)</f>
        <v>IPAC_MTP</v>
      </c>
      <c r="B953" t="str">
        <f>IF(PNL!B953="","",PNL!B953)</f>
        <v>63511</v>
      </c>
      <c r="C953" t="str">
        <f>IF(PNL!C953="","",PNL!C953)</f>
        <v>2027</v>
      </c>
      <c r="D953" t="str">
        <f>IF(PNL!D953="","",PNL!D953)</f>
        <v>V02</v>
      </c>
      <c r="E953">
        <f t="shared" si="0"/>
        <v>1</v>
      </c>
      <c r="F953">
        <f>IF($A953="","",IF($E953=1,_xlfn.SUMIFS(Compta!$F$1:$F$1448,Compta!$A$1:$A$1448,$A953,Compta!$B$1:$B$1448,$B953,Compta!$C$1:$C$1448,"2026"),0))</f>
        <v>7735</v>
      </c>
      <c r="G953" t="s">
        <v>274</v>
      </c>
      <c r="H953" t="s">
        <v>274</v>
      </c>
      <c r="I953" t="s">
        <v>274</v>
      </c>
      <c r="J953" t="s">
        <v>274</v>
      </c>
      <c r="K953" t="s">
        <v>274</v>
      </c>
      <c r="L953" t="s">
        <v>274</v>
      </c>
      <c r="M953" t="s">
        <v>274</v>
      </c>
      <c r="N953" t="e">
        <f t="shared" si="1"/>
        <v>#VALUE!</v>
      </c>
      <c r="O953" t="e">
        <f t="shared" si="2"/>
        <v>#VALUE!</v>
      </c>
      <c r="P953" t="e">
        <f>IF($A953="","",IF($E953=1,$F953*$O953,PNL!G953))</f>
        <v>#VALUE!</v>
      </c>
      <c r="T953" t="e">
        <f t="shared" si="3"/>
        <v>#VALUE!</v>
      </c>
    </row>
    <row r="954" ht="14.25" customHeight="1">
      <c r="A954" t="str">
        <f>IF(PNL!A954="","",PNL!A954)</f>
        <v>IPAC_MTP</v>
      </c>
      <c r="B954" t="str">
        <f>IF(PNL!B954="","",PNL!B954)</f>
        <v>63511</v>
      </c>
      <c r="C954" t="str">
        <f>IF(PNL!C954="","",PNL!C954)</f>
        <v>2027</v>
      </c>
      <c r="D954" t="str">
        <f>IF(PNL!D954="","",PNL!D954)</f>
        <v>V03</v>
      </c>
      <c r="E954">
        <f t="shared" si="0"/>
        <v>1</v>
      </c>
      <c r="F954">
        <f>IF($A954="","",IF($E954=1,_xlfn.SUMIFS(Compta!$F$1:$F$1448,Compta!$A$1:$A$1448,$A954,Compta!$B$1:$B$1448,$B954,Compta!$C$1:$C$1448,"2026"),0))</f>
        <v>7735</v>
      </c>
      <c r="G954" t="s">
        <v>274</v>
      </c>
      <c r="H954" t="s">
        <v>274</v>
      </c>
      <c r="I954" t="s">
        <v>274</v>
      </c>
      <c r="J954" t="s">
        <v>274</v>
      </c>
      <c r="K954" t="s">
        <v>274</v>
      </c>
      <c r="L954" t="s">
        <v>274</v>
      </c>
      <c r="M954" t="s">
        <v>274</v>
      </c>
      <c r="N954" t="e">
        <f t="shared" si="1"/>
        <v>#VALUE!</v>
      </c>
      <c r="O954" t="e">
        <f t="shared" si="2"/>
        <v>#VALUE!</v>
      </c>
      <c r="P954" t="e">
        <f>IF($A954="","",IF($E954=1,$F954*$O954,PNL!G954))</f>
        <v>#VALUE!</v>
      </c>
      <c r="T954" t="e">
        <f t="shared" si="3"/>
        <v>#VALUE!</v>
      </c>
    </row>
    <row r="955" ht="14.25" customHeight="1">
      <c r="A955" t="str">
        <f>IF(PNL!A955="","",PNL!A955)</f>
        <v>PIGIER_LYO</v>
      </c>
      <c r="B955" t="str">
        <f>IF(PNL!B955="","",PNL!B955)</f>
        <v>63511</v>
      </c>
      <c r="C955" t="str">
        <f>IF(PNL!C955="","",PNL!C955)</f>
        <v>2027</v>
      </c>
      <c r="D955" t="str">
        <f>IF(PNL!D955="","",PNL!D955)</f>
        <v>V01</v>
      </c>
      <c r="E955">
        <f t="shared" si="0"/>
        <v>1</v>
      </c>
      <c r="F955">
        <f>IF($A955="","",IF($E955=1,_xlfn.SUMIFS(Compta!$F$1:$F$1448,Compta!$A$1:$A$1448,$A955,Compta!$B$1:$B$1448,$B955,Compta!$C$1:$C$1448,"2026"),0))</f>
        <v>13127</v>
      </c>
      <c r="G955" t="s">
        <v>274</v>
      </c>
      <c r="H955" t="s">
        <v>274</v>
      </c>
      <c r="I955" t="s">
        <v>274</v>
      </c>
      <c r="J955" t="s">
        <v>274</v>
      </c>
      <c r="K955" t="s">
        <v>274</v>
      </c>
      <c r="L955" t="s">
        <v>274</v>
      </c>
      <c r="M955" t="s">
        <v>274</v>
      </c>
      <c r="N955" t="e">
        <f t="shared" si="1"/>
        <v>#VALUE!</v>
      </c>
      <c r="O955" t="e">
        <f t="shared" si="2"/>
        <v>#VALUE!</v>
      </c>
      <c r="P955" t="e">
        <f>IF($A955="","",IF($E955=1,$F955*$O955,PNL!G955))</f>
        <v>#VALUE!</v>
      </c>
      <c r="T955" t="e">
        <f t="shared" si="3"/>
        <v>#VALUE!</v>
      </c>
    </row>
    <row r="956" ht="14.25" customHeight="1">
      <c r="A956" t="str">
        <f>IF(PNL!A956="","",PNL!A956)</f>
        <v>PIGIER_LYO</v>
      </c>
      <c r="B956" t="str">
        <f>IF(PNL!B956="","",PNL!B956)</f>
        <v>63511</v>
      </c>
      <c r="C956" t="str">
        <f>IF(PNL!C956="","",PNL!C956)</f>
        <v>2027</v>
      </c>
      <c r="D956" t="str">
        <f>IF(PNL!D956="","",PNL!D956)</f>
        <v>V02</v>
      </c>
      <c r="E956">
        <f t="shared" si="0"/>
        <v>1</v>
      </c>
      <c r="F956">
        <f>IF($A956="","",IF($E956=1,_xlfn.SUMIFS(Compta!$F$1:$F$1448,Compta!$A$1:$A$1448,$A956,Compta!$B$1:$B$1448,$B956,Compta!$C$1:$C$1448,"2026"),0))</f>
        <v>13127</v>
      </c>
      <c r="G956" t="s">
        <v>274</v>
      </c>
      <c r="H956" t="s">
        <v>274</v>
      </c>
      <c r="I956" t="s">
        <v>274</v>
      </c>
      <c r="J956" t="s">
        <v>274</v>
      </c>
      <c r="K956" t="s">
        <v>274</v>
      </c>
      <c r="L956" t="s">
        <v>274</v>
      </c>
      <c r="M956" t="s">
        <v>274</v>
      </c>
      <c r="N956" t="e">
        <f t="shared" si="1"/>
        <v>#VALUE!</v>
      </c>
      <c r="O956" t="e">
        <f t="shared" si="2"/>
        <v>#VALUE!</v>
      </c>
      <c r="P956" t="e">
        <f>IF($A956="","",IF($E956=1,$F956*$O956,PNL!G956))</f>
        <v>#VALUE!</v>
      </c>
      <c r="T956" t="e">
        <f t="shared" si="3"/>
        <v>#VALUE!</v>
      </c>
    </row>
    <row r="957" ht="14.25" customHeight="1">
      <c r="A957" t="str">
        <f>IF(PNL!A957="","",PNL!A957)</f>
        <v>PIGIER_LYO</v>
      </c>
      <c r="B957" t="str">
        <f>IF(PNL!B957="","",PNL!B957)</f>
        <v>63511</v>
      </c>
      <c r="C957" t="str">
        <f>IF(PNL!C957="","",PNL!C957)</f>
        <v>2027</v>
      </c>
      <c r="D957" t="str">
        <f>IF(PNL!D957="","",PNL!D957)</f>
        <v>V03</v>
      </c>
      <c r="E957">
        <f t="shared" si="0"/>
        <v>1</v>
      </c>
      <c r="F957">
        <f>IF($A957="","",IF($E957=1,_xlfn.SUMIFS(Compta!$F$1:$F$1448,Compta!$A$1:$A$1448,$A957,Compta!$B$1:$B$1448,$B957,Compta!$C$1:$C$1448,"2026"),0))</f>
        <v>13127</v>
      </c>
      <c r="G957" t="s">
        <v>274</v>
      </c>
      <c r="H957" t="s">
        <v>274</v>
      </c>
      <c r="I957" t="s">
        <v>274</v>
      </c>
      <c r="J957" t="s">
        <v>274</v>
      </c>
      <c r="K957" t="s">
        <v>274</v>
      </c>
      <c r="L957" t="s">
        <v>274</v>
      </c>
      <c r="M957" t="s">
        <v>274</v>
      </c>
      <c r="N957" t="e">
        <f t="shared" si="1"/>
        <v>#VALUE!</v>
      </c>
      <c r="O957" t="e">
        <f t="shared" si="2"/>
        <v>#VALUE!</v>
      </c>
      <c r="P957" t="e">
        <f>IF($A957="","",IF($E957=1,$F957*$O957,PNL!G957))</f>
        <v>#VALUE!</v>
      </c>
      <c r="T957" t="e">
        <f t="shared" si="3"/>
        <v>#VALUE!</v>
      </c>
    </row>
    <row r="958" ht="14.25" customHeight="1">
      <c r="A958" t="str">
        <f>IF(PNL!A958="","",PNL!A958)</f>
        <v>PIGIER_BOR</v>
      </c>
      <c r="B958" t="str">
        <f>IF(PNL!B958="","",PNL!B958)</f>
        <v>63511</v>
      </c>
      <c r="C958" t="str">
        <f>IF(PNL!C958="","",PNL!C958)</f>
        <v>2027</v>
      </c>
      <c r="D958" t="str">
        <f>IF(PNL!D958="","",PNL!D958)</f>
        <v>V01</v>
      </c>
      <c r="E958">
        <f t="shared" si="0"/>
        <v>1</v>
      </c>
      <c r="F958">
        <f>IF($A958="","",IF($E958=1,_xlfn.SUMIFS(Compta!$F$1:$F$1448,Compta!$A$1:$A$1448,$A958,Compta!$B$1:$B$1448,$B958,Compta!$C$1:$C$1448,"2026"),0))</f>
        <v>12306</v>
      </c>
      <c r="G958" t="s">
        <v>274</v>
      </c>
      <c r="H958" t="s">
        <v>274</v>
      </c>
      <c r="I958" t="s">
        <v>274</v>
      </c>
      <c r="J958" t="s">
        <v>274</v>
      </c>
      <c r="K958" t="s">
        <v>274</v>
      </c>
      <c r="L958" t="s">
        <v>274</v>
      </c>
      <c r="M958" t="s">
        <v>274</v>
      </c>
      <c r="N958" t="e">
        <f t="shared" si="1"/>
        <v>#VALUE!</v>
      </c>
      <c r="O958" t="e">
        <f t="shared" si="2"/>
        <v>#VALUE!</v>
      </c>
      <c r="P958" t="e">
        <f>IF($A958="","",IF($E958=1,$F958*$O958,PNL!G958))</f>
        <v>#VALUE!</v>
      </c>
      <c r="T958" t="e">
        <f t="shared" si="3"/>
        <v>#VALUE!</v>
      </c>
    </row>
    <row r="959" ht="14.25" customHeight="1">
      <c r="A959" t="str">
        <f>IF(PNL!A959="","",PNL!A959)</f>
        <v>PIGIER_BOR</v>
      </c>
      <c r="B959" t="str">
        <f>IF(PNL!B959="","",PNL!B959)</f>
        <v>63511</v>
      </c>
      <c r="C959" t="str">
        <f>IF(PNL!C959="","",PNL!C959)</f>
        <v>2027</v>
      </c>
      <c r="D959" t="str">
        <f>IF(PNL!D959="","",PNL!D959)</f>
        <v>V02</v>
      </c>
      <c r="E959">
        <f t="shared" si="0"/>
        <v>1</v>
      </c>
      <c r="F959">
        <f>IF($A959="","",IF($E959=1,_xlfn.SUMIFS(Compta!$F$1:$F$1448,Compta!$A$1:$A$1448,$A959,Compta!$B$1:$B$1448,$B959,Compta!$C$1:$C$1448,"2026"),0))</f>
        <v>12306</v>
      </c>
      <c r="G959" t="s">
        <v>274</v>
      </c>
      <c r="H959" t="s">
        <v>274</v>
      </c>
      <c r="I959" t="s">
        <v>274</v>
      </c>
      <c r="J959" t="s">
        <v>274</v>
      </c>
      <c r="K959" t="s">
        <v>274</v>
      </c>
      <c r="L959" t="s">
        <v>274</v>
      </c>
      <c r="M959" t="s">
        <v>274</v>
      </c>
      <c r="N959" t="e">
        <f t="shared" si="1"/>
        <v>#VALUE!</v>
      </c>
      <c r="O959" t="e">
        <f t="shared" si="2"/>
        <v>#VALUE!</v>
      </c>
      <c r="P959" t="e">
        <f>IF($A959="","",IF($E959=1,$F959*$O959,PNL!G959))</f>
        <v>#VALUE!</v>
      </c>
      <c r="T959" t="e">
        <f t="shared" si="3"/>
        <v>#VALUE!</v>
      </c>
    </row>
    <row r="960" ht="14.25" customHeight="1">
      <c r="A960" t="str">
        <f>IF(PNL!A960="","",PNL!A960)</f>
        <v>PIGIER_BOR</v>
      </c>
      <c r="B960" t="str">
        <f>IF(PNL!B960="","",PNL!B960)</f>
        <v>63511</v>
      </c>
      <c r="C960" t="str">
        <f>IF(PNL!C960="","",PNL!C960)</f>
        <v>2027</v>
      </c>
      <c r="D960" t="str">
        <f>IF(PNL!D960="","",PNL!D960)</f>
        <v>V03</v>
      </c>
      <c r="E960">
        <f t="shared" si="0"/>
        <v>1</v>
      </c>
      <c r="F960">
        <f>IF($A960="","",IF($E960=1,_xlfn.SUMIFS(Compta!$F$1:$F$1448,Compta!$A$1:$A$1448,$A960,Compta!$B$1:$B$1448,$B960,Compta!$C$1:$C$1448,"2026"),0))</f>
        <v>12306</v>
      </c>
      <c r="G960" t="s">
        <v>274</v>
      </c>
      <c r="H960" t="s">
        <v>274</v>
      </c>
      <c r="I960" t="s">
        <v>274</v>
      </c>
      <c r="J960" t="s">
        <v>274</v>
      </c>
      <c r="K960" t="s">
        <v>274</v>
      </c>
      <c r="L960" t="s">
        <v>274</v>
      </c>
      <c r="M960" t="s">
        <v>274</v>
      </c>
      <c r="N960" t="e">
        <f t="shared" si="1"/>
        <v>#VALUE!</v>
      </c>
      <c r="O960" t="e">
        <f t="shared" si="2"/>
        <v>#VALUE!</v>
      </c>
      <c r="P960" t="e">
        <f>IF($A960="","",IF($E960=1,$F960*$O960,PNL!G960))</f>
        <v>#VALUE!</v>
      </c>
      <c r="T960" t="e">
        <f t="shared" si="3"/>
        <v>#VALUE!</v>
      </c>
    </row>
    <row r="961" ht="14.25" customHeight="1">
      <c r="A961" t="str">
        <f>IF(PNL!A961="","",PNL!A961)</f>
        <v>TUNON_PAR</v>
      </c>
      <c r="B961" t="str">
        <f>IF(PNL!B961="","",PNL!B961)</f>
        <v>63511</v>
      </c>
      <c r="C961" t="str">
        <f>IF(PNL!C961="","",PNL!C961)</f>
        <v>2027</v>
      </c>
      <c r="D961" t="str">
        <f>IF(PNL!D961="","",PNL!D961)</f>
        <v>V01</v>
      </c>
      <c r="E961">
        <f t="shared" si="0"/>
        <v>1</v>
      </c>
      <c r="F961">
        <f>IF($A961="","",IF($E961=1,_xlfn.SUMIFS(Compta!$F$1:$F$1448,Compta!$A$1:$A$1448,$A961,Compta!$B$1:$B$1448,$B961,Compta!$C$1:$C$1448,"2026"),0))</f>
        <v>14240</v>
      </c>
      <c r="G961" t="s">
        <v>274</v>
      </c>
      <c r="H961" t="s">
        <v>274</v>
      </c>
      <c r="I961" t="s">
        <v>274</v>
      </c>
      <c r="J961" t="s">
        <v>274</v>
      </c>
      <c r="K961" t="s">
        <v>274</v>
      </c>
      <c r="L961" t="s">
        <v>274</v>
      </c>
      <c r="M961" t="s">
        <v>274</v>
      </c>
      <c r="N961" t="e">
        <f t="shared" si="1"/>
        <v>#VALUE!</v>
      </c>
      <c r="O961" t="e">
        <f t="shared" si="2"/>
        <v>#VALUE!</v>
      </c>
      <c r="P961" t="e">
        <f>IF($A961="","",IF($E961=1,$F961*$O961,PNL!G961))</f>
        <v>#VALUE!</v>
      </c>
      <c r="T961" t="e">
        <f t="shared" si="3"/>
        <v>#VALUE!</v>
      </c>
    </row>
    <row r="962" ht="14.25" customHeight="1">
      <c r="A962" t="str">
        <f>IF(PNL!A962="","",PNL!A962)</f>
        <v>TUNON_PAR</v>
      </c>
      <c r="B962" t="str">
        <f>IF(PNL!B962="","",PNL!B962)</f>
        <v>63511</v>
      </c>
      <c r="C962" t="str">
        <f>IF(PNL!C962="","",PNL!C962)</f>
        <v>2027</v>
      </c>
      <c r="D962" t="str">
        <f>IF(PNL!D962="","",PNL!D962)</f>
        <v>V02</v>
      </c>
      <c r="E962">
        <f t="shared" si="0"/>
        <v>1</v>
      </c>
      <c r="F962">
        <f>IF($A962="","",IF($E962=1,_xlfn.SUMIFS(Compta!$F$1:$F$1448,Compta!$A$1:$A$1448,$A962,Compta!$B$1:$B$1448,$B962,Compta!$C$1:$C$1448,"2026"),0))</f>
        <v>14240</v>
      </c>
      <c r="G962" t="s">
        <v>274</v>
      </c>
      <c r="H962" t="s">
        <v>274</v>
      </c>
      <c r="I962" t="s">
        <v>274</v>
      </c>
      <c r="J962" t="s">
        <v>274</v>
      </c>
      <c r="K962" t="s">
        <v>274</v>
      </c>
      <c r="L962" t="s">
        <v>274</v>
      </c>
      <c r="M962" t="s">
        <v>274</v>
      </c>
      <c r="N962" t="e">
        <f t="shared" si="1"/>
        <v>#VALUE!</v>
      </c>
      <c r="O962" t="e">
        <f t="shared" si="2"/>
        <v>#VALUE!</v>
      </c>
      <c r="P962" t="e">
        <f>IF($A962="","",IF($E962=1,$F962*$O962,PNL!G962))</f>
        <v>#VALUE!</v>
      </c>
      <c r="T962" t="e">
        <f t="shared" si="3"/>
        <v>#VALUE!</v>
      </c>
    </row>
    <row r="963" ht="14.25" customHeight="1">
      <c r="A963" t="str">
        <f>IF(PNL!A963="","",PNL!A963)</f>
        <v>TUNON_PAR</v>
      </c>
      <c r="B963" t="str">
        <f>IF(PNL!B963="","",PNL!B963)</f>
        <v>63511</v>
      </c>
      <c r="C963" t="str">
        <f>IF(PNL!C963="","",PNL!C963)</f>
        <v>2027</v>
      </c>
      <c r="D963" t="str">
        <f>IF(PNL!D963="","",PNL!D963)</f>
        <v>V03</v>
      </c>
      <c r="E963">
        <f t="shared" si="0"/>
        <v>1</v>
      </c>
      <c r="F963">
        <f>IF($A963="","",IF($E963=1,_xlfn.SUMIFS(Compta!$F$1:$F$1448,Compta!$A$1:$A$1448,$A963,Compta!$B$1:$B$1448,$B963,Compta!$C$1:$C$1448,"2026"),0))</f>
        <v>14240</v>
      </c>
      <c r="G963" t="s">
        <v>274</v>
      </c>
      <c r="H963" t="s">
        <v>274</v>
      </c>
      <c r="I963" t="s">
        <v>274</v>
      </c>
      <c r="J963" t="s">
        <v>274</v>
      </c>
      <c r="K963" t="s">
        <v>274</v>
      </c>
      <c r="L963" t="s">
        <v>274</v>
      </c>
      <c r="M963" t="s">
        <v>274</v>
      </c>
      <c r="N963" t="e">
        <f t="shared" si="1"/>
        <v>#VALUE!</v>
      </c>
      <c r="O963" t="e">
        <f t="shared" si="2"/>
        <v>#VALUE!</v>
      </c>
      <c r="P963" t="e">
        <f>IF($A963="","",IF($E963=1,$F963*$O963,PNL!G963))</f>
        <v>#VALUE!</v>
      </c>
      <c r="T963" t="e">
        <f t="shared" si="3"/>
        <v>#VALUE!</v>
      </c>
    </row>
    <row r="964" ht="14.25" customHeight="1">
      <c r="A964" t="str">
        <f>IF(PNL!A964="","",PNL!A964)</f>
        <v>TUNON_LYO</v>
      </c>
      <c r="B964" t="str">
        <f>IF(PNL!B964="","",PNL!B964)</f>
        <v>63511</v>
      </c>
      <c r="C964" t="str">
        <f>IF(PNL!C964="","",PNL!C964)</f>
        <v>2027</v>
      </c>
      <c r="D964" t="str">
        <f>IF(PNL!D964="","",PNL!D964)</f>
        <v>V01</v>
      </c>
      <c r="E964">
        <f t="shared" si="0"/>
        <v>1</v>
      </c>
      <c r="F964">
        <f>IF($A964="","",IF($E964=1,_xlfn.SUMIFS(Compta!$F$1:$F$1448,Compta!$A$1:$A$1448,$A964,Compta!$B$1:$B$1448,$B964,Compta!$C$1:$C$1448,"2026"),0))</f>
        <v>9845</v>
      </c>
      <c r="G964" t="s">
        <v>274</v>
      </c>
      <c r="H964" t="s">
        <v>274</v>
      </c>
      <c r="I964" t="s">
        <v>274</v>
      </c>
      <c r="J964" t="s">
        <v>274</v>
      </c>
      <c r="K964" t="s">
        <v>274</v>
      </c>
      <c r="L964" t="s">
        <v>274</v>
      </c>
      <c r="M964" t="s">
        <v>274</v>
      </c>
      <c r="N964" t="e">
        <f t="shared" si="1"/>
        <v>#VALUE!</v>
      </c>
      <c r="O964" t="e">
        <f t="shared" si="2"/>
        <v>#VALUE!</v>
      </c>
      <c r="P964" t="e">
        <f>IF($A964="","",IF($E964=1,$F964*$O964,PNL!G964))</f>
        <v>#VALUE!</v>
      </c>
      <c r="T964" t="e">
        <f t="shared" si="3"/>
        <v>#VALUE!</v>
      </c>
    </row>
    <row r="965" ht="14.25" customHeight="1">
      <c r="A965" t="str">
        <f>IF(PNL!A965="","",PNL!A965)</f>
        <v>TUNON_LYO</v>
      </c>
      <c r="B965" t="str">
        <f>IF(PNL!B965="","",PNL!B965)</f>
        <v>63511</v>
      </c>
      <c r="C965" t="str">
        <f>IF(PNL!C965="","",PNL!C965)</f>
        <v>2027</v>
      </c>
      <c r="D965" t="str">
        <f>IF(PNL!D965="","",PNL!D965)</f>
        <v>V02</v>
      </c>
      <c r="E965">
        <f t="shared" si="0"/>
        <v>1</v>
      </c>
      <c r="F965">
        <f>IF($A965="","",IF($E965=1,_xlfn.SUMIFS(Compta!$F$1:$F$1448,Compta!$A$1:$A$1448,$A965,Compta!$B$1:$B$1448,$B965,Compta!$C$1:$C$1448,"2026"),0))</f>
        <v>9845</v>
      </c>
      <c r="G965" t="s">
        <v>274</v>
      </c>
      <c r="H965" t="s">
        <v>274</v>
      </c>
      <c r="I965" t="s">
        <v>274</v>
      </c>
      <c r="J965" t="s">
        <v>274</v>
      </c>
      <c r="K965" t="s">
        <v>274</v>
      </c>
      <c r="L965" t="s">
        <v>274</v>
      </c>
      <c r="M965" t="s">
        <v>274</v>
      </c>
      <c r="N965" t="e">
        <f t="shared" si="1"/>
        <v>#VALUE!</v>
      </c>
      <c r="O965" t="e">
        <f t="shared" si="2"/>
        <v>#VALUE!</v>
      </c>
      <c r="P965" t="e">
        <f>IF($A965="","",IF($E965=1,$F965*$O965,PNL!G965))</f>
        <v>#VALUE!</v>
      </c>
      <c r="T965" t="e">
        <f t="shared" si="3"/>
        <v>#VALUE!</v>
      </c>
    </row>
    <row r="966" ht="14.25" customHeight="1">
      <c r="A966" t="str">
        <f>IF(PNL!A966="","",PNL!A966)</f>
        <v>TUNON_LYO</v>
      </c>
      <c r="B966" t="str">
        <f>IF(PNL!B966="","",PNL!B966)</f>
        <v>63511</v>
      </c>
      <c r="C966" t="str">
        <f>IF(PNL!C966="","",PNL!C966)</f>
        <v>2027</v>
      </c>
      <c r="D966" t="str">
        <f>IF(PNL!D966="","",PNL!D966)</f>
        <v>V03</v>
      </c>
      <c r="E966">
        <f t="shared" si="0"/>
        <v>1</v>
      </c>
      <c r="F966">
        <f>IF($A966="","",IF($E966=1,_xlfn.SUMIFS(Compta!$F$1:$F$1448,Compta!$A$1:$A$1448,$A966,Compta!$B$1:$B$1448,$B966,Compta!$C$1:$C$1448,"2026"),0))</f>
        <v>9845</v>
      </c>
      <c r="G966" t="s">
        <v>274</v>
      </c>
      <c r="H966" t="s">
        <v>274</v>
      </c>
      <c r="I966" t="s">
        <v>274</v>
      </c>
      <c r="J966" t="s">
        <v>274</v>
      </c>
      <c r="K966" t="s">
        <v>274</v>
      </c>
      <c r="L966" t="s">
        <v>274</v>
      </c>
      <c r="M966" t="s">
        <v>274</v>
      </c>
      <c r="N966" t="e">
        <f t="shared" si="1"/>
        <v>#VALUE!</v>
      </c>
      <c r="O966" t="e">
        <f t="shared" si="2"/>
        <v>#VALUE!</v>
      </c>
      <c r="P966" t="e">
        <f>IF($A966="","",IF($E966=1,$F966*$O966,PNL!G966))</f>
        <v>#VALUE!</v>
      </c>
      <c r="T966" t="e">
        <f t="shared" si="3"/>
        <v>#VALUE!</v>
      </c>
    </row>
    <row r="967" ht="14.25" customHeight="1">
      <c r="A967" t="str">
        <f>IF(PNL!A967="","",PNL!A967)</f>
        <v>GRP</v>
      </c>
      <c r="B967" t="str">
        <f>IF(PNL!B967="","",PNL!B967)</f>
        <v>6333</v>
      </c>
      <c r="C967" t="str">
        <f>IF(PNL!C967="","",PNL!C967)</f>
        <v>2027</v>
      </c>
      <c r="D967" t="str">
        <f>IF(PNL!D967="","",PNL!D967)</f>
        <v>V01</v>
      </c>
      <c r="E967">
        <f t="shared" si="0"/>
        <v>1</v>
      </c>
      <c r="F967">
        <f>IF($A967="","",IF($E967=1,_xlfn.SUMIFS(Compta!$F$1:$F$1448,Compta!$A$1:$A$1448,$A967,Compta!$B$1:$B$1448,$B967,Compta!$C$1:$C$1448,"2026"),0))</f>
        <v>112968</v>
      </c>
      <c r="G967" t="s">
        <v>274</v>
      </c>
      <c r="H967" t="s">
        <v>274</v>
      </c>
      <c r="I967" t="s">
        <v>274</v>
      </c>
      <c r="J967" t="s">
        <v>274</v>
      </c>
      <c r="K967" t="s">
        <v>274</v>
      </c>
      <c r="L967" t="s">
        <v>274</v>
      </c>
      <c r="M967" t="s">
        <v>274</v>
      </c>
      <c r="N967" t="e">
        <f t="shared" si="1"/>
        <v>#VALUE!</v>
      </c>
      <c r="O967" t="e">
        <f t="shared" si="2"/>
        <v>#VALUE!</v>
      </c>
      <c r="P967" t="e">
        <f>IF($A967="","",IF($E967=1,$F967*$O967,PNL!G967))</f>
        <v>#VALUE!</v>
      </c>
      <c r="T967" t="e">
        <f t="shared" si="3"/>
        <v>#VALUE!</v>
      </c>
    </row>
    <row r="968" ht="14.25" customHeight="1">
      <c r="A968" t="str">
        <f>IF(PNL!A968="","",PNL!A968)</f>
        <v>GRP</v>
      </c>
      <c r="B968" t="str">
        <f>IF(PNL!B968="","",PNL!B968)</f>
        <v>6333</v>
      </c>
      <c r="C968" t="str">
        <f>IF(PNL!C968="","",PNL!C968)</f>
        <v>2027</v>
      </c>
      <c r="D968" t="str">
        <f>IF(PNL!D968="","",PNL!D968)</f>
        <v>V02</v>
      </c>
      <c r="E968">
        <f t="shared" si="0"/>
        <v>1</v>
      </c>
      <c r="F968">
        <f>IF($A968="","",IF($E968=1,_xlfn.SUMIFS(Compta!$F$1:$F$1448,Compta!$A$1:$A$1448,$A968,Compta!$B$1:$B$1448,$B968,Compta!$C$1:$C$1448,"2026"),0))</f>
        <v>112968</v>
      </c>
      <c r="G968" t="s">
        <v>274</v>
      </c>
      <c r="H968" t="s">
        <v>274</v>
      </c>
      <c r="I968" t="s">
        <v>274</v>
      </c>
      <c r="J968" t="s">
        <v>274</v>
      </c>
      <c r="K968" t="s">
        <v>274</v>
      </c>
      <c r="L968" t="s">
        <v>274</v>
      </c>
      <c r="M968" t="s">
        <v>274</v>
      </c>
      <c r="N968" t="e">
        <f t="shared" si="1"/>
        <v>#VALUE!</v>
      </c>
      <c r="O968" t="e">
        <f t="shared" si="2"/>
        <v>#VALUE!</v>
      </c>
      <c r="P968" t="e">
        <f>IF($A968="","",IF($E968=1,$F968*$O968,PNL!G968))</f>
        <v>#VALUE!</v>
      </c>
      <c r="T968" t="e">
        <f t="shared" si="3"/>
        <v>#VALUE!</v>
      </c>
    </row>
    <row r="969" ht="14.25" customHeight="1">
      <c r="A969" t="str">
        <f>IF(PNL!A969="","",PNL!A969)</f>
        <v>GRP</v>
      </c>
      <c r="B969" t="str">
        <f>IF(PNL!B969="","",PNL!B969)</f>
        <v>6333</v>
      </c>
      <c r="C969" t="str">
        <f>IF(PNL!C969="","",PNL!C969)</f>
        <v>2027</v>
      </c>
      <c r="D969" t="str">
        <f>IF(PNL!D969="","",PNL!D969)</f>
        <v>V03</v>
      </c>
      <c r="E969">
        <f t="shared" si="0"/>
        <v>1</v>
      </c>
      <c r="F969">
        <f>IF($A969="","",IF($E969=1,_xlfn.SUMIFS(Compta!$F$1:$F$1448,Compta!$A$1:$A$1448,$A969,Compta!$B$1:$B$1448,$B969,Compta!$C$1:$C$1448,"2026"),0))</f>
        <v>112968</v>
      </c>
      <c r="G969" t="s">
        <v>274</v>
      </c>
      <c r="H969" t="s">
        <v>274</v>
      </c>
      <c r="I969" t="s">
        <v>274</v>
      </c>
      <c r="J969" t="s">
        <v>274</v>
      </c>
      <c r="K969" t="s">
        <v>274</v>
      </c>
      <c r="L969" t="s">
        <v>274</v>
      </c>
      <c r="M969" t="s">
        <v>274</v>
      </c>
      <c r="N969" t="e">
        <f t="shared" si="1"/>
        <v>#VALUE!</v>
      </c>
      <c r="O969" t="e">
        <f t="shared" si="2"/>
        <v>#VALUE!</v>
      </c>
      <c r="P969" t="e">
        <f>IF($A969="","",IF($E969=1,$F969*$O969,PNL!G969))</f>
        <v>#VALUE!</v>
      </c>
      <c r="T969" t="e">
        <f t="shared" si="3"/>
        <v>#VALUE!</v>
      </c>
    </row>
    <row r="970" ht="14.25" customHeight="1">
      <c r="A970" t="str">
        <f>IF(PNL!A970="","",PNL!A970)</f>
        <v>MBWAY_PAR</v>
      </c>
      <c r="B970" t="str">
        <f>IF(PNL!B970="","",PNL!B970)</f>
        <v>6811</v>
      </c>
      <c r="C970" t="str">
        <f>IF(PNL!C970="","",PNL!C970)</f>
        <v>2027</v>
      </c>
      <c r="D970" t="str">
        <f>IF(PNL!D970="","",PNL!D970)</f>
        <v>V01</v>
      </c>
      <c r="E970">
        <f t="shared" si="0"/>
        <v>1</v>
      </c>
      <c r="F970">
        <f>IF($A970="","",IF($E970=1,_xlfn.SUMIFS(Compta!$F$1:$F$1448,Compta!$A$1:$A$1448,$A970,Compta!$B$1:$B$1448,$B970,Compta!$C$1:$C$1448,"2026"),0))</f>
        <v>154887</v>
      </c>
      <c r="G970" t="s">
        <v>274</v>
      </c>
      <c r="H970" t="s">
        <v>274</v>
      </c>
      <c r="I970" t="s">
        <v>274</v>
      </c>
      <c r="J970" t="s">
        <v>274</v>
      </c>
      <c r="K970" t="s">
        <v>274</v>
      </c>
      <c r="L970" t="s">
        <v>274</v>
      </c>
      <c r="M970" t="s">
        <v>274</v>
      </c>
      <c r="N970" t="e">
        <f t="shared" si="1"/>
        <v>#VALUE!</v>
      </c>
      <c r="O970" t="e">
        <f t="shared" si="2"/>
        <v>#VALUE!</v>
      </c>
      <c r="P970" t="e">
        <f>IF($A970="","",IF($E970=1,$F970*$O970,PNL!G970))</f>
        <v>#VALUE!</v>
      </c>
      <c r="T970">
        <f t="shared" si="3"/>
        <v>0</v>
      </c>
    </row>
    <row r="971" ht="14.25" customHeight="1">
      <c r="A971" t="str">
        <f>IF(PNL!A971="","",PNL!A971)</f>
        <v>MBWAY_PAR</v>
      </c>
      <c r="B971" t="str">
        <f>IF(PNL!B971="","",PNL!B971)</f>
        <v>6811</v>
      </c>
      <c r="C971" t="str">
        <f>IF(PNL!C971="","",PNL!C971)</f>
        <v>2027</v>
      </c>
      <c r="D971" t="str">
        <f>IF(PNL!D971="","",PNL!D971)</f>
        <v>V02</v>
      </c>
      <c r="E971">
        <f t="shared" si="0"/>
        <v>1</v>
      </c>
      <c r="F971">
        <f>IF($A971="","",IF($E971=1,_xlfn.SUMIFS(Compta!$F$1:$F$1448,Compta!$A$1:$A$1448,$A971,Compta!$B$1:$B$1448,$B971,Compta!$C$1:$C$1448,"2026"),0))</f>
        <v>154887</v>
      </c>
      <c r="G971" t="s">
        <v>274</v>
      </c>
      <c r="H971" t="s">
        <v>274</v>
      </c>
      <c r="I971" t="s">
        <v>274</v>
      </c>
      <c r="J971" t="s">
        <v>274</v>
      </c>
      <c r="K971" t="s">
        <v>274</v>
      </c>
      <c r="L971" t="s">
        <v>274</v>
      </c>
      <c r="M971" t="s">
        <v>274</v>
      </c>
      <c r="N971" t="e">
        <f t="shared" si="1"/>
        <v>#VALUE!</v>
      </c>
      <c r="O971" t="e">
        <f t="shared" si="2"/>
        <v>#VALUE!</v>
      </c>
      <c r="P971" t="e">
        <f>IF($A971="","",IF($E971=1,$F971*$O971,PNL!G971))</f>
        <v>#VALUE!</v>
      </c>
      <c r="T971">
        <f t="shared" si="3"/>
        <v>0</v>
      </c>
    </row>
    <row r="972" ht="14.25" customHeight="1">
      <c r="A972" t="str">
        <f>IF(PNL!A972="","",PNL!A972)</f>
        <v>MBWAY_PAR</v>
      </c>
      <c r="B972" t="str">
        <f>IF(PNL!B972="","",PNL!B972)</f>
        <v>6811</v>
      </c>
      <c r="C972" t="str">
        <f>IF(PNL!C972="","",PNL!C972)</f>
        <v>2027</v>
      </c>
      <c r="D972" t="str">
        <f>IF(PNL!D972="","",PNL!D972)</f>
        <v>V03</v>
      </c>
      <c r="E972">
        <f t="shared" si="0"/>
        <v>1</v>
      </c>
      <c r="F972">
        <f>IF($A972="","",IF($E972=1,_xlfn.SUMIFS(Compta!$F$1:$F$1448,Compta!$A$1:$A$1448,$A972,Compta!$B$1:$B$1448,$B972,Compta!$C$1:$C$1448,"2026"),0))</f>
        <v>154887</v>
      </c>
      <c r="G972" t="s">
        <v>274</v>
      </c>
      <c r="H972" t="s">
        <v>274</v>
      </c>
      <c r="I972" t="s">
        <v>274</v>
      </c>
      <c r="J972" t="s">
        <v>274</v>
      </c>
      <c r="K972" t="s">
        <v>274</v>
      </c>
      <c r="L972" t="s">
        <v>274</v>
      </c>
      <c r="M972" t="s">
        <v>274</v>
      </c>
      <c r="N972" t="e">
        <f t="shared" si="1"/>
        <v>#VALUE!</v>
      </c>
      <c r="O972" t="e">
        <f t="shared" si="2"/>
        <v>#VALUE!</v>
      </c>
      <c r="P972" t="e">
        <f>IF($A972="","",IF($E972=1,$F972*$O972,PNL!G972))</f>
        <v>#VALUE!</v>
      </c>
      <c r="T972">
        <f t="shared" si="3"/>
        <v>0</v>
      </c>
    </row>
    <row r="973" ht="14.25" customHeight="1">
      <c r="A973" t="str">
        <f>IF(PNL!A973="","",PNL!A973)</f>
        <v>MBWAY_LYO</v>
      </c>
      <c r="B973" t="str">
        <f>IF(PNL!B973="","",PNL!B973)</f>
        <v>6811</v>
      </c>
      <c r="C973" t="str">
        <f>IF(PNL!C973="","",PNL!C973)</f>
        <v>2027</v>
      </c>
      <c r="D973" t="str">
        <f>IF(PNL!D973="","",PNL!D973)</f>
        <v>V01</v>
      </c>
      <c r="E973">
        <f t="shared" si="0"/>
        <v>1</v>
      </c>
      <c r="F973">
        <f>IF($A973="","",IF($E973=1,_xlfn.SUMIFS(Compta!$F$1:$F$1448,Compta!$A$1:$A$1448,$A973,Compta!$B$1:$B$1448,$B973,Compta!$C$1:$C$1448,"2026"),0))</f>
        <v>134236</v>
      </c>
      <c r="G973" t="s">
        <v>274</v>
      </c>
      <c r="H973" t="s">
        <v>274</v>
      </c>
      <c r="I973" t="s">
        <v>274</v>
      </c>
      <c r="J973" t="s">
        <v>274</v>
      </c>
      <c r="K973" t="s">
        <v>274</v>
      </c>
      <c r="L973" t="s">
        <v>274</v>
      </c>
      <c r="M973" t="s">
        <v>274</v>
      </c>
      <c r="N973" t="e">
        <f t="shared" si="1"/>
        <v>#VALUE!</v>
      </c>
      <c r="O973" t="e">
        <f t="shared" si="2"/>
        <v>#VALUE!</v>
      </c>
      <c r="P973" t="e">
        <f>IF($A973="","",IF($E973=1,$F973*$O973,PNL!G973))</f>
        <v>#VALUE!</v>
      </c>
      <c r="T973">
        <f t="shared" si="3"/>
        <v>0</v>
      </c>
    </row>
    <row r="974" ht="14.25" customHeight="1">
      <c r="A974" t="str">
        <f>IF(PNL!A974="","",PNL!A974)</f>
        <v>MBWAY_LYO</v>
      </c>
      <c r="B974" t="str">
        <f>IF(PNL!B974="","",PNL!B974)</f>
        <v>6811</v>
      </c>
      <c r="C974" t="str">
        <f>IF(PNL!C974="","",PNL!C974)</f>
        <v>2027</v>
      </c>
      <c r="D974" t="str">
        <f>IF(PNL!D974="","",PNL!D974)</f>
        <v>V02</v>
      </c>
      <c r="E974">
        <f t="shared" si="0"/>
        <v>1</v>
      </c>
      <c r="F974">
        <f>IF($A974="","",IF($E974=1,_xlfn.SUMIFS(Compta!$F$1:$F$1448,Compta!$A$1:$A$1448,$A974,Compta!$B$1:$B$1448,$B974,Compta!$C$1:$C$1448,"2026"),0))</f>
        <v>134236</v>
      </c>
      <c r="G974" t="s">
        <v>274</v>
      </c>
      <c r="H974" t="s">
        <v>274</v>
      </c>
      <c r="I974" t="s">
        <v>274</v>
      </c>
      <c r="J974" t="s">
        <v>274</v>
      </c>
      <c r="K974" t="s">
        <v>274</v>
      </c>
      <c r="L974" t="s">
        <v>274</v>
      </c>
      <c r="M974" t="s">
        <v>274</v>
      </c>
      <c r="N974" t="e">
        <f t="shared" si="1"/>
        <v>#VALUE!</v>
      </c>
      <c r="O974" t="e">
        <f t="shared" si="2"/>
        <v>#VALUE!</v>
      </c>
      <c r="P974" t="e">
        <f>IF($A974="","",IF($E974=1,$F974*$O974,PNL!G974))</f>
        <v>#VALUE!</v>
      </c>
      <c r="T974">
        <f t="shared" si="3"/>
        <v>0</v>
      </c>
    </row>
    <row r="975" ht="14.25" customHeight="1">
      <c r="A975" t="str">
        <f>IF(PNL!A975="","",PNL!A975)</f>
        <v>MBWAY_LYO</v>
      </c>
      <c r="B975" t="str">
        <f>IF(PNL!B975="","",PNL!B975)</f>
        <v>6811</v>
      </c>
      <c r="C975" t="str">
        <f>IF(PNL!C975="","",PNL!C975)</f>
        <v>2027</v>
      </c>
      <c r="D975" t="str">
        <f>IF(PNL!D975="","",PNL!D975)</f>
        <v>V03</v>
      </c>
      <c r="E975">
        <f t="shared" si="0"/>
        <v>1</v>
      </c>
      <c r="F975">
        <f>IF($A975="","",IF($E975=1,_xlfn.SUMIFS(Compta!$F$1:$F$1448,Compta!$A$1:$A$1448,$A975,Compta!$B$1:$B$1448,$B975,Compta!$C$1:$C$1448,"2026"),0))</f>
        <v>134236</v>
      </c>
      <c r="G975" t="s">
        <v>274</v>
      </c>
      <c r="H975" t="s">
        <v>274</v>
      </c>
      <c r="I975" t="s">
        <v>274</v>
      </c>
      <c r="J975" t="s">
        <v>274</v>
      </c>
      <c r="K975" t="s">
        <v>274</v>
      </c>
      <c r="L975" t="s">
        <v>274</v>
      </c>
      <c r="M975" t="s">
        <v>274</v>
      </c>
      <c r="N975" t="e">
        <f t="shared" si="1"/>
        <v>#VALUE!</v>
      </c>
      <c r="O975" t="e">
        <f t="shared" si="2"/>
        <v>#VALUE!</v>
      </c>
      <c r="P975" t="e">
        <f>IF($A975="","",IF($E975=1,$F975*$O975,PNL!G975))</f>
        <v>#VALUE!</v>
      </c>
      <c r="T975">
        <f t="shared" si="3"/>
        <v>0</v>
      </c>
    </row>
    <row r="976" ht="14.25" customHeight="1">
      <c r="A976" t="str">
        <f>IF(PNL!A976="","",PNL!A976)</f>
        <v>MBWAY_NAN</v>
      </c>
      <c r="B976" t="str">
        <f>IF(PNL!B976="","",PNL!B976)</f>
        <v>6811</v>
      </c>
      <c r="C976" t="str">
        <f>IF(PNL!C976="","",PNL!C976)</f>
        <v>2027</v>
      </c>
      <c r="D976" t="str">
        <f>IF(PNL!D976="","",PNL!D976)</f>
        <v>V01</v>
      </c>
      <c r="E976">
        <f t="shared" si="0"/>
        <v>1</v>
      </c>
      <c r="F976">
        <f>IF($A976="","",IF($E976=1,_xlfn.SUMIFS(Compta!$F$1:$F$1448,Compta!$A$1:$A$1448,$A976,Compta!$B$1:$B$1448,$B976,Compta!$C$1:$C$1448,"2026"),0))</f>
        <v>123910</v>
      </c>
      <c r="G976" t="s">
        <v>274</v>
      </c>
      <c r="H976" t="s">
        <v>274</v>
      </c>
      <c r="I976" t="s">
        <v>274</v>
      </c>
      <c r="J976" t="s">
        <v>274</v>
      </c>
      <c r="K976" t="s">
        <v>274</v>
      </c>
      <c r="L976" t="s">
        <v>274</v>
      </c>
      <c r="M976" t="s">
        <v>274</v>
      </c>
      <c r="N976" t="e">
        <f t="shared" si="1"/>
        <v>#VALUE!</v>
      </c>
      <c r="O976" t="e">
        <f t="shared" si="2"/>
        <v>#VALUE!</v>
      </c>
      <c r="P976" t="e">
        <f>IF($A976="","",IF($E976=1,$F976*$O976,PNL!G976))</f>
        <v>#VALUE!</v>
      </c>
      <c r="T976">
        <f t="shared" si="3"/>
        <v>0</v>
      </c>
    </row>
    <row r="977" ht="14.25" customHeight="1">
      <c r="A977" t="str">
        <f>IF(PNL!A977="","",PNL!A977)</f>
        <v>MBWAY_NAN</v>
      </c>
      <c r="B977" t="str">
        <f>IF(PNL!B977="","",PNL!B977)</f>
        <v>6811</v>
      </c>
      <c r="C977" t="str">
        <f>IF(PNL!C977="","",PNL!C977)</f>
        <v>2027</v>
      </c>
      <c r="D977" t="str">
        <f>IF(PNL!D977="","",PNL!D977)</f>
        <v>V02</v>
      </c>
      <c r="E977">
        <f t="shared" si="0"/>
        <v>1</v>
      </c>
      <c r="F977">
        <f>IF($A977="","",IF($E977=1,_xlfn.SUMIFS(Compta!$F$1:$F$1448,Compta!$A$1:$A$1448,$A977,Compta!$B$1:$B$1448,$B977,Compta!$C$1:$C$1448,"2026"),0))</f>
        <v>123910</v>
      </c>
      <c r="G977" t="s">
        <v>274</v>
      </c>
      <c r="H977" t="s">
        <v>274</v>
      </c>
      <c r="I977" t="s">
        <v>274</v>
      </c>
      <c r="J977" t="s">
        <v>274</v>
      </c>
      <c r="K977" t="s">
        <v>274</v>
      </c>
      <c r="L977" t="s">
        <v>274</v>
      </c>
      <c r="M977" t="s">
        <v>274</v>
      </c>
      <c r="N977" t="e">
        <f t="shared" si="1"/>
        <v>#VALUE!</v>
      </c>
      <c r="O977" t="e">
        <f t="shared" si="2"/>
        <v>#VALUE!</v>
      </c>
      <c r="P977" t="e">
        <f>IF($A977="","",IF($E977=1,$F977*$O977,PNL!G977))</f>
        <v>#VALUE!</v>
      </c>
      <c r="T977">
        <f t="shared" si="3"/>
        <v>0</v>
      </c>
    </row>
    <row r="978" ht="14.25" customHeight="1">
      <c r="A978" t="str">
        <f>IF(PNL!A978="","",PNL!A978)</f>
        <v>MBWAY_NAN</v>
      </c>
      <c r="B978" t="str">
        <f>IF(PNL!B978="","",PNL!B978)</f>
        <v>6811</v>
      </c>
      <c r="C978" t="str">
        <f>IF(PNL!C978="","",PNL!C978)</f>
        <v>2027</v>
      </c>
      <c r="D978" t="str">
        <f>IF(PNL!D978="","",PNL!D978)</f>
        <v>V03</v>
      </c>
      <c r="E978">
        <f t="shared" si="0"/>
        <v>1</v>
      </c>
      <c r="F978">
        <f>IF($A978="","",IF($E978=1,_xlfn.SUMIFS(Compta!$F$1:$F$1448,Compta!$A$1:$A$1448,$A978,Compta!$B$1:$B$1448,$B978,Compta!$C$1:$C$1448,"2026"),0))</f>
        <v>123910</v>
      </c>
      <c r="G978" t="s">
        <v>274</v>
      </c>
      <c r="H978" t="s">
        <v>274</v>
      </c>
      <c r="I978" t="s">
        <v>274</v>
      </c>
      <c r="J978" t="s">
        <v>274</v>
      </c>
      <c r="K978" t="s">
        <v>274</v>
      </c>
      <c r="L978" t="s">
        <v>274</v>
      </c>
      <c r="M978" t="s">
        <v>274</v>
      </c>
      <c r="N978" t="e">
        <f t="shared" si="1"/>
        <v>#VALUE!</v>
      </c>
      <c r="O978" t="e">
        <f t="shared" si="2"/>
        <v>#VALUE!</v>
      </c>
      <c r="P978" t="e">
        <f>IF($A978="","",IF($E978=1,$F978*$O978,PNL!G978))</f>
        <v>#VALUE!</v>
      </c>
      <c r="T978">
        <f t="shared" si="3"/>
        <v>0</v>
      </c>
    </row>
    <row r="979" ht="14.25" customHeight="1">
      <c r="A979" t="str">
        <f>IF(PNL!A979="","",PNL!A979)</f>
        <v>MBWAY_BOR</v>
      </c>
      <c r="B979" t="str">
        <f>IF(PNL!B979="","",PNL!B979)</f>
        <v>6811</v>
      </c>
      <c r="C979" t="str">
        <f>IF(PNL!C979="","",PNL!C979)</f>
        <v>2027</v>
      </c>
      <c r="D979" t="str">
        <f>IF(PNL!D979="","",PNL!D979)</f>
        <v>V01</v>
      </c>
      <c r="E979">
        <f t="shared" si="0"/>
        <v>1</v>
      </c>
      <c r="F979">
        <f>IF($A979="","",IF($E979=1,_xlfn.SUMIFS(Compta!$F$1:$F$1448,Compta!$A$1:$A$1448,$A979,Compta!$B$1:$B$1448,$B979,Compta!$C$1:$C$1448,"2026"),0))</f>
        <v>103258</v>
      </c>
      <c r="G979" t="s">
        <v>274</v>
      </c>
      <c r="H979" t="s">
        <v>274</v>
      </c>
      <c r="I979" t="s">
        <v>274</v>
      </c>
      <c r="J979" t="s">
        <v>274</v>
      </c>
      <c r="K979" t="s">
        <v>274</v>
      </c>
      <c r="L979" t="s">
        <v>274</v>
      </c>
      <c r="M979" t="s">
        <v>274</v>
      </c>
      <c r="N979" t="e">
        <f t="shared" si="1"/>
        <v>#VALUE!</v>
      </c>
      <c r="O979" t="e">
        <f t="shared" si="2"/>
        <v>#VALUE!</v>
      </c>
      <c r="P979" t="e">
        <f>IF($A979="","",IF($E979=1,$F979*$O979,PNL!G979))</f>
        <v>#VALUE!</v>
      </c>
      <c r="T979">
        <f t="shared" si="3"/>
        <v>0</v>
      </c>
    </row>
    <row r="980" ht="14.25" customHeight="1">
      <c r="A980" t="str">
        <f>IF(PNL!A980="","",PNL!A980)</f>
        <v>MBWAY_BOR</v>
      </c>
      <c r="B980" t="str">
        <f>IF(PNL!B980="","",PNL!B980)</f>
        <v>6811</v>
      </c>
      <c r="C980" t="str">
        <f>IF(PNL!C980="","",PNL!C980)</f>
        <v>2027</v>
      </c>
      <c r="D980" t="str">
        <f>IF(PNL!D980="","",PNL!D980)</f>
        <v>V02</v>
      </c>
      <c r="E980">
        <f t="shared" si="0"/>
        <v>1</v>
      </c>
      <c r="F980">
        <f>IF($A980="","",IF($E980=1,_xlfn.SUMIFS(Compta!$F$1:$F$1448,Compta!$A$1:$A$1448,$A980,Compta!$B$1:$B$1448,$B980,Compta!$C$1:$C$1448,"2026"),0))</f>
        <v>103258</v>
      </c>
      <c r="G980" t="s">
        <v>274</v>
      </c>
      <c r="H980" t="s">
        <v>274</v>
      </c>
      <c r="I980" t="s">
        <v>274</v>
      </c>
      <c r="J980" t="s">
        <v>274</v>
      </c>
      <c r="K980" t="s">
        <v>274</v>
      </c>
      <c r="L980" t="s">
        <v>274</v>
      </c>
      <c r="M980" t="s">
        <v>274</v>
      </c>
      <c r="N980" t="e">
        <f t="shared" si="1"/>
        <v>#VALUE!</v>
      </c>
      <c r="O980" t="e">
        <f t="shared" si="2"/>
        <v>#VALUE!</v>
      </c>
      <c r="P980" t="e">
        <f>IF($A980="","",IF($E980=1,$F980*$O980,PNL!G980))</f>
        <v>#VALUE!</v>
      </c>
      <c r="T980">
        <f t="shared" si="3"/>
        <v>0</v>
      </c>
    </row>
    <row r="981" ht="14.25" customHeight="1">
      <c r="A981" t="str">
        <f>IF(PNL!A981="","",PNL!A981)</f>
        <v>MBWAY_BOR</v>
      </c>
      <c r="B981" t="str">
        <f>IF(PNL!B981="","",PNL!B981)</f>
        <v>6811</v>
      </c>
      <c r="C981" t="str">
        <f>IF(PNL!C981="","",PNL!C981)</f>
        <v>2027</v>
      </c>
      <c r="D981" t="str">
        <f>IF(PNL!D981="","",PNL!D981)</f>
        <v>V03</v>
      </c>
      <c r="E981">
        <f t="shared" si="0"/>
        <v>1</v>
      </c>
      <c r="F981">
        <f>IF($A981="","",IF($E981=1,_xlfn.SUMIFS(Compta!$F$1:$F$1448,Compta!$A$1:$A$1448,$A981,Compta!$B$1:$B$1448,$B981,Compta!$C$1:$C$1448,"2026"),0))</f>
        <v>103258</v>
      </c>
      <c r="G981" t="s">
        <v>274</v>
      </c>
      <c r="H981" t="s">
        <v>274</v>
      </c>
      <c r="I981" t="s">
        <v>274</v>
      </c>
      <c r="J981" t="s">
        <v>274</v>
      </c>
      <c r="K981" t="s">
        <v>274</v>
      </c>
      <c r="L981" t="s">
        <v>274</v>
      </c>
      <c r="M981" t="s">
        <v>274</v>
      </c>
      <c r="N981" t="e">
        <f t="shared" si="1"/>
        <v>#VALUE!</v>
      </c>
      <c r="O981" t="e">
        <f t="shared" si="2"/>
        <v>#VALUE!</v>
      </c>
      <c r="P981" t="e">
        <f>IF($A981="","",IF($E981=1,$F981*$O981,PNL!G981))</f>
        <v>#VALUE!</v>
      </c>
      <c r="T981">
        <f t="shared" si="3"/>
        <v>0</v>
      </c>
    </row>
    <row r="982" ht="14.25" customHeight="1">
      <c r="A982" t="str">
        <f>IF(PNL!A982="","",PNL!A982)</f>
        <v>ISCOM_PAR</v>
      </c>
      <c r="B982" t="str">
        <f>IF(PNL!B982="","",PNL!B982)</f>
        <v>6811</v>
      </c>
      <c r="C982" t="str">
        <f>IF(PNL!C982="","",PNL!C982)</f>
        <v>2027</v>
      </c>
      <c r="D982" t="str">
        <f>IF(PNL!D982="","",PNL!D982)</f>
        <v>V01</v>
      </c>
      <c r="E982">
        <f t="shared" si="0"/>
        <v>1</v>
      </c>
      <c r="F982">
        <f>IF($A982="","",IF($E982=1,_xlfn.SUMIFS(Compta!$F$1:$F$1448,Compta!$A$1:$A$1448,$A982,Compta!$B$1:$B$1448,$B982,Compta!$C$1:$C$1448,"2026"),0))</f>
        <v>154887</v>
      </c>
      <c r="G982" t="s">
        <v>274</v>
      </c>
      <c r="H982" t="s">
        <v>274</v>
      </c>
      <c r="I982" t="s">
        <v>274</v>
      </c>
      <c r="J982" t="s">
        <v>274</v>
      </c>
      <c r="K982" t="s">
        <v>274</v>
      </c>
      <c r="L982" t="s">
        <v>274</v>
      </c>
      <c r="M982" t="s">
        <v>274</v>
      </c>
      <c r="N982" t="e">
        <f t="shared" si="1"/>
        <v>#VALUE!</v>
      </c>
      <c r="O982" t="e">
        <f t="shared" si="2"/>
        <v>#VALUE!</v>
      </c>
      <c r="P982" t="e">
        <f>IF($A982="","",IF($E982=1,$F982*$O982,PNL!G982))</f>
        <v>#VALUE!</v>
      </c>
      <c r="T982">
        <f t="shared" si="3"/>
        <v>0</v>
      </c>
    </row>
    <row r="983" ht="14.25" customHeight="1">
      <c r="A983" t="str">
        <f>IF(PNL!A983="","",PNL!A983)</f>
        <v>ISCOM_PAR</v>
      </c>
      <c r="B983" t="str">
        <f>IF(PNL!B983="","",PNL!B983)</f>
        <v>6811</v>
      </c>
      <c r="C983" t="str">
        <f>IF(PNL!C983="","",PNL!C983)</f>
        <v>2027</v>
      </c>
      <c r="D983" t="str">
        <f>IF(PNL!D983="","",PNL!D983)</f>
        <v>V02</v>
      </c>
      <c r="E983">
        <f t="shared" si="0"/>
        <v>1</v>
      </c>
      <c r="F983">
        <f>IF($A983="","",IF($E983=1,_xlfn.SUMIFS(Compta!$F$1:$F$1448,Compta!$A$1:$A$1448,$A983,Compta!$B$1:$B$1448,$B983,Compta!$C$1:$C$1448,"2026"),0))</f>
        <v>154887</v>
      </c>
      <c r="G983" t="s">
        <v>274</v>
      </c>
      <c r="H983" t="s">
        <v>274</v>
      </c>
      <c r="I983" t="s">
        <v>274</v>
      </c>
      <c r="J983" t="s">
        <v>274</v>
      </c>
      <c r="K983" t="s">
        <v>274</v>
      </c>
      <c r="L983" t="s">
        <v>274</v>
      </c>
      <c r="M983" t="s">
        <v>274</v>
      </c>
      <c r="N983" t="e">
        <f t="shared" si="1"/>
        <v>#VALUE!</v>
      </c>
      <c r="O983" t="e">
        <f t="shared" si="2"/>
        <v>#VALUE!</v>
      </c>
      <c r="P983" t="e">
        <f>IF($A983="","",IF($E983=1,$F983*$O983,PNL!G983))</f>
        <v>#VALUE!</v>
      </c>
      <c r="T983">
        <f t="shared" si="3"/>
        <v>0</v>
      </c>
    </row>
    <row r="984" ht="14.25" customHeight="1">
      <c r="A984" t="str">
        <f>IF(PNL!A984="","",PNL!A984)</f>
        <v>ISCOM_PAR</v>
      </c>
      <c r="B984" t="str">
        <f>IF(PNL!B984="","",PNL!B984)</f>
        <v>6811</v>
      </c>
      <c r="C984" t="str">
        <f>IF(PNL!C984="","",PNL!C984)</f>
        <v>2027</v>
      </c>
      <c r="D984" t="str">
        <f>IF(PNL!D984="","",PNL!D984)</f>
        <v>V03</v>
      </c>
      <c r="E984">
        <f t="shared" si="0"/>
        <v>1</v>
      </c>
      <c r="F984">
        <f>IF($A984="","",IF($E984=1,_xlfn.SUMIFS(Compta!$F$1:$F$1448,Compta!$A$1:$A$1448,$A984,Compta!$B$1:$B$1448,$B984,Compta!$C$1:$C$1448,"2026"),0))</f>
        <v>154887</v>
      </c>
      <c r="G984" t="s">
        <v>274</v>
      </c>
      <c r="H984" t="s">
        <v>274</v>
      </c>
      <c r="I984" t="s">
        <v>274</v>
      </c>
      <c r="J984" t="s">
        <v>274</v>
      </c>
      <c r="K984" t="s">
        <v>274</v>
      </c>
      <c r="L984" t="s">
        <v>274</v>
      </c>
      <c r="M984" t="s">
        <v>274</v>
      </c>
      <c r="N984" t="e">
        <f t="shared" si="1"/>
        <v>#VALUE!</v>
      </c>
      <c r="O984" t="e">
        <f t="shared" si="2"/>
        <v>#VALUE!</v>
      </c>
      <c r="P984" t="e">
        <f>IF($A984="","",IF($E984=1,$F984*$O984,PNL!G984))</f>
        <v>#VALUE!</v>
      </c>
      <c r="T984">
        <f t="shared" si="3"/>
        <v>0</v>
      </c>
    </row>
    <row r="985" ht="14.25" customHeight="1">
      <c r="A985" t="str">
        <f>IF(PNL!A985="","",PNL!A985)</f>
        <v>ISCOM_LIL</v>
      </c>
      <c r="B985" t="str">
        <f>IF(PNL!B985="","",PNL!B985)</f>
        <v>6811</v>
      </c>
      <c r="C985" t="str">
        <f>IF(PNL!C985="","",PNL!C985)</f>
        <v>2027</v>
      </c>
      <c r="D985" t="str">
        <f>IF(PNL!D985="","",PNL!D985)</f>
        <v>V01</v>
      </c>
      <c r="E985">
        <f t="shared" si="0"/>
        <v>1</v>
      </c>
      <c r="F985">
        <f>IF($A985="","",IF($E985=1,_xlfn.SUMIFS(Compta!$F$1:$F$1448,Compta!$A$1:$A$1448,$A985,Compta!$B$1:$B$1448,$B985,Compta!$C$1:$C$1448,"2026"),0))</f>
        <v>103258</v>
      </c>
      <c r="G985" t="s">
        <v>274</v>
      </c>
      <c r="H985" t="s">
        <v>274</v>
      </c>
      <c r="I985" t="s">
        <v>274</v>
      </c>
      <c r="J985" t="s">
        <v>274</v>
      </c>
      <c r="K985" t="s">
        <v>274</v>
      </c>
      <c r="L985" t="s">
        <v>274</v>
      </c>
      <c r="M985" t="s">
        <v>274</v>
      </c>
      <c r="N985" t="e">
        <f t="shared" si="1"/>
        <v>#VALUE!</v>
      </c>
      <c r="O985" t="e">
        <f t="shared" si="2"/>
        <v>#VALUE!</v>
      </c>
      <c r="P985" t="e">
        <f>IF($A985="","",IF($E985=1,$F985*$O985,PNL!G985))</f>
        <v>#VALUE!</v>
      </c>
      <c r="T985">
        <f t="shared" si="3"/>
        <v>0</v>
      </c>
    </row>
    <row r="986" ht="14.25" customHeight="1">
      <c r="A986" t="str">
        <f>IF(PNL!A986="","",PNL!A986)</f>
        <v>ISCOM_LIL</v>
      </c>
      <c r="B986" t="str">
        <f>IF(PNL!B986="","",PNL!B986)</f>
        <v>6811</v>
      </c>
      <c r="C986" t="str">
        <f>IF(PNL!C986="","",PNL!C986)</f>
        <v>2027</v>
      </c>
      <c r="D986" t="str">
        <f>IF(PNL!D986="","",PNL!D986)</f>
        <v>V02</v>
      </c>
      <c r="E986">
        <f t="shared" si="0"/>
        <v>1</v>
      </c>
      <c r="F986">
        <f>IF($A986="","",IF($E986=1,_xlfn.SUMIFS(Compta!$F$1:$F$1448,Compta!$A$1:$A$1448,$A986,Compta!$B$1:$B$1448,$B986,Compta!$C$1:$C$1448,"2026"),0))</f>
        <v>103258</v>
      </c>
      <c r="G986" t="s">
        <v>274</v>
      </c>
      <c r="H986" t="s">
        <v>274</v>
      </c>
      <c r="I986" t="s">
        <v>274</v>
      </c>
      <c r="J986" t="s">
        <v>274</v>
      </c>
      <c r="K986" t="s">
        <v>274</v>
      </c>
      <c r="L986" t="s">
        <v>274</v>
      </c>
      <c r="M986" t="s">
        <v>274</v>
      </c>
      <c r="N986" t="e">
        <f t="shared" si="1"/>
        <v>#VALUE!</v>
      </c>
      <c r="O986" t="e">
        <f t="shared" si="2"/>
        <v>#VALUE!</v>
      </c>
      <c r="P986" t="e">
        <f>IF($A986="","",IF($E986=1,$F986*$O986,PNL!G986))</f>
        <v>#VALUE!</v>
      </c>
      <c r="T986">
        <f t="shared" si="3"/>
        <v>0</v>
      </c>
    </row>
    <row r="987" ht="14.25" customHeight="1">
      <c r="A987" t="str">
        <f>IF(PNL!A987="","",PNL!A987)</f>
        <v>ISCOM_LIL</v>
      </c>
      <c r="B987" t="str">
        <f>IF(PNL!B987="","",PNL!B987)</f>
        <v>6811</v>
      </c>
      <c r="C987" t="str">
        <f>IF(PNL!C987="","",PNL!C987)</f>
        <v>2027</v>
      </c>
      <c r="D987" t="str">
        <f>IF(PNL!D987="","",PNL!D987)</f>
        <v>V03</v>
      </c>
      <c r="E987">
        <f t="shared" si="0"/>
        <v>1</v>
      </c>
      <c r="F987">
        <f>IF($A987="","",IF($E987=1,_xlfn.SUMIFS(Compta!$F$1:$F$1448,Compta!$A$1:$A$1448,$A987,Compta!$B$1:$B$1448,$B987,Compta!$C$1:$C$1448,"2026"),0))</f>
        <v>103258</v>
      </c>
      <c r="G987" t="s">
        <v>274</v>
      </c>
      <c r="H987" t="s">
        <v>274</v>
      </c>
      <c r="I987" t="s">
        <v>274</v>
      </c>
      <c r="J987" t="s">
        <v>274</v>
      </c>
      <c r="K987" t="s">
        <v>274</v>
      </c>
      <c r="L987" t="s">
        <v>274</v>
      </c>
      <c r="M987" t="s">
        <v>274</v>
      </c>
      <c r="N987" t="e">
        <f t="shared" si="1"/>
        <v>#VALUE!</v>
      </c>
      <c r="O987" t="e">
        <f t="shared" si="2"/>
        <v>#VALUE!</v>
      </c>
      <c r="P987" t="e">
        <f>IF($A987="","",IF($E987=1,$F987*$O987,PNL!G987))</f>
        <v>#VALUE!</v>
      </c>
      <c r="T987">
        <f t="shared" si="3"/>
        <v>0</v>
      </c>
    </row>
    <row r="988" ht="14.25" customHeight="1">
      <c r="A988" t="str">
        <f>IF(PNL!A988="","",PNL!A988)</f>
        <v>ISCOM_TLS</v>
      </c>
      <c r="B988" t="str">
        <f>IF(PNL!B988="","",PNL!B988)</f>
        <v>6811</v>
      </c>
      <c r="C988" t="str">
        <f>IF(PNL!C988="","",PNL!C988)</f>
        <v>2027</v>
      </c>
      <c r="D988" t="str">
        <f>IF(PNL!D988="","",PNL!D988)</f>
        <v>V01</v>
      </c>
      <c r="E988">
        <f t="shared" si="0"/>
        <v>1</v>
      </c>
      <c r="F988">
        <f>IF($A988="","",IF($E988=1,_xlfn.SUMIFS(Compta!$F$1:$F$1448,Compta!$A$1:$A$1448,$A988,Compta!$B$1:$B$1448,$B988,Compta!$C$1:$C$1448,"2026"),0))</f>
        <v>103258</v>
      </c>
      <c r="G988" t="s">
        <v>274</v>
      </c>
      <c r="H988" t="s">
        <v>274</v>
      </c>
      <c r="I988" t="s">
        <v>274</v>
      </c>
      <c r="J988" t="s">
        <v>274</v>
      </c>
      <c r="K988" t="s">
        <v>274</v>
      </c>
      <c r="L988" t="s">
        <v>274</v>
      </c>
      <c r="M988" t="s">
        <v>274</v>
      </c>
      <c r="N988" t="e">
        <f t="shared" si="1"/>
        <v>#VALUE!</v>
      </c>
      <c r="O988" t="e">
        <f t="shared" si="2"/>
        <v>#VALUE!</v>
      </c>
      <c r="P988" t="e">
        <f>IF($A988="","",IF($E988=1,$F988*$O988,PNL!G988))</f>
        <v>#VALUE!</v>
      </c>
      <c r="T988">
        <f t="shared" si="3"/>
        <v>0</v>
      </c>
    </row>
    <row r="989" ht="14.25" customHeight="1">
      <c r="A989" t="str">
        <f>IF(PNL!A989="","",PNL!A989)</f>
        <v>ISCOM_TLS</v>
      </c>
      <c r="B989" t="str">
        <f>IF(PNL!B989="","",PNL!B989)</f>
        <v>6811</v>
      </c>
      <c r="C989" t="str">
        <f>IF(PNL!C989="","",PNL!C989)</f>
        <v>2027</v>
      </c>
      <c r="D989" t="str">
        <f>IF(PNL!D989="","",PNL!D989)</f>
        <v>V02</v>
      </c>
      <c r="E989">
        <f t="shared" si="0"/>
        <v>1</v>
      </c>
      <c r="F989">
        <f>IF($A989="","",IF($E989=1,_xlfn.SUMIFS(Compta!$F$1:$F$1448,Compta!$A$1:$A$1448,$A989,Compta!$B$1:$B$1448,$B989,Compta!$C$1:$C$1448,"2026"),0))</f>
        <v>103258</v>
      </c>
      <c r="G989" t="s">
        <v>274</v>
      </c>
      <c r="H989" t="s">
        <v>274</v>
      </c>
      <c r="I989" t="s">
        <v>274</v>
      </c>
      <c r="J989" t="s">
        <v>274</v>
      </c>
      <c r="K989" t="s">
        <v>274</v>
      </c>
      <c r="L989" t="s">
        <v>274</v>
      </c>
      <c r="M989" t="s">
        <v>274</v>
      </c>
      <c r="N989" t="e">
        <f t="shared" si="1"/>
        <v>#VALUE!</v>
      </c>
      <c r="O989" t="e">
        <f t="shared" si="2"/>
        <v>#VALUE!</v>
      </c>
      <c r="P989" t="e">
        <f>IF($A989="","",IF($E989=1,$F989*$O989,PNL!G989))</f>
        <v>#VALUE!</v>
      </c>
      <c r="T989">
        <f t="shared" si="3"/>
        <v>0</v>
      </c>
    </row>
    <row r="990" ht="14.25" customHeight="1">
      <c r="A990" t="str">
        <f>IF(PNL!A990="","",PNL!A990)</f>
        <v>ISCOM_TLS</v>
      </c>
      <c r="B990" t="str">
        <f>IF(PNL!B990="","",PNL!B990)</f>
        <v>6811</v>
      </c>
      <c r="C990" t="str">
        <f>IF(PNL!C990="","",PNL!C990)</f>
        <v>2027</v>
      </c>
      <c r="D990" t="str">
        <f>IF(PNL!D990="","",PNL!D990)</f>
        <v>V03</v>
      </c>
      <c r="E990">
        <f t="shared" si="0"/>
        <v>1</v>
      </c>
      <c r="F990">
        <f>IF($A990="","",IF($E990=1,_xlfn.SUMIFS(Compta!$F$1:$F$1448,Compta!$A$1:$A$1448,$A990,Compta!$B$1:$B$1448,$B990,Compta!$C$1:$C$1448,"2026"),0))</f>
        <v>103258</v>
      </c>
      <c r="G990" t="s">
        <v>274</v>
      </c>
      <c r="H990" t="s">
        <v>274</v>
      </c>
      <c r="I990" t="s">
        <v>274</v>
      </c>
      <c r="J990" t="s">
        <v>274</v>
      </c>
      <c r="K990" t="s">
        <v>274</v>
      </c>
      <c r="L990" t="s">
        <v>274</v>
      </c>
      <c r="M990" t="s">
        <v>274</v>
      </c>
      <c r="N990" t="e">
        <f t="shared" si="1"/>
        <v>#VALUE!</v>
      </c>
      <c r="O990" t="e">
        <f t="shared" si="2"/>
        <v>#VALUE!</v>
      </c>
      <c r="P990" t="e">
        <f>IF($A990="","",IF($E990=1,$F990*$O990,PNL!G990))</f>
        <v>#VALUE!</v>
      </c>
      <c r="T990">
        <f t="shared" si="3"/>
        <v>0</v>
      </c>
    </row>
    <row r="991" ht="14.25" customHeight="1">
      <c r="A991" t="str">
        <f>IF(PNL!A991="","",PNL!A991)</f>
        <v>IPAC_NAN</v>
      </c>
      <c r="B991" t="str">
        <f>IF(PNL!B991="","",PNL!B991)</f>
        <v>6811</v>
      </c>
      <c r="C991" t="str">
        <f>IF(PNL!C991="","",PNL!C991)</f>
        <v>2027</v>
      </c>
      <c r="D991" t="str">
        <f>IF(PNL!D991="","",PNL!D991)</f>
        <v>V01</v>
      </c>
      <c r="E991">
        <f t="shared" si="0"/>
        <v>1</v>
      </c>
      <c r="F991">
        <f>IF($A991="","",IF($E991=1,_xlfn.SUMIFS(Compta!$F$1:$F$1448,Compta!$A$1:$A$1448,$A991,Compta!$B$1:$B$1448,$B991,Compta!$C$1:$C$1448,"2026"),0))</f>
        <v>61955</v>
      </c>
      <c r="G991" t="s">
        <v>274</v>
      </c>
      <c r="H991" t="s">
        <v>274</v>
      </c>
      <c r="I991" t="s">
        <v>274</v>
      </c>
      <c r="J991" t="s">
        <v>274</v>
      </c>
      <c r="K991" t="s">
        <v>274</v>
      </c>
      <c r="L991" t="s">
        <v>274</v>
      </c>
      <c r="M991" t="s">
        <v>274</v>
      </c>
      <c r="N991" t="e">
        <f t="shared" si="1"/>
        <v>#VALUE!</v>
      </c>
      <c r="O991" t="e">
        <f t="shared" si="2"/>
        <v>#VALUE!</v>
      </c>
      <c r="P991" t="e">
        <f>IF($A991="","",IF($E991=1,$F991*$O991,PNL!G991))</f>
        <v>#VALUE!</v>
      </c>
      <c r="T991">
        <f t="shared" si="3"/>
        <v>0</v>
      </c>
    </row>
    <row r="992" ht="14.25" customHeight="1">
      <c r="A992" t="str">
        <f>IF(PNL!A992="","",PNL!A992)</f>
        <v>IPAC_NAN</v>
      </c>
      <c r="B992" t="str">
        <f>IF(PNL!B992="","",PNL!B992)</f>
        <v>6811</v>
      </c>
      <c r="C992" t="str">
        <f>IF(PNL!C992="","",PNL!C992)</f>
        <v>2027</v>
      </c>
      <c r="D992" t="str">
        <f>IF(PNL!D992="","",PNL!D992)</f>
        <v>V02</v>
      </c>
      <c r="E992">
        <f t="shared" si="0"/>
        <v>1</v>
      </c>
      <c r="F992">
        <f>IF($A992="","",IF($E992=1,_xlfn.SUMIFS(Compta!$F$1:$F$1448,Compta!$A$1:$A$1448,$A992,Compta!$B$1:$B$1448,$B992,Compta!$C$1:$C$1448,"2026"),0))</f>
        <v>61955</v>
      </c>
      <c r="G992" t="s">
        <v>274</v>
      </c>
      <c r="H992" t="s">
        <v>274</v>
      </c>
      <c r="I992" t="s">
        <v>274</v>
      </c>
      <c r="J992" t="s">
        <v>274</v>
      </c>
      <c r="K992" t="s">
        <v>274</v>
      </c>
      <c r="L992" t="s">
        <v>274</v>
      </c>
      <c r="M992" t="s">
        <v>274</v>
      </c>
      <c r="N992" t="e">
        <f t="shared" si="1"/>
        <v>#VALUE!</v>
      </c>
      <c r="O992" t="e">
        <f t="shared" si="2"/>
        <v>#VALUE!</v>
      </c>
      <c r="P992" t="e">
        <f>IF($A992="","",IF($E992=1,$F992*$O992,PNL!G992))</f>
        <v>#VALUE!</v>
      </c>
      <c r="T992">
        <f t="shared" si="3"/>
        <v>0</v>
      </c>
    </row>
    <row r="993" ht="14.25" customHeight="1">
      <c r="A993" t="str">
        <f>IF(PNL!A993="","",PNL!A993)</f>
        <v>IPAC_NAN</v>
      </c>
      <c r="B993" t="str">
        <f>IF(PNL!B993="","",PNL!B993)</f>
        <v>6811</v>
      </c>
      <c r="C993" t="str">
        <f>IF(PNL!C993="","",PNL!C993)</f>
        <v>2027</v>
      </c>
      <c r="D993" t="str">
        <f>IF(PNL!D993="","",PNL!D993)</f>
        <v>V03</v>
      </c>
      <c r="E993">
        <f t="shared" si="0"/>
        <v>1</v>
      </c>
      <c r="F993">
        <f>IF($A993="","",IF($E993=1,_xlfn.SUMIFS(Compta!$F$1:$F$1448,Compta!$A$1:$A$1448,$A993,Compta!$B$1:$B$1448,$B993,Compta!$C$1:$C$1448,"2026"),0))</f>
        <v>61955</v>
      </c>
      <c r="G993" t="s">
        <v>274</v>
      </c>
      <c r="H993" t="s">
        <v>274</v>
      </c>
      <c r="I993" t="s">
        <v>274</v>
      </c>
      <c r="J993" t="s">
        <v>274</v>
      </c>
      <c r="K993" t="s">
        <v>274</v>
      </c>
      <c r="L993" t="s">
        <v>274</v>
      </c>
      <c r="M993" t="s">
        <v>274</v>
      </c>
      <c r="N993" t="e">
        <f t="shared" si="1"/>
        <v>#VALUE!</v>
      </c>
      <c r="O993" t="e">
        <f t="shared" si="2"/>
        <v>#VALUE!</v>
      </c>
      <c r="P993" t="e">
        <f>IF($A993="","",IF($E993=1,$F993*$O993,PNL!G993))</f>
        <v>#VALUE!</v>
      </c>
      <c r="T993">
        <f t="shared" si="3"/>
        <v>0</v>
      </c>
    </row>
    <row r="994" ht="14.25" customHeight="1">
      <c r="A994" t="str">
        <f>IF(PNL!A994="","",PNL!A994)</f>
        <v>IPAC_REN</v>
      </c>
      <c r="B994" t="str">
        <f>IF(PNL!B994="","",PNL!B994)</f>
        <v>6811</v>
      </c>
      <c r="C994" t="str">
        <f>IF(PNL!C994="","",PNL!C994)</f>
        <v>2027</v>
      </c>
      <c r="D994" t="str">
        <f>IF(PNL!D994="","",PNL!D994)</f>
        <v>V01</v>
      </c>
      <c r="E994">
        <f t="shared" si="0"/>
        <v>1</v>
      </c>
      <c r="F994">
        <f>IF($A994="","",IF($E994=1,_xlfn.SUMIFS(Compta!$F$1:$F$1448,Compta!$A$1:$A$1448,$A994,Compta!$B$1:$B$1448,$B994,Compta!$C$1:$C$1448,"2026"),0))</f>
        <v>61955</v>
      </c>
      <c r="G994" t="s">
        <v>274</v>
      </c>
      <c r="H994" t="s">
        <v>274</v>
      </c>
      <c r="I994" t="s">
        <v>274</v>
      </c>
      <c r="J994" t="s">
        <v>274</v>
      </c>
      <c r="K994" t="s">
        <v>274</v>
      </c>
      <c r="L994" t="s">
        <v>274</v>
      </c>
      <c r="M994" t="s">
        <v>274</v>
      </c>
      <c r="N994" t="e">
        <f t="shared" si="1"/>
        <v>#VALUE!</v>
      </c>
      <c r="O994" t="e">
        <f t="shared" si="2"/>
        <v>#VALUE!</v>
      </c>
      <c r="P994" t="e">
        <f>IF($A994="","",IF($E994=1,$F994*$O994,PNL!G994))</f>
        <v>#VALUE!</v>
      </c>
      <c r="T994">
        <f t="shared" si="3"/>
        <v>0</v>
      </c>
    </row>
    <row r="995" ht="14.25" customHeight="1">
      <c r="A995" t="str">
        <f>IF(PNL!A995="","",PNL!A995)</f>
        <v>IPAC_REN</v>
      </c>
      <c r="B995" t="str">
        <f>IF(PNL!B995="","",PNL!B995)</f>
        <v>6811</v>
      </c>
      <c r="C995" t="str">
        <f>IF(PNL!C995="","",PNL!C995)</f>
        <v>2027</v>
      </c>
      <c r="D995" t="str">
        <f>IF(PNL!D995="","",PNL!D995)</f>
        <v>V02</v>
      </c>
      <c r="E995">
        <f t="shared" si="0"/>
        <v>1</v>
      </c>
      <c r="F995">
        <f>IF($A995="","",IF($E995=1,_xlfn.SUMIFS(Compta!$F$1:$F$1448,Compta!$A$1:$A$1448,$A995,Compta!$B$1:$B$1448,$B995,Compta!$C$1:$C$1448,"2026"),0))</f>
        <v>61955</v>
      </c>
      <c r="G995" t="s">
        <v>274</v>
      </c>
      <c r="H995" t="s">
        <v>274</v>
      </c>
      <c r="I995" t="s">
        <v>274</v>
      </c>
      <c r="J995" t="s">
        <v>274</v>
      </c>
      <c r="K995" t="s">
        <v>274</v>
      </c>
      <c r="L995" t="s">
        <v>274</v>
      </c>
      <c r="M995" t="s">
        <v>274</v>
      </c>
      <c r="N995" t="e">
        <f t="shared" si="1"/>
        <v>#VALUE!</v>
      </c>
      <c r="O995" t="e">
        <f t="shared" si="2"/>
        <v>#VALUE!</v>
      </c>
      <c r="P995" t="e">
        <f>IF($A995="","",IF($E995=1,$F995*$O995,PNL!G995))</f>
        <v>#VALUE!</v>
      </c>
      <c r="T995">
        <f t="shared" si="3"/>
        <v>0</v>
      </c>
    </row>
    <row r="996" ht="14.25" customHeight="1">
      <c r="A996" t="str">
        <f>IF(PNL!A996="","",PNL!A996)</f>
        <v>IPAC_REN</v>
      </c>
      <c r="B996" t="str">
        <f>IF(PNL!B996="","",PNL!B996)</f>
        <v>6811</v>
      </c>
      <c r="C996" t="str">
        <f>IF(PNL!C996="","",PNL!C996)</f>
        <v>2027</v>
      </c>
      <c r="D996" t="str">
        <f>IF(PNL!D996="","",PNL!D996)</f>
        <v>V03</v>
      </c>
      <c r="E996">
        <f t="shared" si="0"/>
        <v>1</v>
      </c>
      <c r="F996">
        <f>IF($A996="","",IF($E996=1,_xlfn.SUMIFS(Compta!$F$1:$F$1448,Compta!$A$1:$A$1448,$A996,Compta!$B$1:$B$1448,$B996,Compta!$C$1:$C$1448,"2026"),0))</f>
        <v>61955</v>
      </c>
      <c r="G996" t="s">
        <v>274</v>
      </c>
      <c r="H996" t="s">
        <v>274</v>
      </c>
      <c r="I996" t="s">
        <v>274</v>
      </c>
      <c r="J996" t="s">
        <v>274</v>
      </c>
      <c r="K996" t="s">
        <v>274</v>
      </c>
      <c r="L996" t="s">
        <v>274</v>
      </c>
      <c r="M996" t="s">
        <v>274</v>
      </c>
      <c r="N996" t="e">
        <f t="shared" si="1"/>
        <v>#VALUE!</v>
      </c>
      <c r="O996" t="e">
        <f t="shared" si="2"/>
        <v>#VALUE!</v>
      </c>
      <c r="P996" t="e">
        <f>IF($A996="","",IF($E996=1,$F996*$O996,PNL!G996))</f>
        <v>#VALUE!</v>
      </c>
      <c r="T996">
        <f t="shared" si="3"/>
        <v>0</v>
      </c>
    </row>
    <row r="997" ht="14.25" customHeight="1">
      <c r="A997" t="str">
        <f>IF(PNL!A997="","",PNL!A997)</f>
        <v>IPAC_MTP</v>
      </c>
      <c r="B997" t="str">
        <f>IF(PNL!B997="","",PNL!B997)</f>
        <v>6811</v>
      </c>
      <c r="C997" t="str">
        <f>IF(PNL!C997="","",PNL!C997)</f>
        <v>2027</v>
      </c>
      <c r="D997" t="str">
        <f>IF(PNL!D997="","",PNL!D997)</f>
        <v>V01</v>
      </c>
      <c r="E997">
        <f t="shared" si="0"/>
        <v>1</v>
      </c>
      <c r="F997">
        <f>IF($A997="","",IF($E997=1,_xlfn.SUMIFS(Compta!$F$1:$F$1448,Compta!$A$1:$A$1448,$A997,Compta!$B$1:$B$1448,$B997,Compta!$C$1:$C$1448,"2026"),0))</f>
        <v>61955</v>
      </c>
      <c r="G997" t="s">
        <v>274</v>
      </c>
      <c r="H997" t="s">
        <v>274</v>
      </c>
      <c r="I997" t="s">
        <v>274</v>
      </c>
      <c r="J997" t="s">
        <v>274</v>
      </c>
      <c r="K997" t="s">
        <v>274</v>
      </c>
      <c r="L997" t="s">
        <v>274</v>
      </c>
      <c r="M997" t="s">
        <v>274</v>
      </c>
      <c r="N997" t="e">
        <f t="shared" si="1"/>
        <v>#VALUE!</v>
      </c>
      <c r="O997" t="e">
        <f t="shared" si="2"/>
        <v>#VALUE!</v>
      </c>
      <c r="P997" t="e">
        <f>IF($A997="","",IF($E997=1,$F997*$O997,PNL!G997))</f>
        <v>#VALUE!</v>
      </c>
      <c r="T997">
        <f t="shared" si="3"/>
        <v>0</v>
      </c>
    </row>
    <row r="998" ht="14.25" customHeight="1">
      <c r="A998" t="str">
        <f>IF(PNL!A998="","",PNL!A998)</f>
        <v>IPAC_MTP</v>
      </c>
      <c r="B998" t="str">
        <f>IF(PNL!B998="","",PNL!B998)</f>
        <v>6811</v>
      </c>
      <c r="C998" t="str">
        <f>IF(PNL!C998="","",PNL!C998)</f>
        <v>2027</v>
      </c>
      <c r="D998" t="str">
        <f>IF(PNL!D998="","",PNL!D998)</f>
        <v>V02</v>
      </c>
      <c r="E998">
        <f t="shared" si="0"/>
        <v>1</v>
      </c>
      <c r="F998">
        <f>IF($A998="","",IF($E998=1,_xlfn.SUMIFS(Compta!$F$1:$F$1448,Compta!$A$1:$A$1448,$A998,Compta!$B$1:$B$1448,$B998,Compta!$C$1:$C$1448,"2026"),0))</f>
        <v>61955</v>
      </c>
      <c r="G998" t="s">
        <v>274</v>
      </c>
      <c r="H998" t="s">
        <v>274</v>
      </c>
      <c r="I998" t="s">
        <v>274</v>
      </c>
      <c r="J998" t="s">
        <v>274</v>
      </c>
      <c r="K998" t="s">
        <v>274</v>
      </c>
      <c r="L998" t="s">
        <v>274</v>
      </c>
      <c r="M998" t="s">
        <v>274</v>
      </c>
      <c r="N998" t="e">
        <f t="shared" si="1"/>
        <v>#VALUE!</v>
      </c>
      <c r="O998" t="e">
        <f t="shared" si="2"/>
        <v>#VALUE!</v>
      </c>
      <c r="P998" t="e">
        <f>IF($A998="","",IF($E998=1,$F998*$O998,PNL!G998))</f>
        <v>#VALUE!</v>
      </c>
      <c r="T998">
        <f t="shared" si="3"/>
        <v>0</v>
      </c>
    </row>
    <row r="999" ht="14.25" customHeight="1">
      <c r="A999" t="str">
        <f>IF(PNL!A999="","",PNL!A999)</f>
        <v>IPAC_MTP</v>
      </c>
      <c r="B999" t="str">
        <f>IF(PNL!B999="","",PNL!B999)</f>
        <v>6811</v>
      </c>
      <c r="C999" t="str">
        <f>IF(PNL!C999="","",PNL!C999)</f>
        <v>2027</v>
      </c>
      <c r="D999" t="str">
        <f>IF(PNL!D999="","",PNL!D999)</f>
        <v>V03</v>
      </c>
      <c r="E999">
        <f t="shared" si="0"/>
        <v>1</v>
      </c>
      <c r="F999">
        <f>IF($A999="","",IF($E999=1,_xlfn.SUMIFS(Compta!$F$1:$F$1448,Compta!$A$1:$A$1448,$A999,Compta!$B$1:$B$1448,$B999,Compta!$C$1:$C$1448,"2026"),0))</f>
        <v>61955</v>
      </c>
      <c r="G999" t="s">
        <v>274</v>
      </c>
      <c r="H999" t="s">
        <v>274</v>
      </c>
      <c r="I999" t="s">
        <v>274</v>
      </c>
      <c r="J999" t="s">
        <v>274</v>
      </c>
      <c r="K999" t="s">
        <v>274</v>
      </c>
      <c r="L999" t="s">
        <v>274</v>
      </c>
      <c r="M999" t="s">
        <v>274</v>
      </c>
      <c r="N999" t="e">
        <f t="shared" si="1"/>
        <v>#VALUE!</v>
      </c>
      <c r="O999" t="e">
        <f t="shared" si="2"/>
        <v>#VALUE!</v>
      </c>
      <c r="P999" t="e">
        <f>IF($A999="","",IF($E999=1,$F999*$O999,PNL!G999))</f>
        <v>#VALUE!</v>
      </c>
      <c r="T999">
        <f t="shared" si="3"/>
        <v>0</v>
      </c>
    </row>
    <row r="1000" ht="14.25" customHeight="1">
      <c r="A1000" t="str">
        <f>IF(PNL!A1000="","",PNL!A1000)</f>
        <v>PIGIER_LYO</v>
      </c>
      <c r="B1000" t="str">
        <f>IF(PNL!B1000="","",PNL!B1000)</f>
        <v>6811</v>
      </c>
      <c r="C1000" t="str">
        <f>IF(PNL!C1000="","",PNL!C1000)</f>
        <v>2027</v>
      </c>
      <c r="D1000" t="str">
        <f>IF(PNL!D1000="","",PNL!D1000)</f>
        <v>V01</v>
      </c>
      <c r="E1000">
        <f t="shared" si="0"/>
        <v>1</v>
      </c>
      <c r="F1000">
        <f>IF($A1000="","",IF($E1000=1,_xlfn.SUMIFS(Compta!$F$1:$F$1448,Compta!$A$1:$A$1448,$A1000,Compta!$B$1:$B$1448,$B1000,Compta!$C$1:$C$1448,"2026"),0))</f>
        <v>82607</v>
      </c>
      <c r="G1000" t="s">
        <v>274</v>
      </c>
      <c r="H1000" t="s">
        <v>274</v>
      </c>
      <c r="I1000" t="s">
        <v>274</v>
      </c>
      <c r="J1000" t="s">
        <v>274</v>
      </c>
      <c r="K1000" t="s">
        <v>274</v>
      </c>
      <c r="L1000" t="s">
        <v>274</v>
      </c>
      <c r="M1000" t="s">
        <v>274</v>
      </c>
      <c r="N1000" t="e">
        <f t="shared" si="1"/>
        <v>#VALUE!</v>
      </c>
      <c r="O1000" t="e">
        <f t="shared" si="2"/>
        <v>#VALUE!</v>
      </c>
      <c r="P1000" t="e">
        <f>IF($A1000="","",IF($E1000=1,$F1000*$O1000,PNL!G1000))</f>
        <v>#VALUE!</v>
      </c>
      <c r="T1000">
        <f t="shared" si="3"/>
        <v>0</v>
      </c>
    </row>
    <row r="1001" ht="14.25" customHeight="1">
      <c r="A1001" t="str">
        <f>IF(PNL!A1001="","",PNL!A1001)</f>
        <v>PIGIER_LYO</v>
      </c>
      <c r="B1001" t="str">
        <f>IF(PNL!B1001="","",PNL!B1001)</f>
        <v>6811</v>
      </c>
      <c r="C1001" t="str">
        <f>IF(PNL!C1001="","",PNL!C1001)</f>
        <v>2027</v>
      </c>
      <c r="D1001" t="str">
        <f>IF(PNL!D1001="","",PNL!D1001)</f>
        <v>V02</v>
      </c>
      <c r="E1001">
        <f t="shared" si="0"/>
        <v>1</v>
      </c>
      <c r="F1001">
        <f>IF($A1001="","",IF($E1001=1,_xlfn.SUMIFS(Compta!$F$1:$F$1448,Compta!$A$1:$A$1448,$A1001,Compta!$B$1:$B$1448,$B1001,Compta!$C$1:$C$1448,"2026"),0))</f>
        <v>82607</v>
      </c>
      <c r="G1001" t="s">
        <v>274</v>
      </c>
      <c r="H1001" t="s">
        <v>274</v>
      </c>
      <c r="I1001" t="s">
        <v>274</v>
      </c>
      <c r="J1001" t="s">
        <v>274</v>
      </c>
      <c r="K1001" t="s">
        <v>274</v>
      </c>
      <c r="L1001" t="s">
        <v>274</v>
      </c>
      <c r="M1001" t="s">
        <v>274</v>
      </c>
      <c r="N1001" t="e">
        <f t="shared" si="1"/>
        <v>#VALUE!</v>
      </c>
      <c r="O1001" t="e">
        <f t="shared" si="2"/>
        <v>#VALUE!</v>
      </c>
      <c r="P1001" t="e">
        <f>IF($A1001="","",IF($E1001=1,$F1001*$O1001,PNL!G1001))</f>
        <v>#VALUE!</v>
      </c>
      <c r="T1001">
        <f t="shared" si="3"/>
        <v>0</v>
      </c>
    </row>
    <row r="1002" ht="14.25" customHeight="1">
      <c r="A1002" t="str">
        <f>IF(PNL!A1002="","",PNL!A1002)</f>
        <v>PIGIER_LYO</v>
      </c>
      <c r="B1002" t="str">
        <f>IF(PNL!B1002="","",PNL!B1002)</f>
        <v>6811</v>
      </c>
      <c r="C1002" t="str">
        <f>IF(PNL!C1002="","",PNL!C1002)</f>
        <v>2027</v>
      </c>
      <c r="D1002" t="str">
        <f>IF(PNL!D1002="","",PNL!D1002)</f>
        <v>V03</v>
      </c>
      <c r="E1002">
        <f t="shared" si="0"/>
        <v>1</v>
      </c>
      <c r="F1002">
        <f>IF($A1002="","",IF($E1002=1,_xlfn.SUMIFS(Compta!$F$1:$F$1448,Compta!$A$1:$A$1448,$A1002,Compta!$B$1:$B$1448,$B1002,Compta!$C$1:$C$1448,"2026"),0))</f>
        <v>82607</v>
      </c>
      <c r="G1002" t="s">
        <v>274</v>
      </c>
      <c r="H1002" t="s">
        <v>274</v>
      </c>
      <c r="I1002" t="s">
        <v>274</v>
      </c>
      <c r="J1002" t="s">
        <v>274</v>
      </c>
      <c r="K1002" t="s">
        <v>274</v>
      </c>
      <c r="L1002" t="s">
        <v>274</v>
      </c>
      <c r="M1002" t="s">
        <v>274</v>
      </c>
      <c r="N1002" t="e">
        <f t="shared" si="1"/>
        <v>#VALUE!</v>
      </c>
      <c r="O1002" t="e">
        <f t="shared" si="2"/>
        <v>#VALUE!</v>
      </c>
      <c r="P1002" t="e">
        <f>IF($A1002="","",IF($E1002=1,$F1002*$O1002,PNL!G1002))</f>
        <v>#VALUE!</v>
      </c>
      <c r="T1002">
        <f t="shared" si="3"/>
        <v>0</v>
      </c>
    </row>
    <row r="1003" ht="14.25" customHeight="1">
      <c r="A1003" t="str">
        <f>IF(PNL!A1003="","",PNL!A1003)</f>
        <v>PIGIER_BOR</v>
      </c>
      <c r="B1003" t="str">
        <f>IF(PNL!B1003="","",PNL!B1003)</f>
        <v>6811</v>
      </c>
      <c r="C1003" t="str">
        <f>IF(PNL!C1003="","",PNL!C1003)</f>
        <v>2027</v>
      </c>
      <c r="D1003" t="str">
        <f>IF(PNL!D1003="","",PNL!D1003)</f>
        <v>V01</v>
      </c>
      <c r="E1003">
        <f t="shared" si="0"/>
        <v>1</v>
      </c>
      <c r="F1003">
        <f>IF($A1003="","",IF($E1003=1,_xlfn.SUMIFS(Compta!$F$1:$F$1448,Compta!$A$1:$A$1448,$A1003,Compta!$B$1:$B$1448,$B1003,Compta!$C$1:$C$1448,"2026"),0))</f>
        <v>82607</v>
      </c>
      <c r="G1003" t="s">
        <v>274</v>
      </c>
      <c r="H1003" t="s">
        <v>274</v>
      </c>
      <c r="I1003" t="s">
        <v>274</v>
      </c>
      <c r="J1003" t="s">
        <v>274</v>
      </c>
      <c r="K1003" t="s">
        <v>274</v>
      </c>
      <c r="L1003" t="s">
        <v>274</v>
      </c>
      <c r="M1003" t="s">
        <v>274</v>
      </c>
      <c r="N1003" t="e">
        <f t="shared" si="1"/>
        <v>#VALUE!</v>
      </c>
      <c r="O1003" t="e">
        <f t="shared" si="2"/>
        <v>#VALUE!</v>
      </c>
      <c r="P1003" t="e">
        <f>IF($A1003="","",IF($E1003=1,$F1003*$O1003,PNL!G1003))</f>
        <v>#VALUE!</v>
      </c>
      <c r="T1003">
        <f t="shared" si="3"/>
        <v>0</v>
      </c>
    </row>
    <row r="1004" ht="14.25" customHeight="1">
      <c r="A1004" t="str">
        <f>IF(PNL!A1004="","",PNL!A1004)</f>
        <v>PIGIER_BOR</v>
      </c>
      <c r="B1004" t="str">
        <f>IF(PNL!B1004="","",PNL!B1004)</f>
        <v>6811</v>
      </c>
      <c r="C1004" t="str">
        <f>IF(PNL!C1004="","",PNL!C1004)</f>
        <v>2027</v>
      </c>
      <c r="D1004" t="str">
        <f>IF(PNL!D1004="","",PNL!D1004)</f>
        <v>V02</v>
      </c>
      <c r="E1004">
        <f t="shared" si="0"/>
        <v>1</v>
      </c>
      <c r="F1004">
        <f>IF($A1004="","",IF($E1004=1,_xlfn.SUMIFS(Compta!$F$1:$F$1448,Compta!$A$1:$A$1448,$A1004,Compta!$B$1:$B$1448,$B1004,Compta!$C$1:$C$1448,"2026"),0))</f>
        <v>82607</v>
      </c>
      <c r="G1004" t="s">
        <v>274</v>
      </c>
      <c r="H1004" t="s">
        <v>274</v>
      </c>
      <c r="I1004" t="s">
        <v>274</v>
      </c>
      <c r="J1004" t="s">
        <v>274</v>
      </c>
      <c r="K1004" t="s">
        <v>274</v>
      </c>
      <c r="L1004" t="s">
        <v>274</v>
      </c>
      <c r="M1004" t="s">
        <v>274</v>
      </c>
      <c r="N1004" t="e">
        <f t="shared" si="1"/>
        <v>#VALUE!</v>
      </c>
      <c r="O1004" t="e">
        <f t="shared" si="2"/>
        <v>#VALUE!</v>
      </c>
      <c r="P1004" t="e">
        <f>IF($A1004="","",IF($E1004=1,$F1004*$O1004,PNL!G1004))</f>
        <v>#VALUE!</v>
      </c>
      <c r="T1004">
        <f t="shared" si="3"/>
        <v>0</v>
      </c>
    </row>
    <row r="1005" ht="14.25" customHeight="1">
      <c r="A1005" t="str">
        <f>IF(PNL!A1005="","",PNL!A1005)</f>
        <v>PIGIER_BOR</v>
      </c>
      <c r="B1005" t="str">
        <f>IF(PNL!B1005="","",PNL!B1005)</f>
        <v>6811</v>
      </c>
      <c r="C1005" t="str">
        <f>IF(PNL!C1005="","",PNL!C1005)</f>
        <v>2027</v>
      </c>
      <c r="D1005" t="str">
        <f>IF(PNL!D1005="","",PNL!D1005)</f>
        <v>V03</v>
      </c>
      <c r="E1005">
        <f t="shared" si="0"/>
        <v>1</v>
      </c>
      <c r="F1005">
        <f>IF($A1005="","",IF($E1005=1,_xlfn.SUMIFS(Compta!$F$1:$F$1448,Compta!$A$1:$A$1448,$A1005,Compta!$B$1:$B$1448,$B1005,Compta!$C$1:$C$1448,"2026"),0))</f>
        <v>82607</v>
      </c>
      <c r="G1005" t="s">
        <v>274</v>
      </c>
      <c r="H1005" t="s">
        <v>274</v>
      </c>
      <c r="I1005" t="s">
        <v>274</v>
      </c>
      <c r="J1005" t="s">
        <v>274</v>
      </c>
      <c r="K1005" t="s">
        <v>274</v>
      </c>
      <c r="L1005" t="s">
        <v>274</v>
      </c>
      <c r="M1005" t="s">
        <v>274</v>
      </c>
      <c r="N1005" t="e">
        <f t="shared" si="1"/>
        <v>#VALUE!</v>
      </c>
      <c r="O1005" t="e">
        <f t="shared" si="2"/>
        <v>#VALUE!</v>
      </c>
      <c r="P1005" t="e">
        <f>IF($A1005="","",IF($E1005=1,$F1005*$O1005,PNL!G1005))</f>
        <v>#VALUE!</v>
      </c>
      <c r="T1005">
        <f t="shared" si="3"/>
        <v>0</v>
      </c>
    </row>
    <row r="1006" ht="14.25" customHeight="1">
      <c r="A1006" t="str">
        <f>IF(PNL!A1006="","",PNL!A1006)</f>
        <v>TUNON_PAR</v>
      </c>
      <c r="B1006" t="str">
        <f>IF(PNL!B1006="","",PNL!B1006)</f>
        <v>6811</v>
      </c>
      <c r="C1006" t="str">
        <f>IF(PNL!C1006="","",PNL!C1006)</f>
        <v>2027</v>
      </c>
      <c r="D1006" t="str">
        <f>IF(PNL!D1006="","",PNL!D1006)</f>
        <v>V01</v>
      </c>
      <c r="E1006">
        <f t="shared" si="0"/>
        <v>1</v>
      </c>
      <c r="F1006">
        <f>IF($A1006="","",IF($E1006=1,_xlfn.SUMIFS(Compta!$F$1:$F$1448,Compta!$A$1:$A$1448,$A1006,Compta!$B$1:$B$1448,$B1006,Compta!$C$1:$C$1448,"2026"),0))</f>
        <v>61955</v>
      </c>
      <c r="G1006" t="s">
        <v>274</v>
      </c>
      <c r="H1006" t="s">
        <v>274</v>
      </c>
      <c r="I1006" t="s">
        <v>274</v>
      </c>
      <c r="J1006" t="s">
        <v>274</v>
      </c>
      <c r="K1006" t="s">
        <v>274</v>
      </c>
      <c r="L1006" t="s">
        <v>274</v>
      </c>
      <c r="M1006" t="s">
        <v>274</v>
      </c>
      <c r="N1006" t="e">
        <f t="shared" si="1"/>
        <v>#VALUE!</v>
      </c>
      <c r="O1006" t="e">
        <f t="shared" si="2"/>
        <v>#VALUE!</v>
      </c>
      <c r="P1006" t="e">
        <f>IF($A1006="","",IF($E1006=1,$F1006*$O1006,PNL!G1006))</f>
        <v>#VALUE!</v>
      </c>
      <c r="T1006">
        <f t="shared" si="3"/>
        <v>0</v>
      </c>
    </row>
    <row r="1007" ht="14.25" customHeight="1">
      <c r="A1007" t="str">
        <f>IF(PNL!A1007="","",PNL!A1007)</f>
        <v>TUNON_PAR</v>
      </c>
      <c r="B1007" t="str">
        <f>IF(PNL!B1007="","",PNL!B1007)</f>
        <v>6811</v>
      </c>
      <c r="C1007" t="str">
        <f>IF(PNL!C1007="","",PNL!C1007)</f>
        <v>2027</v>
      </c>
      <c r="D1007" t="str">
        <f>IF(PNL!D1007="","",PNL!D1007)</f>
        <v>V02</v>
      </c>
      <c r="E1007">
        <f t="shared" si="0"/>
        <v>1</v>
      </c>
      <c r="F1007">
        <f>IF($A1007="","",IF($E1007=1,_xlfn.SUMIFS(Compta!$F$1:$F$1448,Compta!$A$1:$A$1448,$A1007,Compta!$B$1:$B$1448,$B1007,Compta!$C$1:$C$1448,"2026"),0))</f>
        <v>61955</v>
      </c>
      <c r="G1007" t="s">
        <v>274</v>
      </c>
      <c r="H1007" t="s">
        <v>274</v>
      </c>
      <c r="I1007" t="s">
        <v>274</v>
      </c>
      <c r="J1007" t="s">
        <v>274</v>
      </c>
      <c r="K1007" t="s">
        <v>274</v>
      </c>
      <c r="L1007" t="s">
        <v>274</v>
      </c>
      <c r="M1007" t="s">
        <v>274</v>
      </c>
      <c r="N1007" t="e">
        <f t="shared" si="1"/>
        <v>#VALUE!</v>
      </c>
      <c r="O1007" t="e">
        <f t="shared" si="2"/>
        <v>#VALUE!</v>
      </c>
      <c r="P1007" t="e">
        <f>IF($A1007="","",IF($E1007=1,$F1007*$O1007,PNL!G1007))</f>
        <v>#VALUE!</v>
      </c>
      <c r="T1007">
        <f t="shared" si="3"/>
        <v>0</v>
      </c>
    </row>
    <row r="1008" ht="14.25" customHeight="1">
      <c r="A1008" t="str">
        <f>IF(PNL!A1008="","",PNL!A1008)</f>
        <v>TUNON_PAR</v>
      </c>
      <c r="B1008" t="str">
        <f>IF(PNL!B1008="","",PNL!B1008)</f>
        <v>6811</v>
      </c>
      <c r="C1008" t="str">
        <f>IF(PNL!C1008="","",PNL!C1008)</f>
        <v>2027</v>
      </c>
      <c r="D1008" t="str">
        <f>IF(PNL!D1008="","",PNL!D1008)</f>
        <v>V03</v>
      </c>
      <c r="E1008">
        <f t="shared" si="0"/>
        <v>1</v>
      </c>
      <c r="F1008">
        <f>IF($A1008="","",IF($E1008=1,_xlfn.SUMIFS(Compta!$F$1:$F$1448,Compta!$A$1:$A$1448,$A1008,Compta!$B$1:$B$1448,$B1008,Compta!$C$1:$C$1448,"2026"),0))</f>
        <v>61955</v>
      </c>
      <c r="G1008" t="s">
        <v>274</v>
      </c>
      <c r="H1008" t="s">
        <v>274</v>
      </c>
      <c r="I1008" t="s">
        <v>274</v>
      </c>
      <c r="J1008" t="s">
        <v>274</v>
      </c>
      <c r="K1008" t="s">
        <v>274</v>
      </c>
      <c r="L1008" t="s">
        <v>274</v>
      </c>
      <c r="M1008" t="s">
        <v>274</v>
      </c>
      <c r="N1008" t="e">
        <f t="shared" si="1"/>
        <v>#VALUE!</v>
      </c>
      <c r="O1008" t="e">
        <f t="shared" si="2"/>
        <v>#VALUE!</v>
      </c>
      <c r="P1008" t="e">
        <f>IF($A1008="","",IF($E1008=1,$F1008*$O1008,PNL!G1008))</f>
        <v>#VALUE!</v>
      </c>
      <c r="T1008">
        <f t="shared" si="3"/>
        <v>0</v>
      </c>
    </row>
    <row r="1009" ht="14.25" customHeight="1">
      <c r="A1009" t="str">
        <f>IF(PNL!A1009="","",PNL!A1009)</f>
        <v>TUNON_LYO</v>
      </c>
      <c r="B1009" t="str">
        <f>IF(PNL!B1009="","",PNL!B1009)</f>
        <v>6811</v>
      </c>
      <c r="C1009" t="str">
        <f>IF(PNL!C1009="","",PNL!C1009)</f>
        <v>2027</v>
      </c>
      <c r="D1009" t="str">
        <f>IF(PNL!D1009="","",PNL!D1009)</f>
        <v>V01</v>
      </c>
      <c r="E1009">
        <f t="shared" si="0"/>
        <v>1</v>
      </c>
      <c r="F1009">
        <f>IF($A1009="","",IF($E1009=1,_xlfn.SUMIFS(Compta!$F$1:$F$1448,Compta!$A$1:$A$1448,$A1009,Compta!$B$1:$B$1448,$B1009,Compta!$C$1:$C$1448,"2026"),0))</f>
        <v>61955</v>
      </c>
      <c r="G1009" t="s">
        <v>274</v>
      </c>
      <c r="H1009" t="s">
        <v>274</v>
      </c>
      <c r="I1009" t="s">
        <v>274</v>
      </c>
      <c r="J1009" t="s">
        <v>274</v>
      </c>
      <c r="K1009" t="s">
        <v>274</v>
      </c>
      <c r="L1009" t="s">
        <v>274</v>
      </c>
      <c r="M1009" t="s">
        <v>274</v>
      </c>
      <c r="N1009" t="e">
        <f t="shared" si="1"/>
        <v>#VALUE!</v>
      </c>
      <c r="O1009" t="e">
        <f t="shared" si="2"/>
        <v>#VALUE!</v>
      </c>
      <c r="P1009" t="e">
        <f>IF($A1009="","",IF($E1009=1,$F1009*$O1009,PNL!G1009))</f>
        <v>#VALUE!</v>
      </c>
      <c r="T1009">
        <f t="shared" si="3"/>
        <v>0</v>
      </c>
    </row>
    <row r="1010" ht="14.25" customHeight="1">
      <c r="A1010" t="str">
        <f>IF(PNL!A1010="","",PNL!A1010)</f>
        <v>TUNON_LYO</v>
      </c>
      <c r="B1010" t="str">
        <f>IF(PNL!B1010="","",PNL!B1010)</f>
        <v>6811</v>
      </c>
      <c r="C1010" t="str">
        <f>IF(PNL!C1010="","",PNL!C1010)</f>
        <v>2027</v>
      </c>
      <c r="D1010" t="str">
        <f>IF(PNL!D1010="","",PNL!D1010)</f>
        <v>V02</v>
      </c>
      <c r="E1010">
        <f t="shared" si="0"/>
        <v>1</v>
      </c>
      <c r="F1010">
        <f>IF($A1010="","",IF($E1010=1,_xlfn.SUMIFS(Compta!$F$1:$F$1448,Compta!$A$1:$A$1448,$A1010,Compta!$B$1:$B$1448,$B1010,Compta!$C$1:$C$1448,"2026"),0))</f>
        <v>61955</v>
      </c>
      <c r="G1010" t="s">
        <v>274</v>
      </c>
      <c r="H1010" t="s">
        <v>274</v>
      </c>
      <c r="I1010" t="s">
        <v>274</v>
      </c>
      <c r="J1010" t="s">
        <v>274</v>
      </c>
      <c r="K1010" t="s">
        <v>274</v>
      </c>
      <c r="L1010" t="s">
        <v>274</v>
      </c>
      <c r="M1010" t="s">
        <v>274</v>
      </c>
      <c r="N1010" t="e">
        <f t="shared" si="1"/>
        <v>#VALUE!</v>
      </c>
      <c r="O1010" t="e">
        <f t="shared" si="2"/>
        <v>#VALUE!</v>
      </c>
      <c r="P1010" t="e">
        <f>IF($A1010="","",IF($E1010=1,$F1010*$O1010,PNL!G1010))</f>
        <v>#VALUE!</v>
      </c>
      <c r="T1010">
        <f t="shared" si="3"/>
        <v>0</v>
      </c>
    </row>
    <row r="1011" ht="14.25" customHeight="1">
      <c r="A1011" t="str">
        <f>IF(PNL!A1011="","",PNL!A1011)</f>
        <v>TUNON_LYO</v>
      </c>
      <c r="B1011" t="str">
        <f>IF(PNL!B1011="","",PNL!B1011)</f>
        <v>6811</v>
      </c>
      <c r="C1011" t="str">
        <f>IF(PNL!C1011="","",PNL!C1011)</f>
        <v>2027</v>
      </c>
      <c r="D1011" t="str">
        <f>IF(PNL!D1011="","",PNL!D1011)</f>
        <v>V03</v>
      </c>
      <c r="E1011">
        <f t="shared" si="0"/>
        <v>1</v>
      </c>
      <c r="F1011">
        <f>IF($A1011="","",IF($E1011=1,_xlfn.SUMIFS(Compta!$F$1:$F$1448,Compta!$A$1:$A$1448,$A1011,Compta!$B$1:$B$1448,$B1011,Compta!$C$1:$C$1448,"2026"),0))</f>
        <v>61955</v>
      </c>
      <c r="G1011" t="s">
        <v>274</v>
      </c>
      <c r="H1011" t="s">
        <v>274</v>
      </c>
      <c r="I1011" t="s">
        <v>274</v>
      </c>
      <c r="J1011" t="s">
        <v>274</v>
      </c>
      <c r="K1011" t="s">
        <v>274</v>
      </c>
      <c r="L1011" t="s">
        <v>274</v>
      </c>
      <c r="M1011" t="s">
        <v>274</v>
      </c>
      <c r="N1011" t="e">
        <f t="shared" si="1"/>
        <v>#VALUE!</v>
      </c>
      <c r="O1011" t="e">
        <f t="shared" si="2"/>
        <v>#VALUE!</v>
      </c>
      <c r="P1011" t="e">
        <f>IF($A1011="","",IF($E1011=1,$F1011*$O1011,PNL!G1011))</f>
        <v>#VALUE!</v>
      </c>
      <c r="T1011">
        <f t="shared" si="3"/>
        <v>0</v>
      </c>
    </row>
    <row r="1012" ht="14.25" customHeight="1">
      <c r="A1012" t="str">
        <f>IF(PNL!A1012="","",PNL!A1012)</f>
        <v>MBWAY_PAR</v>
      </c>
      <c r="B1012" t="str">
        <f>IF(PNL!B1012="","",PNL!B1012)</f>
        <v>7062</v>
      </c>
      <c r="C1012" t="str">
        <f>IF(PNL!C1012="","",PNL!C1012)</f>
        <v>2027</v>
      </c>
      <c r="D1012" t="str">
        <f>IF(PNL!D1012="","",PNL!D1012)</f>
        <v>V01</v>
      </c>
      <c r="E1012">
        <f t="shared" si="0"/>
        <v>1</v>
      </c>
      <c r="F1012">
        <f>IF($A1012="","",IF($E1012=1,_xlfn.SUMIFS(Compta!$F$1:$F$1448,Compta!$A$1:$A$1448,$A1012,Compta!$B$1:$B$1448,$B1012,Compta!$C$1:$C$1448,"2026"),0))</f>
        <v>2469600</v>
      </c>
      <c r="G1012" t="s">
        <v>274</v>
      </c>
      <c r="H1012" t="s">
        <v>274</v>
      </c>
      <c r="I1012" t="s">
        <v>274</v>
      </c>
      <c r="J1012" t="s">
        <v>274</v>
      </c>
      <c r="K1012" t="s">
        <v>274</v>
      </c>
      <c r="L1012" t="s">
        <v>274</v>
      </c>
      <c r="M1012" t="s">
        <v>274</v>
      </c>
      <c r="N1012" t="e">
        <f t="shared" si="1"/>
        <v>#VALUE!</v>
      </c>
      <c r="O1012" t="e">
        <f t="shared" si="2"/>
        <v>#VALUE!</v>
      </c>
      <c r="P1012" t="e">
        <f>IF($A1012="","",IF($E1012=1,$F1012*$O1012,PNL!G1012))</f>
        <v>#VALUE!</v>
      </c>
      <c r="T1012" t="e">
        <f t="shared" si="3"/>
        <v>#VALUE!</v>
      </c>
    </row>
    <row r="1013" ht="14.25" customHeight="1">
      <c r="A1013" t="str">
        <f>IF(PNL!A1013="","",PNL!A1013)</f>
        <v>MBWAY_PAR</v>
      </c>
      <c r="B1013" t="str">
        <f>IF(PNL!B1013="","",PNL!B1013)</f>
        <v>7062</v>
      </c>
      <c r="C1013" t="str">
        <f>IF(PNL!C1013="","",PNL!C1013)</f>
        <v>2027</v>
      </c>
      <c r="D1013" t="str">
        <f>IF(PNL!D1013="","",PNL!D1013)</f>
        <v>V02</v>
      </c>
      <c r="E1013">
        <f t="shared" si="0"/>
        <v>1</v>
      </c>
      <c r="F1013">
        <f>IF($A1013="","",IF($E1013=1,_xlfn.SUMIFS(Compta!$F$1:$F$1448,Compta!$A$1:$A$1448,$A1013,Compta!$B$1:$B$1448,$B1013,Compta!$C$1:$C$1448,"2026"),0))</f>
        <v>2469600</v>
      </c>
      <c r="G1013" t="s">
        <v>274</v>
      </c>
      <c r="H1013" t="s">
        <v>274</v>
      </c>
      <c r="I1013" t="s">
        <v>274</v>
      </c>
      <c r="J1013" t="s">
        <v>274</v>
      </c>
      <c r="K1013" t="s">
        <v>274</v>
      </c>
      <c r="L1013" t="s">
        <v>274</v>
      </c>
      <c r="M1013" t="s">
        <v>274</v>
      </c>
      <c r="N1013" t="e">
        <f t="shared" si="1"/>
        <v>#VALUE!</v>
      </c>
      <c r="O1013" t="e">
        <f t="shared" si="2"/>
        <v>#VALUE!</v>
      </c>
      <c r="P1013" t="e">
        <f>IF($A1013="","",IF($E1013=1,$F1013*$O1013,PNL!G1013))</f>
        <v>#VALUE!</v>
      </c>
      <c r="T1013" t="e">
        <f t="shared" si="3"/>
        <v>#VALUE!</v>
      </c>
    </row>
    <row r="1014" ht="14.25" customHeight="1">
      <c r="A1014" t="str">
        <f>IF(PNL!A1014="","",PNL!A1014)</f>
        <v>MBWAY_PAR</v>
      </c>
      <c r="B1014" t="str">
        <f>IF(PNL!B1014="","",PNL!B1014)</f>
        <v>7062</v>
      </c>
      <c r="C1014" t="str">
        <f>IF(PNL!C1014="","",PNL!C1014)</f>
        <v>2027</v>
      </c>
      <c r="D1014" t="str">
        <f>IF(PNL!D1014="","",PNL!D1014)</f>
        <v>V03</v>
      </c>
      <c r="E1014">
        <f t="shared" si="0"/>
        <v>1</v>
      </c>
      <c r="F1014">
        <f>IF($A1014="","",IF($E1014=1,_xlfn.SUMIFS(Compta!$F$1:$F$1448,Compta!$A$1:$A$1448,$A1014,Compta!$B$1:$B$1448,$B1014,Compta!$C$1:$C$1448,"2026"),0))</f>
        <v>2469600</v>
      </c>
      <c r="G1014" t="s">
        <v>274</v>
      </c>
      <c r="H1014" t="s">
        <v>274</v>
      </c>
      <c r="I1014" t="s">
        <v>274</v>
      </c>
      <c r="J1014" t="s">
        <v>274</v>
      </c>
      <c r="K1014" t="s">
        <v>274</v>
      </c>
      <c r="L1014" t="s">
        <v>274</v>
      </c>
      <c r="M1014" t="s">
        <v>274</v>
      </c>
      <c r="N1014" t="e">
        <f t="shared" si="1"/>
        <v>#VALUE!</v>
      </c>
      <c r="O1014" t="e">
        <f t="shared" si="2"/>
        <v>#VALUE!</v>
      </c>
      <c r="P1014" t="e">
        <f>IF($A1014="","",IF($E1014=1,$F1014*$O1014,PNL!G1014))</f>
        <v>#VALUE!</v>
      </c>
      <c r="T1014" t="e">
        <f t="shared" si="3"/>
        <v>#VALUE!</v>
      </c>
    </row>
    <row r="1015" ht="14.25" customHeight="1">
      <c r="A1015" t="str">
        <f>IF(PNL!A1015="","",PNL!A1015)</f>
        <v>MBWAY_LYO</v>
      </c>
      <c r="B1015" t="str">
        <f>IF(PNL!B1015="","",PNL!B1015)</f>
        <v>7062</v>
      </c>
      <c r="C1015" t="str">
        <f>IF(PNL!C1015="","",PNL!C1015)</f>
        <v>2027</v>
      </c>
      <c r="D1015" t="str">
        <f>IF(PNL!D1015="","",PNL!D1015)</f>
        <v>V01</v>
      </c>
      <c r="E1015">
        <f t="shared" si="0"/>
        <v>1</v>
      </c>
      <c r="F1015">
        <f>IF($A1015="","",IF($E1015=1,_xlfn.SUMIFS(Compta!$F$1:$F$1448,Compta!$A$1:$A$1448,$A1015,Compta!$B$1:$B$1448,$B1015,Compta!$C$1:$C$1448,"2026"),0))</f>
        <v>1965075</v>
      </c>
      <c r="G1015" t="s">
        <v>274</v>
      </c>
      <c r="H1015" t="s">
        <v>274</v>
      </c>
      <c r="I1015" t="s">
        <v>274</v>
      </c>
      <c r="J1015" t="s">
        <v>274</v>
      </c>
      <c r="K1015" t="s">
        <v>274</v>
      </c>
      <c r="L1015" t="s">
        <v>274</v>
      </c>
      <c r="M1015" t="s">
        <v>274</v>
      </c>
      <c r="N1015" t="e">
        <f t="shared" si="1"/>
        <v>#VALUE!</v>
      </c>
      <c r="O1015" t="e">
        <f t="shared" si="2"/>
        <v>#VALUE!</v>
      </c>
      <c r="P1015" t="e">
        <f>IF($A1015="","",IF($E1015=1,$F1015*$O1015,PNL!G1015))</f>
        <v>#VALUE!</v>
      </c>
      <c r="T1015" t="e">
        <f t="shared" si="3"/>
        <v>#VALUE!</v>
      </c>
    </row>
    <row r="1016" ht="14.25" customHeight="1">
      <c r="A1016" t="str">
        <f>IF(PNL!A1016="","",PNL!A1016)</f>
        <v>MBWAY_LYO</v>
      </c>
      <c r="B1016" t="str">
        <f>IF(PNL!B1016="","",PNL!B1016)</f>
        <v>7062</v>
      </c>
      <c r="C1016" t="str">
        <f>IF(PNL!C1016="","",PNL!C1016)</f>
        <v>2027</v>
      </c>
      <c r="D1016" t="str">
        <f>IF(PNL!D1016="","",PNL!D1016)</f>
        <v>V02</v>
      </c>
      <c r="E1016">
        <f t="shared" si="0"/>
        <v>1</v>
      </c>
      <c r="F1016">
        <f>IF($A1016="","",IF($E1016=1,_xlfn.SUMIFS(Compta!$F$1:$F$1448,Compta!$A$1:$A$1448,$A1016,Compta!$B$1:$B$1448,$B1016,Compta!$C$1:$C$1448,"2026"),0))</f>
        <v>1965075</v>
      </c>
      <c r="G1016" t="s">
        <v>274</v>
      </c>
      <c r="H1016" t="s">
        <v>274</v>
      </c>
      <c r="I1016" t="s">
        <v>274</v>
      </c>
      <c r="J1016" t="s">
        <v>274</v>
      </c>
      <c r="K1016" t="s">
        <v>274</v>
      </c>
      <c r="L1016" t="s">
        <v>274</v>
      </c>
      <c r="M1016" t="s">
        <v>274</v>
      </c>
      <c r="N1016" t="e">
        <f t="shared" si="1"/>
        <v>#VALUE!</v>
      </c>
      <c r="O1016" t="e">
        <f t="shared" si="2"/>
        <v>#VALUE!</v>
      </c>
      <c r="P1016" t="e">
        <f>IF($A1016="","",IF($E1016=1,$F1016*$O1016,PNL!G1016))</f>
        <v>#VALUE!</v>
      </c>
      <c r="T1016" t="e">
        <f t="shared" si="3"/>
        <v>#VALUE!</v>
      </c>
    </row>
    <row r="1017" ht="14.25" customHeight="1">
      <c r="A1017" t="str">
        <f>IF(PNL!A1017="","",PNL!A1017)</f>
        <v>MBWAY_LYO</v>
      </c>
      <c r="B1017" t="str">
        <f>IF(PNL!B1017="","",PNL!B1017)</f>
        <v>7062</v>
      </c>
      <c r="C1017" t="str">
        <f>IF(PNL!C1017="","",PNL!C1017)</f>
        <v>2027</v>
      </c>
      <c r="D1017" t="str">
        <f>IF(PNL!D1017="","",PNL!D1017)</f>
        <v>V03</v>
      </c>
      <c r="E1017">
        <f t="shared" si="0"/>
        <v>1</v>
      </c>
      <c r="F1017">
        <f>IF($A1017="","",IF($E1017=1,_xlfn.SUMIFS(Compta!$F$1:$F$1448,Compta!$A$1:$A$1448,$A1017,Compta!$B$1:$B$1448,$B1017,Compta!$C$1:$C$1448,"2026"),0))</f>
        <v>1965075</v>
      </c>
      <c r="G1017" t="s">
        <v>274</v>
      </c>
      <c r="H1017" t="s">
        <v>274</v>
      </c>
      <c r="I1017" t="s">
        <v>274</v>
      </c>
      <c r="J1017" t="s">
        <v>274</v>
      </c>
      <c r="K1017" t="s">
        <v>274</v>
      </c>
      <c r="L1017" t="s">
        <v>274</v>
      </c>
      <c r="M1017" t="s">
        <v>274</v>
      </c>
      <c r="N1017" t="e">
        <f t="shared" si="1"/>
        <v>#VALUE!</v>
      </c>
      <c r="O1017" t="e">
        <f t="shared" si="2"/>
        <v>#VALUE!</v>
      </c>
      <c r="P1017" t="e">
        <f>IF($A1017="","",IF($E1017=1,$F1017*$O1017,PNL!G1017))</f>
        <v>#VALUE!</v>
      </c>
      <c r="T1017" t="e">
        <f t="shared" si="3"/>
        <v>#VALUE!</v>
      </c>
    </row>
    <row r="1018" ht="14.25" customHeight="1">
      <c r="A1018" t="str">
        <f>IF(PNL!A1018="","",PNL!A1018)</f>
        <v>MBWAY_NAN</v>
      </c>
      <c r="B1018" t="str">
        <f>IF(PNL!B1018="","",PNL!B1018)</f>
        <v>7062</v>
      </c>
      <c r="C1018" t="str">
        <f>IF(PNL!C1018="","",PNL!C1018)</f>
        <v>2027</v>
      </c>
      <c r="D1018" t="str">
        <f>IF(PNL!D1018="","",PNL!D1018)</f>
        <v>V01</v>
      </c>
      <c r="E1018">
        <f t="shared" si="0"/>
        <v>1</v>
      </c>
      <c r="F1018">
        <f>IF($A1018="","",IF($E1018=1,_xlfn.SUMIFS(Compta!$F$1:$F$1448,Compta!$A$1:$A$1448,$A1018,Compta!$B$1:$B$1448,$B1018,Compta!$C$1:$C$1448,"2026"),0))</f>
        <v>1697500</v>
      </c>
      <c r="G1018" t="s">
        <v>274</v>
      </c>
      <c r="H1018" t="s">
        <v>274</v>
      </c>
      <c r="I1018" t="s">
        <v>274</v>
      </c>
      <c r="J1018" t="s">
        <v>274</v>
      </c>
      <c r="K1018" t="s">
        <v>274</v>
      </c>
      <c r="L1018" t="s">
        <v>274</v>
      </c>
      <c r="M1018" t="s">
        <v>274</v>
      </c>
      <c r="N1018" t="e">
        <f t="shared" si="1"/>
        <v>#VALUE!</v>
      </c>
      <c r="O1018" t="e">
        <f t="shared" si="2"/>
        <v>#VALUE!</v>
      </c>
      <c r="P1018" t="e">
        <f>IF($A1018="","",IF($E1018=1,$F1018*$O1018,PNL!G1018))</f>
        <v>#VALUE!</v>
      </c>
      <c r="T1018" t="e">
        <f t="shared" si="3"/>
        <v>#VALUE!</v>
      </c>
    </row>
    <row r="1019" ht="14.25" customHeight="1">
      <c r="A1019" t="str">
        <f>IF(PNL!A1019="","",PNL!A1019)</f>
        <v>MBWAY_NAN</v>
      </c>
      <c r="B1019" t="str">
        <f>IF(PNL!B1019="","",PNL!B1019)</f>
        <v>7062</v>
      </c>
      <c r="C1019" t="str">
        <f>IF(PNL!C1019="","",PNL!C1019)</f>
        <v>2027</v>
      </c>
      <c r="D1019" t="str">
        <f>IF(PNL!D1019="","",PNL!D1019)</f>
        <v>V02</v>
      </c>
      <c r="E1019">
        <f t="shared" si="0"/>
        <v>1</v>
      </c>
      <c r="F1019">
        <f>IF($A1019="","",IF($E1019=1,_xlfn.SUMIFS(Compta!$F$1:$F$1448,Compta!$A$1:$A$1448,$A1019,Compta!$B$1:$B$1448,$B1019,Compta!$C$1:$C$1448,"2026"),0))</f>
        <v>1697500</v>
      </c>
      <c r="G1019" t="s">
        <v>274</v>
      </c>
      <c r="H1019" t="s">
        <v>274</v>
      </c>
      <c r="I1019" t="s">
        <v>274</v>
      </c>
      <c r="J1019" t="s">
        <v>274</v>
      </c>
      <c r="K1019" t="s">
        <v>274</v>
      </c>
      <c r="L1019" t="s">
        <v>274</v>
      </c>
      <c r="M1019" t="s">
        <v>274</v>
      </c>
      <c r="N1019" t="e">
        <f t="shared" si="1"/>
        <v>#VALUE!</v>
      </c>
      <c r="O1019" t="e">
        <f t="shared" si="2"/>
        <v>#VALUE!</v>
      </c>
      <c r="P1019" t="e">
        <f>IF($A1019="","",IF($E1019=1,$F1019*$O1019,PNL!G1019))</f>
        <v>#VALUE!</v>
      </c>
      <c r="T1019" t="e">
        <f t="shared" si="3"/>
        <v>#VALUE!</v>
      </c>
    </row>
    <row r="1020" ht="14.25" customHeight="1">
      <c r="A1020" t="str">
        <f>IF(PNL!A1020="","",PNL!A1020)</f>
        <v>MBWAY_NAN</v>
      </c>
      <c r="B1020" t="str">
        <f>IF(PNL!B1020="","",PNL!B1020)</f>
        <v>7062</v>
      </c>
      <c r="C1020" t="str">
        <f>IF(PNL!C1020="","",PNL!C1020)</f>
        <v>2027</v>
      </c>
      <c r="D1020" t="str">
        <f>IF(PNL!D1020="","",PNL!D1020)</f>
        <v>V03</v>
      </c>
      <c r="E1020">
        <f t="shared" si="0"/>
        <v>1</v>
      </c>
      <c r="F1020">
        <f>IF($A1020="","",IF($E1020=1,_xlfn.SUMIFS(Compta!$F$1:$F$1448,Compta!$A$1:$A$1448,$A1020,Compta!$B$1:$B$1448,$B1020,Compta!$C$1:$C$1448,"2026"),0))</f>
        <v>1697500</v>
      </c>
      <c r="G1020" t="s">
        <v>274</v>
      </c>
      <c r="H1020" t="s">
        <v>274</v>
      </c>
      <c r="I1020" t="s">
        <v>274</v>
      </c>
      <c r="J1020" t="s">
        <v>274</v>
      </c>
      <c r="K1020" t="s">
        <v>274</v>
      </c>
      <c r="L1020" t="s">
        <v>274</v>
      </c>
      <c r="M1020" t="s">
        <v>274</v>
      </c>
      <c r="N1020" t="e">
        <f t="shared" si="1"/>
        <v>#VALUE!</v>
      </c>
      <c r="O1020" t="e">
        <f t="shared" si="2"/>
        <v>#VALUE!</v>
      </c>
      <c r="P1020" t="e">
        <f>IF($A1020="","",IF($E1020=1,$F1020*$O1020,PNL!G1020))</f>
        <v>#VALUE!</v>
      </c>
      <c r="T1020" t="e">
        <f t="shared" si="3"/>
        <v>#VALUE!</v>
      </c>
    </row>
    <row r="1021" ht="14.25" customHeight="1">
      <c r="A1021" t="str">
        <f>IF(PNL!A1021="","",PNL!A1021)</f>
        <v>MBWAY_BOR</v>
      </c>
      <c r="B1021" t="str">
        <f>IF(PNL!B1021="","",PNL!B1021)</f>
        <v>7062</v>
      </c>
      <c r="C1021" t="str">
        <f>IF(PNL!C1021="","",PNL!C1021)</f>
        <v>2027</v>
      </c>
      <c r="D1021" t="str">
        <f>IF(PNL!D1021="","",PNL!D1021)</f>
        <v>V01</v>
      </c>
      <c r="E1021">
        <f t="shared" si="0"/>
        <v>1</v>
      </c>
      <c r="F1021">
        <f>IF($A1021="","",IF($E1021=1,_xlfn.SUMIFS(Compta!$F$1:$F$1448,Compta!$A$1:$A$1448,$A1021,Compta!$B$1:$B$1448,$B1021,Compta!$C$1:$C$1448,"2026"),0))</f>
        <v>1393405</v>
      </c>
      <c r="G1021" t="s">
        <v>274</v>
      </c>
      <c r="H1021" t="s">
        <v>274</v>
      </c>
      <c r="I1021" t="s">
        <v>274</v>
      </c>
      <c r="J1021" t="s">
        <v>274</v>
      </c>
      <c r="K1021" t="s">
        <v>274</v>
      </c>
      <c r="L1021" t="s">
        <v>274</v>
      </c>
      <c r="M1021" t="s">
        <v>274</v>
      </c>
      <c r="N1021" t="e">
        <f t="shared" si="1"/>
        <v>#VALUE!</v>
      </c>
      <c r="O1021" t="e">
        <f t="shared" si="2"/>
        <v>#VALUE!</v>
      </c>
      <c r="P1021" t="e">
        <f>IF($A1021="","",IF($E1021=1,$F1021*$O1021,PNL!G1021))</f>
        <v>#VALUE!</v>
      </c>
      <c r="T1021" t="e">
        <f t="shared" si="3"/>
        <v>#VALUE!</v>
      </c>
    </row>
    <row r="1022" ht="14.25" customHeight="1">
      <c r="A1022" t="str">
        <f>IF(PNL!A1022="","",PNL!A1022)</f>
        <v>MBWAY_BOR</v>
      </c>
      <c r="B1022" t="str">
        <f>IF(PNL!B1022="","",PNL!B1022)</f>
        <v>7062</v>
      </c>
      <c r="C1022" t="str">
        <f>IF(PNL!C1022="","",PNL!C1022)</f>
        <v>2027</v>
      </c>
      <c r="D1022" t="str">
        <f>IF(PNL!D1022="","",PNL!D1022)</f>
        <v>V02</v>
      </c>
      <c r="E1022">
        <f t="shared" si="0"/>
        <v>1</v>
      </c>
      <c r="F1022">
        <f>IF($A1022="","",IF($E1022=1,_xlfn.SUMIFS(Compta!$F$1:$F$1448,Compta!$A$1:$A$1448,$A1022,Compta!$B$1:$B$1448,$B1022,Compta!$C$1:$C$1448,"2026"),0))</f>
        <v>1393405</v>
      </c>
      <c r="G1022" t="s">
        <v>274</v>
      </c>
      <c r="H1022" t="s">
        <v>274</v>
      </c>
      <c r="I1022" t="s">
        <v>274</v>
      </c>
      <c r="J1022" t="s">
        <v>274</v>
      </c>
      <c r="K1022" t="s">
        <v>274</v>
      </c>
      <c r="L1022" t="s">
        <v>274</v>
      </c>
      <c r="M1022" t="s">
        <v>274</v>
      </c>
      <c r="N1022" t="e">
        <f t="shared" si="1"/>
        <v>#VALUE!</v>
      </c>
      <c r="O1022" t="e">
        <f t="shared" si="2"/>
        <v>#VALUE!</v>
      </c>
      <c r="P1022" t="e">
        <f>IF($A1022="","",IF($E1022=1,$F1022*$O1022,PNL!G1022))</f>
        <v>#VALUE!</v>
      </c>
      <c r="T1022" t="e">
        <f t="shared" si="3"/>
        <v>#VALUE!</v>
      </c>
    </row>
    <row r="1023" ht="14.25" customHeight="1">
      <c r="A1023" t="str">
        <f>IF(PNL!A1023="","",PNL!A1023)</f>
        <v>MBWAY_BOR</v>
      </c>
      <c r="B1023" t="str">
        <f>IF(PNL!B1023="","",PNL!B1023)</f>
        <v>7062</v>
      </c>
      <c r="C1023" t="str">
        <f>IF(PNL!C1023="","",PNL!C1023)</f>
        <v>2027</v>
      </c>
      <c r="D1023" t="str">
        <f>IF(PNL!D1023="","",PNL!D1023)</f>
        <v>V03</v>
      </c>
      <c r="E1023">
        <f t="shared" si="0"/>
        <v>1</v>
      </c>
      <c r="F1023">
        <f>IF($A1023="","",IF($E1023=1,_xlfn.SUMIFS(Compta!$F$1:$F$1448,Compta!$A$1:$A$1448,$A1023,Compta!$B$1:$B$1448,$B1023,Compta!$C$1:$C$1448,"2026"),0))</f>
        <v>1393405</v>
      </c>
      <c r="G1023" t="s">
        <v>274</v>
      </c>
      <c r="H1023" t="s">
        <v>274</v>
      </c>
      <c r="I1023" t="s">
        <v>274</v>
      </c>
      <c r="J1023" t="s">
        <v>274</v>
      </c>
      <c r="K1023" t="s">
        <v>274</v>
      </c>
      <c r="L1023" t="s">
        <v>274</v>
      </c>
      <c r="M1023" t="s">
        <v>274</v>
      </c>
      <c r="N1023" t="e">
        <f t="shared" si="1"/>
        <v>#VALUE!</v>
      </c>
      <c r="O1023" t="e">
        <f t="shared" si="2"/>
        <v>#VALUE!</v>
      </c>
      <c r="P1023" t="e">
        <f>IF($A1023="","",IF($E1023=1,$F1023*$O1023,PNL!G1023))</f>
        <v>#VALUE!</v>
      </c>
      <c r="T1023" t="e">
        <f t="shared" si="3"/>
        <v>#VALUE!</v>
      </c>
    </row>
    <row r="1024" ht="14.25" customHeight="1">
      <c r="A1024" t="str">
        <f>IF(PNL!A1024="","",PNL!A1024)</f>
        <v>ISCOM_PAR</v>
      </c>
      <c r="B1024" t="str">
        <f>IF(PNL!B1024="","",PNL!B1024)</f>
        <v>7062</v>
      </c>
      <c r="C1024" t="str">
        <f>IF(PNL!C1024="","",PNL!C1024)</f>
        <v>2027</v>
      </c>
      <c r="D1024" t="str">
        <f>IF(PNL!D1024="","",PNL!D1024)</f>
        <v>V01</v>
      </c>
      <c r="E1024">
        <f t="shared" si="0"/>
        <v>1</v>
      </c>
      <c r="F1024">
        <f>IF($A1024="","",IF($E1024=1,_xlfn.SUMIFS(Compta!$F$1:$F$1448,Compta!$A$1:$A$1448,$A1024,Compta!$B$1:$B$1448,$B1024,Compta!$C$1:$C$1448,"2026"),0))</f>
        <v>2290960</v>
      </c>
      <c r="G1024" t="s">
        <v>274</v>
      </c>
      <c r="H1024" t="s">
        <v>274</v>
      </c>
      <c r="I1024" t="s">
        <v>274</v>
      </c>
      <c r="J1024" t="s">
        <v>274</v>
      </c>
      <c r="K1024" t="s">
        <v>274</v>
      </c>
      <c r="L1024" t="s">
        <v>274</v>
      </c>
      <c r="M1024" t="s">
        <v>274</v>
      </c>
      <c r="N1024" t="e">
        <f t="shared" si="1"/>
        <v>#VALUE!</v>
      </c>
      <c r="O1024" t="e">
        <f t="shared" si="2"/>
        <v>#VALUE!</v>
      </c>
      <c r="P1024" t="e">
        <f>IF($A1024="","",IF($E1024=1,$F1024*$O1024,PNL!G1024))</f>
        <v>#VALUE!</v>
      </c>
      <c r="T1024" t="e">
        <f t="shared" si="3"/>
        <v>#VALUE!</v>
      </c>
    </row>
    <row r="1025" ht="14.25" customHeight="1">
      <c r="A1025" t="str">
        <f>IF(PNL!A1025="","",PNL!A1025)</f>
        <v>ISCOM_PAR</v>
      </c>
      <c r="B1025" t="str">
        <f>IF(PNL!B1025="","",PNL!B1025)</f>
        <v>7062</v>
      </c>
      <c r="C1025" t="str">
        <f>IF(PNL!C1025="","",PNL!C1025)</f>
        <v>2027</v>
      </c>
      <c r="D1025" t="str">
        <f>IF(PNL!D1025="","",PNL!D1025)</f>
        <v>V02</v>
      </c>
      <c r="E1025">
        <f t="shared" si="0"/>
        <v>1</v>
      </c>
      <c r="F1025">
        <f>IF($A1025="","",IF($E1025=1,_xlfn.SUMIFS(Compta!$F$1:$F$1448,Compta!$A$1:$A$1448,$A1025,Compta!$B$1:$B$1448,$B1025,Compta!$C$1:$C$1448,"2026"),0))</f>
        <v>2290960</v>
      </c>
      <c r="G1025" t="s">
        <v>274</v>
      </c>
      <c r="H1025" t="s">
        <v>274</v>
      </c>
      <c r="I1025" t="s">
        <v>274</v>
      </c>
      <c r="J1025" t="s">
        <v>274</v>
      </c>
      <c r="K1025" t="s">
        <v>274</v>
      </c>
      <c r="L1025" t="s">
        <v>274</v>
      </c>
      <c r="M1025" t="s">
        <v>274</v>
      </c>
      <c r="N1025" t="e">
        <f t="shared" si="1"/>
        <v>#VALUE!</v>
      </c>
      <c r="O1025" t="e">
        <f t="shared" si="2"/>
        <v>#VALUE!</v>
      </c>
      <c r="P1025" t="e">
        <f>IF($A1025="","",IF($E1025=1,$F1025*$O1025,PNL!G1025))</f>
        <v>#VALUE!</v>
      </c>
      <c r="T1025" t="e">
        <f t="shared" si="3"/>
        <v>#VALUE!</v>
      </c>
    </row>
    <row r="1026" ht="14.25" customHeight="1">
      <c r="A1026" t="str">
        <f>IF(PNL!A1026="","",PNL!A1026)</f>
        <v>ISCOM_PAR</v>
      </c>
      <c r="B1026" t="str">
        <f>IF(PNL!B1026="","",PNL!B1026)</f>
        <v>7062</v>
      </c>
      <c r="C1026" t="str">
        <f>IF(PNL!C1026="","",PNL!C1026)</f>
        <v>2027</v>
      </c>
      <c r="D1026" t="str">
        <f>IF(PNL!D1026="","",PNL!D1026)</f>
        <v>V03</v>
      </c>
      <c r="E1026">
        <f t="shared" si="0"/>
        <v>1</v>
      </c>
      <c r="F1026">
        <f>IF($A1026="","",IF($E1026=1,_xlfn.SUMIFS(Compta!$F$1:$F$1448,Compta!$A$1:$A$1448,$A1026,Compta!$B$1:$B$1448,$B1026,Compta!$C$1:$C$1448,"2026"),0))</f>
        <v>2290960</v>
      </c>
      <c r="G1026" t="s">
        <v>274</v>
      </c>
      <c r="H1026" t="s">
        <v>274</v>
      </c>
      <c r="I1026" t="s">
        <v>274</v>
      </c>
      <c r="J1026" t="s">
        <v>274</v>
      </c>
      <c r="K1026" t="s">
        <v>274</v>
      </c>
      <c r="L1026" t="s">
        <v>274</v>
      </c>
      <c r="M1026" t="s">
        <v>274</v>
      </c>
      <c r="N1026" t="e">
        <f t="shared" si="1"/>
        <v>#VALUE!</v>
      </c>
      <c r="O1026" t="e">
        <f t="shared" si="2"/>
        <v>#VALUE!</v>
      </c>
      <c r="P1026" t="e">
        <f>IF($A1026="","",IF($E1026=1,$F1026*$O1026,PNL!G1026))</f>
        <v>#VALUE!</v>
      </c>
      <c r="T1026" t="e">
        <f t="shared" si="3"/>
        <v>#VALUE!</v>
      </c>
    </row>
    <row r="1027" ht="14.25" customHeight="1">
      <c r="A1027" t="str">
        <f>IF(PNL!A1027="","",PNL!A1027)</f>
        <v>ISCOM_LIL</v>
      </c>
      <c r="B1027" t="str">
        <f>IF(PNL!B1027="","",PNL!B1027)</f>
        <v>7062</v>
      </c>
      <c r="C1027" t="str">
        <f>IF(PNL!C1027="","",PNL!C1027)</f>
        <v>2027</v>
      </c>
      <c r="D1027" t="str">
        <f>IF(PNL!D1027="","",PNL!D1027)</f>
        <v>V01</v>
      </c>
      <c r="E1027">
        <f t="shared" si="0"/>
        <v>1</v>
      </c>
      <c r="F1027">
        <f>IF($A1027="","",IF($E1027=1,_xlfn.SUMIFS(Compta!$F$1:$F$1448,Compta!$A$1:$A$1448,$A1027,Compta!$B$1:$B$1448,$B1027,Compta!$C$1:$C$1448,"2026"),0))</f>
        <v>1379350</v>
      </c>
      <c r="G1027" t="s">
        <v>274</v>
      </c>
      <c r="H1027" t="s">
        <v>274</v>
      </c>
      <c r="I1027" t="s">
        <v>274</v>
      </c>
      <c r="J1027" t="s">
        <v>274</v>
      </c>
      <c r="K1027" t="s">
        <v>274</v>
      </c>
      <c r="L1027" t="s">
        <v>274</v>
      </c>
      <c r="M1027" t="s">
        <v>274</v>
      </c>
      <c r="N1027" t="e">
        <f t="shared" si="1"/>
        <v>#VALUE!</v>
      </c>
      <c r="O1027" t="e">
        <f t="shared" si="2"/>
        <v>#VALUE!</v>
      </c>
      <c r="P1027" t="e">
        <f>IF($A1027="","",IF($E1027=1,$F1027*$O1027,PNL!G1027))</f>
        <v>#VALUE!</v>
      </c>
      <c r="T1027" t="e">
        <f t="shared" si="3"/>
        <v>#VALUE!</v>
      </c>
    </row>
    <row r="1028" ht="14.25" customHeight="1">
      <c r="A1028" t="str">
        <f>IF(PNL!A1028="","",PNL!A1028)</f>
        <v>ISCOM_LIL</v>
      </c>
      <c r="B1028" t="str">
        <f>IF(PNL!B1028="","",PNL!B1028)</f>
        <v>7062</v>
      </c>
      <c r="C1028" t="str">
        <f>IF(PNL!C1028="","",PNL!C1028)</f>
        <v>2027</v>
      </c>
      <c r="D1028" t="str">
        <f>IF(PNL!D1028="","",PNL!D1028)</f>
        <v>V02</v>
      </c>
      <c r="E1028">
        <f t="shared" si="0"/>
        <v>1</v>
      </c>
      <c r="F1028">
        <f>IF($A1028="","",IF($E1028=1,_xlfn.SUMIFS(Compta!$F$1:$F$1448,Compta!$A$1:$A$1448,$A1028,Compta!$B$1:$B$1448,$B1028,Compta!$C$1:$C$1448,"2026"),0))</f>
        <v>1379350</v>
      </c>
      <c r="G1028" t="s">
        <v>274</v>
      </c>
      <c r="H1028" t="s">
        <v>274</v>
      </c>
      <c r="I1028" t="s">
        <v>274</v>
      </c>
      <c r="J1028" t="s">
        <v>274</v>
      </c>
      <c r="K1028" t="s">
        <v>274</v>
      </c>
      <c r="L1028" t="s">
        <v>274</v>
      </c>
      <c r="M1028" t="s">
        <v>274</v>
      </c>
      <c r="N1028" t="e">
        <f t="shared" si="1"/>
        <v>#VALUE!</v>
      </c>
      <c r="O1028" t="e">
        <f t="shared" si="2"/>
        <v>#VALUE!</v>
      </c>
      <c r="P1028" t="e">
        <f>IF($A1028="","",IF($E1028=1,$F1028*$O1028,PNL!G1028))</f>
        <v>#VALUE!</v>
      </c>
      <c r="T1028" t="e">
        <f t="shared" si="3"/>
        <v>#VALUE!</v>
      </c>
    </row>
    <row r="1029" ht="14.25" customHeight="1">
      <c r="A1029" t="str">
        <f>IF(PNL!A1029="","",PNL!A1029)</f>
        <v>ISCOM_LIL</v>
      </c>
      <c r="B1029" t="str">
        <f>IF(PNL!B1029="","",PNL!B1029)</f>
        <v>7062</v>
      </c>
      <c r="C1029" t="str">
        <f>IF(PNL!C1029="","",PNL!C1029)</f>
        <v>2027</v>
      </c>
      <c r="D1029" t="str">
        <f>IF(PNL!D1029="","",PNL!D1029)</f>
        <v>V03</v>
      </c>
      <c r="E1029">
        <f t="shared" si="0"/>
        <v>1</v>
      </c>
      <c r="F1029">
        <f>IF($A1029="","",IF($E1029=1,_xlfn.SUMIFS(Compta!$F$1:$F$1448,Compta!$A$1:$A$1448,$A1029,Compta!$B$1:$B$1448,$B1029,Compta!$C$1:$C$1448,"2026"),0))</f>
        <v>1379350</v>
      </c>
      <c r="G1029" t="s">
        <v>274</v>
      </c>
      <c r="H1029" t="s">
        <v>274</v>
      </c>
      <c r="I1029" t="s">
        <v>274</v>
      </c>
      <c r="J1029" t="s">
        <v>274</v>
      </c>
      <c r="K1029" t="s">
        <v>274</v>
      </c>
      <c r="L1029" t="s">
        <v>274</v>
      </c>
      <c r="M1029" t="s">
        <v>274</v>
      </c>
      <c r="N1029" t="e">
        <f t="shared" si="1"/>
        <v>#VALUE!</v>
      </c>
      <c r="O1029" t="e">
        <f t="shared" si="2"/>
        <v>#VALUE!</v>
      </c>
      <c r="P1029" t="e">
        <f>IF($A1029="","",IF($E1029=1,$F1029*$O1029,PNL!G1029))</f>
        <v>#VALUE!</v>
      </c>
      <c r="T1029" t="e">
        <f t="shared" si="3"/>
        <v>#VALUE!</v>
      </c>
    </row>
    <row r="1030" ht="14.25" customHeight="1">
      <c r="A1030" t="str">
        <f>IF(PNL!A1030="","",PNL!A1030)</f>
        <v>ISCOM_TLS</v>
      </c>
      <c r="B1030" t="str">
        <f>IF(PNL!B1030="","",PNL!B1030)</f>
        <v>7062</v>
      </c>
      <c r="C1030" t="str">
        <f>IF(PNL!C1030="","",PNL!C1030)</f>
        <v>2027</v>
      </c>
      <c r="D1030" t="str">
        <f>IF(PNL!D1030="","",PNL!D1030)</f>
        <v>V01</v>
      </c>
      <c r="E1030">
        <f t="shared" si="0"/>
        <v>1</v>
      </c>
      <c r="F1030">
        <f>IF($A1030="","",IF($E1030=1,_xlfn.SUMIFS(Compta!$F$1:$F$1448,Compta!$A$1:$A$1448,$A1030,Compta!$B$1:$B$1448,$B1030,Compta!$C$1:$C$1448,"2026"),0))</f>
        <v>1281120</v>
      </c>
      <c r="G1030" t="s">
        <v>274</v>
      </c>
      <c r="H1030" t="s">
        <v>274</v>
      </c>
      <c r="I1030" t="s">
        <v>274</v>
      </c>
      <c r="J1030" t="s">
        <v>274</v>
      </c>
      <c r="K1030" t="s">
        <v>274</v>
      </c>
      <c r="L1030" t="s">
        <v>274</v>
      </c>
      <c r="M1030" t="s">
        <v>274</v>
      </c>
      <c r="N1030" t="e">
        <f t="shared" si="1"/>
        <v>#VALUE!</v>
      </c>
      <c r="O1030" t="e">
        <f t="shared" si="2"/>
        <v>#VALUE!</v>
      </c>
      <c r="P1030" t="e">
        <f>IF($A1030="","",IF($E1030=1,$F1030*$O1030,PNL!G1030))</f>
        <v>#VALUE!</v>
      </c>
      <c r="T1030" t="e">
        <f t="shared" si="3"/>
        <v>#VALUE!</v>
      </c>
    </row>
    <row r="1031" ht="14.25" customHeight="1">
      <c r="A1031" t="str">
        <f>IF(PNL!A1031="","",PNL!A1031)</f>
        <v>ISCOM_TLS</v>
      </c>
      <c r="B1031" t="str">
        <f>IF(PNL!B1031="","",PNL!B1031)</f>
        <v>7062</v>
      </c>
      <c r="C1031" t="str">
        <f>IF(PNL!C1031="","",PNL!C1031)</f>
        <v>2027</v>
      </c>
      <c r="D1031" t="str">
        <f>IF(PNL!D1031="","",PNL!D1031)</f>
        <v>V02</v>
      </c>
      <c r="E1031">
        <f t="shared" si="0"/>
        <v>1</v>
      </c>
      <c r="F1031">
        <f>IF($A1031="","",IF($E1031=1,_xlfn.SUMIFS(Compta!$F$1:$F$1448,Compta!$A$1:$A$1448,$A1031,Compta!$B$1:$B$1448,$B1031,Compta!$C$1:$C$1448,"2026"),0))</f>
        <v>1281120</v>
      </c>
      <c r="G1031" t="s">
        <v>274</v>
      </c>
      <c r="H1031" t="s">
        <v>274</v>
      </c>
      <c r="I1031" t="s">
        <v>274</v>
      </c>
      <c r="J1031" t="s">
        <v>274</v>
      </c>
      <c r="K1031" t="s">
        <v>274</v>
      </c>
      <c r="L1031" t="s">
        <v>274</v>
      </c>
      <c r="M1031" t="s">
        <v>274</v>
      </c>
      <c r="N1031" t="e">
        <f t="shared" si="1"/>
        <v>#VALUE!</v>
      </c>
      <c r="O1031" t="e">
        <f t="shared" si="2"/>
        <v>#VALUE!</v>
      </c>
      <c r="P1031" t="e">
        <f>IF($A1031="","",IF($E1031=1,$F1031*$O1031,PNL!G1031))</f>
        <v>#VALUE!</v>
      </c>
      <c r="T1031" t="e">
        <f t="shared" si="3"/>
        <v>#VALUE!</v>
      </c>
    </row>
    <row r="1032" ht="14.25" customHeight="1">
      <c r="A1032" t="str">
        <f>IF(PNL!A1032="","",PNL!A1032)</f>
        <v>ISCOM_TLS</v>
      </c>
      <c r="B1032" t="str">
        <f>IF(PNL!B1032="","",PNL!B1032)</f>
        <v>7062</v>
      </c>
      <c r="C1032" t="str">
        <f>IF(PNL!C1032="","",PNL!C1032)</f>
        <v>2027</v>
      </c>
      <c r="D1032" t="str">
        <f>IF(PNL!D1032="","",PNL!D1032)</f>
        <v>V03</v>
      </c>
      <c r="E1032">
        <f t="shared" si="0"/>
        <v>1</v>
      </c>
      <c r="F1032">
        <f>IF($A1032="","",IF($E1032=1,_xlfn.SUMIFS(Compta!$F$1:$F$1448,Compta!$A$1:$A$1448,$A1032,Compta!$B$1:$B$1448,$B1032,Compta!$C$1:$C$1448,"2026"),0))</f>
        <v>1281120</v>
      </c>
      <c r="G1032" t="s">
        <v>274</v>
      </c>
      <c r="H1032" t="s">
        <v>274</v>
      </c>
      <c r="I1032" t="s">
        <v>274</v>
      </c>
      <c r="J1032" t="s">
        <v>274</v>
      </c>
      <c r="K1032" t="s">
        <v>274</v>
      </c>
      <c r="L1032" t="s">
        <v>274</v>
      </c>
      <c r="M1032" t="s">
        <v>274</v>
      </c>
      <c r="N1032" t="e">
        <f t="shared" si="1"/>
        <v>#VALUE!</v>
      </c>
      <c r="O1032" t="e">
        <f t="shared" si="2"/>
        <v>#VALUE!</v>
      </c>
      <c r="P1032" t="e">
        <f>IF($A1032="","",IF($E1032=1,$F1032*$O1032,PNL!G1032))</f>
        <v>#VALUE!</v>
      </c>
      <c r="T1032" t="e">
        <f t="shared" si="3"/>
        <v>#VALUE!</v>
      </c>
    </row>
    <row r="1033" ht="14.25" customHeight="1">
      <c r="A1033" t="str">
        <f>IF(PNL!A1033="","",PNL!A1033)</f>
        <v>IPAC_NAN</v>
      </c>
      <c r="B1033" t="str">
        <f>IF(PNL!B1033="","",PNL!B1033)</f>
        <v>7062</v>
      </c>
      <c r="C1033" t="str">
        <f>IF(PNL!C1033="","",PNL!C1033)</f>
        <v>2027</v>
      </c>
      <c r="D1033" t="str">
        <f>IF(PNL!D1033="","",PNL!D1033)</f>
        <v>V01</v>
      </c>
      <c r="E1033">
        <f t="shared" si="0"/>
        <v>1</v>
      </c>
      <c r="F1033">
        <f>IF($A1033="","",IF($E1033=1,_xlfn.SUMIFS(Compta!$F$1:$F$1448,Compta!$A$1:$A$1448,$A1033,Compta!$B$1:$B$1448,$B1033,Compta!$C$1:$C$1448,"2026"),0))</f>
        <v>1015000</v>
      </c>
      <c r="G1033" t="s">
        <v>274</v>
      </c>
      <c r="H1033" t="s">
        <v>274</v>
      </c>
      <c r="I1033" t="s">
        <v>274</v>
      </c>
      <c r="J1033" t="s">
        <v>274</v>
      </c>
      <c r="K1033" t="s">
        <v>274</v>
      </c>
      <c r="L1033" t="s">
        <v>274</v>
      </c>
      <c r="M1033" t="s">
        <v>274</v>
      </c>
      <c r="N1033" t="e">
        <f t="shared" si="1"/>
        <v>#VALUE!</v>
      </c>
      <c r="O1033" t="e">
        <f t="shared" si="2"/>
        <v>#VALUE!</v>
      </c>
      <c r="P1033" t="e">
        <f>IF($A1033="","",IF($E1033=1,$F1033*$O1033,PNL!G1033))</f>
        <v>#VALUE!</v>
      </c>
      <c r="T1033" t="e">
        <f t="shared" si="3"/>
        <v>#VALUE!</v>
      </c>
    </row>
    <row r="1034" ht="14.25" customHeight="1">
      <c r="A1034" t="str">
        <f>IF(PNL!A1034="","",PNL!A1034)</f>
        <v>IPAC_NAN</v>
      </c>
      <c r="B1034" t="str">
        <f>IF(PNL!B1034="","",PNL!B1034)</f>
        <v>7062</v>
      </c>
      <c r="C1034" t="str">
        <f>IF(PNL!C1034="","",PNL!C1034)</f>
        <v>2027</v>
      </c>
      <c r="D1034" t="str">
        <f>IF(PNL!D1034="","",PNL!D1034)</f>
        <v>V02</v>
      </c>
      <c r="E1034">
        <f t="shared" si="0"/>
        <v>1</v>
      </c>
      <c r="F1034">
        <f>IF($A1034="","",IF($E1034=1,_xlfn.SUMIFS(Compta!$F$1:$F$1448,Compta!$A$1:$A$1448,$A1034,Compta!$B$1:$B$1448,$B1034,Compta!$C$1:$C$1448,"2026"),0))</f>
        <v>1015000</v>
      </c>
      <c r="G1034" t="s">
        <v>274</v>
      </c>
      <c r="H1034" t="s">
        <v>274</v>
      </c>
      <c r="I1034" t="s">
        <v>274</v>
      </c>
      <c r="J1034" t="s">
        <v>274</v>
      </c>
      <c r="K1034" t="s">
        <v>274</v>
      </c>
      <c r="L1034" t="s">
        <v>274</v>
      </c>
      <c r="M1034" t="s">
        <v>274</v>
      </c>
      <c r="N1034" t="e">
        <f t="shared" si="1"/>
        <v>#VALUE!</v>
      </c>
      <c r="O1034" t="e">
        <f t="shared" si="2"/>
        <v>#VALUE!</v>
      </c>
      <c r="P1034" t="e">
        <f>IF($A1034="","",IF($E1034=1,$F1034*$O1034,PNL!G1034))</f>
        <v>#VALUE!</v>
      </c>
      <c r="T1034" t="e">
        <f t="shared" si="3"/>
        <v>#VALUE!</v>
      </c>
    </row>
    <row r="1035" ht="14.25" customHeight="1">
      <c r="A1035" t="str">
        <f>IF(PNL!A1035="","",PNL!A1035)</f>
        <v>IPAC_NAN</v>
      </c>
      <c r="B1035" t="str">
        <f>IF(PNL!B1035="","",PNL!B1035)</f>
        <v>7062</v>
      </c>
      <c r="C1035" t="str">
        <f>IF(PNL!C1035="","",PNL!C1035)</f>
        <v>2027</v>
      </c>
      <c r="D1035" t="str">
        <f>IF(PNL!D1035="","",PNL!D1035)</f>
        <v>V03</v>
      </c>
      <c r="E1035">
        <f t="shared" si="0"/>
        <v>1</v>
      </c>
      <c r="F1035">
        <f>IF($A1035="","",IF($E1035=1,_xlfn.SUMIFS(Compta!$F$1:$F$1448,Compta!$A$1:$A$1448,$A1035,Compta!$B$1:$B$1448,$B1035,Compta!$C$1:$C$1448,"2026"),0))</f>
        <v>1015000</v>
      </c>
      <c r="G1035" t="s">
        <v>274</v>
      </c>
      <c r="H1035" t="s">
        <v>274</v>
      </c>
      <c r="I1035" t="s">
        <v>274</v>
      </c>
      <c r="J1035" t="s">
        <v>274</v>
      </c>
      <c r="K1035" t="s">
        <v>274</v>
      </c>
      <c r="L1035" t="s">
        <v>274</v>
      </c>
      <c r="M1035" t="s">
        <v>274</v>
      </c>
      <c r="N1035" t="e">
        <f t="shared" si="1"/>
        <v>#VALUE!</v>
      </c>
      <c r="O1035" t="e">
        <f t="shared" si="2"/>
        <v>#VALUE!</v>
      </c>
      <c r="P1035" t="e">
        <f>IF($A1035="","",IF($E1035=1,$F1035*$O1035,PNL!G1035))</f>
        <v>#VALUE!</v>
      </c>
      <c r="T1035" t="e">
        <f t="shared" si="3"/>
        <v>#VALUE!</v>
      </c>
    </row>
    <row r="1036" ht="14.25" customHeight="1">
      <c r="A1036" t="str">
        <f>IF(PNL!A1036="","",PNL!A1036)</f>
        <v>IPAC_REN</v>
      </c>
      <c r="B1036" t="str">
        <f>IF(PNL!B1036="","",PNL!B1036)</f>
        <v>7062</v>
      </c>
      <c r="C1036" t="str">
        <f>IF(PNL!C1036="","",PNL!C1036)</f>
        <v>2027</v>
      </c>
      <c r="D1036" t="str">
        <f>IF(PNL!D1036="","",PNL!D1036)</f>
        <v>V01</v>
      </c>
      <c r="E1036">
        <f t="shared" si="0"/>
        <v>1</v>
      </c>
      <c r="F1036">
        <f>IF($A1036="","",IF($E1036=1,_xlfn.SUMIFS(Compta!$F$1:$F$1448,Compta!$A$1:$A$1448,$A1036,Compta!$B$1:$B$1448,$B1036,Compta!$C$1:$C$1448,"2026"),0))</f>
        <v>778050</v>
      </c>
      <c r="G1036" t="s">
        <v>274</v>
      </c>
      <c r="H1036" t="s">
        <v>274</v>
      </c>
      <c r="I1036" t="s">
        <v>274</v>
      </c>
      <c r="J1036" t="s">
        <v>274</v>
      </c>
      <c r="K1036" t="s">
        <v>274</v>
      </c>
      <c r="L1036" t="s">
        <v>274</v>
      </c>
      <c r="M1036" t="s">
        <v>274</v>
      </c>
      <c r="N1036" t="e">
        <f t="shared" si="1"/>
        <v>#VALUE!</v>
      </c>
      <c r="O1036" t="e">
        <f t="shared" si="2"/>
        <v>#VALUE!</v>
      </c>
      <c r="P1036" t="e">
        <f>IF($A1036="","",IF($E1036=1,$F1036*$O1036,PNL!G1036))</f>
        <v>#VALUE!</v>
      </c>
      <c r="T1036" t="e">
        <f t="shared" si="3"/>
        <v>#VALUE!</v>
      </c>
    </row>
    <row r="1037" ht="14.25" customHeight="1">
      <c r="A1037" t="str">
        <f>IF(PNL!A1037="","",PNL!A1037)</f>
        <v>IPAC_REN</v>
      </c>
      <c r="B1037" t="str">
        <f>IF(PNL!B1037="","",PNL!B1037)</f>
        <v>7062</v>
      </c>
      <c r="C1037" t="str">
        <f>IF(PNL!C1037="","",PNL!C1037)</f>
        <v>2027</v>
      </c>
      <c r="D1037" t="str">
        <f>IF(PNL!D1037="","",PNL!D1037)</f>
        <v>V02</v>
      </c>
      <c r="E1037">
        <f t="shared" si="0"/>
        <v>1</v>
      </c>
      <c r="F1037">
        <f>IF($A1037="","",IF($E1037=1,_xlfn.SUMIFS(Compta!$F$1:$F$1448,Compta!$A$1:$A$1448,$A1037,Compta!$B$1:$B$1448,$B1037,Compta!$C$1:$C$1448,"2026"),0))</f>
        <v>778050</v>
      </c>
      <c r="G1037" t="s">
        <v>274</v>
      </c>
      <c r="H1037" t="s">
        <v>274</v>
      </c>
      <c r="I1037" t="s">
        <v>274</v>
      </c>
      <c r="J1037" t="s">
        <v>274</v>
      </c>
      <c r="K1037" t="s">
        <v>274</v>
      </c>
      <c r="L1037" t="s">
        <v>274</v>
      </c>
      <c r="M1037" t="s">
        <v>274</v>
      </c>
      <c r="N1037" t="e">
        <f t="shared" si="1"/>
        <v>#VALUE!</v>
      </c>
      <c r="O1037" t="e">
        <f t="shared" si="2"/>
        <v>#VALUE!</v>
      </c>
      <c r="P1037" t="e">
        <f>IF($A1037="","",IF($E1037=1,$F1037*$O1037,PNL!G1037))</f>
        <v>#VALUE!</v>
      </c>
      <c r="T1037" t="e">
        <f t="shared" si="3"/>
        <v>#VALUE!</v>
      </c>
    </row>
    <row r="1038" ht="14.25" customHeight="1">
      <c r="A1038" t="str">
        <f>IF(PNL!A1038="","",PNL!A1038)</f>
        <v>IPAC_REN</v>
      </c>
      <c r="B1038" t="str">
        <f>IF(PNL!B1038="","",PNL!B1038)</f>
        <v>7062</v>
      </c>
      <c r="C1038" t="str">
        <f>IF(PNL!C1038="","",PNL!C1038)</f>
        <v>2027</v>
      </c>
      <c r="D1038" t="str">
        <f>IF(PNL!D1038="","",PNL!D1038)</f>
        <v>V03</v>
      </c>
      <c r="E1038">
        <f t="shared" si="0"/>
        <v>1</v>
      </c>
      <c r="F1038">
        <f>IF($A1038="","",IF($E1038=1,_xlfn.SUMIFS(Compta!$F$1:$F$1448,Compta!$A$1:$A$1448,$A1038,Compta!$B$1:$B$1448,$B1038,Compta!$C$1:$C$1448,"2026"),0))</f>
        <v>778050</v>
      </c>
      <c r="G1038" t="s">
        <v>274</v>
      </c>
      <c r="H1038" t="s">
        <v>274</v>
      </c>
      <c r="I1038" t="s">
        <v>274</v>
      </c>
      <c r="J1038" t="s">
        <v>274</v>
      </c>
      <c r="K1038" t="s">
        <v>274</v>
      </c>
      <c r="L1038" t="s">
        <v>274</v>
      </c>
      <c r="M1038" t="s">
        <v>274</v>
      </c>
      <c r="N1038" t="e">
        <f t="shared" si="1"/>
        <v>#VALUE!</v>
      </c>
      <c r="O1038" t="e">
        <f t="shared" si="2"/>
        <v>#VALUE!</v>
      </c>
      <c r="P1038" t="e">
        <f>IF($A1038="","",IF($E1038=1,$F1038*$O1038,PNL!G1038))</f>
        <v>#VALUE!</v>
      </c>
      <c r="T1038" t="e">
        <f t="shared" si="3"/>
        <v>#VALUE!</v>
      </c>
    </row>
    <row r="1039" ht="14.25" customHeight="1">
      <c r="A1039" t="str">
        <f>IF(PNL!A1039="","",PNL!A1039)</f>
        <v>IPAC_MTP</v>
      </c>
      <c r="B1039" t="str">
        <f>IF(PNL!B1039="","",PNL!B1039)</f>
        <v>7062</v>
      </c>
      <c r="C1039" t="str">
        <f>IF(PNL!C1039="","",PNL!C1039)</f>
        <v>2027</v>
      </c>
      <c r="D1039" t="str">
        <f>IF(PNL!D1039="","",PNL!D1039)</f>
        <v>V01</v>
      </c>
      <c r="E1039">
        <f t="shared" si="0"/>
        <v>1</v>
      </c>
      <c r="F1039">
        <f>IF($A1039="","",IF($E1039=1,_xlfn.SUMIFS(Compta!$F$1:$F$1448,Compta!$A$1:$A$1448,$A1039,Compta!$B$1:$B$1448,$B1039,Compta!$C$1:$C$1448,"2026"),0))</f>
        <v>778050</v>
      </c>
      <c r="G1039" t="s">
        <v>274</v>
      </c>
      <c r="H1039" t="s">
        <v>274</v>
      </c>
      <c r="I1039" t="s">
        <v>274</v>
      </c>
      <c r="J1039" t="s">
        <v>274</v>
      </c>
      <c r="K1039" t="s">
        <v>274</v>
      </c>
      <c r="L1039" t="s">
        <v>274</v>
      </c>
      <c r="M1039" t="s">
        <v>274</v>
      </c>
      <c r="N1039" t="e">
        <f t="shared" si="1"/>
        <v>#VALUE!</v>
      </c>
      <c r="O1039" t="e">
        <f t="shared" si="2"/>
        <v>#VALUE!</v>
      </c>
      <c r="P1039" t="e">
        <f>IF($A1039="","",IF($E1039=1,$F1039*$O1039,PNL!G1039))</f>
        <v>#VALUE!</v>
      </c>
      <c r="T1039" t="e">
        <f t="shared" si="3"/>
        <v>#VALUE!</v>
      </c>
    </row>
    <row r="1040" ht="14.25" customHeight="1">
      <c r="A1040" t="str">
        <f>IF(PNL!A1040="","",PNL!A1040)</f>
        <v>IPAC_MTP</v>
      </c>
      <c r="B1040" t="str">
        <f>IF(PNL!B1040="","",PNL!B1040)</f>
        <v>7062</v>
      </c>
      <c r="C1040" t="str">
        <f>IF(PNL!C1040="","",PNL!C1040)</f>
        <v>2027</v>
      </c>
      <c r="D1040" t="str">
        <f>IF(PNL!D1040="","",PNL!D1040)</f>
        <v>V02</v>
      </c>
      <c r="E1040">
        <f t="shared" si="0"/>
        <v>1</v>
      </c>
      <c r="F1040">
        <f>IF($A1040="","",IF($E1040=1,_xlfn.SUMIFS(Compta!$F$1:$F$1448,Compta!$A$1:$A$1448,$A1040,Compta!$B$1:$B$1448,$B1040,Compta!$C$1:$C$1448,"2026"),0))</f>
        <v>778050</v>
      </c>
      <c r="G1040" t="s">
        <v>274</v>
      </c>
      <c r="H1040" t="s">
        <v>274</v>
      </c>
      <c r="I1040" t="s">
        <v>274</v>
      </c>
      <c r="J1040" t="s">
        <v>274</v>
      </c>
      <c r="K1040" t="s">
        <v>274</v>
      </c>
      <c r="L1040" t="s">
        <v>274</v>
      </c>
      <c r="M1040" t="s">
        <v>274</v>
      </c>
      <c r="N1040" t="e">
        <f t="shared" si="1"/>
        <v>#VALUE!</v>
      </c>
      <c r="O1040" t="e">
        <f t="shared" si="2"/>
        <v>#VALUE!</v>
      </c>
      <c r="P1040" t="e">
        <f>IF($A1040="","",IF($E1040=1,$F1040*$O1040,PNL!G1040))</f>
        <v>#VALUE!</v>
      </c>
      <c r="T1040" t="e">
        <f t="shared" si="3"/>
        <v>#VALUE!</v>
      </c>
    </row>
    <row r="1041" ht="14.25" customHeight="1">
      <c r="A1041" t="str">
        <f>IF(PNL!A1041="","",PNL!A1041)</f>
        <v>IPAC_MTP</v>
      </c>
      <c r="B1041" t="str">
        <f>IF(PNL!B1041="","",PNL!B1041)</f>
        <v>7062</v>
      </c>
      <c r="C1041" t="str">
        <f>IF(PNL!C1041="","",PNL!C1041)</f>
        <v>2027</v>
      </c>
      <c r="D1041" t="str">
        <f>IF(PNL!D1041="","",PNL!D1041)</f>
        <v>V03</v>
      </c>
      <c r="E1041">
        <f t="shared" si="0"/>
        <v>1</v>
      </c>
      <c r="F1041">
        <f>IF($A1041="","",IF($E1041=1,_xlfn.SUMIFS(Compta!$F$1:$F$1448,Compta!$A$1:$A$1448,$A1041,Compta!$B$1:$B$1448,$B1041,Compta!$C$1:$C$1448,"2026"),0))</f>
        <v>778050</v>
      </c>
      <c r="G1041" t="s">
        <v>274</v>
      </c>
      <c r="H1041" t="s">
        <v>274</v>
      </c>
      <c r="I1041" t="s">
        <v>274</v>
      </c>
      <c r="J1041" t="s">
        <v>274</v>
      </c>
      <c r="K1041" t="s">
        <v>274</v>
      </c>
      <c r="L1041" t="s">
        <v>274</v>
      </c>
      <c r="M1041" t="s">
        <v>274</v>
      </c>
      <c r="N1041" t="e">
        <f t="shared" si="1"/>
        <v>#VALUE!</v>
      </c>
      <c r="O1041" t="e">
        <f t="shared" si="2"/>
        <v>#VALUE!</v>
      </c>
      <c r="P1041" t="e">
        <f>IF($A1041="","",IF($E1041=1,$F1041*$O1041,PNL!G1041))</f>
        <v>#VALUE!</v>
      </c>
      <c r="T1041" t="e">
        <f t="shared" si="3"/>
        <v>#VALUE!</v>
      </c>
    </row>
    <row r="1042" ht="14.25" customHeight="1">
      <c r="A1042" t="str">
        <f>IF(PNL!A1042="","",PNL!A1042)</f>
        <v>PIGIER_LYO</v>
      </c>
      <c r="B1042" t="str">
        <f>IF(PNL!B1042="","",PNL!B1042)</f>
        <v>7062</v>
      </c>
      <c r="C1042" t="str">
        <f>IF(PNL!C1042="","",PNL!C1042)</f>
        <v>2027</v>
      </c>
      <c r="D1042" t="str">
        <f>IF(PNL!D1042="","",PNL!D1042)</f>
        <v>V01</v>
      </c>
      <c r="E1042">
        <f t="shared" si="0"/>
        <v>1</v>
      </c>
      <c r="F1042">
        <f>IF($A1042="","",IF($E1042=1,_xlfn.SUMIFS(Compta!$F$1:$F$1448,Compta!$A$1:$A$1448,$A1042,Compta!$B$1:$B$1448,$B1042,Compta!$C$1:$C$1448,"2026"),0))</f>
        <v>1242150</v>
      </c>
      <c r="G1042" t="s">
        <v>274</v>
      </c>
      <c r="H1042" t="s">
        <v>274</v>
      </c>
      <c r="I1042" t="s">
        <v>274</v>
      </c>
      <c r="J1042" t="s">
        <v>274</v>
      </c>
      <c r="K1042" t="s">
        <v>274</v>
      </c>
      <c r="L1042" t="s">
        <v>274</v>
      </c>
      <c r="M1042" t="s">
        <v>274</v>
      </c>
      <c r="N1042" t="e">
        <f t="shared" si="1"/>
        <v>#VALUE!</v>
      </c>
      <c r="O1042" t="e">
        <f t="shared" si="2"/>
        <v>#VALUE!</v>
      </c>
      <c r="P1042" t="e">
        <f>IF($A1042="","",IF($E1042=1,$F1042*$O1042,PNL!G1042))</f>
        <v>#VALUE!</v>
      </c>
      <c r="T1042" t="e">
        <f t="shared" si="3"/>
        <v>#VALUE!</v>
      </c>
    </row>
    <row r="1043" ht="14.25" customHeight="1">
      <c r="A1043" t="str">
        <f>IF(PNL!A1043="","",PNL!A1043)</f>
        <v>PIGIER_LYO</v>
      </c>
      <c r="B1043" t="str">
        <f>IF(PNL!B1043="","",PNL!B1043)</f>
        <v>7062</v>
      </c>
      <c r="C1043" t="str">
        <f>IF(PNL!C1043="","",PNL!C1043)</f>
        <v>2027</v>
      </c>
      <c r="D1043" t="str">
        <f>IF(PNL!D1043="","",PNL!D1043)</f>
        <v>V02</v>
      </c>
      <c r="E1043">
        <f t="shared" si="0"/>
        <v>1</v>
      </c>
      <c r="F1043">
        <f>IF($A1043="","",IF($E1043=1,_xlfn.SUMIFS(Compta!$F$1:$F$1448,Compta!$A$1:$A$1448,$A1043,Compta!$B$1:$B$1448,$B1043,Compta!$C$1:$C$1448,"2026"),0))</f>
        <v>1242150</v>
      </c>
      <c r="G1043" t="s">
        <v>274</v>
      </c>
      <c r="H1043" t="s">
        <v>274</v>
      </c>
      <c r="I1043" t="s">
        <v>274</v>
      </c>
      <c r="J1043" t="s">
        <v>274</v>
      </c>
      <c r="K1043" t="s">
        <v>274</v>
      </c>
      <c r="L1043" t="s">
        <v>274</v>
      </c>
      <c r="M1043" t="s">
        <v>274</v>
      </c>
      <c r="N1043" t="e">
        <f t="shared" si="1"/>
        <v>#VALUE!</v>
      </c>
      <c r="O1043" t="e">
        <f t="shared" si="2"/>
        <v>#VALUE!</v>
      </c>
      <c r="P1043" t="e">
        <f>IF($A1043="","",IF($E1043=1,$F1043*$O1043,PNL!G1043))</f>
        <v>#VALUE!</v>
      </c>
      <c r="T1043" t="e">
        <f t="shared" si="3"/>
        <v>#VALUE!</v>
      </c>
    </row>
    <row r="1044" ht="14.25" customHeight="1">
      <c r="A1044" t="str">
        <f>IF(PNL!A1044="","",PNL!A1044)</f>
        <v>PIGIER_LYO</v>
      </c>
      <c r="B1044" t="str">
        <f>IF(PNL!B1044="","",PNL!B1044)</f>
        <v>7062</v>
      </c>
      <c r="C1044" t="str">
        <f>IF(PNL!C1044="","",PNL!C1044)</f>
        <v>2027</v>
      </c>
      <c r="D1044" t="str">
        <f>IF(PNL!D1044="","",PNL!D1044)</f>
        <v>V03</v>
      </c>
      <c r="E1044">
        <f t="shared" si="0"/>
        <v>1</v>
      </c>
      <c r="F1044">
        <f>IF($A1044="","",IF($E1044=1,_xlfn.SUMIFS(Compta!$F$1:$F$1448,Compta!$A$1:$A$1448,$A1044,Compta!$B$1:$B$1448,$B1044,Compta!$C$1:$C$1448,"2026"),0))</f>
        <v>1242150</v>
      </c>
      <c r="G1044" t="s">
        <v>274</v>
      </c>
      <c r="H1044" t="s">
        <v>274</v>
      </c>
      <c r="I1044" t="s">
        <v>274</v>
      </c>
      <c r="J1044" t="s">
        <v>274</v>
      </c>
      <c r="K1044" t="s">
        <v>274</v>
      </c>
      <c r="L1044" t="s">
        <v>274</v>
      </c>
      <c r="M1044" t="s">
        <v>274</v>
      </c>
      <c r="N1044" t="e">
        <f t="shared" si="1"/>
        <v>#VALUE!</v>
      </c>
      <c r="O1044" t="e">
        <f t="shared" si="2"/>
        <v>#VALUE!</v>
      </c>
      <c r="P1044" t="e">
        <f>IF($A1044="","",IF($E1044=1,$F1044*$O1044,PNL!G1044))</f>
        <v>#VALUE!</v>
      </c>
      <c r="T1044" t="e">
        <f t="shared" si="3"/>
        <v>#VALUE!</v>
      </c>
    </row>
    <row r="1045" ht="14.25" customHeight="1">
      <c r="A1045" t="str">
        <f>IF(PNL!A1045="","",PNL!A1045)</f>
        <v>PIGIER_BOR</v>
      </c>
      <c r="B1045" t="str">
        <f>IF(PNL!B1045="","",PNL!B1045)</f>
        <v>7062</v>
      </c>
      <c r="C1045" t="str">
        <f>IF(PNL!C1045="","",PNL!C1045)</f>
        <v>2027</v>
      </c>
      <c r="D1045" t="str">
        <f>IF(PNL!D1045="","",PNL!D1045)</f>
        <v>V01</v>
      </c>
      <c r="E1045">
        <f t="shared" si="0"/>
        <v>1</v>
      </c>
      <c r="F1045">
        <f>IF($A1045="","",IF($E1045=1,_xlfn.SUMIFS(Compta!$F$1:$F$1448,Compta!$A$1:$A$1448,$A1045,Compta!$B$1:$B$1448,$B1045,Compta!$C$1:$C$1448,"2026"),0))</f>
        <v>895310</v>
      </c>
      <c r="G1045" t="s">
        <v>274</v>
      </c>
      <c r="H1045" t="s">
        <v>274</v>
      </c>
      <c r="I1045" t="s">
        <v>274</v>
      </c>
      <c r="J1045" t="s">
        <v>274</v>
      </c>
      <c r="K1045" t="s">
        <v>274</v>
      </c>
      <c r="L1045" t="s">
        <v>274</v>
      </c>
      <c r="M1045" t="s">
        <v>274</v>
      </c>
      <c r="N1045" t="e">
        <f t="shared" si="1"/>
        <v>#VALUE!</v>
      </c>
      <c r="O1045" t="e">
        <f t="shared" si="2"/>
        <v>#VALUE!</v>
      </c>
      <c r="P1045" t="e">
        <f>IF($A1045="","",IF($E1045=1,$F1045*$O1045,PNL!G1045))</f>
        <v>#VALUE!</v>
      </c>
      <c r="T1045" t="e">
        <f t="shared" si="3"/>
        <v>#VALUE!</v>
      </c>
    </row>
    <row r="1046" ht="14.25" customHeight="1">
      <c r="A1046" t="str">
        <f>IF(PNL!A1046="","",PNL!A1046)</f>
        <v>PIGIER_BOR</v>
      </c>
      <c r="B1046" t="str">
        <f>IF(PNL!B1046="","",PNL!B1046)</f>
        <v>7062</v>
      </c>
      <c r="C1046" t="str">
        <f>IF(PNL!C1046="","",PNL!C1046)</f>
        <v>2027</v>
      </c>
      <c r="D1046" t="str">
        <f>IF(PNL!D1046="","",PNL!D1046)</f>
        <v>V02</v>
      </c>
      <c r="E1046">
        <f t="shared" si="0"/>
        <v>1</v>
      </c>
      <c r="F1046">
        <f>IF($A1046="","",IF($E1046=1,_xlfn.SUMIFS(Compta!$F$1:$F$1448,Compta!$A$1:$A$1448,$A1046,Compta!$B$1:$B$1448,$B1046,Compta!$C$1:$C$1448,"2026"),0))</f>
        <v>895310</v>
      </c>
      <c r="G1046" t="s">
        <v>274</v>
      </c>
      <c r="H1046" t="s">
        <v>274</v>
      </c>
      <c r="I1046" t="s">
        <v>274</v>
      </c>
      <c r="J1046" t="s">
        <v>274</v>
      </c>
      <c r="K1046" t="s">
        <v>274</v>
      </c>
      <c r="L1046" t="s">
        <v>274</v>
      </c>
      <c r="M1046" t="s">
        <v>274</v>
      </c>
      <c r="N1046" t="e">
        <f t="shared" si="1"/>
        <v>#VALUE!</v>
      </c>
      <c r="O1046" t="e">
        <f t="shared" si="2"/>
        <v>#VALUE!</v>
      </c>
      <c r="P1046" t="e">
        <f>IF($A1046="","",IF($E1046=1,$F1046*$O1046,PNL!G1046))</f>
        <v>#VALUE!</v>
      </c>
      <c r="T1046" t="e">
        <f t="shared" si="3"/>
        <v>#VALUE!</v>
      </c>
    </row>
    <row r="1047" ht="14.25" customHeight="1">
      <c r="A1047" t="str">
        <f>IF(PNL!A1047="","",PNL!A1047)</f>
        <v>PIGIER_BOR</v>
      </c>
      <c r="B1047" t="str">
        <f>IF(PNL!B1047="","",PNL!B1047)</f>
        <v>7062</v>
      </c>
      <c r="C1047" t="str">
        <f>IF(PNL!C1047="","",PNL!C1047)</f>
        <v>2027</v>
      </c>
      <c r="D1047" t="str">
        <f>IF(PNL!D1047="","",PNL!D1047)</f>
        <v>V03</v>
      </c>
      <c r="E1047">
        <f t="shared" si="0"/>
        <v>1</v>
      </c>
      <c r="F1047">
        <f>IF($A1047="","",IF($E1047=1,_xlfn.SUMIFS(Compta!$F$1:$F$1448,Compta!$A$1:$A$1448,$A1047,Compta!$B$1:$B$1448,$B1047,Compta!$C$1:$C$1448,"2026"),0))</f>
        <v>895310</v>
      </c>
      <c r="G1047" t="s">
        <v>274</v>
      </c>
      <c r="H1047" t="s">
        <v>274</v>
      </c>
      <c r="I1047" t="s">
        <v>274</v>
      </c>
      <c r="J1047" t="s">
        <v>274</v>
      </c>
      <c r="K1047" t="s">
        <v>274</v>
      </c>
      <c r="L1047" t="s">
        <v>274</v>
      </c>
      <c r="M1047" t="s">
        <v>274</v>
      </c>
      <c r="N1047" t="e">
        <f t="shared" si="1"/>
        <v>#VALUE!</v>
      </c>
      <c r="O1047" t="e">
        <f t="shared" si="2"/>
        <v>#VALUE!</v>
      </c>
      <c r="P1047" t="e">
        <f>IF($A1047="","",IF($E1047=1,$F1047*$O1047,PNL!G1047))</f>
        <v>#VALUE!</v>
      </c>
      <c r="T1047" t="e">
        <f t="shared" si="3"/>
        <v>#VALUE!</v>
      </c>
    </row>
    <row r="1048" ht="14.25" customHeight="1">
      <c r="A1048" t="str">
        <f>IF(PNL!A1048="","",PNL!A1048)</f>
        <v>TUNON_PAR</v>
      </c>
      <c r="B1048" t="str">
        <f>IF(PNL!B1048="","",PNL!B1048)</f>
        <v>7062</v>
      </c>
      <c r="C1048" t="str">
        <f>IF(PNL!C1048="","",PNL!C1048)</f>
        <v>2027</v>
      </c>
      <c r="D1048" t="str">
        <f>IF(PNL!D1048="","",PNL!D1048)</f>
        <v>V01</v>
      </c>
      <c r="E1048">
        <f t="shared" si="0"/>
        <v>1</v>
      </c>
      <c r="F1048">
        <f>IF($A1048="","",IF($E1048=1,_xlfn.SUMIFS(Compta!$F$1:$F$1448,Compta!$A$1:$A$1448,$A1048,Compta!$B$1:$B$1448,$B1048,Compta!$C$1:$C$1448,"2026"),0))</f>
        <v>1081920</v>
      </c>
      <c r="G1048" t="s">
        <v>274</v>
      </c>
      <c r="H1048" t="s">
        <v>274</v>
      </c>
      <c r="I1048" t="s">
        <v>274</v>
      </c>
      <c r="J1048" t="s">
        <v>274</v>
      </c>
      <c r="K1048" t="s">
        <v>274</v>
      </c>
      <c r="L1048" t="s">
        <v>274</v>
      </c>
      <c r="M1048" t="s">
        <v>274</v>
      </c>
      <c r="N1048" t="e">
        <f t="shared" si="1"/>
        <v>#VALUE!</v>
      </c>
      <c r="O1048" t="e">
        <f t="shared" si="2"/>
        <v>#VALUE!</v>
      </c>
      <c r="P1048" t="e">
        <f>IF($A1048="","",IF($E1048=1,$F1048*$O1048,PNL!G1048))</f>
        <v>#VALUE!</v>
      </c>
      <c r="T1048" t="e">
        <f t="shared" si="3"/>
        <v>#VALUE!</v>
      </c>
    </row>
    <row r="1049" ht="14.25" customHeight="1">
      <c r="A1049" t="str">
        <f>IF(PNL!A1049="","",PNL!A1049)</f>
        <v>TUNON_PAR</v>
      </c>
      <c r="B1049" t="str">
        <f>IF(PNL!B1049="","",PNL!B1049)</f>
        <v>7062</v>
      </c>
      <c r="C1049" t="str">
        <f>IF(PNL!C1049="","",PNL!C1049)</f>
        <v>2027</v>
      </c>
      <c r="D1049" t="str">
        <f>IF(PNL!D1049="","",PNL!D1049)</f>
        <v>V02</v>
      </c>
      <c r="E1049">
        <f t="shared" si="0"/>
        <v>1</v>
      </c>
      <c r="F1049">
        <f>IF($A1049="","",IF($E1049=1,_xlfn.SUMIFS(Compta!$F$1:$F$1448,Compta!$A$1:$A$1448,$A1049,Compta!$B$1:$B$1448,$B1049,Compta!$C$1:$C$1448,"2026"),0))</f>
        <v>1081920</v>
      </c>
      <c r="G1049" t="s">
        <v>274</v>
      </c>
      <c r="H1049" t="s">
        <v>274</v>
      </c>
      <c r="I1049" t="s">
        <v>274</v>
      </c>
      <c r="J1049" t="s">
        <v>274</v>
      </c>
      <c r="K1049" t="s">
        <v>274</v>
      </c>
      <c r="L1049" t="s">
        <v>274</v>
      </c>
      <c r="M1049" t="s">
        <v>274</v>
      </c>
      <c r="N1049" t="e">
        <f t="shared" si="1"/>
        <v>#VALUE!</v>
      </c>
      <c r="O1049" t="e">
        <f t="shared" si="2"/>
        <v>#VALUE!</v>
      </c>
      <c r="P1049" t="e">
        <f>IF($A1049="","",IF($E1049=1,$F1049*$O1049,PNL!G1049))</f>
        <v>#VALUE!</v>
      </c>
      <c r="T1049" t="e">
        <f t="shared" si="3"/>
        <v>#VALUE!</v>
      </c>
    </row>
    <row r="1050" ht="14.25" customHeight="1">
      <c r="A1050" t="str">
        <f>IF(PNL!A1050="","",PNL!A1050)</f>
        <v>TUNON_PAR</v>
      </c>
      <c r="B1050" t="str">
        <f>IF(PNL!B1050="","",PNL!B1050)</f>
        <v>7062</v>
      </c>
      <c r="C1050" t="str">
        <f>IF(PNL!C1050="","",PNL!C1050)</f>
        <v>2027</v>
      </c>
      <c r="D1050" t="str">
        <f>IF(PNL!D1050="","",PNL!D1050)</f>
        <v>V03</v>
      </c>
      <c r="E1050">
        <f t="shared" si="0"/>
        <v>1</v>
      </c>
      <c r="F1050">
        <f>IF($A1050="","",IF($E1050=1,_xlfn.SUMIFS(Compta!$F$1:$F$1448,Compta!$A$1:$A$1448,$A1050,Compta!$B$1:$B$1448,$B1050,Compta!$C$1:$C$1448,"2026"),0))</f>
        <v>1081920</v>
      </c>
      <c r="G1050" t="s">
        <v>274</v>
      </c>
      <c r="H1050" t="s">
        <v>274</v>
      </c>
      <c r="I1050" t="s">
        <v>274</v>
      </c>
      <c r="J1050" t="s">
        <v>274</v>
      </c>
      <c r="K1050" t="s">
        <v>274</v>
      </c>
      <c r="L1050" t="s">
        <v>274</v>
      </c>
      <c r="M1050" t="s">
        <v>274</v>
      </c>
      <c r="N1050" t="e">
        <f t="shared" si="1"/>
        <v>#VALUE!</v>
      </c>
      <c r="O1050" t="e">
        <f t="shared" si="2"/>
        <v>#VALUE!</v>
      </c>
      <c r="P1050" t="e">
        <f>IF($A1050="","",IF($E1050=1,$F1050*$O1050,PNL!G1050))</f>
        <v>#VALUE!</v>
      </c>
      <c r="T1050" t="e">
        <f t="shared" si="3"/>
        <v>#VALUE!</v>
      </c>
    </row>
    <row r="1051" ht="14.25" customHeight="1">
      <c r="A1051" t="str">
        <f>IF(PNL!A1051="","",PNL!A1051)</f>
        <v>TUNON_LYO</v>
      </c>
      <c r="B1051" t="str">
        <f>IF(PNL!B1051="","",PNL!B1051)</f>
        <v>7062</v>
      </c>
      <c r="C1051" t="str">
        <f>IF(PNL!C1051="","",PNL!C1051)</f>
        <v>2027</v>
      </c>
      <c r="D1051" t="str">
        <f>IF(PNL!D1051="","",PNL!D1051)</f>
        <v>V01</v>
      </c>
      <c r="E1051">
        <f t="shared" si="0"/>
        <v>1</v>
      </c>
      <c r="F1051">
        <f>IF($A1051="","",IF($E1051=1,_xlfn.SUMIFS(Compta!$F$1:$F$1448,Compta!$A$1:$A$1448,$A1051,Compta!$B$1:$B$1448,$B1051,Compta!$C$1:$C$1448,"2026"),0))</f>
        <v>859950</v>
      </c>
      <c r="G1051" t="s">
        <v>274</v>
      </c>
      <c r="H1051" t="s">
        <v>274</v>
      </c>
      <c r="I1051" t="s">
        <v>274</v>
      </c>
      <c r="J1051" t="s">
        <v>274</v>
      </c>
      <c r="K1051" t="s">
        <v>274</v>
      </c>
      <c r="L1051" t="s">
        <v>274</v>
      </c>
      <c r="M1051" t="s">
        <v>274</v>
      </c>
      <c r="N1051" t="e">
        <f t="shared" si="1"/>
        <v>#VALUE!</v>
      </c>
      <c r="O1051" t="e">
        <f t="shared" si="2"/>
        <v>#VALUE!</v>
      </c>
      <c r="P1051" t="e">
        <f>IF($A1051="","",IF($E1051=1,$F1051*$O1051,PNL!G1051))</f>
        <v>#VALUE!</v>
      </c>
      <c r="T1051" t="e">
        <f t="shared" si="3"/>
        <v>#VALUE!</v>
      </c>
    </row>
    <row r="1052" ht="14.25" customHeight="1">
      <c r="A1052" t="str">
        <f>IF(PNL!A1052="","",PNL!A1052)</f>
        <v>TUNON_LYO</v>
      </c>
      <c r="B1052" t="str">
        <f>IF(PNL!B1052="","",PNL!B1052)</f>
        <v>7062</v>
      </c>
      <c r="C1052" t="str">
        <f>IF(PNL!C1052="","",PNL!C1052)</f>
        <v>2027</v>
      </c>
      <c r="D1052" t="str">
        <f>IF(PNL!D1052="","",PNL!D1052)</f>
        <v>V02</v>
      </c>
      <c r="E1052">
        <f t="shared" si="0"/>
        <v>1</v>
      </c>
      <c r="F1052">
        <f>IF($A1052="","",IF($E1052=1,_xlfn.SUMIFS(Compta!$F$1:$F$1448,Compta!$A$1:$A$1448,$A1052,Compta!$B$1:$B$1448,$B1052,Compta!$C$1:$C$1448,"2026"),0))</f>
        <v>859950</v>
      </c>
      <c r="G1052" t="s">
        <v>274</v>
      </c>
      <c r="H1052" t="s">
        <v>274</v>
      </c>
      <c r="I1052" t="s">
        <v>274</v>
      </c>
      <c r="J1052" t="s">
        <v>274</v>
      </c>
      <c r="K1052" t="s">
        <v>274</v>
      </c>
      <c r="L1052" t="s">
        <v>274</v>
      </c>
      <c r="M1052" t="s">
        <v>274</v>
      </c>
      <c r="N1052" t="e">
        <f t="shared" si="1"/>
        <v>#VALUE!</v>
      </c>
      <c r="O1052" t="e">
        <f t="shared" si="2"/>
        <v>#VALUE!</v>
      </c>
      <c r="P1052" t="e">
        <f>IF($A1052="","",IF($E1052=1,$F1052*$O1052,PNL!G1052))</f>
        <v>#VALUE!</v>
      </c>
      <c r="T1052" t="e">
        <f t="shared" si="3"/>
        <v>#VALUE!</v>
      </c>
    </row>
    <row r="1053" ht="14.25" customHeight="1">
      <c r="A1053" t="str">
        <f>IF(PNL!A1053="","",PNL!A1053)</f>
        <v>TUNON_LYO</v>
      </c>
      <c r="B1053" t="str">
        <f>IF(PNL!B1053="","",PNL!B1053)</f>
        <v>7062</v>
      </c>
      <c r="C1053" t="str">
        <f>IF(PNL!C1053="","",PNL!C1053)</f>
        <v>2027</v>
      </c>
      <c r="D1053" t="str">
        <f>IF(PNL!D1053="","",PNL!D1053)</f>
        <v>V03</v>
      </c>
      <c r="E1053">
        <f t="shared" si="0"/>
        <v>1</v>
      </c>
      <c r="F1053">
        <f>IF($A1053="","",IF($E1053=1,_xlfn.SUMIFS(Compta!$F$1:$F$1448,Compta!$A$1:$A$1448,$A1053,Compta!$B$1:$B$1448,$B1053,Compta!$C$1:$C$1448,"2026"),0))</f>
        <v>859950</v>
      </c>
      <c r="G1053" t="s">
        <v>274</v>
      </c>
      <c r="H1053" t="s">
        <v>274</v>
      </c>
      <c r="I1053" t="s">
        <v>274</v>
      </c>
      <c r="J1053" t="s">
        <v>274</v>
      </c>
      <c r="K1053" t="s">
        <v>274</v>
      </c>
      <c r="L1053" t="s">
        <v>274</v>
      </c>
      <c r="M1053" t="s">
        <v>274</v>
      </c>
      <c r="N1053" t="e">
        <f t="shared" si="1"/>
        <v>#VALUE!</v>
      </c>
      <c r="O1053" t="e">
        <f t="shared" si="2"/>
        <v>#VALUE!</v>
      </c>
      <c r="P1053" t="e">
        <f>IF($A1053="","",IF($E1053=1,$F1053*$O1053,PNL!G1053))</f>
        <v>#VALUE!</v>
      </c>
      <c r="T1053" t="e">
        <f t="shared" si="3"/>
        <v>#VALUE!</v>
      </c>
    </row>
    <row r="1054" ht="14.25" customHeight="1">
      <c r="A1054" t="str">
        <f>IF(PNL!A1054="","",PNL!A1054)</f>
        <v>MBWAY_PAR</v>
      </c>
      <c r="B1054" t="str">
        <f>IF(PNL!B1054="","",PNL!B1054)</f>
        <v>706</v>
      </c>
      <c r="C1054" t="str">
        <f>IF(PNL!C1054="","",PNL!C1054)</f>
        <v>2027</v>
      </c>
      <c r="D1054" t="str">
        <f>IF(PNL!D1054="","",PNL!D1054)</f>
        <v>V01</v>
      </c>
      <c r="E1054">
        <f t="shared" si="0"/>
        <v>1</v>
      </c>
      <c r="F1054">
        <f>IF($A1054="","",IF($E1054=1,_xlfn.SUMIFS(Compta!$F$1:$F$1448,Compta!$A$1:$A$1448,$A1054,Compta!$B$1:$B$1448,$B1054,Compta!$C$1:$C$1448,"2026"),0))</f>
        <v>655200</v>
      </c>
      <c r="G1054" t="s">
        <v>274</v>
      </c>
      <c r="H1054" t="s">
        <v>274</v>
      </c>
      <c r="I1054" t="s">
        <v>274</v>
      </c>
      <c r="J1054" t="s">
        <v>274</v>
      </c>
      <c r="K1054" t="s">
        <v>274</v>
      </c>
      <c r="L1054" t="s">
        <v>274</v>
      </c>
      <c r="M1054" t="s">
        <v>274</v>
      </c>
      <c r="N1054" t="e">
        <f t="shared" si="1"/>
        <v>#VALUE!</v>
      </c>
      <c r="O1054" t="e">
        <f t="shared" si="2"/>
        <v>#VALUE!</v>
      </c>
      <c r="P1054" t="e">
        <f>IF($A1054="","",IF($E1054=1,$F1054*$O1054,PNL!G1054))</f>
        <v>#VALUE!</v>
      </c>
      <c r="T1054" t="e">
        <f t="shared" si="3"/>
        <v>#VALUE!</v>
      </c>
    </row>
    <row r="1055" ht="14.25" customHeight="1">
      <c r="A1055" t="str">
        <f>IF(PNL!A1055="","",PNL!A1055)</f>
        <v>MBWAY_PAR</v>
      </c>
      <c r="B1055" t="str">
        <f>IF(PNL!B1055="","",PNL!B1055)</f>
        <v>706</v>
      </c>
      <c r="C1055" t="str">
        <f>IF(PNL!C1055="","",PNL!C1055)</f>
        <v>2027</v>
      </c>
      <c r="D1055" t="str">
        <f>IF(PNL!D1055="","",PNL!D1055)</f>
        <v>V02</v>
      </c>
      <c r="E1055">
        <f t="shared" si="0"/>
        <v>1</v>
      </c>
      <c r="F1055">
        <f>IF($A1055="","",IF($E1055=1,_xlfn.SUMIFS(Compta!$F$1:$F$1448,Compta!$A$1:$A$1448,$A1055,Compta!$B$1:$B$1448,$B1055,Compta!$C$1:$C$1448,"2026"),0))</f>
        <v>655200</v>
      </c>
      <c r="G1055" t="s">
        <v>274</v>
      </c>
      <c r="H1055" t="s">
        <v>274</v>
      </c>
      <c r="I1055" t="s">
        <v>274</v>
      </c>
      <c r="J1055" t="s">
        <v>274</v>
      </c>
      <c r="K1055" t="s">
        <v>274</v>
      </c>
      <c r="L1055" t="s">
        <v>274</v>
      </c>
      <c r="M1055" t="s">
        <v>274</v>
      </c>
      <c r="N1055" t="e">
        <f t="shared" si="1"/>
        <v>#VALUE!</v>
      </c>
      <c r="O1055" t="e">
        <f t="shared" si="2"/>
        <v>#VALUE!</v>
      </c>
      <c r="P1055" t="e">
        <f>IF($A1055="","",IF($E1055=1,$F1055*$O1055,PNL!G1055))</f>
        <v>#VALUE!</v>
      </c>
      <c r="T1055" t="e">
        <f t="shared" si="3"/>
        <v>#VALUE!</v>
      </c>
    </row>
    <row r="1056" ht="14.25" customHeight="1">
      <c r="A1056" t="str">
        <f>IF(PNL!A1056="","",PNL!A1056)</f>
        <v>MBWAY_PAR</v>
      </c>
      <c r="B1056" t="str">
        <f>IF(PNL!B1056="","",PNL!B1056)</f>
        <v>706</v>
      </c>
      <c r="C1056" t="str">
        <f>IF(PNL!C1056="","",PNL!C1056)</f>
        <v>2027</v>
      </c>
      <c r="D1056" t="str">
        <f>IF(PNL!D1056="","",PNL!D1056)</f>
        <v>V03</v>
      </c>
      <c r="E1056">
        <f t="shared" si="0"/>
        <v>1</v>
      </c>
      <c r="F1056">
        <f>IF($A1056="","",IF($E1056=1,_xlfn.SUMIFS(Compta!$F$1:$F$1448,Compta!$A$1:$A$1448,$A1056,Compta!$B$1:$B$1448,$B1056,Compta!$C$1:$C$1448,"2026"),0))</f>
        <v>655200</v>
      </c>
      <c r="G1056" t="s">
        <v>274</v>
      </c>
      <c r="H1056" t="s">
        <v>274</v>
      </c>
      <c r="I1056" t="s">
        <v>274</v>
      </c>
      <c r="J1056" t="s">
        <v>274</v>
      </c>
      <c r="K1056" t="s">
        <v>274</v>
      </c>
      <c r="L1056" t="s">
        <v>274</v>
      </c>
      <c r="M1056" t="s">
        <v>274</v>
      </c>
      <c r="N1056" t="e">
        <f t="shared" si="1"/>
        <v>#VALUE!</v>
      </c>
      <c r="O1056" t="e">
        <f t="shared" si="2"/>
        <v>#VALUE!</v>
      </c>
      <c r="P1056" t="e">
        <f>IF($A1056="","",IF($E1056=1,$F1056*$O1056,PNL!G1056))</f>
        <v>#VALUE!</v>
      </c>
      <c r="T1056" t="e">
        <f t="shared" si="3"/>
        <v>#VALUE!</v>
      </c>
    </row>
    <row r="1057" ht="14.25" customHeight="1">
      <c r="A1057" t="str">
        <f>IF(PNL!A1057="","",PNL!A1057)</f>
        <v>MBWAY_LYO</v>
      </c>
      <c r="B1057" t="str">
        <f>IF(PNL!B1057="","",PNL!B1057)</f>
        <v>706</v>
      </c>
      <c r="C1057" t="str">
        <f>IF(PNL!C1057="","",PNL!C1057)</f>
        <v>2027</v>
      </c>
      <c r="D1057" t="str">
        <f>IF(PNL!D1057="","",PNL!D1057)</f>
        <v>V01</v>
      </c>
      <c r="E1057">
        <f t="shared" si="0"/>
        <v>1</v>
      </c>
      <c r="F1057">
        <f>IF($A1057="","",IF($E1057=1,_xlfn.SUMIFS(Compta!$F$1:$F$1448,Compta!$A$1:$A$1448,$A1057,Compta!$B$1:$B$1448,$B1057,Compta!$C$1:$C$1448,"2026"),0))</f>
        <v>519750</v>
      </c>
      <c r="G1057" t="s">
        <v>274</v>
      </c>
      <c r="H1057" t="s">
        <v>274</v>
      </c>
      <c r="I1057" t="s">
        <v>274</v>
      </c>
      <c r="J1057" t="s">
        <v>274</v>
      </c>
      <c r="K1057" t="s">
        <v>274</v>
      </c>
      <c r="L1057" t="s">
        <v>274</v>
      </c>
      <c r="M1057" t="s">
        <v>274</v>
      </c>
      <c r="N1057" t="e">
        <f t="shared" si="1"/>
        <v>#VALUE!</v>
      </c>
      <c r="O1057" t="e">
        <f t="shared" si="2"/>
        <v>#VALUE!</v>
      </c>
      <c r="P1057" t="e">
        <f>IF($A1057="","",IF($E1057=1,$F1057*$O1057,PNL!G1057))</f>
        <v>#VALUE!</v>
      </c>
      <c r="T1057" t="e">
        <f t="shared" si="3"/>
        <v>#VALUE!</v>
      </c>
    </row>
    <row r="1058" ht="14.25" customHeight="1">
      <c r="A1058" t="str">
        <f>IF(PNL!A1058="","",PNL!A1058)</f>
        <v>MBWAY_LYO</v>
      </c>
      <c r="B1058" t="str">
        <f>IF(PNL!B1058="","",PNL!B1058)</f>
        <v>706</v>
      </c>
      <c r="C1058" t="str">
        <f>IF(PNL!C1058="","",PNL!C1058)</f>
        <v>2027</v>
      </c>
      <c r="D1058" t="str">
        <f>IF(PNL!D1058="","",PNL!D1058)</f>
        <v>V02</v>
      </c>
      <c r="E1058">
        <f t="shared" si="0"/>
        <v>1</v>
      </c>
      <c r="F1058">
        <f>IF($A1058="","",IF($E1058=1,_xlfn.SUMIFS(Compta!$F$1:$F$1448,Compta!$A$1:$A$1448,$A1058,Compta!$B$1:$B$1448,$B1058,Compta!$C$1:$C$1448,"2026"),0))</f>
        <v>519750</v>
      </c>
      <c r="G1058" t="s">
        <v>274</v>
      </c>
      <c r="H1058" t="s">
        <v>274</v>
      </c>
      <c r="I1058" t="s">
        <v>274</v>
      </c>
      <c r="J1058" t="s">
        <v>274</v>
      </c>
      <c r="K1058" t="s">
        <v>274</v>
      </c>
      <c r="L1058" t="s">
        <v>274</v>
      </c>
      <c r="M1058" t="s">
        <v>274</v>
      </c>
      <c r="N1058" t="e">
        <f t="shared" si="1"/>
        <v>#VALUE!</v>
      </c>
      <c r="O1058" t="e">
        <f t="shared" si="2"/>
        <v>#VALUE!</v>
      </c>
      <c r="P1058" t="e">
        <f>IF($A1058="","",IF($E1058=1,$F1058*$O1058,PNL!G1058))</f>
        <v>#VALUE!</v>
      </c>
      <c r="T1058" t="e">
        <f t="shared" si="3"/>
        <v>#VALUE!</v>
      </c>
    </row>
    <row r="1059" ht="14.25" customHeight="1">
      <c r="A1059" t="str">
        <f>IF(PNL!A1059="","",PNL!A1059)</f>
        <v>MBWAY_LYO</v>
      </c>
      <c r="B1059" t="str">
        <f>IF(PNL!B1059="","",PNL!B1059)</f>
        <v>706</v>
      </c>
      <c r="C1059" t="str">
        <f>IF(PNL!C1059="","",PNL!C1059)</f>
        <v>2027</v>
      </c>
      <c r="D1059" t="str">
        <f>IF(PNL!D1059="","",PNL!D1059)</f>
        <v>V03</v>
      </c>
      <c r="E1059">
        <f t="shared" si="0"/>
        <v>1</v>
      </c>
      <c r="F1059">
        <f>IF($A1059="","",IF($E1059=1,_xlfn.SUMIFS(Compta!$F$1:$F$1448,Compta!$A$1:$A$1448,$A1059,Compta!$B$1:$B$1448,$B1059,Compta!$C$1:$C$1448,"2026"),0))</f>
        <v>519750</v>
      </c>
      <c r="G1059" t="s">
        <v>274</v>
      </c>
      <c r="H1059" t="s">
        <v>274</v>
      </c>
      <c r="I1059" t="s">
        <v>274</v>
      </c>
      <c r="J1059" t="s">
        <v>274</v>
      </c>
      <c r="K1059" t="s">
        <v>274</v>
      </c>
      <c r="L1059" t="s">
        <v>274</v>
      </c>
      <c r="M1059" t="s">
        <v>274</v>
      </c>
      <c r="N1059" t="e">
        <f t="shared" si="1"/>
        <v>#VALUE!</v>
      </c>
      <c r="O1059" t="e">
        <f t="shared" si="2"/>
        <v>#VALUE!</v>
      </c>
      <c r="P1059" t="e">
        <f>IF($A1059="","",IF($E1059=1,$F1059*$O1059,PNL!G1059))</f>
        <v>#VALUE!</v>
      </c>
      <c r="T1059" t="e">
        <f t="shared" si="3"/>
        <v>#VALUE!</v>
      </c>
    </row>
    <row r="1060" ht="14.25" customHeight="1">
      <c r="A1060" t="str">
        <f>IF(PNL!A1060="","",PNL!A1060)</f>
        <v>MBWAY_NAN</v>
      </c>
      <c r="B1060" t="str">
        <f>IF(PNL!B1060="","",PNL!B1060)</f>
        <v>706</v>
      </c>
      <c r="C1060" t="str">
        <f>IF(PNL!C1060="","",PNL!C1060)</f>
        <v>2027</v>
      </c>
      <c r="D1060" t="str">
        <f>IF(PNL!D1060="","",PNL!D1060)</f>
        <v>V01</v>
      </c>
      <c r="E1060">
        <f t="shared" si="0"/>
        <v>1</v>
      </c>
      <c r="F1060">
        <f>IF($A1060="","",IF($E1060=1,_xlfn.SUMIFS(Compta!$F$1:$F$1448,Compta!$A$1:$A$1448,$A1060,Compta!$B$1:$B$1448,$B1060,Compta!$C$1:$C$1448,"2026"),0))</f>
        <v>450000</v>
      </c>
      <c r="G1060" t="s">
        <v>274</v>
      </c>
      <c r="H1060" t="s">
        <v>274</v>
      </c>
      <c r="I1060" t="s">
        <v>274</v>
      </c>
      <c r="J1060" t="s">
        <v>274</v>
      </c>
      <c r="K1060" t="s">
        <v>274</v>
      </c>
      <c r="L1060" t="s">
        <v>274</v>
      </c>
      <c r="M1060" t="s">
        <v>274</v>
      </c>
      <c r="N1060" t="e">
        <f t="shared" si="1"/>
        <v>#VALUE!</v>
      </c>
      <c r="O1060" t="e">
        <f t="shared" si="2"/>
        <v>#VALUE!</v>
      </c>
      <c r="P1060" t="e">
        <f>IF($A1060="","",IF($E1060=1,$F1060*$O1060,PNL!G1060))</f>
        <v>#VALUE!</v>
      </c>
      <c r="T1060" t="e">
        <f t="shared" si="3"/>
        <v>#VALUE!</v>
      </c>
    </row>
    <row r="1061" ht="14.25" customHeight="1">
      <c r="A1061" t="str">
        <f>IF(PNL!A1061="","",PNL!A1061)</f>
        <v>MBWAY_NAN</v>
      </c>
      <c r="B1061" t="str">
        <f>IF(PNL!B1061="","",PNL!B1061)</f>
        <v>706</v>
      </c>
      <c r="C1061" t="str">
        <f>IF(PNL!C1061="","",PNL!C1061)</f>
        <v>2027</v>
      </c>
      <c r="D1061" t="str">
        <f>IF(PNL!D1061="","",PNL!D1061)</f>
        <v>V02</v>
      </c>
      <c r="E1061">
        <f t="shared" si="0"/>
        <v>1</v>
      </c>
      <c r="F1061">
        <f>IF($A1061="","",IF($E1061=1,_xlfn.SUMIFS(Compta!$F$1:$F$1448,Compta!$A$1:$A$1448,$A1061,Compta!$B$1:$B$1448,$B1061,Compta!$C$1:$C$1448,"2026"),0))</f>
        <v>450000</v>
      </c>
      <c r="G1061" t="s">
        <v>274</v>
      </c>
      <c r="H1061" t="s">
        <v>274</v>
      </c>
      <c r="I1061" t="s">
        <v>274</v>
      </c>
      <c r="J1061" t="s">
        <v>274</v>
      </c>
      <c r="K1061" t="s">
        <v>274</v>
      </c>
      <c r="L1061" t="s">
        <v>274</v>
      </c>
      <c r="M1061" t="s">
        <v>274</v>
      </c>
      <c r="N1061" t="e">
        <f t="shared" si="1"/>
        <v>#VALUE!</v>
      </c>
      <c r="O1061" t="e">
        <f t="shared" si="2"/>
        <v>#VALUE!</v>
      </c>
      <c r="P1061" t="e">
        <f>IF($A1061="","",IF($E1061=1,$F1061*$O1061,PNL!G1061))</f>
        <v>#VALUE!</v>
      </c>
      <c r="T1061" t="e">
        <f t="shared" si="3"/>
        <v>#VALUE!</v>
      </c>
    </row>
    <row r="1062" ht="14.25" customHeight="1">
      <c r="A1062" t="str">
        <f>IF(PNL!A1062="","",PNL!A1062)</f>
        <v>MBWAY_NAN</v>
      </c>
      <c r="B1062" t="str">
        <f>IF(PNL!B1062="","",PNL!B1062)</f>
        <v>706</v>
      </c>
      <c r="C1062" t="str">
        <f>IF(PNL!C1062="","",PNL!C1062)</f>
        <v>2027</v>
      </c>
      <c r="D1062" t="str">
        <f>IF(PNL!D1062="","",PNL!D1062)</f>
        <v>V03</v>
      </c>
      <c r="E1062">
        <f t="shared" si="0"/>
        <v>1</v>
      </c>
      <c r="F1062">
        <f>IF($A1062="","",IF($E1062=1,_xlfn.SUMIFS(Compta!$F$1:$F$1448,Compta!$A$1:$A$1448,$A1062,Compta!$B$1:$B$1448,$B1062,Compta!$C$1:$C$1448,"2026"),0))</f>
        <v>450000</v>
      </c>
      <c r="G1062" t="s">
        <v>274</v>
      </c>
      <c r="H1062" t="s">
        <v>274</v>
      </c>
      <c r="I1062" t="s">
        <v>274</v>
      </c>
      <c r="J1062" t="s">
        <v>274</v>
      </c>
      <c r="K1062" t="s">
        <v>274</v>
      </c>
      <c r="L1062" t="s">
        <v>274</v>
      </c>
      <c r="M1062" t="s">
        <v>274</v>
      </c>
      <c r="N1062" t="e">
        <f t="shared" si="1"/>
        <v>#VALUE!</v>
      </c>
      <c r="O1062" t="e">
        <f t="shared" si="2"/>
        <v>#VALUE!</v>
      </c>
      <c r="P1062" t="e">
        <f>IF($A1062="","",IF($E1062=1,$F1062*$O1062,PNL!G1062))</f>
        <v>#VALUE!</v>
      </c>
      <c r="T1062" t="e">
        <f t="shared" si="3"/>
        <v>#VALUE!</v>
      </c>
    </row>
    <row r="1063" ht="14.25" customHeight="1">
      <c r="A1063" t="str">
        <f>IF(PNL!A1063="","",PNL!A1063)</f>
        <v>MBWAY_BOR</v>
      </c>
      <c r="B1063" t="str">
        <f>IF(PNL!B1063="","",PNL!B1063)</f>
        <v>706</v>
      </c>
      <c r="C1063" t="str">
        <f>IF(PNL!C1063="","",PNL!C1063)</f>
        <v>2027</v>
      </c>
      <c r="D1063" t="str">
        <f>IF(PNL!D1063="","",PNL!D1063)</f>
        <v>V01</v>
      </c>
      <c r="E1063">
        <f t="shared" si="0"/>
        <v>1</v>
      </c>
      <c r="F1063">
        <f>IF($A1063="","",IF($E1063=1,_xlfn.SUMIFS(Compta!$F$1:$F$1448,Compta!$A$1:$A$1448,$A1063,Compta!$B$1:$B$1448,$B1063,Compta!$C$1:$C$1448,"2026"),0))</f>
        <v>371025</v>
      </c>
      <c r="G1063" t="s">
        <v>274</v>
      </c>
      <c r="H1063" t="s">
        <v>274</v>
      </c>
      <c r="I1063" t="s">
        <v>274</v>
      </c>
      <c r="J1063" t="s">
        <v>274</v>
      </c>
      <c r="K1063" t="s">
        <v>274</v>
      </c>
      <c r="L1063" t="s">
        <v>274</v>
      </c>
      <c r="M1063" t="s">
        <v>274</v>
      </c>
      <c r="N1063" t="e">
        <f t="shared" si="1"/>
        <v>#VALUE!</v>
      </c>
      <c r="O1063" t="e">
        <f t="shared" si="2"/>
        <v>#VALUE!</v>
      </c>
      <c r="P1063" t="e">
        <f>IF($A1063="","",IF($E1063=1,$F1063*$O1063,PNL!G1063))</f>
        <v>#VALUE!</v>
      </c>
      <c r="T1063" t="e">
        <f t="shared" si="3"/>
        <v>#VALUE!</v>
      </c>
    </row>
    <row r="1064" ht="14.25" customHeight="1">
      <c r="A1064" t="str">
        <f>IF(PNL!A1064="","",PNL!A1064)</f>
        <v>MBWAY_BOR</v>
      </c>
      <c r="B1064" t="str">
        <f>IF(PNL!B1064="","",PNL!B1064)</f>
        <v>706</v>
      </c>
      <c r="C1064" t="str">
        <f>IF(PNL!C1064="","",PNL!C1064)</f>
        <v>2027</v>
      </c>
      <c r="D1064" t="str">
        <f>IF(PNL!D1064="","",PNL!D1064)</f>
        <v>V02</v>
      </c>
      <c r="E1064">
        <f t="shared" si="0"/>
        <v>1</v>
      </c>
      <c r="F1064">
        <f>IF($A1064="","",IF($E1064=1,_xlfn.SUMIFS(Compta!$F$1:$F$1448,Compta!$A$1:$A$1448,$A1064,Compta!$B$1:$B$1448,$B1064,Compta!$C$1:$C$1448,"2026"),0))</f>
        <v>371025</v>
      </c>
      <c r="G1064" t="s">
        <v>274</v>
      </c>
      <c r="H1064" t="s">
        <v>274</v>
      </c>
      <c r="I1064" t="s">
        <v>274</v>
      </c>
      <c r="J1064" t="s">
        <v>274</v>
      </c>
      <c r="K1064" t="s">
        <v>274</v>
      </c>
      <c r="L1064" t="s">
        <v>274</v>
      </c>
      <c r="M1064" t="s">
        <v>274</v>
      </c>
      <c r="N1064" t="e">
        <f t="shared" si="1"/>
        <v>#VALUE!</v>
      </c>
      <c r="O1064" t="e">
        <f t="shared" si="2"/>
        <v>#VALUE!</v>
      </c>
      <c r="P1064" t="e">
        <f>IF($A1064="","",IF($E1064=1,$F1064*$O1064,PNL!G1064))</f>
        <v>#VALUE!</v>
      </c>
      <c r="T1064" t="e">
        <f t="shared" si="3"/>
        <v>#VALUE!</v>
      </c>
    </row>
    <row r="1065" ht="14.25" customHeight="1">
      <c r="A1065" t="str">
        <f>IF(PNL!A1065="","",PNL!A1065)</f>
        <v>MBWAY_BOR</v>
      </c>
      <c r="B1065" t="str">
        <f>IF(PNL!B1065="","",PNL!B1065)</f>
        <v>706</v>
      </c>
      <c r="C1065" t="str">
        <f>IF(PNL!C1065="","",PNL!C1065)</f>
        <v>2027</v>
      </c>
      <c r="D1065" t="str">
        <f>IF(PNL!D1065="","",PNL!D1065)</f>
        <v>V03</v>
      </c>
      <c r="E1065">
        <f t="shared" si="0"/>
        <v>1</v>
      </c>
      <c r="F1065">
        <f>IF($A1065="","",IF($E1065=1,_xlfn.SUMIFS(Compta!$F$1:$F$1448,Compta!$A$1:$A$1448,$A1065,Compta!$B$1:$B$1448,$B1065,Compta!$C$1:$C$1448,"2026"),0))</f>
        <v>371025</v>
      </c>
      <c r="G1065" t="s">
        <v>274</v>
      </c>
      <c r="H1065" t="s">
        <v>274</v>
      </c>
      <c r="I1065" t="s">
        <v>274</v>
      </c>
      <c r="J1065" t="s">
        <v>274</v>
      </c>
      <c r="K1065" t="s">
        <v>274</v>
      </c>
      <c r="L1065" t="s">
        <v>274</v>
      </c>
      <c r="M1065" t="s">
        <v>274</v>
      </c>
      <c r="N1065" t="e">
        <f t="shared" si="1"/>
        <v>#VALUE!</v>
      </c>
      <c r="O1065" t="e">
        <f t="shared" si="2"/>
        <v>#VALUE!</v>
      </c>
      <c r="P1065" t="e">
        <f>IF($A1065="","",IF($E1065=1,$F1065*$O1065,PNL!G1065))</f>
        <v>#VALUE!</v>
      </c>
      <c r="T1065" t="e">
        <f t="shared" si="3"/>
        <v>#VALUE!</v>
      </c>
    </row>
    <row r="1066" ht="14.25" customHeight="1">
      <c r="A1066" t="str">
        <f>IF(PNL!A1066="","",PNL!A1066)</f>
        <v>ISCOM_PAR</v>
      </c>
      <c r="B1066" t="str">
        <f>IF(PNL!B1066="","",PNL!B1066)</f>
        <v>706</v>
      </c>
      <c r="C1066" t="str">
        <f>IF(PNL!C1066="","",PNL!C1066)</f>
        <v>2027</v>
      </c>
      <c r="D1066" t="str">
        <f>IF(PNL!D1066="","",PNL!D1066)</f>
        <v>V01</v>
      </c>
      <c r="E1066">
        <f t="shared" si="0"/>
        <v>1</v>
      </c>
      <c r="F1066">
        <f>IF($A1066="","",IF($E1066=1,_xlfn.SUMIFS(Compta!$F$1:$F$1448,Compta!$A$1:$A$1448,$A1066,Compta!$B$1:$B$1448,$B1066,Compta!$C$1:$C$1448,"2026"),0))</f>
        <v>604800</v>
      </c>
      <c r="G1066" t="s">
        <v>274</v>
      </c>
      <c r="H1066" t="s">
        <v>274</v>
      </c>
      <c r="I1066" t="s">
        <v>274</v>
      </c>
      <c r="J1066" t="s">
        <v>274</v>
      </c>
      <c r="K1066" t="s">
        <v>274</v>
      </c>
      <c r="L1066" t="s">
        <v>274</v>
      </c>
      <c r="M1066" t="s">
        <v>274</v>
      </c>
      <c r="N1066" t="e">
        <f t="shared" si="1"/>
        <v>#VALUE!</v>
      </c>
      <c r="O1066" t="e">
        <f t="shared" si="2"/>
        <v>#VALUE!</v>
      </c>
      <c r="P1066" t="e">
        <f>IF($A1066="","",IF($E1066=1,$F1066*$O1066,PNL!G1066))</f>
        <v>#VALUE!</v>
      </c>
      <c r="T1066" t="e">
        <f t="shared" si="3"/>
        <v>#VALUE!</v>
      </c>
    </row>
    <row r="1067" ht="14.25" customHeight="1">
      <c r="A1067" t="str">
        <f>IF(PNL!A1067="","",PNL!A1067)</f>
        <v>ISCOM_PAR</v>
      </c>
      <c r="B1067" t="str">
        <f>IF(PNL!B1067="","",PNL!B1067)</f>
        <v>706</v>
      </c>
      <c r="C1067" t="str">
        <f>IF(PNL!C1067="","",PNL!C1067)</f>
        <v>2027</v>
      </c>
      <c r="D1067" t="str">
        <f>IF(PNL!D1067="","",PNL!D1067)</f>
        <v>V02</v>
      </c>
      <c r="E1067">
        <f t="shared" si="0"/>
        <v>1</v>
      </c>
      <c r="F1067">
        <f>IF($A1067="","",IF($E1067=1,_xlfn.SUMIFS(Compta!$F$1:$F$1448,Compta!$A$1:$A$1448,$A1067,Compta!$B$1:$B$1448,$B1067,Compta!$C$1:$C$1448,"2026"),0))</f>
        <v>604800</v>
      </c>
      <c r="G1067" t="s">
        <v>274</v>
      </c>
      <c r="H1067" t="s">
        <v>274</v>
      </c>
      <c r="I1067" t="s">
        <v>274</v>
      </c>
      <c r="J1067" t="s">
        <v>274</v>
      </c>
      <c r="K1067" t="s">
        <v>274</v>
      </c>
      <c r="L1067" t="s">
        <v>274</v>
      </c>
      <c r="M1067" t="s">
        <v>274</v>
      </c>
      <c r="N1067" t="e">
        <f t="shared" si="1"/>
        <v>#VALUE!</v>
      </c>
      <c r="O1067" t="e">
        <f t="shared" si="2"/>
        <v>#VALUE!</v>
      </c>
      <c r="P1067" t="e">
        <f>IF($A1067="","",IF($E1067=1,$F1067*$O1067,PNL!G1067))</f>
        <v>#VALUE!</v>
      </c>
      <c r="T1067" t="e">
        <f t="shared" si="3"/>
        <v>#VALUE!</v>
      </c>
    </row>
    <row r="1068" ht="14.25" customHeight="1">
      <c r="A1068" t="str">
        <f>IF(PNL!A1068="","",PNL!A1068)</f>
        <v>ISCOM_PAR</v>
      </c>
      <c r="B1068" t="str">
        <f>IF(PNL!B1068="","",PNL!B1068)</f>
        <v>706</v>
      </c>
      <c r="C1068" t="str">
        <f>IF(PNL!C1068="","",PNL!C1068)</f>
        <v>2027</v>
      </c>
      <c r="D1068" t="str">
        <f>IF(PNL!D1068="","",PNL!D1068)</f>
        <v>V03</v>
      </c>
      <c r="E1068">
        <f t="shared" si="0"/>
        <v>1</v>
      </c>
      <c r="F1068">
        <f>IF($A1068="","",IF($E1068=1,_xlfn.SUMIFS(Compta!$F$1:$F$1448,Compta!$A$1:$A$1448,$A1068,Compta!$B$1:$B$1448,$B1068,Compta!$C$1:$C$1448,"2026"),0))</f>
        <v>604800</v>
      </c>
      <c r="G1068" t="s">
        <v>274</v>
      </c>
      <c r="H1068" t="s">
        <v>274</v>
      </c>
      <c r="I1068" t="s">
        <v>274</v>
      </c>
      <c r="J1068" t="s">
        <v>274</v>
      </c>
      <c r="K1068" t="s">
        <v>274</v>
      </c>
      <c r="L1068" t="s">
        <v>274</v>
      </c>
      <c r="M1068" t="s">
        <v>274</v>
      </c>
      <c r="N1068" t="e">
        <f t="shared" si="1"/>
        <v>#VALUE!</v>
      </c>
      <c r="O1068" t="e">
        <f t="shared" si="2"/>
        <v>#VALUE!</v>
      </c>
      <c r="P1068" t="e">
        <f>IF($A1068="","",IF($E1068=1,$F1068*$O1068,PNL!G1068))</f>
        <v>#VALUE!</v>
      </c>
      <c r="T1068" t="e">
        <f t="shared" si="3"/>
        <v>#VALUE!</v>
      </c>
    </row>
    <row r="1069" ht="14.25" customHeight="1">
      <c r="A1069" t="str">
        <f>IF(PNL!A1069="","",PNL!A1069)</f>
        <v>ISCOM_LIL</v>
      </c>
      <c r="B1069" t="str">
        <f>IF(PNL!B1069="","",PNL!B1069)</f>
        <v>706</v>
      </c>
      <c r="C1069" t="str">
        <f>IF(PNL!C1069="","",PNL!C1069)</f>
        <v>2027</v>
      </c>
      <c r="D1069" t="str">
        <f>IF(PNL!D1069="","",PNL!D1069)</f>
        <v>V01</v>
      </c>
      <c r="E1069">
        <f t="shared" si="0"/>
        <v>1</v>
      </c>
      <c r="F1069">
        <f>IF($A1069="","",IF($E1069=1,_xlfn.SUMIFS(Compta!$F$1:$F$1448,Compta!$A$1:$A$1448,$A1069,Compta!$B$1:$B$1448,$B1069,Compta!$C$1:$C$1448,"2026"),0))</f>
        <v>367500</v>
      </c>
      <c r="G1069" t="s">
        <v>274</v>
      </c>
      <c r="H1069" t="s">
        <v>274</v>
      </c>
      <c r="I1069" t="s">
        <v>274</v>
      </c>
      <c r="J1069" t="s">
        <v>274</v>
      </c>
      <c r="K1069" t="s">
        <v>274</v>
      </c>
      <c r="L1069" t="s">
        <v>274</v>
      </c>
      <c r="M1069" t="s">
        <v>274</v>
      </c>
      <c r="N1069" t="e">
        <f t="shared" si="1"/>
        <v>#VALUE!</v>
      </c>
      <c r="O1069" t="e">
        <f t="shared" si="2"/>
        <v>#VALUE!</v>
      </c>
      <c r="P1069" t="e">
        <f>IF($A1069="","",IF($E1069=1,$F1069*$O1069,PNL!G1069))</f>
        <v>#VALUE!</v>
      </c>
      <c r="T1069" t="e">
        <f t="shared" si="3"/>
        <v>#VALUE!</v>
      </c>
    </row>
    <row r="1070" ht="14.25" customHeight="1">
      <c r="A1070" t="str">
        <f>IF(PNL!A1070="","",PNL!A1070)</f>
        <v>ISCOM_LIL</v>
      </c>
      <c r="B1070" t="str">
        <f>IF(PNL!B1070="","",PNL!B1070)</f>
        <v>706</v>
      </c>
      <c r="C1070" t="str">
        <f>IF(PNL!C1070="","",PNL!C1070)</f>
        <v>2027</v>
      </c>
      <c r="D1070" t="str">
        <f>IF(PNL!D1070="","",PNL!D1070)</f>
        <v>V02</v>
      </c>
      <c r="E1070">
        <f t="shared" si="0"/>
        <v>1</v>
      </c>
      <c r="F1070">
        <f>IF($A1070="","",IF($E1070=1,_xlfn.SUMIFS(Compta!$F$1:$F$1448,Compta!$A$1:$A$1448,$A1070,Compta!$B$1:$B$1448,$B1070,Compta!$C$1:$C$1448,"2026"),0))</f>
        <v>367500</v>
      </c>
      <c r="G1070" t="s">
        <v>274</v>
      </c>
      <c r="H1070" t="s">
        <v>274</v>
      </c>
      <c r="I1070" t="s">
        <v>274</v>
      </c>
      <c r="J1070" t="s">
        <v>274</v>
      </c>
      <c r="K1070" t="s">
        <v>274</v>
      </c>
      <c r="L1070" t="s">
        <v>274</v>
      </c>
      <c r="M1070" t="s">
        <v>274</v>
      </c>
      <c r="N1070" t="e">
        <f t="shared" si="1"/>
        <v>#VALUE!</v>
      </c>
      <c r="O1070" t="e">
        <f t="shared" si="2"/>
        <v>#VALUE!</v>
      </c>
      <c r="P1070" t="e">
        <f>IF($A1070="","",IF($E1070=1,$F1070*$O1070,PNL!G1070))</f>
        <v>#VALUE!</v>
      </c>
      <c r="T1070" t="e">
        <f t="shared" si="3"/>
        <v>#VALUE!</v>
      </c>
    </row>
    <row r="1071" ht="14.25" customHeight="1">
      <c r="A1071" t="str">
        <f>IF(PNL!A1071="","",PNL!A1071)</f>
        <v>ISCOM_LIL</v>
      </c>
      <c r="B1071" t="str">
        <f>IF(PNL!B1071="","",PNL!B1071)</f>
        <v>706</v>
      </c>
      <c r="C1071" t="str">
        <f>IF(PNL!C1071="","",PNL!C1071)</f>
        <v>2027</v>
      </c>
      <c r="D1071" t="str">
        <f>IF(PNL!D1071="","",PNL!D1071)</f>
        <v>V03</v>
      </c>
      <c r="E1071">
        <f t="shared" si="0"/>
        <v>1</v>
      </c>
      <c r="F1071">
        <f>IF($A1071="","",IF($E1071=1,_xlfn.SUMIFS(Compta!$F$1:$F$1448,Compta!$A$1:$A$1448,$A1071,Compta!$B$1:$B$1448,$B1071,Compta!$C$1:$C$1448,"2026"),0))</f>
        <v>367500</v>
      </c>
      <c r="G1071" t="s">
        <v>274</v>
      </c>
      <c r="H1071" t="s">
        <v>274</v>
      </c>
      <c r="I1071" t="s">
        <v>274</v>
      </c>
      <c r="J1071" t="s">
        <v>274</v>
      </c>
      <c r="K1071" t="s">
        <v>274</v>
      </c>
      <c r="L1071" t="s">
        <v>274</v>
      </c>
      <c r="M1071" t="s">
        <v>274</v>
      </c>
      <c r="N1071" t="e">
        <f t="shared" si="1"/>
        <v>#VALUE!</v>
      </c>
      <c r="O1071" t="e">
        <f t="shared" si="2"/>
        <v>#VALUE!</v>
      </c>
      <c r="P1071" t="e">
        <f>IF($A1071="","",IF($E1071=1,$F1071*$O1071,PNL!G1071))</f>
        <v>#VALUE!</v>
      </c>
      <c r="T1071" t="e">
        <f t="shared" si="3"/>
        <v>#VALUE!</v>
      </c>
    </row>
    <row r="1072" ht="14.25" customHeight="1">
      <c r="A1072" t="str">
        <f>IF(PNL!A1072="","",PNL!A1072)</f>
        <v>ISCOM_TLS</v>
      </c>
      <c r="B1072" t="str">
        <f>IF(PNL!B1072="","",PNL!B1072)</f>
        <v>706</v>
      </c>
      <c r="C1072" t="str">
        <f>IF(PNL!C1072="","",PNL!C1072)</f>
        <v>2027</v>
      </c>
      <c r="D1072" t="str">
        <f>IF(PNL!D1072="","",PNL!D1072)</f>
        <v>V01</v>
      </c>
      <c r="E1072">
        <f t="shared" si="0"/>
        <v>1</v>
      </c>
      <c r="F1072">
        <f>IF($A1072="","",IF($E1072=1,_xlfn.SUMIFS(Compta!$F$1:$F$1448,Compta!$A$1:$A$1448,$A1072,Compta!$B$1:$B$1448,$B1072,Compta!$C$1:$C$1448,"2026"),0))</f>
        <v>338400</v>
      </c>
      <c r="G1072" t="s">
        <v>274</v>
      </c>
      <c r="H1072" t="s">
        <v>274</v>
      </c>
      <c r="I1072" t="s">
        <v>274</v>
      </c>
      <c r="J1072" t="s">
        <v>274</v>
      </c>
      <c r="K1072" t="s">
        <v>274</v>
      </c>
      <c r="L1072" t="s">
        <v>274</v>
      </c>
      <c r="M1072" t="s">
        <v>274</v>
      </c>
      <c r="N1072" t="e">
        <f t="shared" si="1"/>
        <v>#VALUE!</v>
      </c>
      <c r="O1072" t="e">
        <f t="shared" si="2"/>
        <v>#VALUE!</v>
      </c>
      <c r="P1072" t="e">
        <f>IF($A1072="","",IF($E1072=1,$F1072*$O1072,PNL!G1072))</f>
        <v>#VALUE!</v>
      </c>
      <c r="T1072" t="e">
        <f t="shared" si="3"/>
        <v>#VALUE!</v>
      </c>
    </row>
    <row r="1073" ht="14.25" customHeight="1">
      <c r="A1073" t="str">
        <f>IF(PNL!A1073="","",PNL!A1073)</f>
        <v>ISCOM_TLS</v>
      </c>
      <c r="B1073" t="str">
        <f>IF(PNL!B1073="","",PNL!B1073)</f>
        <v>706</v>
      </c>
      <c r="C1073" t="str">
        <f>IF(PNL!C1073="","",PNL!C1073)</f>
        <v>2027</v>
      </c>
      <c r="D1073" t="str">
        <f>IF(PNL!D1073="","",PNL!D1073)</f>
        <v>V02</v>
      </c>
      <c r="E1073">
        <f t="shared" si="0"/>
        <v>1</v>
      </c>
      <c r="F1073">
        <f>IF($A1073="","",IF($E1073=1,_xlfn.SUMIFS(Compta!$F$1:$F$1448,Compta!$A$1:$A$1448,$A1073,Compta!$B$1:$B$1448,$B1073,Compta!$C$1:$C$1448,"2026"),0))</f>
        <v>338400</v>
      </c>
      <c r="G1073" t="s">
        <v>274</v>
      </c>
      <c r="H1073" t="s">
        <v>274</v>
      </c>
      <c r="I1073" t="s">
        <v>274</v>
      </c>
      <c r="J1073" t="s">
        <v>274</v>
      </c>
      <c r="K1073" t="s">
        <v>274</v>
      </c>
      <c r="L1073" t="s">
        <v>274</v>
      </c>
      <c r="M1073" t="s">
        <v>274</v>
      </c>
      <c r="N1073" t="e">
        <f t="shared" si="1"/>
        <v>#VALUE!</v>
      </c>
      <c r="O1073" t="e">
        <f t="shared" si="2"/>
        <v>#VALUE!</v>
      </c>
      <c r="P1073" t="e">
        <f>IF($A1073="","",IF($E1073=1,$F1073*$O1073,PNL!G1073))</f>
        <v>#VALUE!</v>
      </c>
      <c r="T1073" t="e">
        <f t="shared" si="3"/>
        <v>#VALUE!</v>
      </c>
    </row>
    <row r="1074" ht="14.25" customHeight="1">
      <c r="A1074" t="str">
        <f>IF(PNL!A1074="","",PNL!A1074)</f>
        <v>ISCOM_TLS</v>
      </c>
      <c r="B1074" t="str">
        <f>IF(PNL!B1074="","",PNL!B1074)</f>
        <v>706</v>
      </c>
      <c r="C1074" t="str">
        <f>IF(PNL!C1074="","",PNL!C1074)</f>
        <v>2027</v>
      </c>
      <c r="D1074" t="str">
        <f>IF(PNL!D1074="","",PNL!D1074)</f>
        <v>V03</v>
      </c>
      <c r="E1074">
        <f t="shared" si="0"/>
        <v>1</v>
      </c>
      <c r="F1074">
        <f>IF($A1074="","",IF($E1074=1,_xlfn.SUMIFS(Compta!$F$1:$F$1448,Compta!$A$1:$A$1448,$A1074,Compta!$B$1:$B$1448,$B1074,Compta!$C$1:$C$1448,"2026"),0))</f>
        <v>338400</v>
      </c>
      <c r="G1074" t="s">
        <v>274</v>
      </c>
      <c r="H1074" t="s">
        <v>274</v>
      </c>
      <c r="I1074" t="s">
        <v>274</v>
      </c>
      <c r="J1074" t="s">
        <v>274</v>
      </c>
      <c r="K1074" t="s">
        <v>274</v>
      </c>
      <c r="L1074" t="s">
        <v>274</v>
      </c>
      <c r="M1074" t="s">
        <v>274</v>
      </c>
      <c r="N1074" t="e">
        <f t="shared" si="1"/>
        <v>#VALUE!</v>
      </c>
      <c r="O1074" t="e">
        <f t="shared" si="2"/>
        <v>#VALUE!</v>
      </c>
      <c r="P1074" t="e">
        <f>IF($A1074="","",IF($E1074=1,$F1074*$O1074,PNL!G1074))</f>
        <v>#VALUE!</v>
      </c>
      <c r="T1074" t="e">
        <f t="shared" si="3"/>
        <v>#VALUE!</v>
      </c>
    </row>
    <row r="1075" ht="14.25" customHeight="1">
      <c r="A1075" t="str">
        <f>IF(PNL!A1075="","",PNL!A1075)</f>
        <v>MBWAY_PAR</v>
      </c>
      <c r="B1075" t="str">
        <f>IF(PNL!B1075="","",PNL!B1075)</f>
        <v>708</v>
      </c>
      <c r="C1075" t="str">
        <f>IF(PNL!C1075="","",PNL!C1075)</f>
        <v>2027</v>
      </c>
      <c r="D1075" t="str">
        <f>IF(PNL!D1075="","",PNL!D1075)</f>
        <v>V01</v>
      </c>
      <c r="E1075">
        <f t="shared" si="0"/>
        <v>1</v>
      </c>
      <c r="F1075">
        <f>IF($A1075="","",IF($E1075=1,_xlfn.SUMIFS(Compta!$F$1:$F$1448,Compta!$A$1:$A$1448,$A1075,Compta!$B$1:$B$1448,$B1075,Compta!$C$1:$C$1448,"2026"),0))</f>
        <v>14040</v>
      </c>
      <c r="G1075" t="s">
        <v>274</v>
      </c>
      <c r="H1075" t="s">
        <v>274</v>
      </c>
      <c r="I1075" t="s">
        <v>274</v>
      </c>
      <c r="J1075" t="s">
        <v>274</v>
      </c>
      <c r="K1075" t="s">
        <v>274</v>
      </c>
      <c r="L1075" t="s">
        <v>274</v>
      </c>
      <c r="M1075" t="s">
        <v>274</v>
      </c>
      <c r="N1075" t="e">
        <f t="shared" si="1"/>
        <v>#VALUE!</v>
      </c>
      <c r="O1075" t="e">
        <f t="shared" si="2"/>
        <v>#VALUE!</v>
      </c>
      <c r="P1075" t="e">
        <f>IF($A1075="","",IF($E1075=1,$F1075*$O1075,PNL!G1075))</f>
        <v>#VALUE!</v>
      </c>
      <c r="T1075" t="e">
        <f t="shared" si="3"/>
        <v>#VALUE!</v>
      </c>
    </row>
    <row r="1076" ht="14.25" customHeight="1">
      <c r="A1076" t="str">
        <f>IF(PNL!A1076="","",PNL!A1076)</f>
        <v>MBWAY_PAR</v>
      </c>
      <c r="B1076" t="str">
        <f>IF(PNL!B1076="","",PNL!B1076)</f>
        <v>708</v>
      </c>
      <c r="C1076" t="str">
        <f>IF(PNL!C1076="","",PNL!C1076)</f>
        <v>2027</v>
      </c>
      <c r="D1076" t="str">
        <f>IF(PNL!D1076="","",PNL!D1076)</f>
        <v>V02</v>
      </c>
      <c r="E1076">
        <f t="shared" si="0"/>
        <v>1</v>
      </c>
      <c r="F1076">
        <f>IF($A1076="","",IF($E1076=1,_xlfn.SUMIFS(Compta!$F$1:$F$1448,Compta!$A$1:$A$1448,$A1076,Compta!$B$1:$B$1448,$B1076,Compta!$C$1:$C$1448,"2026"),0))</f>
        <v>14040</v>
      </c>
      <c r="G1076" t="s">
        <v>274</v>
      </c>
      <c r="H1076" t="s">
        <v>274</v>
      </c>
      <c r="I1076" t="s">
        <v>274</v>
      </c>
      <c r="J1076" t="s">
        <v>274</v>
      </c>
      <c r="K1076" t="s">
        <v>274</v>
      </c>
      <c r="L1076" t="s">
        <v>274</v>
      </c>
      <c r="M1076" t="s">
        <v>274</v>
      </c>
      <c r="N1076" t="e">
        <f t="shared" si="1"/>
        <v>#VALUE!</v>
      </c>
      <c r="O1076" t="e">
        <f t="shared" si="2"/>
        <v>#VALUE!</v>
      </c>
      <c r="P1076" t="e">
        <f>IF($A1076="","",IF($E1076=1,$F1076*$O1076,PNL!G1076))</f>
        <v>#VALUE!</v>
      </c>
      <c r="T1076" t="e">
        <f t="shared" si="3"/>
        <v>#VALUE!</v>
      </c>
    </row>
    <row r="1077" ht="14.25" customHeight="1">
      <c r="A1077" t="str">
        <f>IF(PNL!A1077="","",PNL!A1077)</f>
        <v>MBWAY_PAR</v>
      </c>
      <c r="B1077" t="str">
        <f>IF(PNL!B1077="","",PNL!B1077)</f>
        <v>708</v>
      </c>
      <c r="C1077" t="str">
        <f>IF(PNL!C1077="","",PNL!C1077)</f>
        <v>2027</v>
      </c>
      <c r="D1077" t="str">
        <f>IF(PNL!D1077="","",PNL!D1077)</f>
        <v>V03</v>
      </c>
      <c r="E1077">
        <f t="shared" si="0"/>
        <v>1</v>
      </c>
      <c r="F1077">
        <f>IF($A1077="","",IF($E1077=1,_xlfn.SUMIFS(Compta!$F$1:$F$1448,Compta!$A$1:$A$1448,$A1077,Compta!$B$1:$B$1448,$B1077,Compta!$C$1:$C$1448,"2026"),0))</f>
        <v>14040</v>
      </c>
      <c r="G1077" t="s">
        <v>274</v>
      </c>
      <c r="H1077" t="s">
        <v>274</v>
      </c>
      <c r="I1077" t="s">
        <v>274</v>
      </c>
      <c r="J1077" t="s">
        <v>274</v>
      </c>
      <c r="K1077" t="s">
        <v>274</v>
      </c>
      <c r="L1077" t="s">
        <v>274</v>
      </c>
      <c r="M1077" t="s">
        <v>274</v>
      </c>
      <c r="N1077" t="e">
        <f t="shared" si="1"/>
        <v>#VALUE!</v>
      </c>
      <c r="O1077" t="e">
        <f t="shared" si="2"/>
        <v>#VALUE!</v>
      </c>
      <c r="P1077" t="e">
        <f>IF($A1077="","",IF($E1077=1,$F1077*$O1077,PNL!G1077))</f>
        <v>#VALUE!</v>
      </c>
      <c r="T1077" t="e">
        <f t="shared" si="3"/>
        <v>#VALUE!</v>
      </c>
    </row>
    <row r="1078" ht="14.25" customHeight="1">
      <c r="A1078" t="str">
        <f>IF(PNL!A1078="","",PNL!A1078)</f>
        <v>MBWAY_LYO</v>
      </c>
      <c r="B1078" t="str">
        <f>IF(PNL!B1078="","",PNL!B1078)</f>
        <v>708</v>
      </c>
      <c r="C1078" t="str">
        <f>IF(PNL!C1078="","",PNL!C1078)</f>
        <v>2027</v>
      </c>
      <c r="D1078" t="str">
        <f>IF(PNL!D1078="","",PNL!D1078)</f>
        <v>V01</v>
      </c>
      <c r="E1078">
        <f t="shared" si="0"/>
        <v>1</v>
      </c>
      <c r="F1078">
        <f>IF($A1078="","",IF($E1078=1,_xlfn.SUMIFS(Compta!$F$1:$F$1448,Compta!$A$1:$A$1448,$A1078,Compta!$B$1:$B$1448,$B1078,Compta!$C$1:$C$1448,"2026"),0))</f>
        <v>11880</v>
      </c>
      <c r="G1078" t="s">
        <v>274</v>
      </c>
      <c r="H1078" t="s">
        <v>274</v>
      </c>
      <c r="I1078" t="s">
        <v>274</v>
      </c>
      <c r="J1078" t="s">
        <v>274</v>
      </c>
      <c r="K1078" t="s">
        <v>274</v>
      </c>
      <c r="L1078" t="s">
        <v>274</v>
      </c>
      <c r="M1078" t="s">
        <v>274</v>
      </c>
      <c r="N1078" t="e">
        <f t="shared" si="1"/>
        <v>#VALUE!</v>
      </c>
      <c r="O1078" t="e">
        <f t="shared" si="2"/>
        <v>#VALUE!</v>
      </c>
      <c r="P1078" t="e">
        <f>IF($A1078="","",IF($E1078=1,$F1078*$O1078,PNL!G1078))</f>
        <v>#VALUE!</v>
      </c>
      <c r="T1078" t="e">
        <f t="shared" si="3"/>
        <v>#VALUE!</v>
      </c>
    </row>
    <row r="1079" ht="14.25" customHeight="1">
      <c r="A1079" t="str">
        <f>IF(PNL!A1079="","",PNL!A1079)</f>
        <v>MBWAY_LYO</v>
      </c>
      <c r="B1079" t="str">
        <f>IF(PNL!B1079="","",PNL!B1079)</f>
        <v>708</v>
      </c>
      <c r="C1079" t="str">
        <f>IF(PNL!C1079="","",PNL!C1079)</f>
        <v>2027</v>
      </c>
      <c r="D1079" t="str">
        <f>IF(PNL!D1079="","",PNL!D1079)</f>
        <v>V02</v>
      </c>
      <c r="E1079">
        <f t="shared" si="0"/>
        <v>1</v>
      </c>
      <c r="F1079">
        <f>IF($A1079="","",IF($E1079=1,_xlfn.SUMIFS(Compta!$F$1:$F$1448,Compta!$A$1:$A$1448,$A1079,Compta!$B$1:$B$1448,$B1079,Compta!$C$1:$C$1448,"2026"),0))</f>
        <v>11880</v>
      </c>
      <c r="G1079" t="s">
        <v>274</v>
      </c>
      <c r="H1079" t="s">
        <v>274</v>
      </c>
      <c r="I1079" t="s">
        <v>274</v>
      </c>
      <c r="J1079" t="s">
        <v>274</v>
      </c>
      <c r="K1079" t="s">
        <v>274</v>
      </c>
      <c r="L1079" t="s">
        <v>274</v>
      </c>
      <c r="M1079" t="s">
        <v>274</v>
      </c>
      <c r="N1079" t="e">
        <f t="shared" si="1"/>
        <v>#VALUE!</v>
      </c>
      <c r="O1079" t="e">
        <f t="shared" si="2"/>
        <v>#VALUE!</v>
      </c>
      <c r="P1079" t="e">
        <f>IF($A1079="","",IF($E1079=1,$F1079*$O1079,PNL!G1079))</f>
        <v>#VALUE!</v>
      </c>
      <c r="T1079" t="e">
        <f t="shared" si="3"/>
        <v>#VALUE!</v>
      </c>
    </row>
    <row r="1080" ht="14.25" customHeight="1">
      <c r="A1080" t="str">
        <f>IF(PNL!A1080="","",PNL!A1080)</f>
        <v>MBWAY_LYO</v>
      </c>
      <c r="B1080" t="str">
        <f>IF(PNL!B1080="","",PNL!B1080)</f>
        <v>708</v>
      </c>
      <c r="C1080" t="str">
        <f>IF(PNL!C1080="","",PNL!C1080)</f>
        <v>2027</v>
      </c>
      <c r="D1080" t="str">
        <f>IF(PNL!D1080="","",PNL!D1080)</f>
        <v>V03</v>
      </c>
      <c r="E1080">
        <f t="shared" si="0"/>
        <v>1</v>
      </c>
      <c r="F1080">
        <f>IF($A1080="","",IF($E1080=1,_xlfn.SUMIFS(Compta!$F$1:$F$1448,Compta!$A$1:$A$1448,$A1080,Compta!$B$1:$B$1448,$B1080,Compta!$C$1:$C$1448,"2026"),0))</f>
        <v>11880</v>
      </c>
      <c r="G1080" t="s">
        <v>274</v>
      </c>
      <c r="H1080" t="s">
        <v>274</v>
      </c>
      <c r="I1080" t="s">
        <v>274</v>
      </c>
      <c r="J1080" t="s">
        <v>274</v>
      </c>
      <c r="K1080" t="s">
        <v>274</v>
      </c>
      <c r="L1080" t="s">
        <v>274</v>
      </c>
      <c r="M1080" t="s">
        <v>274</v>
      </c>
      <c r="N1080" t="e">
        <f t="shared" si="1"/>
        <v>#VALUE!</v>
      </c>
      <c r="O1080" t="e">
        <f t="shared" si="2"/>
        <v>#VALUE!</v>
      </c>
      <c r="P1080" t="e">
        <f>IF($A1080="","",IF($E1080=1,$F1080*$O1080,PNL!G1080))</f>
        <v>#VALUE!</v>
      </c>
      <c r="T1080" t="e">
        <f t="shared" si="3"/>
        <v>#VALUE!</v>
      </c>
    </row>
    <row r="1081" ht="14.25" customHeight="1">
      <c r="A1081" t="str">
        <f>IF(PNL!A1081="","",PNL!A1081)</f>
        <v>MBWAY_NAN</v>
      </c>
      <c r="B1081" t="str">
        <f>IF(PNL!B1081="","",PNL!B1081)</f>
        <v>708</v>
      </c>
      <c r="C1081" t="str">
        <f>IF(PNL!C1081="","",PNL!C1081)</f>
        <v>2027</v>
      </c>
      <c r="D1081" t="str">
        <f>IF(PNL!D1081="","",PNL!D1081)</f>
        <v>V01</v>
      </c>
      <c r="E1081">
        <f t="shared" si="0"/>
        <v>1</v>
      </c>
      <c r="F1081">
        <f>IF($A1081="","",IF($E1081=1,_xlfn.SUMIFS(Compta!$F$1:$F$1448,Compta!$A$1:$A$1448,$A1081,Compta!$B$1:$B$1448,$B1081,Compta!$C$1:$C$1448,"2026"),0))</f>
        <v>10800</v>
      </c>
      <c r="G1081" t="s">
        <v>274</v>
      </c>
      <c r="H1081" t="s">
        <v>274</v>
      </c>
      <c r="I1081" t="s">
        <v>274</v>
      </c>
      <c r="J1081" t="s">
        <v>274</v>
      </c>
      <c r="K1081" t="s">
        <v>274</v>
      </c>
      <c r="L1081" t="s">
        <v>274</v>
      </c>
      <c r="M1081" t="s">
        <v>274</v>
      </c>
      <c r="N1081" t="e">
        <f t="shared" si="1"/>
        <v>#VALUE!</v>
      </c>
      <c r="O1081" t="e">
        <f t="shared" si="2"/>
        <v>#VALUE!</v>
      </c>
      <c r="P1081" t="e">
        <f>IF($A1081="","",IF($E1081=1,$F1081*$O1081,PNL!G1081))</f>
        <v>#VALUE!</v>
      </c>
      <c r="T1081" t="e">
        <f t="shared" si="3"/>
        <v>#VALUE!</v>
      </c>
    </row>
    <row r="1082" ht="14.25" customHeight="1">
      <c r="A1082" t="str">
        <f>IF(PNL!A1082="","",PNL!A1082)</f>
        <v>MBWAY_NAN</v>
      </c>
      <c r="B1082" t="str">
        <f>IF(PNL!B1082="","",PNL!B1082)</f>
        <v>708</v>
      </c>
      <c r="C1082" t="str">
        <f>IF(PNL!C1082="","",PNL!C1082)</f>
        <v>2027</v>
      </c>
      <c r="D1082" t="str">
        <f>IF(PNL!D1082="","",PNL!D1082)</f>
        <v>V02</v>
      </c>
      <c r="E1082">
        <f t="shared" si="0"/>
        <v>1</v>
      </c>
      <c r="F1082">
        <f>IF($A1082="","",IF($E1082=1,_xlfn.SUMIFS(Compta!$F$1:$F$1448,Compta!$A$1:$A$1448,$A1082,Compta!$B$1:$B$1448,$B1082,Compta!$C$1:$C$1448,"2026"),0))</f>
        <v>10800</v>
      </c>
      <c r="G1082" t="s">
        <v>274</v>
      </c>
      <c r="H1082" t="s">
        <v>274</v>
      </c>
      <c r="I1082" t="s">
        <v>274</v>
      </c>
      <c r="J1082" t="s">
        <v>274</v>
      </c>
      <c r="K1082" t="s">
        <v>274</v>
      </c>
      <c r="L1082" t="s">
        <v>274</v>
      </c>
      <c r="M1082" t="s">
        <v>274</v>
      </c>
      <c r="N1082" t="e">
        <f t="shared" si="1"/>
        <v>#VALUE!</v>
      </c>
      <c r="O1082" t="e">
        <f t="shared" si="2"/>
        <v>#VALUE!</v>
      </c>
      <c r="P1082" t="e">
        <f>IF($A1082="","",IF($E1082=1,$F1082*$O1082,PNL!G1082))</f>
        <v>#VALUE!</v>
      </c>
      <c r="T1082" t="e">
        <f t="shared" si="3"/>
        <v>#VALUE!</v>
      </c>
    </row>
    <row r="1083" ht="14.25" customHeight="1">
      <c r="A1083" t="str">
        <f>IF(PNL!A1083="","",PNL!A1083)</f>
        <v>MBWAY_NAN</v>
      </c>
      <c r="B1083" t="str">
        <f>IF(PNL!B1083="","",PNL!B1083)</f>
        <v>708</v>
      </c>
      <c r="C1083" t="str">
        <f>IF(PNL!C1083="","",PNL!C1083)</f>
        <v>2027</v>
      </c>
      <c r="D1083" t="str">
        <f>IF(PNL!D1083="","",PNL!D1083)</f>
        <v>V03</v>
      </c>
      <c r="E1083">
        <f t="shared" si="0"/>
        <v>1</v>
      </c>
      <c r="F1083">
        <f>IF($A1083="","",IF($E1083=1,_xlfn.SUMIFS(Compta!$F$1:$F$1448,Compta!$A$1:$A$1448,$A1083,Compta!$B$1:$B$1448,$B1083,Compta!$C$1:$C$1448,"2026"),0))</f>
        <v>10800</v>
      </c>
      <c r="G1083" t="s">
        <v>274</v>
      </c>
      <c r="H1083" t="s">
        <v>274</v>
      </c>
      <c r="I1083" t="s">
        <v>274</v>
      </c>
      <c r="J1083" t="s">
        <v>274</v>
      </c>
      <c r="K1083" t="s">
        <v>274</v>
      </c>
      <c r="L1083" t="s">
        <v>274</v>
      </c>
      <c r="M1083" t="s">
        <v>274</v>
      </c>
      <c r="N1083" t="e">
        <f t="shared" si="1"/>
        <v>#VALUE!</v>
      </c>
      <c r="O1083" t="e">
        <f t="shared" si="2"/>
        <v>#VALUE!</v>
      </c>
      <c r="P1083" t="e">
        <f>IF($A1083="","",IF($E1083=1,$F1083*$O1083,PNL!G1083))</f>
        <v>#VALUE!</v>
      </c>
      <c r="T1083" t="e">
        <f t="shared" si="3"/>
        <v>#VALUE!</v>
      </c>
    </row>
    <row r="1084" ht="14.25" customHeight="1">
      <c r="A1084" t="str">
        <f>IF(PNL!A1084="","",PNL!A1084)</f>
        <v>MBWAY_BOR</v>
      </c>
      <c r="B1084" t="str">
        <f>IF(PNL!B1084="","",PNL!B1084)</f>
        <v>708</v>
      </c>
      <c r="C1084" t="str">
        <f>IF(PNL!C1084="","",PNL!C1084)</f>
        <v>2027</v>
      </c>
      <c r="D1084" t="str">
        <f>IF(PNL!D1084="","",PNL!D1084)</f>
        <v>V01</v>
      </c>
      <c r="E1084">
        <f t="shared" si="0"/>
        <v>1</v>
      </c>
      <c r="F1084">
        <f>IF($A1084="","",IF($E1084=1,_xlfn.SUMIFS(Compta!$F$1:$F$1448,Compta!$A$1:$A$1448,$A1084,Compta!$B$1:$B$1448,$B1084,Compta!$C$1:$C$1448,"2026"),0))</f>
        <v>9180</v>
      </c>
      <c r="G1084" t="s">
        <v>274</v>
      </c>
      <c r="H1084" t="s">
        <v>274</v>
      </c>
      <c r="I1084" t="s">
        <v>274</v>
      </c>
      <c r="J1084" t="s">
        <v>274</v>
      </c>
      <c r="K1084" t="s">
        <v>274</v>
      </c>
      <c r="L1084" t="s">
        <v>274</v>
      </c>
      <c r="M1084" t="s">
        <v>274</v>
      </c>
      <c r="N1084" t="e">
        <f t="shared" si="1"/>
        <v>#VALUE!</v>
      </c>
      <c r="O1084" t="e">
        <f t="shared" si="2"/>
        <v>#VALUE!</v>
      </c>
      <c r="P1084" t="e">
        <f>IF($A1084="","",IF($E1084=1,$F1084*$O1084,PNL!G1084))</f>
        <v>#VALUE!</v>
      </c>
      <c r="T1084" t="e">
        <f t="shared" si="3"/>
        <v>#VALUE!</v>
      </c>
    </row>
    <row r="1085" ht="14.25" customHeight="1">
      <c r="A1085" t="str">
        <f>IF(PNL!A1085="","",PNL!A1085)</f>
        <v>MBWAY_BOR</v>
      </c>
      <c r="B1085" t="str">
        <f>IF(PNL!B1085="","",PNL!B1085)</f>
        <v>708</v>
      </c>
      <c r="C1085" t="str">
        <f>IF(PNL!C1085="","",PNL!C1085)</f>
        <v>2027</v>
      </c>
      <c r="D1085" t="str">
        <f>IF(PNL!D1085="","",PNL!D1085)</f>
        <v>V02</v>
      </c>
      <c r="E1085">
        <f t="shared" si="0"/>
        <v>1</v>
      </c>
      <c r="F1085">
        <f>IF($A1085="","",IF($E1085=1,_xlfn.SUMIFS(Compta!$F$1:$F$1448,Compta!$A$1:$A$1448,$A1085,Compta!$B$1:$B$1448,$B1085,Compta!$C$1:$C$1448,"2026"),0))</f>
        <v>9180</v>
      </c>
      <c r="G1085" t="s">
        <v>274</v>
      </c>
      <c r="H1085" t="s">
        <v>274</v>
      </c>
      <c r="I1085" t="s">
        <v>274</v>
      </c>
      <c r="J1085" t="s">
        <v>274</v>
      </c>
      <c r="K1085" t="s">
        <v>274</v>
      </c>
      <c r="L1085" t="s">
        <v>274</v>
      </c>
      <c r="M1085" t="s">
        <v>274</v>
      </c>
      <c r="N1085" t="e">
        <f t="shared" si="1"/>
        <v>#VALUE!</v>
      </c>
      <c r="O1085" t="e">
        <f t="shared" si="2"/>
        <v>#VALUE!</v>
      </c>
      <c r="P1085" t="e">
        <f>IF($A1085="","",IF($E1085=1,$F1085*$O1085,PNL!G1085))</f>
        <v>#VALUE!</v>
      </c>
      <c r="T1085" t="e">
        <f t="shared" si="3"/>
        <v>#VALUE!</v>
      </c>
    </row>
    <row r="1086" ht="14.25" customHeight="1">
      <c r="A1086" t="str">
        <f>IF(PNL!A1086="","",PNL!A1086)</f>
        <v>MBWAY_BOR</v>
      </c>
      <c r="B1086" t="str">
        <f>IF(PNL!B1086="","",PNL!B1086)</f>
        <v>708</v>
      </c>
      <c r="C1086" t="str">
        <f>IF(PNL!C1086="","",PNL!C1086)</f>
        <v>2027</v>
      </c>
      <c r="D1086" t="str">
        <f>IF(PNL!D1086="","",PNL!D1086)</f>
        <v>V03</v>
      </c>
      <c r="E1086">
        <f t="shared" si="0"/>
        <v>1</v>
      </c>
      <c r="F1086">
        <f>IF($A1086="","",IF($E1086=1,_xlfn.SUMIFS(Compta!$F$1:$F$1448,Compta!$A$1:$A$1448,$A1086,Compta!$B$1:$B$1448,$B1086,Compta!$C$1:$C$1448,"2026"),0))</f>
        <v>9180</v>
      </c>
      <c r="G1086" t="s">
        <v>274</v>
      </c>
      <c r="H1086" t="s">
        <v>274</v>
      </c>
      <c r="I1086" t="s">
        <v>274</v>
      </c>
      <c r="J1086" t="s">
        <v>274</v>
      </c>
      <c r="K1086" t="s">
        <v>274</v>
      </c>
      <c r="L1086" t="s">
        <v>274</v>
      </c>
      <c r="M1086" t="s">
        <v>274</v>
      </c>
      <c r="N1086" t="e">
        <f t="shared" si="1"/>
        <v>#VALUE!</v>
      </c>
      <c r="O1086" t="e">
        <f t="shared" si="2"/>
        <v>#VALUE!</v>
      </c>
      <c r="P1086" t="e">
        <f>IF($A1086="","",IF($E1086=1,$F1086*$O1086,PNL!G1086))</f>
        <v>#VALUE!</v>
      </c>
      <c r="T1086" t="e">
        <f t="shared" si="3"/>
        <v>#VALUE!</v>
      </c>
    </row>
    <row r="1087" ht="14.25" customHeight="1">
      <c r="A1087" t="str">
        <f>IF(PNL!A1087="","",PNL!A1087)</f>
        <v>ISCOM_PAR</v>
      </c>
      <c r="B1087" t="str">
        <f>IF(PNL!B1087="","",PNL!B1087)</f>
        <v>708</v>
      </c>
      <c r="C1087" t="str">
        <f>IF(PNL!C1087="","",PNL!C1087)</f>
        <v>2027</v>
      </c>
      <c r="D1087" t="str">
        <f>IF(PNL!D1087="","",PNL!D1087)</f>
        <v>V01</v>
      </c>
      <c r="E1087">
        <f t="shared" si="0"/>
        <v>1</v>
      </c>
      <c r="F1087">
        <f>IF($A1087="","",IF($E1087=1,_xlfn.SUMIFS(Compta!$F$1:$F$1448,Compta!$A$1:$A$1448,$A1087,Compta!$B$1:$B$1448,$B1087,Compta!$C$1:$C$1448,"2026"),0))</f>
        <v>12960</v>
      </c>
      <c r="G1087" t="s">
        <v>274</v>
      </c>
      <c r="H1087" t="s">
        <v>274</v>
      </c>
      <c r="I1087" t="s">
        <v>274</v>
      </c>
      <c r="J1087" t="s">
        <v>274</v>
      </c>
      <c r="K1087" t="s">
        <v>274</v>
      </c>
      <c r="L1087" t="s">
        <v>274</v>
      </c>
      <c r="M1087" t="s">
        <v>274</v>
      </c>
      <c r="N1087" t="e">
        <f t="shared" si="1"/>
        <v>#VALUE!</v>
      </c>
      <c r="O1087" t="e">
        <f t="shared" si="2"/>
        <v>#VALUE!</v>
      </c>
      <c r="P1087" t="e">
        <f>IF($A1087="","",IF($E1087=1,$F1087*$O1087,PNL!G1087))</f>
        <v>#VALUE!</v>
      </c>
      <c r="T1087" t="e">
        <f t="shared" si="3"/>
        <v>#VALUE!</v>
      </c>
    </row>
    <row r="1088" ht="14.25" customHeight="1">
      <c r="A1088" t="str">
        <f>IF(PNL!A1088="","",PNL!A1088)</f>
        <v>ISCOM_PAR</v>
      </c>
      <c r="B1088" t="str">
        <f>IF(PNL!B1088="","",PNL!B1088)</f>
        <v>708</v>
      </c>
      <c r="C1088" t="str">
        <f>IF(PNL!C1088="","",PNL!C1088)</f>
        <v>2027</v>
      </c>
      <c r="D1088" t="str">
        <f>IF(PNL!D1088="","",PNL!D1088)</f>
        <v>V02</v>
      </c>
      <c r="E1088">
        <f t="shared" si="0"/>
        <v>1</v>
      </c>
      <c r="F1088">
        <f>IF($A1088="","",IF($E1088=1,_xlfn.SUMIFS(Compta!$F$1:$F$1448,Compta!$A$1:$A$1448,$A1088,Compta!$B$1:$B$1448,$B1088,Compta!$C$1:$C$1448,"2026"),0))</f>
        <v>12960</v>
      </c>
      <c r="G1088" t="s">
        <v>274</v>
      </c>
      <c r="H1088" t="s">
        <v>274</v>
      </c>
      <c r="I1088" t="s">
        <v>274</v>
      </c>
      <c r="J1088" t="s">
        <v>274</v>
      </c>
      <c r="K1088" t="s">
        <v>274</v>
      </c>
      <c r="L1088" t="s">
        <v>274</v>
      </c>
      <c r="M1088" t="s">
        <v>274</v>
      </c>
      <c r="N1088" t="e">
        <f t="shared" si="1"/>
        <v>#VALUE!</v>
      </c>
      <c r="O1088" t="e">
        <f t="shared" si="2"/>
        <v>#VALUE!</v>
      </c>
      <c r="P1088" t="e">
        <f>IF($A1088="","",IF($E1088=1,$F1088*$O1088,PNL!G1088))</f>
        <v>#VALUE!</v>
      </c>
      <c r="T1088" t="e">
        <f t="shared" si="3"/>
        <v>#VALUE!</v>
      </c>
    </row>
    <row r="1089" ht="14.25" customHeight="1">
      <c r="A1089" t="str">
        <f>IF(PNL!A1089="","",PNL!A1089)</f>
        <v>ISCOM_PAR</v>
      </c>
      <c r="B1089" t="str">
        <f>IF(PNL!B1089="","",PNL!B1089)</f>
        <v>708</v>
      </c>
      <c r="C1089" t="str">
        <f>IF(PNL!C1089="","",PNL!C1089)</f>
        <v>2027</v>
      </c>
      <c r="D1089" t="str">
        <f>IF(PNL!D1089="","",PNL!D1089)</f>
        <v>V03</v>
      </c>
      <c r="E1089">
        <f t="shared" si="0"/>
        <v>1</v>
      </c>
      <c r="F1089">
        <f>IF($A1089="","",IF($E1089=1,_xlfn.SUMIFS(Compta!$F$1:$F$1448,Compta!$A$1:$A$1448,$A1089,Compta!$B$1:$B$1448,$B1089,Compta!$C$1:$C$1448,"2026"),0))</f>
        <v>12960</v>
      </c>
      <c r="G1089" t="s">
        <v>274</v>
      </c>
      <c r="H1089" t="s">
        <v>274</v>
      </c>
      <c r="I1089" t="s">
        <v>274</v>
      </c>
      <c r="J1089" t="s">
        <v>274</v>
      </c>
      <c r="K1089" t="s">
        <v>274</v>
      </c>
      <c r="L1089" t="s">
        <v>274</v>
      </c>
      <c r="M1089" t="s">
        <v>274</v>
      </c>
      <c r="N1089" t="e">
        <f t="shared" si="1"/>
        <v>#VALUE!</v>
      </c>
      <c r="O1089" t="e">
        <f t="shared" si="2"/>
        <v>#VALUE!</v>
      </c>
      <c r="P1089" t="e">
        <f>IF($A1089="","",IF($E1089=1,$F1089*$O1089,PNL!G1089))</f>
        <v>#VALUE!</v>
      </c>
      <c r="T1089" t="e">
        <f t="shared" si="3"/>
        <v>#VALUE!</v>
      </c>
    </row>
    <row r="1090" ht="14.25" customHeight="1">
      <c r="A1090" t="str">
        <f>IF(PNL!A1090="","",PNL!A1090)</f>
        <v>ISCOM_LIL</v>
      </c>
      <c r="B1090" t="str">
        <f>IF(PNL!B1090="","",PNL!B1090)</f>
        <v>708</v>
      </c>
      <c r="C1090" t="str">
        <f>IF(PNL!C1090="","",PNL!C1090)</f>
        <v>2027</v>
      </c>
      <c r="D1090" t="str">
        <f>IF(PNL!D1090="","",PNL!D1090)</f>
        <v>V01</v>
      </c>
      <c r="E1090">
        <f t="shared" si="0"/>
        <v>1</v>
      </c>
      <c r="F1090">
        <f>IF($A1090="","",IF($E1090=1,_xlfn.SUMIFS(Compta!$F$1:$F$1448,Compta!$A$1:$A$1448,$A1090,Compta!$B$1:$B$1448,$B1090,Compta!$C$1:$C$1448,"2026"),0))</f>
        <v>9000</v>
      </c>
      <c r="G1090" t="s">
        <v>274</v>
      </c>
      <c r="H1090" t="s">
        <v>274</v>
      </c>
      <c r="I1090" t="s">
        <v>274</v>
      </c>
      <c r="J1090" t="s">
        <v>274</v>
      </c>
      <c r="K1090" t="s">
        <v>274</v>
      </c>
      <c r="L1090" t="s">
        <v>274</v>
      </c>
      <c r="M1090" t="s">
        <v>274</v>
      </c>
      <c r="N1090" t="e">
        <f t="shared" si="1"/>
        <v>#VALUE!</v>
      </c>
      <c r="O1090" t="e">
        <f t="shared" si="2"/>
        <v>#VALUE!</v>
      </c>
      <c r="P1090" t="e">
        <f>IF($A1090="","",IF($E1090=1,$F1090*$O1090,PNL!G1090))</f>
        <v>#VALUE!</v>
      </c>
      <c r="T1090" t="e">
        <f t="shared" si="3"/>
        <v>#VALUE!</v>
      </c>
    </row>
    <row r="1091" ht="14.25" customHeight="1">
      <c r="A1091" t="str">
        <f>IF(PNL!A1091="","",PNL!A1091)</f>
        <v>ISCOM_LIL</v>
      </c>
      <c r="B1091" t="str">
        <f>IF(PNL!B1091="","",PNL!B1091)</f>
        <v>708</v>
      </c>
      <c r="C1091" t="str">
        <f>IF(PNL!C1091="","",PNL!C1091)</f>
        <v>2027</v>
      </c>
      <c r="D1091" t="str">
        <f>IF(PNL!D1091="","",PNL!D1091)</f>
        <v>V02</v>
      </c>
      <c r="E1091">
        <f t="shared" si="0"/>
        <v>1</v>
      </c>
      <c r="F1091">
        <f>IF($A1091="","",IF($E1091=1,_xlfn.SUMIFS(Compta!$F$1:$F$1448,Compta!$A$1:$A$1448,$A1091,Compta!$B$1:$B$1448,$B1091,Compta!$C$1:$C$1448,"2026"),0))</f>
        <v>9000</v>
      </c>
      <c r="G1091" t="s">
        <v>274</v>
      </c>
      <c r="H1091" t="s">
        <v>274</v>
      </c>
      <c r="I1091" t="s">
        <v>274</v>
      </c>
      <c r="J1091" t="s">
        <v>274</v>
      </c>
      <c r="K1091" t="s">
        <v>274</v>
      </c>
      <c r="L1091" t="s">
        <v>274</v>
      </c>
      <c r="M1091" t="s">
        <v>274</v>
      </c>
      <c r="N1091" t="e">
        <f t="shared" si="1"/>
        <v>#VALUE!</v>
      </c>
      <c r="O1091" t="e">
        <f t="shared" si="2"/>
        <v>#VALUE!</v>
      </c>
      <c r="P1091" t="e">
        <f>IF($A1091="","",IF($E1091=1,$F1091*$O1091,PNL!G1091))</f>
        <v>#VALUE!</v>
      </c>
      <c r="T1091" t="e">
        <f t="shared" si="3"/>
        <v>#VALUE!</v>
      </c>
    </row>
    <row r="1092" ht="14.25" customHeight="1">
      <c r="A1092" t="str">
        <f>IF(PNL!A1092="","",PNL!A1092)</f>
        <v>ISCOM_LIL</v>
      </c>
      <c r="B1092" t="str">
        <f>IF(PNL!B1092="","",PNL!B1092)</f>
        <v>708</v>
      </c>
      <c r="C1092" t="str">
        <f>IF(PNL!C1092="","",PNL!C1092)</f>
        <v>2027</v>
      </c>
      <c r="D1092" t="str">
        <f>IF(PNL!D1092="","",PNL!D1092)</f>
        <v>V03</v>
      </c>
      <c r="E1092">
        <f t="shared" si="0"/>
        <v>1</v>
      </c>
      <c r="F1092">
        <f>IF($A1092="","",IF($E1092=1,_xlfn.SUMIFS(Compta!$F$1:$F$1448,Compta!$A$1:$A$1448,$A1092,Compta!$B$1:$B$1448,$B1092,Compta!$C$1:$C$1448,"2026"),0))</f>
        <v>9000</v>
      </c>
      <c r="G1092" t="s">
        <v>274</v>
      </c>
      <c r="H1092" t="s">
        <v>274</v>
      </c>
      <c r="I1092" t="s">
        <v>274</v>
      </c>
      <c r="J1092" t="s">
        <v>274</v>
      </c>
      <c r="K1092" t="s">
        <v>274</v>
      </c>
      <c r="L1092" t="s">
        <v>274</v>
      </c>
      <c r="M1092" t="s">
        <v>274</v>
      </c>
      <c r="N1092" t="e">
        <f t="shared" si="1"/>
        <v>#VALUE!</v>
      </c>
      <c r="O1092" t="e">
        <f t="shared" si="2"/>
        <v>#VALUE!</v>
      </c>
      <c r="P1092" t="e">
        <f>IF($A1092="","",IF($E1092=1,$F1092*$O1092,PNL!G1092))</f>
        <v>#VALUE!</v>
      </c>
      <c r="T1092" t="e">
        <f t="shared" si="3"/>
        <v>#VALUE!</v>
      </c>
    </row>
    <row r="1093" ht="14.25" customHeight="1">
      <c r="A1093" t="str">
        <f>IF(PNL!A1093="","",PNL!A1093)</f>
        <v>ISCOM_TLS</v>
      </c>
      <c r="B1093" t="str">
        <f>IF(PNL!B1093="","",PNL!B1093)</f>
        <v>708</v>
      </c>
      <c r="C1093" t="str">
        <f>IF(PNL!C1093="","",PNL!C1093)</f>
        <v>2027</v>
      </c>
      <c r="D1093" t="str">
        <f>IF(PNL!D1093="","",PNL!D1093)</f>
        <v>V01</v>
      </c>
      <c r="E1093">
        <f t="shared" si="0"/>
        <v>1</v>
      </c>
      <c r="F1093">
        <f>IF($A1093="","",IF($E1093=1,_xlfn.SUMIFS(Compta!$F$1:$F$1448,Compta!$A$1:$A$1448,$A1093,Compta!$B$1:$B$1448,$B1093,Compta!$C$1:$C$1448,"2026"),0))</f>
        <v>8460</v>
      </c>
      <c r="G1093" t="s">
        <v>274</v>
      </c>
      <c r="H1093" t="s">
        <v>274</v>
      </c>
      <c r="I1093" t="s">
        <v>274</v>
      </c>
      <c r="J1093" t="s">
        <v>274</v>
      </c>
      <c r="K1093" t="s">
        <v>274</v>
      </c>
      <c r="L1093" t="s">
        <v>274</v>
      </c>
      <c r="M1093" t="s">
        <v>274</v>
      </c>
      <c r="N1093" t="e">
        <f t="shared" si="1"/>
        <v>#VALUE!</v>
      </c>
      <c r="O1093" t="e">
        <f t="shared" si="2"/>
        <v>#VALUE!</v>
      </c>
      <c r="P1093" t="e">
        <f>IF($A1093="","",IF($E1093=1,$F1093*$O1093,PNL!G1093))</f>
        <v>#VALUE!</v>
      </c>
      <c r="T1093" t="e">
        <f t="shared" si="3"/>
        <v>#VALUE!</v>
      </c>
    </row>
    <row r="1094" ht="14.25" customHeight="1">
      <c r="A1094" t="str">
        <f>IF(PNL!A1094="","",PNL!A1094)</f>
        <v>ISCOM_TLS</v>
      </c>
      <c r="B1094" t="str">
        <f>IF(PNL!B1094="","",PNL!B1094)</f>
        <v>708</v>
      </c>
      <c r="C1094" t="str">
        <f>IF(PNL!C1094="","",PNL!C1094)</f>
        <v>2027</v>
      </c>
      <c r="D1094" t="str">
        <f>IF(PNL!D1094="","",PNL!D1094)</f>
        <v>V02</v>
      </c>
      <c r="E1094">
        <f t="shared" si="0"/>
        <v>1</v>
      </c>
      <c r="F1094">
        <f>IF($A1094="","",IF($E1094=1,_xlfn.SUMIFS(Compta!$F$1:$F$1448,Compta!$A$1:$A$1448,$A1094,Compta!$B$1:$B$1448,$B1094,Compta!$C$1:$C$1448,"2026"),0))</f>
        <v>8460</v>
      </c>
      <c r="G1094" t="s">
        <v>274</v>
      </c>
      <c r="H1094" t="s">
        <v>274</v>
      </c>
      <c r="I1094" t="s">
        <v>274</v>
      </c>
      <c r="J1094" t="s">
        <v>274</v>
      </c>
      <c r="K1094" t="s">
        <v>274</v>
      </c>
      <c r="L1094" t="s">
        <v>274</v>
      </c>
      <c r="M1094" t="s">
        <v>274</v>
      </c>
      <c r="N1094" t="e">
        <f t="shared" si="1"/>
        <v>#VALUE!</v>
      </c>
      <c r="O1094" t="e">
        <f t="shared" si="2"/>
        <v>#VALUE!</v>
      </c>
      <c r="P1094" t="e">
        <f>IF($A1094="","",IF($E1094=1,$F1094*$O1094,PNL!G1094))</f>
        <v>#VALUE!</v>
      </c>
      <c r="T1094" t="e">
        <f t="shared" si="3"/>
        <v>#VALUE!</v>
      </c>
    </row>
    <row r="1095" ht="14.25" customHeight="1">
      <c r="A1095" t="str">
        <f>IF(PNL!A1095="","",PNL!A1095)</f>
        <v>ISCOM_TLS</v>
      </c>
      <c r="B1095" t="str">
        <f>IF(PNL!B1095="","",PNL!B1095)</f>
        <v>708</v>
      </c>
      <c r="C1095" t="str">
        <f>IF(PNL!C1095="","",PNL!C1095)</f>
        <v>2027</v>
      </c>
      <c r="D1095" t="str">
        <f>IF(PNL!D1095="","",PNL!D1095)</f>
        <v>V03</v>
      </c>
      <c r="E1095">
        <f t="shared" si="0"/>
        <v>1</v>
      </c>
      <c r="F1095">
        <f>IF($A1095="","",IF($E1095=1,_xlfn.SUMIFS(Compta!$F$1:$F$1448,Compta!$A$1:$A$1448,$A1095,Compta!$B$1:$B$1448,$B1095,Compta!$C$1:$C$1448,"2026"),0))</f>
        <v>8460</v>
      </c>
      <c r="G1095" t="s">
        <v>274</v>
      </c>
      <c r="H1095" t="s">
        <v>274</v>
      </c>
      <c r="I1095" t="s">
        <v>274</v>
      </c>
      <c r="J1095" t="s">
        <v>274</v>
      </c>
      <c r="K1095" t="s">
        <v>274</v>
      </c>
      <c r="L1095" t="s">
        <v>274</v>
      </c>
      <c r="M1095" t="s">
        <v>274</v>
      </c>
      <c r="N1095" t="e">
        <f t="shared" si="1"/>
        <v>#VALUE!</v>
      </c>
      <c r="O1095" t="e">
        <f t="shared" si="2"/>
        <v>#VALUE!</v>
      </c>
      <c r="P1095" t="e">
        <f>IF($A1095="","",IF($E1095=1,$F1095*$O1095,PNL!G1095))</f>
        <v>#VALUE!</v>
      </c>
      <c r="T1095" t="e">
        <f t="shared" si="3"/>
        <v>#VALUE!</v>
      </c>
    </row>
    <row r="1096" ht="14.25" customHeight="1">
      <c r="A1096" t="str">
        <f>IF(PNL!A1096="","",PNL!A1096)</f>
        <v>IPAC_NAN</v>
      </c>
      <c r="B1096" t="str">
        <f>IF(PNL!B1096="","",PNL!B1096)</f>
        <v>708</v>
      </c>
      <c r="C1096" t="str">
        <f>IF(PNL!C1096="","",PNL!C1096)</f>
        <v>2027</v>
      </c>
      <c r="D1096" t="str">
        <f>IF(PNL!D1096="","",PNL!D1096)</f>
        <v>V01</v>
      </c>
      <c r="E1096">
        <f t="shared" si="0"/>
        <v>1</v>
      </c>
      <c r="F1096">
        <f>IF($A1096="","",IF($E1096=1,_xlfn.SUMIFS(Compta!$F$1:$F$1448,Compta!$A$1:$A$1448,$A1096,Compta!$B$1:$B$1448,$B1096,Compta!$C$1:$C$1448,"2026"),0))</f>
        <v>4500</v>
      </c>
      <c r="G1096" t="s">
        <v>274</v>
      </c>
      <c r="H1096" t="s">
        <v>274</v>
      </c>
      <c r="I1096" t="s">
        <v>274</v>
      </c>
      <c r="J1096" t="s">
        <v>274</v>
      </c>
      <c r="K1096" t="s">
        <v>274</v>
      </c>
      <c r="L1096" t="s">
        <v>274</v>
      </c>
      <c r="M1096" t="s">
        <v>274</v>
      </c>
      <c r="N1096" t="e">
        <f t="shared" si="1"/>
        <v>#VALUE!</v>
      </c>
      <c r="O1096" t="e">
        <f t="shared" si="2"/>
        <v>#VALUE!</v>
      </c>
      <c r="P1096" t="e">
        <f>IF($A1096="","",IF($E1096=1,$F1096*$O1096,PNL!G1096))</f>
        <v>#VALUE!</v>
      </c>
      <c r="T1096" t="e">
        <f t="shared" si="3"/>
        <v>#VALUE!</v>
      </c>
    </row>
    <row r="1097" ht="14.25" customHeight="1">
      <c r="A1097" t="str">
        <f>IF(PNL!A1097="","",PNL!A1097)</f>
        <v>IPAC_NAN</v>
      </c>
      <c r="B1097" t="str">
        <f>IF(PNL!B1097="","",PNL!B1097)</f>
        <v>708</v>
      </c>
      <c r="C1097" t="str">
        <f>IF(PNL!C1097="","",PNL!C1097)</f>
        <v>2027</v>
      </c>
      <c r="D1097" t="str">
        <f>IF(PNL!D1097="","",PNL!D1097)</f>
        <v>V02</v>
      </c>
      <c r="E1097">
        <f t="shared" si="0"/>
        <v>1</v>
      </c>
      <c r="F1097">
        <f>IF($A1097="","",IF($E1097=1,_xlfn.SUMIFS(Compta!$F$1:$F$1448,Compta!$A$1:$A$1448,$A1097,Compta!$B$1:$B$1448,$B1097,Compta!$C$1:$C$1448,"2026"),0))</f>
        <v>4500</v>
      </c>
      <c r="G1097" t="s">
        <v>274</v>
      </c>
      <c r="H1097" t="s">
        <v>274</v>
      </c>
      <c r="I1097" t="s">
        <v>274</v>
      </c>
      <c r="J1097" t="s">
        <v>274</v>
      </c>
      <c r="K1097" t="s">
        <v>274</v>
      </c>
      <c r="L1097" t="s">
        <v>274</v>
      </c>
      <c r="M1097" t="s">
        <v>274</v>
      </c>
      <c r="N1097" t="e">
        <f t="shared" si="1"/>
        <v>#VALUE!</v>
      </c>
      <c r="O1097" t="e">
        <f t="shared" si="2"/>
        <v>#VALUE!</v>
      </c>
      <c r="P1097" t="e">
        <f>IF($A1097="","",IF($E1097=1,$F1097*$O1097,PNL!G1097))</f>
        <v>#VALUE!</v>
      </c>
      <c r="T1097" t="e">
        <f t="shared" si="3"/>
        <v>#VALUE!</v>
      </c>
    </row>
    <row r="1098" ht="14.25" customHeight="1">
      <c r="A1098" t="str">
        <f>IF(PNL!A1098="","",PNL!A1098)</f>
        <v>IPAC_NAN</v>
      </c>
      <c r="B1098" t="str">
        <f>IF(PNL!B1098="","",PNL!B1098)</f>
        <v>708</v>
      </c>
      <c r="C1098" t="str">
        <f>IF(PNL!C1098="","",PNL!C1098)</f>
        <v>2027</v>
      </c>
      <c r="D1098" t="str">
        <f>IF(PNL!D1098="","",PNL!D1098)</f>
        <v>V03</v>
      </c>
      <c r="E1098">
        <f t="shared" si="0"/>
        <v>1</v>
      </c>
      <c r="F1098">
        <f>IF($A1098="","",IF($E1098=1,_xlfn.SUMIFS(Compta!$F$1:$F$1448,Compta!$A$1:$A$1448,$A1098,Compta!$B$1:$B$1448,$B1098,Compta!$C$1:$C$1448,"2026"),0))</f>
        <v>4500</v>
      </c>
      <c r="G1098" t="s">
        <v>274</v>
      </c>
      <c r="H1098" t="s">
        <v>274</v>
      </c>
      <c r="I1098" t="s">
        <v>274</v>
      </c>
      <c r="J1098" t="s">
        <v>274</v>
      </c>
      <c r="K1098" t="s">
        <v>274</v>
      </c>
      <c r="L1098" t="s">
        <v>274</v>
      </c>
      <c r="M1098" t="s">
        <v>274</v>
      </c>
      <c r="N1098" t="e">
        <f t="shared" si="1"/>
        <v>#VALUE!</v>
      </c>
      <c r="O1098" t="e">
        <f t="shared" si="2"/>
        <v>#VALUE!</v>
      </c>
      <c r="P1098" t="e">
        <f>IF($A1098="","",IF($E1098=1,$F1098*$O1098,PNL!G1098))</f>
        <v>#VALUE!</v>
      </c>
      <c r="T1098" t="e">
        <f t="shared" si="3"/>
        <v>#VALUE!</v>
      </c>
    </row>
    <row r="1099" ht="14.25" customHeight="1">
      <c r="A1099" t="str">
        <f>IF(PNL!A1099="","",PNL!A1099)</f>
        <v>IPAC_REN</v>
      </c>
      <c r="B1099" t="str">
        <f>IF(PNL!B1099="","",PNL!B1099)</f>
        <v>708</v>
      </c>
      <c r="C1099" t="str">
        <f>IF(PNL!C1099="","",PNL!C1099)</f>
        <v>2027</v>
      </c>
      <c r="D1099" t="str">
        <f>IF(PNL!D1099="","",PNL!D1099)</f>
        <v>V01</v>
      </c>
      <c r="E1099">
        <f t="shared" si="0"/>
        <v>1</v>
      </c>
      <c r="F1099">
        <f>IF($A1099="","",IF($E1099=1,_xlfn.SUMIFS(Compta!$F$1:$F$1448,Compta!$A$1:$A$1448,$A1099,Compta!$B$1:$B$1448,$B1099,Compta!$C$1:$C$1448,"2026"),0))</f>
        <v>3600</v>
      </c>
      <c r="G1099" t="s">
        <v>274</v>
      </c>
      <c r="H1099" t="s">
        <v>274</v>
      </c>
      <c r="I1099" t="s">
        <v>274</v>
      </c>
      <c r="J1099" t="s">
        <v>274</v>
      </c>
      <c r="K1099" t="s">
        <v>274</v>
      </c>
      <c r="L1099" t="s">
        <v>274</v>
      </c>
      <c r="M1099" t="s">
        <v>274</v>
      </c>
      <c r="N1099" t="e">
        <f t="shared" si="1"/>
        <v>#VALUE!</v>
      </c>
      <c r="O1099" t="e">
        <f t="shared" si="2"/>
        <v>#VALUE!</v>
      </c>
      <c r="P1099" t="e">
        <f>IF($A1099="","",IF($E1099=1,$F1099*$O1099,PNL!G1099))</f>
        <v>#VALUE!</v>
      </c>
      <c r="T1099" t="e">
        <f t="shared" si="3"/>
        <v>#VALUE!</v>
      </c>
    </row>
    <row r="1100" ht="14.25" customHeight="1">
      <c r="A1100" t="str">
        <f>IF(PNL!A1100="","",PNL!A1100)</f>
        <v>IPAC_REN</v>
      </c>
      <c r="B1100" t="str">
        <f>IF(PNL!B1100="","",PNL!B1100)</f>
        <v>708</v>
      </c>
      <c r="C1100" t="str">
        <f>IF(PNL!C1100="","",PNL!C1100)</f>
        <v>2027</v>
      </c>
      <c r="D1100" t="str">
        <f>IF(PNL!D1100="","",PNL!D1100)</f>
        <v>V02</v>
      </c>
      <c r="E1100">
        <f t="shared" si="0"/>
        <v>1</v>
      </c>
      <c r="F1100">
        <f>IF($A1100="","",IF($E1100=1,_xlfn.SUMIFS(Compta!$F$1:$F$1448,Compta!$A$1:$A$1448,$A1100,Compta!$B$1:$B$1448,$B1100,Compta!$C$1:$C$1448,"2026"),0))</f>
        <v>3600</v>
      </c>
      <c r="G1100" t="s">
        <v>274</v>
      </c>
      <c r="H1100" t="s">
        <v>274</v>
      </c>
      <c r="I1100" t="s">
        <v>274</v>
      </c>
      <c r="J1100" t="s">
        <v>274</v>
      </c>
      <c r="K1100" t="s">
        <v>274</v>
      </c>
      <c r="L1100" t="s">
        <v>274</v>
      </c>
      <c r="M1100" t="s">
        <v>274</v>
      </c>
      <c r="N1100" t="e">
        <f t="shared" si="1"/>
        <v>#VALUE!</v>
      </c>
      <c r="O1100" t="e">
        <f t="shared" si="2"/>
        <v>#VALUE!</v>
      </c>
      <c r="P1100" t="e">
        <f>IF($A1100="","",IF($E1100=1,$F1100*$O1100,PNL!G1100))</f>
        <v>#VALUE!</v>
      </c>
      <c r="T1100" t="e">
        <f t="shared" si="3"/>
        <v>#VALUE!</v>
      </c>
    </row>
    <row r="1101" ht="14.25" customHeight="1">
      <c r="A1101" t="str">
        <f>IF(PNL!A1101="","",PNL!A1101)</f>
        <v>IPAC_REN</v>
      </c>
      <c r="B1101" t="str">
        <f>IF(PNL!B1101="","",PNL!B1101)</f>
        <v>708</v>
      </c>
      <c r="C1101" t="str">
        <f>IF(PNL!C1101="","",PNL!C1101)</f>
        <v>2027</v>
      </c>
      <c r="D1101" t="str">
        <f>IF(PNL!D1101="","",PNL!D1101)</f>
        <v>V03</v>
      </c>
      <c r="E1101">
        <f t="shared" si="0"/>
        <v>1</v>
      </c>
      <c r="F1101">
        <f>IF($A1101="","",IF($E1101=1,_xlfn.SUMIFS(Compta!$F$1:$F$1448,Compta!$A$1:$A$1448,$A1101,Compta!$B$1:$B$1448,$B1101,Compta!$C$1:$C$1448,"2026"),0))</f>
        <v>3600</v>
      </c>
      <c r="G1101" t="s">
        <v>274</v>
      </c>
      <c r="H1101" t="s">
        <v>274</v>
      </c>
      <c r="I1101" t="s">
        <v>274</v>
      </c>
      <c r="J1101" t="s">
        <v>274</v>
      </c>
      <c r="K1101" t="s">
        <v>274</v>
      </c>
      <c r="L1101" t="s">
        <v>274</v>
      </c>
      <c r="M1101" t="s">
        <v>274</v>
      </c>
      <c r="N1101" t="e">
        <f t="shared" si="1"/>
        <v>#VALUE!</v>
      </c>
      <c r="O1101" t="e">
        <f t="shared" si="2"/>
        <v>#VALUE!</v>
      </c>
      <c r="P1101" t="e">
        <f>IF($A1101="","",IF($E1101=1,$F1101*$O1101,PNL!G1101))</f>
        <v>#VALUE!</v>
      </c>
      <c r="T1101" t="e">
        <f t="shared" si="3"/>
        <v>#VALUE!</v>
      </c>
    </row>
    <row r="1102" ht="14.25" customHeight="1">
      <c r="A1102" t="str">
        <f>IF(PNL!A1102="","",PNL!A1102)</f>
        <v>IPAC_MTP</v>
      </c>
      <c r="B1102" t="str">
        <f>IF(PNL!B1102="","",PNL!B1102)</f>
        <v>708</v>
      </c>
      <c r="C1102" t="str">
        <f>IF(PNL!C1102="","",PNL!C1102)</f>
        <v>2027</v>
      </c>
      <c r="D1102" t="str">
        <f>IF(PNL!D1102="","",PNL!D1102)</f>
        <v>V01</v>
      </c>
      <c r="E1102">
        <f t="shared" si="0"/>
        <v>1</v>
      </c>
      <c r="F1102">
        <f>IF($A1102="","",IF($E1102=1,_xlfn.SUMIFS(Compta!$F$1:$F$1448,Compta!$A$1:$A$1448,$A1102,Compta!$B$1:$B$1448,$B1102,Compta!$C$1:$C$1448,"2026"),0))</f>
        <v>3600</v>
      </c>
      <c r="G1102" t="s">
        <v>274</v>
      </c>
      <c r="H1102" t="s">
        <v>274</v>
      </c>
      <c r="I1102" t="s">
        <v>274</v>
      </c>
      <c r="J1102" t="s">
        <v>274</v>
      </c>
      <c r="K1102" t="s">
        <v>274</v>
      </c>
      <c r="L1102" t="s">
        <v>274</v>
      </c>
      <c r="M1102" t="s">
        <v>274</v>
      </c>
      <c r="N1102" t="e">
        <f t="shared" si="1"/>
        <v>#VALUE!</v>
      </c>
      <c r="O1102" t="e">
        <f t="shared" si="2"/>
        <v>#VALUE!</v>
      </c>
      <c r="P1102" t="e">
        <f>IF($A1102="","",IF($E1102=1,$F1102*$O1102,PNL!G1102))</f>
        <v>#VALUE!</v>
      </c>
      <c r="T1102" t="e">
        <f t="shared" si="3"/>
        <v>#VALUE!</v>
      </c>
    </row>
    <row r="1103" ht="14.25" customHeight="1">
      <c r="A1103" t="str">
        <f>IF(PNL!A1103="","",PNL!A1103)</f>
        <v>IPAC_MTP</v>
      </c>
      <c r="B1103" t="str">
        <f>IF(PNL!B1103="","",PNL!B1103)</f>
        <v>708</v>
      </c>
      <c r="C1103" t="str">
        <f>IF(PNL!C1103="","",PNL!C1103)</f>
        <v>2027</v>
      </c>
      <c r="D1103" t="str">
        <f>IF(PNL!D1103="","",PNL!D1103)</f>
        <v>V02</v>
      </c>
      <c r="E1103">
        <f t="shared" si="0"/>
        <v>1</v>
      </c>
      <c r="F1103">
        <f>IF($A1103="","",IF($E1103=1,_xlfn.SUMIFS(Compta!$F$1:$F$1448,Compta!$A$1:$A$1448,$A1103,Compta!$B$1:$B$1448,$B1103,Compta!$C$1:$C$1448,"2026"),0))</f>
        <v>3600</v>
      </c>
      <c r="G1103" t="s">
        <v>274</v>
      </c>
      <c r="H1103" t="s">
        <v>274</v>
      </c>
      <c r="I1103" t="s">
        <v>274</v>
      </c>
      <c r="J1103" t="s">
        <v>274</v>
      </c>
      <c r="K1103" t="s">
        <v>274</v>
      </c>
      <c r="L1103" t="s">
        <v>274</v>
      </c>
      <c r="M1103" t="s">
        <v>274</v>
      </c>
      <c r="N1103" t="e">
        <f t="shared" si="1"/>
        <v>#VALUE!</v>
      </c>
      <c r="O1103" t="e">
        <f t="shared" si="2"/>
        <v>#VALUE!</v>
      </c>
      <c r="P1103" t="e">
        <f>IF($A1103="","",IF($E1103=1,$F1103*$O1103,PNL!G1103))</f>
        <v>#VALUE!</v>
      </c>
      <c r="T1103" t="e">
        <f t="shared" si="3"/>
        <v>#VALUE!</v>
      </c>
    </row>
    <row r="1104" ht="14.25" customHeight="1">
      <c r="A1104" t="str">
        <f>IF(PNL!A1104="","",PNL!A1104)</f>
        <v>IPAC_MTP</v>
      </c>
      <c r="B1104" t="str">
        <f>IF(PNL!B1104="","",PNL!B1104)</f>
        <v>708</v>
      </c>
      <c r="C1104" t="str">
        <f>IF(PNL!C1104="","",PNL!C1104)</f>
        <v>2027</v>
      </c>
      <c r="D1104" t="str">
        <f>IF(PNL!D1104="","",PNL!D1104)</f>
        <v>V03</v>
      </c>
      <c r="E1104">
        <f t="shared" si="0"/>
        <v>1</v>
      </c>
      <c r="F1104">
        <f>IF($A1104="","",IF($E1104=1,_xlfn.SUMIFS(Compta!$F$1:$F$1448,Compta!$A$1:$A$1448,$A1104,Compta!$B$1:$B$1448,$B1104,Compta!$C$1:$C$1448,"2026"),0))</f>
        <v>3600</v>
      </c>
      <c r="G1104" t="s">
        <v>274</v>
      </c>
      <c r="H1104" t="s">
        <v>274</v>
      </c>
      <c r="I1104" t="s">
        <v>274</v>
      </c>
      <c r="J1104" t="s">
        <v>274</v>
      </c>
      <c r="K1104" t="s">
        <v>274</v>
      </c>
      <c r="L1104" t="s">
        <v>274</v>
      </c>
      <c r="M1104" t="s">
        <v>274</v>
      </c>
      <c r="N1104" t="e">
        <f t="shared" si="1"/>
        <v>#VALUE!</v>
      </c>
      <c r="O1104" t="e">
        <f t="shared" si="2"/>
        <v>#VALUE!</v>
      </c>
      <c r="P1104" t="e">
        <f>IF($A1104="","",IF($E1104=1,$F1104*$O1104,PNL!G1104))</f>
        <v>#VALUE!</v>
      </c>
      <c r="T1104" t="e">
        <f t="shared" si="3"/>
        <v>#VALUE!</v>
      </c>
    </row>
    <row r="1105" ht="14.25" customHeight="1">
      <c r="A1105" t="str">
        <f>IF(PNL!A1105="","",PNL!A1105)</f>
        <v>PIGIER_LYO</v>
      </c>
      <c r="B1105" t="str">
        <f>IF(PNL!B1105="","",PNL!B1105)</f>
        <v>708</v>
      </c>
      <c r="C1105" t="str">
        <f>IF(PNL!C1105="","",PNL!C1105)</f>
        <v>2027</v>
      </c>
      <c r="D1105" t="str">
        <f>IF(PNL!D1105="","",PNL!D1105)</f>
        <v>V01</v>
      </c>
      <c r="E1105">
        <f t="shared" si="0"/>
        <v>1</v>
      </c>
      <c r="F1105">
        <f>IF($A1105="","",IF($E1105=1,_xlfn.SUMIFS(Compta!$F$1:$F$1448,Compta!$A$1:$A$1448,$A1105,Compta!$B$1:$B$1448,$B1105,Compta!$C$1:$C$1448,"2026"),0))</f>
        <v>8280</v>
      </c>
      <c r="G1105" t="s">
        <v>274</v>
      </c>
      <c r="H1105" t="s">
        <v>274</v>
      </c>
      <c r="I1105" t="s">
        <v>274</v>
      </c>
      <c r="J1105" t="s">
        <v>274</v>
      </c>
      <c r="K1105" t="s">
        <v>274</v>
      </c>
      <c r="L1105" t="s">
        <v>274</v>
      </c>
      <c r="M1105" t="s">
        <v>274</v>
      </c>
      <c r="N1105" t="e">
        <f t="shared" si="1"/>
        <v>#VALUE!</v>
      </c>
      <c r="O1105" t="e">
        <f t="shared" si="2"/>
        <v>#VALUE!</v>
      </c>
      <c r="P1105" t="e">
        <f>IF($A1105="","",IF($E1105=1,$F1105*$O1105,PNL!G1105))</f>
        <v>#VALUE!</v>
      </c>
      <c r="T1105" t="e">
        <f t="shared" si="3"/>
        <v>#VALUE!</v>
      </c>
    </row>
    <row r="1106" ht="14.25" customHeight="1">
      <c r="A1106" t="str">
        <f>IF(PNL!A1106="","",PNL!A1106)</f>
        <v>PIGIER_LYO</v>
      </c>
      <c r="B1106" t="str">
        <f>IF(PNL!B1106="","",PNL!B1106)</f>
        <v>708</v>
      </c>
      <c r="C1106" t="str">
        <f>IF(PNL!C1106="","",PNL!C1106)</f>
        <v>2027</v>
      </c>
      <c r="D1106" t="str">
        <f>IF(PNL!D1106="","",PNL!D1106)</f>
        <v>V02</v>
      </c>
      <c r="E1106">
        <f t="shared" si="0"/>
        <v>1</v>
      </c>
      <c r="F1106">
        <f>IF($A1106="","",IF($E1106=1,_xlfn.SUMIFS(Compta!$F$1:$F$1448,Compta!$A$1:$A$1448,$A1106,Compta!$B$1:$B$1448,$B1106,Compta!$C$1:$C$1448,"2026"),0))</f>
        <v>8280</v>
      </c>
      <c r="G1106" t="s">
        <v>274</v>
      </c>
      <c r="H1106" t="s">
        <v>274</v>
      </c>
      <c r="I1106" t="s">
        <v>274</v>
      </c>
      <c r="J1106" t="s">
        <v>274</v>
      </c>
      <c r="K1106" t="s">
        <v>274</v>
      </c>
      <c r="L1106" t="s">
        <v>274</v>
      </c>
      <c r="M1106" t="s">
        <v>274</v>
      </c>
      <c r="N1106" t="e">
        <f t="shared" si="1"/>
        <v>#VALUE!</v>
      </c>
      <c r="O1106" t="e">
        <f t="shared" si="2"/>
        <v>#VALUE!</v>
      </c>
      <c r="P1106" t="e">
        <f>IF($A1106="","",IF($E1106=1,$F1106*$O1106,PNL!G1106))</f>
        <v>#VALUE!</v>
      </c>
      <c r="T1106" t="e">
        <f t="shared" si="3"/>
        <v>#VALUE!</v>
      </c>
    </row>
    <row r="1107" ht="14.25" customHeight="1">
      <c r="A1107" t="str">
        <f>IF(PNL!A1107="","",PNL!A1107)</f>
        <v>PIGIER_LYO</v>
      </c>
      <c r="B1107" t="str">
        <f>IF(PNL!B1107="","",PNL!B1107)</f>
        <v>708</v>
      </c>
      <c r="C1107" t="str">
        <f>IF(PNL!C1107="","",PNL!C1107)</f>
        <v>2027</v>
      </c>
      <c r="D1107" t="str">
        <f>IF(PNL!D1107="","",PNL!D1107)</f>
        <v>V03</v>
      </c>
      <c r="E1107">
        <f t="shared" si="0"/>
        <v>1</v>
      </c>
      <c r="F1107">
        <f>IF($A1107="","",IF($E1107=1,_xlfn.SUMIFS(Compta!$F$1:$F$1448,Compta!$A$1:$A$1448,$A1107,Compta!$B$1:$B$1448,$B1107,Compta!$C$1:$C$1448,"2026"),0))</f>
        <v>8280</v>
      </c>
      <c r="G1107" t="s">
        <v>274</v>
      </c>
      <c r="H1107" t="s">
        <v>274</v>
      </c>
      <c r="I1107" t="s">
        <v>274</v>
      </c>
      <c r="J1107" t="s">
        <v>274</v>
      </c>
      <c r="K1107" t="s">
        <v>274</v>
      </c>
      <c r="L1107" t="s">
        <v>274</v>
      </c>
      <c r="M1107" t="s">
        <v>274</v>
      </c>
      <c r="N1107" t="e">
        <f t="shared" si="1"/>
        <v>#VALUE!</v>
      </c>
      <c r="O1107" t="e">
        <f t="shared" si="2"/>
        <v>#VALUE!</v>
      </c>
      <c r="P1107" t="e">
        <f>IF($A1107="","",IF($E1107=1,$F1107*$O1107,PNL!G1107))</f>
        <v>#VALUE!</v>
      </c>
      <c r="T1107" t="e">
        <f t="shared" si="3"/>
        <v>#VALUE!</v>
      </c>
    </row>
    <row r="1108" ht="14.25" customHeight="1">
      <c r="A1108" t="str">
        <f>IF(PNL!A1108="","",PNL!A1108)</f>
        <v>PIGIER_BOR</v>
      </c>
      <c r="B1108" t="str">
        <f>IF(PNL!B1108="","",PNL!B1108)</f>
        <v>708</v>
      </c>
      <c r="C1108" t="str">
        <f>IF(PNL!C1108="","",PNL!C1108)</f>
        <v>2027</v>
      </c>
      <c r="D1108" t="str">
        <f>IF(PNL!D1108="","",PNL!D1108)</f>
        <v>V01</v>
      </c>
      <c r="E1108">
        <f t="shared" si="0"/>
        <v>1</v>
      </c>
      <c r="F1108">
        <f>IF($A1108="","",IF($E1108=1,_xlfn.SUMIFS(Compta!$F$1:$F$1448,Compta!$A$1:$A$1448,$A1108,Compta!$B$1:$B$1448,$B1108,Compta!$C$1:$C$1448,"2026"),0))</f>
        <v>6480</v>
      </c>
      <c r="G1108" t="s">
        <v>274</v>
      </c>
      <c r="H1108" t="s">
        <v>274</v>
      </c>
      <c r="I1108" t="s">
        <v>274</v>
      </c>
      <c r="J1108" t="s">
        <v>274</v>
      </c>
      <c r="K1108" t="s">
        <v>274</v>
      </c>
      <c r="L1108" t="s">
        <v>274</v>
      </c>
      <c r="M1108" t="s">
        <v>274</v>
      </c>
      <c r="N1108" t="e">
        <f t="shared" si="1"/>
        <v>#VALUE!</v>
      </c>
      <c r="O1108" t="e">
        <f t="shared" si="2"/>
        <v>#VALUE!</v>
      </c>
      <c r="P1108" t="e">
        <f>IF($A1108="","",IF($E1108=1,$F1108*$O1108,PNL!G1108))</f>
        <v>#VALUE!</v>
      </c>
      <c r="T1108" t="e">
        <f t="shared" si="3"/>
        <v>#VALUE!</v>
      </c>
    </row>
    <row r="1109" ht="14.25" customHeight="1">
      <c r="A1109" t="str">
        <f>IF(PNL!A1109="","",PNL!A1109)</f>
        <v>PIGIER_BOR</v>
      </c>
      <c r="B1109" t="str">
        <f>IF(PNL!B1109="","",PNL!B1109)</f>
        <v>708</v>
      </c>
      <c r="C1109" t="str">
        <f>IF(PNL!C1109="","",PNL!C1109)</f>
        <v>2027</v>
      </c>
      <c r="D1109" t="str">
        <f>IF(PNL!D1109="","",PNL!D1109)</f>
        <v>V02</v>
      </c>
      <c r="E1109">
        <f t="shared" si="0"/>
        <v>1</v>
      </c>
      <c r="F1109">
        <f>IF($A1109="","",IF($E1109=1,_xlfn.SUMIFS(Compta!$F$1:$F$1448,Compta!$A$1:$A$1448,$A1109,Compta!$B$1:$B$1448,$B1109,Compta!$C$1:$C$1448,"2026"),0))</f>
        <v>6480</v>
      </c>
      <c r="G1109" t="s">
        <v>274</v>
      </c>
      <c r="H1109" t="s">
        <v>274</v>
      </c>
      <c r="I1109" t="s">
        <v>274</v>
      </c>
      <c r="J1109" t="s">
        <v>274</v>
      </c>
      <c r="K1109" t="s">
        <v>274</v>
      </c>
      <c r="L1109" t="s">
        <v>274</v>
      </c>
      <c r="M1109" t="s">
        <v>274</v>
      </c>
      <c r="N1109" t="e">
        <f t="shared" si="1"/>
        <v>#VALUE!</v>
      </c>
      <c r="O1109" t="e">
        <f t="shared" si="2"/>
        <v>#VALUE!</v>
      </c>
      <c r="P1109" t="e">
        <f>IF($A1109="","",IF($E1109=1,$F1109*$O1109,PNL!G1109))</f>
        <v>#VALUE!</v>
      </c>
      <c r="T1109" t="e">
        <f t="shared" si="3"/>
        <v>#VALUE!</v>
      </c>
    </row>
    <row r="1110" ht="14.25" customHeight="1">
      <c r="A1110" t="str">
        <f>IF(PNL!A1110="","",PNL!A1110)</f>
        <v>PIGIER_BOR</v>
      </c>
      <c r="B1110" t="str">
        <f>IF(PNL!B1110="","",PNL!B1110)</f>
        <v>708</v>
      </c>
      <c r="C1110" t="str">
        <f>IF(PNL!C1110="","",PNL!C1110)</f>
        <v>2027</v>
      </c>
      <c r="D1110" t="str">
        <f>IF(PNL!D1110="","",PNL!D1110)</f>
        <v>V03</v>
      </c>
      <c r="E1110">
        <f t="shared" si="0"/>
        <v>1</v>
      </c>
      <c r="F1110">
        <f>IF($A1110="","",IF($E1110=1,_xlfn.SUMIFS(Compta!$F$1:$F$1448,Compta!$A$1:$A$1448,$A1110,Compta!$B$1:$B$1448,$B1110,Compta!$C$1:$C$1448,"2026"),0))</f>
        <v>6480</v>
      </c>
      <c r="G1110" t="s">
        <v>274</v>
      </c>
      <c r="H1110" t="s">
        <v>274</v>
      </c>
      <c r="I1110" t="s">
        <v>274</v>
      </c>
      <c r="J1110" t="s">
        <v>274</v>
      </c>
      <c r="K1110" t="s">
        <v>274</v>
      </c>
      <c r="L1110" t="s">
        <v>274</v>
      </c>
      <c r="M1110" t="s">
        <v>274</v>
      </c>
      <c r="N1110" t="e">
        <f t="shared" si="1"/>
        <v>#VALUE!</v>
      </c>
      <c r="O1110" t="e">
        <f t="shared" si="2"/>
        <v>#VALUE!</v>
      </c>
      <c r="P1110" t="e">
        <f>IF($A1110="","",IF($E1110=1,$F1110*$O1110,PNL!G1110))</f>
        <v>#VALUE!</v>
      </c>
      <c r="T1110" t="e">
        <f t="shared" si="3"/>
        <v>#VALUE!</v>
      </c>
    </row>
    <row r="1111" ht="14.25" customHeight="1">
      <c r="A1111" t="str">
        <f>IF(PNL!A1111="","",PNL!A1111)</f>
        <v>TUNON_PAR</v>
      </c>
      <c r="B1111" t="str">
        <f>IF(PNL!B1111="","",PNL!B1111)</f>
        <v>708</v>
      </c>
      <c r="C1111" t="str">
        <f>IF(PNL!C1111="","",PNL!C1111)</f>
        <v>2027</v>
      </c>
      <c r="D1111" t="str">
        <f>IF(PNL!D1111="","",PNL!D1111)</f>
        <v>V01</v>
      </c>
      <c r="E1111">
        <f t="shared" si="0"/>
        <v>1</v>
      </c>
      <c r="F1111">
        <f>IF($A1111="","",IF($E1111=1,_xlfn.SUMIFS(Compta!$F$1:$F$1448,Compta!$A$1:$A$1448,$A1111,Compta!$B$1:$B$1448,$B1111,Compta!$C$1:$C$1448,"2026"),0))</f>
        <v>4230</v>
      </c>
      <c r="G1111" t="s">
        <v>274</v>
      </c>
      <c r="H1111" t="s">
        <v>274</v>
      </c>
      <c r="I1111" t="s">
        <v>274</v>
      </c>
      <c r="J1111" t="s">
        <v>274</v>
      </c>
      <c r="K1111" t="s">
        <v>274</v>
      </c>
      <c r="L1111" t="s">
        <v>274</v>
      </c>
      <c r="M1111" t="s">
        <v>274</v>
      </c>
      <c r="N1111" t="e">
        <f t="shared" si="1"/>
        <v>#VALUE!</v>
      </c>
      <c r="O1111" t="e">
        <f t="shared" si="2"/>
        <v>#VALUE!</v>
      </c>
      <c r="P1111" t="e">
        <f>IF($A1111="","",IF($E1111=1,$F1111*$O1111,PNL!G1111))</f>
        <v>#VALUE!</v>
      </c>
      <c r="T1111" t="e">
        <f t="shared" si="3"/>
        <v>#VALUE!</v>
      </c>
    </row>
    <row r="1112" ht="14.25" customHeight="1">
      <c r="A1112" t="str">
        <f>IF(PNL!A1112="","",PNL!A1112)</f>
        <v>TUNON_PAR</v>
      </c>
      <c r="B1112" t="str">
        <f>IF(PNL!B1112="","",PNL!B1112)</f>
        <v>708</v>
      </c>
      <c r="C1112" t="str">
        <f>IF(PNL!C1112="","",PNL!C1112)</f>
        <v>2027</v>
      </c>
      <c r="D1112" t="str">
        <f>IF(PNL!D1112="","",PNL!D1112)</f>
        <v>V02</v>
      </c>
      <c r="E1112">
        <f t="shared" si="0"/>
        <v>1</v>
      </c>
      <c r="F1112">
        <f>IF($A1112="","",IF($E1112=1,_xlfn.SUMIFS(Compta!$F$1:$F$1448,Compta!$A$1:$A$1448,$A1112,Compta!$B$1:$B$1448,$B1112,Compta!$C$1:$C$1448,"2026"),0))</f>
        <v>4230</v>
      </c>
      <c r="G1112" t="s">
        <v>274</v>
      </c>
      <c r="H1112" t="s">
        <v>274</v>
      </c>
      <c r="I1112" t="s">
        <v>274</v>
      </c>
      <c r="J1112" t="s">
        <v>274</v>
      </c>
      <c r="K1112" t="s">
        <v>274</v>
      </c>
      <c r="L1112" t="s">
        <v>274</v>
      </c>
      <c r="M1112" t="s">
        <v>274</v>
      </c>
      <c r="N1112" t="e">
        <f t="shared" si="1"/>
        <v>#VALUE!</v>
      </c>
      <c r="O1112" t="e">
        <f t="shared" si="2"/>
        <v>#VALUE!</v>
      </c>
      <c r="P1112" t="e">
        <f>IF($A1112="","",IF($E1112=1,$F1112*$O1112,PNL!G1112))</f>
        <v>#VALUE!</v>
      </c>
      <c r="T1112" t="e">
        <f t="shared" si="3"/>
        <v>#VALUE!</v>
      </c>
    </row>
    <row r="1113" ht="14.25" customHeight="1">
      <c r="A1113" t="str">
        <f>IF(PNL!A1113="","",PNL!A1113)</f>
        <v>TUNON_PAR</v>
      </c>
      <c r="B1113" t="str">
        <f>IF(PNL!B1113="","",PNL!B1113)</f>
        <v>708</v>
      </c>
      <c r="C1113" t="str">
        <f>IF(PNL!C1113="","",PNL!C1113)</f>
        <v>2027</v>
      </c>
      <c r="D1113" t="str">
        <f>IF(PNL!D1113="","",PNL!D1113)</f>
        <v>V03</v>
      </c>
      <c r="E1113">
        <f t="shared" si="0"/>
        <v>1</v>
      </c>
      <c r="F1113">
        <f>IF($A1113="","",IF($E1113=1,_xlfn.SUMIFS(Compta!$F$1:$F$1448,Compta!$A$1:$A$1448,$A1113,Compta!$B$1:$B$1448,$B1113,Compta!$C$1:$C$1448,"2026"),0))</f>
        <v>4230</v>
      </c>
      <c r="G1113" t="s">
        <v>274</v>
      </c>
      <c r="H1113" t="s">
        <v>274</v>
      </c>
      <c r="I1113" t="s">
        <v>274</v>
      </c>
      <c r="J1113" t="s">
        <v>274</v>
      </c>
      <c r="K1113" t="s">
        <v>274</v>
      </c>
      <c r="L1113" t="s">
        <v>274</v>
      </c>
      <c r="M1113" t="s">
        <v>274</v>
      </c>
      <c r="N1113" t="e">
        <f t="shared" si="1"/>
        <v>#VALUE!</v>
      </c>
      <c r="O1113" t="e">
        <f t="shared" si="2"/>
        <v>#VALUE!</v>
      </c>
      <c r="P1113" t="e">
        <f>IF($A1113="","",IF($E1113=1,$F1113*$O1113,PNL!G1113))</f>
        <v>#VALUE!</v>
      </c>
      <c r="T1113" t="e">
        <f t="shared" si="3"/>
        <v>#VALUE!</v>
      </c>
    </row>
    <row r="1114" ht="14.25" customHeight="1">
      <c r="A1114" t="str">
        <f>IF(PNL!A1114="","",PNL!A1114)</f>
        <v>TUNON_LYO</v>
      </c>
      <c r="B1114" t="str">
        <f>IF(PNL!B1114="","",PNL!B1114)</f>
        <v>708</v>
      </c>
      <c r="C1114" t="str">
        <f>IF(PNL!C1114="","",PNL!C1114)</f>
        <v>2027</v>
      </c>
      <c r="D1114" t="str">
        <f>IF(PNL!D1114="","",PNL!D1114)</f>
        <v>V01</v>
      </c>
      <c r="E1114">
        <f t="shared" si="0"/>
        <v>1</v>
      </c>
      <c r="F1114">
        <f>IF($A1114="","",IF($E1114=1,_xlfn.SUMIFS(Compta!$F$1:$F$1448,Compta!$A$1:$A$1448,$A1114,Compta!$B$1:$B$1448,$B1114,Compta!$C$1:$C$1448,"2026"),0))</f>
        <v>3600</v>
      </c>
      <c r="G1114" t="s">
        <v>274</v>
      </c>
      <c r="H1114" t="s">
        <v>274</v>
      </c>
      <c r="I1114" t="s">
        <v>274</v>
      </c>
      <c r="J1114" t="s">
        <v>274</v>
      </c>
      <c r="K1114" t="s">
        <v>274</v>
      </c>
      <c r="L1114" t="s">
        <v>274</v>
      </c>
      <c r="M1114" t="s">
        <v>274</v>
      </c>
      <c r="N1114" t="e">
        <f t="shared" si="1"/>
        <v>#VALUE!</v>
      </c>
      <c r="O1114" t="e">
        <f t="shared" si="2"/>
        <v>#VALUE!</v>
      </c>
      <c r="P1114" t="e">
        <f>IF($A1114="","",IF($E1114=1,$F1114*$O1114,PNL!G1114))</f>
        <v>#VALUE!</v>
      </c>
      <c r="T1114" t="e">
        <f t="shared" si="3"/>
        <v>#VALUE!</v>
      </c>
    </row>
    <row r="1115" ht="14.25" customHeight="1">
      <c r="A1115" t="str">
        <f>IF(PNL!A1115="","",PNL!A1115)</f>
        <v>TUNON_LYO</v>
      </c>
      <c r="B1115" t="str">
        <f>IF(PNL!B1115="","",PNL!B1115)</f>
        <v>708</v>
      </c>
      <c r="C1115" t="str">
        <f>IF(PNL!C1115="","",PNL!C1115)</f>
        <v>2027</v>
      </c>
      <c r="D1115" t="str">
        <f>IF(PNL!D1115="","",PNL!D1115)</f>
        <v>V02</v>
      </c>
      <c r="E1115">
        <f t="shared" si="0"/>
        <v>1</v>
      </c>
      <c r="F1115">
        <f>IF($A1115="","",IF($E1115=1,_xlfn.SUMIFS(Compta!$F$1:$F$1448,Compta!$A$1:$A$1448,$A1115,Compta!$B$1:$B$1448,$B1115,Compta!$C$1:$C$1448,"2026"),0))</f>
        <v>3600</v>
      </c>
      <c r="G1115" t="s">
        <v>274</v>
      </c>
      <c r="H1115" t="s">
        <v>274</v>
      </c>
      <c r="I1115" t="s">
        <v>274</v>
      </c>
      <c r="J1115" t="s">
        <v>274</v>
      </c>
      <c r="K1115" t="s">
        <v>274</v>
      </c>
      <c r="L1115" t="s">
        <v>274</v>
      </c>
      <c r="M1115" t="s">
        <v>274</v>
      </c>
      <c r="N1115" t="e">
        <f t="shared" si="1"/>
        <v>#VALUE!</v>
      </c>
      <c r="O1115" t="e">
        <f t="shared" si="2"/>
        <v>#VALUE!</v>
      </c>
      <c r="P1115" t="e">
        <f>IF($A1115="","",IF($E1115=1,$F1115*$O1115,PNL!G1115))</f>
        <v>#VALUE!</v>
      </c>
      <c r="T1115" t="e">
        <f t="shared" si="3"/>
        <v>#VALUE!</v>
      </c>
    </row>
    <row r="1116" ht="14.25" customHeight="1">
      <c r="A1116" t="str">
        <f>IF(PNL!A1116="","",PNL!A1116)</f>
        <v>TUNON_LYO</v>
      </c>
      <c r="B1116" t="str">
        <f>IF(PNL!B1116="","",PNL!B1116)</f>
        <v>708</v>
      </c>
      <c r="C1116" t="str">
        <f>IF(PNL!C1116="","",PNL!C1116)</f>
        <v>2027</v>
      </c>
      <c r="D1116" t="str">
        <f>IF(PNL!D1116="","",PNL!D1116)</f>
        <v>V03</v>
      </c>
      <c r="E1116">
        <f t="shared" si="0"/>
        <v>1</v>
      </c>
      <c r="F1116">
        <f>IF($A1116="","",IF($E1116=1,_xlfn.SUMIFS(Compta!$F$1:$F$1448,Compta!$A$1:$A$1448,$A1116,Compta!$B$1:$B$1448,$B1116,Compta!$C$1:$C$1448,"2026"),0))</f>
        <v>3600</v>
      </c>
      <c r="G1116" t="s">
        <v>274</v>
      </c>
      <c r="H1116" t="s">
        <v>274</v>
      </c>
      <c r="I1116" t="s">
        <v>274</v>
      </c>
      <c r="J1116" t="s">
        <v>274</v>
      </c>
      <c r="K1116" t="s">
        <v>274</v>
      </c>
      <c r="L1116" t="s">
        <v>274</v>
      </c>
      <c r="M1116" t="s">
        <v>274</v>
      </c>
      <c r="N1116" t="e">
        <f t="shared" si="1"/>
        <v>#VALUE!</v>
      </c>
      <c r="O1116" t="e">
        <f t="shared" si="2"/>
        <v>#VALUE!</v>
      </c>
      <c r="P1116" t="e">
        <f>IF($A1116="","",IF($E1116=1,$F1116*$O1116,PNL!G1116))</f>
        <v>#VALUE!</v>
      </c>
      <c r="T1116" t="e">
        <f t="shared" si="3"/>
        <v>#VALUE!</v>
      </c>
    </row>
    <row r="1117" ht="14.25" customHeight="1">
      <c r="A1117" t="str">
        <f>IF(PNL!A1117="","",PNL!A1117)</f>
        <v>MBWAY_PAR</v>
      </c>
      <c r="B1117" t="str">
        <f>IF(PNL!B1117="","",PNL!B1117)</f>
        <v>621</v>
      </c>
      <c r="C1117" t="str">
        <f>IF(PNL!C1117="","",PNL!C1117)</f>
        <v>2027</v>
      </c>
      <c r="D1117" t="str">
        <f>IF(PNL!D1117="","",PNL!D1117)</f>
        <v>V01</v>
      </c>
      <c r="E1117">
        <f t="shared" si="0"/>
        <v>1</v>
      </c>
      <c r="F1117">
        <f>IF($A1117="","",IF($E1117=1,_xlfn.SUMIFS(Compta!$F$1:$F$1448,Compta!$A$1:$A$1448,$A1117,Compta!$B$1:$B$1448,$B1117,Compta!$C$1:$C$1448,"2026"),0))</f>
        <v>181094</v>
      </c>
      <c r="G1117" t="s">
        <v>274</v>
      </c>
      <c r="H1117" t="s">
        <v>274</v>
      </c>
      <c r="I1117" t="s">
        <v>274</v>
      </c>
      <c r="J1117" t="s">
        <v>274</v>
      </c>
      <c r="K1117" t="s">
        <v>274</v>
      </c>
      <c r="L1117" t="s">
        <v>274</v>
      </c>
      <c r="M1117" t="s">
        <v>274</v>
      </c>
      <c r="N1117" t="e">
        <f t="shared" si="1"/>
        <v>#VALUE!</v>
      </c>
      <c r="O1117" t="e">
        <f t="shared" si="2"/>
        <v>#VALUE!</v>
      </c>
      <c r="P1117" t="e">
        <f>IF($A1117="","",IF($E1117=1,$F1117*$O1117,PNL!G1117))</f>
        <v>#VALUE!</v>
      </c>
      <c r="T1117" t="e">
        <f t="shared" si="3"/>
        <v>#VALUE!</v>
      </c>
    </row>
    <row r="1118" ht="14.25" customHeight="1">
      <c r="A1118" t="str">
        <f>IF(PNL!A1118="","",PNL!A1118)</f>
        <v>MBWAY_PAR</v>
      </c>
      <c r="B1118" t="str">
        <f>IF(PNL!B1118="","",PNL!B1118)</f>
        <v>621</v>
      </c>
      <c r="C1118" t="str">
        <f>IF(PNL!C1118="","",PNL!C1118)</f>
        <v>2027</v>
      </c>
      <c r="D1118" t="str">
        <f>IF(PNL!D1118="","",PNL!D1118)</f>
        <v>V02</v>
      </c>
      <c r="E1118">
        <f t="shared" si="0"/>
        <v>1</v>
      </c>
      <c r="F1118">
        <f>IF($A1118="","",IF($E1118=1,_xlfn.SUMIFS(Compta!$F$1:$F$1448,Compta!$A$1:$A$1448,$A1118,Compta!$B$1:$B$1448,$B1118,Compta!$C$1:$C$1448,"2026"),0))</f>
        <v>181094</v>
      </c>
      <c r="G1118" t="s">
        <v>274</v>
      </c>
      <c r="H1118" t="s">
        <v>274</v>
      </c>
      <c r="I1118" t="s">
        <v>274</v>
      </c>
      <c r="J1118" t="s">
        <v>274</v>
      </c>
      <c r="K1118" t="s">
        <v>274</v>
      </c>
      <c r="L1118" t="s">
        <v>274</v>
      </c>
      <c r="M1118" t="s">
        <v>274</v>
      </c>
      <c r="N1118" t="e">
        <f t="shared" si="1"/>
        <v>#VALUE!</v>
      </c>
      <c r="O1118" t="e">
        <f t="shared" si="2"/>
        <v>#VALUE!</v>
      </c>
      <c r="P1118" t="e">
        <f>IF($A1118="","",IF($E1118=1,$F1118*$O1118,PNL!G1118))</f>
        <v>#VALUE!</v>
      </c>
      <c r="T1118" t="e">
        <f t="shared" si="3"/>
        <v>#VALUE!</v>
      </c>
    </row>
    <row r="1119" ht="14.25" customHeight="1">
      <c r="A1119" t="str">
        <f>IF(PNL!A1119="","",PNL!A1119)</f>
        <v>MBWAY_PAR</v>
      </c>
      <c r="B1119" t="str">
        <f>IF(PNL!B1119="","",PNL!B1119)</f>
        <v>621</v>
      </c>
      <c r="C1119" t="str">
        <f>IF(PNL!C1119="","",PNL!C1119)</f>
        <v>2027</v>
      </c>
      <c r="D1119" t="str">
        <f>IF(PNL!D1119="","",PNL!D1119)</f>
        <v>V03</v>
      </c>
      <c r="E1119">
        <f t="shared" si="0"/>
        <v>1</v>
      </c>
      <c r="F1119">
        <f>IF($A1119="","",IF($E1119=1,_xlfn.SUMIFS(Compta!$F$1:$F$1448,Compta!$A$1:$A$1448,$A1119,Compta!$B$1:$B$1448,$B1119,Compta!$C$1:$C$1448,"2026"),0))</f>
        <v>181094</v>
      </c>
      <c r="G1119" t="s">
        <v>274</v>
      </c>
      <c r="H1119" t="s">
        <v>274</v>
      </c>
      <c r="I1119" t="s">
        <v>274</v>
      </c>
      <c r="J1119" t="s">
        <v>274</v>
      </c>
      <c r="K1119" t="s">
        <v>274</v>
      </c>
      <c r="L1119" t="s">
        <v>274</v>
      </c>
      <c r="M1119" t="s">
        <v>274</v>
      </c>
      <c r="N1119" t="e">
        <f t="shared" si="1"/>
        <v>#VALUE!</v>
      </c>
      <c r="O1119" t="e">
        <f t="shared" si="2"/>
        <v>#VALUE!</v>
      </c>
      <c r="P1119" t="e">
        <f>IF($A1119="","",IF($E1119=1,$F1119*$O1119,PNL!G1119))</f>
        <v>#VALUE!</v>
      </c>
      <c r="T1119" t="e">
        <f t="shared" si="3"/>
        <v>#VALUE!</v>
      </c>
    </row>
    <row r="1120" ht="14.25" customHeight="1">
      <c r="A1120" t="str">
        <f>IF(PNL!A1120="","",PNL!A1120)</f>
        <v>MBWAY_LYO</v>
      </c>
      <c r="B1120" t="str">
        <f>IF(PNL!B1120="","",PNL!B1120)</f>
        <v>621</v>
      </c>
      <c r="C1120" t="str">
        <f>IF(PNL!C1120="","",PNL!C1120)</f>
        <v>2027</v>
      </c>
      <c r="D1120" t="str">
        <f>IF(PNL!D1120="","",PNL!D1120)</f>
        <v>V01</v>
      </c>
      <c r="E1120">
        <f t="shared" si="0"/>
        <v>1</v>
      </c>
      <c r="F1120">
        <f>IF($A1120="","",IF($E1120=1,_xlfn.SUMIFS(Compta!$F$1:$F$1448,Compta!$A$1:$A$1448,$A1120,Compta!$B$1:$B$1448,$B1120,Compta!$C$1:$C$1448,"2026"),0))</f>
        <v>156948</v>
      </c>
      <c r="G1120" t="s">
        <v>274</v>
      </c>
      <c r="H1120" t="s">
        <v>274</v>
      </c>
      <c r="I1120" t="s">
        <v>274</v>
      </c>
      <c r="J1120" t="s">
        <v>274</v>
      </c>
      <c r="K1120" t="s">
        <v>274</v>
      </c>
      <c r="L1120" t="s">
        <v>274</v>
      </c>
      <c r="M1120" t="s">
        <v>274</v>
      </c>
      <c r="N1120" t="e">
        <f t="shared" si="1"/>
        <v>#VALUE!</v>
      </c>
      <c r="O1120" t="e">
        <f t="shared" si="2"/>
        <v>#VALUE!</v>
      </c>
      <c r="P1120" t="e">
        <f>IF($A1120="","",IF($E1120=1,$F1120*$O1120,PNL!G1120))</f>
        <v>#VALUE!</v>
      </c>
      <c r="T1120" t="e">
        <f t="shared" si="3"/>
        <v>#VALUE!</v>
      </c>
    </row>
    <row r="1121" ht="14.25" customHeight="1">
      <c r="A1121" t="str">
        <f>IF(PNL!A1121="","",PNL!A1121)</f>
        <v>MBWAY_LYO</v>
      </c>
      <c r="B1121" t="str">
        <f>IF(PNL!B1121="","",PNL!B1121)</f>
        <v>621</v>
      </c>
      <c r="C1121" t="str">
        <f>IF(PNL!C1121="","",PNL!C1121)</f>
        <v>2027</v>
      </c>
      <c r="D1121" t="str">
        <f>IF(PNL!D1121="","",PNL!D1121)</f>
        <v>V02</v>
      </c>
      <c r="E1121">
        <f t="shared" si="0"/>
        <v>1</v>
      </c>
      <c r="F1121">
        <f>IF($A1121="","",IF($E1121=1,_xlfn.SUMIFS(Compta!$F$1:$F$1448,Compta!$A$1:$A$1448,$A1121,Compta!$B$1:$B$1448,$B1121,Compta!$C$1:$C$1448,"2026"),0))</f>
        <v>156948</v>
      </c>
      <c r="G1121" t="s">
        <v>274</v>
      </c>
      <c r="H1121" t="s">
        <v>274</v>
      </c>
      <c r="I1121" t="s">
        <v>274</v>
      </c>
      <c r="J1121" t="s">
        <v>274</v>
      </c>
      <c r="K1121" t="s">
        <v>274</v>
      </c>
      <c r="L1121" t="s">
        <v>274</v>
      </c>
      <c r="M1121" t="s">
        <v>274</v>
      </c>
      <c r="N1121" t="e">
        <f t="shared" si="1"/>
        <v>#VALUE!</v>
      </c>
      <c r="O1121" t="e">
        <f t="shared" si="2"/>
        <v>#VALUE!</v>
      </c>
      <c r="P1121" t="e">
        <f>IF($A1121="","",IF($E1121=1,$F1121*$O1121,PNL!G1121))</f>
        <v>#VALUE!</v>
      </c>
      <c r="T1121" t="e">
        <f t="shared" si="3"/>
        <v>#VALUE!</v>
      </c>
    </row>
    <row r="1122" ht="14.25" customHeight="1">
      <c r="A1122" t="str">
        <f>IF(PNL!A1122="","",PNL!A1122)</f>
        <v>MBWAY_LYO</v>
      </c>
      <c r="B1122" t="str">
        <f>IF(PNL!B1122="","",PNL!B1122)</f>
        <v>621</v>
      </c>
      <c r="C1122" t="str">
        <f>IF(PNL!C1122="","",PNL!C1122)</f>
        <v>2027</v>
      </c>
      <c r="D1122" t="str">
        <f>IF(PNL!D1122="","",PNL!D1122)</f>
        <v>V03</v>
      </c>
      <c r="E1122">
        <f t="shared" si="0"/>
        <v>1</v>
      </c>
      <c r="F1122">
        <f>IF($A1122="","",IF($E1122=1,_xlfn.SUMIFS(Compta!$F$1:$F$1448,Compta!$A$1:$A$1448,$A1122,Compta!$B$1:$B$1448,$B1122,Compta!$C$1:$C$1448,"2026"),0))</f>
        <v>156948</v>
      </c>
      <c r="G1122" t="s">
        <v>274</v>
      </c>
      <c r="H1122" t="s">
        <v>274</v>
      </c>
      <c r="I1122" t="s">
        <v>274</v>
      </c>
      <c r="J1122" t="s">
        <v>274</v>
      </c>
      <c r="K1122" t="s">
        <v>274</v>
      </c>
      <c r="L1122" t="s">
        <v>274</v>
      </c>
      <c r="M1122" t="s">
        <v>274</v>
      </c>
      <c r="N1122" t="e">
        <f t="shared" si="1"/>
        <v>#VALUE!</v>
      </c>
      <c r="O1122" t="e">
        <f t="shared" si="2"/>
        <v>#VALUE!</v>
      </c>
      <c r="P1122" t="e">
        <f>IF($A1122="","",IF($E1122=1,$F1122*$O1122,PNL!G1122))</f>
        <v>#VALUE!</v>
      </c>
      <c r="T1122" t="e">
        <f t="shared" si="3"/>
        <v>#VALUE!</v>
      </c>
    </row>
    <row r="1123" ht="14.25" customHeight="1">
      <c r="A1123" t="str">
        <f>IF(PNL!A1123="","",PNL!A1123)</f>
        <v>MBWAY_NAN</v>
      </c>
      <c r="B1123" t="str">
        <f>IF(PNL!B1123="","",PNL!B1123)</f>
        <v>621</v>
      </c>
      <c r="C1123" t="str">
        <f>IF(PNL!C1123="","",PNL!C1123)</f>
        <v>2027</v>
      </c>
      <c r="D1123" t="str">
        <f>IF(PNL!D1123="","",PNL!D1123)</f>
        <v>V01</v>
      </c>
      <c r="E1123">
        <f t="shared" si="0"/>
        <v>1</v>
      </c>
      <c r="F1123">
        <f>IF($A1123="","",IF($E1123=1,_xlfn.SUMIFS(Compta!$F$1:$F$1448,Compta!$A$1:$A$1448,$A1123,Compta!$B$1:$B$1448,$B1123,Compta!$C$1:$C$1448,"2026"),0))</f>
        <v>144875</v>
      </c>
      <c r="G1123" t="s">
        <v>274</v>
      </c>
      <c r="H1123" t="s">
        <v>274</v>
      </c>
      <c r="I1123" t="s">
        <v>274</v>
      </c>
      <c r="J1123" t="s">
        <v>274</v>
      </c>
      <c r="K1123" t="s">
        <v>274</v>
      </c>
      <c r="L1123" t="s">
        <v>274</v>
      </c>
      <c r="M1123" t="s">
        <v>274</v>
      </c>
      <c r="N1123" t="e">
        <f t="shared" si="1"/>
        <v>#VALUE!</v>
      </c>
      <c r="O1123" t="e">
        <f t="shared" si="2"/>
        <v>#VALUE!</v>
      </c>
      <c r="P1123" t="e">
        <f>IF($A1123="","",IF($E1123=1,$F1123*$O1123,PNL!G1123))</f>
        <v>#VALUE!</v>
      </c>
      <c r="T1123" t="e">
        <f t="shared" si="3"/>
        <v>#VALUE!</v>
      </c>
    </row>
    <row r="1124" ht="14.25" customHeight="1">
      <c r="A1124" t="str">
        <f>IF(PNL!A1124="","",PNL!A1124)</f>
        <v>MBWAY_NAN</v>
      </c>
      <c r="B1124" t="str">
        <f>IF(PNL!B1124="","",PNL!B1124)</f>
        <v>621</v>
      </c>
      <c r="C1124" t="str">
        <f>IF(PNL!C1124="","",PNL!C1124)</f>
        <v>2027</v>
      </c>
      <c r="D1124" t="str">
        <f>IF(PNL!D1124="","",PNL!D1124)</f>
        <v>V02</v>
      </c>
      <c r="E1124">
        <f t="shared" si="0"/>
        <v>1</v>
      </c>
      <c r="F1124">
        <f>IF($A1124="","",IF($E1124=1,_xlfn.SUMIFS(Compta!$F$1:$F$1448,Compta!$A$1:$A$1448,$A1124,Compta!$B$1:$B$1448,$B1124,Compta!$C$1:$C$1448,"2026"),0))</f>
        <v>144875</v>
      </c>
      <c r="G1124" t="s">
        <v>274</v>
      </c>
      <c r="H1124" t="s">
        <v>274</v>
      </c>
      <c r="I1124" t="s">
        <v>274</v>
      </c>
      <c r="J1124" t="s">
        <v>274</v>
      </c>
      <c r="K1124" t="s">
        <v>274</v>
      </c>
      <c r="L1124" t="s">
        <v>274</v>
      </c>
      <c r="M1124" t="s">
        <v>274</v>
      </c>
      <c r="N1124" t="e">
        <f t="shared" si="1"/>
        <v>#VALUE!</v>
      </c>
      <c r="O1124" t="e">
        <f t="shared" si="2"/>
        <v>#VALUE!</v>
      </c>
      <c r="P1124" t="e">
        <f>IF($A1124="","",IF($E1124=1,$F1124*$O1124,PNL!G1124))</f>
        <v>#VALUE!</v>
      </c>
      <c r="T1124" t="e">
        <f t="shared" si="3"/>
        <v>#VALUE!</v>
      </c>
    </row>
    <row r="1125" ht="14.25" customHeight="1">
      <c r="A1125" t="str">
        <f>IF(PNL!A1125="","",PNL!A1125)</f>
        <v>MBWAY_NAN</v>
      </c>
      <c r="B1125" t="str">
        <f>IF(PNL!B1125="","",PNL!B1125)</f>
        <v>621</v>
      </c>
      <c r="C1125" t="str">
        <f>IF(PNL!C1125="","",PNL!C1125)</f>
        <v>2027</v>
      </c>
      <c r="D1125" t="str">
        <f>IF(PNL!D1125="","",PNL!D1125)</f>
        <v>V03</v>
      </c>
      <c r="E1125">
        <f t="shared" si="0"/>
        <v>1</v>
      </c>
      <c r="F1125">
        <f>IF($A1125="","",IF($E1125=1,_xlfn.SUMIFS(Compta!$F$1:$F$1448,Compta!$A$1:$A$1448,$A1125,Compta!$B$1:$B$1448,$B1125,Compta!$C$1:$C$1448,"2026"),0))</f>
        <v>144875</v>
      </c>
      <c r="G1125" t="s">
        <v>274</v>
      </c>
      <c r="H1125" t="s">
        <v>274</v>
      </c>
      <c r="I1125" t="s">
        <v>274</v>
      </c>
      <c r="J1125" t="s">
        <v>274</v>
      </c>
      <c r="K1125" t="s">
        <v>274</v>
      </c>
      <c r="L1125" t="s">
        <v>274</v>
      </c>
      <c r="M1125" t="s">
        <v>274</v>
      </c>
      <c r="N1125" t="e">
        <f t="shared" si="1"/>
        <v>#VALUE!</v>
      </c>
      <c r="O1125" t="e">
        <f t="shared" si="2"/>
        <v>#VALUE!</v>
      </c>
      <c r="P1125" t="e">
        <f>IF($A1125="","",IF($E1125=1,$F1125*$O1125,PNL!G1125))</f>
        <v>#VALUE!</v>
      </c>
      <c r="T1125" t="e">
        <f t="shared" si="3"/>
        <v>#VALUE!</v>
      </c>
    </row>
    <row r="1126" ht="14.25" customHeight="1">
      <c r="A1126" t="str">
        <f>IF(PNL!A1126="","",PNL!A1126)</f>
        <v>MBWAY_BOR</v>
      </c>
      <c r="B1126" t="str">
        <f>IF(PNL!B1126="","",PNL!B1126)</f>
        <v>621</v>
      </c>
      <c r="C1126" t="str">
        <f>IF(PNL!C1126="","",PNL!C1126)</f>
        <v>2027</v>
      </c>
      <c r="D1126" t="str">
        <f>IF(PNL!D1126="","",PNL!D1126)</f>
        <v>V01</v>
      </c>
      <c r="E1126">
        <f t="shared" si="0"/>
        <v>1</v>
      </c>
      <c r="F1126">
        <f>IF($A1126="","",IF($E1126=1,_xlfn.SUMIFS(Compta!$F$1:$F$1448,Compta!$A$1:$A$1448,$A1126,Compta!$B$1:$B$1448,$B1126,Compta!$C$1:$C$1448,"2026"),0))</f>
        <v>120729</v>
      </c>
      <c r="G1126" t="s">
        <v>274</v>
      </c>
      <c r="H1126" t="s">
        <v>274</v>
      </c>
      <c r="I1126" t="s">
        <v>274</v>
      </c>
      <c r="J1126" t="s">
        <v>274</v>
      </c>
      <c r="K1126" t="s">
        <v>274</v>
      </c>
      <c r="L1126" t="s">
        <v>274</v>
      </c>
      <c r="M1126" t="s">
        <v>274</v>
      </c>
      <c r="N1126" t="e">
        <f t="shared" si="1"/>
        <v>#VALUE!</v>
      </c>
      <c r="O1126" t="e">
        <f t="shared" si="2"/>
        <v>#VALUE!</v>
      </c>
      <c r="P1126" t="e">
        <f>IF($A1126="","",IF($E1126=1,$F1126*$O1126,PNL!G1126))</f>
        <v>#VALUE!</v>
      </c>
      <c r="T1126" t="e">
        <f t="shared" si="3"/>
        <v>#VALUE!</v>
      </c>
    </row>
    <row r="1127" ht="14.25" customHeight="1">
      <c r="A1127" t="str">
        <f>IF(PNL!A1127="","",PNL!A1127)</f>
        <v>MBWAY_BOR</v>
      </c>
      <c r="B1127" t="str">
        <f>IF(PNL!B1127="","",PNL!B1127)</f>
        <v>621</v>
      </c>
      <c r="C1127" t="str">
        <f>IF(PNL!C1127="","",PNL!C1127)</f>
        <v>2027</v>
      </c>
      <c r="D1127" t="str">
        <f>IF(PNL!D1127="","",PNL!D1127)</f>
        <v>V02</v>
      </c>
      <c r="E1127">
        <f t="shared" si="0"/>
        <v>1</v>
      </c>
      <c r="F1127">
        <f>IF($A1127="","",IF($E1127=1,_xlfn.SUMIFS(Compta!$F$1:$F$1448,Compta!$A$1:$A$1448,$A1127,Compta!$B$1:$B$1448,$B1127,Compta!$C$1:$C$1448,"2026"),0))</f>
        <v>120729</v>
      </c>
      <c r="G1127" t="s">
        <v>274</v>
      </c>
      <c r="H1127" t="s">
        <v>274</v>
      </c>
      <c r="I1127" t="s">
        <v>274</v>
      </c>
      <c r="J1127" t="s">
        <v>274</v>
      </c>
      <c r="K1127" t="s">
        <v>274</v>
      </c>
      <c r="L1127" t="s">
        <v>274</v>
      </c>
      <c r="M1127" t="s">
        <v>274</v>
      </c>
      <c r="N1127" t="e">
        <f t="shared" si="1"/>
        <v>#VALUE!</v>
      </c>
      <c r="O1127" t="e">
        <f t="shared" si="2"/>
        <v>#VALUE!</v>
      </c>
      <c r="P1127" t="e">
        <f>IF($A1127="","",IF($E1127=1,$F1127*$O1127,PNL!G1127))</f>
        <v>#VALUE!</v>
      </c>
      <c r="T1127" t="e">
        <f t="shared" si="3"/>
        <v>#VALUE!</v>
      </c>
    </row>
    <row r="1128" ht="14.25" customHeight="1">
      <c r="A1128" t="str">
        <f>IF(PNL!A1128="","",PNL!A1128)</f>
        <v>MBWAY_BOR</v>
      </c>
      <c r="B1128" t="str">
        <f>IF(PNL!B1128="","",PNL!B1128)</f>
        <v>621</v>
      </c>
      <c r="C1128" t="str">
        <f>IF(PNL!C1128="","",PNL!C1128)</f>
        <v>2027</v>
      </c>
      <c r="D1128" t="str">
        <f>IF(PNL!D1128="","",PNL!D1128)</f>
        <v>V03</v>
      </c>
      <c r="E1128">
        <f t="shared" si="0"/>
        <v>1</v>
      </c>
      <c r="F1128">
        <f>IF($A1128="","",IF($E1128=1,_xlfn.SUMIFS(Compta!$F$1:$F$1448,Compta!$A$1:$A$1448,$A1128,Compta!$B$1:$B$1448,$B1128,Compta!$C$1:$C$1448,"2026"),0))</f>
        <v>120729</v>
      </c>
      <c r="G1128" t="s">
        <v>274</v>
      </c>
      <c r="H1128" t="s">
        <v>274</v>
      </c>
      <c r="I1128" t="s">
        <v>274</v>
      </c>
      <c r="J1128" t="s">
        <v>274</v>
      </c>
      <c r="K1128" t="s">
        <v>274</v>
      </c>
      <c r="L1128" t="s">
        <v>274</v>
      </c>
      <c r="M1128" t="s">
        <v>274</v>
      </c>
      <c r="N1128" t="e">
        <f t="shared" si="1"/>
        <v>#VALUE!</v>
      </c>
      <c r="O1128" t="e">
        <f t="shared" si="2"/>
        <v>#VALUE!</v>
      </c>
      <c r="P1128" t="e">
        <f>IF($A1128="","",IF($E1128=1,$F1128*$O1128,PNL!G1128))</f>
        <v>#VALUE!</v>
      </c>
      <c r="T1128" t="e">
        <f t="shared" si="3"/>
        <v>#VALUE!</v>
      </c>
    </row>
    <row r="1129" ht="14.25" customHeight="1">
      <c r="A1129" t="str">
        <f>IF(PNL!A1129="","",PNL!A1129)</f>
        <v>ISCOM_PAR</v>
      </c>
      <c r="B1129" t="str">
        <f>IF(PNL!B1129="","",PNL!B1129)</f>
        <v>621</v>
      </c>
      <c r="C1129" t="str">
        <f>IF(PNL!C1129="","",PNL!C1129)</f>
        <v>2027</v>
      </c>
      <c r="D1129" t="str">
        <f>IF(PNL!D1129="","",PNL!D1129)</f>
        <v>V01</v>
      </c>
      <c r="E1129">
        <f t="shared" si="0"/>
        <v>1</v>
      </c>
      <c r="F1129">
        <f>IF($A1129="","",IF($E1129=1,_xlfn.SUMIFS(Compta!$F$1:$F$1448,Compta!$A$1:$A$1448,$A1129,Compta!$B$1:$B$1448,$B1129,Compta!$C$1:$C$1448,"2026"),0))</f>
        <v>181094</v>
      </c>
      <c r="G1129" t="s">
        <v>274</v>
      </c>
      <c r="H1129" t="s">
        <v>274</v>
      </c>
      <c r="I1129" t="s">
        <v>274</v>
      </c>
      <c r="J1129" t="s">
        <v>274</v>
      </c>
      <c r="K1129" t="s">
        <v>274</v>
      </c>
      <c r="L1129" t="s">
        <v>274</v>
      </c>
      <c r="M1129" t="s">
        <v>274</v>
      </c>
      <c r="N1129" t="e">
        <f t="shared" si="1"/>
        <v>#VALUE!</v>
      </c>
      <c r="O1129" t="e">
        <f t="shared" si="2"/>
        <v>#VALUE!</v>
      </c>
      <c r="P1129" t="e">
        <f>IF($A1129="","",IF($E1129=1,$F1129*$O1129,PNL!G1129))</f>
        <v>#VALUE!</v>
      </c>
      <c r="T1129" t="e">
        <f t="shared" si="3"/>
        <v>#VALUE!</v>
      </c>
    </row>
    <row r="1130" ht="14.25" customHeight="1">
      <c r="A1130" t="str">
        <f>IF(PNL!A1130="","",PNL!A1130)</f>
        <v>ISCOM_PAR</v>
      </c>
      <c r="B1130" t="str">
        <f>IF(PNL!B1130="","",PNL!B1130)</f>
        <v>621</v>
      </c>
      <c r="C1130" t="str">
        <f>IF(PNL!C1130="","",PNL!C1130)</f>
        <v>2027</v>
      </c>
      <c r="D1130" t="str">
        <f>IF(PNL!D1130="","",PNL!D1130)</f>
        <v>V02</v>
      </c>
      <c r="E1130">
        <f t="shared" si="0"/>
        <v>1</v>
      </c>
      <c r="F1130">
        <f>IF($A1130="","",IF($E1130=1,_xlfn.SUMIFS(Compta!$F$1:$F$1448,Compta!$A$1:$A$1448,$A1130,Compta!$B$1:$B$1448,$B1130,Compta!$C$1:$C$1448,"2026"),0))</f>
        <v>181094</v>
      </c>
      <c r="G1130" t="s">
        <v>274</v>
      </c>
      <c r="H1130" t="s">
        <v>274</v>
      </c>
      <c r="I1130" t="s">
        <v>274</v>
      </c>
      <c r="J1130" t="s">
        <v>274</v>
      </c>
      <c r="K1130" t="s">
        <v>274</v>
      </c>
      <c r="L1130" t="s">
        <v>274</v>
      </c>
      <c r="M1130" t="s">
        <v>274</v>
      </c>
      <c r="N1130" t="e">
        <f t="shared" si="1"/>
        <v>#VALUE!</v>
      </c>
      <c r="O1130" t="e">
        <f t="shared" si="2"/>
        <v>#VALUE!</v>
      </c>
      <c r="P1130" t="e">
        <f>IF($A1130="","",IF($E1130=1,$F1130*$O1130,PNL!G1130))</f>
        <v>#VALUE!</v>
      </c>
      <c r="T1130" t="e">
        <f t="shared" si="3"/>
        <v>#VALUE!</v>
      </c>
    </row>
    <row r="1131" ht="14.25" customHeight="1">
      <c r="A1131" t="str">
        <f>IF(PNL!A1131="","",PNL!A1131)</f>
        <v>ISCOM_PAR</v>
      </c>
      <c r="B1131" t="str">
        <f>IF(PNL!B1131="","",PNL!B1131)</f>
        <v>621</v>
      </c>
      <c r="C1131" t="str">
        <f>IF(PNL!C1131="","",PNL!C1131)</f>
        <v>2027</v>
      </c>
      <c r="D1131" t="str">
        <f>IF(PNL!D1131="","",PNL!D1131)</f>
        <v>V03</v>
      </c>
      <c r="E1131">
        <f t="shared" si="0"/>
        <v>1</v>
      </c>
      <c r="F1131">
        <f>IF($A1131="","",IF($E1131=1,_xlfn.SUMIFS(Compta!$F$1:$F$1448,Compta!$A$1:$A$1448,$A1131,Compta!$B$1:$B$1448,$B1131,Compta!$C$1:$C$1448,"2026"),0))</f>
        <v>181094</v>
      </c>
      <c r="G1131" t="s">
        <v>274</v>
      </c>
      <c r="H1131" t="s">
        <v>274</v>
      </c>
      <c r="I1131" t="s">
        <v>274</v>
      </c>
      <c r="J1131" t="s">
        <v>274</v>
      </c>
      <c r="K1131" t="s">
        <v>274</v>
      </c>
      <c r="L1131" t="s">
        <v>274</v>
      </c>
      <c r="M1131" t="s">
        <v>274</v>
      </c>
      <c r="N1131" t="e">
        <f t="shared" si="1"/>
        <v>#VALUE!</v>
      </c>
      <c r="O1131" t="e">
        <f t="shared" si="2"/>
        <v>#VALUE!</v>
      </c>
      <c r="P1131" t="e">
        <f>IF($A1131="","",IF($E1131=1,$F1131*$O1131,PNL!G1131))</f>
        <v>#VALUE!</v>
      </c>
      <c r="T1131" t="e">
        <f t="shared" si="3"/>
        <v>#VALUE!</v>
      </c>
    </row>
    <row r="1132" ht="14.25" customHeight="1">
      <c r="A1132" t="str">
        <f>IF(PNL!A1132="","",PNL!A1132)</f>
        <v>ISCOM_LIL</v>
      </c>
      <c r="B1132" t="str">
        <f>IF(PNL!B1132="","",PNL!B1132)</f>
        <v>621</v>
      </c>
      <c r="C1132" t="str">
        <f>IF(PNL!C1132="","",PNL!C1132)</f>
        <v>2027</v>
      </c>
      <c r="D1132" t="str">
        <f>IF(PNL!D1132="","",PNL!D1132)</f>
        <v>V01</v>
      </c>
      <c r="E1132">
        <f t="shared" si="0"/>
        <v>1</v>
      </c>
      <c r="F1132">
        <f>IF($A1132="","",IF($E1132=1,_xlfn.SUMIFS(Compta!$F$1:$F$1448,Compta!$A$1:$A$1448,$A1132,Compta!$B$1:$B$1448,$B1132,Compta!$C$1:$C$1448,"2026"),0))</f>
        <v>120729</v>
      </c>
      <c r="G1132" t="s">
        <v>274</v>
      </c>
      <c r="H1132" t="s">
        <v>274</v>
      </c>
      <c r="I1132" t="s">
        <v>274</v>
      </c>
      <c r="J1132" t="s">
        <v>274</v>
      </c>
      <c r="K1132" t="s">
        <v>274</v>
      </c>
      <c r="L1132" t="s">
        <v>274</v>
      </c>
      <c r="M1132" t="s">
        <v>274</v>
      </c>
      <c r="N1132" t="e">
        <f t="shared" si="1"/>
        <v>#VALUE!</v>
      </c>
      <c r="O1132" t="e">
        <f t="shared" si="2"/>
        <v>#VALUE!</v>
      </c>
      <c r="P1132" t="e">
        <f>IF($A1132="","",IF($E1132=1,$F1132*$O1132,PNL!G1132))</f>
        <v>#VALUE!</v>
      </c>
      <c r="T1132" t="e">
        <f t="shared" si="3"/>
        <v>#VALUE!</v>
      </c>
    </row>
    <row r="1133" ht="14.25" customHeight="1">
      <c r="A1133" t="str">
        <f>IF(PNL!A1133="","",PNL!A1133)</f>
        <v>ISCOM_LIL</v>
      </c>
      <c r="B1133" t="str">
        <f>IF(PNL!B1133="","",PNL!B1133)</f>
        <v>621</v>
      </c>
      <c r="C1133" t="str">
        <f>IF(PNL!C1133="","",PNL!C1133)</f>
        <v>2027</v>
      </c>
      <c r="D1133" t="str">
        <f>IF(PNL!D1133="","",PNL!D1133)</f>
        <v>V02</v>
      </c>
      <c r="E1133">
        <f t="shared" si="0"/>
        <v>1</v>
      </c>
      <c r="F1133">
        <f>IF($A1133="","",IF($E1133=1,_xlfn.SUMIFS(Compta!$F$1:$F$1448,Compta!$A$1:$A$1448,$A1133,Compta!$B$1:$B$1448,$B1133,Compta!$C$1:$C$1448,"2026"),0))</f>
        <v>120729</v>
      </c>
      <c r="G1133" t="s">
        <v>274</v>
      </c>
      <c r="H1133" t="s">
        <v>274</v>
      </c>
      <c r="I1133" t="s">
        <v>274</v>
      </c>
      <c r="J1133" t="s">
        <v>274</v>
      </c>
      <c r="K1133" t="s">
        <v>274</v>
      </c>
      <c r="L1133" t="s">
        <v>274</v>
      </c>
      <c r="M1133" t="s">
        <v>274</v>
      </c>
      <c r="N1133" t="e">
        <f t="shared" si="1"/>
        <v>#VALUE!</v>
      </c>
      <c r="O1133" t="e">
        <f t="shared" si="2"/>
        <v>#VALUE!</v>
      </c>
      <c r="P1133" t="e">
        <f>IF($A1133="","",IF($E1133=1,$F1133*$O1133,PNL!G1133))</f>
        <v>#VALUE!</v>
      </c>
      <c r="T1133" t="e">
        <f t="shared" si="3"/>
        <v>#VALUE!</v>
      </c>
    </row>
    <row r="1134" ht="14.25" customHeight="1">
      <c r="A1134" t="str">
        <f>IF(PNL!A1134="","",PNL!A1134)</f>
        <v>ISCOM_LIL</v>
      </c>
      <c r="B1134" t="str">
        <f>IF(PNL!B1134="","",PNL!B1134)</f>
        <v>621</v>
      </c>
      <c r="C1134" t="str">
        <f>IF(PNL!C1134="","",PNL!C1134)</f>
        <v>2027</v>
      </c>
      <c r="D1134" t="str">
        <f>IF(PNL!D1134="","",PNL!D1134)</f>
        <v>V03</v>
      </c>
      <c r="E1134">
        <f t="shared" si="0"/>
        <v>1</v>
      </c>
      <c r="F1134">
        <f>IF($A1134="","",IF($E1134=1,_xlfn.SUMIFS(Compta!$F$1:$F$1448,Compta!$A$1:$A$1448,$A1134,Compta!$B$1:$B$1448,$B1134,Compta!$C$1:$C$1448,"2026"),0))</f>
        <v>120729</v>
      </c>
      <c r="G1134" t="s">
        <v>274</v>
      </c>
      <c r="H1134" t="s">
        <v>274</v>
      </c>
      <c r="I1134" t="s">
        <v>274</v>
      </c>
      <c r="J1134" t="s">
        <v>274</v>
      </c>
      <c r="K1134" t="s">
        <v>274</v>
      </c>
      <c r="L1134" t="s">
        <v>274</v>
      </c>
      <c r="M1134" t="s">
        <v>274</v>
      </c>
      <c r="N1134" t="e">
        <f t="shared" si="1"/>
        <v>#VALUE!</v>
      </c>
      <c r="O1134" t="e">
        <f t="shared" si="2"/>
        <v>#VALUE!</v>
      </c>
      <c r="P1134" t="e">
        <f>IF($A1134="","",IF($E1134=1,$F1134*$O1134,PNL!G1134))</f>
        <v>#VALUE!</v>
      </c>
      <c r="T1134" t="e">
        <f t="shared" si="3"/>
        <v>#VALUE!</v>
      </c>
    </row>
    <row r="1135" ht="14.25" customHeight="1">
      <c r="A1135" t="str">
        <f>IF(PNL!A1135="","",PNL!A1135)</f>
        <v>ISCOM_TLS</v>
      </c>
      <c r="B1135" t="str">
        <f>IF(PNL!B1135="","",PNL!B1135)</f>
        <v>621</v>
      </c>
      <c r="C1135" t="str">
        <f>IF(PNL!C1135="","",PNL!C1135)</f>
        <v>2027</v>
      </c>
      <c r="D1135" t="str">
        <f>IF(PNL!D1135="","",PNL!D1135)</f>
        <v>V01</v>
      </c>
      <c r="E1135">
        <f t="shared" si="0"/>
        <v>1</v>
      </c>
      <c r="F1135">
        <f>IF($A1135="","",IF($E1135=1,_xlfn.SUMIFS(Compta!$F$1:$F$1448,Compta!$A$1:$A$1448,$A1135,Compta!$B$1:$B$1448,$B1135,Compta!$C$1:$C$1448,"2026"),0))</f>
        <v>120729</v>
      </c>
      <c r="G1135" t="s">
        <v>274</v>
      </c>
      <c r="H1135" t="s">
        <v>274</v>
      </c>
      <c r="I1135" t="s">
        <v>274</v>
      </c>
      <c r="J1135" t="s">
        <v>274</v>
      </c>
      <c r="K1135" t="s">
        <v>274</v>
      </c>
      <c r="L1135" t="s">
        <v>274</v>
      </c>
      <c r="M1135" t="s">
        <v>274</v>
      </c>
      <c r="N1135" t="e">
        <f t="shared" si="1"/>
        <v>#VALUE!</v>
      </c>
      <c r="O1135" t="e">
        <f t="shared" si="2"/>
        <v>#VALUE!</v>
      </c>
      <c r="P1135" t="e">
        <f>IF($A1135="","",IF($E1135=1,$F1135*$O1135,PNL!G1135))</f>
        <v>#VALUE!</v>
      </c>
      <c r="T1135" t="e">
        <f t="shared" si="3"/>
        <v>#VALUE!</v>
      </c>
    </row>
    <row r="1136" ht="14.25" customHeight="1">
      <c r="A1136" t="str">
        <f>IF(PNL!A1136="","",PNL!A1136)</f>
        <v>ISCOM_TLS</v>
      </c>
      <c r="B1136" t="str">
        <f>IF(PNL!B1136="","",PNL!B1136)</f>
        <v>621</v>
      </c>
      <c r="C1136" t="str">
        <f>IF(PNL!C1136="","",PNL!C1136)</f>
        <v>2027</v>
      </c>
      <c r="D1136" t="str">
        <f>IF(PNL!D1136="","",PNL!D1136)</f>
        <v>V02</v>
      </c>
      <c r="E1136">
        <f t="shared" si="0"/>
        <v>1</v>
      </c>
      <c r="F1136">
        <f>IF($A1136="","",IF($E1136=1,_xlfn.SUMIFS(Compta!$F$1:$F$1448,Compta!$A$1:$A$1448,$A1136,Compta!$B$1:$B$1448,$B1136,Compta!$C$1:$C$1448,"2026"),0))</f>
        <v>120729</v>
      </c>
      <c r="G1136" t="s">
        <v>274</v>
      </c>
      <c r="H1136" t="s">
        <v>274</v>
      </c>
      <c r="I1136" t="s">
        <v>274</v>
      </c>
      <c r="J1136" t="s">
        <v>274</v>
      </c>
      <c r="K1136" t="s">
        <v>274</v>
      </c>
      <c r="L1136" t="s">
        <v>274</v>
      </c>
      <c r="M1136" t="s">
        <v>274</v>
      </c>
      <c r="N1136" t="e">
        <f t="shared" si="1"/>
        <v>#VALUE!</v>
      </c>
      <c r="O1136" t="e">
        <f t="shared" si="2"/>
        <v>#VALUE!</v>
      </c>
      <c r="P1136" t="e">
        <f>IF($A1136="","",IF($E1136=1,$F1136*$O1136,PNL!G1136))</f>
        <v>#VALUE!</v>
      </c>
      <c r="T1136" t="e">
        <f t="shared" si="3"/>
        <v>#VALUE!</v>
      </c>
    </row>
    <row r="1137" ht="14.25" customHeight="1">
      <c r="A1137" t="str">
        <f>IF(PNL!A1137="","",PNL!A1137)</f>
        <v>ISCOM_TLS</v>
      </c>
      <c r="B1137" t="str">
        <f>IF(PNL!B1137="","",PNL!B1137)</f>
        <v>621</v>
      </c>
      <c r="C1137" t="str">
        <f>IF(PNL!C1137="","",PNL!C1137)</f>
        <v>2027</v>
      </c>
      <c r="D1137" t="str">
        <f>IF(PNL!D1137="","",PNL!D1137)</f>
        <v>V03</v>
      </c>
      <c r="E1137">
        <f t="shared" si="0"/>
        <v>1</v>
      </c>
      <c r="F1137">
        <f>IF($A1137="","",IF($E1137=1,_xlfn.SUMIFS(Compta!$F$1:$F$1448,Compta!$A$1:$A$1448,$A1137,Compta!$B$1:$B$1448,$B1137,Compta!$C$1:$C$1448,"2026"),0))</f>
        <v>120729</v>
      </c>
      <c r="G1137" t="s">
        <v>274</v>
      </c>
      <c r="H1137" t="s">
        <v>274</v>
      </c>
      <c r="I1137" t="s">
        <v>274</v>
      </c>
      <c r="J1137" t="s">
        <v>274</v>
      </c>
      <c r="K1137" t="s">
        <v>274</v>
      </c>
      <c r="L1137" t="s">
        <v>274</v>
      </c>
      <c r="M1137" t="s">
        <v>274</v>
      </c>
      <c r="N1137" t="e">
        <f t="shared" si="1"/>
        <v>#VALUE!</v>
      </c>
      <c r="O1137" t="e">
        <f t="shared" si="2"/>
        <v>#VALUE!</v>
      </c>
      <c r="P1137" t="e">
        <f>IF($A1137="","",IF($E1137=1,$F1137*$O1137,PNL!G1137))</f>
        <v>#VALUE!</v>
      </c>
      <c r="T1137" t="e">
        <f t="shared" si="3"/>
        <v>#VALUE!</v>
      </c>
    </row>
    <row r="1138" ht="14.25" customHeight="1">
      <c r="A1138" t="str">
        <f>IF(PNL!A1138="","",PNL!A1138)</f>
        <v>IPAC_NAN</v>
      </c>
      <c r="B1138" t="str">
        <f>IF(PNL!B1138="","",PNL!B1138)</f>
        <v>621</v>
      </c>
      <c r="C1138" t="str">
        <f>IF(PNL!C1138="","",PNL!C1138)</f>
        <v>2027</v>
      </c>
      <c r="D1138" t="str">
        <f>IF(PNL!D1138="","",PNL!D1138)</f>
        <v>V01</v>
      </c>
      <c r="E1138">
        <f t="shared" si="0"/>
        <v>1</v>
      </c>
      <c r="F1138">
        <f>IF($A1138="","",IF($E1138=1,_xlfn.SUMIFS(Compta!$F$1:$F$1448,Compta!$A$1:$A$1448,$A1138,Compta!$B$1:$B$1448,$B1138,Compta!$C$1:$C$1448,"2026"),0))</f>
        <v>72438</v>
      </c>
      <c r="G1138" t="s">
        <v>274</v>
      </c>
      <c r="H1138" t="s">
        <v>274</v>
      </c>
      <c r="I1138" t="s">
        <v>274</v>
      </c>
      <c r="J1138" t="s">
        <v>274</v>
      </c>
      <c r="K1138" t="s">
        <v>274</v>
      </c>
      <c r="L1138" t="s">
        <v>274</v>
      </c>
      <c r="M1138" t="s">
        <v>274</v>
      </c>
      <c r="N1138" t="e">
        <f t="shared" si="1"/>
        <v>#VALUE!</v>
      </c>
      <c r="O1138" t="e">
        <f t="shared" si="2"/>
        <v>#VALUE!</v>
      </c>
      <c r="P1138" t="e">
        <f>IF($A1138="","",IF($E1138=1,$F1138*$O1138,PNL!G1138))</f>
        <v>#VALUE!</v>
      </c>
      <c r="T1138" t="e">
        <f t="shared" si="3"/>
        <v>#VALUE!</v>
      </c>
    </row>
    <row r="1139" ht="14.25" customHeight="1">
      <c r="A1139" t="str">
        <f>IF(PNL!A1139="","",PNL!A1139)</f>
        <v>IPAC_NAN</v>
      </c>
      <c r="B1139" t="str">
        <f>IF(PNL!B1139="","",PNL!B1139)</f>
        <v>621</v>
      </c>
      <c r="C1139" t="str">
        <f>IF(PNL!C1139="","",PNL!C1139)</f>
        <v>2027</v>
      </c>
      <c r="D1139" t="str">
        <f>IF(PNL!D1139="","",PNL!D1139)</f>
        <v>V02</v>
      </c>
      <c r="E1139">
        <f t="shared" si="0"/>
        <v>1</v>
      </c>
      <c r="F1139">
        <f>IF($A1139="","",IF($E1139=1,_xlfn.SUMIFS(Compta!$F$1:$F$1448,Compta!$A$1:$A$1448,$A1139,Compta!$B$1:$B$1448,$B1139,Compta!$C$1:$C$1448,"2026"),0))</f>
        <v>72438</v>
      </c>
      <c r="G1139" t="s">
        <v>274</v>
      </c>
      <c r="H1139" t="s">
        <v>274</v>
      </c>
      <c r="I1139" t="s">
        <v>274</v>
      </c>
      <c r="J1139" t="s">
        <v>274</v>
      </c>
      <c r="K1139" t="s">
        <v>274</v>
      </c>
      <c r="L1139" t="s">
        <v>274</v>
      </c>
      <c r="M1139" t="s">
        <v>274</v>
      </c>
      <c r="N1139" t="e">
        <f t="shared" si="1"/>
        <v>#VALUE!</v>
      </c>
      <c r="O1139" t="e">
        <f t="shared" si="2"/>
        <v>#VALUE!</v>
      </c>
      <c r="P1139" t="e">
        <f>IF($A1139="","",IF($E1139=1,$F1139*$O1139,PNL!G1139))</f>
        <v>#VALUE!</v>
      </c>
      <c r="T1139" t="e">
        <f t="shared" si="3"/>
        <v>#VALUE!</v>
      </c>
    </row>
    <row r="1140" ht="14.25" customHeight="1">
      <c r="A1140" t="str">
        <f>IF(PNL!A1140="","",PNL!A1140)</f>
        <v>IPAC_NAN</v>
      </c>
      <c r="B1140" t="str">
        <f>IF(PNL!B1140="","",PNL!B1140)</f>
        <v>621</v>
      </c>
      <c r="C1140" t="str">
        <f>IF(PNL!C1140="","",PNL!C1140)</f>
        <v>2027</v>
      </c>
      <c r="D1140" t="str">
        <f>IF(PNL!D1140="","",PNL!D1140)</f>
        <v>V03</v>
      </c>
      <c r="E1140">
        <f t="shared" si="0"/>
        <v>1</v>
      </c>
      <c r="F1140">
        <f>IF($A1140="","",IF($E1140=1,_xlfn.SUMIFS(Compta!$F$1:$F$1448,Compta!$A$1:$A$1448,$A1140,Compta!$B$1:$B$1448,$B1140,Compta!$C$1:$C$1448,"2026"),0))</f>
        <v>72438</v>
      </c>
      <c r="G1140" t="s">
        <v>274</v>
      </c>
      <c r="H1140" t="s">
        <v>274</v>
      </c>
      <c r="I1140" t="s">
        <v>274</v>
      </c>
      <c r="J1140" t="s">
        <v>274</v>
      </c>
      <c r="K1140" t="s">
        <v>274</v>
      </c>
      <c r="L1140" t="s">
        <v>274</v>
      </c>
      <c r="M1140" t="s">
        <v>274</v>
      </c>
      <c r="N1140" t="e">
        <f t="shared" si="1"/>
        <v>#VALUE!</v>
      </c>
      <c r="O1140" t="e">
        <f t="shared" si="2"/>
        <v>#VALUE!</v>
      </c>
      <c r="P1140" t="e">
        <f>IF($A1140="","",IF($E1140=1,$F1140*$O1140,PNL!G1140))</f>
        <v>#VALUE!</v>
      </c>
      <c r="T1140" t="e">
        <f t="shared" si="3"/>
        <v>#VALUE!</v>
      </c>
    </row>
    <row r="1141" ht="14.25" customHeight="1">
      <c r="A1141" t="str">
        <f>IF(PNL!A1141="","",PNL!A1141)</f>
        <v>IPAC_REN</v>
      </c>
      <c r="B1141" t="str">
        <f>IF(PNL!B1141="","",PNL!B1141)</f>
        <v>621</v>
      </c>
      <c r="C1141" t="str">
        <f>IF(PNL!C1141="","",PNL!C1141)</f>
        <v>2027</v>
      </c>
      <c r="D1141" t="str">
        <f>IF(PNL!D1141="","",PNL!D1141)</f>
        <v>V01</v>
      </c>
      <c r="E1141">
        <f t="shared" si="0"/>
        <v>1</v>
      </c>
      <c r="F1141">
        <f>IF($A1141="","",IF($E1141=1,_xlfn.SUMIFS(Compta!$F$1:$F$1448,Compta!$A$1:$A$1448,$A1141,Compta!$B$1:$B$1448,$B1141,Compta!$C$1:$C$1448,"2026"),0))</f>
        <v>72438</v>
      </c>
      <c r="G1141" t="s">
        <v>274</v>
      </c>
      <c r="H1141" t="s">
        <v>274</v>
      </c>
      <c r="I1141" t="s">
        <v>274</v>
      </c>
      <c r="J1141" t="s">
        <v>274</v>
      </c>
      <c r="K1141" t="s">
        <v>274</v>
      </c>
      <c r="L1141" t="s">
        <v>274</v>
      </c>
      <c r="M1141" t="s">
        <v>274</v>
      </c>
      <c r="N1141" t="e">
        <f t="shared" si="1"/>
        <v>#VALUE!</v>
      </c>
      <c r="O1141" t="e">
        <f t="shared" si="2"/>
        <v>#VALUE!</v>
      </c>
      <c r="P1141" t="e">
        <f>IF($A1141="","",IF($E1141=1,$F1141*$O1141,PNL!G1141))</f>
        <v>#VALUE!</v>
      </c>
      <c r="T1141" t="e">
        <f t="shared" si="3"/>
        <v>#VALUE!</v>
      </c>
    </row>
    <row r="1142" ht="14.25" customHeight="1">
      <c r="A1142" t="str">
        <f>IF(PNL!A1142="","",PNL!A1142)</f>
        <v>IPAC_REN</v>
      </c>
      <c r="B1142" t="str">
        <f>IF(PNL!B1142="","",PNL!B1142)</f>
        <v>621</v>
      </c>
      <c r="C1142" t="str">
        <f>IF(PNL!C1142="","",PNL!C1142)</f>
        <v>2027</v>
      </c>
      <c r="D1142" t="str">
        <f>IF(PNL!D1142="","",PNL!D1142)</f>
        <v>V02</v>
      </c>
      <c r="E1142">
        <f t="shared" si="0"/>
        <v>1</v>
      </c>
      <c r="F1142">
        <f>IF($A1142="","",IF($E1142=1,_xlfn.SUMIFS(Compta!$F$1:$F$1448,Compta!$A$1:$A$1448,$A1142,Compta!$B$1:$B$1448,$B1142,Compta!$C$1:$C$1448,"2026"),0))</f>
        <v>72438</v>
      </c>
      <c r="G1142" t="s">
        <v>274</v>
      </c>
      <c r="H1142" t="s">
        <v>274</v>
      </c>
      <c r="I1142" t="s">
        <v>274</v>
      </c>
      <c r="J1142" t="s">
        <v>274</v>
      </c>
      <c r="K1142" t="s">
        <v>274</v>
      </c>
      <c r="L1142" t="s">
        <v>274</v>
      </c>
      <c r="M1142" t="s">
        <v>274</v>
      </c>
      <c r="N1142" t="e">
        <f t="shared" si="1"/>
        <v>#VALUE!</v>
      </c>
      <c r="O1142" t="e">
        <f t="shared" si="2"/>
        <v>#VALUE!</v>
      </c>
      <c r="P1142" t="e">
        <f>IF($A1142="","",IF($E1142=1,$F1142*$O1142,PNL!G1142))</f>
        <v>#VALUE!</v>
      </c>
      <c r="T1142" t="e">
        <f t="shared" si="3"/>
        <v>#VALUE!</v>
      </c>
    </row>
    <row r="1143" ht="14.25" customHeight="1">
      <c r="A1143" t="str">
        <f>IF(PNL!A1143="","",PNL!A1143)</f>
        <v>IPAC_REN</v>
      </c>
      <c r="B1143" t="str">
        <f>IF(PNL!B1143="","",PNL!B1143)</f>
        <v>621</v>
      </c>
      <c r="C1143" t="str">
        <f>IF(PNL!C1143="","",PNL!C1143)</f>
        <v>2027</v>
      </c>
      <c r="D1143" t="str">
        <f>IF(PNL!D1143="","",PNL!D1143)</f>
        <v>V03</v>
      </c>
      <c r="E1143">
        <f t="shared" si="0"/>
        <v>1</v>
      </c>
      <c r="F1143">
        <f>IF($A1143="","",IF($E1143=1,_xlfn.SUMIFS(Compta!$F$1:$F$1448,Compta!$A$1:$A$1448,$A1143,Compta!$B$1:$B$1448,$B1143,Compta!$C$1:$C$1448,"2026"),0))</f>
        <v>72438</v>
      </c>
      <c r="G1143" t="s">
        <v>274</v>
      </c>
      <c r="H1143" t="s">
        <v>274</v>
      </c>
      <c r="I1143" t="s">
        <v>274</v>
      </c>
      <c r="J1143" t="s">
        <v>274</v>
      </c>
      <c r="K1143" t="s">
        <v>274</v>
      </c>
      <c r="L1143" t="s">
        <v>274</v>
      </c>
      <c r="M1143" t="s">
        <v>274</v>
      </c>
      <c r="N1143" t="e">
        <f t="shared" si="1"/>
        <v>#VALUE!</v>
      </c>
      <c r="O1143" t="e">
        <f t="shared" si="2"/>
        <v>#VALUE!</v>
      </c>
      <c r="P1143" t="e">
        <f>IF($A1143="","",IF($E1143=1,$F1143*$O1143,PNL!G1143))</f>
        <v>#VALUE!</v>
      </c>
      <c r="T1143" t="e">
        <f t="shared" si="3"/>
        <v>#VALUE!</v>
      </c>
    </row>
    <row r="1144" ht="14.25" customHeight="1">
      <c r="A1144" t="str">
        <f>IF(PNL!A1144="","",PNL!A1144)</f>
        <v>IPAC_MTP</v>
      </c>
      <c r="B1144" t="str">
        <f>IF(PNL!B1144="","",PNL!B1144)</f>
        <v>621</v>
      </c>
      <c r="C1144" t="str">
        <f>IF(PNL!C1144="","",PNL!C1144)</f>
        <v>2027</v>
      </c>
      <c r="D1144" t="str">
        <f>IF(PNL!D1144="","",PNL!D1144)</f>
        <v>V01</v>
      </c>
      <c r="E1144">
        <f t="shared" si="0"/>
        <v>1</v>
      </c>
      <c r="F1144">
        <f>IF($A1144="","",IF($E1144=1,_xlfn.SUMIFS(Compta!$F$1:$F$1448,Compta!$A$1:$A$1448,$A1144,Compta!$B$1:$B$1448,$B1144,Compta!$C$1:$C$1448,"2026"),0))</f>
        <v>72438</v>
      </c>
      <c r="G1144" t="s">
        <v>274</v>
      </c>
      <c r="H1144" t="s">
        <v>274</v>
      </c>
      <c r="I1144" t="s">
        <v>274</v>
      </c>
      <c r="J1144" t="s">
        <v>274</v>
      </c>
      <c r="K1144" t="s">
        <v>274</v>
      </c>
      <c r="L1144" t="s">
        <v>274</v>
      </c>
      <c r="M1144" t="s">
        <v>274</v>
      </c>
      <c r="N1144" t="e">
        <f t="shared" si="1"/>
        <v>#VALUE!</v>
      </c>
      <c r="O1144" t="e">
        <f t="shared" si="2"/>
        <v>#VALUE!</v>
      </c>
      <c r="P1144" t="e">
        <f>IF($A1144="","",IF($E1144=1,$F1144*$O1144,PNL!G1144))</f>
        <v>#VALUE!</v>
      </c>
      <c r="T1144" t="e">
        <f t="shared" si="3"/>
        <v>#VALUE!</v>
      </c>
    </row>
    <row r="1145" ht="14.25" customHeight="1">
      <c r="A1145" t="str">
        <f>IF(PNL!A1145="","",PNL!A1145)</f>
        <v>IPAC_MTP</v>
      </c>
      <c r="B1145" t="str">
        <f>IF(PNL!B1145="","",PNL!B1145)</f>
        <v>621</v>
      </c>
      <c r="C1145" t="str">
        <f>IF(PNL!C1145="","",PNL!C1145)</f>
        <v>2027</v>
      </c>
      <c r="D1145" t="str">
        <f>IF(PNL!D1145="","",PNL!D1145)</f>
        <v>V02</v>
      </c>
      <c r="E1145">
        <f t="shared" si="0"/>
        <v>1</v>
      </c>
      <c r="F1145">
        <f>IF($A1145="","",IF($E1145=1,_xlfn.SUMIFS(Compta!$F$1:$F$1448,Compta!$A$1:$A$1448,$A1145,Compta!$B$1:$B$1448,$B1145,Compta!$C$1:$C$1448,"2026"),0))</f>
        <v>72438</v>
      </c>
      <c r="G1145" t="s">
        <v>274</v>
      </c>
      <c r="H1145" t="s">
        <v>274</v>
      </c>
      <c r="I1145" t="s">
        <v>274</v>
      </c>
      <c r="J1145" t="s">
        <v>274</v>
      </c>
      <c r="K1145" t="s">
        <v>274</v>
      </c>
      <c r="L1145" t="s">
        <v>274</v>
      </c>
      <c r="M1145" t="s">
        <v>274</v>
      </c>
      <c r="N1145" t="e">
        <f t="shared" si="1"/>
        <v>#VALUE!</v>
      </c>
      <c r="O1145" t="e">
        <f t="shared" si="2"/>
        <v>#VALUE!</v>
      </c>
      <c r="P1145" t="e">
        <f>IF($A1145="","",IF($E1145=1,$F1145*$O1145,PNL!G1145))</f>
        <v>#VALUE!</v>
      </c>
      <c r="T1145" t="e">
        <f t="shared" si="3"/>
        <v>#VALUE!</v>
      </c>
    </row>
    <row r="1146" ht="14.25" customHeight="1">
      <c r="A1146" t="str">
        <f>IF(PNL!A1146="","",PNL!A1146)</f>
        <v>IPAC_MTP</v>
      </c>
      <c r="B1146" t="str">
        <f>IF(PNL!B1146="","",PNL!B1146)</f>
        <v>621</v>
      </c>
      <c r="C1146" t="str">
        <f>IF(PNL!C1146="","",PNL!C1146)</f>
        <v>2027</v>
      </c>
      <c r="D1146" t="str">
        <f>IF(PNL!D1146="","",PNL!D1146)</f>
        <v>V03</v>
      </c>
      <c r="E1146">
        <f t="shared" si="0"/>
        <v>1</v>
      </c>
      <c r="F1146">
        <f>IF($A1146="","",IF($E1146=1,_xlfn.SUMIFS(Compta!$F$1:$F$1448,Compta!$A$1:$A$1448,$A1146,Compta!$B$1:$B$1448,$B1146,Compta!$C$1:$C$1448,"2026"),0))</f>
        <v>72438</v>
      </c>
      <c r="G1146" t="s">
        <v>274</v>
      </c>
      <c r="H1146" t="s">
        <v>274</v>
      </c>
      <c r="I1146" t="s">
        <v>274</v>
      </c>
      <c r="J1146" t="s">
        <v>274</v>
      </c>
      <c r="K1146" t="s">
        <v>274</v>
      </c>
      <c r="L1146" t="s">
        <v>274</v>
      </c>
      <c r="M1146" t="s">
        <v>274</v>
      </c>
      <c r="N1146" t="e">
        <f t="shared" si="1"/>
        <v>#VALUE!</v>
      </c>
      <c r="O1146" t="e">
        <f t="shared" si="2"/>
        <v>#VALUE!</v>
      </c>
      <c r="P1146" t="e">
        <f>IF($A1146="","",IF($E1146=1,$F1146*$O1146,PNL!G1146))</f>
        <v>#VALUE!</v>
      </c>
      <c r="T1146" t="e">
        <f t="shared" si="3"/>
        <v>#VALUE!</v>
      </c>
    </row>
    <row r="1147" ht="14.25" customHeight="1">
      <c r="A1147" t="str">
        <f>IF(PNL!A1147="","",PNL!A1147)</f>
        <v>PIGIER_LYO</v>
      </c>
      <c r="B1147" t="str">
        <f>IF(PNL!B1147="","",PNL!B1147)</f>
        <v>621</v>
      </c>
      <c r="C1147" t="str">
        <f>IF(PNL!C1147="","",PNL!C1147)</f>
        <v>2027</v>
      </c>
      <c r="D1147" t="str">
        <f>IF(PNL!D1147="","",PNL!D1147)</f>
        <v>V01</v>
      </c>
      <c r="E1147">
        <f t="shared" si="0"/>
        <v>1</v>
      </c>
      <c r="F1147">
        <f>IF($A1147="","",IF($E1147=1,_xlfn.SUMIFS(Compta!$F$1:$F$1448,Compta!$A$1:$A$1448,$A1147,Compta!$B$1:$B$1448,$B1147,Compta!$C$1:$C$1448,"2026"),0))</f>
        <v>96583</v>
      </c>
      <c r="G1147" t="s">
        <v>274</v>
      </c>
      <c r="H1147" t="s">
        <v>274</v>
      </c>
      <c r="I1147" t="s">
        <v>274</v>
      </c>
      <c r="J1147" t="s">
        <v>274</v>
      </c>
      <c r="K1147" t="s">
        <v>274</v>
      </c>
      <c r="L1147" t="s">
        <v>274</v>
      </c>
      <c r="M1147" t="s">
        <v>274</v>
      </c>
      <c r="N1147" t="e">
        <f t="shared" si="1"/>
        <v>#VALUE!</v>
      </c>
      <c r="O1147" t="e">
        <f t="shared" si="2"/>
        <v>#VALUE!</v>
      </c>
      <c r="P1147" t="e">
        <f>IF($A1147="","",IF($E1147=1,$F1147*$O1147,PNL!G1147))</f>
        <v>#VALUE!</v>
      </c>
      <c r="T1147" t="e">
        <f t="shared" si="3"/>
        <v>#VALUE!</v>
      </c>
    </row>
    <row r="1148" ht="14.25" customHeight="1">
      <c r="A1148" t="str">
        <f>IF(PNL!A1148="","",PNL!A1148)</f>
        <v>PIGIER_LYO</v>
      </c>
      <c r="B1148" t="str">
        <f>IF(PNL!B1148="","",PNL!B1148)</f>
        <v>621</v>
      </c>
      <c r="C1148" t="str">
        <f>IF(PNL!C1148="","",PNL!C1148)</f>
        <v>2027</v>
      </c>
      <c r="D1148" t="str">
        <f>IF(PNL!D1148="","",PNL!D1148)</f>
        <v>V02</v>
      </c>
      <c r="E1148">
        <f t="shared" si="0"/>
        <v>1</v>
      </c>
      <c r="F1148">
        <f>IF($A1148="","",IF($E1148=1,_xlfn.SUMIFS(Compta!$F$1:$F$1448,Compta!$A$1:$A$1448,$A1148,Compta!$B$1:$B$1448,$B1148,Compta!$C$1:$C$1448,"2026"),0))</f>
        <v>96583</v>
      </c>
      <c r="G1148" t="s">
        <v>274</v>
      </c>
      <c r="H1148" t="s">
        <v>274</v>
      </c>
      <c r="I1148" t="s">
        <v>274</v>
      </c>
      <c r="J1148" t="s">
        <v>274</v>
      </c>
      <c r="K1148" t="s">
        <v>274</v>
      </c>
      <c r="L1148" t="s">
        <v>274</v>
      </c>
      <c r="M1148" t="s">
        <v>274</v>
      </c>
      <c r="N1148" t="e">
        <f t="shared" si="1"/>
        <v>#VALUE!</v>
      </c>
      <c r="O1148" t="e">
        <f t="shared" si="2"/>
        <v>#VALUE!</v>
      </c>
      <c r="P1148" t="e">
        <f>IF($A1148="","",IF($E1148=1,$F1148*$O1148,PNL!G1148))</f>
        <v>#VALUE!</v>
      </c>
      <c r="T1148" t="e">
        <f t="shared" si="3"/>
        <v>#VALUE!</v>
      </c>
    </row>
    <row r="1149" ht="14.25" customHeight="1">
      <c r="A1149" t="str">
        <f>IF(PNL!A1149="","",PNL!A1149)</f>
        <v>PIGIER_LYO</v>
      </c>
      <c r="B1149" t="str">
        <f>IF(PNL!B1149="","",PNL!B1149)</f>
        <v>621</v>
      </c>
      <c r="C1149" t="str">
        <f>IF(PNL!C1149="","",PNL!C1149)</f>
        <v>2027</v>
      </c>
      <c r="D1149" t="str">
        <f>IF(PNL!D1149="","",PNL!D1149)</f>
        <v>V03</v>
      </c>
      <c r="E1149">
        <f t="shared" si="0"/>
        <v>1</v>
      </c>
      <c r="F1149">
        <f>IF($A1149="","",IF($E1149=1,_xlfn.SUMIFS(Compta!$F$1:$F$1448,Compta!$A$1:$A$1448,$A1149,Compta!$B$1:$B$1448,$B1149,Compta!$C$1:$C$1448,"2026"),0))</f>
        <v>96583</v>
      </c>
      <c r="G1149" t="s">
        <v>274</v>
      </c>
      <c r="H1149" t="s">
        <v>274</v>
      </c>
      <c r="I1149" t="s">
        <v>274</v>
      </c>
      <c r="J1149" t="s">
        <v>274</v>
      </c>
      <c r="K1149" t="s">
        <v>274</v>
      </c>
      <c r="L1149" t="s">
        <v>274</v>
      </c>
      <c r="M1149" t="s">
        <v>274</v>
      </c>
      <c r="N1149" t="e">
        <f t="shared" si="1"/>
        <v>#VALUE!</v>
      </c>
      <c r="O1149" t="e">
        <f t="shared" si="2"/>
        <v>#VALUE!</v>
      </c>
      <c r="P1149" t="e">
        <f>IF($A1149="","",IF($E1149=1,$F1149*$O1149,PNL!G1149))</f>
        <v>#VALUE!</v>
      </c>
      <c r="T1149" t="e">
        <f t="shared" si="3"/>
        <v>#VALUE!</v>
      </c>
    </row>
    <row r="1150" ht="14.25" customHeight="1">
      <c r="A1150" t="str">
        <f>IF(PNL!A1150="","",PNL!A1150)</f>
        <v>PIGIER_BOR</v>
      </c>
      <c r="B1150" t="str">
        <f>IF(PNL!B1150="","",PNL!B1150)</f>
        <v>621</v>
      </c>
      <c r="C1150" t="str">
        <f>IF(PNL!C1150="","",PNL!C1150)</f>
        <v>2027</v>
      </c>
      <c r="D1150" t="str">
        <f>IF(PNL!D1150="","",PNL!D1150)</f>
        <v>V01</v>
      </c>
      <c r="E1150">
        <f t="shared" si="0"/>
        <v>1</v>
      </c>
      <c r="F1150">
        <f>IF($A1150="","",IF($E1150=1,_xlfn.SUMIFS(Compta!$F$1:$F$1448,Compta!$A$1:$A$1448,$A1150,Compta!$B$1:$B$1448,$B1150,Compta!$C$1:$C$1448,"2026"),0))</f>
        <v>96583</v>
      </c>
      <c r="G1150" t="s">
        <v>274</v>
      </c>
      <c r="H1150" t="s">
        <v>274</v>
      </c>
      <c r="I1150" t="s">
        <v>274</v>
      </c>
      <c r="J1150" t="s">
        <v>274</v>
      </c>
      <c r="K1150" t="s">
        <v>274</v>
      </c>
      <c r="L1150" t="s">
        <v>274</v>
      </c>
      <c r="M1150" t="s">
        <v>274</v>
      </c>
      <c r="N1150" t="e">
        <f t="shared" si="1"/>
        <v>#VALUE!</v>
      </c>
      <c r="O1150" t="e">
        <f t="shared" si="2"/>
        <v>#VALUE!</v>
      </c>
      <c r="P1150" t="e">
        <f>IF($A1150="","",IF($E1150=1,$F1150*$O1150,PNL!G1150))</f>
        <v>#VALUE!</v>
      </c>
      <c r="T1150" t="e">
        <f t="shared" si="3"/>
        <v>#VALUE!</v>
      </c>
    </row>
    <row r="1151" ht="14.25" customHeight="1">
      <c r="A1151" t="str">
        <f>IF(PNL!A1151="","",PNL!A1151)</f>
        <v>PIGIER_BOR</v>
      </c>
      <c r="B1151" t="str">
        <f>IF(PNL!B1151="","",PNL!B1151)</f>
        <v>621</v>
      </c>
      <c r="C1151" t="str">
        <f>IF(PNL!C1151="","",PNL!C1151)</f>
        <v>2027</v>
      </c>
      <c r="D1151" t="str">
        <f>IF(PNL!D1151="","",PNL!D1151)</f>
        <v>V02</v>
      </c>
      <c r="E1151">
        <f t="shared" si="0"/>
        <v>1</v>
      </c>
      <c r="F1151">
        <f>IF($A1151="","",IF($E1151=1,_xlfn.SUMIFS(Compta!$F$1:$F$1448,Compta!$A$1:$A$1448,$A1151,Compta!$B$1:$B$1448,$B1151,Compta!$C$1:$C$1448,"2026"),0))</f>
        <v>96583</v>
      </c>
      <c r="G1151" t="s">
        <v>274</v>
      </c>
      <c r="H1151" t="s">
        <v>274</v>
      </c>
      <c r="I1151" t="s">
        <v>274</v>
      </c>
      <c r="J1151" t="s">
        <v>274</v>
      </c>
      <c r="K1151" t="s">
        <v>274</v>
      </c>
      <c r="L1151" t="s">
        <v>274</v>
      </c>
      <c r="M1151" t="s">
        <v>274</v>
      </c>
      <c r="N1151" t="e">
        <f t="shared" si="1"/>
        <v>#VALUE!</v>
      </c>
      <c r="O1151" t="e">
        <f t="shared" si="2"/>
        <v>#VALUE!</v>
      </c>
      <c r="P1151" t="e">
        <f>IF($A1151="","",IF($E1151=1,$F1151*$O1151,PNL!G1151))</f>
        <v>#VALUE!</v>
      </c>
      <c r="T1151" t="e">
        <f t="shared" si="3"/>
        <v>#VALUE!</v>
      </c>
    </row>
    <row r="1152" ht="14.25" customHeight="1">
      <c r="A1152" t="str">
        <f>IF(PNL!A1152="","",PNL!A1152)</f>
        <v>PIGIER_BOR</v>
      </c>
      <c r="B1152" t="str">
        <f>IF(PNL!B1152="","",PNL!B1152)</f>
        <v>621</v>
      </c>
      <c r="C1152" t="str">
        <f>IF(PNL!C1152="","",PNL!C1152)</f>
        <v>2027</v>
      </c>
      <c r="D1152" t="str">
        <f>IF(PNL!D1152="","",PNL!D1152)</f>
        <v>V03</v>
      </c>
      <c r="E1152">
        <f t="shared" si="0"/>
        <v>1</v>
      </c>
      <c r="F1152">
        <f>IF($A1152="","",IF($E1152=1,_xlfn.SUMIFS(Compta!$F$1:$F$1448,Compta!$A$1:$A$1448,$A1152,Compta!$B$1:$B$1448,$B1152,Compta!$C$1:$C$1448,"2026"),0))</f>
        <v>96583</v>
      </c>
      <c r="G1152" t="s">
        <v>274</v>
      </c>
      <c r="H1152" t="s">
        <v>274</v>
      </c>
      <c r="I1152" t="s">
        <v>274</v>
      </c>
      <c r="J1152" t="s">
        <v>274</v>
      </c>
      <c r="K1152" t="s">
        <v>274</v>
      </c>
      <c r="L1152" t="s">
        <v>274</v>
      </c>
      <c r="M1152" t="s">
        <v>274</v>
      </c>
      <c r="N1152" t="e">
        <f t="shared" si="1"/>
        <v>#VALUE!</v>
      </c>
      <c r="O1152" t="e">
        <f t="shared" si="2"/>
        <v>#VALUE!</v>
      </c>
      <c r="P1152" t="e">
        <f>IF($A1152="","",IF($E1152=1,$F1152*$O1152,PNL!G1152))</f>
        <v>#VALUE!</v>
      </c>
      <c r="T1152" t="e">
        <f t="shared" si="3"/>
        <v>#VALUE!</v>
      </c>
    </row>
    <row r="1153" ht="14.25" customHeight="1">
      <c r="A1153" t="str">
        <f>IF(PNL!A1153="","",PNL!A1153)</f>
        <v>TUNON_PAR</v>
      </c>
      <c r="B1153" t="str">
        <f>IF(PNL!B1153="","",PNL!B1153)</f>
        <v>621</v>
      </c>
      <c r="C1153" t="str">
        <f>IF(PNL!C1153="","",PNL!C1153)</f>
        <v>2027</v>
      </c>
      <c r="D1153" t="str">
        <f>IF(PNL!D1153="","",PNL!D1153)</f>
        <v>V01</v>
      </c>
      <c r="E1153">
        <f t="shared" si="0"/>
        <v>1</v>
      </c>
      <c r="F1153">
        <f>IF($A1153="","",IF($E1153=1,_xlfn.SUMIFS(Compta!$F$1:$F$1448,Compta!$A$1:$A$1448,$A1153,Compta!$B$1:$B$1448,$B1153,Compta!$C$1:$C$1448,"2026"),0))</f>
        <v>72438</v>
      </c>
      <c r="G1153" t="s">
        <v>274</v>
      </c>
      <c r="H1153" t="s">
        <v>274</v>
      </c>
      <c r="I1153" t="s">
        <v>274</v>
      </c>
      <c r="J1153" t="s">
        <v>274</v>
      </c>
      <c r="K1153" t="s">
        <v>274</v>
      </c>
      <c r="L1153" t="s">
        <v>274</v>
      </c>
      <c r="M1153" t="s">
        <v>274</v>
      </c>
      <c r="N1153" t="e">
        <f t="shared" si="1"/>
        <v>#VALUE!</v>
      </c>
      <c r="O1153" t="e">
        <f t="shared" si="2"/>
        <v>#VALUE!</v>
      </c>
      <c r="P1153" t="e">
        <f>IF($A1153="","",IF($E1153=1,$F1153*$O1153,PNL!G1153))</f>
        <v>#VALUE!</v>
      </c>
      <c r="T1153" t="e">
        <f t="shared" si="3"/>
        <v>#VALUE!</v>
      </c>
    </row>
    <row r="1154" ht="14.25" customHeight="1">
      <c r="A1154" t="str">
        <f>IF(PNL!A1154="","",PNL!A1154)</f>
        <v>TUNON_PAR</v>
      </c>
      <c r="B1154" t="str">
        <f>IF(PNL!B1154="","",PNL!B1154)</f>
        <v>621</v>
      </c>
      <c r="C1154" t="str">
        <f>IF(PNL!C1154="","",PNL!C1154)</f>
        <v>2027</v>
      </c>
      <c r="D1154" t="str">
        <f>IF(PNL!D1154="","",PNL!D1154)</f>
        <v>V02</v>
      </c>
      <c r="E1154">
        <f t="shared" si="0"/>
        <v>1</v>
      </c>
      <c r="F1154">
        <f>IF($A1154="","",IF($E1154=1,_xlfn.SUMIFS(Compta!$F$1:$F$1448,Compta!$A$1:$A$1448,$A1154,Compta!$B$1:$B$1448,$B1154,Compta!$C$1:$C$1448,"2026"),0))</f>
        <v>72438</v>
      </c>
      <c r="G1154" t="s">
        <v>274</v>
      </c>
      <c r="H1154" t="s">
        <v>274</v>
      </c>
      <c r="I1154" t="s">
        <v>274</v>
      </c>
      <c r="J1154" t="s">
        <v>274</v>
      </c>
      <c r="K1154" t="s">
        <v>274</v>
      </c>
      <c r="L1154" t="s">
        <v>274</v>
      </c>
      <c r="M1154" t="s">
        <v>274</v>
      </c>
      <c r="N1154" t="e">
        <f t="shared" si="1"/>
        <v>#VALUE!</v>
      </c>
      <c r="O1154" t="e">
        <f t="shared" si="2"/>
        <v>#VALUE!</v>
      </c>
      <c r="P1154" t="e">
        <f>IF($A1154="","",IF($E1154=1,$F1154*$O1154,PNL!G1154))</f>
        <v>#VALUE!</v>
      </c>
      <c r="T1154" t="e">
        <f t="shared" si="3"/>
        <v>#VALUE!</v>
      </c>
    </row>
    <row r="1155" ht="14.25" customHeight="1">
      <c r="A1155" t="str">
        <f>IF(PNL!A1155="","",PNL!A1155)</f>
        <v>TUNON_PAR</v>
      </c>
      <c r="B1155" t="str">
        <f>IF(PNL!B1155="","",PNL!B1155)</f>
        <v>621</v>
      </c>
      <c r="C1155" t="str">
        <f>IF(PNL!C1155="","",PNL!C1155)</f>
        <v>2027</v>
      </c>
      <c r="D1155" t="str">
        <f>IF(PNL!D1155="","",PNL!D1155)</f>
        <v>V03</v>
      </c>
      <c r="E1155">
        <f t="shared" si="0"/>
        <v>1</v>
      </c>
      <c r="F1155">
        <f>IF($A1155="","",IF($E1155=1,_xlfn.SUMIFS(Compta!$F$1:$F$1448,Compta!$A$1:$A$1448,$A1155,Compta!$B$1:$B$1448,$B1155,Compta!$C$1:$C$1448,"2026"),0))</f>
        <v>72438</v>
      </c>
      <c r="G1155" t="s">
        <v>274</v>
      </c>
      <c r="H1155" t="s">
        <v>274</v>
      </c>
      <c r="I1155" t="s">
        <v>274</v>
      </c>
      <c r="J1155" t="s">
        <v>274</v>
      </c>
      <c r="K1155" t="s">
        <v>274</v>
      </c>
      <c r="L1155" t="s">
        <v>274</v>
      </c>
      <c r="M1155" t="s">
        <v>274</v>
      </c>
      <c r="N1155" t="e">
        <f t="shared" si="1"/>
        <v>#VALUE!</v>
      </c>
      <c r="O1155" t="e">
        <f t="shared" si="2"/>
        <v>#VALUE!</v>
      </c>
      <c r="P1155" t="e">
        <f>IF($A1155="","",IF($E1155=1,$F1155*$O1155,PNL!G1155))</f>
        <v>#VALUE!</v>
      </c>
      <c r="T1155" t="e">
        <f t="shared" si="3"/>
        <v>#VALUE!</v>
      </c>
    </row>
    <row r="1156" ht="14.25" customHeight="1">
      <c r="A1156" t="str">
        <f>IF(PNL!A1156="","",PNL!A1156)</f>
        <v>TUNON_LYO</v>
      </c>
      <c r="B1156" t="str">
        <f>IF(PNL!B1156="","",PNL!B1156)</f>
        <v>621</v>
      </c>
      <c r="C1156" t="str">
        <f>IF(PNL!C1156="","",PNL!C1156)</f>
        <v>2027</v>
      </c>
      <c r="D1156" t="str">
        <f>IF(PNL!D1156="","",PNL!D1156)</f>
        <v>V01</v>
      </c>
      <c r="E1156">
        <f t="shared" si="0"/>
        <v>1</v>
      </c>
      <c r="F1156">
        <f>IF($A1156="","",IF($E1156=1,_xlfn.SUMIFS(Compta!$F$1:$F$1448,Compta!$A$1:$A$1448,$A1156,Compta!$B$1:$B$1448,$B1156,Compta!$C$1:$C$1448,"2026"),0))</f>
        <v>72438</v>
      </c>
      <c r="G1156" t="s">
        <v>274</v>
      </c>
      <c r="H1156" t="s">
        <v>274</v>
      </c>
      <c r="I1156" t="s">
        <v>274</v>
      </c>
      <c r="J1156" t="s">
        <v>274</v>
      </c>
      <c r="K1156" t="s">
        <v>274</v>
      </c>
      <c r="L1156" t="s">
        <v>274</v>
      </c>
      <c r="M1156" t="s">
        <v>274</v>
      </c>
      <c r="N1156" t="e">
        <f t="shared" si="1"/>
        <v>#VALUE!</v>
      </c>
      <c r="O1156" t="e">
        <f t="shared" si="2"/>
        <v>#VALUE!</v>
      </c>
      <c r="P1156" t="e">
        <f>IF($A1156="","",IF($E1156=1,$F1156*$O1156,PNL!G1156))</f>
        <v>#VALUE!</v>
      </c>
      <c r="T1156" t="e">
        <f t="shared" si="3"/>
        <v>#VALUE!</v>
      </c>
    </row>
    <row r="1157" ht="14.25" customHeight="1">
      <c r="A1157" t="str">
        <f>IF(PNL!A1157="","",PNL!A1157)</f>
        <v>TUNON_LYO</v>
      </c>
      <c r="B1157" t="str">
        <f>IF(PNL!B1157="","",PNL!B1157)</f>
        <v>621</v>
      </c>
      <c r="C1157" t="str">
        <f>IF(PNL!C1157="","",PNL!C1157)</f>
        <v>2027</v>
      </c>
      <c r="D1157" t="str">
        <f>IF(PNL!D1157="","",PNL!D1157)</f>
        <v>V02</v>
      </c>
      <c r="E1157">
        <f t="shared" si="0"/>
        <v>1</v>
      </c>
      <c r="F1157">
        <f>IF($A1157="","",IF($E1157=1,_xlfn.SUMIFS(Compta!$F$1:$F$1448,Compta!$A$1:$A$1448,$A1157,Compta!$B$1:$B$1448,$B1157,Compta!$C$1:$C$1448,"2026"),0))</f>
        <v>72438</v>
      </c>
      <c r="G1157" t="s">
        <v>274</v>
      </c>
      <c r="H1157" t="s">
        <v>274</v>
      </c>
      <c r="I1157" t="s">
        <v>274</v>
      </c>
      <c r="J1157" t="s">
        <v>274</v>
      </c>
      <c r="K1157" t="s">
        <v>274</v>
      </c>
      <c r="L1157" t="s">
        <v>274</v>
      </c>
      <c r="M1157" t="s">
        <v>274</v>
      </c>
      <c r="N1157" t="e">
        <f t="shared" si="1"/>
        <v>#VALUE!</v>
      </c>
      <c r="O1157" t="e">
        <f t="shared" si="2"/>
        <v>#VALUE!</v>
      </c>
      <c r="P1157" t="e">
        <f>IF($A1157="","",IF($E1157=1,$F1157*$O1157,PNL!G1157))</f>
        <v>#VALUE!</v>
      </c>
      <c r="T1157" t="e">
        <f t="shared" si="3"/>
        <v>#VALUE!</v>
      </c>
    </row>
    <row r="1158" ht="14.25" customHeight="1">
      <c r="A1158" t="str">
        <f>IF(PNL!A1158="","",PNL!A1158)</f>
        <v>TUNON_LYO</v>
      </c>
      <c r="B1158" t="str">
        <f>IF(PNL!B1158="","",PNL!B1158)</f>
        <v>621</v>
      </c>
      <c r="C1158" t="str">
        <f>IF(PNL!C1158="","",PNL!C1158)</f>
        <v>2027</v>
      </c>
      <c r="D1158" t="str">
        <f>IF(PNL!D1158="","",PNL!D1158)</f>
        <v>V03</v>
      </c>
      <c r="E1158">
        <f t="shared" si="0"/>
        <v>1</v>
      </c>
      <c r="F1158">
        <f>IF($A1158="","",IF($E1158=1,_xlfn.SUMIFS(Compta!$F$1:$F$1448,Compta!$A$1:$A$1448,$A1158,Compta!$B$1:$B$1448,$B1158,Compta!$C$1:$C$1448,"2026"),0))</f>
        <v>72438</v>
      </c>
      <c r="G1158" t="s">
        <v>274</v>
      </c>
      <c r="H1158" t="s">
        <v>274</v>
      </c>
      <c r="I1158" t="s">
        <v>274</v>
      </c>
      <c r="J1158" t="s">
        <v>274</v>
      </c>
      <c r="K1158" t="s">
        <v>274</v>
      </c>
      <c r="L1158" t="s">
        <v>274</v>
      </c>
      <c r="M1158" t="s">
        <v>274</v>
      </c>
      <c r="N1158" t="e">
        <f t="shared" si="1"/>
        <v>#VALUE!</v>
      </c>
      <c r="O1158" t="e">
        <f t="shared" si="2"/>
        <v>#VALUE!</v>
      </c>
      <c r="P1158" t="e">
        <f>IF($A1158="","",IF($E1158=1,$F1158*$O1158,PNL!G1158))</f>
        <v>#VALUE!</v>
      </c>
      <c r="T1158" t="e">
        <f t="shared" si="3"/>
        <v>#VALUE!</v>
      </c>
    </row>
    <row r="1159" ht="14.25" customHeight="1">
      <c r="A1159" t="str">
        <f>IF(PNL!A1159="","",PNL!A1159)</f>
        <v>MBWAY_PAR</v>
      </c>
      <c r="B1159" t="str">
        <f>IF(PNL!B1159="","",PNL!B1159)</f>
        <v>604</v>
      </c>
      <c r="C1159" t="str">
        <f>IF(PNL!C1159="","",PNL!C1159)</f>
        <v>2027</v>
      </c>
      <c r="D1159" t="str">
        <f>IF(PNL!D1159="","",PNL!D1159)</f>
        <v>V01</v>
      </c>
      <c r="E1159">
        <f t="shared" si="0"/>
        <v>1</v>
      </c>
      <c r="F1159">
        <f>IF($A1159="","",IF($E1159=1,_xlfn.SUMIFS(Compta!$F$1:$F$1448,Compta!$A$1:$A$1448,$A1159,Compta!$B$1:$B$1448,$B1159,Compta!$C$1:$C$1448,"2026"),0))</f>
        <v>85284</v>
      </c>
      <c r="G1159" t="s">
        <v>274</v>
      </c>
      <c r="H1159" t="s">
        <v>274</v>
      </c>
      <c r="I1159" t="s">
        <v>274</v>
      </c>
      <c r="J1159" t="s">
        <v>274</v>
      </c>
      <c r="K1159" t="s">
        <v>274</v>
      </c>
      <c r="L1159" t="s">
        <v>274</v>
      </c>
      <c r="M1159" t="s">
        <v>274</v>
      </c>
      <c r="N1159" t="e">
        <f t="shared" si="1"/>
        <v>#VALUE!</v>
      </c>
      <c r="O1159" t="e">
        <f t="shared" si="2"/>
        <v>#VALUE!</v>
      </c>
      <c r="P1159" t="e">
        <f>IF($A1159="","",IF($E1159=1,$F1159*$O1159,PNL!G1159))</f>
        <v>#VALUE!</v>
      </c>
      <c r="T1159" t="e">
        <f t="shared" si="3"/>
        <v>#VALUE!</v>
      </c>
    </row>
    <row r="1160" ht="14.25" customHeight="1">
      <c r="A1160" t="str">
        <f>IF(PNL!A1160="","",PNL!A1160)</f>
        <v>MBWAY_PAR</v>
      </c>
      <c r="B1160" t="str">
        <f>IF(PNL!B1160="","",PNL!B1160)</f>
        <v>604</v>
      </c>
      <c r="C1160" t="str">
        <f>IF(PNL!C1160="","",PNL!C1160)</f>
        <v>2027</v>
      </c>
      <c r="D1160" t="str">
        <f>IF(PNL!D1160="","",PNL!D1160)</f>
        <v>V02</v>
      </c>
      <c r="E1160">
        <f t="shared" si="0"/>
        <v>1</v>
      </c>
      <c r="F1160">
        <f>IF($A1160="","",IF($E1160=1,_xlfn.SUMIFS(Compta!$F$1:$F$1448,Compta!$A$1:$A$1448,$A1160,Compta!$B$1:$B$1448,$B1160,Compta!$C$1:$C$1448,"2026"),0))</f>
        <v>85284</v>
      </c>
      <c r="G1160" t="s">
        <v>274</v>
      </c>
      <c r="H1160" t="s">
        <v>274</v>
      </c>
      <c r="I1160" t="s">
        <v>274</v>
      </c>
      <c r="J1160" t="s">
        <v>274</v>
      </c>
      <c r="K1160" t="s">
        <v>274</v>
      </c>
      <c r="L1160" t="s">
        <v>274</v>
      </c>
      <c r="M1160" t="s">
        <v>274</v>
      </c>
      <c r="N1160" t="e">
        <f t="shared" si="1"/>
        <v>#VALUE!</v>
      </c>
      <c r="O1160" t="e">
        <f t="shared" si="2"/>
        <v>#VALUE!</v>
      </c>
      <c r="P1160" t="e">
        <f>IF($A1160="","",IF($E1160=1,$F1160*$O1160,PNL!G1160))</f>
        <v>#VALUE!</v>
      </c>
      <c r="T1160" t="e">
        <f t="shared" si="3"/>
        <v>#VALUE!</v>
      </c>
    </row>
    <row r="1161" ht="14.25" customHeight="1">
      <c r="A1161" t="str">
        <f>IF(PNL!A1161="","",PNL!A1161)</f>
        <v>MBWAY_PAR</v>
      </c>
      <c r="B1161" t="str">
        <f>IF(PNL!B1161="","",PNL!B1161)</f>
        <v>604</v>
      </c>
      <c r="C1161" t="str">
        <f>IF(PNL!C1161="","",PNL!C1161)</f>
        <v>2027</v>
      </c>
      <c r="D1161" t="str">
        <f>IF(PNL!D1161="","",PNL!D1161)</f>
        <v>V03</v>
      </c>
      <c r="E1161">
        <f t="shared" si="0"/>
        <v>1</v>
      </c>
      <c r="F1161">
        <f>IF($A1161="","",IF($E1161=1,_xlfn.SUMIFS(Compta!$F$1:$F$1448,Compta!$A$1:$A$1448,$A1161,Compta!$B$1:$B$1448,$B1161,Compta!$C$1:$C$1448,"2026"),0))</f>
        <v>85284</v>
      </c>
      <c r="G1161" t="s">
        <v>274</v>
      </c>
      <c r="H1161" t="s">
        <v>274</v>
      </c>
      <c r="I1161" t="s">
        <v>274</v>
      </c>
      <c r="J1161" t="s">
        <v>274</v>
      </c>
      <c r="K1161" t="s">
        <v>274</v>
      </c>
      <c r="L1161" t="s">
        <v>274</v>
      </c>
      <c r="M1161" t="s">
        <v>274</v>
      </c>
      <c r="N1161" t="e">
        <f t="shared" si="1"/>
        <v>#VALUE!</v>
      </c>
      <c r="O1161" t="e">
        <f t="shared" si="2"/>
        <v>#VALUE!</v>
      </c>
      <c r="P1161" t="e">
        <f>IF($A1161="","",IF($E1161=1,$F1161*$O1161,PNL!G1161))</f>
        <v>#VALUE!</v>
      </c>
      <c r="T1161" t="e">
        <f t="shared" si="3"/>
        <v>#VALUE!</v>
      </c>
    </row>
    <row r="1162" ht="14.25" customHeight="1">
      <c r="A1162" t="str">
        <f>IF(PNL!A1162="","",PNL!A1162)</f>
        <v>MBWAY_LYO</v>
      </c>
      <c r="B1162" t="str">
        <f>IF(PNL!B1162="","",PNL!B1162)</f>
        <v>604</v>
      </c>
      <c r="C1162" t="str">
        <f>IF(PNL!C1162="","",PNL!C1162)</f>
        <v>2027</v>
      </c>
      <c r="D1162" t="str">
        <f>IF(PNL!D1162="","",PNL!D1162)</f>
        <v>V01</v>
      </c>
      <c r="E1162">
        <f t="shared" si="0"/>
        <v>1</v>
      </c>
      <c r="F1162">
        <f>IF($A1162="","",IF($E1162=1,_xlfn.SUMIFS(Compta!$F$1:$F$1448,Compta!$A$1:$A$1448,$A1162,Compta!$B$1:$B$1448,$B1162,Compta!$C$1:$C$1448,"2026"),0))</f>
        <v>72335</v>
      </c>
      <c r="G1162" t="s">
        <v>274</v>
      </c>
      <c r="H1162" t="s">
        <v>274</v>
      </c>
      <c r="I1162" t="s">
        <v>274</v>
      </c>
      <c r="J1162" t="s">
        <v>274</v>
      </c>
      <c r="K1162" t="s">
        <v>274</v>
      </c>
      <c r="L1162" t="s">
        <v>274</v>
      </c>
      <c r="M1162" t="s">
        <v>274</v>
      </c>
      <c r="N1162" t="e">
        <f t="shared" si="1"/>
        <v>#VALUE!</v>
      </c>
      <c r="O1162" t="e">
        <f t="shared" si="2"/>
        <v>#VALUE!</v>
      </c>
      <c r="P1162" t="e">
        <f>IF($A1162="","",IF($E1162=1,$F1162*$O1162,PNL!G1162))</f>
        <v>#VALUE!</v>
      </c>
      <c r="T1162" t="e">
        <f t="shared" si="3"/>
        <v>#VALUE!</v>
      </c>
    </row>
    <row r="1163" ht="14.25" customHeight="1">
      <c r="A1163" t="str">
        <f>IF(PNL!A1163="","",PNL!A1163)</f>
        <v>MBWAY_LYO</v>
      </c>
      <c r="B1163" t="str">
        <f>IF(PNL!B1163="","",PNL!B1163)</f>
        <v>604</v>
      </c>
      <c r="C1163" t="str">
        <f>IF(PNL!C1163="","",PNL!C1163)</f>
        <v>2027</v>
      </c>
      <c r="D1163" t="str">
        <f>IF(PNL!D1163="","",PNL!D1163)</f>
        <v>V02</v>
      </c>
      <c r="E1163">
        <f t="shared" si="0"/>
        <v>1</v>
      </c>
      <c r="F1163">
        <f>IF($A1163="","",IF($E1163=1,_xlfn.SUMIFS(Compta!$F$1:$F$1448,Compta!$A$1:$A$1448,$A1163,Compta!$B$1:$B$1448,$B1163,Compta!$C$1:$C$1448,"2026"),0))</f>
        <v>72335</v>
      </c>
      <c r="G1163" t="s">
        <v>274</v>
      </c>
      <c r="H1163" t="s">
        <v>274</v>
      </c>
      <c r="I1163" t="s">
        <v>274</v>
      </c>
      <c r="J1163" t="s">
        <v>274</v>
      </c>
      <c r="K1163" t="s">
        <v>274</v>
      </c>
      <c r="L1163" t="s">
        <v>274</v>
      </c>
      <c r="M1163" t="s">
        <v>274</v>
      </c>
      <c r="N1163" t="e">
        <f t="shared" si="1"/>
        <v>#VALUE!</v>
      </c>
      <c r="O1163" t="e">
        <f t="shared" si="2"/>
        <v>#VALUE!</v>
      </c>
      <c r="P1163" t="e">
        <f>IF($A1163="","",IF($E1163=1,$F1163*$O1163,PNL!G1163))</f>
        <v>#VALUE!</v>
      </c>
      <c r="T1163" t="e">
        <f t="shared" si="3"/>
        <v>#VALUE!</v>
      </c>
    </row>
    <row r="1164" ht="14.25" customHeight="1">
      <c r="A1164" t="str">
        <f>IF(PNL!A1164="","",PNL!A1164)</f>
        <v>MBWAY_LYO</v>
      </c>
      <c r="B1164" t="str">
        <f>IF(PNL!B1164="","",PNL!B1164)</f>
        <v>604</v>
      </c>
      <c r="C1164" t="str">
        <f>IF(PNL!C1164="","",PNL!C1164)</f>
        <v>2027</v>
      </c>
      <c r="D1164" t="str">
        <f>IF(PNL!D1164="","",PNL!D1164)</f>
        <v>V03</v>
      </c>
      <c r="E1164">
        <f t="shared" si="0"/>
        <v>1</v>
      </c>
      <c r="F1164">
        <f>IF($A1164="","",IF($E1164=1,_xlfn.SUMIFS(Compta!$F$1:$F$1448,Compta!$A$1:$A$1448,$A1164,Compta!$B$1:$B$1448,$B1164,Compta!$C$1:$C$1448,"2026"),0))</f>
        <v>72335</v>
      </c>
      <c r="G1164" t="s">
        <v>274</v>
      </c>
      <c r="H1164" t="s">
        <v>274</v>
      </c>
      <c r="I1164" t="s">
        <v>274</v>
      </c>
      <c r="J1164" t="s">
        <v>274</v>
      </c>
      <c r="K1164" t="s">
        <v>274</v>
      </c>
      <c r="L1164" t="s">
        <v>274</v>
      </c>
      <c r="M1164" t="s">
        <v>274</v>
      </c>
      <c r="N1164" t="e">
        <f t="shared" si="1"/>
        <v>#VALUE!</v>
      </c>
      <c r="O1164" t="e">
        <f t="shared" si="2"/>
        <v>#VALUE!</v>
      </c>
      <c r="P1164" t="e">
        <f>IF($A1164="","",IF($E1164=1,$F1164*$O1164,PNL!G1164))</f>
        <v>#VALUE!</v>
      </c>
      <c r="T1164" t="e">
        <f t="shared" si="3"/>
        <v>#VALUE!</v>
      </c>
    </row>
    <row r="1165" ht="14.25" customHeight="1">
      <c r="A1165" t="str">
        <f>IF(PNL!A1165="","",PNL!A1165)</f>
        <v>MBWAY_NAN</v>
      </c>
      <c r="B1165" t="str">
        <f>IF(PNL!B1165="","",PNL!B1165)</f>
        <v>604</v>
      </c>
      <c r="C1165" t="str">
        <f>IF(PNL!C1165="","",PNL!C1165)</f>
        <v>2027</v>
      </c>
      <c r="D1165" t="str">
        <f>IF(PNL!D1165="","",PNL!D1165)</f>
        <v>V01</v>
      </c>
      <c r="E1165">
        <f t="shared" si="0"/>
        <v>1</v>
      </c>
      <c r="F1165">
        <f>IF($A1165="","",IF($E1165=1,_xlfn.SUMIFS(Compta!$F$1:$F$1448,Compta!$A$1:$A$1448,$A1165,Compta!$B$1:$B$1448,$B1165,Compta!$C$1:$C$1448,"2026"),0))</f>
        <v>65638</v>
      </c>
      <c r="G1165" t="s">
        <v>274</v>
      </c>
      <c r="H1165" t="s">
        <v>274</v>
      </c>
      <c r="I1165" t="s">
        <v>274</v>
      </c>
      <c r="J1165" t="s">
        <v>274</v>
      </c>
      <c r="K1165" t="s">
        <v>274</v>
      </c>
      <c r="L1165" t="s">
        <v>274</v>
      </c>
      <c r="M1165" t="s">
        <v>274</v>
      </c>
      <c r="N1165" t="e">
        <f t="shared" si="1"/>
        <v>#VALUE!</v>
      </c>
      <c r="O1165" t="e">
        <f t="shared" si="2"/>
        <v>#VALUE!</v>
      </c>
      <c r="P1165" t="e">
        <f>IF($A1165="","",IF($E1165=1,$F1165*$O1165,PNL!G1165))</f>
        <v>#VALUE!</v>
      </c>
      <c r="T1165" t="e">
        <f t="shared" si="3"/>
        <v>#VALUE!</v>
      </c>
    </row>
    <row r="1166" ht="14.25" customHeight="1">
      <c r="A1166" t="str">
        <f>IF(PNL!A1166="","",PNL!A1166)</f>
        <v>MBWAY_NAN</v>
      </c>
      <c r="B1166" t="str">
        <f>IF(PNL!B1166="","",PNL!B1166)</f>
        <v>604</v>
      </c>
      <c r="C1166" t="str">
        <f>IF(PNL!C1166="","",PNL!C1166)</f>
        <v>2027</v>
      </c>
      <c r="D1166" t="str">
        <f>IF(PNL!D1166="","",PNL!D1166)</f>
        <v>V02</v>
      </c>
      <c r="E1166">
        <f t="shared" si="0"/>
        <v>1</v>
      </c>
      <c r="F1166">
        <f>IF($A1166="","",IF($E1166=1,_xlfn.SUMIFS(Compta!$F$1:$F$1448,Compta!$A$1:$A$1448,$A1166,Compta!$B$1:$B$1448,$B1166,Compta!$C$1:$C$1448,"2026"),0))</f>
        <v>65638</v>
      </c>
      <c r="G1166" t="s">
        <v>274</v>
      </c>
      <c r="H1166" t="s">
        <v>274</v>
      </c>
      <c r="I1166" t="s">
        <v>274</v>
      </c>
      <c r="J1166" t="s">
        <v>274</v>
      </c>
      <c r="K1166" t="s">
        <v>274</v>
      </c>
      <c r="L1166" t="s">
        <v>274</v>
      </c>
      <c r="M1166" t="s">
        <v>274</v>
      </c>
      <c r="N1166" t="e">
        <f t="shared" si="1"/>
        <v>#VALUE!</v>
      </c>
      <c r="O1166" t="e">
        <f t="shared" si="2"/>
        <v>#VALUE!</v>
      </c>
      <c r="P1166" t="e">
        <f>IF($A1166="","",IF($E1166=1,$F1166*$O1166,PNL!G1166))</f>
        <v>#VALUE!</v>
      </c>
      <c r="T1166" t="e">
        <f t="shared" si="3"/>
        <v>#VALUE!</v>
      </c>
    </row>
    <row r="1167" ht="14.25" customHeight="1">
      <c r="A1167" t="str">
        <f>IF(PNL!A1167="","",PNL!A1167)</f>
        <v>MBWAY_NAN</v>
      </c>
      <c r="B1167" t="str">
        <f>IF(PNL!B1167="","",PNL!B1167)</f>
        <v>604</v>
      </c>
      <c r="C1167" t="str">
        <f>IF(PNL!C1167="","",PNL!C1167)</f>
        <v>2027</v>
      </c>
      <c r="D1167" t="str">
        <f>IF(PNL!D1167="","",PNL!D1167)</f>
        <v>V03</v>
      </c>
      <c r="E1167">
        <f t="shared" si="0"/>
        <v>1</v>
      </c>
      <c r="F1167">
        <f>IF($A1167="","",IF($E1167=1,_xlfn.SUMIFS(Compta!$F$1:$F$1448,Compta!$A$1:$A$1448,$A1167,Compta!$B$1:$B$1448,$B1167,Compta!$C$1:$C$1448,"2026"),0))</f>
        <v>65638</v>
      </c>
      <c r="G1167" t="s">
        <v>274</v>
      </c>
      <c r="H1167" t="s">
        <v>274</v>
      </c>
      <c r="I1167" t="s">
        <v>274</v>
      </c>
      <c r="J1167" t="s">
        <v>274</v>
      </c>
      <c r="K1167" t="s">
        <v>274</v>
      </c>
      <c r="L1167" t="s">
        <v>274</v>
      </c>
      <c r="M1167" t="s">
        <v>274</v>
      </c>
      <c r="N1167" t="e">
        <f t="shared" si="1"/>
        <v>#VALUE!</v>
      </c>
      <c r="O1167" t="e">
        <f t="shared" si="2"/>
        <v>#VALUE!</v>
      </c>
      <c r="P1167" t="e">
        <f>IF($A1167="","",IF($E1167=1,$F1167*$O1167,PNL!G1167))</f>
        <v>#VALUE!</v>
      </c>
      <c r="T1167" t="e">
        <f t="shared" si="3"/>
        <v>#VALUE!</v>
      </c>
    </row>
    <row r="1168" ht="14.25" customHeight="1">
      <c r="A1168" t="str">
        <f>IF(PNL!A1168="","",PNL!A1168)</f>
        <v>MBWAY_BOR</v>
      </c>
      <c r="B1168" t="str">
        <f>IF(PNL!B1168="","",PNL!B1168)</f>
        <v>604</v>
      </c>
      <c r="C1168" t="str">
        <f>IF(PNL!C1168="","",PNL!C1168)</f>
        <v>2027</v>
      </c>
      <c r="D1168" t="str">
        <f>IF(PNL!D1168="","",PNL!D1168)</f>
        <v>V01</v>
      </c>
      <c r="E1168">
        <f t="shared" si="0"/>
        <v>1</v>
      </c>
      <c r="F1168">
        <f>IF($A1168="","",IF($E1168=1,_xlfn.SUMIFS(Compta!$F$1:$F$1448,Compta!$A$1:$A$1448,$A1168,Compta!$B$1:$B$1448,$B1168,Compta!$C$1:$C$1448,"2026"),0))</f>
        <v>55591</v>
      </c>
      <c r="G1168" t="s">
        <v>274</v>
      </c>
      <c r="H1168" t="s">
        <v>274</v>
      </c>
      <c r="I1168" t="s">
        <v>274</v>
      </c>
      <c r="J1168" t="s">
        <v>274</v>
      </c>
      <c r="K1168" t="s">
        <v>274</v>
      </c>
      <c r="L1168" t="s">
        <v>274</v>
      </c>
      <c r="M1168" t="s">
        <v>274</v>
      </c>
      <c r="N1168" t="e">
        <f t="shared" si="1"/>
        <v>#VALUE!</v>
      </c>
      <c r="O1168" t="e">
        <f t="shared" si="2"/>
        <v>#VALUE!</v>
      </c>
      <c r="P1168" t="e">
        <f>IF($A1168="","",IF($E1168=1,$F1168*$O1168,PNL!G1168))</f>
        <v>#VALUE!</v>
      </c>
      <c r="T1168" t="e">
        <f t="shared" si="3"/>
        <v>#VALUE!</v>
      </c>
    </row>
    <row r="1169" ht="14.25" customHeight="1">
      <c r="A1169" t="str">
        <f>IF(PNL!A1169="","",PNL!A1169)</f>
        <v>MBWAY_BOR</v>
      </c>
      <c r="B1169" t="str">
        <f>IF(PNL!B1169="","",PNL!B1169)</f>
        <v>604</v>
      </c>
      <c r="C1169" t="str">
        <f>IF(PNL!C1169="","",PNL!C1169)</f>
        <v>2027</v>
      </c>
      <c r="D1169" t="str">
        <f>IF(PNL!D1169="","",PNL!D1169)</f>
        <v>V02</v>
      </c>
      <c r="E1169">
        <f t="shared" si="0"/>
        <v>1</v>
      </c>
      <c r="F1169">
        <f>IF($A1169="","",IF($E1169=1,_xlfn.SUMIFS(Compta!$F$1:$F$1448,Compta!$A$1:$A$1448,$A1169,Compta!$B$1:$B$1448,$B1169,Compta!$C$1:$C$1448,"2026"),0))</f>
        <v>55591</v>
      </c>
      <c r="G1169" t="s">
        <v>274</v>
      </c>
      <c r="H1169" t="s">
        <v>274</v>
      </c>
      <c r="I1169" t="s">
        <v>274</v>
      </c>
      <c r="J1169" t="s">
        <v>274</v>
      </c>
      <c r="K1169" t="s">
        <v>274</v>
      </c>
      <c r="L1169" t="s">
        <v>274</v>
      </c>
      <c r="M1169" t="s">
        <v>274</v>
      </c>
      <c r="N1169" t="e">
        <f t="shared" si="1"/>
        <v>#VALUE!</v>
      </c>
      <c r="O1169" t="e">
        <f t="shared" si="2"/>
        <v>#VALUE!</v>
      </c>
      <c r="P1169" t="e">
        <f>IF($A1169="","",IF($E1169=1,$F1169*$O1169,PNL!G1169))</f>
        <v>#VALUE!</v>
      </c>
      <c r="T1169" t="e">
        <f t="shared" si="3"/>
        <v>#VALUE!</v>
      </c>
    </row>
    <row r="1170" ht="14.25" customHeight="1">
      <c r="A1170" t="str">
        <f>IF(PNL!A1170="","",PNL!A1170)</f>
        <v>MBWAY_BOR</v>
      </c>
      <c r="B1170" t="str">
        <f>IF(PNL!B1170="","",PNL!B1170)</f>
        <v>604</v>
      </c>
      <c r="C1170" t="str">
        <f>IF(PNL!C1170="","",PNL!C1170)</f>
        <v>2027</v>
      </c>
      <c r="D1170" t="str">
        <f>IF(PNL!D1170="","",PNL!D1170)</f>
        <v>V03</v>
      </c>
      <c r="E1170">
        <f t="shared" si="0"/>
        <v>1</v>
      </c>
      <c r="F1170">
        <f>IF($A1170="","",IF($E1170=1,_xlfn.SUMIFS(Compta!$F$1:$F$1448,Compta!$A$1:$A$1448,$A1170,Compta!$B$1:$B$1448,$B1170,Compta!$C$1:$C$1448,"2026"),0))</f>
        <v>55591</v>
      </c>
      <c r="G1170" t="s">
        <v>274</v>
      </c>
      <c r="H1170" t="s">
        <v>274</v>
      </c>
      <c r="I1170" t="s">
        <v>274</v>
      </c>
      <c r="J1170" t="s">
        <v>274</v>
      </c>
      <c r="K1170" t="s">
        <v>274</v>
      </c>
      <c r="L1170" t="s">
        <v>274</v>
      </c>
      <c r="M1170" t="s">
        <v>274</v>
      </c>
      <c r="N1170" t="e">
        <f t="shared" si="1"/>
        <v>#VALUE!</v>
      </c>
      <c r="O1170" t="e">
        <f t="shared" si="2"/>
        <v>#VALUE!</v>
      </c>
      <c r="P1170" t="e">
        <f>IF($A1170="","",IF($E1170=1,$F1170*$O1170,PNL!G1170))</f>
        <v>#VALUE!</v>
      </c>
      <c r="T1170" t="e">
        <f t="shared" si="3"/>
        <v>#VALUE!</v>
      </c>
    </row>
    <row r="1171" ht="14.25" customHeight="1">
      <c r="A1171" t="str">
        <f>IF(PNL!A1171="","",PNL!A1171)</f>
        <v>ISCOM_PAR</v>
      </c>
      <c r="B1171" t="str">
        <f>IF(PNL!B1171="","",PNL!B1171)</f>
        <v>604</v>
      </c>
      <c r="C1171" t="str">
        <f>IF(PNL!C1171="","",PNL!C1171)</f>
        <v>2027</v>
      </c>
      <c r="D1171" t="str">
        <f>IF(PNL!D1171="","",PNL!D1171)</f>
        <v>V01</v>
      </c>
      <c r="E1171">
        <f t="shared" si="0"/>
        <v>1</v>
      </c>
      <c r="F1171">
        <f>IF($A1171="","",IF($E1171=1,_xlfn.SUMIFS(Compta!$F$1:$F$1448,Compta!$A$1:$A$1448,$A1171,Compta!$B$1:$B$1448,$B1171,Compta!$C$1:$C$1448,"2026"),0))</f>
        <v>79033</v>
      </c>
      <c r="G1171" t="s">
        <v>274</v>
      </c>
      <c r="H1171" t="s">
        <v>274</v>
      </c>
      <c r="I1171" t="s">
        <v>274</v>
      </c>
      <c r="J1171" t="s">
        <v>274</v>
      </c>
      <c r="K1171" t="s">
        <v>274</v>
      </c>
      <c r="L1171" t="s">
        <v>274</v>
      </c>
      <c r="M1171" t="s">
        <v>274</v>
      </c>
      <c r="N1171" t="e">
        <f t="shared" si="1"/>
        <v>#VALUE!</v>
      </c>
      <c r="O1171" t="e">
        <f t="shared" si="2"/>
        <v>#VALUE!</v>
      </c>
      <c r="P1171" t="e">
        <f>IF($A1171="","",IF($E1171=1,$F1171*$O1171,PNL!G1171))</f>
        <v>#VALUE!</v>
      </c>
      <c r="T1171" t="e">
        <f t="shared" si="3"/>
        <v>#VALUE!</v>
      </c>
    </row>
    <row r="1172" ht="14.25" customHeight="1">
      <c r="A1172" t="str">
        <f>IF(PNL!A1172="","",PNL!A1172)</f>
        <v>ISCOM_PAR</v>
      </c>
      <c r="B1172" t="str">
        <f>IF(PNL!B1172="","",PNL!B1172)</f>
        <v>604</v>
      </c>
      <c r="C1172" t="str">
        <f>IF(PNL!C1172="","",PNL!C1172)</f>
        <v>2027</v>
      </c>
      <c r="D1172" t="str">
        <f>IF(PNL!D1172="","",PNL!D1172)</f>
        <v>V02</v>
      </c>
      <c r="E1172">
        <f t="shared" si="0"/>
        <v>1</v>
      </c>
      <c r="F1172">
        <f>IF($A1172="","",IF($E1172=1,_xlfn.SUMIFS(Compta!$F$1:$F$1448,Compta!$A$1:$A$1448,$A1172,Compta!$B$1:$B$1448,$B1172,Compta!$C$1:$C$1448,"2026"),0))</f>
        <v>79033</v>
      </c>
      <c r="G1172" t="s">
        <v>274</v>
      </c>
      <c r="H1172" t="s">
        <v>274</v>
      </c>
      <c r="I1172" t="s">
        <v>274</v>
      </c>
      <c r="J1172" t="s">
        <v>274</v>
      </c>
      <c r="K1172" t="s">
        <v>274</v>
      </c>
      <c r="L1172" t="s">
        <v>274</v>
      </c>
      <c r="M1172" t="s">
        <v>274</v>
      </c>
      <c r="N1172" t="e">
        <f t="shared" si="1"/>
        <v>#VALUE!</v>
      </c>
      <c r="O1172" t="e">
        <f t="shared" si="2"/>
        <v>#VALUE!</v>
      </c>
      <c r="P1172" t="e">
        <f>IF($A1172="","",IF($E1172=1,$F1172*$O1172,PNL!G1172))</f>
        <v>#VALUE!</v>
      </c>
      <c r="T1172" t="e">
        <f t="shared" si="3"/>
        <v>#VALUE!</v>
      </c>
    </row>
    <row r="1173" ht="14.25" customHeight="1">
      <c r="A1173" t="str">
        <f>IF(PNL!A1173="","",PNL!A1173)</f>
        <v>ISCOM_PAR</v>
      </c>
      <c r="B1173" t="str">
        <f>IF(PNL!B1173="","",PNL!B1173)</f>
        <v>604</v>
      </c>
      <c r="C1173" t="str">
        <f>IF(PNL!C1173="","",PNL!C1173)</f>
        <v>2027</v>
      </c>
      <c r="D1173" t="str">
        <f>IF(PNL!D1173="","",PNL!D1173)</f>
        <v>V03</v>
      </c>
      <c r="E1173">
        <f t="shared" si="0"/>
        <v>1</v>
      </c>
      <c r="F1173">
        <f>IF($A1173="","",IF($E1173=1,_xlfn.SUMIFS(Compta!$F$1:$F$1448,Compta!$A$1:$A$1448,$A1173,Compta!$B$1:$B$1448,$B1173,Compta!$C$1:$C$1448,"2026"),0))</f>
        <v>79033</v>
      </c>
      <c r="G1173" t="s">
        <v>274</v>
      </c>
      <c r="H1173" t="s">
        <v>274</v>
      </c>
      <c r="I1173" t="s">
        <v>274</v>
      </c>
      <c r="J1173" t="s">
        <v>274</v>
      </c>
      <c r="K1173" t="s">
        <v>274</v>
      </c>
      <c r="L1173" t="s">
        <v>274</v>
      </c>
      <c r="M1173" t="s">
        <v>274</v>
      </c>
      <c r="N1173" t="e">
        <f t="shared" si="1"/>
        <v>#VALUE!</v>
      </c>
      <c r="O1173" t="e">
        <f t="shared" si="2"/>
        <v>#VALUE!</v>
      </c>
      <c r="P1173" t="e">
        <f>IF($A1173="","",IF($E1173=1,$F1173*$O1173,PNL!G1173))</f>
        <v>#VALUE!</v>
      </c>
      <c r="T1173" t="e">
        <f t="shared" si="3"/>
        <v>#VALUE!</v>
      </c>
    </row>
    <row r="1174" ht="14.25" customHeight="1">
      <c r="A1174" t="str">
        <f>IF(PNL!A1174="","",PNL!A1174)</f>
        <v>ISCOM_LIL</v>
      </c>
      <c r="B1174" t="str">
        <f>IF(PNL!B1174="","",PNL!B1174)</f>
        <v>604</v>
      </c>
      <c r="C1174" t="str">
        <f>IF(PNL!C1174="","",PNL!C1174)</f>
        <v>2027</v>
      </c>
      <c r="D1174" t="str">
        <f>IF(PNL!D1174="","",PNL!D1174)</f>
        <v>V01</v>
      </c>
      <c r="E1174">
        <f t="shared" si="0"/>
        <v>1</v>
      </c>
      <c r="F1174">
        <f>IF($A1174="","",IF($E1174=1,_xlfn.SUMIFS(Compta!$F$1:$F$1448,Compta!$A$1:$A$1448,$A1174,Compta!$B$1:$B$1448,$B1174,Compta!$C$1:$C$1448,"2026"),0))</f>
        <v>54475</v>
      </c>
      <c r="G1174" t="s">
        <v>274</v>
      </c>
      <c r="H1174" t="s">
        <v>274</v>
      </c>
      <c r="I1174" t="s">
        <v>274</v>
      </c>
      <c r="J1174" t="s">
        <v>274</v>
      </c>
      <c r="K1174" t="s">
        <v>274</v>
      </c>
      <c r="L1174" t="s">
        <v>274</v>
      </c>
      <c r="M1174" t="s">
        <v>274</v>
      </c>
      <c r="N1174" t="e">
        <f t="shared" si="1"/>
        <v>#VALUE!</v>
      </c>
      <c r="O1174" t="e">
        <f t="shared" si="2"/>
        <v>#VALUE!</v>
      </c>
      <c r="P1174" t="e">
        <f>IF($A1174="","",IF($E1174=1,$F1174*$O1174,PNL!G1174))</f>
        <v>#VALUE!</v>
      </c>
      <c r="T1174" t="e">
        <f t="shared" si="3"/>
        <v>#VALUE!</v>
      </c>
    </row>
    <row r="1175" ht="14.25" customHeight="1">
      <c r="A1175" t="str">
        <f>IF(PNL!A1175="","",PNL!A1175)</f>
        <v>ISCOM_LIL</v>
      </c>
      <c r="B1175" t="str">
        <f>IF(PNL!B1175="","",PNL!B1175)</f>
        <v>604</v>
      </c>
      <c r="C1175" t="str">
        <f>IF(PNL!C1175="","",PNL!C1175)</f>
        <v>2027</v>
      </c>
      <c r="D1175" t="str">
        <f>IF(PNL!D1175="","",PNL!D1175)</f>
        <v>V02</v>
      </c>
      <c r="E1175">
        <f t="shared" si="0"/>
        <v>1</v>
      </c>
      <c r="F1175">
        <f>IF($A1175="","",IF($E1175=1,_xlfn.SUMIFS(Compta!$F$1:$F$1448,Compta!$A$1:$A$1448,$A1175,Compta!$B$1:$B$1448,$B1175,Compta!$C$1:$C$1448,"2026"),0))</f>
        <v>54475</v>
      </c>
      <c r="G1175" t="s">
        <v>274</v>
      </c>
      <c r="H1175" t="s">
        <v>274</v>
      </c>
      <c r="I1175" t="s">
        <v>274</v>
      </c>
      <c r="J1175" t="s">
        <v>274</v>
      </c>
      <c r="K1175" t="s">
        <v>274</v>
      </c>
      <c r="L1175" t="s">
        <v>274</v>
      </c>
      <c r="M1175" t="s">
        <v>274</v>
      </c>
      <c r="N1175" t="e">
        <f t="shared" si="1"/>
        <v>#VALUE!</v>
      </c>
      <c r="O1175" t="e">
        <f t="shared" si="2"/>
        <v>#VALUE!</v>
      </c>
      <c r="P1175" t="e">
        <f>IF($A1175="","",IF($E1175=1,$F1175*$O1175,PNL!G1175))</f>
        <v>#VALUE!</v>
      </c>
      <c r="T1175" t="e">
        <f t="shared" si="3"/>
        <v>#VALUE!</v>
      </c>
    </row>
    <row r="1176" ht="14.25" customHeight="1">
      <c r="A1176" t="str">
        <f>IF(PNL!A1176="","",PNL!A1176)</f>
        <v>ISCOM_LIL</v>
      </c>
      <c r="B1176" t="str">
        <f>IF(PNL!B1176="","",PNL!B1176)</f>
        <v>604</v>
      </c>
      <c r="C1176" t="str">
        <f>IF(PNL!C1176="","",PNL!C1176)</f>
        <v>2027</v>
      </c>
      <c r="D1176" t="str">
        <f>IF(PNL!D1176="","",PNL!D1176)</f>
        <v>V03</v>
      </c>
      <c r="E1176">
        <f t="shared" si="0"/>
        <v>1</v>
      </c>
      <c r="F1176">
        <f>IF($A1176="","",IF($E1176=1,_xlfn.SUMIFS(Compta!$F$1:$F$1448,Compta!$A$1:$A$1448,$A1176,Compta!$B$1:$B$1448,$B1176,Compta!$C$1:$C$1448,"2026"),0))</f>
        <v>54475</v>
      </c>
      <c r="G1176" t="s">
        <v>274</v>
      </c>
      <c r="H1176" t="s">
        <v>274</v>
      </c>
      <c r="I1176" t="s">
        <v>274</v>
      </c>
      <c r="J1176" t="s">
        <v>274</v>
      </c>
      <c r="K1176" t="s">
        <v>274</v>
      </c>
      <c r="L1176" t="s">
        <v>274</v>
      </c>
      <c r="M1176" t="s">
        <v>274</v>
      </c>
      <c r="N1176" t="e">
        <f t="shared" si="1"/>
        <v>#VALUE!</v>
      </c>
      <c r="O1176" t="e">
        <f t="shared" si="2"/>
        <v>#VALUE!</v>
      </c>
      <c r="P1176" t="e">
        <f>IF($A1176="","",IF($E1176=1,$F1176*$O1176,PNL!G1176))</f>
        <v>#VALUE!</v>
      </c>
      <c r="T1176" t="e">
        <f t="shared" si="3"/>
        <v>#VALUE!</v>
      </c>
    </row>
    <row r="1177" ht="14.25" customHeight="1">
      <c r="A1177" t="str">
        <f>IF(PNL!A1177="","",PNL!A1177)</f>
        <v>ISCOM_TLS</v>
      </c>
      <c r="B1177" t="str">
        <f>IF(PNL!B1177="","",PNL!B1177)</f>
        <v>604</v>
      </c>
      <c r="C1177" t="str">
        <f>IF(PNL!C1177="","",PNL!C1177)</f>
        <v>2027</v>
      </c>
      <c r="D1177" t="str">
        <f>IF(PNL!D1177="","",PNL!D1177)</f>
        <v>V01</v>
      </c>
      <c r="E1177">
        <f t="shared" si="0"/>
        <v>1</v>
      </c>
      <c r="F1177">
        <f>IF($A1177="","",IF($E1177=1,_xlfn.SUMIFS(Compta!$F$1:$F$1448,Compta!$A$1:$A$1448,$A1177,Compta!$B$1:$B$1448,$B1177,Compta!$C$1:$C$1448,"2026"),0))</f>
        <v>51572</v>
      </c>
      <c r="G1177" t="s">
        <v>274</v>
      </c>
      <c r="H1177" t="s">
        <v>274</v>
      </c>
      <c r="I1177" t="s">
        <v>274</v>
      </c>
      <c r="J1177" t="s">
        <v>274</v>
      </c>
      <c r="K1177" t="s">
        <v>274</v>
      </c>
      <c r="L1177" t="s">
        <v>274</v>
      </c>
      <c r="M1177" t="s">
        <v>274</v>
      </c>
      <c r="N1177" t="e">
        <f t="shared" si="1"/>
        <v>#VALUE!</v>
      </c>
      <c r="O1177" t="e">
        <f t="shared" si="2"/>
        <v>#VALUE!</v>
      </c>
      <c r="P1177" t="e">
        <f>IF($A1177="","",IF($E1177=1,$F1177*$O1177,PNL!G1177))</f>
        <v>#VALUE!</v>
      </c>
      <c r="T1177" t="e">
        <f t="shared" si="3"/>
        <v>#VALUE!</v>
      </c>
    </row>
    <row r="1178" ht="14.25" customHeight="1">
      <c r="A1178" t="str">
        <f>IF(PNL!A1178="","",PNL!A1178)</f>
        <v>ISCOM_TLS</v>
      </c>
      <c r="B1178" t="str">
        <f>IF(PNL!B1178="","",PNL!B1178)</f>
        <v>604</v>
      </c>
      <c r="C1178" t="str">
        <f>IF(PNL!C1178="","",PNL!C1178)</f>
        <v>2027</v>
      </c>
      <c r="D1178" t="str">
        <f>IF(PNL!D1178="","",PNL!D1178)</f>
        <v>V02</v>
      </c>
      <c r="E1178">
        <f t="shared" si="0"/>
        <v>1</v>
      </c>
      <c r="F1178">
        <f>IF($A1178="","",IF($E1178=1,_xlfn.SUMIFS(Compta!$F$1:$F$1448,Compta!$A$1:$A$1448,$A1178,Compta!$B$1:$B$1448,$B1178,Compta!$C$1:$C$1448,"2026"),0))</f>
        <v>51572</v>
      </c>
      <c r="G1178" t="s">
        <v>274</v>
      </c>
      <c r="H1178" t="s">
        <v>274</v>
      </c>
      <c r="I1178" t="s">
        <v>274</v>
      </c>
      <c r="J1178" t="s">
        <v>274</v>
      </c>
      <c r="K1178" t="s">
        <v>274</v>
      </c>
      <c r="L1178" t="s">
        <v>274</v>
      </c>
      <c r="M1178" t="s">
        <v>274</v>
      </c>
      <c r="N1178" t="e">
        <f t="shared" si="1"/>
        <v>#VALUE!</v>
      </c>
      <c r="O1178" t="e">
        <f t="shared" si="2"/>
        <v>#VALUE!</v>
      </c>
      <c r="P1178" t="e">
        <f>IF($A1178="","",IF($E1178=1,$F1178*$O1178,PNL!G1178))</f>
        <v>#VALUE!</v>
      </c>
      <c r="T1178" t="e">
        <f t="shared" si="3"/>
        <v>#VALUE!</v>
      </c>
    </row>
    <row r="1179" ht="14.25" customHeight="1">
      <c r="A1179" t="str">
        <f>IF(PNL!A1179="","",PNL!A1179)</f>
        <v>ISCOM_TLS</v>
      </c>
      <c r="B1179" t="str">
        <f>IF(PNL!B1179="","",PNL!B1179)</f>
        <v>604</v>
      </c>
      <c r="C1179" t="str">
        <f>IF(PNL!C1179="","",PNL!C1179)</f>
        <v>2027</v>
      </c>
      <c r="D1179" t="str">
        <f>IF(PNL!D1179="","",PNL!D1179)</f>
        <v>V03</v>
      </c>
      <c r="E1179">
        <f t="shared" si="0"/>
        <v>1</v>
      </c>
      <c r="F1179">
        <f>IF($A1179="","",IF($E1179=1,_xlfn.SUMIFS(Compta!$F$1:$F$1448,Compta!$A$1:$A$1448,$A1179,Compta!$B$1:$B$1448,$B1179,Compta!$C$1:$C$1448,"2026"),0))</f>
        <v>51572</v>
      </c>
      <c r="G1179" t="s">
        <v>274</v>
      </c>
      <c r="H1179" t="s">
        <v>274</v>
      </c>
      <c r="I1179" t="s">
        <v>274</v>
      </c>
      <c r="J1179" t="s">
        <v>274</v>
      </c>
      <c r="K1179" t="s">
        <v>274</v>
      </c>
      <c r="L1179" t="s">
        <v>274</v>
      </c>
      <c r="M1179" t="s">
        <v>274</v>
      </c>
      <c r="N1179" t="e">
        <f t="shared" si="1"/>
        <v>#VALUE!</v>
      </c>
      <c r="O1179" t="e">
        <f t="shared" si="2"/>
        <v>#VALUE!</v>
      </c>
      <c r="P1179" t="e">
        <f>IF($A1179="","",IF($E1179=1,$F1179*$O1179,PNL!G1179))</f>
        <v>#VALUE!</v>
      </c>
      <c r="T1179" t="e">
        <f t="shared" si="3"/>
        <v>#VALUE!</v>
      </c>
    </row>
    <row r="1180" ht="14.25" customHeight="1">
      <c r="A1180" t="str">
        <f>IF(PNL!A1180="","",PNL!A1180)</f>
        <v>IPAC_NAN</v>
      </c>
      <c r="B1180" t="str">
        <f>IF(PNL!B1180="","",PNL!B1180)</f>
        <v>604</v>
      </c>
      <c r="C1180" t="str">
        <f>IF(PNL!C1180="","",PNL!C1180)</f>
        <v>2027</v>
      </c>
      <c r="D1180" t="str">
        <f>IF(PNL!D1180="","",PNL!D1180)</f>
        <v>V01</v>
      </c>
      <c r="E1180">
        <f t="shared" si="0"/>
        <v>1</v>
      </c>
      <c r="F1180">
        <f>IF($A1180="","",IF($E1180=1,_xlfn.SUMIFS(Compta!$F$1:$F$1448,Compta!$A$1:$A$1448,$A1180,Compta!$B$1:$B$1448,$B1180,Compta!$C$1:$C$1448,"2026"),0))</f>
        <v>32372</v>
      </c>
      <c r="G1180" t="s">
        <v>274</v>
      </c>
      <c r="H1180" t="s">
        <v>274</v>
      </c>
      <c r="I1180" t="s">
        <v>274</v>
      </c>
      <c r="J1180" t="s">
        <v>274</v>
      </c>
      <c r="K1180" t="s">
        <v>274</v>
      </c>
      <c r="L1180" t="s">
        <v>274</v>
      </c>
      <c r="M1180" t="s">
        <v>274</v>
      </c>
      <c r="N1180" t="e">
        <f t="shared" si="1"/>
        <v>#VALUE!</v>
      </c>
      <c r="O1180" t="e">
        <f t="shared" si="2"/>
        <v>#VALUE!</v>
      </c>
      <c r="P1180" t="e">
        <f>IF($A1180="","",IF($E1180=1,$F1180*$O1180,PNL!G1180))</f>
        <v>#VALUE!</v>
      </c>
      <c r="T1180" t="e">
        <f t="shared" si="3"/>
        <v>#VALUE!</v>
      </c>
    </row>
    <row r="1181" ht="14.25" customHeight="1">
      <c r="A1181" t="str">
        <f>IF(PNL!A1181="","",PNL!A1181)</f>
        <v>IPAC_NAN</v>
      </c>
      <c r="B1181" t="str">
        <f>IF(PNL!B1181="","",PNL!B1181)</f>
        <v>604</v>
      </c>
      <c r="C1181" t="str">
        <f>IF(PNL!C1181="","",PNL!C1181)</f>
        <v>2027</v>
      </c>
      <c r="D1181" t="str">
        <f>IF(PNL!D1181="","",PNL!D1181)</f>
        <v>V02</v>
      </c>
      <c r="E1181">
        <f t="shared" si="0"/>
        <v>1</v>
      </c>
      <c r="F1181">
        <f>IF($A1181="","",IF($E1181=1,_xlfn.SUMIFS(Compta!$F$1:$F$1448,Compta!$A$1:$A$1448,$A1181,Compta!$B$1:$B$1448,$B1181,Compta!$C$1:$C$1448,"2026"),0))</f>
        <v>32372</v>
      </c>
      <c r="G1181" t="s">
        <v>274</v>
      </c>
      <c r="H1181" t="s">
        <v>274</v>
      </c>
      <c r="I1181" t="s">
        <v>274</v>
      </c>
      <c r="J1181" t="s">
        <v>274</v>
      </c>
      <c r="K1181" t="s">
        <v>274</v>
      </c>
      <c r="L1181" t="s">
        <v>274</v>
      </c>
      <c r="M1181" t="s">
        <v>274</v>
      </c>
      <c r="N1181" t="e">
        <f t="shared" si="1"/>
        <v>#VALUE!</v>
      </c>
      <c r="O1181" t="e">
        <f t="shared" si="2"/>
        <v>#VALUE!</v>
      </c>
      <c r="P1181" t="e">
        <f>IF($A1181="","",IF($E1181=1,$F1181*$O1181,PNL!G1181))</f>
        <v>#VALUE!</v>
      </c>
      <c r="T1181" t="e">
        <f t="shared" si="3"/>
        <v>#VALUE!</v>
      </c>
    </row>
    <row r="1182" ht="14.25" customHeight="1">
      <c r="A1182" t="str">
        <f>IF(PNL!A1182="","",PNL!A1182)</f>
        <v>IPAC_NAN</v>
      </c>
      <c r="B1182" t="str">
        <f>IF(PNL!B1182="","",PNL!B1182)</f>
        <v>604</v>
      </c>
      <c r="C1182" t="str">
        <f>IF(PNL!C1182="","",PNL!C1182)</f>
        <v>2027</v>
      </c>
      <c r="D1182" t="str">
        <f>IF(PNL!D1182="","",PNL!D1182)</f>
        <v>V03</v>
      </c>
      <c r="E1182">
        <f t="shared" si="0"/>
        <v>1</v>
      </c>
      <c r="F1182">
        <f>IF($A1182="","",IF($E1182=1,_xlfn.SUMIFS(Compta!$F$1:$F$1448,Compta!$A$1:$A$1448,$A1182,Compta!$B$1:$B$1448,$B1182,Compta!$C$1:$C$1448,"2026"),0))</f>
        <v>32372</v>
      </c>
      <c r="G1182" t="s">
        <v>274</v>
      </c>
      <c r="H1182" t="s">
        <v>274</v>
      </c>
      <c r="I1182" t="s">
        <v>274</v>
      </c>
      <c r="J1182" t="s">
        <v>274</v>
      </c>
      <c r="K1182" t="s">
        <v>274</v>
      </c>
      <c r="L1182" t="s">
        <v>274</v>
      </c>
      <c r="M1182" t="s">
        <v>274</v>
      </c>
      <c r="N1182" t="e">
        <f t="shared" si="1"/>
        <v>#VALUE!</v>
      </c>
      <c r="O1182" t="e">
        <f t="shared" si="2"/>
        <v>#VALUE!</v>
      </c>
      <c r="P1182" t="e">
        <f>IF($A1182="","",IF($E1182=1,$F1182*$O1182,PNL!G1182))</f>
        <v>#VALUE!</v>
      </c>
      <c r="T1182" t="e">
        <f t="shared" si="3"/>
        <v>#VALUE!</v>
      </c>
    </row>
    <row r="1183" ht="14.25" customHeight="1">
      <c r="A1183" t="str">
        <f>IF(PNL!A1183="","",PNL!A1183)</f>
        <v>IPAC_REN</v>
      </c>
      <c r="B1183" t="str">
        <f>IF(PNL!B1183="","",PNL!B1183)</f>
        <v>604</v>
      </c>
      <c r="C1183" t="str">
        <f>IF(PNL!C1183="","",PNL!C1183)</f>
        <v>2027</v>
      </c>
      <c r="D1183" t="str">
        <f>IF(PNL!D1183="","",PNL!D1183)</f>
        <v>V01</v>
      </c>
      <c r="E1183">
        <f t="shared" si="0"/>
        <v>1</v>
      </c>
      <c r="F1183">
        <f>IF($A1183="","",IF($E1183=1,_xlfn.SUMIFS(Compta!$F$1:$F$1448,Compta!$A$1:$A$1448,$A1183,Compta!$B$1:$B$1448,$B1183,Compta!$C$1:$C$1448,"2026"),0))</f>
        <v>26121</v>
      </c>
      <c r="G1183" t="s">
        <v>274</v>
      </c>
      <c r="H1183" t="s">
        <v>274</v>
      </c>
      <c r="I1183" t="s">
        <v>274</v>
      </c>
      <c r="J1183" t="s">
        <v>274</v>
      </c>
      <c r="K1183" t="s">
        <v>274</v>
      </c>
      <c r="L1183" t="s">
        <v>274</v>
      </c>
      <c r="M1183" t="s">
        <v>274</v>
      </c>
      <c r="N1183" t="e">
        <f t="shared" si="1"/>
        <v>#VALUE!</v>
      </c>
      <c r="O1183" t="e">
        <f t="shared" si="2"/>
        <v>#VALUE!</v>
      </c>
      <c r="P1183" t="e">
        <f>IF($A1183="","",IF($E1183=1,$F1183*$O1183,PNL!G1183))</f>
        <v>#VALUE!</v>
      </c>
      <c r="T1183" t="e">
        <f t="shared" si="3"/>
        <v>#VALUE!</v>
      </c>
    </row>
    <row r="1184" ht="14.25" customHeight="1">
      <c r="A1184" t="str">
        <f>IF(PNL!A1184="","",PNL!A1184)</f>
        <v>IPAC_REN</v>
      </c>
      <c r="B1184" t="str">
        <f>IF(PNL!B1184="","",PNL!B1184)</f>
        <v>604</v>
      </c>
      <c r="C1184" t="str">
        <f>IF(PNL!C1184="","",PNL!C1184)</f>
        <v>2027</v>
      </c>
      <c r="D1184" t="str">
        <f>IF(PNL!D1184="","",PNL!D1184)</f>
        <v>V02</v>
      </c>
      <c r="E1184">
        <f t="shared" si="0"/>
        <v>1</v>
      </c>
      <c r="F1184">
        <f>IF($A1184="","",IF($E1184=1,_xlfn.SUMIFS(Compta!$F$1:$F$1448,Compta!$A$1:$A$1448,$A1184,Compta!$B$1:$B$1448,$B1184,Compta!$C$1:$C$1448,"2026"),0))</f>
        <v>26121</v>
      </c>
      <c r="G1184" t="s">
        <v>274</v>
      </c>
      <c r="H1184" t="s">
        <v>274</v>
      </c>
      <c r="I1184" t="s">
        <v>274</v>
      </c>
      <c r="J1184" t="s">
        <v>274</v>
      </c>
      <c r="K1184" t="s">
        <v>274</v>
      </c>
      <c r="L1184" t="s">
        <v>274</v>
      </c>
      <c r="M1184" t="s">
        <v>274</v>
      </c>
      <c r="N1184" t="e">
        <f t="shared" si="1"/>
        <v>#VALUE!</v>
      </c>
      <c r="O1184" t="e">
        <f t="shared" si="2"/>
        <v>#VALUE!</v>
      </c>
      <c r="P1184" t="e">
        <f>IF($A1184="","",IF($E1184=1,$F1184*$O1184,PNL!G1184))</f>
        <v>#VALUE!</v>
      </c>
      <c r="T1184" t="e">
        <f t="shared" si="3"/>
        <v>#VALUE!</v>
      </c>
    </row>
    <row r="1185" ht="14.25" customHeight="1">
      <c r="A1185" t="str">
        <f>IF(PNL!A1185="","",PNL!A1185)</f>
        <v>IPAC_REN</v>
      </c>
      <c r="B1185" t="str">
        <f>IF(PNL!B1185="","",PNL!B1185)</f>
        <v>604</v>
      </c>
      <c r="C1185" t="str">
        <f>IF(PNL!C1185="","",PNL!C1185)</f>
        <v>2027</v>
      </c>
      <c r="D1185" t="str">
        <f>IF(PNL!D1185="","",PNL!D1185)</f>
        <v>V03</v>
      </c>
      <c r="E1185">
        <f t="shared" si="0"/>
        <v>1</v>
      </c>
      <c r="F1185">
        <f>IF($A1185="","",IF($E1185=1,_xlfn.SUMIFS(Compta!$F$1:$F$1448,Compta!$A$1:$A$1448,$A1185,Compta!$B$1:$B$1448,$B1185,Compta!$C$1:$C$1448,"2026"),0))</f>
        <v>26121</v>
      </c>
      <c r="G1185" t="s">
        <v>274</v>
      </c>
      <c r="H1185" t="s">
        <v>274</v>
      </c>
      <c r="I1185" t="s">
        <v>274</v>
      </c>
      <c r="J1185" t="s">
        <v>274</v>
      </c>
      <c r="K1185" t="s">
        <v>274</v>
      </c>
      <c r="L1185" t="s">
        <v>274</v>
      </c>
      <c r="M1185" t="s">
        <v>274</v>
      </c>
      <c r="N1185" t="e">
        <f t="shared" si="1"/>
        <v>#VALUE!</v>
      </c>
      <c r="O1185" t="e">
        <f t="shared" si="2"/>
        <v>#VALUE!</v>
      </c>
      <c r="P1185" t="e">
        <f>IF($A1185="","",IF($E1185=1,$F1185*$O1185,PNL!G1185))</f>
        <v>#VALUE!</v>
      </c>
      <c r="T1185" t="e">
        <f t="shared" si="3"/>
        <v>#VALUE!</v>
      </c>
    </row>
    <row r="1186" ht="14.25" customHeight="1">
      <c r="A1186" t="str">
        <f>IF(PNL!A1186="","",PNL!A1186)</f>
        <v>IPAC_MTP</v>
      </c>
      <c r="B1186" t="str">
        <f>IF(PNL!B1186="","",PNL!B1186)</f>
        <v>604</v>
      </c>
      <c r="C1186" t="str">
        <f>IF(PNL!C1186="","",PNL!C1186)</f>
        <v>2027</v>
      </c>
      <c r="D1186" t="str">
        <f>IF(PNL!D1186="","",PNL!D1186)</f>
        <v>V01</v>
      </c>
      <c r="E1186">
        <f t="shared" si="0"/>
        <v>1</v>
      </c>
      <c r="F1186">
        <f>IF($A1186="","",IF($E1186=1,_xlfn.SUMIFS(Compta!$F$1:$F$1448,Compta!$A$1:$A$1448,$A1186,Compta!$B$1:$B$1448,$B1186,Compta!$C$1:$C$1448,"2026"),0))</f>
        <v>26121</v>
      </c>
      <c r="G1186" t="s">
        <v>274</v>
      </c>
      <c r="H1186" t="s">
        <v>274</v>
      </c>
      <c r="I1186" t="s">
        <v>274</v>
      </c>
      <c r="J1186" t="s">
        <v>274</v>
      </c>
      <c r="K1186" t="s">
        <v>274</v>
      </c>
      <c r="L1186" t="s">
        <v>274</v>
      </c>
      <c r="M1186" t="s">
        <v>274</v>
      </c>
      <c r="N1186" t="e">
        <f t="shared" si="1"/>
        <v>#VALUE!</v>
      </c>
      <c r="O1186" t="e">
        <f t="shared" si="2"/>
        <v>#VALUE!</v>
      </c>
      <c r="P1186" t="e">
        <f>IF($A1186="","",IF($E1186=1,$F1186*$O1186,PNL!G1186))</f>
        <v>#VALUE!</v>
      </c>
      <c r="T1186" t="e">
        <f t="shared" si="3"/>
        <v>#VALUE!</v>
      </c>
    </row>
    <row r="1187" ht="14.25" customHeight="1">
      <c r="A1187" t="str">
        <f>IF(PNL!A1187="","",PNL!A1187)</f>
        <v>IPAC_MTP</v>
      </c>
      <c r="B1187" t="str">
        <f>IF(PNL!B1187="","",PNL!B1187)</f>
        <v>604</v>
      </c>
      <c r="C1187" t="str">
        <f>IF(PNL!C1187="","",PNL!C1187)</f>
        <v>2027</v>
      </c>
      <c r="D1187" t="str">
        <f>IF(PNL!D1187="","",PNL!D1187)</f>
        <v>V02</v>
      </c>
      <c r="E1187">
        <f t="shared" si="0"/>
        <v>1</v>
      </c>
      <c r="F1187">
        <f>IF($A1187="","",IF($E1187=1,_xlfn.SUMIFS(Compta!$F$1:$F$1448,Compta!$A$1:$A$1448,$A1187,Compta!$B$1:$B$1448,$B1187,Compta!$C$1:$C$1448,"2026"),0))</f>
        <v>26121</v>
      </c>
      <c r="G1187" t="s">
        <v>274</v>
      </c>
      <c r="H1187" t="s">
        <v>274</v>
      </c>
      <c r="I1187" t="s">
        <v>274</v>
      </c>
      <c r="J1187" t="s">
        <v>274</v>
      </c>
      <c r="K1187" t="s">
        <v>274</v>
      </c>
      <c r="L1187" t="s">
        <v>274</v>
      </c>
      <c r="M1187" t="s">
        <v>274</v>
      </c>
      <c r="N1187" t="e">
        <f t="shared" si="1"/>
        <v>#VALUE!</v>
      </c>
      <c r="O1187" t="e">
        <f t="shared" si="2"/>
        <v>#VALUE!</v>
      </c>
      <c r="P1187" t="e">
        <f>IF($A1187="","",IF($E1187=1,$F1187*$O1187,PNL!G1187))</f>
        <v>#VALUE!</v>
      </c>
      <c r="T1187" t="e">
        <f t="shared" si="3"/>
        <v>#VALUE!</v>
      </c>
    </row>
    <row r="1188" ht="14.25" customHeight="1">
      <c r="A1188" t="str">
        <f>IF(PNL!A1188="","",PNL!A1188)</f>
        <v>IPAC_MTP</v>
      </c>
      <c r="B1188" t="str">
        <f>IF(PNL!B1188="","",PNL!B1188)</f>
        <v>604</v>
      </c>
      <c r="C1188" t="str">
        <f>IF(PNL!C1188="","",PNL!C1188)</f>
        <v>2027</v>
      </c>
      <c r="D1188" t="str">
        <f>IF(PNL!D1188="","",PNL!D1188)</f>
        <v>V03</v>
      </c>
      <c r="E1188">
        <f t="shared" si="0"/>
        <v>1</v>
      </c>
      <c r="F1188">
        <f>IF($A1188="","",IF($E1188=1,_xlfn.SUMIFS(Compta!$F$1:$F$1448,Compta!$A$1:$A$1448,$A1188,Compta!$B$1:$B$1448,$B1188,Compta!$C$1:$C$1448,"2026"),0))</f>
        <v>26121</v>
      </c>
      <c r="G1188" t="s">
        <v>274</v>
      </c>
      <c r="H1188" t="s">
        <v>274</v>
      </c>
      <c r="I1188" t="s">
        <v>274</v>
      </c>
      <c r="J1188" t="s">
        <v>274</v>
      </c>
      <c r="K1188" t="s">
        <v>274</v>
      </c>
      <c r="L1188" t="s">
        <v>274</v>
      </c>
      <c r="M1188" t="s">
        <v>274</v>
      </c>
      <c r="N1188" t="e">
        <f t="shared" si="1"/>
        <v>#VALUE!</v>
      </c>
      <c r="O1188" t="e">
        <f t="shared" si="2"/>
        <v>#VALUE!</v>
      </c>
      <c r="P1188" t="e">
        <f>IF($A1188="","",IF($E1188=1,$F1188*$O1188,PNL!G1188))</f>
        <v>#VALUE!</v>
      </c>
      <c r="T1188" t="e">
        <f t="shared" si="3"/>
        <v>#VALUE!</v>
      </c>
    </row>
    <row r="1189" ht="14.25" customHeight="1">
      <c r="A1189" t="str">
        <f>IF(PNL!A1189="","",PNL!A1189)</f>
        <v>PIGIER_LYO</v>
      </c>
      <c r="B1189" t="str">
        <f>IF(PNL!B1189="","",PNL!B1189)</f>
        <v>604</v>
      </c>
      <c r="C1189" t="str">
        <f>IF(PNL!C1189="","",PNL!C1189)</f>
        <v>2027</v>
      </c>
      <c r="D1189" t="str">
        <f>IF(PNL!D1189="","",PNL!D1189)</f>
        <v>V01</v>
      </c>
      <c r="E1189">
        <f t="shared" si="0"/>
        <v>1</v>
      </c>
      <c r="F1189">
        <f>IF($A1189="","",IF($E1189=1,_xlfn.SUMIFS(Compta!$F$1:$F$1448,Compta!$A$1:$A$1448,$A1189,Compta!$B$1:$B$1448,$B1189,Compta!$C$1:$C$1448,"2026"),0))</f>
        <v>40633</v>
      </c>
      <c r="G1189" t="s">
        <v>274</v>
      </c>
      <c r="H1189" t="s">
        <v>274</v>
      </c>
      <c r="I1189" t="s">
        <v>274</v>
      </c>
      <c r="J1189" t="s">
        <v>274</v>
      </c>
      <c r="K1189" t="s">
        <v>274</v>
      </c>
      <c r="L1189" t="s">
        <v>274</v>
      </c>
      <c r="M1189" t="s">
        <v>274</v>
      </c>
      <c r="N1189" t="e">
        <f t="shared" si="1"/>
        <v>#VALUE!</v>
      </c>
      <c r="O1189" t="e">
        <f t="shared" si="2"/>
        <v>#VALUE!</v>
      </c>
      <c r="P1189" t="e">
        <f>IF($A1189="","",IF($E1189=1,$F1189*$O1189,PNL!G1189))</f>
        <v>#VALUE!</v>
      </c>
      <c r="T1189" t="e">
        <f t="shared" si="3"/>
        <v>#VALUE!</v>
      </c>
    </row>
    <row r="1190" ht="14.25" customHeight="1">
      <c r="A1190" t="str">
        <f>IF(PNL!A1190="","",PNL!A1190)</f>
        <v>PIGIER_LYO</v>
      </c>
      <c r="B1190" t="str">
        <f>IF(PNL!B1190="","",PNL!B1190)</f>
        <v>604</v>
      </c>
      <c r="C1190" t="str">
        <f>IF(PNL!C1190="","",PNL!C1190)</f>
        <v>2027</v>
      </c>
      <c r="D1190" t="str">
        <f>IF(PNL!D1190="","",PNL!D1190)</f>
        <v>V02</v>
      </c>
      <c r="E1190">
        <f t="shared" si="0"/>
        <v>1</v>
      </c>
      <c r="F1190">
        <f>IF($A1190="","",IF($E1190=1,_xlfn.SUMIFS(Compta!$F$1:$F$1448,Compta!$A$1:$A$1448,$A1190,Compta!$B$1:$B$1448,$B1190,Compta!$C$1:$C$1448,"2026"),0))</f>
        <v>40633</v>
      </c>
      <c r="G1190" t="s">
        <v>274</v>
      </c>
      <c r="H1190" t="s">
        <v>274</v>
      </c>
      <c r="I1190" t="s">
        <v>274</v>
      </c>
      <c r="J1190" t="s">
        <v>274</v>
      </c>
      <c r="K1190" t="s">
        <v>274</v>
      </c>
      <c r="L1190" t="s">
        <v>274</v>
      </c>
      <c r="M1190" t="s">
        <v>274</v>
      </c>
      <c r="N1190" t="e">
        <f t="shared" si="1"/>
        <v>#VALUE!</v>
      </c>
      <c r="O1190" t="e">
        <f t="shared" si="2"/>
        <v>#VALUE!</v>
      </c>
      <c r="P1190" t="e">
        <f>IF($A1190="","",IF($E1190=1,$F1190*$O1190,PNL!G1190))</f>
        <v>#VALUE!</v>
      </c>
      <c r="T1190" t="e">
        <f t="shared" si="3"/>
        <v>#VALUE!</v>
      </c>
    </row>
    <row r="1191" ht="14.25" customHeight="1">
      <c r="A1191" t="str">
        <f>IF(PNL!A1191="","",PNL!A1191)</f>
        <v>PIGIER_LYO</v>
      </c>
      <c r="B1191" t="str">
        <f>IF(PNL!B1191="","",PNL!B1191)</f>
        <v>604</v>
      </c>
      <c r="C1191" t="str">
        <f>IF(PNL!C1191="","",PNL!C1191)</f>
        <v>2027</v>
      </c>
      <c r="D1191" t="str">
        <f>IF(PNL!D1191="","",PNL!D1191)</f>
        <v>V03</v>
      </c>
      <c r="E1191">
        <f t="shared" si="0"/>
        <v>1</v>
      </c>
      <c r="F1191">
        <f>IF($A1191="","",IF($E1191=1,_xlfn.SUMIFS(Compta!$F$1:$F$1448,Compta!$A$1:$A$1448,$A1191,Compta!$B$1:$B$1448,$B1191,Compta!$C$1:$C$1448,"2026"),0))</f>
        <v>40633</v>
      </c>
      <c r="G1191" t="s">
        <v>274</v>
      </c>
      <c r="H1191" t="s">
        <v>274</v>
      </c>
      <c r="I1191" t="s">
        <v>274</v>
      </c>
      <c r="J1191" t="s">
        <v>274</v>
      </c>
      <c r="K1191" t="s">
        <v>274</v>
      </c>
      <c r="L1191" t="s">
        <v>274</v>
      </c>
      <c r="M1191" t="s">
        <v>274</v>
      </c>
      <c r="N1191" t="e">
        <f t="shared" si="1"/>
        <v>#VALUE!</v>
      </c>
      <c r="O1191" t="e">
        <f t="shared" si="2"/>
        <v>#VALUE!</v>
      </c>
      <c r="P1191" t="e">
        <f>IF($A1191="","",IF($E1191=1,$F1191*$O1191,PNL!G1191))</f>
        <v>#VALUE!</v>
      </c>
      <c r="T1191" t="e">
        <f t="shared" si="3"/>
        <v>#VALUE!</v>
      </c>
    </row>
    <row r="1192" ht="14.25" customHeight="1">
      <c r="A1192" t="str">
        <f>IF(PNL!A1192="","",PNL!A1192)</f>
        <v>PIGIER_BOR</v>
      </c>
      <c r="B1192" t="str">
        <f>IF(PNL!B1192="","",PNL!B1192)</f>
        <v>604</v>
      </c>
      <c r="C1192" t="str">
        <f>IF(PNL!C1192="","",PNL!C1192)</f>
        <v>2027</v>
      </c>
      <c r="D1192" t="str">
        <f>IF(PNL!D1192="","",PNL!D1192)</f>
        <v>V01</v>
      </c>
      <c r="E1192">
        <f t="shared" si="0"/>
        <v>1</v>
      </c>
      <c r="F1192">
        <f>IF($A1192="","",IF($E1192=1,_xlfn.SUMIFS(Compta!$F$1:$F$1448,Compta!$A$1:$A$1448,$A1192,Compta!$B$1:$B$1448,$B1192,Compta!$C$1:$C$1448,"2026"),0))</f>
        <v>31703</v>
      </c>
      <c r="G1192" t="s">
        <v>274</v>
      </c>
      <c r="H1192" t="s">
        <v>274</v>
      </c>
      <c r="I1192" t="s">
        <v>274</v>
      </c>
      <c r="J1192" t="s">
        <v>274</v>
      </c>
      <c r="K1192" t="s">
        <v>274</v>
      </c>
      <c r="L1192" t="s">
        <v>274</v>
      </c>
      <c r="M1192" t="s">
        <v>274</v>
      </c>
      <c r="N1192" t="e">
        <f t="shared" si="1"/>
        <v>#VALUE!</v>
      </c>
      <c r="O1192" t="e">
        <f t="shared" si="2"/>
        <v>#VALUE!</v>
      </c>
      <c r="P1192" t="e">
        <f>IF($A1192="","",IF($E1192=1,$F1192*$O1192,PNL!G1192))</f>
        <v>#VALUE!</v>
      </c>
      <c r="T1192" t="e">
        <f t="shared" si="3"/>
        <v>#VALUE!</v>
      </c>
    </row>
    <row r="1193" ht="14.25" customHeight="1">
      <c r="A1193" t="str">
        <f>IF(PNL!A1193="","",PNL!A1193)</f>
        <v>PIGIER_BOR</v>
      </c>
      <c r="B1193" t="str">
        <f>IF(PNL!B1193="","",PNL!B1193)</f>
        <v>604</v>
      </c>
      <c r="C1193" t="str">
        <f>IF(PNL!C1193="","",PNL!C1193)</f>
        <v>2027</v>
      </c>
      <c r="D1193" t="str">
        <f>IF(PNL!D1193="","",PNL!D1193)</f>
        <v>V02</v>
      </c>
      <c r="E1193">
        <f t="shared" si="0"/>
        <v>1</v>
      </c>
      <c r="F1193">
        <f>IF($A1193="","",IF($E1193=1,_xlfn.SUMIFS(Compta!$F$1:$F$1448,Compta!$A$1:$A$1448,$A1193,Compta!$B$1:$B$1448,$B1193,Compta!$C$1:$C$1448,"2026"),0))</f>
        <v>31703</v>
      </c>
      <c r="G1193" t="s">
        <v>274</v>
      </c>
      <c r="H1193" t="s">
        <v>274</v>
      </c>
      <c r="I1193" t="s">
        <v>274</v>
      </c>
      <c r="J1193" t="s">
        <v>274</v>
      </c>
      <c r="K1193" t="s">
        <v>274</v>
      </c>
      <c r="L1193" t="s">
        <v>274</v>
      </c>
      <c r="M1193" t="s">
        <v>274</v>
      </c>
      <c r="N1193" t="e">
        <f t="shared" si="1"/>
        <v>#VALUE!</v>
      </c>
      <c r="O1193" t="e">
        <f t="shared" si="2"/>
        <v>#VALUE!</v>
      </c>
      <c r="P1193" t="e">
        <f>IF($A1193="","",IF($E1193=1,$F1193*$O1193,PNL!G1193))</f>
        <v>#VALUE!</v>
      </c>
      <c r="T1193" t="e">
        <f t="shared" si="3"/>
        <v>#VALUE!</v>
      </c>
    </row>
    <row r="1194" ht="14.25" customHeight="1">
      <c r="A1194" t="str">
        <f>IF(PNL!A1194="","",PNL!A1194)</f>
        <v>PIGIER_BOR</v>
      </c>
      <c r="B1194" t="str">
        <f>IF(PNL!B1194="","",PNL!B1194)</f>
        <v>604</v>
      </c>
      <c r="C1194" t="str">
        <f>IF(PNL!C1194="","",PNL!C1194)</f>
        <v>2027</v>
      </c>
      <c r="D1194" t="str">
        <f>IF(PNL!D1194="","",PNL!D1194)</f>
        <v>V03</v>
      </c>
      <c r="E1194">
        <f t="shared" si="0"/>
        <v>1</v>
      </c>
      <c r="F1194">
        <f>IF($A1194="","",IF($E1194=1,_xlfn.SUMIFS(Compta!$F$1:$F$1448,Compta!$A$1:$A$1448,$A1194,Compta!$B$1:$B$1448,$B1194,Compta!$C$1:$C$1448,"2026"),0))</f>
        <v>31703</v>
      </c>
      <c r="G1194" t="s">
        <v>274</v>
      </c>
      <c r="H1194" t="s">
        <v>274</v>
      </c>
      <c r="I1194" t="s">
        <v>274</v>
      </c>
      <c r="J1194" t="s">
        <v>274</v>
      </c>
      <c r="K1194" t="s">
        <v>274</v>
      </c>
      <c r="L1194" t="s">
        <v>274</v>
      </c>
      <c r="M1194" t="s">
        <v>274</v>
      </c>
      <c r="N1194" t="e">
        <f t="shared" si="1"/>
        <v>#VALUE!</v>
      </c>
      <c r="O1194" t="e">
        <f t="shared" si="2"/>
        <v>#VALUE!</v>
      </c>
      <c r="P1194" t="e">
        <f>IF($A1194="","",IF($E1194=1,$F1194*$O1194,PNL!G1194))</f>
        <v>#VALUE!</v>
      </c>
      <c r="T1194" t="e">
        <f t="shared" si="3"/>
        <v>#VALUE!</v>
      </c>
    </row>
    <row r="1195" ht="14.25" customHeight="1">
      <c r="A1195" t="str">
        <f>IF(PNL!A1195="","",PNL!A1195)</f>
        <v>TUNON_PAR</v>
      </c>
      <c r="B1195" t="str">
        <f>IF(PNL!B1195="","",PNL!B1195)</f>
        <v>604</v>
      </c>
      <c r="C1195" t="str">
        <f>IF(PNL!C1195="","",PNL!C1195)</f>
        <v>2027</v>
      </c>
      <c r="D1195" t="str">
        <f>IF(PNL!D1195="","",PNL!D1195)</f>
        <v>V01</v>
      </c>
      <c r="E1195">
        <f t="shared" si="0"/>
        <v>1</v>
      </c>
      <c r="F1195">
        <f>IF($A1195="","",IF($E1195=1,_xlfn.SUMIFS(Compta!$F$1:$F$1448,Compta!$A$1:$A$1448,$A1195,Compta!$B$1:$B$1448,$B1195,Compta!$C$1:$C$1448,"2026"),0))</f>
        <v>30809</v>
      </c>
      <c r="G1195" t="s">
        <v>274</v>
      </c>
      <c r="H1195" t="s">
        <v>274</v>
      </c>
      <c r="I1195" t="s">
        <v>274</v>
      </c>
      <c r="J1195" t="s">
        <v>274</v>
      </c>
      <c r="K1195" t="s">
        <v>274</v>
      </c>
      <c r="L1195" t="s">
        <v>274</v>
      </c>
      <c r="M1195" t="s">
        <v>274</v>
      </c>
      <c r="N1195" t="e">
        <f t="shared" si="1"/>
        <v>#VALUE!</v>
      </c>
      <c r="O1195" t="e">
        <f t="shared" si="2"/>
        <v>#VALUE!</v>
      </c>
      <c r="P1195" t="e">
        <f>IF($A1195="","",IF($E1195=1,$F1195*$O1195,PNL!G1195))</f>
        <v>#VALUE!</v>
      </c>
      <c r="T1195" t="e">
        <f t="shared" si="3"/>
        <v>#VALUE!</v>
      </c>
    </row>
    <row r="1196" ht="14.25" customHeight="1">
      <c r="A1196" t="str">
        <f>IF(PNL!A1196="","",PNL!A1196)</f>
        <v>TUNON_PAR</v>
      </c>
      <c r="B1196" t="str">
        <f>IF(PNL!B1196="","",PNL!B1196)</f>
        <v>604</v>
      </c>
      <c r="C1196" t="str">
        <f>IF(PNL!C1196="","",PNL!C1196)</f>
        <v>2027</v>
      </c>
      <c r="D1196" t="str">
        <f>IF(PNL!D1196="","",PNL!D1196)</f>
        <v>V02</v>
      </c>
      <c r="E1196">
        <f t="shared" si="0"/>
        <v>1</v>
      </c>
      <c r="F1196">
        <f>IF($A1196="","",IF($E1196=1,_xlfn.SUMIFS(Compta!$F$1:$F$1448,Compta!$A$1:$A$1448,$A1196,Compta!$B$1:$B$1448,$B1196,Compta!$C$1:$C$1448,"2026"),0))</f>
        <v>30809</v>
      </c>
      <c r="G1196" t="s">
        <v>274</v>
      </c>
      <c r="H1196" t="s">
        <v>274</v>
      </c>
      <c r="I1196" t="s">
        <v>274</v>
      </c>
      <c r="J1196" t="s">
        <v>274</v>
      </c>
      <c r="K1196" t="s">
        <v>274</v>
      </c>
      <c r="L1196" t="s">
        <v>274</v>
      </c>
      <c r="M1196" t="s">
        <v>274</v>
      </c>
      <c r="N1196" t="e">
        <f t="shared" si="1"/>
        <v>#VALUE!</v>
      </c>
      <c r="O1196" t="e">
        <f t="shared" si="2"/>
        <v>#VALUE!</v>
      </c>
      <c r="P1196" t="e">
        <f>IF($A1196="","",IF($E1196=1,$F1196*$O1196,PNL!G1196))</f>
        <v>#VALUE!</v>
      </c>
      <c r="T1196" t="e">
        <f t="shared" si="3"/>
        <v>#VALUE!</v>
      </c>
    </row>
    <row r="1197" ht="14.25" customHeight="1">
      <c r="A1197" t="str">
        <f>IF(PNL!A1197="","",PNL!A1197)</f>
        <v>TUNON_PAR</v>
      </c>
      <c r="B1197" t="str">
        <f>IF(PNL!B1197="","",PNL!B1197)</f>
        <v>604</v>
      </c>
      <c r="C1197" t="str">
        <f>IF(PNL!C1197="","",PNL!C1197)</f>
        <v>2027</v>
      </c>
      <c r="D1197" t="str">
        <f>IF(PNL!D1197="","",PNL!D1197)</f>
        <v>V03</v>
      </c>
      <c r="E1197">
        <f t="shared" si="0"/>
        <v>1</v>
      </c>
      <c r="F1197">
        <f>IF($A1197="","",IF($E1197=1,_xlfn.SUMIFS(Compta!$F$1:$F$1448,Compta!$A$1:$A$1448,$A1197,Compta!$B$1:$B$1448,$B1197,Compta!$C$1:$C$1448,"2026"),0))</f>
        <v>30809</v>
      </c>
      <c r="G1197" t="s">
        <v>274</v>
      </c>
      <c r="H1197" t="s">
        <v>274</v>
      </c>
      <c r="I1197" t="s">
        <v>274</v>
      </c>
      <c r="J1197" t="s">
        <v>274</v>
      </c>
      <c r="K1197" t="s">
        <v>274</v>
      </c>
      <c r="L1197" t="s">
        <v>274</v>
      </c>
      <c r="M1197" t="s">
        <v>274</v>
      </c>
      <c r="N1197" t="e">
        <f t="shared" si="1"/>
        <v>#VALUE!</v>
      </c>
      <c r="O1197" t="e">
        <f t="shared" si="2"/>
        <v>#VALUE!</v>
      </c>
      <c r="P1197" t="e">
        <f>IF($A1197="","",IF($E1197=1,$F1197*$O1197,PNL!G1197))</f>
        <v>#VALUE!</v>
      </c>
      <c r="T1197" t="e">
        <f t="shared" si="3"/>
        <v>#VALUE!</v>
      </c>
    </row>
    <row r="1198" ht="14.25" customHeight="1">
      <c r="A1198" t="str">
        <f>IF(PNL!A1198="","",PNL!A1198)</f>
        <v>TUNON_LYO</v>
      </c>
      <c r="B1198" t="str">
        <f>IF(PNL!B1198="","",PNL!B1198)</f>
        <v>604</v>
      </c>
      <c r="C1198" t="str">
        <f>IF(PNL!C1198="","",PNL!C1198)</f>
        <v>2027</v>
      </c>
      <c r="D1198" t="str">
        <f>IF(PNL!D1198="","",PNL!D1198)</f>
        <v>V01</v>
      </c>
      <c r="E1198">
        <f t="shared" si="0"/>
        <v>1</v>
      </c>
      <c r="F1198">
        <f>IF($A1198="","",IF($E1198=1,_xlfn.SUMIFS(Compta!$F$1:$F$1448,Compta!$A$1:$A$1448,$A1198,Compta!$B$1:$B$1448,$B1198,Compta!$C$1:$C$1448,"2026"),0))</f>
        <v>26121</v>
      </c>
      <c r="G1198" t="s">
        <v>274</v>
      </c>
      <c r="H1198" t="s">
        <v>274</v>
      </c>
      <c r="I1198" t="s">
        <v>274</v>
      </c>
      <c r="J1198" t="s">
        <v>274</v>
      </c>
      <c r="K1198" t="s">
        <v>274</v>
      </c>
      <c r="L1198" t="s">
        <v>274</v>
      </c>
      <c r="M1198" t="s">
        <v>274</v>
      </c>
      <c r="N1198" t="e">
        <f t="shared" si="1"/>
        <v>#VALUE!</v>
      </c>
      <c r="O1198" t="e">
        <f t="shared" si="2"/>
        <v>#VALUE!</v>
      </c>
      <c r="P1198" t="e">
        <f>IF($A1198="","",IF($E1198=1,$F1198*$O1198,PNL!G1198))</f>
        <v>#VALUE!</v>
      </c>
      <c r="T1198" t="e">
        <f t="shared" si="3"/>
        <v>#VALUE!</v>
      </c>
    </row>
    <row r="1199" ht="14.25" customHeight="1">
      <c r="A1199" t="str">
        <f>IF(PNL!A1199="","",PNL!A1199)</f>
        <v>TUNON_LYO</v>
      </c>
      <c r="B1199" t="str">
        <f>IF(PNL!B1199="","",PNL!B1199)</f>
        <v>604</v>
      </c>
      <c r="C1199" t="str">
        <f>IF(PNL!C1199="","",PNL!C1199)</f>
        <v>2027</v>
      </c>
      <c r="D1199" t="str">
        <f>IF(PNL!D1199="","",PNL!D1199)</f>
        <v>V02</v>
      </c>
      <c r="E1199">
        <f t="shared" si="0"/>
        <v>1</v>
      </c>
      <c r="F1199">
        <f>IF($A1199="","",IF($E1199=1,_xlfn.SUMIFS(Compta!$F$1:$F$1448,Compta!$A$1:$A$1448,$A1199,Compta!$B$1:$B$1448,$B1199,Compta!$C$1:$C$1448,"2026"),0))</f>
        <v>26121</v>
      </c>
      <c r="G1199" t="s">
        <v>274</v>
      </c>
      <c r="H1199" t="s">
        <v>274</v>
      </c>
      <c r="I1199" t="s">
        <v>274</v>
      </c>
      <c r="J1199" t="s">
        <v>274</v>
      </c>
      <c r="K1199" t="s">
        <v>274</v>
      </c>
      <c r="L1199" t="s">
        <v>274</v>
      </c>
      <c r="M1199" t="s">
        <v>274</v>
      </c>
      <c r="N1199" t="e">
        <f t="shared" si="1"/>
        <v>#VALUE!</v>
      </c>
      <c r="O1199" t="e">
        <f t="shared" si="2"/>
        <v>#VALUE!</v>
      </c>
      <c r="P1199" t="e">
        <f>IF($A1199="","",IF($E1199=1,$F1199*$O1199,PNL!G1199))</f>
        <v>#VALUE!</v>
      </c>
      <c r="T1199" t="e">
        <f t="shared" si="3"/>
        <v>#VALUE!</v>
      </c>
    </row>
    <row r="1200" ht="14.25" customHeight="1">
      <c r="A1200" t="str">
        <f>IF(PNL!A1200="","",PNL!A1200)</f>
        <v>TUNON_LYO</v>
      </c>
      <c r="B1200" t="str">
        <f>IF(PNL!B1200="","",PNL!B1200)</f>
        <v>604</v>
      </c>
      <c r="C1200" t="str">
        <f>IF(PNL!C1200="","",PNL!C1200)</f>
        <v>2027</v>
      </c>
      <c r="D1200" t="str">
        <f>IF(PNL!D1200="","",PNL!D1200)</f>
        <v>V03</v>
      </c>
      <c r="E1200">
        <f t="shared" si="0"/>
        <v>1</v>
      </c>
      <c r="F1200">
        <f>IF($A1200="","",IF($E1200=1,_xlfn.SUMIFS(Compta!$F$1:$F$1448,Compta!$A$1:$A$1448,$A1200,Compta!$B$1:$B$1448,$B1200,Compta!$C$1:$C$1448,"2026"),0))</f>
        <v>26121</v>
      </c>
      <c r="G1200" t="s">
        <v>274</v>
      </c>
      <c r="H1200" t="s">
        <v>274</v>
      </c>
      <c r="I1200" t="s">
        <v>274</v>
      </c>
      <c r="J1200" t="s">
        <v>274</v>
      </c>
      <c r="K1200" t="s">
        <v>274</v>
      </c>
      <c r="L1200" t="s">
        <v>274</v>
      </c>
      <c r="M1200" t="s">
        <v>274</v>
      </c>
      <c r="N1200" t="e">
        <f t="shared" si="1"/>
        <v>#VALUE!</v>
      </c>
      <c r="O1200" t="e">
        <f t="shared" si="2"/>
        <v>#VALUE!</v>
      </c>
      <c r="P1200" t="e">
        <f>IF($A1200="","",IF($E1200=1,$F1200*$O1200,PNL!G1200))</f>
        <v>#VALUE!</v>
      </c>
      <c r="T1200" t="e">
        <f t="shared" si="3"/>
        <v>#VALUE!</v>
      </c>
    </row>
    <row r="1201" ht="14.25" customHeight="1">
      <c r="A1201" t="str">
        <f>IF(PNL!A1201="","",PNL!A1201)</f>
        <v>MBWAY_PAR</v>
      </c>
      <c r="B1201" t="str">
        <f>IF(PNL!B1201="","",PNL!B1201)</f>
        <v>6063</v>
      </c>
      <c r="C1201" t="str">
        <f>IF(PNL!C1201="","",PNL!C1201)</f>
        <v>2027</v>
      </c>
      <c r="D1201" t="str">
        <f>IF(PNL!D1201="","",PNL!D1201)</f>
        <v>V01</v>
      </c>
      <c r="E1201">
        <f t="shared" si="0"/>
        <v>1</v>
      </c>
      <c r="F1201">
        <f>IF($A1201="","",IF($E1201=1,_xlfn.SUMIFS(Compta!$F$1:$F$1448,Compta!$A$1:$A$1448,$A1201,Compta!$B$1:$B$1448,$B1201,Compta!$C$1:$C$1448,"2026"),0))</f>
        <v>56856</v>
      </c>
      <c r="G1201" t="s">
        <v>274</v>
      </c>
      <c r="H1201" t="s">
        <v>274</v>
      </c>
      <c r="I1201" t="s">
        <v>274</v>
      </c>
      <c r="J1201" t="s">
        <v>274</v>
      </c>
      <c r="K1201" t="s">
        <v>274</v>
      </c>
      <c r="L1201" t="s">
        <v>274</v>
      </c>
      <c r="M1201" t="s">
        <v>274</v>
      </c>
      <c r="N1201" t="e">
        <f t="shared" si="1"/>
        <v>#VALUE!</v>
      </c>
      <c r="O1201" t="e">
        <f t="shared" si="2"/>
        <v>#VALUE!</v>
      </c>
      <c r="P1201" t="e">
        <f>IF($A1201="","",IF($E1201=1,$F1201*$O1201,PNL!G1201))</f>
        <v>#VALUE!</v>
      </c>
      <c r="T1201" t="e">
        <f t="shared" si="3"/>
        <v>#VALUE!</v>
      </c>
    </row>
    <row r="1202" ht="14.25" customHeight="1">
      <c r="A1202" t="str">
        <f>IF(PNL!A1202="","",PNL!A1202)</f>
        <v>MBWAY_PAR</v>
      </c>
      <c r="B1202" t="str">
        <f>IF(PNL!B1202="","",PNL!B1202)</f>
        <v>6063</v>
      </c>
      <c r="C1202" t="str">
        <f>IF(PNL!C1202="","",PNL!C1202)</f>
        <v>2027</v>
      </c>
      <c r="D1202" t="str">
        <f>IF(PNL!D1202="","",PNL!D1202)</f>
        <v>V02</v>
      </c>
      <c r="E1202">
        <f t="shared" si="0"/>
        <v>1</v>
      </c>
      <c r="F1202">
        <f>IF($A1202="","",IF($E1202=1,_xlfn.SUMIFS(Compta!$F$1:$F$1448,Compta!$A$1:$A$1448,$A1202,Compta!$B$1:$B$1448,$B1202,Compta!$C$1:$C$1448,"2026"),0))</f>
        <v>56856</v>
      </c>
      <c r="G1202" t="s">
        <v>274</v>
      </c>
      <c r="H1202" t="s">
        <v>274</v>
      </c>
      <c r="I1202" t="s">
        <v>274</v>
      </c>
      <c r="J1202" t="s">
        <v>274</v>
      </c>
      <c r="K1202" t="s">
        <v>274</v>
      </c>
      <c r="L1202" t="s">
        <v>274</v>
      </c>
      <c r="M1202" t="s">
        <v>274</v>
      </c>
      <c r="N1202" t="e">
        <f t="shared" si="1"/>
        <v>#VALUE!</v>
      </c>
      <c r="O1202" t="e">
        <f t="shared" si="2"/>
        <v>#VALUE!</v>
      </c>
      <c r="P1202" t="e">
        <f>IF($A1202="","",IF($E1202=1,$F1202*$O1202,PNL!G1202))</f>
        <v>#VALUE!</v>
      </c>
      <c r="T1202" t="e">
        <f t="shared" si="3"/>
        <v>#VALUE!</v>
      </c>
    </row>
    <row r="1203" ht="14.25" customHeight="1">
      <c r="A1203" t="str">
        <f>IF(PNL!A1203="","",PNL!A1203)</f>
        <v>MBWAY_PAR</v>
      </c>
      <c r="B1203" t="str">
        <f>IF(PNL!B1203="","",PNL!B1203)</f>
        <v>6063</v>
      </c>
      <c r="C1203" t="str">
        <f>IF(PNL!C1203="","",PNL!C1203)</f>
        <v>2027</v>
      </c>
      <c r="D1203" t="str">
        <f>IF(PNL!D1203="","",PNL!D1203)</f>
        <v>V03</v>
      </c>
      <c r="E1203">
        <f t="shared" si="0"/>
        <v>1</v>
      </c>
      <c r="F1203">
        <f>IF($A1203="","",IF($E1203=1,_xlfn.SUMIFS(Compta!$F$1:$F$1448,Compta!$A$1:$A$1448,$A1203,Compta!$B$1:$B$1448,$B1203,Compta!$C$1:$C$1448,"2026"),0))</f>
        <v>56856</v>
      </c>
      <c r="G1203" t="s">
        <v>274</v>
      </c>
      <c r="H1203" t="s">
        <v>274</v>
      </c>
      <c r="I1203" t="s">
        <v>274</v>
      </c>
      <c r="J1203" t="s">
        <v>274</v>
      </c>
      <c r="K1203" t="s">
        <v>274</v>
      </c>
      <c r="L1203" t="s">
        <v>274</v>
      </c>
      <c r="M1203" t="s">
        <v>274</v>
      </c>
      <c r="N1203" t="e">
        <f t="shared" si="1"/>
        <v>#VALUE!</v>
      </c>
      <c r="O1203" t="e">
        <f t="shared" si="2"/>
        <v>#VALUE!</v>
      </c>
      <c r="P1203" t="e">
        <f>IF($A1203="","",IF($E1203=1,$F1203*$O1203,PNL!G1203))</f>
        <v>#VALUE!</v>
      </c>
      <c r="T1203" t="e">
        <f t="shared" si="3"/>
        <v>#VALUE!</v>
      </c>
    </row>
    <row r="1204" ht="14.25" customHeight="1">
      <c r="A1204" t="str">
        <f>IF(PNL!A1204="","",PNL!A1204)</f>
        <v>MBWAY_LYO</v>
      </c>
      <c r="B1204" t="str">
        <f>IF(PNL!B1204="","",PNL!B1204)</f>
        <v>6063</v>
      </c>
      <c r="C1204" t="str">
        <f>IF(PNL!C1204="","",PNL!C1204)</f>
        <v>2027</v>
      </c>
      <c r="D1204" t="str">
        <f>IF(PNL!D1204="","",PNL!D1204)</f>
        <v>V01</v>
      </c>
      <c r="E1204">
        <f t="shared" si="0"/>
        <v>1</v>
      </c>
      <c r="F1204">
        <f>IF($A1204="","",IF($E1204=1,_xlfn.SUMIFS(Compta!$F$1:$F$1448,Compta!$A$1:$A$1448,$A1204,Compta!$B$1:$B$1448,$B1204,Compta!$C$1:$C$1448,"2026"),0))</f>
        <v>48224</v>
      </c>
      <c r="G1204" t="s">
        <v>274</v>
      </c>
      <c r="H1204" t="s">
        <v>274</v>
      </c>
      <c r="I1204" t="s">
        <v>274</v>
      </c>
      <c r="J1204" t="s">
        <v>274</v>
      </c>
      <c r="K1204" t="s">
        <v>274</v>
      </c>
      <c r="L1204" t="s">
        <v>274</v>
      </c>
      <c r="M1204" t="s">
        <v>274</v>
      </c>
      <c r="N1204" t="e">
        <f t="shared" si="1"/>
        <v>#VALUE!</v>
      </c>
      <c r="O1204" t="e">
        <f t="shared" si="2"/>
        <v>#VALUE!</v>
      </c>
      <c r="P1204" t="e">
        <f>IF($A1204="","",IF($E1204=1,$F1204*$O1204,PNL!G1204))</f>
        <v>#VALUE!</v>
      </c>
      <c r="T1204" t="e">
        <f t="shared" si="3"/>
        <v>#VALUE!</v>
      </c>
    </row>
    <row r="1205" ht="14.25" customHeight="1">
      <c r="A1205" t="str">
        <f>IF(PNL!A1205="","",PNL!A1205)</f>
        <v>MBWAY_LYO</v>
      </c>
      <c r="B1205" t="str">
        <f>IF(PNL!B1205="","",PNL!B1205)</f>
        <v>6063</v>
      </c>
      <c r="C1205" t="str">
        <f>IF(PNL!C1205="","",PNL!C1205)</f>
        <v>2027</v>
      </c>
      <c r="D1205" t="str">
        <f>IF(PNL!D1205="","",PNL!D1205)</f>
        <v>V02</v>
      </c>
      <c r="E1205">
        <f t="shared" si="0"/>
        <v>1</v>
      </c>
      <c r="F1205">
        <f>IF($A1205="","",IF($E1205=1,_xlfn.SUMIFS(Compta!$F$1:$F$1448,Compta!$A$1:$A$1448,$A1205,Compta!$B$1:$B$1448,$B1205,Compta!$C$1:$C$1448,"2026"),0))</f>
        <v>48224</v>
      </c>
      <c r="G1205" t="s">
        <v>274</v>
      </c>
      <c r="H1205" t="s">
        <v>274</v>
      </c>
      <c r="I1205" t="s">
        <v>274</v>
      </c>
      <c r="J1205" t="s">
        <v>274</v>
      </c>
      <c r="K1205" t="s">
        <v>274</v>
      </c>
      <c r="L1205" t="s">
        <v>274</v>
      </c>
      <c r="M1205" t="s">
        <v>274</v>
      </c>
      <c r="N1205" t="e">
        <f t="shared" si="1"/>
        <v>#VALUE!</v>
      </c>
      <c r="O1205" t="e">
        <f t="shared" si="2"/>
        <v>#VALUE!</v>
      </c>
      <c r="P1205" t="e">
        <f>IF($A1205="","",IF($E1205=1,$F1205*$O1205,PNL!G1205))</f>
        <v>#VALUE!</v>
      </c>
      <c r="T1205" t="e">
        <f t="shared" si="3"/>
        <v>#VALUE!</v>
      </c>
    </row>
    <row r="1206" ht="14.25" customHeight="1">
      <c r="A1206" t="str">
        <f>IF(PNL!A1206="","",PNL!A1206)</f>
        <v>MBWAY_LYO</v>
      </c>
      <c r="B1206" t="str">
        <f>IF(PNL!B1206="","",PNL!B1206)</f>
        <v>6063</v>
      </c>
      <c r="C1206" t="str">
        <f>IF(PNL!C1206="","",PNL!C1206)</f>
        <v>2027</v>
      </c>
      <c r="D1206" t="str">
        <f>IF(PNL!D1206="","",PNL!D1206)</f>
        <v>V03</v>
      </c>
      <c r="E1206">
        <f t="shared" si="0"/>
        <v>1</v>
      </c>
      <c r="F1206">
        <f>IF($A1206="","",IF($E1206=1,_xlfn.SUMIFS(Compta!$F$1:$F$1448,Compta!$A$1:$A$1448,$A1206,Compta!$B$1:$B$1448,$B1206,Compta!$C$1:$C$1448,"2026"),0))</f>
        <v>48224</v>
      </c>
      <c r="G1206" t="s">
        <v>274</v>
      </c>
      <c r="H1206" t="s">
        <v>274</v>
      </c>
      <c r="I1206" t="s">
        <v>274</v>
      </c>
      <c r="J1206" t="s">
        <v>274</v>
      </c>
      <c r="K1206" t="s">
        <v>274</v>
      </c>
      <c r="L1206" t="s">
        <v>274</v>
      </c>
      <c r="M1206" t="s">
        <v>274</v>
      </c>
      <c r="N1206" t="e">
        <f t="shared" si="1"/>
        <v>#VALUE!</v>
      </c>
      <c r="O1206" t="e">
        <f t="shared" si="2"/>
        <v>#VALUE!</v>
      </c>
      <c r="P1206" t="e">
        <f>IF($A1206="","",IF($E1206=1,$F1206*$O1206,PNL!G1206))</f>
        <v>#VALUE!</v>
      </c>
      <c r="T1206" t="e">
        <f t="shared" si="3"/>
        <v>#VALUE!</v>
      </c>
    </row>
    <row r="1207" ht="14.25" customHeight="1">
      <c r="A1207" t="str">
        <f>IF(PNL!A1207="","",PNL!A1207)</f>
        <v>MBWAY_NAN</v>
      </c>
      <c r="B1207" t="str">
        <f>IF(PNL!B1207="","",PNL!B1207)</f>
        <v>6063</v>
      </c>
      <c r="C1207" t="str">
        <f>IF(PNL!C1207="","",PNL!C1207)</f>
        <v>2027</v>
      </c>
      <c r="D1207" t="str">
        <f>IF(PNL!D1207="","",PNL!D1207)</f>
        <v>V01</v>
      </c>
      <c r="E1207">
        <f t="shared" si="0"/>
        <v>1</v>
      </c>
      <c r="F1207">
        <f>IF($A1207="","",IF($E1207=1,_xlfn.SUMIFS(Compta!$F$1:$F$1448,Compta!$A$1:$A$1448,$A1207,Compta!$B$1:$B$1448,$B1207,Compta!$C$1:$C$1448,"2026"),0))</f>
        <v>43758</v>
      </c>
      <c r="G1207" t="s">
        <v>274</v>
      </c>
      <c r="H1207" t="s">
        <v>274</v>
      </c>
      <c r="I1207" t="s">
        <v>274</v>
      </c>
      <c r="J1207" t="s">
        <v>274</v>
      </c>
      <c r="K1207" t="s">
        <v>274</v>
      </c>
      <c r="L1207" t="s">
        <v>274</v>
      </c>
      <c r="M1207" t="s">
        <v>274</v>
      </c>
      <c r="N1207" t="e">
        <f t="shared" si="1"/>
        <v>#VALUE!</v>
      </c>
      <c r="O1207" t="e">
        <f t="shared" si="2"/>
        <v>#VALUE!</v>
      </c>
      <c r="P1207" t="e">
        <f>IF($A1207="","",IF($E1207=1,$F1207*$O1207,PNL!G1207))</f>
        <v>#VALUE!</v>
      </c>
      <c r="T1207" t="e">
        <f t="shared" si="3"/>
        <v>#VALUE!</v>
      </c>
    </row>
    <row r="1208" ht="14.25" customHeight="1">
      <c r="A1208" t="str">
        <f>IF(PNL!A1208="","",PNL!A1208)</f>
        <v>MBWAY_NAN</v>
      </c>
      <c r="B1208" t="str">
        <f>IF(PNL!B1208="","",PNL!B1208)</f>
        <v>6063</v>
      </c>
      <c r="C1208" t="str">
        <f>IF(PNL!C1208="","",PNL!C1208)</f>
        <v>2027</v>
      </c>
      <c r="D1208" t="str">
        <f>IF(PNL!D1208="","",PNL!D1208)</f>
        <v>V02</v>
      </c>
      <c r="E1208">
        <f t="shared" si="0"/>
        <v>1</v>
      </c>
      <c r="F1208">
        <f>IF($A1208="","",IF($E1208=1,_xlfn.SUMIFS(Compta!$F$1:$F$1448,Compta!$A$1:$A$1448,$A1208,Compta!$B$1:$B$1448,$B1208,Compta!$C$1:$C$1448,"2026"),0))</f>
        <v>43758</v>
      </c>
      <c r="G1208" t="s">
        <v>274</v>
      </c>
      <c r="H1208" t="s">
        <v>274</v>
      </c>
      <c r="I1208" t="s">
        <v>274</v>
      </c>
      <c r="J1208" t="s">
        <v>274</v>
      </c>
      <c r="K1208" t="s">
        <v>274</v>
      </c>
      <c r="L1208" t="s">
        <v>274</v>
      </c>
      <c r="M1208" t="s">
        <v>274</v>
      </c>
      <c r="N1208" t="e">
        <f t="shared" si="1"/>
        <v>#VALUE!</v>
      </c>
      <c r="O1208" t="e">
        <f t="shared" si="2"/>
        <v>#VALUE!</v>
      </c>
      <c r="P1208" t="e">
        <f>IF($A1208="","",IF($E1208=1,$F1208*$O1208,PNL!G1208))</f>
        <v>#VALUE!</v>
      </c>
      <c r="T1208" t="e">
        <f t="shared" si="3"/>
        <v>#VALUE!</v>
      </c>
    </row>
    <row r="1209" ht="14.25" customHeight="1">
      <c r="A1209" t="str">
        <f>IF(PNL!A1209="","",PNL!A1209)</f>
        <v>MBWAY_NAN</v>
      </c>
      <c r="B1209" t="str">
        <f>IF(PNL!B1209="","",PNL!B1209)</f>
        <v>6063</v>
      </c>
      <c r="C1209" t="str">
        <f>IF(PNL!C1209="","",PNL!C1209)</f>
        <v>2027</v>
      </c>
      <c r="D1209" t="str">
        <f>IF(PNL!D1209="","",PNL!D1209)</f>
        <v>V03</v>
      </c>
      <c r="E1209">
        <f t="shared" si="0"/>
        <v>1</v>
      </c>
      <c r="F1209">
        <f>IF($A1209="","",IF($E1209=1,_xlfn.SUMIFS(Compta!$F$1:$F$1448,Compta!$A$1:$A$1448,$A1209,Compta!$B$1:$B$1448,$B1209,Compta!$C$1:$C$1448,"2026"),0))</f>
        <v>43758</v>
      </c>
      <c r="G1209" t="s">
        <v>274</v>
      </c>
      <c r="H1209" t="s">
        <v>274</v>
      </c>
      <c r="I1209" t="s">
        <v>274</v>
      </c>
      <c r="J1209" t="s">
        <v>274</v>
      </c>
      <c r="K1209" t="s">
        <v>274</v>
      </c>
      <c r="L1209" t="s">
        <v>274</v>
      </c>
      <c r="M1209" t="s">
        <v>274</v>
      </c>
      <c r="N1209" t="e">
        <f t="shared" si="1"/>
        <v>#VALUE!</v>
      </c>
      <c r="O1209" t="e">
        <f t="shared" si="2"/>
        <v>#VALUE!</v>
      </c>
      <c r="P1209" t="e">
        <f>IF($A1209="","",IF($E1209=1,$F1209*$O1209,PNL!G1209))</f>
        <v>#VALUE!</v>
      </c>
      <c r="T1209" t="e">
        <f t="shared" si="3"/>
        <v>#VALUE!</v>
      </c>
    </row>
    <row r="1210" ht="14.25" customHeight="1">
      <c r="A1210" t="str">
        <f>IF(PNL!A1210="","",PNL!A1210)</f>
        <v>MBWAY_BOR</v>
      </c>
      <c r="B1210" t="str">
        <f>IF(PNL!B1210="","",PNL!B1210)</f>
        <v>6063</v>
      </c>
      <c r="C1210" t="str">
        <f>IF(PNL!C1210="","",PNL!C1210)</f>
        <v>2027</v>
      </c>
      <c r="D1210" t="str">
        <f>IF(PNL!D1210="","",PNL!D1210)</f>
        <v>V01</v>
      </c>
      <c r="E1210">
        <f t="shared" si="0"/>
        <v>1</v>
      </c>
      <c r="F1210">
        <f>IF($A1210="","",IF($E1210=1,_xlfn.SUMIFS(Compta!$F$1:$F$1448,Compta!$A$1:$A$1448,$A1210,Compta!$B$1:$B$1448,$B1210,Compta!$C$1:$C$1448,"2026"),0))</f>
        <v>37061</v>
      </c>
      <c r="G1210" t="s">
        <v>274</v>
      </c>
      <c r="H1210" t="s">
        <v>274</v>
      </c>
      <c r="I1210" t="s">
        <v>274</v>
      </c>
      <c r="J1210" t="s">
        <v>274</v>
      </c>
      <c r="K1210" t="s">
        <v>274</v>
      </c>
      <c r="L1210" t="s">
        <v>274</v>
      </c>
      <c r="M1210" t="s">
        <v>274</v>
      </c>
      <c r="N1210" t="e">
        <f t="shared" si="1"/>
        <v>#VALUE!</v>
      </c>
      <c r="O1210" t="e">
        <f t="shared" si="2"/>
        <v>#VALUE!</v>
      </c>
      <c r="P1210" t="e">
        <f>IF($A1210="","",IF($E1210=1,$F1210*$O1210,PNL!G1210))</f>
        <v>#VALUE!</v>
      </c>
      <c r="T1210" t="e">
        <f t="shared" si="3"/>
        <v>#VALUE!</v>
      </c>
    </row>
    <row r="1211" ht="14.25" customHeight="1">
      <c r="A1211" t="str">
        <f>IF(PNL!A1211="","",PNL!A1211)</f>
        <v>MBWAY_BOR</v>
      </c>
      <c r="B1211" t="str">
        <f>IF(PNL!B1211="","",PNL!B1211)</f>
        <v>6063</v>
      </c>
      <c r="C1211" t="str">
        <f>IF(PNL!C1211="","",PNL!C1211)</f>
        <v>2027</v>
      </c>
      <c r="D1211" t="str">
        <f>IF(PNL!D1211="","",PNL!D1211)</f>
        <v>V02</v>
      </c>
      <c r="E1211">
        <f t="shared" si="0"/>
        <v>1</v>
      </c>
      <c r="F1211">
        <f>IF($A1211="","",IF($E1211=1,_xlfn.SUMIFS(Compta!$F$1:$F$1448,Compta!$A$1:$A$1448,$A1211,Compta!$B$1:$B$1448,$B1211,Compta!$C$1:$C$1448,"2026"),0))</f>
        <v>37061</v>
      </c>
      <c r="G1211" t="s">
        <v>274</v>
      </c>
      <c r="H1211" t="s">
        <v>274</v>
      </c>
      <c r="I1211" t="s">
        <v>274</v>
      </c>
      <c r="J1211" t="s">
        <v>274</v>
      </c>
      <c r="K1211" t="s">
        <v>274</v>
      </c>
      <c r="L1211" t="s">
        <v>274</v>
      </c>
      <c r="M1211" t="s">
        <v>274</v>
      </c>
      <c r="N1211" t="e">
        <f t="shared" si="1"/>
        <v>#VALUE!</v>
      </c>
      <c r="O1211" t="e">
        <f t="shared" si="2"/>
        <v>#VALUE!</v>
      </c>
      <c r="P1211" t="e">
        <f>IF($A1211="","",IF($E1211=1,$F1211*$O1211,PNL!G1211))</f>
        <v>#VALUE!</v>
      </c>
      <c r="T1211" t="e">
        <f t="shared" si="3"/>
        <v>#VALUE!</v>
      </c>
    </row>
    <row r="1212" ht="14.25" customHeight="1">
      <c r="A1212" t="str">
        <f>IF(PNL!A1212="","",PNL!A1212)</f>
        <v>MBWAY_BOR</v>
      </c>
      <c r="B1212" t="str">
        <f>IF(PNL!B1212="","",PNL!B1212)</f>
        <v>6063</v>
      </c>
      <c r="C1212" t="str">
        <f>IF(PNL!C1212="","",PNL!C1212)</f>
        <v>2027</v>
      </c>
      <c r="D1212" t="str">
        <f>IF(PNL!D1212="","",PNL!D1212)</f>
        <v>V03</v>
      </c>
      <c r="E1212">
        <f t="shared" si="0"/>
        <v>1</v>
      </c>
      <c r="F1212">
        <f>IF($A1212="","",IF($E1212=1,_xlfn.SUMIFS(Compta!$F$1:$F$1448,Compta!$A$1:$A$1448,$A1212,Compta!$B$1:$B$1448,$B1212,Compta!$C$1:$C$1448,"2026"),0))</f>
        <v>37061</v>
      </c>
      <c r="G1212" t="s">
        <v>274</v>
      </c>
      <c r="H1212" t="s">
        <v>274</v>
      </c>
      <c r="I1212" t="s">
        <v>274</v>
      </c>
      <c r="J1212" t="s">
        <v>274</v>
      </c>
      <c r="K1212" t="s">
        <v>274</v>
      </c>
      <c r="L1212" t="s">
        <v>274</v>
      </c>
      <c r="M1212" t="s">
        <v>274</v>
      </c>
      <c r="N1212" t="e">
        <f t="shared" si="1"/>
        <v>#VALUE!</v>
      </c>
      <c r="O1212" t="e">
        <f t="shared" si="2"/>
        <v>#VALUE!</v>
      </c>
      <c r="P1212" t="e">
        <f>IF($A1212="","",IF($E1212=1,$F1212*$O1212,PNL!G1212))</f>
        <v>#VALUE!</v>
      </c>
      <c r="T1212" t="e">
        <f t="shared" si="3"/>
        <v>#VALUE!</v>
      </c>
    </row>
    <row r="1213" ht="14.25" customHeight="1">
      <c r="A1213" t="str">
        <f>IF(PNL!A1213="","",PNL!A1213)</f>
        <v>ISCOM_PAR</v>
      </c>
      <c r="B1213" t="str">
        <f>IF(PNL!B1213="","",PNL!B1213)</f>
        <v>6063</v>
      </c>
      <c r="C1213" t="str">
        <f>IF(PNL!C1213="","",PNL!C1213)</f>
        <v>2027</v>
      </c>
      <c r="D1213" t="str">
        <f>IF(PNL!D1213="","",PNL!D1213)</f>
        <v>V01</v>
      </c>
      <c r="E1213">
        <f t="shared" si="0"/>
        <v>1</v>
      </c>
      <c r="F1213">
        <f>IF($A1213="","",IF($E1213=1,_xlfn.SUMIFS(Compta!$F$1:$F$1448,Compta!$A$1:$A$1448,$A1213,Compta!$B$1:$B$1448,$B1213,Compta!$C$1:$C$1448,"2026"),0))</f>
        <v>52689</v>
      </c>
      <c r="G1213" t="s">
        <v>274</v>
      </c>
      <c r="H1213" t="s">
        <v>274</v>
      </c>
      <c r="I1213" t="s">
        <v>274</v>
      </c>
      <c r="J1213" t="s">
        <v>274</v>
      </c>
      <c r="K1213" t="s">
        <v>274</v>
      </c>
      <c r="L1213" t="s">
        <v>274</v>
      </c>
      <c r="M1213" t="s">
        <v>274</v>
      </c>
      <c r="N1213" t="e">
        <f t="shared" si="1"/>
        <v>#VALUE!</v>
      </c>
      <c r="O1213" t="e">
        <f t="shared" si="2"/>
        <v>#VALUE!</v>
      </c>
      <c r="P1213" t="e">
        <f>IF($A1213="","",IF($E1213=1,$F1213*$O1213,PNL!G1213))</f>
        <v>#VALUE!</v>
      </c>
      <c r="T1213" t="e">
        <f t="shared" si="3"/>
        <v>#VALUE!</v>
      </c>
    </row>
    <row r="1214" ht="14.25" customHeight="1">
      <c r="A1214" t="str">
        <f>IF(PNL!A1214="","",PNL!A1214)</f>
        <v>ISCOM_PAR</v>
      </c>
      <c r="B1214" t="str">
        <f>IF(PNL!B1214="","",PNL!B1214)</f>
        <v>6063</v>
      </c>
      <c r="C1214" t="str">
        <f>IF(PNL!C1214="","",PNL!C1214)</f>
        <v>2027</v>
      </c>
      <c r="D1214" t="str">
        <f>IF(PNL!D1214="","",PNL!D1214)</f>
        <v>V02</v>
      </c>
      <c r="E1214">
        <f t="shared" si="0"/>
        <v>1</v>
      </c>
      <c r="F1214">
        <f>IF($A1214="","",IF($E1214=1,_xlfn.SUMIFS(Compta!$F$1:$F$1448,Compta!$A$1:$A$1448,$A1214,Compta!$B$1:$B$1448,$B1214,Compta!$C$1:$C$1448,"2026"),0))</f>
        <v>52689</v>
      </c>
      <c r="G1214" t="s">
        <v>274</v>
      </c>
      <c r="H1214" t="s">
        <v>274</v>
      </c>
      <c r="I1214" t="s">
        <v>274</v>
      </c>
      <c r="J1214" t="s">
        <v>274</v>
      </c>
      <c r="K1214" t="s">
        <v>274</v>
      </c>
      <c r="L1214" t="s">
        <v>274</v>
      </c>
      <c r="M1214" t="s">
        <v>274</v>
      </c>
      <c r="N1214" t="e">
        <f t="shared" si="1"/>
        <v>#VALUE!</v>
      </c>
      <c r="O1214" t="e">
        <f t="shared" si="2"/>
        <v>#VALUE!</v>
      </c>
      <c r="P1214" t="e">
        <f>IF($A1214="","",IF($E1214=1,$F1214*$O1214,PNL!G1214))</f>
        <v>#VALUE!</v>
      </c>
      <c r="T1214" t="e">
        <f t="shared" si="3"/>
        <v>#VALUE!</v>
      </c>
    </row>
    <row r="1215" ht="14.25" customHeight="1">
      <c r="A1215" t="str">
        <f>IF(PNL!A1215="","",PNL!A1215)</f>
        <v>ISCOM_PAR</v>
      </c>
      <c r="B1215" t="str">
        <f>IF(PNL!B1215="","",PNL!B1215)</f>
        <v>6063</v>
      </c>
      <c r="C1215" t="str">
        <f>IF(PNL!C1215="","",PNL!C1215)</f>
        <v>2027</v>
      </c>
      <c r="D1215" t="str">
        <f>IF(PNL!D1215="","",PNL!D1215)</f>
        <v>V03</v>
      </c>
      <c r="E1215">
        <f t="shared" si="0"/>
        <v>1</v>
      </c>
      <c r="F1215">
        <f>IF($A1215="","",IF($E1215=1,_xlfn.SUMIFS(Compta!$F$1:$F$1448,Compta!$A$1:$A$1448,$A1215,Compta!$B$1:$B$1448,$B1215,Compta!$C$1:$C$1448,"2026"),0))</f>
        <v>52689</v>
      </c>
      <c r="G1215" t="s">
        <v>274</v>
      </c>
      <c r="H1215" t="s">
        <v>274</v>
      </c>
      <c r="I1215" t="s">
        <v>274</v>
      </c>
      <c r="J1215" t="s">
        <v>274</v>
      </c>
      <c r="K1215" t="s">
        <v>274</v>
      </c>
      <c r="L1215" t="s">
        <v>274</v>
      </c>
      <c r="M1215" t="s">
        <v>274</v>
      </c>
      <c r="N1215" t="e">
        <f t="shared" si="1"/>
        <v>#VALUE!</v>
      </c>
      <c r="O1215" t="e">
        <f t="shared" si="2"/>
        <v>#VALUE!</v>
      </c>
      <c r="P1215" t="e">
        <f>IF($A1215="","",IF($E1215=1,$F1215*$O1215,PNL!G1215))</f>
        <v>#VALUE!</v>
      </c>
      <c r="T1215" t="e">
        <f t="shared" si="3"/>
        <v>#VALUE!</v>
      </c>
    </row>
    <row r="1216" ht="14.25" customHeight="1">
      <c r="A1216" t="str">
        <f>IF(PNL!A1216="","",PNL!A1216)</f>
        <v>ISCOM_LIL</v>
      </c>
      <c r="B1216" t="str">
        <f>IF(PNL!B1216="","",PNL!B1216)</f>
        <v>6063</v>
      </c>
      <c r="C1216" t="str">
        <f>IF(PNL!C1216="","",PNL!C1216)</f>
        <v>2027</v>
      </c>
      <c r="D1216" t="str">
        <f>IF(PNL!D1216="","",PNL!D1216)</f>
        <v>V01</v>
      </c>
      <c r="E1216">
        <f t="shared" si="0"/>
        <v>1</v>
      </c>
      <c r="F1216">
        <f>IF($A1216="","",IF($E1216=1,_xlfn.SUMIFS(Compta!$F$1:$F$1448,Compta!$A$1:$A$1448,$A1216,Compta!$B$1:$B$1448,$B1216,Compta!$C$1:$C$1448,"2026"),0))</f>
        <v>36316</v>
      </c>
      <c r="G1216" t="s">
        <v>274</v>
      </c>
      <c r="H1216" t="s">
        <v>274</v>
      </c>
      <c r="I1216" t="s">
        <v>274</v>
      </c>
      <c r="J1216" t="s">
        <v>274</v>
      </c>
      <c r="K1216" t="s">
        <v>274</v>
      </c>
      <c r="L1216" t="s">
        <v>274</v>
      </c>
      <c r="M1216" t="s">
        <v>274</v>
      </c>
      <c r="N1216" t="e">
        <f t="shared" si="1"/>
        <v>#VALUE!</v>
      </c>
      <c r="O1216" t="e">
        <f t="shared" si="2"/>
        <v>#VALUE!</v>
      </c>
      <c r="P1216" t="e">
        <f>IF($A1216="","",IF($E1216=1,$F1216*$O1216,PNL!G1216))</f>
        <v>#VALUE!</v>
      </c>
      <c r="T1216" t="e">
        <f t="shared" si="3"/>
        <v>#VALUE!</v>
      </c>
    </row>
    <row r="1217" ht="14.25" customHeight="1">
      <c r="A1217" t="str">
        <f>IF(PNL!A1217="","",PNL!A1217)</f>
        <v>ISCOM_LIL</v>
      </c>
      <c r="B1217" t="str">
        <f>IF(PNL!B1217="","",PNL!B1217)</f>
        <v>6063</v>
      </c>
      <c r="C1217" t="str">
        <f>IF(PNL!C1217="","",PNL!C1217)</f>
        <v>2027</v>
      </c>
      <c r="D1217" t="str">
        <f>IF(PNL!D1217="","",PNL!D1217)</f>
        <v>V02</v>
      </c>
      <c r="E1217">
        <f t="shared" si="0"/>
        <v>1</v>
      </c>
      <c r="F1217">
        <f>IF($A1217="","",IF($E1217=1,_xlfn.SUMIFS(Compta!$F$1:$F$1448,Compta!$A$1:$A$1448,$A1217,Compta!$B$1:$B$1448,$B1217,Compta!$C$1:$C$1448,"2026"),0))</f>
        <v>36316</v>
      </c>
      <c r="G1217" t="s">
        <v>274</v>
      </c>
      <c r="H1217" t="s">
        <v>274</v>
      </c>
      <c r="I1217" t="s">
        <v>274</v>
      </c>
      <c r="J1217" t="s">
        <v>274</v>
      </c>
      <c r="K1217" t="s">
        <v>274</v>
      </c>
      <c r="L1217" t="s">
        <v>274</v>
      </c>
      <c r="M1217" t="s">
        <v>274</v>
      </c>
      <c r="N1217" t="e">
        <f t="shared" si="1"/>
        <v>#VALUE!</v>
      </c>
      <c r="O1217" t="e">
        <f t="shared" si="2"/>
        <v>#VALUE!</v>
      </c>
      <c r="P1217" t="e">
        <f>IF($A1217="","",IF($E1217=1,$F1217*$O1217,PNL!G1217))</f>
        <v>#VALUE!</v>
      </c>
      <c r="T1217" t="e">
        <f t="shared" si="3"/>
        <v>#VALUE!</v>
      </c>
    </row>
    <row r="1218" ht="14.25" customHeight="1">
      <c r="A1218" t="str">
        <f>IF(PNL!A1218="","",PNL!A1218)</f>
        <v>ISCOM_LIL</v>
      </c>
      <c r="B1218" t="str">
        <f>IF(PNL!B1218="","",PNL!B1218)</f>
        <v>6063</v>
      </c>
      <c r="C1218" t="str">
        <f>IF(PNL!C1218="","",PNL!C1218)</f>
        <v>2027</v>
      </c>
      <c r="D1218" t="str">
        <f>IF(PNL!D1218="","",PNL!D1218)</f>
        <v>V03</v>
      </c>
      <c r="E1218">
        <f t="shared" si="0"/>
        <v>1</v>
      </c>
      <c r="F1218">
        <f>IF($A1218="","",IF($E1218=1,_xlfn.SUMIFS(Compta!$F$1:$F$1448,Compta!$A$1:$A$1448,$A1218,Compta!$B$1:$B$1448,$B1218,Compta!$C$1:$C$1448,"2026"),0))</f>
        <v>36316</v>
      </c>
      <c r="G1218" t="s">
        <v>274</v>
      </c>
      <c r="H1218" t="s">
        <v>274</v>
      </c>
      <c r="I1218" t="s">
        <v>274</v>
      </c>
      <c r="J1218" t="s">
        <v>274</v>
      </c>
      <c r="K1218" t="s">
        <v>274</v>
      </c>
      <c r="L1218" t="s">
        <v>274</v>
      </c>
      <c r="M1218" t="s">
        <v>274</v>
      </c>
      <c r="N1218" t="e">
        <f t="shared" si="1"/>
        <v>#VALUE!</v>
      </c>
      <c r="O1218" t="e">
        <f t="shared" si="2"/>
        <v>#VALUE!</v>
      </c>
      <c r="P1218" t="e">
        <f>IF($A1218="","",IF($E1218=1,$F1218*$O1218,PNL!G1218))</f>
        <v>#VALUE!</v>
      </c>
      <c r="T1218" t="e">
        <f t="shared" si="3"/>
        <v>#VALUE!</v>
      </c>
    </row>
    <row r="1219" ht="14.25" customHeight="1">
      <c r="A1219" t="str">
        <f>IF(PNL!A1219="","",PNL!A1219)</f>
        <v>ISCOM_TLS</v>
      </c>
      <c r="B1219" t="str">
        <f>IF(PNL!B1219="","",PNL!B1219)</f>
        <v>6063</v>
      </c>
      <c r="C1219" t="str">
        <f>IF(PNL!C1219="","",PNL!C1219)</f>
        <v>2027</v>
      </c>
      <c r="D1219" t="str">
        <f>IF(PNL!D1219="","",PNL!D1219)</f>
        <v>V01</v>
      </c>
      <c r="E1219">
        <f t="shared" si="0"/>
        <v>1</v>
      </c>
      <c r="F1219">
        <f>IF($A1219="","",IF($E1219=1,_xlfn.SUMIFS(Compta!$F$1:$F$1448,Compta!$A$1:$A$1448,$A1219,Compta!$B$1:$B$1448,$B1219,Compta!$C$1:$C$1448,"2026"),0))</f>
        <v>34382</v>
      </c>
      <c r="G1219" t="s">
        <v>274</v>
      </c>
      <c r="H1219" t="s">
        <v>274</v>
      </c>
      <c r="I1219" t="s">
        <v>274</v>
      </c>
      <c r="J1219" t="s">
        <v>274</v>
      </c>
      <c r="K1219" t="s">
        <v>274</v>
      </c>
      <c r="L1219" t="s">
        <v>274</v>
      </c>
      <c r="M1219" t="s">
        <v>274</v>
      </c>
      <c r="N1219" t="e">
        <f t="shared" si="1"/>
        <v>#VALUE!</v>
      </c>
      <c r="O1219" t="e">
        <f t="shared" si="2"/>
        <v>#VALUE!</v>
      </c>
      <c r="P1219" t="e">
        <f>IF($A1219="","",IF($E1219=1,$F1219*$O1219,PNL!G1219))</f>
        <v>#VALUE!</v>
      </c>
      <c r="T1219" t="e">
        <f t="shared" si="3"/>
        <v>#VALUE!</v>
      </c>
    </row>
    <row r="1220" ht="14.25" customHeight="1">
      <c r="A1220" t="str">
        <f>IF(PNL!A1220="","",PNL!A1220)</f>
        <v>ISCOM_TLS</v>
      </c>
      <c r="B1220" t="str">
        <f>IF(PNL!B1220="","",PNL!B1220)</f>
        <v>6063</v>
      </c>
      <c r="C1220" t="str">
        <f>IF(PNL!C1220="","",PNL!C1220)</f>
        <v>2027</v>
      </c>
      <c r="D1220" t="str">
        <f>IF(PNL!D1220="","",PNL!D1220)</f>
        <v>V02</v>
      </c>
      <c r="E1220">
        <f t="shared" si="0"/>
        <v>1</v>
      </c>
      <c r="F1220">
        <f>IF($A1220="","",IF($E1220=1,_xlfn.SUMIFS(Compta!$F$1:$F$1448,Compta!$A$1:$A$1448,$A1220,Compta!$B$1:$B$1448,$B1220,Compta!$C$1:$C$1448,"2026"),0))</f>
        <v>34382</v>
      </c>
      <c r="G1220" t="s">
        <v>274</v>
      </c>
      <c r="H1220" t="s">
        <v>274</v>
      </c>
      <c r="I1220" t="s">
        <v>274</v>
      </c>
      <c r="J1220" t="s">
        <v>274</v>
      </c>
      <c r="K1220" t="s">
        <v>274</v>
      </c>
      <c r="L1220" t="s">
        <v>274</v>
      </c>
      <c r="M1220" t="s">
        <v>274</v>
      </c>
      <c r="N1220" t="e">
        <f t="shared" si="1"/>
        <v>#VALUE!</v>
      </c>
      <c r="O1220" t="e">
        <f t="shared" si="2"/>
        <v>#VALUE!</v>
      </c>
      <c r="P1220" t="e">
        <f>IF($A1220="","",IF($E1220=1,$F1220*$O1220,PNL!G1220))</f>
        <v>#VALUE!</v>
      </c>
      <c r="T1220" t="e">
        <f t="shared" si="3"/>
        <v>#VALUE!</v>
      </c>
    </row>
    <row r="1221" ht="14.25" customHeight="1">
      <c r="A1221" t="str">
        <f>IF(PNL!A1221="","",PNL!A1221)</f>
        <v>ISCOM_TLS</v>
      </c>
      <c r="B1221" t="str">
        <f>IF(PNL!B1221="","",PNL!B1221)</f>
        <v>6063</v>
      </c>
      <c r="C1221" t="str">
        <f>IF(PNL!C1221="","",PNL!C1221)</f>
        <v>2027</v>
      </c>
      <c r="D1221" t="str">
        <f>IF(PNL!D1221="","",PNL!D1221)</f>
        <v>V03</v>
      </c>
      <c r="E1221">
        <f t="shared" si="0"/>
        <v>1</v>
      </c>
      <c r="F1221">
        <f>IF($A1221="","",IF($E1221=1,_xlfn.SUMIFS(Compta!$F$1:$F$1448,Compta!$A$1:$A$1448,$A1221,Compta!$B$1:$B$1448,$B1221,Compta!$C$1:$C$1448,"2026"),0))</f>
        <v>34382</v>
      </c>
      <c r="G1221" t="s">
        <v>274</v>
      </c>
      <c r="H1221" t="s">
        <v>274</v>
      </c>
      <c r="I1221" t="s">
        <v>274</v>
      </c>
      <c r="J1221" t="s">
        <v>274</v>
      </c>
      <c r="K1221" t="s">
        <v>274</v>
      </c>
      <c r="L1221" t="s">
        <v>274</v>
      </c>
      <c r="M1221" t="s">
        <v>274</v>
      </c>
      <c r="N1221" t="e">
        <f t="shared" si="1"/>
        <v>#VALUE!</v>
      </c>
      <c r="O1221" t="e">
        <f t="shared" si="2"/>
        <v>#VALUE!</v>
      </c>
      <c r="P1221" t="e">
        <f>IF($A1221="","",IF($E1221=1,$F1221*$O1221,PNL!G1221))</f>
        <v>#VALUE!</v>
      </c>
      <c r="T1221" t="e">
        <f t="shared" si="3"/>
        <v>#VALUE!</v>
      </c>
    </row>
    <row r="1222" ht="14.25" customHeight="1">
      <c r="A1222" t="str">
        <f>IF(PNL!A1222="","",PNL!A1222)</f>
        <v>IPAC_NAN</v>
      </c>
      <c r="B1222" t="str">
        <f>IF(PNL!B1222="","",PNL!B1222)</f>
        <v>6063</v>
      </c>
      <c r="C1222" t="str">
        <f>IF(PNL!C1222="","",PNL!C1222)</f>
        <v>2027</v>
      </c>
      <c r="D1222" t="str">
        <f>IF(PNL!D1222="","",PNL!D1222)</f>
        <v>V01</v>
      </c>
      <c r="E1222">
        <f t="shared" si="0"/>
        <v>1</v>
      </c>
      <c r="F1222">
        <f>IF($A1222="","",IF($E1222=1,_xlfn.SUMIFS(Compta!$F$1:$F$1448,Compta!$A$1:$A$1448,$A1222,Compta!$B$1:$B$1448,$B1222,Compta!$C$1:$C$1448,"2026"),0))</f>
        <v>21582</v>
      </c>
      <c r="G1222" t="s">
        <v>274</v>
      </c>
      <c r="H1222" t="s">
        <v>274</v>
      </c>
      <c r="I1222" t="s">
        <v>274</v>
      </c>
      <c r="J1222" t="s">
        <v>274</v>
      </c>
      <c r="K1222" t="s">
        <v>274</v>
      </c>
      <c r="L1222" t="s">
        <v>274</v>
      </c>
      <c r="M1222" t="s">
        <v>274</v>
      </c>
      <c r="N1222" t="e">
        <f t="shared" si="1"/>
        <v>#VALUE!</v>
      </c>
      <c r="O1222" t="e">
        <f t="shared" si="2"/>
        <v>#VALUE!</v>
      </c>
      <c r="P1222" t="e">
        <f>IF($A1222="","",IF($E1222=1,$F1222*$O1222,PNL!G1222))</f>
        <v>#VALUE!</v>
      </c>
      <c r="T1222" t="e">
        <f t="shared" si="3"/>
        <v>#VALUE!</v>
      </c>
    </row>
    <row r="1223" ht="14.25" customHeight="1">
      <c r="A1223" t="str">
        <f>IF(PNL!A1223="","",PNL!A1223)</f>
        <v>IPAC_NAN</v>
      </c>
      <c r="B1223" t="str">
        <f>IF(PNL!B1223="","",PNL!B1223)</f>
        <v>6063</v>
      </c>
      <c r="C1223" t="str">
        <f>IF(PNL!C1223="","",PNL!C1223)</f>
        <v>2027</v>
      </c>
      <c r="D1223" t="str">
        <f>IF(PNL!D1223="","",PNL!D1223)</f>
        <v>V02</v>
      </c>
      <c r="E1223">
        <f t="shared" si="0"/>
        <v>1</v>
      </c>
      <c r="F1223">
        <f>IF($A1223="","",IF($E1223=1,_xlfn.SUMIFS(Compta!$F$1:$F$1448,Compta!$A$1:$A$1448,$A1223,Compta!$B$1:$B$1448,$B1223,Compta!$C$1:$C$1448,"2026"),0))</f>
        <v>21582</v>
      </c>
      <c r="G1223" t="s">
        <v>274</v>
      </c>
      <c r="H1223" t="s">
        <v>274</v>
      </c>
      <c r="I1223" t="s">
        <v>274</v>
      </c>
      <c r="J1223" t="s">
        <v>274</v>
      </c>
      <c r="K1223" t="s">
        <v>274</v>
      </c>
      <c r="L1223" t="s">
        <v>274</v>
      </c>
      <c r="M1223" t="s">
        <v>274</v>
      </c>
      <c r="N1223" t="e">
        <f t="shared" si="1"/>
        <v>#VALUE!</v>
      </c>
      <c r="O1223" t="e">
        <f t="shared" si="2"/>
        <v>#VALUE!</v>
      </c>
      <c r="P1223" t="e">
        <f>IF($A1223="","",IF($E1223=1,$F1223*$O1223,PNL!G1223))</f>
        <v>#VALUE!</v>
      </c>
      <c r="T1223" t="e">
        <f t="shared" si="3"/>
        <v>#VALUE!</v>
      </c>
    </row>
    <row r="1224" ht="14.25" customHeight="1">
      <c r="A1224" t="str">
        <f>IF(PNL!A1224="","",PNL!A1224)</f>
        <v>IPAC_NAN</v>
      </c>
      <c r="B1224" t="str">
        <f>IF(PNL!B1224="","",PNL!B1224)</f>
        <v>6063</v>
      </c>
      <c r="C1224" t="str">
        <f>IF(PNL!C1224="","",PNL!C1224)</f>
        <v>2027</v>
      </c>
      <c r="D1224" t="str">
        <f>IF(PNL!D1224="","",PNL!D1224)</f>
        <v>V03</v>
      </c>
      <c r="E1224">
        <f t="shared" si="0"/>
        <v>1</v>
      </c>
      <c r="F1224">
        <f>IF($A1224="","",IF($E1224=1,_xlfn.SUMIFS(Compta!$F$1:$F$1448,Compta!$A$1:$A$1448,$A1224,Compta!$B$1:$B$1448,$B1224,Compta!$C$1:$C$1448,"2026"),0))</f>
        <v>21582</v>
      </c>
      <c r="G1224" t="s">
        <v>274</v>
      </c>
      <c r="H1224" t="s">
        <v>274</v>
      </c>
      <c r="I1224" t="s">
        <v>274</v>
      </c>
      <c r="J1224" t="s">
        <v>274</v>
      </c>
      <c r="K1224" t="s">
        <v>274</v>
      </c>
      <c r="L1224" t="s">
        <v>274</v>
      </c>
      <c r="M1224" t="s">
        <v>274</v>
      </c>
      <c r="N1224" t="e">
        <f t="shared" si="1"/>
        <v>#VALUE!</v>
      </c>
      <c r="O1224" t="e">
        <f t="shared" si="2"/>
        <v>#VALUE!</v>
      </c>
      <c r="P1224" t="e">
        <f>IF($A1224="","",IF($E1224=1,$F1224*$O1224,PNL!G1224))</f>
        <v>#VALUE!</v>
      </c>
      <c r="T1224" t="e">
        <f t="shared" si="3"/>
        <v>#VALUE!</v>
      </c>
    </row>
    <row r="1225" ht="14.25" customHeight="1">
      <c r="A1225" t="str">
        <f>IF(PNL!A1225="","",PNL!A1225)</f>
        <v>IPAC_REN</v>
      </c>
      <c r="B1225" t="str">
        <f>IF(PNL!B1225="","",PNL!B1225)</f>
        <v>6063</v>
      </c>
      <c r="C1225" t="str">
        <f>IF(PNL!C1225="","",PNL!C1225)</f>
        <v>2027</v>
      </c>
      <c r="D1225" t="str">
        <f>IF(PNL!D1225="","",PNL!D1225)</f>
        <v>V01</v>
      </c>
      <c r="E1225">
        <f t="shared" si="0"/>
        <v>1</v>
      </c>
      <c r="F1225">
        <f>IF($A1225="","",IF($E1225=1,_xlfn.SUMIFS(Compta!$F$1:$F$1448,Compta!$A$1:$A$1448,$A1225,Compta!$B$1:$B$1448,$B1225,Compta!$C$1:$C$1448,"2026"),0))</f>
        <v>17414</v>
      </c>
      <c r="G1225" t="s">
        <v>274</v>
      </c>
      <c r="H1225" t="s">
        <v>274</v>
      </c>
      <c r="I1225" t="s">
        <v>274</v>
      </c>
      <c r="J1225" t="s">
        <v>274</v>
      </c>
      <c r="K1225" t="s">
        <v>274</v>
      </c>
      <c r="L1225" t="s">
        <v>274</v>
      </c>
      <c r="M1225" t="s">
        <v>274</v>
      </c>
      <c r="N1225" t="e">
        <f t="shared" si="1"/>
        <v>#VALUE!</v>
      </c>
      <c r="O1225" t="e">
        <f t="shared" si="2"/>
        <v>#VALUE!</v>
      </c>
      <c r="P1225" t="e">
        <f>IF($A1225="","",IF($E1225=1,$F1225*$O1225,PNL!G1225))</f>
        <v>#VALUE!</v>
      </c>
      <c r="T1225" t="e">
        <f t="shared" si="3"/>
        <v>#VALUE!</v>
      </c>
    </row>
    <row r="1226" ht="14.25" customHeight="1">
      <c r="A1226" t="str">
        <f>IF(PNL!A1226="","",PNL!A1226)</f>
        <v>IPAC_REN</v>
      </c>
      <c r="B1226" t="str">
        <f>IF(PNL!B1226="","",PNL!B1226)</f>
        <v>6063</v>
      </c>
      <c r="C1226" t="str">
        <f>IF(PNL!C1226="","",PNL!C1226)</f>
        <v>2027</v>
      </c>
      <c r="D1226" t="str">
        <f>IF(PNL!D1226="","",PNL!D1226)</f>
        <v>V02</v>
      </c>
      <c r="E1226">
        <f t="shared" si="0"/>
        <v>1</v>
      </c>
      <c r="F1226">
        <f>IF($A1226="","",IF($E1226=1,_xlfn.SUMIFS(Compta!$F$1:$F$1448,Compta!$A$1:$A$1448,$A1226,Compta!$B$1:$B$1448,$B1226,Compta!$C$1:$C$1448,"2026"),0))</f>
        <v>17414</v>
      </c>
      <c r="G1226" t="s">
        <v>274</v>
      </c>
      <c r="H1226" t="s">
        <v>274</v>
      </c>
      <c r="I1226" t="s">
        <v>274</v>
      </c>
      <c r="J1226" t="s">
        <v>274</v>
      </c>
      <c r="K1226" t="s">
        <v>274</v>
      </c>
      <c r="L1226" t="s">
        <v>274</v>
      </c>
      <c r="M1226" t="s">
        <v>274</v>
      </c>
      <c r="N1226" t="e">
        <f t="shared" si="1"/>
        <v>#VALUE!</v>
      </c>
      <c r="O1226" t="e">
        <f t="shared" si="2"/>
        <v>#VALUE!</v>
      </c>
      <c r="P1226" t="e">
        <f>IF($A1226="","",IF($E1226=1,$F1226*$O1226,PNL!G1226))</f>
        <v>#VALUE!</v>
      </c>
      <c r="T1226" t="e">
        <f t="shared" si="3"/>
        <v>#VALUE!</v>
      </c>
    </row>
    <row r="1227" ht="14.25" customHeight="1">
      <c r="A1227" t="str">
        <f>IF(PNL!A1227="","",PNL!A1227)</f>
        <v>IPAC_REN</v>
      </c>
      <c r="B1227" t="str">
        <f>IF(PNL!B1227="","",PNL!B1227)</f>
        <v>6063</v>
      </c>
      <c r="C1227" t="str">
        <f>IF(PNL!C1227="","",PNL!C1227)</f>
        <v>2027</v>
      </c>
      <c r="D1227" t="str">
        <f>IF(PNL!D1227="","",PNL!D1227)</f>
        <v>V03</v>
      </c>
      <c r="E1227">
        <f t="shared" si="0"/>
        <v>1</v>
      </c>
      <c r="F1227">
        <f>IF($A1227="","",IF($E1227=1,_xlfn.SUMIFS(Compta!$F$1:$F$1448,Compta!$A$1:$A$1448,$A1227,Compta!$B$1:$B$1448,$B1227,Compta!$C$1:$C$1448,"2026"),0))</f>
        <v>17414</v>
      </c>
      <c r="G1227" t="s">
        <v>274</v>
      </c>
      <c r="H1227" t="s">
        <v>274</v>
      </c>
      <c r="I1227" t="s">
        <v>274</v>
      </c>
      <c r="J1227" t="s">
        <v>274</v>
      </c>
      <c r="K1227" t="s">
        <v>274</v>
      </c>
      <c r="L1227" t="s">
        <v>274</v>
      </c>
      <c r="M1227" t="s">
        <v>274</v>
      </c>
      <c r="N1227" t="e">
        <f t="shared" si="1"/>
        <v>#VALUE!</v>
      </c>
      <c r="O1227" t="e">
        <f t="shared" si="2"/>
        <v>#VALUE!</v>
      </c>
      <c r="P1227" t="e">
        <f>IF($A1227="","",IF($E1227=1,$F1227*$O1227,PNL!G1227))</f>
        <v>#VALUE!</v>
      </c>
      <c r="T1227" t="e">
        <f t="shared" si="3"/>
        <v>#VALUE!</v>
      </c>
    </row>
    <row r="1228" ht="14.25" customHeight="1">
      <c r="A1228" t="str">
        <f>IF(PNL!A1228="","",PNL!A1228)</f>
        <v>IPAC_MTP</v>
      </c>
      <c r="B1228" t="str">
        <f>IF(PNL!B1228="","",PNL!B1228)</f>
        <v>6063</v>
      </c>
      <c r="C1228" t="str">
        <f>IF(PNL!C1228="","",PNL!C1228)</f>
        <v>2027</v>
      </c>
      <c r="D1228" t="str">
        <f>IF(PNL!D1228="","",PNL!D1228)</f>
        <v>V01</v>
      </c>
      <c r="E1228">
        <f t="shared" si="0"/>
        <v>1</v>
      </c>
      <c r="F1228">
        <f>IF($A1228="","",IF($E1228=1,_xlfn.SUMIFS(Compta!$F$1:$F$1448,Compta!$A$1:$A$1448,$A1228,Compta!$B$1:$B$1448,$B1228,Compta!$C$1:$C$1448,"2026"),0))</f>
        <v>17414</v>
      </c>
      <c r="G1228" t="s">
        <v>274</v>
      </c>
      <c r="H1228" t="s">
        <v>274</v>
      </c>
      <c r="I1228" t="s">
        <v>274</v>
      </c>
      <c r="J1228" t="s">
        <v>274</v>
      </c>
      <c r="K1228" t="s">
        <v>274</v>
      </c>
      <c r="L1228" t="s">
        <v>274</v>
      </c>
      <c r="M1228" t="s">
        <v>274</v>
      </c>
      <c r="N1228" t="e">
        <f t="shared" si="1"/>
        <v>#VALUE!</v>
      </c>
      <c r="O1228" t="e">
        <f t="shared" si="2"/>
        <v>#VALUE!</v>
      </c>
      <c r="P1228" t="e">
        <f>IF($A1228="","",IF($E1228=1,$F1228*$O1228,PNL!G1228))</f>
        <v>#VALUE!</v>
      </c>
      <c r="T1228" t="e">
        <f t="shared" si="3"/>
        <v>#VALUE!</v>
      </c>
    </row>
    <row r="1229" ht="14.25" customHeight="1">
      <c r="A1229" t="str">
        <f>IF(PNL!A1229="","",PNL!A1229)</f>
        <v>IPAC_MTP</v>
      </c>
      <c r="B1229" t="str">
        <f>IF(PNL!B1229="","",PNL!B1229)</f>
        <v>6063</v>
      </c>
      <c r="C1229" t="str">
        <f>IF(PNL!C1229="","",PNL!C1229)</f>
        <v>2027</v>
      </c>
      <c r="D1229" t="str">
        <f>IF(PNL!D1229="","",PNL!D1229)</f>
        <v>V02</v>
      </c>
      <c r="E1229">
        <f t="shared" si="0"/>
        <v>1</v>
      </c>
      <c r="F1229">
        <f>IF($A1229="","",IF($E1229=1,_xlfn.SUMIFS(Compta!$F$1:$F$1448,Compta!$A$1:$A$1448,$A1229,Compta!$B$1:$B$1448,$B1229,Compta!$C$1:$C$1448,"2026"),0))</f>
        <v>17414</v>
      </c>
      <c r="G1229" t="s">
        <v>274</v>
      </c>
      <c r="H1229" t="s">
        <v>274</v>
      </c>
      <c r="I1229" t="s">
        <v>274</v>
      </c>
      <c r="J1229" t="s">
        <v>274</v>
      </c>
      <c r="K1229" t="s">
        <v>274</v>
      </c>
      <c r="L1229" t="s">
        <v>274</v>
      </c>
      <c r="M1229" t="s">
        <v>274</v>
      </c>
      <c r="N1229" t="e">
        <f t="shared" si="1"/>
        <v>#VALUE!</v>
      </c>
      <c r="O1229" t="e">
        <f t="shared" si="2"/>
        <v>#VALUE!</v>
      </c>
      <c r="P1229" t="e">
        <f>IF($A1229="","",IF($E1229=1,$F1229*$O1229,PNL!G1229))</f>
        <v>#VALUE!</v>
      </c>
      <c r="T1229" t="e">
        <f t="shared" si="3"/>
        <v>#VALUE!</v>
      </c>
    </row>
    <row r="1230" ht="14.25" customHeight="1">
      <c r="A1230" t="str">
        <f>IF(PNL!A1230="","",PNL!A1230)</f>
        <v>IPAC_MTP</v>
      </c>
      <c r="B1230" t="str">
        <f>IF(PNL!B1230="","",PNL!B1230)</f>
        <v>6063</v>
      </c>
      <c r="C1230" t="str">
        <f>IF(PNL!C1230="","",PNL!C1230)</f>
        <v>2027</v>
      </c>
      <c r="D1230" t="str">
        <f>IF(PNL!D1230="","",PNL!D1230)</f>
        <v>V03</v>
      </c>
      <c r="E1230">
        <f t="shared" si="0"/>
        <v>1</v>
      </c>
      <c r="F1230">
        <f>IF($A1230="","",IF($E1230=1,_xlfn.SUMIFS(Compta!$F$1:$F$1448,Compta!$A$1:$A$1448,$A1230,Compta!$B$1:$B$1448,$B1230,Compta!$C$1:$C$1448,"2026"),0))</f>
        <v>17414</v>
      </c>
      <c r="G1230" t="s">
        <v>274</v>
      </c>
      <c r="H1230" t="s">
        <v>274</v>
      </c>
      <c r="I1230" t="s">
        <v>274</v>
      </c>
      <c r="J1230" t="s">
        <v>274</v>
      </c>
      <c r="K1230" t="s">
        <v>274</v>
      </c>
      <c r="L1230" t="s">
        <v>274</v>
      </c>
      <c r="M1230" t="s">
        <v>274</v>
      </c>
      <c r="N1230" t="e">
        <f t="shared" si="1"/>
        <v>#VALUE!</v>
      </c>
      <c r="O1230" t="e">
        <f t="shared" si="2"/>
        <v>#VALUE!</v>
      </c>
      <c r="P1230" t="e">
        <f>IF($A1230="","",IF($E1230=1,$F1230*$O1230,PNL!G1230))</f>
        <v>#VALUE!</v>
      </c>
      <c r="T1230" t="e">
        <f t="shared" si="3"/>
        <v>#VALUE!</v>
      </c>
    </row>
    <row r="1231" ht="14.25" customHeight="1">
      <c r="A1231" t="str">
        <f>IF(PNL!A1231="","",PNL!A1231)</f>
        <v>PIGIER_LYO</v>
      </c>
      <c r="B1231" t="str">
        <f>IF(PNL!B1231="","",PNL!B1231)</f>
        <v>6063</v>
      </c>
      <c r="C1231" t="str">
        <f>IF(PNL!C1231="","",PNL!C1231)</f>
        <v>2027</v>
      </c>
      <c r="D1231" t="str">
        <f>IF(PNL!D1231="","",PNL!D1231)</f>
        <v>V01</v>
      </c>
      <c r="E1231">
        <f t="shared" si="0"/>
        <v>1</v>
      </c>
      <c r="F1231">
        <f>IF($A1231="","",IF($E1231=1,_xlfn.SUMIFS(Compta!$F$1:$F$1448,Compta!$A$1:$A$1448,$A1231,Compta!$B$1:$B$1448,$B1231,Compta!$C$1:$C$1448,"2026"),0))</f>
        <v>27089</v>
      </c>
      <c r="G1231" t="s">
        <v>274</v>
      </c>
      <c r="H1231" t="s">
        <v>274</v>
      </c>
      <c r="I1231" t="s">
        <v>274</v>
      </c>
      <c r="J1231" t="s">
        <v>274</v>
      </c>
      <c r="K1231" t="s">
        <v>274</v>
      </c>
      <c r="L1231" t="s">
        <v>274</v>
      </c>
      <c r="M1231" t="s">
        <v>274</v>
      </c>
      <c r="N1231" t="e">
        <f t="shared" si="1"/>
        <v>#VALUE!</v>
      </c>
      <c r="O1231" t="e">
        <f t="shared" si="2"/>
        <v>#VALUE!</v>
      </c>
      <c r="P1231" t="e">
        <f>IF($A1231="","",IF($E1231=1,$F1231*$O1231,PNL!G1231))</f>
        <v>#VALUE!</v>
      </c>
      <c r="T1231" t="e">
        <f t="shared" si="3"/>
        <v>#VALUE!</v>
      </c>
    </row>
    <row r="1232" ht="14.25" customHeight="1">
      <c r="A1232" t="str">
        <f>IF(PNL!A1232="","",PNL!A1232)</f>
        <v>PIGIER_LYO</v>
      </c>
      <c r="B1232" t="str">
        <f>IF(PNL!B1232="","",PNL!B1232)</f>
        <v>6063</v>
      </c>
      <c r="C1232" t="str">
        <f>IF(PNL!C1232="","",PNL!C1232)</f>
        <v>2027</v>
      </c>
      <c r="D1232" t="str">
        <f>IF(PNL!D1232="","",PNL!D1232)</f>
        <v>V02</v>
      </c>
      <c r="E1232">
        <f t="shared" si="0"/>
        <v>1</v>
      </c>
      <c r="F1232">
        <f>IF($A1232="","",IF($E1232=1,_xlfn.SUMIFS(Compta!$F$1:$F$1448,Compta!$A$1:$A$1448,$A1232,Compta!$B$1:$B$1448,$B1232,Compta!$C$1:$C$1448,"2026"),0))</f>
        <v>27089</v>
      </c>
      <c r="G1232" t="s">
        <v>274</v>
      </c>
      <c r="H1232" t="s">
        <v>274</v>
      </c>
      <c r="I1232" t="s">
        <v>274</v>
      </c>
      <c r="J1232" t="s">
        <v>274</v>
      </c>
      <c r="K1232" t="s">
        <v>274</v>
      </c>
      <c r="L1232" t="s">
        <v>274</v>
      </c>
      <c r="M1232" t="s">
        <v>274</v>
      </c>
      <c r="N1232" t="e">
        <f t="shared" si="1"/>
        <v>#VALUE!</v>
      </c>
      <c r="O1232" t="e">
        <f t="shared" si="2"/>
        <v>#VALUE!</v>
      </c>
      <c r="P1232" t="e">
        <f>IF($A1232="","",IF($E1232=1,$F1232*$O1232,PNL!G1232))</f>
        <v>#VALUE!</v>
      </c>
      <c r="T1232" t="e">
        <f t="shared" si="3"/>
        <v>#VALUE!</v>
      </c>
    </row>
    <row r="1233" ht="14.25" customHeight="1">
      <c r="A1233" t="str">
        <f>IF(PNL!A1233="","",PNL!A1233)</f>
        <v>PIGIER_LYO</v>
      </c>
      <c r="B1233" t="str">
        <f>IF(PNL!B1233="","",PNL!B1233)</f>
        <v>6063</v>
      </c>
      <c r="C1233" t="str">
        <f>IF(PNL!C1233="","",PNL!C1233)</f>
        <v>2027</v>
      </c>
      <c r="D1233" t="str">
        <f>IF(PNL!D1233="","",PNL!D1233)</f>
        <v>V03</v>
      </c>
      <c r="E1233">
        <f t="shared" si="0"/>
        <v>1</v>
      </c>
      <c r="F1233">
        <f>IF($A1233="","",IF($E1233=1,_xlfn.SUMIFS(Compta!$F$1:$F$1448,Compta!$A$1:$A$1448,$A1233,Compta!$B$1:$B$1448,$B1233,Compta!$C$1:$C$1448,"2026"),0))</f>
        <v>27089</v>
      </c>
      <c r="G1233" t="s">
        <v>274</v>
      </c>
      <c r="H1233" t="s">
        <v>274</v>
      </c>
      <c r="I1233" t="s">
        <v>274</v>
      </c>
      <c r="J1233" t="s">
        <v>274</v>
      </c>
      <c r="K1233" t="s">
        <v>274</v>
      </c>
      <c r="L1233" t="s">
        <v>274</v>
      </c>
      <c r="M1233" t="s">
        <v>274</v>
      </c>
      <c r="N1233" t="e">
        <f t="shared" si="1"/>
        <v>#VALUE!</v>
      </c>
      <c r="O1233" t="e">
        <f t="shared" si="2"/>
        <v>#VALUE!</v>
      </c>
      <c r="P1233" t="e">
        <f>IF($A1233="","",IF($E1233=1,$F1233*$O1233,PNL!G1233))</f>
        <v>#VALUE!</v>
      </c>
      <c r="T1233" t="e">
        <f t="shared" si="3"/>
        <v>#VALUE!</v>
      </c>
    </row>
    <row r="1234" ht="14.25" customHeight="1">
      <c r="A1234" t="str">
        <f>IF(PNL!A1234="","",PNL!A1234)</f>
        <v>PIGIER_BOR</v>
      </c>
      <c r="B1234" t="str">
        <f>IF(PNL!B1234="","",PNL!B1234)</f>
        <v>6063</v>
      </c>
      <c r="C1234" t="str">
        <f>IF(PNL!C1234="","",PNL!C1234)</f>
        <v>2027</v>
      </c>
      <c r="D1234" t="str">
        <f>IF(PNL!D1234="","",PNL!D1234)</f>
        <v>V01</v>
      </c>
      <c r="E1234">
        <f t="shared" si="0"/>
        <v>1</v>
      </c>
      <c r="F1234">
        <f>IF($A1234="","",IF($E1234=1,_xlfn.SUMIFS(Compta!$F$1:$F$1448,Compta!$A$1:$A$1448,$A1234,Compta!$B$1:$B$1448,$B1234,Compta!$C$1:$C$1448,"2026"),0))</f>
        <v>21135</v>
      </c>
      <c r="G1234" t="s">
        <v>274</v>
      </c>
      <c r="H1234" t="s">
        <v>274</v>
      </c>
      <c r="I1234" t="s">
        <v>274</v>
      </c>
      <c r="J1234" t="s">
        <v>274</v>
      </c>
      <c r="K1234" t="s">
        <v>274</v>
      </c>
      <c r="L1234" t="s">
        <v>274</v>
      </c>
      <c r="M1234" t="s">
        <v>274</v>
      </c>
      <c r="N1234" t="e">
        <f t="shared" si="1"/>
        <v>#VALUE!</v>
      </c>
      <c r="O1234" t="e">
        <f t="shared" si="2"/>
        <v>#VALUE!</v>
      </c>
      <c r="P1234" t="e">
        <f>IF($A1234="","",IF($E1234=1,$F1234*$O1234,PNL!G1234))</f>
        <v>#VALUE!</v>
      </c>
      <c r="T1234" t="e">
        <f t="shared" si="3"/>
        <v>#VALUE!</v>
      </c>
    </row>
    <row r="1235" ht="14.25" customHeight="1">
      <c r="A1235" t="str">
        <f>IF(PNL!A1235="","",PNL!A1235)</f>
        <v>PIGIER_BOR</v>
      </c>
      <c r="B1235" t="str">
        <f>IF(PNL!B1235="","",PNL!B1235)</f>
        <v>6063</v>
      </c>
      <c r="C1235" t="str">
        <f>IF(PNL!C1235="","",PNL!C1235)</f>
        <v>2027</v>
      </c>
      <c r="D1235" t="str">
        <f>IF(PNL!D1235="","",PNL!D1235)</f>
        <v>V02</v>
      </c>
      <c r="E1235">
        <f t="shared" si="0"/>
        <v>1</v>
      </c>
      <c r="F1235">
        <f>IF($A1235="","",IF($E1235=1,_xlfn.SUMIFS(Compta!$F$1:$F$1448,Compta!$A$1:$A$1448,$A1235,Compta!$B$1:$B$1448,$B1235,Compta!$C$1:$C$1448,"2026"),0))</f>
        <v>21135</v>
      </c>
      <c r="G1235" t="s">
        <v>274</v>
      </c>
      <c r="H1235" t="s">
        <v>274</v>
      </c>
      <c r="I1235" t="s">
        <v>274</v>
      </c>
      <c r="J1235" t="s">
        <v>274</v>
      </c>
      <c r="K1235" t="s">
        <v>274</v>
      </c>
      <c r="L1235" t="s">
        <v>274</v>
      </c>
      <c r="M1235" t="s">
        <v>274</v>
      </c>
      <c r="N1235" t="e">
        <f t="shared" si="1"/>
        <v>#VALUE!</v>
      </c>
      <c r="O1235" t="e">
        <f t="shared" si="2"/>
        <v>#VALUE!</v>
      </c>
      <c r="P1235" t="e">
        <f>IF($A1235="","",IF($E1235=1,$F1235*$O1235,PNL!G1235))</f>
        <v>#VALUE!</v>
      </c>
      <c r="T1235" t="e">
        <f t="shared" si="3"/>
        <v>#VALUE!</v>
      </c>
    </row>
    <row r="1236" ht="14.25" customHeight="1">
      <c r="A1236" t="str">
        <f>IF(PNL!A1236="","",PNL!A1236)</f>
        <v>PIGIER_BOR</v>
      </c>
      <c r="B1236" t="str">
        <f>IF(PNL!B1236="","",PNL!B1236)</f>
        <v>6063</v>
      </c>
      <c r="C1236" t="str">
        <f>IF(PNL!C1236="","",PNL!C1236)</f>
        <v>2027</v>
      </c>
      <c r="D1236" t="str">
        <f>IF(PNL!D1236="","",PNL!D1236)</f>
        <v>V03</v>
      </c>
      <c r="E1236">
        <f t="shared" si="0"/>
        <v>1</v>
      </c>
      <c r="F1236">
        <f>IF($A1236="","",IF($E1236=1,_xlfn.SUMIFS(Compta!$F$1:$F$1448,Compta!$A$1:$A$1448,$A1236,Compta!$B$1:$B$1448,$B1236,Compta!$C$1:$C$1448,"2026"),0))</f>
        <v>21135</v>
      </c>
      <c r="G1236" t="s">
        <v>274</v>
      </c>
      <c r="H1236" t="s">
        <v>274</v>
      </c>
      <c r="I1236" t="s">
        <v>274</v>
      </c>
      <c r="J1236" t="s">
        <v>274</v>
      </c>
      <c r="K1236" t="s">
        <v>274</v>
      </c>
      <c r="L1236" t="s">
        <v>274</v>
      </c>
      <c r="M1236" t="s">
        <v>274</v>
      </c>
      <c r="N1236" t="e">
        <f t="shared" si="1"/>
        <v>#VALUE!</v>
      </c>
      <c r="O1236" t="e">
        <f t="shared" si="2"/>
        <v>#VALUE!</v>
      </c>
      <c r="P1236" t="e">
        <f>IF($A1236="","",IF($E1236=1,$F1236*$O1236,PNL!G1236))</f>
        <v>#VALUE!</v>
      </c>
      <c r="T1236" t="e">
        <f t="shared" si="3"/>
        <v>#VALUE!</v>
      </c>
    </row>
    <row r="1237" ht="14.25" customHeight="1">
      <c r="A1237" t="str">
        <f>IF(PNL!A1237="","",PNL!A1237)</f>
        <v>TUNON_PAR</v>
      </c>
      <c r="B1237" t="str">
        <f>IF(PNL!B1237="","",PNL!B1237)</f>
        <v>6063</v>
      </c>
      <c r="C1237" t="str">
        <f>IF(PNL!C1237="","",PNL!C1237)</f>
        <v>2027</v>
      </c>
      <c r="D1237" t="str">
        <f>IF(PNL!D1237="","",PNL!D1237)</f>
        <v>V01</v>
      </c>
      <c r="E1237">
        <f t="shared" si="0"/>
        <v>1</v>
      </c>
      <c r="F1237">
        <f>IF($A1237="","",IF($E1237=1,_xlfn.SUMIFS(Compta!$F$1:$F$1448,Compta!$A$1:$A$1448,$A1237,Compta!$B$1:$B$1448,$B1237,Compta!$C$1:$C$1448,"2026"),0))</f>
        <v>20540</v>
      </c>
      <c r="G1237" t="s">
        <v>274</v>
      </c>
      <c r="H1237" t="s">
        <v>274</v>
      </c>
      <c r="I1237" t="s">
        <v>274</v>
      </c>
      <c r="J1237" t="s">
        <v>274</v>
      </c>
      <c r="K1237" t="s">
        <v>274</v>
      </c>
      <c r="L1237" t="s">
        <v>274</v>
      </c>
      <c r="M1237" t="s">
        <v>274</v>
      </c>
      <c r="N1237" t="e">
        <f t="shared" si="1"/>
        <v>#VALUE!</v>
      </c>
      <c r="O1237" t="e">
        <f t="shared" si="2"/>
        <v>#VALUE!</v>
      </c>
      <c r="P1237" t="e">
        <f>IF($A1237="","",IF($E1237=1,$F1237*$O1237,PNL!G1237))</f>
        <v>#VALUE!</v>
      </c>
      <c r="T1237" t="e">
        <f t="shared" si="3"/>
        <v>#VALUE!</v>
      </c>
    </row>
    <row r="1238" ht="14.25" customHeight="1">
      <c r="A1238" t="str">
        <f>IF(PNL!A1238="","",PNL!A1238)</f>
        <v>TUNON_PAR</v>
      </c>
      <c r="B1238" t="str">
        <f>IF(PNL!B1238="","",PNL!B1238)</f>
        <v>6063</v>
      </c>
      <c r="C1238" t="str">
        <f>IF(PNL!C1238="","",PNL!C1238)</f>
        <v>2027</v>
      </c>
      <c r="D1238" t="str">
        <f>IF(PNL!D1238="","",PNL!D1238)</f>
        <v>V02</v>
      </c>
      <c r="E1238">
        <f t="shared" si="0"/>
        <v>1</v>
      </c>
      <c r="F1238">
        <f>IF($A1238="","",IF($E1238=1,_xlfn.SUMIFS(Compta!$F$1:$F$1448,Compta!$A$1:$A$1448,$A1238,Compta!$B$1:$B$1448,$B1238,Compta!$C$1:$C$1448,"2026"),0))</f>
        <v>20540</v>
      </c>
      <c r="G1238" t="s">
        <v>274</v>
      </c>
      <c r="H1238" t="s">
        <v>274</v>
      </c>
      <c r="I1238" t="s">
        <v>274</v>
      </c>
      <c r="J1238" t="s">
        <v>274</v>
      </c>
      <c r="K1238" t="s">
        <v>274</v>
      </c>
      <c r="L1238" t="s">
        <v>274</v>
      </c>
      <c r="M1238" t="s">
        <v>274</v>
      </c>
      <c r="N1238" t="e">
        <f t="shared" si="1"/>
        <v>#VALUE!</v>
      </c>
      <c r="O1238" t="e">
        <f t="shared" si="2"/>
        <v>#VALUE!</v>
      </c>
      <c r="P1238" t="e">
        <f>IF($A1238="","",IF($E1238=1,$F1238*$O1238,PNL!G1238))</f>
        <v>#VALUE!</v>
      </c>
      <c r="T1238" t="e">
        <f t="shared" si="3"/>
        <v>#VALUE!</v>
      </c>
    </row>
    <row r="1239" ht="14.25" customHeight="1">
      <c r="A1239" t="str">
        <f>IF(PNL!A1239="","",PNL!A1239)</f>
        <v>TUNON_PAR</v>
      </c>
      <c r="B1239" t="str">
        <f>IF(PNL!B1239="","",PNL!B1239)</f>
        <v>6063</v>
      </c>
      <c r="C1239" t="str">
        <f>IF(PNL!C1239="","",PNL!C1239)</f>
        <v>2027</v>
      </c>
      <c r="D1239" t="str">
        <f>IF(PNL!D1239="","",PNL!D1239)</f>
        <v>V03</v>
      </c>
      <c r="E1239">
        <f t="shared" si="0"/>
        <v>1</v>
      </c>
      <c r="F1239">
        <f>IF($A1239="","",IF($E1239=1,_xlfn.SUMIFS(Compta!$F$1:$F$1448,Compta!$A$1:$A$1448,$A1239,Compta!$B$1:$B$1448,$B1239,Compta!$C$1:$C$1448,"2026"),0))</f>
        <v>20540</v>
      </c>
      <c r="G1239" t="s">
        <v>274</v>
      </c>
      <c r="H1239" t="s">
        <v>274</v>
      </c>
      <c r="I1239" t="s">
        <v>274</v>
      </c>
      <c r="J1239" t="s">
        <v>274</v>
      </c>
      <c r="K1239" t="s">
        <v>274</v>
      </c>
      <c r="L1239" t="s">
        <v>274</v>
      </c>
      <c r="M1239" t="s">
        <v>274</v>
      </c>
      <c r="N1239" t="e">
        <f t="shared" si="1"/>
        <v>#VALUE!</v>
      </c>
      <c r="O1239" t="e">
        <f t="shared" si="2"/>
        <v>#VALUE!</v>
      </c>
      <c r="P1239" t="e">
        <f>IF($A1239="","",IF($E1239=1,$F1239*$O1239,PNL!G1239))</f>
        <v>#VALUE!</v>
      </c>
      <c r="T1239" t="e">
        <f t="shared" si="3"/>
        <v>#VALUE!</v>
      </c>
    </row>
    <row r="1240" ht="14.25" customHeight="1">
      <c r="A1240" t="str">
        <f>IF(PNL!A1240="","",PNL!A1240)</f>
        <v>TUNON_LYO</v>
      </c>
      <c r="B1240" t="str">
        <f>IF(PNL!B1240="","",PNL!B1240)</f>
        <v>6063</v>
      </c>
      <c r="C1240" t="str">
        <f>IF(PNL!C1240="","",PNL!C1240)</f>
        <v>2027</v>
      </c>
      <c r="D1240" t="str">
        <f>IF(PNL!D1240="","",PNL!D1240)</f>
        <v>V01</v>
      </c>
      <c r="E1240">
        <f t="shared" si="0"/>
        <v>1</v>
      </c>
      <c r="F1240">
        <f>IF($A1240="","",IF($E1240=1,_xlfn.SUMIFS(Compta!$F$1:$F$1448,Compta!$A$1:$A$1448,$A1240,Compta!$B$1:$B$1448,$B1240,Compta!$C$1:$C$1448,"2026"),0))</f>
        <v>17414</v>
      </c>
      <c r="G1240" t="s">
        <v>274</v>
      </c>
      <c r="H1240" t="s">
        <v>274</v>
      </c>
      <c r="I1240" t="s">
        <v>274</v>
      </c>
      <c r="J1240" t="s">
        <v>274</v>
      </c>
      <c r="K1240" t="s">
        <v>274</v>
      </c>
      <c r="L1240" t="s">
        <v>274</v>
      </c>
      <c r="M1240" t="s">
        <v>274</v>
      </c>
      <c r="N1240" t="e">
        <f t="shared" si="1"/>
        <v>#VALUE!</v>
      </c>
      <c r="O1240" t="e">
        <f t="shared" si="2"/>
        <v>#VALUE!</v>
      </c>
      <c r="P1240" t="e">
        <f>IF($A1240="","",IF($E1240=1,$F1240*$O1240,PNL!G1240))</f>
        <v>#VALUE!</v>
      </c>
      <c r="T1240" t="e">
        <f t="shared" si="3"/>
        <v>#VALUE!</v>
      </c>
    </row>
    <row r="1241" ht="14.25" customHeight="1">
      <c r="A1241" t="str">
        <f>IF(PNL!A1241="","",PNL!A1241)</f>
        <v>TUNON_LYO</v>
      </c>
      <c r="B1241" t="str">
        <f>IF(PNL!B1241="","",PNL!B1241)</f>
        <v>6063</v>
      </c>
      <c r="C1241" t="str">
        <f>IF(PNL!C1241="","",PNL!C1241)</f>
        <v>2027</v>
      </c>
      <c r="D1241" t="str">
        <f>IF(PNL!D1241="","",PNL!D1241)</f>
        <v>V02</v>
      </c>
      <c r="E1241">
        <f t="shared" si="0"/>
        <v>1</v>
      </c>
      <c r="F1241">
        <f>IF($A1241="","",IF($E1241=1,_xlfn.SUMIFS(Compta!$F$1:$F$1448,Compta!$A$1:$A$1448,$A1241,Compta!$B$1:$B$1448,$B1241,Compta!$C$1:$C$1448,"2026"),0))</f>
        <v>17414</v>
      </c>
      <c r="G1241" t="s">
        <v>274</v>
      </c>
      <c r="H1241" t="s">
        <v>274</v>
      </c>
      <c r="I1241" t="s">
        <v>274</v>
      </c>
      <c r="J1241" t="s">
        <v>274</v>
      </c>
      <c r="K1241" t="s">
        <v>274</v>
      </c>
      <c r="L1241" t="s">
        <v>274</v>
      </c>
      <c r="M1241" t="s">
        <v>274</v>
      </c>
      <c r="N1241" t="e">
        <f t="shared" si="1"/>
        <v>#VALUE!</v>
      </c>
      <c r="O1241" t="e">
        <f t="shared" si="2"/>
        <v>#VALUE!</v>
      </c>
      <c r="P1241" t="e">
        <f>IF($A1241="","",IF($E1241=1,$F1241*$O1241,PNL!G1241))</f>
        <v>#VALUE!</v>
      </c>
      <c r="T1241" t="e">
        <f t="shared" si="3"/>
        <v>#VALUE!</v>
      </c>
    </row>
    <row r="1242" ht="14.25" customHeight="1">
      <c r="A1242" t="str">
        <f>IF(PNL!A1242="","",PNL!A1242)</f>
        <v>TUNON_LYO</v>
      </c>
      <c r="B1242" t="str">
        <f>IF(PNL!B1242="","",PNL!B1242)</f>
        <v>6063</v>
      </c>
      <c r="C1242" t="str">
        <f>IF(PNL!C1242="","",PNL!C1242)</f>
        <v>2027</v>
      </c>
      <c r="D1242" t="str">
        <f>IF(PNL!D1242="","",PNL!D1242)</f>
        <v>V03</v>
      </c>
      <c r="E1242">
        <f t="shared" si="0"/>
        <v>1</v>
      </c>
      <c r="F1242">
        <f>IF($A1242="","",IF($E1242=1,_xlfn.SUMIFS(Compta!$F$1:$F$1448,Compta!$A$1:$A$1448,$A1242,Compta!$B$1:$B$1448,$B1242,Compta!$C$1:$C$1448,"2026"),0))</f>
        <v>17414</v>
      </c>
      <c r="G1242" t="s">
        <v>274</v>
      </c>
      <c r="H1242" t="s">
        <v>274</v>
      </c>
      <c r="I1242" t="s">
        <v>274</v>
      </c>
      <c r="J1242" t="s">
        <v>274</v>
      </c>
      <c r="K1242" t="s">
        <v>274</v>
      </c>
      <c r="L1242" t="s">
        <v>274</v>
      </c>
      <c r="M1242" t="s">
        <v>274</v>
      </c>
      <c r="N1242" t="e">
        <f t="shared" si="1"/>
        <v>#VALUE!</v>
      </c>
      <c r="O1242" t="e">
        <f t="shared" si="2"/>
        <v>#VALUE!</v>
      </c>
      <c r="P1242" t="e">
        <f>IF($A1242="","",IF($E1242=1,$F1242*$O1242,PNL!G1242))</f>
        <v>#VALUE!</v>
      </c>
      <c r="T1242" t="e">
        <f t="shared" si="3"/>
        <v>#VALUE!</v>
      </c>
    </row>
    <row r="1243" ht="14.25" customHeight="1">
      <c r="A1243" t="str">
        <f>IF(PNL!A1243="","",PNL!A1243)</f>
        <v>MBWAY_PAR</v>
      </c>
      <c r="B1243" t="str">
        <f>IF(PNL!B1243="","",PNL!B1243)</f>
        <v>6231</v>
      </c>
      <c r="C1243" t="str">
        <f>IF(PNL!C1243="","",PNL!C1243)</f>
        <v>2027</v>
      </c>
      <c r="D1243" t="str">
        <f>IF(PNL!D1243="","",PNL!D1243)</f>
        <v>V01</v>
      </c>
      <c r="E1243">
        <f t="shared" si="0"/>
        <v>1</v>
      </c>
      <c r="F1243">
        <f>IF($A1243="","",IF($E1243=1,_xlfn.SUMIFS(Compta!$F$1:$F$1448,Compta!$A$1:$A$1448,$A1243,Compta!$B$1:$B$1448,$B1243,Compta!$C$1:$C$1448,"2026"),0))</f>
        <v>68291</v>
      </c>
      <c r="G1243" t="s">
        <v>274</v>
      </c>
      <c r="H1243" t="s">
        <v>274</v>
      </c>
      <c r="I1243" t="s">
        <v>274</v>
      </c>
      <c r="J1243" t="s">
        <v>274</v>
      </c>
      <c r="K1243" t="s">
        <v>274</v>
      </c>
      <c r="L1243" t="s">
        <v>274</v>
      </c>
      <c r="M1243" t="s">
        <v>274</v>
      </c>
      <c r="N1243" t="e">
        <f t="shared" si="1"/>
        <v>#VALUE!</v>
      </c>
      <c r="O1243" t="e">
        <f t="shared" si="2"/>
        <v>#VALUE!</v>
      </c>
      <c r="P1243" t="e">
        <f>IF($A1243="","",IF($E1243=1,$F1243*$O1243,PNL!G1243))</f>
        <v>#VALUE!</v>
      </c>
      <c r="T1243" t="e">
        <f t="shared" si="3"/>
        <v>#VALUE!</v>
      </c>
    </row>
    <row r="1244" ht="14.25" customHeight="1">
      <c r="A1244" t="str">
        <f>IF(PNL!A1244="","",PNL!A1244)</f>
        <v>MBWAY_PAR</v>
      </c>
      <c r="B1244" t="str">
        <f>IF(PNL!B1244="","",PNL!B1244)</f>
        <v>6231</v>
      </c>
      <c r="C1244" t="str">
        <f>IF(PNL!C1244="","",PNL!C1244)</f>
        <v>2027</v>
      </c>
      <c r="D1244" t="str">
        <f>IF(PNL!D1244="","",PNL!D1244)</f>
        <v>V02</v>
      </c>
      <c r="E1244">
        <f t="shared" si="0"/>
        <v>1</v>
      </c>
      <c r="F1244">
        <f>IF($A1244="","",IF($E1244=1,_xlfn.SUMIFS(Compta!$F$1:$F$1448,Compta!$A$1:$A$1448,$A1244,Compta!$B$1:$B$1448,$B1244,Compta!$C$1:$C$1448,"2026"),0))</f>
        <v>68291</v>
      </c>
      <c r="G1244" t="s">
        <v>274</v>
      </c>
      <c r="H1244" t="s">
        <v>274</v>
      </c>
      <c r="I1244" t="s">
        <v>274</v>
      </c>
      <c r="J1244" t="s">
        <v>274</v>
      </c>
      <c r="K1244" t="s">
        <v>274</v>
      </c>
      <c r="L1244" t="s">
        <v>274</v>
      </c>
      <c r="M1244" t="s">
        <v>274</v>
      </c>
      <c r="N1244" t="e">
        <f t="shared" si="1"/>
        <v>#VALUE!</v>
      </c>
      <c r="O1244" t="e">
        <f t="shared" si="2"/>
        <v>#VALUE!</v>
      </c>
      <c r="P1244" t="e">
        <f>IF($A1244="","",IF($E1244=1,$F1244*$O1244,PNL!G1244))</f>
        <v>#VALUE!</v>
      </c>
      <c r="T1244" t="e">
        <f t="shared" si="3"/>
        <v>#VALUE!</v>
      </c>
    </row>
    <row r="1245" ht="14.25" customHeight="1">
      <c r="A1245" t="str">
        <f>IF(PNL!A1245="","",PNL!A1245)</f>
        <v>MBWAY_PAR</v>
      </c>
      <c r="B1245" t="str">
        <f>IF(PNL!B1245="","",PNL!B1245)</f>
        <v>6231</v>
      </c>
      <c r="C1245" t="str">
        <f>IF(PNL!C1245="","",PNL!C1245)</f>
        <v>2027</v>
      </c>
      <c r="D1245" t="str">
        <f>IF(PNL!D1245="","",PNL!D1245)</f>
        <v>V03</v>
      </c>
      <c r="E1245">
        <f t="shared" si="0"/>
        <v>1</v>
      </c>
      <c r="F1245">
        <f>IF($A1245="","",IF($E1245=1,_xlfn.SUMIFS(Compta!$F$1:$F$1448,Compta!$A$1:$A$1448,$A1245,Compta!$B$1:$B$1448,$B1245,Compta!$C$1:$C$1448,"2026"),0))</f>
        <v>68291</v>
      </c>
      <c r="G1245" t="s">
        <v>274</v>
      </c>
      <c r="H1245" t="s">
        <v>274</v>
      </c>
      <c r="I1245" t="s">
        <v>274</v>
      </c>
      <c r="J1245" t="s">
        <v>274</v>
      </c>
      <c r="K1245" t="s">
        <v>274</v>
      </c>
      <c r="L1245" t="s">
        <v>274</v>
      </c>
      <c r="M1245" t="s">
        <v>274</v>
      </c>
      <c r="N1245" t="e">
        <f t="shared" si="1"/>
        <v>#VALUE!</v>
      </c>
      <c r="O1245" t="e">
        <f t="shared" si="2"/>
        <v>#VALUE!</v>
      </c>
      <c r="P1245" t="e">
        <f>IF($A1245="","",IF($E1245=1,$F1245*$O1245,PNL!G1245))</f>
        <v>#VALUE!</v>
      </c>
      <c r="T1245" t="e">
        <f t="shared" si="3"/>
        <v>#VALUE!</v>
      </c>
    </row>
    <row r="1246" ht="14.25" customHeight="1">
      <c r="A1246" t="str">
        <f>IF(PNL!A1246="","",PNL!A1246)</f>
        <v>MBWAY_LYO</v>
      </c>
      <c r="B1246" t="str">
        <f>IF(PNL!B1246="","",PNL!B1246)</f>
        <v>6231</v>
      </c>
      <c r="C1246" t="str">
        <f>IF(PNL!C1246="","",PNL!C1246)</f>
        <v>2027</v>
      </c>
      <c r="D1246" t="str">
        <f>IF(PNL!D1246="","",PNL!D1246)</f>
        <v>V01</v>
      </c>
      <c r="E1246">
        <f t="shared" si="0"/>
        <v>1</v>
      </c>
      <c r="F1246">
        <f>IF($A1246="","",IF($E1246=1,_xlfn.SUMIFS(Compta!$F$1:$F$1448,Compta!$A$1:$A$1448,$A1246,Compta!$B$1:$B$1448,$B1246,Compta!$C$1:$C$1448,"2026"),0))</f>
        <v>41783</v>
      </c>
      <c r="G1246" t="s">
        <v>274</v>
      </c>
      <c r="H1246" t="s">
        <v>274</v>
      </c>
      <c r="I1246" t="s">
        <v>274</v>
      </c>
      <c r="J1246" t="s">
        <v>274</v>
      </c>
      <c r="K1246" t="s">
        <v>274</v>
      </c>
      <c r="L1246" t="s">
        <v>274</v>
      </c>
      <c r="M1246" t="s">
        <v>274</v>
      </c>
      <c r="N1246" t="e">
        <f t="shared" si="1"/>
        <v>#VALUE!</v>
      </c>
      <c r="O1246" t="e">
        <f t="shared" si="2"/>
        <v>#VALUE!</v>
      </c>
      <c r="P1246" t="e">
        <f>IF($A1246="","",IF($E1246=1,$F1246*$O1246,PNL!G1246))</f>
        <v>#VALUE!</v>
      </c>
      <c r="T1246" t="e">
        <f t="shared" si="3"/>
        <v>#VALUE!</v>
      </c>
    </row>
    <row r="1247" ht="14.25" customHeight="1">
      <c r="A1247" t="str">
        <f>IF(PNL!A1247="","",PNL!A1247)</f>
        <v>MBWAY_LYO</v>
      </c>
      <c r="B1247" t="str">
        <f>IF(PNL!B1247="","",PNL!B1247)</f>
        <v>6231</v>
      </c>
      <c r="C1247" t="str">
        <f>IF(PNL!C1247="","",PNL!C1247)</f>
        <v>2027</v>
      </c>
      <c r="D1247" t="str">
        <f>IF(PNL!D1247="","",PNL!D1247)</f>
        <v>V02</v>
      </c>
      <c r="E1247">
        <f t="shared" si="0"/>
        <v>1</v>
      </c>
      <c r="F1247">
        <f>IF($A1247="","",IF($E1247=1,_xlfn.SUMIFS(Compta!$F$1:$F$1448,Compta!$A$1:$A$1448,$A1247,Compta!$B$1:$B$1448,$B1247,Compta!$C$1:$C$1448,"2026"),0))</f>
        <v>41783</v>
      </c>
      <c r="G1247" t="s">
        <v>274</v>
      </c>
      <c r="H1247" t="s">
        <v>274</v>
      </c>
      <c r="I1247" t="s">
        <v>274</v>
      </c>
      <c r="J1247" t="s">
        <v>274</v>
      </c>
      <c r="K1247" t="s">
        <v>274</v>
      </c>
      <c r="L1247" t="s">
        <v>274</v>
      </c>
      <c r="M1247" t="s">
        <v>274</v>
      </c>
      <c r="N1247" t="e">
        <f t="shared" si="1"/>
        <v>#VALUE!</v>
      </c>
      <c r="O1247" t="e">
        <f t="shared" si="2"/>
        <v>#VALUE!</v>
      </c>
      <c r="P1247" t="e">
        <f>IF($A1247="","",IF($E1247=1,$F1247*$O1247,PNL!G1247))</f>
        <v>#VALUE!</v>
      </c>
      <c r="T1247" t="e">
        <f t="shared" si="3"/>
        <v>#VALUE!</v>
      </c>
    </row>
    <row r="1248" ht="14.25" customHeight="1">
      <c r="A1248" t="str">
        <f>IF(PNL!A1248="","",PNL!A1248)</f>
        <v>MBWAY_LYO</v>
      </c>
      <c r="B1248" t="str">
        <f>IF(PNL!B1248="","",PNL!B1248)</f>
        <v>6231</v>
      </c>
      <c r="C1248" t="str">
        <f>IF(PNL!C1248="","",PNL!C1248)</f>
        <v>2027</v>
      </c>
      <c r="D1248" t="str">
        <f>IF(PNL!D1248="","",PNL!D1248)</f>
        <v>V03</v>
      </c>
      <c r="E1248">
        <f t="shared" si="0"/>
        <v>1</v>
      </c>
      <c r="F1248">
        <f>IF($A1248="","",IF($E1248=1,_xlfn.SUMIFS(Compta!$F$1:$F$1448,Compta!$A$1:$A$1448,$A1248,Compta!$B$1:$B$1448,$B1248,Compta!$C$1:$C$1448,"2026"),0))</f>
        <v>41783</v>
      </c>
      <c r="G1248" t="s">
        <v>274</v>
      </c>
      <c r="H1248" t="s">
        <v>274</v>
      </c>
      <c r="I1248" t="s">
        <v>274</v>
      </c>
      <c r="J1248" t="s">
        <v>274</v>
      </c>
      <c r="K1248" t="s">
        <v>274</v>
      </c>
      <c r="L1248" t="s">
        <v>274</v>
      </c>
      <c r="M1248" t="s">
        <v>274</v>
      </c>
      <c r="N1248" t="e">
        <f t="shared" si="1"/>
        <v>#VALUE!</v>
      </c>
      <c r="O1248" t="e">
        <f t="shared" si="2"/>
        <v>#VALUE!</v>
      </c>
      <c r="P1248" t="e">
        <f>IF($A1248="","",IF($E1248=1,$F1248*$O1248,PNL!G1248))</f>
        <v>#VALUE!</v>
      </c>
      <c r="T1248" t="e">
        <f t="shared" si="3"/>
        <v>#VALUE!</v>
      </c>
    </row>
    <row r="1249" ht="14.25" customHeight="1">
      <c r="A1249" t="str">
        <f>IF(PNL!A1249="","",PNL!A1249)</f>
        <v>MBWAY_NAN</v>
      </c>
      <c r="B1249" t="str">
        <f>IF(PNL!B1249="","",PNL!B1249)</f>
        <v>6231</v>
      </c>
      <c r="C1249" t="str">
        <f>IF(PNL!C1249="","",PNL!C1249)</f>
        <v>2027</v>
      </c>
      <c r="D1249" t="str">
        <f>IF(PNL!D1249="","",PNL!D1249)</f>
        <v>V01</v>
      </c>
      <c r="E1249">
        <f t="shared" si="0"/>
        <v>1</v>
      </c>
      <c r="F1249">
        <f>IF($A1249="","",IF($E1249=1,_xlfn.SUMIFS(Compta!$F$1:$F$1448,Compta!$A$1:$A$1448,$A1249,Compta!$B$1:$B$1448,$B1249,Compta!$C$1:$C$1448,"2026"),0))</f>
        <v>31533</v>
      </c>
      <c r="G1249" t="s">
        <v>274</v>
      </c>
      <c r="H1249" t="s">
        <v>274</v>
      </c>
      <c r="I1249" t="s">
        <v>274</v>
      </c>
      <c r="J1249" t="s">
        <v>274</v>
      </c>
      <c r="K1249" t="s">
        <v>274</v>
      </c>
      <c r="L1249" t="s">
        <v>274</v>
      </c>
      <c r="M1249" t="s">
        <v>274</v>
      </c>
      <c r="N1249" t="e">
        <f t="shared" si="1"/>
        <v>#VALUE!</v>
      </c>
      <c r="O1249" t="e">
        <f t="shared" si="2"/>
        <v>#VALUE!</v>
      </c>
      <c r="P1249" t="e">
        <f>IF($A1249="","",IF($E1249=1,$F1249*$O1249,PNL!G1249))</f>
        <v>#VALUE!</v>
      </c>
      <c r="T1249" t="e">
        <f t="shared" si="3"/>
        <v>#VALUE!</v>
      </c>
    </row>
    <row r="1250" ht="14.25" customHeight="1">
      <c r="A1250" t="str">
        <f>IF(PNL!A1250="","",PNL!A1250)</f>
        <v>MBWAY_NAN</v>
      </c>
      <c r="B1250" t="str">
        <f>IF(PNL!B1250="","",PNL!B1250)</f>
        <v>6231</v>
      </c>
      <c r="C1250" t="str">
        <f>IF(PNL!C1250="","",PNL!C1250)</f>
        <v>2027</v>
      </c>
      <c r="D1250" t="str">
        <f>IF(PNL!D1250="","",PNL!D1250)</f>
        <v>V02</v>
      </c>
      <c r="E1250">
        <f t="shared" si="0"/>
        <v>1</v>
      </c>
      <c r="F1250">
        <f>IF($A1250="","",IF($E1250=1,_xlfn.SUMIFS(Compta!$F$1:$F$1448,Compta!$A$1:$A$1448,$A1250,Compta!$B$1:$B$1448,$B1250,Compta!$C$1:$C$1448,"2026"),0))</f>
        <v>31533</v>
      </c>
      <c r="G1250" t="s">
        <v>274</v>
      </c>
      <c r="H1250" t="s">
        <v>274</v>
      </c>
      <c r="I1250" t="s">
        <v>274</v>
      </c>
      <c r="J1250" t="s">
        <v>274</v>
      </c>
      <c r="K1250" t="s">
        <v>274</v>
      </c>
      <c r="L1250" t="s">
        <v>274</v>
      </c>
      <c r="M1250" t="s">
        <v>274</v>
      </c>
      <c r="N1250" t="e">
        <f t="shared" si="1"/>
        <v>#VALUE!</v>
      </c>
      <c r="O1250" t="e">
        <f t="shared" si="2"/>
        <v>#VALUE!</v>
      </c>
      <c r="P1250" t="e">
        <f>IF($A1250="","",IF($E1250=1,$F1250*$O1250,PNL!G1250))</f>
        <v>#VALUE!</v>
      </c>
      <c r="T1250" t="e">
        <f t="shared" si="3"/>
        <v>#VALUE!</v>
      </c>
    </row>
    <row r="1251" ht="14.25" customHeight="1">
      <c r="A1251" t="str">
        <f>IF(PNL!A1251="","",PNL!A1251)</f>
        <v>MBWAY_NAN</v>
      </c>
      <c r="B1251" t="str">
        <f>IF(PNL!B1251="","",PNL!B1251)</f>
        <v>6231</v>
      </c>
      <c r="C1251" t="str">
        <f>IF(PNL!C1251="","",PNL!C1251)</f>
        <v>2027</v>
      </c>
      <c r="D1251" t="str">
        <f>IF(PNL!D1251="","",PNL!D1251)</f>
        <v>V03</v>
      </c>
      <c r="E1251">
        <f t="shared" si="0"/>
        <v>1</v>
      </c>
      <c r="F1251">
        <f>IF($A1251="","",IF($E1251=1,_xlfn.SUMIFS(Compta!$F$1:$F$1448,Compta!$A$1:$A$1448,$A1251,Compta!$B$1:$B$1448,$B1251,Compta!$C$1:$C$1448,"2026"),0))</f>
        <v>31533</v>
      </c>
      <c r="G1251" t="s">
        <v>274</v>
      </c>
      <c r="H1251" t="s">
        <v>274</v>
      </c>
      <c r="I1251" t="s">
        <v>274</v>
      </c>
      <c r="J1251" t="s">
        <v>274</v>
      </c>
      <c r="K1251" t="s">
        <v>274</v>
      </c>
      <c r="L1251" t="s">
        <v>274</v>
      </c>
      <c r="M1251" t="s">
        <v>274</v>
      </c>
      <c r="N1251" t="e">
        <f t="shared" si="1"/>
        <v>#VALUE!</v>
      </c>
      <c r="O1251" t="e">
        <f t="shared" si="2"/>
        <v>#VALUE!</v>
      </c>
      <c r="P1251" t="e">
        <f>IF($A1251="","",IF($E1251=1,$F1251*$O1251,PNL!G1251))</f>
        <v>#VALUE!</v>
      </c>
      <c r="T1251" t="e">
        <f t="shared" si="3"/>
        <v>#VALUE!</v>
      </c>
    </row>
    <row r="1252" ht="14.25" customHeight="1">
      <c r="A1252" t="str">
        <f>IF(PNL!A1252="","",PNL!A1252)</f>
        <v>MBWAY_BOR</v>
      </c>
      <c r="B1252" t="str">
        <f>IF(PNL!B1252="","",PNL!B1252)</f>
        <v>6231</v>
      </c>
      <c r="C1252" t="str">
        <f>IF(PNL!C1252="","",PNL!C1252)</f>
        <v>2027</v>
      </c>
      <c r="D1252" t="str">
        <f>IF(PNL!D1252="","",PNL!D1252)</f>
        <v>V01</v>
      </c>
      <c r="E1252">
        <f t="shared" si="0"/>
        <v>1</v>
      </c>
      <c r="F1252">
        <f>IF($A1252="","",IF($E1252=1,_xlfn.SUMIFS(Compta!$F$1:$F$1448,Compta!$A$1:$A$1448,$A1252,Compta!$B$1:$B$1448,$B1252,Compta!$C$1:$C$1448,"2026"),0))</f>
        <v>24923</v>
      </c>
      <c r="G1252" t="s">
        <v>274</v>
      </c>
      <c r="H1252" t="s">
        <v>274</v>
      </c>
      <c r="I1252" t="s">
        <v>274</v>
      </c>
      <c r="J1252" t="s">
        <v>274</v>
      </c>
      <c r="K1252" t="s">
        <v>274</v>
      </c>
      <c r="L1252" t="s">
        <v>274</v>
      </c>
      <c r="M1252" t="s">
        <v>274</v>
      </c>
      <c r="N1252" t="e">
        <f t="shared" si="1"/>
        <v>#VALUE!</v>
      </c>
      <c r="O1252" t="e">
        <f t="shared" si="2"/>
        <v>#VALUE!</v>
      </c>
      <c r="P1252" t="e">
        <f>IF($A1252="","",IF($E1252=1,$F1252*$O1252,PNL!G1252))</f>
        <v>#VALUE!</v>
      </c>
      <c r="T1252" t="e">
        <f t="shared" si="3"/>
        <v>#VALUE!</v>
      </c>
    </row>
    <row r="1253" ht="14.25" customHeight="1">
      <c r="A1253" t="str">
        <f>IF(PNL!A1253="","",PNL!A1253)</f>
        <v>MBWAY_BOR</v>
      </c>
      <c r="B1253" t="str">
        <f>IF(PNL!B1253="","",PNL!B1253)</f>
        <v>6231</v>
      </c>
      <c r="C1253" t="str">
        <f>IF(PNL!C1253="","",PNL!C1253)</f>
        <v>2027</v>
      </c>
      <c r="D1253" t="str">
        <f>IF(PNL!D1253="","",PNL!D1253)</f>
        <v>V02</v>
      </c>
      <c r="E1253">
        <f t="shared" si="0"/>
        <v>1</v>
      </c>
      <c r="F1253">
        <f>IF($A1253="","",IF($E1253=1,_xlfn.SUMIFS(Compta!$F$1:$F$1448,Compta!$A$1:$A$1448,$A1253,Compta!$B$1:$B$1448,$B1253,Compta!$C$1:$C$1448,"2026"),0))</f>
        <v>24923</v>
      </c>
      <c r="G1253" t="s">
        <v>274</v>
      </c>
      <c r="H1253" t="s">
        <v>274</v>
      </c>
      <c r="I1253" t="s">
        <v>274</v>
      </c>
      <c r="J1253" t="s">
        <v>274</v>
      </c>
      <c r="K1253" t="s">
        <v>274</v>
      </c>
      <c r="L1253" t="s">
        <v>274</v>
      </c>
      <c r="M1253" t="s">
        <v>274</v>
      </c>
      <c r="N1253" t="e">
        <f t="shared" si="1"/>
        <v>#VALUE!</v>
      </c>
      <c r="O1253" t="e">
        <f t="shared" si="2"/>
        <v>#VALUE!</v>
      </c>
      <c r="P1253" t="e">
        <f>IF($A1253="","",IF($E1253=1,$F1253*$O1253,PNL!G1253))</f>
        <v>#VALUE!</v>
      </c>
      <c r="T1253" t="e">
        <f t="shared" si="3"/>
        <v>#VALUE!</v>
      </c>
    </row>
    <row r="1254" ht="14.25" customHeight="1">
      <c r="A1254" t="str">
        <f>IF(PNL!A1254="","",PNL!A1254)</f>
        <v>MBWAY_BOR</v>
      </c>
      <c r="B1254" t="str">
        <f>IF(PNL!B1254="","",PNL!B1254)</f>
        <v>6231</v>
      </c>
      <c r="C1254" t="str">
        <f>IF(PNL!C1254="","",PNL!C1254)</f>
        <v>2027</v>
      </c>
      <c r="D1254" t="str">
        <f>IF(PNL!D1254="","",PNL!D1254)</f>
        <v>V03</v>
      </c>
      <c r="E1254">
        <f t="shared" si="0"/>
        <v>1</v>
      </c>
      <c r="F1254">
        <f>IF($A1254="","",IF($E1254=1,_xlfn.SUMIFS(Compta!$F$1:$F$1448,Compta!$A$1:$A$1448,$A1254,Compta!$B$1:$B$1448,$B1254,Compta!$C$1:$C$1448,"2026"),0))</f>
        <v>24923</v>
      </c>
      <c r="G1254" t="s">
        <v>274</v>
      </c>
      <c r="H1254" t="s">
        <v>274</v>
      </c>
      <c r="I1254" t="s">
        <v>274</v>
      </c>
      <c r="J1254" t="s">
        <v>274</v>
      </c>
      <c r="K1254" t="s">
        <v>274</v>
      </c>
      <c r="L1254" t="s">
        <v>274</v>
      </c>
      <c r="M1254" t="s">
        <v>274</v>
      </c>
      <c r="N1254" t="e">
        <f t="shared" si="1"/>
        <v>#VALUE!</v>
      </c>
      <c r="O1254" t="e">
        <f t="shared" si="2"/>
        <v>#VALUE!</v>
      </c>
      <c r="P1254" t="e">
        <f>IF($A1254="","",IF($E1254=1,$F1254*$O1254,PNL!G1254))</f>
        <v>#VALUE!</v>
      </c>
      <c r="T1254" t="e">
        <f t="shared" si="3"/>
        <v>#VALUE!</v>
      </c>
    </row>
    <row r="1255" ht="14.25" customHeight="1">
      <c r="A1255" t="str">
        <f>IF(PNL!A1255="","",PNL!A1255)</f>
        <v>ISCOM_PAR</v>
      </c>
      <c r="B1255" t="str">
        <f>IF(PNL!B1255="","",PNL!B1255)</f>
        <v>6231</v>
      </c>
      <c r="C1255" t="str">
        <f>IF(PNL!C1255="","",PNL!C1255)</f>
        <v>2027</v>
      </c>
      <c r="D1255" t="str">
        <f>IF(PNL!D1255="","",PNL!D1255)</f>
        <v>V01</v>
      </c>
      <c r="E1255">
        <f t="shared" si="0"/>
        <v>1</v>
      </c>
      <c r="F1255">
        <f>IF($A1255="","",IF($E1255=1,_xlfn.SUMIFS(Compta!$F$1:$F$1448,Compta!$A$1:$A$1448,$A1255,Compta!$B$1:$B$1448,$B1255,Compta!$C$1:$C$1448,"2026"),0))</f>
        <v>60800</v>
      </c>
      <c r="G1255" t="s">
        <v>274</v>
      </c>
      <c r="H1255" t="s">
        <v>274</v>
      </c>
      <c r="I1255" t="s">
        <v>274</v>
      </c>
      <c r="J1255" t="s">
        <v>274</v>
      </c>
      <c r="K1255" t="s">
        <v>274</v>
      </c>
      <c r="L1255" t="s">
        <v>274</v>
      </c>
      <c r="M1255" t="s">
        <v>274</v>
      </c>
      <c r="N1255" t="e">
        <f t="shared" si="1"/>
        <v>#VALUE!</v>
      </c>
      <c r="O1255" t="e">
        <f t="shared" si="2"/>
        <v>#VALUE!</v>
      </c>
      <c r="P1255" t="e">
        <f>IF($A1255="","",IF($E1255=1,$F1255*$O1255,PNL!G1255))</f>
        <v>#VALUE!</v>
      </c>
      <c r="T1255" t="e">
        <f t="shared" si="3"/>
        <v>#VALUE!</v>
      </c>
    </row>
    <row r="1256" ht="14.25" customHeight="1">
      <c r="A1256" t="str">
        <f>IF(PNL!A1256="","",PNL!A1256)</f>
        <v>ISCOM_PAR</v>
      </c>
      <c r="B1256" t="str">
        <f>IF(PNL!B1256="","",PNL!B1256)</f>
        <v>6231</v>
      </c>
      <c r="C1256" t="str">
        <f>IF(PNL!C1256="","",PNL!C1256)</f>
        <v>2027</v>
      </c>
      <c r="D1256" t="str">
        <f>IF(PNL!D1256="","",PNL!D1256)</f>
        <v>V02</v>
      </c>
      <c r="E1256">
        <f t="shared" si="0"/>
        <v>1</v>
      </c>
      <c r="F1256">
        <f>IF($A1256="","",IF($E1256=1,_xlfn.SUMIFS(Compta!$F$1:$F$1448,Compta!$A$1:$A$1448,$A1256,Compta!$B$1:$B$1448,$B1256,Compta!$C$1:$C$1448,"2026"),0))</f>
        <v>60800</v>
      </c>
      <c r="G1256" t="s">
        <v>274</v>
      </c>
      <c r="H1256" t="s">
        <v>274</v>
      </c>
      <c r="I1256" t="s">
        <v>274</v>
      </c>
      <c r="J1256" t="s">
        <v>274</v>
      </c>
      <c r="K1256" t="s">
        <v>274</v>
      </c>
      <c r="L1256" t="s">
        <v>274</v>
      </c>
      <c r="M1256" t="s">
        <v>274</v>
      </c>
      <c r="N1256" t="e">
        <f t="shared" si="1"/>
        <v>#VALUE!</v>
      </c>
      <c r="O1256" t="e">
        <f t="shared" si="2"/>
        <v>#VALUE!</v>
      </c>
      <c r="P1256" t="e">
        <f>IF($A1256="","",IF($E1256=1,$F1256*$O1256,PNL!G1256))</f>
        <v>#VALUE!</v>
      </c>
      <c r="T1256" t="e">
        <f t="shared" si="3"/>
        <v>#VALUE!</v>
      </c>
    </row>
    <row r="1257" ht="14.25" customHeight="1">
      <c r="A1257" t="str">
        <f>IF(PNL!A1257="","",PNL!A1257)</f>
        <v>ISCOM_PAR</v>
      </c>
      <c r="B1257" t="str">
        <f>IF(PNL!B1257="","",PNL!B1257)</f>
        <v>6231</v>
      </c>
      <c r="C1257" t="str">
        <f>IF(PNL!C1257="","",PNL!C1257)</f>
        <v>2027</v>
      </c>
      <c r="D1257" t="str">
        <f>IF(PNL!D1257="","",PNL!D1257)</f>
        <v>V03</v>
      </c>
      <c r="E1257">
        <f t="shared" si="0"/>
        <v>1</v>
      </c>
      <c r="F1257">
        <f>IF($A1257="","",IF($E1257=1,_xlfn.SUMIFS(Compta!$F$1:$F$1448,Compta!$A$1:$A$1448,$A1257,Compta!$B$1:$B$1448,$B1257,Compta!$C$1:$C$1448,"2026"),0))</f>
        <v>60800</v>
      </c>
      <c r="G1257" t="s">
        <v>274</v>
      </c>
      <c r="H1257" t="s">
        <v>274</v>
      </c>
      <c r="I1257" t="s">
        <v>274</v>
      </c>
      <c r="J1257" t="s">
        <v>274</v>
      </c>
      <c r="K1257" t="s">
        <v>274</v>
      </c>
      <c r="L1257" t="s">
        <v>274</v>
      </c>
      <c r="M1257" t="s">
        <v>274</v>
      </c>
      <c r="N1257" t="e">
        <f t="shared" si="1"/>
        <v>#VALUE!</v>
      </c>
      <c r="O1257" t="e">
        <f t="shared" si="2"/>
        <v>#VALUE!</v>
      </c>
      <c r="P1257" t="e">
        <f>IF($A1257="","",IF($E1257=1,$F1257*$O1257,PNL!G1257))</f>
        <v>#VALUE!</v>
      </c>
      <c r="T1257" t="e">
        <f t="shared" si="3"/>
        <v>#VALUE!</v>
      </c>
    </row>
    <row r="1258" ht="14.25" customHeight="1">
      <c r="A1258" t="str">
        <f>IF(PNL!A1258="","",PNL!A1258)</f>
        <v>ISCOM_LIL</v>
      </c>
      <c r="B1258" t="str">
        <f>IF(PNL!B1258="","",PNL!B1258)</f>
        <v>6231</v>
      </c>
      <c r="C1258" t="str">
        <f>IF(PNL!C1258="","",PNL!C1258)</f>
        <v>2027</v>
      </c>
      <c r="D1258" t="str">
        <f>IF(PNL!D1258="","",PNL!D1258)</f>
        <v>V01</v>
      </c>
      <c r="E1258">
        <f t="shared" si="0"/>
        <v>1</v>
      </c>
      <c r="F1258">
        <f>IF($A1258="","",IF($E1258=1,_xlfn.SUMIFS(Compta!$F$1:$F$1448,Compta!$A$1:$A$1448,$A1258,Compta!$B$1:$B$1448,$B1258,Compta!$C$1:$C$1448,"2026"),0))</f>
        <v>25220</v>
      </c>
      <c r="G1258" t="s">
        <v>274</v>
      </c>
      <c r="H1258" t="s">
        <v>274</v>
      </c>
      <c r="I1258" t="s">
        <v>274</v>
      </c>
      <c r="J1258" t="s">
        <v>274</v>
      </c>
      <c r="K1258" t="s">
        <v>274</v>
      </c>
      <c r="L1258" t="s">
        <v>274</v>
      </c>
      <c r="M1258" t="s">
        <v>274</v>
      </c>
      <c r="N1258" t="e">
        <f t="shared" si="1"/>
        <v>#VALUE!</v>
      </c>
      <c r="O1258" t="e">
        <f t="shared" si="2"/>
        <v>#VALUE!</v>
      </c>
      <c r="P1258" t="e">
        <f>IF($A1258="","",IF($E1258=1,$F1258*$O1258,PNL!G1258))</f>
        <v>#VALUE!</v>
      </c>
      <c r="T1258" t="e">
        <f t="shared" si="3"/>
        <v>#VALUE!</v>
      </c>
    </row>
    <row r="1259" ht="14.25" customHeight="1">
      <c r="A1259" t="str">
        <f>IF(PNL!A1259="","",PNL!A1259)</f>
        <v>ISCOM_LIL</v>
      </c>
      <c r="B1259" t="str">
        <f>IF(PNL!B1259="","",PNL!B1259)</f>
        <v>6231</v>
      </c>
      <c r="C1259" t="str">
        <f>IF(PNL!C1259="","",PNL!C1259)</f>
        <v>2027</v>
      </c>
      <c r="D1259" t="str">
        <f>IF(PNL!D1259="","",PNL!D1259)</f>
        <v>V02</v>
      </c>
      <c r="E1259">
        <f t="shared" si="0"/>
        <v>1</v>
      </c>
      <c r="F1259">
        <f>IF($A1259="","",IF($E1259=1,_xlfn.SUMIFS(Compta!$F$1:$F$1448,Compta!$A$1:$A$1448,$A1259,Compta!$B$1:$B$1448,$B1259,Compta!$C$1:$C$1448,"2026"),0))</f>
        <v>25220</v>
      </c>
      <c r="G1259" t="s">
        <v>274</v>
      </c>
      <c r="H1259" t="s">
        <v>274</v>
      </c>
      <c r="I1259" t="s">
        <v>274</v>
      </c>
      <c r="J1259" t="s">
        <v>274</v>
      </c>
      <c r="K1259" t="s">
        <v>274</v>
      </c>
      <c r="L1259" t="s">
        <v>274</v>
      </c>
      <c r="M1259" t="s">
        <v>274</v>
      </c>
      <c r="N1259" t="e">
        <f t="shared" si="1"/>
        <v>#VALUE!</v>
      </c>
      <c r="O1259" t="e">
        <f t="shared" si="2"/>
        <v>#VALUE!</v>
      </c>
      <c r="P1259" t="e">
        <f>IF($A1259="","",IF($E1259=1,$F1259*$O1259,PNL!G1259))</f>
        <v>#VALUE!</v>
      </c>
      <c r="T1259" t="e">
        <f t="shared" si="3"/>
        <v>#VALUE!</v>
      </c>
    </row>
    <row r="1260" ht="14.25" customHeight="1">
      <c r="A1260" t="str">
        <f>IF(PNL!A1260="","",PNL!A1260)</f>
        <v>ISCOM_LIL</v>
      </c>
      <c r="B1260" t="str">
        <f>IF(PNL!B1260="","",PNL!B1260)</f>
        <v>6231</v>
      </c>
      <c r="C1260" t="str">
        <f>IF(PNL!C1260="","",PNL!C1260)</f>
        <v>2027</v>
      </c>
      <c r="D1260" t="str">
        <f>IF(PNL!D1260="","",PNL!D1260)</f>
        <v>V03</v>
      </c>
      <c r="E1260">
        <f t="shared" si="0"/>
        <v>1</v>
      </c>
      <c r="F1260">
        <f>IF($A1260="","",IF($E1260=1,_xlfn.SUMIFS(Compta!$F$1:$F$1448,Compta!$A$1:$A$1448,$A1260,Compta!$B$1:$B$1448,$B1260,Compta!$C$1:$C$1448,"2026"),0))</f>
        <v>25220</v>
      </c>
      <c r="G1260" t="s">
        <v>274</v>
      </c>
      <c r="H1260" t="s">
        <v>274</v>
      </c>
      <c r="I1260" t="s">
        <v>274</v>
      </c>
      <c r="J1260" t="s">
        <v>274</v>
      </c>
      <c r="K1260" t="s">
        <v>274</v>
      </c>
      <c r="L1260" t="s">
        <v>274</v>
      </c>
      <c r="M1260" t="s">
        <v>274</v>
      </c>
      <c r="N1260" t="e">
        <f t="shared" si="1"/>
        <v>#VALUE!</v>
      </c>
      <c r="O1260" t="e">
        <f t="shared" si="2"/>
        <v>#VALUE!</v>
      </c>
      <c r="P1260" t="e">
        <f>IF($A1260="","",IF($E1260=1,$F1260*$O1260,PNL!G1260))</f>
        <v>#VALUE!</v>
      </c>
      <c r="T1260" t="e">
        <f t="shared" si="3"/>
        <v>#VALUE!</v>
      </c>
    </row>
    <row r="1261" ht="14.25" customHeight="1">
      <c r="A1261" t="str">
        <f>IF(PNL!A1261="","",PNL!A1261)</f>
        <v>ISCOM_TLS</v>
      </c>
      <c r="B1261" t="str">
        <f>IF(PNL!B1261="","",PNL!B1261)</f>
        <v>6231</v>
      </c>
      <c r="C1261" t="str">
        <f>IF(PNL!C1261="","",PNL!C1261)</f>
        <v>2027</v>
      </c>
      <c r="D1261" t="str">
        <f>IF(PNL!D1261="","",PNL!D1261)</f>
        <v>V01</v>
      </c>
      <c r="E1261">
        <f t="shared" si="0"/>
        <v>1</v>
      </c>
      <c r="F1261">
        <f>IF($A1261="","",IF($E1261=1,_xlfn.SUMIFS(Compta!$F$1:$F$1448,Compta!$A$1:$A$1448,$A1261,Compta!$B$1:$B$1448,$B1261,Compta!$C$1:$C$1448,"2026"),0))</f>
        <v>22083</v>
      </c>
      <c r="G1261" t="s">
        <v>274</v>
      </c>
      <c r="H1261" t="s">
        <v>274</v>
      </c>
      <c r="I1261" t="s">
        <v>274</v>
      </c>
      <c r="J1261" t="s">
        <v>274</v>
      </c>
      <c r="K1261" t="s">
        <v>274</v>
      </c>
      <c r="L1261" t="s">
        <v>274</v>
      </c>
      <c r="M1261" t="s">
        <v>274</v>
      </c>
      <c r="N1261" t="e">
        <f t="shared" si="1"/>
        <v>#VALUE!</v>
      </c>
      <c r="O1261" t="e">
        <f t="shared" si="2"/>
        <v>#VALUE!</v>
      </c>
      <c r="P1261" t="e">
        <f>IF($A1261="","",IF($E1261=1,$F1261*$O1261,PNL!G1261))</f>
        <v>#VALUE!</v>
      </c>
      <c r="T1261" t="e">
        <f t="shared" si="3"/>
        <v>#VALUE!</v>
      </c>
    </row>
    <row r="1262" ht="14.25" customHeight="1">
      <c r="A1262" t="str">
        <f>IF(PNL!A1262="","",PNL!A1262)</f>
        <v>ISCOM_TLS</v>
      </c>
      <c r="B1262" t="str">
        <f>IF(PNL!B1262="","",PNL!B1262)</f>
        <v>6231</v>
      </c>
      <c r="C1262" t="str">
        <f>IF(PNL!C1262="","",PNL!C1262)</f>
        <v>2027</v>
      </c>
      <c r="D1262" t="str">
        <f>IF(PNL!D1262="","",PNL!D1262)</f>
        <v>V02</v>
      </c>
      <c r="E1262">
        <f t="shared" si="0"/>
        <v>1</v>
      </c>
      <c r="F1262">
        <f>IF($A1262="","",IF($E1262=1,_xlfn.SUMIFS(Compta!$F$1:$F$1448,Compta!$A$1:$A$1448,$A1262,Compta!$B$1:$B$1448,$B1262,Compta!$C$1:$C$1448,"2026"),0))</f>
        <v>22083</v>
      </c>
      <c r="G1262" t="s">
        <v>274</v>
      </c>
      <c r="H1262" t="s">
        <v>274</v>
      </c>
      <c r="I1262" t="s">
        <v>274</v>
      </c>
      <c r="J1262" t="s">
        <v>274</v>
      </c>
      <c r="K1262" t="s">
        <v>274</v>
      </c>
      <c r="L1262" t="s">
        <v>274</v>
      </c>
      <c r="M1262" t="s">
        <v>274</v>
      </c>
      <c r="N1262" t="e">
        <f t="shared" si="1"/>
        <v>#VALUE!</v>
      </c>
      <c r="O1262" t="e">
        <f t="shared" si="2"/>
        <v>#VALUE!</v>
      </c>
      <c r="P1262" t="e">
        <f>IF($A1262="","",IF($E1262=1,$F1262*$O1262,PNL!G1262))</f>
        <v>#VALUE!</v>
      </c>
      <c r="T1262" t="e">
        <f t="shared" si="3"/>
        <v>#VALUE!</v>
      </c>
    </row>
    <row r="1263" ht="14.25" customHeight="1">
      <c r="A1263" t="str">
        <f>IF(PNL!A1263="","",PNL!A1263)</f>
        <v>ISCOM_TLS</v>
      </c>
      <c r="B1263" t="str">
        <f>IF(PNL!B1263="","",PNL!B1263)</f>
        <v>6231</v>
      </c>
      <c r="C1263" t="str">
        <f>IF(PNL!C1263="","",PNL!C1263)</f>
        <v>2027</v>
      </c>
      <c r="D1263" t="str">
        <f>IF(PNL!D1263="","",PNL!D1263)</f>
        <v>V03</v>
      </c>
      <c r="E1263">
        <f t="shared" si="0"/>
        <v>1</v>
      </c>
      <c r="F1263">
        <f>IF($A1263="","",IF($E1263=1,_xlfn.SUMIFS(Compta!$F$1:$F$1448,Compta!$A$1:$A$1448,$A1263,Compta!$B$1:$B$1448,$B1263,Compta!$C$1:$C$1448,"2026"),0))</f>
        <v>22083</v>
      </c>
      <c r="G1263" t="s">
        <v>274</v>
      </c>
      <c r="H1263" t="s">
        <v>274</v>
      </c>
      <c r="I1263" t="s">
        <v>274</v>
      </c>
      <c r="J1263" t="s">
        <v>274</v>
      </c>
      <c r="K1263" t="s">
        <v>274</v>
      </c>
      <c r="L1263" t="s">
        <v>274</v>
      </c>
      <c r="M1263" t="s">
        <v>274</v>
      </c>
      <c r="N1263" t="e">
        <f t="shared" si="1"/>
        <v>#VALUE!</v>
      </c>
      <c r="O1263" t="e">
        <f t="shared" si="2"/>
        <v>#VALUE!</v>
      </c>
      <c r="P1263" t="e">
        <f>IF($A1263="","",IF($E1263=1,$F1263*$O1263,PNL!G1263))</f>
        <v>#VALUE!</v>
      </c>
      <c r="T1263" t="e">
        <f t="shared" si="3"/>
        <v>#VALUE!</v>
      </c>
    </row>
    <row r="1264" ht="14.25" customHeight="1">
      <c r="A1264" t="str">
        <f>IF(PNL!A1264="","",PNL!A1264)</f>
        <v>IPAC_NAN</v>
      </c>
      <c r="B1264" t="str">
        <f>IF(PNL!B1264="","",PNL!B1264)</f>
        <v>6231</v>
      </c>
      <c r="C1264" t="str">
        <f>IF(PNL!C1264="","",PNL!C1264)</f>
        <v>2027</v>
      </c>
      <c r="D1264" t="str">
        <f>IF(PNL!D1264="","",PNL!D1264)</f>
        <v>V01</v>
      </c>
      <c r="E1264">
        <f t="shared" si="0"/>
        <v>1</v>
      </c>
      <c r="F1264">
        <f>IF($A1264="","",IF($E1264=1,_xlfn.SUMIFS(Compta!$F$1:$F$1448,Compta!$A$1:$A$1448,$A1264,Compta!$B$1:$B$1448,$B1264,Compta!$C$1:$C$1448,"2026"),0))</f>
        <v>21760</v>
      </c>
      <c r="G1264" t="s">
        <v>274</v>
      </c>
      <c r="H1264" t="s">
        <v>274</v>
      </c>
      <c r="I1264" t="s">
        <v>274</v>
      </c>
      <c r="J1264" t="s">
        <v>274</v>
      </c>
      <c r="K1264" t="s">
        <v>274</v>
      </c>
      <c r="L1264" t="s">
        <v>274</v>
      </c>
      <c r="M1264" t="s">
        <v>274</v>
      </c>
      <c r="N1264" t="e">
        <f t="shared" si="1"/>
        <v>#VALUE!</v>
      </c>
      <c r="O1264" t="e">
        <f t="shared" si="2"/>
        <v>#VALUE!</v>
      </c>
      <c r="P1264" t="e">
        <f>IF($A1264="","",IF($E1264=1,$F1264*$O1264,PNL!G1264))</f>
        <v>#VALUE!</v>
      </c>
      <c r="T1264" t="e">
        <f t="shared" si="3"/>
        <v>#VALUE!</v>
      </c>
    </row>
    <row r="1265" ht="14.25" customHeight="1">
      <c r="A1265" t="str">
        <f>IF(PNL!A1265="","",PNL!A1265)</f>
        <v>IPAC_NAN</v>
      </c>
      <c r="B1265" t="str">
        <f>IF(PNL!B1265="","",PNL!B1265)</f>
        <v>6231</v>
      </c>
      <c r="C1265" t="str">
        <f>IF(PNL!C1265="","",PNL!C1265)</f>
        <v>2027</v>
      </c>
      <c r="D1265" t="str">
        <f>IF(PNL!D1265="","",PNL!D1265)</f>
        <v>V02</v>
      </c>
      <c r="E1265">
        <f t="shared" si="0"/>
        <v>1</v>
      </c>
      <c r="F1265">
        <f>IF($A1265="","",IF($E1265=1,_xlfn.SUMIFS(Compta!$F$1:$F$1448,Compta!$A$1:$A$1448,$A1265,Compta!$B$1:$B$1448,$B1265,Compta!$C$1:$C$1448,"2026"),0))</f>
        <v>21760</v>
      </c>
      <c r="G1265" t="s">
        <v>274</v>
      </c>
      <c r="H1265" t="s">
        <v>274</v>
      </c>
      <c r="I1265" t="s">
        <v>274</v>
      </c>
      <c r="J1265" t="s">
        <v>274</v>
      </c>
      <c r="K1265" t="s">
        <v>274</v>
      </c>
      <c r="L1265" t="s">
        <v>274</v>
      </c>
      <c r="M1265" t="s">
        <v>274</v>
      </c>
      <c r="N1265" t="e">
        <f t="shared" si="1"/>
        <v>#VALUE!</v>
      </c>
      <c r="O1265" t="e">
        <f t="shared" si="2"/>
        <v>#VALUE!</v>
      </c>
      <c r="P1265" t="e">
        <f>IF($A1265="","",IF($E1265=1,$F1265*$O1265,PNL!G1265))</f>
        <v>#VALUE!</v>
      </c>
      <c r="T1265" t="e">
        <f t="shared" si="3"/>
        <v>#VALUE!</v>
      </c>
    </row>
    <row r="1266" ht="14.25" customHeight="1">
      <c r="A1266" t="str">
        <f>IF(PNL!A1266="","",PNL!A1266)</f>
        <v>IPAC_NAN</v>
      </c>
      <c r="B1266" t="str">
        <f>IF(PNL!B1266="","",PNL!B1266)</f>
        <v>6231</v>
      </c>
      <c r="C1266" t="str">
        <f>IF(PNL!C1266="","",PNL!C1266)</f>
        <v>2027</v>
      </c>
      <c r="D1266" t="str">
        <f>IF(PNL!D1266="","",PNL!D1266)</f>
        <v>V03</v>
      </c>
      <c r="E1266">
        <f t="shared" si="0"/>
        <v>1</v>
      </c>
      <c r="F1266">
        <f>IF($A1266="","",IF($E1266=1,_xlfn.SUMIFS(Compta!$F$1:$F$1448,Compta!$A$1:$A$1448,$A1266,Compta!$B$1:$B$1448,$B1266,Compta!$C$1:$C$1448,"2026"),0))</f>
        <v>21760</v>
      </c>
      <c r="G1266" t="s">
        <v>274</v>
      </c>
      <c r="H1266" t="s">
        <v>274</v>
      </c>
      <c r="I1266" t="s">
        <v>274</v>
      </c>
      <c r="J1266" t="s">
        <v>274</v>
      </c>
      <c r="K1266" t="s">
        <v>274</v>
      </c>
      <c r="L1266" t="s">
        <v>274</v>
      </c>
      <c r="M1266" t="s">
        <v>274</v>
      </c>
      <c r="N1266" t="e">
        <f t="shared" si="1"/>
        <v>#VALUE!</v>
      </c>
      <c r="O1266" t="e">
        <f t="shared" si="2"/>
        <v>#VALUE!</v>
      </c>
      <c r="P1266" t="e">
        <f>IF($A1266="","",IF($E1266=1,$F1266*$O1266,PNL!G1266))</f>
        <v>#VALUE!</v>
      </c>
      <c r="T1266" t="e">
        <f t="shared" si="3"/>
        <v>#VALUE!</v>
      </c>
    </row>
    <row r="1267" ht="14.25" customHeight="1">
      <c r="A1267" t="str">
        <f>IF(PNL!A1267="","",PNL!A1267)</f>
        <v>IPAC_REN</v>
      </c>
      <c r="B1267" t="str">
        <f>IF(PNL!B1267="","",PNL!B1267)</f>
        <v>6231</v>
      </c>
      <c r="C1267" t="str">
        <f>IF(PNL!C1267="","",PNL!C1267)</f>
        <v>2027</v>
      </c>
      <c r="D1267" t="str">
        <f>IF(PNL!D1267="","",PNL!D1267)</f>
        <v>V01</v>
      </c>
      <c r="E1267">
        <f t="shared" si="0"/>
        <v>1</v>
      </c>
      <c r="F1267">
        <f>IF($A1267="","",IF($E1267=1,_xlfn.SUMIFS(Compta!$F$1:$F$1448,Compta!$A$1:$A$1448,$A1267,Compta!$B$1:$B$1448,$B1267,Compta!$C$1:$C$1448,"2026"),0))</f>
        <v>14933</v>
      </c>
      <c r="G1267" t="s">
        <v>274</v>
      </c>
      <c r="H1267" t="s">
        <v>274</v>
      </c>
      <c r="I1267" t="s">
        <v>274</v>
      </c>
      <c r="J1267" t="s">
        <v>274</v>
      </c>
      <c r="K1267" t="s">
        <v>274</v>
      </c>
      <c r="L1267" t="s">
        <v>274</v>
      </c>
      <c r="M1267" t="s">
        <v>274</v>
      </c>
      <c r="N1267" t="e">
        <f t="shared" si="1"/>
        <v>#VALUE!</v>
      </c>
      <c r="O1267" t="e">
        <f t="shared" si="2"/>
        <v>#VALUE!</v>
      </c>
      <c r="P1267" t="e">
        <f>IF($A1267="","",IF($E1267=1,$F1267*$O1267,PNL!G1267))</f>
        <v>#VALUE!</v>
      </c>
      <c r="T1267" t="e">
        <f t="shared" si="3"/>
        <v>#VALUE!</v>
      </c>
    </row>
    <row r="1268" ht="14.25" customHeight="1">
      <c r="A1268" t="str">
        <f>IF(PNL!A1268="","",PNL!A1268)</f>
        <v>IPAC_REN</v>
      </c>
      <c r="B1268" t="str">
        <f>IF(PNL!B1268="","",PNL!B1268)</f>
        <v>6231</v>
      </c>
      <c r="C1268" t="str">
        <f>IF(PNL!C1268="","",PNL!C1268)</f>
        <v>2027</v>
      </c>
      <c r="D1268" t="str">
        <f>IF(PNL!D1268="","",PNL!D1268)</f>
        <v>V02</v>
      </c>
      <c r="E1268">
        <f t="shared" si="0"/>
        <v>1</v>
      </c>
      <c r="F1268">
        <f>IF($A1268="","",IF($E1268=1,_xlfn.SUMIFS(Compta!$F$1:$F$1448,Compta!$A$1:$A$1448,$A1268,Compta!$B$1:$B$1448,$B1268,Compta!$C$1:$C$1448,"2026"),0))</f>
        <v>14933</v>
      </c>
      <c r="G1268" t="s">
        <v>274</v>
      </c>
      <c r="H1268" t="s">
        <v>274</v>
      </c>
      <c r="I1268" t="s">
        <v>274</v>
      </c>
      <c r="J1268" t="s">
        <v>274</v>
      </c>
      <c r="K1268" t="s">
        <v>274</v>
      </c>
      <c r="L1268" t="s">
        <v>274</v>
      </c>
      <c r="M1268" t="s">
        <v>274</v>
      </c>
      <c r="N1268" t="e">
        <f t="shared" si="1"/>
        <v>#VALUE!</v>
      </c>
      <c r="O1268" t="e">
        <f t="shared" si="2"/>
        <v>#VALUE!</v>
      </c>
      <c r="P1268" t="e">
        <f>IF($A1268="","",IF($E1268=1,$F1268*$O1268,PNL!G1268))</f>
        <v>#VALUE!</v>
      </c>
      <c r="T1268" t="e">
        <f t="shared" si="3"/>
        <v>#VALUE!</v>
      </c>
    </row>
    <row r="1269" ht="14.25" customHeight="1">
      <c r="A1269" t="str">
        <f>IF(PNL!A1269="","",PNL!A1269)</f>
        <v>IPAC_REN</v>
      </c>
      <c r="B1269" t="str">
        <f>IF(PNL!B1269="","",PNL!B1269)</f>
        <v>6231</v>
      </c>
      <c r="C1269" t="str">
        <f>IF(PNL!C1269="","",PNL!C1269)</f>
        <v>2027</v>
      </c>
      <c r="D1269" t="str">
        <f>IF(PNL!D1269="","",PNL!D1269)</f>
        <v>V03</v>
      </c>
      <c r="E1269">
        <f t="shared" si="0"/>
        <v>1</v>
      </c>
      <c r="F1269">
        <f>IF($A1269="","",IF($E1269=1,_xlfn.SUMIFS(Compta!$F$1:$F$1448,Compta!$A$1:$A$1448,$A1269,Compta!$B$1:$B$1448,$B1269,Compta!$C$1:$C$1448,"2026"),0))</f>
        <v>14933</v>
      </c>
      <c r="G1269" t="s">
        <v>274</v>
      </c>
      <c r="H1269" t="s">
        <v>274</v>
      </c>
      <c r="I1269" t="s">
        <v>274</v>
      </c>
      <c r="J1269" t="s">
        <v>274</v>
      </c>
      <c r="K1269" t="s">
        <v>274</v>
      </c>
      <c r="L1269" t="s">
        <v>274</v>
      </c>
      <c r="M1269" t="s">
        <v>274</v>
      </c>
      <c r="N1269" t="e">
        <f t="shared" si="1"/>
        <v>#VALUE!</v>
      </c>
      <c r="O1269" t="e">
        <f t="shared" si="2"/>
        <v>#VALUE!</v>
      </c>
      <c r="P1269" t="e">
        <f>IF($A1269="","",IF($E1269=1,$F1269*$O1269,PNL!G1269))</f>
        <v>#VALUE!</v>
      </c>
      <c r="T1269" t="e">
        <f t="shared" si="3"/>
        <v>#VALUE!</v>
      </c>
    </row>
    <row r="1270" ht="14.25" customHeight="1">
      <c r="A1270" t="str">
        <f>IF(PNL!A1270="","",PNL!A1270)</f>
        <v>IPAC_MTP</v>
      </c>
      <c r="B1270" t="str">
        <f>IF(PNL!B1270="","",PNL!B1270)</f>
        <v>6231</v>
      </c>
      <c r="C1270" t="str">
        <f>IF(PNL!C1270="","",PNL!C1270)</f>
        <v>2027</v>
      </c>
      <c r="D1270" t="str">
        <f>IF(PNL!D1270="","",PNL!D1270)</f>
        <v>V01</v>
      </c>
      <c r="E1270">
        <f t="shared" si="0"/>
        <v>1</v>
      </c>
      <c r="F1270">
        <f>IF($A1270="","",IF($E1270=1,_xlfn.SUMIFS(Compta!$F$1:$F$1448,Compta!$A$1:$A$1448,$A1270,Compta!$B$1:$B$1448,$B1270,Compta!$C$1:$C$1448,"2026"),0))</f>
        <v>15178</v>
      </c>
      <c r="G1270" t="s">
        <v>274</v>
      </c>
      <c r="H1270" t="s">
        <v>274</v>
      </c>
      <c r="I1270" t="s">
        <v>274</v>
      </c>
      <c r="J1270" t="s">
        <v>274</v>
      </c>
      <c r="K1270" t="s">
        <v>274</v>
      </c>
      <c r="L1270" t="s">
        <v>274</v>
      </c>
      <c r="M1270" t="s">
        <v>274</v>
      </c>
      <c r="N1270" t="e">
        <f t="shared" si="1"/>
        <v>#VALUE!</v>
      </c>
      <c r="O1270" t="e">
        <f t="shared" si="2"/>
        <v>#VALUE!</v>
      </c>
      <c r="P1270" t="e">
        <f>IF($A1270="","",IF($E1270=1,$F1270*$O1270,PNL!G1270))</f>
        <v>#VALUE!</v>
      </c>
      <c r="T1270" t="e">
        <f t="shared" si="3"/>
        <v>#VALUE!</v>
      </c>
    </row>
    <row r="1271" ht="14.25" customHeight="1">
      <c r="A1271" t="str">
        <f>IF(PNL!A1271="","",PNL!A1271)</f>
        <v>IPAC_MTP</v>
      </c>
      <c r="B1271" t="str">
        <f>IF(PNL!B1271="","",PNL!B1271)</f>
        <v>6231</v>
      </c>
      <c r="C1271" t="str">
        <f>IF(PNL!C1271="","",PNL!C1271)</f>
        <v>2027</v>
      </c>
      <c r="D1271" t="str">
        <f>IF(PNL!D1271="","",PNL!D1271)</f>
        <v>V02</v>
      </c>
      <c r="E1271">
        <f t="shared" si="0"/>
        <v>1</v>
      </c>
      <c r="F1271">
        <f>IF($A1271="","",IF($E1271=1,_xlfn.SUMIFS(Compta!$F$1:$F$1448,Compta!$A$1:$A$1448,$A1271,Compta!$B$1:$B$1448,$B1271,Compta!$C$1:$C$1448,"2026"),0))</f>
        <v>15178</v>
      </c>
      <c r="G1271" t="s">
        <v>274</v>
      </c>
      <c r="H1271" t="s">
        <v>274</v>
      </c>
      <c r="I1271" t="s">
        <v>274</v>
      </c>
      <c r="J1271" t="s">
        <v>274</v>
      </c>
      <c r="K1271" t="s">
        <v>274</v>
      </c>
      <c r="L1271" t="s">
        <v>274</v>
      </c>
      <c r="M1271" t="s">
        <v>274</v>
      </c>
      <c r="N1271" t="e">
        <f t="shared" si="1"/>
        <v>#VALUE!</v>
      </c>
      <c r="O1271" t="e">
        <f t="shared" si="2"/>
        <v>#VALUE!</v>
      </c>
      <c r="P1271" t="e">
        <f>IF($A1271="","",IF($E1271=1,$F1271*$O1271,PNL!G1271))</f>
        <v>#VALUE!</v>
      </c>
      <c r="T1271" t="e">
        <f t="shared" si="3"/>
        <v>#VALUE!</v>
      </c>
    </row>
    <row r="1272" ht="14.25" customHeight="1">
      <c r="A1272" t="str">
        <f>IF(PNL!A1272="","",PNL!A1272)</f>
        <v>IPAC_MTP</v>
      </c>
      <c r="B1272" t="str">
        <f>IF(PNL!B1272="","",PNL!B1272)</f>
        <v>6231</v>
      </c>
      <c r="C1272" t="str">
        <f>IF(PNL!C1272="","",PNL!C1272)</f>
        <v>2027</v>
      </c>
      <c r="D1272" t="str">
        <f>IF(PNL!D1272="","",PNL!D1272)</f>
        <v>V03</v>
      </c>
      <c r="E1272">
        <f t="shared" si="0"/>
        <v>1</v>
      </c>
      <c r="F1272">
        <f>IF($A1272="","",IF($E1272=1,_xlfn.SUMIFS(Compta!$F$1:$F$1448,Compta!$A$1:$A$1448,$A1272,Compta!$B$1:$B$1448,$B1272,Compta!$C$1:$C$1448,"2026"),0))</f>
        <v>15178</v>
      </c>
      <c r="G1272" t="s">
        <v>274</v>
      </c>
      <c r="H1272" t="s">
        <v>274</v>
      </c>
      <c r="I1272" t="s">
        <v>274</v>
      </c>
      <c r="J1272" t="s">
        <v>274</v>
      </c>
      <c r="K1272" t="s">
        <v>274</v>
      </c>
      <c r="L1272" t="s">
        <v>274</v>
      </c>
      <c r="M1272" t="s">
        <v>274</v>
      </c>
      <c r="N1272" t="e">
        <f t="shared" si="1"/>
        <v>#VALUE!</v>
      </c>
      <c r="O1272" t="e">
        <f t="shared" si="2"/>
        <v>#VALUE!</v>
      </c>
      <c r="P1272" t="e">
        <f>IF($A1272="","",IF($E1272=1,$F1272*$O1272,PNL!G1272))</f>
        <v>#VALUE!</v>
      </c>
      <c r="T1272" t="e">
        <f t="shared" si="3"/>
        <v>#VALUE!</v>
      </c>
    </row>
    <row r="1273" ht="14.25" customHeight="1">
      <c r="A1273" t="str">
        <f>IF(PNL!A1273="","",PNL!A1273)</f>
        <v>PIGIER_LYO</v>
      </c>
      <c r="B1273" t="str">
        <f>IF(PNL!B1273="","",PNL!B1273)</f>
        <v>6231</v>
      </c>
      <c r="C1273" t="str">
        <f>IF(PNL!C1273="","",PNL!C1273)</f>
        <v>2027</v>
      </c>
      <c r="D1273" t="str">
        <f>IF(PNL!D1273="","",PNL!D1273)</f>
        <v>V01</v>
      </c>
      <c r="E1273">
        <f t="shared" si="0"/>
        <v>1</v>
      </c>
      <c r="F1273">
        <f>IF($A1273="","",IF($E1273=1,_xlfn.SUMIFS(Compta!$F$1:$F$1448,Compta!$A$1:$A$1448,$A1273,Compta!$B$1:$B$1448,$B1273,Compta!$C$1:$C$1448,"2026"),0))</f>
        <v>36612</v>
      </c>
      <c r="G1273" t="s">
        <v>274</v>
      </c>
      <c r="H1273" t="s">
        <v>274</v>
      </c>
      <c r="I1273" t="s">
        <v>274</v>
      </c>
      <c r="J1273" t="s">
        <v>274</v>
      </c>
      <c r="K1273" t="s">
        <v>274</v>
      </c>
      <c r="L1273" t="s">
        <v>274</v>
      </c>
      <c r="M1273" t="s">
        <v>274</v>
      </c>
      <c r="N1273" t="e">
        <f t="shared" si="1"/>
        <v>#VALUE!</v>
      </c>
      <c r="O1273" t="e">
        <f t="shared" si="2"/>
        <v>#VALUE!</v>
      </c>
      <c r="P1273" t="e">
        <f>IF($A1273="","",IF($E1273=1,$F1273*$O1273,PNL!G1273))</f>
        <v>#VALUE!</v>
      </c>
      <c r="T1273" t="e">
        <f t="shared" si="3"/>
        <v>#VALUE!</v>
      </c>
    </row>
    <row r="1274" ht="14.25" customHeight="1">
      <c r="A1274" t="str">
        <f>IF(PNL!A1274="","",PNL!A1274)</f>
        <v>PIGIER_LYO</v>
      </c>
      <c r="B1274" t="str">
        <f>IF(PNL!B1274="","",PNL!B1274)</f>
        <v>6231</v>
      </c>
      <c r="C1274" t="str">
        <f>IF(PNL!C1274="","",PNL!C1274)</f>
        <v>2027</v>
      </c>
      <c r="D1274" t="str">
        <f>IF(PNL!D1274="","",PNL!D1274)</f>
        <v>V02</v>
      </c>
      <c r="E1274">
        <f t="shared" si="0"/>
        <v>1</v>
      </c>
      <c r="F1274">
        <f>IF($A1274="","",IF($E1274=1,_xlfn.SUMIFS(Compta!$F$1:$F$1448,Compta!$A$1:$A$1448,$A1274,Compta!$B$1:$B$1448,$B1274,Compta!$C$1:$C$1448,"2026"),0))</f>
        <v>36612</v>
      </c>
      <c r="G1274" t="s">
        <v>274</v>
      </c>
      <c r="H1274" t="s">
        <v>274</v>
      </c>
      <c r="I1274" t="s">
        <v>274</v>
      </c>
      <c r="J1274" t="s">
        <v>274</v>
      </c>
      <c r="K1274" t="s">
        <v>274</v>
      </c>
      <c r="L1274" t="s">
        <v>274</v>
      </c>
      <c r="M1274" t="s">
        <v>274</v>
      </c>
      <c r="N1274" t="e">
        <f t="shared" si="1"/>
        <v>#VALUE!</v>
      </c>
      <c r="O1274" t="e">
        <f t="shared" si="2"/>
        <v>#VALUE!</v>
      </c>
      <c r="P1274" t="e">
        <f>IF($A1274="","",IF($E1274=1,$F1274*$O1274,PNL!G1274))</f>
        <v>#VALUE!</v>
      </c>
      <c r="T1274" t="e">
        <f t="shared" si="3"/>
        <v>#VALUE!</v>
      </c>
    </row>
    <row r="1275" ht="14.25" customHeight="1">
      <c r="A1275" t="str">
        <f>IF(PNL!A1275="","",PNL!A1275)</f>
        <v>PIGIER_LYO</v>
      </c>
      <c r="B1275" t="str">
        <f>IF(PNL!B1275="","",PNL!B1275)</f>
        <v>6231</v>
      </c>
      <c r="C1275" t="str">
        <f>IF(PNL!C1275="","",PNL!C1275)</f>
        <v>2027</v>
      </c>
      <c r="D1275" t="str">
        <f>IF(PNL!D1275="","",PNL!D1275)</f>
        <v>V03</v>
      </c>
      <c r="E1275">
        <f t="shared" si="0"/>
        <v>1</v>
      </c>
      <c r="F1275">
        <f>IF($A1275="","",IF($E1275=1,_xlfn.SUMIFS(Compta!$F$1:$F$1448,Compta!$A$1:$A$1448,$A1275,Compta!$B$1:$B$1448,$B1275,Compta!$C$1:$C$1448,"2026"),0))</f>
        <v>36612</v>
      </c>
      <c r="G1275" t="s">
        <v>274</v>
      </c>
      <c r="H1275" t="s">
        <v>274</v>
      </c>
      <c r="I1275" t="s">
        <v>274</v>
      </c>
      <c r="J1275" t="s">
        <v>274</v>
      </c>
      <c r="K1275" t="s">
        <v>274</v>
      </c>
      <c r="L1275" t="s">
        <v>274</v>
      </c>
      <c r="M1275" t="s">
        <v>274</v>
      </c>
      <c r="N1275" t="e">
        <f t="shared" si="1"/>
        <v>#VALUE!</v>
      </c>
      <c r="O1275" t="e">
        <f t="shared" si="2"/>
        <v>#VALUE!</v>
      </c>
      <c r="P1275" t="e">
        <f>IF($A1275="","",IF($E1275=1,$F1275*$O1275,PNL!G1275))</f>
        <v>#VALUE!</v>
      </c>
      <c r="T1275" t="e">
        <f t="shared" si="3"/>
        <v>#VALUE!</v>
      </c>
    </row>
    <row r="1276" ht="14.25" customHeight="1">
      <c r="A1276" t="str">
        <f>IF(PNL!A1276="","",PNL!A1276)</f>
        <v>PIGIER_BOR</v>
      </c>
      <c r="B1276" t="str">
        <f>IF(PNL!B1276="","",PNL!B1276)</f>
        <v>6231</v>
      </c>
      <c r="C1276" t="str">
        <f>IF(PNL!C1276="","",PNL!C1276)</f>
        <v>2027</v>
      </c>
      <c r="D1276" t="str">
        <f>IF(PNL!D1276="","",PNL!D1276)</f>
        <v>V01</v>
      </c>
      <c r="E1276">
        <f t="shared" si="0"/>
        <v>1</v>
      </c>
      <c r="F1276">
        <f>IF($A1276="","",IF($E1276=1,_xlfn.SUMIFS(Compta!$F$1:$F$1448,Compta!$A$1:$A$1448,$A1276,Compta!$B$1:$B$1448,$B1276,Compta!$C$1:$C$1448,"2026"),0))</f>
        <v>21968</v>
      </c>
      <c r="G1276" t="s">
        <v>274</v>
      </c>
      <c r="H1276" t="s">
        <v>274</v>
      </c>
      <c r="I1276" t="s">
        <v>274</v>
      </c>
      <c r="J1276" t="s">
        <v>274</v>
      </c>
      <c r="K1276" t="s">
        <v>274</v>
      </c>
      <c r="L1276" t="s">
        <v>274</v>
      </c>
      <c r="M1276" t="s">
        <v>274</v>
      </c>
      <c r="N1276" t="e">
        <f t="shared" si="1"/>
        <v>#VALUE!</v>
      </c>
      <c r="O1276" t="e">
        <f t="shared" si="2"/>
        <v>#VALUE!</v>
      </c>
      <c r="P1276" t="e">
        <f>IF($A1276="","",IF($E1276=1,$F1276*$O1276,PNL!G1276))</f>
        <v>#VALUE!</v>
      </c>
      <c r="T1276" t="e">
        <f t="shared" si="3"/>
        <v>#VALUE!</v>
      </c>
    </row>
    <row r="1277" ht="14.25" customHeight="1">
      <c r="A1277" t="str">
        <f>IF(PNL!A1277="","",PNL!A1277)</f>
        <v>PIGIER_BOR</v>
      </c>
      <c r="B1277" t="str">
        <f>IF(PNL!B1277="","",PNL!B1277)</f>
        <v>6231</v>
      </c>
      <c r="C1277" t="str">
        <f>IF(PNL!C1277="","",PNL!C1277)</f>
        <v>2027</v>
      </c>
      <c r="D1277" t="str">
        <f>IF(PNL!D1277="","",PNL!D1277)</f>
        <v>V02</v>
      </c>
      <c r="E1277">
        <f t="shared" si="0"/>
        <v>1</v>
      </c>
      <c r="F1277">
        <f>IF($A1277="","",IF($E1277=1,_xlfn.SUMIFS(Compta!$F$1:$F$1448,Compta!$A$1:$A$1448,$A1277,Compta!$B$1:$B$1448,$B1277,Compta!$C$1:$C$1448,"2026"),0))</f>
        <v>21968</v>
      </c>
      <c r="G1277" t="s">
        <v>274</v>
      </c>
      <c r="H1277" t="s">
        <v>274</v>
      </c>
      <c r="I1277" t="s">
        <v>274</v>
      </c>
      <c r="J1277" t="s">
        <v>274</v>
      </c>
      <c r="K1277" t="s">
        <v>274</v>
      </c>
      <c r="L1277" t="s">
        <v>274</v>
      </c>
      <c r="M1277" t="s">
        <v>274</v>
      </c>
      <c r="N1277" t="e">
        <f t="shared" si="1"/>
        <v>#VALUE!</v>
      </c>
      <c r="O1277" t="e">
        <f t="shared" si="2"/>
        <v>#VALUE!</v>
      </c>
      <c r="P1277" t="e">
        <f>IF($A1277="","",IF($E1277=1,$F1277*$O1277,PNL!G1277))</f>
        <v>#VALUE!</v>
      </c>
      <c r="T1277" t="e">
        <f t="shared" si="3"/>
        <v>#VALUE!</v>
      </c>
    </row>
    <row r="1278" ht="14.25" customHeight="1">
      <c r="A1278" t="str">
        <f>IF(PNL!A1278="","",PNL!A1278)</f>
        <v>PIGIER_BOR</v>
      </c>
      <c r="B1278" t="str">
        <f>IF(PNL!B1278="","",PNL!B1278)</f>
        <v>6231</v>
      </c>
      <c r="C1278" t="str">
        <f>IF(PNL!C1278="","",PNL!C1278)</f>
        <v>2027</v>
      </c>
      <c r="D1278" t="str">
        <f>IF(PNL!D1278="","",PNL!D1278)</f>
        <v>V03</v>
      </c>
      <c r="E1278">
        <f t="shared" si="0"/>
        <v>1</v>
      </c>
      <c r="F1278">
        <f>IF($A1278="","",IF($E1278=1,_xlfn.SUMIFS(Compta!$F$1:$F$1448,Compta!$A$1:$A$1448,$A1278,Compta!$B$1:$B$1448,$B1278,Compta!$C$1:$C$1448,"2026"),0))</f>
        <v>21968</v>
      </c>
      <c r="G1278" t="s">
        <v>274</v>
      </c>
      <c r="H1278" t="s">
        <v>274</v>
      </c>
      <c r="I1278" t="s">
        <v>274</v>
      </c>
      <c r="J1278" t="s">
        <v>274</v>
      </c>
      <c r="K1278" t="s">
        <v>274</v>
      </c>
      <c r="L1278" t="s">
        <v>274</v>
      </c>
      <c r="M1278" t="s">
        <v>274</v>
      </c>
      <c r="N1278" t="e">
        <f t="shared" si="1"/>
        <v>#VALUE!</v>
      </c>
      <c r="O1278" t="e">
        <f t="shared" si="2"/>
        <v>#VALUE!</v>
      </c>
      <c r="P1278" t="e">
        <f>IF($A1278="","",IF($E1278=1,$F1278*$O1278,PNL!G1278))</f>
        <v>#VALUE!</v>
      </c>
      <c r="T1278" t="e">
        <f t="shared" si="3"/>
        <v>#VALUE!</v>
      </c>
    </row>
    <row r="1279" ht="14.25" customHeight="1">
      <c r="A1279" t="str">
        <f>IF(PNL!A1279="","",PNL!A1279)</f>
        <v>TUNON_PAR</v>
      </c>
      <c r="B1279" t="str">
        <f>IF(PNL!B1279="","",PNL!B1279)</f>
        <v>6231</v>
      </c>
      <c r="C1279" t="str">
        <f>IF(PNL!C1279="","",PNL!C1279)</f>
        <v>2027</v>
      </c>
      <c r="D1279" t="str">
        <f>IF(PNL!D1279="","",PNL!D1279)</f>
        <v>V01</v>
      </c>
      <c r="E1279">
        <f t="shared" si="0"/>
        <v>1</v>
      </c>
      <c r="F1279">
        <f>IF($A1279="","",IF($E1279=1,_xlfn.SUMIFS(Compta!$F$1:$F$1448,Compta!$A$1:$A$1448,$A1279,Compta!$B$1:$B$1448,$B1279,Compta!$C$1:$C$1448,"2026"),0))</f>
        <v>30240</v>
      </c>
      <c r="G1279" t="s">
        <v>274</v>
      </c>
      <c r="H1279" t="s">
        <v>274</v>
      </c>
      <c r="I1279" t="s">
        <v>274</v>
      </c>
      <c r="J1279" t="s">
        <v>274</v>
      </c>
      <c r="K1279" t="s">
        <v>274</v>
      </c>
      <c r="L1279" t="s">
        <v>274</v>
      </c>
      <c r="M1279" t="s">
        <v>274</v>
      </c>
      <c r="N1279" t="e">
        <f t="shared" si="1"/>
        <v>#VALUE!</v>
      </c>
      <c r="O1279" t="e">
        <f t="shared" si="2"/>
        <v>#VALUE!</v>
      </c>
      <c r="P1279" t="e">
        <f>IF($A1279="","",IF($E1279=1,$F1279*$O1279,PNL!G1279))</f>
        <v>#VALUE!</v>
      </c>
      <c r="T1279" t="e">
        <f t="shared" si="3"/>
        <v>#VALUE!</v>
      </c>
    </row>
    <row r="1280" ht="14.25" customHeight="1">
      <c r="A1280" t="str">
        <f>IF(PNL!A1280="","",PNL!A1280)</f>
        <v>TUNON_PAR</v>
      </c>
      <c r="B1280" t="str">
        <f>IF(PNL!B1280="","",PNL!B1280)</f>
        <v>6231</v>
      </c>
      <c r="C1280" t="str">
        <f>IF(PNL!C1280="","",PNL!C1280)</f>
        <v>2027</v>
      </c>
      <c r="D1280" t="str">
        <f>IF(PNL!D1280="","",PNL!D1280)</f>
        <v>V02</v>
      </c>
      <c r="E1280">
        <f t="shared" si="0"/>
        <v>1</v>
      </c>
      <c r="F1280">
        <f>IF($A1280="","",IF($E1280=1,_xlfn.SUMIFS(Compta!$F$1:$F$1448,Compta!$A$1:$A$1448,$A1280,Compta!$B$1:$B$1448,$B1280,Compta!$C$1:$C$1448,"2026"),0))</f>
        <v>30240</v>
      </c>
      <c r="G1280" t="s">
        <v>274</v>
      </c>
      <c r="H1280" t="s">
        <v>274</v>
      </c>
      <c r="I1280" t="s">
        <v>274</v>
      </c>
      <c r="J1280" t="s">
        <v>274</v>
      </c>
      <c r="K1280" t="s">
        <v>274</v>
      </c>
      <c r="L1280" t="s">
        <v>274</v>
      </c>
      <c r="M1280" t="s">
        <v>274</v>
      </c>
      <c r="N1280" t="e">
        <f t="shared" si="1"/>
        <v>#VALUE!</v>
      </c>
      <c r="O1280" t="e">
        <f t="shared" si="2"/>
        <v>#VALUE!</v>
      </c>
      <c r="P1280" t="e">
        <f>IF($A1280="","",IF($E1280=1,$F1280*$O1280,PNL!G1280))</f>
        <v>#VALUE!</v>
      </c>
      <c r="T1280" t="e">
        <f t="shared" si="3"/>
        <v>#VALUE!</v>
      </c>
    </row>
    <row r="1281" ht="14.25" customHeight="1">
      <c r="A1281" t="str">
        <f>IF(PNL!A1281="","",PNL!A1281)</f>
        <v>TUNON_PAR</v>
      </c>
      <c r="B1281" t="str">
        <f>IF(PNL!B1281="","",PNL!B1281)</f>
        <v>6231</v>
      </c>
      <c r="C1281" t="str">
        <f>IF(PNL!C1281="","",PNL!C1281)</f>
        <v>2027</v>
      </c>
      <c r="D1281" t="str">
        <f>IF(PNL!D1281="","",PNL!D1281)</f>
        <v>V03</v>
      </c>
      <c r="E1281">
        <f t="shared" si="0"/>
        <v>1</v>
      </c>
      <c r="F1281">
        <f>IF($A1281="","",IF($E1281=1,_xlfn.SUMIFS(Compta!$F$1:$F$1448,Compta!$A$1:$A$1448,$A1281,Compta!$B$1:$B$1448,$B1281,Compta!$C$1:$C$1448,"2026"),0))</f>
        <v>30240</v>
      </c>
      <c r="G1281" t="s">
        <v>274</v>
      </c>
      <c r="H1281" t="s">
        <v>274</v>
      </c>
      <c r="I1281" t="s">
        <v>274</v>
      </c>
      <c r="J1281" t="s">
        <v>274</v>
      </c>
      <c r="K1281" t="s">
        <v>274</v>
      </c>
      <c r="L1281" t="s">
        <v>274</v>
      </c>
      <c r="M1281" t="s">
        <v>274</v>
      </c>
      <c r="N1281" t="e">
        <f t="shared" si="1"/>
        <v>#VALUE!</v>
      </c>
      <c r="O1281" t="e">
        <f t="shared" si="2"/>
        <v>#VALUE!</v>
      </c>
      <c r="P1281" t="e">
        <f>IF($A1281="","",IF($E1281=1,$F1281*$O1281,PNL!G1281))</f>
        <v>#VALUE!</v>
      </c>
      <c r="T1281" t="e">
        <f t="shared" si="3"/>
        <v>#VALUE!</v>
      </c>
    </row>
    <row r="1282" ht="14.25" customHeight="1">
      <c r="A1282" t="str">
        <f>IF(PNL!A1282="","",PNL!A1282)</f>
        <v>TUNON_LYO</v>
      </c>
      <c r="B1282" t="str">
        <f>IF(PNL!B1282="","",PNL!B1282)</f>
        <v>6231</v>
      </c>
      <c r="C1282" t="str">
        <f>IF(PNL!C1282="","",PNL!C1282)</f>
        <v>2027</v>
      </c>
      <c r="D1282" t="str">
        <f>IF(PNL!D1282="","",PNL!D1282)</f>
        <v>V01</v>
      </c>
      <c r="E1282">
        <f t="shared" si="0"/>
        <v>1</v>
      </c>
      <c r="F1282">
        <f>IF($A1282="","",IF($E1282=1,_xlfn.SUMIFS(Compta!$F$1:$F$1448,Compta!$A$1:$A$1448,$A1282,Compta!$B$1:$B$1448,$B1282,Compta!$C$1:$C$1448,"2026"),0))</f>
        <v>18850</v>
      </c>
      <c r="G1282" t="s">
        <v>274</v>
      </c>
      <c r="H1282" t="s">
        <v>274</v>
      </c>
      <c r="I1282" t="s">
        <v>274</v>
      </c>
      <c r="J1282" t="s">
        <v>274</v>
      </c>
      <c r="K1282" t="s">
        <v>274</v>
      </c>
      <c r="L1282" t="s">
        <v>274</v>
      </c>
      <c r="M1282" t="s">
        <v>274</v>
      </c>
      <c r="N1282" t="e">
        <f t="shared" si="1"/>
        <v>#VALUE!</v>
      </c>
      <c r="O1282" t="e">
        <f t="shared" si="2"/>
        <v>#VALUE!</v>
      </c>
      <c r="P1282" t="e">
        <f>IF($A1282="","",IF($E1282=1,$F1282*$O1282,PNL!G1282))</f>
        <v>#VALUE!</v>
      </c>
      <c r="T1282" t="e">
        <f t="shared" si="3"/>
        <v>#VALUE!</v>
      </c>
    </row>
    <row r="1283" ht="14.25" customHeight="1">
      <c r="A1283" t="str">
        <f>IF(PNL!A1283="","",PNL!A1283)</f>
        <v>TUNON_LYO</v>
      </c>
      <c r="B1283" t="str">
        <f>IF(PNL!B1283="","",PNL!B1283)</f>
        <v>6231</v>
      </c>
      <c r="C1283" t="str">
        <f>IF(PNL!C1283="","",PNL!C1283)</f>
        <v>2027</v>
      </c>
      <c r="D1283" t="str">
        <f>IF(PNL!D1283="","",PNL!D1283)</f>
        <v>V02</v>
      </c>
      <c r="E1283">
        <f t="shared" si="0"/>
        <v>1</v>
      </c>
      <c r="F1283">
        <f>IF($A1283="","",IF($E1283=1,_xlfn.SUMIFS(Compta!$F$1:$F$1448,Compta!$A$1:$A$1448,$A1283,Compta!$B$1:$B$1448,$B1283,Compta!$C$1:$C$1448,"2026"),0))</f>
        <v>18850</v>
      </c>
      <c r="G1283" t="s">
        <v>274</v>
      </c>
      <c r="H1283" t="s">
        <v>274</v>
      </c>
      <c r="I1283" t="s">
        <v>274</v>
      </c>
      <c r="J1283" t="s">
        <v>274</v>
      </c>
      <c r="K1283" t="s">
        <v>274</v>
      </c>
      <c r="L1283" t="s">
        <v>274</v>
      </c>
      <c r="M1283" t="s">
        <v>274</v>
      </c>
      <c r="N1283" t="e">
        <f t="shared" si="1"/>
        <v>#VALUE!</v>
      </c>
      <c r="O1283" t="e">
        <f t="shared" si="2"/>
        <v>#VALUE!</v>
      </c>
      <c r="P1283" t="e">
        <f>IF($A1283="","",IF($E1283=1,$F1283*$O1283,PNL!G1283))</f>
        <v>#VALUE!</v>
      </c>
      <c r="T1283" t="e">
        <f t="shared" si="3"/>
        <v>#VALUE!</v>
      </c>
    </row>
    <row r="1284" ht="14.25" customHeight="1">
      <c r="A1284" t="str">
        <f>IF(PNL!A1284="","",PNL!A1284)</f>
        <v>TUNON_LYO</v>
      </c>
      <c r="B1284" t="str">
        <f>IF(PNL!B1284="","",PNL!B1284)</f>
        <v>6231</v>
      </c>
      <c r="C1284" t="str">
        <f>IF(PNL!C1284="","",PNL!C1284)</f>
        <v>2027</v>
      </c>
      <c r="D1284" t="str">
        <f>IF(PNL!D1284="","",PNL!D1284)</f>
        <v>V03</v>
      </c>
      <c r="E1284">
        <f t="shared" si="0"/>
        <v>1</v>
      </c>
      <c r="F1284">
        <f>IF($A1284="","",IF($E1284=1,_xlfn.SUMIFS(Compta!$F$1:$F$1448,Compta!$A$1:$A$1448,$A1284,Compta!$B$1:$B$1448,$B1284,Compta!$C$1:$C$1448,"2026"),0))</f>
        <v>18850</v>
      </c>
      <c r="G1284" t="s">
        <v>274</v>
      </c>
      <c r="H1284" t="s">
        <v>274</v>
      </c>
      <c r="I1284" t="s">
        <v>274</v>
      </c>
      <c r="J1284" t="s">
        <v>274</v>
      </c>
      <c r="K1284" t="s">
        <v>274</v>
      </c>
      <c r="L1284" t="s">
        <v>274</v>
      </c>
      <c r="M1284" t="s">
        <v>274</v>
      </c>
      <c r="N1284" t="e">
        <f t="shared" si="1"/>
        <v>#VALUE!</v>
      </c>
      <c r="O1284" t="e">
        <f t="shared" si="2"/>
        <v>#VALUE!</v>
      </c>
      <c r="P1284" t="e">
        <f>IF($A1284="","",IF($E1284=1,$F1284*$O1284,PNL!G1284))</f>
        <v>#VALUE!</v>
      </c>
      <c r="T1284" t="e">
        <f t="shared" si="3"/>
        <v>#VALUE!</v>
      </c>
    </row>
    <row r="1285" ht="14.25" customHeight="1">
      <c r="A1285" t="str">
        <f>IF(PNL!A1285="","",PNL!A1285)</f>
        <v>MBWAY_PAR</v>
      </c>
      <c r="B1285" t="str">
        <f>IF(PNL!B1285="","",PNL!B1285)</f>
        <v>6411</v>
      </c>
      <c r="C1285" t="str">
        <f>IF(PNL!C1285="","",PNL!C1285)</f>
        <v>2027</v>
      </c>
      <c r="D1285" t="str">
        <f>IF(PNL!D1285="","",PNL!D1285)</f>
        <v>V01</v>
      </c>
      <c r="E1285">
        <f t="shared" si="0"/>
        <v>1</v>
      </c>
      <c r="F1285">
        <f>IF($A1285="","",IF($E1285=1,_xlfn.SUMIFS(Compta!$F$1:$F$1448,Compta!$A$1:$A$1448,$A1285,Compta!$B$1:$B$1448,$B1285,Compta!$C$1:$C$1448,"2026"),0))</f>
        <v>605202</v>
      </c>
      <c r="G1285" t="s">
        <v>274</v>
      </c>
      <c r="H1285" t="s">
        <v>274</v>
      </c>
      <c r="I1285" t="s">
        <v>274</v>
      </c>
      <c r="J1285" t="s">
        <v>274</v>
      </c>
      <c r="K1285" t="s">
        <v>274</v>
      </c>
      <c r="L1285" t="s">
        <v>274</v>
      </c>
      <c r="M1285" t="s">
        <v>274</v>
      </c>
      <c r="N1285" t="e">
        <f t="shared" si="1"/>
        <v>#VALUE!</v>
      </c>
      <c r="O1285" t="e">
        <f t="shared" si="2"/>
        <v>#VALUE!</v>
      </c>
      <c r="P1285" t="e">
        <f>IF($A1285="","",IF($E1285=1,$F1285*$O1285,PNL!G1285))</f>
        <v>#VALUE!</v>
      </c>
      <c r="T1285" t="e">
        <f t="shared" si="3"/>
        <v>#VALUE!</v>
      </c>
    </row>
    <row r="1286" ht="14.25" customHeight="1">
      <c r="A1286" t="str">
        <f>IF(PNL!A1286="","",PNL!A1286)</f>
        <v>MBWAY_PAR</v>
      </c>
      <c r="B1286" t="str">
        <f>IF(PNL!B1286="","",PNL!B1286)</f>
        <v>6411</v>
      </c>
      <c r="C1286" t="str">
        <f>IF(PNL!C1286="","",PNL!C1286)</f>
        <v>2027</v>
      </c>
      <c r="D1286" t="str">
        <f>IF(PNL!D1286="","",PNL!D1286)</f>
        <v>V02</v>
      </c>
      <c r="E1286">
        <f t="shared" si="0"/>
        <v>1</v>
      </c>
      <c r="F1286">
        <f>IF($A1286="","",IF($E1286=1,_xlfn.SUMIFS(Compta!$F$1:$F$1448,Compta!$A$1:$A$1448,$A1286,Compta!$B$1:$B$1448,$B1286,Compta!$C$1:$C$1448,"2026"),0))</f>
        <v>605202</v>
      </c>
      <c r="G1286" t="s">
        <v>274</v>
      </c>
      <c r="H1286" t="s">
        <v>274</v>
      </c>
      <c r="I1286" t="s">
        <v>274</v>
      </c>
      <c r="J1286" t="s">
        <v>274</v>
      </c>
      <c r="K1286" t="s">
        <v>274</v>
      </c>
      <c r="L1286" t="s">
        <v>274</v>
      </c>
      <c r="M1286" t="s">
        <v>274</v>
      </c>
      <c r="N1286" t="e">
        <f t="shared" si="1"/>
        <v>#VALUE!</v>
      </c>
      <c r="O1286" t="e">
        <f t="shared" si="2"/>
        <v>#VALUE!</v>
      </c>
      <c r="P1286" t="e">
        <f>IF($A1286="","",IF($E1286=1,$F1286*$O1286,PNL!G1286))</f>
        <v>#VALUE!</v>
      </c>
      <c r="T1286" t="e">
        <f t="shared" si="3"/>
        <v>#VALUE!</v>
      </c>
    </row>
    <row r="1287" ht="14.25" customHeight="1">
      <c r="A1287" t="str">
        <f>IF(PNL!A1287="","",PNL!A1287)</f>
        <v>MBWAY_PAR</v>
      </c>
      <c r="B1287" t="str">
        <f>IF(PNL!B1287="","",PNL!B1287)</f>
        <v>6411</v>
      </c>
      <c r="C1287" t="str">
        <f>IF(PNL!C1287="","",PNL!C1287)</f>
        <v>2027</v>
      </c>
      <c r="D1287" t="str">
        <f>IF(PNL!D1287="","",PNL!D1287)</f>
        <v>V03</v>
      </c>
      <c r="E1287">
        <f t="shared" si="0"/>
        <v>1</v>
      </c>
      <c r="F1287">
        <f>IF($A1287="","",IF($E1287=1,_xlfn.SUMIFS(Compta!$F$1:$F$1448,Compta!$A$1:$A$1448,$A1287,Compta!$B$1:$B$1448,$B1287,Compta!$C$1:$C$1448,"2026"),0))</f>
        <v>605202</v>
      </c>
      <c r="G1287" t="s">
        <v>274</v>
      </c>
      <c r="H1287" t="s">
        <v>274</v>
      </c>
      <c r="I1287" t="s">
        <v>274</v>
      </c>
      <c r="J1287" t="s">
        <v>274</v>
      </c>
      <c r="K1287" t="s">
        <v>274</v>
      </c>
      <c r="L1287" t="s">
        <v>274</v>
      </c>
      <c r="M1287" t="s">
        <v>274</v>
      </c>
      <c r="N1287" t="e">
        <f t="shared" si="1"/>
        <v>#VALUE!</v>
      </c>
      <c r="O1287" t="e">
        <f t="shared" si="2"/>
        <v>#VALUE!</v>
      </c>
      <c r="P1287" t="e">
        <f>IF($A1287="","",IF($E1287=1,$F1287*$O1287,PNL!G1287))</f>
        <v>#VALUE!</v>
      </c>
      <c r="T1287" t="e">
        <f t="shared" si="3"/>
        <v>#VALUE!</v>
      </c>
    </row>
    <row r="1288" ht="14.25" customHeight="1">
      <c r="A1288" t="str">
        <f>IF(PNL!A1288="","",PNL!A1288)</f>
        <v>MBWAY_LYO</v>
      </c>
      <c r="B1288" t="str">
        <f>IF(PNL!B1288="","",PNL!B1288)</f>
        <v>6411</v>
      </c>
      <c r="C1288" t="str">
        <f>IF(PNL!C1288="","",PNL!C1288)</f>
        <v>2027</v>
      </c>
      <c r="D1288" t="str">
        <f>IF(PNL!D1288="","",PNL!D1288)</f>
        <v>V01</v>
      </c>
      <c r="E1288">
        <f t="shared" si="0"/>
        <v>1</v>
      </c>
      <c r="F1288">
        <f>IF($A1288="","",IF($E1288=1,_xlfn.SUMIFS(Compta!$F$1:$F$1448,Compta!$A$1:$A$1448,$A1288,Compta!$B$1:$B$1448,$B1288,Compta!$C$1:$C$1448,"2026"),0))</f>
        <v>362623</v>
      </c>
      <c r="G1288" t="s">
        <v>274</v>
      </c>
      <c r="H1288" t="s">
        <v>274</v>
      </c>
      <c r="I1288" t="s">
        <v>274</v>
      </c>
      <c r="J1288" t="s">
        <v>274</v>
      </c>
      <c r="K1288" t="s">
        <v>274</v>
      </c>
      <c r="L1288" t="s">
        <v>274</v>
      </c>
      <c r="M1288" t="s">
        <v>274</v>
      </c>
      <c r="N1288" t="e">
        <f t="shared" si="1"/>
        <v>#VALUE!</v>
      </c>
      <c r="O1288" t="e">
        <f t="shared" si="2"/>
        <v>#VALUE!</v>
      </c>
      <c r="P1288" t="e">
        <f>IF($A1288="","",IF($E1288=1,$F1288*$O1288,PNL!G1288))</f>
        <v>#VALUE!</v>
      </c>
      <c r="T1288" t="e">
        <f t="shared" si="3"/>
        <v>#VALUE!</v>
      </c>
    </row>
    <row r="1289" ht="14.25" customHeight="1">
      <c r="A1289" t="str">
        <f>IF(PNL!A1289="","",PNL!A1289)</f>
        <v>MBWAY_LYO</v>
      </c>
      <c r="B1289" t="str">
        <f>IF(PNL!B1289="","",PNL!B1289)</f>
        <v>6411</v>
      </c>
      <c r="C1289" t="str">
        <f>IF(PNL!C1289="","",PNL!C1289)</f>
        <v>2027</v>
      </c>
      <c r="D1289" t="str">
        <f>IF(PNL!D1289="","",PNL!D1289)</f>
        <v>V02</v>
      </c>
      <c r="E1289">
        <f t="shared" si="0"/>
        <v>1</v>
      </c>
      <c r="F1289">
        <f>IF($A1289="","",IF($E1289=1,_xlfn.SUMIFS(Compta!$F$1:$F$1448,Compta!$A$1:$A$1448,$A1289,Compta!$B$1:$B$1448,$B1289,Compta!$C$1:$C$1448,"2026"),0))</f>
        <v>362623</v>
      </c>
      <c r="G1289" t="s">
        <v>274</v>
      </c>
      <c r="H1289" t="s">
        <v>274</v>
      </c>
      <c r="I1289" t="s">
        <v>274</v>
      </c>
      <c r="J1289" t="s">
        <v>274</v>
      </c>
      <c r="K1289" t="s">
        <v>274</v>
      </c>
      <c r="L1289" t="s">
        <v>274</v>
      </c>
      <c r="M1289" t="s">
        <v>274</v>
      </c>
      <c r="N1289" t="e">
        <f t="shared" si="1"/>
        <v>#VALUE!</v>
      </c>
      <c r="O1289" t="e">
        <f t="shared" si="2"/>
        <v>#VALUE!</v>
      </c>
      <c r="P1289" t="e">
        <f>IF($A1289="","",IF($E1289=1,$F1289*$O1289,PNL!G1289))</f>
        <v>#VALUE!</v>
      </c>
      <c r="T1289" t="e">
        <f t="shared" si="3"/>
        <v>#VALUE!</v>
      </c>
    </row>
    <row r="1290" ht="14.25" customHeight="1">
      <c r="A1290" t="str">
        <f>IF(PNL!A1290="","",PNL!A1290)</f>
        <v>MBWAY_LYO</v>
      </c>
      <c r="B1290" t="str">
        <f>IF(PNL!B1290="","",PNL!B1290)</f>
        <v>6411</v>
      </c>
      <c r="C1290" t="str">
        <f>IF(PNL!C1290="","",PNL!C1290)</f>
        <v>2027</v>
      </c>
      <c r="D1290" t="str">
        <f>IF(PNL!D1290="","",PNL!D1290)</f>
        <v>V03</v>
      </c>
      <c r="E1290">
        <f t="shared" si="0"/>
        <v>1</v>
      </c>
      <c r="F1290">
        <f>IF($A1290="","",IF($E1290=1,_xlfn.SUMIFS(Compta!$F$1:$F$1448,Compta!$A$1:$A$1448,$A1290,Compta!$B$1:$B$1448,$B1290,Compta!$C$1:$C$1448,"2026"),0))</f>
        <v>362623</v>
      </c>
      <c r="G1290" t="s">
        <v>274</v>
      </c>
      <c r="H1290" t="s">
        <v>274</v>
      </c>
      <c r="I1290" t="s">
        <v>274</v>
      </c>
      <c r="J1290" t="s">
        <v>274</v>
      </c>
      <c r="K1290" t="s">
        <v>274</v>
      </c>
      <c r="L1290" t="s">
        <v>274</v>
      </c>
      <c r="M1290" t="s">
        <v>274</v>
      </c>
      <c r="N1290" t="e">
        <f t="shared" si="1"/>
        <v>#VALUE!</v>
      </c>
      <c r="O1290" t="e">
        <f t="shared" si="2"/>
        <v>#VALUE!</v>
      </c>
      <c r="P1290" t="e">
        <f>IF($A1290="","",IF($E1290=1,$F1290*$O1290,PNL!G1290))</f>
        <v>#VALUE!</v>
      </c>
      <c r="T1290" t="e">
        <f t="shared" si="3"/>
        <v>#VALUE!</v>
      </c>
    </row>
    <row r="1291" ht="14.25" customHeight="1">
      <c r="A1291" t="str">
        <f>IF(PNL!A1291="","",PNL!A1291)</f>
        <v>MBWAY_NAN</v>
      </c>
      <c r="B1291" t="str">
        <f>IF(PNL!B1291="","",PNL!B1291)</f>
        <v>6411</v>
      </c>
      <c r="C1291" t="str">
        <f>IF(PNL!C1291="","",PNL!C1291)</f>
        <v>2027</v>
      </c>
      <c r="D1291" t="str">
        <f>IF(PNL!D1291="","",PNL!D1291)</f>
        <v>V01</v>
      </c>
      <c r="E1291">
        <f t="shared" si="0"/>
        <v>1</v>
      </c>
      <c r="F1291">
        <f>IF($A1291="","",IF($E1291=1,_xlfn.SUMIFS(Compta!$F$1:$F$1448,Compta!$A$1:$A$1448,$A1291,Compta!$B$1:$B$1448,$B1291,Compta!$C$1:$C$1448,"2026"),0))</f>
        <v>298865</v>
      </c>
      <c r="G1291" t="s">
        <v>274</v>
      </c>
      <c r="H1291" t="s">
        <v>274</v>
      </c>
      <c r="I1291" t="s">
        <v>274</v>
      </c>
      <c r="J1291" t="s">
        <v>274</v>
      </c>
      <c r="K1291" t="s">
        <v>274</v>
      </c>
      <c r="L1291" t="s">
        <v>274</v>
      </c>
      <c r="M1291" t="s">
        <v>274</v>
      </c>
      <c r="N1291" t="e">
        <f t="shared" si="1"/>
        <v>#VALUE!</v>
      </c>
      <c r="O1291" t="e">
        <f t="shared" si="2"/>
        <v>#VALUE!</v>
      </c>
      <c r="P1291" t="e">
        <f>IF($A1291="","",IF($E1291=1,$F1291*$O1291,PNL!G1291))</f>
        <v>#VALUE!</v>
      </c>
      <c r="T1291" t="e">
        <f t="shared" si="3"/>
        <v>#VALUE!</v>
      </c>
    </row>
    <row r="1292" ht="14.25" customHeight="1">
      <c r="A1292" t="str">
        <f>IF(PNL!A1292="","",PNL!A1292)</f>
        <v>MBWAY_NAN</v>
      </c>
      <c r="B1292" t="str">
        <f>IF(PNL!B1292="","",PNL!B1292)</f>
        <v>6411</v>
      </c>
      <c r="C1292" t="str">
        <f>IF(PNL!C1292="","",PNL!C1292)</f>
        <v>2027</v>
      </c>
      <c r="D1292" t="str">
        <f>IF(PNL!D1292="","",PNL!D1292)</f>
        <v>V02</v>
      </c>
      <c r="E1292">
        <f t="shared" si="0"/>
        <v>1</v>
      </c>
      <c r="F1292">
        <f>IF($A1292="","",IF($E1292=1,_xlfn.SUMIFS(Compta!$F$1:$F$1448,Compta!$A$1:$A$1448,$A1292,Compta!$B$1:$B$1448,$B1292,Compta!$C$1:$C$1448,"2026"),0))</f>
        <v>298865</v>
      </c>
      <c r="G1292" t="s">
        <v>274</v>
      </c>
      <c r="H1292" t="s">
        <v>274</v>
      </c>
      <c r="I1292" t="s">
        <v>274</v>
      </c>
      <c r="J1292" t="s">
        <v>274</v>
      </c>
      <c r="K1292" t="s">
        <v>274</v>
      </c>
      <c r="L1292" t="s">
        <v>274</v>
      </c>
      <c r="M1292" t="s">
        <v>274</v>
      </c>
      <c r="N1292" t="e">
        <f t="shared" si="1"/>
        <v>#VALUE!</v>
      </c>
      <c r="O1292" t="e">
        <f t="shared" si="2"/>
        <v>#VALUE!</v>
      </c>
      <c r="P1292" t="e">
        <f>IF($A1292="","",IF($E1292=1,$F1292*$O1292,PNL!G1292))</f>
        <v>#VALUE!</v>
      </c>
      <c r="T1292" t="e">
        <f t="shared" si="3"/>
        <v>#VALUE!</v>
      </c>
    </row>
    <row r="1293" ht="14.25" customHeight="1">
      <c r="A1293" t="str">
        <f>IF(PNL!A1293="","",PNL!A1293)</f>
        <v>MBWAY_NAN</v>
      </c>
      <c r="B1293" t="str">
        <f>IF(PNL!B1293="","",PNL!B1293)</f>
        <v>6411</v>
      </c>
      <c r="C1293" t="str">
        <f>IF(PNL!C1293="","",PNL!C1293)</f>
        <v>2027</v>
      </c>
      <c r="D1293" t="str">
        <f>IF(PNL!D1293="","",PNL!D1293)</f>
        <v>V03</v>
      </c>
      <c r="E1293">
        <f t="shared" si="0"/>
        <v>1</v>
      </c>
      <c r="F1293">
        <f>IF($A1293="","",IF($E1293=1,_xlfn.SUMIFS(Compta!$F$1:$F$1448,Compta!$A$1:$A$1448,$A1293,Compta!$B$1:$B$1448,$B1293,Compta!$C$1:$C$1448,"2026"),0))</f>
        <v>298865</v>
      </c>
      <c r="G1293" t="s">
        <v>274</v>
      </c>
      <c r="H1293" t="s">
        <v>274</v>
      </c>
      <c r="I1293" t="s">
        <v>274</v>
      </c>
      <c r="J1293" t="s">
        <v>274</v>
      </c>
      <c r="K1293" t="s">
        <v>274</v>
      </c>
      <c r="L1293" t="s">
        <v>274</v>
      </c>
      <c r="M1293" t="s">
        <v>274</v>
      </c>
      <c r="N1293" t="e">
        <f t="shared" si="1"/>
        <v>#VALUE!</v>
      </c>
      <c r="O1293" t="e">
        <f t="shared" si="2"/>
        <v>#VALUE!</v>
      </c>
      <c r="P1293" t="e">
        <f>IF($A1293="","",IF($E1293=1,$F1293*$O1293,PNL!G1293))</f>
        <v>#VALUE!</v>
      </c>
      <c r="T1293" t="e">
        <f t="shared" si="3"/>
        <v>#VALUE!</v>
      </c>
    </row>
    <row r="1294" ht="14.25" customHeight="1">
      <c r="A1294" t="str">
        <f>IF(PNL!A1294="","",PNL!A1294)</f>
        <v>MBWAY_BOR</v>
      </c>
      <c r="B1294" t="str">
        <f>IF(PNL!B1294="","",PNL!B1294)</f>
        <v>6411</v>
      </c>
      <c r="C1294" t="str">
        <f>IF(PNL!C1294="","",PNL!C1294)</f>
        <v>2027</v>
      </c>
      <c r="D1294" t="str">
        <f>IF(PNL!D1294="","",PNL!D1294)</f>
        <v>V01</v>
      </c>
      <c r="E1294">
        <f t="shared" si="0"/>
        <v>1</v>
      </c>
      <c r="F1294">
        <f>IF($A1294="","",IF($E1294=1,_xlfn.SUMIFS(Compta!$F$1:$F$1448,Compta!$A$1:$A$1448,$A1294,Compta!$B$1:$B$1448,$B1294,Compta!$C$1:$C$1448,"2026"),0))</f>
        <v>261507</v>
      </c>
      <c r="G1294" t="s">
        <v>274</v>
      </c>
      <c r="H1294" t="s">
        <v>274</v>
      </c>
      <c r="I1294" t="s">
        <v>274</v>
      </c>
      <c r="J1294" t="s">
        <v>274</v>
      </c>
      <c r="K1294" t="s">
        <v>274</v>
      </c>
      <c r="L1294" t="s">
        <v>274</v>
      </c>
      <c r="M1294" t="s">
        <v>274</v>
      </c>
      <c r="N1294" t="e">
        <f t="shared" si="1"/>
        <v>#VALUE!</v>
      </c>
      <c r="O1294" t="e">
        <f t="shared" si="2"/>
        <v>#VALUE!</v>
      </c>
      <c r="P1294" t="e">
        <f>IF($A1294="","",IF($E1294=1,$F1294*$O1294,PNL!G1294))</f>
        <v>#VALUE!</v>
      </c>
      <c r="T1294" t="e">
        <f t="shared" si="3"/>
        <v>#VALUE!</v>
      </c>
    </row>
    <row r="1295" ht="14.25" customHeight="1">
      <c r="A1295" t="str">
        <f>IF(PNL!A1295="","",PNL!A1295)</f>
        <v>MBWAY_BOR</v>
      </c>
      <c r="B1295" t="str">
        <f>IF(PNL!B1295="","",PNL!B1295)</f>
        <v>6411</v>
      </c>
      <c r="C1295" t="str">
        <f>IF(PNL!C1295="","",PNL!C1295)</f>
        <v>2027</v>
      </c>
      <c r="D1295" t="str">
        <f>IF(PNL!D1295="","",PNL!D1295)</f>
        <v>V02</v>
      </c>
      <c r="E1295">
        <f t="shared" si="0"/>
        <v>1</v>
      </c>
      <c r="F1295">
        <f>IF($A1295="","",IF($E1295=1,_xlfn.SUMIFS(Compta!$F$1:$F$1448,Compta!$A$1:$A$1448,$A1295,Compta!$B$1:$B$1448,$B1295,Compta!$C$1:$C$1448,"2026"),0))</f>
        <v>261507</v>
      </c>
      <c r="G1295" t="s">
        <v>274</v>
      </c>
      <c r="H1295" t="s">
        <v>274</v>
      </c>
      <c r="I1295" t="s">
        <v>274</v>
      </c>
      <c r="J1295" t="s">
        <v>274</v>
      </c>
      <c r="K1295" t="s">
        <v>274</v>
      </c>
      <c r="L1295" t="s">
        <v>274</v>
      </c>
      <c r="M1295" t="s">
        <v>274</v>
      </c>
      <c r="N1295" t="e">
        <f t="shared" si="1"/>
        <v>#VALUE!</v>
      </c>
      <c r="O1295" t="e">
        <f t="shared" si="2"/>
        <v>#VALUE!</v>
      </c>
      <c r="P1295" t="e">
        <f>IF($A1295="","",IF($E1295=1,$F1295*$O1295,PNL!G1295))</f>
        <v>#VALUE!</v>
      </c>
      <c r="T1295" t="e">
        <f t="shared" si="3"/>
        <v>#VALUE!</v>
      </c>
    </row>
    <row r="1296" ht="14.25" customHeight="1">
      <c r="A1296" t="str">
        <f>IF(PNL!A1296="","",PNL!A1296)</f>
        <v>MBWAY_BOR</v>
      </c>
      <c r="B1296" t="str">
        <f>IF(PNL!B1296="","",PNL!B1296)</f>
        <v>6411</v>
      </c>
      <c r="C1296" t="str">
        <f>IF(PNL!C1296="","",PNL!C1296)</f>
        <v>2027</v>
      </c>
      <c r="D1296" t="str">
        <f>IF(PNL!D1296="","",PNL!D1296)</f>
        <v>V03</v>
      </c>
      <c r="E1296">
        <f t="shared" si="0"/>
        <v>1</v>
      </c>
      <c r="F1296">
        <f>IF($A1296="","",IF($E1296=1,_xlfn.SUMIFS(Compta!$F$1:$F$1448,Compta!$A$1:$A$1448,$A1296,Compta!$B$1:$B$1448,$B1296,Compta!$C$1:$C$1448,"2026"),0))</f>
        <v>261507</v>
      </c>
      <c r="G1296" t="s">
        <v>274</v>
      </c>
      <c r="H1296" t="s">
        <v>274</v>
      </c>
      <c r="I1296" t="s">
        <v>274</v>
      </c>
      <c r="J1296" t="s">
        <v>274</v>
      </c>
      <c r="K1296" t="s">
        <v>274</v>
      </c>
      <c r="L1296" t="s">
        <v>274</v>
      </c>
      <c r="M1296" t="s">
        <v>274</v>
      </c>
      <c r="N1296" t="e">
        <f t="shared" si="1"/>
        <v>#VALUE!</v>
      </c>
      <c r="O1296" t="e">
        <f t="shared" si="2"/>
        <v>#VALUE!</v>
      </c>
      <c r="P1296" t="e">
        <f>IF($A1296="","",IF($E1296=1,$F1296*$O1296,PNL!G1296))</f>
        <v>#VALUE!</v>
      </c>
      <c r="T1296" t="e">
        <f t="shared" si="3"/>
        <v>#VALUE!</v>
      </c>
    </row>
    <row r="1297" ht="14.25" customHeight="1">
      <c r="A1297" t="str">
        <f>IF(PNL!A1297="","",PNL!A1297)</f>
        <v>ISCOM_PAR</v>
      </c>
      <c r="B1297" t="str">
        <f>IF(PNL!B1297="","",PNL!B1297)</f>
        <v>6411</v>
      </c>
      <c r="C1297" t="str">
        <f>IF(PNL!C1297="","",PNL!C1297)</f>
        <v>2027</v>
      </c>
      <c r="D1297" t="str">
        <f>IF(PNL!D1297="","",PNL!D1297)</f>
        <v>V01</v>
      </c>
      <c r="E1297">
        <f t="shared" si="0"/>
        <v>1</v>
      </c>
      <c r="F1297">
        <f>IF($A1297="","",IF($E1297=1,_xlfn.SUMIFS(Compta!$F$1:$F$1448,Compta!$A$1:$A$1448,$A1297,Compta!$B$1:$B$1448,$B1297,Compta!$C$1:$C$1448,"2026"),0))</f>
        <v>605202</v>
      </c>
      <c r="G1297" t="s">
        <v>274</v>
      </c>
      <c r="H1297" t="s">
        <v>274</v>
      </c>
      <c r="I1297" t="s">
        <v>274</v>
      </c>
      <c r="J1297" t="s">
        <v>274</v>
      </c>
      <c r="K1297" t="s">
        <v>274</v>
      </c>
      <c r="L1297" t="s">
        <v>274</v>
      </c>
      <c r="M1297" t="s">
        <v>274</v>
      </c>
      <c r="N1297" t="e">
        <f t="shared" si="1"/>
        <v>#VALUE!</v>
      </c>
      <c r="O1297" t="e">
        <f t="shared" si="2"/>
        <v>#VALUE!</v>
      </c>
      <c r="P1297" t="e">
        <f>IF($A1297="","",IF($E1297=1,$F1297*$O1297,PNL!G1297))</f>
        <v>#VALUE!</v>
      </c>
      <c r="T1297" t="e">
        <f t="shared" si="3"/>
        <v>#VALUE!</v>
      </c>
    </row>
    <row r="1298" ht="14.25" customHeight="1">
      <c r="A1298" t="str">
        <f>IF(PNL!A1298="","",PNL!A1298)</f>
        <v>ISCOM_PAR</v>
      </c>
      <c r="B1298" t="str">
        <f>IF(PNL!B1298="","",PNL!B1298)</f>
        <v>6411</v>
      </c>
      <c r="C1298" t="str">
        <f>IF(PNL!C1298="","",PNL!C1298)</f>
        <v>2027</v>
      </c>
      <c r="D1298" t="str">
        <f>IF(PNL!D1298="","",PNL!D1298)</f>
        <v>V02</v>
      </c>
      <c r="E1298">
        <f t="shared" si="0"/>
        <v>1</v>
      </c>
      <c r="F1298">
        <f>IF($A1298="","",IF($E1298=1,_xlfn.SUMIFS(Compta!$F$1:$F$1448,Compta!$A$1:$A$1448,$A1298,Compta!$B$1:$B$1448,$B1298,Compta!$C$1:$C$1448,"2026"),0))</f>
        <v>605202</v>
      </c>
      <c r="G1298" t="s">
        <v>274</v>
      </c>
      <c r="H1298" t="s">
        <v>274</v>
      </c>
      <c r="I1298" t="s">
        <v>274</v>
      </c>
      <c r="J1298" t="s">
        <v>274</v>
      </c>
      <c r="K1298" t="s">
        <v>274</v>
      </c>
      <c r="L1298" t="s">
        <v>274</v>
      </c>
      <c r="M1298" t="s">
        <v>274</v>
      </c>
      <c r="N1298" t="e">
        <f t="shared" si="1"/>
        <v>#VALUE!</v>
      </c>
      <c r="O1298" t="e">
        <f t="shared" si="2"/>
        <v>#VALUE!</v>
      </c>
      <c r="P1298" t="e">
        <f>IF($A1298="","",IF($E1298=1,$F1298*$O1298,PNL!G1298))</f>
        <v>#VALUE!</v>
      </c>
      <c r="T1298" t="e">
        <f t="shared" si="3"/>
        <v>#VALUE!</v>
      </c>
    </row>
    <row r="1299" ht="14.25" customHeight="1">
      <c r="A1299" t="str">
        <f>IF(PNL!A1299="","",PNL!A1299)</f>
        <v>ISCOM_PAR</v>
      </c>
      <c r="B1299" t="str">
        <f>IF(PNL!B1299="","",PNL!B1299)</f>
        <v>6411</v>
      </c>
      <c r="C1299" t="str">
        <f>IF(PNL!C1299="","",PNL!C1299)</f>
        <v>2027</v>
      </c>
      <c r="D1299" t="str">
        <f>IF(PNL!D1299="","",PNL!D1299)</f>
        <v>V03</v>
      </c>
      <c r="E1299">
        <f t="shared" si="0"/>
        <v>1</v>
      </c>
      <c r="F1299">
        <f>IF($A1299="","",IF($E1299=1,_xlfn.SUMIFS(Compta!$F$1:$F$1448,Compta!$A$1:$A$1448,$A1299,Compta!$B$1:$B$1448,$B1299,Compta!$C$1:$C$1448,"2026"),0))</f>
        <v>605202</v>
      </c>
      <c r="G1299" t="s">
        <v>274</v>
      </c>
      <c r="H1299" t="s">
        <v>274</v>
      </c>
      <c r="I1299" t="s">
        <v>274</v>
      </c>
      <c r="J1299" t="s">
        <v>274</v>
      </c>
      <c r="K1299" t="s">
        <v>274</v>
      </c>
      <c r="L1299" t="s">
        <v>274</v>
      </c>
      <c r="M1299" t="s">
        <v>274</v>
      </c>
      <c r="N1299" t="e">
        <f t="shared" si="1"/>
        <v>#VALUE!</v>
      </c>
      <c r="O1299" t="e">
        <f t="shared" si="2"/>
        <v>#VALUE!</v>
      </c>
      <c r="P1299" t="e">
        <f>IF($A1299="","",IF($E1299=1,$F1299*$O1299,PNL!G1299))</f>
        <v>#VALUE!</v>
      </c>
      <c r="T1299" t="e">
        <f t="shared" si="3"/>
        <v>#VALUE!</v>
      </c>
    </row>
    <row r="1300" ht="14.25" customHeight="1">
      <c r="A1300" t="str">
        <f>IF(PNL!A1300="","",PNL!A1300)</f>
        <v>ISCOM_LIL</v>
      </c>
      <c r="B1300" t="str">
        <f>IF(PNL!B1300="","",PNL!B1300)</f>
        <v>6411</v>
      </c>
      <c r="C1300" t="str">
        <f>IF(PNL!C1300="","",PNL!C1300)</f>
        <v>2027</v>
      </c>
      <c r="D1300" t="str">
        <f>IF(PNL!D1300="","",PNL!D1300)</f>
        <v>V01</v>
      </c>
      <c r="E1300">
        <f t="shared" si="0"/>
        <v>1</v>
      </c>
      <c r="F1300">
        <f>IF($A1300="","",IF($E1300=1,_xlfn.SUMIFS(Compta!$F$1:$F$1448,Compta!$A$1:$A$1448,$A1300,Compta!$B$1:$B$1448,$B1300,Compta!$C$1:$C$1448,"2026"),0))</f>
        <v>229130</v>
      </c>
      <c r="G1300" t="s">
        <v>274</v>
      </c>
      <c r="H1300" t="s">
        <v>274</v>
      </c>
      <c r="I1300" t="s">
        <v>274</v>
      </c>
      <c r="J1300" t="s">
        <v>274</v>
      </c>
      <c r="K1300" t="s">
        <v>274</v>
      </c>
      <c r="L1300" t="s">
        <v>274</v>
      </c>
      <c r="M1300" t="s">
        <v>274</v>
      </c>
      <c r="N1300" t="e">
        <f t="shared" si="1"/>
        <v>#VALUE!</v>
      </c>
      <c r="O1300" t="e">
        <f t="shared" si="2"/>
        <v>#VALUE!</v>
      </c>
      <c r="P1300" t="e">
        <f>IF($A1300="","",IF($E1300=1,$F1300*$O1300,PNL!G1300))</f>
        <v>#VALUE!</v>
      </c>
      <c r="T1300" t="e">
        <f t="shared" si="3"/>
        <v>#VALUE!</v>
      </c>
    </row>
    <row r="1301" ht="14.25" customHeight="1">
      <c r="A1301" t="str">
        <f>IF(PNL!A1301="","",PNL!A1301)</f>
        <v>ISCOM_LIL</v>
      </c>
      <c r="B1301" t="str">
        <f>IF(PNL!B1301="","",PNL!B1301)</f>
        <v>6411</v>
      </c>
      <c r="C1301" t="str">
        <f>IF(PNL!C1301="","",PNL!C1301)</f>
        <v>2027</v>
      </c>
      <c r="D1301" t="str">
        <f>IF(PNL!D1301="","",PNL!D1301)</f>
        <v>V02</v>
      </c>
      <c r="E1301">
        <f t="shared" si="0"/>
        <v>1</v>
      </c>
      <c r="F1301">
        <f>IF($A1301="","",IF($E1301=1,_xlfn.SUMIFS(Compta!$F$1:$F$1448,Compta!$A$1:$A$1448,$A1301,Compta!$B$1:$B$1448,$B1301,Compta!$C$1:$C$1448,"2026"),0))</f>
        <v>229130</v>
      </c>
      <c r="G1301" t="s">
        <v>274</v>
      </c>
      <c r="H1301" t="s">
        <v>274</v>
      </c>
      <c r="I1301" t="s">
        <v>274</v>
      </c>
      <c r="J1301" t="s">
        <v>274</v>
      </c>
      <c r="K1301" t="s">
        <v>274</v>
      </c>
      <c r="L1301" t="s">
        <v>274</v>
      </c>
      <c r="M1301" t="s">
        <v>274</v>
      </c>
      <c r="N1301" t="e">
        <f t="shared" si="1"/>
        <v>#VALUE!</v>
      </c>
      <c r="O1301" t="e">
        <f t="shared" si="2"/>
        <v>#VALUE!</v>
      </c>
      <c r="P1301" t="e">
        <f>IF($A1301="","",IF($E1301=1,$F1301*$O1301,PNL!G1301))</f>
        <v>#VALUE!</v>
      </c>
      <c r="T1301" t="e">
        <f t="shared" si="3"/>
        <v>#VALUE!</v>
      </c>
    </row>
    <row r="1302" ht="14.25" customHeight="1">
      <c r="A1302" t="str">
        <f>IF(PNL!A1302="","",PNL!A1302)</f>
        <v>ISCOM_LIL</v>
      </c>
      <c r="B1302" t="str">
        <f>IF(PNL!B1302="","",PNL!B1302)</f>
        <v>6411</v>
      </c>
      <c r="C1302" t="str">
        <f>IF(PNL!C1302="","",PNL!C1302)</f>
        <v>2027</v>
      </c>
      <c r="D1302" t="str">
        <f>IF(PNL!D1302="","",PNL!D1302)</f>
        <v>V03</v>
      </c>
      <c r="E1302">
        <f t="shared" si="0"/>
        <v>1</v>
      </c>
      <c r="F1302">
        <f>IF($A1302="","",IF($E1302=1,_xlfn.SUMIFS(Compta!$F$1:$F$1448,Compta!$A$1:$A$1448,$A1302,Compta!$B$1:$B$1448,$B1302,Compta!$C$1:$C$1448,"2026"),0))</f>
        <v>229130</v>
      </c>
      <c r="G1302" t="s">
        <v>274</v>
      </c>
      <c r="H1302" t="s">
        <v>274</v>
      </c>
      <c r="I1302" t="s">
        <v>274</v>
      </c>
      <c r="J1302" t="s">
        <v>274</v>
      </c>
      <c r="K1302" t="s">
        <v>274</v>
      </c>
      <c r="L1302" t="s">
        <v>274</v>
      </c>
      <c r="M1302" t="s">
        <v>274</v>
      </c>
      <c r="N1302" t="e">
        <f t="shared" si="1"/>
        <v>#VALUE!</v>
      </c>
      <c r="O1302" t="e">
        <f t="shared" si="2"/>
        <v>#VALUE!</v>
      </c>
      <c r="P1302" t="e">
        <f>IF($A1302="","",IF($E1302=1,$F1302*$O1302,PNL!G1302))</f>
        <v>#VALUE!</v>
      </c>
      <c r="T1302" t="e">
        <f t="shared" si="3"/>
        <v>#VALUE!</v>
      </c>
    </row>
    <row r="1303" ht="14.25" customHeight="1">
      <c r="A1303" t="str">
        <f>IF(PNL!A1303="","",PNL!A1303)</f>
        <v>ISCOM_TLS</v>
      </c>
      <c r="B1303" t="str">
        <f>IF(PNL!B1303="","",PNL!B1303)</f>
        <v>6411</v>
      </c>
      <c r="C1303" t="str">
        <f>IF(PNL!C1303="","",PNL!C1303)</f>
        <v>2027</v>
      </c>
      <c r="D1303" t="str">
        <f>IF(PNL!D1303="","",PNL!D1303)</f>
        <v>V01</v>
      </c>
      <c r="E1303">
        <f t="shared" si="0"/>
        <v>1</v>
      </c>
      <c r="F1303">
        <f>IF($A1303="","",IF($E1303=1,_xlfn.SUMIFS(Compta!$F$1:$F$1448,Compta!$A$1:$A$1448,$A1303,Compta!$B$1:$B$1448,$B1303,Compta!$C$1:$C$1448,"2026"),0))</f>
        <v>224149</v>
      </c>
      <c r="G1303" t="s">
        <v>274</v>
      </c>
      <c r="H1303" t="s">
        <v>274</v>
      </c>
      <c r="I1303" t="s">
        <v>274</v>
      </c>
      <c r="J1303" t="s">
        <v>274</v>
      </c>
      <c r="K1303" t="s">
        <v>274</v>
      </c>
      <c r="L1303" t="s">
        <v>274</v>
      </c>
      <c r="M1303" t="s">
        <v>274</v>
      </c>
      <c r="N1303" t="e">
        <f t="shared" si="1"/>
        <v>#VALUE!</v>
      </c>
      <c r="O1303" t="e">
        <f t="shared" si="2"/>
        <v>#VALUE!</v>
      </c>
      <c r="P1303" t="e">
        <f>IF($A1303="","",IF($E1303=1,$F1303*$O1303,PNL!G1303))</f>
        <v>#VALUE!</v>
      </c>
      <c r="T1303" t="e">
        <f t="shared" si="3"/>
        <v>#VALUE!</v>
      </c>
    </row>
    <row r="1304" ht="14.25" customHeight="1">
      <c r="A1304" t="str">
        <f>IF(PNL!A1304="","",PNL!A1304)</f>
        <v>ISCOM_TLS</v>
      </c>
      <c r="B1304" t="str">
        <f>IF(PNL!B1304="","",PNL!B1304)</f>
        <v>6411</v>
      </c>
      <c r="C1304" t="str">
        <f>IF(PNL!C1304="","",PNL!C1304)</f>
        <v>2027</v>
      </c>
      <c r="D1304" t="str">
        <f>IF(PNL!D1304="","",PNL!D1304)</f>
        <v>V02</v>
      </c>
      <c r="E1304">
        <f t="shared" si="0"/>
        <v>1</v>
      </c>
      <c r="F1304">
        <f>IF($A1304="","",IF($E1304=1,_xlfn.SUMIFS(Compta!$F$1:$F$1448,Compta!$A$1:$A$1448,$A1304,Compta!$B$1:$B$1448,$B1304,Compta!$C$1:$C$1448,"2026"),0))</f>
        <v>224149</v>
      </c>
      <c r="G1304" t="s">
        <v>274</v>
      </c>
      <c r="H1304" t="s">
        <v>274</v>
      </c>
      <c r="I1304" t="s">
        <v>274</v>
      </c>
      <c r="J1304" t="s">
        <v>274</v>
      </c>
      <c r="K1304" t="s">
        <v>274</v>
      </c>
      <c r="L1304" t="s">
        <v>274</v>
      </c>
      <c r="M1304" t="s">
        <v>274</v>
      </c>
      <c r="N1304" t="e">
        <f t="shared" si="1"/>
        <v>#VALUE!</v>
      </c>
      <c r="O1304" t="e">
        <f t="shared" si="2"/>
        <v>#VALUE!</v>
      </c>
      <c r="P1304" t="e">
        <f>IF($A1304="","",IF($E1304=1,$F1304*$O1304,PNL!G1304))</f>
        <v>#VALUE!</v>
      </c>
      <c r="T1304" t="e">
        <f t="shared" si="3"/>
        <v>#VALUE!</v>
      </c>
    </row>
    <row r="1305" ht="14.25" customHeight="1">
      <c r="A1305" t="str">
        <f>IF(PNL!A1305="","",PNL!A1305)</f>
        <v>ISCOM_TLS</v>
      </c>
      <c r="B1305" t="str">
        <f>IF(PNL!B1305="","",PNL!B1305)</f>
        <v>6411</v>
      </c>
      <c r="C1305" t="str">
        <f>IF(PNL!C1305="","",PNL!C1305)</f>
        <v>2027</v>
      </c>
      <c r="D1305" t="str">
        <f>IF(PNL!D1305="","",PNL!D1305)</f>
        <v>V03</v>
      </c>
      <c r="E1305">
        <f t="shared" si="0"/>
        <v>1</v>
      </c>
      <c r="F1305">
        <f>IF($A1305="","",IF($E1305=1,_xlfn.SUMIFS(Compta!$F$1:$F$1448,Compta!$A$1:$A$1448,$A1305,Compta!$B$1:$B$1448,$B1305,Compta!$C$1:$C$1448,"2026"),0))</f>
        <v>224149</v>
      </c>
      <c r="G1305" t="s">
        <v>274</v>
      </c>
      <c r="H1305" t="s">
        <v>274</v>
      </c>
      <c r="I1305" t="s">
        <v>274</v>
      </c>
      <c r="J1305" t="s">
        <v>274</v>
      </c>
      <c r="K1305" t="s">
        <v>274</v>
      </c>
      <c r="L1305" t="s">
        <v>274</v>
      </c>
      <c r="M1305" t="s">
        <v>274</v>
      </c>
      <c r="N1305" t="e">
        <f t="shared" si="1"/>
        <v>#VALUE!</v>
      </c>
      <c r="O1305" t="e">
        <f t="shared" si="2"/>
        <v>#VALUE!</v>
      </c>
      <c r="P1305" t="e">
        <f>IF($A1305="","",IF($E1305=1,$F1305*$O1305,PNL!G1305))</f>
        <v>#VALUE!</v>
      </c>
      <c r="T1305" t="e">
        <f t="shared" si="3"/>
        <v>#VALUE!</v>
      </c>
    </row>
    <row r="1306" ht="14.25" customHeight="1">
      <c r="A1306" t="str">
        <f>IF(PNL!A1306="","",PNL!A1306)</f>
        <v>IPAC_NAN</v>
      </c>
      <c r="B1306" t="str">
        <f>IF(PNL!B1306="","",PNL!B1306)</f>
        <v>6411</v>
      </c>
      <c r="C1306" t="str">
        <f>IF(PNL!C1306="","",PNL!C1306)</f>
        <v>2027</v>
      </c>
      <c r="D1306" t="str">
        <f>IF(PNL!D1306="","",PNL!D1306)</f>
        <v>V01</v>
      </c>
      <c r="E1306">
        <f t="shared" si="0"/>
        <v>1</v>
      </c>
      <c r="F1306">
        <f>IF($A1306="","",IF($E1306=1,_xlfn.SUMIFS(Compta!$F$1:$F$1448,Compta!$A$1:$A$1448,$A1306,Compta!$B$1:$B$1448,$B1306,Compta!$C$1:$C$1448,"2026"),0))</f>
        <v>149433</v>
      </c>
      <c r="G1306" t="s">
        <v>274</v>
      </c>
      <c r="H1306" t="s">
        <v>274</v>
      </c>
      <c r="I1306" t="s">
        <v>274</v>
      </c>
      <c r="J1306" t="s">
        <v>274</v>
      </c>
      <c r="K1306" t="s">
        <v>274</v>
      </c>
      <c r="L1306" t="s">
        <v>274</v>
      </c>
      <c r="M1306" t="s">
        <v>274</v>
      </c>
      <c r="N1306" t="e">
        <f t="shared" si="1"/>
        <v>#VALUE!</v>
      </c>
      <c r="O1306" t="e">
        <f t="shared" si="2"/>
        <v>#VALUE!</v>
      </c>
      <c r="P1306" t="e">
        <f>IF($A1306="","",IF($E1306=1,$F1306*$O1306,PNL!G1306))</f>
        <v>#VALUE!</v>
      </c>
      <c r="T1306" t="e">
        <f t="shared" si="3"/>
        <v>#VALUE!</v>
      </c>
    </row>
    <row r="1307" ht="14.25" customHeight="1">
      <c r="A1307" t="str">
        <f>IF(PNL!A1307="","",PNL!A1307)</f>
        <v>IPAC_NAN</v>
      </c>
      <c r="B1307" t="str">
        <f>IF(PNL!B1307="","",PNL!B1307)</f>
        <v>6411</v>
      </c>
      <c r="C1307" t="str">
        <f>IF(PNL!C1307="","",PNL!C1307)</f>
        <v>2027</v>
      </c>
      <c r="D1307" t="str">
        <f>IF(PNL!D1307="","",PNL!D1307)</f>
        <v>V02</v>
      </c>
      <c r="E1307">
        <f t="shared" si="0"/>
        <v>1</v>
      </c>
      <c r="F1307">
        <f>IF($A1307="","",IF($E1307=1,_xlfn.SUMIFS(Compta!$F$1:$F$1448,Compta!$A$1:$A$1448,$A1307,Compta!$B$1:$B$1448,$B1307,Compta!$C$1:$C$1448,"2026"),0))</f>
        <v>149433</v>
      </c>
      <c r="G1307" t="s">
        <v>274</v>
      </c>
      <c r="H1307" t="s">
        <v>274</v>
      </c>
      <c r="I1307" t="s">
        <v>274</v>
      </c>
      <c r="J1307" t="s">
        <v>274</v>
      </c>
      <c r="K1307" t="s">
        <v>274</v>
      </c>
      <c r="L1307" t="s">
        <v>274</v>
      </c>
      <c r="M1307" t="s">
        <v>274</v>
      </c>
      <c r="N1307" t="e">
        <f t="shared" si="1"/>
        <v>#VALUE!</v>
      </c>
      <c r="O1307" t="e">
        <f t="shared" si="2"/>
        <v>#VALUE!</v>
      </c>
      <c r="P1307" t="e">
        <f>IF($A1307="","",IF($E1307=1,$F1307*$O1307,PNL!G1307))</f>
        <v>#VALUE!</v>
      </c>
      <c r="T1307" t="e">
        <f t="shared" si="3"/>
        <v>#VALUE!</v>
      </c>
    </row>
    <row r="1308" ht="14.25" customHeight="1">
      <c r="A1308" t="str">
        <f>IF(PNL!A1308="","",PNL!A1308)</f>
        <v>IPAC_NAN</v>
      </c>
      <c r="B1308" t="str">
        <f>IF(PNL!B1308="","",PNL!B1308)</f>
        <v>6411</v>
      </c>
      <c r="C1308" t="str">
        <f>IF(PNL!C1308="","",PNL!C1308)</f>
        <v>2027</v>
      </c>
      <c r="D1308" t="str">
        <f>IF(PNL!D1308="","",PNL!D1308)</f>
        <v>V03</v>
      </c>
      <c r="E1308">
        <f t="shared" si="0"/>
        <v>1</v>
      </c>
      <c r="F1308">
        <f>IF($A1308="","",IF($E1308=1,_xlfn.SUMIFS(Compta!$F$1:$F$1448,Compta!$A$1:$A$1448,$A1308,Compta!$B$1:$B$1448,$B1308,Compta!$C$1:$C$1448,"2026"),0))</f>
        <v>149433</v>
      </c>
      <c r="G1308" t="s">
        <v>274</v>
      </c>
      <c r="H1308" t="s">
        <v>274</v>
      </c>
      <c r="I1308" t="s">
        <v>274</v>
      </c>
      <c r="J1308" t="s">
        <v>274</v>
      </c>
      <c r="K1308" t="s">
        <v>274</v>
      </c>
      <c r="L1308" t="s">
        <v>274</v>
      </c>
      <c r="M1308" t="s">
        <v>274</v>
      </c>
      <c r="N1308" t="e">
        <f t="shared" si="1"/>
        <v>#VALUE!</v>
      </c>
      <c r="O1308" t="e">
        <f t="shared" si="2"/>
        <v>#VALUE!</v>
      </c>
      <c r="P1308" t="e">
        <f>IF($A1308="","",IF($E1308=1,$F1308*$O1308,PNL!G1308))</f>
        <v>#VALUE!</v>
      </c>
      <c r="T1308" t="e">
        <f t="shared" si="3"/>
        <v>#VALUE!</v>
      </c>
    </row>
    <row r="1309" ht="14.25" customHeight="1">
      <c r="A1309" t="str">
        <f>IF(PNL!A1309="","",PNL!A1309)</f>
        <v>IPAC_REN</v>
      </c>
      <c r="B1309" t="str">
        <f>IF(PNL!B1309="","",PNL!B1309)</f>
        <v>6411</v>
      </c>
      <c r="C1309" t="str">
        <f>IF(PNL!C1309="","",PNL!C1309)</f>
        <v>2027</v>
      </c>
      <c r="D1309" t="str">
        <f>IF(PNL!D1309="","",PNL!D1309)</f>
        <v>V01</v>
      </c>
      <c r="E1309">
        <f t="shared" si="0"/>
        <v>1</v>
      </c>
      <c r="F1309">
        <f>IF($A1309="","",IF($E1309=1,_xlfn.SUMIFS(Compta!$F$1:$F$1448,Compta!$A$1:$A$1448,$A1309,Compta!$B$1:$B$1448,$B1309,Compta!$C$1:$C$1448,"2026"),0))</f>
        <v>131501</v>
      </c>
      <c r="G1309" t="s">
        <v>274</v>
      </c>
      <c r="H1309" t="s">
        <v>274</v>
      </c>
      <c r="I1309" t="s">
        <v>274</v>
      </c>
      <c r="J1309" t="s">
        <v>274</v>
      </c>
      <c r="K1309" t="s">
        <v>274</v>
      </c>
      <c r="L1309" t="s">
        <v>274</v>
      </c>
      <c r="M1309" t="s">
        <v>274</v>
      </c>
      <c r="N1309" t="e">
        <f t="shared" si="1"/>
        <v>#VALUE!</v>
      </c>
      <c r="O1309" t="e">
        <f t="shared" si="2"/>
        <v>#VALUE!</v>
      </c>
      <c r="P1309" t="e">
        <f>IF($A1309="","",IF($E1309=1,$F1309*$O1309,PNL!G1309))</f>
        <v>#VALUE!</v>
      </c>
      <c r="T1309" t="e">
        <f t="shared" si="3"/>
        <v>#VALUE!</v>
      </c>
    </row>
    <row r="1310" ht="14.25" customHeight="1">
      <c r="A1310" t="str">
        <f>IF(PNL!A1310="","",PNL!A1310)</f>
        <v>IPAC_REN</v>
      </c>
      <c r="B1310" t="str">
        <f>IF(PNL!B1310="","",PNL!B1310)</f>
        <v>6411</v>
      </c>
      <c r="C1310" t="str">
        <f>IF(PNL!C1310="","",PNL!C1310)</f>
        <v>2027</v>
      </c>
      <c r="D1310" t="str">
        <f>IF(PNL!D1310="","",PNL!D1310)</f>
        <v>V02</v>
      </c>
      <c r="E1310">
        <f t="shared" si="0"/>
        <v>1</v>
      </c>
      <c r="F1310">
        <f>IF($A1310="","",IF($E1310=1,_xlfn.SUMIFS(Compta!$F$1:$F$1448,Compta!$A$1:$A$1448,$A1310,Compta!$B$1:$B$1448,$B1310,Compta!$C$1:$C$1448,"2026"),0))</f>
        <v>131501</v>
      </c>
      <c r="G1310" t="s">
        <v>274</v>
      </c>
      <c r="H1310" t="s">
        <v>274</v>
      </c>
      <c r="I1310" t="s">
        <v>274</v>
      </c>
      <c r="J1310" t="s">
        <v>274</v>
      </c>
      <c r="K1310" t="s">
        <v>274</v>
      </c>
      <c r="L1310" t="s">
        <v>274</v>
      </c>
      <c r="M1310" t="s">
        <v>274</v>
      </c>
      <c r="N1310" t="e">
        <f t="shared" si="1"/>
        <v>#VALUE!</v>
      </c>
      <c r="O1310" t="e">
        <f t="shared" si="2"/>
        <v>#VALUE!</v>
      </c>
      <c r="P1310" t="e">
        <f>IF($A1310="","",IF($E1310=1,$F1310*$O1310,PNL!G1310))</f>
        <v>#VALUE!</v>
      </c>
      <c r="T1310" t="e">
        <f t="shared" si="3"/>
        <v>#VALUE!</v>
      </c>
    </row>
    <row r="1311" ht="14.25" customHeight="1">
      <c r="A1311" t="str">
        <f>IF(PNL!A1311="","",PNL!A1311)</f>
        <v>IPAC_REN</v>
      </c>
      <c r="B1311" t="str">
        <f>IF(PNL!B1311="","",PNL!B1311)</f>
        <v>6411</v>
      </c>
      <c r="C1311" t="str">
        <f>IF(PNL!C1311="","",PNL!C1311)</f>
        <v>2027</v>
      </c>
      <c r="D1311" t="str">
        <f>IF(PNL!D1311="","",PNL!D1311)</f>
        <v>V03</v>
      </c>
      <c r="E1311">
        <f t="shared" si="0"/>
        <v>1</v>
      </c>
      <c r="F1311">
        <f>IF($A1311="","",IF($E1311=1,_xlfn.SUMIFS(Compta!$F$1:$F$1448,Compta!$A$1:$A$1448,$A1311,Compta!$B$1:$B$1448,$B1311,Compta!$C$1:$C$1448,"2026"),0))</f>
        <v>131501</v>
      </c>
      <c r="G1311" t="s">
        <v>274</v>
      </c>
      <c r="H1311" t="s">
        <v>274</v>
      </c>
      <c r="I1311" t="s">
        <v>274</v>
      </c>
      <c r="J1311" t="s">
        <v>274</v>
      </c>
      <c r="K1311" t="s">
        <v>274</v>
      </c>
      <c r="L1311" t="s">
        <v>274</v>
      </c>
      <c r="M1311" t="s">
        <v>274</v>
      </c>
      <c r="N1311" t="e">
        <f t="shared" si="1"/>
        <v>#VALUE!</v>
      </c>
      <c r="O1311" t="e">
        <f t="shared" si="2"/>
        <v>#VALUE!</v>
      </c>
      <c r="P1311" t="e">
        <f>IF($A1311="","",IF($E1311=1,$F1311*$O1311,PNL!G1311))</f>
        <v>#VALUE!</v>
      </c>
      <c r="T1311" t="e">
        <f t="shared" si="3"/>
        <v>#VALUE!</v>
      </c>
    </row>
    <row r="1312" ht="14.25" customHeight="1">
      <c r="A1312" t="str">
        <f>IF(PNL!A1312="","",PNL!A1312)</f>
        <v>IPAC_MTP</v>
      </c>
      <c r="B1312" t="str">
        <f>IF(PNL!B1312="","",PNL!B1312)</f>
        <v>6411</v>
      </c>
      <c r="C1312" t="str">
        <f>IF(PNL!C1312="","",PNL!C1312)</f>
        <v>2027</v>
      </c>
      <c r="D1312" t="str">
        <f>IF(PNL!D1312="","",PNL!D1312)</f>
        <v>V01</v>
      </c>
      <c r="E1312">
        <f t="shared" si="0"/>
        <v>1</v>
      </c>
      <c r="F1312">
        <f>IF($A1312="","",IF($E1312=1,_xlfn.SUMIFS(Compta!$F$1:$F$1448,Compta!$A$1:$A$1448,$A1312,Compta!$B$1:$B$1448,$B1312,Compta!$C$1:$C$1448,"2026"),0))</f>
        <v>131501</v>
      </c>
      <c r="G1312" t="s">
        <v>274</v>
      </c>
      <c r="H1312" t="s">
        <v>274</v>
      </c>
      <c r="I1312" t="s">
        <v>274</v>
      </c>
      <c r="J1312" t="s">
        <v>274</v>
      </c>
      <c r="K1312" t="s">
        <v>274</v>
      </c>
      <c r="L1312" t="s">
        <v>274</v>
      </c>
      <c r="M1312" t="s">
        <v>274</v>
      </c>
      <c r="N1312" t="e">
        <f t="shared" si="1"/>
        <v>#VALUE!</v>
      </c>
      <c r="O1312" t="e">
        <f t="shared" si="2"/>
        <v>#VALUE!</v>
      </c>
      <c r="P1312" t="e">
        <f>IF($A1312="","",IF($E1312=1,$F1312*$O1312,PNL!G1312))</f>
        <v>#VALUE!</v>
      </c>
      <c r="T1312" t="e">
        <f t="shared" si="3"/>
        <v>#VALUE!</v>
      </c>
    </row>
    <row r="1313" ht="14.25" customHeight="1">
      <c r="A1313" t="str">
        <f>IF(PNL!A1313="","",PNL!A1313)</f>
        <v>IPAC_MTP</v>
      </c>
      <c r="B1313" t="str">
        <f>IF(PNL!B1313="","",PNL!B1313)</f>
        <v>6411</v>
      </c>
      <c r="C1313" t="str">
        <f>IF(PNL!C1313="","",PNL!C1313)</f>
        <v>2027</v>
      </c>
      <c r="D1313" t="str">
        <f>IF(PNL!D1313="","",PNL!D1313)</f>
        <v>V02</v>
      </c>
      <c r="E1313">
        <f t="shared" si="0"/>
        <v>1</v>
      </c>
      <c r="F1313">
        <f>IF($A1313="","",IF($E1313=1,_xlfn.SUMIFS(Compta!$F$1:$F$1448,Compta!$A$1:$A$1448,$A1313,Compta!$B$1:$B$1448,$B1313,Compta!$C$1:$C$1448,"2026"),0))</f>
        <v>131501</v>
      </c>
      <c r="G1313" t="s">
        <v>274</v>
      </c>
      <c r="H1313" t="s">
        <v>274</v>
      </c>
      <c r="I1313" t="s">
        <v>274</v>
      </c>
      <c r="J1313" t="s">
        <v>274</v>
      </c>
      <c r="K1313" t="s">
        <v>274</v>
      </c>
      <c r="L1313" t="s">
        <v>274</v>
      </c>
      <c r="M1313" t="s">
        <v>274</v>
      </c>
      <c r="N1313" t="e">
        <f t="shared" si="1"/>
        <v>#VALUE!</v>
      </c>
      <c r="O1313" t="e">
        <f t="shared" si="2"/>
        <v>#VALUE!</v>
      </c>
      <c r="P1313" t="e">
        <f>IF($A1313="","",IF($E1313=1,$F1313*$O1313,PNL!G1313))</f>
        <v>#VALUE!</v>
      </c>
      <c r="T1313" t="e">
        <f t="shared" si="3"/>
        <v>#VALUE!</v>
      </c>
    </row>
    <row r="1314" ht="14.25" customHeight="1">
      <c r="A1314" t="str">
        <f>IF(PNL!A1314="","",PNL!A1314)</f>
        <v>IPAC_MTP</v>
      </c>
      <c r="B1314" t="str">
        <f>IF(PNL!B1314="","",PNL!B1314)</f>
        <v>6411</v>
      </c>
      <c r="C1314" t="str">
        <f>IF(PNL!C1314="","",PNL!C1314)</f>
        <v>2027</v>
      </c>
      <c r="D1314" t="str">
        <f>IF(PNL!D1314="","",PNL!D1314)</f>
        <v>V03</v>
      </c>
      <c r="E1314">
        <f t="shared" si="0"/>
        <v>1</v>
      </c>
      <c r="F1314">
        <f>IF($A1314="","",IF($E1314=1,_xlfn.SUMIFS(Compta!$F$1:$F$1448,Compta!$A$1:$A$1448,$A1314,Compta!$B$1:$B$1448,$B1314,Compta!$C$1:$C$1448,"2026"),0))</f>
        <v>131501</v>
      </c>
      <c r="G1314" t="s">
        <v>274</v>
      </c>
      <c r="H1314" t="s">
        <v>274</v>
      </c>
      <c r="I1314" t="s">
        <v>274</v>
      </c>
      <c r="J1314" t="s">
        <v>274</v>
      </c>
      <c r="K1314" t="s">
        <v>274</v>
      </c>
      <c r="L1314" t="s">
        <v>274</v>
      </c>
      <c r="M1314" t="s">
        <v>274</v>
      </c>
      <c r="N1314" t="e">
        <f t="shared" si="1"/>
        <v>#VALUE!</v>
      </c>
      <c r="O1314" t="e">
        <f t="shared" si="2"/>
        <v>#VALUE!</v>
      </c>
      <c r="P1314" t="e">
        <f>IF($A1314="","",IF($E1314=1,$F1314*$O1314,PNL!G1314))</f>
        <v>#VALUE!</v>
      </c>
      <c r="T1314" t="e">
        <f t="shared" si="3"/>
        <v>#VALUE!</v>
      </c>
    </row>
    <row r="1315" ht="14.25" customHeight="1">
      <c r="A1315" t="str">
        <f>IF(PNL!A1315="","",PNL!A1315)</f>
        <v>PIGIER_LYO</v>
      </c>
      <c r="B1315" t="str">
        <f>IF(PNL!B1315="","",PNL!B1315)</f>
        <v>6411</v>
      </c>
      <c r="C1315" t="str">
        <f>IF(PNL!C1315="","",PNL!C1315)</f>
        <v>2027</v>
      </c>
      <c r="D1315" t="str">
        <f>IF(PNL!D1315="","",PNL!D1315)</f>
        <v>V01</v>
      </c>
      <c r="E1315">
        <f t="shared" si="0"/>
        <v>1</v>
      </c>
      <c r="F1315">
        <f>IF($A1315="","",IF($E1315=1,_xlfn.SUMIFS(Compta!$F$1:$F$1448,Compta!$A$1:$A$1448,$A1315,Compta!$B$1:$B$1448,$B1315,Compta!$C$1:$C$1448,"2026"),0))</f>
        <v>223153</v>
      </c>
      <c r="G1315" t="s">
        <v>274</v>
      </c>
      <c r="H1315" t="s">
        <v>274</v>
      </c>
      <c r="I1315" t="s">
        <v>274</v>
      </c>
      <c r="J1315" t="s">
        <v>274</v>
      </c>
      <c r="K1315" t="s">
        <v>274</v>
      </c>
      <c r="L1315" t="s">
        <v>274</v>
      </c>
      <c r="M1315" t="s">
        <v>274</v>
      </c>
      <c r="N1315" t="e">
        <f t="shared" si="1"/>
        <v>#VALUE!</v>
      </c>
      <c r="O1315" t="e">
        <f t="shared" si="2"/>
        <v>#VALUE!</v>
      </c>
      <c r="P1315" t="e">
        <f>IF($A1315="","",IF($E1315=1,$F1315*$O1315,PNL!G1315))</f>
        <v>#VALUE!</v>
      </c>
      <c r="T1315" t="e">
        <f t="shared" si="3"/>
        <v>#VALUE!</v>
      </c>
    </row>
    <row r="1316" ht="14.25" customHeight="1">
      <c r="A1316" t="str">
        <f>IF(PNL!A1316="","",PNL!A1316)</f>
        <v>PIGIER_LYO</v>
      </c>
      <c r="B1316" t="str">
        <f>IF(PNL!B1316="","",PNL!B1316)</f>
        <v>6411</v>
      </c>
      <c r="C1316" t="str">
        <f>IF(PNL!C1316="","",PNL!C1316)</f>
        <v>2027</v>
      </c>
      <c r="D1316" t="str">
        <f>IF(PNL!D1316="","",PNL!D1316)</f>
        <v>V02</v>
      </c>
      <c r="E1316">
        <f t="shared" si="0"/>
        <v>1</v>
      </c>
      <c r="F1316">
        <f>IF($A1316="","",IF($E1316=1,_xlfn.SUMIFS(Compta!$F$1:$F$1448,Compta!$A$1:$A$1448,$A1316,Compta!$B$1:$B$1448,$B1316,Compta!$C$1:$C$1448,"2026"),0))</f>
        <v>223153</v>
      </c>
      <c r="G1316" t="s">
        <v>274</v>
      </c>
      <c r="H1316" t="s">
        <v>274</v>
      </c>
      <c r="I1316" t="s">
        <v>274</v>
      </c>
      <c r="J1316" t="s">
        <v>274</v>
      </c>
      <c r="K1316" t="s">
        <v>274</v>
      </c>
      <c r="L1316" t="s">
        <v>274</v>
      </c>
      <c r="M1316" t="s">
        <v>274</v>
      </c>
      <c r="N1316" t="e">
        <f t="shared" si="1"/>
        <v>#VALUE!</v>
      </c>
      <c r="O1316" t="e">
        <f t="shared" si="2"/>
        <v>#VALUE!</v>
      </c>
      <c r="P1316" t="e">
        <f>IF($A1316="","",IF($E1316=1,$F1316*$O1316,PNL!G1316))</f>
        <v>#VALUE!</v>
      </c>
      <c r="T1316" t="e">
        <f t="shared" si="3"/>
        <v>#VALUE!</v>
      </c>
    </row>
    <row r="1317" ht="14.25" customHeight="1">
      <c r="A1317" t="str">
        <f>IF(PNL!A1317="","",PNL!A1317)</f>
        <v>PIGIER_LYO</v>
      </c>
      <c r="B1317" t="str">
        <f>IF(PNL!B1317="","",PNL!B1317)</f>
        <v>6411</v>
      </c>
      <c r="C1317" t="str">
        <f>IF(PNL!C1317="","",PNL!C1317)</f>
        <v>2027</v>
      </c>
      <c r="D1317" t="str">
        <f>IF(PNL!D1317="","",PNL!D1317)</f>
        <v>V03</v>
      </c>
      <c r="E1317">
        <f t="shared" si="0"/>
        <v>1</v>
      </c>
      <c r="F1317">
        <f>IF($A1317="","",IF($E1317=1,_xlfn.SUMIFS(Compta!$F$1:$F$1448,Compta!$A$1:$A$1448,$A1317,Compta!$B$1:$B$1448,$B1317,Compta!$C$1:$C$1448,"2026"),0))</f>
        <v>223153</v>
      </c>
      <c r="G1317" t="s">
        <v>274</v>
      </c>
      <c r="H1317" t="s">
        <v>274</v>
      </c>
      <c r="I1317" t="s">
        <v>274</v>
      </c>
      <c r="J1317" t="s">
        <v>274</v>
      </c>
      <c r="K1317" t="s">
        <v>274</v>
      </c>
      <c r="L1317" t="s">
        <v>274</v>
      </c>
      <c r="M1317" t="s">
        <v>274</v>
      </c>
      <c r="N1317" t="e">
        <f t="shared" si="1"/>
        <v>#VALUE!</v>
      </c>
      <c r="O1317" t="e">
        <f t="shared" si="2"/>
        <v>#VALUE!</v>
      </c>
      <c r="P1317" t="e">
        <f>IF($A1317="","",IF($E1317=1,$F1317*$O1317,PNL!G1317))</f>
        <v>#VALUE!</v>
      </c>
      <c r="T1317" t="e">
        <f t="shared" si="3"/>
        <v>#VALUE!</v>
      </c>
    </row>
    <row r="1318" ht="14.25" customHeight="1">
      <c r="A1318" t="str">
        <f>IF(PNL!A1318="","",PNL!A1318)</f>
        <v>PIGIER_BOR</v>
      </c>
      <c r="B1318" t="str">
        <f>IF(PNL!B1318="","",PNL!B1318)</f>
        <v>6411</v>
      </c>
      <c r="C1318" t="str">
        <f>IF(PNL!C1318="","",PNL!C1318)</f>
        <v>2027</v>
      </c>
      <c r="D1318" t="str">
        <f>IF(PNL!D1318="","",PNL!D1318)</f>
        <v>V01</v>
      </c>
      <c r="E1318">
        <f t="shared" si="0"/>
        <v>1</v>
      </c>
      <c r="F1318">
        <f>IF($A1318="","",IF($E1318=1,_xlfn.SUMIFS(Compta!$F$1:$F$1448,Compta!$A$1:$A$1448,$A1318,Compta!$B$1:$B$1448,$B1318,Compta!$C$1:$C$1448,"2026"),0))</f>
        <v>209206</v>
      </c>
      <c r="G1318" t="s">
        <v>274</v>
      </c>
      <c r="H1318" t="s">
        <v>274</v>
      </c>
      <c r="I1318" t="s">
        <v>274</v>
      </c>
      <c r="J1318" t="s">
        <v>274</v>
      </c>
      <c r="K1318" t="s">
        <v>274</v>
      </c>
      <c r="L1318" t="s">
        <v>274</v>
      </c>
      <c r="M1318" t="s">
        <v>274</v>
      </c>
      <c r="N1318" t="e">
        <f t="shared" si="1"/>
        <v>#VALUE!</v>
      </c>
      <c r="O1318" t="e">
        <f t="shared" si="2"/>
        <v>#VALUE!</v>
      </c>
      <c r="P1318" t="e">
        <f>IF($A1318="","",IF($E1318=1,$F1318*$O1318,PNL!G1318))</f>
        <v>#VALUE!</v>
      </c>
      <c r="T1318" t="e">
        <f t="shared" si="3"/>
        <v>#VALUE!</v>
      </c>
    </row>
    <row r="1319" ht="14.25" customHeight="1">
      <c r="A1319" t="str">
        <f>IF(PNL!A1319="","",PNL!A1319)</f>
        <v>PIGIER_BOR</v>
      </c>
      <c r="B1319" t="str">
        <f>IF(PNL!B1319="","",PNL!B1319)</f>
        <v>6411</v>
      </c>
      <c r="C1319" t="str">
        <f>IF(PNL!C1319="","",PNL!C1319)</f>
        <v>2027</v>
      </c>
      <c r="D1319" t="str">
        <f>IF(PNL!D1319="","",PNL!D1319)</f>
        <v>V02</v>
      </c>
      <c r="E1319">
        <f t="shared" si="0"/>
        <v>1</v>
      </c>
      <c r="F1319">
        <f>IF($A1319="","",IF($E1319=1,_xlfn.SUMIFS(Compta!$F$1:$F$1448,Compta!$A$1:$A$1448,$A1319,Compta!$B$1:$B$1448,$B1319,Compta!$C$1:$C$1448,"2026"),0))</f>
        <v>209206</v>
      </c>
      <c r="G1319" t="s">
        <v>274</v>
      </c>
      <c r="H1319" t="s">
        <v>274</v>
      </c>
      <c r="I1319" t="s">
        <v>274</v>
      </c>
      <c r="J1319" t="s">
        <v>274</v>
      </c>
      <c r="K1319" t="s">
        <v>274</v>
      </c>
      <c r="L1319" t="s">
        <v>274</v>
      </c>
      <c r="M1319" t="s">
        <v>274</v>
      </c>
      <c r="N1319" t="e">
        <f t="shared" si="1"/>
        <v>#VALUE!</v>
      </c>
      <c r="O1319" t="e">
        <f t="shared" si="2"/>
        <v>#VALUE!</v>
      </c>
      <c r="P1319" t="e">
        <f>IF($A1319="","",IF($E1319=1,$F1319*$O1319,PNL!G1319))</f>
        <v>#VALUE!</v>
      </c>
      <c r="T1319" t="e">
        <f t="shared" si="3"/>
        <v>#VALUE!</v>
      </c>
    </row>
    <row r="1320" ht="14.25" customHeight="1">
      <c r="A1320" t="str">
        <f>IF(PNL!A1320="","",PNL!A1320)</f>
        <v>PIGIER_BOR</v>
      </c>
      <c r="B1320" t="str">
        <f>IF(PNL!B1320="","",PNL!B1320)</f>
        <v>6411</v>
      </c>
      <c r="C1320" t="str">
        <f>IF(PNL!C1320="","",PNL!C1320)</f>
        <v>2027</v>
      </c>
      <c r="D1320" t="str">
        <f>IF(PNL!D1320="","",PNL!D1320)</f>
        <v>V03</v>
      </c>
      <c r="E1320">
        <f t="shared" si="0"/>
        <v>1</v>
      </c>
      <c r="F1320">
        <f>IF($A1320="","",IF($E1320=1,_xlfn.SUMIFS(Compta!$F$1:$F$1448,Compta!$A$1:$A$1448,$A1320,Compta!$B$1:$B$1448,$B1320,Compta!$C$1:$C$1448,"2026"),0))</f>
        <v>209206</v>
      </c>
      <c r="G1320" t="s">
        <v>274</v>
      </c>
      <c r="H1320" t="s">
        <v>274</v>
      </c>
      <c r="I1320" t="s">
        <v>274</v>
      </c>
      <c r="J1320" t="s">
        <v>274</v>
      </c>
      <c r="K1320" t="s">
        <v>274</v>
      </c>
      <c r="L1320" t="s">
        <v>274</v>
      </c>
      <c r="M1320" t="s">
        <v>274</v>
      </c>
      <c r="N1320" t="e">
        <f t="shared" si="1"/>
        <v>#VALUE!</v>
      </c>
      <c r="O1320" t="e">
        <f t="shared" si="2"/>
        <v>#VALUE!</v>
      </c>
      <c r="P1320" t="e">
        <f>IF($A1320="","",IF($E1320=1,$F1320*$O1320,PNL!G1320))</f>
        <v>#VALUE!</v>
      </c>
      <c r="T1320" t="e">
        <f t="shared" si="3"/>
        <v>#VALUE!</v>
      </c>
    </row>
    <row r="1321" ht="14.25" customHeight="1">
      <c r="A1321" t="str">
        <f>IF(PNL!A1321="","",PNL!A1321)</f>
        <v>TUNON_PAR</v>
      </c>
      <c r="B1321" t="str">
        <f>IF(PNL!B1321="","",PNL!B1321)</f>
        <v>6411</v>
      </c>
      <c r="C1321" t="str">
        <f>IF(PNL!C1321="","",PNL!C1321)</f>
        <v>2027</v>
      </c>
      <c r="D1321" t="str">
        <f>IF(PNL!D1321="","",PNL!D1321)</f>
        <v>V01</v>
      </c>
      <c r="E1321">
        <f t="shared" si="0"/>
        <v>1</v>
      </c>
      <c r="F1321">
        <f>IF($A1321="","",IF($E1321=1,_xlfn.SUMIFS(Compta!$F$1:$F$1448,Compta!$A$1:$A$1448,$A1321,Compta!$B$1:$B$1448,$B1321,Compta!$C$1:$C$1448,"2026"),0))</f>
        <v>242081</v>
      </c>
      <c r="G1321" t="s">
        <v>274</v>
      </c>
      <c r="H1321" t="s">
        <v>274</v>
      </c>
      <c r="I1321" t="s">
        <v>274</v>
      </c>
      <c r="J1321" t="s">
        <v>274</v>
      </c>
      <c r="K1321" t="s">
        <v>274</v>
      </c>
      <c r="L1321" t="s">
        <v>274</v>
      </c>
      <c r="M1321" t="s">
        <v>274</v>
      </c>
      <c r="N1321" t="e">
        <f t="shared" si="1"/>
        <v>#VALUE!</v>
      </c>
      <c r="O1321" t="e">
        <f t="shared" si="2"/>
        <v>#VALUE!</v>
      </c>
      <c r="P1321" t="e">
        <f>IF($A1321="","",IF($E1321=1,$F1321*$O1321,PNL!G1321))</f>
        <v>#VALUE!</v>
      </c>
      <c r="T1321" t="e">
        <f t="shared" si="3"/>
        <v>#VALUE!</v>
      </c>
    </row>
    <row r="1322" ht="14.25" customHeight="1">
      <c r="A1322" t="str">
        <f>IF(PNL!A1322="","",PNL!A1322)</f>
        <v>TUNON_PAR</v>
      </c>
      <c r="B1322" t="str">
        <f>IF(PNL!B1322="","",PNL!B1322)</f>
        <v>6411</v>
      </c>
      <c r="C1322" t="str">
        <f>IF(PNL!C1322="","",PNL!C1322)</f>
        <v>2027</v>
      </c>
      <c r="D1322" t="str">
        <f>IF(PNL!D1322="","",PNL!D1322)</f>
        <v>V02</v>
      </c>
      <c r="E1322">
        <f t="shared" si="0"/>
        <v>1</v>
      </c>
      <c r="F1322">
        <f>IF($A1322="","",IF($E1322=1,_xlfn.SUMIFS(Compta!$F$1:$F$1448,Compta!$A$1:$A$1448,$A1322,Compta!$B$1:$B$1448,$B1322,Compta!$C$1:$C$1448,"2026"),0))</f>
        <v>242081</v>
      </c>
      <c r="G1322" t="s">
        <v>274</v>
      </c>
      <c r="H1322" t="s">
        <v>274</v>
      </c>
      <c r="I1322" t="s">
        <v>274</v>
      </c>
      <c r="J1322" t="s">
        <v>274</v>
      </c>
      <c r="K1322" t="s">
        <v>274</v>
      </c>
      <c r="L1322" t="s">
        <v>274</v>
      </c>
      <c r="M1322" t="s">
        <v>274</v>
      </c>
      <c r="N1322" t="e">
        <f t="shared" si="1"/>
        <v>#VALUE!</v>
      </c>
      <c r="O1322" t="e">
        <f t="shared" si="2"/>
        <v>#VALUE!</v>
      </c>
      <c r="P1322" t="e">
        <f>IF($A1322="","",IF($E1322=1,$F1322*$O1322,PNL!G1322))</f>
        <v>#VALUE!</v>
      </c>
      <c r="T1322" t="e">
        <f t="shared" si="3"/>
        <v>#VALUE!</v>
      </c>
    </row>
    <row r="1323" ht="14.25" customHeight="1">
      <c r="A1323" t="str">
        <f>IF(PNL!A1323="","",PNL!A1323)</f>
        <v>TUNON_PAR</v>
      </c>
      <c r="B1323" t="str">
        <f>IF(PNL!B1323="","",PNL!B1323)</f>
        <v>6411</v>
      </c>
      <c r="C1323" t="str">
        <f>IF(PNL!C1323="","",PNL!C1323)</f>
        <v>2027</v>
      </c>
      <c r="D1323" t="str">
        <f>IF(PNL!D1323="","",PNL!D1323)</f>
        <v>V03</v>
      </c>
      <c r="E1323">
        <f t="shared" si="0"/>
        <v>1</v>
      </c>
      <c r="F1323">
        <f>IF($A1323="","",IF($E1323=1,_xlfn.SUMIFS(Compta!$F$1:$F$1448,Compta!$A$1:$A$1448,$A1323,Compta!$B$1:$B$1448,$B1323,Compta!$C$1:$C$1448,"2026"),0))</f>
        <v>242081</v>
      </c>
      <c r="G1323" t="s">
        <v>274</v>
      </c>
      <c r="H1323" t="s">
        <v>274</v>
      </c>
      <c r="I1323" t="s">
        <v>274</v>
      </c>
      <c r="J1323" t="s">
        <v>274</v>
      </c>
      <c r="K1323" t="s">
        <v>274</v>
      </c>
      <c r="L1323" t="s">
        <v>274</v>
      </c>
      <c r="M1323" t="s">
        <v>274</v>
      </c>
      <c r="N1323" t="e">
        <f t="shared" si="1"/>
        <v>#VALUE!</v>
      </c>
      <c r="O1323" t="e">
        <f t="shared" si="2"/>
        <v>#VALUE!</v>
      </c>
      <c r="P1323" t="e">
        <f>IF($A1323="","",IF($E1323=1,$F1323*$O1323,PNL!G1323))</f>
        <v>#VALUE!</v>
      </c>
      <c r="T1323" t="e">
        <f t="shared" si="3"/>
        <v>#VALUE!</v>
      </c>
    </row>
    <row r="1324" ht="14.25" customHeight="1">
      <c r="A1324" t="str">
        <f>IF(PNL!A1324="","",PNL!A1324)</f>
        <v>TUNON_LYO</v>
      </c>
      <c r="B1324" t="str">
        <f>IF(PNL!B1324="","",PNL!B1324)</f>
        <v>6411</v>
      </c>
      <c r="C1324" t="str">
        <f>IF(PNL!C1324="","",PNL!C1324)</f>
        <v>2027</v>
      </c>
      <c r="D1324" t="str">
        <f>IF(PNL!D1324="","",PNL!D1324)</f>
        <v>V01</v>
      </c>
      <c r="E1324">
        <f t="shared" si="0"/>
        <v>1</v>
      </c>
      <c r="F1324">
        <f>IF($A1324="","",IF($E1324=1,_xlfn.SUMIFS(Compta!$F$1:$F$1448,Compta!$A$1:$A$1448,$A1324,Compta!$B$1:$B$1448,$B1324,Compta!$C$1:$C$1448,"2026"),0))</f>
        <v>167364</v>
      </c>
      <c r="G1324" t="s">
        <v>274</v>
      </c>
      <c r="H1324" t="s">
        <v>274</v>
      </c>
      <c r="I1324" t="s">
        <v>274</v>
      </c>
      <c r="J1324" t="s">
        <v>274</v>
      </c>
      <c r="K1324" t="s">
        <v>274</v>
      </c>
      <c r="L1324" t="s">
        <v>274</v>
      </c>
      <c r="M1324" t="s">
        <v>274</v>
      </c>
      <c r="N1324" t="e">
        <f t="shared" si="1"/>
        <v>#VALUE!</v>
      </c>
      <c r="O1324" t="e">
        <f t="shared" si="2"/>
        <v>#VALUE!</v>
      </c>
      <c r="P1324" t="e">
        <f>IF($A1324="","",IF($E1324=1,$F1324*$O1324,PNL!G1324))</f>
        <v>#VALUE!</v>
      </c>
      <c r="T1324" t="e">
        <f t="shared" si="3"/>
        <v>#VALUE!</v>
      </c>
    </row>
    <row r="1325" ht="14.25" customHeight="1">
      <c r="A1325" t="str">
        <f>IF(PNL!A1325="","",PNL!A1325)</f>
        <v>TUNON_LYO</v>
      </c>
      <c r="B1325" t="str">
        <f>IF(PNL!B1325="","",PNL!B1325)</f>
        <v>6411</v>
      </c>
      <c r="C1325" t="str">
        <f>IF(PNL!C1325="","",PNL!C1325)</f>
        <v>2027</v>
      </c>
      <c r="D1325" t="str">
        <f>IF(PNL!D1325="","",PNL!D1325)</f>
        <v>V02</v>
      </c>
      <c r="E1325">
        <f t="shared" si="0"/>
        <v>1</v>
      </c>
      <c r="F1325">
        <f>IF($A1325="","",IF($E1325=1,_xlfn.SUMIFS(Compta!$F$1:$F$1448,Compta!$A$1:$A$1448,$A1325,Compta!$B$1:$B$1448,$B1325,Compta!$C$1:$C$1448,"2026"),0))</f>
        <v>167364</v>
      </c>
      <c r="G1325" t="s">
        <v>274</v>
      </c>
      <c r="H1325" t="s">
        <v>274</v>
      </c>
      <c r="I1325" t="s">
        <v>274</v>
      </c>
      <c r="J1325" t="s">
        <v>274</v>
      </c>
      <c r="K1325" t="s">
        <v>274</v>
      </c>
      <c r="L1325" t="s">
        <v>274</v>
      </c>
      <c r="M1325" t="s">
        <v>274</v>
      </c>
      <c r="N1325" t="e">
        <f t="shared" si="1"/>
        <v>#VALUE!</v>
      </c>
      <c r="O1325" t="e">
        <f t="shared" si="2"/>
        <v>#VALUE!</v>
      </c>
      <c r="P1325" t="e">
        <f>IF($A1325="","",IF($E1325=1,$F1325*$O1325,PNL!G1325))</f>
        <v>#VALUE!</v>
      </c>
      <c r="T1325" t="e">
        <f t="shared" si="3"/>
        <v>#VALUE!</v>
      </c>
    </row>
    <row r="1326" ht="14.25" customHeight="1">
      <c r="A1326" t="str">
        <f>IF(PNL!A1326="","",PNL!A1326)</f>
        <v>TUNON_LYO</v>
      </c>
      <c r="B1326" t="str">
        <f>IF(PNL!B1326="","",PNL!B1326)</f>
        <v>6411</v>
      </c>
      <c r="C1326" t="str">
        <f>IF(PNL!C1326="","",PNL!C1326)</f>
        <v>2027</v>
      </c>
      <c r="D1326" t="str">
        <f>IF(PNL!D1326="","",PNL!D1326)</f>
        <v>V03</v>
      </c>
      <c r="E1326">
        <f t="shared" si="0"/>
        <v>1</v>
      </c>
      <c r="F1326">
        <f>IF($A1326="","",IF($E1326=1,_xlfn.SUMIFS(Compta!$F$1:$F$1448,Compta!$A$1:$A$1448,$A1326,Compta!$B$1:$B$1448,$B1326,Compta!$C$1:$C$1448,"2026"),0))</f>
        <v>167364</v>
      </c>
      <c r="G1326" t="s">
        <v>274</v>
      </c>
      <c r="H1326" t="s">
        <v>274</v>
      </c>
      <c r="I1326" t="s">
        <v>274</v>
      </c>
      <c r="J1326" t="s">
        <v>274</v>
      </c>
      <c r="K1326" t="s">
        <v>274</v>
      </c>
      <c r="L1326" t="s">
        <v>274</v>
      </c>
      <c r="M1326" t="s">
        <v>274</v>
      </c>
      <c r="N1326" t="e">
        <f t="shared" si="1"/>
        <v>#VALUE!</v>
      </c>
      <c r="O1326" t="e">
        <f t="shared" si="2"/>
        <v>#VALUE!</v>
      </c>
      <c r="P1326" t="e">
        <f>IF($A1326="","",IF($E1326=1,$F1326*$O1326,PNL!G1326))</f>
        <v>#VALUE!</v>
      </c>
      <c r="T1326" t="e">
        <f t="shared" si="3"/>
        <v>#VALUE!</v>
      </c>
    </row>
    <row r="1327" ht="14.25" customHeight="1">
      <c r="A1327" t="str">
        <f>IF(PNL!A1327="","",PNL!A1327)</f>
        <v>MBWAY_PAR</v>
      </c>
      <c r="B1327" t="str">
        <f>IF(PNL!B1327="","",PNL!B1327)</f>
        <v>6413</v>
      </c>
      <c r="C1327" t="str">
        <f>IF(PNL!C1327="","",PNL!C1327)</f>
        <v>2027</v>
      </c>
      <c r="D1327" t="str">
        <f>IF(PNL!D1327="","",PNL!D1327)</f>
        <v>V01</v>
      </c>
      <c r="E1327">
        <f t="shared" si="0"/>
        <v>1</v>
      </c>
      <c r="F1327">
        <f>IF($A1327="","",IF($E1327=1,_xlfn.SUMIFS(Compta!$F$1:$F$1448,Compta!$A$1:$A$1448,$A1327,Compta!$B$1:$B$1448,$B1327,Compta!$C$1:$C$1448,"2026"),0))</f>
        <v>349401</v>
      </c>
      <c r="G1327" t="s">
        <v>274</v>
      </c>
      <c r="H1327" t="s">
        <v>274</v>
      </c>
      <c r="I1327" t="s">
        <v>274</v>
      </c>
      <c r="J1327" t="s">
        <v>274</v>
      </c>
      <c r="K1327" t="s">
        <v>274</v>
      </c>
      <c r="L1327" t="s">
        <v>274</v>
      </c>
      <c r="M1327" t="s">
        <v>274</v>
      </c>
      <c r="N1327" t="e">
        <f t="shared" si="1"/>
        <v>#VALUE!</v>
      </c>
      <c r="O1327" t="e">
        <f t="shared" si="2"/>
        <v>#VALUE!</v>
      </c>
      <c r="P1327" t="e">
        <f>IF($A1327="","",IF($E1327=1,$F1327*$O1327,PNL!G1327))</f>
        <v>#VALUE!</v>
      </c>
      <c r="T1327" t="e">
        <f t="shared" si="3"/>
        <v>#VALUE!</v>
      </c>
    </row>
    <row r="1328" ht="14.25" customHeight="1">
      <c r="A1328" t="str">
        <f>IF(PNL!A1328="","",PNL!A1328)</f>
        <v>MBWAY_PAR</v>
      </c>
      <c r="B1328" t="str">
        <f>IF(PNL!B1328="","",PNL!B1328)</f>
        <v>6413</v>
      </c>
      <c r="C1328" t="str">
        <f>IF(PNL!C1328="","",PNL!C1328)</f>
        <v>2027</v>
      </c>
      <c r="D1328" t="str">
        <f>IF(PNL!D1328="","",PNL!D1328)</f>
        <v>V02</v>
      </c>
      <c r="E1328">
        <f t="shared" si="0"/>
        <v>1</v>
      </c>
      <c r="F1328">
        <f>IF($A1328="","",IF($E1328=1,_xlfn.SUMIFS(Compta!$F$1:$F$1448,Compta!$A$1:$A$1448,$A1328,Compta!$B$1:$B$1448,$B1328,Compta!$C$1:$C$1448,"2026"),0))</f>
        <v>349401</v>
      </c>
      <c r="G1328" t="s">
        <v>274</v>
      </c>
      <c r="H1328" t="s">
        <v>274</v>
      </c>
      <c r="I1328" t="s">
        <v>274</v>
      </c>
      <c r="J1328" t="s">
        <v>274</v>
      </c>
      <c r="K1328" t="s">
        <v>274</v>
      </c>
      <c r="L1328" t="s">
        <v>274</v>
      </c>
      <c r="M1328" t="s">
        <v>274</v>
      </c>
      <c r="N1328" t="e">
        <f t="shared" si="1"/>
        <v>#VALUE!</v>
      </c>
      <c r="O1328" t="e">
        <f t="shared" si="2"/>
        <v>#VALUE!</v>
      </c>
      <c r="P1328" t="e">
        <f>IF($A1328="","",IF($E1328=1,$F1328*$O1328,PNL!G1328))</f>
        <v>#VALUE!</v>
      </c>
      <c r="T1328" t="e">
        <f t="shared" si="3"/>
        <v>#VALUE!</v>
      </c>
    </row>
    <row r="1329" ht="14.25" customHeight="1">
      <c r="A1329" t="str">
        <f>IF(PNL!A1329="","",PNL!A1329)</f>
        <v>MBWAY_PAR</v>
      </c>
      <c r="B1329" t="str">
        <f>IF(PNL!B1329="","",PNL!B1329)</f>
        <v>6413</v>
      </c>
      <c r="C1329" t="str">
        <f>IF(PNL!C1329="","",PNL!C1329)</f>
        <v>2027</v>
      </c>
      <c r="D1329" t="str">
        <f>IF(PNL!D1329="","",PNL!D1329)</f>
        <v>V03</v>
      </c>
      <c r="E1329">
        <f t="shared" si="0"/>
        <v>1</v>
      </c>
      <c r="F1329">
        <f>IF($A1329="","",IF($E1329=1,_xlfn.SUMIFS(Compta!$F$1:$F$1448,Compta!$A$1:$A$1448,$A1329,Compta!$B$1:$B$1448,$B1329,Compta!$C$1:$C$1448,"2026"),0))</f>
        <v>349401</v>
      </c>
      <c r="G1329" t="s">
        <v>274</v>
      </c>
      <c r="H1329" t="s">
        <v>274</v>
      </c>
      <c r="I1329" t="s">
        <v>274</v>
      </c>
      <c r="J1329" t="s">
        <v>274</v>
      </c>
      <c r="K1329" t="s">
        <v>274</v>
      </c>
      <c r="L1329" t="s">
        <v>274</v>
      </c>
      <c r="M1329" t="s">
        <v>274</v>
      </c>
      <c r="N1329" t="e">
        <f t="shared" si="1"/>
        <v>#VALUE!</v>
      </c>
      <c r="O1329" t="e">
        <f t="shared" si="2"/>
        <v>#VALUE!</v>
      </c>
      <c r="P1329" t="e">
        <f>IF($A1329="","",IF($E1329=1,$F1329*$O1329,PNL!G1329))</f>
        <v>#VALUE!</v>
      </c>
      <c r="T1329" t="e">
        <f t="shared" si="3"/>
        <v>#VALUE!</v>
      </c>
    </row>
    <row r="1330" ht="14.25" customHeight="1">
      <c r="A1330" t="str">
        <f>IF(PNL!A1330="","",PNL!A1330)</f>
        <v>MBWAY_LYO</v>
      </c>
      <c r="B1330" t="str">
        <f>IF(PNL!B1330="","",PNL!B1330)</f>
        <v>6413</v>
      </c>
      <c r="C1330" t="str">
        <f>IF(PNL!C1330="","",PNL!C1330)</f>
        <v>2027</v>
      </c>
      <c r="D1330" t="str">
        <f>IF(PNL!D1330="","",PNL!D1330)</f>
        <v>V01</v>
      </c>
      <c r="E1330">
        <f t="shared" si="0"/>
        <v>1</v>
      </c>
      <c r="F1330">
        <f>IF($A1330="","",IF($E1330=1,_xlfn.SUMIFS(Compta!$F$1:$F$1448,Compta!$A$1:$A$1448,$A1330,Compta!$B$1:$B$1448,$B1330,Compta!$C$1:$C$1448,"2026"),0))</f>
        <v>204885</v>
      </c>
      <c r="G1330" t="s">
        <v>274</v>
      </c>
      <c r="H1330" t="s">
        <v>274</v>
      </c>
      <c r="I1330" t="s">
        <v>274</v>
      </c>
      <c r="J1330" t="s">
        <v>274</v>
      </c>
      <c r="K1330" t="s">
        <v>274</v>
      </c>
      <c r="L1330" t="s">
        <v>274</v>
      </c>
      <c r="M1330" t="s">
        <v>274</v>
      </c>
      <c r="N1330" t="e">
        <f t="shared" si="1"/>
        <v>#VALUE!</v>
      </c>
      <c r="O1330" t="e">
        <f t="shared" si="2"/>
        <v>#VALUE!</v>
      </c>
      <c r="P1330" t="e">
        <f>IF($A1330="","",IF($E1330=1,$F1330*$O1330,PNL!G1330))</f>
        <v>#VALUE!</v>
      </c>
      <c r="T1330" t="e">
        <f t="shared" si="3"/>
        <v>#VALUE!</v>
      </c>
    </row>
    <row r="1331" ht="14.25" customHeight="1">
      <c r="A1331" t="str">
        <f>IF(PNL!A1331="","",PNL!A1331)</f>
        <v>MBWAY_LYO</v>
      </c>
      <c r="B1331" t="str">
        <f>IF(PNL!B1331="","",PNL!B1331)</f>
        <v>6413</v>
      </c>
      <c r="C1331" t="str">
        <f>IF(PNL!C1331="","",PNL!C1331)</f>
        <v>2027</v>
      </c>
      <c r="D1331" t="str">
        <f>IF(PNL!D1331="","",PNL!D1331)</f>
        <v>V02</v>
      </c>
      <c r="E1331">
        <f t="shared" si="0"/>
        <v>1</v>
      </c>
      <c r="F1331">
        <f>IF($A1331="","",IF($E1331=1,_xlfn.SUMIFS(Compta!$F$1:$F$1448,Compta!$A$1:$A$1448,$A1331,Compta!$B$1:$B$1448,$B1331,Compta!$C$1:$C$1448,"2026"),0))</f>
        <v>204885</v>
      </c>
      <c r="G1331" t="s">
        <v>274</v>
      </c>
      <c r="H1331" t="s">
        <v>274</v>
      </c>
      <c r="I1331" t="s">
        <v>274</v>
      </c>
      <c r="J1331" t="s">
        <v>274</v>
      </c>
      <c r="K1331" t="s">
        <v>274</v>
      </c>
      <c r="L1331" t="s">
        <v>274</v>
      </c>
      <c r="M1331" t="s">
        <v>274</v>
      </c>
      <c r="N1331" t="e">
        <f t="shared" si="1"/>
        <v>#VALUE!</v>
      </c>
      <c r="O1331" t="e">
        <f t="shared" si="2"/>
        <v>#VALUE!</v>
      </c>
      <c r="P1331" t="e">
        <f>IF($A1331="","",IF($E1331=1,$F1331*$O1331,PNL!G1331))</f>
        <v>#VALUE!</v>
      </c>
      <c r="T1331" t="e">
        <f t="shared" si="3"/>
        <v>#VALUE!</v>
      </c>
    </row>
    <row r="1332" ht="14.25" customHeight="1">
      <c r="A1332" t="str">
        <f>IF(PNL!A1332="","",PNL!A1332)</f>
        <v>MBWAY_LYO</v>
      </c>
      <c r="B1332" t="str">
        <f>IF(PNL!B1332="","",PNL!B1332)</f>
        <v>6413</v>
      </c>
      <c r="C1332" t="str">
        <f>IF(PNL!C1332="","",PNL!C1332)</f>
        <v>2027</v>
      </c>
      <c r="D1332" t="str">
        <f>IF(PNL!D1332="","",PNL!D1332)</f>
        <v>V03</v>
      </c>
      <c r="E1332">
        <f t="shared" si="0"/>
        <v>1</v>
      </c>
      <c r="F1332">
        <f>IF($A1332="","",IF($E1332=1,_xlfn.SUMIFS(Compta!$F$1:$F$1448,Compta!$A$1:$A$1448,$A1332,Compta!$B$1:$B$1448,$B1332,Compta!$C$1:$C$1448,"2026"),0))</f>
        <v>204885</v>
      </c>
      <c r="G1332" t="s">
        <v>274</v>
      </c>
      <c r="H1332" t="s">
        <v>274</v>
      </c>
      <c r="I1332" t="s">
        <v>274</v>
      </c>
      <c r="J1332" t="s">
        <v>274</v>
      </c>
      <c r="K1332" t="s">
        <v>274</v>
      </c>
      <c r="L1332" t="s">
        <v>274</v>
      </c>
      <c r="M1332" t="s">
        <v>274</v>
      </c>
      <c r="N1332" t="e">
        <f t="shared" si="1"/>
        <v>#VALUE!</v>
      </c>
      <c r="O1332" t="e">
        <f t="shared" si="2"/>
        <v>#VALUE!</v>
      </c>
      <c r="P1332" t="e">
        <f>IF($A1332="","",IF($E1332=1,$F1332*$O1332,PNL!G1332))</f>
        <v>#VALUE!</v>
      </c>
      <c r="T1332" t="e">
        <f t="shared" si="3"/>
        <v>#VALUE!</v>
      </c>
    </row>
    <row r="1333" ht="14.25" customHeight="1">
      <c r="A1333" t="str">
        <f>IF(PNL!A1333="","",PNL!A1333)</f>
        <v>MBWAY_NAN</v>
      </c>
      <c r="B1333" t="str">
        <f>IF(PNL!B1333="","",PNL!B1333)</f>
        <v>6413</v>
      </c>
      <c r="C1333" t="str">
        <f>IF(PNL!C1333="","",PNL!C1333)</f>
        <v>2027</v>
      </c>
      <c r="D1333" t="str">
        <f>IF(PNL!D1333="","",PNL!D1333)</f>
        <v>V01</v>
      </c>
      <c r="E1333">
        <f t="shared" si="0"/>
        <v>1</v>
      </c>
      <c r="F1333">
        <f>IF($A1333="","",IF($E1333=1,_xlfn.SUMIFS(Compta!$F$1:$F$1448,Compta!$A$1:$A$1448,$A1333,Compta!$B$1:$B$1448,$B1333,Compta!$C$1:$C$1448,"2026"),0))</f>
        <v>165994</v>
      </c>
      <c r="G1333" t="s">
        <v>274</v>
      </c>
      <c r="H1333" t="s">
        <v>274</v>
      </c>
      <c r="I1333" t="s">
        <v>274</v>
      </c>
      <c r="J1333" t="s">
        <v>274</v>
      </c>
      <c r="K1333" t="s">
        <v>274</v>
      </c>
      <c r="L1333" t="s">
        <v>274</v>
      </c>
      <c r="M1333" t="s">
        <v>274</v>
      </c>
      <c r="N1333" t="e">
        <f t="shared" si="1"/>
        <v>#VALUE!</v>
      </c>
      <c r="O1333" t="e">
        <f t="shared" si="2"/>
        <v>#VALUE!</v>
      </c>
      <c r="P1333" t="e">
        <f>IF($A1333="","",IF($E1333=1,$F1333*$O1333,PNL!G1333))</f>
        <v>#VALUE!</v>
      </c>
      <c r="T1333" t="e">
        <f t="shared" si="3"/>
        <v>#VALUE!</v>
      </c>
    </row>
    <row r="1334" ht="14.25" customHeight="1">
      <c r="A1334" t="str">
        <f>IF(PNL!A1334="","",PNL!A1334)</f>
        <v>MBWAY_NAN</v>
      </c>
      <c r="B1334" t="str">
        <f>IF(PNL!B1334="","",PNL!B1334)</f>
        <v>6413</v>
      </c>
      <c r="C1334" t="str">
        <f>IF(PNL!C1334="","",PNL!C1334)</f>
        <v>2027</v>
      </c>
      <c r="D1334" t="str">
        <f>IF(PNL!D1334="","",PNL!D1334)</f>
        <v>V02</v>
      </c>
      <c r="E1334">
        <f t="shared" si="0"/>
        <v>1</v>
      </c>
      <c r="F1334">
        <f>IF($A1334="","",IF($E1334=1,_xlfn.SUMIFS(Compta!$F$1:$F$1448,Compta!$A$1:$A$1448,$A1334,Compta!$B$1:$B$1448,$B1334,Compta!$C$1:$C$1448,"2026"),0))</f>
        <v>165994</v>
      </c>
      <c r="G1334" t="s">
        <v>274</v>
      </c>
      <c r="H1334" t="s">
        <v>274</v>
      </c>
      <c r="I1334" t="s">
        <v>274</v>
      </c>
      <c r="J1334" t="s">
        <v>274</v>
      </c>
      <c r="K1334" t="s">
        <v>274</v>
      </c>
      <c r="L1334" t="s">
        <v>274</v>
      </c>
      <c r="M1334" t="s">
        <v>274</v>
      </c>
      <c r="N1334" t="e">
        <f t="shared" si="1"/>
        <v>#VALUE!</v>
      </c>
      <c r="O1334" t="e">
        <f t="shared" si="2"/>
        <v>#VALUE!</v>
      </c>
      <c r="P1334" t="e">
        <f>IF($A1334="","",IF($E1334=1,$F1334*$O1334,PNL!G1334))</f>
        <v>#VALUE!</v>
      </c>
      <c r="T1334" t="e">
        <f t="shared" si="3"/>
        <v>#VALUE!</v>
      </c>
    </row>
    <row r="1335" ht="14.25" customHeight="1">
      <c r="A1335" t="str">
        <f>IF(PNL!A1335="","",PNL!A1335)</f>
        <v>MBWAY_NAN</v>
      </c>
      <c r="B1335" t="str">
        <f>IF(PNL!B1335="","",PNL!B1335)</f>
        <v>6413</v>
      </c>
      <c r="C1335" t="str">
        <f>IF(PNL!C1335="","",PNL!C1335)</f>
        <v>2027</v>
      </c>
      <c r="D1335" t="str">
        <f>IF(PNL!D1335="","",PNL!D1335)</f>
        <v>V03</v>
      </c>
      <c r="E1335">
        <f t="shared" si="0"/>
        <v>1</v>
      </c>
      <c r="F1335">
        <f>IF($A1335="","",IF($E1335=1,_xlfn.SUMIFS(Compta!$F$1:$F$1448,Compta!$A$1:$A$1448,$A1335,Compta!$B$1:$B$1448,$B1335,Compta!$C$1:$C$1448,"2026"),0))</f>
        <v>165994</v>
      </c>
      <c r="G1335" t="s">
        <v>274</v>
      </c>
      <c r="H1335" t="s">
        <v>274</v>
      </c>
      <c r="I1335" t="s">
        <v>274</v>
      </c>
      <c r="J1335" t="s">
        <v>274</v>
      </c>
      <c r="K1335" t="s">
        <v>274</v>
      </c>
      <c r="L1335" t="s">
        <v>274</v>
      </c>
      <c r="M1335" t="s">
        <v>274</v>
      </c>
      <c r="N1335" t="e">
        <f t="shared" si="1"/>
        <v>#VALUE!</v>
      </c>
      <c r="O1335" t="e">
        <f t="shared" si="2"/>
        <v>#VALUE!</v>
      </c>
      <c r="P1335" t="e">
        <f>IF($A1335="","",IF($E1335=1,$F1335*$O1335,PNL!G1335))</f>
        <v>#VALUE!</v>
      </c>
      <c r="T1335" t="e">
        <f t="shared" si="3"/>
        <v>#VALUE!</v>
      </c>
    </row>
    <row r="1336" ht="14.25" customHeight="1">
      <c r="A1336" t="str">
        <f>IF(PNL!A1336="","",PNL!A1336)</f>
        <v>MBWAY_BOR</v>
      </c>
      <c r="B1336" t="str">
        <f>IF(PNL!B1336="","",PNL!B1336)</f>
        <v>6413</v>
      </c>
      <c r="C1336" t="str">
        <f>IF(PNL!C1336="","",PNL!C1336)</f>
        <v>2027</v>
      </c>
      <c r="D1336" t="str">
        <f>IF(PNL!D1336="","",PNL!D1336)</f>
        <v>V01</v>
      </c>
      <c r="E1336">
        <f t="shared" si="0"/>
        <v>1</v>
      </c>
      <c r="F1336">
        <f>IF($A1336="","",IF($E1336=1,_xlfn.SUMIFS(Compta!$F$1:$F$1448,Compta!$A$1:$A$1448,$A1336,Compta!$B$1:$B$1448,$B1336,Compta!$C$1:$C$1448,"2026"),0))</f>
        <v>147616</v>
      </c>
      <c r="G1336" t="s">
        <v>274</v>
      </c>
      <c r="H1336" t="s">
        <v>274</v>
      </c>
      <c r="I1336" t="s">
        <v>274</v>
      </c>
      <c r="J1336" t="s">
        <v>274</v>
      </c>
      <c r="K1336" t="s">
        <v>274</v>
      </c>
      <c r="L1336" t="s">
        <v>274</v>
      </c>
      <c r="M1336" t="s">
        <v>274</v>
      </c>
      <c r="N1336" t="e">
        <f t="shared" si="1"/>
        <v>#VALUE!</v>
      </c>
      <c r="O1336" t="e">
        <f t="shared" si="2"/>
        <v>#VALUE!</v>
      </c>
      <c r="P1336" t="e">
        <f>IF($A1336="","",IF($E1336=1,$F1336*$O1336,PNL!G1336))</f>
        <v>#VALUE!</v>
      </c>
      <c r="T1336" t="e">
        <f t="shared" si="3"/>
        <v>#VALUE!</v>
      </c>
    </row>
    <row r="1337" ht="14.25" customHeight="1">
      <c r="A1337" t="str">
        <f>IF(PNL!A1337="","",PNL!A1337)</f>
        <v>MBWAY_BOR</v>
      </c>
      <c r="B1337" t="str">
        <f>IF(PNL!B1337="","",PNL!B1337)</f>
        <v>6413</v>
      </c>
      <c r="C1337" t="str">
        <f>IF(PNL!C1337="","",PNL!C1337)</f>
        <v>2027</v>
      </c>
      <c r="D1337" t="str">
        <f>IF(PNL!D1337="","",PNL!D1337)</f>
        <v>V02</v>
      </c>
      <c r="E1337">
        <f t="shared" si="0"/>
        <v>1</v>
      </c>
      <c r="F1337">
        <f>IF($A1337="","",IF($E1337=1,_xlfn.SUMIFS(Compta!$F$1:$F$1448,Compta!$A$1:$A$1448,$A1337,Compta!$B$1:$B$1448,$B1337,Compta!$C$1:$C$1448,"2026"),0))</f>
        <v>147616</v>
      </c>
      <c r="G1337" t="s">
        <v>274</v>
      </c>
      <c r="H1337" t="s">
        <v>274</v>
      </c>
      <c r="I1337" t="s">
        <v>274</v>
      </c>
      <c r="J1337" t="s">
        <v>274</v>
      </c>
      <c r="K1337" t="s">
        <v>274</v>
      </c>
      <c r="L1337" t="s">
        <v>274</v>
      </c>
      <c r="M1337" t="s">
        <v>274</v>
      </c>
      <c r="N1337" t="e">
        <f t="shared" si="1"/>
        <v>#VALUE!</v>
      </c>
      <c r="O1337" t="e">
        <f t="shared" si="2"/>
        <v>#VALUE!</v>
      </c>
      <c r="P1337" t="e">
        <f>IF($A1337="","",IF($E1337=1,$F1337*$O1337,PNL!G1337))</f>
        <v>#VALUE!</v>
      </c>
      <c r="T1337" t="e">
        <f t="shared" si="3"/>
        <v>#VALUE!</v>
      </c>
    </row>
    <row r="1338" ht="14.25" customHeight="1">
      <c r="A1338" t="str">
        <f>IF(PNL!A1338="","",PNL!A1338)</f>
        <v>MBWAY_BOR</v>
      </c>
      <c r="B1338" t="str">
        <f>IF(PNL!B1338="","",PNL!B1338)</f>
        <v>6413</v>
      </c>
      <c r="C1338" t="str">
        <f>IF(PNL!C1338="","",PNL!C1338)</f>
        <v>2027</v>
      </c>
      <c r="D1338" t="str">
        <f>IF(PNL!D1338="","",PNL!D1338)</f>
        <v>V03</v>
      </c>
      <c r="E1338">
        <f t="shared" si="0"/>
        <v>1</v>
      </c>
      <c r="F1338">
        <f>IF($A1338="","",IF($E1338=1,_xlfn.SUMIFS(Compta!$F$1:$F$1448,Compta!$A$1:$A$1448,$A1338,Compta!$B$1:$B$1448,$B1338,Compta!$C$1:$C$1448,"2026"),0))</f>
        <v>147616</v>
      </c>
      <c r="G1338" t="s">
        <v>274</v>
      </c>
      <c r="H1338" t="s">
        <v>274</v>
      </c>
      <c r="I1338" t="s">
        <v>274</v>
      </c>
      <c r="J1338" t="s">
        <v>274</v>
      </c>
      <c r="K1338" t="s">
        <v>274</v>
      </c>
      <c r="L1338" t="s">
        <v>274</v>
      </c>
      <c r="M1338" t="s">
        <v>274</v>
      </c>
      <c r="N1338" t="e">
        <f t="shared" si="1"/>
        <v>#VALUE!</v>
      </c>
      <c r="O1338" t="e">
        <f t="shared" si="2"/>
        <v>#VALUE!</v>
      </c>
      <c r="P1338" t="e">
        <f>IF($A1338="","",IF($E1338=1,$F1338*$O1338,PNL!G1338))</f>
        <v>#VALUE!</v>
      </c>
      <c r="T1338" t="e">
        <f t="shared" si="3"/>
        <v>#VALUE!</v>
      </c>
    </row>
    <row r="1339" ht="14.25" customHeight="1">
      <c r="A1339" t="str">
        <f>IF(PNL!A1339="","",PNL!A1339)</f>
        <v>ISCOM_PAR</v>
      </c>
      <c r="B1339" t="str">
        <f>IF(PNL!B1339="","",PNL!B1339)</f>
        <v>6413</v>
      </c>
      <c r="C1339" t="str">
        <f>IF(PNL!C1339="","",PNL!C1339)</f>
        <v>2027</v>
      </c>
      <c r="D1339" t="str">
        <f>IF(PNL!D1339="","",PNL!D1339)</f>
        <v>V01</v>
      </c>
      <c r="E1339">
        <f t="shared" si="0"/>
        <v>1</v>
      </c>
      <c r="F1339">
        <f>IF($A1339="","",IF($E1339=1,_xlfn.SUMIFS(Compta!$F$1:$F$1448,Compta!$A$1:$A$1448,$A1339,Compta!$B$1:$B$1448,$B1339,Compta!$C$1:$C$1448,"2026"),0))</f>
        <v>323791</v>
      </c>
      <c r="G1339" t="s">
        <v>274</v>
      </c>
      <c r="H1339" t="s">
        <v>274</v>
      </c>
      <c r="I1339" t="s">
        <v>274</v>
      </c>
      <c r="J1339" t="s">
        <v>274</v>
      </c>
      <c r="K1339" t="s">
        <v>274</v>
      </c>
      <c r="L1339" t="s">
        <v>274</v>
      </c>
      <c r="M1339" t="s">
        <v>274</v>
      </c>
      <c r="N1339" t="e">
        <f t="shared" si="1"/>
        <v>#VALUE!</v>
      </c>
      <c r="O1339" t="e">
        <f t="shared" si="2"/>
        <v>#VALUE!</v>
      </c>
      <c r="P1339" t="e">
        <f>IF($A1339="","",IF($E1339=1,$F1339*$O1339,PNL!G1339))</f>
        <v>#VALUE!</v>
      </c>
      <c r="T1339" t="e">
        <f t="shared" si="3"/>
        <v>#VALUE!</v>
      </c>
    </row>
    <row r="1340" ht="14.25" customHeight="1">
      <c r="A1340" t="str">
        <f>IF(PNL!A1340="","",PNL!A1340)</f>
        <v>ISCOM_PAR</v>
      </c>
      <c r="B1340" t="str">
        <f>IF(PNL!B1340="","",PNL!B1340)</f>
        <v>6413</v>
      </c>
      <c r="C1340" t="str">
        <f>IF(PNL!C1340="","",PNL!C1340)</f>
        <v>2027</v>
      </c>
      <c r="D1340" t="str">
        <f>IF(PNL!D1340="","",PNL!D1340)</f>
        <v>V02</v>
      </c>
      <c r="E1340">
        <f t="shared" si="0"/>
        <v>1</v>
      </c>
      <c r="F1340">
        <f>IF($A1340="","",IF($E1340=1,_xlfn.SUMIFS(Compta!$F$1:$F$1448,Compta!$A$1:$A$1448,$A1340,Compta!$B$1:$B$1448,$B1340,Compta!$C$1:$C$1448,"2026"),0))</f>
        <v>323791</v>
      </c>
      <c r="G1340" t="s">
        <v>274</v>
      </c>
      <c r="H1340" t="s">
        <v>274</v>
      </c>
      <c r="I1340" t="s">
        <v>274</v>
      </c>
      <c r="J1340" t="s">
        <v>274</v>
      </c>
      <c r="K1340" t="s">
        <v>274</v>
      </c>
      <c r="L1340" t="s">
        <v>274</v>
      </c>
      <c r="M1340" t="s">
        <v>274</v>
      </c>
      <c r="N1340" t="e">
        <f t="shared" si="1"/>
        <v>#VALUE!</v>
      </c>
      <c r="O1340" t="e">
        <f t="shared" si="2"/>
        <v>#VALUE!</v>
      </c>
      <c r="P1340" t="e">
        <f>IF($A1340="","",IF($E1340=1,$F1340*$O1340,PNL!G1340))</f>
        <v>#VALUE!</v>
      </c>
      <c r="T1340" t="e">
        <f t="shared" si="3"/>
        <v>#VALUE!</v>
      </c>
    </row>
    <row r="1341" ht="14.25" customHeight="1">
      <c r="A1341" t="str">
        <f>IF(PNL!A1341="","",PNL!A1341)</f>
        <v>ISCOM_PAR</v>
      </c>
      <c r="B1341" t="str">
        <f>IF(PNL!B1341="","",PNL!B1341)</f>
        <v>6413</v>
      </c>
      <c r="C1341" t="str">
        <f>IF(PNL!C1341="","",PNL!C1341)</f>
        <v>2027</v>
      </c>
      <c r="D1341" t="str">
        <f>IF(PNL!D1341="","",PNL!D1341)</f>
        <v>V03</v>
      </c>
      <c r="E1341">
        <f t="shared" si="0"/>
        <v>1</v>
      </c>
      <c r="F1341">
        <f>IF($A1341="","",IF($E1341=1,_xlfn.SUMIFS(Compta!$F$1:$F$1448,Compta!$A$1:$A$1448,$A1341,Compta!$B$1:$B$1448,$B1341,Compta!$C$1:$C$1448,"2026"),0))</f>
        <v>323791</v>
      </c>
      <c r="G1341" t="s">
        <v>274</v>
      </c>
      <c r="H1341" t="s">
        <v>274</v>
      </c>
      <c r="I1341" t="s">
        <v>274</v>
      </c>
      <c r="J1341" t="s">
        <v>274</v>
      </c>
      <c r="K1341" t="s">
        <v>274</v>
      </c>
      <c r="L1341" t="s">
        <v>274</v>
      </c>
      <c r="M1341" t="s">
        <v>274</v>
      </c>
      <c r="N1341" t="e">
        <f t="shared" si="1"/>
        <v>#VALUE!</v>
      </c>
      <c r="O1341" t="e">
        <f t="shared" si="2"/>
        <v>#VALUE!</v>
      </c>
      <c r="P1341" t="e">
        <f>IF($A1341="","",IF($E1341=1,$F1341*$O1341,PNL!G1341))</f>
        <v>#VALUE!</v>
      </c>
      <c r="T1341" t="e">
        <f t="shared" si="3"/>
        <v>#VALUE!</v>
      </c>
    </row>
    <row r="1342" ht="14.25" customHeight="1">
      <c r="A1342" t="str">
        <f>IF(PNL!A1342="","",PNL!A1342)</f>
        <v>ISCOM_LIL</v>
      </c>
      <c r="B1342" t="str">
        <f>IF(PNL!B1342="","",PNL!B1342)</f>
        <v>6413</v>
      </c>
      <c r="C1342" t="str">
        <f>IF(PNL!C1342="","",PNL!C1342)</f>
        <v>2027</v>
      </c>
      <c r="D1342" t="str">
        <f>IF(PNL!D1342="","",PNL!D1342)</f>
        <v>V01</v>
      </c>
      <c r="E1342">
        <f t="shared" si="0"/>
        <v>1</v>
      </c>
      <c r="F1342">
        <f>IF($A1342="","",IF($E1342=1,_xlfn.SUMIFS(Compta!$F$1:$F$1448,Compta!$A$1:$A$1448,$A1342,Compta!$B$1:$B$1448,$B1342,Compta!$C$1:$C$1448,"2026"),0))</f>
        <v>126743</v>
      </c>
      <c r="G1342" t="s">
        <v>274</v>
      </c>
      <c r="H1342" t="s">
        <v>274</v>
      </c>
      <c r="I1342" t="s">
        <v>274</v>
      </c>
      <c r="J1342" t="s">
        <v>274</v>
      </c>
      <c r="K1342" t="s">
        <v>274</v>
      </c>
      <c r="L1342" t="s">
        <v>274</v>
      </c>
      <c r="M1342" t="s">
        <v>274</v>
      </c>
      <c r="N1342" t="e">
        <f t="shared" si="1"/>
        <v>#VALUE!</v>
      </c>
      <c r="O1342" t="e">
        <f t="shared" si="2"/>
        <v>#VALUE!</v>
      </c>
      <c r="P1342" t="e">
        <f>IF($A1342="","",IF($E1342=1,$F1342*$O1342,PNL!G1342))</f>
        <v>#VALUE!</v>
      </c>
      <c r="T1342" t="e">
        <f t="shared" si="3"/>
        <v>#VALUE!</v>
      </c>
    </row>
    <row r="1343" ht="14.25" customHeight="1">
      <c r="A1343" t="str">
        <f>IF(PNL!A1343="","",PNL!A1343)</f>
        <v>ISCOM_LIL</v>
      </c>
      <c r="B1343" t="str">
        <f>IF(PNL!B1343="","",PNL!B1343)</f>
        <v>6413</v>
      </c>
      <c r="C1343" t="str">
        <f>IF(PNL!C1343="","",PNL!C1343)</f>
        <v>2027</v>
      </c>
      <c r="D1343" t="str">
        <f>IF(PNL!D1343="","",PNL!D1343)</f>
        <v>V02</v>
      </c>
      <c r="E1343">
        <f t="shared" si="0"/>
        <v>1</v>
      </c>
      <c r="F1343">
        <f>IF($A1343="","",IF($E1343=1,_xlfn.SUMIFS(Compta!$F$1:$F$1448,Compta!$A$1:$A$1448,$A1343,Compta!$B$1:$B$1448,$B1343,Compta!$C$1:$C$1448,"2026"),0))</f>
        <v>126743</v>
      </c>
      <c r="G1343" t="s">
        <v>274</v>
      </c>
      <c r="H1343" t="s">
        <v>274</v>
      </c>
      <c r="I1343" t="s">
        <v>274</v>
      </c>
      <c r="J1343" t="s">
        <v>274</v>
      </c>
      <c r="K1343" t="s">
        <v>274</v>
      </c>
      <c r="L1343" t="s">
        <v>274</v>
      </c>
      <c r="M1343" t="s">
        <v>274</v>
      </c>
      <c r="N1343" t="e">
        <f t="shared" si="1"/>
        <v>#VALUE!</v>
      </c>
      <c r="O1343" t="e">
        <f t="shared" si="2"/>
        <v>#VALUE!</v>
      </c>
      <c r="P1343" t="e">
        <f>IF($A1343="","",IF($E1343=1,$F1343*$O1343,PNL!G1343))</f>
        <v>#VALUE!</v>
      </c>
      <c r="T1343" t="e">
        <f t="shared" si="3"/>
        <v>#VALUE!</v>
      </c>
    </row>
    <row r="1344" ht="14.25" customHeight="1">
      <c r="A1344" t="str">
        <f>IF(PNL!A1344="","",PNL!A1344)</f>
        <v>ISCOM_LIL</v>
      </c>
      <c r="B1344" t="str">
        <f>IF(PNL!B1344="","",PNL!B1344)</f>
        <v>6413</v>
      </c>
      <c r="C1344" t="str">
        <f>IF(PNL!C1344="","",PNL!C1344)</f>
        <v>2027</v>
      </c>
      <c r="D1344" t="str">
        <f>IF(PNL!D1344="","",PNL!D1344)</f>
        <v>V03</v>
      </c>
      <c r="E1344">
        <f t="shared" si="0"/>
        <v>1</v>
      </c>
      <c r="F1344">
        <f>IF($A1344="","",IF($E1344=1,_xlfn.SUMIFS(Compta!$F$1:$F$1448,Compta!$A$1:$A$1448,$A1344,Compta!$B$1:$B$1448,$B1344,Compta!$C$1:$C$1448,"2026"),0))</f>
        <v>126743</v>
      </c>
      <c r="G1344" t="s">
        <v>274</v>
      </c>
      <c r="H1344" t="s">
        <v>274</v>
      </c>
      <c r="I1344" t="s">
        <v>274</v>
      </c>
      <c r="J1344" t="s">
        <v>274</v>
      </c>
      <c r="K1344" t="s">
        <v>274</v>
      </c>
      <c r="L1344" t="s">
        <v>274</v>
      </c>
      <c r="M1344" t="s">
        <v>274</v>
      </c>
      <c r="N1344" t="e">
        <f t="shared" si="1"/>
        <v>#VALUE!</v>
      </c>
      <c r="O1344" t="e">
        <f t="shared" si="2"/>
        <v>#VALUE!</v>
      </c>
      <c r="P1344" t="e">
        <f>IF($A1344="","",IF($E1344=1,$F1344*$O1344,PNL!G1344))</f>
        <v>#VALUE!</v>
      </c>
      <c r="T1344" t="e">
        <f t="shared" si="3"/>
        <v>#VALUE!</v>
      </c>
    </row>
    <row r="1345" ht="14.25" customHeight="1">
      <c r="A1345" t="str">
        <f>IF(PNL!A1345="","",PNL!A1345)</f>
        <v>ISCOM_TLS</v>
      </c>
      <c r="B1345" t="str">
        <f>IF(PNL!B1345="","",PNL!B1345)</f>
        <v>6413</v>
      </c>
      <c r="C1345" t="str">
        <f>IF(PNL!C1345="","",PNL!C1345)</f>
        <v>2027</v>
      </c>
      <c r="D1345" t="str">
        <f>IF(PNL!D1345="","",PNL!D1345)</f>
        <v>V01</v>
      </c>
      <c r="E1345">
        <f t="shared" si="0"/>
        <v>1</v>
      </c>
      <c r="F1345">
        <f>IF($A1345="","",IF($E1345=1,_xlfn.SUMIFS(Compta!$F$1:$F$1448,Compta!$A$1:$A$1448,$A1345,Compta!$B$1:$B$1448,$B1345,Compta!$C$1:$C$1448,"2026"),0))</f>
        <v>117382</v>
      </c>
      <c r="G1345" t="s">
        <v>274</v>
      </c>
      <c r="H1345" t="s">
        <v>274</v>
      </c>
      <c r="I1345" t="s">
        <v>274</v>
      </c>
      <c r="J1345" t="s">
        <v>274</v>
      </c>
      <c r="K1345" t="s">
        <v>274</v>
      </c>
      <c r="L1345" t="s">
        <v>274</v>
      </c>
      <c r="M1345" t="s">
        <v>274</v>
      </c>
      <c r="N1345" t="e">
        <f t="shared" si="1"/>
        <v>#VALUE!</v>
      </c>
      <c r="O1345" t="e">
        <f t="shared" si="2"/>
        <v>#VALUE!</v>
      </c>
      <c r="P1345" t="e">
        <f>IF($A1345="","",IF($E1345=1,$F1345*$O1345,PNL!G1345))</f>
        <v>#VALUE!</v>
      </c>
      <c r="T1345" t="e">
        <f t="shared" si="3"/>
        <v>#VALUE!</v>
      </c>
    </row>
    <row r="1346" ht="14.25" customHeight="1">
      <c r="A1346" t="str">
        <f>IF(PNL!A1346="","",PNL!A1346)</f>
        <v>ISCOM_TLS</v>
      </c>
      <c r="B1346" t="str">
        <f>IF(PNL!B1346="","",PNL!B1346)</f>
        <v>6413</v>
      </c>
      <c r="C1346" t="str">
        <f>IF(PNL!C1346="","",PNL!C1346)</f>
        <v>2027</v>
      </c>
      <c r="D1346" t="str">
        <f>IF(PNL!D1346="","",PNL!D1346)</f>
        <v>V02</v>
      </c>
      <c r="E1346">
        <f t="shared" si="0"/>
        <v>1</v>
      </c>
      <c r="F1346">
        <f>IF($A1346="","",IF($E1346=1,_xlfn.SUMIFS(Compta!$F$1:$F$1448,Compta!$A$1:$A$1448,$A1346,Compta!$B$1:$B$1448,$B1346,Compta!$C$1:$C$1448,"2026"),0))</f>
        <v>117382</v>
      </c>
      <c r="G1346" t="s">
        <v>274</v>
      </c>
      <c r="H1346" t="s">
        <v>274</v>
      </c>
      <c r="I1346" t="s">
        <v>274</v>
      </c>
      <c r="J1346" t="s">
        <v>274</v>
      </c>
      <c r="K1346" t="s">
        <v>274</v>
      </c>
      <c r="L1346" t="s">
        <v>274</v>
      </c>
      <c r="M1346" t="s">
        <v>274</v>
      </c>
      <c r="N1346" t="e">
        <f t="shared" si="1"/>
        <v>#VALUE!</v>
      </c>
      <c r="O1346" t="e">
        <f t="shared" si="2"/>
        <v>#VALUE!</v>
      </c>
      <c r="P1346" t="e">
        <f>IF($A1346="","",IF($E1346=1,$F1346*$O1346,PNL!G1346))</f>
        <v>#VALUE!</v>
      </c>
      <c r="T1346" t="e">
        <f t="shared" si="3"/>
        <v>#VALUE!</v>
      </c>
    </row>
    <row r="1347" ht="14.25" customHeight="1">
      <c r="A1347" t="str">
        <f>IF(PNL!A1347="","",PNL!A1347)</f>
        <v>ISCOM_TLS</v>
      </c>
      <c r="B1347" t="str">
        <f>IF(PNL!B1347="","",PNL!B1347)</f>
        <v>6413</v>
      </c>
      <c r="C1347" t="str">
        <f>IF(PNL!C1347="","",PNL!C1347)</f>
        <v>2027</v>
      </c>
      <c r="D1347" t="str">
        <f>IF(PNL!D1347="","",PNL!D1347)</f>
        <v>V03</v>
      </c>
      <c r="E1347">
        <f t="shared" si="0"/>
        <v>1</v>
      </c>
      <c r="F1347">
        <f>IF($A1347="","",IF($E1347=1,_xlfn.SUMIFS(Compta!$F$1:$F$1448,Compta!$A$1:$A$1448,$A1347,Compta!$B$1:$B$1448,$B1347,Compta!$C$1:$C$1448,"2026"),0))</f>
        <v>117382</v>
      </c>
      <c r="G1347" t="s">
        <v>274</v>
      </c>
      <c r="H1347" t="s">
        <v>274</v>
      </c>
      <c r="I1347" t="s">
        <v>274</v>
      </c>
      <c r="J1347" t="s">
        <v>274</v>
      </c>
      <c r="K1347" t="s">
        <v>274</v>
      </c>
      <c r="L1347" t="s">
        <v>274</v>
      </c>
      <c r="M1347" t="s">
        <v>274</v>
      </c>
      <c r="N1347" t="e">
        <f t="shared" si="1"/>
        <v>#VALUE!</v>
      </c>
      <c r="O1347" t="e">
        <f t="shared" si="2"/>
        <v>#VALUE!</v>
      </c>
      <c r="P1347" t="e">
        <f>IF($A1347="","",IF($E1347=1,$F1347*$O1347,PNL!G1347))</f>
        <v>#VALUE!</v>
      </c>
      <c r="T1347" t="e">
        <f t="shared" si="3"/>
        <v>#VALUE!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F7A1946-8498-B818-9B79-24A4137F6048}" mc:Ignorable="x14ac xr xr2 xr3">
  <dimension ref="A1:AU175"/>
  <sheetViews>
    <sheetView topLeftCell="A1" workbookViewId="0">
      <selection activeCell="A1" sqref="A1"/>
    </sheetView>
  </sheetViews>
  <sheetFormatPr defaultRowHeight="14.25" defaultColWidth="9.00390625" customHeight="1"/>
  <sheetData>
    <row r="1" ht="14.25" customHeight="1">
      <c r="A1" t="s">
        <v>170</v>
      </c>
      <c r="B1" t="s">
        <v>166</v>
      </c>
      <c r="C1" t="s">
        <v>222</v>
      </c>
      <c r="D1" t="s">
        <v>325</v>
      </c>
      <c r="E1" t="s">
        <v>326</v>
      </c>
      <c r="F1" t="s">
        <v>327</v>
      </c>
      <c r="G1" t="s">
        <v>109</v>
      </c>
      <c r="H1" t="s">
        <v>177</v>
      </c>
      <c r="I1" t="s">
        <v>119</v>
      </c>
      <c r="J1" t="s">
        <v>174</v>
      </c>
      <c r="K1" t="s">
        <v>328</v>
      </c>
      <c r="L1" t="s">
        <v>329</v>
      </c>
      <c r="M1" t="s">
        <v>330</v>
      </c>
      <c r="N1" t="s">
        <v>331</v>
      </c>
      <c r="O1" t="s">
        <v>332</v>
      </c>
      <c r="P1" t="s">
        <v>333</v>
      </c>
      <c r="Q1" t="s">
        <v>334</v>
      </c>
      <c r="R1" t="s">
        <v>335</v>
      </c>
      <c r="S1" t="s">
        <v>336</v>
      </c>
      <c r="T1" t="s">
        <v>337</v>
      </c>
      <c r="U1" t="s">
        <v>338</v>
      </c>
      <c r="V1" t="s">
        <v>339</v>
      </c>
      <c r="W1" t="s">
        <v>120</v>
      </c>
      <c r="X1" t="s">
        <v>121</v>
      </c>
      <c r="Y1" t="s">
        <v>122</v>
      </c>
      <c r="Z1" t="s">
        <v>340</v>
      </c>
      <c r="AA1" t="s">
        <v>341</v>
      </c>
      <c r="AB1" t="s">
        <v>342</v>
      </c>
      <c r="AC1" t="s">
        <v>343</v>
      </c>
      <c r="AD1" t="s">
        <v>344</v>
      </c>
      <c r="AE1" t="s">
        <v>345</v>
      </c>
      <c r="AF1" t="s">
        <v>346</v>
      </c>
      <c r="AG1" t="s">
        <v>347</v>
      </c>
      <c r="AH1" t="s">
        <v>348</v>
      </c>
      <c r="AI1" t="s">
        <v>275</v>
      </c>
      <c r="AJ1" t="s">
        <v>276</v>
      </c>
      <c r="AK1" t="s">
        <v>277</v>
      </c>
      <c r="AL1" t="s">
        <v>278</v>
      </c>
      <c r="AM1" t="s">
        <v>279</v>
      </c>
      <c r="AN1" t="s">
        <v>349</v>
      </c>
      <c r="AO1" t="s">
        <v>350</v>
      </c>
      <c r="AP1" t="s">
        <v>351</v>
      </c>
      <c r="AQ1" t="s">
        <v>352</v>
      </c>
      <c r="AR1" t="s">
        <v>353</v>
      </c>
      <c r="AT1" t="s">
        <v>310</v>
      </c>
    </row>
    <row r="2" ht="14.25" customHeight="1">
      <c r="A2" t="str">
        <f>IF(Allocation!C2="","",Allocation!C2)</f>
        <v>2026</v>
      </c>
      <c r="B2" t="str">
        <f>IF(Allocation!D2="","",Allocation!D2)</f>
        <v>MBWAY_PAR</v>
      </c>
      <c r="C2" t="str">
        <f>IF(Allocation!E2="","",Allocation!E2)</f>
        <v>MBWAY</v>
      </c>
      <c r="D2" t="str">
        <f>IF(Allocation!F2="","",Allocation!F2)</f>
        <v>BAC_MGT</v>
      </c>
      <c r="E2" t="str">
        <f>IF(Allocation!G2="","",Allocation!G2)</f>
        <v>B1</v>
      </c>
      <c r="F2" t="str">
        <f>IF(Allocation!H2="","",Allocation!H2)</f>
        <v>INIT</v>
      </c>
      <c r="G2">
        <f>IF(Allocation!D2="","",Allocation!I2)</f>
        <v>78</v>
      </c>
      <c r="H2">
        <f>IF(Allocation!D2="","",Allocation!J2)</f>
        <v>3</v>
      </c>
      <c r="I2">
        <f>IF(Allocation!D2="","",Allocation!K2)</f>
        <v>662220</v>
      </c>
      <c r="J2">
        <f>IF($A2="","",_xlfn.SUMIFS(Socle!$K$1:$K$448,Socle!$C$1:$C$448,$B2,Socle!$D$1:$D$448,$D2,Socle!$E$1:$E$448,$E2,Socle!$F$1:$F$448,$F2,Socle!$G$1:$G$448,$A2))</f>
        <v>78</v>
      </c>
      <c r="K2">
        <f t="shared" si="0" ref="K2:K175">IF($A2="","",$H2*IF(AND(LEFT($D2,3)="BAC",$F2="INIT"),600,IF(LEFT($D2,3)="BAC",480,IF(AND(LEFT($D2,3)="MAS",$F2="INIT"),520,IF(LEFT($D2,3)="MAS",420,IF($F2="INIT",1000,700))))))</f>
        <v>1800</v>
      </c>
      <c r="L2">
        <f>IF($A2="","",_xlfn.SUMIFS(Allocation!$I$1:$I$175,Allocation!$C$1:$C$175,$A2,Allocation!$D$1:$D$175,$B2))</f>
        <v>382</v>
      </c>
      <c r="M2">
        <f>IF($A2="","",_xlfn.SUMIFS(Allocation!$J$1:$J$175,Allocation!$C$1:$C$175,$A2,Allocation!$D$1:$D$175,$B2))</f>
        <v>15</v>
      </c>
      <c r="N2">
        <f>IF($A2="","",_xlfn.SUMIFS(Allocation!$K$1:$K$175,Allocation!$C$1:$C$175,$A2,Allocation!$D$1:$D$175,$B2))</f>
        <v>3138840</v>
      </c>
      <c r="O2">
        <f t="shared" si="1" ref="O2:O175">IF($A2="","",_xlfn.SUMIFS($K$1:$K$175,$A$1:$A$175,$A2,$B$1:$B$175,$B2))</f>
        <v>7200</v>
      </c>
      <c r="P2">
        <f t="shared" si="2" ref="P2:P175">IF($A2="","",_xlfn.SUMIFS($J$1:$J$175,$A$1:$A$175,$A2,$B$1:$B$175,$B2))</f>
        <v>234</v>
      </c>
      <c r="Q2">
        <f>IF($A2="","",_xlfn.SUMIFS(Allocation!$I$1:$I$175,Allocation!$C$1:$C$175,$A2,Allocation!$E$1:$E$175,$C2))</f>
        <v>1249</v>
      </c>
      <c r="R2">
        <f>IF($A2="","",_xlfn.SUMIFS(Allocation!$J$1:$J$175,Allocation!$C$1:$C$175,$A2,Allocation!$E$1:$E$175,$C2))</f>
        <v>50</v>
      </c>
      <c r="S2">
        <f>IF($A2="","",_xlfn.SUMIFS(Allocation!$K$1:$K$175,Allocation!$C$1:$C$175,$A2,Allocation!$E$1:$E$175,$C2))</f>
        <v>9567455</v>
      </c>
      <c r="T2">
        <f>IF($A2="","",_xlfn.SUMIFS(Allocation!$I$1:$I$175,Allocation!$C$1:$C$175,$A2))</f>
        <v>3036</v>
      </c>
      <c r="U2">
        <f>IF($A2="","",_xlfn.SUMIFS(Allocation!$J$1:$J$175,Allocation!$C$1:$C$175,$A2))</f>
        <v>131</v>
      </c>
      <c r="V2">
        <f>IF($A2="","",_xlfn.SUMIFS(Allocation!$K$1:$K$175,Allocation!$C$1:$C$175,$A2))</f>
        <v>22544725</v>
      </c>
      <c r="W2">
        <f>IF($A2="","",_xlfn.SUMIFS(Compta!$F$1:$F$1448,Compta!$A$1:$A$1448,$B2,Compta!$B$1:$B$1448,"621",Compta!$C$1:$C$1448,$A2))</f>
        <v>181094</v>
      </c>
      <c r="X2">
        <f>IF($A2="","",_xlfn.SUMIFS(Compta!$F$1:$F$1448,Compta!$A$1:$A$1448,$B2,Compta!$B$1:$B$1448,"6411",Compta!$C$1:$C$1448,$A2))</f>
        <v>605202</v>
      </c>
      <c r="Y2">
        <f>IF($A2="","",_xlfn.SUMIFS(Compta!$F$1:$F$1448,Compta!$A$1:$A$1448,$B2,Compta!$B$1:$B$1448,"604",Compta!$C$1:$C$1448,$A2)+_xlfn.SUMIFS(Compta!$F$1:$F$1448,Compta!$A$1:$A$1448,$B2,Compta!$B$1:$B$1448,"6063",Compta!$C$1:$C$1448,$A2))</f>
        <v>142140</v>
      </c>
      <c r="Z2">
        <f>IF($A2="","",_xlfn.SUMIFS(Compta!$F$1:$F$1448,Compta!$A$1:$A$1448,$B2,Compta!$B$1:$B$1448,"6231",Compta!$C$1:$C$1448,$A2))</f>
        <v>68291</v>
      </c>
      <c r="AA2">
        <f>IF($A2="","",_xlfn.SUMIFS(Compta!$F$1:$F$1448,Compta!$A$1:$A$1448,$B2,Compta!$B$1:$B$1448,"6413",Compta!$C$1:$C$1448,$A2)+_xlfn.SUMIFS(Compta!$F$1:$F$1448,Compta!$A$1:$A$1448,$B2,Compta!$B$1:$B$1448,"645",Compta!$C$1:$C$1448,$A2)+_xlfn.SUMIFS(Compta!$F$1:$F$1448,Compta!$A$1:$A$1448,$B2,Compta!$B$1:$B$1448,"613",Compta!$C$1:$C$1448,$A2)+_xlfn.SUMIFS(Compta!$F$1:$F$1448,Compta!$A$1:$A$1448,$B2,Compta!$B$1:$B$1448,"615",Compta!$C$1:$C$1448,$A2)+_xlfn.SUMIFS(Compta!$F$1:$F$1448,Compta!$A$1:$A$1448,$B2,Compta!$B$1:$B$1448,"616",Compta!$C$1:$C$1448,$A2)+_xlfn.SUMIFS(Compta!$F$1:$F$1448,Compta!$A$1:$A$1448,$B2,Compta!$B$1:$B$1448,"625",Compta!$C$1:$C$1448,$A2)+_xlfn.SUMIFS(Compta!$F$1:$F$1448,Compta!$A$1:$A$1448,$B2,Compta!$B$1:$B$1448,"63511",Compta!$C$1:$C$1448,$A2))</f>
        <v>1452771</v>
      </c>
      <c r="AB2">
        <f>IF($A2="","",_xlfn.SUMIFS(Compta!$F$1:$F$1448,Compta!$A$1:$A$1448,"GRP",Compta!$B$1:$B$1448,"6414",Compta!$C$1:$C$1448,$A2)+_xlfn.SUMIFS(Compta!$F$1:$F$1448,Compta!$A$1:$A$1448,"GRP",Compta!$B$1:$B$1448,"6226",Compta!$C$1:$C$1448,$A2)+_xlfn.SUMIFS(Compta!$F$1:$F$1448,Compta!$A$1:$A$1448,"GRP",Compta!$B$1:$B$1448,"626",Compta!$C$1:$C$1448,$A2)+_xlfn.SUMIFS(Compta!$F$1:$F$1448,Compta!$A$1:$A$1448,"GRP",Compta!$B$1:$B$1448,"6281",Compta!$C$1:$C$1448,$A2)+_xlfn.SUMIFS(Compta!$F$1:$F$1448,Compta!$A$1:$A$1448,"GRP",Compta!$B$1:$B$1448,"6331",Compta!$C$1:$C$1448,$A2)+_xlfn.SUMIFS(Compta!$F$1:$F$1448,Compta!$A$1:$A$1448,"GRP",Compta!$B$1:$B$1448,"6333",Compta!$C$1:$C$1448,$A2))</f>
        <v>2891983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f t="shared" si="3" ref="AI2:AI175">IF($A2="","",$W2*_xlfn.IFERROR($K2/$O2,0))</f>
        <v>45273.5</v>
      </c>
      <c r="AJ2">
        <f t="shared" si="4" ref="AJ2:AJ175">IF($A2="","",$X2*_xlfn.IFERROR($K2/$O2,0))</f>
        <v>151300.5</v>
      </c>
      <c r="AK2">
        <f t="shared" si="5" ref="AK2:AK175">IF($A2="","",$Y2*_xlfn.IFERROR($G2/$L2,0)+$Z2*_xlfn.IFERROR($J2/$P2,0))</f>
        <v>51787.017452007</v>
      </c>
      <c r="AL2">
        <f t="shared" si="6" ref="AL2:AL175">IF($A2="","",$AA2*_xlfn.IFERROR($AC2/$AD2,0))</f>
        <v>1452771</v>
      </c>
      <c r="AM2">
        <f t="shared" si="7" ref="AM2:AM175">IF($A2="","",$AB2*_xlfn.IFERROR($AG2/$AH2,0)*_xlfn.IFERROR($AE2/$AF2,0)*_xlfn.IFERROR($AC2/$AD2,0))</f>
        <v>2891983</v>
      </c>
      <c r="AN2">
        <f t="shared" si="8" ref="AN2:AN175">IF($A2="","",$I2-($AI2+$AJ2+$AK2+$AL2+$AM2+$AR2))</f>
        <v>-4607239.01745201</v>
      </c>
      <c r="AO2">
        <f>IF($A2="","",_xlfn.SUMIFS(Compta!$F$1:$F$1448,Compta!$A$1:$A$1448,"GRP",Compta!$B$1:$B$1448,"6236",Compta!$C$1:$C$1448,$A2))</f>
        <v>676344</v>
      </c>
      <c r="AP2">
        <v>1000</v>
      </c>
      <c r="AQ2">
        <v>1000</v>
      </c>
      <c r="AR2">
        <f t="shared" si="9" ref="AR2:AR175">IF($A2="","",$AO2*_xlfn.IFERROR($AP2/$AQ2,0)*_xlfn.IFERROR($AE2/$AF2,0)*_xlfn.IFERROR($AC2/$AD2,0))</f>
        <v>676344</v>
      </c>
    </row>
    <row r="3" ht="14.25" customHeight="1">
      <c r="A3" t="str">
        <f>IF(Allocation!C3="","",Allocation!C3)</f>
        <v>2026</v>
      </c>
      <c r="B3" t="str">
        <f>IF(Allocation!D3="","",Allocation!D3)</f>
        <v>MBWAY_PAR</v>
      </c>
      <c r="C3" t="str">
        <f>IF(Allocation!E3="","",Allocation!E3)</f>
        <v>MBWAY</v>
      </c>
      <c r="D3" t="str">
        <f>IF(Allocation!F3="","",Allocation!F3)</f>
        <v>BAC_MGT</v>
      </c>
      <c r="E3" t="str">
        <f>IF(Allocation!G3="","",Allocation!G3)</f>
        <v>B2</v>
      </c>
      <c r="F3" t="str">
        <f>IF(Allocation!H3="","",Allocation!H3)</f>
        <v>ALT</v>
      </c>
      <c r="G3">
        <f>IF(Allocation!D3="","",Allocation!I3)</f>
        <v>76</v>
      </c>
      <c r="H3">
        <f>IF(Allocation!D3="","",Allocation!J3)</f>
        <v>3</v>
      </c>
      <c r="I3">
        <f>IF(Allocation!D3="","",Allocation!K3)</f>
        <v>595840</v>
      </c>
      <c r="J3">
        <f>IF($A3="","",_xlfn.SUMIFS(Socle!$K$1:$K$448,Socle!$C$1:$C$448,$B3,Socle!$D$1:$D$448,$D3,Socle!$E$1:$E$448,$E3,Socle!$F$1:$F$448,$F3,Socle!$G$1:$G$448,$A3))</f>
        <v>0</v>
      </c>
      <c r="K3">
        <f t="shared" si="0"/>
        <v>1440</v>
      </c>
      <c r="L3">
        <f>IF($A3="","",_xlfn.SUMIFS(Allocation!$I$1:$I$175,Allocation!$C$1:$C$175,$A3,Allocation!$D$1:$D$175,$B3))</f>
        <v>382</v>
      </c>
      <c r="M3">
        <f>IF($A3="","",_xlfn.SUMIFS(Allocation!$J$1:$J$175,Allocation!$C$1:$C$175,$A3,Allocation!$D$1:$D$175,$B3))</f>
        <v>15</v>
      </c>
      <c r="N3">
        <f>IF($A3="","",_xlfn.SUMIFS(Allocation!$K$1:$K$175,Allocation!$C$1:$C$175,$A3,Allocation!$D$1:$D$175,$B3))</f>
        <v>3138840</v>
      </c>
      <c r="O3">
        <f t="shared" si="1"/>
        <v>7200</v>
      </c>
      <c r="P3">
        <f t="shared" si="2"/>
        <v>234</v>
      </c>
      <c r="Q3">
        <f>IF($A3="","",_xlfn.SUMIFS(Allocation!$I$1:$I$175,Allocation!$C$1:$C$175,$A3,Allocation!$E$1:$E$175,$C3))</f>
        <v>1249</v>
      </c>
      <c r="R3">
        <f>IF($A3="","",_xlfn.SUMIFS(Allocation!$J$1:$J$175,Allocation!$C$1:$C$175,$A3,Allocation!$E$1:$E$175,$C3))</f>
        <v>50</v>
      </c>
      <c r="S3">
        <f>IF($A3="","",_xlfn.SUMIFS(Allocation!$K$1:$K$175,Allocation!$C$1:$C$175,$A3,Allocation!$E$1:$E$175,$C3))</f>
        <v>9567455</v>
      </c>
      <c r="T3">
        <f>IF($A3="","",_xlfn.SUMIFS(Allocation!$I$1:$I$175,Allocation!$C$1:$C$175,$A3))</f>
        <v>3036</v>
      </c>
      <c r="U3">
        <f>IF($A3="","",_xlfn.SUMIFS(Allocation!$J$1:$J$175,Allocation!$C$1:$C$175,$A3))</f>
        <v>131</v>
      </c>
      <c r="V3">
        <f>IF($A3="","",_xlfn.SUMIFS(Allocation!$K$1:$K$175,Allocation!$C$1:$C$175,$A3))</f>
        <v>22544725</v>
      </c>
      <c r="W3">
        <f>IF($A3="","",_xlfn.SUMIFS(Compta!$F$1:$F$1448,Compta!$A$1:$A$1448,$B3,Compta!$B$1:$B$1448,"621",Compta!$C$1:$C$1448,$A3))</f>
        <v>181094</v>
      </c>
      <c r="X3">
        <f>IF($A3="","",_xlfn.SUMIFS(Compta!$F$1:$F$1448,Compta!$A$1:$A$1448,$B3,Compta!$B$1:$B$1448,"6411",Compta!$C$1:$C$1448,$A3))</f>
        <v>605202</v>
      </c>
      <c r="Y3">
        <f>IF($A3="","",_xlfn.SUMIFS(Compta!$F$1:$F$1448,Compta!$A$1:$A$1448,$B3,Compta!$B$1:$B$1448,"604",Compta!$C$1:$C$1448,$A3)+_xlfn.SUMIFS(Compta!$F$1:$F$1448,Compta!$A$1:$A$1448,$B3,Compta!$B$1:$B$1448,"6063",Compta!$C$1:$C$1448,$A3))</f>
        <v>142140</v>
      </c>
      <c r="Z3">
        <f>IF($A3="","",_xlfn.SUMIFS(Compta!$F$1:$F$1448,Compta!$A$1:$A$1448,$B3,Compta!$B$1:$B$1448,"6231",Compta!$C$1:$C$1448,$A3))</f>
        <v>68291</v>
      </c>
      <c r="AA3">
        <f>IF($A3="","",_xlfn.SUMIFS(Compta!$F$1:$F$1448,Compta!$A$1:$A$1448,$B3,Compta!$B$1:$B$1448,"6413",Compta!$C$1:$C$1448,$A3)+_xlfn.SUMIFS(Compta!$F$1:$F$1448,Compta!$A$1:$A$1448,$B3,Compta!$B$1:$B$1448,"645",Compta!$C$1:$C$1448,$A3)+_xlfn.SUMIFS(Compta!$F$1:$F$1448,Compta!$A$1:$A$1448,$B3,Compta!$B$1:$B$1448,"613",Compta!$C$1:$C$1448,$A3)+_xlfn.SUMIFS(Compta!$F$1:$F$1448,Compta!$A$1:$A$1448,$B3,Compta!$B$1:$B$1448,"615",Compta!$C$1:$C$1448,$A3)+_xlfn.SUMIFS(Compta!$F$1:$F$1448,Compta!$A$1:$A$1448,$B3,Compta!$B$1:$B$1448,"616",Compta!$C$1:$C$1448,$A3)+_xlfn.SUMIFS(Compta!$F$1:$F$1448,Compta!$A$1:$A$1448,$B3,Compta!$B$1:$B$1448,"625",Compta!$C$1:$C$1448,$A3)+_xlfn.SUMIFS(Compta!$F$1:$F$1448,Compta!$A$1:$A$1448,$B3,Compta!$B$1:$B$1448,"63511",Compta!$C$1:$C$1448,$A3))</f>
        <v>1452771</v>
      </c>
      <c r="AB3">
        <f>IF($A3="","",_xlfn.SUMIFS(Compta!$F$1:$F$1448,Compta!$A$1:$A$1448,"GRP",Compta!$B$1:$B$1448,"6414",Compta!$C$1:$C$1448,$A3)+_xlfn.SUMIFS(Compta!$F$1:$F$1448,Compta!$A$1:$A$1448,"GRP",Compta!$B$1:$B$1448,"6226",Compta!$C$1:$C$1448,$A3)+_xlfn.SUMIFS(Compta!$F$1:$F$1448,Compta!$A$1:$A$1448,"GRP",Compta!$B$1:$B$1448,"626",Compta!$C$1:$C$1448,$A3)+_xlfn.SUMIFS(Compta!$F$1:$F$1448,Compta!$A$1:$A$1448,"GRP",Compta!$B$1:$B$1448,"6281",Compta!$C$1:$C$1448,$A3)+_xlfn.SUMIFS(Compta!$F$1:$F$1448,Compta!$A$1:$A$1448,"GRP",Compta!$B$1:$B$1448,"6331",Compta!$C$1:$C$1448,$A3)+_xlfn.SUMIFS(Compta!$F$1:$F$1448,Compta!$A$1:$A$1448,"GRP",Compta!$B$1:$B$1448,"6333",Compta!$C$1:$C$1448,$A3))</f>
        <v>2891983</v>
      </c>
      <c r="AC3" t="s">
        <v>274</v>
      </c>
      <c r="AD3" t="s">
        <v>274</v>
      </c>
      <c r="AE3" t="s">
        <v>274</v>
      </c>
      <c r="AF3" t="s">
        <v>274</v>
      </c>
      <c r="AG3" t="s">
        <v>274</v>
      </c>
      <c r="AH3" t="s">
        <v>274</v>
      </c>
      <c r="AI3">
        <f t="shared" si="3"/>
        <v>36218.8</v>
      </c>
      <c r="AJ3">
        <f t="shared" si="4"/>
        <v>121040.4</v>
      </c>
      <c r="AK3">
        <f t="shared" si="5"/>
        <v>28279.1623036649</v>
      </c>
      <c r="AL3">
        <f t="shared" si="6"/>
        <v>0</v>
      </c>
      <c r="AM3">
        <f t="shared" si="7"/>
        <v>0</v>
      </c>
      <c r="AN3">
        <f t="shared" si="8"/>
        <v>410301.637696335</v>
      </c>
      <c r="AO3">
        <f>IF($A3="","",_xlfn.SUMIFS(Compta!$F$1:$F$1448,Compta!$A$1:$A$1448,"GRP",Compta!$B$1:$B$1448,"6236",Compta!$C$1:$C$1448,$A3))</f>
        <v>676344</v>
      </c>
      <c r="AP3" t="s">
        <v>274</v>
      </c>
      <c r="AQ3" t="s">
        <v>274</v>
      </c>
      <c r="AR3">
        <f t="shared" si="9"/>
        <v>0</v>
      </c>
    </row>
    <row r="4" ht="14.25" customHeight="1">
      <c r="A4" t="str">
        <f>IF(Allocation!C4="","",Allocation!C4)</f>
        <v>2026</v>
      </c>
      <c r="B4" t="str">
        <f>IF(Allocation!D4="","",Allocation!D4)</f>
        <v>MBWAY_PAR</v>
      </c>
      <c r="C4" t="str">
        <f>IF(Allocation!E4="","",Allocation!E4)</f>
        <v>MBWAY</v>
      </c>
      <c r="D4" t="str">
        <f>IF(Allocation!F4="","",Allocation!F4)</f>
        <v>BAC_MGT</v>
      </c>
      <c r="E4" t="str">
        <f>IF(Allocation!G4="","",Allocation!G4)</f>
        <v>B3</v>
      </c>
      <c r="F4" t="str">
        <f>IF(Allocation!H4="","",Allocation!H4)</f>
        <v>ALT</v>
      </c>
      <c r="G4">
        <f>IF(Allocation!D4="","",Allocation!I4)</f>
        <v>74</v>
      </c>
      <c r="H4">
        <f>IF(Allocation!D4="","",Allocation!J4)</f>
        <v>3</v>
      </c>
      <c r="I4">
        <f>IF(Allocation!D4="","",Allocation!K4)</f>
        <v>580160</v>
      </c>
      <c r="J4">
        <f>IF($A4="","",_xlfn.SUMIFS(Socle!$K$1:$K$448,Socle!$C$1:$C$448,$B4,Socle!$D$1:$D$448,$D4,Socle!$E$1:$E$448,$E4,Socle!$F$1:$F$448,$F4,Socle!$G$1:$G$448,$A4))</f>
        <v>0</v>
      </c>
      <c r="K4">
        <f t="shared" si="0"/>
        <v>1440</v>
      </c>
      <c r="L4">
        <f>IF($A4="","",_xlfn.SUMIFS(Allocation!$I$1:$I$175,Allocation!$C$1:$C$175,$A4,Allocation!$D$1:$D$175,$B4))</f>
        <v>382</v>
      </c>
      <c r="M4">
        <f>IF($A4="","",_xlfn.SUMIFS(Allocation!$J$1:$J$175,Allocation!$C$1:$C$175,$A4,Allocation!$D$1:$D$175,$B4))</f>
        <v>15</v>
      </c>
      <c r="N4">
        <f>IF($A4="","",_xlfn.SUMIFS(Allocation!$K$1:$K$175,Allocation!$C$1:$C$175,$A4,Allocation!$D$1:$D$175,$B4))</f>
        <v>3138840</v>
      </c>
      <c r="O4">
        <f t="shared" si="1"/>
        <v>7200</v>
      </c>
      <c r="P4">
        <f t="shared" si="2"/>
        <v>234</v>
      </c>
      <c r="Q4">
        <f>IF($A4="","",_xlfn.SUMIFS(Allocation!$I$1:$I$175,Allocation!$C$1:$C$175,$A4,Allocation!$E$1:$E$175,$C4))</f>
        <v>1249</v>
      </c>
      <c r="R4">
        <f>IF($A4="","",_xlfn.SUMIFS(Allocation!$J$1:$J$175,Allocation!$C$1:$C$175,$A4,Allocation!$E$1:$E$175,$C4))</f>
        <v>50</v>
      </c>
      <c r="S4">
        <f>IF($A4="","",_xlfn.SUMIFS(Allocation!$K$1:$K$175,Allocation!$C$1:$C$175,$A4,Allocation!$E$1:$E$175,$C4))</f>
        <v>9567455</v>
      </c>
      <c r="T4">
        <f>IF($A4="","",_xlfn.SUMIFS(Allocation!$I$1:$I$175,Allocation!$C$1:$C$175,$A4))</f>
        <v>3036</v>
      </c>
      <c r="U4">
        <f>IF($A4="","",_xlfn.SUMIFS(Allocation!$J$1:$J$175,Allocation!$C$1:$C$175,$A4))</f>
        <v>131</v>
      </c>
      <c r="V4">
        <f>IF($A4="","",_xlfn.SUMIFS(Allocation!$K$1:$K$175,Allocation!$C$1:$C$175,$A4))</f>
        <v>22544725</v>
      </c>
      <c r="W4">
        <f>IF($A4="","",_xlfn.SUMIFS(Compta!$F$1:$F$1448,Compta!$A$1:$A$1448,$B4,Compta!$B$1:$B$1448,"621",Compta!$C$1:$C$1448,$A4))</f>
        <v>181094</v>
      </c>
      <c r="X4">
        <f>IF($A4="","",_xlfn.SUMIFS(Compta!$F$1:$F$1448,Compta!$A$1:$A$1448,$B4,Compta!$B$1:$B$1448,"6411",Compta!$C$1:$C$1448,$A4))</f>
        <v>605202</v>
      </c>
      <c r="Y4">
        <f>IF($A4="","",_xlfn.SUMIFS(Compta!$F$1:$F$1448,Compta!$A$1:$A$1448,$B4,Compta!$B$1:$B$1448,"604",Compta!$C$1:$C$1448,$A4)+_xlfn.SUMIFS(Compta!$F$1:$F$1448,Compta!$A$1:$A$1448,$B4,Compta!$B$1:$B$1448,"6063",Compta!$C$1:$C$1448,$A4))</f>
        <v>142140</v>
      </c>
      <c r="Z4">
        <f>IF($A4="","",_xlfn.SUMIFS(Compta!$F$1:$F$1448,Compta!$A$1:$A$1448,$B4,Compta!$B$1:$B$1448,"6231",Compta!$C$1:$C$1448,$A4))</f>
        <v>68291</v>
      </c>
      <c r="AA4">
        <f>IF($A4="","",_xlfn.SUMIFS(Compta!$F$1:$F$1448,Compta!$A$1:$A$1448,$B4,Compta!$B$1:$B$1448,"6413",Compta!$C$1:$C$1448,$A4)+_xlfn.SUMIFS(Compta!$F$1:$F$1448,Compta!$A$1:$A$1448,$B4,Compta!$B$1:$B$1448,"645",Compta!$C$1:$C$1448,$A4)+_xlfn.SUMIFS(Compta!$F$1:$F$1448,Compta!$A$1:$A$1448,$B4,Compta!$B$1:$B$1448,"613",Compta!$C$1:$C$1448,$A4)+_xlfn.SUMIFS(Compta!$F$1:$F$1448,Compta!$A$1:$A$1448,$B4,Compta!$B$1:$B$1448,"615",Compta!$C$1:$C$1448,$A4)+_xlfn.SUMIFS(Compta!$F$1:$F$1448,Compta!$A$1:$A$1448,$B4,Compta!$B$1:$B$1448,"616",Compta!$C$1:$C$1448,$A4)+_xlfn.SUMIFS(Compta!$F$1:$F$1448,Compta!$A$1:$A$1448,$B4,Compta!$B$1:$B$1448,"625",Compta!$C$1:$C$1448,$A4)+_xlfn.SUMIFS(Compta!$F$1:$F$1448,Compta!$A$1:$A$1448,$B4,Compta!$B$1:$B$1448,"63511",Compta!$C$1:$C$1448,$A4))</f>
        <v>1452771</v>
      </c>
      <c r="AB4">
        <f>IF($A4="","",_xlfn.SUMIFS(Compta!$F$1:$F$1448,Compta!$A$1:$A$1448,"GRP",Compta!$B$1:$B$1448,"6414",Compta!$C$1:$C$1448,$A4)+_xlfn.SUMIFS(Compta!$F$1:$F$1448,Compta!$A$1:$A$1448,"GRP",Compta!$B$1:$B$1448,"6226",Compta!$C$1:$C$1448,$A4)+_xlfn.SUMIFS(Compta!$F$1:$F$1448,Compta!$A$1:$A$1448,"GRP",Compta!$B$1:$B$1448,"626",Compta!$C$1:$C$1448,$A4)+_xlfn.SUMIFS(Compta!$F$1:$F$1448,Compta!$A$1:$A$1448,"GRP",Compta!$B$1:$B$1448,"6281",Compta!$C$1:$C$1448,$A4)+_xlfn.SUMIFS(Compta!$F$1:$F$1448,Compta!$A$1:$A$1448,"GRP",Compta!$B$1:$B$1448,"6331",Compta!$C$1:$C$1448,$A4)+_xlfn.SUMIFS(Compta!$F$1:$F$1448,Compta!$A$1:$A$1448,"GRP",Compta!$B$1:$B$1448,"6333",Compta!$C$1:$C$1448,$A4))</f>
        <v>2891983</v>
      </c>
      <c r="AC4" t="s">
        <v>274</v>
      </c>
      <c r="AD4" t="s">
        <v>274</v>
      </c>
      <c r="AE4" t="s">
        <v>274</v>
      </c>
      <c r="AF4" t="s">
        <v>274</v>
      </c>
      <c r="AG4" t="s">
        <v>274</v>
      </c>
      <c r="AH4" t="s">
        <v>274</v>
      </c>
      <c r="AI4">
        <f t="shared" si="3"/>
        <v>36218.8</v>
      </c>
      <c r="AJ4">
        <f t="shared" si="4"/>
        <v>121040.4</v>
      </c>
      <c r="AK4">
        <f t="shared" si="5"/>
        <v>27534.9738219895</v>
      </c>
      <c r="AL4">
        <f t="shared" si="6"/>
        <v>0</v>
      </c>
      <c r="AM4">
        <f t="shared" si="7"/>
        <v>0</v>
      </c>
      <c r="AN4">
        <f t="shared" si="8"/>
        <v>395365.82617801</v>
      </c>
      <c r="AO4">
        <f>IF($A4="","",_xlfn.SUMIFS(Compta!$F$1:$F$1448,Compta!$A$1:$A$1448,"GRP",Compta!$B$1:$B$1448,"6236",Compta!$C$1:$C$1448,$A4))</f>
        <v>676344</v>
      </c>
      <c r="AP4" t="s">
        <v>274</v>
      </c>
      <c r="AQ4" t="s">
        <v>274</v>
      </c>
      <c r="AR4">
        <f t="shared" si="9"/>
        <v>0</v>
      </c>
    </row>
    <row r="5" ht="14.25" customHeight="1">
      <c r="A5" t="str">
        <f>IF(Allocation!C5="","",Allocation!C5)</f>
        <v>2026</v>
      </c>
      <c r="B5" t="str">
        <f>IF(Allocation!D5="","",Allocation!D5)</f>
        <v>MBWAY_PAR</v>
      </c>
      <c r="C5" t="str">
        <f>IF(Allocation!E5="","",Allocation!E5)</f>
        <v>MBWAY</v>
      </c>
      <c r="D5" t="str">
        <f>IF(Allocation!F5="","",Allocation!F5)</f>
        <v>MAS_MGT</v>
      </c>
      <c r="E5" t="str">
        <f>IF(Allocation!G5="","",Allocation!G5)</f>
        <v>M1</v>
      </c>
      <c r="F5" t="str">
        <f>IF(Allocation!H5="","",Allocation!H5)</f>
        <v>ALT</v>
      </c>
      <c r="G5">
        <f>IF(Allocation!D5="","",Allocation!I5)</f>
        <v>78</v>
      </c>
      <c r="H5">
        <f>IF(Allocation!D5="","",Allocation!J5)</f>
        <v>3</v>
      </c>
      <c r="I5">
        <f>IF(Allocation!D5="","",Allocation!K5)</f>
        <v>662220</v>
      </c>
      <c r="J5">
        <f>IF($A5="","",_xlfn.SUMIFS(Socle!$K$1:$K$448,Socle!$C$1:$C$448,$B5,Socle!$D$1:$D$448,$D5,Socle!$E$1:$E$448,$E5,Socle!$F$1:$F$448,$F5,Socle!$G$1:$G$448,$A5))</f>
        <v>156</v>
      </c>
      <c r="K5">
        <f t="shared" si="0"/>
        <v>1260</v>
      </c>
      <c r="L5">
        <f>IF($A5="","",_xlfn.SUMIFS(Allocation!$I$1:$I$175,Allocation!$C$1:$C$175,$A5,Allocation!$D$1:$D$175,$B5))</f>
        <v>382</v>
      </c>
      <c r="M5">
        <f>IF($A5="","",_xlfn.SUMIFS(Allocation!$J$1:$J$175,Allocation!$C$1:$C$175,$A5,Allocation!$D$1:$D$175,$B5))</f>
        <v>15</v>
      </c>
      <c r="N5">
        <f>IF($A5="","",_xlfn.SUMIFS(Allocation!$K$1:$K$175,Allocation!$C$1:$C$175,$A5,Allocation!$D$1:$D$175,$B5))</f>
        <v>3138840</v>
      </c>
      <c r="O5">
        <f t="shared" si="1"/>
        <v>7200</v>
      </c>
      <c r="P5">
        <f t="shared" si="2"/>
        <v>234</v>
      </c>
      <c r="Q5">
        <f>IF($A5="","",_xlfn.SUMIFS(Allocation!$I$1:$I$175,Allocation!$C$1:$C$175,$A5,Allocation!$E$1:$E$175,$C5))</f>
        <v>1249</v>
      </c>
      <c r="R5">
        <f>IF($A5="","",_xlfn.SUMIFS(Allocation!$J$1:$J$175,Allocation!$C$1:$C$175,$A5,Allocation!$E$1:$E$175,$C5))</f>
        <v>50</v>
      </c>
      <c r="S5">
        <f>IF($A5="","",_xlfn.SUMIFS(Allocation!$K$1:$K$175,Allocation!$C$1:$C$175,$A5,Allocation!$E$1:$E$175,$C5))</f>
        <v>9567455</v>
      </c>
      <c r="T5">
        <f>IF($A5="","",_xlfn.SUMIFS(Allocation!$I$1:$I$175,Allocation!$C$1:$C$175,$A5))</f>
        <v>3036</v>
      </c>
      <c r="U5">
        <f>IF($A5="","",_xlfn.SUMIFS(Allocation!$J$1:$J$175,Allocation!$C$1:$C$175,$A5))</f>
        <v>131</v>
      </c>
      <c r="V5">
        <f>IF($A5="","",_xlfn.SUMIFS(Allocation!$K$1:$K$175,Allocation!$C$1:$C$175,$A5))</f>
        <v>22544725</v>
      </c>
      <c r="W5">
        <f>IF($A5="","",_xlfn.SUMIFS(Compta!$F$1:$F$1448,Compta!$A$1:$A$1448,$B5,Compta!$B$1:$B$1448,"621",Compta!$C$1:$C$1448,$A5))</f>
        <v>181094</v>
      </c>
      <c r="X5">
        <f>IF($A5="","",_xlfn.SUMIFS(Compta!$F$1:$F$1448,Compta!$A$1:$A$1448,$B5,Compta!$B$1:$B$1448,"6411",Compta!$C$1:$C$1448,$A5))</f>
        <v>605202</v>
      </c>
      <c r="Y5">
        <f>IF($A5="","",_xlfn.SUMIFS(Compta!$F$1:$F$1448,Compta!$A$1:$A$1448,$B5,Compta!$B$1:$B$1448,"604",Compta!$C$1:$C$1448,$A5)+_xlfn.SUMIFS(Compta!$F$1:$F$1448,Compta!$A$1:$A$1448,$B5,Compta!$B$1:$B$1448,"6063",Compta!$C$1:$C$1448,$A5))</f>
        <v>142140</v>
      </c>
      <c r="Z5">
        <f>IF($A5="","",_xlfn.SUMIFS(Compta!$F$1:$F$1448,Compta!$A$1:$A$1448,$B5,Compta!$B$1:$B$1448,"6231",Compta!$C$1:$C$1448,$A5))</f>
        <v>68291</v>
      </c>
      <c r="AA5">
        <f>IF($A5="","",_xlfn.SUMIFS(Compta!$F$1:$F$1448,Compta!$A$1:$A$1448,$B5,Compta!$B$1:$B$1448,"6413",Compta!$C$1:$C$1448,$A5)+_xlfn.SUMIFS(Compta!$F$1:$F$1448,Compta!$A$1:$A$1448,$B5,Compta!$B$1:$B$1448,"645",Compta!$C$1:$C$1448,$A5)+_xlfn.SUMIFS(Compta!$F$1:$F$1448,Compta!$A$1:$A$1448,$B5,Compta!$B$1:$B$1448,"613",Compta!$C$1:$C$1448,$A5)+_xlfn.SUMIFS(Compta!$F$1:$F$1448,Compta!$A$1:$A$1448,$B5,Compta!$B$1:$B$1448,"615",Compta!$C$1:$C$1448,$A5)+_xlfn.SUMIFS(Compta!$F$1:$F$1448,Compta!$A$1:$A$1448,$B5,Compta!$B$1:$B$1448,"616",Compta!$C$1:$C$1448,$A5)+_xlfn.SUMIFS(Compta!$F$1:$F$1448,Compta!$A$1:$A$1448,$B5,Compta!$B$1:$B$1448,"625",Compta!$C$1:$C$1448,$A5)+_xlfn.SUMIFS(Compta!$F$1:$F$1448,Compta!$A$1:$A$1448,$B5,Compta!$B$1:$B$1448,"63511",Compta!$C$1:$C$1448,$A5))</f>
        <v>1452771</v>
      </c>
      <c r="AB5">
        <f>IF($A5="","",_xlfn.SUMIFS(Compta!$F$1:$F$1448,Compta!$A$1:$A$1448,"GRP",Compta!$B$1:$B$1448,"6414",Compta!$C$1:$C$1448,$A5)+_xlfn.SUMIFS(Compta!$F$1:$F$1448,Compta!$A$1:$A$1448,"GRP",Compta!$B$1:$B$1448,"6226",Compta!$C$1:$C$1448,$A5)+_xlfn.SUMIFS(Compta!$F$1:$F$1448,Compta!$A$1:$A$1448,"GRP",Compta!$B$1:$B$1448,"626",Compta!$C$1:$C$1448,$A5)+_xlfn.SUMIFS(Compta!$F$1:$F$1448,Compta!$A$1:$A$1448,"GRP",Compta!$B$1:$B$1448,"6281",Compta!$C$1:$C$1448,$A5)+_xlfn.SUMIFS(Compta!$F$1:$F$1448,Compta!$A$1:$A$1448,"GRP",Compta!$B$1:$B$1448,"6331",Compta!$C$1:$C$1448,$A5)+_xlfn.SUMIFS(Compta!$F$1:$F$1448,Compta!$A$1:$A$1448,"GRP",Compta!$B$1:$B$1448,"6333",Compta!$C$1:$C$1448,$A5))</f>
        <v>2891983</v>
      </c>
      <c r="AC5" t="s">
        <v>274</v>
      </c>
      <c r="AD5" t="s">
        <v>274</v>
      </c>
      <c r="AE5" t="s">
        <v>274</v>
      </c>
      <c r="AF5" t="s">
        <v>274</v>
      </c>
      <c r="AG5" t="s">
        <v>274</v>
      </c>
      <c r="AH5" t="s">
        <v>274</v>
      </c>
      <c r="AI5">
        <f t="shared" si="3"/>
        <v>31691.45</v>
      </c>
      <c r="AJ5">
        <f t="shared" si="4"/>
        <v>105910.35</v>
      </c>
      <c r="AK5">
        <f t="shared" si="5"/>
        <v>74550.6841186736</v>
      </c>
      <c r="AL5">
        <f t="shared" si="6"/>
        <v>0</v>
      </c>
      <c r="AM5">
        <f t="shared" si="7"/>
        <v>0</v>
      </c>
      <c r="AN5">
        <f t="shared" si="8"/>
        <v>450067.515881326</v>
      </c>
      <c r="AO5">
        <f>IF($A5="","",_xlfn.SUMIFS(Compta!$F$1:$F$1448,Compta!$A$1:$A$1448,"GRP",Compta!$B$1:$B$1448,"6236",Compta!$C$1:$C$1448,$A5))</f>
        <v>676344</v>
      </c>
      <c r="AP5" t="s">
        <v>274</v>
      </c>
      <c r="AQ5" t="s">
        <v>274</v>
      </c>
      <c r="AR5">
        <f t="shared" si="9"/>
        <v>0</v>
      </c>
    </row>
    <row r="6" ht="14.25" customHeight="1">
      <c r="A6" t="str">
        <f>IF(Allocation!C6="","",Allocation!C6)</f>
        <v>2026</v>
      </c>
      <c r="B6" t="str">
        <f>IF(Allocation!D6="","",Allocation!D6)</f>
        <v>MBWAY_PAR</v>
      </c>
      <c r="C6" t="str">
        <f>IF(Allocation!E6="","",Allocation!E6)</f>
        <v>MBWAY</v>
      </c>
      <c r="D6" t="str">
        <f>IF(Allocation!F6="","",Allocation!F6)</f>
        <v>MAS_MGT</v>
      </c>
      <c r="E6" t="str">
        <f>IF(Allocation!G6="","",Allocation!G6)</f>
        <v>M2</v>
      </c>
      <c r="F6" t="str">
        <f>IF(Allocation!H6="","",Allocation!H6)</f>
        <v>ALT</v>
      </c>
      <c r="G6">
        <f>IF(Allocation!D6="","",Allocation!I6)</f>
        <v>76</v>
      </c>
      <c r="H6">
        <f>IF(Allocation!D6="","",Allocation!J6)</f>
        <v>3</v>
      </c>
      <c r="I6">
        <f>IF(Allocation!D6="","",Allocation!K6)</f>
        <v>638400</v>
      </c>
      <c r="J6">
        <f>IF($A6="","",_xlfn.SUMIFS(Socle!$K$1:$K$448,Socle!$C$1:$C$448,$B6,Socle!$D$1:$D$448,$D6,Socle!$E$1:$E$448,$E6,Socle!$F$1:$F$448,$F6,Socle!$G$1:$G$448,$A6))</f>
        <v>0</v>
      </c>
      <c r="K6">
        <f t="shared" si="0"/>
        <v>1260</v>
      </c>
      <c r="L6">
        <f>IF($A6="","",_xlfn.SUMIFS(Allocation!$I$1:$I$175,Allocation!$C$1:$C$175,$A6,Allocation!$D$1:$D$175,$B6))</f>
        <v>382</v>
      </c>
      <c r="M6">
        <f>IF($A6="","",_xlfn.SUMIFS(Allocation!$J$1:$J$175,Allocation!$C$1:$C$175,$A6,Allocation!$D$1:$D$175,$B6))</f>
        <v>15</v>
      </c>
      <c r="N6">
        <f>IF($A6="","",_xlfn.SUMIFS(Allocation!$K$1:$K$175,Allocation!$C$1:$C$175,$A6,Allocation!$D$1:$D$175,$B6))</f>
        <v>3138840</v>
      </c>
      <c r="O6">
        <f t="shared" si="1"/>
        <v>7200</v>
      </c>
      <c r="P6">
        <f t="shared" si="2"/>
        <v>234</v>
      </c>
      <c r="Q6">
        <f>IF($A6="","",_xlfn.SUMIFS(Allocation!$I$1:$I$175,Allocation!$C$1:$C$175,$A6,Allocation!$E$1:$E$175,$C6))</f>
        <v>1249</v>
      </c>
      <c r="R6">
        <f>IF($A6="","",_xlfn.SUMIFS(Allocation!$J$1:$J$175,Allocation!$C$1:$C$175,$A6,Allocation!$E$1:$E$175,$C6))</f>
        <v>50</v>
      </c>
      <c r="S6">
        <f>IF($A6="","",_xlfn.SUMIFS(Allocation!$K$1:$K$175,Allocation!$C$1:$C$175,$A6,Allocation!$E$1:$E$175,$C6))</f>
        <v>9567455</v>
      </c>
      <c r="T6">
        <f>IF($A6="","",_xlfn.SUMIFS(Allocation!$I$1:$I$175,Allocation!$C$1:$C$175,$A6))</f>
        <v>3036</v>
      </c>
      <c r="U6">
        <f>IF($A6="","",_xlfn.SUMIFS(Allocation!$J$1:$J$175,Allocation!$C$1:$C$175,$A6))</f>
        <v>131</v>
      </c>
      <c r="V6">
        <f>IF($A6="","",_xlfn.SUMIFS(Allocation!$K$1:$K$175,Allocation!$C$1:$C$175,$A6))</f>
        <v>22544725</v>
      </c>
      <c r="W6">
        <f>IF($A6="","",_xlfn.SUMIFS(Compta!$F$1:$F$1448,Compta!$A$1:$A$1448,$B6,Compta!$B$1:$B$1448,"621",Compta!$C$1:$C$1448,$A6))</f>
        <v>181094</v>
      </c>
      <c r="X6">
        <f>IF($A6="","",_xlfn.SUMIFS(Compta!$F$1:$F$1448,Compta!$A$1:$A$1448,$B6,Compta!$B$1:$B$1448,"6411",Compta!$C$1:$C$1448,$A6))</f>
        <v>605202</v>
      </c>
      <c r="Y6">
        <f>IF($A6="","",_xlfn.SUMIFS(Compta!$F$1:$F$1448,Compta!$A$1:$A$1448,$B6,Compta!$B$1:$B$1448,"604",Compta!$C$1:$C$1448,$A6)+_xlfn.SUMIFS(Compta!$F$1:$F$1448,Compta!$A$1:$A$1448,$B6,Compta!$B$1:$B$1448,"6063",Compta!$C$1:$C$1448,$A6))</f>
        <v>142140</v>
      </c>
      <c r="Z6">
        <f>IF($A6="","",_xlfn.SUMIFS(Compta!$F$1:$F$1448,Compta!$A$1:$A$1448,$B6,Compta!$B$1:$B$1448,"6231",Compta!$C$1:$C$1448,$A6))</f>
        <v>68291</v>
      </c>
      <c r="AA6">
        <f>IF($A6="","",_xlfn.SUMIFS(Compta!$F$1:$F$1448,Compta!$A$1:$A$1448,$B6,Compta!$B$1:$B$1448,"6413",Compta!$C$1:$C$1448,$A6)+_xlfn.SUMIFS(Compta!$F$1:$F$1448,Compta!$A$1:$A$1448,$B6,Compta!$B$1:$B$1448,"645",Compta!$C$1:$C$1448,$A6)+_xlfn.SUMIFS(Compta!$F$1:$F$1448,Compta!$A$1:$A$1448,$B6,Compta!$B$1:$B$1448,"613",Compta!$C$1:$C$1448,$A6)+_xlfn.SUMIFS(Compta!$F$1:$F$1448,Compta!$A$1:$A$1448,$B6,Compta!$B$1:$B$1448,"615",Compta!$C$1:$C$1448,$A6)+_xlfn.SUMIFS(Compta!$F$1:$F$1448,Compta!$A$1:$A$1448,$B6,Compta!$B$1:$B$1448,"616",Compta!$C$1:$C$1448,$A6)+_xlfn.SUMIFS(Compta!$F$1:$F$1448,Compta!$A$1:$A$1448,$B6,Compta!$B$1:$B$1448,"625",Compta!$C$1:$C$1448,$A6)+_xlfn.SUMIFS(Compta!$F$1:$F$1448,Compta!$A$1:$A$1448,$B6,Compta!$B$1:$B$1448,"63511",Compta!$C$1:$C$1448,$A6))</f>
        <v>1452771</v>
      </c>
      <c r="AB6">
        <f>IF($A6="","",_xlfn.SUMIFS(Compta!$F$1:$F$1448,Compta!$A$1:$A$1448,"GRP",Compta!$B$1:$B$1448,"6414",Compta!$C$1:$C$1448,$A6)+_xlfn.SUMIFS(Compta!$F$1:$F$1448,Compta!$A$1:$A$1448,"GRP",Compta!$B$1:$B$1448,"6226",Compta!$C$1:$C$1448,$A6)+_xlfn.SUMIFS(Compta!$F$1:$F$1448,Compta!$A$1:$A$1448,"GRP",Compta!$B$1:$B$1448,"626",Compta!$C$1:$C$1448,$A6)+_xlfn.SUMIFS(Compta!$F$1:$F$1448,Compta!$A$1:$A$1448,"GRP",Compta!$B$1:$B$1448,"6281",Compta!$C$1:$C$1448,$A6)+_xlfn.SUMIFS(Compta!$F$1:$F$1448,Compta!$A$1:$A$1448,"GRP",Compta!$B$1:$B$1448,"6331",Compta!$C$1:$C$1448,$A6)+_xlfn.SUMIFS(Compta!$F$1:$F$1448,Compta!$A$1:$A$1448,"GRP",Compta!$B$1:$B$1448,"6333",Compta!$C$1:$C$1448,$A6))</f>
        <v>2891983</v>
      </c>
      <c r="AC6" t="s">
        <v>274</v>
      </c>
      <c r="AD6" t="s">
        <v>274</v>
      </c>
      <c r="AE6" t="s">
        <v>274</v>
      </c>
      <c r="AF6" t="s">
        <v>274</v>
      </c>
      <c r="AG6" t="s">
        <v>274</v>
      </c>
      <c r="AH6" t="s">
        <v>274</v>
      </c>
      <c r="AI6">
        <f t="shared" si="3"/>
        <v>31691.45</v>
      </c>
      <c r="AJ6">
        <f t="shared" si="4"/>
        <v>105910.35</v>
      </c>
      <c r="AK6">
        <f t="shared" si="5"/>
        <v>28279.1623036649</v>
      </c>
      <c r="AL6">
        <f t="shared" si="6"/>
        <v>0</v>
      </c>
      <c r="AM6">
        <f t="shared" si="7"/>
        <v>0</v>
      </c>
      <c r="AN6">
        <f t="shared" si="8"/>
        <v>472519.037696335</v>
      </c>
      <c r="AO6">
        <f>IF($A6="","",_xlfn.SUMIFS(Compta!$F$1:$F$1448,Compta!$A$1:$A$1448,"GRP",Compta!$B$1:$B$1448,"6236",Compta!$C$1:$C$1448,$A6))</f>
        <v>676344</v>
      </c>
      <c r="AP6" t="s">
        <v>274</v>
      </c>
      <c r="AQ6" t="s">
        <v>274</v>
      </c>
      <c r="AR6">
        <f t="shared" si="9"/>
        <v>0</v>
      </c>
    </row>
    <row r="7" ht="14.25" customHeight="1">
      <c r="A7" t="str">
        <f>IF(Allocation!C7="","",Allocation!C7)</f>
        <v>2025</v>
      </c>
      <c r="B7" t="str">
        <f>IF(Allocation!D7="","",Allocation!D7)</f>
        <v>MBWAY_PAR</v>
      </c>
      <c r="C7" t="str">
        <f>IF(Allocation!E7="","",Allocation!E7)</f>
        <v>MBWAY</v>
      </c>
      <c r="D7" t="str">
        <f>IF(Allocation!F7="","",Allocation!F7)</f>
        <v>BAC_MGT</v>
      </c>
      <c r="E7" t="str">
        <f>IF(Allocation!G7="","",Allocation!G7)</f>
        <v>B1</v>
      </c>
      <c r="F7" t="str">
        <f>IF(Allocation!H7="","",Allocation!H7)</f>
        <v>INIT</v>
      </c>
      <c r="G7">
        <f>IF(Allocation!D7="","",Allocation!I7)</f>
        <v>74</v>
      </c>
      <c r="H7">
        <f>IF(Allocation!D7="","",Allocation!J7)</f>
        <v>3</v>
      </c>
      <c r="I7">
        <f>IF(Allocation!D7="","",Allocation!K7)</f>
        <v>628260</v>
      </c>
      <c r="J7">
        <f>IF($A7="","",_xlfn.SUMIFS(Socle!$K$1:$K$448,Socle!$C$1:$C$448,$B7,Socle!$D$1:$D$448,$D7,Socle!$E$1:$E$448,$E7,Socle!$F$1:$F$448,$F7,Socle!$G$1:$G$448,$A7))</f>
        <v>148</v>
      </c>
      <c r="K7">
        <f t="shared" si="0"/>
        <v>1800</v>
      </c>
      <c r="L7">
        <f>IF($A7="","",_xlfn.SUMIFS(Allocation!$I$1:$I$175,Allocation!$C$1:$C$175,$A7,Allocation!$D$1:$D$175,$B7))</f>
        <v>362</v>
      </c>
      <c r="M7">
        <f>IF($A7="","",_xlfn.SUMIFS(Allocation!$J$1:$J$175,Allocation!$C$1:$C$175,$A7,Allocation!$D$1:$D$175,$B7))</f>
        <v>15</v>
      </c>
      <c r="N7">
        <f>IF($A7="","",_xlfn.SUMIFS(Allocation!$K$1:$K$175,Allocation!$C$1:$C$175,$A7,Allocation!$D$1:$D$175,$B7))</f>
        <v>2974600</v>
      </c>
      <c r="O7">
        <f t="shared" si="1"/>
        <v>7200</v>
      </c>
      <c r="P7">
        <f t="shared" si="2"/>
        <v>296</v>
      </c>
      <c r="Q7">
        <f>IF($A7="","",_xlfn.SUMIFS(Allocation!$I$1:$I$175,Allocation!$C$1:$C$175,$A7,Allocation!$E$1:$E$175,$C7))</f>
        <v>1179</v>
      </c>
      <c r="R7">
        <f>IF($A7="","",_xlfn.SUMIFS(Allocation!$J$1:$J$175,Allocation!$C$1:$C$175,$A7,Allocation!$E$1:$E$175,$C7))</f>
        <v>50</v>
      </c>
      <c r="S7">
        <f>IF($A7="","",_xlfn.SUMIFS(Allocation!$K$1:$K$175,Allocation!$C$1:$C$175,$A7,Allocation!$E$1:$E$175,$C7))</f>
        <v>9032400</v>
      </c>
      <c r="T7">
        <f>IF($A7="","",_xlfn.SUMIFS(Allocation!$I$1:$I$175,Allocation!$C$1:$C$175,$A7))</f>
        <v>2860</v>
      </c>
      <c r="U7">
        <f>IF($A7="","",_xlfn.SUMIFS(Allocation!$J$1:$J$175,Allocation!$C$1:$C$175,$A7))</f>
        <v>131</v>
      </c>
      <c r="V7">
        <f>IF($A7="","",_xlfn.SUMIFS(Allocation!$K$1:$K$175,Allocation!$C$1:$C$175,$A7))</f>
        <v>21240140</v>
      </c>
      <c r="W7">
        <f>IF($A7="","",_xlfn.SUMIFS(Compta!$F$1:$F$1448,Compta!$A$1:$A$1448,$B7,Compta!$B$1:$B$1448,"621",Compta!$C$1:$C$1448,$A7))</f>
        <v>172844</v>
      </c>
      <c r="X7">
        <f>IF($A7="","",_xlfn.SUMIFS(Compta!$F$1:$F$1448,Compta!$A$1:$A$1448,$B7,Compta!$B$1:$B$1448,"6411",Compta!$C$1:$C$1448,$A7))</f>
        <v>577630</v>
      </c>
      <c r="Y7">
        <f>IF($A7="","",_xlfn.SUMIFS(Compta!$F$1:$F$1448,Compta!$A$1:$A$1448,$B7,Compta!$B$1:$B$1448,"604",Compta!$C$1:$C$1448,$A7)+_xlfn.SUMIFS(Compta!$F$1:$F$1448,Compta!$A$1:$A$1448,$B7,Compta!$B$1:$B$1448,"6063",Compta!$C$1:$C$1448,$A7))</f>
        <v>135665</v>
      </c>
      <c r="Z7">
        <f>IF($A7="","",_xlfn.SUMIFS(Compta!$F$1:$F$1448,Compta!$A$1:$A$1448,$B7,Compta!$B$1:$B$1448,"6231",Compta!$C$1:$C$1448,$A7))</f>
        <v>62082</v>
      </c>
      <c r="AA7">
        <f>IF($A7="","",_xlfn.SUMIFS(Compta!$F$1:$F$1448,Compta!$A$1:$A$1448,$B7,Compta!$B$1:$B$1448,"6413",Compta!$C$1:$C$1448,$A7)+_xlfn.SUMIFS(Compta!$F$1:$F$1448,Compta!$A$1:$A$1448,$B7,Compta!$B$1:$B$1448,"645",Compta!$C$1:$C$1448,$A7)+_xlfn.SUMIFS(Compta!$F$1:$F$1448,Compta!$A$1:$A$1448,$B7,Compta!$B$1:$B$1448,"613",Compta!$C$1:$C$1448,$A7)+_xlfn.SUMIFS(Compta!$F$1:$F$1448,Compta!$A$1:$A$1448,$B7,Compta!$B$1:$B$1448,"615",Compta!$C$1:$C$1448,$A7)+_xlfn.SUMIFS(Compta!$F$1:$F$1448,Compta!$A$1:$A$1448,$B7,Compta!$B$1:$B$1448,"616",Compta!$C$1:$C$1448,$A7)+_xlfn.SUMIFS(Compta!$F$1:$F$1448,Compta!$A$1:$A$1448,$B7,Compta!$B$1:$B$1448,"625",Compta!$C$1:$C$1448,$A7)+_xlfn.SUMIFS(Compta!$F$1:$F$1448,Compta!$A$1:$A$1448,$B7,Compta!$B$1:$B$1448,"63511",Compta!$C$1:$C$1448,$A7))</f>
        <v>1386587</v>
      </c>
      <c r="AB7">
        <f>IF($A7="","",_xlfn.SUMIFS(Compta!$F$1:$F$1448,Compta!$A$1:$A$1448,"GRP",Compta!$B$1:$B$1448,"6414",Compta!$C$1:$C$1448,$A7)+_xlfn.SUMIFS(Compta!$F$1:$F$1448,Compta!$A$1:$A$1448,"GRP",Compta!$B$1:$B$1448,"6226",Compta!$C$1:$C$1448,$A7)+_xlfn.SUMIFS(Compta!$F$1:$F$1448,Compta!$A$1:$A$1448,"GRP",Compta!$B$1:$B$1448,"626",Compta!$C$1:$C$1448,$A7)+_xlfn.SUMIFS(Compta!$F$1:$F$1448,Compta!$A$1:$A$1448,"GRP",Compta!$B$1:$B$1448,"6281",Compta!$C$1:$C$1448,$A7)+_xlfn.SUMIFS(Compta!$F$1:$F$1448,Compta!$A$1:$A$1448,"GRP",Compta!$B$1:$B$1448,"6331",Compta!$C$1:$C$1448,$A7)+_xlfn.SUMIFS(Compta!$F$1:$F$1448,Compta!$A$1:$A$1448,"GRP",Compta!$B$1:$B$1448,"6333",Compta!$C$1:$C$1448,$A7))</f>
        <v>2760232</v>
      </c>
      <c r="AC7" t="s">
        <v>274</v>
      </c>
      <c r="AD7" t="s">
        <v>274</v>
      </c>
      <c r="AE7" t="s">
        <v>274</v>
      </c>
      <c r="AF7" t="s">
        <v>274</v>
      </c>
      <c r="AG7" t="s">
        <v>274</v>
      </c>
      <c r="AH7" t="s">
        <v>274</v>
      </c>
      <c r="AI7">
        <f t="shared" si="3"/>
        <v>43211</v>
      </c>
      <c r="AJ7">
        <f t="shared" si="4"/>
        <v>144407.5</v>
      </c>
      <c r="AK7">
        <f t="shared" si="5"/>
        <v>58773.6243093923</v>
      </c>
      <c r="AL7">
        <f t="shared" si="6"/>
        <v>0</v>
      </c>
      <c r="AM7">
        <f t="shared" si="7"/>
        <v>0</v>
      </c>
      <c r="AN7">
        <f t="shared" si="8"/>
        <v>381867.875690608</v>
      </c>
      <c r="AO7">
        <f>IF($A7="","",_xlfn.SUMIFS(Compta!$F$1:$F$1448,Compta!$A$1:$A$1448,"GRP",Compta!$B$1:$B$1448,"6236",Compta!$C$1:$C$1448,$A7))</f>
        <v>580167</v>
      </c>
      <c r="AP7" t="s">
        <v>274</v>
      </c>
      <c r="AQ7" t="s">
        <v>274</v>
      </c>
      <c r="AR7">
        <f t="shared" si="9"/>
        <v>0</v>
      </c>
    </row>
    <row r="8" ht="14.25" customHeight="1">
      <c r="A8" t="str">
        <f>IF(Allocation!C8="","",Allocation!C8)</f>
        <v>2025</v>
      </c>
      <c r="B8" t="str">
        <f>IF(Allocation!D8="","",Allocation!D8)</f>
        <v>MBWAY_PAR</v>
      </c>
      <c r="C8" t="str">
        <f>IF(Allocation!E8="","",Allocation!E8)</f>
        <v>MBWAY</v>
      </c>
      <c r="D8" t="str">
        <f>IF(Allocation!F8="","",Allocation!F8)</f>
        <v>BAC_MGT</v>
      </c>
      <c r="E8" t="str">
        <f>IF(Allocation!G8="","",Allocation!G8)</f>
        <v>B2</v>
      </c>
      <c r="F8" t="str">
        <f>IF(Allocation!H8="","",Allocation!H8)</f>
        <v>ALT</v>
      </c>
      <c r="G8">
        <f>IF(Allocation!D8="","",Allocation!I8)</f>
        <v>72</v>
      </c>
      <c r="H8">
        <f>IF(Allocation!D8="","",Allocation!J8)</f>
        <v>3</v>
      </c>
      <c r="I8">
        <f>IF(Allocation!D8="","",Allocation!K8)</f>
        <v>564480</v>
      </c>
      <c r="J8">
        <f>IF($A8="","",_xlfn.SUMIFS(Socle!$K$1:$K$448,Socle!$C$1:$C$448,$B8,Socle!$D$1:$D$448,$D8,Socle!$E$1:$E$448,$E8,Socle!$F$1:$F$448,$F8,Socle!$G$1:$G$448,$A8))</f>
        <v>0</v>
      </c>
      <c r="K8">
        <f t="shared" si="0"/>
        <v>1440</v>
      </c>
      <c r="L8">
        <f>IF($A8="","",_xlfn.SUMIFS(Allocation!$I$1:$I$175,Allocation!$C$1:$C$175,$A8,Allocation!$D$1:$D$175,$B8))</f>
        <v>362</v>
      </c>
      <c r="M8">
        <f>IF($A8="","",_xlfn.SUMIFS(Allocation!$J$1:$J$175,Allocation!$C$1:$C$175,$A8,Allocation!$D$1:$D$175,$B8))</f>
        <v>15</v>
      </c>
      <c r="N8">
        <f>IF($A8="","",_xlfn.SUMIFS(Allocation!$K$1:$K$175,Allocation!$C$1:$C$175,$A8,Allocation!$D$1:$D$175,$B8))</f>
        <v>2974600</v>
      </c>
      <c r="O8">
        <f t="shared" si="1"/>
        <v>7200</v>
      </c>
      <c r="P8">
        <f t="shared" si="2"/>
        <v>296</v>
      </c>
      <c r="Q8">
        <f>IF($A8="","",_xlfn.SUMIFS(Allocation!$I$1:$I$175,Allocation!$C$1:$C$175,$A8,Allocation!$E$1:$E$175,$C8))</f>
        <v>1179</v>
      </c>
      <c r="R8">
        <f>IF($A8="","",_xlfn.SUMIFS(Allocation!$J$1:$J$175,Allocation!$C$1:$C$175,$A8,Allocation!$E$1:$E$175,$C8))</f>
        <v>50</v>
      </c>
      <c r="S8">
        <f>IF($A8="","",_xlfn.SUMIFS(Allocation!$K$1:$K$175,Allocation!$C$1:$C$175,$A8,Allocation!$E$1:$E$175,$C8))</f>
        <v>9032400</v>
      </c>
      <c r="T8">
        <f>IF($A8="","",_xlfn.SUMIFS(Allocation!$I$1:$I$175,Allocation!$C$1:$C$175,$A8))</f>
        <v>2860</v>
      </c>
      <c r="U8">
        <f>IF($A8="","",_xlfn.SUMIFS(Allocation!$J$1:$J$175,Allocation!$C$1:$C$175,$A8))</f>
        <v>131</v>
      </c>
      <c r="V8">
        <f>IF($A8="","",_xlfn.SUMIFS(Allocation!$K$1:$K$175,Allocation!$C$1:$C$175,$A8))</f>
        <v>21240140</v>
      </c>
      <c r="W8">
        <f>IF($A8="","",_xlfn.SUMIFS(Compta!$F$1:$F$1448,Compta!$A$1:$A$1448,$B8,Compta!$B$1:$B$1448,"621",Compta!$C$1:$C$1448,$A8))</f>
        <v>172844</v>
      </c>
      <c r="X8">
        <f>IF($A8="","",_xlfn.SUMIFS(Compta!$F$1:$F$1448,Compta!$A$1:$A$1448,$B8,Compta!$B$1:$B$1448,"6411",Compta!$C$1:$C$1448,$A8))</f>
        <v>577630</v>
      </c>
      <c r="Y8">
        <f>IF($A8="","",_xlfn.SUMIFS(Compta!$F$1:$F$1448,Compta!$A$1:$A$1448,$B8,Compta!$B$1:$B$1448,"604",Compta!$C$1:$C$1448,$A8)+_xlfn.SUMIFS(Compta!$F$1:$F$1448,Compta!$A$1:$A$1448,$B8,Compta!$B$1:$B$1448,"6063",Compta!$C$1:$C$1448,$A8))</f>
        <v>135665</v>
      </c>
      <c r="Z8">
        <f>IF($A8="","",_xlfn.SUMIFS(Compta!$F$1:$F$1448,Compta!$A$1:$A$1448,$B8,Compta!$B$1:$B$1448,"6231",Compta!$C$1:$C$1448,$A8))</f>
        <v>62082</v>
      </c>
      <c r="AA8">
        <f>IF($A8="","",_xlfn.SUMIFS(Compta!$F$1:$F$1448,Compta!$A$1:$A$1448,$B8,Compta!$B$1:$B$1448,"6413",Compta!$C$1:$C$1448,$A8)+_xlfn.SUMIFS(Compta!$F$1:$F$1448,Compta!$A$1:$A$1448,$B8,Compta!$B$1:$B$1448,"645",Compta!$C$1:$C$1448,$A8)+_xlfn.SUMIFS(Compta!$F$1:$F$1448,Compta!$A$1:$A$1448,$B8,Compta!$B$1:$B$1448,"613",Compta!$C$1:$C$1448,$A8)+_xlfn.SUMIFS(Compta!$F$1:$F$1448,Compta!$A$1:$A$1448,$B8,Compta!$B$1:$B$1448,"615",Compta!$C$1:$C$1448,$A8)+_xlfn.SUMIFS(Compta!$F$1:$F$1448,Compta!$A$1:$A$1448,$B8,Compta!$B$1:$B$1448,"616",Compta!$C$1:$C$1448,$A8)+_xlfn.SUMIFS(Compta!$F$1:$F$1448,Compta!$A$1:$A$1448,$B8,Compta!$B$1:$B$1448,"625",Compta!$C$1:$C$1448,$A8)+_xlfn.SUMIFS(Compta!$F$1:$F$1448,Compta!$A$1:$A$1448,$B8,Compta!$B$1:$B$1448,"63511",Compta!$C$1:$C$1448,$A8))</f>
        <v>1386587</v>
      </c>
      <c r="AB8">
        <f>IF($A8="","",_xlfn.SUMIFS(Compta!$F$1:$F$1448,Compta!$A$1:$A$1448,"GRP",Compta!$B$1:$B$1448,"6414",Compta!$C$1:$C$1448,$A8)+_xlfn.SUMIFS(Compta!$F$1:$F$1448,Compta!$A$1:$A$1448,"GRP",Compta!$B$1:$B$1448,"6226",Compta!$C$1:$C$1448,$A8)+_xlfn.SUMIFS(Compta!$F$1:$F$1448,Compta!$A$1:$A$1448,"GRP",Compta!$B$1:$B$1448,"626",Compta!$C$1:$C$1448,$A8)+_xlfn.SUMIFS(Compta!$F$1:$F$1448,Compta!$A$1:$A$1448,"GRP",Compta!$B$1:$B$1448,"6281",Compta!$C$1:$C$1448,$A8)+_xlfn.SUMIFS(Compta!$F$1:$F$1448,Compta!$A$1:$A$1448,"GRP",Compta!$B$1:$B$1448,"6331",Compta!$C$1:$C$1448,$A8)+_xlfn.SUMIFS(Compta!$F$1:$F$1448,Compta!$A$1:$A$1448,"GRP",Compta!$B$1:$B$1448,"6333",Compta!$C$1:$C$1448,$A8))</f>
        <v>2760232</v>
      </c>
      <c r="AC8" t="s">
        <v>274</v>
      </c>
      <c r="AD8" t="s">
        <v>274</v>
      </c>
      <c r="AE8" t="s">
        <v>274</v>
      </c>
      <c r="AF8" t="s">
        <v>274</v>
      </c>
      <c r="AG8" t="s">
        <v>274</v>
      </c>
      <c r="AH8" t="s">
        <v>274</v>
      </c>
      <c r="AI8">
        <f t="shared" si="3"/>
        <v>34568.8</v>
      </c>
      <c r="AJ8">
        <f t="shared" si="4"/>
        <v>115526</v>
      </c>
      <c r="AK8">
        <f t="shared" si="5"/>
        <v>26983.0939226519</v>
      </c>
      <c r="AL8">
        <f t="shared" si="6"/>
        <v>0</v>
      </c>
      <c r="AM8">
        <f t="shared" si="7"/>
        <v>0</v>
      </c>
      <c r="AN8">
        <f t="shared" si="8"/>
        <v>387402.106077348</v>
      </c>
      <c r="AO8">
        <f>IF($A8="","",_xlfn.SUMIFS(Compta!$F$1:$F$1448,Compta!$A$1:$A$1448,"GRP",Compta!$B$1:$B$1448,"6236",Compta!$C$1:$C$1448,$A8))</f>
        <v>580167</v>
      </c>
      <c r="AP8" t="s">
        <v>274</v>
      </c>
      <c r="AQ8" t="s">
        <v>274</v>
      </c>
      <c r="AR8">
        <f t="shared" si="9"/>
        <v>0</v>
      </c>
    </row>
    <row r="9" ht="14.25" customHeight="1">
      <c r="A9" t="str">
        <f>IF(Allocation!C9="","",Allocation!C9)</f>
        <v>2025</v>
      </c>
      <c r="B9" t="str">
        <f>IF(Allocation!D9="","",Allocation!D9)</f>
        <v>MBWAY_PAR</v>
      </c>
      <c r="C9" t="str">
        <f>IF(Allocation!E9="","",Allocation!E9)</f>
        <v>MBWAY</v>
      </c>
      <c r="D9" t="str">
        <f>IF(Allocation!F9="","",Allocation!F9)</f>
        <v>BAC_MGT</v>
      </c>
      <c r="E9" t="str">
        <f>IF(Allocation!G9="","",Allocation!G9)</f>
        <v>B3</v>
      </c>
      <c r="F9" t="str">
        <f>IF(Allocation!H9="","",Allocation!H9)</f>
        <v>ALT</v>
      </c>
      <c r="G9">
        <f>IF(Allocation!D9="","",Allocation!I9)</f>
        <v>70</v>
      </c>
      <c r="H9">
        <f>IF(Allocation!D9="","",Allocation!J9)</f>
        <v>3</v>
      </c>
      <c r="I9">
        <f>IF(Allocation!D9="","",Allocation!K9)</f>
        <v>548800</v>
      </c>
      <c r="J9">
        <f>IF($A9="","",_xlfn.SUMIFS(Socle!$K$1:$K$448,Socle!$C$1:$C$448,$B9,Socle!$D$1:$D$448,$D9,Socle!$E$1:$E$448,$E9,Socle!$F$1:$F$448,$F9,Socle!$G$1:$G$448,$A9))</f>
        <v>0</v>
      </c>
      <c r="K9">
        <f t="shared" si="0"/>
        <v>1440</v>
      </c>
      <c r="L9">
        <f>IF($A9="","",_xlfn.SUMIFS(Allocation!$I$1:$I$175,Allocation!$C$1:$C$175,$A9,Allocation!$D$1:$D$175,$B9))</f>
        <v>362</v>
      </c>
      <c r="M9">
        <f>IF($A9="","",_xlfn.SUMIFS(Allocation!$J$1:$J$175,Allocation!$C$1:$C$175,$A9,Allocation!$D$1:$D$175,$B9))</f>
        <v>15</v>
      </c>
      <c r="N9">
        <f>IF($A9="","",_xlfn.SUMIFS(Allocation!$K$1:$K$175,Allocation!$C$1:$C$175,$A9,Allocation!$D$1:$D$175,$B9))</f>
        <v>2974600</v>
      </c>
      <c r="O9">
        <f t="shared" si="1"/>
        <v>7200</v>
      </c>
      <c r="P9">
        <f t="shared" si="2"/>
        <v>296</v>
      </c>
      <c r="Q9">
        <f>IF($A9="","",_xlfn.SUMIFS(Allocation!$I$1:$I$175,Allocation!$C$1:$C$175,$A9,Allocation!$E$1:$E$175,$C9))</f>
        <v>1179</v>
      </c>
      <c r="R9">
        <f>IF($A9="","",_xlfn.SUMIFS(Allocation!$J$1:$J$175,Allocation!$C$1:$C$175,$A9,Allocation!$E$1:$E$175,$C9))</f>
        <v>50</v>
      </c>
      <c r="S9">
        <f>IF($A9="","",_xlfn.SUMIFS(Allocation!$K$1:$K$175,Allocation!$C$1:$C$175,$A9,Allocation!$E$1:$E$175,$C9))</f>
        <v>9032400</v>
      </c>
      <c r="T9">
        <f>IF($A9="","",_xlfn.SUMIFS(Allocation!$I$1:$I$175,Allocation!$C$1:$C$175,$A9))</f>
        <v>2860</v>
      </c>
      <c r="U9">
        <f>IF($A9="","",_xlfn.SUMIFS(Allocation!$J$1:$J$175,Allocation!$C$1:$C$175,$A9))</f>
        <v>131</v>
      </c>
      <c r="V9">
        <f>IF($A9="","",_xlfn.SUMIFS(Allocation!$K$1:$K$175,Allocation!$C$1:$C$175,$A9))</f>
        <v>21240140</v>
      </c>
      <c r="W9">
        <f>IF($A9="","",_xlfn.SUMIFS(Compta!$F$1:$F$1448,Compta!$A$1:$A$1448,$B9,Compta!$B$1:$B$1448,"621",Compta!$C$1:$C$1448,$A9))</f>
        <v>172844</v>
      </c>
      <c r="X9">
        <f>IF($A9="","",_xlfn.SUMIFS(Compta!$F$1:$F$1448,Compta!$A$1:$A$1448,$B9,Compta!$B$1:$B$1448,"6411",Compta!$C$1:$C$1448,$A9))</f>
        <v>577630</v>
      </c>
      <c r="Y9">
        <f>IF($A9="","",_xlfn.SUMIFS(Compta!$F$1:$F$1448,Compta!$A$1:$A$1448,$B9,Compta!$B$1:$B$1448,"604",Compta!$C$1:$C$1448,$A9)+_xlfn.SUMIFS(Compta!$F$1:$F$1448,Compta!$A$1:$A$1448,$B9,Compta!$B$1:$B$1448,"6063",Compta!$C$1:$C$1448,$A9))</f>
        <v>135665</v>
      </c>
      <c r="Z9">
        <f>IF($A9="","",_xlfn.SUMIFS(Compta!$F$1:$F$1448,Compta!$A$1:$A$1448,$B9,Compta!$B$1:$B$1448,"6231",Compta!$C$1:$C$1448,$A9))</f>
        <v>62082</v>
      </c>
      <c r="AA9">
        <f>IF($A9="","",_xlfn.SUMIFS(Compta!$F$1:$F$1448,Compta!$A$1:$A$1448,$B9,Compta!$B$1:$B$1448,"6413",Compta!$C$1:$C$1448,$A9)+_xlfn.SUMIFS(Compta!$F$1:$F$1448,Compta!$A$1:$A$1448,$B9,Compta!$B$1:$B$1448,"645",Compta!$C$1:$C$1448,$A9)+_xlfn.SUMIFS(Compta!$F$1:$F$1448,Compta!$A$1:$A$1448,$B9,Compta!$B$1:$B$1448,"613",Compta!$C$1:$C$1448,$A9)+_xlfn.SUMIFS(Compta!$F$1:$F$1448,Compta!$A$1:$A$1448,$B9,Compta!$B$1:$B$1448,"615",Compta!$C$1:$C$1448,$A9)+_xlfn.SUMIFS(Compta!$F$1:$F$1448,Compta!$A$1:$A$1448,$B9,Compta!$B$1:$B$1448,"616",Compta!$C$1:$C$1448,$A9)+_xlfn.SUMIFS(Compta!$F$1:$F$1448,Compta!$A$1:$A$1448,$B9,Compta!$B$1:$B$1448,"625",Compta!$C$1:$C$1448,$A9)+_xlfn.SUMIFS(Compta!$F$1:$F$1448,Compta!$A$1:$A$1448,$B9,Compta!$B$1:$B$1448,"63511",Compta!$C$1:$C$1448,$A9))</f>
        <v>1386587</v>
      </c>
      <c r="AB9">
        <f>IF($A9="","",_xlfn.SUMIFS(Compta!$F$1:$F$1448,Compta!$A$1:$A$1448,"GRP",Compta!$B$1:$B$1448,"6414",Compta!$C$1:$C$1448,$A9)+_xlfn.SUMIFS(Compta!$F$1:$F$1448,Compta!$A$1:$A$1448,"GRP",Compta!$B$1:$B$1448,"6226",Compta!$C$1:$C$1448,$A9)+_xlfn.SUMIFS(Compta!$F$1:$F$1448,Compta!$A$1:$A$1448,"GRP",Compta!$B$1:$B$1448,"626",Compta!$C$1:$C$1448,$A9)+_xlfn.SUMIFS(Compta!$F$1:$F$1448,Compta!$A$1:$A$1448,"GRP",Compta!$B$1:$B$1448,"6281",Compta!$C$1:$C$1448,$A9)+_xlfn.SUMIFS(Compta!$F$1:$F$1448,Compta!$A$1:$A$1448,"GRP",Compta!$B$1:$B$1448,"6331",Compta!$C$1:$C$1448,$A9)+_xlfn.SUMIFS(Compta!$F$1:$F$1448,Compta!$A$1:$A$1448,"GRP",Compta!$B$1:$B$1448,"6333",Compta!$C$1:$C$1448,$A9))</f>
        <v>2760232</v>
      </c>
      <c r="AC9" t="s">
        <v>274</v>
      </c>
      <c r="AD9" t="s">
        <v>274</v>
      </c>
      <c r="AE9" t="s">
        <v>274</v>
      </c>
      <c r="AF9" t="s">
        <v>274</v>
      </c>
      <c r="AG9" t="s">
        <v>274</v>
      </c>
      <c r="AH9" t="s">
        <v>274</v>
      </c>
      <c r="AI9">
        <f t="shared" si="3"/>
        <v>34568.8</v>
      </c>
      <c r="AJ9">
        <f t="shared" si="4"/>
        <v>115526</v>
      </c>
      <c r="AK9">
        <f t="shared" si="5"/>
        <v>26233.5635359116</v>
      </c>
      <c r="AL9">
        <f t="shared" si="6"/>
        <v>0</v>
      </c>
      <c r="AM9">
        <f t="shared" si="7"/>
        <v>0</v>
      </c>
      <c r="AN9">
        <f t="shared" si="8"/>
        <v>372471.636464088</v>
      </c>
      <c r="AO9">
        <f>IF($A9="","",_xlfn.SUMIFS(Compta!$F$1:$F$1448,Compta!$A$1:$A$1448,"GRP",Compta!$B$1:$B$1448,"6236",Compta!$C$1:$C$1448,$A9))</f>
        <v>580167</v>
      </c>
      <c r="AP9" t="s">
        <v>274</v>
      </c>
      <c r="AQ9" t="s">
        <v>274</v>
      </c>
      <c r="AR9">
        <f t="shared" si="9"/>
        <v>0</v>
      </c>
    </row>
    <row r="10" ht="14.25" customHeight="1">
      <c r="A10" t="str">
        <f>IF(Allocation!C10="","",Allocation!C10)</f>
        <v>2025</v>
      </c>
      <c r="B10" t="str">
        <f>IF(Allocation!D10="","",Allocation!D10)</f>
        <v>MBWAY_PAR</v>
      </c>
      <c r="C10" t="str">
        <f>IF(Allocation!E10="","",Allocation!E10)</f>
        <v>MBWAY</v>
      </c>
      <c r="D10" t="str">
        <f>IF(Allocation!F10="","",Allocation!F10)</f>
        <v>MAS_MGT</v>
      </c>
      <c r="E10" t="str">
        <f>IF(Allocation!G10="","",Allocation!G10)</f>
        <v>M1</v>
      </c>
      <c r="F10" t="str">
        <f>IF(Allocation!H10="","",Allocation!H10)</f>
        <v>ALT</v>
      </c>
      <c r="G10">
        <f>IF(Allocation!D10="","",Allocation!I10)</f>
        <v>74</v>
      </c>
      <c r="H10">
        <f>IF(Allocation!D10="","",Allocation!J10)</f>
        <v>3</v>
      </c>
      <c r="I10">
        <f>IF(Allocation!D10="","",Allocation!K10)</f>
        <v>628260</v>
      </c>
      <c r="J10">
        <f>IF($A10="","",_xlfn.SUMIFS(Socle!$K$1:$K$448,Socle!$C$1:$C$448,$B10,Socle!$D$1:$D$448,$D10,Socle!$E$1:$E$448,$E10,Socle!$F$1:$F$448,$F10,Socle!$G$1:$G$448,$A10))</f>
        <v>148</v>
      </c>
      <c r="K10">
        <f t="shared" si="0"/>
        <v>1260</v>
      </c>
      <c r="L10">
        <f>IF($A10="","",_xlfn.SUMIFS(Allocation!$I$1:$I$175,Allocation!$C$1:$C$175,$A10,Allocation!$D$1:$D$175,$B10))</f>
        <v>362</v>
      </c>
      <c r="M10">
        <f>IF($A10="","",_xlfn.SUMIFS(Allocation!$J$1:$J$175,Allocation!$C$1:$C$175,$A10,Allocation!$D$1:$D$175,$B10))</f>
        <v>15</v>
      </c>
      <c r="N10">
        <f>IF($A10="","",_xlfn.SUMIFS(Allocation!$K$1:$K$175,Allocation!$C$1:$C$175,$A10,Allocation!$D$1:$D$175,$B10))</f>
        <v>2974600</v>
      </c>
      <c r="O10">
        <f t="shared" si="1"/>
        <v>7200</v>
      </c>
      <c r="P10">
        <f t="shared" si="2"/>
        <v>296</v>
      </c>
      <c r="Q10">
        <f>IF($A10="","",_xlfn.SUMIFS(Allocation!$I$1:$I$175,Allocation!$C$1:$C$175,$A10,Allocation!$E$1:$E$175,$C10))</f>
        <v>1179</v>
      </c>
      <c r="R10">
        <f>IF($A10="","",_xlfn.SUMIFS(Allocation!$J$1:$J$175,Allocation!$C$1:$C$175,$A10,Allocation!$E$1:$E$175,$C10))</f>
        <v>50</v>
      </c>
      <c r="S10">
        <f>IF($A10="","",_xlfn.SUMIFS(Allocation!$K$1:$K$175,Allocation!$C$1:$C$175,$A10,Allocation!$E$1:$E$175,$C10))</f>
        <v>9032400</v>
      </c>
      <c r="T10">
        <f>IF($A10="","",_xlfn.SUMIFS(Allocation!$I$1:$I$175,Allocation!$C$1:$C$175,$A10))</f>
        <v>2860</v>
      </c>
      <c r="U10">
        <f>IF($A10="","",_xlfn.SUMIFS(Allocation!$J$1:$J$175,Allocation!$C$1:$C$175,$A10))</f>
        <v>131</v>
      </c>
      <c r="V10">
        <f>IF($A10="","",_xlfn.SUMIFS(Allocation!$K$1:$K$175,Allocation!$C$1:$C$175,$A10))</f>
        <v>21240140</v>
      </c>
      <c r="W10">
        <f>IF($A10="","",_xlfn.SUMIFS(Compta!$F$1:$F$1448,Compta!$A$1:$A$1448,$B10,Compta!$B$1:$B$1448,"621",Compta!$C$1:$C$1448,$A10))</f>
        <v>172844</v>
      </c>
      <c r="X10">
        <f>IF($A10="","",_xlfn.SUMIFS(Compta!$F$1:$F$1448,Compta!$A$1:$A$1448,$B10,Compta!$B$1:$B$1448,"6411",Compta!$C$1:$C$1448,$A10))</f>
        <v>577630</v>
      </c>
      <c r="Y10">
        <f>IF($A10="","",_xlfn.SUMIFS(Compta!$F$1:$F$1448,Compta!$A$1:$A$1448,$B10,Compta!$B$1:$B$1448,"604",Compta!$C$1:$C$1448,$A10)+_xlfn.SUMIFS(Compta!$F$1:$F$1448,Compta!$A$1:$A$1448,$B10,Compta!$B$1:$B$1448,"6063",Compta!$C$1:$C$1448,$A10))</f>
        <v>135665</v>
      </c>
      <c r="Z10">
        <f>IF($A10="","",_xlfn.SUMIFS(Compta!$F$1:$F$1448,Compta!$A$1:$A$1448,$B10,Compta!$B$1:$B$1448,"6231",Compta!$C$1:$C$1448,$A10))</f>
        <v>62082</v>
      </c>
      <c r="AA10">
        <f>IF($A10="","",_xlfn.SUMIFS(Compta!$F$1:$F$1448,Compta!$A$1:$A$1448,$B10,Compta!$B$1:$B$1448,"6413",Compta!$C$1:$C$1448,$A10)+_xlfn.SUMIFS(Compta!$F$1:$F$1448,Compta!$A$1:$A$1448,$B10,Compta!$B$1:$B$1448,"645",Compta!$C$1:$C$1448,$A10)+_xlfn.SUMIFS(Compta!$F$1:$F$1448,Compta!$A$1:$A$1448,$B10,Compta!$B$1:$B$1448,"613",Compta!$C$1:$C$1448,$A10)+_xlfn.SUMIFS(Compta!$F$1:$F$1448,Compta!$A$1:$A$1448,$B10,Compta!$B$1:$B$1448,"615",Compta!$C$1:$C$1448,$A10)+_xlfn.SUMIFS(Compta!$F$1:$F$1448,Compta!$A$1:$A$1448,$B10,Compta!$B$1:$B$1448,"616",Compta!$C$1:$C$1448,$A10)+_xlfn.SUMIFS(Compta!$F$1:$F$1448,Compta!$A$1:$A$1448,$B10,Compta!$B$1:$B$1448,"625",Compta!$C$1:$C$1448,$A10)+_xlfn.SUMIFS(Compta!$F$1:$F$1448,Compta!$A$1:$A$1448,$B10,Compta!$B$1:$B$1448,"63511",Compta!$C$1:$C$1448,$A10))</f>
        <v>1386587</v>
      </c>
      <c r="AB10">
        <f>IF($A10="","",_xlfn.SUMIFS(Compta!$F$1:$F$1448,Compta!$A$1:$A$1448,"GRP",Compta!$B$1:$B$1448,"6414",Compta!$C$1:$C$1448,$A10)+_xlfn.SUMIFS(Compta!$F$1:$F$1448,Compta!$A$1:$A$1448,"GRP",Compta!$B$1:$B$1448,"6226",Compta!$C$1:$C$1448,$A10)+_xlfn.SUMIFS(Compta!$F$1:$F$1448,Compta!$A$1:$A$1448,"GRP",Compta!$B$1:$B$1448,"626",Compta!$C$1:$C$1448,$A10)+_xlfn.SUMIFS(Compta!$F$1:$F$1448,Compta!$A$1:$A$1448,"GRP",Compta!$B$1:$B$1448,"6281",Compta!$C$1:$C$1448,$A10)+_xlfn.SUMIFS(Compta!$F$1:$F$1448,Compta!$A$1:$A$1448,"GRP",Compta!$B$1:$B$1448,"6331",Compta!$C$1:$C$1448,$A10)+_xlfn.SUMIFS(Compta!$F$1:$F$1448,Compta!$A$1:$A$1448,"GRP",Compta!$B$1:$B$1448,"6333",Compta!$C$1:$C$1448,$A10))</f>
        <v>2760232</v>
      </c>
      <c r="AC10" t="s">
        <v>274</v>
      </c>
      <c r="AD10" t="s">
        <v>274</v>
      </c>
      <c r="AE10" t="s">
        <v>274</v>
      </c>
      <c r="AF10" t="s">
        <v>274</v>
      </c>
      <c r="AG10" t="s">
        <v>274</v>
      </c>
      <c r="AH10" t="s">
        <v>274</v>
      </c>
      <c r="AI10">
        <f t="shared" si="3"/>
        <v>30247.7</v>
      </c>
      <c r="AJ10">
        <f t="shared" si="4"/>
        <v>101085.25</v>
      </c>
      <c r="AK10">
        <f t="shared" si="5"/>
        <v>58773.6243093923</v>
      </c>
      <c r="AL10">
        <f t="shared" si="6"/>
        <v>0</v>
      </c>
      <c r="AM10">
        <f t="shared" si="7"/>
        <v>0</v>
      </c>
      <c r="AN10">
        <f t="shared" si="8"/>
        <v>438153.425690608</v>
      </c>
      <c r="AO10">
        <f>IF($A10="","",_xlfn.SUMIFS(Compta!$F$1:$F$1448,Compta!$A$1:$A$1448,"GRP",Compta!$B$1:$B$1448,"6236",Compta!$C$1:$C$1448,$A10))</f>
        <v>580167</v>
      </c>
      <c r="AP10" t="s">
        <v>274</v>
      </c>
      <c r="AQ10" t="s">
        <v>274</v>
      </c>
      <c r="AR10">
        <f t="shared" si="9"/>
        <v>0</v>
      </c>
    </row>
    <row r="11" ht="14.25" customHeight="1">
      <c r="A11" t="str">
        <f>IF(Allocation!C11="","",Allocation!C11)</f>
        <v>2025</v>
      </c>
      <c r="B11" t="str">
        <f>IF(Allocation!D11="","",Allocation!D11)</f>
        <v>MBWAY_PAR</v>
      </c>
      <c r="C11" t="str">
        <f>IF(Allocation!E11="","",Allocation!E11)</f>
        <v>MBWAY</v>
      </c>
      <c r="D11" t="str">
        <f>IF(Allocation!F11="","",Allocation!F11)</f>
        <v>MAS_MGT</v>
      </c>
      <c r="E11" t="str">
        <f>IF(Allocation!G11="","",Allocation!G11)</f>
        <v>M2</v>
      </c>
      <c r="F11" t="str">
        <f>IF(Allocation!H11="","",Allocation!H11)</f>
        <v>ALT</v>
      </c>
      <c r="G11">
        <f>IF(Allocation!D11="","",Allocation!I11)</f>
        <v>72</v>
      </c>
      <c r="H11">
        <f>IF(Allocation!D11="","",Allocation!J11)</f>
        <v>3</v>
      </c>
      <c r="I11">
        <f>IF(Allocation!D11="","",Allocation!K11)</f>
        <v>604800</v>
      </c>
      <c r="J11">
        <f>IF($A11="","",_xlfn.SUMIFS(Socle!$K$1:$K$448,Socle!$C$1:$C$448,$B11,Socle!$D$1:$D$448,$D11,Socle!$E$1:$E$448,$E11,Socle!$F$1:$F$448,$F11,Socle!$G$1:$G$448,$A11))</f>
        <v>0</v>
      </c>
      <c r="K11">
        <f t="shared" si="0"/>
        <v>1260</v>
      </c>
      <c r="L11">
        <f>IF($A11="","",_xlfn.SUMIFS(Allocation!$I$1:$I$175,Allocation!$C$1:$C$175,$A11,Allocation!$D$1:$D$175,$B11))</f>
        <v>362</v>
      </c>
      <c r="M11">
        <f>IF($A11="","",_xlfn.SUMIFS(Allocation!$J$1:$J$175,Allocation!$C$1:$C$175,$A11,Allocation!$D$1:$D$175,$B11))</f>
        <v>15</v>
      </c>
      <c r="N11">
        <f>IF($A11="","",_xlfn.SUMIFS(Allocation!$K$1:$K$175,Allocation!$C$1:$C$175,$A11,Allocation!$D$1:$D$175,$B11))</f>
        <v>2974600</v>
      </c>
      <c r="O11">
        <f t="shared" si="1"/>
        <v>7200</v>
      </c>
      <c r="P11">
        <f t="shared" si="2"/>
        <v>296</v>
      </c>
      <c r="Q11">
        <f>IF($A11="","",_xlfn.SUMIFS(Allocation!$I$1:$I$175,Allocation!$C$1:$C$175,$A11,Allocation!$E$1:$E$175,$C11))</f>
        <v>1179</v>
      </c>
      <c r="R11">
        <f>IF($A11="","",_xlfn.SUMIFS(Allocation!$J$1:$J$175,Allocation!$C$1:$C$175,$A11,Allocation!$E$1:$E$175,$C11))</f>
        <v>50</v>
      </c>
      <c r="S11">
        <f>IF($A11="","",_xlfn.SUMIFS(Allocation!$K$1:$K$175,Allocation!$C$1:$C$175,$A11,Allocation!$E$1:$E$175,$C11))</f>
        <v>9032400</v>
      </c>
      <c r="T11">
        <f>IF($A11="","",_xlfn.SUMIFS(Allocation!$I$1:$I$175,Allocation!$C$1:$C$175,$A11))</f>
        <v>2860</v>
      </c>
      <c r="U11">
        <f>IF($A11="","",_xlfn.SUMIFS(Allocation!$J$1:$J$175,Allocation!$C$1:$C$175,$A11))</f>
        <v>131</v>
      </c>
      <c r="V11">
        <f>IF($A11="","",_xlfn.SUMIFS(Allocation!$K$1:$K$175,Allocation!$C$1:$C$175,$A11))</f>
        <v>21240140</v>
      </c>
      <c r="W11">
        <f>IF($A11="","",_xlfn.SUMIFS(Compta!$F$1:$F$1448,Compta!$A$1:$A$1448,$B11,Compta!$B$1:$B$1448,"621",Compta!$C$1:$C$1448,$A11))</f>
        <v>172844</v>
      </c>
      <c r="X11">
        <f>IF($A11="","",_xlfn.SUMIFS(Compta!$F$1:$F$1448,Compta!$A$1:$A$1448,$B11,Compta!$B$1:$B$1448,"6411",Compta!$C$1:$C$1448,$A11))</f>
        <v>577630</v>
      </c>
      <c r="Y11">
        <f>IF($A11="","",_xlfn.SUMIFS(Compta!$F$1:$F$1448,Compta!$A$1:$A$1448,$B11,Compta!$B$1:$B$1448,"604",Compta!$C$1:$C$1448,$A11)+_xlfn.SUMIFS(Compta!$F$1:$F$1448,Compta!$A$1:$A$1448,$B11,Compta!$B$1:$B$1448,"6063",Compta!$C$1:$C$1448,$A11))</f>
        <v>135665</v>
      </c>
      <c r="Z11">
        <f>IF($A11="","",_xlfn.SUMIFS(Compta!$F$1:$F$1448,Compta!$A$1:$A$1448,$B11,Compta!$B$1:$B$1448,"6231",Compta!$C$1:$C$1448,$A11))</f>
        <v>62082</v>
      </c>
      <c r="AA11">
        <f>IF($A11="","",_xlfn.SUMIFS(Compta!$F$1:$F$1448,Compta!$A$1:$A$1448,$B11,Compta!$B$1:$B$1448,"6413",Compta!$C$1:$C$1448,$A11)+_xlfn.SUMIFS(Compta!$F$1:$F$1448,Compta!$A$1:$A$1448,$B11,Compta!$B$1:$B$1448,"645",Compta!$C$1:$C$1448,$A11)+_xlfn.SUMIFS(Compta!$F$1:$F$1448,Compta!$A$1:$A$1448,$B11,Compta!$B$1:$B$1448,"613",Compta!$C$1:$C$1448,$A11)+_xlfn.SUMIFS(Compta!$F$1:$F$1448,Compta!$A$1:$A$1448,$B11,Compta!$B$1:$B$1448,"615",Compta!$C$1:$C$1448,$A11)+_xlfn.SUMIFS(Compta!$F$1:$F$1448,Compta!$A$1:$A$1448,$B11,Compta!$B$1:$B$1448,"616",Compta!$C$1:$C$1448,$A11)+_xlfn.SUMIFS(Compta!$F$1:$F$1448,Compta!$A$1:$A$1448,$B11,Compta!$B$1:$B$1448,"625",Compta!$C$1:$C$1448,$A11)+_xlfn.SUMIFS(Compta!$F$1:$F$1448,Compta!$A$1:$A$1448,$B11,Compta!$B$1:$B$1448,"63511",Compta!$C$1:$C$1448,$A11))</f>
        <v>1386587</v>
      </c>
      <c r="AB11">
        <f>IF($A11="","",_xlfn.SUMIFS(Compta!$F$1:$F$1448,Compta!$A$1:$A$1448,"GRP",Compta!$B$1:$B$1448,"6414",Compta!$C$1:$C$1448,$A11)+_xlfn.SUMIFS(Compta!$F$1:$F$1448,Compta!$A$1:$A$1448,"GRP",Compta!$B$1:$B$1448,"6226",Compta!$C$1:$C$1448,$A11)+_xlfn.SUMIFS(Compta!$F$1:$F$1448,Compta!$A$1:$A$1448,"GRP",Compta!$B$1:$B$1448,"626",Compta!$C$1:$C$1448,$A11)+_xlfn.SUMIFS(Compta!$F$1:$F$1448,Compta!$A$1:$A$1448,"GRP",Compta!$B$1:$B$1448,"6281",Compta!$C$1:$C$1448,$A11)+_xlfn.SUMIFS(Compta!$F$1:$F$1448,Compta!$A$1:$A$1448,"GRP",Compta!$B$1:$B$1448,"6331",Compta!$C$1:$C$1448,$A11)+_xlfn.SUMIFS(Compta!$F$1:$F$1448,Compta!$A$1:$A$1448,"GRP",Compta!$B$1:$B$1448,"6333",Compta!$C$1:$C$1448,$A11))</f>
        <v>2760232</v>
      </c>
      <c r="AC11" t="s">
        <v>274</v>
      </c>
      <c r="AD11" t="s">
        <v>274</v>
      </c>
      <c r="AE11" t="s">
        <v>274</v>
      </c>
      <c r="AF11" t="s">
        <v>274</v>
      </c>
      <c r="AG11" t="s">
        <v>274</v>
      </c>
      <c r="AH11" t="s">
        <v>274</v>
      </c>
      <c r="AI11">
        <f t="shared" si="3"/>
        <v>30247.7</v>
      </c>
      <c r="AJ11">
        <f t="shared" si="4"/>
        <v>101085.25</v>
      </c>
      <c r="AK11">
        <f t="shared" si="5"/>
        <v>26983.0939226519</v>
      </c>
      <c r="AL11">
        <f t="shared" si="6"/>
        <v>0</v>
      </c>
      <c r="AM11">
        <f t="shared" si="7"/>
        <v>0</v>
      </c>
      <c r="AN11">
        <f t="shared" si="8"/>
        <v>446483.956077348</v>
      </c>
      <c r="AO11">
        <f>IF($A11="","",_xlfn.SUMIFS(Compta!$F$1:$F$1448,Compta!$A$1:$A$1448,"GRP",Compta!$B$1:$B$1448,"6236",Compta!$C$1:$C$1448,$A11))</f>
        <v>580167</v>
      </c>
      <c r="AP11" t="s">
        <v>274</v>
      </c>
      <c r="AQ11" t="s">
        <v>274</v>
      </c>
      <c r="AR11">
        <f t="shared" si="9"/>
        <v>0</v>
      </c>
    </row>
    <row r="12" ht="14.25" customHeight="1">
      <c r="A12" t="str">
        <f>IF(Allocation!C12="","",Allocation!C12)</f>
        <v>2024</v>
      </c>
      <c r="B12" t="str">
        <f>IF(Allocation!D12="","",Allocation!D12)</f>
        <v>MBWAY_PAR</v>
      </c>
      <c r="C12" t="str">
        <f>IF(Allocation!E12="","",Allocation!E12)</f>
        <v>MBWAY</v>
      </c>
      <c r="D12" t="str">
        <f>IF(Allocation!F12="","",Allocation!F12)</f>
        <v>BAC_MGT</v>
      </c>
      <c r="E12" t="str">
        <f>IF(Allocation!G12="","",Allocation!G12)</f>
        <v>B1</v>
      </c>
      <c r="F12" t="str">
        <f>IF(Allocation!H12="","",Allocation!H12)</f>
        <v>INIT</v>
      </c>
      <c r="G12">
        <f>IF(Allocation!D12="","",Allocation!I12)</f>
        <v>69</v>
      </c>
      <c r="H12">
        <f>IF(Allocation!D12="","",Allocation!J12)</f>
        <v>3</v>
      </c>
      <c r="I12">
        <f>IF(Allocation!D12="","",Allocation!K12)</f>
        <v>585810</v>
      </c>
      <c r="J12">
        <f>IF($A12="","",_xlfn.SUMIFS(Socle!$K$1:$K$448,Socle!$C$1:$C$448,$B12,Socle!$D$1:$D$448,$D12,Socle!$E$1:$E$448,$E12,Socle!$F$1:$F$448,$F12,Socle!$G$1:$G$448,$A12))</f>
        <v>138</v>
      </c>
      <c r="K12">
        <f t="shared" si="0"/>
        <v>1800</v>
      </c>
      <c r="L12">
        <f>IF($A12="","",_xlfn.SUMIFS(Allocation!$I$1:$I$175,Allocation!$C$1:$C$175,$A12,Allocation!$D$1:$D$175,$B12))</f>
        <v>340</v>
      </c>
      <c r="M12">
        <f>IF($A12="","",_xlfn.SUMIFS(Allocation!$J$1:$J$175,Allocation!$C$1:$C$175,$A12,Allocation!$D$1:$D$175,$B12))</f>
        <v>15</v>
      </c>
      <c r="N12">
        <f>IF($A12="","",_xlfn.SUMIFS(Allocation!$K$1:$K$175,Allocation!$C$1:$C$175,$A12,Allocation!$D$1:$D$175,$B12))</f>
        <v>2793380</v>
      </c>
      <c r="O12">
        <f t="shared" si="1"/>
        <v>7200</v>
      </c>
      <c r="P12">
        <f t="shared" si="2"/>
        <v>276</v>
      </c>
      <c r="Q12">
        <f>IF($A12="","",_xlfn.SUMIFS(Allocation!$I$1:$I$175,Allocation!$C$1:$C$175,$A12,Allocation!$E$1:$E$175,$C12))</f>
        <v>1112</v>
      </c>
      <c r="R12">
        <f>IF($A12="","",_xlfn.SUMIFS(Allocation!$J$1:$J$175,Allocation!$C$1:$C$175,$A12,Allocation!$E$1:$E$175,$C12))</f>
        <v>50</v>
      </c>
      <c r="S12">
        <f>IF($A12="","",_xlfn.SUMIFS(Allocation!$K$1:$K$175,Allocation!$C$1:$C$175,$A12,Allocation!$E$1:$E$175,$C12))</f>
        <v>8517270</v>
      </c>
      <c r="T12">
        <f>IF($A12="","",_xlfn.SUMIFS(Allocation!$I$1:$I$175,Allocation!$C$1:$C$175,$A12))</f>
        <v>2704</v>
      </c>
      <c r="U12">
        <f>IF($A12="","",_xlfn.SUMIFS(Allocation!$J$1:$J$175,Allocation!$C$1:$C$175,$A12))</f>
        <v>131</v>
      </c>
      <c r="V12">
        <f>IF($A12="","",_xlfn.SUMIFS(Allocation!$K$1:$K$175,Allocation!$C$1:$C$175,$A12))</f>
        <v>20076860</v>
      </c>
      <c r="W12">
        <f>IF($A12="","",_xlfn.SUMIFS(Compta!$F$1:$F$1448,Compta!$A$1:$A$1448,$B12,Compta!$B$1:$B$1448,"621",Compta!$C$1:$C$1448,$A12))</f>
        <v>165271</v>
      </c>
      <c r="X12">
        <f>IF($A12="","",_xlfn.SUMIFS(Compta!$F$1:$F$1448,Compta!$A$1:$A$1448,$B12,Compta!$B$1:$B$1448,"6411",Compta!$C$1:$C$1448,$A12))</f>
        <v>552322</v>
      </c>
      <c r="Y12">
        <f>IF($A12="","",_xlfn.SUMIFS(Compta!$F$1:$F$1448,Compta!$A$1:$A$1448,$B12,Compta!$B$1:$B$1448,"604",Compta!$C$1:$C$1448,$A12)+_xlfn.SUMIFS(Compta!$F$1:$F$1448,Compta!$A$1:$A$1448,$B12,Compta!$B$1:$B$1448,"6063",Compta!$C$1:$C$1448,$A12))</f>
        <v>129720</v>
      </c>
      <c r="Z12">
        <f>IF($A12="","",_xlfn.SUMIFS(Compta!$F$1:$F$1448,Compta!$A$1:$A$1448,$B12,Compta!$B$1:$B$1448,"6231",Compta!$C$1:$C$1448,$A12))</f>
        <v>56438</v>
      </c>
      <c r="AA12">
        <f>IF($A12="","",_xlfn.SUMIFS(Compta!$F$1:$F$1448,Compta!$A$1:$A$1448,$B12,Compta!$B$1:$B$1448,"6413",Compta!$C$1:$C$1448,$A12)+_xlfn.SUMIFS(Compta!$F$1:$F$1448,Compta!$A$1:$A$1448,$B12,Compta!$B$1:$B$1448,"645",Compta!$C$1:$C$1448,$A12)+_xlfn.SUMIFS(Compta!$F$1:$F$1448,Compta!$A$1:$A$1448,$B12,Compta!$B$1:$B$1448,"613",Compta!$C$1:$C$1448,$A12)+_xlfn.SUMIFS(Compta!$F$1:$F$1448,Compta!$A$1:$A$1448,$B12,Compta!$B$1:$B$1448,"615",Compta!$C$1:$C$1448,$A12)+_xlfn.SUMIFS(Compta!$F$1:$F$1448,Compta!$A$1:$A$1448,$B12,Compta!$B$1:$B$1448,"616",Compta!$C$1:$C$1448,$A12)+_xlfn.SUMIFS(Compta!$F$1:$F$1448,Compta!$A$1:$A$1448,$B12,Compta!$B$1:$B$1448,"625",Compta!$C$1:$C$1448,$A12)+_xlfn.SUMIFS(Compta!$F$1:$F$1448,Compta!$A$1:$A$1448,$B12,Compta!$B$1:$B$1448,"63511",Compta!$C$1:$C$1448,$A12))</f>
        <v>1325834</v>
      </c>
      <c r="AB12">
        <f>IF($A12="","",_xlfn.SUMIFS(Compta!$F$1:$F$1448,Compta!$A$1:$A$1448,"GRP",Compta!$B$1:$B$1448,"6414",Compta!$C$1:$C$1448,$A12)+_xlfn.SUMIFS(Compta!$F$1:$F$1448,Compta!$A$1:$A$1448,"GRP",Compta!$B$1:$B$1448,"6226",Compta!$C$1:$C$1448,$A12)+_xlfn.SUMIFS(Compta!$F$1:$F$1448,Compta!$A$1:$A$1448,"GRP",Compta!$B$1:$B$1448,"626",Compta!$C$1:$C$1448,$A12)+_xlfn.SUMIFS(Compta!$F$1:$F$1448,Compta!$A$1:$A$1448,"GRP",Compta!$B$1:$B$1448,"6281",Compta!$C$1:$C$1448,$A12)+_xlfn.SUMIFS(Compta!$F$1:$F$1448,Compta!$A$1:$A$1448,"GRP",Compta!$B$1:$B$1448,"6331",Compta!$C$1:$C$1448,$A12)+_xlfn.SUMIFS(Compta!$F$1:$F$1448,Compta!$A$1:$A$1448,"GRP",Compta!$B$1:$B$1448,"6333",Compta!$C$1:$C$1448,$A12))</f>
        <v>2639292</v>
      </c>
      <c r="AC12" t="s">
        <v>274</v>
      </c>
      <c r="AD12" t="s">
        <v>274</v>
      </c>
      <c r="AE12" t="s">
        <v>274</v>
      </c>
      <c r="AF12" t="s">
        <v>274</v>
      </c>
      <c r="AG12" t="s">
        <v>274</v>
      </c>
      <c r="AH12" t="s">
        <v>274</v>
      </c>
      <c r="AI12">
        <f t="shared" si="3"/>
        <v>41317.75</v>
      </c>
      <c r="AJ12">
        <f t="shared" si="4"/>
        <v>138080.5</v>
      </c>
      <c r="AK12">
        <f t="shared" si="5"/>
        <v>54544.5294117647</v>
      </c>
      <c r="AL12">
        <f t="shared" si="6"/>
        <v>0</v>
      </c>
      <c r="AM12">
        <f t="shared" si="7"/>
        <v>0</v>
      </c>
      <c r="AN12">
        <f t="shared" si="8"/>
        <v>351867.220588235</v>
      </c>
      <c r="AO12">
        <f>IF($A12="","",_xlfn.SUMIFS(Compta!$F$1:$F$1448,Compta!$A$1:$A$1448,"GRP",Compta!$B$1:$B$1448,"6236",Compta!$C$1:$C$1448,$A12))</f>
        <v>499926</v>
      </c>
      <c r="AP12" t="s">
        <v>274</v>
      </c>
      <c r="AQ12" t="s">
        <v>274</v>
      </c>
      <c r="AR12">
        <f t="shared" si="9"/>
        <v>0</v>
      </c>
    </row>
    <row r="13" ht="14.25" customHeight="1">
      <c r="A13" t="str">
        <f>IF(Allocation!C13="","",Allocation!C13)</f>
        <v>2024</v>
      </c>
      <c r="B13" t="str">
        <f>IF(Allocation!D13="","",Allocation!D13)</f>
        <v>MBWAY_PAR</v>
      </c>
      <c r="C13" t="str">
        <f>IF(Allocation!E13="","",Allocation!E13)</f>
        <v>MBWAY</v>
      </c>
      <c r="D13" t="str">
        <f>IF(Allocation!F13="","",Allocation!F13)</f>
        <v>BAC_MGT</v>
      </c>
      <c r="E13" t="str">
        <f>IF(Allocation!G13="","",Allocation!G13)</f>
        <v>B2</v>
      </c>
      <c r="F13" t="str">
        <f>IF(Allocation!H13="","",Allocation!H13)</f>
        <v>ALT</v>
      </c>
      <c r="G13">
        <f>IF(Allocation!D13="","",Allocation!I13)</f>
        <v>68</v>
      </c>
      <c r="H13">
        <f>IF(Allocation!D13="","",Allocation!J13)</f>
        <v>3</v>
      </c>
      <c r="I13">
        <f>IF(Allocation!D13="","",Allocation!K13)</f>
        <v>533120</v>
      </c>
      <c r="J13">
        <f>IF($A13="","",_xlfn.SUMIFS(Socle!$K$1:$K$448,Socle!$C$1:$C$448,$B13,Socle!$D$1:$D$448,$D13,Socle!$E$1:$E$448,$E13,Socle!$F$1:$F$448,$F13,Socle!$G$1:$G$448,$A13))</f>
        <v>0</v>
      </c>
      <c r="K13">
        <f t="shared" si="0"/>
        <v>1440</v>
      </c>
      <c r="L13">
        <f>IF($A13="","",_xlfn.SUMIFS(Allocation!$I$1:$I$175,Allocation!$C$1:$C$175,$A13,Allocation!$D$1:$D$175,$B13))</f>
        <v>340</v>
      </c>
      <c r="M13">
        <f>IF($A13="","",_xlfn.SUMIFS(Allocation!$J$1:$J$175,Allocation!$C$1:$C$175,$A13,Allocation!$D$1:$D$175,$B13))</f>
        <v>15</v>
      </c>
      <c r="N13">
        <f>IF($A13="","",_xlfn.SUMIFS(Allocation!$K$1:$K$175,Allocation!$C$1:$C$175,$A13,Allocation!$D$1:$D$175,$B13))</f>
        <v>2793380</v>
      </c>
      <c r="O13">
        <f t="shared" si="1"/>
        <v>7200</v>
      </c>
      <c r="P13">
        <f t="shared" si="2"/>
        <v>276</v>
      </c>
      <c r="Q13">
        <f>IF($A13="","",_xlfn.SUMIFS(Allocation!$I$1:$I$175,Allocation!$C$1:$C$175,$A13,Allocation!$E$1:$E$175,$C13))</f>
        <v>1112</v>
      </c>
      <c r="R13">
        <f>IF($A13="","",_xlfn.SUMIFS(Allocation!$J$1:$J$175,Allocation!$C$1:$C$175,$A13,Allocation!$E$1:$E$175,$C13))</f>
        <v>50</v>
      </c>
      <c r="S13">
        <f>IF($A13="","",_xlfn.SUMIFS(Allocation!$K$1:$K$175,Allocation!$C$1:$C$175,$A13,Allocation!$E$1:$E$175,$C13))</f>
        <v>8517270</v>
      </c>
      <c r="T13">
        <f>IF($A13="","",_xlfn.SUMIFS(Allocation!$I$1:$I$175,Allocation!$C$1:$C$175,$A13))</f>
        <v>2704</v>
      </c>
      <c r="U13">
        <f>IF($A13="","",_xlfn.SUMIFS(Allocation!$J$1:$J$175,Allocation!$C$1:$C$175,$A13))</f>
        <v>131</v>
      </c>
      <c r="V13">
        <f>IF($A13="","",_xlfn.SUMIFS(Allocation!$K$1:$K$175,Allocation!$C$1:$C$175,$A13))</f>
        <v>20076860</v>
      </c>
      <c r="W13">
        <f>IF($A13="","",_xlfn.SUMIFS(Compta!$F$1:$F$1448,Compta!$A$1:$A$1448,$B13,Compta!$B$1:$B$1448,"621",Compta!$C$1:$C$1448,$A13))</f>
        <v>165271</v>
      </c>
      <c r="X13">
        <f>IF($A13="","",_xlfn.SUMIFS(Compta!$F$1:$F$1448,Compta!$A$1:$A$1448,$B13,Compta!$B$1:$B$1448,"6411",Compta!$C$1:$C$1448,$A13))</f>
        <v>552322</v>
      </c>
      <c r="Y13">
        <f>IF($A13="","",_xlfn.SUMIFS(Compta!$F$1:$F$1448,Compta!$A$1:$A$1448,$B13,Compta!$B$1:$B$1448,"604",Compta!$C$1:$C$1448,$A13)+_xlfn.SUMIFS(Compta!$F$1:$F$1448,Compta!$A$1:$A$1448,$B13,Compta!$B$1:$B$1448,"6063",Compta!$C$1:$C$1448,$A13))</f>
        <v>129720</v>
      </c>
      <c r="Z13">
        <f>IF($A13="","",_xlfn.SUMIFS(Compta!$F$1:$F$1448,Compta!$A$1:$A$1448,$B13,Compta!$B$1:$B$1448,"6231",Compta!$C$1:$C$1448,$A13))</f>
        <v>56438</v>
      </c>
      <c r="AA13">
        <f>IF($A13="","",_xlfn.SUMIFS(Compta!$F$1:$F$1448,Compta!$A$1:$A$1448,$B13,Compta!$B$1:$B$1448,"6413",Compta!$C$1:$C$1448,$A13)+_xlfn.SUMIFS(Compta!$F$1:$F$1448,Compta!$A$1:$A$1448,$B13,Compta!$B$1:$B$1448,"645",Compta!$C$1:$C$1448,$A13)+_xlfn.SUMIFS(Compta!$F$1:$F$1448,Compta!$A$1:$A$1448,$B13,Compta!$B$1:$B$1448,"613",Compta!$C$1:$C$1448,$A13)+_xlfn.SUMIFS(Compta!$F$1:$F$1448,Compta!$A$1:$A$1448,$B13,Compta!$B$1:$B$1448,"615",Compta!$C$1:$C$1448,$A13)+_xlfn.SUMIFS(Compta!$F$1:$F$1448,Compta!$A$1:$A$1448,$B13,Compta!$B$1:$B$1448,"616",Compta!$C$1:$C$1448,$A13)+_xlfn.SUMIFS(Compta!$F$1:$F$1448,Compta!$A$1:$A$1448,$B13,Compta!$B$1:$B$1448,"625",Compta!$C$1:$C$1448,$A13)+_xlfn.SUMIFS(Compta!$F$1:$F$1448,Compta!$A$1:$A$1448,$B13,Compta!$B$1:$B$1448,"63511",Compta!$C$1:$C$1448,$A13))</f>
        <v>1325834</v>
      </c>
      <c r="AB13">
        <f>IF($A13="","",_xlfn.SUMIFS(Compta!$F$1:$F$1448,Compta!$A$1:$A$1448,"GRP",Compta!$B$1:$B$1448,"6414",Compta!$C$1:$C$1448,$A13)+_xlfn.SUMIFS(Compta!$F$1:$F$1448,Compta!$A$1:$A$1448,"GRP",Compta!$B$1:$B$1448,"6226",Compta!$C$1:$C$1448,$A13)+_xlfn.SUMIFS(Compta!$F$1:$F$1448,Compta!$A$1:$A$1448,"GRP",Compta!$B$1:$B$1448,"626",Compta!$C$1:$C$1448,$A13)+_xlfn.SUMIFS(Compta!$F$1:$F$1448,Compta!$A$1:$A$1448,"GRP",Compta!$B$1:$B$1448,"6281",Compta!$C$1:$C$1448,$A13)+_xlfn.SUMIFS(Compta!$F$1:$F$1448,Compta!$A$1:$A$1448,"GRP",Compta!$B$1:$B$1448,"6331",Compta!$C$1:$C$1448,$A13)+_xlfn.SUMIFS(Compta!$F$1:$F$1448,Compta!$A$1:$A$1448,"GRP",Compta!$B$1:$B$1448,"6333",Compta!$C$1:$C$1448,$A13))</f>
        <v>2639292</v>
      </c>
      <c r="AC13" t="s">
        <v>274</v>
      </c>
      <c r="AD13" t="s">
        <v>274</v>
      </c>
      <c r="AE13" t="s">
        <v>274</v>
      </c>
      <c r="AF13" t="s">
        <v>274</v>
      </c>
      <c r="AG13" t="s">
        <v>274</v>
      </c>
      <c r="AH13" t="s">
        <v>274</v>
      </c>
      <c r="AI13">
        <f t="shared" si="3"/>
        <v>33054.2</v>
      </c>
      <c r="AJ13">
        <f t="shared" si="4"/>
        <v>110464.4</v>
      </c>
      <c r="AK13">
        <f t="shared" si="5"/>
        <v>25944</v>
      </c>
      <c r="AL13">
        <f t="shared" si="6"/>
        <v>0</v>
      </c>
      <c r="AM13">
        <f t="shared" si="7"/>
        <v>0</v>
      </c>
      <c r="AN13">
        <f t="shared" si="8"/>
        <v>363657.4</v>
      </c>
      <c r="AO13">
        <f>IF($A13="","",_xlfn.SUMIFS(Compta!$F$1:$F$1448,Compta!$A$1:$A$1448,"GRP",Compta!$B$1:$B$1448,"6236",Compta!$C$1:$C$1448,$A13))</f>
        <v>499926</v>
      </c>
      <c r="AP13" t="s">
        <v>274</v>
      </c>
      <c r="AQ13" t="s">
        <v>274</v>
      </c>
      <c r="AR13">
        <f t="shared" si="9"/>
        <v>0</v>
      </c>
    </row>
    <row r="14" ht="14.25" customHeight="1">
      <c r="A14" t="str">
        <f>IF(Allocation!C14="","",Allocation!C14)</f>
        <v>2024</v>
      </c>
      <c r="B14" t="str">
        <f>IF(Allocation!D14="","",Allocation!D14)</f>
        <v>MBWAY_PAR</v>
      </c>
      <c r="C14" t="str">
        <f>IF(Allocation!E14="","",Allocation!E14)</f>
        <v>MBWAY</v>
      </c>
      <c r="D14" t="str">
        <f>IF(Allocation!F14="","",Allocation!F14)</f>
        <v>BAC_MGT</v>
      </c>
      <c r="E14" t="str">
        <f>IF(Allocation!G14="","",Allocation!G14)</f>
        <v>B3</v>
      </c>
      <c r="F14" t="str">
        <f>IF(Allocation!H14="","",Allocation!H14)</f>
        <v>ALT</v>
      </c>
      <c r="G14">
        <f>IF(Allocation!D14="","",Allocation!I14)</f>
        <v>66</v>
      </c>
      <c r="H14">
        <f>IF(Allocation!D14="","",Allocation!J14)</f>
        <v>3</v>
      </c>
      <c r="I14">
        <f>IF(Allocation!D14="","",Allocation!K14)</f>
        <v>517440</v>
      </c>
      <c r="J14">
        <f>IF($A14="","",_xlfn.SUMIFS(Socle!$K$1:$K$448,Socle!$C$1:$C$448,$B14,Socle!$D$1:$D$448,$D14,Socle!$E$1:$E$448,$E14,Socle!$F$1:$F$448,$F14,Socle!$G$1:$G$448,$A14))</f>
        <v>0</v>
      </c>
      <c r="K14">
        <f t="shared" si="0"/>
        <v>1440</v>
      </c>
      <c r="L14">
        <f>IF($A14="","",_xlfn.SUMIFS(Allocation!$I$1:$I$175,Allocation!$C$1:$C$175,$A14,Allocation!$D$1:$D$175,$B14))</f>
        <v>340</v>
      </c>
      <c r="M14">
        <f>IF($A14="","",_xlfn.SUMIFS(Allocation!$J$1:$J$175,Allocation!$C$1:$C$175,$A14,Allocation!$D$1:$D$175,$B14))</f>
        <v>15</v>
      </c>
      <c r="N14">
        <f>IF($A14="","",_xlfn.SUMIFS(Allocation!$K$1:$K$175,Allocation!$C$1:$C$175,$A14,Allocation!$D$1:$D$175,$B14))</f>
        <v>2793380</v>
      </c>
      <c r="O14">
        <f t="shared" si="1"/>
        <v>7200</v>
      </c>
      <c r="P14">
        <f t="shared" si="2"/>
        <v>276</v>
      </c>
      <c r="Q14">
        <f>IF($A14="","",_xlfn.SUMIFS(Allocation!$I$1:$I$175,Allocation!$C$1:$C$175,$A14,Allocation!$E$1:$E$175,$C14))</f>
        <v>1112</v>
      </c>
      <c r="R14">
        <f>IF($A14="","",_xlfn.SUMIFS(Allocation!$J$1:$J$175,Allocation!$C$1:$C$175,$A14,Allocation!$E$1:$E$175,$C14))</f>
        <v>50</v>
      </c>
      <c r="S14">
        <f>IF($A14="","",_xlfn.SUMIFS(Allocation!$K$1:$K$175,Allocation!$C$1:$C$175,$A14,Allocation!$E$1:$E$175,$C14))</f>
        <v>8517270</v>
      </c>
      <c r="T14">
        <f>IF($A14="","",_xlfn.SUMIFS(Allocation!$I$1:$I$175,Allocation!$C$1:$C$175,$A14))</f>
        <v>2704</v>
      </c>
      <c r="U14">
        <f>IF($A14="","",_xlfn.SUMIFS(Allocation!$J$1:$J$175,Allocation!$C$1:$C$175,$A14))</f>
        <v>131</v>
      </c>
      <c r="V14">
        <f>IF($A14="","",_xlfn.SUMIFS(Allocation!$K$1:$K$175,Allocation!$C$1:$C$175,$A14))</f>
        <v>20076860</v>
      </c>
      <c r="W14">
        <f>IF($A14="","",_xlfn.SUMIFS(Compta!$F$1:$F$1448,Compta!$A$1:$A$1448,$B14,Compta!$B$1:$B$1448,"621",Compta!$C$1:$C$1448,$A14))</f>
        <v>165271</v>
      </c>
      <c r="X14">
        <f>IF($A14="","",_xlfn.SUMIFS(Compta!$F$1:$F$1448,Compta!$A$1:$A$1448,$B14,Compta!$B$1:$B$1448,"6411",Compta!$C$1:$C$1448,$A14))</f>
        <v>552322</v>
      </c>
      <c r="Y14">
        <f>IF($A14="","",_xlfn.SUMIFS(Compta!$F$1:$F$1448,Compta!$A$1:$A$1448,$B14,Compta!$B$1:$B$1448,"604",Compta!$C$1:$C$1448,$A14)+_xlfn.SUMIFS(Compta!$F$1:$F$1448,Compta!$A$1:$A$1448,$B14,Compta!$B$1:$B$1448,"6063",Compta!$C$1:$C$1448,$A14))</f>
        <v>129720</v>
      </c>
      <c r="Z14">
        <f>IF($A14="","",_xlfn.SUMIFS(Compta!$F$1:$F$1448,Compta!$A$1:$A$1448,$B14,Compta!$B$1:$B$1448,"6231",Compta!$C$1:$C$1448,$A14))</f>
        <v>56438</v>
      </c>
      <c r="AA14">
        <f>IF($A14="","",_xlfn.SUMIFS(Compta!$F$1:$F$1448,Compta!$A$1:$A$1448,$B14,Compta!$B$1:$B$1448,"6413",Compta!$C$1:$C$1448,$A14)+_xlfn.SUMIFS(Compta!$F$1:$F$1448,Compta!$A$1:$A$1448,$B14,Compta!$B$1:$B$1448,"645",Compta!$C$1:$C$1448,$A14)+_xlfn.SUMIFS(Compta!$F$1:$F$1448,Compta!$A$1:$A$1448,$B14,Compta!$B$1:$B$1448,"613",Compta!$C$1:$C$1448,$A14)+_xlfn.SUMIFS(Compta!$F$1:$F$1448,Compta!$A$1:$A$1448,$B14,Compta!$B$1:$B$1448,"615",Compta!$C$1:$C$1448,$A14)+_xlfn.SUMIFS(Compta!$F$1:$F$1448,Compta!$A$1:$A$1448,$B14,Compta!$B$1:$B$1448,"616",Compta!$C$1:$C$1448,$A14)+_xlfn.SUMIFS(Compta!$F$1:$F$1448,Compta!$A$1:$A$1448,$B14,Compta!$B$1:$B$1448,"625",Compta!$C$1:$C$1448,$A14)+_xlfn.SUMIFS(Compta!$F$1:$F$1448,Compta!$A$1:$A$1448,$B14,Compta!$B$1:$B$1448,"63511",Compta!$C$1:$C$1448,$A14))</f>
        <v>1325834</v>
      </c>
      <c r="AB14">
        <f>IF($A14="","",_xlfn.SUMIFS(Compta!$F$1:$F$1448,Compta!$A$1:$A$1448,"GRP",Compta!$B$1:$B$1448,"6414",Compta!$C$1:$C$1448,$A14)+_xlfn.SUMIFS(Compta!$F$1:$F$1448,Compta!$A$1:$A$1448,"GRP",Compta!$B$1:$B$1448,"6226",Compta!$C$1:$C$1448,$A14)+_xlfn.SUMIFS(Compta!$F$1:$F$1448,Compta!$A$1:$A$1448,"GRP",Compta!$B$1:$B$1448,"626",Compta!$C$1:$C$1448,$A14)+_xlfn.SUMIFS(Compta!$F$1:$F$1448,Compta!$A$1:$A$1448,"GRP",Compta!$B$1:$B$1448,"6281",Compta!$C$1:$C$1448,$A14)+_xlfn.SUMIFS(Compta!$F$1:$F$1448,Compta!$A$1:$A$1448,"GRP",Compta!$B$1:$B$1448,"6331",Compta!$C$1:$C$1448,$A14)+_xlfn.SUMIFS(Compta!$F$1:$F$1448,Compta!$A$1:$A$1448,"GRP",Compta!$B$1:$B$1448,"6333",Compta!$C$1:$C$1448,$A14))</f>
        <v>2639292</v>
      </c>
      <c r="AC14" t="s">
        <v>274</v>
      </c>
      <c r="AD14" t="s">
        <v>274</v>
      </c>
      <c r="AE14" t="s">
        <v>274</v>
      </c>
      <c r="AF14" t="s">
        <v>274</v>
      </c>
      <c r="AG14" t="s">
        <v>274</v>
      </c>
      <c r="AH14" t="s">
        <v>274</v>
      </c>
      <c r="AI14">
        <f t="shared" si="3"/>
        <v>33054.2</v>
      </c>
      <c r="AJ14">
        <f t="shared" si="4"/>
        <v>110464.4</v>
      </c>
      <c r="AK14">
        <f t="shared" si="5"/>
        <v>25180.9411764706</v>
      </c>
      <c r="AL14">
        <f t="shared" si="6"/>
        <v>0</v>
      </c>
      <c r="AM14">
        <f t="shared" si="7"/>
        <v>0</v>
      </c>
      <c r="AN14">
        <f t="shared" si="8"/>
        <v>348740.458823529</v>
      </c>
      <c r="AO14">
        <f>IF($A14="","",_xlfn.SUMIFS(Compta!$F$1:$F$1448,Compta!$A$1:$A$1448,"GRP",Compta!$B$1:$B$1448,"6236",Compta!$C$1:$C$1448,$A14))</f>
        <v>499926</v>
      </c>
      <c r="AP14" t="s">
        <v>274</v>
      </c>
      <c r="AQ14" t="s">
        <v>274</v>
      </c>
      <c r="AR14">
        <f t="shared" si="9"/>
        <v>0</v>
      </c>
    </row>
    <row r="15" ht="14.25" customHeight="1">
      <c r="A15" t="str">
        <f>IF(Allocation!C15="","",Allocation!C15)</f>
        <v>2024</v>
      </c>
      <c r="B15" t="str">
        <f>IF(Allocation!D15="","",Allocation!D15)</f>
        <v>MBWAY_PAR</v>
      </c>
      <c r="C15" t="str">
        <f>IF(Allocation!E15="","",Allocation!E15)</f>
        <v>MBWAY</v>
      </c>
      <c r="D15" t="str">
        <f>IF(Allocation!F15="","",Allocation!F15)</f>
        <v>MAS_MGT</v>
      </c>
      <c r="E15" t="str">
        <f>IF(Allocation!G15="","",Allocation!G15)</f>
        <v>M1</v>
      </c>
      <c r="F15" t="str">
        <f>IF(Allocation!H15="","",Allocation!H15)</f>
        <v>ALT</v>
      </c>
      <c r="G15">
        <f>IF(Allocation!D15="","",Allocation!I15)</f>
        <v>69</v>
      </c>
      <c r="H15">
        <f>IF(Allocation!D15="","",Allocation!J15)</f>
        <v>3</v>
      </c>
      <c r="I15">
        <f>IF(Allocation!D15="","",Allocation!K15)</f>
        <v>585810</v>
      </c>
      <c r="J15">
        <f>IF($A15="","",_xlfn.SUMIFS(Socle!$K$1:$K$448,Socle!$C$1:$C$448,$B15,Socle!$D$1:$D$448,$D15,Socle!$E$1:$E$448,$E15,Socle!$F$1:$F$448,$F15,Socle!$G$1:$G$448,$A15))</f>
        <v>138</v>
      </c>
      <c r="K15">
        <f t="shared" si="0"/>
        <v>1260</v>
      </c>
      <c r="L15">
        <f>IF($A15="","",_xlfn.SUMIFS(Allocation!$I$1:$I$175,Allocation!$C$1:$C$175,$A15,Allocation!$D$1:$D$175,$B15))</f>
        <v>340</v>
      </c>
      <c r="M15">
        <f>IF($A15="","",_xlfn.SUMIFS(Allocation!$J$1:$J$175,Allocation!$C$1:$C$175,$A15,Allocation!$D$1:$D$175,$B15))</f>
        <v>15</v>
      </c>
      <c r="N15">
        <f>IF($A15="","",_xlfn.SUMIFS(Allocation!$K$1:$K$175,Allocation!$C$1:$C$175,$A15,Allocation!$D$1:$D$175,$B15))</f>
        <v>2793380</v>
      </c>
      <c r="O15">
        <f t="shared" si="1"/>
        <v>7200</v>
      </c>
      <c r="P15">
        <f t="shared" si="2"/>
        <v>276</v>
      </c>
      <c r="Q15">
        <f>IF($A15="","",_xlfn.SUMIFS(Allocation!$I$1:$I$175,Allocation!$C$1:$C$175,$A15,Allocation!$E$1:$E$175,$C15))</f>
        <v>1112</v>
      </c>
      <c r="R15">
        <f>IF($A15="","",_xlfn.SUMIFS(Allocation!$J$1:$J$175,Allocation!$C$1:$C$175,$A15,Allocation!$E$1:$E$175,$C15))</f>
        <v>50</v>
      </c>
      <c r="S15">
        <f>IF($A15="","",_xlfn.SUMIFS(Allocation!$K$1:$K$175,Allocation!$C$1:$C$175,$A15,Allocation!$E$1:$E$175,$C15))</f>
        <v>8517270</v>
      </c>
      <c r="T15">
        <f>IF($A15="","",_xlfn.SUMIFS(Allocation!$I$1:$I$175,Allocation!$C$1:$C$175,$A15))</f>
        <v>2704</v>
      </c>
      <c r="U15">
        <f>IF($A15="","",_xlfn.SUMIFS(Allocation!$J$1:$J$175,Allocation!$C$1:$C$175,$A15))</f>
        <v>131</v>
      </c>
      <c r="V15">
        <f>IF($A15="","",_xlfn.SUMIFS(Allocation!$K$1:$K$175,Allocation!$C$1:$C$175,$A15))</f>
        <v>20076860</v>
      </c>
      <c r="W15">
        <f>IF($A15="","",_xlfn.SUMIFS(Compta!$F$1:$F$1448,Compta!$A$1:$A$1448,$B15,Compta!$B$1:$B$1448,"621",Compta!$C$1:$C$1448,$A15))</f>
        <v>165271</v>
      </c>
      <c r="X15">
        <f>IF($A15="","",_xlfn.SUMIFS(Compta!$F$1:$F$1448,Compta!$A$1:$A$1448,$B15,Compta!$B$1:$B$1448,"6411",Compta!$C$1:$C$1448,$A15))</f>
        <v>552322</v>
      </c>
      <c r="Y15">
        <f>IF($A15="","",_xlfn.SUMIFS(Compta!$F$1:$F$1448,Compta!$A$1:$A$1448,$B15,Compta!$B$1:$B$1448,"604",Compta!$C$1:$C$1448,$A15)+_xlfn.SUMIFS(Compta!$F$1:$F$1448,Compta!$A$1:$A$1448,$B15,Compta!$B$1:$B$1448,"6063",Compta!$C$1:$C$1448,$A15))</f>
        <v>129720</v>
      </c>
      <c r="Z15">
        <f>IF($A15="","",_xlfn.SUMIFS(Compta!$F$1:$F$1448,Compta!$A$1:$A$1448,$B15,Compta!$B$1:$B$1448,"6231",Compta!$C$1:$C$1448,$A15))</f>
        <v>56438</v>
      </c>
      <c r="AA15">
        <f>IF($A15="","",_xlfn.SUMIFS(Compta!$F$1:$F$1448,Compta!$A$1:$A$1448,$B15,Compta!$B$1:$B$1448,"6413",Compta!$C$1:$C$1448,$A15)+_xlfn.SUMIFS(Compta!$F$1:$F$1448,Compta!$A$1:$A$1448,$B15,Compta!$B$1:$B$1448,"645",Compta!$C$1:$C$1448,$A15)+_xlfn.SUMIFS(Compta!$F$1:$F$1448,Compta!$A$1:$A$1448,$B15,Compta!$B$1:$B$1448,"613",Compta!$C$1:$C$1448,$A15)+_xlfn.SUMIFS(Compta!$F$1:$F$1448,Compta!$A$1:$A$1448,$B15,Compta!$B$1:$B$1448,"615",Compta!$C$1:$C$1448,$A15)+_xlfn.SUMIFS(Compta!$F$1:$F$1448,Compta!$A$1:$A$1448,$B15,Compta!$B$1:$B$1448,"616",Compta!$C$1:$C$1448,$A15)+_xlfn.SUMIFS(Compta!$F$1:$F$1448,Compta!$A$1:$A$1448,$B15,Compta!$B$1:$B$1448,"625",Compta!$C$1:$C$1448,$A15)+_xlfn.SUMIFS(Compta!$F$1:$F$1448,Compta!$A$1:$A$1448,$B15,Compta!$B$1:$B$1448,"63511",Compta!$C$1:$C$1448,$A15))</f>
        <v>1325834</v>
      </c>
      <c r="AB15">
        <f>IF($A15="","",_xlfn.SUMIFS(Compta!$F$1:$F$1448,Compta!$A$1:$A$1448,"GRP",Compta!$B$1:$B$1448,"6414",Compta!$C$1:$C$1448,$A15)+_xlfn.SUMIFS(Compta!$F$1:$F$1448,Compta!$A$1:$A$1448,"GRP",Compta!$B$1:$B$1448,"6226",Compta!$C$1:$C$1448,$A15)+_xlfn.SUMIFS(Compta!$F$1:$F$1448,Compta!$A$1:$A$1448,"GRP",Compta!$B$1:$B$1448,"626",Compta!$C$1:$C$1448,$A15)+_xlfn.SUMIFS(Compta!$F$1:$F$1448,Compta!$A$1:$A$1448,"GRP",Compta!$B$1:$B$1448,"6281",Compta!$C$1:$C$1448,$A15)+_xlfn.SUMIFS(Compta!$F$1:$F$1448,Compta!$A$1:$A$1448,"GRP",Compta!$B$1:$B$1448,"6331",Compta!$C$1:$C$1448,$A15)+_xlfn.SUMIFS(Compta!$F$1:$F$1448,Compta!$A$1:$A$1448,"GRP",Compta!$B$1:$B$1448,"6333",Compta!$C$1:$C$1448,$A15))</f>
        <v>2639292</v>
      </c>
      <c r="AC15" t="s">
        <v>274</v>
      </c>
      <c r="AD15" t="s">
        <v>274</v>
      </c>
      <c r="AE15" t="s">
        <v>274</v>
      </c>
      <c r="AF15" t="s">
        <v>274</v>
      </c>
      <c r="AG15" t="s">
        <v>274</v>
      </c>
      <c r="AH15" t="s">
        <v>274</v>
      </c>
      <c r="AI15">
        <f t="shared" si="3"/>
        <v>28922.425</v>
      </c>
      <c r="AJ15">
        <f t="shared" si="4"/>
        <v>96656.35</v>
      </c>
      <c r="AK15">
        <f t="shared" si="5"/>
        <v>54544.5294117647</v>
      </c>
      <c r="AL15">
        <f t="shared" si="6"/>
        <v>0</v>
      </c>
      <c r="AM15">
        <f t="shared" si="7"/>
        <v>0</v>
      </c>
      <c r="AN15">
        <f t="shared" si="8"/>
        <v>405686.695588235</v>
      </c>
      <c r="AO15">
        <f>IF($A15="","",_xlfn.SUMIFS(Compta!$F$1:$F$1448,Compta!$A$1:$A$1448,"GRP",Compta!$B$1:$B$1448,"6236",Compta!$C$1:$C$1448,$A15))</f>
        <v>499926</v>
      </c>
      <c r="AP15" t="s">
        <v>274</v>
      </c>
      <c r="AQ15" t="s">
        <v>274</v>
      </c>
      <c r="AR15">
        <f t="shared" si="9"/>
        <v>0</v>
      </c>
    </row>
    <row r="16" ht="14.25" customHeight="1">
      <c r="A16" t="str">
        <f>IF(Allocation!C16="","",Allocation!C16)</f>
        <v>2024</v>
      </c>
      <c r="B16" t="str">
        <f>IF(Allocation!D16="","",Allocation!D16)</f>
        <v>MBWAY_PAR</v>
      </c>
      <c r="C16" t="str">
        <f>IF(Allocation!E16="","",Allocation!E16)</f>
        <v>MBWAY</v>
      </c>
      <c r="D16" t="str">
        <f>IF(Allocation!F16="","",Allocation!F16)</f>
        <v>MAS_MGT</v>
      </c>
      <c r="E16" t="str">
        <f>IF(Allocation!G16="","",Allocation!G16)</f>
        <v>M2</v>
      </c>
      <c r="F16" t="str">
        <f>IF(Allocation!H16="","",Allocation!H16)</f>
        <v>ALT</v>
      </c>
      <c r="G16">
        <f>IF(Allocation!D16="","",Allocation!I16)</f>
        <v>68</v>
      </c>
      <c r="H16">
        <f>IF(Allocation!D16="","",Allocation!J16)</f>
        <v>3</v>
      </c>
      <c r="I16">
        <f>IF(Allocation!D16="","",Allocation!K16)</f>
        <v>571200</v>
      </c>
      <c r="J16">
        <f>IF($A16="","",_xlfn.SUMIFS(Socle!$K$1:$K$448,Socle!$C$1:$C$448,$B16,Socle!$D$1:$D$448,$D16,Socle!$E$1:$E$448,$E16,Socle!$F$1:$F$448,$F16,Socle!$G$1:$G$448,$A16))</f>
        <v>0</v>
      </c>
      <c r="K16">
        <f t="shared" si="0"/>
        <v>1260</v>
      </c>
      <c r="L16">
        <f>IF($A16="","",_xlfn.SUMIFS(Allocation!$I$1:$I$175,Allocation!$C$1:$C$175,$A16,Allocation!$D$1:$D$175,$B16))</f>
        <v>340</v>
      </c>
      <c r="M16">
        <f>IF($A16="","",_xlfn.SUMIFS(Allocation!$J$1:$J$175,Allocation!$C$1:$C$175,$A16,Allocation!$D$1:$D$175,$B16))</f>
        <v>15</v>
      </c>
      <c r="N16">
        <f>IF($A16="","",_xlfn.SUMIFS(Allocation!$K$1:$K$175,Allocation!$C$1:$C$175,$A16,Allocation!$D$1:$D$175,$B16))</f>
        <v>2793380</v>
      </c>
      <c r="O16">
        <f t="shared" si="1"/>
        <v>7200</v>
      </c>
      <c r="P16">
        <f t="shared" si="2"/>
        <v>276</v>
      </c>
      <c r="Q16">
        <f>IF($A16="","",_xlfn.SUMIFS(Allocation!$I$1:$I$175,Allocation!$C$1:$C$175,$A16,Allocation!$E$1:$E$175,$C16))</f>
        <v>1112</v>
      </c>
      <c r="R16">
        <f>IF($A16="","",_xlfn.SUMIFS(Allocation!$J$1:$J$175,Allocation!$C$1:$C$175,$A16,Allocation!$E$1:$E$175,$C16))</f>
        <v>50</v>
      </c>
      <c r="S16">
        <f>IF($A16="","",_xlfn.SUMIFS(Allocation!$K$1:$K$175,Allocation!$C$1:$C$175,$A16,Allocation!$E$1:$E$175,$C16))</f>
        <v>8517270</v>
      </c>
      <c r="T16">
        <f>IF($A16="","",_xlfn.SUMIFS(Allocation!$I$1:$I$175,Allocation!$C$1:$C$175,$A16))</f>
        <v>2704</v>
      </c>
      <c r="U16">
        <f>IF($A16="","",_xlfn.SUMIFS(Allocation!$J$1:$J$175,Allocation!$C$1:$C$175,$A16))</f>
        <v>131</v>
      </c>
      <c r="V16">
        <f>IF($A16="","",_xlfn.SUMIFS(Allocation!$K$1:$K$175,Allocation!$C$1:$C$175,$A16))</f>
        <v>20076860</v>
      </c>
      <c r="W16">
        <f>IF($A16="","",_xlfn.SUMIFS(Compta!$F$1:$F$1448,Compta!$A$1:$A$1448,$B16,Compta!$B$1:$B$1448,"621",Compta!$C$1:$C$1448,$A16))</f>
        <v>165271</v>
      </c>
      <c r="X16">
        <f>IF($A16="","",_xlfn.SUMIFS(Compta!$F$1:$F$1448,Compta!$A$1:$A$1448,$B16,Compta!$B$1:$B$1448,"6411",Compta!$C$1:$C$1448,$A16))</f>
        <v>552322</v>
      </c>
      <c r="Y16">
        <f>IF($A16="","",_xlfn.SUMIFS(Compta!$F$1:$F$1448,Compta!$A$1:$A$1448,$B16,Compta!$B$1:$B$1448,"604",Compta!$C$1:$C$1448,$A16)+_xlfn.SUMIFS(Compta!$F$1:$F$1448,Compta!$A$1:$A$1448,$B16,Compta!$B$1:$B$1448,"6063",Compta!$C$1:$C$1448,$A16))</f>
        <v>129720</v>
      </c>
      <c r="Z16">
        <f>IF($A16="","",_xlfn.SUMIFS(Compta!$F$1:$F$1448,Compta!$A$1:$A$1448,$B16,Compta!$B$1:$B$1448,"6231",Compta!$C$1:$C$1448,$A16))</f>
        <v>56438</v>
      </c>
      <c r="AA16">
        <f>IF($A16="","",_xlfn.SUMIFS(Compta!$F$1:$F$1448,Compta!$A$1:$A$1448,$B16,Compta!$B$1:$B$1448,"6413",Compta!$C$1:$C$1448,$A16)+_xlfn.SUMIFS(Compta!$F$1:$F$1448,Compta!$A$1:$A$1448,$B16,Compta!$B$1:$B$1448,"645",Compta!$C$1:$C$1448,$A16)+_xlfn.SUMIFS(Compta!$F$1:$F$1448,Compta!$A$1:$A$1448,$B16,Compta!$B$1:$B$1448,"613",Compta!$C$1:$C$1448,$A16)+_xlfn.SUMIFS(Compta!$F$1:$F$1448,Compta!$A$1:$A$1448,$B16,Compta!$B$1:$B$1448,"615",Compta!$C$1:$C$1448,$A16)+_xlfn.SUMIFS(Compta!$F$1:$F$1448,Compta!$A$1:$A$1448,$B16,Compta!$B$1:$B$1448,"616",Compta!$C$1:$C$1448,$A16)+_xlfn.SUMIFS(Compta!$F$1:$F$1448,Compta!$A$1:$A$1448,$B16,Compta!$B$1:$B$1448,"625",Compta!$C$1:$C$1448,$A16)+_xlfn.SUMIFS(Compta!$F$1:$F$1448,Compta!$A$1:$A$1448,$B16,Compta!$B$1:$B$1448,"63511",Compta!$C$1:$C$1448,$A16))</f>
        <v>1325834</v>
      </c>
      <c r="AB16">
        <f>IF($A16="","",_xlfn.SUMIFS(Compta!$F$1:$F$1448,Compta!$A$1:$A$1448,"GRP",Compta!$B$1:$B$1448,"6414",Compta!$C$1:$C$1448,$A16)+_xlfn.SUMIFS(Compta!$F$1:$F$1448,Compta!$A$1:$A$1448,"GRP",Compta!$B$1:$B$1448,"6226",Compta!$C$1:$C$1448,$A16)+_xlfn.SUMIFS(Compta!$F$1:$F$1448,Compta!$A$1:$A$1448,"GRP",Compta!$B$1:$B$1448,"626",Compta!$C$1:$C$1448,$A16)+_xlfn.SUMIFS(Compta!$F$1:$F$1448,Compta!$A$1:$A$1448,"GRP",Compta!$B$1:$B$1448,"6281",Compta!$C$1:$C$1448,$A16)+_xlfn.SUMIFS(Compta!$F$1:$F$1448,Compta!$A$1:$A$1448,"GRP",Compta!$B$1:$B$1448,"6331",Compta!$C$1:$C$1448,$A16)+_xlfn.SUMIFS(Compta!$F$1:$F$1448,Compta!$A$1:$A$1448,"GRP",Compta!$B$1:$B$1448,"6333",Compta!$C$1:$C$1448,$A16))</f>
        <v>2639292</v>
      </c>
      <c r="AC16" t="s">
        <v>274</v>
      </c>
      <c r="AD16" t="s">
        <v>274</v>
      </c>
      <c r="AE16" t="s">
        <v>274</v>
      </c>
      <c r="AF16" t="s">
        <v>274</v>
      </c>
      <c r="AG16" t="s">
        <v>274</v>
      </c>
      <c r="AH16" t="s">
        <v>274</v>
      </c>
      <c r="AI16">
        <f t="shared" si="3"/>
        <v>28922.425</v>
      </c>
      <c r="AJ16">
        <f t="shared" si="4"/>
        <v>96656.35</v>
      </c>
      <c r="AK16">
        <f t="shared" si="5"/>
        <v>25944</v>
      </c>
      <c r="AL16">
        <f t="shared" si="6"/>
        <v>0</v>
      </c>
      <c r="AM16">
        <f t="shared" si="7"/>
        <v>0</v>
      </c>
      <c r="AN16">
        <f t="shared" si="8"/>
        <v>419677.225</v>
      </c>
      <c r="AO16">
        <f>IF($A16="","",_xlfn.SUMIFS(Compta!$F$1:$F$1448,Compta!$A$1:$A$1448,"GRP",Compta!$B$1:$B$1448,"6236",Compta!$C$1:$C$1448,$A16))</f>
        <v>499926</v>
      </c>
      <c r="AP16" t="s">
        <v>274</v>
      </c>
      <c r="AQ16" t="s">
        <v>274</v>
      </c>
      <c r="AR16">
        <f t="shared" si="9"/>
        <v>0</v>
      </c>
    </row>
    <row r="17" ht="14.25" customHeight="1">
      <c r="A17" t="str">
        <f>IF(Allocation!C17="","",Allocation!C17)</f>
        <v>2026</v>
      </c>
      <c r="B17" t="str">
        <f>IF(Allocation!D17="","",Allocation!D17)</f>
        <v>MBWAY_LYO</v>
      </c>
      <c r="C17" t="str">
        <f>IF(Allocation!E17="","",Allocation!E17)</f>
        <v>MBWAY</v>
      </c>
      <c r="D17" t="str">
        <f>IF(Allocation!F17="","",Allocation!F17)</f>
        <v>BAC_MGT</v>
      </c>
      <c r="E17" t="str">
        <f>IF(Allocation!G17="","",Allocation!G17)</f>
        <v>B1</v>
      </c>
      <c r="F17" t="str">
        <f>IF(Allocation!H17="","",Allocation!H17)</f>
        <v>INIT</v>
      </c>
      <c r="G17">
        <f>IF(Allocation!D17="","",Allocation!I17)</f>
        <v>66</v>
      </c>
      <c r="H17">
        <f>IF(Allocation!D17="","",Allocation!J17)</f>
        <v>3</v>
      </c>
      <c r="I17">
        <f>IF(Allocation!D17="","",Allocation!K17)</f>
        <v>525690</v>
      </c>
      <c r="J17">
        <f>IF($A17="","",_xlfn.SUMIFS(Socle!$K$1:$K$448,Socle!$C$1:$C$448,$B17,Socle!$D$1:$D$448,$D17,Socle!$E$1:$E$448,$E17,Socle!$F$1:$F$448,$F17,Socle!$G$1:$G$448,$A17))</f>
        <v>132</v>
      </c>
      <c r="K17">
        <f t="shared" si="0"/>
        <v>1800</v>
      </c>
      <c r="L17">
        <f>IF($A17="","",_xlfn.SUMIFS(Allocation!$I$1:$I$175,Allocation!$C$1:$C$175,$A17,Allocation!$D$1:$D$175,$B17))</f>
        <v>324</v>
      </c>
      <c r="M17">
        <f>IF($A17="","",_xlfn.SUMIFS(Allocation!$J$1:$J$175,Allocation!$C$1:$C$175,$A17,Allocation!$D$1:$D$175,$B17))</f>
        <v>13</v>
      </c>
      <c r="N17">
        <f>IF($A17="","",_xlfn.SUMIFS(Allocation!$K$1:$K$175,Allocation!$C$1:$C$175,$A17,Allocation!$D$1:$D$175,$B17))</f>
        <v>2496705</v>
      </c>
      <c r="O17">
        <f t="shared" si="1"/>
        <v>6240</v>
      </c>
      <c r="P17">
        <f t="shared" si="2"/>
        <v>264</v>
      </c>
      <c r="Q17">
        <f>IF($A17="","",_xlfn.SUMIFS(Allocation!$I$1:$I$175,Allocation!$C$1:$C$175,$A17,Allocation!$E$1:$E$175,$C17))</f>
        <v>1249</v>
      </c>
      <c r="R17">
        <f>IF($A17="","",_xlfn.SUMIFS(Allocation!$J$1:$J$175,Allocation!$C$1:$C$175,$A17,Allocation!$E$1:$E$175,$C17))</f>
        <v>50</v>
      </c>
      <c r="S17">
        <f>IF($A17="","",_xlfn.SUMIFS(Allocation!$K$1:$K$175,Allocation!$C$1:$C$175,$A17,Allocation!$E$1:$E$175,$C17))</f>
        <v>9567455</v>
      </c>
      <c r="T17">
        <f>IF($A17="","",_xlfn.SUMIFS(Allocation!$I$1:$I$175,Allocation!$C$1:$C$175,$A17))</f>
        <v>3036</v>
      </c>
      <c r="U17">
        <f>IF($A17="","",_xlfn.SUMIFS(Allocation!$J$1:$J$175,Allocation!$C$1:$C$175,$A17))</f>
        <v>131</v>
      </c>
      <c r="V17">
        <f>IF($A17="","",_xlfn.SUMIFS(Allocation!$K$1:$K$175,Allocation!$C$1:$C$175,$A17))</f>
        <v>22544725</v>
      </c>
      <c r="W17">
        <f>IF($A17="","",_xlfn.SUMIFS(Compta!$F$1:$F$1448,Compta!$A$1:$A$1448,$B17,Compta!$B$1:$B$1448,"621",Compta!$C$1:$C$1448,$A17))</f>
        <v>156948</v>
      </c>
      <c r="X17">
        <f>IF($A17="","",_xlfn.SUMIFS(Compta!$F$1:$F$1448,Compta!$A$1:$A$1448,$B17,Compta!$B$1:$B$1448,"6411",Compta!$C$1:$C$1448,$A17))</f>
        <v>362623</v>
      </c>
      <c r="Y17">
        <f>IF($A17="","",_xlfn.SUMIFS(Compta!$F$1:$F$1448,Compta!$A$1:$A$1448,$B17,Compta!$B$1:$B$1448,"604",Compta!$C$1:$C$1448,$A17)+_xlfn.SUMIFS(Compta!$F$1:$F$1448,Compta!$A$1:$A$1448,$B17,Compta!$B$1:$B$1448,"6063",Compta!$C$1:$C$1448,$A17))</f>
        <v>120559</v>
      </c>
      <c r="Z17">
        <f>IF($A17="","",_xlfn.SUMIFS(Compta!$F$1:$F$1448,Compta!$A$1:$A$1448,$B17,Compta!$B$1:$B$1448,"6231",Compta!$C$1:$C$1448,$A17))</f>
        <v>41783</v>
      </c>
      <c r="AA17">
        <f>IF($A17="","",_xlfn.SUMIFS(Compta!$F$1:$F$1448,Compta!$A$1:$A$1448,$B17,Compta!$B$1:$B$1448,"6413",Compta!$C$1:$C$1448,$A17)+_xlfn.SUMIFS(Compta!$F$1:$F$1448,Compta!$A$1:$A$1448,$B17,Compta!$B$1:$B$1448,"645",Compta!$C$1:$C$1448,$A17)+_xlfn.SUMIFS(Compta!$F$1:$F$1448,Compta!$A$1:$A$1448,$B17,Compta!$B$1:$B$1448,"613",Compta!$C$1:$C$1448,$A17)+_xlfn.SUMIFS(Compta!$F$1:$F$1448,Compta!$A$1:$A$1448,$B17,Compta!$B$1:$B$1448,"615",Compta!$C$1:$C$1448,$A17)+_xlfn.SUMIFS(Compta!$F$1:$F$1448,Compta!$A$1:$A$1448,$B17,Compta!$B$1:$B$1448,"616",Compta!$C$1:$C$1448,$A17)+_xlfn.SUMIFS(Compta!$F$1:$F$1448,Compta!$A$1:$A$1448,$B17,Compta!$B$1:$B$1448,"625",Compta!$C$1:$C$1448,$A17)+_xlfn.SUMIFS(Compta!$F$1:$F$1448,Compta!$A$1:$A$1448,$B17,Compta!$B$1:$B$1448,"63511",Compta!$C$1:$C$1448,$A17))</f>
        <v>857806</v>
      </c>
      <c r="AB17">
        <f>IF($A17="","",_xlfn.SUMIFS(Compta!$F$1:$F$1448,Compta!$A$1:$A$1448,"GRP",Compta!$B$1:$B$1448,"6414",Compta!$C$1:$C$1448,$A17)+_xlfn.SUMIFS(Compta!$F$1:$F$1448,Compta!$A$1:$A$1448,"GRP",Compta!$B$1:$B$1448,"6226",Compta!$C$1:$C$1448,$A17)+_xlfn.SUMIFS(Compta!$F$1:$F$1448,Compta!$A$1:$A$1448,"GRP",Compta!$B$1:$B$1448,"626",Compta!$C$1:$C$1448,$A17)+_xlfn.SUMIFS(Compta!$F$1:$F$1448,Compta!$A$1:$A$1448,"GRP",Compta!$B$1:$B$1448,"6281",Compta!$C$1:$C$1448,$A17)+_xlfn.SUMIFS(Compta!$F$1:$F$1448,Compta!$A$1:$A$1448,"GRP",Compta!$B$1:$B$1448,"6331",Compta!$C$1:$C$1448,$A17)+_xlfn.SUMIFS(Compta!$F$1:$F$1448,Compta!$A$1:$A$1448,"GRP",Compta!$B$1:$B$1448,"6333",Compta!$C$1:$C$1448,$A17))</f>
        <v>2891983</v>
      </c>
      <c r="AC17" t="s">
        <v>274</v>
      </c>
      <c r="AD17" t="s">
        <v>274</v>
      </c>
      <c r="AE17" t="s">
        <v>274</v>
      </c>
      <c r="AF17" t="s">
        <v>274</v>
      </c>
      <c r="AG17" t="s">
        <v>274</v>
      </c>
      <c r="AH17" t="s">
        <v>274</v>
      </c>
      <c r="AI17">
        <f t="shared" si="3"/>
        <v>45273.4615384615</v>
      </c>
      <c r="AJ17">
        <f t="shared" si="4"/>
        <v>104602.788461538</v>
      </c>
      <c r="AK17">
        <f t="shared" si="5"/>
        <v>45449.8148148148</v>
      </c>
      <c r="AL17">
        <f t="shared" si="6"/>
        <v>0</v>
      </c>
      <c r="AM17">
        <f t="shared" si="7"/>
        <v>0</v>
      </c>
      <c r="AN17">
        <f t="shared" si="8"/>
        <v>330363.935185186</v>
      </c>
      <c r="AO17">
        <f>IF($A17="","",_xlfn.SUMIFS(Compta!$F$1:$F$1448,Compta!$A$1:$A$1448,"GRP",Compta!$B$1:$B$1448,"6236",Compta!$C$1:$C$1448,$A17))</f>
        <v>676344</v>
      </c>
      <c r="AP17" t="s">
        <v>274</v>
      </c>
      <c r="AQ17" t="s">
        <v>274</v>
      </c>
      <c r="AR17">
        <f t="shared" si="9"/>
        <v>0</v>
      </c>
    </row>
    <row r="18" ht="14.25" customHeight="1">
      <c r="A18" t="str">
        <f>IF(Allocation!C18="","",Allocation!C18)</f>
        <v>2026</v>
      </c>
      <c r="B18" t="str">
        <f>IF(Allocation!D18="","",Allocation!D18)</f>
        <v>MBWAY_LYO</v>
      </c>
      <c r="C18" t="str">
        <f>IF(Allocation!E18="","",Allocation!E18)</f>
        <v>MBWAY</v>
      </c>
      <c r="D18" t="str">
        <f>IF(Allocation!F18="","",Allocation!F18)</f>
        <v>BAC_MGT</v>
      </c>
      <c r="E18" t="str">
        <f>IF(Allocation!G18="","",Allocation!G18)</f>
        <v>B2</v>
      </c>
      <c r="F18" t="str">
        <f>IF(Allocation!H18="","",Allocation!H18)</f>
        <v>ALT</v>
      </c>
      <c r="G18">
        <f>IF(Allocation!D18="","",Allocation!I18)</f>
        <v>64</v>
      </c>
      <c r="H18">
        <f>IF(Allocation!D18="","",Allocation!J18)</f>
        <v>2</v>
      </c>
      <c r="I18">
        <f>IF(Allocation!D18="","",Allocation!K18)</f>
        <v>470400</v>
      </c>
      <c r="J18">
        <f>IF($A18="","",_xlfn.SUMIFS(Socle!$K$1:$K$448,Socle!$C$1:$C$448,$B18,Socle!$D$1:$D$448,$D18,Socle!$E$1:$E$448,$E18,Socle!$F$1:$F$448,$F18,Socle!$G$1:$G$448,$A18))</f>
        <v>0</v>
      </c>
      <c r="K18">
        <f t="shared" si="0"/>
        <v>960</v>
      </c>
      <c r="L18">
        <f>IF($A18="","",_xlfn.SUMIFS(Allocation!$I$1:$I$175,Allocation!$C$1:$C$175,$A18,Allocation!$D$1:$D$175,$B18))</f>
        <v>324</v>
      </c>
      <c r="M18">
        <f>IF($A18="","",_xlfn.SUMIFS(Allocation!$J$1:$J$175,Allocation!$C$1:$C$175,$A18,Allocation!$D$1:$D$175,$B18))</f>
        <v>13</v>
      </c>
      <c r="N18">
        <f>IF($A18="","",_xlfn.SUMIFS(Allocation!$K$1:$K$175,Allocation!$C$1:$C$175,$A18,Allocation!$D$1:$D$175,$B18))</f>
        <v>2496705</v>
      </c>
      <c r="O18">
        <f t="shared" si="1"/>
        <v>6240</v>
      </c>
      <c r="P18">
        <f t="shared" si="2"/>
        <v>264</v>
      </c>
      <c r="Q18">
        <f>IF($A18="","",_xlfn.SUMIFS(Allocation!$I$1:$I$175,Allocation!$C$1:$C$175,$A18,Allocation!$E$1:$E$175,$C18))</f>
        <v>1249</v>
      </c>
      <c r="R18">
        <f>IF($A18="","",_xlfn.SUMIFS(Allocation!$J$1:$J$175,Allocation!$C$1:$C$175,$A18,Allocation!$E$1:$E$175,$C18))</f>
        <v>50</v>
      </c>
      <c r="S18">
        <f>IF($A18="","",_xlfn.SUMIFS(Allocation!$K$1:$K$175,Allocation!$C$1:$C$175,$A18,Allocation!$E$1:$E$175,$C18))</f>
        <v>9567455</v>
      </c>
      <c r="T18">
        <f>IF($A18="","",_xlfn.SUMIFS(Allocation!$I$1:$I$175,Allocation!$C$1:$C$175,$A18))</f>
        <v>3036</v>
      </c>
      <c r="U18">
        <f>IF($A18="","",_xlfn.SUMIFS(Allocation!$J$1:$J$175,Allocation!$C$1:$C$175,$A18))</f>
        <v>131</v>
      </c>
      <c r="V18">
        <f>IF($A18="","",_xlfn.SUMIFS(Allocation!$K$1:$K$175,Allocation!$C$1:$C$175,$A18))</f>
        <v>22544725</v>
      </c>
      <c r="W18">
        <f>IF($A18="","",_xlfn.SUMIFS(Compta!$F$1:$F$1448,Compta!$A$1:$A$1448,$B18,Compta!$B$1:$B$1448,"621",Compta!$C$1:$C$1448,$A18))</f>
        <v>156948</v>
      </c>
      <c r="X18">
        <f>IF($A18="","",_xlfn.SUMIFS(Compta!$F$1:$F$1448,Compta!$A$1:$A$1448,$B18,Compta!$B$1:$B$1448,"6411",Compta!$C$1:$C$1448,$A18))</f>
        <v>362623</v>
      </c>
      <c r="Y18">
        <f>IF($A18="","",_xlfn.SUMIFS(Compta!$F$1:$F$1448,Compta!$A$1:$A$1448,$B18,Compta!$B$1:$B$1448,"604",Compta!$C$1:$C$1448,$A18)+_xlfn.SUMIFS(Compta!$F$1:$F$1448,Compta!$A$1:$A$1448,$B18,Compta!$B$1:$B$1448,"6063",Compta!$C$1:$C$1448,$A18))</f>
        <v>120559</v>
      </c>
      <c r="Z18">
        <f>IF($A18="","",_xlfn.SUMIFS(Compta!$F$1:$F$1448,Compta!$A$1:$A$1448,$B18,Compta!$B$1:$B$1448,"6231",Compta!$C$1:$C$1448,$A18))</f>
        <v>41783</v>
      </c>
      <c r="AA18">
        <f>IF($A18="","",_xlfn.SUMIFS(Compta!$F$1:$F$1448,Compta!$A$1:$A$1448,$B18,Compta!$B$1:$B$1448,"6413",Compta!$C$1:$C$1448,$A18)+_xlfn.SUMIFS(Compta!$F$1:$F$1448,Compta!$A$1:$A$1448,$B18,Compta!$B$1:$B$1448,"645",Compta!$C$1:$C$1448,$A18)+_xlfn.SUMIFS(Compta!$F$1:$F$1448,Compta!$A$1:$A$1448,$B18,Compta!$B$1:$B$1448,"613",Compta!$C$1:$C$1448,$A18)+_xlfn.SUMIFS(Compta!$F$1:$F$1448,Compta!$A$1:$A$1448,$B18,Compta!$B$1:$B$1448,"615",Compta!$C$1:$C$1448,$A18)+_xlfn.SUMIFS(Compta!$F$1:$F$1448,Compta!$A$1:$A$1448,$B18,Compta!$B$1:$B$1448,"616",Compta!$C$1:$C$1448,$A18)+_xlfn.SUMIFS(Compta!$F$1:$F$1448,Compta!$A$1:$A$1448,$B18,Compta!$B$1:$B$1448,"625",Compta!$C$1:$C$1448,$A18)+_xlfn.SUMIFS(Compta!$F$1:$F$1448,Compta!$A$1:$A$1448,$B18,Compta!$B$1:$B$1448,"63511",Compta!$C$1:$C$1448,$A18))</f>
        <v>857806</v>
      </c>
      <c r="AB18">
        <f>IF($A18="","",_xlfn.SUMIFS(Compta!$F$1:$F$1448,Compta!$A$1:$A$1448,"GRP",Compta!$B$1:$B$1448,"6414",Compta!$C$1:$C$1448,$A18)+_xlfn.SUMIFS(Compta!$F$1:$F$1448,Compta!$A$1:$A$1448,"GRP",Compta!$B$1:$B$1448,"6226",Compta!$C$1:$C$1448,$A18)+_xlfn.SUMIFS(Compta!$F$1:$F$1448,Compta!$A$1:$A$1448,"GRP",Compta!$B$1:$B$1448,"626",Compta!$C$1:$C$1448,$A18)+_xlfn.SUMIFS(Compta!$F$1:$F$1448,Compta!$A$1:$A$1448,"GRP",Compta!$B$1:$B$1448,"6281",Compta!$C$1:$C$1448,$A18)+_xlfn.SUMIFS(Compta!$F$1:$F$1448,Compta!$A$1:$A$1448,"GRP",Compta!$B$1:$B$1448,"6331",Compta!$C$1:$C$1448,$A18)+_xlfn.SUMIFS(Compta!$F$1:$F$1448,Compta!$A$1:$A$1448,"GRP",Compta!$B$1:$B$1448,"6333",Compta!$C$1:$C$1448,$A18))</f>
        <v>2891983</v>
      </c>
      <c r="AC18" t="s">
        <v>274</v>
      </c>
      <c r="AD18" t="s">
        <v>274</v>
      </c>
      <c r="AE18" t="s">
        <v>274</v>
      </c>
      <c r="AF18" t="s">
        <v>274</v>
      </c>
      <c r="AG18" t="s">
        <v>274</v>
      </c>
      <c r="AH18" t="s">
        <v>274</v>
      </c>
      <c r="AI18">
        <f t="shared" si="3"/>
        <v>24145.8461538462</v>
      </c>
      <c r="AJ18">
        <f t="shared" si="4"/>
        <v>55788.1538461539</v>
      </c>
      <c r="AK18">
        <f t="shared" si="5"/>
        <v>23814.1234567901</v>
      </c>
      <c r="AL18">
        <f t="shared" si="6"/>
        <v>0</v>
      </c>
      <c r="AM18">
        <f t="shared" si="7"/>
        <v>0</v>
      </c>
      <c r="AN18">
        <f t="shared" si="8"/>
        <v>366651.87654321</v>
      </c>
      <c r="AO18">
        <f>IF($A18="","",_xlfn.SUMIFS(Compta!$F$1:$F$1448,Compta!$A$1:$A$1448,"GRP",Compta!$B$1:$B$1448,"6236",Compta!$C$1:$C$1448,$A18))</f>
        <v>676344</v>
      </c>
      <c r="AP18" t="s">
        <v>274</v>
      </c>
      <c r="AQ18" t="s">
        <v>274</v>
      </c>
      <c r="AR18">
        <f t="shared" si="9"/>
        <v>0</v>
      </c>
    </row>
    <row r="19" ht="14.25" customHeight="1">
      <c r="A19" t="str">
        <f>IF(Allocation!C19="","",Allocation!C19)</f>
        <v>2026</v>
      </c>
      <c r="B19" t="str">
        <f>IF(Allocation!D19="","",Allocation!D19)</f>
        <v>MBWAY_LYO</v>
      </c>
      <c r="C19" t="str">
        <f>IF(Allocation!E19="","",Allocation!E19)</f>
        <v>MBWAY</v>
      </c>
      <c r="D19" t="str">
        <f>IF(Allocation!F19="","",Allocation!F19)</f>
        <v>BAC_MGT</v>
      </c>
      <c r="E19" t="str">
        <f>IF(Allocation!G19="","",Allocation!G19)</f>
        <v>B3</v>
      </c>
      <c r="F19" t="str">
        <f>IF(Allocation!H19="","",Allocation!H19)</f>
        <v>ALT</v>
      </c>
      <c r="G19">
        <f>IF(Allocation!D19="","",Allocation!I19)</f>
        <v>63</v>
      </c>
      <c r="H19">
        <f>IF(Allocation!D19="","",Allocation!J19)</f>
        <v>2</v>
      </c>
      <c r="I19">
        <f>IF(Allocation!D19="","",Allocation!K19)</f>
        <v>463050</v>
      </c>
      <c r="J19">
        <f>IF($A19="","",_xlfn.SUMIFS(Socle!$K$1:$K$448,Socle!$C$1:$C$448,$B19,Socle!$D$1:$D$448,$D19,Socle!$E$1:$E$448,$E19,Socle!$F$1:$F$448,$F19,Socle!$G$1:$G$448,$A19))</f>
        <v>0</v>
      </c>
      <c r="K19">
        <f t="shared" si="0"/>
        <v>960</v>
      </c>
      <c r="L19">
        <f>IF($A19="","",_xlfn.SUMIFS(Allocation!$I$1:$I$175,Allocation!$C$1:$C$175,$A19,Allocation!$D$1:$D$175,$B19))</f>
        <v>324</v>
      </c>
      <c r="M19">
        <f>IF($A19="","",_xlfn.SUMIFS(Allocation!$J$1:$J$175,Allocation!$C$1:$C$175,$A19,Allocation!$D$1:$D$175,$B19))</f>
        <v>13</v>
      </c>
      <c r="N19">
        <f>IF($A19="","",_xlfn.SUMIFS(Allocation!$K$1:$K$175,Allocation!$C$1:$C$175,$A19,Allocation!$D$1:$D$175,$B19))</f>
        <v>2496705</v>
      </c>
      <c r="O19">
        <f t="shared" si="1"/>
        <v>6240</v>
      </c>
      <c r="P19">
        <f t="shared" si="2"/>
        <v>264</v>
      </c>
      <c r="Q19">
        <f>IF($A19="","",_xlfn.SUMIFS(Allocation!$I$1:$I$175,Allocation!$C$1:$C$175,$A19,Allocation!$E$1:$E$175,$C19))</f>
        <v>1249</v>
      </c>
      <c r="R19">
        <f>IF($A19="","",_xlfn.SUMIFS(Allocation!$J$1:$J$175,Allocation!$C$1:$C$175,$A19,Allocation!$E$1:$E$175,$C19))</f>
        <v>50</v>
      </c>
      <c r="S19">
        <f>IF($A19="","",_xlfn.SUMIFS(Allocation!$K$1:$K$175,Allocation!$C$1:$C$175,$A19,Allocation!$E$1:$E$175,$C19))</f>
        <v>9567455</v>
      </c>
      <c r="T19">
        <f>IF($A19="","",_xlfn.SUMIFS(Allocation!$I$1:$I$175,Allocation!$C$1:$C$175,$A19))</f>
        <v>3036</v>
      </c>
      <c r="U19">
        <f>IF($A19="","",_xlfn.SUMIFS(Allocation!$J$1:$J$175,Allocation!$C$1:$C$175,$A19))</f>
        <v>131</v>
      </c>
      <c r="V19">
        <f>IF($A19="","",_xlfn.SUMIFS(Allocation!$K$1:$K$175,Allocation!$C$1:$C$175,$A19))</f>
        <v>22544725</v>
      </c>
      <c r="W19">
        <f>IF($A19="","",_xlfn.SUMIFS(Compta!$F$1:$F$1448,Compta!$A$1:$A$1448,$B19,Compta!$B$1:$B$1448,"621",Compta!$C$1:$C$1448,$A19))</f>
        <v>156948</v>
      </c>
      <c r="X19">
        <f>IF($A19="","",_xlfn.SUMIFS(Compta!$F$1:$F$1448,Compta!$A$1:$A$1448,$B19,Compta!$B$1:$B$1448,"6411",Compta!$C$1:$C$1448,$A19))</f>
        <v>362623</v>
      </c>
      <c r="Y19">
        <f>IF($A19="","",_xlfn.SUMIFS(Compta!$F$1:$F$1448,Compta!$A$1:$A$1448,$B19,Compta!$B$1:$B$1448,"604",Compta!$C$1:$C$1448,$A19)+_xlfn.SUMIFS(Compta!$F$1:$F$1448,Compta!$A$1:$A$1448,$B19,Compta!$B$1:$B$1448,"6063",Compta!$C$1:$C$1448,$A19))</f>
        <v>120559</v>
      </c>
      <c r="Z19">
        <f>IF($A19="","",_xlfn.SUMIFS(Compta!$F$1:$F$1448,Compta!$A$1:$A$1448,$B19,Compta!$B$1:$B$1448,"6231",Compta!$C$1:$C$1448,$A19))</f>
        <v>41783</v>
      </c>
      <c r="AA19">
        <f>IF($A19="","",_xlfn.SUMIFS(Compta!$F$1:$F$1448,Compta!$A$1:$A$1448,$B19,Compta!$B$1:$B$1448,"6413",Compta!$C$1:$C$1448,$A19)+_xlfn.SUMIFS(Compta!$F$1:$F$1448,Compta!$A$1:$A$1448,$B19,Compta!$B$1:$B$1448,"645",Compta!$C$1:$C$1448,$A19)+_xlfn.SUMIFS(Compta!$F$1:$F$1448,Compta!$A$1:$A$1448,$B19,Compta!$B$1:$B$1448,"613",Compta!$C$1:$C$1448,$A19)+_xlfn.SUMIFS(Compta!$F$1:$F$1448,Compta!$A$1:$A$1448,$B19,Compta!$B$1:$B$1448,"615",Compta!$C$1:$C$1448,$A19)+_xlfn.SUMIFS(Compta!$F$1:$F$1448,Compta!$A$1:$A$1448,$B19,Compta!$B$1:$B$1448,"616",Compta!$C$1:$C$1448,$A19)+_xlfn.SUMIFS(Compta!$F$1:$F$1448,Compta!$A$1:$A$1448,$B19,Compta!$B$1:$B$1448,"625",Compta!$C$1:$C$1448,$A19)+_xlfn.SUMIFS(Compta!$F$1:$F$1448,Compta!$A$1:$A$1448,$B19,Compta!$B$1:$B$1448,"63511",Compta!$C$1:$C$1448,$A19))</f>
        <v>857806</v>
      </c>
      <c r="AB19">
        <f>IF($A19="","",_xlfn.SUMIFS(Compta!$F$1:$F$1448,Compta!$A$1:$A$1448,"GRP",Compta!$B$1:$B$1448,"6414",Compta!$C$1:$C$1448,$A19)+_xlfn.SUMIFS(Compta!$F$1:$F$1448,Compta!$A$1:$A$1448,"GRP",Compta!$B$1:$B$1448,"6226",Compta!$C$1:$C$1448,$A19)+_xlfn.SUMIFS(Compta!$F$1:$F$1448,Compta!$A$1:$A$1448,"GRP",Compta!$B$1:$B$1448,"626",Compta!$C$1:$C$1448,$A19)+_xlfn.SUMIFS(Compta!$F$1:$F$1448,Compta!$A$1:$A$1448,"GRP",Compta!$B$1:$B$1448,"6281",Compta!$C$1:$C$1448,$A19)+_xlfn.SUMIFS(Compta!$F$1:$F$1448,Compta!$A$1:$A$1448,"GRP",Compta!$B$1:$B$1448,"6331",Compta!$C$1:$C$1448,$A19)+_xlfn.SUMIFS(Compta!$F$1:$F$1448,Compta!$A$1:$A$1448,"GRP",Compta!$B$1:$B$1448,"6333",Compta!$C$1:$C$1448,$A19))</f>
        <v>2891983</v>
      </c>
      <c r="AC19" t="s">
        <v>274</v>
      </c>
      <c r="AD19" t="s">
        <v>274</v>
      </c>
      <c r="AE19" t="s">
        <v>274</v>
      </c>
      <c r="AF19" t="s">
        <v>274</v>
      </c>
      <c r="AG19" t="s">
        <v>274</v>
      </c>
      <c r="AH19" t="s">
        <v>274</v>
      </c>
      <c r="AI19">
        <f t="shared" si="3"/>
        <v>24145.8461538462</v>
      </c>
      <c r="AJ19">
        <f t="shared" si="4"/>
        <v>55788.1538461539</v>
      </c>
      <c r="AK19">
        <f t="shared" si="5"/>
        <v>23442.0277777778</v>
      </c>
      <c r="AL19">
        <f t="shared" si="6"/>
        <v>0</v>
      </c>
      <c r="AM19">
        <f t="shared" si="7"/>
        <v>0</v>
      </c>
      <c r="AN19">
        <f t="shared" si="8"/>
        <v>359673.972222222</v>
      </c>
      <c r="AO19">
        <f>IF($A19="","",_xlfn.SUMIFS(Compta!$F$1:$F$1448,Compta!$A$1:$A$1448,"GRP",Compta!$B$1:$B$1448,"6236",Compta!$C$1:$C$1448,$A19))</f>
        <v>676344</v>
      </c>
      <c r="AP19" t="s">
        <v>274</v>
      </c>
      <c r="AQ19" t="s">
        <v>274</v>
      </c>
      <c r="AR19">
        <f t="shared" si="9"/>
        <v>0</v>
      </c>
    </row>
    <row r="20" ht="14.25" customHeight="1">
      <c r="A20" t="str">
        <f>IF(Allocation!C20="","",Allocation!C20)</f>
        <v>2026</v>
      </c>
      <c r="B20" t="str">
        <f>IF(Allocation!D20="","",Allocation!D20)</f>
        <v>MBWAY_LYO</v>
      </c>
      <c r="C20" t="str">
        <f>IF(Allocation!E20="","",Allocation!E20)</f>
        <v>MBWAY</v>
      </c>
      <c r="D20" t="str">
        <f>IF(Allocation!F20="","",Allocation!F20)</f>
        <v>MAS_MGT</v>
      </c>
      <c r="E20" t="str">
        <f>IF(Allocation!G20="","",Allocation!G20)</f>
        <v>M1</v>
      </c>
      <c r="F20" t="str">
        <f>IF(Allocation!H20="","",Allocation!H20)</f>
        <v>ALT</v>
      </c>
      <c r="G20">
        <f>IF(Allocation!D20="","",Allocation!I20)</f>
        <v>66</v>
      </c>
      <c r="H20">
        <f>IF(Allocation!D20="","",Allocation!J20)</f>
        <v>3</v>
      </c>
      <c r="I20">
        <f>IF(Allocation!D20="","",Allocation!K20)</f>
        <v>525690</v>
      </c>
      <c r="J20">
        <f>IF($A20="","",_xlfn.SUMIFS(Socle!$K$1:$K$448,Socle!$C$1:$C$448,$B20,Socle!$D$1:$D$448,$D20,Socle!$E$1:$E$448,$E20,Socle!$F$1:$F$448,$F20,Socle!$G$1:$G$448,$A20))</f>
        <v>132</v>
      </c>
      <c r="K20">
        <f t="shared" si="0"/>
        <v>1260</v>
      </c>
      <c r="L20">
        <f>IF($A20="","",_xlfn.SUMIFS(Allocation!$I$1:$I$175,Allocation!$C$1:$C$175,$A20,Allocation!$D$1:$D$175,$B20))</f>
        <v>324</v>
      </c>
      <c r="M20">
        <f>IF($A20="","",_xlfn.SUMIFS(Allocation!$J$1:$J$175,Allocation!$C$1:$C$175,$A20,Allocation!$D$1:$D$175,$B20))</f>
        <v>13</v>
      </c>
      <c r="N20">
        <f>IF($A20="","",_xlfn.SUMIFS(Allocation!$K$1:$K$175,Allocation!$C$1:$C$175,$A20,Allocation!$D$1:$D$175,$B20))</f>
        <v>2496705</v>
      </c>
      <c r="O20">
        <f t="shared" si="1"/>
        <v>6240</v>
      </c>
      <c r="P20">
        <f t="shared" si="2"/>
        <v>264</v>
      </c>
      <c r="Q20">
        <f>IF($A20="","",_xlfn.SUMIFS(Allocation!$I$1:$I$175,Allocation!$C$1:$C$175,$A20,Allocation!$E$1:$E$175,$C20))</f>
        <v>1249</v>
      </c>
      <c r="R20">
        <f>IF($A20="","",_xlfn.SUMIFS(Allocation!$J$1:$J$175,Allocation!$C$1:$C$175,$A20,Allocation!$E$1:$E$175,$C20))</f>
        <v>50</v>
      </c>
      <c r="S20">
        <f>IF($A20="","",_xlfn.SUMIFS(Allocation!$K$1:$K$175,Allocation!$C$1:$C$175,$A20,Allocation!$E$1:$E$175,$C20))</f>
        <v>9567455</v>
      </c>
      <c r="T20">
        <f>IF($A20="","",_xlfn.SUMIFS(Allocation!$I$1:$I$175,Allocation!$C$1:$C$175,$A20))</f>
        <v>3036</v>
      </c>
      <c r="U20">
        <f>IF($A20="","",_xlfn.SUMIFS(Allocation!$J$1:$J$175,Allocation!$C$1:$C$175,$A20))</f>
        <v>131</v>
      </c>
      <c r="V20">
        <f>IF($A20="","",_xlfn.SUMIFS(Allocation!$K$1:$K$175,Allocation!$C$1:$C$175,$A20))</f>
        <v>22544725</v>
      </c>
      <c r="W20">
        <f>IF($A20="","",_xlfn.SUMIFS(Compta!$F$1:$F$1448,Compta!$A$1:$A$1448,$B20,Compta!$B$1:$B$1448,"621",Compta!$C$1:$C$1448,$A20))</f>
        <v>156948</v>
      </c>
      <c r="X20">
        <f>IF($A20="","",_xlfn.SUMIFS(Compta!$F$1:$F$1448,Compta!$A$1:$A$1448,$B20,Compta!$B$1:$B$1448,"6411",Compta!$C$1:$C$1448,$A20))</f>
        <v>362623</v>
      </c>
      <c r="Y20">
        <f>IF($A20="","",_xlfn.SUMIFS(Compta!$F$1:$F$1448,Compta!$A$1:$A$1448,$B20,Compta!$B$1:$B$1448,"604",Compta!$C$1:$C$1448,$A20)+_xlfn.SUMIFS(Compta!$F$1:$F$1448,Compta!$A$1:$A$1448,$B20,Compta!$B$1:$B$1448,"6063",Compta!$C$1:$C$1448,$A20))</f>
        <v>120559</v>
      </c>
      <c r="Z20">
        <f>IF($A20="","",_xlfn.SUMIFS(Compta!$F$1:$F$1448,Compta!$A$1:$A$1448,$B20,Compta!$B$1:$B$1448,"6231",Compta!$C$1:$C$1448,$A20))</f>
        <v>41783</v>
      </c>
      <c r="AA20">
        <f>IF($A20="","",_xlfn.SUMIFS(Compta!$F$1:$F$1448,Compta!$A$1:$A$1448,$B20,Compta!$B$1:$B$1448,"6413",Compta!$C$1:$C$1448,$A20)+_xlfn.SUMIFS(Compta!$F$1:$F$1448,Compta!$A$1:$A$1448,$B20,Compta!$B$1:$B$1448,"645",Compta!$C$1:$C$1448,$A20)+_xlfn.SUMIFS(Compta!$F$1:$F$1448,Compta!$A$1:$A$1448,$B20,Compta!$B$1:$B$1448,"613",Compta!$C$1:$C$1448,$A20)+_xlfn.SUMIFS(Compta!$F$1:$F$1448,Compta!$A$1:$A$1448,$B20,Compta!$B$1:$B$1448,"615",Compta!$C$1:$C$1448,$A20)+_xlfn.SUMIFS(Compta!$F$1:$F$1448,Compta!$A$1:$A$1448,$B20,Compta!$B$1:$B$1448,"616",Compta!$C$1:$C$1448,$A20)+_xlfn.SUMIFS(Compta!$F$1:$F$1448,Compta!$A$1:$A$1448,$B20,Compta!$B$1:$B$1448,"625",Compta!$C$1:$C$1448,$A20)+_xlfn.SUMIFS(Compta!$F$1:$F$1448,Compta!$A$1:$A$1448,$B20,Compta!$B$1:$B$1448,"63511",Compta!$C$1:$C$1448,$A20))</f>
        <v>857806</v>
      </c>
      <c r="AB20">
        <f>IF($A20="","",_xlfn.SUMIFS(Compta!$F$1:$F$1448,Compta!$A$1:$A$1448,"GRP",Compta!$B$1:$B$1448,"6414",Compta!$C$1:$C$1448,$A20)+_xlfn.SUMIFS(Compta!$F$1:$F$1448,Compta!$A$1:$A$1448,"GRP",Compta!$B$1:$B$1448,"6226",Compta!$C$1:$C$1448,$A20)+_xlfn.SUMIFS(Compta!$F$1:$F$1448,Compta!$A$1:$A$1448,"GRP",Compta!$B$1:$B$1448,"626",Compta!$C$1:$C$1448,$A20)+_xlfn.SUMIFS(Compta!$F$1:$F$1448,Compta!$A$1:$A$1448,"GRP",Compta!$B$1:$B$1448,"6281",Compta!$C$1:$C$1448,$A20)+_xlfn.SUMIFS(Compta!$F$1:$F$1448,Compta!$A$1:$A$1448,"GRP",Compta!$B$1:$B$1448,"6331",Compta!$C$1:$C$1448,$A20)+_xlfn.SUMIFS(Compta!$F$1:$F$1448,Compta!$A$1:$A$1448,"GRP",Compta!$B$1:$B$1448,"6333",Compta!$C$1:$C$1448,$A20))</f>
        <v>2891983</v>
      </c>
      <c r="AC20" t="s">
        <v>274</v>
      </c>
      <c r="AD20" t="s">
        <v>274</v>
      </c>
      <c r="AE20" t="s">
        <v>274</v>
      </c>
      <c r="AF20" t="s">
        <v>274</v>
      </c>
      <c r="AG20" t="s">
        <v>274</v>
      </c>
      <c r="AH20" t="s">
        <v>274</v>
      </c>
      <c r="AI20">
        <f t="shared" si="3"/>
        <v>31691.4230769231</v>
      </c>
      <c r="AJ20">
        <f t="shared" si="4"/>
        <v>73221.9519230769</v>
      </c>
      <c r="AK20">
        <f t="shared" si="5"/>
        <v>45449.8148148148</v>
      </c>
      <c r="AL20">
        <f t="shared" si="6"/>
        <v>0</v>
      </c>
      <c r="AM20">
        <f t="shared" si="7"/>
        <v>0</v>
      </c>
      <c r="AN20">
        <f t="shared" si="8"/>
        <v>375326.810185185</v>
      </c>
      <c r="AO20">
        <f>IF($A20="","",_xlfn.SUMIFS(Compta!$F$1:$F$1448,Compta!$A$1:$A$1448,"GRP",Compta!$B$1:$B$1448,"6236",Compta!$C$1:$C$1448,$A20))</f>
        <v>676344</v>
      </c>
      <c r="AP20" t="s">
        <v>274</v>
      </c>
      <c r="AQ20" t="s">
        <v>274</v>
      </c>
      <c r="AR20">
        <f t="shared" si="9"/>
        <v>0</v>
      </c>
    </row>
    <row r="21" ht="14.25" customHeight="1">
      <c r="A21" t="str">
        <f>IF(Allocation!C21="","",Allocation!C21)</f>
        <v>2026</v>
      </c>
      <c r="B21" t="str">
        <f>IF(Allocation!D21="","",Allocation!D21)</f>
        <v>MBWAY_LYO</v>
      </c>
      <c r="C21" t="str">
        <f>IF(Allocation!E21="","",Allocation!E21)</f>
        <v>MBWAY</v>
      </c>
      <c r="D21" t="str">
        <f>IF(Allocation!F21="","",Allocation!F21)</f>
        <v>MAS_MGT</v>
      </c>
      <c r="E21" t="str">
        <f>IF(Allocation!G21="","",Allocation!G21)</f>
        <v>M2</v>
      </c>
      <c r="F21" t="str">
        <f>IF(Allocation!H21="","",Allocation!H21)</f>
        <v>ALT</v>
      </c>
      <c r="G21">
        <f>IF(Allocation!D21="","",Allocation!I21)</f>
        <v>65</v>
      </c>
      <c r="H21">
        <f>IF(Allocation!D21="","",Allocation!J21)</f>
        <v>3</v>
      </c>
      <c r="I21">
        <f>IF(Allocation!D21="","",Allocation!K21)</f>
        <v>511875</v>
      </c>
      <c r="J21">
        <f>IF($A21="","",_xlfn.SUMIFS(Socle!$K$1:$K$448,Socle!$C$1:$C$448,$B21,Socle!$D$1:$D$448,$D21,Socle!$E$1:$E$448,$E21,Socle!$F$1:$F$448,$F21,Socle!$G$1:$G$448,$A21))</f>
        <v>0</v>
      </c>
      <c r="K21">
        <f t="shared" si="0"/>
        <v>1260</v>
      </c>
      <c r="L21">
        <f>IF($A21="","",_xlfn.SUMIFS(Allocation!$I$1:$I$175,Allocation!$C$1:$C$175,$A21,Allocation!$D$1:$D$175,$B21))</f>
        <v>324</v>
      </c>
      <c r="M21">
        <f>IF($A21="","",_xlfn.SUMIFS(Allocation!$J$1:$J$175,Allocation!$C$1:$C$175,$A21,Allocation!$D$1:$D$175,$B21))</f>
        <v>13</v>
      </c>
      <c r="N21">
        <f>IF($A21="","",_xlfn.SUMIFS(Allocation!$K$1:$K$175,Allocation!$C$1:$C$175,$A21,Allocation!$D$1:$D$175,$B21))</f>
        <v>2496705</v>
      </c>
      <c r="O21">
        <f t="shared" si="1"/>
        <v>6240</v>
      </c>
      <c r="P21">
        <f t="shared" si="2"/>
        <v>264</v>
      </c>
      <c r="Q21">
        <f>IF($A21="","",_xlfn.SUMIFS(Allocation!$I$1:$I$175,Allocation!$C$1:$C$175,$A21,Allocation!$E$1:$E$175,$C21))</f>
        <v>1249</v>
      </c>
      <c r="R21">
        <f>IF($A21="","",_xlfn.SUMIFS(Allocation!$J$1:$J$175,Allocation!$C$1:$C$175,$A21,Allocation!$E$1:$E$175,$C21))</f>
        <v>50</v>
      </c>
      <c r="S21">
        <f>IF($A21="","",_xlfn.SUMIFS(Allocation!$K$1:$K$175,Allocation!$C$1:$C$175,$A21,Allocation!$E$1:$E$175,$C21))</f>
        <v>9567455</v>
      </c>
      <c r="T21">
        <f>IF($A21="","",_xlfn.SUMIFS(Allocation!$I$1:$I$175,Allocation!$C$1:$C$175,$A21))</f>
        <v>3036</v>
      </c>
      <c r="U21">
        <f>IF($A21="","",_xlfn.SUMIFS(Allocation!$J$1:$J$175,Allocation!$C$1:$C$175,$A21))</f>
        <v>131</v>
      </c>
      <c r="V21">
        <f>IF($A21="","",_xlfn.SUMIFS(Allocation!$K$1:$K$175,Allocation!$C$1:$C$175,$A21))</f>
        <v>22544725</v>
      </c>
      <c r="W21">
        <f>IF($A21="","",_xlfn.SUMIFS(Compta!$F$1:$F$1448,Compta!$A$1:$A$1448,$B21,Compta!$B$1:$B$1448,"621",Compta!$C$1:$C$1448,$A21))</f>
        <v>156948</v>
      </c>
      <c r="X21">
        <f>IF($A21="","",_xlfn.SUMIFS(Compta!$F$1:$F$1448,Compta!$A$1:$A$1448,$B21,Compta!$B$1:$B$1448,"6411",Compta!$C$1:$C$1448,$A21))</f>
        <v>362623</v>
      </c>
      <c r="Y21">
        <f>IF($A21="","",_xlfn.SUMIFS(Compta!$F$1:$F$1448,Compta!$A$1:$A$1448,$B21,Compta!$B$1:$B$1448,"604",Compta!$C$1:$C$1448,$A21)+_xlfn.SUMIFS(Compta!$F$1:$F$1448,Compta!$A$1:$A$1448,$B21,Compta!$B$1:$B$1448,"6063",Compta!$C$1:$C$1448,$A21))</f>
        <v>120559</v>
      </c>
      <c r="Z21">
        <f>IF($A21="","",_xlfn.SUMIFS(Compta!$F$1:$F$1448,Compta!$A$1:$A$1448,$B21,Compta!$B$1:$B$1448,"6231",Compta!$C$1:$C$1448,$A21))</f>
        <v>41783</v>
      </c>
      <c r="AA21">
        <f>IF($A21="","",_xlfn.SUMIFS(Compta!$F$1:$F$1448,Compta!$A$1:$A$1448,$B21,Compta!$B$1:$B$1448,"6413",Compta!$C$1:$C$1448,$A21)+_xlfn.SUMIFS(Compta!$F$1:$F$1448,Compta!$A$1:$A$1448,$B21,Compta!$B$1:$B$1448,"645",Compta!$C$1:$C$1448,$A21)+_xlfn.SUMIFS(Compta!$F$1:$F$1448,Compta!$A$1:$A$1448,$B21,Compta!$B$1:$B$1448,"613",Compta!$C$1:$C$1448,$A21)+_xlfn.SUMIFS(Compta!$F$1:$F$1448,Compta!$A$1:$A$1448,$B21,Compta!$B$1:$B$1448,"615",Compta!$C$1:$C$1448,$A21)+_xlfn.SUMIFS(Compta!$F$1:$F$1448,Compta!$A$1:$A$1448,$B21,Compta!$B$1:$B$1448,"616",Compta!$C$1:$C$1448,$A21)+_xlfn.SUMIFS(Compta!$F$1:$F$1448,Compta!$A$1:$A$1448,$B21,Compta!$B$1:$B$1448,"625",Compta!$C$1:$C$1448,$A21)+_xlfn.SUMIFS(Compta!$F$1:$F$1448,Compta!$A$1:$A$1448,$B21,Compta!$B$1:$B$1448,"63511",Compta!$C$1:$C$1448,$A21))</f>
        <v>857806</v>
      </c>
      <c r="AB21">
        <f>IF($A21="","",_xlfn.SUMIFS(Compta!$F$1:$F$1448,Compta!$A$1:$A$1448,"GRP",Compta!$B$1:$B$1448,"6414",Compta!$C$1:$C$1448,$A21)+_xlfn.SUMIFS(Compta!$F$1:$F$1448,Compta!$A$1:$A$1448,"GRP",Compta!$B$1:$B$1448,"6226",Compta!$C$1:$C$1448,$A21)+_xlfn.SUMIFS(Compta!$F$1:$F$1448,Compta!$A$1:$A$1448,"GRP",Compta!$B$1:$B$1448,"626",Compta!$C$1:$C$1448,$A21)+_xlfn.SUMIFS(Compta!$F$1:$F$1448,Compta!$A$1:$A$1448,"GRP",Compta!$B$1:$B$1448,"6281",Compta!$C$1:$C$1448,$A21)+_xlfn.SUMIFS(Compta!$F$1:$F$1448,Compta!$A$1:$A$1448,"GRP",Compta!$B$1:$B$1448,"6331",Compta!$C$1:$C$1448,$A21)+_xlfn.SUMIFS(Compta!$F$1:$F$1448,Compta!$A$1:$A$1448,"GRP",Compta!$B$1:$B$1448,"6333",Compta!$C$1:$C$1448,$A21))</f>
        <v>2891983</v>
      </c>
      <c r="AC21" t="s">
        <v>274</v>
      </c>
      <c r="AD21" t="s">
        <v>274</v>
      </c>
      <c r="AE21" t="s">
        <v>274</v>
      </c>
      <c r="AF21" t="s">
        <v>274</v>
      </c>
      <c r="AG21" t="s">
        <v>274</v>
      </c>
      <c r="AH21" t="s">
        <v>274</v>
      </c>
      <c r="AI21">
        <f t="shared" si="3"/>
        <v>31691.4230769231</v>
      </c>
      <c r="AJ21">
        <f t="shared" si="4"/>
        <v>73221.9519230769</v>
      </c>
      <c r="AK21">
        <f t="shared" si="5"/>
        <v>24186.2191358025</v>
      </c>
      <c r="AL21">
        <f t="shared" si="6"/>
        <v>0</v>
      </c>
      <c r="AM21">
        <f t="shared" si="7"/>
        <v>0</v>
      </c>
      <c r="AN21">
        <f t="shared" si="8"/>
        <v>382775.405864198</v>
      </c>
      <c r="AO21">
        <f>IF($A21="","",_xlfn.SUMIFS(Compta!$F$1:$F$1448,Compta!$A$1:$A$1448,"GRP",Compta!$B$1:$B$1448,"6236",Compta!$C$1:$C$1448,$A21))</f>
        <v>676344</v>
      </c>
      <c r="AP21" t="s">
        <v>274</v>
      </c>
      <c r="AQ21" t="s">
        <v>274</v>
      </c>
      <c r="AR21">
        <f t="shared" si="9"/>
        <v>0</v>
      </c>
    </row>
    <row r="22" ht="14.25" customHeight="1">
      <c r="A22" t="str">
        <f>IF(Allocation!C22="","",Allocation!C22)</f>
        <v>2025</v>
      </c>
      <c r="B22" t="str">
        <f>IF(Allocation!D22="","",Allocation!D22)</f>
        <v>MBWAY_LYO</v>
      </c>
      <c r="C22" t="str">
        <f>IF(Allocation!E22="","",Allocation!E22)</f>
        <v>MBWAY</v>
      </c>
      <c r="D22" t="str">
        <f>IF(Allocation!F22="","",Allocation!F22)</f>
        <v>BAC_MGT</v>
      </c>
      <c r="E22" t="str">
        <f>IF(Allocation!G22="","",Allocation!G22)</f>
        <v>B1</v>
      </c>
      <c r="F22" t="str">
        <f>IF(Allocation!H22="","",Allocation!H22)</f>
        <v>INIT</v>
      </c>
      <c r="G22">
        <f>IF(Allocation!D22="","",Allocation!I22)</f>
        <v>62</v>
      </c>
      <c r="H22">
        <f>IF(Allocation!D22="","",Allocation!J22)</f>
        <v>3</v>
      </c>
      <c r="I22">
        <f>IF(Allocation!D22="","",Allocation!K22)</f>
        <v>493830</v>
      </c>
      <c r="J22">
        <f>IF($A22="","",_xlfn.SUMIFS(Socle!$K$1:$K$448,Socle!$C$1:$C$448,$B22,Socle!$D$1:$D$448,$D22,Socle!$E$1:$E$448,$E22,Socle!$F$1:$F$448,$F22,Socle!$G$1:$G$448,$A22))</f>
        <v>124</v>
      </c>
      <c r="K22">
        <f t="shared" si="0"/>
        <v>1800</v>
      </c>
      <c r="L22">
        <f>IF($A22="","",_xlfn.SUMIFS(Allocation!$I$1:$I$175,Allocation!$C$1:$C$175,$A22,Allocation!$D$1:$D$175,$B22))</f>
        <v>304</v>
      </c>
      <c r="M22">
        <f>IF($A22="","",_xlfn.SUMIFS(Allocation!$J$1:$J$175,Allocation!$C$1:$C$175,$A22,Allocation!$D$1:$D$175,$B22))</f>
        <v>13</v>
      </c>
      <c r="N22">
        <f>IF($A22="","",_xlfn.SUMIFS(Allocation!$K$1:$K$175,Allocation!$C$1:$C$175,$A22,Allocation!$D$1:$D$175,$B22))</f>
        <v>2342685</v>
      </c>
      <c r="O22">
        <f t="shared" si="1"/>
        <v>6240</v>
      </c>
      <c r="P22">
        <f t="shared" si="2"/>
        <v>248</v>
      </c>
      <c r="Q22">
        <f>IF($A22="","",_xlfn.SUMIFS(Allocation!$I$1:$I$175,Allocation!$C$1:$C$175,$A22,Allocation!$E$1:$E$175,$C22))</f>
        <v>1179</v>
      </c>
      <c r="R22">
        <f>IF($A22="","",_xlfn.SUMIFS(Allocation!$J$1:$J$175,Allocation!$C$1:$C$175,$A22,Allocation!$E$1:$E$175,$C22))</f>
        <v>50</v>
      </c>
      <c r="S22">
        <f>IF($A22="","",_xlfn.SUMIFS(Allocation!$K$1:$K$175,Allocation!$C$1:$C$175,$A22,Allocation!$E$1:$E$175,$C22))</f>
        <v>9032400</v>
      </c>
      <c r="T22">
        <f>IF($A22="","",_xlfn.SUMIFS(Allocation!$I$1:$I$175,Allocation!$C$1:$C$175,$A22))</f>
        <v>2860</v>
      </c>
      <c r="U22">
        <f>IF($A22="","",_xlfn.SUMIFS(Allocation!$J$1:$J$175,Allocation!$C$1:$C$175,$A22))</f>
        <v>131</v>
      </c>
      <c r="V22">
        <f>IF($A22="","",_xlfn.SUMIFS(Allocation!$K$1:$K$175,Allocation!$C$1:$C$175,$A22))</f>
        <v>21240140</v>
      </c>
      <c r="W22">
        <f>IF($A22="","",_xlfn.SUMIFS(Compta!$F$1:$F$1448,Compta!$A$1:$A$1448,$B22,Compta!$B$1:$B$1448,"621",Compta!$C$1:$C$1448,$A22))</f>
        <v>149798</v>
      </c>
      <c r="X22">
        <f>IF($A22="","",_xlfn.SUMIFS(Compta!$F$1:$F$1448,Compta!$A$1:$A$1448,$B22,Compta!$B$1:$B$1448,"6411",Compta!$C$1:$C$1448,$A22))</f>
        <v>346103</v>
      </c>
      <c r="Y22">
        <f>IF($A22="","",_xlfn.SUMIFS(Compta!$F$1:$F$1448,Compta!$A$1:$A$1448,$B22,Compta!$B$1:$B$1448,"604",Compta!$C$1:$C$1448,$A22)+_xlfn.SUMIFS(Compta!$F$1:$F$1448,Compta!$A$1:$A$1448,$B22,Compta!$B$1:$B$1448,"6063",Compta!$C$1:$C$1448,$A22))</f>
        <v>115067</v>
      </c>
      <c r="Z22">
        <f>IF($A22="","",_xlfn.SUMIFS(Compta!$F$1:$F$1448,Compta!$A$1:$A$1448,$B22,Compta!$B$1:$B$1448,"6231",Compta!$C$1:$C$1448,$A22))</f>
        <v>37985</v>
      </c>
      <c r="AA22">
        <f>IF($A22="","",_xlfn.SUMIFS(Compta!$F$1:$F$1448,Compta!$A$1:$A$1448,$B22,Compta!$B$1:$B$1448,"6413",Compta!$C$1:$C$1448,$A22)+_xlfn.SUMIFS(Compta!$F$1:$F$1448,Compta!$A$1:$A$1448,$B22,Compta!$B$1:$B$1448,"645",Compta!$C$1:$C$1448,$A22)+_xlfn.SUMIFS(Compta!$F$1:$F$1448,Compta!$A$1:$A$1448,$B22,Compta!$B$1:$B$1448,"613",Compta!$C$1:$C$1448,$A22)+_xlfn.SUMIFS(Compta!$F$1:$F$1448,Compta!$A$1:$A$1448,$B22,Compta!$B$1:$B$1448,"615",Compta!$C$1:$C$1448,$A22)+_xlfn.SUMIFS(Compta!$F$1:$F$1448,Compta!$A$1:$A$1448,$B22,Compta!$B$1:$B$1448,"616",Compta!$C$1:$C$1448,$A22)+_xlfn.SUMIFS(Compta!$F$1:$F$1448,Compta!$A$1:$A$1448,$B22,Compta!$B$1:$B$1448,"625",Compta!$C$1:$C$1448,$A22)+_xlfn.SUMIFS(Compta!$F$1:$F$1448,Compta!$A$1:$A$1448,$B22,Compta!$B$1:$B$1448,"63511",Compta!$C$1:$C$1448,$A22))</f>
        <v>818726</v>
      </c>
      <c r="AB22">
        <f>IF($A22="","",_xlfn.SUMIFS(Compta!$F$1:$F$1448,Compta!$A$1:$A$1448,"GRP",Compta!$B$1:$B$1448,"6414",Compta!$C$1:$C$1448,$A22)+_xlfn.SUMIFS(Compta!$F$1:$F$1448,Compta!$A$1:$A$1448,"GRP",Compta!$B$1:$B$1448,"6226",Compta!$C$1:$C$1448,$A22)+_xlfn.SUMIFS(Compta!$F$1:$F$1448,Compta!$A$1:$A$1448,"GRP",Compta!$B$1:$B$1448,"626",Compta!$C$1:$C$1448,$A22)+_xlfn.SUMIFS(Compta!$F$1:$F$1448,Compta!$A$1:$A$1448,"GRP",Compta!$B$1:$B$1448,"6281",Compta!$C$1:$C$1448,$A22)+_xlfn.SUMIFS(Compta!$F$1:$F$1448,Compta!$A$1:$A$1448,"GRP",Compta!$B$1:$B$1448,"6331",Compta!$C$1:$C$1448,$A22)+_xlfn.SUMIFS(Compta!$F$1:$F$1448,Compta!$A$1:$A$1448,"GRP",Compta!$B$1:$B$1448,"6333",Compta!$C$1:$C$1448,$A22))</f>
        <v>2760232</v>
      </c>
      <c r="AC22" t="s">
        <v>274</v>
      </c>
      <c r="AD22" t="s">
        <v>274</v>
      </c>
      <c r="AE22" t="s">
        <v>274</v>
      </c>
      <c r="AF22" t="s">
        <v>274</v>
      </c>
      <c r="AG22" t="s">
        <v>274</v>
      </c>
      <c r="AH22" t="s">
        <v>274</v>
      </c>
      <c r="AI22">
        <f t="shared" si="3"/>
        <v>43210.9615384615</v>
      </c>
      <c r="AJ22">
        <f t="shared" si="4"/>
        <v>99837.4038461538</v>
      </c>
      <c r="AK22">
        <f t="shared" si="5"/>
        <v>42460.1118421053</v>
      </c>
      <c r="AL22">
        <f t="shared" si="6"/>
        <v>0</v>
      </c>
      <c r="AM22">
        <f t="shared" si="7"/>
        <v>0</v>
      </c>
      <c r="AN22">
        <f t="shared" si="8"/>
        <v>308321.522773279</v>
      </c>
      <c r="AO22">
        <f>IF($A22="","",_xlfn.SUMIFS(Compta!$F$1:$F$1448,Compta!$A$1:$A$1448,"GRP",Compta!$B$1:$B$1448,"6236",Compta!$C$1:$C$1448,$A22))</f>
        <v>580167</v>
      </c>
      <c r="AP22" t="s">
        <v>274</v>
      </c>
      <c r="AQ22" t="s">
        <v>274</v>
      </c>
      <c r="AR22">
        <f t="shared" si="9"/>
        <v>0</v>
      </c>
    </row>
    <row r="23" ht="14.25" customHeight="1">
      <c r="A23" t="str">
        <f>IF(Allocation!C23="","",Allocation!C23)</f>
        <v>2025</v>
      </c>
      <c r="B23" t="str">
        <f>IF(Allocation!D23="","",Allocation!D23)</f>
        <v>MBWAY_LYO</v>
      </c>
      <c r="C23" t="str">
        <f>IF(Allocation!E23="","",Allocation!E23)</f>
        <v>MBWAY</v>
      </c>
      <c r="D23" t="str">
        <f>IF(Allocation!F23="","",Allocation!F23)</f>
        <v>BAC_MGT</v>
      </c>
      <c r="E23" t="str">
        <f>IF(Allocation!G23="","",Allocation!G23)</f>
        <v>B2</v>
      </c>
      <c r="F23" t="str">
        <f>IF(Allocation!H23="","",Allocation!H23)</f>
        <v>ALT</v>
      </c>
      <c r="G23">
        <f>IF(Allocation!D23="","",Allocation!I23)</f>
        <v>60</v>
      </c>
      <c r="H23">
        <f>IF(Allocation!D23="","",Allocation!J23)</f>
        <v>2</v>
      </c>
      <c r="I23">
        <f>IF(Allocation!D23="","",Allocation!K23)</f>
        <v>441000</v>
      </c>
      <c r="J23">
        <f>IF($A23="","",_xlfn.SUMIFS(Socle!$K$1:$K$448,Socle!$C$1:$C$448,$B23,Socle!$D$1:$D$448,$D23,Socle!$E$1:$E$448,$E23,Socle!$F$1:$F$448,$F23,Socle!$G$1:$G$448,$A23))</f>
        <v>0</v>
      </c>
      <c r="K23">
        <f t="shared" si="0"/>
        <v>960</v>
      </c>
      <c r="L23">
        <f>IF($A23="","",_xlfn.SUMIFS(Allocation!$I$1:$I$175,Allocation!$C$1:$C$175,$A23,Allocation!$D$1:$D$175,$B23))</f>
        <v>304</v>
      </c>
      <c r="M23">
        <f>IF($A23="","",_xlfn.SUMIFS(Allocation!$J$1:$J$175,Allocation!$C$1:$C$175,$A23,Allocation!$D$1:$D$175,$B23))</f>
        <v>13</v>
      </c>
      <c r="N23">
        <f>IF($A23="","",_xlfn.SUMIFS(Allocation!$K$1:$K$175,Allocation!$C$1:$C$175,$A23,Allocation!$D$1:$D$175,$B23))</f>
        <v>2342685</v>
      </c>
      <c r="O23">
        <f t="shared" si="1"/>
        <v>6240</v>
      </c>
      <c r="P23">
        <f t="shared" si="2"/>
        <v>248</v>
      </c>
      <c r="Q23">
        <f>IF($A23="","",_xlfn.SUMIFS(Allocation!$I$1:$I$175,Allocation!$C$1:$C$175,$A23,Allocation!$E$1:$E$175,$C23))</f>
        <v>1179</v>
      </c>
      <c r="R23">
        <f>IF($A23="","",_xlfn.SUMIFS(Allocation!$J$1:$J$175,Allocation!$C$1:$C$175,$A23,Allocation!$E$1:$E$175,$C23))</f>
        <v>50</v>
      </c>
      <c r="S23">
        <f>IF($A23="","",_xlfn.SUMIFS(Allocation!$K$1:$K$175,Allocation!$C$1:$C$175,$A23,Allocation!$E$1:$E$175,$C23))</f>
        <v>9032400</v>
      </c>
      <c r="T23">
        <f>IF($A23="","",_xlfn.SUMIFS(Allocation!$I$1:$I$175,Allocation!$C$1:$C$175,$A23))</f>
        <v>2860</v>
      </c>
      <c r="U23">
        <f>IF($A23="","",_xlfn.SUMIFS(Allocation!$J$1:$J$175,Allocation!$C$1:$C$175,$A23))</f>
        <v>131</v>
      </c>
      <c r="V23">
        <f>IF($A23="","",_xlfn.SUMIFS(Allocation!$K$1:$K$175,Allocation!$C$1:$C$175,$A23))</f>
        <v>21240140</v>
      </c>
      <c r="W23">
        <f>IF($A23="","",_xlfn.SUMIFS(Compta!$F$1:$F$1448,Compta!$A$1:$A$1448,$B23,Compta!$B$1:$B$1448,"621",Compta!$C$1:$C$1448,$A23))</f>
        <v>149798</v>
      </c>
      <c r="X23">
        <f>IF($A23="","",_xlfn.SUMIFS(Compta!$F$1:$F$1448,Compta!$A$1:$A$1448,$B23,Compta!$B$1:$B$1448,"6411",Compta!$C$1:$C$1448,$A23))</f>
        <v>346103</v>
      </c>
      <c r="Y23">
        <f>IF($A23="","",_xlfn.SUMIFS(Compta!$F$1:$F$1448,Compta!$A$1:$A$1448,$B23,Compta!$B$1:$B$1448,"604",Compta!$C$1:$C$1448,$A23)+_xlfn.SUMIFS(Compta!$F$1:$F$1448,Compta!$A$1:$A$1448,$B23,Compta!$B$1:$B$1448,"6063",Compta!$C$1:$C$1448,$A23))</f>
        <v>115067</v>
      </c>
      <c r="Z23">
        <f>IF($A23="","",_xlfn.SUMIFS(Compta!$F$1:$F$1448,Compta!$A$1:$A$1448,$B23,Compta!$B$1:$B$1448,"6231",Compta!$C$1:$C$1448,$A23))</f>
        <v>37985</v>
      </c>
      <c r="AA23">
        <f>IF($A23="","",_xlfn.SUMIFS(Compta!$F$1:$F$1448,Compta!$A$1:$A$1448,$B23,Compta!$B$1:$B$1448,"6413",Compta!$C$1:$C$1448,$A23)+_xlfn.SUMIFS(Compta!$F$1:$F$1448,Compta!$A$1:$A$1448,$B23,Compta!$B$1:$B$1448,"645",Compta!$C$1:$C$1448,$A23)+_xlfn.SUMIFS(Compta!$F$1:$F$1448,Compta!$A$1:$A$1448,$B23,Compta!$B$1:$B$1448,"613",Compta!$C$1:$C$1448,$A23)+_xlfn.SUMIFS(Compta!$F$1:$F$1448,Compta!$A$1:$A$1448,$B23,Compta!$B$1:$B$1448,"615",Compta!$C$1:$C$1448,$A23)+_xlfn.SUMIFS(Compta!$F$1:$F$1448,Compta!$A$1:$A$1448,$B23,Compta!$B$1:$B$1448,"616",Compta!$C$1:$C$1448,$A23)+_xlfn.SUMIFS(Compta!$F$1:$F$1448,Compta!$A$1:$A$1448,$B23,Compta!$B$1:$B$1448,"625",Compta!$C$1:$C$1448,$A23)+_xlfn.SUMIFS(Compta!$F$1:$F$1448,Compta!$A$1:$A$1448,$B23,Compta!$B$1:$B$1448,"63511",Compta!$C$1:$C$1448,$A23))</f>
        <v>818726</v>
      </c>
      <c r="AB23">
        <f>IF($A23="","",_xlfn.SUMIFS(Compta!$F$1:$F$1448,Compta!$A$1:$A$1448,"GRP",Compta!$B$1:$B$1448,"6414",Compta!$C$1:$C$1448,$A23)+_xlfn.SUMIFS(Compta!$F$1:$F$1448,Compta!$A$1:$A$1448,"GRP",Compta!$B$1:$B$1448,"6226",Compta!$C$1:$C$1448,$A23)+_xlfn.SUMIFS(Compta!$F$1:$F$1448,Compta!$A$1:$A$1448,"GRP",Compta!$B$1:$B$1448,"626",Compta!$C$1:$C$1448,$A23)+_xlfn.SUMIFS(Compta!$F$1:$F$1448,Compta!$A$1:$A$1448,"GRP",Compta!$B$1:$B$1448,"6281",Compta!$C$1:$C$1448,$A23)+_xlfn.SUMIFS(Compta!$F$1:$F$1448,Compta!$A$1:$A$1448,"GRP",Compta!$B$1:$B$1448,"6331",Compta!$C$1:$C$1448,$A23)+_xlfn.SUMIFS(Compta!$F$1:$F$1448,Compta!$A$1:$A$1448,"GRP",Compta!$B$1:$B$1448,"6333",Compta!$C$1:$C$1448,$A23))</f>
        <v>2760232</v>
      </c>
      <c r="AC23" t="s">
        <v>274</v>
      </c>
      <c r="AD23" t="s">
        <v>274</v>
      </c>
      <c r="AE23" t="s">
        <v>274</v>
      </c>
      <c r="AF23" t="s">
        <v>274</v>
      </c>
      <c r="AG23" t="s">
        <v>274</v>
      </c>
      <c r="AH23" t="s">
        <v>274</v>
      </c>
      <c r="AI23">
        <f t="shared" si="3"/>
        <v>23045.8461538462</v>
      </c>
      <c r="AJ23">
        <f t="shared" si="4"/>
        <v>53246.6153846154</v>
      </c>
      <c r="AK23">
        <f t="shared" si="5"/>
        <v>22710.5921052632</v>
      </c>
      <c r="AL23">
        <f t="shared" si="6"/>
        <v>0</v>
      </c>
      <c r="AM23">
        <f t="shared" si="7"/>
        <v>0</v>
      </c>
      <c r="AN23">
        <f t="shared" si="8"/>
        <v>341996.946356275</v>
      </c>
      <c r="AO23">
        <f>IF($A23="","",_xlfn.SUMIFS(Compta!$F$1:$F$1448,Compta!$A$1:$A$1448,"GRP",Compta!$B$1:$B$1448,"6236",Compta!$C$1:$C$1448,$A23))</f>
        <v>580167</v>
      </c>
      <c r="AP23" t="s">
        <v>274</v>
      </c>
      <c r="AQ23" t="s">
        <v>274</v>
      </c>
      <c r="AR23">
        <f t="shared" si="9"/>
        <v>0</v>
      </c>
    </row>
    <row r="24" ht="14.25" customHeight="1">
      <c r="A24" t="str">
        <f>IF(Allocation!C24="","",Allocation!C24)</f>
        <v>2025</v>
      </c>
      <c r="B24" t="str">
        <f>IF(Allocation!D24="","",Allocation!D24)</f>
        <v>MBWAY_LYO</v>
      </c>
      <c r="C24" t="str">
        <f>IF(Allocation!E24="","",Allocation!E24)</f>
        <v>MBWAY</v>
      </c>
      <c r="D24" t="str">
        <f>IF(Allocation!F24="","",Allocation!F24)</f>
        <v>BAC_MGT</v>
      </c>
      <c r="E24" t="str">
        <f>IF(Allocation!G24="","",Allocation!G24)</f>
        <v>B3</v>
      </c>
      <c r="F24" t="str">
        <f>IF(Allocation!H24="","",Allocation!H24)</f>
        <v>ALT</v>
      </c>
      <c r="G24">
        <f>IF(Allocation!D24="","",Allocation!I24)</f>
        <v>59</v>
      </c>
      <c r="H24">
        <f>IF(Allocation!D24="","",Allocation!J24)</f>
        <v>2</v>
      </c>
      <c r="I24">
        <f>IF(Allocation!D24="","",Allocation!K24)</f>
        <v>433650</v>
      </c>
      <c r="J24">
        <f>IF($A24="","",_xlfn.SUMIFS(Socle!$K$1:$K$448,Socle!$C$1:$C$448,$B24,Socle!$D$1:$D$448,$D24,Socle!$E$1:$E$448,$E24,Socle!$F$1:$F$448,$F24,Socle!$G$1:$G$448,$A24))</f>
        <v>0</v>
      </c>
      <c r="K24">
        <f t="shared" si="0"/>
        <v>960</v>
      </c>
      <c r="L24">
        <f>IF($A24="","",_xlfn.SUMIFS(Allocation!$I$1:$I$175,Allocation!$C$1:$C$175,$A24,Allocation!$D$1:$D$175,$B24))</f>
        <v>304</v>
      </c>
      <c r="M24">
        <f>IF($A24="","",_xlfn.SUMIFS(Allocation!$J$1:$J$175,Allocation!$C$1:$C$175,$A24,Allocation!$D$1:$D$175,$B24))</f>
        <v>13</v>
      </c>
      <c r="N24">
        <f>IF($A24="","",_xlfn.SUMIFS(Allocation!$K$1:$K$175,Allocation!$C$1:$C$175,$A24,Allocation!$D$1:$D$175,$B24))</f>
        <v>2342685</v>
      </c>
      <c r="O24">
        <f t="shared" si="1"/>
        <v>6240</v>
      </c>
      <c r="P24">
        <f t="shared" si="2"/>
        <v>248</v>
      </c>
      <c r="Q24">
        <f>IF($A24="","",_xlfn.SUMIFS(Allocation!$I$1:$I$175,Allocation!$C$1:$C$175,$A24,Allocation!$E$1:$E$175,$C24))</f>
        <v>1179</v>
      </c>
      <c r="R24">
        <f>IF($A24="","",_xlfn.SUMIFS(Allocation!$J$1:$J$175,Allocation!$C$1:$C$175,$A24,Allocation!$E$1:$E$175,$C24))</f>
        <v>50</v>
      </c>
      <c r="S24">
        <f>IF($A24="","",_xlfn.SUMIFS(Allocation!$K$1:$K$175,Allocation!$C$1:$C$175,$A24,Allocation!$E$1:$E$175,$C24))</f>
        <v>9032400</v>
      </c>
      <c r="T24">
        <f>IF($A24="","",_xlfn.SUMIFS(Allocation!$I$1:$I$175,Allocation!$C$1:$C$175,$A24))</f>
        <v>2860</v>
      </c>
      <c r="U24">
        <f>IF($A24="","",_xlfn.SUMIFS(Allocation!$J$1:$J$175,Allocation!$C$1:$C$175,$A24))</f>
        <v>131</v>
      </c>
      <c r="V24">
        <f>IF($A24="","",_xlfn.SUMIFS(Allocation!$K$1:$K$175,Allocation!$C$1:$C$175,$A24))</f>
        <v>21240140</v>
      </c>
      <c r="W24">
        <f>IF($A24="","",_xlfn.SUMIFS(Compta!$F$1:$F$1448,Compta!$A$1:$A$1448,$B24,Compta!$B$1:$B$1448,"621",Compta!$C$1:$C$1448,$A24))</f>
        <v>149798</v>
      </c>
      <c r="X24">
        <f>IF($A24="","",_xlfn.SUMIFS(Compta!$F$1:$F$1448,Compta!$A$1:$A$1448,$B24,Compta!$B$1:$B$1448,"6411",Compta!$C$1:$C$1448,$A24))</f>
        <v>346103</v>
      </c>
      <c r="Y24">
        <f>IF($A24="","",_xlfn.SUMIFS(Compta!$F$1:$F$1448,Compta!$A$1:$A$1448,$B24,Compta!$B$1:$B$1448,"604",Compta!$C$1:$C$1448,$A24)+_xlfn.SUMIFS(Compta!$F$1:$F$1448,Compta!$A$1:$A$1448,$B24,Compta!$B$1:$B$1448,"6063",Compta!$C$1:$C$1448,$A24))</f>
        <v>115067</v>
      </c>
      <c r="Z24">
        <f>IF($A24="","",_xlfn.SUMIFS(Compta!$F$1:$F$1448,Compta!$A$1:$A$1448,$B24,Compta!$B$1:$B$1448,"6231",Compta!$C$1:$C$1448,$A24))</f>
        <v>37985</v>
      </c>
      <c r="AA24">
        <f>IF($A24="","",_xlfn.SUMIFS(Compta!$F$1:$F$1448,Compta!$A$1:$A$1448,$B24,Compta!$B$1:$B$1448,"6413",Compta!$C$1:$C$1448,$A24)+_xlfn.SUMIFS(Compta!$F$1:$F$1448,Compta!$A$1:$A$1448,$B24,Compta!$B$1:$B$1448,"645",Compta!$C$1:$C$1448,$A24)+_xlfn.SUMIFS(Compta!$F$1:$F$1448,Compta!$A$1:$A$1448,$B24,Compta!$B$1:$B$1448,"613",Compta!$C$1:$C$1448,$A24)+_xlfn.SUMIFS(Compta!$F$1:$F$1448,Compta!$A$1:$A$1448,$B24,Compta!$B$1:$B$1448,"615",Compta!$C$1:$C$1448,$A24)+_xlfn.SUMIFS(Compta!$F$1:$F$1448,Compta!$A$1:$A$1448,$B24,Compta!$B$1:$B$1448,"616",Compta!$C$1:$C$1448,$A24)+_xlfn.SUMIFS(Compta!$F$1:$F$1448,Compta!$A$1:$A$1448,$B24,Compta!$B$1:$B$1448,"625",Compta!$C$1:$C$1448,$A24)+_xlfn.SUMIFS(Compta!$F$1:$F$1448,Compta!$A$1:$A$1448,$B24,Compta!$B$1:$B$1448,"63511",Compta!$C$1:$C$1448,$A24))</f>
        <v>818726</v>
      </c>
      <c r="AB24">
        <f>IF($A24="","",_xlfn.SUMIFS(Compta!$F$1:$F$1448,Compta!$A$1:$A$1448,"GRP",Compta!$B$1:$B$1448,"6414",Compta!$C$1:$C$1448,$A24)+_xlfn.SUMIFS(Compta!$F$1:$F$1448,Compta!$A$1:$A$1448,"GRP",Compta!$B$1:$B$1448,"6226",Compta!$C$1:$C$1448,$A24)+_xlfn.SUMIFS(Compta!$F$1:$F$1448,Compta!$A$1:$A$1448,"GRP",Compta!$B$1:$B$1448,"626",Compta!$C$1:$C$1448,$A24)+_xlfn.SUMIFS(Compta!$F$1:$F$1448,Compta!$A$1:$A$1448,"GRP",Compta!$B$1:$B$1448,"6281",Compta!$C$1:$C$1448,$A24)+_xlfn.SUMIFS(Compta!$F$1:$F$1448,Compta!$A$1:$A$1448,"GRP",Compta!$B$1:$B$1448,"6331",Compta!$C$1:$C$1448,$A24)+_xlfn.SUMIFS(Compta!$F$1:$F$1448,Compta!$A$1:$A$1448,"GRP",Compta!$B$1:$B$1448,"6333",Compta!$C$1:$C$1448,$A24))</f>
        <v>2760232</v>
      </c>
      <c r="AC24" t="s">
        <v>274</v>
      </c>
      <c r="AD24" t="s">
        <v>274</v>
      </c>
      <c r="AE24" t="s">
        <v>274</v>
      </c>
      <c r="AF24" t="s">
        <v>274</v>
      </c>
      <c r="AG24" t="s">
        <v>274</v>
      </c>
      <c r="AH24" t="s">
        <v>274</v>
      </c>
      <c r="AI24">
        <f t="shared" si="3"/>
        <v>23045.8461538462</v>
      </c>
      <c r="AJ24">
        <f t="shared" si="4"/>
        <v>53246.6153846154</v>
      </c>
      <c r="AK24">
        <f t="shared" si="5"/>
        <v>22332.0822368421</v>
      </c>
      <c r="AL24">
        <f t="shared" si="6"/>
        <v>0</v>
      </c>
      <c r="AM24">
        <f t="shared" si="7"/>
        <v>0</v>
      </c>
      <c r="AN24">
        <f t="shared" si="8"/>
        <v>335025.456224696</v>
      </c>
      <c r="AO24">
        <f>IF($A24="","",_xlfn.SUMIFS(Compta!$F$1:$F$1448,Compta!$A$1:$A$1448,"GRP",Compta!$B$1:$B$1448,"6236",Compta!$C$1:$C$1448,$A24))</f>
        <v>580167</v>
      </c>
      <c r="AP24" t="s">
        <v>274</v>
      </c>
      <c r="AQ24" t="s">
        <v>274</v>
      </c>
      <c r="AR24">
        <f t="shared" si="9"/>
        <v>0</v>
      </c>
    </row>
    <row r="25" ht="14.25" customHeight="1">
      <c r="A25" t="str">
        <f>IF(Allocation!C25="","",Allocation!C25)</f>
        <v>2025</v>
      </c>
      <c r="B25" t="str">
        <f>IF(Allocation!D25="","",Allocation!D25)</f>
        <v>MBWAY_LYO</v>
      </c>
      <c r="C25" t="str">
        <f>IF(Allocation!E25="","",Allocation!E25)</f>
        <v>MBWAY</v>
      </c>
      <c r="D25" t="str">
        <f>IF(Allocation!F25="","",Allocation!F25)</f>
        <v>MAS_MGT</v>
      </c>
      <c r="E25" t="str">
        <f>IF(Allocation!G25="","",Allocation!G25)</f>
        <v>M1</v>
      </c>
      <c r="F25" t="str">
        <f>IF(Allocation!H25="","",Allocation!H25)</f>
        <v>ALT</v>
      </c>
      <c r="G25">
        <f>IF(Allocation!D25="","",Allocation!I25)</f>
        <v>62</v>
      </c>
      <c r="H25">
        <f>IF(Allocation!D25="","",Allocation!J25)</f>
        <v>3</v>
      </c>
      <c r="I25">
        <f>IF(Allocation!D25="","",Allocation!K25)</f>
        <v>493830</v>
      </c>
      <c r="J25">
        <f>IF($A25="","",_xlfn.SUMIFS(Socle!$K$1:$K$448,Socle!$C$1:$C$448,$B25,Socle!$D$1:$D$448,$D25,Socle!$E$1:$E$448,$E25,Socle!$F$1:$F$448,$F25,Socle!$G$1:$G$448,$A25))</f>
        <v>124</v>
      </c>
      <c r="K25">
        <f t="shared" si="0"/>
        <v>1260</v>
      </c>
      <c r="L25">
        <f>IF($A25="","",_xlfn.SUMIFS(Allocation!$I$1:$I$175,Allocation!$C$1:$C$175,$A25,Allocation!$D$1:$D$175,$B25))</f>
        <v>304</v>
      </c>
      <c r="M25">
        <f>IF($A25="","",_xlfn.SUMIFS(Allocation!$J$1:$J$175,Allocation!$C$1:$C$175,$A25,Allocation!$D$1:$D$175,$B25))</f>
        <v>13</v>
      </c>
      <c r="N25">
        <f>IF($A25="","",_xlfn.SUMIFS(Allocation!$K$1:$K$175,Allocation!$C$1:$C$175,$A25,Allocation!$D$1:$D$175,$B25))</f>
        <v>2342685</v>
      </c>
      <c r="O25">
        <f t="shared" si="1"/>
        <v>6240</v>
      </c>
      <c r="P25">
        <f t="shared" si="2"/>
        <v>248</v>
      </c>
      <c r="Q25">
        <f>IF($A25="","",_xlfn.SUMIFS(Allocation!$I$1:$I$175,Allocation!$C$1:$C$175,$A25,Allocation!$E$1:$E$175,$C25))</f>
        <v>1179</v>
      </c>
      <c r="R25">
        <f>IF($A25="","",_xlfn.SUMIFS(Allocation!$J$1:$J$175,Allocation!$C$1:$C$175,$A25,Allocation!$E$1:$E$175,$C25))</f>
        <v>50</v>
      </c>
      <c r="S25">
        <f>IF($A25="","",_xlfn.SUMIFS(Allocation!$K$1:$K$175,Allocation!$C$1:$C$175,$A25,Allocation!$E$1:$E$175,$C25))</f>
        <v>9032400</v>
      </c>
      <c r="T25">
        <f>IF($A25="","",_xlfn.SUMIFS(Allocation!$I$1:$I$175,Allocation!$C$1:$C$175,$A25))</f>
        <v>2860</v>
      </c>
      <c r="U25">
        <f>IF($A25="","",_xlfn.SUMIFS(Allocation!$J$1:$J$175,Allocation!$C$1:$C$175,$A25))</f>
        <v>131</v>
      </c>
      <c r="V25">
        <f>IF($A25="","",_xlfn.SUMIFS(Allocation!$K$1:$K$175,Allocation!$C$1:$C$175,$A25))</f>
        <v>21240140</v>
      </c>
      <c r="W25">
        <f>IF($A25="","",_xlfn.SUMIFS(Compta!$F$1:$F$1448,Compta!$A$1:$A$1448,$B25,Compta!$B$1:$B$1448,"621",Compta!$C$1:$C$1448,$A25))</f>
        <v>149798</v>
      </c>
      <c r="X25">
        <f>IF($A25="","",_xlfn.SUMIFS(Compta!$F$1:$F$1448,Compta!$A$1:$A$1448,$B25,Compta!$B$1:$B$1448,"6411",Compta!$C$1:$C$1448,$A25))</f>
        <v>346103</v>
      </c>
      <c r="Y25">
        <f>IF($A25="","",_xlfn.SUMIFS(Compta!$F$1:$F$1448,Compta!$A$1:$A$1448,$B25,Compta!$B$1:$B$1448,"604",Compta!$C$1:$C$1448,$A25)+_xlfn.SUMIFS(Compta!$F$1:$F$1448,Compta!$A$1:$A$1448,$B25,Compta!$B$1:$B$1448,"6063",Compta!$C$1:$C$1448,$A25))</f>
        <v>115067</v>
      </c>
      <c r="Z25">
        <f>IF($A25="","",_xlfn.SUMIFS(Compta!$F$1:$F$1448,Compta!$A$1:$A$1448,$B25,Compta!$B$1:$B$1448,"6231",Compta!$C$1:$C$1448,$A25))</f>
        <v>37985</v>
      </c>
      <c r="AA25">
        <f>IF($A25="","",_xlfn.SUMIFS(Compta!$F$1:$F$1448,Compta!$A$1:$A$1448,$B25,Compta!$B$1:$B$1448,"6413",Compta!$C$1:$C$1448,$A25)+_xlfn.SUMIFS(Compta!$F$1:$F$1448,Compta!$A$1:$A$1448,$B25,Compta!$B$1:$B$1448,"645",Compta!$C$1:$C$1448,$A25)+_xlfn.SUMIFS(Compta!$F$1:$F$1448,Compta!$A$1:$A$1448,$B25,Compta!$B$1:$B$1448,"613",Compta!$C$1:$C$1448,$A25)+_xlfn.SUMIFS(Compta!$F$1:$F$1448,Compta!$A$1:$A$1448,$B25,Compta!$B$1:$B$1448,"615",Compta!$C$1:$C$1448,$A25)+_xlfn.SUMIFS(Compta!$F$1:$F$1448,Compta!$A$1:$A$1448,$B25,Compta!$B$1:$B$1448,"616",Compta!$C$1:$C$1448,$A25)+_xlfn.SUMIFS(Compta!$F$1:$F$1448,Compta!$A$1:$A$1448,$B25,Compta!$B$1:$B$1448,"625",Compta!$C$1:$C$1448,$A25)+_xlfn.SUMIFS(Compta!$F$1:$F$1448,Compta!$A$1:$A$1448,$B25,Compta!$B$1:$B$1448,"63511",Compta!$C$1:$C$1448,$A25))</f>
        <v>818726</v>
      </c>
      <c r="AB25">
        <f>IF($A25="","",_xlfn.SUMIFS(Compta!$F$1:$F$1448,Compta!$A$1:$A$1448,"GRP",Compta!$B$1:$B$1448,"6414",Compta!$C$1:$C$1448,$A25)+_xlfn.SUMIFS(Compta!$F$1:$F$1448,Compta!$A$1:$A$1448,"GRP",Compta!$B$1:$B$1448,"6226",Compta!$C$1:$C$1448,$A25)+_xlfn.SUMIFS(Compta!$F$1:$F$1448,Compta!$A$1:$A$1448,"GRP",Compta!$B$1:$B$1448,"626",Compta!$C$1:$C$1448,$A25)+_xlfn.SUMIFS(Compta!$F$1:$F$1448,Compta!$A$1:$A$1448,"GRP",Compta!$B$1:$B$1448,"6281",Compta!$C$1:$C$1448,$A25)+_xlfn.SUMIFS(Compta!$F$1:$F$1448,Compta!$A$1:$A$1448,"GRP",Compta!$B$1:$B$1448,"6331",Compta!$C$1:$C$1448,$A25)+_xlfn.SUMIFS(Compta!$F$1:$F$1448,Compta!$A$1:$A$1448,"GRP",Compta!$B$1:$B$1448,"6333",Compta!$C$1:$C$1448,$A25))</f>
        <v>2760232</v>
      </c>
      <c r="AC25" t="s">
        <v>274</v>
      </c>
      <c r="AD25" t="s">
        <v>274</v>
      </c>
      <c r="AE25" t="s">
        <v>274</v>
      </c>
      <c r="AF25" t="s">
        <v>274</v>
      </c>
      <c r="AG25" t="s">
        <v>274</v>
      </c>
      <c r="AH25" t="s">
        <v>274</v>
      </c>
      <c r="AI25">
        <f t="shared" si="3"/>
        <v>30247.6730769231</v>
      </c>
      <c r="AJ25">
        <f t="shared" si="4"/>
        <v>69886.1826923077</v>
      </c>
      <c r="AK25">
        <f t="shared" si="5"/>
        <v>42460.1118421053</v>
      </c>
      <c r="AL25">
        <f t="shared" si="6"/>
        <v>0</v>
      </c>
      <c r="AM25">
        <f t="shared" si="7"/>
        <v>0</v>
      </c>
      <c r="AN25">
        <f t="shared" si="8"/>
        <v>351236.032388664</v>
      </c>
      <c r="AO25">
        <f>IF($A25="","",_xlfn.SUMIFS(Compta!$F$1:$F$1448,Compta!$A$1:$A$1448,"GRP",Compta!$B$1:$B$1448,"6236",Compta!$C$1:$C$1448,$A25))</f>
        <v>580167</v>
      </c>
      <c r="AP25" t="s">
        <v>274</v>
      </c>
      <c r="AQ25" t="s">
        <v>274</v>
      </c>
      <c r="AR25">
        <f t="shared" si="9"/>
        <v>0</v>
      </c>
    </row>
    <row r="26" ht="14.25" customHeight="1">
      <c r="A26" t="str">
        <f>IF(Allocation!C26="","",Allocation!C26)</f>
        <v>2025</v>
      </c>
      <c r="B26" t="str">
        <f>IF(Allocation!D26="","",Allocation!D26)</f>
        <v>MBWAY_LYO</v>
      </c>
      <c r="C26" t="str">
        <f>IF(Allocation!E26="","",Allocation!E26)</f>
        <v>MBWAY</v>
      </c>
      <c r="D26" t="str">
        <f>IF(Allocation!F26="","",Allocation!F26)</f>
        <v>MAS_MGT</v>
      </c>
      <c r="E26" t="str">
        <f>IF(Allocation!G26="","",Allocation!G26)</f>
        <v>M2</v>
      </c>
      <c r="F26" t="str">
        <f>IF(Allocation!H26="","",Allocation!H26)</f>
        <v>ALT</v>
      </c>
      <c r="G26">
        <f>IF(Allocation!D26="","",Allocation!I26)</f>
        <v>61</v>
      </c>
      <c r="H26">
        <f>IF(Allocation!D26="","",Allocation!J26)</f>
        <v>3</v>
      </c>
      <c r="I26">
        <f>IF(Allocation!D26="","",Allocation!K26)</f>
        <v>480375</v>
      </c>
      <c r="J26">
        <f>IF($A26="","",_xlfn.SUMIFS(Socle!$K$1:$K$448,Socle!$C$1:$C$448,$B26,Socle!$D$1:$D$448,$D26,Socle!$E$1:$E$448,$E26,Socle!$F$1:$F$448,$F26,Socle!$G$1:$G$448,$A26))</f>
        <v>0</v>
      </c>
      <c r="K26">
        <f t="shared" si="0"/>
        <v>1260</v>
      </c>
      <c r="L26">
        <f>IF($A26="","",_xlfn.SUMIFS(Allocation!$I$1:$I$175,Allocation!$C$1:$C$175,$A26,Allocation!$D$1:$D$175,$B26))</f>
        <v>304</v>
      </c>
      <c r="M26">
        <f>IF($A26="","",_xlfn.SUMIFS(Allocation!$J$1:$J$175,Allocation!$C$1:$C$175,$A26,Allocation!$D$1:$D$175,$B26))</f>
        <v>13</v>
      </c>
      <c r="N26">
        <f>IF($A26="","",_xlfn.SUMIFS(Allocation!$K$1:$K$175,Allocation!$C$1:$C$175,$A26,Allocation!$D$1:$D$175,$B26))</f>
        <v>2342685</v>
      </c>
      <c r="O26">
        <f t="shared" si="1"/>
        <v>6240</v>
      </c>
      <c r="P26">
        <f t="shared" si="2"/>
        <v>248</v>
      </c>
      <c r="Q26">
        <f>IF($A26="","",_xlfn.SUMIFS(Allocation!$I$1:$I$175,Allocation!$C$1:$C$175,$A26,Allocation!$E$1:$E$175,$C26))</f>
        <v>1179</v>
      </c>
      <c r="R26">
        <f>IF($A26="","",_xlfn.SUMIFS(Allocation!$J$1:$J$175,Allocation!$C$1:$C$175,$A26,Allocation!$E$1:$E$175,$C26))</f>
        <v>50</v>
      </c>
      <c r="S26">
        <f>IF($A26="","",_xlfn.SUMIFS(Allocation!$K$1:$K$175,Allocation!$C$1:$C$175,$A26,Allocation!$E$1:$E$175,$C26))</f>
        <v>9032400</v>
      </c>
      <c r="T26">
        <f>IF($A26="","",_xlfn.SUMIFS(Allocation!$I$1:$I$175,Allocation!$C$1:$C$175,$A26))</f>
        <v>2860</v>
      </c>
      <c r="U26">
        <f>IF($A26="","",_xlfn.SUMIFS(Allocation!$J$1:$J$175,Allocation!$C$1:$C$175,$A26))</f>
        <v>131</v>
      </c>
      <c r="V26">
        <f>IF($A26="","",_xlfn.SUMIFS(Allocation!$K$1:$K$175,Allocation!$C$1:$C$175,$A26))</f>
        <v>21240140</v>
      </c>
      <c r="W26">
        <f>IF($A26="","",_xlfn.SUMIFS(Compta!$F$1:$F$1448,Compta!$A$1:$A$1448,$B26,Compta!$B$1:$B$1448,"621",Compta!$C$1:$C$1448,$A26))</f>
        <v>149798</v>
      </c>
      <c r="X26">
        <f>IF($A26="","",_xlfn.SUMIFS(Compta!$F$1:$F$1448,Compta!$A$1:$A$1448,$B26,Compta!$B$1:$B$1448,"6411",Compta!$C$1:$C$1448,$A26))</f>
        <v>346103</v>
      </c>
      <c r="Y26">
        <f>IF($A26="","",_xlfn.SUMIFS(Compta!$F$1:$F$1448,Compta!$A$1:$A$1448,$B26,Compta!$B$1:$B$1448,"604",Compta!$C$1:$C$1448,$A26)+_xlfn.SUMIFS(Compta!$F$1:$F$1448,Compta!$A$1:$A$1448,$B26,Compta!$B$1:$B$1448,"6063",Compta!$C$1:$C$1448,$A26))</f>
        <v>115067</v>
      </c>
      <c r="Z26">
        <f>IF($A26="","",_xlfn.SUMIFS(Compta!$F$1:$F$1448,Compta!$A$1:$A$1448,$B26,Compta!$B$1:$B$1448,"6231",Compta!$C$1:$C$1448,$A26))</f>
        <v>37985</v>
      </c>
      <c r="AA26">
        <f>IF($A26="","",_xlfn.SUMIFS(Compta!$F$1:$F$1448,Compta!$A$1:$A$1448,$B26,Compta!$B$1:$B$1448,"6413",Compta!$C$1:$C$1448,$A26)+_xlfn.SUMIFS(Compta!$F$1:$F$1448,Compta!$A$1:$A$1448,$B26,Compta!$B$1:$B$1448,"645",Compta!$C$1:$C$1448,$A26)+_xlfn.SUMIFS(Compta!$F$1:$F$1448,Compta!$A$1:$A$1448,$B26,Compta!$B$1:$B$1448,"613",Compta!$C$1:$C$1448,$A26)+_xlfn.SUMIFS(Compta!$F$1:$F$1448,Compta!$A$1:$A$1448,$B26,Compta!$B$1:$B$1448,"615",Compta!$C$1:$C$1448,$A26)+_xlfn.SUMIFS(Compta!$F$1:$F$1448,Compta!$A$1:$A$1448,$B26,Compta!$B$1:$B$1448,"616",Compta!$C$1:$C$1448,$A26)+_xlfn.SUMIFS(Compta!$F$1:$F$1448,Compta!$A$1:$A$1448,$B26,Compta!$B$1:$B$1448,"625",Compta!$C$1:$C$1448,$A26)+_xlfn.SUMIFS(Compta!$F$1:$F$1448,Compta!$A$1:$A$1448,$B26,Compta!$B$1:$B$1448,"63511",Compta!$C$1:$C$1448,$A26))</f>
        <v>818726</v>
      </c>
      <c r="AB26">
        <f>IF($A26="","",_xlfn.SUMIFS(Compta!$F$1:$F$1448,Compta!$A$1:$A$1448,"GRP",Compta!$B$1:$B$1448,"6414",Compta!$C$1:$C$1448,$A26)+_xlfn.SUMIFS(Compta!$F$1:$F$1448,Compta!$A$1:$A$1448,"GRP",Compta!$B$1:$B$1448,"6226",Compta!$C$1:$C$1448,$A26)+_xlfn.SUMIFS(Compta!$F$1:$F$1448,Compta!$A$1:$A$1448,"GRP",Compta!$B$1:$B$1448,"626",Compta!$C$1:$C$1448,$A26)+_xlfn.SUMIFS(Compta!$F$1:$F$1448,Compta!$A$1:$A$1448,"GRP",Compta!$B$1:$B$1448,"6281",Compta!$C$1:$C$1448,$A26)+_xlfn.SUMIFS(Compta!$F$1:$F$1448,Compta!$A$1:$A$1448,"GRP",Compta!$B$1:$B$1448,"6331",Compta!$C$1:$C$1448,$A26)+_xlfn.SUMIFS(Compta!$F$1:$F$1448,Compta!$A$1:$A$1448,"GRP",Compta!$B$1:$B$1448,"6333",Compta!$C$1:$C$1448,$A26))</f>
        <v>2760232</v>
      </c>
      <c r="AC26" t="s">
        <v>274</v>
      </c>
      <c r="AD26" t="s">
        <v>274</v>
      </c>
      <c r="AE26" t="s">
        <v>274</v>
      </c>
      <c r="AF26" t="s">
        <v>274</v>
      </c>
      <c r="AG26" t="s">
        <v>274</v>
      </c>
      <c r="AH26" t="s">
        <v>274</v>
      </c>
      <c r="AI26">
        <f t="shared" si="3"/>
        <v>30247.6730769231</v>
      </c>
      <c r="AJ26">
        <f t="shared" si="4"/>
        <v>69886.1826923077</v>
      </c>
      <c r="AK26">
        <f t="shared" si="5"/>
        <v>23089.1019736842</v>
      </c>
      <c r="AL26">
        <f t="shared" si="6"/>
        <v>0</v>
      </c>
      <c r="AM26">
        <f t="shared" si="7"/>
        <v>0</v>
      </c>
      <c r="AN26">
        <f t="shared" si="8"/>
        <v>357152.042257085</v>
      </c>
      <c r="AO26">
        <f>IF($A26="","",_xlfn.SUMIFS(Compta!$F$1:$F$1448,Compta!$A$1:$A$1448,"GRP",Compta!$B$1:$B$1448,"6236",Compta!$C$1:$C$1448,$A26))</f>
        <v>580167</v>
      </c>
      <c r="AP26" t="s">
        <v>274</v>
      </c>
      <c r="AQ26" t="s">
        <v>274</v>
      </c>
      <c r="AR26">
        <f t="shared" si="9"/>
        <v>0</v>
      </c>
    </row>
    <row r="27" ht="14.25" customHeight="1">
      <c r="A27" t="str">
        <f>IF(Allocation!C27="","",Allocation!C27)</f>
        <v>2024</v>
      </c>
      <c r="B27" t="str">
        <f>IF(Allocation!D27="","",Allocation!D27)</f>
        <v>MBWAY_LYO</v>
      </c>
      <c r="C27" t="str">
        <f>IF(Allocation!E27="","",Allocation!E27)</f>
        <v>MBWAY</v>
      </c>
      <c r="D27" t="str">
        <f>IF(Allocation!F27="","",Allocation!F27)</f>
        <v>BAC_MGT</v>
      </c>
      <c r="E27" t="str">
        <f>IF(Allocation!G27="","",Allocation!G27)</f>
        <v>B1</v>
      </c>
      <c r="F27" t="str">
        <f>IF(Allocation!H27="","",Allocation!H27)</f>
        <v>INIT</v>
      </c>
      <c r="G27">
        <f>IF(Allocation!D27="","",Allocation!I27)</f>
        <v>59</v>
      </c>
      <c r="H27">
        <f>IF(Allocation!D27="","",Allocation!J27)</f>
        <v>3</v>
      </c>
      <c r="I27">
        <f>IF(Allocation!D27="","",Allocation!K27)</f>
        <v>469935</v>
      </c>
      <c r="J27">
        <f>IF($A27="","",_xlfn.SUMIFS(Socle!$K$1:$K$448,Socle!$C$1:$C$448,$B27,Socle!$D$1:$D$448,$D27,Socle!$E$1:$E$448,$E27,Socle!$F$1:$F$448,$F27,Socle!$G$1:$G$448,$A27))</f>
        <v>118</v>
      </c>
      <c r="K27">
        <f t="shared" si="0"/>
        <v>1800</v>
      </c>
      <c r="L27">
        <f>IF($A27="","",_xlfn.SUMIFS(Allocation!$I$1:$I$175,Allocation!$C$1:$C$175,$A27,Allocation!$D$1:$D$175,$B27))</f>
        <v>289</v>
      </c>
      <c r="M27">
        <f>IF($A27="","",_xlfn.SUMIFS(Allocation!$J$1:$J$175,Allocation!$C$1:$C$175,$A27,Allocation!$D$1:$D$175,$B27))</f>
        <v>13</v>
      </c>
      <c r="N27">
        <f>IF($A27="","",_xlfn.SUMIFS(Allocation!$K$1:$K$175,Allocation!$C$1:$C$175,$A27,Allocation!$D$1:$D$175,$B27))</f>
        <v>2227170</v>
      </c>
      <c r="O27">
        <f t="shared" si="1"/>
        <v>6240</v>
      </c>
      <c r="P27">
        <f t="shared" si="2"/>
        <v>236</v>
      </c>
      <c r="Q27">
        <f>IF($A27="","",_xlfn.SUMIFS(Allocation!$I$1:$I$175,Allocation!$C$1:$C$175,$A27,Allocation!$E$1:$E$175,$C27))</f>
        <v>1112</v>
      </c>
      <c r="R27">
        <f>IF($A27="","",_xlfn.SUMIFS(Allocation!$J$1:$J$175,Allocation!$C$1:$C$175,$A27,Allocation!$E$1:$E$175,$C27))</f>
        <v>50</v>
      </c>
      <c r="S27">
        <f>IF($A27="","",_xlfn.SUMIFS(Allocation!$K$1:$K$175,Allocation!$C$1:$C$175,$A27,Allocation!$E$1:$E$175,$C27))</f>
        <v>8517270</v>
      </c>
      <c r="T27">
        <f>IF($A27="","",_xlfn.SUMIFS(Allocation!$I$1:$I$175,Allocation!$C$1:$C$175,$A27))</f>
        <v>2704</v>
      </c>
      <c r="U27">
        <f>IF($A27="","",_xlfn.SUMIFS(Allocation!$J$1:$J$175,Allocation!$C$1:$C$175,$A27))</f>
        <v>131</v>
      </c>
      <c r="V27">
        <f>IF($A27="","",_xlfn.SUMIFS(Allocation!$K$1:$K$175,Allocation!$C$1:$C$175,$A27))</f>
        <v>20076860</v>
      </c>
      <c r="W27">
        <f>IF($A27="","",_xlfn.SUMIFS(Compta!$F$1:$F$1448,Compta!$A$1:$A$1448,$B27,Compta!$B$1:$B$1448,"621",Compta!$C$1:$C$1448,$A27))</f>
        <v>143235</v>
      </c>
      <c r="X27">
        <f>IF($A27="","",_xlfn.SUMIFS(Compta!$F$1:$F$1448,Compta!$A$1:$A$1448,$B27,Compta!$B$1:$B$1448,"6411",Compta!$C$1:$C$1448,$A27))</f>
        <v>330938</v>
      </c>
      <c r="Y27">
        <f>IF($A27="","",_xlfn.SUMIFS(Compta!$F$1:$F$1448,Compta!$A$1:$A$1448,$B27,Compta!$B$1:$B$1448,"604",Compta!$C$1:$C$1448,$A27)+_xlfn.SUMIFS(Compta!$F$1:$F$1448,Compta!$A$1:$A$1448,$B27,Compta!$B$1:$B$1448,"6063",Compta!$C$1:$C$1448,$A27))</f>
        <v>110025</v>
      </c>
      <c r="Z27">
        <f>IF($A27="","",_xlfn.SUMIFS(Compta!$F$1:$F$1448,Compta!$A$1:$A$1448,$B27,Compta!$B$1:$B$1448,"6231",Compta!$C$1:$C$1448,$A27))</f>
        <v>34532</v>
      </c>
      <c r="AA27">
        <f>IF($A27="","",_xlfn.SUMIFS(Compta!$F$1:$F$1448,Compta!$A$1:$A$1448,$B27,Compta!$B$1:$B$1448,"6413",Compta!$C$1:$C$1448,$A27)+_xlfn.SUMIFS(Compta!$F$1:$F$1448,Compta!$A$1:$A$1448,$B27,Compta!$B$1:$B$1448,"645",Compta!$C$1:$C$1448,$A27)+_xlfn.SUMIFS(Compta!$F$1:$F$1448,Compta!$A$1:$A$1448,$B27,Compta!$B$1:$B$1448,"613",Compta!$C$1:$C$1448,$A27)+_xlfn.SUMIFS(Compta!$F$1:$F$1448,Compta!$A$1:$A$1448,$B27,Compta!$B$1:$B$1448,"615",Compta!$C$1:$C$1448,$A27)+_xlfn.SUMIFS(Compta!$F$1:$F$1448,Compta!$A$1:$A$1448,$B27,Compta!$B$1:$B$1448,"616",Compta!$C$1:$C$1448,$A27)+_xlfn.SUMIFS(Compta!$F$1:$F$1448,Compta!$A$1:$A$1448,$B27,Compta!$B$1:$B$1448,"625",Compta!$C$1:$C$1448,$A27)+_xlfn.SUMIFS(Compta!$F$1:$F$1448,Compta!$A$1:$A$1448,$B27,Compta!$B$1:$B$1448,"63511",Compta!$C$1:$C$1448,$A27))</f>
        <v>782854</v>
      </c>
      <c r="AB27">
        <f>IF($A27="","",_xlfn.SUMIFS(Compta!$F$1:$F$1448,Compta!$A$1:$A$1448,"GRP",Compta!$B$1:$B$1448,"6414",Compta!$C$1:$C$1448,$A27)+_xlfn.SUMIFS(Compta!$F$1:$F$1448,Compta!$A$1:$A$1448,"GRP",Compta!$B$1:$B$1448,"6226",Compta!$C$1:$C$1448,$A27)+_xlfn.SUMIFS(Compta!$F$1:$F$1448,Compta!$A$1:$A$1448,"GRP",Compta!$B$1:$B$1448,"626",Compta!$C$1:$C$1448,$A27)+_xlfn.SUMIFS(Compta!$F$1:$F$1448,Compta!$A$1:$A$1448,"GRP",Compta!$B$1:$B$1448,"6281",Compta!$C$1:$C$1448,$A27)+_xlfn.SUMIFS(Compta!$F$1:$F$1448,Compta!$A$1:$A$1448,"GRP",Compta!$B$1:$B$1448,"6331",Compta!$C$1:$C$1448,$A27)+_xlfn.SUMIFS(Compta!$F$1:$F$1448,Compta!$A$1:$A$1448,"GRP",Compta!$B$1:$B$1448,"6333",Compta!$C$1:$C$1448,$A27))</f>
        <v>2639292</v>
      </c>
      <c r="AC27" t="s">
        <v>274</v>
      </c>
      <c r="AD27" t="s">
        <v>274</v>
      </c>
      <c r="AE27" t="s">
        <v>274</v>
      </c>
      <c r="AF27" t="s">
        <v>274</v>
      </c>
      <c r="AG27" t="s">
        <v>274</v>
      </c>
      <c r="AH27" t="s">
        <v>274</v>
      </c>
      <c r="AI27">
        <f t="shared" si="3"/>
        <v>41317.7884615385</v>
      </c>
      <c r="AJ27">
        <f t="shared" si="4"/>
        <v>95462.8846153846</v>
      </c>
      <c r="AK27">
        <f t="shared" si="5"/>
        <v>39727.8512110727</v>
      </c>
      <c r="AL27">
        <f t="shared" si="6"/>
        <v>0</v>
      </c>
      <c r="AM27">
        <f t="shared" si="7"/>
        <v>0</v>
      </c>
      <c r="AN27">
        <f t="shared" si="8"/>
        <v>293426.475712004</v>
      </c>
      <c r="AO27">
        <f>IF($A27="","",_xlfn.SUMIFS(Compta!$F$1:$F$1448,Compta!$A$1:$A$1448,"GRP",Compta!$B$1:$B$1448,"6236",Compta!$C$1:$C$1448,$A27))</f>
        <v>499926</v>
      </c>
      <c r="AP27" t="s">
        <v>274</v>
      </c>
      <c r="AQ27" t="s">
        <v>274</v>
      </c>
      <c r="AR27">
        <f t="shared" si="9"/>
        <v>0</v>
      </c>
    </row>
    <row r="28" ht="14.25" customHeight="1">
      <c r="A28" t="str">
        <f>IF(Allocation!C28="","",Allocation!C28)</f>
        <v>2024</v>
      </c>
      <c r="B28" t="str">
        <f>IF(Allocation!D28="","",Allocation!D28)</f>
        <v>MBWAY_LYO</v>
      </c>
      <c r="C28" t="str">
        <f>IF(Allocation!E28="","",Allocation!E28)</f>
        <v>MBWAY</v>
      </c>
      <c r="D28" t="str">
        <f>IF(Allocation!F28="","",Allocation!F28)</f>
        <v>BAC_MGT</v>
      </c>
      <c r="E28" t="str">
        <f>IF(Allocation!G28="","",Allocation!G28)</f>
        <v>B2</v>
      </c>
      <c r="F28" t="str">
        <f>IF(Allocation!H28="","",Allocation!H28)</f>
        <v>ALT</v>
      </c>
      <c r="G28">
        <f>IF(Allocation!D28="","",Allocation!I28)</f>
        <v>57</v>
      </c>
      <c r="H28">
        <f>IF(Allocation!D28="","",Allocation!J28)</f>
        <v>2</v>
      </c>
      <c r="I28">
        <f>IF(Allocation!D28="","",Allocation!K28)</f>
        <v>418950</v>
      </c>
      <c r="J28">
        <f>IF($A28="","",_xlfn.SUMIFS(Socle!$K$1:$K$448,Socle!$C$1:$C$448,$B28,Socle!$D$1:$D$448,$D28,Socle!$E$1:$E$448,$E28,Socle!$F$1:$F$448,$F28,Socle!$G$1:$G$448,$A28))</f>
        <v>0</v>
      </c>
      <c r="K28">
        <f t="shared" si="0"/>
        <v>960</v>
      </c>
      <c r="L28">
        <f>IF($A28="","",_xlfn.SUMIFS(Allocation!$I$1:$I$175,Allocation!$C$1:$C$175,$A28,Allocation!$D$1:$D$175,$B28))</f>
        <v>289</v>
      </c>
      <c r="M28">
        <f>IF($A28="","",_xlfn.SUMIFS(Allocation!$J$1:$J$175,Allocation!$C$1:$C$175,$A28,Allocation!$D$1:$D$175,$B28))</f>
        <v>13</v>
      </c>
      <c r="N28">
        <f>IF($A28="","",_xlfn.SUMIFS(Allocation!$K$1:$K$175,Allocation!$C$1:$C$175,$A28,Allocation!$D$1:$D$175,$B28))</f>
        <v>2227170</v>
      </c>
      <c r="O28">
        <f t="shared" si="1"/>
        <v>6240</v>
      </c>
      <c r="P28">
        <f t="shared" si="2"/>
        <v>236</v>
      </c>
      <c r="Q28">
        <f>IF($A28="","",_xlfn.SUMIFS(Allocation!$I$1:$I$175,Allocation!$C$1:$C$175,$A28,Allocation!$E$1:$E$175,$C28))</f>
        <v>1112</v>
      </c>
      <c r="R28">
        <f>IF($A28="","",_xlfn.SUMIFS(Allocation!$J$1:$J$175,Allocation!$C$1:$C$175,$A28,Allocation!$E$1:$E$175,$C28))</f>
        <v>50</v>
      </c>
      <c r="S28">
        <f>IF($A28="","",_xlfn.SUMIFS(Allocation!$K$1:$K$175,Allocation!$C$1:$C$175,$A28,Allocation!$E$1:$E$175,$C28))</f>
        <v>8517270</v>
      </c>
      <c r="T28">
        <f>IF($A28="","",_xlfn.SUMIFS(Allocation!$I$1:$I$175,Allocation!$C$1:$C$175,$A28))</f>
        <v>2704</v>
      </c>
      <c r="U28">
        <f>IF($A28="","",_xlfn.SUMIFS(Allocation!$J$1:$J$175,Allocation!$C$1:$C$175,$A28))</f>
        <v>131</v>
      </c>
      <c r="V28">
        <f>IF($A28="","",_xlfn.SUMIFS(Allocation!$K$1:$K$175,Allocation!$C$1:$C$175,$A28))</f>
        <v>20076860</v>
      </c>
      <c r="W28">
        <f>IF($A28="","",_xlfn.SUMIFS(Compta!$F$1:$F$1448,Compta!$A$1:$A$1448,$B28,Compta!$B$1:$B$1448,"621",Compta!$C$1:$C$1448,$A28))</f>
        <v>143235</v>
      </c>
      <c r="X28">
        <f>IF($A28="","",_xlfn.SUMIFS(Compta!$F$1:$F$1448,Compta!$A$1:$A$1448,$B28,Compta!$B$1:$B$1448,"6411",Compta!$C$1:$C$1448,$A28))</f>
        <v>330938</v>
      </c>
      <c r="Y28">
        <f>IF($A28="","",_xlfn.SUMIFS(Compta!$F$1:$F$1448,Compta!$A$1:$A$1448,$B28,Compta!$B$1:$B$1448,"604",Compta!$C$1:$C$1448,$A28)+_xlfn.SUMIFS(Compta!$F$1:$F$1448,Compta!$A$1:$A$1448,$B28,Compta!$B$1:$B$1448,"6063",Compta!$C$1:$C$1448,$A28))</f>
        <v>110025</v>
      </c>
      <c r="Z28">
        <f>IF($A28="","",_xlfn.SUMIFS(Compta!$F$1:$F$1448,Compta!$A$1:$A$1448,$B28,Compta!$B$1:$B$1448,"6231",Compta!$C$1:$C$1448,$A28))</f>
        <v>34532</v>
      </c>
      <c r="AA28">
        <f>IF($A28="","",_xlfn.SUMIFS(Compta!$F$1:$F$1448,Compta!$A$1:$A$1448,$B28,Compta!$B$1:$B$1448,"6413",Compta!$C$1:$C$1448,$A28)+_xlfn.SUMIFS(Compta!$F$1:$F$1448,Compta!$A$1:$A$1448,$B28,Compta!$B$1:$B$1448,"645",Compta!$C$1:$C$1448,$A28)+_xlfn.SUMIFS(Compta!$F$1:$F$1448,Compta!$A$1:$A$1448,$B28,Compta!$B$1:$B$1448,"613",Compta!$C$1:$C$1448,$A28)+_xlfn.SUMIFS(Compta!$F$1:$F$1448,Compta!$A$1:$A$1448,$B28,Compta!$B$1:$B$1448,"615",Compta!$C$1:$C$1448,$A28)+_xlfn.SUMIFS(Compta!$F$1:$F$1448,Compta!$A$1:$A$1448,$B28,Compta!$B$1:$B$1448,"616",Compta!$C$1:$C$1448,$A28)+_xlfn.SUMIFS(Compta!$F$1:$F$1448,Compta!$A$1:$A$1448,$B28,Compta!$B$1:$B$1448,"625",Compta!$C$1:$C$1448,$A28)+_xlfn.SUMIFS(Compta!$F$1:$F$1448,Compta!$A$1:$A$1448,$B28,Compta!$B$1:$B$1448,"63511",Compta!$C$1:$C$1448,$A28))</f>
        <v>782854</v>
      </c>
      <c r="AB28">
        <f>IF($A28="","",_xlfn.SUMIFS(Compta!$F$1:$F$1448,Compta!$A$1:$A$1448,"GRP",Compta!$B$1:$B$1448,"6414",Compta!$C$1:$C$1448,$A28)+_xlfn.SUMIFS(Compta!$F$1:$F$1448,Compta!$A$1:$A$1448,"GRP",Compta!$B$1:$B$1448,"6226",Compta!$C$1:$C$1448,$A28)+_xlfn.SUMIFS(Compta!$F$1:$F$1448,Compta!$A$1:$A$1448,"GRP",Compta!$B$1:$B$1448,"626",Compta!$C$1:$C$1448,$A28)+_xlfn.SUMIFS(Compta!$F$1:$F$1448,Compta!$A$1:$A$1448,"GRP",Compta!$B$1:$B$1448,"6281",Compta!$C$1:$C$1448,$A28)+_xlfn.SUMIFS(Compta!$F$1:$F$1448,Compta!$A$1:$A$1448,"GRP",Compta!$B$1:$B$1448,"6331",Compta!$C$1:$C$1448,$A28)+_xlfn.SUMIFS(Compta!$F$1:$F$1448,Compta!$A$1:$A$1448,"GRP",Compta!$B$1:$B$1448,"6333",Compta!$C$1:$C$1448,$A28))</f>
        <v>2639292</v>
      </c>
      <c r="AC28" t="s">
        <v>274</v>
      </c>
      <c r="AD28" t="s">
        <v>274</v>
      </c>
      <c r="AE28" t="s">
        <v>274</v>
      </c>
      <c r="AF28" t="s">
        <v>274</v>
      </c>
      <c r="AG28" t="s">
        <v>274</v>
      </c>
      <c r="AH28" t="s">
        <v>274</v>
      </c>
      <c r="AI28">
        <f t="shared" si="3"/>
        <v>22036.1538461538</v>
      </c>
      <c r="AJ28">
        <f t="shared" si="4"/>
        <v>50913.5384615385</v>
      </c>
      <c r="AK28">
        <f t="shared" si="5"/>
        <v>21700.4325259516</v>
      </c>
      <c r="AL28">
        <f t="shared" si="6"/>
        <v>0</v>
      </c>
      <c r="AM28">
        <f t="shared" si="7"/>
        <v>0</v>
      </c>
      <c r="AN28">
        <f t="shared" si="8"/>
        <v>324299.875166356</v>
      </c>
      <c r="AO28">
        <f>IF($A28="","",_xlfn.SUMIFS(Compta!$F$1:$F$1448,Compta!$A$1:$A$1448,"GRP",Compta!$B$1:$B$1448,"6236",Compta!$C$1:$C$1448,$A28))</f>
        <v>499926</v>
      </c>
      <c r="AP28" t="s">
        <v>274</v>
      </c>
      <c r="AQ28" t="s">
        <v>274</v>
      </c>
      <c r="AR28">
        <f t="shared" si="9"/>
        <v>0</v>
      </c>
    </row>
    <row r="29" ht="14.25" customHeight="1">
      <c r="A29" t="str">
        <f>IF(Allocation!C29="","",Allocation!C29)</f>
        <v>2024</v>
      </c>
      <c r="B29" t="str">
        <f>IF(Allocation!D29="","",Allocation!D29)</f>
        <v>MBWAY_LYO</v>
      </c>
      <c r="C29" t="str">
        <f>IF(Allocation!E29="","",Allocation!E29)</f>
        <v>MBWAY</v>
      </c>
      <c r="D29" t="str">
        <f>IF(Allocation!F29="","",Allocation!F29)</f>
        <v>BAC_MGT</v>
      </c>
      <c r="E29" t="str">
        <f>IF(Allocation!G29="","",Allocation!G29)</f>
        <v>B3</v>
      </c>
      <c r="F29" t="str">
        <f>IF(Allocation!H29="","",Allocation!H29)</f>
        <v>ALT</v>
      </c>
      <c r="G29">
        <f>IF(Allocation!D29="","",Allocation!I29)</f>
        <v>56</v>
      </c>
      <c r="H29">
        <f>IF(Allocation!D29="","",Allocation!J29)</f>
        <v>2</v>
      </c>
      <c r="I29">
        <f>IF(Allocation!D29="","",Allocation!K29)</f>
        <v>411600</v>
      </c>
      <c r="J29">
        <f>IF($A29="","",_xlfn.SUMIFS(Socle!$K$1:$K$448,Socle!$C$1:$C$448,$B29,Socle!$D$1:$D$448,$D29,Socle!$E$1:$E$448,$E29,Socle!$F$1:$F$448,$F29,Socle!$G$1:$G$448,$A29))</f>
        <v>0</v>
      </c>
      <c r="K29">
        <f t="shared" si="0"/>
        <v>960</v>
      </c>
      <c r="L29">
        <f>IF($A29="","",_xlfn.SUMIFS(Allocation!$I$1:$I$175,Allocation!$C$1:$C$175,$A29,Allocation!$D$1:$D$175,$B29))</f>
        <v>289</v>
      </c>
      <c r="M29">
        <f>IF($A29="","",_xlfn.SUMIFS(Allocation!$J$1:$J$175,Allocation!$C$1:$C$175,$A29,Allocation!$D$1:$D$175,$B29))</f>
        <v>13</v>
      </c>
      <c r="N29">
        <f>IF($A29="","",_xlfn.SUMIFS(Allocation!$K$1:$K$175,Allocation!$C$1:$C$175,$A29,Allocation!$D$1:$D$175,$B29))</f>
        <v>2227170</v>
      </c>
      <c r="O29">
        <f t="shared" si="1"/>
        <v>6240</v>
      </c>
      <c r="P29">
        <f t="shared" si="2"/>
        <v>236</v>
      </c>
      <c r="Q29">
        <f>IF($A29="","",_xlfn.SUMIFS(Allocation!$I$1:$I$175,Allocation!$C$1:$C$175,$A29,Allocation!$E$1:$E$175,$C29))</f>
        <v>1112</v>
      </c>
      <c r="R29">
        <f>IF($A29="","",_xlfn.SUMIFS(Allocation!$J$1:$J$175,Allocation!$C$1:$C$175,$A29,Allocation!$E$1:$E$175,$C29))</f>
        <v>50</v>
      </c>
      <c r="S29">
        <f>IF($A29="","",_xlfn.SUMIFS(Allocation!$K$1:$K$175,Allocation!$C$1:$C$175,$A29,Allocation!$E$1:$E$175,$C29))</f>
        <v>8517270</v>
      </c>
      <c r="T29">
        <f>IF($A29="","",_xlfn.SUMIFS(Allocation!$I$1:$I$175,Allocation!$C$1:$C$175,$A29))</f>
        <v>2704</v>
      </c>
      <c r="U29">
        <f>IF($A29="","",_xlfn.SUMIFS(Allocation!$J$1:$J$175,Allocation!$C$1:$C$175,$A29))</f>
        <v>131</v>
      </c>
      <c r="V29">
        <f>IF($A29="","",_xlfn.SUMIFS(Allocation!$K$1:$K$175,Allocation!$C$1:$C$175,$A29))</f>
        <v>20076860</v>
      </c>
      <c r="W29">
        <f>IF($A29="","",_xlfn.SUMIFS(Compta!$F$1:$F$1448,Compta!$A$1:$A$1448,$B29,Compta!$B$1:$B$1448,"621",Compta!$C$1:$C$1448,$A29))</f>
        <v>143235</v>
      </c>
      <c r="X29">
        <f>IF($A29="","",_xlfn.SUMIFS(Compta!$F$1:$F$1448,Compta!$A$1:$A$1448,$B29,Compta!$B$1:$B$1448,"6411",Compta!$C$1:$C$1448,$A29))</f>
        <v>330938</v>
      </c>
      <c r="Y29">
        <f>IF($A29="","",_xlfn.SUMIFS(Compta!$F$1:$F$1448,Compta!$A$1:$A$1448,$B29,Compta!$B$1:$B$1448,"604",Compta!$C$1:$C$1448,$A29)+_xlfn.SUMIFS(Compta!$F$1:$F$1448,Compta!$A$1:$A$1448,$B29,Compta!$B$1:$B$1448,"6063",Compta!$C$1:$C$1448,$A29))</f>
        <v>110025</v>
      </c>
      <c r="Z29">
        <f>IF($A29="","",_xlfn.SUMIFS(Compta!$F$1:$F$1448,Compta!$A$1:$A$1448,$B29,Compta!$B$1:$B$1448,"6231",Compta!$C$1:$C$1448,$A29))</f>
        <v>34532</v>
      </c>
      <c r="AA29">
        <f>IF($A29="","",_xlfn.SUMIFS(Compta!$F$1:$F$1448,Compta!$A$1:$A$1448,$B29,Compta!$B$1:$B$1448,"6413",Compta!$C$1:$C$1448,$A29)+_xlfn.SUMIFS(Compta!$F$1:$F$1448,Compta!$A$1:$A$1448,$B29,Compta!$B$1:$B$1448,"645",Compta!$C$1:$C$1448,$A29)+_xlfn.SUMIFS(Compta!$F$1:$F$1448,Compta!$A$1:$A$1448,$B29,Compta!$B$1:$B$1448,"613",Compta!$C$1:$C$1448,$A29)+_xlfn.SUMIFS(Compta!$F$1:$F$1448,Compta!$A$1:$A$1448,$B29,Compta!$B$1:$B$1448,"615",Compta!$C$1:$C$1448,$A29)+_xlfn.SUMIFS(Compta!$F$1:$F$1448,Compta!$A$1:$A$1448,$B29,Compta!$B$1:$B$1448,"616",Compta!$C$1:$C$1448,$A29)+_xlfn.SUMIFS(Compta!$F$1:$F$1448,Compta!$A$1:$A$1448,$B29,Compta!$B$1:$B$1448,"625",Compta!$C$1:$C$1448,$A29)+_xlfn.SUMIFS(Compta!$F$1:$F$1448,Compta!$A$1:$A$1448,$B29,Compta!$B$1:$B$1448,"63511",Compta!$C$1:$C$1448,$A29))</f>
        <v>782854</v>
      </c>
      <c r="AB29">
        <f>IF($A29="","",_xlfn.SUMIFS(Compta!$F$1:$F$1448,Compta!$A$1:$A$1448,"GRP",Compta!$B$1:$B$1448,"6414",Compta!$C$1:$C$1448,$A29)+_xlfn.SUMIFS(Compta!$F$1:$F$1448,Compta!$A$1:$A$1448,"GRP",Compta!$B$1:$B$1448,"6226",Compta!$C$1:$C$1448,$A29)+_xlfn.SUMIFS(Compta!$F$1:$F$1448,Compta!$A$1:$A$1448,"GRP",Compta!$B$1:$B$1448,"626",Compta!$C$1:$C$1448,$A29)+_xlfn.SUMIFS(Compta!$F$1:$F$1448,Compta!$A$1:$A$1448,"GRP",Compta!$B$1:$B$1448,"6281",Compta!$C$1:$C$1448,$A29)+_xlfn.SUMIFS(Compta!$F$1:$F$1448,Compta!$A$1:$A$1448,"GRP",Compta!$B$1:$B$1448,"6331",Compta!$C$1:$C$1448,$A29)+_xlfn.SUMIFS(Compta!$F$1:$F$1448,Compta!$A$1:$A$1448,"GRP",Compta!$B$1:$B$1448,"6333",Compta!$C$1:$C$1448,$A29))</f>
        <v>2639292</v>
      </c>
      <c r="AC29" t="s">
        <v>274</v>
      </c>
      <c r="AD29" t="s">
        <v>274</v>
      </c>
      <c r="AE29" t="s">
        <v>274</v>
      </c>
      <c r="AF29" t="s">
        <v>274</v>
      </c>
      <c r="AG29" t="s">
        <v>274</v>
      </c>
      <c r="AH29" t="s">
        <v>274</v>
      </c>
      <c r="AI29">
        <f t="shared" si="3"/>
        <v>22036.1538461538</v>
      </c>
      <c r="AJ29">
        <f t="shared" si="4"/>
        <v>50913.5384615385</v>
      </c>
      <c r="AK29">
        <f t="shared" si="5"/>
        <v>21319.723183391</v>
      </c>
      <c r="AL29">
        <f t="shared" si="6"/>
        <v>0</v>
      </c>
      <c r="AM29">
        <f t="shared" si="7"/>
        <v>0</v>
      </c>
      <c r="AN29">
        <f t="shared" si="8"/>
        <v>317330.584508917</v>
      </c>
      <c r="AO29">
        <f>IF($A29="","",_xlfn.SUMIFS(Compta!$F$1:$F$1448,Compta!$A$1:$A$1448,"GRP",Compta!$B$1:$B$1448,"6236",Compta!$C$1:$C$1448,$A29))</f>
        <v>499926</v>
      </c>
      <c r="AP29" t="s">
        <v>274</v>
      </c>
      <c r="AQ29" t="s">
        <v>274</v>
      </c>
      <c r="AR29">
        <f t="shared" si="9"/>
        <v>0</v>
      </c>
    </row>
    <row r="30" ht="14.25" customHeight="1">
      <c r="A30" t="str">
        <f>IF(Allocation!C30="","",Allocation!C30)</f>
        <v>2024</v>
      </c>
      <c r="B30" t="str">
        <f>IF(Allocation!D30="","",Allocation!D30)</f>
        <v>MBWAY_LYO</v>
      </c>
      <c r="C30" t="str">
        <f>IF(Allocation!E30="","",Allocation!E30)</f>
        <v>MBWAY</v>
      </c>
      <c r="D30" t="str">
        <f>IF(Allocation!F30="","",Allocation!F30)</f>
        <v>MAS_MGT</v>
      </c>
      <c r="E30" t="str">
        <f>IF(Allocation!G30="","",Allocation!G30)</f>
        <v>M1</v>
      </c>
      <c r="F30" t="str">
        <f>IF(Allocation!H30="","",Allocation!H30)</f>
        <v>ALT</v>
      </c>
      <c r="G30">
        <f>IF(Allocation!D30="","",Allocation!I30)</f>
        <v>59</v>
      </c>
      <c r="H30">
        <f>IF(Allocation!D30="","",Allocation!J30)</f>
        <v>3</v>
      </c>
      <c r="I30">
        <f>IF(Allocation!D30="","",Allocation!K30)</f>
        <v>469935</v>
      </c>
      <c r="J30">
        <f>IF($A30="","",_xlfn.SUMIFS(Socle!$K$1:$K$448,Socle!$C$1:$C$448,$B30,Socle!$D$1:$D$448,$D30,Socle!$E$1:$E$448,$E30,Socle!$F$1:$F$448,$F30,Socle!$G$1:$G$448,$A30))</f>
        <v>118</v>
      </c>
      <c r="K30">
        <f t="shared" si="0"/>
        <v>1260</v>
      </c>
      <c r="L30">
        <f>IF($A30="","",_xlfn.SUMIFS(Allocation!$I$1:$I$175,Allocation!$C$1:$C$175,$A30,Allocation!$D$1:$D$175,$B30))</f>
        <v>289</v>
      </c>
      <c r="M30">
        <f>IF($A30="","",_xlfn.SUMIFS(Allocation!$J$1:$J$175,Allocation!$C$1:$C$175,$A30,Allocation!$D$1:$D$175,$B30))</f>
        <v>13</v>
      </c>
      <c r="N30">
        <f>IF($A30="","",_xlfn.SUMIFS(Allocation!$K$1:$K$175,Allocation!$C$1:$C$175,$A30,Allocation!$D$1:$D$175,$B30))</f>
        <v>2227170</v>
      </c>
      <c r="O30">
        <f t="shared" si="1"/>
        <v>6240</v>
      </c>
      <c r="P30">
        <f t="shared" si="2"/>
        <v>236</v>
      </c>
      <c r="Q30">
        <f>IF($A30="","",_xlfn.SUMIFS(Allocation!$I$1:$I$175,Allocation!$C$1:$C$175,$A30,Allocation!$E$1:$E$175,$C30))</f>
        <v>1112</v>
      </c>
      <c r="R30">
        <f>IF($A30="","",_xlfn.SUMIFS(Allocation!$J$1:$J$175,Allocation!$C$1:$C$175,$A30,Allocation!$E$1:$E$175,$C30))</f>
        <v>50</v>
      </c>
      <c r="S30">
        <f>IF($A30="","",_xlfn.SUMIFS(Allocation!$K$1:$K$175,Allocation!$C$1:$C$175,$A30,Allocation!$E$1:$E$175,$C30))</f>
        <v>8517270</v>
      </c>
      <c r="T30">
        <f>IF($A30="","",_xlfn.SUMIFS(Allocation!$I$1:$I$175,Allocation!$C$1:$C$175,$A30))</f>
        <v>2704</v>
      </c>
      <c r="U30">
        <f>IF($A30="","",_xlfn.SUMIFS(Allocation!$J$1:$J$175,Allocation!$C$1:$C$175,$A30))</f>
        <v>131</v>
      </c>
      <c r="V30">
        <f>IF($A30="","",_xlfn.SUMIFS(Allocation!$K$1:$K$175,Allocation!$C$1:$C$175,$A30))</f>
        <v>20076860</v>
      </c>
      <c r="W30">
        <f>IF($A30="","",_xlfn.SUMIFS(Compta!$F$1:$F$1448,Compta!$A$1:$A$1448,$B30,Compta!$B$1:$B$1448,"621",Compta!$C$1:$C$1448,$A30))</f>
        <v>143235</v>
      </c>
      <c r="X30">
        <f>IF($A30="","",_xlfn.SUMIFS(Compta!$F$1:$F$1448,Compta!$A$1:$A$1448,$B30,Compta!$B$1:$B$1448,"6411",Compta!$C$1:$C$1448,$A30))</f>
        <v>330938</v>
      </c>
      <c r="Y30">
        <f>IF($A30="","",_xlfn.SUMIFS(Compta!$F$1:$F$1448,Compta!$A$1:$A$1448,$B30,Compta!$B$1:$B$1448,"604",Compta!$C$1:$C$1448,$A30)+_xlfn.SUMIFS(Compta!$F$1:$F$1448,Compta!$A$1:$A$1448,$B30,Compta!$B$1:$B$1448,"6063",Compta!$C$1:$C$1448,$A30))</f>
        <v>110025</v>
      </c>
      <c r="Z30">
        <f>IF($A30="","",_xlfn.SUMIFS(Compta!$F$1:$F$1448,Compta!$A$1:$A$1448,$B30,Compta!$B$1:$B$1448,"6231",Compta!$C$1:$C$1448,$A30))</f>
        <v>34532</v>
      </c>
      <c r="AA30">
        <f>IF($A30="","",_xlfn.SUMIFS(Compta!$F$1:$F$1448,Compta!$A$1:$A$1448,$B30,Compta!$B$1:$B$1448,"6413",Compta!$C$1:$C$1448,$A30)+_xlfn.SUMIFS(Compta!$F$1:$F$1448,Compta!$A$1:$A$1448,$B30,Compta!$B$1:$B$1448,"645",Compta!$C$1:$C$1448,$A30)+_xlfn.SUMIFS(Compta!$F$1:$F$1448,Compta!$A$1:$A$1448,$B30,Compta!$B$1:$B$1448,"613",Compta!$C$1:$C$1448,$A30)+_xlfn.SUMIFS(Compta!$F$1:$F$1448,Compta!$A$1:$A$1448,$B30,Compta!$B$1:$B$1448,"615",Compta!$C$1:$C$1448,$A30)+_xlfn.SUMIFS(Compta!$F$1:$F$1448,Compta!$A$1:$A$1448,$B30,Compta!$B$1:$B$1448,"616",Compta!$C$1:$C$1448,$A30)+_xlfn.SUMIFS(Compta!$F$1:$F$1448,Compta!$A$1:$A$1448,$B30,Compta!$B$1:$B$1448,"625",Compta!$C$1:$C$1448,$A30)+_xlfn.SUMIFS(Compta!$F$1:$F$1448,Compta!$A$1:$A$1448,$B30,Compta!$B$1:$B$1448,"63511",Compta!$C$1:$C$1448,$A30))</f>
        <v>782854</v>
      </c>
      <c r="AB30">
        <f>IF($A30="","",_xlfn.SUMIFS(Compta!$F$1:$F$1448,Compta!$A$1:$A$1448,"GRP",Compta!$B$1:$B$1448,"6414",Compta!$C$1:$C$1448,$A30)+_xlfn.SUMIFS(Compta!$F$1:$F$1448,Compta!$A$1:$A$1448,"GRP",Compta!$B$1:$B$1448,"6226",Compta!$C$1:$C$1448,$A30)+_xlfn.SUMIFS(Compta!$F$1:$F$1448,Compta!$A$1:$A$1448,"GRP",Compta!$B$1:$B$1448,"626",Compta!$C$1:$C$1448,$A30)+_xlfn.SUMIFS(Compta!$F$1:$F$1448,Compta!$A$1:$A$1448,"GRP",Compta!$B$1:$B$1448,"6281",Compta!$C$1:$C$1448,$A30)+_xlfn.SUMIFS(Compta!$F$1:$F$1448,Compta!$A$1:$A$1448,"GRP",Compta!$B$1:$B$1448,"6331",Compta!$C$1:$C$1448,$A30)+_xlfn.SUMIFS(Compta!$F$1:$F$1448,Compta!$A$1:$A$1448,"GRP",Compta!$B$1:$B$1448,"6333",Compta!$C$1:$C$1448,$A30))</f>
        <v>2639292</v>
      </c>
      <c r="AC30" t="s">
        <v>274</v>
      </c>
      <c r="AD30" t="s">
        <v>274</v>
      </c>
      <c r="AE30" t="s">
        <v>274</v>
      </c>
      <c r="AF30" t="s">
        <v>274</v>
      </c>
      <c r="AG30" t="s">
        <v>274</v>
      </c>
      <c r="AH30" t="s">
        <v>274</v>
      </c>
      <c r="AI30">
        <f t="shared" si="3"/>
        <v>28922.4519230769</v>
      </c>
      <c r="AJ30">
        <f t="shared" si="4"/>
        <v>66824.0192307692</v>
      </c>
      <c r="AK30">
        <f t="shared" si="5"/>
        <v>39727.8512110727</v>
      </c>
      <c r="AL30">
        <f t="shared" si="6"/>
        <v>0</v>
      </c>
      <c r="AM30">
        <f t="shared" si="7"/>
        <v>0</v>
      </c>
      <c r="AN30">
        <f t="shared" si="8"/>
        <v>334460.677635081</v>
      </c>
      <c r="AO30">
        <f>IF($A30="","",_xlfn.SUMIFS(Compta!$F$1:$F$1448,Compta!$A$1:$A$1448,"GRP",Compta!$B$1:$B$1448,"6236",Compta!$C$1:$C$1448,$A30))</f>
        <v>499926</v>
      </c>
      <c r="AP30" t="s">
        <v>274</v>
      </c>
      <c r="AQ30" t="s">
        <v>274</v>
      </c>
      <c r="AR30">
        <f t="shared" si="9"/>
        <v>0</v>
      </c>
    </row>
    <row r="31" ht="14.25" customHeight="1">
      <c r="A31" t="str">
        <f>IF(Allocation!C31="","",Allocation!C31)</f>
        <v>2024</v>
      </c>
      <c r="B31" t="str">
        <f>IF(Allocation!D31="","",Allocation!D31)</f>
        <v>MBWAY_LYO</v>
      </c>
      <c r="C31" t="str">
        <f>IF(Allocation!E31="","",Allocation!E31)</f>
        <v>MBWAY</v>
      </c>
      <c r="D31" t="str">
        <f>IF(Allocation!F31="","",Allocation!F31)</f>
        <v>MAS_MGT</v>
      </c>
      <c r="E31" t="str">
        <f>IF(Allocation!G31="","",Allocation!G31)</f>
        <v>M2</v>
      </c>
      <c r="F31" t="str">
        <f>IF(Allocation!H31="","",Allocation!H31)</f>
        <v>ALT</v>
      </c>
      <c r="G31">
        <f>IF(Allocation!D31="","",Allocation!I31)</f>
        <v>58</v>
      </c>
      <c r="H31">
        <f>IF(Allocation!D31="","",Allocation!J31)</f>
        <v>3</v>
      </c>
      <c r="I31">
        <f>IF(Allocation!D31="","",Allocation!K31)</f>
        <v>456750</v>
      </c>
      <c r="J31">
        <f>IF($A31="","",_xlfn.SUMIFS(Socle!$K$1:$K$448,Socle!$C$1:$C$448,$B31,Socle!$D$1:$D$448,$D31,Socle!$E$1:$E$448,$E31,Socle!$F$1:$F$448,$F31,Socle!$G$1:$G$448,$A31))</f>
        <v>0</v>
      </c>
      <c r="K31">
        <f t="shared" si="0"/>
        <v>1260</v>
      </c>
      <c r="L31">
        <f>IF($A31="","",_xlfn.SUMIFS(Allocation!$I$1:$I$175,Allocation!$C$1:$C$175,$A31,Allocation!$D$1:$D$175,$B31))</f>
        <v>289</v>
      </c>
      <c r="M31">
        <f>IF($A31="","",_xlfn.SUMIFS(Allocation!$J$1:$J$175,Allocation!$C$1:$C$175,$A31,Allocation!$D$1:$D$175,$B31))</f>
        <v>13</v>
      </c>
      <c r="N31">
        <f>IF($A31="","",_xlfn.SUMIFS(Allocation!$K$1:$K$175,Allocation!$C$1:$C$175,$A31,Allocation!$D$1:$D$175,$B31))</f>
        <v>2227170</v>
      </c>
      <c r="O31">
        <f t="shared" si="1"/>
        <v>6240</v>
      </c>
      <c r="P31">
        <f t="shared" si="2"/>
        <v>236</v>
      </c>
      <c r="Q31">
        <f>IF($A31="","",_xlfn.SUMIFS(Allocation!$I$1:$I$175,Allocation!$C$1:$C$175,$A31,Allocation!$E$1:$E$175,$C31))</f>
        <v>1112</v>
      </c>
      <c r="R31">
        <f>IF($A31="","",_xlfn.SUMIFS(Allocation!$J$1:$J$175,Allocation!$C$1:$C$175,$A31,Allocation!$E$1:$E$175,$C31))</f>
        <v>50</v>
      </c>
      <c r="S31">
        <f>IF($A31="","",_xlfn.SUMIFS(Allocation!$K$1:$K$175,Allocation!$C$1:$C$175,$A31,Allocation!$E$1:$E$175,$C31))</f>
        <v>8517270</v>
      </c>
      <c r="T31">
        <f>IF($A31="","",_xlfn.SUMIFS(Allocation!$I$1:$I$175,Allocation!$C$1:$C$175,$A31))</f>
        <v>2704</v>
      </c>
      <c r="U31">
        <f>IF($A31="","",_xlfn.SUMIFS(Allocation!$J$1:$J$175,Allocation!$C$1:$C$175,$A31))</f>
        <v>131</v>
      </c>
      <c r="V31">
        <f>IF($A31="","",_xlfn.SUMIFS(Allocation!$K$1:$K$175,Allocation!$C$1:$C$175,$A31))</f>
        <v>20076860</v>
      </c>
      <c r="W31">
        <f>IF($A31="","",_xlfn.SUMIFS(Compta!$F$1:$F$1448,Compta!$A$1:$A$1448,$B31,Compta!$B$1:$B$1448,"621",Compta!$C$1:$C$1448,$A31))</f>
        <v>143235</v>
      </c>
      <c r="X31">
        <f>IF($A31="","",_xlfn.SUMIFS(Compta!$F$1:$F$1448,Compta!$A$1:$A$1448,$B31,Compta!$B$1:$B$1448,"6411",Compta!$C$1:$C$1448,$A31))</f>
        <v>330938</v>
      </c>
      <c r="Y31">
        <f>IF($A31="","",_xlfn.SUMIFS(Compta!$F$1:$F$1448,Compta!$A$1:$A$1448,$B31,Compta!$B$1:$B$1448,"604",Compta!$C$1:$C$1448,$A31)+_xlfn.SUMIFS(Compta!$F$1:$F$1448,Compta!$A$1:$A$1448,$B31,Compta!$B$1:$B$1448,"6063",Compta!$C$1:$C$1448,$A31))</f>
        <v>110025</v>
      </c>
      <c r="Z31">
        <f>IF($A31="","",_xlfn.SUMIFS(Compta!$F$1:$F$1448,Compta!$A$1:$A$1448,$B31,Compta!$B$1:$B$1448,"6231",Compta!$C$1:$C$1448,$A31))</f>
        <v>34532</v>
      </c>
      <c r="AA31">
        <f>IF($A31="","",_xlfn.SUMIFS(Compta!$F$1:$F$1448,Compta!$A$1:$A$1448,$B31,Compta!$B$1:$B$1448,"6413",Compta!$C$1:$C$1448,$A31)+_xlfn.SUMIFS(Compta!$F$1:$F$1448,Compta!$A$1:$A$1448,$B31,Compta!$B$1:$B$1448,"645",Compta!$C$1:$C$1448,$A31)+_xlfn.SUMIFS(Compta!$F$1:$F$1448,Compta!$A$1:$A$1448,$B31,Compta!$B$1:$B$1448,"613",Compta!$C$1:$C$1448,$A31)+_xlfn.SUMIFS(Compta!$F$1:$F$1448,Compta!$A$1:$A$1448,$B31,Compta!$B$1:$B$1448,"615",Compta!$C$1:$C$1448,$A31)+_xlfn.SUMIFS(Compta!$F$1:$F$1448,Compta!$A$1:$A$1448,$B31,Compta!$B$1:$B$1448,"616",Compta!$C$1:$C$1448,$A31)+_xlfn.SUMIFS(Compta!$F$1:$F$1448,Compta!$A$1:$A$1448,$B31,Compta!$B$1:$B$1448,"625",Compta!$C$1:$C$1448,$A31)+_xlfn.SUMIFS(Compta!$F$1:$F$1448,Compta!$A$1:$A$1448,$B31,Compta!$B$1:$B$1448,"63511",Compta!$C$1:$C$1448,$A31))</f>
        <v>782854</v>
      </c>
      <c r="AB31">
        <f>IF($A31="","",_xlfn.SUMIFS(Compta!$F$1:$F$1448,Compta!$A$1:$A$1448,"GRP",Compta!$B$1:$B$1448,"6414",Compta!$C$1:$C$1448,$A31)+_xlfn.SUMIFS(Compta!$F$1:$F$1448,Compta!$A$1:$A$1448,"GRP",Compta!$B$1:$B$1448,"6226",Compta!$C$1:$C$1448,$A31)+_xlfn.SUMIFS(Compta!$F$1:$F$1448,Compta!$A$1:$A$1448,"GRP",Compta!$B$1:$B$1448,"626",Compta!$C$1:$C$1448,$A31)+_xlfn.SUMIFS(Compta!$F$1:$F$1448,Compta!$A$1:$A$1448,"GRP",Compta!$B$1:$B$1448,"6281",Compta!$C$1:$C$1448,$A31)+_xlfn.SUMIFS(Compta!$F$1:$F$1448,Compta!$A$1:$A$1448,"GRP",Compta!$B$1:$B$1448,"6331",Compta!$C$1:$C$1448,$A31)+_xlfn.SUMIFS(Compta!$F$1:$F$1448,Compta!$A$1:$A$1448,"GRP",Compta!$B$1:$B$1448,"6333",Compta!$C$1:$C$1448,$A31))</f>
        <v>2639292</v>
      </c>
      <c r="AC31" t="s">
        <v>274</v>
      </c>
      <c r="AD31" t="s">
        <v>274</v>
      </c>
      <c r="AE31" t="s">
        <v>274</v>
      </c>
      <c r="AF31" t="s">
        <v>274</v>
      </c>
      <c r="AG31" t="s">
        <v>274</v>
      </c>
      <c r="AH31" t="s">
        <v>274</v>
      </c>
      <c r="AI31">
        <f t="shared" si="3"/>
        <v>28922.4519230769</v>
      </c>
      <c r="AJ31">
        <f t="shared" si="4"/>
        <v>66824.0192307692</v>
      </c>
      <c r="AK31">
        <f t="shared" si="5"/>
        <v>22081.1418685121</v>
      </c>
      <c r="AL31">
        <f t="shared" si="6"/>
        <v>0</v>
      </c>
      <c r="AM31">
        <f t="shared" si="7"/>
        <v>0</v>
      </c>
      <c r="AN31">
        <f t="shared" si="8"/>
        <v>338922.386977642</v>
      </c>
      <c r="AO31">
        <f>IF($A31="","",_xlfn.SUMIFS(Compta!$F$1:$F$1448,Compta!$A$1:$A$1448,"GRP",Compta!$B$1:$B$1448,"6236",Compta!$C$1:$C$1448,$A31))</f>
        <v>499926</v>
      </c>
      <c r="AP31" t="s">
        <v>274</v>
      </c>
      <c r="AQ31" t="s">
        <v>274</v>
      </c>
      <c r="AR31">
        <f t="shared" si="9"/>
        <v>0</v>
      </c>
    </row>
    <row r="32" ht="14.25" customHeight="1">
      <c r="A32" t="str">
        <f>IF(Allocation!C32="","",Allocation!C32)</f>
        <v>2026</v>
      </c>
      <c r="B32" t="str">
        <f>IF(Allocation!D32="","",Allocation!D32)</f>
        <v>MBWAY_NAN</v>
      </c>
      <c r="C32" t="str">
        <f>IF(Allocation!E32="","",Allocation!E32)</f>
        <v>MBWAY</v>
      </c>
      <c r="D32" t="str">
        <f>IF(Allocation!F32="","",Allocation!F32)</f>
        <v>BAC_MGT</v>
      </c>
      <c r="E32" t="str">
        <f>IF(Allocation!G32="","",Allocation!G32)</f>
        <v>B1</v>
      </c>
      <c r="F32" t="str">
        <f>IF(Allocation!H32="","",Allocation!H32)</f>
        <v>INIT</v>
      </c>
      <c r="G32">
        <f>IF(Allocation!D32="","",Allocation!I32)</f>
        <v>60</v>
      </c>
      <c r="H32">
        <f>IF(Allocation!D32="","",Allocation!J32)</f>
        <v>2</v>
      </c>
      <c r="I32">
        <f>IF(Allocation!D32="","",Allocation!K32)</f>
        <v>455400</v>
      </c>
      <c r="J32">
        <f>IF($A32="","",_xlfn.SUMIFS(Socle!$K$1:$K$448,Socle!$C$1:$C$448,$B32,Socle!$D$1:$D$448,$D32,Socle!$E$1:$E$448,$E32,Socle!$F$1:$F$448,$F32,Socle!$G$1:$G$448,$A32))</f>
        <v>120</v>
      </c>
      <c r="K32">
        <f t="shared" si="0"/>
        <v>1200</v>
      </c>
      <c r="L32">
        <f>IF($A32="","",_xlfn.SUMIFS(Allocation!$I$1:$I$175,Allocation!$C$1:$C$175,$A32,Allocation!$D$1:$D$175,$B32))</f>
        <v>294</v>
      </c>
      <c r="M32">
        <f>IF($A32="","",_xlfn.SUMIFS(Allocation!$J$1:$J$175,Allocation!$C$1:$C$175,$A32,Allocation!$D$1:$D$175,$B32))</f>
        <v>12</v>
      </c>
      <c r="N32">
        <f>IF($A32="","",_xlfn.SUMIFS(Allocation!$K$1:$K$175,Allocation!$C$1:$C$175,$A32,Allocation!$D$1:$D$175,$B32))</f>
        <v>2158300</v>
      </c>
      <c r="O32">
        <f t="shared" si="1"/>
        <v>5640</v>
      </c>
      <c r="P32">
        <f t="shared" si="2"/>
        <v>240</v>
      </c>
      <c r="Q32">
        <f>IF($A32="","",_xlfn.SUMIFS(Allocation!$I$1:$I$175,Allocation!$C$1:$C$175,$A32,Allocation!$E$1:$E$175,$C32))</f>
        <v>1249</v>
      </c>
      <c r="R32">
        <f>IF($A32="","",_xlfn.SUMIFS(Allocation!$J$1:$J$175,Allocation!$C$1:$C$175,$A32,Allocation!$E$1:$E$175,$C32))</f>
        <v>50</v>
      </c>
      <c r="S32">
        <f>IF($A32="","",_xlfn.SUMIFS(Allocation!$K$1:$K$175,Allocation!$C$1:$C$175,$A32,Allocation!$E$1:$E$175,$C32))</f>
        <v>9567455</v>
      </c>
      <c r="T32">
        <f>IF($A32="","",_xlfn.SUMIFS(Allocation!$I$1:$I$175,Allocation!$C$1:$C$175,$A32))</f>
        <v>3036</v>
      </c>
      <c r="U32">
        <f>IF($A32="","",_xlfn.SUMIFS(Allocation!$J$1:$J$175,Allocation!$C$1:$C$175,$A32))</f>
        <v>131</v>
      </c>
      <c r="V32">
        <f>IF($A32="","",_xlfn.SUMIFS(Allocation!$K$1:$K$175,Allocation!$C$1:$C$175,$A32))</f>
        <v>22544725</v>
      </c>
      <c r="W32">
        <f>IF($A32="","",_xlfn.SUMIFS(Compta!$F$1:$F$1448,Compta!$A$1:$A$1448,$B32,Compta!$B$1:$B$1448,"621",Compta!$C$1:$C$1448,$A32))</f>
        <v>144875</v>
      </c>
      <c r="X32">
        <f>IF($A32="","",_xlfn.SUMIFS(Compta!$F$1:$F$1448,Compta!$A$1:$A$1448,$B32,Compta!$B$1:$B$1448,"6411",Compta!$C$1:$C$1448,$A32))</f>
        <v>298865</v>
      </c>
      <c r="Y32">
        <f>IF($A32="","",_xlfn.SUMIFS(Compta!$F$1:$F$1448,Compta!$A$1:$A$1448,$B32,Compta!$B$1:$B$1448,"604",Compta!$C$1:$C$1448,$A32)+_xlfn.SUMIFS(Compta!$F$1:$F$1448,Compta!$A$1:$A$1448,$B32,Compta!$B$1:$B$1448,"6063",Compta!$C$1:$C$1448,$A32))</f>
        <v>109396</v>
      </c>
      <c r="Z32">
        <f>IF($A32="","",_xlfn.SUMIFS(Compta!$F$1:$F$1448,Compta!$A$1:$A$1448,$B32,Compta!$B$1:$B$1448,"6231",Compta!$C$1:$C$1448,$A32))</f>
        <v>31533</v>
      </c>
      <c r="AA32">
        <f>IF($A32="","",_xlfn.SUMIFS(Compta!$F$1:$F$1448,Compta!$A$1:$A$1448,$B32,Compta!$B$1:$B$1448,"6413",Compta!$C$1:$C$1448,$A32)+_xlfn.SUMIFS(Compta!$F$1:$F$1448,Compta!$A$1:$A$1448,$B32,Compta!$B$1:$B$1448,"645",Compta!$C$1:$C$1448,$A32)+_xlfn.SUMIFS(Compta!$F$1:$F$1448,Compta!$A$1:$A$1448,$B32,Compta!$B$1:$B$1448,"613",Compta!$C$1:$C$1448,$A32)+_xlfn.SUMIFS(Compta!$F$1:$F$1448,Compta!$A$1:$A$1448,$B32,Compta!$B$1:$B$1448,"615",Compta!$C$1:$C$1448,$A32)+_xlfn.SUMIFS(Compta!$F$1:$F$1448,Compta!$A$1:$A$1448,$B32,Compta!$B$1:$B$1448,"616",Compta!$C$1:$C$1448,$A32)+_xlfn.SUMIFS(Compta!$F$1:$F$1448,Compta!$A$1:$A$1448,$B32,Compta!$B$1:$B$1448,"625",Compta!$C$1:$C$1448,$A32)+_xlfn.SUMIFS(Compta!$F$1:$F$1448,Compta!$A$1:$A$1448,$B32,Compta!$B$1:$B$1448,"63511",Compta!$C$1:$C$1448,$A32))</f>
        <v>698861</v>
      </c>
      <c r="AB32">
        <f>IF($A32="","",_xlfn.SUMIFS(Compta!$F$1:$F$1448,Compta!$A$1:$A$1448,"GRP",Compta!$B$1:$B$1448,"6414",Compta!$C$1:$C$1448,$A32)+_xlfn.SUMIFS(Compta!$F$1:$F$1448,Compta!$A$1:$A$1448,"GRP",Compta!$B$1:$B$1448,"6226",Compta!$C$1:$C$1448,$A32)+_xlfn.SUMIFS(Compta!$F$1:$F$1448,Compta!$A$1:$A$1448,"GRP",Compta!$B$1:$B$1448,"626",Compta!$C$1:$C$1448,$A32)+_xlfn.SUMIFS(Compta!$F$1:$F$1448,Compta!$A$1:$A$1448,"GRP",Compta!$B$1:$B$1448,"6281",Compta!$C$1:$C$1448,$A32)+_xlfn.SUMIFS(Compta!$F$1:$F$1448,Compta!$A$1:$A$1448,"GRP",Compta!$B$1:$B$1448,"6331",Compta!$C$1:$C$1448,$A32)+_xlfn.SUMIFS(Compta!$F$1:$F$1448,Compta!$A$1:$A$1448,"GRP",Compta!$B$1:$B$1448,"6333",Compta!$C$1:$C$1448,$A32))</f>
        <v>2891983</v>
      </c>
      <c r="AC32" t="s">
        <v>274</v>
      </c>
      <c r="AD32" t="s">
        <v>274</v>
      </c>
      <c r="AE32" t="s">
        <v>274</v>
      </c>
      <c r="AF32" t="s">
        <v>274</v>
      </c>
      <c r="AG32" t="s">
        <v>274</v>
      </c>
      <c r="AH32" t="s">
        <v>274</v>
      </c>
      <c r="AI32">
        <f t="shared" si="3"/>
        <v>30824.4680851064</v>
      </c>
      <c r="AJ32">
        <f t="shared" si="4"/>
        <v>63588.2978723404</v>
      </c>
      <c r="AK32">
        <f t="shared" si="5"/>
        <v>38092.2142857143</v>
      </c>
      <c r="AL32">
        <f t="shared" si="6"/>
        <v>0</v>
      </c>
      <c r="AM32">
        <f t="shared" si="7"/>
        <v>0</v>
      </c>
      <c r="AN32">
        <f t="shared" si="8"/>
        <v>322895.019756839</v>
      </c>
      <c r="AO32">
        <f>IF($A32="","",_xlfn.SUMIFS(Compta!$F$1:$F$1448,Compta!$A$1:$A$1448,"GRP",Compta!$B$1:$B$1448,"6236",Compta!$C$1:$C$1448,$A32))</f>
        <v>676344</v>
      </c>
      <c r="AP32" t="s">
        <v>274</v>
      </c>
      <c r="AQ32" t="s">
        <v>274</v>
      </c>
      <c r="AR32">
        <f t="shared" si="9"/>
        <v>0</v>
      </c>
    </row>
    <row r="33" ht="14.25" customHeight="1">
      <c r="A33" t="str">
        <f>IF(Allocation!C33="","",Allocation!C33)</f>
        <v>2026</v>
      </c>
      <c r="B33" t="str">
        <f>IF(Allocation!D33="","",Allocation!D33)</f>
        <v>MBWAY_NAN</v>
      </c>
      <c r="C33" t="str">
        <f>IF(Allocation!E33="","",Allocation!E33)</f>
        <v>MBWAY</v>
      </c>
      <c r="D33" t="str">
        <f>IF(Allocation!F33="","",Allocation!F33)</f>
        <v>BAC_MGT</v>
      </c>
      <c r="E33" t="str">
        <f>IF(Allocation!G33="","",Allocation!G33)</f>
        <v>B2</v>
      </c>
      <c r="F33" t="str">
        <f>IF(Allocation!H33="","",Allocation!H33)</f>
        <v>ALT</v>
      </c>
      <c r="G33">
        <f>IF(Allocation!D33="","",Allocation!I33)</f>
        <v>58</v>
      </c>
      <c r="H33">
        <f>IF(Allocation!D33="","",Allocation!J33)</f>
        <v>2</v>
      </c>
      <c r="I33">
        <f>IF(Allocation!D33="","",Allocation!K33)</f>
        <v>406000</v>
      </c>
      <c r="J33">
        <f>IF($A33="","",_xlfn.SUMIFS(Socle!$K$1:$K$448,Socle!$C$1:$C$448,$B33,Socle!$D$1:$D$448,$D33,Socle!$E$1:$E$448,$E33,Socle!$F$1:$F$448,$F33,Socle!$G$1:$G$448,$A33))</f>
        <v>0</v>
      </c>
      <c r="K33">
        <f t="shared" si="0"/>
        <v>960</v>
      </c>
      <c r="L33">
        <f>IF($A33="","",_xlfn.SUMIFS(Allocation!$I$1:$I$175,Allocation!$C$1:$C$175,$A33,Allocation!$D$1:$D$175,$B33))</f>
        <v>294</v>
      </c>
      <c r="M33">
        <f>IF($A33="","",_xlfn.SUMIFS(Allocation!$J$1:$J$175,Allocation!$C$1:$C$175,$A33,Allocation!$D$1:$D$175,$B33))</f>
        <v>12</v>
      </c>
      <c r="N33">
        <f>IF($A33="","",_xlfn.SUMIFS(Allocation!$K$1:$K$175,Allocation!$C$1:$C$175,$A33,Allocation!$D$1:$D$175,$B33))</f>
        <v>2158300</v>
      </c>
      <c r="O33">
        <f t="shared" si="1"/>
        <v>5640</v>
      </c>
      <c r="P33">
        <f t="shared" si="2"/>
        <v>240</v>
      </c>
      <c r="Q33">
        <f>IF($A33="","",_xlfn.SUMIFS(Allocation!$I$1:$I$175,Allocation!$C$1:$C$175,$A33,Allocation!$E$1:$E$175,$C33))</f>
        <v>1249</v>
      </c>
      <c r="R33">
        <f>IF($A33="","",_xlfn.SUMIFS(Allocation!$J$1:$J$175,Allocation!$C$1:$C$175,$A33,Allocation!$E$1:$E$175,$C33))</f>
        <v>50</v>
      </c>
      <c r="S33">
        <f>IF($A33="","",_xlfn.SUMIFS(Allocation!$K$1:$K$175,Allocation!$C$1:$C$175,$A33,Allocation!$E$1:$E$175,$C33))</f>
        <v>9567455</v>
      </c>
      <c r="T33">
        <f>IF($A33="","",_xlfn.SUMIFS(Allocation!$I$1:$I$175,Allocation!$C$1:$C$175,$A33))</f>
        <v>3036</v>
      </c>
      <c r="U33">
        <f>IF($A33="","",_xlfn.SUMIFS(Allocation!$J$1:$J$175,Allocation!$C$1:$C$175,$A33))</f>
        <v>131</v>
      </c>
      <c r="V33">
        <f>IF($A33="","",_xlfn.SUMIFS(Allocation!$K$1:$K$175,Allocation!$C$1:$C$175,$A33))</f>
        <v>22544725</v>
      </c>
      <c r="W33">
        <f>IF($A33="","",_xlfn.SUMIFS(Compta!$F$1:$F$1448,Compta!$A$1:$A$1448,$B33,Compta!$B$1:$B$1448,"621",Compta!$C$1:$C$1448,$A33))</f>
        <v>144875</v>
      </c>
      <c r="X33">
        <f>IF($A33="","",_xlfn.SUMIFS(Compta!$F$1:$F$1448,Compta!$A$1:$A$1448,$B33,Compta!$B$1:$B$1448,"6411",Compta!$C$1:$C$1448,$A33))</f>
        <v>298865</v>
      </c>
      <c r="Y33">
        <f>IF($A33="","",_xlfn.SUMIFS(Compta!$F$1:$F$1448,Compta!$A$1:$A$1448,$B33,Compta!$B$1:$B$1448,"604",Compta!$C$1:$C$1448,$A33)+_xlfn.SUMIFS(Compta!$F$1:$F$1448,Compta!$A$1:$A$1448,$B33,Compta!$B$1:$B$1448,"6063",Compta!$C$1:$C$1448,$A33))</f>
        <v>109396</v>
      </c>
      <c r="Z33">
        <f>IF($A33="","",_xlfn.SUMIFS(Compta!$F$1:$F$1448,Compta!$A$1:$A$1448,$B33,Compta!$B$1:$B$1448,"6231",Compta!$C$1:$C$1448,$A33))</f>
        <v>31533</v>
      </c>
      <c r="AA33">
        <f>IF($A33="","",_xlfn.SUMIFS(Compta!$F$1:$F$1448,Compta!$A$1:$A$1448,$B33,Compta!$B$1:$B$1448,"6413",Compta!$C$1:$C$1448,$A33)+_xlfn.SUMIFS(Compta!$F$1:$F$1448,Compta!$A$1:$A$1448,$B33,Compta!$B$1:$B$1448,"645",Compta!$C$1:$C$1448,$A33)+_xlfn.SUMIFS(Compta!$F$1:$F$1448,Compta!$A$1:$A$1448,$B33,Compta!$B$1:$B$1448,"613",Compta!$C$1:$C$1448,$A33)+_xlfn.SUMIFS(Compta!$F$1:$F$1448,Compta!$A$1:$A$1448,$B33,Compta!$B$1:$B$1448,"615",Compta!$C$1:$C$1448,$A33)+_xlfn.SUMIFS(Compta!$F$1:$F$1448,Compta!$A$1:$A$1448,$B33,Compta!$B$1:$B$1448,"616",Compta!$C$1:$C$1448,$A33)+_xlfn.SUMIFS(Compta!$F$1:$F$1448,Compta!$A$1:$A$1448,$B33,Compta!$B$1:$B$1448,"625",Compta!$C$1:$C$1448,$A33)+_xlfn.SUMIFS(Compta!$F$1:$F$1448,Compta!$A$1:$A$1448,$B33,Compta!$B$1:$B$1448,"63511",Compta!$C$1:$C$1448,$A33))</f>
        <v>698861</v>
      </c>
      <c r="AB33">
        <f>IF($A33="","",_xlfn.SUMIFS(Compta!$F$1:$F$1448,Compta!$A$1:$A$1448,"GRP",Compta!$B$1:$B$1448,"6414",Compta!$C$1:$C$1448,$A33)+_xlfn.SUMIFS(Compta!$F$1:$F$1448,Compta!$A$1:$A$1448,"GRP",Compta!$B$1:$B$1448,"6226",Compta!$C$1:$C$1448,$A33)+_xlfn.SUMIFS(Compta!$F$1:$F$1448,Compta!$A$1:$A$1448,"GRP",Compta!$B$1:$B$1448,"626",Compta!$C$1:$C$1448,$A33)+_xlfn.SUMIFS(Compta!$F$1:$F$1448,Compta!$A$1:$A$1448,"GRP",Compta!$B$1:$B$1448,"6281",Compta!$C$1:$C$1448,$A33)+_xlfn.SUMIFS(Compta!$F$1:$F$1448,Compta!$A$1:$A$1448,"GRP",Compta!$B$1:$B$1448,"6331",Compta!$C$1:$C$1448,$A33)+_xlfn.SUMIFS(Compta!$F$1:$F$1448,Compta!$A$1:$A$1448,"GRP",Compta!$B$1:$B$1448,"6333",Compta!$C$1:$C$1448,$A33))</f>
        <v>2891983</v>
      </c>
      <c r="AC33" t="s">
        <v>274</v>
      </c>
      <c r="AD33" t="s">
        <v>274</v>
      </c>
      <c r="AE33" t="s">
        <v>274</v>
      </c>
      <c r="AF33" t="s">
        <v>274</v>
      </c>
      <c r="AG33" t="s">
        <v>274</v>
      </c>
      <c r="AH33" t="s">
        <v>274</v>
      </c>
      <c r="AI33">
        <f t="shared" si="3"/>
        <v>24659.5744680851</v>
      </c>
      <c r="AJ33">
        <f t="shared" si="4"/>
        <v>50870.6382978723</v>
      </c>
      <c r="AK33">
        <f t="shared" si="5"/>
        <v>21581.5238095238</v>
      </c>
      <c r="AL33">
        <f t="shared" si="6"/>
        <v>0</v>
      </c>
      <c r="AM33">
        <f t="shared" si="7"/>
        <v>0</v>
      </c>
      <c r="AN33">
        <f t="shared" si="8"/>
        <v>308888.263424519</v>
      </c>
      <c r="AO33">
        <f>IF($A33="","",_xlfn.SUMIFS(Compta!$F$1:$F$1448,Compta!$A$1:$A$1448,"GRP",Compta!$B$1:$B$1448,"6236",Compta!$C$1:$C$1448,$A33))</f>
        <v>676344</v>
      </c>
      <c r="AP33" t="s">
        <v>274</v>
      </c>
      <c r="AQ33" t="s">
        <v>274</v>
      </c>
      <c r="AR33">
        <f t="shared" si="9"/>
        <v>0</v>
      </c>
    </row>
    <row r="34" ht="14.25" customHeight="1">
      <c r="A34" t="str">
        <f>IF(Allocation!C34="","",Allocation!C34)</f>
        <v>2026</v>
      </c>
      <c r="B34" t="str">
        <f>IF(Allocation!D34="","",Allocation!D34)</f>
        <v>MBWAY_NAN</v>
      </c>
      <c r="C34" t="str">
        <f>IF(Allocation!E34="","",Allocation!E34)</f>
        <v>MBWAY</v>
      </c>
      <c r="D34" t="str">
        <f>IF(Allocation!F34="","",Allocation!F34)</f>
        <v>BAC_MGT</v>
      </c>
      <c r="E34" t="str">
        <f>IF(Allocation!G34="","",Allocation!G34)</f>
        <v>B3</v>
      </c>
      <c r="F34" t="str">
        <f>IF(Allocation!H34="","",Allocation!H34)</f>
        <v>ALT</v>
      </c>
      <c r="G34">
        <f>IF(Allocation!D34="","",Allocation!I34)</f>
        <v>57</v>
      </c>
      <c r="H34">
        <f>IF(Allocation!D34="","",Allocation!J34)</f>
        <v>2</v>
      </c>
      <c r="I34">
        <f>IF(Allocation!D34="","",Allocation!K34)</f>
        <v>399000</v>
      </c>
      <c r="J34">
        <f>IF($A34="","",_xlfn.SUMIFS(Socle!$K$1:$K$448,Socle!$C$1:$C$448,$B34,Socle!$D$1:$D$448,$D34,Socle!$E$1:$E$448,$E34,Socle!$F$1:$F$448,$F34,Socle!$G$1:$G$448,$A34))</f>
        <v>0</v>
      </c>
      <c r="K34">
        <f t="shared" si="0"/>
        <v>960</v>
      </c>
      <c r="L34">
        <f>IF($A34="","",_xlfn.SUMIFS(Allocation!$I$1:$I$175,Allocation!$C$1:$C$175,$A34,Allocation!$D$1:$D$175,$B34))</f>
        <v>294</v>
      </c>
      <c r="M34">
        <f>IF($A34="","",_xlfn.SUMIFS(Allocation!$J$1:$J$175,Allocation!$C$1:$C$175,$A34,Allocation!$D$1:$D$175,$B34))</f>
        <v>12</v>
      </c>
      <c r="N34">
        <f>IF($A34="","",_xlfn.SUMIFS(Allocation!$K$1:$K$175,Allocation!$C$1:$C$175,$A34,Allocation!$D$1:$D$175,$B34))</f>
        <v>2158300</v>
      </c>
      <c r="O34">
        <f t="shared" si="1"/>
        <v>5640</v>
      </c>
      <c r="P34">
        <f t="shared" si="2"/>
        <v>240</v>
      </c>
      <c r="Q34">
        <f>IF($A34="","",_xlfn.SUMIFS(Allocation!$I$1:$I$175,Allocation!$C$1:$C$175,$A34,Allocation!$E$1:$E$175,$C34))</f>
        <v>1249</v>
      </c>
      <c r="R34">
        <f>IF($A34="","",_xlfn.SUMIFS(Allocation!$J$1:$J$175,Allocation!$C$1:$C$175,$A34,Allocation!$E$1:$E$175,$C34))</f>
        <v>50</v>
      </c>
      <c r="S34">
        <f>IF($A34="","",_xlfn.SUMIFS(Allocation!$K$1:$K$175,Allocation!$C$1:$C$175,$A34,Allocation!$E$1:$E$175,$C34))</f>
        <v>9567455</v>
      </c>
      <c r="T34">
        <f>IF($A34="","",_xlfn.SUMIFS(Allocation!$I$1:$I$175,Allocation!$C$1:$C$175,$A34))</f>
        <v>3036</v>
      </c>
      <c r="U34">
        <f>IF($A34="","",_xlfn.SUMIFS(Allocation!$J$1:$J$175,Allocation!$C$1:$C$175,$A34))</f>
        <v>131</v>
      </c>
      <c r="V34">
        <f>IF($A34="","",_xlfn.SUMIFS(Allocation!$K$1:$K$175,Allocation!$C$1:$C$175,$A34))</f>
        <v>22544725</v>
      </c>
      <c r="W34">
        <f>IF($A34="","",_xlfn.SUMIFS(Compta!$F$1:$F$1448,Compta!$A$1:$A$1448,$B34,Compta!$B$1:$B$1448,"621",Compta!$C$1:$C$1448,$A34))</f>
        <v>144875</v>
      </c>
      <c r="X34">
        <f>IF($A34="","",_xlfn.SUMIFS(Compta!$F$1:$F$1448,Compta!$A$1:$A$1448,$B34,Compta!$B$1:$B$1448,"6411",Compta!$C$1:$C$1448,$A34))</f>
        <v>298865</v>
      </c>
      <c r="Y34">
        <f>IF($A34="","",_xlfn.SUMIFS(Compta!$F$1:$F$1448,Compta!$A$1:$A$1448,$B34,Compta!$B$1:$B$1448,"604",Compta!$C$1:$C$1448,$A34)+_xlfn.SUMIFS(Compta!$F$1:$F$1448,Compta!$A$1:$A$1448,$B34,Compta!$B$1:$B$1448,"6063",Compta!$C$1:$C$1448,$A34))</f>
        <v>109396</v>
      </c>
      <c r="Z34">
        <f>IF($A34="","",_xlfn.SUMIFS(Compta!$F$1:$F$1448,Compta!$A$1:$A$1448,$B34,Compta!$B$1:$B$1448,"6231",Compta!$C$1:$C$1448,$A34))</f>
        <v>31533</v>
      </c>
      <c r="AA34">
        <f>IF($A34="","",_xlfn.SUMIFS(Compta!$F$1:$F$1448,Compta!$A$1:$A$1448,$B34,Compta!$B$1:$B$1448,"6413",Compta!$C$1:$C$1448,$A34)+_xlfn.SUMIFS(Compta!$F$1:$F$1448,Compta!$A$1:$A$1448,$B34,Compta!$B$1:$B$1448,"645",Compta!$C$1:$C$1448,$A34)+_xlfn.SUMIFS(Compta!$F$1:$F$1448,Compta!$A$1:$A$1448,$B34,Compta!$B$1:$B$1448,"613",Compta!$C$1:$C$1448,$A34)+_xlfn.SUMIFS(Compta!$F$1:$F$1448,Compta!$A$1:$A$1448,$B34,Compta!$B$1:$B$1448,"615",Compta!$C$1:$C$1448,$A34)+_xlfn.SUMIFS(Compta!$F$1:$F$1448,Compta!$A$1:$A$1448,$B34,Compta!$B$1:$B$1448,"616",Compta!$C$1:$C$1448,$A34)+_xlfn.SUMIFS(Compta!$F$1:$F$1448,Compta!$A$1:$A$1448,$B34,Compta!$B$1:$B$1448,"625",Compta!$C$1:$C$1448,$A34)+_xlfn.SUMIFS(Compta!$F$1:$F$1448,Compta!$A$1:$A$1448,$B34,Compta!$B$1:$B$1448,"63511",Compta!$C$1:$C$1448,$A34))</f>
        <v>698861</v>
      </c>
      <c r="AB34">
        <f>IF($A34="","",_xlfn.SUMIFS(Compta!$F$1:$F$1448,Compta!$A$1:$A$1448,"GRP",Compta!$B$1:$B$1448,"6414",Compta!$C$1:$C$1448,$A34)+_xlfn.SUMIFS(Compta!$F$1:$F$1448,Compta!$A$1:$A$1448,"GRP",Compta!$B$1:$B$1448,"6226",Compta!$C$1:$C$1448,$A34)+_xlfn.SUMIFS(Compta!$F$1:$F$1448,Compta!$A$1:$A$1448,"GRP",Compta!$B$1:$B$1448,"626",Compta!$C$1:$C$1448,$A34)+_xlfn.SUMIFS(Compta!$F$1:$F$1448,Compta!$A$1:$A$1448,"GRP",Compta!$B$1:$B$1448,"6281",Compta!$C$1:$C$1448,$A34)+_xlfn.SUMIFS(Compta!$F$1:$F$1448,Compta!$A$1:$A$1448,"GRP",Compta!$B$1:$B$1448,"6331",Compta!$C$1:$C$1448,$A34)+_xlfn.SUMIFS(Compta!$F$1:$F$1448,Compta!$A$1:$A$1448,"GRP",Compta!$B$1:$B$1448,"6333",Compta!$C$1:$C$1448,$A34))</f>
        <v>2891983</v>
      </c>
      <c r="AC34" t="s">
        <v>274</v>
      </c>
      <c r="AD34" t="s">
        <v>274</v>
      </c>
      <c r="AE34" t="s">
        <v>274</v>
      </c>
      <c r="AF34" t="s">
        <v>274</v>
      </c>
      <c r="AG34" t="s">
        <v>274</v>
      </c>
      <c r="AH34" t="s">
        <v>274</v>
      </c>
      <c r="AI34">
        <f t="shared" si="3"/>
        <v>24659.5744680851</v>
      </c>
      <c r="AJ34">
        <f t="shared" si="4"/>
        <v>50870.6382978723</v>
      </c>
      <c r="AK34">
        <f t="shared" si="5"/>
        <v>21209.4285714286</v>
      </c>
      <c r="AL34">
        <f t="shared" si="6"/>
        <v>0</v>
      </c>
      <c r="AM34">
        <f t="shared" si="7"/>
        <v>0</v>
      </c>
      <c r="AN34">
        <f t="shared" si="8"/>
        <v>302260.358662614</v>
      </c>
      <c r="AO34">
        <f>IF($A34="","",_xlfn.SUMIFS(Compta!$F$1:$F$1448,Compta!$A$1:$A$1448,"GRP",Compta!$B$1:$B$1448,"6236",Compta!$C$1:$C$1448,$A34))</f>
        <v>676344</v>
      </c>
      <c r="AP34" t="s">
        <v>274</v>
      </c>
      <c r="AQ34" t="s">
        <v>274</v>
      </c>
      <c r="AR34">
        <f t="shared" si="9"/>
        <v>0</v>
      </c>
    </row>
    <row r="35" ht="14.25" customHeight="1">
      <c r="A35" t="str">
        <f>IF(Allocation!C35="","",Allocation!C35)</f>
        <v>2026</v>
      </c>
      <c r="B35" t="str">
        <f>IF(Allocation!D35="","",Allocation!D35)</f>
        <v>MBWAY_NAN</v>
      </c>
      <c r="C35" t="str">
        <f>IF(Allocation!E35="","",Allocation!E35)</f>
        <v>MBWAY</v>
      </c>
      <c r="D35" t="str">
        <f>IF(Allocation!F35="","",Allocation!F35)</f>
        <v>MAS_MGT</v>
      </c>
      <c r="E35" t="str">
        <f>IF(Allocation!G35="","",Allocation!G35)</f>
        <v>M1</v>
      </c>
      <c r="F35" t="str">
        <f>IF(Allocation!H35="","",Allocation!H35)</f>
        <v>ALT</v>
      </c>
      <c r="G35">
        <f>IF(Allocation!D35="","",Allocation!I35)</f>
        <v>60</v>
      </c>
      <c r="H35">
        <f>IF(Allocation!D35="","",Allocation!J35)</f>
        <v>3</v>
      </c>
      <c r="I35">
        <f>IF(Allocation!D35="","",Allocation!K35)</f>
        <v>455400</v>
      </c>
      <c r="J35">
        <f>IF($A35="","",_xlfn.SUMIFS(Socle!$K$1:$K$448,Socle!$C$1:$C$448,$B35,Socle!$D$1:$D$448,$D35,Socle!$E$1:$E$448,$E35,Socle!$F$1:$F$448,$F35,Socle!$G$1:$G$448,$A35))</f>
        <v>120</v>
      </c>
      <c r="K35">
        <f t="shared" si="0"/>
        <v>1260</v>
      </c>
      <c r="L35">
        <f>IF($A35="","",_xlfn.SUMIFS(Allocation!$I$1:$I$175,Allocation!$C$1:$C$175,$A35,Allocation!$D$1:$D$175,$B35))</f>
        <v>294</v>
      </c>
      <c r="M35">
        <f>IF($A35="","",_xlfn.SUMIFS(Allocation!$J$1:$J$175,Allocation!$C$1:$C$175,$A35,Allocation!$D$1:$D$175,$B35))</f>
        <v>12</v>
      </c>
      <c r="N35">
        <f>IF($A35="","",_xlfn.SUMIFS(Allocation!$K$1:$K$175,Allocation!$C$1:$C$175,$A35,Allocation!$D$1:$D$175,$B35))</f>
        <v>2158300</v>
      </c>
      <c r="O35">
        <f t="shared" si="1"/>
        <v>5640</v>
      </c>
      <c r="P35">
        <f t="shared" si="2"/>
        <v>240</v>
      </c>
      <c r="Q35">
        <f>IF($A35="","",_xlfn.SUMIFS(Allocation!$I$1:$I$175,Allocation!$C$1:$C$175,$A35,Allocation!$E$1:$E$175,$C35))</f>
        <v>1249</v>
      </c>
      <c r="R35">
        <f>IF($A35="","",_xlfn.SUMIFS(Allocation!$J$1:$J$175,Allocation!$C$1:$C$175,$A35,Allocation!$E$1:$E$175,$C35))</f>
        <v>50</v>
      </c>
      <c r="S35">
        <f>IF($A35="","",_xlfn.SUMIFS(Allocation!$K$1:$K$175,Allocation!$C$1:$C$175,$A35,Allocation!$E$1:$E$175,$C35))</f>
        <v>9567455</v>
      </c>
      <c r="T35">
        <f>IF($A35="","",_xlfn.SUMIFS(Allocation!$I$1:$I$175,Allocation!$C$1:$C$175,$A35))</f>
        <v>3036</v>
      </c>
      <c r="U35">
        <f>IF($A35="","",_xlfn.SUMIFS(Allocation!$J$1:$J$175,Allocation!$C$1:$C$175,$A35))</f>
        <v>131</v>
      </c>
      <c r="V35">
        <f>IF($A35="","",_xlfn.SUMIFS(Allocation!$K$1:$K$175,Allocation!$C$1:$C$175,$A35))</f>
        <v>22544725</v>
      </c>
      <c r="W35">
        <f>IF($A35="","",_xlfn.SUMIFS(Compta!$F$1:$F$1448,Compta!$A$1:$A$1448,$B35,Compta!$B$1:$B$1448,"621",Compta!$C$1:$C$1448,$A35))</f>
        <v>144875</v>
      </c>
      <c r="X35">
        <f>IF($A35="","",_xlfn.SUMIFS(Compta!$F$1:$F$1448,Compta!$A$1:$A$1448,$B35,Compta!$B$1:$B$1448,"6411",Compta!$C$1:$C$1448,$A35))</f>
        <v>298865</v>
      </c>
      <c r="Y35">
        <f>IF($A35="","",_xlfn.SUMIFS(Compta!$F$1:$F$1448,Compta!$A$1:$A$1448,$B35,Compta!$B$1:$B$1448,"604",Compta!$C$1:$C$1448,$A35)+_xlfn.SUMIFS(Compta!$F$1:$F$1448,Compta!$A$1:$A$1448,$B35,Compta!$B$1:$B$1448,"6063",Compta!$C$1:$C$1448,$A35))</f>
        <v>109396</v>
      </c>
      <c r="Z35">
        <f>IF($A35="","",_xlfn.SUMIFS(Compta!$F$1:$F$1448,Compta!$A$1:$A$1448,$B35,Compta!$B$1:$B$1448,"6231",Compta!$C$1:$C$1448,$A35))</f>
        <v>31533</v>
      </c>
      <c r="AA35">
        <f>IF($A35="","",_xlfn.SUMIFS(Compta!$F$1:$F$1448,Compta!$A$1:$A$1448,$B35,Compta!$B$1:$B$1448,"6413",Compta!$C$1:$C$1448,$A35)+_xlfn.SUMIFS(Compta!$F$1:$F$1448,Compta!$A$1:$A$1448,$B35,Compta!$B$1:$B$1448,"645",Compta!$C$1:$C$1448,$A35)+_xlfn.SUMIFS(Compta!$F$1:$F$1448,Compta!$A$1:$A$1448,$B35,Compta!$B$1:$B$1448,"613",Compta!$C$1:$C$1448,$A35)+_xlfn.SUMIFS(Compta!$F$1:$F$1448,Compta!$A$1:$A$1448,$B35,Compta!$B$1:$B$1448,"615",Compta!$C$1:$C$1448,$A35)+_xlfn.SUMIFS(Compta!$F$1:$F$1448,Compta!$A$1:$A$1448,$B35,Compta!$B$1:$B$1448,"616",Compta!$C$1:$C$1448,$A35)+_xlfn.SUMIFS(Compta!$F$1:$F$1448,Compta!$A$1:$A$1448,$B35,Compta!$B$1:$B$1448,"625",Compta!$C$1:$C$1448,$A35)+_xlfn.SUMIFS(Compta!$F$1:$F$1448,Compta!$A$1:$A$1448,$B35,Compta!$B$1:$B$1448,"63511",Compta!$C$1:$C$1448,$A35))</f>
        <v>698861</v>
      </c>
      <c r="AB35">
        <f>IF($A35="","",_xlfn.SUMIFS(Compta!$F$1:$F$1448,Compta!$A$1:$A$1448,"GRP",Compta!$B$1:$B$1448,"6414",Compta!$C$1:$C$1448,$A35)+_xlfn.SUMIFS(Compta!$F$1:$F$1448,Compta!$A$1:$A$1448,"GRP",Compta!$B$1:$B$1448,"6226",Compta!$C$1:$C$1448,$A35)+_xlfn.SUMIFS(Compta!$F$1:$F$1448,Compta!$A$1:$A$1448,"GRP",Compta!$B$1:$B$1448,"626",Compta!$C$1:$C$1448,$A35)+_xlfn.SUMIFS(Compta!$F$1:$F$1448,Compta!$A$1:$A$1448,"GRP",Compta!$B$1:$B$1448,"6281",Compta!$C$1:$C$1448,$A35)+_xlfn.SUMIFS(Compta!$F$1:$F$1448,Compta!$A$1:$A$1448,"GRP",Compta!$B$1:$B$1448,"6331",Compta!$C$1:$C$1448,$A35)+_xlfn.SUMIFS(Compta!$F$1:$F$1448,Compta!$A$1:$A$1448,"GRP",Compta!$B$1:$B$1448,"6333",Compta!$C$1:$C$1448,$A35))</f>
        <v>2891983</v>
      </c>
      <c r="AC35" t="s">
        <v>274</v>
      </c>
      <c r="AD35" t="s">
        <v>274</v>
      </c>
      <c r="AE35" t="s">
        <v>274</v>
      </c>
      <c r="AF35" t="s">
        <v>274</v>
      </c>
      <c r="AG35" t="s">
        <v>274</v>
      </c>
      <c r="AH35" t="s">
        <v>274</v>
      </c>
      <c r="AI35">
        <f t="shared" si="3"/>
        <v>32365.6914893617</v>
      </c>
      <c r="AJ35">
        <f t="shared" si="4"/>
        <v>66767.7127659574</v>
      </c>
      <c r="AK35">
        <f t="shared" si="5"/>
        <v>38092.2142857143</v>
      </c>
      <c r="AL35">
        <f t="shared" si="6"/>
        <v>0</v>
      </c>
      <c r="AM35">
        <f t="shared" si="7"/>
        <v>0</v>
      </c>
      <c r="AN35">
        <f t="shared" si="8"/>
        <v>318174.381458967</v>
      </c>
      <c r="AO35">
        <f>IF($A35="","",_xlfn.SUMIFS(Compta!$F$1:$F$1448,Compta!$A$1:$A$1448,"GRP",Compta!$B$1:$B$1448,"6236",Compta!$C$1:$C$1448,$A35))</f>
        <v>676344</v>
      </c>
      <c r="AP35" t="s">
        <v>274</v>
      </c>
      <c r="AQ35" t="s">
        <v>274</v>
      </c>
      <c r="AR35">
        <f t="shared" si="9"/>
        <v>0</v>
      </c>
    </row>
    <row r="36" ht="14.25" customHeight="1">
      <c r="A36" t="str">
        <f>IF(Allocation!C36="","",Allocation!C36)</f>
        <v>2026</v>
      </c>
      <c r="B36" t="str">
        <f>IF(Allocation!D36="","",Allocation!D36)</f>
        <v>MBWAY_NAN</v>
      </c>
      <c r="C36" t="str">
        <f>IF(Allocation!E36="","",Allocation!E36)</f>
        <v>MBWAY</v>
      </c>
      <c r="D36" t="str">
        <f>IF(Allocation!F36="","",Allocation!F36)</f>
        <v>MAS_MGT</v>
      </c>
      <c r="E36" t="str">
        <f>IF(Allocation!G36="","",Allocation!G36)</f>
        <v>M2</v>
      </c>
      <c r="F36" t="str">
        <f>IF(Allocation!H36="","",Allocation!H36)</f>
        <v>ALT</v>
      </c>
      <c r="G36">
        <f>IF(Allocation!D36="","",Allocation!I36)</f>
        <v>59</v>
      </c>
      <c r="H36">
        <f>IF(Allocation!D36="","",Allocation!J36)</f>
        <v>3</v>
      </c>
      <c r="I36">
        <f>IF(Allocation!D36="","",Allocation!K36)</f>
        <v>442500</v>
      </c>
      <c r="J36">
        <f>IF($A36="","",_xlfn.SUMIFS(Socle!$K$1:$K$448,Socle!$C$1:$C$448,$B36,Socle!$D$1:$D$448,$D36,Socle!$E$1:$E$448,$E36,Socle!$F$1:$F$448,$F36,Socle!$G$1:$G$448,$A36))</f>
        <v>0</v>
      </c>
      <c r="K36">
        <f t="shared" si="0"/>
        <v>1260</v>
      </c>
      <c r="L36">
        <f>IF($A36="","",_xlfn.SUMIFS(Allocation!$I$1:$I$175,Allocation!$C$1:$C$175,$A36,Allocation!$D$1:$D$175,$B36))</f>
        <v>294</v>
      </c>
      <c r="M36">
        <f>IF($A36="","",_xlfn.SUMIFS(Allocation!$J$1:$J$175,Allocation!$C$1:$C$175,$A36,Allocation!$D$1:$D$175,$B36))</f>
        <v>12</v>
      </c>
      <c r="N36">
        <f>IF($A36="","",_xlfn.SUMIFS(Allocation!$K$1:$K$175,Allocation!$C$1:$C$175,$A36,Allocation!$D$1:$D$175,$B36))</f>
        <v>2158300</v>
      </c>
      <c r="O36">
        <f t="shared" si="1"/>
        <v>5640</v>
      </c>
      <c r="P36">
        <f t="shared" si="2"/>
        <v>240</v>
      </c>
      <c r="Q36">
        <f>IF($A36="","",_xlfn.SUMIFS(Allocation!$I$1:$I$175,Allocation!$C$1:$C$175,$A36,Allocation!$E$1:$E$175,$C36))</f>
        <v>1249</v>
      </c>
      <c r="R36">
        <f>IF($A36="","",_xlfn.SUMIFS(Allocation!$J$1:$J$175,Allocation!$C$1:$C$175,$A36,Allocation!$E$1:$E$175,$C36))</f>
        <v>50</v>
      </c>
      <c r="S36">
        <f>IF($A36="","",_xlfn.SUMIFS(Allocation!$K$1:$K$175,Allocation!$C$1:$C$175,$A36,Allocation!$E$1:$E$175,$C36))</f>
        <v>9567455</v>
      </c>
      <c r="T36">
        <f>IF($A36="","",_xlfn.SUMIFS(Allocation!$I$1:$I$175,Allocation!$C$1:$C$175,$A36))</f>
        <v>3036</v>
      </c>
      <c r="U36">
        <f>IF($A36="","",_xlfn.SUMIFS(Allocation!$J$1:$J$175,Allocation!$C$1:$C$175,$A36))</f>
        <v>131</v>
      </c>
      <c r="V36">
        <f>IF($A36="","",_xlfn.SUMIFS(Allocation!$K$1:$K$175,Allocation!$C$1:$C$175,$A36))</f>
        <v>22544725</v>
      </c>
      <c r="W36">
        <f>IF($A36="","",_xlfn.SUMIFS(Compta!$F$1:$F$1448,Compta!$A$1:$A$1448,$B36,Compta!$B$1:$B$1448,"621",Compta!$C$1:$C$1448,$A36))</f>
        <v>144875</v>
      </c>
      <c r="X36">
        <f>IF($A36="","",_xlfn.SUMIFS(Compta!$F$1:$F$1448,Compta!$A$1:$A$1448,$B36,Compta!$B$1:$B$1448,"6411",Compta!$C$1:$C$1448,$A36))</f>
        <v>298865</v>
      </c>
      <c r="Y36">
        <f>IF($A36="","",_xlfn.SUMIFS(Compta!$F$1:$F$1448,Compta!$A$1:$A$1448,$B36,Compta!$B$1:$B$1448,"604",Compta!$C$1:$C$1448,$A36)+_xlfn.SUMIFS(Compta!$F$1:$F$1448,Compta!$A$1:$A$1448,$B36,Compta!$B$1:$B$1448,"6063",Compta!$C$1:$C$1448,$A36))</f>
        <v>109396</v>
      </c>
      <c r="Z36">
        <f>IF($A36="","",_xlfn.SUMIFS(Compta!$F$1:$F$1448,Compta!$A$1:$A$1448,$B36,Compta!$B$1:$B$1448,"6231",Compta!$C$1:$C$1448,$A36))</f>
        <v>31533</v>
      </c>
      <c r="AA36">
        <f>IF($A36="","",_xlfn.SUMIFS(Compta!$F$1:$F$1448,Compta!$A$1:$A$1448,$B36,Compta!$B$1:$B$1448,"6413",Compta!$C$1:$C$1448,$A36)+_xlfn.SUMIFS(Compta!$F$1:$F$1448,Compta!$A$1:$A$1448,$B36,Compta!$B$1:$B$1448,"645",Compta!$C$1:$C$1448,$A36)+_xlfn.SUMIFS(Compta!$F$1:$F$1448,Compta!$A$1:$A$1448,$B36,Compta!$B$1:$B$1448,"613",Compta!$C$1:$C$1448,$A36)+_xlfn.SUMIFS(Compta!$F$1:$F$1448,Compta!$A$1:$A$1448,$B36,Compta!$B$1:$B$1448,"615",Compta!$C$1:$C$1448,$A36)+_xlfn.SUMIFS(Compta!$F$1:$F$1448,Compta!$A$1:$A$1448,$B36,Compta!$B$1:$B$1448,"616",Compta!$C$1:$C$1448,$A36)+_xlfn.SUMIFS(Compta!$F$1:$F$1448,Compta!$A$1:$A$1448,$B36,Compta!$B$1:$B$1448,"625",Compta!$C$1:$C$1448,$A36)+_xlfn.SUMIFS(Compta!$F$1:$F$1448,Compta!$A$1:$A$1448,$B36,Compta!$B$1:$B$1448,"63511",Compta!$C$1:$C$1448,$A36))</f>
        <v>698861</v>
      </c>
      <c r="AB36">
        <f>IF($A36="","",_xlfn.SUMIFS(Compta!$F$1:$F$1448,Compta!$A$1:$A$1448,"GRP",Compta!$B$1:$B$1448,"6414",Compta!$C$1:$C$1448,$A36)+_xlfn.SUMIFS(Compta!$F$1:$F$1448,Compta!$A$1:$A$1448,"GRP",Compta!$B$1:$B$1448,"6226",Compta!$C$1:$C$1448,$A36)+_xlfn.SUMIFS(Compta!$F$1:$F$1448,Compta!$A$1:$A$1448,"GRP",Compta!$B$1:$B$1448,"626",Compta!$C$1:$C$1448,$A36)+_xlfn.SUMIFS(Compta!$F$1:$F$1448,Compta!$A$1:$A$1448,"GRP",Compta!$B$1:$B$1448,"6281",Compta!$C$1:$C$1448,$A36)+_xlfn.SUMIFS(Compta!$F$1:$F$1448,Compta!$A$1:$A$1448,"GRP",Compta!$B$1:$B$1448,"6331",Compta!$C$1:$C$1448,$A36)+_xlfn.SUMIFS(Compta!$F$1:$F$1448,Compta!$A$1:$A$1448,"GRP",Compta!$B$1:$B$1448,"6333",Compta!$C$1:$C$1448,$A36))</f>
        <v>2891983</v>
      </c>
      <c r="AC36" t="s">
        <v>274</v>
      </c>
      <c r="AD36" t="s">
        <v>274</v>
      </c>
      <c r="AE36" t="s">
        <v>274</v>
      </c>
      <c r="AF36" t="s">
        <v>274</v>
      </c>
      <c r="AG36" t="s">
        <v>274</v>
      </c>
      <c r="AH36" t="s">
        <v>274</v>
      </c>
      <c r="AI36">
        <f t="shared" si="3"/>
        <v>32365.6914893617</v>
      </c>
      <c r="AJ36">
        <f t="shared" si="4"/>
        <v>66767.7127659574</v>
      </c>
      <c r="AK36">
        <f t="shared" si="5"/>
        <v>21953.619047619</v>
      </c>
      <c r="AL36">
        <f t="shared" si="6"/>
        <v>0</v>
      </c>
      <c r="AM36">
        <f t="shared" si="7"/>
        <v>0</v>
      </c>
      <c r="AN36">
        <f t="shared" si="8"/>
        <v>321412.976697062</v>
      </c>
      <c r="AO36">
        <f>IF($A36="","",_xlfn.SUMIFS(Compta!$F$1:$F$1448,Compta!$A$1:$A$1448,"GRP",Compta!$B$1:$B$1448,"6236",Compta!$C$1:$C$1448,$A36))</f>
        <v>676344</v>
      </c>
      <c r="AP36" t="s">
        <v>274</v>
      </c>
      <c r="AQ36" t="s">
        <v>274</v>
      </c>
      <c r="AR36">
        <f t="shared" si="9"/>
        <v>0</v>
      </c>
    </row>
    <row r="37" ht="14.25" customHeight="1">
      <c r="A37" t="str">
        <f>IF(Allocation!C37="","",Allocation!C37)</f>
        <v>2025</v>
      </c>
      <c r="B37" t="str">
        <f>IF(Allocation!D37="","",Allocation!D37)</f>
        <v>MBWAY_NAN</v>
      </c>
      <c r="C37" t="str">
        <f>IF(Allocation!E37="","",Allocation!E37)</f>
        <v>MBWAY</v>
      </c>
      <c r="D37" t="str">
        <f>IF(Allocation!F37="","",Allocation!F37)</f>
        <v>BAC_MGT</v>
      </c>
      <c r="E37" t="str">
        <f>IF(Allocation!G37="","",Allocation!G37)</f>
        <v>B1</v>
      </c>
      <c r="F37" t="str">
        <f>IF(Allocation!H37="","",Allocation!H37)</f>
        <v>INIT</v>
      </c>
      <c r="G37">
        <f>IF(Allocation!D37="","",Allocation!I37)</f>
        <v>57</v>
      </c>
      <c r="H37">
        <f>IF(Allocation!D37="","",Allocation!J37)</f>
        <v>2</v>
      </c>
      <c r="I37">
        <f>IF(Allocation!D37="","",Allocation!K37)</f>
        <v>432630</v>
      </c>
      <c r="J37">
        <f>IF($A37="","",_xlfn.SUMIFS(Socle!$K$1:$K$448,Socle!$C$1:$C$448,$B37,Socle!$D$1:$D$448,$D37,Socle!$E$1:$E$448,$E37,Socle!$F$1:$F$448,$F37,Socle!$G$1:$G$448,$A37))</f>
        <v>114</v>
      </c>
      <c r="K37">
        <f t="shared" si="0"/>
        <v>1200</v>
      </c>
      <c r="L37">
        <f>IF($A37="","",_xlfn.SUMIFS(Allocation!$I$1:$I$175,Allocation!$C$1:$C$175,$A37,Allocation!$D$1:$D$175,$B37))</f>
        <v>279</v>
      </c>
      <c r="M37">
        <f>IF($A37="","",_xlfn.SUMIFS(Allocation!$J$1:$J$175,Allocation!$C$1:$C$175,$A37,Allocation!$D$1:$D$175,$B37))</f>
        <v>12</v>
      </c>
      <c r="N37">
        <f>IF($A37="","",_xlfn.SUMIFS(Allocation!$K$1:$K$175,Allocation!$C$1:$C$175,$A37,Allocation!$D$1:$D$175,$B37))</f>
        <v>2048260</v>
      </c>
      <c r="O37">
        <f t="shared" si="1"/>
        <v>5640</v>
      </c>
      <c r="P37">
        <f t="shared" si="2"/>
        <v>228</v>
      </c>
      <c r="Q37">
        <f>IF($A37="","",_xlfn.SUMIFS(Allocation!$I$1:$I$175,Allocation!$C$1:$C$175,$A37,Allocation!$E$1:$E$175,$C37))</f>
        <v>1179</v>
      </c>
      <c r="R37">
        <f>IF($A37="","",_xlfn.SUMIFS(Allocation!$J$1:$J$175,Allocation!$C$1:$C$175,$A37,Allocation!$E$1:$E$175,$C37))</f>
        <v>50</v>
      </c>
      <c r="S37">
        <f>IF($A37="","",_xlfn.SUMIFS(Allocation!$K$1:$K$175,Allocation!$C$1:$C$175,$A37,Allocation!$E$1:$E$175,$C37))</f>
        <v>9032400</v>
      </c>
      <c r="T37">
        <f>IF($A37="","",_xlfn.SUMIFS(Allocation!$I$1:$I$175,Allocation!$C$1:$C$175,$A37))</f>
        <v>2860</v>
      </c>
      <c r="U37">
        <f>IF($A37="","",_xlfn.SUMIFS(Allocation!$J$1:$J$175,Allocation!$C$1:$C$175,$A37))</f>
        <v>131</v>
      </c>
      <c r="V37">
        <f>IF($A37="","",_xlfn.SUMIFS(Allocation!$K$1:$K$175,Allocation!$C$1:$C$175,$A37))</f>
        <v>21240140</v>
      </c>
      <c r="W37">
        <f>IF($A37="","",_xlfn.SUMIFS(Compta!$F$1:$F$1448,Compta!$A$1:$A$1448,$B37,Compta!$B$1:$B$1448,"621",Compta!$C$1:$C$1448,$A37))</f>
        <v>138275</v>
      </c>
      <c r="X37">
        <f>IF($A37="","",_xlfn.SUMIFS(Compta!$F$1:$F$1448,Compta!$A$1:$A$1448,$B37,Compta!$B$1:$B$1448,"6411",Compta!$C$1:$C$1448,$A37))</f>
        <v>285249</v>
      </c>
      <c r="Y37">
        <f>IF($A37="","",_xlfn.SUMIFS(Compta!$F$1:$F$1448,Compta!$A$1:$A$1448,$B37,Compta!$B$1:$B$1448,"604",Compta!$C$1:$C$1448,$A37)+_xlfn.SUMIFS(Compta!$F$1:$F$1448,Compta!$A$1:$A$1448,$B37,Compta!$B$1:$B$1448,"6063",Compta!$C$1:$C$1448,$A37))</f>
        <v>104412</v>
      </c>
      <c r="Z37">
        <f>IF($A37="","",_xlfn.SUMIFS(Compta!$F$1:$F$1448,Compta!$A$1:$A$1448,$B37,Compta!$B$1:$B$1448,"6231",Compta!$C$1:$C$1448,$A37))</f>
        <v>28666</v>
      </c>
      <c r="AA37">
        <f>IF($A37="","",_xlfn.SUMIFS(Compta!$F$1:$F$1448,Compta!$A$1:$A$1448,$B37,Compta!$B$1:$B$1448,"6413",Compta!$C$1:$C$1448,$A37)+_xlfn.SUMIFS(Compta!$F$1:$F$1448,Compta!$A$1:$A$1448,$B37,Compta!$B$1:$B$1448,"645",Compta!$C$1:$C$1448,$A37)+_xlfn.SUMIFS(Compta!$F$1:$F$1448,Compta!$A$1:$A$1448,$B37,Compta!$B$1:$B$1448,"613",Compta!$C$1:$C$1448,$A37)+_xlfn.SUMIFS(Compta!$F$1:$F$1448,Compta!$A$1:$A$1448,$B37,Compta!$B$1:$B$1448,"615",Compta!$C$1:$C$1448,$A37)+_xlfn.SUMIFS(Compta!$F$1:$F$1448,Compta!$A$1:$A$1448,$B37,Compta!$B$1:$B$1448,"616",Compta!$C$1:$C$1448,$A37)+_xlfn.SUMIFS(Compta!$F$1:$F$1448,Compta!$A$1:$A$1448,$B37,Compta!$B$1:$B$1448,"625",Compta!$C$1:$C$1448,$A37)+_xlfn.SUMIFS(Compta!$F$1:$F$1448,Compta!$A$1:$A$1448,$B37,Compta!$B$1:$B$1448,"63511",Compta!$C$1:$C$1448,$A37))</f>
        <v>667023</v>
      </c>
      <c r="AB37">
        <f>IF($A37="","",_xlfn.SUMIFS(Compta!$F$1:$F$1448,Compta!$A$1:$A$1448,"GRP",Compta!$B$1:$B$1448,"6414",Compta!$C$1:$C$1448,$A37)+_xlfn.SUMIFS(Compta!$F$1:$F$1448,Compta!$A$1:$A$1448,"GRP",Compta!$B$1:$B$1448,"6226",Compta!$C$1:$C$1448,$A37)+_xlfn.SUMIFS(Compta!$F$1:$F$1448,Compta!$A$1:$A$1448,"GRP",Compta!$B$1:$B$1448,"626",Compta!$C$1:$C$1448,$A37)+_xlfn.SUMIFS(Compta!$F$1:$F$1448,Compta!$A$1:$A$1448,"GRP",Compta!$B$1:$B$1448,"6281",Compta!$C$1:$C$1448,$A37)+_xlfn.SUMIFS(Compta!$F$1:$F$1448,Compta!$A$1:$A$1448,"GRP",Compta!$B$1:$B$1448,"6331",Compta!$C$1:$C$1448,$A37)+_xlfn.SUMIFS(Compta!$F$1:$F$1448,Compta!$A$1:$A$1448,"GRP",Compta!$B$1:$B$1448,"6333",Compta!$C$1:$C$1448,$A37))</f>
        <v>2760232</v>
      </c>
      <c r="AC37" t="s">
        <v>274</v>
      </c>
      <c r="AD37" t="s">
        <v>274</v>
      </c>
      <c r="AE37" t="s">
        <v>274</v>
      </c>
      <c r="AF37" t="s">
        <v>274</v>
      </c>
      <c r="AG37" t="s">
        <v>274</v>
      </c>
      <c r="AH37" t="s">
        <v>274</v>
      </c>
      <c r="AI37">
        <f t="shared" si="3"/>
        <v>29420.2127659574</v>
      </c>
      <c r="AJ37">
        <f t="shared" si="4"/>
        <v>60691.2765957447</v>
      </c>
      <c r="AK37">
        <f t="shared" si="5"/>
        <v>35664.4838709677</v>
      </c>
      <c r="AL37">
        <f t="shared" si="6"/>
        <v>0</v>
      </c>
      <c r="AM37">
        <f t="shared" si="7"/>
        <v>0</v>
      </c>
      <c r="AN37">
        <f t="shared" si="8"/>
        <v>306854.02676733</v>
      </c>
      <c r="AO37">
        <f>IF($A37="","",_xlfn.SUMIFS(Compta!$F$1:$F$1448,Compta!$A$1:$A$1448,"GRP",Compta!$B$1:$B$1448,"6236",Compta!$C$1:$C$1448,$A37))</f>
        <v>580167</v>
      </c>
      <c r="AP37" t="s">
        <v>274</v>
      </c>
      <c r="AQ37" t="s">
        <v>274</v>
      </c>
      <c r="AR37">
        <f t="shared" si="9"/>
        <v>0</v>
      </c>
    </row>
    <row r="38" ht="14.25" customHeight="1">
      <c r="A38" t="str">
        <f>IF(Allocation!C38="","",Allocation!C38)</f>
        <v>2025</v>
      </c>
      <c r="B38" t="str">
        <f>IF(Allocation!D38="","",Allocation!D38)</f>
        <v>MBWAY_NAN</v>
      </c>
      <c r="C38" t="str">
        <f>IF(Allocation!E38="","",Allocation!E38)</f>
        <v>MBWAY</v>
      </c>
      <c r="D38" t="str">
        <f>IF(Allocation!F38="","",Allocation!F38)</f>
        <v>BAC_MGT</v>
      </c>
      <c r="E38" t="str">
        <f>IF(Allocation!G38="","",Allocation!G38)</f>
        <v>B2</v>
      </c>
      <c r="F38" t="str">
        <f>IF(Allocation!H38="","",Allocation!H38)</f>
        <v>ALT</v>
      </c>
      <c r="G38">
        <f>IF(Allocation!D38="","",Allocation!I38)</f>
        <v>55</v>
      </c>
      <c r="H38">
        <f>IF(Allocation!D38="","",Allocation!J38)</f>
        <v>2</v>
      </c>
      <c r="I38">
        <f>IF(Allocation!D38="","",Allocation!K38)</f>
        <v>385000</v>
      </c>
      <c r="J38">
        <f>IF($A38="","",_xlfn.SUMIFS(Socle!$K$1:$K$448,Socle!$C$1:$C$448,$B38,Socle!$D$1:$D$448,$D38,Socle!$E$1:$E$448,$E38,Socle!$F$1:$F$448,$F38,Socle!$G$1:$G$448,$A38))</f>
        <v>0</v>
      </c>
      <c r="K38">
        <f t="shared" si="0"/>
        <v>960</v>
      </c>
      <c r="L38">
        <f>IF($A38="","",_xlfn.SUMIFS(Allocation!$I$1:$I$175,Allocation!$C$1:$C$175,$A38,Allocation!$D$1:$D$175,$B38))</f>
        <v>279</v>
      </c>
      <c r="M38">
        <f>IF($A38="","",_xlfn.SUMIFS(Allocation!$J$1:$J$175,Allocation!$C$1:$C$175,$A38,Allocation!$D$1:$D$175,$B38))</f>
        <v>12</v>
      </c>
      <c r="N38">
        <f>IF($A38="","",_xlfn.SUMIFS(Allocation!$K$1:$K$175,Allocation!$C$1:$C$175,$A38,Allocation!$D$1:$D$175,$B38))</f>
        <v>2048260</v>
      </c>
      <c r="O38">
        <f t="shared" si="1"/>
        <v>5640</v>
      </c>
      <c r="P38">
        <f t="shared" si="2"/>
        <v>228</v>
      </c>
      <c r="Q38">
        <f>IF($A38="","",_xlfn.SUMIFS(Allocation!$I$1:$I$175,Allocation!$C$1:$C$175,$A38,Allocation!$E$1:$E$175,$C38))</f>
        <v>1179</v>
      </c>
      <c r="R38">
        <f>IF($A38="","",_xlfn.SUMIFS(Allocation!$J$1:$J$175,Allocation!$C$1:$C$175,$A38,Allocation!$E$1:$E$175,$C38))</f>
        <v>50</v>
      </c>
      <c r="S38">
        <f>IF($A38="","",_xlfn.SUMIFS(Allocation!$K$1:$K$175,Allocation!$C$1:$C$175,$A38,Allocation!$E$1:$E$175,$C38))</f>
        <v>9032400</v>
      </c>
      <c r="T38">
        <f>IF($A38="","",_xlfn.SUMIFS(Allocation!$I$1:$I$175,Allocation!$C$1:$C$175,$A38))</f>
        <v>2860</v>
      </c>
      <c r="U38">
        <f>IF($A38="","",_xlfn.SUMIFS(Allocation!$J$1:$J$175,Allocation!$C$1:$C$175,$A38))</f>
        <v>131</v>
      </c>
      <c r="V38">
        <f>IF($A38="","",_xlfn.SUMIFS(Allocation!$K$1:$K$175,Allocation!$C$1:$C$175,$A38))</f>
        <v>21240140</v>
      </c>
      <c r="W38">
        <f>IF($A38="","",_xlfn.SUMIFS(Compta!$F$1:$F$1448,Compta!$A$1:$A$1448,$B38,Compta!$B$1:$B$1448,"621",Compta!$C$1:$C$1448,$A38))</f>
        <v>138275</v>
      </c>
      <c r="X38">
        <f>IF($A38="","",_xlfn.SUMIFS(Compta!$F$1:$F$1448,Compta!$A$1:$A$1448,$B38,Compta!$B$1:$B$1448,"6411",Compta!$C$1:$C$1448,$A38))</f>
        <v>285249</v>
      </c>
      <c r="Y38">
        <f>IF($A38="","",_xlfn.SUMIFS(Compta!$F$1:$F$1448,Compta!$A$1:$A$1448,$B38,Compta!$B$1:$B$1448,"604",Compta!$C$1:$C$1448,$A38)+_xlfn.SUMIFS(Compta!$F$1:$F$1448,Compta!$A$1:$A$1448,$B38,Compta!$B$1:$B$1448,"6063",Compta!$C$1:$C$1448,$A38))</f>
        <v>104412</v>
      </c>
      <c r="Z38">
        <f>IF($A38="","",_xlfn.SUMIFS(Compta!$F$1:$F$1448,Compta!$A$1:$A$1448,$B38,Compta!$B$1:$B$1448,"6231",Compta!$C$1:$C$1448,$A38))</f>
        <v>28666</v>
      </c>
      <c r="AA38">
        <f>IF($A38="","",_xlfn.SUMIFS(Compta!$F$1:$F$1448,Compta!$A$1:$A$1448,$B38,Compta!$B$1:$B$1448,"6413",Compta!$C$1:$C$1448,$A38)+_xlfn.SUMIFS(Compta!$F$1:$F$1448,Compta!$A$1:$A$1448,$B38,Compta!$B$1:$B$1448,"645",Compta!$C$1:$C$1448,$A38)+_xlfn.SUMIFS(Compta!$F$1:$F$1448,Compta!$A$1:$A$1448,$B38,Compta!$B$1:$B$1448,"613",Compta!$C$1:$C$1448,$A38)+_xlfn.SUMIFS(Compta!$F$1:$F$1448,Compta!$A$1:$A$1448,$B38,Compta!$B$1:$B$1448,"615",Compta!$C$1:$C$1448,$A38)+_xlfn.SUMIFS(Compta!$F$1:$F$1448,Compta!$A$1:$A$1448,$B38,Compta!$B$1:$B$1448,"616",Compta!$C$1:$C$1448,$A38)+_xlfn.SUMIFS(Compta!$F$1:$F$1448,Compta!$A$1:$A$1448,$B38,Compta!$B$1:$B$1448,"625",Compta!$C$1:$C$1448,$A38)+_xlfn.SUMIFS(Compta!$F$1:$F$1448,Compta!$A$1:$A$1448,$B38,Compta!$B$1:$B$1448,"63511",Compta!$C$1:$C$1448,$A38))</f>
        <v>667023</v>
      </c>
      <c r="AB38">
        <f>IF($A38="","",_xlfn.SUMIFS(Compta!$F$1:$F$1448,Compta!$A$1:$A$1448,"GRP",Compta!$B$1:$B$1448,"6414",Compta!$C$1:$C$1448,$A38)+_xlfn.SUMIFS(Compta!$F$1:$F$1448,Compta!$A$1:$A$1448,"GRP",Compta!$B$1:$B$1448,"6226",Compta!$C$1:$C$1448,$A38)+_xlfn.SUMIFS(Compta!$F$1:$F$1448,Compta!$A$1:$A$1448,"GRP",Compta!$B$1:$B$1448,"626",Compta!$C$1:$C$1448,$A38)+_xlfn.SUMIFS(Compta!$F$1:$F$1448,Compta!$A$1:$A$1448,"GRP",Compta!$B$1:$B$1448,"6281",Compta!$C$1:$C$1448,$A38)+_xlfn.SUMIFS(Compta!$F$1:$F$1448,Compta!$A$1:$A$1448,"GRP",Compta!$B$1:$B$1448,"6331",Compta!$C$1:$C$1448,$A38)+_xlfn.SUMIFS(Compta!$F$1:$F$1448,Compta!$A$1:$A$1448,"GRP",Compta!$B$1:$B$1448,"6333",Compta!$C$1:$C$1448,$A38))</f>
        <v>2760232</v>
      </c>
      <c r="AC38" t="s">
        <v>274</v>
      </c>
      <c r="AD38" t="s">
        <v>274</v>
      </c>
      <c r="AE38" t="s">
        <v>274</v>
      </c>
      <c r="AF38" t="s">
        <v>274</v>
      </c>
      <c r="AG38" t="s">
        <v>274</v>
      </c>
      <c r="AH38" t="s">
        <v>274</v>
      </c>
      <c r="AI38">
        <f t="shared" si="3"/>
        <v>23536.170212766</v>
      </c>
      <c r="AJ38">
        <f t="shared" si="4"/>
        <v>48553.0212765957</v>
      </c>
      <c r="AK38">
        <f t="shared" si="5"/>
        <v>20583.0107526882</v>
      </c>
      <c r="AL38">
        <f t="shared" si="6"/>
        <v>0</v>
      </c>
      <c r="AM38">
        <f t="shared" si="7"/>
        <v>0</v>
      </c>
      <c r="AN38">
        <f t="shared" si="8"/>
        <v>292327.79775795</v>
      </c>
      <c r="AO38">
        <f>IF($A38="","",_xlfn.SUMIFS(Compta!$F$1:$F$1448,Compta!$A$1:$A$1448,"GRP",Compta!$B$1:$B$1448,"6236",Compta!$C$1:$C$1448,$A38))</f>
        <v>580167</v>
      </c>
      <c r="AP38" t="s">
        <v>274</v>
      </c>
      <c r="AQ38" t="s">
        <v>274</v>
      </c>
      <c r="AR38">
        <f t="shared" si="9"/>
        <v>0</v>
      </c>
    </row>
    <row r="39" ht="14.25" customHeight="1">
      <c r="A39" t="str">
        <f>IF(Allocation!C39="","",Allocation!C39)</f>
        <v>2025</v>
      </c>
      <c r="B39" t="str">
        <f>IF(Allocation!D39="","",Allocation!D39)</f>
        <v>MBWAY_NAN</v>
      </c>
      <c r="C39" t="str">
        <f>IF(Allocation!E39="","",Allocation!E39)</f>
        <v>MBWAY</v>
      </c>
      <c r="D39" t="str">
        <f>IF(Allocation!F39="","",Allocation!F39)</f>
        <v>BAC_MGT</v>
      </c>
      <c r="E39" t="str">
        <f>IF(Allocation!G39="","",Allocation!G39)</f>
        <v>B3</v>
      </c>
      <c r="F39" t="str">
        <f>IF(Allocation!H39="","",Allocation!H39)</f>
        <v>ALT</v>
      </c>
      <c r="G39">
        <f>IF(Allocation!D39="","",Allocation!I39)</f>
        <v>54</v>
      </c>
      <c r="H39">
        <f>IF(Allocation!D39="","",Allocation!J39)</f>
        <v>2</v>
      </c>
      <c r="I39">
        <f>IF(Allocation!D39="","",Allocation!K39)</f>
        <v>378000</v>
      </c>
      <c r="J39">
        <f>IF($A39="","",_xlfn.SUMIFS(Socle!$K$1:$K$448,Socle!$C$1:$C$448,$B39,Socle!$D$1:$D$448,$D39,Socle!$E$1:$E$448,$E39,Socle!$F$1:$F$448,$F39,Socle!$G$1:$G$448,$A39))</f>
        <v>0</v>
      </c>
      <c r="K39">
        <f t="shared" si="0"/>
        <v>960</v>
      </c>
      <c r="L39">
        <f>IF($A39="","",_xlfn.SUMIFS(Allocation!$I$1:$I$175,Allocation!$C$1:$C$175,$A39,Allocation!$D$1:$D$175,$B39))</f>
        <v>279</v>
      </c>
      <c r="M39">
        <f>IF($A39="","",_xlfn.SUMIFS(Allocation!$J$1:$J$175,Allocation!$C$1:$C$175,$A39,Allocation!$D$1:$D$175,$B39))</f>
        <v>12</v>
      </c>
      <c r="N39">
        <f>IF($A39="","",_xlfn.SUMIFS(Allocation!$K$1:$K$175,Allocation!$C$1:$C$175,$A39,Allocation!$D$1:$D$175,$B39))</f>
        <v>2048260</v>
      </c>
      <c r="O39">
        <f t="shared" si="1"/>
        <v>5640</v>
      </c>
      <c r="P39">
        <f t="shared" si="2"/>
        <v>228</v>
      </c>
      <c r="Q39">
        <f>IF($A39="","",_xlfn.SUMIFS(Allocation!$I$1:$I$175,Allocation!$C$1:$C$175,$A39,Allocation!$E$1:$E$175,$C39))</f>
        <v>1179</v>
      </c>
      <c r="R39">
        <f>IF($A39="","",_xlfn.SUMIFS(Allocation!$J$1:$J$175,Allocation!$C$1:$C$175,$A39,Allocation!$E$1:$E$175,$C39))</f>
        <v>50</v>
      </c>
      <c r="S39">
        <f>IF($A39="","",_xlfn.SUMIFS(Allocation!$K$1:$K$175,Allocation!$C$1:$C$175,$A39,Allocation!$E$1:$E$175,$C39))</f>
        <v>9032400</v>
      </c>
      <c r="T39">
        <f>IF($A39="","",_xlfn.SUMIFS(Allocation!$I$1:$I$175,Allocation!$C$1:$C$175,$A39))</f>
        <v>2860</v>
      </c>
      <c r="U39">
        <f>IF($A39="","",_xlfn.SUMIFS(Allocation!$J$1:$J$175,Allocation!$C$1:$C$175,$A39))</f>
        <v>131</v>
      </c>
      <c r="V39">
        <f>IF($A39="","",_xlfn.SUMIFS(Allocation!$K$1:$K$175,Allocation!$C$1:$C$175,$A39))</f>
        <v>21240140</v>
      </c>
      <c r="W39">
        <f>IF($A39="","",_xlfn.SUMIFS(Compta!$F$1:$F$1448,Compta!$A$1:$A$1448,$B39,Compta!$B$1:$B$1448,"621",Compta!$C$1:$C$1448,$A39))</f>
        <v>138275</v>
      </c>
      <c r="X39">
        <f>IF($A39="","",_xlfn.SUMIFS(Compta!$F$1:$F$1448,Compta!$A$1:$A$1448,$B39,Compta!$B$1:$B$1448,"6411",Compta!$C$1:$C$1448,$A39))</f>
        <v>285249</v>
      </c>
      <c r="Y39">
        <f>IF($A39="","",_xlfn.SUMIFS(Compta!$F$1:$F$1448,Compta!$A$1:$A$1448,$B39,Compta!$B$1:$B$1448,"604",Compta!$C$1:$C$1448,$A39)+_xlfn.SUMIFS(Compta!$F$1:$F$1448,Compta!$A$1:$A$1448,$B39,Compta!$B$1:$B$1448,"6063",Compta!$C$1:$C$1448,$A39))</f>
        <v>104412</v>
      </c>
      <c r="Z39">
        <f>IF($A39="","",_xlfn.SUMIFS(Compta!$F$1:$F$1448,Compta!$A$1:$A$1448,$B39,Compta!$B$1:$B$1448,"6231",Compta!$C$1:$C$1448,$A39))</f>
        <v>28666</v>
      </c>
      <c r="AA39">
        <f>IF($A39="","",_xlfn.SUMIFS(Compta!$F$1:$F$1448,Compta!$A$1:$A$1448,$B39,Compta!$B$1:$B$1448,"6413",Compta!$C$1:$C$1448,$A39)+_xlfn.SUMIFS(Compta!$F$1:$F$1448,Compta!$A$1:$A$1448,$B39,Compta!$B$1:$B$1448,"645",Compta!$C$1:$C$1448,$A39)+_xlfn.SUMIFS(Compta!$F$1:$F$1448,Compta!$A$1:$A$1448,$B39,Compta!$B$1:$B$1448,"613",Compta!$C$1:$C$1448,$A39)+_xlfn.SUMIFS(Compta!$F$1:$F$1448,Compta!$A$1:$A$1448,$B39,Compta!$B$1:$B$1448,"615",Compta!$C$1:$C$1448,$A39)+_xlfn.SUMIFS(Compta!$F$1:$F$1448,Compta!$A$1:$A$1448,$B39,Compta!$B$1:$B$1448,"616",Compta!$C$1:$C$1448,$A39)+_xlfn.SUMIFS(Compta!$F$1:$F$1448,Compta!$A$1:$A$1448,$B39,Compta!$B$1:$B$1448,"625",Compta!$C$1:$C$1448,$A39)+_xlfn.SUMIFS(Compta!$F$1:$F$1448,Compta!$A$1:$A$1448,$B39,Compta!$B$1:$B$1448,"63511",Compta!$C$1:$C$1448,$A39))</f>
        <v>667023</v>
      </c>
      <c r="AB39">
        <f>IF($A39="","",_xlfn.SUMIFS(Compta!$F$1:$F$1448,Compta!$A$1:$A$1448,"GRP",Compta!$B$1:$B$1448,"6414",Compta!$C$1:$C$1448,$A39)+_xlfn.SUMIFS(Compta!$F$1:$F$1448,Compta!$A$1:$A$1448,"GRP",Compta!$B$1:$B$1448,"6226",Compta!$C$1:$C$1448,$A39)+_xlfn.SUMIFS(Compta!$F$1:$F$1448,Compta!$A$1:$A$1448,"GRP",Compta!$B$1:$B$1448,"626",Compta!$C$1:$C$1448,$A39)+_xlfn.SUMIFS(Compta!$F$1:$F$1448,Compta!$A$1:$A$1448,"GRP",Compta!$B$1:$B$1448,"6281",Compta!$C$1:$C$1448,$A39)+_xlfn.SUMIFS(Compta!$F$1:$F$1448,Compta!$A$1:$A$1448,"GRP",Compta!$B$1:$B$1448,"6331",Compta!$C$1:$C$1448,$A39)+_xlfn.SUMIFS(Compta!$F$1:$F$1448,Compta!$A$1:$A$1448,"GRP",Compta!$B$1:$B$1448,"6333",Compta!$C$1:$C$1448,$A39))</f>
        <v>2760232</v>
      </c>
      <c r="AC39" t="s">
        <v>274</v>
      </c>
      <c r="AD39" t="s">
        <v>274</v>
      </c>
      <c r="AE39" t="s">
        <v>274</v>
      </c>
      <c r="AF39" t="s">
        <v>274</v>
      </c>
      <c r="AG39" t="s">
        <v>274</v>
      </c>
      <c r="AH39" t="s">
        <v>274</v>
      </c>
      <c r="AI39">
        <f t="shared" si="3"/>
        <v>23536.170212766</v>
      </c>
      <c r="AJ39">
        <f t="shared" si="4"/>
        <v>48553.0212765957</v>
      </c>
      <c r="AK39">
        <f t="shared" si="5"/>
        <v>20208.7741935484</v>
      </c>
      <c r="AL39">
        <f t="shared" si="6"/>
        <v>0</v>
      </c>
      <c r="AM39">
        <f t="shared" si="7"/>
        <v>0</v>
      </c>
      <c r="AN39">
        <f t="shared" si="8"/>
        <v>285702.03431709</v>
      </c>
      <c r="AO39">
        <f>IF($A39="","",_xlfn.SUMIFS(Compta!$F$1:$F$1448,Compta!$A$1:$A$1448,"GRP",Compta!$B$1:$B$1448,"6236",Compta!$C$1:$C$1448,$A39))</f>
        <v>580167</v>
      </c>
      <c r="AP39" t="s">
        <v>274</v>
      </c>
      <c r="AQ39" t="s">
        <v>274</v>
      </c>
      <c r="AR39">
        <f t="shared" si="9"/>
        <v>0</v>
      </c>
    </row>
    <row r="40" ht="14.25" customHeight="1">
      <c r="A40" t="str">
        <f>IF(Allocation!C40="","",Allocation!C40)</f>
        <v>2025</v>
      </c>
      <c r="B40" t="str">
        <f>IF(Allocation!D40="","",Allocation!D40)</f>
        <v>MBWAY_NAN</v>
      </c>
      <c r="C40" t="str">
        <f>IF(Allocation!E40="","",Allocation!E40)</f>
        <v>MBWAY</v>
      </c>
      <c r="D40" t="str">
        <f>IF(Allocation!F40="","",Allocation!F40)</f>
        <v>MAS_MGT</v>
      </c>
      <c r="E40" t="str">
        <f>IF(Allocation!G40="","",Allocation!G40)</f>
        <v>M1</v>
      </c>
      <c r="F40" t="str">
        <f>IF(Allocation!H40="","",Allocation!H40)</f>
        <v>ALT</v>
      </c>
      <c r="G40">
        <f>IF(Allocation!D40="","",Allocation!I40)</f>
        <v>57</v>
      </c>
      <c r="H40">
        <f>IF(Allocation!D40="","",Allocation!J40)</f>
        <v>3</v>
      </c>
      <c r="I40">
        <f>IF(Allocation!D40="","",Allocation!K40)</f>
        <v>432630</v>
      </c>
      <c r="J40">
        <f>IF($A40="","",_xlfn.SUMIFS(Socle!$K$1:$K$448,Socle!$C$1:$C$448,$B40,Socle!$D$1:$D$448,$D40,Socle!$E$1:$E$448,$E40,Socle!$F$1:$F$448,$F40,Socle!$G$1:$G$448,$A40))</f>
        <v>114</v>
      </c>
      <c r="K40">
        <f t="shared" si="0"/>
        <v>1260</v>
      </c>
      <c r="L40">
        <f>IF($A40="","",_xlfn.SUMIFS(Allocation!$I$1:$I$175,Allocation!$C$1:$C$175,$A40,Allocation!$D$1:$D$175,$B40))</f>
        <v>279</v>
      </c>
      <c r="M40">
        <f>IF($A40="","",_xlfn.SUMIFS(Allocation!$J$1:$J$175,Allocation!$C$1:$C$175,$A40,Allocation!$D$1:$D$175,$B40))</f>
        <v>12</v>
      </c>
      <c r="N40">
        <f>IF($A40="","",_xlfn.SUMIFS(Allocation!$K$1:$K$175,Allocation!$C$1:$C$175,$A40,Allocation!$D$1:$D$175,$B40))</f>
        <v>2048260</v>
      </c>
      <c r="O40">
        <f t="shared" si="1"/>
        <v>5640</v>
      </c>
      <c r="P40">
        <f t="shared" si="2"/>
        <v>228</v>
      </c>
      <c r="Q40">
        <f>IF($A40="","",_xlfn.SUMIFS(Allocation!$I$1:$I$175,Allocation!$C$1:$C$175,$A40,Allocation!$E$1:$E$175,$C40))</f>
        <v>1179</v>
      </c>
      <c r="R40">
        <f>IF($A40="","",_xlfn.SUMIFS(Allocation!$J$1:$J$175,Allocation!$C$1:$C$175,$A40,Allocation!$E$1:$E$175,$C40))</f>
        <v>50</v>
      </c>
      <c r="S40">
        <f>IF($A40="","",_xlfn.SUMIFS(Allocation!$K$1:$K$175,Allocation!$C$1:$C$175,$A40,Allocation!$E$1:$E$175,$C40))</f>
        <v>9032400</v>
      </c>
      <c r="T40">
        <f>IF($A40="","",_xlfn.SUMIFS(Allocation!$I$1:$I$175,Allocation!$C$1:$C$175,$A40))</f>
        <v>2860</v>
      </c>
      <c r="U40">
        <f>IF($A40="","",_xlfn.SUMIFS(Allocation!$J$1:$J$175,Allocation!$C$1:$C$175,$A40))</f>
        <v>131</v>
      </c>
      <c r="V40">
        <f>IF($A40="","",_xlfn.SUMIFS(Allocation!$K$1:$K$175,Allocation!$C$1:$C$175,$A40))</f>
        <v>21240140</v>
      </c>
      <c r="W40">
        <f>IF($A40="","",_xlfn.SUMIFS(Compta!$F$1:$F$1448,Compta!$A$1:$A$1448,$B40,Compta!$B$1:$B$1448,"621",Compta!$C$1:$C$1448,$A40))</f>
        <v>138275</v>
      </c>
      <c r="X40">
        <f>IF($A40="","",_xlfn.SUMIFS(Compta!$F$1:$F$1448,Compta!$A$1:$A$1448,$B40,Compta!$B$1:$B$1448,"6411",Compta!$C$1:$C$1448,$A40))</f>
        <v>285249</v>
      </c>
      <c r="Y40">
        <f>IF($A40="","",_xlfn.SUMIFS(Compta!$F$1:$F$1448,Compta!$A$1:$A$1448,$B40,Compta!$B$1:$B$1448,"604",Compta!$C$1:$C$1448,$A40)+_xlfn.SUMIFS(Compta!$F$1:$F$1448,Compta!$A$1:$A$1448,$B40,Compta!$B$1:$B$1448,"6063",Compta!$C$1:$C$1448,$A40))</f>
        <v>104412</v>
      </c>
      <c r="Z40">
        <f>IF($A40="","",_xlfn.SUMIFS(Compta!$F$1:$F$1448,Compta!$A$1:$A$1448,$B40,Compta!$B$1:$B$1448,"6231",Compta!$C$1:$C$1448,$A40))</f>
        <v>28666</v>
      </c>
      <c r="AA40">
        <f>IF($A40="","",_xlfn.SUMIFS(Compta!$F$1:$F$1448,Compta!$A$1:$A$1448,$B40,Compta!$B$1:$B$1448,"6413",Compta!$C$1:$C$1448,$A40)+_xlfn.SUMIFS(Compta!$F$1:$F$1448,Compta!$A$1:$A$1448,$B40,Compta!$B$1:$B$1448,"645",Compta!$C$1:$C$1448,$A40)+_xlfn.SUMIFS(Compta!$F$1:$F$1448,Compta!$A$1:$A$1448,$B40,Compta!$B$1:$B$1448,"613",Compta!$C$1:$C$1448,$A40)+_xlfn.SUMIFS(Compta!$F$1:$F$1448,Compta!$A$1:$A$1448,$B40,Compta!$B$1:$B$1448,"615",Compta!$C$1:$C$1448,$A40)+_xlfn.SUMIFS(Compta!$F$1:$F$1448,Compta!$A$1:$A$1448,$B40,Compta!$B$1:$B$1448,"616",Compta!$C$1:$C$1448,$A40)+_xlfn.SUMIFS(Compta!$F$1:$F$1448,Compta!$A$1:$A$1448,$B40,Compta!$B$1:$B$1448,"625",Compta!$C$1:$C$1448,$A40)+_xlfn.SUMIFS(Compta!$F$1:$F$1448,Compta!$A$1:$A$1448,$B40,Compta!$B$1:$B$1448,"63511",Compta!$C$1:$C$1448,$A40))</f>
        <v>667023</v>
      </c>
      <c r="AB40">
        <f>IF($A40="","",_xlfn.SUMIFS(Compta!$F$1:$F$1448,Compta!$A$1:$A$1448,"GRP",Compta!$B$1:$B$1448,"6414",Compta!$C$1:$C$1448,$A40)+_xlfn.SUMIFS(Compta!$F$1:$F$1448,Compta!$A$1:$A$1448,"GRP",Compta!$B$1:$B$1448,"6226",Compta!$C$1:$C$1448,$A40)+_xlfn.SUMIFS(Compta!$F$1:$F$1448,Compta!$A$1:$A$1448,"GRP",Compta!$B$1:$B$1448,"626",Compta!$C$1:$C$1448,$A40)+_xlfn.SUMIFS(Compta!$F$1:$F$1448,Compta!$A$1:$A$1448,"GRP",Compta!$B$1:$B$1448,"6281",Compta!$C$1:$C$1448,$A40)+_xlfn.SUMIFS(Compta!$F$1:$F$1448,Compta!$A$1:$A$1448,"GRP",Compta!$B$1:$B$1448,"6331",Compta!$C$1:$C$1448,$A40)+_xlfn.SUMIFS(Compta!$F$1:$F$1448,Compta!$A$1:$A$1448,"GRP",Compta!$B$1:$B$1448,"6333",Compta!$C$1:$C$1448,$A40))</f>
        <v>2760232</v>
      </c>
      <c r="AC40" t="s">
        <v>274</v>
      </c>
      <c r="AD40" t="s">
        <v>274</v>
      </c>
      <c r="AE40" t="s">
        <v>274</v>
      </c>
      <c r="AF40" t="s">
        <v>274</v>
      </c>
      <c r="AG40" t="s">
        <v>274</v>
      </c>
      <c r="AH40" t="s">
        <v>274</v>
      </c>
      <c r="AI40">
        <f t="shared" si="3"/>
        <v>30891.2234042553</v>
      </c>
      <c r="AJ40">
        <f t="shared" si="4"/>
        <v>63725.8404255319</v>
      </c>
      <c r="AK40">
        <f t="shared" si="5"/>
        <v>35664.4838709677</v>
      </c>
      <c r="AL40">
        <f t="shared" si="6"/>
        <v>0</v>
      </c>
      <c r="AM40">
        <f t="shared" si="7"/>
        <v>0</v>
      </c>
      <c r="AN40">
        <f t="shared" si="8"/>
        <v>302348.452299245</v>
      </c>
      <c r="AO40">
        <f>IF($A40="","",_xlfn.SUMIFS(Compta!$F$1:$F$1448,Compta!$A$1:$A$1448,"GRP",Compta!$B$1:$B$1448,"6236",Compta!$C$1:$C$1448,$A40))</f>
        <v>580167</v>
      </c>
      <c r="AP40" t="s">
        <v>274</v>
      </c>
      <c r="AQ40" t="s">
        <v>274</v>
      </c>
      <c r="AR40">
        <f t="shared" si="9"/>
        <v>0</v>
      </c>
    </row>
    <row r="41" ht="14.25" customHeight="1">
      <c r="A41" t="str">
        <f>IF(Allocation!C41="","",Allocation!C41)</f>
        <v>2025</v>
      </c>
      <c r="B41" t="str">
        <f>IF(Allocation!D41="","",Allocation!D41)</f>
        <v>MBWAY_NAN</v>
      </c>
      <c r="C41" t="str">
        <f>IF(Allocation!E41="","",Allocation!E41)</f>
        <v>MBWAY</v>
      </c>
      <c r="D41" t="str">
        <f>IF(Allocation!F41="","",Allocation!F41)</f>
        <v>MAS_MGT</v>
      </c>
      <c r="E41" t="str">
        <f>IF(Allocation!G41="","",Allocation!G41)</f>
        <v>M2</v>
      </c>
      <c r="F41" t="str">
        <f>IF(Allocation!H41="","",Allocation!H41)</f>
        <v>ALT</v>
      </c>
      <c r="G41">
        <f>IF(Allocation!D41="","",Allocation!I41)</f>
        <v>56</v>
      </c>
      <c r="H41">
        <f>IF(Allocation!D41="","",Allocation!J41)</f>
        <v>3</v>
      </c>
      <c r="I41">
        <f>IF(Allocation!D41="","",Allocation!K41)</f>
        <v>420000</v>
      </c>
      <c r="J41">
        <f>IF($A41="","",_xlfn.SUMIFS(Socle!$K$1:$K$448,Socle!$C$1:$C$448,$B41,Socle!$D$1:$D$448,$D41,Socle!$E$1:$E$448,$E41,Socle!$F$1:$F$448,$F41,Socle!$G$1:$G$448,$A41))</f>
        <v>0</v>
      </c>
      <c r="K41">
        <f t="shared" si="0"/>
        <v>1260</v>
      </c>
      <c r="L41">
        <f>IF($A41="","",_xlfn.SUMIFS(Allocation!$I$1:$I$175,Allocation!$C$1:$C$175,$A41,Allocation!$D$1:$D$175,$B41))</f>
        <v>279</v>
      </c>
      <c r="M41">
        <f>IF($A41="","",_xlfn.SUMIFS(Allocation!$J$1:$J$175,Allocation!$C$1:$C$175,$A41,Allocation!$D$1:$D$175,$B41))</f>
        <v>12</v>
      </c>
      <c r="N41">
        <f>IF($A41="","",_xlfn.SUMIFS(Allocation!$K$1:$K$175,Allocation!$C$1:$C$175,$A41,Allocation!$D$1:$D$175,$B41))</f>
        <v>2048260</v>
      </c>
      <c r="O41">
        <f t="shared" si="1"/>
        <v>5640</v>
      </c>
      <c r="P41">
        <f t="shared" si="2"/>
        <v>228</v>
      </c>
      <c r="Q41">
        <f>IF($A41="","",_xlfn.SUMIFS(Allocation!$I$1:$I$175,Allocation!$C$1:$C$175,$A41,Allocation!$E$1:$E$175,$C41))</f>
        <v>1179</v>
      </c>
      <c r="R41">
        <f>IF($A41="","",_xlfn.SUMIFS(Allocation!$J$1:$J$175,Allocation!$C$1:$C$175,$A41,Allocation!$E$1:$E$175,$C41))</f>
        <v>50</v>
      </c>
      <c r="S41">
        <f>IF($A41="","",_xlfn.SUMIFS(Allocation!$K$1:$K$175,Allocation!$C$1:$C$175,$A41,Allocation!$E$1:$E$175,$C41))</f>
        <v>9032400</v>
      </c>
      <c r="T41">
        <f>IF($A41="","",_xlfn.SUMIFS(Allocation!$I$1:$I$175,Allocation!$C$1:$C$175,$A41))</f>
        <v>2860</v>
      </c>
      <c r="U41">
        <f>IF($A41="","",_xlfn.SUMIFS(Allocation!$J$1:$J$175,Allocation!$C$1:$C$175,$A41))</f>
        <v>131</v>
      </c>
      <c r="V41">
        <f>IF($A41="","",_xlfn.SUMIFS(Allocation!$K$1:$K$175,Allocation!$C$1:$C$175,$A41))</f>
        <v>21240140</v>
      </c>
      <c r="W41">
        <f>IF($A41="","",_xlfn.SUMIFS(Compta!$F$1:$F$1448,Compta!$A$1:$A$1448,$B41,Compta!$B$1:$B$1448,"621",Compta!$C$1:$C$1448,$A41))</f>
        <v>138275</v>
      </c>
      <c r="X41">
        <f>IF($A41="","",_xlfn.SUMIFS(Compta!$F$1:$F$1448,Compta!$A$1:$A$1448,$B41,Compta!$B$1:$B$1448,"6411",Compta!$C$1:$C$1448,$A41))</f>
        <v>285249</v>
      </c>
      <c r="Y41">
        <f>IF($A41="","",_xlfn.SUMIFS(Compta!$F$1:$F$1448,Compta!$A$1:$A$1448,$B41,Compta!$B$1:$B$1448,"604",Compta!$C$1:$C$1448,$A41)+_xlfn.SUMIFS(Compta!$F$1:$F$1448,Compta!$A$1:$A$1448,$B41,Compta!$B$1:$B$1448,"6063",Compta!$C$1:$C$1448,$A41))</f>
        <v>104412</v>
      </c>
      <c r="Z41">
        <f>IF($A41="","",_xlfn.SUMIFS(Compta!$F$1:$F$1448,Compta!$A$1:$A$1448,$B41,Compta!$B$1:$B$1448,"6231",Compta!$C$1:$C$1448,$A41))</f>
        <v>28666</v>
      </c>
      <c r="AA41">
        <f>IF($A41="","",_xlfn.SUMIFS(Compta!$F$1:$F$1448,Compta!$A$1:$A$1448,$B41,Compta!$B$1:$B$1448,"6413",Compta!$C$1:$C$1448,$A41)+_xlfn.SUMIFS(Compta!$F$1:$F$1448,Compta!$A$1:$A$1448,$B41,Compta!$B$1:$B$1448,"645",Compta!$C$1:$C$1448,$A41)+_xlfn.SUMIFS(Compta!$F$1:$F$1448,Compta!$A$1:$A$1448,$B41,Compta!$B$1:$B$1448,"613",Compta!$C$1:$C$1448,$A41)+_xlfn.SUMIFS(Compta!$F$1:$F$1448,Compta!$A$1:$A$1448,$B41,Compta!$B$1:$B$1448,"615",Compta!$C$1:$C$1448,$A41)+_xlfn.SUMIFS(Compta!$F$1:$F$1448,Compta!$A$1:$A$1448,$B41,Compta!$B$1:$B$1448,"616",Compta!$C$1:$C$1448,$A41)+_xlfn.SUMIFS(Compta!$F$1:$F$1448,Compta!$A$1:$A$1448,$B41,Compta!$B$1:$B$1448,"625",Compta!$C$1:$C$1448,$A41)+_xlfn.SUMIFS(Compta!$F$1:$F$1448,Compta!$A$1:$A$1448,$B41,Compta!$B$1:$B$1448,"63511",Compta!$C$1:$C$1448,$A41))</f>
        <v>667023</v>
      </c>
      <c r="AB41">
        <f>IF($A41="","",_xlfn.SUMIFS(Compta!$F$1:$F$1448,Compta!$A$1:$A$1448,"GRP",Compta!$B$1:$B$1448,"6414",Compta!$C$1:$C$1448,$A41)+_xlfn.SUMIFS(Compta!$F$1:$F$1448,Compta!$A$1:$A$1448,"GRP",Compta!$B$1:$B$1448,"6226",Compta!$C$1:$C$1448,$A41)+_xlfn.SUMIFS(Compta!$F$1:$F$1448,Compta!$A$1:$A$1448,"GRP",Compta!$B$1:$B$1448,"626",Compta!$C$1:$C$1448,$A41)+_xlfn.SUMIFS(Compta!$F$1:$F$1448,Compta!$A$1:$A$1448,"GRP",Compta!$B$1:$B$1448,"6281",Compta!$C$1:$C$1448,$A41)+_xlfn.SUMIFS(Compta!$F$1:$F$1448,Compta!$A$1:$A$1448,"GRP",Compta!$B$1:$B$1448,"6331",Compta!$C$1:$C$1448,$A41)+_xlfn.SUMIFS(Compta!$F$1:$F$1448,Compta!$A$1:$A$1448,"GRP",Compta!$B$1:$B$1448,"6333",Compta!$C$1:$C$1448,$A41))</f>
        <v>2760232</v>
      </c>
      <c r="AC41" t="s">
        <v>274</v>
      </c>
      <c r="AD41" t="s">
        <v>274</v>
      </c>
      <c r="AE41" t="s">
        <v>274</v>
      </c>
      <c r="AF41" t="s">
        <v>274</v>
      </c>
      <c r="AG41" t="s">
        <v>274</v>
      </c>
      <c r="AH41" t="s">
        <v>274</v>
      </c>
      <c r="AI41">
        <f t="shared" si="3"/>
        <v>30891.2234042553</v>
      </c>
      <c r="AJ41">
        <f t="shared" si="4"/>
        <v>63725.8404255319</v>
      </c>
      <c r="AK41">
        <f t="shared" si="5"/>
        <v>20957.247311828</v>
      </c>
      <c r="AL41">
        <f t="shared" si="6"/>
        <v>0</v>
      </c>
      <c r="AM41">
        <f t="shared" si="7"/>
        <v>0</v>
      </c>
      <c r="AN41">
        <f t="shared" si="8"/>
        <v>304425.688858385</v>
      </c>
      <c r="AO41">
        <f>IF($A41="","",_xlfn.SUMIFS(Compta!$F$1:$F$1448,Compta!$A$1:$A$1448,"GRP",Compta!$B$1:$B$1448,"6236",Compta!$C$1:$C$1448,$A41))</f>
        <v>580167</v>
      </c>
      <c r="AP41" t="s">
        <v>274</v>
      </c>
      <c r="AQ41" t="s">
        <v>274</v>
      </c>
      <c r="AR41">
        <f t="shared" si="9"/>
        <v>0</v>
      </c>
    </row>
    <row r="42" ht="14.25" customHeight="1">
      <c r="A42" t="str">
        <f>IF(Allocation!C42="","",Allocation!C42)</f>
        <v>2024</v>
      </c>
      <c r="B42" t="str">
        <f>IF(Allocation!D42="","",Allocation!D42)</f>
        <v>MBWAY_NAN</v>
      </c>
      <c r="C42" t="str">
        <f>IF(Allocation!E42="","",Allocation!E42)</f>
        <v>MBWAY</v>
      </c>
      <c r="D42" t="str">
        <f>IF(Allocation!F42="","",Allocation!F42)</f>
        <v>BAC_MGT</v>
      </c>
      <c r="E42" t="str">
        <f>IF(Allocation!G42="","",Allocation!G42)</f>
        <v>B1</v>
      </c>
      <c r="F42" t="str">
        <f>IF(Allocation!H42="","",Allocation!H42)</f>
        <v>INIT</v>
      </c>
      <c r="G42">
        <f>IF(Allocation!D42="","",Allocation!I42)</f>
        <v>53</v>
      </c>
      <c r="H42">
        <f>IF(Allocation!D42="","",Allocation!J42)</f>
        <v>2</v>
      </c>
      <c r="I42">
        <f>IF(Allocation!D42="","",Allocation!K42)</f>
        <v>402270</v>
      </c>
      <c r="J42">
        <f>IF($A42="","",_xlfn.SUMIFS(Socle!$K$1:$K$448,Socle!$C$1:$C$448,$B42,Socle!$D$1:$D$448,$D42,Socle!$E$1:$E$448,$E42,Socle!$F$1:$F$448,$F42,Socle!$G$1:$G$448,$A42))</f>
        <v>106</v>
      </c>
      <c r="K42">
        <f t="shared" si="0"/>
        <v>1200</v>
      </c>
      <c r="L42">
        <f>IF($A42="","",_xlfn.SUMIFS(Allocation!$I$1:$I$175,Allocation!$C$1:$C$175,$A42,Allocation!$D$1:$D$175,$B42))</f>
        <v>262</v>
      </c>
      <c r="M42">
        <f>IF($A42="","",_xlfn.SUMIFS(Allocation!$J$1:$J$175,Allocation!$C$1:$C$175,$A42,Allocation!$D$1:$D$175,$B42))</f>
        <v>12</v>
      </c>
      <c r="N42">
        <f>IF($A42="","",_xlfn.SUMIFS(Allocation!$K$1:$K$175,Allocation!$C$1:$C$175,$A42,Allocation!$D$1:$D$175,$B42))</f>
        <v>1923040</v>
      </c>
      <c r="O42">
        <f t="shared" si="1"/>
        <v>5640</v>
      </c>
      <c r="P42">
        <f t="shared" si="2"/>
        <v>212</v>
      </c>
      <c r="Q42">
        <f>IF($A42="","",_xlfn.SUMIFS(Allocation!$I$1:$I$175,Allocation!$C$1:$C$175,$A42,Allocation!$E$1:$E$175,$C42))</f>
        <v>1112</v>
      </c>
      <c r="R42">
        <f>IF($A42="","",_xlfn.SUMIFS(Allocation!$J$1:$J$175,Allocation!$C$1:$C$175,$A42,Allocation!$E$1:$E$175,$C42))</f>
        <v>50</v>
      </c>
      <c r="S42">
        <f>IF($A42="","",_xlfn.SUMIFS(Allocation!$K$1:$K$175,Allocation!$C$1:$C$175,$A42,Allocation!$E$1:$E$175,$C42))</f>
        <v>8517270</v>
      </c>
      <c r="T42">
        <f>IF($A42="","",_xlfn.SUMIFS(Allocation!$I$1:$I$175,Allocation!$C$1:$C$175,$A42))</f>
        <v>2704</v>
      </c>
      <c r="U42">
        <f>IF($A42="","",_xlfn.SUMIFS(Allocation!$J$1:$J$175,Allocation!$C$1:$C$175,$A42))</f>
        <v>131</v>
      </c>
      <c r="V42">
        <f>IF($A42="","",_xlfn.SUMIFS(Allocation!$K$1:$K$175,Allocation!$C$1:$C$175,$A42))</f>
        <v>20076860</v>
      </c>
      <c r="W42">
        <f>IF($A42="","",_xlfn.SUMIFS(Compta!$F$1:$F$1448,Compta!$A$1:$A$1448,$B42,Compta!$B$1:$B$1448,"621",Compta!$C$1:$C$1448,$A42))</f>
        <v>132216</v>
      </c>
      <c r="X42">
        <f>IF($A42="","",_xlfn.SUMIFS(Compta!$F$1:$F$1448,Compta!$A$1:$A$1448,$B42,Compta!$B$1:$B$1448,"6411",Compta!$C$1:$C$1448,$A42))</f>
        <v>272751</v>
      </c>
      <c r="Y42">
        <f>IF($A42="","",_xlfn.SUMIFS(Compta!$F$1:$F$1448,Compta!$A$1:$A$1448,$B42,Compta!$B$1:$B$1448,"604",Compta!$C$1:$C$1448,$A42)+_xlfn.SUMIFS(Compta!$F$1:$F$1448,Compta!$A$1:$A$1448,$B42,Compta!$B$1:$B$1448,"6063",Compta!$C$1:$C$1448,$A42))</f>
        <v>99837</v>
      </c>
      <c r="Z42">
        <f>IF($A42="","",_xlfn.SUMIFS(Compta!$F$1:$F$1448,Compta!$A$1:$A$1448,$B42,Compta!$B$1:$B$1448,"6231",Compta!$C$1:$C$1448,$A42))</f>
        <v>26060</v>
      </c>
      <c r="AA42">
        <f>IF($A42="","",_xlfn.SUMIFS(Compta!$F$1:$F$1448,Compta!$A$1:$A$1448,$B42,Compta!$B$1:$B$1448,"6413",Compta!$C$1:$C$1448,$A42)+_xlfn.SUMIFS(Compta!$F$1:$F$1448,Compta!$A$1:$A$1448,$B42,Compta!$B$1:$B$1448,"645",Compta!$C$1:$C$1448,$A42)+_xlfn.SUMIFS(Compta!$F$1:$F$1448,Compta!$A$1:$A$1448,$B42,Compta!$B$1:$B$1448,"613",Compta!$C$1:$C$1448,$A42)+_xlfn.SUMIFS(Compta!$F$1:$F$1448,Compta!$A$1:$A$1448,$B42,Compta!$B$1:$B$1448,"615",Compta!$C$1:$C$1448,$A42)+_xlfn.SUMIFS(Compta!$F$1:$F$1448,Compta!$A$1:$A$1448,$B42,Compta!$B$1:$B$1448,"616",Compta!$C$1:$C$1448,$A42)+_xlfn.SUMIFS(Compta!$F$1:$F$1448,Compta!$A$1:$A$1448,$B42,Compta!$B$1:$B$1448,"625",Compta!$C$1:$C$1448,$A42)+_xlfn.SUMIFS(Compta!$F$1:$F$1448,Compta!$A$1:$A$1448,$B42,Compta!$B$1:$B$1448,"63511",Compta!$C$1:$C$1448,$A42))</f>
        <v>637796</v>
      </c>
      <c r="AB42">
        <f>IF($A42="","",_xlfn.SUMIFS(Compta!$F$1:$F$1448,Compta!$A$1:$A$1448,"GRP",Compta!$B$1:$B$1448,"6414",Compta!$C$1:$C$1448,$A42)+_xlfn.SUMIFS(Compta!$F$1:$F$1448,Compta!$A$1:$A$1448,"GRP",Compta!$B$1:$B$1448,"6226",Compta!$C$1:$C$1448,$A42)+_xlfn.SUMIFS(Compta!$F$1:$F$1448,Compta!$A$1:$A$1448,"GRP",Compta!$B$1:$B$1448,"626",Compta!$C$1:$C$1448,$A42)+_xlfn.SUMIFS(Compta!$F$1:$F$1448,Compta!$A$1:$A$1448,"GRP",Compta!$B$1:$B$1448,"6281",Compta!$C$1:$C$1448,$A42)+_xlfn.SUMIFS(Compta!$F$1:$F$1448,Compta!$A$1:$A$1448,"GRP",Compta!$B$1:$B$1448,"6331",Compta!$C$1:$C$1448,$A42)+_xlfn.SUMIFS(Compta!$F$1:$F$1448,Compta!$A$1:$A$1448,"GRP",Compta!$B$1:$B$1448,"6333",Compta!$C$1:$C$1448,$A42))</f>
        <v>2639292</v>
      </c>
      <c r="AC42" t="s">
        <v>274</v>
      </c>
      <c r="AD42" t="s">
        <v>274</v>
      </c>
      <c r="AE42" t="s">
        <v>274</v>
      </c>
      <c r="AF42" t="s">
        <v>274</v>
      </c>
      <c r="AG42" t="s">
        <v>274</v>
      </c>
      <c r="AH42" t="s">
        <v>274</v>
      </c>
      <c r="AI42">
        <f t="shared" si="3"/>
        <v>28131.0638297872</v>
      </c>
      <c r="AJ42">
        <f t="shared" si="4"/>
        <v>58032.1276595745</v>
      </c>
      <c r="AK42">
        <f t="shared" si="5"/>
        <v>33226.034351145</v>
      </c>
      <c r="AL42">
        <f t="shared" si="6"/>
        <v>0</v>
      </c>
      <c r="AM42">
        <f t="shared" si="7"/>
        <v>0</v>
      </c>
      <c r="AN42">
        <f t="shared" si="8"/>
        <v>282880.774159493</v>
      </c>
      <c r="AO42">
        <f>IF($A42="","",_xlfn.SUMIFS(Compta!$F$1:$F$1448,Compta!$A$1:$A$1448,"GRP",Compta!$B$1:$B$1448,"6236",Compta!$C$1:$C$1448,$A42))</f>
        <v>499926</v>
      </c>
      <c r="AP42" t="s">
        <v>274</v>
      </c>
      <c r="AQ42" t="s">
        <v>274</v>
      </c>
      <c r="AR42">
        <f t="shared" si="9"/>
        <v>0</v>
      </c>
    </row>
    <row r="43" ht="14.25" customHeight="1">
      <c r="A43" t="str">
        <f>IF(Allocation!C43="","",Allocation!C43)</f>
        <v>2024</v>
      </c>
      <c r="B43" t="str">
        <f>IF(Allocation!D43="","",Allocation!D43)</f>
        <v>MBWAY_NAN</v>
      </c>
      <c r="C43" t="str">
        <f>IF(Allocation!E43="","",Allocation!E43)</f>
        <v>MBWAY</v>
      </c>
      <c r="D43" t="str">
        <f>IF(Allocation!F43="","",Allocation!F43)</f>
        <v>BAC_MGT</v>
      </c>
      <c r="E43" t="str">
        <f>IF(Allocation!G43="","",Allocation!G43)</f>
        <v>B2</v>
      </c>
      <c r="F43" t="str">
        <f>IF(Allocation!H43="","",Allocation!H43)</f>
        <v>ALT</v>
      </c>
      <c r="G43">
        <f>IF(Allocation!D43="","",Allocation!I43)</f>
        <v>52</v>
      </c>
      <c r="H43">
        <f>IF(Allocation!D43="","",Allocation!J43)</f>
        <v>2</v>
      </c>
      <c r="I43">
        <f>IF(Allocation!D43="","",Allocation!K43)</f>
        <v>364000</v>
      </c>
      <c r="J43">
        <f>IF($A43="","",_xlfn.SUMIFS(Socle!$K$1:$K$448,Socle!$C$1:$C$448,$B43,Socle!$D$1:$D$448,$D43,Socle!$E$1:$E$448,$E43,Socle!$F$1:$F$448,$F43,Socle!$G$1:$G$448,$A43))</f>
        <v>0</v>
      </c>
      <c r="K43">
        <f t="shared" si="0"/>
        <v>960</v>
      </c>
      <c r="L43">
        <f>IF($A43="","",_xlfn.SUMIFS(Allocation!$I$1:$I$175,Allocation!$C$1:$C$175,$A43,Allocation!$D$1:$D$175,$B43))</f>
        <v>262</v>
      </c>
      <c r="M43">
        <f>IF($A43="","",_xlfn.SUMIFS(Allocation!$J$1:$J$175,Allocation!$C$1:$C$175,$A43,Allocation!$D$1:$D$175,$B43))</f>
        <v>12</v>
      </c>
      <c r="N43">
        <f>IF($A43="","",_xlfn.SUMIFS(Allocation!$K$1:$K$175,Allocation!$C$1:$C$175,$A43,Allocation!$D$1:$D$175,$B43))</f>
        <v>1923040</v>
      </c>
      <c r="O43">
        <f t="shared" si="1"/>
        <v>5640</v>
      </c>
      <c r="P43">
        <f t="shared" si="2"/>
        <v>212</v>
      </c>
      <c r="Q43">
        <f>IF($A43="","",_xlfn.SUMIFS(Allocation!$I$1:$I$175,Allocation!$C$1:$C$175,$A43,Allocation!$E$1:$E$175,$C43))</f>
        <v>1112</v>
      </c>
      <c r="R43">
        <f>IF($A43="","",_xlfn.SUMIFS(Allocation!$J$1:$J$175,Allocation!$C$1:$C$175,$A43,Allocation!$E$1:$E$175,$C43))</f>
        <v>50</v>
      </c>
      <c r="S43">
        <f>IF($A43="","",_xlfn.SUMIFS(Allocation!$K$1:$K$175,Allocation!$C$1:$C$175,$A43,Allocation!$E$1:$E$175,$C43))</f>
        <v>8517270</v>
      </c>
      <c r="T43">
        <f>IF($A43="","",_xlfn.SUMIFS(Allocation!$I$1:$I$175,Allocation!$C$1:$C$175,$A43))</f>
        <v>2704</v>
      </c>
      <c r="U43">
        <f>IF($A43="","",_xlfn.SUMIFS(Allocation!$J$1:$J$175,Allocation!$C$1:$C$175,$A43))</f>
        <v>131</v>
      </c>
      <c r="V43">
        <f>IF($A43="","",_xlfn.SUMIFS(Allocation!$K$1:$K$175,Allocation!$C$1:$C$175,$A43))</f>
        <v>20076860</v>
      </c>
      <c r="W43">
        <f>IF($A43="","",_xlfn.SUMIFS(Compta!$F$1:$F$1448,Compta!$A$1:$A$1448,$B43,Compta!$B$1:$B$1448,"621",Compta!$C$1:$C$1448,$A43))</f>
        <v>132216</v>
      </c>
      <c r="X43">
        <f>IF($A43="","",_xlfn.SUMIFS(Compta!$F$1:$F$1448,Compta!$A$1:$A$1448,$B43,Compta!$B$1:$B$1448,"6411",Compta!$C$1:$C$1448,$A43))</f>
        <v>272751</v>
      </c>
      <c r="Y43">
        <f>IF($A43="","",_xlfn.SUMIFS(Compta!$F$1:$F$1448,Compta!$A$1:$A$1448,$B43,Compta!$B$1:$B$1448,"604",Compta!$C$1:$C$1448,$A43)+_xlfn.SUMIFS(Compta!$F$1:$F$1448,Compta!$A$1:$A$1448,$B43,Compta!$B$1:$B$1448,"6063",Compta!$C$1:$C$1448,$A43))</f>
        <v>99837</v>
      </c>
      <c r="Z43">
        <f>IF($A43="","",_xlfn.SUMIFS(Compta!$F$1:$F$1448,Compta!$A$1:$A$1448,$B43,Compta!$B$1:$B$1448,"6231",Compta!$C$1:$C$1448,$A43))</f>
        <v>26060</v>
      </c>
      <c r="AA43">
        <f>IF($A43="","",_xlfn.SUMIFS(Compta!$F$1:$F$1448,Compta!$A$1:$A$1448,$B43,Compta!$B$1:$B$1448,"6413",Compta!$C$1:$C$1448,$A43)+_xlfn.SUMIFS(Compta!$F$1:$F$1448,Compta!$A$1:$A$1448,$B43,Compta!$B$1:$B$1448,"645",Compta!$C$1:$C$1448,$A43)+_xlfn.SUMIFS(Compta!$F$1:$F$1448,Compta!$A$1:$A$1448,$B43,Compta!$B$1:$B$1448,"613",Compta!$C$1:$C$1448,$A43)+_xlfn.SUMIFS(Compta!$F$1:$F$1448,Compta!$A$1:$A$1448,$B43,Compta!$B$1:$B$1448,"615",Compta!$C$1:$C$1448,$A43)+_xlfn.SUMIFS(Compta!$F$1:$F$1448,Compta!$A$1:$A$1448,$B43,Compta!$B$1:$B$1448,"616",Compta!$C$1:$C$1448,$A43)+_xlfn.SUMIFS(Compta!$F$1:$F$1448,Compta!$A$1:$A$1448,$B43,Compta!$B$1:$B$1448,"625",Compta!$C$1:$C$1448,$A43)+_xlfn.SUMIFS(Compta!$F$1:$F$1448,Compta!$A$1:$A$1448,$B43,Compta!$B$1:$B$1448,"63511",Compta!$C$1:$C$1448,$A43))</f>
        <v>637796</v>
      </c>
      <c r="AB43">
        <f>IF($A43="","",_xlfn.SUMIFS(Compta!$F$1:$F$1448,Compta!$A$1:$A$1448,"GRP",Compta!$B$1:$B$1448,"6414",Compta!$C$1:$C$1448,$A43)+_xlfn.SUMIFS(Compta!$F$1:$F$1448,Compta!$A$1:$A$1448,"GRP",Compta!$B$1:$B$1448,"6226",Compta!$C$1:$C$1448,$A43)+_xlfn.SUMIFS(Compta!$F$1:$F$1448,Compta!$A$1:$A$1448,"GRP",Compta!$B$1:$B$1448,"626",Compta!$C$1:$C$1448,$A43)+_xlfn.SUMIFS(Compta!$F$1:$F$1448,Compta!$A$1:$A$1448,"GRP",Compta!$B$1:$B$1448,"6281",Compta!$C$1:$C$1448,$A43)+_xlfn.SUMIFS(Compta!$F$1:$F$1448,Compta!$A$1:$A$1448,"GRP",Compta!$B$1:$B$1448,"6331",Compta!$C$1:$C$1448,$A43)+_xlfn.SUMIFS(Compta!$F$1:$F$1448,Compta!$A$1:$A$1448,"GRP",Compta!$B$1:$B$1448,"6333",Compta!$C$1:$C$1448,$A43))</f>
        <v>2639292</v>
      </c>
      <c r="AC43" t="s">
        <v>274</v>
      </c>
      <c r="AD43" t="s">
        <v>274</v>
      </c>
      <c r="AE43" t="s">
        <v>274</v>
      </c>
      <c r="AF43" t="s">
        <v>274</v>
      </c>
      <c r="AG43" t="s">
        <v>274</v>
      </c>
      <c r="AH43" t="s">
        <v>274</v>
      </c>
      <c r="AI43">
        <f t="shared" si="3"/>
        <v>22504.8510638298</v>
      </c>
      <c r="AJ43">
        <f t="shared" si="4"/>
        <v>46425.7021276596</v>
      </c>
      <c r="AK43">
        <f t="shared" si="5"/>
        <v>19814.9770992366</v>
      </c>
      <c r="AL43">
        <f t="shared" si="6"/>
        <v>0</v>
      </c>
      <c r="AM43">
        <f t="shared" si="7"/>
        <v>0</v>
      </c>
      <c r="AN43">
        <f t="shared" si="8"/>
        <v>275254.469709274</v>
      </c>
      <c r="AO43">
        <f>IF($A43="","",_xlfn.SUMIFS(Compta!$F$1:$F$1448,Compta!$A$1:$A$1448,"GRP",Compta!$B$1:$B$1448,"6236",Compta!$C$1:$C$1448,$A43))</f>
        <v>499926</v>
      </c>
      <c r="AP43" t="s">
        <v>274</v>
      </c>
      <c r="AQ43" t="s">
        <v>274</v>
      </c>
      <c r="AR43">
        <f t="shared" si="9"/>
        <v>0</v>
      </c>
    </row>
    <row r="44" ht="14.25" customHeight="1">
      <c r="A44" t="str">
        <f>IF(Allocation!C44="","",Allocation!C44)</f>
        <v>2024</v>
      </c>
      <c r="B44" t="str">
        <f>IF(Allocation!D44="","",Allocation!D44)</f>
        <v>MBWAY_NAN</v>
      </c>
      <c r="C44" t="str">
        <f>IF(Allocation!E44="","",Allocation!E44)</f>
        <v>MBWAY</v>
      </c>
      <c r="D44" t="str">
        <f>IF(Allocation!F44="","",Allocation!F44)</f>
        <v>BAC_MGT</v>
      </c>
      <c r="E44" t="str">
        <f>IF(Allocation!G44="","",Allocation!G44)</f>
        <v>B3</v>
      </c>
      <c r="F44" t="str">
        <f>IF(Allocation!H44="","",Allocation!H44)</f>
        <v>ALT</v>
      </c>
      <c r="G44">
        <f>IF(Allocation!D44="","",Allocation!I44)</f>
        <v>51</v>
      </c>
      <c r="H44">
        <f>IF(Allocation!D44="","",Allocation!J44)</f>
        <v>2</v>
      </c>
      <c r="I44">
        <f>IF(Allocation!D44="","",Allocation!K44)</f>
        <v>357000</v>
      </c>
      <c r="J44">
        <f>IF($A44="","",_xlfn.SUMIFS(Socle!$K$1:$K$448,Socle!$C$1:$C$448,$B44,Socle!$D$1:$D$448,$D44,Socle!$E$1:$E$448,$E44,Socle!$F$1:$F$448,$F44,Socle!$G$1:$G$448,$A44))</f>
        <v>0</v>
      </c>
      <c r="K44">
        <f t="shared" si="0"/>
        <v>960</v>
      </c>
      <c r="L44">
        <f>IF($A44="","",_xlfn.SUMIFS(Allocation!$I$1:$I$175,Allocation!$C$1:$C$175,$A44,Allocation!$D$1:$D$175,$B44))</f>
        <v>262</v>
      </c>
      <c r="M44">
        <f>IF($A44="","",_xlfn.SUMIFS(Allocation!$J$1:$J$175,Allocation!$C$1:$C$175,$A44,Allocation!$D$1:$D$175,$B44))</f>
        <v>12</v>
      </c>
      <c r="N44">
        <f>IF($A44="","",_xlfn.SUMIFS(Allocation!$K$1:$K$175,Allocation!$C$1:$C$175,$A44,Allocation!$D$1:$D$175,$B44))</f>
        <v>1923040</v>
      </c>
      <c r="O44">
        <f t="shared" si="1"/>
        <v>5640</v>
      </c>
      <c r="P44">
        <f t="shared" si="2"/>
        <v>212</v>
      </c>
      <c r="Q44">
        <f>IF($A44="","",_xlfn.SUMIFS(Allocation!$I$1:$I$175,Allocation!$C$1:$C$175,$A44,Allocation!$E$1:$E$175,$C44))</f>
        <v>1112</v>
      </c>
      <c r="R44">
        <f>IF($A44="","",_xlfn.SUMIFS(Allocation!$J$1:$J$175,Allocation!$C$1:$C$175,$A44,Allocation!$E$1:$E$175,$C44))</f>
        <v>50</v>
      </c>
      <c r="S44">
        <f>IF($A44="","",_xlfn.SUMIFS(Allocation!$K$1:$K$175,Allocation!$C$1:$C$175,$A44,Allocation!$E$1:$E$175,$C44))</f>
        <v>8517270</v>
      </c>
      <c r="T44">
        <f>IF($A44="","",_xlfn.SUMIFS(Allocation!$I$1:$I$175,Allocation!$C$1:$C$175,$A44))</f>
        <v>2704</v>
      </c>
      <c r="U44">
        <f>IF($A44="","",_xlfn.SUMIFS(Allocation!$J$1:$J$175,Allocation!$C$1:$C$175,$A44))</f>
        <v>131</v>
      </c>
      <c r="V44">
        <f>IF($A44="","",_xlfn.SUMIFS(Allocation!$K$1:$K$175,Allocation!$C$1:$C$175,$A44))</f>
        <v>20076860</v>
      </c>
      <c r="W44">
        <f>IF($A44="","",_xlfn.SUMIFS(Compta!$F$1:$F$1448,Compta!$A$1:$A$1448,$B44,Compta!$B$1:$B$1448,"621",Compta!$C$1:$C$1448,$A44))</f>
        <v>132216</v>
      </c>
      <c r="X44">
        <f>IF($A44="","",_xlfn.SUMIFS(Compta!$F$1:$F$1448,Compta!$A$1:$A$1448,$B44,Compta!$B$1:$B$1448,"6411",Compta!$C$1:$C$1448,$A44))</f>
        <v>272751</v>
      </c>
      <c r="Y44">
        <f>IF($A44="","",_xlfn.SUMIFS(Compta!$F$1:$F$1448,Compta!$A$1:$A$1448,$B44,Compta!$B$1:$B$1448,"604",Compta!$C$1:$C$1448,$A44)+_xlfn.SUMIFS(Compta!$F$1:$F$1448,Compta!$A$1:$A$1448,$B44,Compta!$B$1:$B$1448,"6063",Compta!$C$1:$C$1448,$A44))</f>
        <v>99837</v>
      </c>
      <c r="Z44">
        <f>IF($A44="","",_xlfn.SUMIFS(Compta!$F$1:$F$1448,Compta!$A$1:$A$1448,$B44,Compta!$B$1:$B$1448,"6231",Compta!$C$1:$C$1448,$A44))</f>
        <v>26060</v>
      </c>
      <c r="AA44">
        <f>IF($A44="","",_xlfn.SUMIFS(Compta!$F$1:$F$1448,Compta!$A$1:$A$1448,$B44,Compta!$B$1:$B$1448,"6413",Compta!$C$1:$C$1448,$A44)+_xlfn.SUMIFS(Compta!$F$1:$F$1448,Compta!$A$1:$A$1448,$B44,Compta!$B$1:$B$1448,"645",Compta!$C$1:$C$1448,$A44)+_xlfn.SUMIFS(Compta!$F$1:$F$1448,Compta!$A$1:$A$1448,$B44,Compta!$B$1:$B$1448,"613",Compta!$C$1:$C$1448,$A44)+_xlfn.SUMIFS(Compta!$F$1:$F$1448,Compta!$A$1:$A$1448,$B44,Compta!$B$1:$B$1448,"615",Compta!$C$1:$C$1448,$A44)+_xlfn.SUMIFS(Compta!$F$1:$F$1448,Compta!$A$1:$A$1448,$B44,Compta!$B$1:$B$1448,"616",Compta!$C$1:$C$1448,$A44)+_xlfn.SUMIFS(Compta!$F$1:$F$1448,Compta!$A$1:$A$1448,$B44,Compta!$B$1:$B$1448,"625",Compta!$C$1:$C$1448,$A44)+_xlfn.SUMIFS(Compta!$F$1:$F$1448,Compta!$A$1:$A$1448,$B44,Compta!$B$1:$B$1448,"63511",Compta!$C$1:$C$1448,$A44))</f>
        <v>637796</v>
      </c>
      <c r="AB44">
        <f>IF($A44="","",_xlfn.SUMIFS(Compta!$F$1:$F$1448,Compta!$A$1:$A$1448,"GRP",Compta!$B$1:$B$1448,"6414",Compta!$C$1:$C$1448,$A44)+_xlfn.SUMIFS(Compta!$F$1:$F$1448,Compta!$A$1:$A$1448,"GRP",Compta!$B$1:$B$1448,"6226",Compta!$C$1:$C$1448,$A44)+_xlfn.SUMIFS(Compta!$F$1:$F$1448,Compta!$A$1:$A$1448,"GRP",Compta!$B$1:$B$1448,"626",Compta!$C$1:$C$1448,$A44)+_xlfn.SUMIFS(Compta!$F$1:$F$1448,Compta!$A$1:$A$1448,"GRP",Compta!$B$1:$B$1448,"6281",Compta!$C$1:$C$1448,$A44)+_xlfn.SUMIFS(Compta!$F$1:$F$1448,Compta!$A$1:$A$1448,"GRP",Compta!$B$1:$B$1448,"6331",Compta!$C$1:$C$1448,$A44)+_xlfn.SUMIFS(Compta!$F$1:$F$1448,Compta!$A$1:$A$1448,"GRP",Compta!$B$1:$B$1448,"6333",Compta!$C$1:$C$1448,$A44))</f>
        <v>2639292</v>
      </c>
      <c r="AC44" t="s">
        <v>274</v>
      </c>
      <c r="AD44" t="s">
        <v>274</v>
      </c>
      <c r="AE44" t="s">
        <v>274</v>
      </c>
      <c r="AF44" t="s">
        <v>274</v>
      </c>
      <c r="AG44" t="s">
        <v>274</v>
      </c>
      <c r="AH44" t="s">
        <v>274</v>
      </c>
      <c r="AI44">
        <f t="shared" si="3"/>
        <v>22504.8510638298</v>
      </c>
      <c r="AJ44">
        <f t="shared" si="4"/>
        <v>46425.7021276596</v>
      </c>
      <c r="AK44">
        <f t="shared" si="5"/>
        <v>19433.9198473282</v>
      </c>
      <c r="AL44">
        <f t="shared" si="6"/>
        <v>0</v>
      </c>
      <c r="AM44">
        <f t="shared" si="7"/>
        <v>0</v>
      </c>
      <c r="AN44">
        <f t="shared" si="8"/>
        <v>268635.526961182</v>
      </c>
      <c r="AO44">
        <f>IF($A44="","",_xlfn.SUMIFS(Compta!$F$1:$F$1448,Compta!$A$1:$A$1448,"GRP",Compta!$B$1:$B$1448,"6236",Compta!$C$1:$C$1448,$A44))</f>
        <v>499926</v>
      </c>
      <c r="AP44" t="s">
        <v>274</v>
      </c>
      <c r="AQ44" t="s">
        <v>274</v>
      </c>
      <c r="AR44">
        <f t="shared" si="9"/>
        <v>0</v>
      </c>
    </row>
    <row r="45" ht="14.25" customHeight="1">
      <c r="A45" t="str">
        <f>IF(Allocation!C45="","",Allocation!C45)</f>
        <v>2024</v>
      </c>
      <c r="B45" t="str">
        <f>IF(Allocation!D45="","",Allocation!D45)</f>
        <v>MBWAY_NAN</v>
      </c>
      <c r="C45" t="str">
        <f>IF(Allocation!E45="","",Allocation!E45)</f>
        <v>MBWAY</v>
      </c>
      <c r="D45" t="str">
        <f>IF(Allocation!F45="","",Allocation!F45)</f>
        <v>MAS_MGT</v>
      </c>
      <c r="E45" t="str">
        <f>IF(Allocation!G45="","",Allocation!G45)</f>
        <v>M1</v>
      </c>
      <c r="F45" t="str">
        <f>IF(Allocation!H45="","",Allocation!H45)</f>
        <v>ALT</v>
      </c>
      <c r="G45">
        <f>IF(Allocation!D45="","",Allocation!I45)</f>
        <v>53</v>
      </c>
      <c r="H45">
        <f>IF(Allocation!D45="","",Allocation!J45)</f>
        <v>3</v>
      </c>
      <c r="I45">
        <f>IF(Allocation!D45="","",Allocation!K45)</f>
        <v>402270</v>
      </c>
      <c r="J45">
        <f>IF($A45="","",_xlfn.SUMIFS(Socle!$K$1:$K$448,Socle!$C$1:$C$448,$B45,Socle!$D$1:$D$448,$D45,Socle!$E$1:$E$448,$E45,Socle!$F$1:$F$448,$F45,Socle!$G$1:$G$448,$A45))</f>
        <v>106</v>
      </c>
      <c r="K45">
        <f t="shared" si="0"/>
        <v>1260</v>
      </c>
      <c r="L45">
        <f>IF($A45="","",_xlfn.SUMIFS(Allocation!$I$1:$I$175,Allocation!$C$1:$C$175,$A45,Allocation!$D$1:$D$175,$B45))</f>
        <v>262</v>
      </c>
      <c r="M45">
        <f>IF($A45="","",_xlfn.SUMIFS(Allocation!$J$1:$J$175,Allocation!$C$1:$C$175,$A45,Allocation!$D$1:$D$175,$B45))</f>
        <v>12</v>
      </c>
      <c r="N45">
        <f>IF($A45="","",_xlfn.SUMIFS(Allocation!$K$1:$K$175,Allocation!$C$1:$C$175,$A45,Allocation!$D$1:$D$175,$B45))</f>
        <v>1923040</v>
      </c>
      <c r="O45">
        <f t="shared" si="1"/>
        <v>5640</v>
      </c>
      <c r="P45">
        <f t="shared" si="2"/>
        <v>212</v>
      </c>
      <c r="Q45">
        <f>IF($A45="","",_xlfn.SUMIFS(Allocation!$I$1:$I$175,Allocation!$C$1:$C$175,$A45,Allocation!$E$1:$E$175,$C45))</f>
        <v>1112</v>
      </c>
      <c r="R45">
        <f>IF($A45="","",_xlfn.SUMIFS(Allocation!$J$1:$J$175,Allocation!$C$1:$C$175,$A45,Allocation!$E$1:$E$175,$C45))</f>
        <v>50</v>
      </c>
      <c r="S45">
        <f>IF($A45="","",_xlfn.SUMIFS(Allocation!$K$1:$K$175,Allocation!$C$1:$C$175,$A45,Allocation!$E$1:$E$175,$C45))</f>
        <v>8517270</v>
      </c>
      <c r="T45">
        <f>IF($A45="","",_xlfn.SUMIFS(Allocation!$I$1:$I$175,Allocation!$C$1:$C$175,$A45))</f>
        <v>2704</v>
      </c>
      <c r="U45">
        <f>IF($A45="","",_xlfn.SUMIFS(Allocation!$J$1:$J$175,Allocation!$C$1:$C$175,$A45))</f>
        <v>131</v>
      </c>
      <c r="V45">
        <f>IF($A45="","",_xlfn.SUMIFS(Allocation!$K$1:$K$175,Allocation!$C$1:$C$175,$A45))</f>
        <v>20076860</v>
      </c>
      <c r="W45">
        <f>IF($A45="","",_xlfn.SUMIFS(Compta!$F$1:$F$1448,Compta!$A$1:$A$1448,$B45,Compta!$B$1:$B$1448,"621",Compta!$C$1:$C$1448,$A45))</f>
        <v>132216</v>
      </c>
      <c r="X45">
        <f>IF($A45="","",_xlfn.SUMIFS(Compta!$F$1:$F$1448,Compta!$A$1:$A$1448,$B45,Compta!$B$1:$B$1448,"6411",Compta!$C$1:$C$1448,$A45))</f>
        <v>272751</v>
      </c>
      <c r="Y45">
        <f>IF($A45="","",_xlfn.SUMIFS(Compta!$F$1:$F$1448,Compta!$A$1:$A$1448,$B45,Compta!$B$1:$B$1448,"604",Compta!$C$1:$C$1448,$A45)+_xlfn.SUMIFS(Compta!$F$1:$F$1448,Compta!$A$1:$A$1448,$B45,Compta!$B$1:$B$1448,"6063",Compta!$C$1:$C$1448,$A45))</f>
        <v>99837</v>
      </c>
      <c r="Z45">
        <f>IF($A45="","",_xlfn.SUMIFS(Compta!$F$1:$F$1448,Compta!$A$1:$A$1448,$B45,Compta!$B$1:$B$1448,"6231",Compta!$C$1:$C$1448,$A45))</f>
        <v>26060</v>
      </c>
      <c r="AA45">
        <f>IF($A45="","",_xlfn.SUMIFS(Compta!$F$1:$F$1448,Compta!$A$1:$A$1448,$B45,Compta!$B$1:$B$1448,"6413",Compta!$C$1:$C$1448,$A45)+_xlfn.SUMIFS(Compta!$F$1:$F$1448,Compta!$A$1:$A$1448,$B45,Compta!$B$1:$B$1448,"645",Compta!$C$1:$C$1448,$A45)+_xlfn.SUMIFS(Compta!$F$1:$F$1448,Compta!$A$1:$A$1448,$B45,Compta!$B$1:$B$1448,"613",Compta!$C$1:$C$1448,$A45)+_xlfn.SUMIFS(Compta!$F$1:$F$1448,Compta!$A$1:$A$1448,$B45,Compta!$B$1:$B$1448,"615",Compta!$C$1:$C$1448,$A45)+_xlfn.SUMIFS(Compta!$F$1:$F$1448,Compta!$A$1:$A$1448,$B45,Compta!$B$1:$B$1448,"616",Compta!$C$1:$C$1448,$A45)+_xlfn.SUMIFS(Compta!$F$1:$F$1448,Compta!$A$1:$A$1448,$B45,Compta!$B$1:$B$1448,"625",Compta!$C$1:$C$1448,$A45)+_xlfn.SUMIFS(Compta!$F$1:$F$1448,Compta!$A$1:$A$1448,$B45,Compta!$B$1:$B$1448,"63511",Compta!$C$1:$C$1448,$A45))</f>
        <v>637796</v>
      </c>
      <c r="AB45">
        <f>IF($A45="","",_xlfn.SUMIFS(Compta!$F$1:$F$1448,Compta!$A$1:$A$1448,"GRP",Compta!$B$1:$B$1448,"6414",Compta!$C$1:$C$1448,$A45)+_xlfn.SUMIFS(Compta!$F$1:$F$1448,Compta!$A$1:$A$1448,"GRP",Compta!$B$1:$B$1448,"6226",Compta!$C$1:$C$1448,$A45)+_xlfn.SUMIFS(Compta!$F$1:$F$1448,Compta!$A$1:$A$1448,"GRP",Compta!$B$1:$B$1448,"626",Compta!$C$1:$C$1448,$A45)+_xlfn.SUMIFS(Compta!$F$1:$F$1448,Compta!$A$1:$A$1448,"GRP",Compta!$B$1:$B$1448,"6281",Compta!$C$1:$C$1448,$A45)+_xlfn.SUMIFS(Compta!$F$1:$F$1448,Compta!$A$1:$A$1448,"GRP",Compta!$B$1:$B$1448,"6331",Compta!$C$1:$C$1448,$A45)+_xlfn.SUMIFS(Compta!$F$1:$F$1448,Compta!$A$1:$A$1448,"GRP",Compta!$B$1:$B$1448,"6333",Compta!$C$1:$C$1448,$A45))</f>
        <v>2639292</v>
      </c>
      <c r="AC45" t="s">
        <v>274</v>
      </c>
      <c r="AD45" t="s">
        <v>274</v>
      </c>
      <c r="AE45" t="s">
        <v>274</v>
      </c>
      <c r="AF45" t="s">
        <v>274</v>
      </c>
      <c r="AG45" t="s">
        <v>274</v>
      </c>
      <c r="AH45" t="s">
        <v>274</v>
      </c>
      <c r="AI45">
        <f t="shared" si="3"/>
        <v>29537.6170212766</v>
      </c>
      <c r="AJ45">
        <f t="shared" si="4"/>
        <v>60933.7340425532</v>
      </c>
      <c r="AK45">
        <f t="shared" si="5"/>
        <v>33226.034351145</v>
      </c>
      <c r="AL45">
        <f t="shared" si="6"/>
        <v>0</v>
      </c>
      <c r="AM45">
        <f t="shared" si="7"/>
        <v>0</v>
      </c>
      <c r="AN45">
        <f t="shared" si="8"/>
        <v>278572.614585025</v>
      </c>
      <c r="AO45">
        <f>IF($A45="","",_xlfn.SUMIFS(Compta!$F$1:$F$1448,Compta!$A$1:$A$1448,"GRP",Compta!$B$1:$B$1448,"6236",Compta!$C$1:$C$1448,$A45))</f>
        <v>499926</v>
      </c>
      <c r="AP45" t="s">
        <v>274</v>
      </c>
      <c r="AQ45" t="s">
        <v>274</v>
      </c>
      <c r="AR45">
        <f t="shared" si="9"/>
        <v>0</v>
      </c>
    </row>
    <row r="46" ht="14.25" customHeight="1">
      <c r="A46" t="str">
        <f>IF(Allocation!C46="","",Allocation!C46)</f>
        <v>2024</v>
      </c>
      <c r="B46" t="str">
        <f>IF(Allocation!D46="","",Allocation!D46)</f>
        <v>MBWAY_NAN</v>
      </c>
      <c r="C46" t="str">
        <f>IF(Allocation!E46="","",Allocation!E46)</f>
        <v>MBWAY</v>
      </c>
      <c r="D46" t="str">
        <f>IF(Allocation!F46="","",Allocation!F46)</f>
        <v>MAS_MGT</v>
      </c>
      <c r="E46" t="str">
        <f>IF(Allocation!G46="","",Allocation!G46)</f>
        <v>M2</v>
      </c>
      <c r="F46" t="str">
        <f>IF(Allocation!H46="","",Allocation!H46)</f>
        <v>ALT</v>
      </c>
      <c r="G46">
        <f>IF(Allocation!D46="","",Allocation!I46)</f>
        <v>53</v>
      </c>
      <c r="H46">
        <f>IF(Allocation!D46="","",Allocation!J46)</f>
        <v>3</v>
      </c>
      <c r="I46">
        <f>IF(Allocation!D46="","",Allocation!K46)</f>
        <v>397500</v>
      </c>
      <c r="J46">
        <f>IF($A46="","",_xlfn.SUMIFS(Socle!$K$1:$K$448,Socle!$C$1:$C$448,$B46,Socle!$D$1:$D$448,$D46,Socle!$E$1:$E$448,$E46,Socle!$F$1:$F$448,$F46,Socle!$G$1:$G$448,$A46))</f>
        <v>0</v>
      </c>
      <c r="K46">
        <f t="shared" si="0"/>
        <v>1260</v>
      </c>
      <c r="L46">
        <f>IF($A46="","",_xlfn.SUMIFS(Allocation!$I$1:$I$175,Allocation!$C$1:$C$175,$A46,Allocation!$D$1:$D$175,$B46))</f>
        <v>262</v>
      </c>
      <c r="M46">
        <f>IF($A46="","",_xlfn.SUMIFS(Allocation!$J$1:$J$175,Allocation!$C$1:$C$175,$A46,Allocation!$D$1:$D$175,$B46))</f>
        <v>12</v>
      </c>
      <c r="N46">
        <f>IF($A46="","",_xlfn.SUMIFS(Allocation!$K$1:$K$175,Allocation!$C$1:$C$175,$A46,Allocation!$D$1:$D$175,$B46))</f>
        <v>1923040</v>
      </c>
      <c r="O46">
        <f t="shared" si="1"/>
        <v>5640</v>
      </c>
      <c r="P46">
        <f t="shared" si="2"/>
        <v>212</v>
      </c>
      <c r="Q46">
        <f>IF($A46="","",_xlfn.SUMIFS(Allocation!$I$1:$I$175,Allocation!$C$1:$C$175,$A46,Allocation!$E$1:$E$175,$C46))</f>
        <v>1112</v>
      </c>
      <c r="R46">
        <f>IF($A46="","",_xlfn.SUMIFS(Allocation!$J$1:$J$175,Allocation!$C$1:$C$175,$A46,Allocation!$E$1:$E$175,$C46))</f>
        <v>50</v>
      </c>
      <c r="S46">
        <f>IF($A46="","",_xlfn.SUMIFS(Allocation!$K$1:$K$175,Allocation!$C$1:$C$175,$A46,Allocation!$E$1:$E$175,$C46))</f>
        <v>8517270</v>
      </c>
      <c r="T46">
        <f>IF($A46="","",_xlfn.SUMIFS(Allocation!$I$1:$I$175,Allocation!$C$1:$C$175,$A46))</f>
        <v>2704</v>
      </c>
      <c r="U46">
        <f>IF($A46="","",_xlfn.SUMIFS(Allocation!$J$1:$J$175,Allocation!$C$1:$C$175,$A46))</f>
        <v>131</v>
      </c>
      <c r="V46">
        <f>IF($A46="","",_xlfn.SUMIFS(Allocation!$K$1:$K$175,Allocation!$C$1:$C$175,$A46))</f>
        <v>20076860</v>
      </c>
      <c r="W46">
        <f>IF($A46="","",_xlfn.SUMIFS(Compta!$F$1:$F$1448,Compta!$A$1:$A$1448,$B46,Compta!$B$1:$B$1448,"621",Compta!$C$1:$C$1448,$A46))</f>
        <v>132216</v>
      </c>
      <c r="X46">
        <f>IF($A46="","",_xlfn.SUMIFS(Compta!$F$1:$F$1448,Compta!$A$1:$A$1448,$B46,Compta!$B$1:$B$1448,"6411",Compta!$C$1:$C$1448,$A46))</f>
        <v>272751</v>
      </c>
      <c r="Y46">
        <f>IF($A46="","",_xlfn.SUMIFS(Compta!$F$1:$F$1448,Compta!$A$1:$A$1448,$B46,Compta!$B$1:$B$1448,"604",Compta!$C$1:$C$1448,$A46)+_xlfn.SUMIFS(Compta!$F$1:$F$1448,Compta!$A$1:$A$1448,$B46,Compta!$B$1:$B$1448,"6063",Compta!$C$1:$C$1448,$A46))</f>
        <v>99837</v>
      </c>
      <c r="Z46">
        <f>IF($A46="","",_xlfn.SUMIFS(Compta!$F$1:$F$1448,Compta!$A$1:$A$1448,$B46,Compta!$B$1:$B$1448,"6231",Compta!$C$1:$C$1448,$A46))</f>
        <v>26060</v>
      </c>
      <c r="AA46">
        <f>IF($A46="","",_xlfn.SUMIFS(Compta!$F$1:$F$1448,Compta!$A$1:$A$1448,$B46,Compta!$B$1:$B$1448,"6413",Compta!$C$1:$C$1448,$A46)+_xlfn.SUMIFS(Compta!$F$1:$F$1448,Compta!$A$1:$A$1448,$B46,Compta!$B$1:$B$1448,"645",Compta!$C$1:$C$1448,$A46)+_xlfn.SUMIFS(Compta!$F$1:$F$1448,Compta!$A$1:$A$1448,$B46,Compta!$B$1:$B$1448,"613",Compta!$C$1:$C$1448,$A46)+_xlfn.SUMIFS(Compta!$F$1:$F$1448,Compta!$A$1:$A$1448,$B46,Compta!$B$1:$B$1448,"615",Compta!$C$1:$C$1448,$A46)+_xlfn.SUMIFS(Compta!$F$1:$F$1448,Compta!$A$1:$A$1448,$B46,Compta!$B$1:$B$1448,"616",Compta!$C$1:$C$1448,$A46)+_xlfn.SUMIFS(Compta!$F$1:$F$1448,Compta!$A$1:$A$1448,$B46,Compta!$B$1:$B$1448,"625",Compta!$C$1:$C$1448,$A46)+_xlfn.SUMIFS(Compta!$F$1:$F$1448,Compta!$A$1:$A$1448,$B46,Compta!$B$1:$B$1448,"63511",Compta!$C$1:$C$1448,$A46))</f>
        <v>637796</v>
      </c>
      <c r="AB46">
        <f>IF($A46="","",_xlfn.SUMIFS(Compta!$F$1:$F$1448,Compta!$A$1:$A$1448,"GRP",Compta!$B$1:$B$1448,"6414",Compta!$C$1:$C$1448,$A46)+_xlfn.SUMIFS(Compta!$F$1:$F$1448,Compta!$A$1:$A$1448,"GRP",Compta!$B$1:$B$1448,"6226",Compta!$C$1:$C$1448,$A46)+_xlfn.SUMIFS(Compta!$F$1:$F$1448,Compta!$A$1:$A$1448,"GRP",Compta!$B$1:$B$1448,"626",Compta!$C$1:$C$1448,$A46)+_xlfn.SUMIFS(Compta!$F$1:$F$1448,Compta!$A$1:$A$1448,"GRP",Compta!$B$1:$B$1448,"6281",Compta!$C$1:$C$1448,$A46)+_xlfn.SUMIFS(Compta!$F$1:$F$1448,Compta!$A$1:$A$1448,"GRP",Compta!$B$1:$B$1448,"6331",Compta!$C$1:$C$1448,$A46)+_xlfn.SUMIFS(Compta!$F$1:$F$1448,Compta!$A$1:$A$1448,"GRP",Compta!$B$1:$B$1448,"6333",Compta!$C$1:$C$1448,$A46))</f>
        <v>2639292</v>
      </c>
      <c r="AC46" t="s">
        <v>274</v>
      </c>
      <c r="AD46" t="s">
        <v>274</v>
      </c>
      <c r="AE46" t="s">
        <v>274</v>
      </c>
      <c r="AF46" t="s">
        <v>274</v>
      </c>
      <c r="AG46" t="s">
        <v>274</v>
      </c>
      <c r="AH46" t="s">
        <v>274</v>
      </c>
      <c r="AI46">
        <f t="shared" si="3"/>
        <v>29537.6170212766</v>
      </c>
      <c r="AJ46">
        <f t="shared" si="4"/>
        <v>60933.7340425532</v>
      </c>
      <c r="AK46">
        <f t="shared" si="5"/>
        <v>20196.034351145</v>
      </c>
      <c r="AL46">
        <f t="shared" si="6"/>
        <v>0</v>
      </c>
      <c r="AM46">
        <f t="shared" si="7"/>
        <v>0</v>
      </c>
      <c r="AN46">
        <f t="shared" si="8"/>
        <v>286832.614585025</v>
      </c>
      <c r="AO46">
        <f>IF($A46="","",_xlfn.SUMIFS(Compta!$F$1:$F$1448,Compta!$A$1:$A$1448,"GRP",Compta!$B$1:$B$1448,"6236",Compta!$C$1:$C$1448,$A46))</f>
        <v>499926</v>
      </c>
      <c r="AP46" t="s">
        <v>274</v>
      </c>
      <c r="AQ46" t="s">
        <v>274</v>
      </c>
      <c r="AR46">
        <f t="shared" si="9"/>
        <v>0</v>
      </c>
    </row>
    <row r="47" ht="14.25" customHeight="1">
      <c r="A47" t="str">
        <f>IF(Allocation!C47="","",Allocation!C47)</f>
        <v>2026</v>
      </c>
      <c r="B47" t="str">
        <f>IF(Allocation!D47="","",Allocation!D47)</f>
        <v>MBWAY_BOR</v>
      </c>
      <c r="C47" t="str">
        <f>IF(Allocation!E47="","",Allocation!E47)</f>
        <v>MBWAY</v>
      </c>
      <c r="D47" t="str">
        <f>IF(Allocation!F47="","",Allocation!F47)</f>
        <v>BAC_MGT</v>
      </c>
      <c r="E47" t="str">
        <f>IF(Allocation!G47="","",Allocation!G47)</f>
        <v>B1</v>
      </c>
      <c r="F47" t="str">
        <f>IF(Allocation!H47="","",Allocation!H47)</f>
        <v>INIT</v>
      </c>
      <c r="G47">
        <f>IF(Allocation!D47="","",Allocation!I47)</f>
        <v>51</v>
      </c>
      <c r="H47">
        <f>IF(Allocation!D47="","",Allocation!J47)</f>
        <v>2</v>
      </c>
      <c r="I47">
        <f>IF(Allocation!D47="","",Allocation!K47)</f>
        <v>375615</v>
      </c>
      <c r="J47">
        <f>IF($A47="","",_xlfn.SUMIFS(Socle!$K$1:$K$448,Socle!$C$1:$C$448,$B47,Socle!$D$1:$D$448,$D47,Socle!$E$1:$E$448,$E47,Socle!$F$1:$F$448,$F47,Socle!$G$1:$G$448,$A47))</f>
        <v>102</v>
      </c>
      <c r="K47">
        <f t="shared" si="0"/>
        <v>1200</v>
      </c>
      <c r="L47">
        <f>IF($A47="","",_xlfn.SUMIFS(Allocation!$I$1:$I$175,Allocation!$C$1:$C$175,$A47,Allocation!$D$1:$D$175,$B47))</f>
        <v>249</v>
      </c>
      <c r="M47">
        <f>IF($A47="","",_xlfn.SUMIFS(Allocation!$J$1:$J$175,Allocation!$C$1:$C$175,$A47,Allocation!$D$1:$D$175,$B47))</f>
        <v>10</v>
      </c>
      <c r="N47">
        <f>IF($A47="","",_xlfn.SUMIFS(Allocation!$K$1:$K$175,Allocation!$C$1:$C$175,$A47,Allocation!$D$1:$D$175,$B47))</f>
        <v>1773610</v>
      </c>
      <c r="O47">
        <f t="shared" si="1"/>
        <v>4800</v>
      </c>
      <c r="P47">
        <f t="shared" si="2"/>
        <v>204</v>
      </c>
      <c r="Q47">
        <f>IF($A47="","",_xlfn.SUMIFS(Allocation!$I$1:$I$175,Allocation!$C$1:$C$175,$A47,Allocation!$E$1:$E$175,$C47))</f>
        <v>1249</v>
      </c>
      <c r="R47">
        <f>IF($A47="","",_xlfn.SUMIFS(Allocation!$J$1:$J$175,Allocation!$C$1:$C$175,$A47,Allocation!$E$1:$E$175,$C47))</f>
        <v>50</v>
      </c>
      <c r="S47">
        <f>IF($A47="","",_xlfn.SUMIFS(Allocation!$K$1:$K$175,Allocation!$C$1:$C$175,$A47,Allocation!$E$1:$E$175,$C47))</f>
        <v>9567455</v>
      </c>
      <c r="T47">
        <f>IF($A47="","",_xlfn.SUMIFS(Allocation!$I$1:$I$175,Allocation!$C$1:$C$175,$A47))</f>
        <v>3036</v>
      </c>
      <c r="U47">
        <f>IF($A47="","",_xlfn.SUMIFS(Allocation!$J$1:$J$175,Allocation!$C$1:$C$175,$A47))</f>
        <v>131</v>
      </c>
      <c r="V47">
        <f>IF($A47="","",_xlfn.SUMIFS(Allocation!$K$1:$K$175,Allocation!$C$1:$C$175,$A47))</f>
        <v>22544725</v>
      </c>
      <c r="W47">
        <f>IF($A47="","",_xlfn.SUMIFS(Compta!$F$1:$F$1448,Compta!$A$1:$A$1448,$B47,Compta!$B$1:$B$1448,"621",Compta!$C$1:$C$1448,$A47))</f>
        <v>120729</v>
      </c>
      <c r="X47">
        <f>IF($A47="","",_xlfn.SUMIFS(Compta!$F$1:$F$1448,Compta!$A$1:$A$1448,$B47,Compta!$B$1:$B$1448,"6411",Compta!$C$1:$C$1448,$A47))</f>
        <v>261507</v>
      </c>
      <c r="Y47">
        <f>IF($A47="","",_xlfn.SUMIFS(Compta!$F$1:$F$1448,Compta!$A$1:$A$1448,$B47,Compta!$B$1:$B$1448,"604",Compta!$C$1:$C$1448,$A47)+_xlfn.SUMIFS(Compta!$F$1:$F$1448,Compta!$A$1:$A$1448,$B47,Compta!$B$1:$B$1448,"6063",Compta!$C$1:$C$1448,$A47))</f>
        <v>92652</v>
      </c>
      <c r="Z47">
        <f>IF($A47="","",_xlfn.SUMIFS(Compta!$F$1:$F$1448,Compta!$A$1:$A$1448,$B47,Compta!$B$1:$B$1448,"6231",Compta!$C$1:$C$1448,$A47))</f>
        <v>24923</v>
      </c>
      <c r="AA47">
        <f>IF($A47="","",_xlfn.SUMIFS(Compta!$F$1:$F$1448,Compta!$A$1:$A$1448,$B47,Compta!$B$1:$B$1448,"6413",Compta!$C$1:$C$1448,$A47)+_xlfn.SUMIFS(Compta!$F$1:$F$1448,Compta!$A$1:$A$1448,$B47,Compta!$B$1:$B$1448,"645",Compta!$C$1:$C$1448,$A47)+_xlfn.SUMIFS(Compta!$F$1:$F$1448,Compta!$A$1:$A$1448,$B47,Compta!$B$1:$B$1448,"613",Compta!$C$1:$C$1448,$A47)+_xlfn.SUMIFS(Compta!$F$1:$F$1448,Compta!$A$1:$A$1448,$B47,Compta!$B$1:$B$1448,"615",Compta!$C$1:$C$1448,$A47)+_xlfn.SUMIFS(Compta!$F$1:$F$1448,Compta!$A$1:$A$1448,$B47,Compta!$B$1:$B$1448,"616",Compta!$C$1:$C$1448,$A47)+_xlfn.SUMIFS(Compta!$F$1:$F$1448,Compta!$A$1:$A$1448,$B47,Compta!$B$1:$B$1448,"625",Compta!$C$1:$C$1448,$A47)+_xlfn.SUMIFS(Compta!$F$1:$F$1448,Compta!$A$1:$A$1448,$B47,Compta!$B$1:$B$1448,"63511",Compta!$C$1:$C$1448,$A47))</f>
        <v>618223</v>
      </c>
      <c r="AB47">
        <f>IF($A47="","",_xlfn.SUMIFS(Compta!$F$1:$F$1448,Compta!$A$1:$A$1448,"GRP",Compta!$B$1:$B$1448,"6414",Compta!$C$1:$C$1448,$A47)+_xlfn.SUMIFS(Compta!$F$1:$F$1448,Compta!$A$1:$A$1448,"GRP",Compta!$B$1:$B$1448,"6226",Compta!$C$1:$C$1448,$A47)+_xlfn.SUMIFS(Compta!$F$1:$F$1448,Compta!$A$1:$A$1448,"GRP",Compta!$B$1:$B$1448,"626",Compta!$C$1:$C$1448,$A47)+_xlfn.SUMIFS(Compta!$F$1:$F$1448,Compta!$A$1:$A$1448,"GRP",Compta!$B$1:$B$1448,"6281",Compta!$C$1:$C$1448,$A47)+_xlfn.SUMIFS(Compta!$F$1:$F$1448,Compta!$A$1:$A$1448,"GRP",Compta!$B$1:$B$1448,"6331",Compta!$C$1:$C$1448,$A47)+_xlfn.SUMIFS(Compta!$F$1:$F$1448,Compta!$A$1:$A$1448,"GRP",Compta!$B$1:$B$1448,"6333",Compta!$C$1:$C$1448,$A47))</f>
        <v>2891983</v>
      </c>
      <c r="AC47" t="s">
        <v>274</v>
      </c>
      <c r="AD47" t="s">
        <v>274</v>
      </c>
      <c r="AE47" t="s">
        <v>274</v>
      </c>
      <c r="AF47" t="s">
        <v>274</v>
      </c>
      <c r="AG47" t="s">
        <v>274</v>
      </c>
      <c r="AH47" t="s">
        <v>274</v>
      </c>
      <c r="AI47">
        <f t="shared" si="3"/>
        <v>30182.25</v>
      </c>
      <c r="AJ47">
        <f t="shared" si="4"/>
        <v>65376.75</v>
      </c>
      <c r="AK47">
        <f t="shared" si="5"/>
        <v>31438.4156626506</v>
      </c>
      <c r="AL47">
        <f t="shared" si="6"/>
        <v>0</v>
      </c>
      <c r="AM47">
        <f t="shared" si="7"/>
        <v>0</v>
      </c>
      <c r="AN47">
        <f t="shared" si="8"/>
        <v>248617.584337349</v>
      </c>
      <c r="AO47">
        <f>IF($A47="","",_xlfn.SUMIFS(Compta!$F$1:$F$1448,Compta!$A$1:$A$1448,"GRP",Compta!$B$1:$B$1448,"6236",Compta!$C$1:$C$1448,$A47))</f>
        <v>676344</v>
      </c>
      <c r="AP47" t="s">
        <v>274</v>
      </c>
      <c r="AQ47" t="s">
        <v>274</v>
      </c>
      <c r="AR47">
        <f t="shared" si="9"/>
        <v>0</v>
      </c>
    </row>
    <row r="48" ht="14.25" customHeight="1">
      <c r="A48" t="str">
        <f>IF(Allocation!C48="","",Allocation!C48)</f>
        <v>2026</v>
      </c>
      <c r="B48" t="str">
        <f>IF(Allocation!D48="","",Allocation!D48)</f>
        <v>MBWAY_BOR</v>
      </c>
      <c r="C48" t="str">
        <f>IF(Allocation!E48="","",Allocation!E48)</f>
        <v>MBWAY</v>
      </c>
      <c r="D48" t="str">
        <f>IF(Allocation!F48="","",Allocation!F48)</f>
        <v>BAC_MGT</v>
      </c>
      <c r="E48" t="str">
        <f>IF(Allocation!G48="","",Allocation!G48)</f>
        <v>B2</v>
      </c>
      <c r="F48" t="str">
        <f>IF(Allocation!H48="","",Allocation!H48)</f>
        <v>ALT</v>
      </c>
      <c r="G48">
        <f>IF(Allocation!D48="","",Allocation!I48)</f>
        <v>49</v>
      </c>
      <c r="H48">
        <f>IF(Allocation!D48="","",Allocation!J48)</f>
        <v>2</v>
      </c>
      <c r="I48">
        <f>IF(Allocation!D48="","",Allocation!K48)</f>
        <v>332710</v>
      </c>
      <c r="J48">
        <f>IF($A48="","",_xlfn.SUMIFS(Socle!$K$1:$K$448,Socle!$C$1:$C$448,$B48,Socle!$D$1:$D$448,$D48,Socle!$E$1:$E$448,$E48,Socle!$F$1:$F$448,$F48,Socle!$G$1:$G$448,$A48))</f>
        <v>0</v>
      </c>
      <c r="K48">
        <f t="shared" si="0"/>
        <v>960</v>
      </c>
      <c r="L48">
        <f>IF($A48="","",_xlfn.SUMIFS(Allocation!$I$1:$I$175,Allocation!$C$1:$C$175,$A48,Allocation!$D$1:$D$175,$B48))</f>
        <v>249</v>
      </c>
      <c r="M48">
        <f>IF($A48="","",_xlfn.SUMIFS(Allocation!$J$1:$J$175,Allocation!$C$1:$C$175,$A48,Allocation!$D$1:$D$175,$B48))</f>
        <v>10</v>
      </c>
      <c r="N48">
        <f>IF($A48="","",_xlfn.SUMIFS(Allocation!$K$1:$K$175,Allocation!$C$1:$C$175,$A48,Allocation!$D$1:$D$175,$B48))</f>
        <v>1773610</v>
      </c>
      <c r="O48">
        <f t="shared" si="1"/>
        <v>4800</v>
      </c>
      <c r="P48">
        <f t="shared" si="2"/>
        <v>204</v>
      </c>
      <c r="Q48">
        <f>IF($A48="","",_xlfn.SUMIFS(Allocation!$I$1:$I$175,Allocation!$C$1:$C$175,$A48,Allocation!$E$1:$E$175,$C48))</f>
        <v>1249</v>
      </c>
      <c r="R48">
        <f>IF($A48="","",_xlfn.SUMIFS(Allocation!$J$1:$J$175,Allocation!$C$1:$C$175,$A48,Allocation!$E$1:$E$175,$C48))</f>
        <v>50</v>
      </c>
      <c r="S48">
        <f>IF($A48="","",_xlfn.SUMIFS(Allocation!$K$1:$K$175,Allocation!$C$1:$C$175,$A48,Allocation!$E$1:$E$175,$C48))</f>
        <v>9567455</v>
      </c>
      <c r="T48">
        <f>IF($A48="","",_xlfn.SUMIFS(Allocation!$I$1:$I$175,Allocation!$C$1:$C$175,$A48))</f>
        <v>3036</v>
      </c>
      <c r="U48">
        <f>IF($A48="","",_xlfn.SUMIFS(Allocation!$J$1:$J$175,Allocation!$C$1:$C$175,$A48))</f>
        <v>131</v>
      </c>
      <c r="V48">
        <f>IF($A48="","",_xlfn.SUMIFS(Allocation!$K$1:$K$175,Allocation!$C$1:$C$175,$A48))</f>
        <v>22544725</v>
      </c>
      <c r="W48">
        <f>IF($A48="","",_xlfn.SUMIFS(Compta!$F$1:$F$1448,Compta!$A$1:$A$1448,$B48,Compta!$B$1:$B$1448,"621",Compta!$C$1:$C$1448,$A48))</f>
        <v>120729</v>
      </c>
      <c r="X48">
        <f>IF($A48="","",_xlfn.SUMIFS(Compta!$F$1:$F$1448,Compta!$A$1:$A$1448,$B48,Compta!$B$1:$B$1448,"6411",Compta!$C$1:$C$1448,$A48))</f>
        <v>261507</v>
      </c>
      <c r="Y48">
        <f>IF($A48="","",_xlfn.SUMIFS(Compta!$F$1:$F$1448,Compta!$A$1:$A$1448,$B48,Compta!$B$1:$B$1448,"604",Compta!$C$1:$C$1448,$A48)+_xlfn.SUMIFS(Compta!$F$1:$F$1448,Compta!$A$1:$A$1448,$B48,Compta!$B$1:$B$1448,"6063",Compta!$C$1:$C$1448,$A48))</f>
        <v>92652</v>
      </c>
      <c r="Z48">
        <f>IF($A48="","",_xlfn.SUMIFS(Compta!$F$1:$F$1448,Compta!$A$1:$A$1448,$B48,Compta!$B$1:$B$1448,"6231",Compta!$C$1:$C$1448,$A48))</f>
        <v>24923</v>
      </c>
      <c r="AA48">
        <f>IF($A48="","",_xlfn.SUMIFS(Compta!$F$1:$F$1448,Compta!$A$1:$A$1448,$B48,Compta!$B$1:$B$1448,"6413",Compta!$C$1:$C$1448,$A48)+_xlfn.SUMIFS(Compta!$F$1:$F$1448,Compta!$A$1:$A$1448,$B48,Compta!$B$1:$B$1448,"645",Compta!$C$1:$C$1448,$A48)+_xlfn.SUMIFS(Compta!$F$1:$F$1448,Compta!$A$1:$A$1448,$B48,Compta!$B$1:$B$1448,"613",Compta!$C$1:$C$1448,$A48)+_xlfn.SUMIFS(Compta!$F$1:$F$1448,Compta!$A$1:$A$1448,$B48,Compta!$B$1:$B$1448,"615",Compta!$C$1:$C$1448,$A48)+_xlfn.SUMIFS(Compta!$F$1:$F$1448,Compta!$A$1:$A$1448,$B48,Compta!$B$1:$B$1448,"616",Compta!$C$1:$C$1448,$A48)+_xlfn.SUMIFS(Compta!$F$1:$F$1448,Compta!$A$1:$A$1448,$B48,Compta!$B$1:$B$1448,"625",Compta!$C$1:$C$1448,$A48)+_xlfn.SUMIFS(Compta!$F$1:$F$1448,Compta!$A$1:$A$1448,$B48,Compta!$B$1:$B$1448,"63511",Compta!$C$1:$C$1448,$A48))</f>
        <v>618223</v>
      </c>
      <c r="AB48">
        <f>IF($A48="","",_xlfn.SUMIFS(Compta!$F$1:$F$1448,Compta!$A$1:$A$1448,"GRP",Compta!$B$1:$B$1448,"6414",Compta!$C$1:$C$1448,$A48)+_xlfn.SUMIFS(Compta!$F$1:$F$1448,Compta!$A$1:$A$1448,"GRP",Compta!$B$1:$B$1448,"6226",Compta!$C$1:$C$1448,$A48)+_xlfn.SUMIFS(Compta!$F$1:$F$1448,Compta!$A$1:$A$1448,"GRP",Compta!$B$1:$B$1448,"626",Compta!$C$1:$C$1448,$A48)+_xlfn.SUMIFS(Compta!$F$1:$F$1448,Compta!$A$1:$A$1448,"GRP",Compta!$B$1:$B$1448,"6281",Compta!$C$1:$C$1448,$A48)+_xlfn.SUMIFS(Compta!$F$1:$F$1448,Compta!$A$1:$A$1448,"GRP",Compta!$B$1:$B$1448,"6331",Compta!$C$1:$C$1448,$A48)+_xlfn.SUMIFS(Compta!$F$1:$F$1448,Compta!$A$1:$A$1448,"GRP",Compta!$B$1:$B$1448,"6333",Compta!$C$1:$C$1448,$A48))</f>
        <v>2891983</v>
      </c>
      <c r="AC48" t="s">
        <v>274</v>
      </c>
      <c r="AD48" t="s">
        <v>274</v>
      </c>
      <c r="AE48" t="s">
        <v>274</v>
      </c>
      <c r="AF48" t="s">
        <v>274</v>
      </c>
      <c r="AG48" t="s">
        <v>274</v>
      </c>
      <c r="AH48" t="s">
        <v>274</v>
      </c>
      <c r="AI48">
        <f t="shared" si="3"/>
        <v>24145.8</v>
      </c>
      <c r="AJ48">
        <f t="shared" si="4"/>
        <v>52301.4</v>
      </c>
      <c r="AK48">
        <f t="shared" si="5"/>
        <v>18232.7228915663</v>
      </c>
      <c r="AL48">
        <f t="shared" si="6"/>
        <v>0</v>
      </c>
      <c r="AM48">
        <f t="shared" si="7"/>
        <v>0</v>
      </c>
      <c r="AN48">
        <f t="shared" si="8"/>
        <v>238030.077108434</v>
      </c>
      <c r="AO48">
        <f>IF($A48="","",_xlfn.SUMIFS(Compta!$F$1:$F$1448,Compta!$A$1:$A$1448,"GRP",Compta!$B$1:$B$1448,"6236",Compta!$C$1:$C$1448,$A48))</f>
        <v>676344</v>
      </c>
      <c r="AP48" t="s">
        <v>274</v>
      </c>
      <c r="AQ48" t="s">
        <v>274</v>
      </c>
      <c r="AR48">
        <f t="shared" si="9"/>
        <v>0</v>
      </c>
    </row>
    <row r="49" ht="14.25" customHeight="1">
      <c r="A49" t="str">
        <f>IF(Allocation!C49="","",Allocation!C49)</f>
        <v>2026</v>
      </c>
      <c r="B49" t="str">
        <f>IF(Allocation!D49="","",Allocation!D49)</f>
        <v>MBWAY_BOR</v>
      </c>
      <c r="C49" t="str">
        <f>IF(Allocation!E49="","",Allocation!E49)</f>
        <v>MBWAY</v>
      </c>
      <c r="D49" t="str">
        <f>IF(Allocation!F49="","",Allocation!F49)</f>
        <v>BAC_MGT</v>
      </c>
      <c r="E49" t="str">
        <f>IF(Allocation!G49="","",Allocation!G49)</f>
        <v>B3</v>
      </c>
      <c r="F49" t="str">
        <f>IF(Allocation!H49="","",Allocation!H49)</f>
        <v>ALT</v>
      </c>
      <c r="G49">
        <f>IF(Allocation!D49="","",Allocation!I49)</f>
        <v>48</v>
      </c>
      <c r="H49">
        <f>IF(Allocation!D49="","",Allocation!J49)</f>
        <v>2</v>
      </c>
      <c r="I49">
        <f>IF(Allocation!D49="","",Allocation!K49)</f>
        <v>325920</v>
      </c>
      <c r="J49">
        <f>IF($A49="","",_xlfn.SUMIFS(Socle!$K$1:$K$448,Socle!$C$1:$C$448,$B49,Socle!$D$1:$D$448,$D49,Socle!$E$1:$E$448,$E49,Socle!$F$1:$F$448,$F49,Socle!$G$1:$G$448,$A49))</f>
        <v>0</v>
      </c>
      <c r="K49">
        <f t="shared" si="0"/>
        <v>960</v>
      </c>
      <c r="L49">
        <f>IF($A49="","",_xlfn.SUMIFS(Allocation!$I$1:$I$175,Allocation!$C$1:$C$175,$A49,Allocation!$D$1:$D$175,$B49))</f>
        <v>249</v>
      </c>
      <c r="M49">
        <f>IF($A49="","",_xlfn.SUMIFS(Allocation!$J$1:$J$175,Allocation!$C$1:$C$175,$A49,Allocation!$D$1:$D$175,$B49))</f>
        <v>10</v>
      </c>
      <c r="N49">
        <f>IF($A49="","",_xlfn.SUMIFS(Allocation!$K$1:$K$175,Allocation!$C$1:$C$175,$A49,Allocation!$D$1:$D$175,$B49))</f>
        <v>1773610</v>
      </c>
      <c r="O49">
        <f t="shared" si="1"/>
        <v>4800</v>
      </c>
      <c r="P49">
        <f t="shared" si="2"/>
        <v>204</v>
      </c>
      <c r="Q49">
        <f>IF($A49="","",_xlfn.SUMIFS(Allocation!$I$1:$I$175,Allocation!$C$1:$C$175,$A49,Allocation!$E$1:$E$175,$C49))</f>
        <v>1249</v>
      </c>
      <c r="R49">
        <f>IF($A49="","",_xlfn.SUMIFS(Allocation!$J$1:$J$175,Allocation!$C$1:$C$175,$A49,Allocation!$E$1:$E$175,$C49))</f>
        <v>50</v>
      </c>
      <c r="S49">
        <f>IF($A49="","",_xlfn.SUMIFS(Allocation!$K$1:$K$175,Allocation!$C$1:$C$175,$A49,Allocation!$E$1:$E$175,$C49))</f>
        <v>9567455</v>
      </c>
      <c r="T49">
        <f>IF($A49="","",_xlfn.SUMIFS(Allocation!$I$1:$I$175,Allocation!$C$1:$C$175,$A49))</f>
        <v>3036</v>
      </c>
      <c r="U49">
        <f>IF($A49="","",_xlfn.SUMIFS(Allocation!$J$1:$J$175,Allocation!$C$1:$C$175,$A49))</f>
        <v>131</v>
      </c>
      <c r="V49">
        <f>IF($A49="","",_xlfn.SUMIFS(Allocation!$K$1:$K$175,Allocation!$C$1:$C$175,$A49))</f>
        <v>22544725</v>
      </c>
      <c r="W49">
        <f>IF($A49="","",_xlfn.SUMIFS(Compta!$F$1:$F$1448,Compta!$A$1:$A$1448,$B49,Compta!$B$1:$B$1448,"621",Compta!$C$1:$C$1448,$A49))</f>
        <v>120729</v>
      </c>
      <c r="X49">
        <f>IF($A49="","",_xlfn.SUMIFS(Compta!$F$1:$F$1448,Compta!$A$1:$A$1448,$B49,Compta!$B$1:$B$1448,"6411",Compta!$C$1:$C$1448,$A49))</f>
        <v>261507</v>
      </c>
      <c r="Y49">
        <f>IF($A49="","",_xlfn.SUMIFS(Compta!$F$1:$F$1448,Compta!$A$1:$A$1448,$B49,Compta!$B$1:$B$1448,"604",Compta!$C$1:$C$1448,$A49)+_xlfn.SUMIFS(Compta!$F$1:$F$1448,Compta!$A$1:$A$1448,$B49,Compta!$B$1:$B$1448,"6063",Compta!$C$1:$C$1448,$A49))</f>
        <v>92652</v>
      </c>
      <c r="Z49">
        <f>IF($A49="","",_xlfn.SUMIFS(Compta!$F$1:$F$1448,Compta!$A$1:$A$1448,$B49,Compta!$B$1:$B$1448,"6231",Compta!$C$1:$C$1448,$A49))</f>
        <v>24923</v>
      </c>
      <c r="AA49">
        <f>IF($A49="","",_xlfn.SUMIFS(Compta!$F$1:$F$1448,Compta!$A$1:$A$1448,$B49,Compta!$B$1:$B$1448,"6413",Compta!$C$1:$C$1448,$A49)+_xlfn.SUMIFS(Compta!$F$1:$F$1448,Compta!$A$1:$A$1448,$B49,Compta!$B$1:$B$1448,"645",Compta!$C$1:$C$1448,$A49)+_xlfn.SUMIFS(Compta!$F$1:$F$1448,Compta!$A$1:$A$1448,$B49,Compta!$B$1:$B$1448,"613",Compta!$C$1:$C$1448,$A49)+_xlfn.SUMIFS(Compta!$F$1:$F$1448,Compta!$A$1:$A$1448,$B49,Compta!$B$1:$B$1448,"615",Compta!$C$1:$C$1448,$A49)+_xlfn.SUMIFS(Compta!$F$1:$F$1448,Compta!$A$1:$A$1448,$B49,Compta!$B$1:$B$1448,"616",Compta!$C$1:$C$1448,$A49)+_xlfn.SUMIFS(Compta!$F$1:$F$1448,Compta!$A$1:$A$1448,$B49,Compta!$B$1:$B$1448,"625",Compta!$C$1:$C$1448,$A49)+_xlfn.SUMIFS(Compta!$F$1:$F$1448,Compta!$A$1:$A$1448,$B49,Compta!$B$1:$B$1448,"63511",Compta!$C$1:$C$1448,$A49))</f>
        <v>618223</v>
      </c>
      <c r="AB49">
        <f>IF($A49="","",_xlfn.SUMIFS(Compta!$F$1:$F$1448,Compta!$A$1:$A$1448,"GRP",Compta!$B$1:$B$1448,"6414",Compta!$C$1:$C$1448,$A49)+_xlfn.SUMIFS(Compta!$F$1:$F$1448,Compta!$A$1:$A$1448,"GRP",Compta!$B$1:$B$1448,"6226",Compta!$C$1:$C$1448,$A49)+_xlfn.SUMIFS(Compta!$F$1:$F$1448,Compta!$A$1:$A$1448,"GRP",Compta!$B$1:$B$1448,"626",Compta!$C$1:$C$1448,$A49)+_xlfn.SUMIFS(Compta!$F$1:$F$1448,Compta!$A$1:$A$1448,"GRP",Compta!$B$1:$B$1448,"6281",Compta!$C$1:$C$1448,$A49)+_xlfn.SUMIFS(Compta!$F$1:$F$1448,Compta!$A$1:$A$1448,"GRP",Compta!$B$1:$B$1448,"6331",Compta!$C$1:$C$1448,$A49)+_xlfn.SUMIFS(Compta!$F$1:$F$1448,Compta!$A$1:$A$1448,"GRP",Compta!$B$1:$B$1448,"6333",Compta!$C$1:$C$1448,$A49))</f>
        <v>2891983</v>
      </c>
      <c r="AC49" t="s">
        <v>274</v>
      </c>
      <c r="AD49" t="s">
        <v>274</v>
      </c>
      <c r="AE49" t="s">
        <v>274</v>
      </c>
      <c r="AF49" t="s">
        <v>274</v>
      </c>
      <c r="AG49" t="s">
        <v>274</v>
      </c>
      <c r="AH49" t="s">
        <v>274</v>
      </c>
      <c r="AI49">
        <f t="shared" si="3"/>
        <v>24145.8</v>
      </c>
      <c r="AJ49">
        <f t="shared" si="4"/>
        <v>52301.4</v>
      </c>
      <c r="AK49">
        <f t="shared" si="5"/>
        <v>17860.6265060241</v>
      </c>
      <c r="AL49">
        <f t="shared" si="6"/>
        <v>0</v>
      </c>
      <c r="AM49">
        <f t="shared" si="7"/>
        <v>0</v>
      </c>
      <c r="AN49">
        <f t="shared" si="8"/>
        <v>231612.173493976</v>
      </c>
      <c r="AO49">
        <f>IF($A49="","",_xlfn.SUMIFS(Compta!$F$1:$F$1448,Compta!$A$1:$A$1448,"GRP",Compta!$B$1:$B$1448,"6236",Compta!$C$1:$C$1448,$A49))</f>
        <v>676344</v>
      </c>
      <c r="AP49" t="s">
        <v>274</v>
      </c>
      <c r="AQ49" t="s">
        <v>274</v>
      </c>
      <c r="AR49">
        <f t="shared" si="9"/>
        <v>0</v>
      </c>
    </row>
    <row r="50" ht="14.25" customHeight="1">
      <c r="A50" t="str">
        <f>IF(Allocation!C50="","",Allocation!C50)</f>
        <v>2026</v>
      </c>
      <c r="B50" t="str">
        <f>IF(Allocation!D50="","",Allocation!D50)</f>
        <v>MBWAY_BOR</v>
      </c>
      <c r="C50" t="str">
        <f>IF(Allocation!E50="","",Allocation!E50)</f>
        <v>MBWAY</v>
      </c>
      <c r="D50" t="str">
        <f>IF(Allocation!F50="","",Allocation!F50)</f>
        <v>MAS_MGT</v>
      </c>
      <c r="E50" t="str">
        <f>IF(Allocation!G50="","",Allocation!G50)</f>
        <v>M1</v>
      </c>
      <c r="F50" t="str">
        <f>IF(Allocation!H50="","",Allocation!H50)</f>
        <v>ALT</v>
      </c>
      <c r="G50">
        <f>IF(Allocation!D50="","",Allocation!I50)</f>
        <v>51</v>
      </c>
      <c r="H50">
        <f>IF(Allocation!D50="","",Allocation!J50)</f>
        <v>2</v>
      </c>
      <c r="I50">
        <f>IF(Allocation!D50="","",Allocation!K50)</f>
        <v>375615</v>
      </c>
      <c r="J50">
        <f>IF($A50="","",_xlfn.SUMIFS(Socle!$K$1:$K$448,Socle!$C$1:$C$448,$B50,Socle!$D$1:$D$448,$D50,Socle!$E$1:$E$448,$E50,Socle!$F$1:$F$448,$F50,Socle!$G$1:$G$448,$A50))</f>
        <v>102</v>
      </c>
      <c r="K50">
        <f t="shared" si="0"/>
        <v>840</v>
      </c>
      <c r="L50">
        <f>IF($A50="","",_xlfn.SUMIFS(Allocation!$I$1:$I$175,Allocation!$C$1:$C$175,$A50,Allocation!$D$1:$D$175,$B50))</f>
        <v>249</v>
      </c>
      <c r="M50">
        <f>IF($A50="","",_xlfn.SUMIFS(Allocation!$J$1:$J$175,Allocation!$C$1:$C$175,$A50,Allocation!$D$1:$D$175,$B50))</f>
        <v>10</v>
      </c>
      <c r="N50">
        <f>IF($A50="","",_xlfn.SUMIFS(Allocation!$K$1:$K$175,Allocation!$C$1:$C$175,$A50,Allocation!$D$1:$D$175,$B50))</f>
        <v>1773610</v>
      </c>
      <c r="O50">
        <f t="shared" si="1"/>
        <v>4800</v>
      </c>
      <c r="P50">
        <f t="shared" si="2"/>
        <v>204</v>
      </c>
      <c r="Q50">
        <f>IF($A50="","",_xlfn.SUMIFS(Allocation!$I$1:$I$175,Allocation!$C$1:$C$175,$A50,Allocation!$E$1:$E$175,$C50))</f>
        <v>1249</v>
      </c>
      <c r="R50">
        <f>IF($A50="","",_xlfn.SUMIFS(Allocation!$J$1:$J$175,Allocation!$C$1:$C$175,$A50,Allocation!$E$1:$E$175,$C50))</f>
        <v>50</v>
      </c>
      <c r="S50">
        <f>IF($A50="","",_xlfn.SUMIFS(Allocation!$K$1:$K$175,Allocation!$C$1:$C$175,$A50,Allocation!$E$1:$E$175,$C50))</f>
        <v>9567455</v>
      </c>
      <c r="T50">
        <f>IF($A50="","",_xlfn.SUMIFS(Allocation!$I$1:$I$175,Allocation!$C$1:$C$175,$A50))</f>
        <v>3036</v>
      </c>
      <c r="U50">
        <f>IF($A50="","",_xlfn.SUMIFS(Allocation!$J$1:$J$175,Allocation!$C$1:$C$175,$A50))</f>
        <v>131</v>
      </c>
      <c r="V50">
        <f>IF($A50="","",_xlfn.SUMIFS(Allocation!$K$1:$K$175,Allocation!$C$1:$C$175,$A50))</f>
        <v>22544725</v>
      </c>
      <c r="W50">
        <f>IF($A50="","",_xlfn.SUMIFS(Compta!$F$1:$F$1448,Compta!$A$1:$A$1448,$B50,Compta!$B$1:$B$1448,"621",Compta!$C$1:$C$1448,$A50))</f>
        <v>120729</v>
      </c>
      <c r="X50">
        <f>IF($A50="","",_xlfn.SUMIFS(Compta!$F$1:$F$1448,Compta!$A$1:$A$1448,$B50,Compta!$B$1:$B$1448,"6411",Compta!$C$1:$C$1448,$A50))</f>
        <v>261507</v>
      </c>
      <c r="Y50">
        <f>IF($A50="","",_xlfn.SUMIFS(Compta!$F$1:$F$1448,Compta!$A$1:$A$1448,$B50,Compta!$B$1:$B$1448,"604",Compta!$C$1:$C$1448,$A50)+_xlfn.SUMIFS(Compta!$F$1:$F$1448,Compta!$A$1:$A$1448,$B50,Compta!$B$1:$B$1448,"6063",Compta!$C$1:$C$1448,$A50))</f>
        <v>92652</v>
      </c>
      <c r="Z50">
        <f>IF($A50="","",_xlfn.SUMIFS(Compta!$F$1:$F$1448,Compta!$A$1:$A$1448,$B50,Compta!$B$1:$B$1448,"6231",Compta!$C$1:$C$1448,$A50))</f>
        <v>24923</v>
      </c>
      <c r="AA50">
        <f>IF($A50="","",_xlfn.SUMIFS(Compta!$F$1:$F$1448,Compta!$A$1:$A$1448,$B50,Compta!$B$1:$B$1448,"6413",Compta!$C$1:$C$1448,$A50)+_xlfn.SUMIFS(Compta!$F$1:$F$1448,Compta!$A$1:$A$1448,$B50,Compta!$B$1:$B$1448,"645",Compta!$C$1:$C$1448,$A50)+_xlfn.SUMIFS(Compta!$F$1:$F$1448,Compta!$A$1:$A$1448,$B50,Compta!$B$1:$B$1448,"613",Compta!$C$1:$C$1448,$A50)+_xlfn.SUMIFS(Compta!$F$1:$F$1448,Compta!$A$1:$A$1448,$B50,Compta!$B$1:$B$1448,"615",Compta!$C$1:$C$1448,$A50)+_xlfn.SUMIFS(Compta!$F$1:$F$1448,Compta!$A$1:$A$1448,$B50,Compta!$B$1:$B$1448,"616",Compta!$C$1:$C$1448,$A50)+_xlfn.SUMIFS(Compta!$F$1:$F$1448,Compta!$A$1:$A$1448,$B50,Compta!$B$1:$B$1448,"625",Compta!$C$1:$C$1448,$A50)+_xlfn.SUMIFS(Compta!$F$1:$F$1448,Compta!$A$1:$A$1448,$B50,Compta!$B$1:$B$1448,"63511",Compta!$C$1:$C$1448,$A50))</f>
        <v>618223</v>
      </c>
      <c r="AB50">
        <f>IF($A50="","",_xlfn.SUMIFS(Compta!$F$1:$F$1448,Compta!$A$1:$A$1448,"GRP",Compta!$B$1:$B$1448,"6414",Compta!$C$1:$C$1448,$A50)+_xlfn.SUMIFS(Compta!$F$1:$F$1448,Compta!$A$1:$A$1448,"GRP",Compta!$B$1:$B$1448,"6226",Compta!$C$1:$C$1448,$A50)+_xlfn.SUMIFS(Compta!$F$1:$F$1448,Compta!$A$1:$A$1448,"GRP",Compta!$B$1:$B$1448,"626",Compta!$C$1:$C$1448,$A50)+_xlfn.SUMIFS(Compta!$F$1:$F$1448,Compta!$A$1:$A$1448,"GRP",Compta!$B$1:$B$1448,"6281",Compta!$C$1:$C$1448,$A50)+_xlfn.SUMIFS(Compta!$F$1:$F$1448,Compta!$A$1:$A$1448,"GRP",Compta!$B$1:$B$1448,"6331",Compta!$C$1:$C$1448,$A50)+_xlfn.SUMIFS(Compta!$F$1:$F$1448,Compta!$A$1:$A$1448,"GRP",Compta!$B$1:$B$1448,"6333",Compta!$C$1:$C$1448,$A50))</f>
        <v>2891983</v>
      </c>
      <c r="AC50" t="s">
        <v>274</v>
      </c>
      <c r="AD50" t="s">
        <v>274</v>
      </c>
      <c r="AE50" t="s">
        <v>274</v>
      </c>
      <c r="AF50" t="s">
        <v>274</v>
      </c>
      <c r="AG50" t="s">
        <v>274</v>
      </c>
      <c r="AH50" t="s">
        <v>274</v>
      </c>
      <c r="AI50">
        <f t="shared" si="3"/>
        <v>21127.575</v>
      </c>
      <c r="AJ50">
        <f t="shared" si="4"/>
        <v>45763.725</v>
      </c>
      <c r="AK50">
        <f t="shared" si="5"/>
        <v>31438.4156626506</v>
      </c>
      <c r="AL50">
        <f t="shared" si="6"/>
        <v>0</v>
      </c>
      <c r="AM50">
        <f t="shared" si="7"/>
        <v>0</v>
      </c>
      <c r="AN50">
        <f t="shared" si="8"/>
        <v>277285.284337349</v>
      </c>
      <c r="AO50">
        <f>IF($A50="","",_xlfn.SUMIFS(Compta!$F$1:$F$1448,Compta!$A$1:$A$1448,"GRP",Compta!$B$1:$B$1448,"6236",Compta!$C$1:$C$1448,$A50))</f>
        <v>676344</v>
      </c>
      <c r="AP50" t="s">
        <v>274</v>
      </c>
      <c r="AQ50" t="s">
        <v>274</v>
      </c>
      <c r="AR50">
        <f t="shared" si="9"/>
        <v>0</v>
      </c>
    </row>
    <row r="51" ht="14.25" customHeight="1">
      <c r="A51" t="str">
        <f>IF(Allocation!C51="","",Allocation!C51)</f>
        <v>2026</v>
      </c>
      <c r="B51" t="str">
        <f>IF(Allocation!D51="","",Allocation!D51)</f>
        <v>MBWAY_BOR</v>
      </c>
      <c r="C51" t="str">
        <f>IF(Allocation!E51="","",Allocation!E51)</f>
        <v>MBWAY</v>
      </c>
      <c r="D51" t="str">
        <f>IF(Allocation!F51="","",Allocation!F51)</f>
        <v>MAS_MGT</v>
      </c>
      <c r="E51" t="str">
        <f>IF(Allocation!G51="","",Allocation!G51)</f>
        <v>M2</v>
      </c>
      <c r="F51" t="str">
        <f>IF(Allocation!H51="","",Allocation!H51)</f>
        <v>ALT</v>
      </c>
      <c r="G51">
        <f>IF(Allocation!D51="","",Allocation!I51)</f>
        <v>50</v>
      </c>
      <c r="H51">
        <f>IF(Allocation!D51="","",Allocation!J51)</f>
        <v>2</v>
      </c>
      <c r="I51">
        <f>IF(Allocation!D51="","",Allocation!K51)</f>
        <v>363750</v>
      </c>
      <c r="J51">
        <f>IF($A51="","",_xlfn.SUMIFS(Socle!$K$1:$K$448,Socle!$C$1:$C$448,$B51,Socle!$D$1:$D$448,$D51,Socle!$E$1:$E$448,$E51,Socle!$F$1:$F$448,$F51,Socle!$G$1:$G$448,$A51))</f>
        <v>0</v>
      </c>
      <c r="K51">
        <f t="shared" si="0"/>
        <v>840</v>
      </c>
      <c r="L51">
        <f>IF($A51="","",_xlfn.SUMIFS(Allocation!$I$1:$I$175,Allocation!$C$1:$C$175,$A51,Allocation!$D$1:$D$175,$B51))</f>
        <v>249</v>
      </c>
      <c r="M51">
        <f>IF($A51="","",_xlfn.SUMIFS(Allocation!$J$1:$J$175,Allocation!$C$1:$C$175,$A51,Allocation!$D$1:$D$175,$B51))</f>
        <v>10</v>
      </c>
      <c r="N51">
        <f>IF($A51="","",_xlfn.SUMIFS(Allocation!$K$1:$K$175,Allocation!$C$1:$C$175,$A51,Allocation!$D$1:$D$175,$B51))</f>
        <v>1773610</v>
      </c>
      <c r="O51">
        <f t="shared" si="1"/>
        <v>4800</v>
      </c>
      <c r="P51">
        <f t="shared" si="2"/>
        <v>204</v>
      </c>
      <c r="Q51">
        <f>IF($A51="","",_xlfn.SUMIFS(Allocation!$I$1:$I$175,Allocation!$C$1:$C$175,$A51,Allocation!$E$1:$E$175,$C51))</f>
        <v>1249</v>
      </c>
      <c r="R51">
        <f>IF($A51="","",_xlfn.SUMIFS(Allocation!$J$1:$J$175,Allocation!$C$1:$C$175,$A51,Allocation!$E$1:$E$175,$C51))</f>
        <v>50</v>
      </c>
      <c r="S51">
        <f>IF($A51="","",_xlfn.SUMIFS(Allocation!$K$1:$K$175,Allocation!$C$1:$C$175,$A51,Allocation!$E$1:$E$175,$C51))</f>
        <v>9567455</v>
      </c>
      <c r="T51">
        <f>IF($A51="","",_xlfn.SUMIFS(Allocation!$I$1:$I$175,Allocation!$C$1:$C$175,$A51))</f>
        <v>3036</v>
      </c>
      <c r="U51">
        <f>IF($A51="","",_xlfn.SUMIFS(Allocation!$J$1:$J$175,Allocation!$C$1:$C$175,$A51))</f>
        <v>131</v>
      </c>
      <c r="V51">
        <f>IF($A51="","",_xlfn.SUMIFS(Allocation!$K$1:$K$175,Allocation!$C$1:$C$175,$A51))</f>
        <v>22544725</v>
      </c>
      <c r="W51">
        <f>IF($A51="","",_xlfn.SUMIFS(Compta!$F$1:$F$1448,Compta!$A$1:$A$1448,$B51,Compta!$B$1:$B$1448,"621",Compta!$C$1:$C$1448,$A51))</f>
        <v>120729</v>
      </c>
      <c r="X51">
        <f>IF($A51="","",_xlfn.SUMIFS(Compta!$F$1:$F$1448,Compta!$A$1:$A$1448,$B51,Compta!$B$1:$B$1448,"6411",Compta!$C$1:$C$1448,$A51))</f>
        <v>261507</v>
      </c>
      <c r="Y51">
        <f>IF($A51="","",_xlfn.SUMIFS(Compta!$F$1:$F$1448,Compta!$A$1:$A$1448,$B51,Compta!$B$1:$B$1448,"604",Compta!$C$1:$C$1448,$A51)+_xlfn.SUMIFS(Compta!$F$1:$F$1448,Compta!$A$1:$A$1448,$B51,Compta!$B$1:$B$1448,"6063",Compta!$C$1:$C$1448,$A51))</f>
        <v>92652</v>
      </c>
      <c r="Z51">
        <f>IF($A51="","",_xlfn.SUMIFS(Compta!$F$1:$F$1448,Compta!$A$1:$A$1448,$B51,Compta!$B$1:$B$1448,"6231",Compta!$C$1:$C$1448,$A51))</f>
        <v>24923</v>
      </c>
      <c r="AA51">
        <f>IF($A51="","",_xlfn.SUMIFS(Compta!$F$1:$F$1448,Compta!$A$1:$A$1448,$B51,Compta!$B$1:$B$1448,"6413",Compta!$C$1:$C$1448,$A51)+_xlfn.SUMIFS(Compta!$F$1:$F$1448,Compta!$A$1:$A$1448,$B51,Compta!$B$1:$B$1448,"645",Compta!$C$1:$C$1448,$A51)+_xlfn.SUMIFS(Compta!$F$1:$F$1448,Compta!$A$1:$A$1448,$B51,Compta!$B$1:$B$1448,"613",Compta!$C$1:$C$1448,$A51)+_xlfn.SUMIFS(Compta!$F$1:$F$1448,Compta!$A$1:$A$1448,$B51,Compta!$B$1:$B$1448,"615",Compta!$C$1:$C$1448,$A51)+_xlfn.SUMIFS(Compta!$F$1:$F$1448,Compta!$A$1:$A$1448,$B51,Compta!$B$1:$B$1448,"616",Compta!$C$1:$C$1448,$A51)+_xlfn.SUMIFS(Compta!$F$1:$F$1448,Compta!$A$1:$A$1448,$B51,Compta!$B$1:$B$1448,"625",Compta!$C$1:$C$1448,$A51)+_xlfn.SUMIFS(Compta!$F$1:$F$1448,Compta!$A$1:$A$1448,$B51,Compta!$B$1:$B$1448,"63511",Compta!$C$1:$C$1448,$A51))</f>
        <v>618223</v>
      </c>
      <c r="AB51">
        <f>IF($A51="","",_xlfn.SUMIFS(Compta!$F$1:$F$1448,Compta!$A$1:$A$1448,"GRP",Compta!$B$1:$B$1448,"6414",Compta!$C$1:$C$1448,$A51)+_xlfn.SUMIFS(Compta!$F$1:$F$1448,Compta!$A$1:$A$1448,"GRP",Compta!$B$1:$B$1448,"6226",Compta!$C$1:$C$1448,$A51)+_xlfn.SUMIFS(Compta!$F$1:$F$1448,Compta!$A$1:$A$1448,"GRP",Compta!$B$1:$B$1448,"626",Compta!$C$1:$C$1448,$A51)+_xlfn.SUMIFS(Compta!$F$1:$F$1448,Compta!$A$1:$A$1448,"GRP",Compta!$B$1:$B$1448,"6281",Compta!$C$1:$C$1448,$A51)+_xlfn.SUMIFS(Compta!$F$1:$F$1448,Compta!$A$1:$A$1448,"GRP",Compta!$B$1:$B$1448,"6331",Compta!$C$1:$C$1448,$A51)+_xlfn.SUMIFS(Compta!$F$1:$F$1448,Compta!$A$1:$A$1448,"GRP",Compta!$B$1:$B$1448,"6333",Compta!$C$1:$C$1448,$A51))</f>
        <v>2891983</v>
      </c>
      <c r="AC51" t="s">
        <v>274</v>
      </c>
      <c r="AD51" t="s">
        <v>274</v>
      </c>
      <c r="AE51" t="s">
        <v>274</v>
      </c>
      <c r="AF51" t="s">
        <v>274</v>
      </c>
      <c r="AG51" t="s">
        <v>274</v>
      </c>
      <c r="AH51" t="s">
        <v>274</v>
      </c>
      <c r="AI51">
        <f t="shared" si="3"/>
        <v>21127.575</v>
      </c>
      <c r="AJ51">
        <f t="shared" si="4"/>
        <v>45763.725</v>
      </c>
      <c r="AK51">
        <f t="shared" si="5"/>
        <v>18604.8192771084</v>
      </c>
      <c r="AL51">
        <f t="shared" si="6"/>
        <v>0</v>
      </c>
      <c r="AM51">
        <f t="shared" si="7"/>
        <v>0</v>
      </c>
      <c r="AN51">
        <f t="shared" si="8"/>
        <v>278253.880722892</v>
      </c>
      <c r="AO51">
        <f>IF($A51="","",_xlfn.SUMIFS(Compta!$F$1:$F$1448,Compta!$A$1:$A$1448,"GRP",Compta!$B$1:$B$1448,"6236",Compta!$C$1:$C$1448,$A51))</f>
        <v>676344</v>
      </c>
      <c r="AP51" t="s">
        <v>274</v>
      </c>
      <c r="AQ51" t="s">
        <v>274</v>
      </c>
      <c r="AR51">
        <f t="shared" si="9"/>
        <v>0</v>
      </c>
    </row>
    <row r="52" ht="14.25" customHeight="1">
      <c r="A52" t="str">
        <f>IF(Allocation!C52="","",Allocation!C52)</f>
        <v>2025</v>
      </c>
      <c r="B52" t="str">
        <f>IF(Allocation!D52="","",Allocation!D52)</f>
        <v>MBWAY_BOR</v>
      </c>
      <c r="C52" t="str">
        <f>IF(Allocation!E52="","",Allocation!E52)</f>
        <v>MBWAY</v>
      </c>
      <c r="D52" t="str">
        <f>IF(Allocation!F52="","",Allocation!F52)</f>
        <v>BAC_MGT</v>
      </c>
      <c r="E52" t="str">
        <f>IF(Allocation!G52="","",Allocation!G52)</f>
        <v>B1</v>
      </c>
      <c r="F52" t="str">
        <f>IF(Allocation!H52="","",Allocation!H52)</f>
        <v>INIT</v>
      </c>
      <c r="G52">
        <f>IF(Allocation!D52="","",Allocation!I52)</f>
        <v>48</v>
      </c>
      <c r="H52">
        <f>IF(Allocation!D52="","",Allocation!J52)</f>
        <v>2</v>
      </c>
      <c r="I52">
        <f>IF(Allocation!D52="","",Allocation!K52)</f>
        <v>353520</v>
      </c>
      <c r="J52">
        <f>IF($A52="","",_xlfn.SUMIFS(Socle!$K$1:$K$448,Socle!$C$1:$C$448,$B52,Socle!$D$1:$D$448,$D52,Socle!$E$1:$E$448,$E52,Socle!$F$1:$F$448,$F52,Socle!$G$1:$G$448,$A52))</f>
        <v>96</v>
      </c>
      <c r="K52">
        <f t="shared" si="0"/>
        <v>1200</v>
      </c>
      <c r="L52">
        <f>IF($A52="","",_xlfn.SUMIFS(Allocation!$I$1:$I$175,Allocation!$C$1:$C$175,$A52,Allocation!$D$1:$D$175,$B52))</f>
        <v>234</v>
      </c>
      <c r="M52">
        <f>IF($A52="","",_xlfn.SUMIFS(Allocation!$J$1:$J$175,Allocation!$C$1:$C$175,$A52,Allocation!$D$1:$D$175,$B52))</f>
        <v>10</v>
      </c>
      <c r="N52">
        <f>IF($A52="","",_xlfn.SUMIFS(Allocation!$K$1:$K$175,Allocation!$C$1:$C$175,$A52,Allocation!$D$1:$D$175,$B52))</f>
        <v>1666855</v>
      </c>
      <c r="O52">
        <f t="shared" si="1"/>
        <v>4800</v>
      </c>
      <c r="P52">
        <f t="shared" si="2"/>
        <v>192</v>
      </c>
      <c r="Q52">
        <f>IF($A52="","",_xlfn.SUMIFS(Allocation!$I$1:$I$175,Allocation!$C$1:$C$175,$A52,Allocation!$E$1:$E$175,$C52))</f>
        <v>1179</v>
      </c>
      <c r="R52">
        <f>IF($A52="","",_xlfn.SUMIFS(Allocation!$J$1:$J$175,Allocation!$C$1:$C$175,$A52,Allocation!$E$1:$E$175,$C52))</f>
        <v>50</v>
      </c>
      <c r="S52">
        <f>IF($A52="","",_xlfn.SUMIFS(Allocation!$K$1:$K$175,Allocation!$C$1:$C$175,$A52,Allocation!$E$1:$E$175,$C52))</f>
        <v>9032400</v>
      </c>
      <c r="T52">
        <f>IF($A52="","",_xlfn.SUMIFS(Allocation!$I$1:$I$175,Allocation!$C$1:$C$175,$A52))</f>
        <v>2860</v>
      </c>
      <c r="U52">
        <f>IF($A52="","",_xlfn.SUMIFS(Allocation!$J$1:$J$175,Allocation!$C$1:$C$175,$A52))</f>
        <v>131</v>
      </c>
      <c r="V52">
        <f>IF($A52="","",_xlfn.SUMIFS(Allocation!$K$1:$K$175,Allocation!$C$1:$C$175,$A52))</f>
        <v>21240140</v>
      </c>
      <c r="W52">
        <f>IF($A52="","",_xlfn.SUMIFS(Compta!$F$1:$F$1448,Compta!$A$1:$A$1448,$B52,Compta!$B$1:$B$1448,"621",Compta!$C$1:$C$1448,$A52))</f>
        <v>115229</v>
      </c>
      <c r="X52">
        <f>IF($A52="","",_xlfn.SUMIFS(Compta!$F$1:$F$1448,Compta!$A$1:$A$1448,$B52,Compta!$B$1:$B$1448,"6411",Compta!$C$1:$C$1448,$A52))</f>
        <v>249593</v>
      </c>
      <c r="Y52">
        <f>IF($A52="","",_xlfn.SUMIFS(Compta!$F$1:$F$1448,Compta!$A$1:$A$1448,$B52,Compta!$B$1:$B$1448,"604",Compta!$C$1:$C$1448,$A52)+_xlfn.SUMIFS(Compta!$F$1:$F$1448,Compta!$A$1:$A$1448,$B52,Compta!$B$1:$B$1448,"6063",Compta!$C$1:$C$1448,$A52))</f>
        <v>88430</v>
      </c>
      <c r="Z52">
        <f>IF($A52="","",_xlfn.SUMIFS(Compta!$F$1:$F$1448,Compta!$A$1:$A$1448,$B52,Compta!$B$1:$B$1448,"6231",Compta!$C$1:$C$1448,$A52))</f>
        <v>22657</v>
      </c>
      <c r="AA52">
        <f>IF($A52="","",_xlfn.SUMIFS(Compta!$F$1:$F$1448,Compta!$A$1:$A$1448,$B52,Compta!$B$1:$B$1448,"6413",Compta!$C$1:$C$1448,$A52)+_xlfn.SUMIFS(Compta!$F$1:$F$1448,Compta!$A$1:$A$1448,$B52,Compta!$B$1:$B$1448,"645",Compta!$C$1:$C$1448,$A52)+_xlfn.SUMIFS(Compta!$F$1:$F$1448,Compta!$A$1:$A$1448,$B52,Compta!$B$1:$B$1448,"613",Compta!$C$1:$C$1448,$A52)+_xlfn.SUMIFS(Compta!$F$1:$F$1448,Compta!$A$1:$A$1448,$B52,Compta!$B$1:$B$1448,"615",Compta!$C$1:$C$1448,$A52)+_xlfn.SUMIFS(Compta!$F$1:$F$1448,Compta!$A$1:$A$1448,$B52,Compta!$B$1:$B$1448,"616",Compta!$C$1:$C$1448,$A52)+_xlfn.SUMIFS(Compta!$F$1:$F$1448,Compta!$A$1:$A$1448,$B52,Compta!$B$1:$B$1448,"625",Compta!$C$1:$C$1448,$A52)+_xlfn.SUMIFS(Compta!$F$1:$F$1448,Compta!$A$1:$A$1448,$B52,Compta!$B$1:$B$1448,"63511",Compta!$C$1:$C$1448,$A52))</f>
        <v>590058</v>
      </c>
      <c r="AB52">
        <f>IF($A52="","",_xlfn.SUMIFS(Compta!$F$1:$F$1448,Compta!$A$1:$A$1448,"GRP",Compta!$B$1:$B$1448,"6414",Compta!$C$1:$C$1448,$A52)+_xlfn.SUMIFS(Compta!$F$1:$F$1448,Compta!$A$1:$A$1448,"GRP",Compta!$B$1:$B$1448,"6226",Compta!$C$1:$C$1448,$A52)+_xlfn.SUMIFS(Compta!$F$1:$F$1448,Compta!$A$1:$A$1448,"GRP",Compta!$B$1:$B$1448,"626",Compta!$C$1:$C$1448,$A52)+_xlfn.SUMIFS(Compta!$F$1:$F$1448,Compta!$A$1:$A$1448,"GRP",Compta!$B$1:$B$1448,"6281",Compta!$C$1:$C$1448,$A52)+_xlfn.SUMIFS(Compta!$F$1:$F$1448,Compta!$A$1:$A$1448,"GRP",Compta!$B$1:$B$1448,"6331",Compta!$C$1:$C$1448,$A52)+_xlfn.SUMIFS(Compta!$F$1:$F$1448,Compta!$A$1:$A$1448,"GRP",Compta!$B$1:$B$1448,"6333",Compta!$C$1:$C$1448,$A52))</f>
        <v>2760232</v>
      </c>
      <c r="AC52" t="s">
        <v>274</v>
      </c>
      <c r="AD52" t="s">
        <v>274</v>
      </c>
      <c r="AE52" t="s">
        <v>274</v>
      </c>
      <c r="AF52" t="s">
        <v>274</v>
      </c>
      <c r="AG52" t="s">
        <v>274</v>
      </c>
      <c r="AH52" t="s">
        <v>274</v>
      </c>
      <c r="AI52">
        <f t="shared" si="3"/>
        <v>28807.25</v>
      </c>
      <c r="AJ52">
        <f t="shared" si="4"/>
        <v>62398.25</v>
      </c>
      <c r="AK52">
        <f t="shared" si="5"/>
        <v>29467.9871794872</v>
      </c>
      <c r="AL52">
        <f t="shared" si="6"/>
        <v>0</v>
      </c>
      <c r="AM52">
        <f t="shared" si="7"/>
        <v>0</v>
      </c>
      <c r="AN52">
        <f t="shared" si="8"/>
        <v>232846.512820513</v>
      </c>
      <c r="AO52">
        <f>IF($A52="","",_xlfn.SUMIFS(Compta!$F$1:$F$1448,Compta!$A$1:$A$1448,"GRP",Compta!$B$1:$B$1448,"6236",Compta!$C$1:$C$1448,$A52))</f>
        <v>580167</v>
      </c>
      <c r="AP52" t="s">
        <v>274</v>
      </c>
      <c r="AQ52" t="s">
        <v>274</v>
      </c>
      <c r="AR52">
        <f t="shared" si="9"/>
        <v>0</v>
      </c>
    </row>
    <row r="53" ht="14.25" customHeight="1">
      <c r="A53" t="str">
        <f>IF(Allocation!C53="","",Allocation!C53)</f>
        <v>2025</v>
      </c>
      <c r="B53" t="str">
        <f>IF(Allocation!D53="","",Allocation!D53)</f>
        <v>MBWAY_BOR</v>
      </c>
      <c r="C53" t="str">
        <f>IF(Allocation!E53="","",Allocation!E53)</f>
        <v>MBWAY</v>
      </c>
      <c r="D53" t="str">
        <f>IF(Allocation!F53="","",Allocation!F53)</f>
        <v>BAC_MGT</v>
      </c>
      <c r="E53" t="str">
        <f>IF(Allocation!G53="","",Allocation!G53)</f>
        <v>B2</v>
      </c>
      <c r="F53" t="str">
        <f>IF(Allocation!H53="","",Allocation!H53)</f>
        <v>ALT</v>
      </c>
      <c r="G53">
        <f>IF(Allocation!D53="","",Allocation!I53)</f>
        <v>46</v>
      </c>
      <c r="H53">
        <f>IF(Allocation!D53="","",Allocation!J53)</f>
        <v>2</v>
      </c>
      <c r="I53">
        <f>IF(Allocation!D53="","",Allocation!K53)</f>
        <v>312340</v>
      </c>
      <c r="J53">
        <f>IF($A53="","",_xlfn.SUMIFS(Socle!$K$1:$K$448,Socle!$C$1:$C$448,$B53,Socle!$D$1:$D$448,$D53,Socle!$E$1:$E$448,$E53,Socle!$F$1:$F$448,$F53,Socle!$G$1:$G$448,$A53))</f>
        <v>0</v>
      </c>
      <c r="K53">
        <f t="shared" si="0"/>
        <v>960</v>
      </c>
      <c r="L53">
        <f>IF($A53="","",_xlfn.SUMIFS(Allocation!$I$1:$I$175,Allocation!$C$1:$C$175,$A53,Allocation!$D$1:$D$175,$B53))</f>
        <v>234</v>
      </c>
      <c r="M53">
        <f>IF($A53="","",_xlfn.SUMIFS(Allocation!$J$1:$J$175,Allocation!$C$1:$C$175,$A53,Allocation!$D$1:$D$175,$B53))</f>
        <v>10</v>
      </c>
      <c r="N53">
        <f>IF($A53="","",_xlfn.SUMIFS(Allocation!$K$1:$K$175,Allocation!$C$1:$C$175,$A53,Allocation!$D$1:$D$175,$B53))</f>
        <v>1666855</v>
      </c>
      <c r="O53">
        <f t="shared" si="1"/>
        <v>4800</v>
      </c>
      <c r="P53">
        <f t="shared" si="2"/>
        <v>192</v>
      </c>
      <c r="Q53">
        <f>IF($A53="","",_xlfn.SUMIFS(Allocation!$I$1:$I$175,Allocation!$C$1:$C$175,$A53,Allocation!$E$1:$E$175,$C53))</f>
        <v>1179</v>
      </c>
      <c r="R53">
        <f>IF($A53="","",_xlfn.SUMIFS(Allocation!$J$1:$J$175,Allocation!$C$1:$C$175,$A53,Allocation!$E$1:$E$175,$C53))</f>
        <v>50</v>
      </c>
      <c r="S53">
        <f>IF($A53="","",_xlfn.SUMIFS(Allocation!$K$1:$K$175,Allocation!$C$1:$C$175,$A53,Allocation!$E$1:$E$175,$C53))</f>
        <v>9032400</v>
      </c>
      <c r="T53">
        <f>IF($A53="","",_xlfn.SUMIFS(Allocation!$I$1:$I$175,Allocation!$C$1:$C$175,$A53))</f>
        <v>2860</v>
      </c>
      <c r="U53">
        <f>IF($A53="","",_xlfn.SUMIFS(Allocation!$J$1:$J$175,Allocation!$C$1:$C$175,$A53))</f>
        <v>131</v>
      </c>
      <c r="V53">
        <f>IF($A53="","",_xlfn.SUMIFS(Allocation!$K$1:$K$175,Allocation!$C$1:$C$175,$A53))</f>
        <v>21240140</v>
      </c>
      <c r="W53">
        <f>IF($A53="","",_xlfn.SUMIFS(Compta!$F$1:$F$1448,Compta!$A$1:$A$1448,$B53,Compta!$B$1:$B$1448,"621",Compta!$C$1:$C$1448,$A53))</f>
        <v>115229</v>
      </c>
      <c r="X53">
        <f>IF($A53="","",_xlfn.SUMIFS(Compta!$F$1:$F$1448,Compta!$A$1:$A$1448,$B53,Compta!$B$1:$B$1448,"6411",Compta!$C$1:$C$1448,$A53))</f>
        <v>249593</v>
      </c>
      <c r="Y53">
        <f>IF($A53="","",_xlfn.SUMIFS(Compta!$F$1:$F$1448,Compta!$A$1:$A$1448,$B53,Compta!$B$1:$B$1448,"604",Compta!$C$1:$C$1448,$A53)+_xlfn.SUMIFS(Compta!$F$1:$F$1448,Compta!$A$1:$A$1448,$B53,Compta!$B$1:$B$1448,"6063",Compta!$C$1:$C$1448,$A53))</f>
        <v>88430</v>
      </c>
      <c r="Z53">
        <f>IF($A53="","",_xlfn.SUMIFS(Compta!$F$1:$F$1448,Compta!$A$1:$A$1448,$B53,Compta!$B$1:$B$1448,"6231",Compta!$C$1:$C$1448,$A53))</f>
        <v>22657</v>
      </c>
      <c r="AA53">
        <f>IF($A53="","",_xlfn.SUMIFS(Compta!$F$1:$F$1448,Compta!$A$1:$A$1448,$B53,Compta!$B$1:$B$1448,"6413",Compta!$C$1:$C$1448,$A53)+_xlfn.SUMIFS(Compta!$F$1:$F$1448,Compta!$A$1:$A$1448,$B53,Compta!$B$1:$B$1448,"645",Compta!$C$1:$C$1448,$A53)+_xlfn.SUMIFS(Compta!$F$1:$F$1448,Compta!$A$1:$A$1448,$B53,Compta!$B$1:$B$1448,"613",Compta!$C$1:$C$1448,$A53)+_xlfn.SUMIFS(Compta!$F$1:$F$1448,Compta!$A$1:$A$1448,$B53,Compta!$B$1:$B$1448,"615",Compta!$C$1:$C$1448,$A53)+_xlfn.SUMIFS(Compta!$F$1:$F$1448,Compta!$A$1:$A$1448,$B53,Compta!$B$1:$B$1448,"616",Compta!$C$1:$C$1448,$A53)+_xlfn.SUMIFS(Compta!$F$1:$F$1448,Compta!$A$1:$A$1448,$B53,Compta!$B$1:$B$1448,"625",Compta!$C$1:$C$1448,$A53)+_xlfn.SUMIFS(Compta!$F$1:$F$1448,Compta!$A$1:$A$1448,$B53,Compta!$B$1:$B$1448,"63511",Compta!$C$1:$C$1448,$A53))</f>
        <v>590058</v>
      </c>
      <c r="AB53">
        <f>IF($A53="","",_xlfn.SUMIFS(Compta!$F$1:$F$1448,Compta!$A$1:$A$1448,"GRP",Compta!$B$1:$B$1448,"6414",Compta!$C$1:$C$1448,$A53)+_xlfn.SUMIFS(Compta!$F$1:$F$1448,Compta!$A$1:$A$1448,"GRP",Compta!$B$1:$B$1448,"6226",Compta!$C$1:$C$1448,$A53)+_xlfn.SUMIFS(Compta!$F$1:$F$1448,Compta!$A$1:$A$1448,"GRP",Compta!$B$1:$B$1448,"626",Compta!$C$1:$C$1448,$A53)+_xlfn.SUMIFS(Compta!$F$1:$F$1448,Compta!$A$1:$A$1448,"GRP",Compta!$B$1:$B$1448,"6281",Compta!$C$1:$C$1448,$A53)+_xlfn.SUMIFS(Compta!$F$1:$F$1448,Compta!$A$1:$A$1448,"GRP",Compta!$B$1:$B$1448,"6331",Compta!$C$1:$C$1448,$A53)+_xlfn.SUMIFS(Compta!$F$1:$F$1448,Compta!$A$1:$A$1448,"GRP",Compta!$B$1:$B$1448,"6333",Compta!$C$1:$C$1448,$A53))</f>
        <v>2760232</v>
      </c>
      <c r="AC53" t="s">
        <v>274</v>
      </c>
      <c r="AD53" t="s">
        <v>274</v>
      </c>
      <c r="AE53" t="s">
        <v>274</v>
      </c>
      <c r="AF53" t="s">
        <v>274</v>
      </c>
      <c r="AG53" t="s">
        <v>274</v>
      </c>
      <c r="AH53" t="s">
        <v>274</v>
      </c>
      <c r="AI53">
        <f t="shared" si="3"/>
        <v>23045.8</v>
      </c>
      <c r="AJ53">
        <f t="shared" si="4"/>
        <v>49918.6</v>
      </c>
      <c r="AK53">
        <f t="shared" si="5"/>
        <v>17383.6752136752</v>
      </c>
      <c r="AL53">
        <f t="shared" si="6"/>
        <v>0</v>
      </c>
      <c r="AM53">
        <f t="shared" si="7"/>
        <v>0</v>
      </c>
      <c r="AN53">
        <f t="shared" si="8"/>
        <v>221991.924786325</v>
      </c>
      <c r="AO53">
        <f>IF($A53="","",_xlfn.SUMIFS(Compta!$F$1:$F$1448,Compta!$A$1:$A$1448,"GRP",Compta!$B$1:$B$1448,"6236",Compta!$C$1:$C$1448,$A53))</f>
        <v>580167</v>
      </c>
      <c r="AP53" t="s">
        <v>274</v>
      </c>
      <c r="AQ53" t="s">
        <v>274</v>
      </c>
      <c r="AR53">
        <f t="shared" si="9"/>
        <v>0</v>
      </c>
    </row>
    <row r="54" ht="14.25" customHeight="1">
      <c r="A54" t="str">
        <f>IF(Allocation!C54="","",Allocation!C54)</f>
        <v>2025</v>
      </c>
      <c r="B54" t="str">
        <f>IF(Allocation!D54="","",Allocation!D54)</f>
        <v>MBWAY_BOR</v>
      </c>
      <c r="C54" t="str">
        <f>IF(Allocation!E54="","",Allocation!E54)</f>
        <v>MBWAY</v>
      </c>
      <c r="D54" t="str">
        <f>IF(Allocation!F54="","",Allocation!F54)</f>
        <v>BAC_MGT</v>
      </c>
      <c r="E54" t="str">
        <f>IF(Allocation!G54="","",Allocation!G54)</f>
        <v>B3</v>
      </c>
      <c r="F54" t="str">
        <f>IF(Allocation!H54="","",Allocation!H54)</f>
        <v>ALT</v>
      </c>
      <c r="G54">
        <f>IF(Allocation!D54="","",Allocation!I54)</f>
        <v>45</v>
      </c>
      <c r="H54">
        <f>IF(Allocation!D54="","",Allocation!J54)</f>
        <v>2</v>
      </c>
      <c r="I54">
        <f>IF(Allocation!D54="","",Allocation!K54)</f>
        <v>305550</v>
      </c>
      <c r="J54">
        <f>IF($A54="","",_xlfn.SUMIFS(Socle!$K$1:$K$448,Socle!$C$1:$C$448,$B54,Socle!$D$1:$D$448,$D54,Socle!$E$1:$E$448,$E54,Socle!$F$1:$F$448,$F54,Socle!$G$1:$G$448,$A54))</f>
        <v>0</v>
      </c>
      <c r="K54">
        <f t="shared" si="0"/>
        <v>960</v>
      </c>
      <c r="L54">
        <f>IF($A54="","",_xlfn.SUMIFS(Allocation!$I$1:$I$175,Allocation!$C$1:$C$175,$A54,Allocation!$D$1:$D$175,$B54))</f>
        <v>234</v>
      </c>
      <c r="M54">
        <f>IF($A54="","",_xlfn.SUMIFS(Allocation!$J$1:$J$175,Allocation!$C$1:$C$175,$A54,Allocation!$D$1:$D$175,$B54))</f>
        <v>10</v>
      </c>
      <c r="N54">
        <f>IF($A54="","",_xlfn.SUMIFS(Allocation!$K$1:$K$175,Allocation!$C$1:$C$175,$A54,Allocation!$D$1:$D$175,$B54))</f>
        <v>1666855</v>
      </c>
      <c r="O54">
        <f t="shared" si="1"/>
        <v>4800</v>
      </c>
      <c r="P54">
        <f t="shared" si="2"/>
        <v>192</v>
      </c>
      <c r="Q54">
        <f>IF($A54="","",_xlfn.SUMIFS(Allocation!$I$1:$I$175,Allocation!$C$1:$C$175,$A54,Allocation!$E$1:$E$175,$C54))</f>
        <v>1179</v>
      </c>
      <c r="R54">
        <f>IF($A54="","",_xlfn.SUMIFS(Allocation!$J$1:$J$175,Allocation!$C$1:$C$175,$A54,Allocation!$E$1:$E$175,$C54))</f>
        <v>50</v>
      </c>
      <c r="S54">
        <f>IF($A54="","",_xlfn.SUMIFS(Allocation!$K$1:$K$175,Allocation!$C$1:$C$175,$A54,Allocation!$E$1:$E$175,$C54))</f>
        <v>9032400</v>
      </c>
      <c r="T54">
        <f>IF($A54="","",_xlfn.SUMIFS(Allocation!$I$1:$I$175,Allocation!$C$1:$C$175,$A54))</f>
        <v>2860</v>
      </c>
      <c r="U54">
        <f>IF($A54="","",_xlfn.SUMIFS(Allocation!$J$1:$J$175,Allocation!$C$1:$C$175,$A54))</f>
        <v>131</v>
      </c>
      <c r="V54">
        <f>IF($A54="","",_xlfn.SUMIFS(Allocation!$K$1:$K$175,Allocation!$C$1:$C$175,$A54))</f>
        <v>21240140</v>
      </c>
      <c r="W54">
        <f>IF($A54="","",_xlfn.SUMIFS(Compta!$F$1:$F$1448,Compta!$A$1:$A$1448,$B54,Compta!$B$1:$B$1448,"621",Compta!$C$1:$C$1448,$A54))</f>
        <v>115229</v>
      </c>
      <c r="X54">
        <f>IF($A54="","",_xlfn.SUMIFS(Compta!$F$1:$F$1448,Compta!$A$1:$A$1448,$B54,Compta!$B$1:$B$1448,"6411",Compta!$C$1:$C$1448,$A54))</f>
        <v>249593</v>
      </c>
      <c r="Y54">
        <f>IF($A54="","",_xlfn.SUMIFS(Compta!$F$1:$F$1448,Compta!$A$1:$A$1448,$B54,Compta!$B$1:$B$1448,"604",Compta!$C$1:$C$1448,$A54)+_xlfn.SUMIFS(Compta!$F$1:$F$1448,Compta!$A$1:$A$1448,$B54,Compta!$B$1:$B$1448,"6063",Compta!$C$1:$C$1448,$A54))</f>
        <v>88430</v>
      </c>
      <c r="Z54">
        <f>IF($A54="","",_xlfn.SUMIFS(Compta!$F$1:$F$1448,Compta!$A$1:$A$1448,$B54,Compta!$B$1:$B$1448,"6231",Compta!$C$1:$C$1448,$A54))</f>
        <v>22657</v>
      </c>
      <c r="AA54">
        <f>IF($A54="","",_xlfn.SUMIFS(Compta!$F$1:$F$1448,Compta!$A$1:$A$1448,$B54,Compta!$B$1:$B$1448,"6413",Compta!$C$1:$C$1448,$A54)+_xlfn.SUMIFS(Compta!$F$1:$F$1448,Compta!$A$1:$A$1448,$B54,Compta!$B$1:$B$1448,"645",Compta!$C$1:$C$1448,$A54)+_xlfn.SUMIFS(Compta!$F$1:$F$1448,Compta!$A$1:$A$1448,$B54,Compta!$B$1:$B$1448,"613",Compta!$C$1:$C$1448,$A54)+_xlfn.SUMIFS(Compta!$F$1:$F$1448,Compta!$A$1:$A$1448,$B54,Compta!$B$1:$B$1448,"615",Compta!$C$1:$C$1448,$A54)+_xlfn.SUMIFS(Compta!$F$1:$F$1448,Compta!$A$1:$A$1448,$B54,Compta!$B$1:$B$1448,"616",Compta!$C$1:$C$1448,$A54)+_xlfn.SUMIFS(Compta!$F$1:$F$1448,Compta!$A$1:$A$1448,$B54,Compta!$B$1:$B$1448,"625",Compta!$C$1:$C$1448,$A54)+_xlfn.SUMIFS(Compta!$F$1:$F$1448,Compta!$A$1:$A$1448,$B54,Compta!$B$1:$B$1448,"63511",Compta!$C$1:$C$1448,$A54))</f>
        <v>590058</v>
      </c>
      <c r="AB54">
        <f>IF($A54="","",_xlfn.SUMIFS(Compta!$F$1:$F$1448,Compta!$A$1:$A$1448,"GRP",Compta!$B$1:$B$1448,"6414",Compta!$C$1:$C$1448,$A54)+_xlfn.SUMIFS(Compta!$F$1:$F$1448,Compta!$A$1:$A$1448,"GRP",Compta!$B$1:$B$1448,"6226",Compta!$C$1:$C$1448,$A54)+_xlfn.SUMIFS(Compta!$F$1:$F$1448,Compta!$A$1:$A$1448,"GRP",Compta!$B$1:$B$1448,"626",Compta!$C$1:$C$1448,$A54)+_xlfn.SUMIFS(Compta!$F$1:$F$1448,Compta!$A$1:$A$1448,"GRP",Compta!$B$1:$B$1448,"6281",Compta!$C$1:$C$1448,$A54)+_xlfn.SUMIFS(Compta!$F$1:$F$1448,Compta!$A$1:$A$1448,"GRP",Compta!$B$1:$B$1448,"6331",Compta!$C$1:$C$1448,$A54)+_xlfn.SUMIFS(Compta!$F$1:$F$1448,Compta!$A$1:$A$1448,"GRP",Compta!$B$1:$B$1448,"6333",Compta!$C$1:$C$1448,$A54))</f>
        <v>2760232</v>
      </c>
      <c r="AC54" t="s">
        <v>274</v>
      </c>
      <c r="AD54" t="s">
        <v>274</v>
      </c>
      <c r="AE54" t="s">
        <v>274</v>
      </c>
      <c r="AF54" t="s">
        <v>274</v>
      </c>
      <c r="AG54" t="s">
        <v>274</v>
      </c>
      <c r="AH54" t="s">
        <v>274</v>
      </c>
      <c r="AI54">
        <f t="shared" si="3"/>
        <v>23045.8</v>
      </c>
      <c r="AJ54">
        <f t="shared" si="4"/>
        <v>49918.6</v>
      </c>
      <c r="AK54">
        <f t="shared" si="5"/>
        <v>17005.7692307692</v>
      </c>
      <c r="AL54">
        <f t="shared" si="6"/>
        <v>0</v>
      </c>
      <c r="AM54">
        <f t="shared" si="7"/>
        <v>0</v>
      </c>
      <c r="AN54">
        <f t="shared" si="8"/>
        <v>215579.830769231</v>
      </c>
      <c r="AO54">
        <f>IF($A54="","",_xlfn.SUMIFS(Compta!$F$1:$F$1448,Compta!$A$1:$A$1448,"GRP",Compta!$B$1:$B$1448,"6236",Compta!$C$1:$C$1448,$A54))</f>
        <v>580167</v>
      </c>
      <c r="AP54" t="s">
        <v>274</v>
      </c>
      <c r="AQ54" t="s">
        <v>274</v>
      </c>
      <c r="AR54">
        <f t="shared" si="9"/>
        <v>0</v>
      </c>
    </row>
    <row r="55" ht="14.25" customHeight="1">
      <c r="A55" t="str">
        <f>IF(Allocation!C55="","",Allocation!C55)</f>
        <v>2025</v>
      </c>
      <c r="B55" t="str">
        <f>IF(Allocation!D55="","",Allocation!D55)</f>
        <v>MBWAY_BOR</v>
      </c>
      <c r="C55" t="str">
        <f>IF(Allocation!E55="","",Allocation!E55)</f>
        <v>MBWAY</v>
      </c>
      <c r="D55" t="str">
        <f>IF(Allocation!F55="","",Allocation!F55)</f>
        <v>MAS_MGT</v>
      </c>
      <c r="E55" t="str">
        <f>IF(Allocation!G55="","",Allocation!G55)</f>
        <v>M1</v>
      </c>
      <c r="F55" t="str">
        <f>IF(Allocation!H55="","",Allocation!H55)</f>
        <v>ALT</v>
      </c>
      <c r="G55">
        <f>IF(Allocation!D55="","",Allocation!I55)</f>
        <v>48</v>
      </c>
      <c r="H55">
        <f>IF(Allocation!D55="","",Allocation!J55)</f>
        <v>2</v>
      </c>
      <c r="I55">
        <f>IF(Allocation!D55="","",Allocation!K55)</f>
        <v>353520</v>
      </c>
      <c r="J55">
        <f>IF($A55="","",_xlfn.SUMIFS(Socle!$K$1:$K$448,Socle!$C$1:$C$448,$B55,Socle!$D$1:$D$448,$D55,Socle!$E$1:$E$448,$E55,Socle!$F$1:$F$448,$F55,Socle!$G$1:$G$448,$A55))</f>
        <v>96</v>
      </c>
      <c r="K55">
        <f t="shared" si="0"/>
        <v>840</v>
      </c>
      <c r="L55">
        <f>IF($A55="","",_xlfn.SUMIFS(Allocation!$I$1:$I$175,Allocation!$C$1:$C$175,$A55,Allocation!$D$1:$D$175,$B55))</f>
        <v>234</v>
      </c>
      <c r="M55">
        <f>IF($A55="","",_xlfn.SUMIFS(Allocation!$J$1:$J$175,Allocation!$C$1:$C$175,$A55,Allocation!$D$1:$D$175,$B55))</f>
        <v>10</v>
      </c>
      <c r="N55">
        <f>IF($A55="","",_xlfn.SUMIFS(Allocation!$K$1:$K$175,Allocation!$C$1:$C$175,$A55,Allocation!$D$1:$D$175,$B55))</f>
        <v>1666855</v>
      </c>
      <c r="O55">
        <f t="shared" si="1"/>
        <v>4800</v>
      </c>
      <c r="P55">
        <f t="shared" si="2"/>
        <v>192</v>
      </c>
      <c r="Q55">
        <f>IF($A55="","",_xlfn.SUMIFS(Allocation!$I$1:$I$175,Allocation!$C$1:$C$175,$A55,Allocation!$E$1:$E$175,$C55))</f>
        <v>1179</v>
      </c>
      <c r="R55">
        <f>IF($A55="","",_xlfn.SUMIFS(Allocation!$J$1:$J$175,Allocation!$C$1:$C$175,$A55,Allocation!$E$1:$E$175,$C55))</f>
        <v>50</v>
      </c>
      <c r="S55">
        <f>IF($A55="","",_xlfn.SUMIFS(Allocation!$K$1:$K$175,Allocation!$C$1:$C$175,$A55,Allocation!$E$1:$E$175,$C55))</f>
        <v>9032400</v>
      </c>
      <c r="T55">
        <f>IF($A55="","",_xlfn.SUMIFS(Allocation!$I$1:$I$175,Allocation!$C$1:$C$175,$A55))</f>
        <v>2860</v>
      </c>
      <c r="U55">
        <f>IF($A55="","",_xlfn.SUMIFS(Allocation!$J$1:$J$175,Allocation!$C$1:$C$175,$A55))</f>
        <v>131</v>
      </c>
      <c r="V55">
        <f>IF($A55="","",_xlfn.SUMIFS(Allocation!$K$1:$K$175,Allocation!$C$1:$C$175,$A55))</f>
        <v>21240140</v>
      </c>
      <c r="W55">
        <f>IF($A55="","",_xlfn.SUMIFS(Compta!$F$1:$F$1448,Compta!$A$1:$A$1448,$B55,Compta!$B$1:$B$1448,"621",Compta!$C$1:$C$1448,$A55))</f>
        <v>115229</v>
      </c>
      <c r="X55">
        <f>IF($A55="","",_xlfn.SUMIFS(Compta!$F$1:$F$1448,Compta!$A$1:$A$1448,$B55,Compta!$B$1:$B$1448,"6411",Compta!$C$1:$C$1448,$A55))</f>
        <v>249593</v>
      </c>
      <c r="Y55">
        <f>IF($A55="","",_xlfn.SUMIFS(Compta!$F$1:$F$1448,Compta!$A$1:$A$1448,$B55,Compta!$B$1:$B$1448,"604",Compta!$C$1:$C$1448,$A55)+_xlfn.SUMIFS(Compta!$F$1:$F$1448,Compta!$A$1:$A$1448,$B55,Compta!$B$1:$B$1448,"6063",Compta!$C$1:$C$1448,$A55))</f>
        <v>88430</v>
      </c>
      <c r="Z55">
        <f>IF($A55="","",_xlfn.SUMIFS(Compta!$F$1:$F$1448,Compta!$A$1:$A$1448,$B55,Compta!$B$1:$B$1448,"6231",Compta!$C$1:$C$1448,$A55))</f>
        <v>22657</v>
      </c>
      <c r="AA55">
        <f>IF($A55="","",_xlfn.SUMIFS(Compta!$F$1:$F$1448,Compta!$A$1:$A$1448,$B55,Compta!$B$1:$B$1448,"6413",Compta!$C$1:$C$1448,$A55)+_xlfn.SUMIFS(Compta!$F$1:$F$1448,Compta!$A$1:$A$1448,$B55,Compta!$B$1:$B$1448,"645",Compta!$C$1:$C$1448,$A55)+_xlfn.SUMIFS(Compta!$F$1:$F$1448,Compta!$A$1:$A$1448,$B55,Compta!$B$1:$B$1448,"613",Compta!$C$1:$C$1448,$A55)+_xlfn.SUMIFS(Compta!$F$1:$F$1448,Compta!$A$1:$A$1448,$B55,Compta!$B$1:$B$1448,"615",Compta!$C$1:$C$1448,$A55)+_xlfn.SUMIFS(Compta!$F$1:$F$1448,Compta!$A$1:$A$1448,$B55,Compta!$B$1:$B$1448,"616",Compta!$C$1:$C$1448,$A55)+_xlfn.SUMIFS(Compta!$F$1:$F$1448,Compta!$A$1:$A$1448,$B55,Compta!$B$1:$B$1448,"625",Compta!$C$1:$C$1448,$A55)+_xlfn.SUMIFS(Compta!$F$1:$F$1448,Compta!$A$1:$A$1448,$B55,Compta!$B$1:$B$1448,"63511",Compta!$C$1:$C$1448,$A55))</f>
        <v>590058</v>
      </c>
      <c r="AB55">
        <f>IF($A55="","",_xlfn.SUMIFS(Compta!$F$1:$F$1448,Compta!$A$1:$A$1448,"GRP",Compta!$B$1:$B$1448,"6414",Compta!$C$1:$C$1448,$A55)+_xlfn.SUMIFS(Compta!$F$1:$F$1448,Compta!$A$1:$A$1448,"GRP",Compta!$B$1:$B$1448,"6226",Compta!$C$1:$C$1448,$A55)+_xlfn.SUMIFS(Compta!$F$1:$F$1448,Compta!$A$1:$A$1448,"GRP",Compta!$B$1:$B$1448,"626",Compta!$C$1:$C$1448,$A55)+_xlfn.SUMIFS(Compta!$F$1:$F$1448,Compta!$A$1:$A$1448,"GRP",Compta!$B$1:$B$1448,"6281",Compta!$C$1:$C$1448,$A55)+_xlfn.SUMIFS(Compta!$F$1:$F$1448,Compta!$A$1:$A$1448,"GRP",Compta!$B$1:$B$1448,"6331",Compta!$C$1:$C$1448,$A55)+_xlfn.SUMIFS(Compta!$F$1:$F$1448,Compta!$A$1:$A$1448,"GRP",Compta!$B$1:$B$1448,"6333",Compta!$C$1:$C$1448,$A55))</f>
        <v>2760232</v>
      </c>
      <c r="AC55" t="s">
        <v>274</v>
      </c>
      <c r="AD55" t="s">
        <v>274</v>
      </c>
      <c r="AE55" t="s">
        <v>274</v>
      </c>
      <c r="AF55" t="s">
        <v>274</v>
      </c>
      <c r="AG55" t="s">
        <v>274</v>
      </c>
      <c r="AH55" t="s">
        <v>274</v>
      </c>
      <c r="AI55">
        <f t="shared" si="3"/>
        <v>20165.075</v>
      </c>
      <c r="AJ55">
        <f t="shared" si="4"/>
        <v>43678.775</v>
      </c>
      <c r="AK55">
        <f t="shared" si="5"/>
        <v>29467.9871794872</v>
      </c>
      <c r="AL55">
        <f t="shared" si="6"/>
        <v>0</v>
      </c>
      <c r="AM55">
        <f t="shared" si="7"/>
        <v>0</v>
      </c>
      <c r="AN55">
        <f t="shared" si="8"/>
        <v>260208.162820513</v>
      </c>
      <c r="AO55">
        <f>IF($A55="","",_xlfn.SUMIFS(Compta!$F$1:$F$1448,Compta!$A$1:$A$1448,"GRP",Compta!$B$1:$B$1448,"6236",Compta!$C$1:$C$1448,$A55))</f>
        <v>580167</v>
      </c>
      <c r="AP55" t="s">
        <v>274</v>
      </c>
      <c r="AQ55" t="s">
        <v>274</v>
      </c>
      <c r="AR55">
        <f t="shared" si="9"/>
        <v>0</v>
      </c>
    </row>
    <row r="56" ht="14.25" customHeight="1">
      <c r="A56" t="str">
        <f>IF(Allocation!C56="","",Allocation!C56)</f>
        <v>2025</v>
      </c>
      <c r="B56" t="str">
        <f>IF(Allocation!D56="","",Allocation!D56)</f>
        <v>MBWAY_BOR</v>
      </c>
      <c r="C56" t="str">
        <f>IF(Allocation!E56="","",Allocation!E56)</f>
        <v>MBWAY</v>
      </c>
      <c r="D56" t="str">
        <f>IF(Allocation!F56="","",Allocation!F56)</f>
        <v>MAS_MGT</v>
      </c>
      <c r="E56" t="str">
        <f>IF(Allocation!G56="","",Allocation!G56)</f>
        <v>M2</v>
      </c>
      <c r="F56" t="str">
        <f>IF(Allocation!H56="","",Allocation!H56)</f>
        <v>ALT</v>
      </c>
      <c r="G56">
        <f>IF(Allocation!D56="","",Allocation!I56)</f>
        <v>47</v>
      </c>
      <c r="H56">
        <f>IF(Allocation!D56="","",Allocation!J56)</f>
        <v>2</v>
      </c>
      <c r="I56">
        <f>IF(Allocation!D56="","",Allocation!K56)</f>
        <v>341925</v>
      </c>
      <c r="J56">
        <f>IF($A56="","",_xlfn.SUMIFS(Socle!$K$1:$K$448,Socle!$C$1:$C$448,$B56,Socle!$D$1:$D$448,$D56,Socle!$E$1:$E$448,$E56,Socle!$F$1:$F$448,$F56,Socle!$G$1:$G$448,$A56))</f>
        <v>0</v>
      </c>
      <c r="K56">
        <f t="shared" si="0"/>
        <v>840</v>
      </c>
      <c r="L56">
        <f>IF($A56="","",_xlfn.SUMIFS(Allocation!$I$1:$I$175,Allocation!$C$1:$C$175,$A56,Allocation!$D$1:$D$175,$B56))</f>
        <v>234</v>
      </c>
      <c r="M56">
        <f>IF($A56="","",_xlfn.SUMIFS(Allocation!$J$1:$J$175,Allocation!$C$1:$C$175,$A56,Allocation!$D$1:$D$175,$B56))</f>
        <v>10</v>
      </c>
      <c r="N56">
        <f>IF($A56="","",_xlfn.SUMIFS(Allocation!$K$1:$K$175,Allocation!$C$1:$C$175,$A56,Allocation!$D$1:$D$175,$B56))</f>
        <v>1666855</v>
      </c>
      <c r="O56">
        <f t="shared" si="1"/>
        <v>4800</v>
      </c>
      <c r="P56">
        <f t="shared" si="2"/>
        <v>192</v>
      </c>
      <c r="Q56">
        <f>IF($A56="","",_xlfn.SUMIFS(Allocation!$I$1:$I$175,Allocation!$C$1:$C$175,$A56,Allocation!$E$1:$E$175,$C56))</f>
        <v>1179</v>
      </c>
      <c r="R56">
        <f>IF($A56="","",_xlfn.SUMIFS(Allocation!$J$1:$J$175,Allocation!$C$1:$C$175,$A56,Allocation!$E$1:$E$175,$C56))</f>
        <v>50</v>
      </c>
      <c r="S56">
        <f>IF($A56="","",_xlfn.SUMIFS(Allocation!$K$1:$K$175,Allocation!$C$1:$C$175,$A56,Allocation!$E$1:$E$175,$C56))</f>
        <v>9032400</v>
      </c>
      <c r="T56">
        <f>IF($A56="","",_xlfn.SUMIFS(Allocation!$I$1:$I$175,Allocation!$C$1:$C$175,$A56))</f>
        <v>2860</v>
      </c>
      <c r="U56">
        <f>IF($A56="","",_xlfn.SUMIFS(Allocation!$J$1:$J$175,Allocation!$C$1:$C$175,$A56))</f>
        <v>131</v>
      </c>
      <c r="V56">
        <f>IF($A56="","",_xlfn.SUMIFS(Allocation!$K$1:$K$175,Allocation!$C$1:$C$175,$A56))</f>
        <v>21240140</v>
      </c>
      <c r="W56">
        <f>IF($A56="","",_xlfn.SUMIFS(Compta!$F$1:$F$1448,Compta!$A$1:$A$1448,$B56,Compta!$B$1:$B$1448,"621",Compta!$C$1:$C$1448,$A56))</f>
        <v>115229</v>
      </c>
      <c r="X56">
        <f>IF($A56="","",_xlfn.SUMIFS(Compta!$F$1:$F$1448,Compta!$A$1:$A$1448,$B56,Compta!$B$1:$B$1448,"6411",Compta!$C$1:$C$1448,$A56))</f>
        <v>249593</v>
      </c>
      <c r="Y56">
        <f>IF($A56="","",_xlfn.SUMIFS(Compta!$F$1:$F$1448,Compta!$A$1:$A$1448,$B56,Compta!$B$1:$B$1448,"604",Compta!$C$1:$C$1448,$A56)+_xlfn.SUMIFS(Compta!$F$1:$F$1448,Compta!$A$1:$A$1448,$B56,Compta!$B$1:$B$1448,"6063",Compta!$C$1:$C$1448,$A56))</f>
        <v>88430</v>
      </c>
      <c r="Z56">
        <f>IF($A56="","",_xlfn.SUMIFS(Compta!$F$1:$F$1448,Compta!$A$1:$A$1448,$B56,Compta!$B$1:$B$1448,"6231",Compta!$C$1:$C$1448,$A56))</f>
        <v>22657</v>
      </c>
      <c r="AA56">
        <f>IF($A56="","",_xlfn.SUMIFS(Compta!$F$1:$F$1448,Compta!$A$1:$A$1448,$B56,Compta!$B$1:$B$1448,"6413",Compta!$C$1:$C$1448,$A56)+_xlfn.SUMIFS(Compta!$F$1:$F$1448,Compta!$A$1:$A$1448,$B56,Compta!$B$1:$B$1448,"645",Compta!$C$1:$C$1448,$A56)+_xlfn.SUMIFS(Compta!$F$1:$F$1448,Compta!$A$1:$A$1448,$B56,Compta!$B$1:$B$1448,"613",Compta!$C$1:$C$1448,$A56)+_xlfn.SUMIFS(Compta!$F$1:$F$1448,Compta!$A$1:$A$1448,$B56,Compta!$B$1:$B$1448,"615",Compta!$C$1:$C$1448,$A56)+_xlfn.SUMIFS(Compta!$F$1:$F$1448,Compta!$A$1:$A$1448,$B56,Compta!$B$1:$B$1448,"616",Compta!$C$1:$C$1448,$A56)+_xlfn.SUMIFS(Compta!$F$1:$F$1448,Compta!$A$1:$A$1448,$B56,Compta!$B$1:$B$1448,"625",Compta!$C$1:$C$1448,$A56)+_xlfn.SUMIFS(Compta!$F$1:$F$1448,Compta!$A$1:$A$1448,$B56,Compta!$B$1:$B$1448,"63511",Compta!$C$1:$C$1448,$A56))</f>
        <v>590058</v>
      </c>
      <c r="AB56">
        <f>IF($A56="","",_xlfn.SUMIFS(Compta!$F$1:$F$1448,Compta!$A$1:$A$1448,"GRP",Compta!$B$1:$B$1448,"6414",Compta!$C$1:$C$1448,$A56)+_xlfn.SUMIFS(Compta!$F$1:$F$1448,Compta!$A$1:$A$1448,"GRP",Compta!$B$1:$B$1448,"6226",Compta!$C$1:$C$1448,$A56)+_xlfn.SUMIFS(Compta!$F$1:$F$1448,Compta!$A$1:$A$1448,"GRP",Compta!$B$1:$B$1448,"626",Compta!$C$1:$C$1448,$A56)+_xlfn.SUMIFS(Compta!$F$1:$F$1448,Compta!$A$1:$A$1448,"GRP",Compta!$B$1:$B$1448,"6281",Compta!$C$1:$C$1448,$A56)+_xlfn.SUMIFS(Compta!$F$1:$F$1448,Compta!$A$1:$A$1448,"GRP",Compta!$B$1:$B$1448,"6331",Compta!$C$1:$C$1448,$A56)+_xlfn.SUMIFS(Compta!$F$1:$F$1448,Compta!$A$1:$A$1448,"GRP",Compta!$B$1:$B$1448,"6333",Compta!$C$1:$C$1448,$A56))</f>
        <v>2760232</v>
      </c>
      <c r="AC56" t="s">
        <v>274</v>
      </c>
      <c r="AD56" t="s">
        <v>274</v>
      </c>
      <c r="AE56" t="s">
        <v>274</v>
      </c>
      <c r="AF56" t="s">
        <v>274</v>
      </c>
      <c r="AG56" t="s">
        <v>274</v>
      </c>
      <c r="AH56" t="s">
        <v>274</v>
      </c>
      <c r="AI56">
        <f t="shared" si="3"/>
        <v>20165.075</v>
      </c>
      <c r="AJ56">
        <f t="shared" si="4"/>
        <v>43678.775</v>
      </c>
      <c r="AK56">
        <f t="shared" si="5"/>
        <v>17761.5811965812</v>
      </c>
      <c r="AL56">
        <f t="shared" si="6"/>
        <v>0</v>
      </c>
      <c r="AM56">
        <f t="shared" si="7"/>
        <v>0</v>
      </c>
      <c r="AN56">
        <f t="shared" si="8"/>
        <v>260319.568803419</v>
      </c>
      <c r="AO56">
        <f>IF($A56="","",_xlfn.SUMIFS(Compta!$F$1:$F$1448,Compta!$A$1:$A$1448,"GRP",Compta!$B$1:$B$1448,"6236",Compta!$C$1:$C$1448,$A56))</f>
        <v>580167</v>
      </c>
      <c r="AP56" t="s">
        <v>274</v>
      </c>
      <c r="AQ56" t="s">
        <v>274</v>
      </c>
      <c r="AR56">
        <f t="shared" si="9"/>
        <v>0</v>
      </c>
    </row>
    <row r="57" ht="14.25" customHeight="1">
      <c r="A57" t="str">
        <f>IF(Allocation!C57="","",Allocation!C57)</f>
        <v>2024</v>
      </c>
      <c r="B57" t="str">
        <f>IF(Allocation!D57="","",Allocation!D57)</f>
        <v>MBWAY_BOR</v>
      </c>
      <c r="C57" t="str">
        <f>IF(Allocation!E57="","",Allocation!E57)</f>
        <v>MBWAY</v>
      </c>
      <c r="D57" t="str">
        <f>IF(Allocation!F57="","",Allocation!F57)</f>
        <v>BAC_MGT</v>
      </c>
      <c r="E57" t="str">
        <f>IF(Allocation!G57="","",Allocation!G57)</f>
        <v>B1</v>
      </c>
      <c r="F57" t="str">
        <f>IF(Allocation!H57="","",Allocation!H57)</f>
        <v>INIT</v>
      </c>
      <c r="G57">
        <f>IF(Allocation!D57="","",Allocation!I57)</f>
        <v>45</v>
      </c>
      <c r="H57">
        <f>IF(Allocation!D57="","",Allocation!J57)</f>
        <v>2</v>
      </c>
      <c r="I57">
        <f>IF(Allocation!D57="","",Allocation!K57)</f>
        <v>331425</v>
      </c>
      <c r="J57">
        <f>IF($A57="","",_xlfn.SUMIFS(Socle!$K$1:$K$448,Socle!$C$1:$C$448,$B57,Socle!$D$1:$D$448,$D57,Socle!$E$1:$E$448,$E57,Socle!$F$1:$F$448,$F57,Socle!$G$1:$G$448,$A57))</f>
        <v>90</v>
      </c>
      <c r="K57">
        <f t="shared" si="0"/>
        <v>1200</v>
      </c>
      <c r="L57">
        <f>IF($A57="","",_xlfn.SUMIFS(Allocation!$I$1:$I$175,Allocation!$C$1:$C$175,$A57,Allocation!$D$1:$D$175,$B57))</f>
        <v>221</v>
      </c>
      <c r="M57">
        <f>IF($A57="","",_xlfn.SUMIFS(Allocation!$J$1:$J$175,Allocation!$C$1:$C$175,$A57,Allocation!$D$1:$D$175,$B57))</f>
        <v>10</v>
      </c>
      <c r="N57">
        <f>IF($A57="","",_xlfn.SUMIFS(Allocation!$K$1:$K$175,Allocation!$C$1:$C$175,$A57,Allocation!$D$1:$D$175,$B57))</f>
        <v>1573680</v>
      </c>
      <c r="O57">
        <f t="shared" si="1"/>
        <v>4800</v>
      </c>
      <c r="P57">
        <f t="shared" si="2"/>
        <v>180</v>
      </c>
      <c r="Q57">
        <f>IF($A57="","",_xlfn.SUMIFS(Allocation!$I$1:$I$175,Allocation!$C$1:$C$175,$A57,Allocation!$E$1:$E$175,$C57))</f>
        <v>1112</v>
      </c>
      <c r="R57">
        <f>IF($A57="","",_xlfn.SUMIFS(Allocation!$J$1:$J$175,Allocation!$C$1:$C$175,$A57,Allocation!$E$1:$E$175,$C57))</f>
        <v>50</v>
      </c>
      <c r="S57">
        <f>IF($A57="","",_xlfn.SUMIFS(Allocation!$K$1:$K$175,Allocation!$C$1:$C$175,$A57,Allocation!$E$1:$E$175,$C57))</f>
        <v>8517270</v>
      </c>
      <c r="T57">
        <f>IF($A57="","",_xlfn.SUMIFS(Allocation!$I$1:$I$175,Allocation!$C$1:$C$175,$A57))</f>
        <v>2704</v>
      </c>
      <c r="U57">
        <f>IF($A57="","",_xlfn.SUMIFS(Allocation!$J$1:$J$175,Allocation!$C$1:$C$175,$A57))</f>
        <v>131</v>
      </c>
      <c r="V57">
        <f>IF($A57="","",_xlfn.SUMIFS(Allocation!$K$1:$K$175,Allocation!$C$1:$C$175,$A57))</f>
        <v>20076860</v>
      </c>
      <c r="W57">
        <f>IF($A57="","",_xlfn.SUMIFS(Compta!$F$1:$F$1448,Compta!$A$1:$A$1448,$B57,Compta!$B$1:$B$1448,"621",Compta!$C$1:$C$1448,$A57))</f>
        <v>110180</v>
      </c>
      <c r="X57">
        <f>IF($A57="","",_xlfn.SUMIFS(Compta!$F$1:$F$1448,Compta!$A$1:$A$1448,$B57,Compta!$B$1:$B$1448,"6411",Compta!$C$1:$C$1448,$A57))</f>
        <v>238657</v>
      </c>
      <c r="Y57">
        <f>IF($A57="","",_xlfn.SUMIFS(Compta!$F$1:$F$1448,Compta!$A$1:$A$1448,$B57,Compta!$B$1:$B$1448,"604",Compta!$C$1:$C$1448,$A57)+_xlfn.SUMIFS(Compta!$F$1:$F$1448,Compta!$A$1:$A$1448,$B57,Compta!$B$1:$B$1448,"6063",Compta!$C$1:$C$1448,$A57))</f>
        <v>84556</v>
      </c>
      <c r="Z57">
        <f>IF($A57="","",_xlfn.SUMIFS(Compta!$F$1:$F$1448,Compta!$A$1:$A$1448,$B57,Compta!$B$1:$B$1448,"6231",Compta!$C$1:$C$1448,$A57))</f>
        <v>20597</v>
      </c>
      <c r="AA57">
        <f>IF($A57="","",_xlfn.SUMIFS(Compta!$F$1:$F$1448,Compta!$A$1:$A$1448,$B57,Compta!$B$1:$B$1448,"6413",Compta!$C$1:$C$1448,$A57)+_xlfn.SUMIFS(Compta!$F$1:$F$1448,Compta!$A$1:$A$1448,$B57,Compta!$B$1:$B$1448,"645",Compta!$C$1:$C$1448,$A57)+_xlfn.SUMIFS(Compta!$F$1:$F$1448,Compta!$A$1:$A$1448,$B57,Compta!$B$1:$B$1448,"613",Compta!$C$1:$C$1448,$A57)+_xlfn.SUMIFS(Compta!$F$1:$F$1448,Compta!$A$1:$A$1448,$B57,Compta!$B$1:$B$1448,"615",Compta!$C$1:$C$1448,$A57)+_xlfn.SUMIFS(Compta!$F$1:$F$1448,Compta!$A$1:$A$1448,$B57,Compta!$B$1:$B$1448,"616",Compta!$C$1:$C$1448,$A57)+_xlfn.SUMIFS(Compta!$F$1:$F$1448,Compta!$A$1:$A$1448,$B57,Compta!$B$1:$B$1448,"625",Compta!$C$1:$C$1448,$A57)+_xlfn.SUMIFS(Compta!$F$1:$F$1448,Compta!$A$1:$A$1448,$B57,Compta!$B$1:$B$1448,"63511",Compta!$C$1:$C$1448,$A57))</f>
        <v>564205</v>
      </c>
      <c r="AB57">
        <f>IF($A57="","",_xlfn.SUMIFS(Compta!$F$1:$F$1448,Compta!$A$1:$A$1448,"GRP",Compta!$B$1:$B$1448,"6414",Compta!$C$1:$C$1448,$A57)+_xlfn.SUMIFS(Compta!$F$1:$F$1448,Compta!$A$1:$A$1448,"GRP",Compta!$B$1:$B$1448,"6226",Compta!$C$1:$C$1448,$A57)+_xlfn.SUMIFS(Compta!$F$1:$F$1448,Compta!$A$1:$A$1448,"GRP",Compta!$B$1:$B$1448,"626",Compta!$C$1:$C$1448,$A57)+_xlfn.SUMIFS(Compta!$F$1:$F$1448,Compta!$A$1:$A$1448,"GRP",Compta!$B$1:$B$1448,"6281",Compta!$C$1:$C$1448,$A57)+_xlfn.SUMIFS(Compta!$F$1:$F$1448,Compta!$A$1:$A$1448,"GRP",Compta!$B$1:$B$1448,"6331",Compta!$C$1:$C$1448,$A57)+_xlfn.SUMIFS(Compta!$F$1:$F$1448,Compta!$A$1:$A$1448,"GRP",Compta!$B$1:$B$1448,"6333",Compta!$C$1:$C$1448,$A57))</f>
        <v>2639292</v>
      </c>
      <c r="AC57" t="s">
        <v>274</v>
      </c>
      <c r="AD57" t="s">
        <v>274</v>
      </c>
      <c r="AE57" t="s">
        <v>274</v>
      </c>
      <c r="AF57" t="s">
        <v>274</v>
      </c>
      <c r="AG57" t="s">
        <v>274</v>
      </c>
      <c r="AH57" t="s">
        <v>274</v>
      </c>
      <c r="AI57">
        <f t="shared" si="3"/>
        <v>27545</v>
      </c>
      <c r="AJ57">
        <f t="shared" si="4"/>
        <v>59664.25</v>
      </c>
      <c r="AK57">
        <f t="shared" si="5"/>
        <v>27515.7850678733</v>
      </c>
      <c r="AL57">
        <f t="shared" si="6"/>
        <v>0</v>
      </c>
      <c r="AM57">
        <f t="shared" si="7"/>
        <v>0</v>
      </c>
      <c r="AN57">
        <f t="shared" si="8"/>
        <v>216699.964932127</v>
      </c>
      <c r="AO57">
        <f>IF($A57="","",_xlfn.SUMIFS(Compta!$F$1:$F$1448,Compta!$A$1:$A$1448,"GRP",Compta!$B$1:$B$1448,"6236",Compta!$C$1:$C$1448,$A57))</f>
        <v>499926</v>
      </c>
      <c r="AP57" t="s">
        <v>274</v>
      </c>
      <c r="AQ57" t="s">
        <v>274</v>
      </c>
      <c r="AR57">
        <f t="shared" si="9"/>
        <v>0</v>
      </c>
    </row>
    <row r="58" ht="14.25" customHeight="1">
      <c r="A58" t="str">
        <f>IF(Allocation!C58="","",Allocation!C58)</f>
        <v>2024</v>
      </c>
      <c r="B58" t="str">
        <f>IF(Allocation!D58="","",Allocation!D58)</f>
        <v>MBWAY_BOR</v>
      </c>
      <c r="C58" t="str">
        <f>IF(Allocation!E58="","",Allocation!E58)</f>
        <v>MBWAY</v>
      </c>
      <c r="D58" t="str">
        <f>IF(Allocation!F58="","",Allocation!F58)</f>
        <v>BAC_MGT</v>
      </c>
      <c r="E58" t="str">
        <f>IF(Allocation!G58="","",Allocation!G58)</f>
        <v>B2</v>
      </c>
      <c r="F58" t="str">
        <f>IF(Allocation!H58="","",Allocation!H58)</f>
        <v>ALT</v>
      </c>
      <c r="G58">
        <f>IF(Allocation!D58="","",Allocation!I58)</f>
        <v>44</v>
      </c>
      <c r="H58">
        <f>IF(Allocation!D58="","",Allocation!J58)</f>
        <v>2</v>
      </c>
      <c r="I58">
        <f>IF(Allocation!D58="","",Allocation!K58)</f>
        <v>298760</v>
      </c>
      <c r="J58">
        <f>IF($A58="","",_xlfn.SUMIFS(Socle!$K$1:$K$448,Socle!$C$1:$C$448,$B58,Socle!$D$1:$D$448,$D58,Socle!$E$1:$E$448,$E58,Socle!$F$1:$F$448,$F58,Socle!$G$1:$G$448,$A58))</f>
        <v>0</v>
      </c>
      <c r="K58">
        <f t="shared" si="0"/>
        <v>960</v>
      </c>
      <c r="L58">
        <f>IF($A58="","",_xlfn.SUMIFS(Allocation!$I$1:$I$175,Allocation!$C$1:$C$175,$A58,Allocation!$D$1:$D$175,$B58))</f>
        <v>221</v>
      </c>
      <c r="M58">
        <f>IF($A58="","",_xlfn.SUMIFS(Allocation!$J$1:$J$175,Allocation!$C$1:$C$175,$A58,Allocation!$D$1:$D$175,$B58))</f>
        <v>10</v>
      </c>
      <c r="N58">
        <f>IF($A58="","",_xlfn.SUMIFS(Allocation!$K$1:$K$175,Allocation!$C$1:$C$175,$A58,Allocation!$D$1:$D$175,$B58))</f>
        <v>1573680</v>
      </c>
      <c r="O58">
        <f t="shared" si="1"/>
        <v>4800</v>
      </c>
      <c r="P58">
        <f t="shared" si="2"/>
        <v>180</v>
      </c>
      <c r="Q58">
        <f>IF($A58="","",_xlfn.SUMIFS(Allocation!$I$1:$I$175,Allocation!$C$1:$C$175,$A58,Allocation!$E$1:$E$175,$C58))</f>
        <v>1112</v>
      </c>
      <c r="R58">
        <f>IF($A58="","",_xlfn.SUMIFS(Allocation!$J$1:$J$175,Allocation!$C$1:$C$175,$A58,Allocation!$E$1:$E$175,$C58))</f>
        <v>50</v>
      </c>
      <c r="S58">
        <f>IF($A58="","",_xlfn.SUMIFS(Allocation!$K$1:$K$175,Allocation!$C$1:$C$175,$A58,Allocation!$E$1:$E$175,$C58))</f>
        <v>8517270</v>
      </c>
      <c r="T58">
        <f>IF($A58="","",_xlfn.SUMIFS(Allocation!$I$1:$I$175,Allocation!$C$1:$C$175,$A58))</f>
        <v>2704</v>
      </c>
      <c r="U58">
        <f>IF($A58="","",_xlfn.SUMIFS(Allocation!$J$1:$J$175,Allocation!$C$1:$C$175,$A58))</f>
        <v>131</v>
      </c>
      <c r="V58">
        <f>IF($A58="","",_xlfn.SUMIFS(Allocation!$K$1:$K$175,Allocation!$C$1:$C$175,$A58))</f>
        <v>20076860</v>
      </c>
      <c r="W58">
        <f>IF($A58="","",_xlfn.SUMIFS(Compta!$F$1:$F$1448,Compta!$A$1:$A$1448,$B58,Compta!$B$1:$B$1448,"621",Compta!$C$1:$C$1448,$A58))</f>
        <v>110180</v>
      </c>
      <c r="X58">
        <f>IF($A58="","",_xlfn.SUMIFS(Compta!$F$1:$F$1448,Compta!$A$1:$A$1448,$B58,Compta!$B$1:$B$1448,"6411",Compta!$C$1:$C$1448,$A58))</f>
        <v>238657</v>
      </c>
      <c r="Y58">
        <f>IF($A58="","",_xlfn.SUMIFS(Compta!$F$1:$F$1448,Compta!$A$1:$A$1448,$B58,Compta!$B$1:$B$1448,"604",Compta!$C$1:$C$1448,$A58)+_xlfn.SUMIFS(Compta!$F$1:$F$1448,Compta!$A$1:$A$1448,$B58,Compta!$B$1:$B$1448,"6063",Compta!$C$1:$C$1448,$A58))</f>
        <v>84556</v>
      </c>
      <c r="Z58">
        <f>IF($A58="","",_xlfn.SUMIFS(Compta!$F$1:$F$1448,Compta!$A$1:$A$1448,$B58,Compta!$B$1:$B$1448,"6231",Compta!$C$1:$C$1448,$A58))</f>
        <v>20597</v>
      </c>
      <c r="AA58">
        <f>IF($A58="","",_xlfn.SUMIFS(Compta!$F$1:$F$1448,Compta!$A$1:$A$1448,$B58,Compta!$B$1:$B$1448,"6413",Compta!$C$1:$C$1448,$A58)+_xlfn.SUMIFS(Compta!$F$1:$F$1448,Compta!$A$1:$A$1448,$B58,Compta!$B$1:$B$1448,"645",Compta!$C$1:$C$1448,$A58)+_xlfn.SUMIFS(Compta!$F$1:$F$1448,Compta!$A$1:$A$1448,$B58,Compta!$B$1:$B$1448,"613",Compta!$C$1:$C$1448,$A58)+_xlfn.SUMIFS(Compta!$F$1:$F$1448,Compta!$A$1:$A$1448,$B58,Compta!$B$1:$B$1448,"615",Compta!$C$1:$C$1448,$A58)+_xlfn.SUMIFS(Compta!$F$1:$F$1448,Compta!$A$1:$A$1448,$B58,Compta!$B$1:$B$1448,"616",Compta!$C$1:$C$1448,$A58)+_xlfn.SUMIFS(Compta!$F$1:$F$1448,Compta!$A$1:$A$1448,$B58,Compta!$B$1:$B$1448,"625",Compta!$C$1:$C$1448,$A58)+_xlfn.SUMIFS(Compta!$F$1:$F$1448,Compta!$A$1:$A$1448,$B58,Compta!$B$1:$B$1448,"63511",Compta!$C$1:$C$1448,$A58))</f>
        <v>564205</v>
      </c>
      <c r="AB58">
        <f>IF($A58="","",_xlfn.SUMIFS(Compta!$F$1:$F$1448,Compta!$A$1:$A$1448,"GRP",Compta!$B$1:$B$1448,"6414",Compta!$C$1:$C$1448,$A58)+_xlfn.SUMIFS(Compta!$F$1:$F$1448,Compta!$A$1:$A$1448,"GRP",Compta!$B$1:$B$1448,"6226",Compta!$C$1:$C$1448,$A58)+_xlfn.SUMIFS(Compta!$F$1:$F$1448,Compta!$A$1:$A$1448,"GRP",Compta!$B$1:$B$1448,"626",Compta!$C$1:$C$1448,$A58)+_xlfn.SUMIFS(Compta!$F$1:$F$1448,Compta!$A$1:$A$1448,"GRP",Compta!$B$1:$B$1448,"6281",Compta!$C$1:$C$1448,$A58)+_xlfn.SUMIFS(Compta!$F$1:$F$1448,Compta!$A$1:$A$1448,"GRP",Compta!$B$1:$B$1448,"6331",Compta!$C$1:$C$1448,$A58)+_xlfn.SUMIFS(Compta!$F$1:$F$1448,Compta!$A$1:$A$1448,"GRP",Compta!$B$1:$B$1448,"6333",Compta!$C$1:$C$1448,$A58))</f>
        <v>2639292</v>
      </c>
      <c r="AC58" t="s">
        <v>274</v>
      </c>
      <c r="AD58" t="s">
        <v>274</v>
      </c>
      <c r="AE58" t="s">
        <v>274</v>
      </c>
      <c r="AF58" t="s">
        <v>274</v>
      </c>
      <c r="AG58" t="s">
        <v>274</v>
      </c>
      <c r="AH58" t="s">
        <v>274</v>
      </c>
      <c r="AI58">
        <f t="shared" si="3"/>
        <v>22036</v>
      </c>
      <c r="AJ58">
        <f t="shared" si="4"/>
        <v>47731.4</v>
      </c>
      <c r="AK58">
        <f t="shared" si="5"/>
        <v>16834.6787330317</v>
      </c>
      <c r="AL58">
        <f t="shared" si="6"/>
        <v>0</v>
      </c>
      <c r="AM58">
        <f t="shared" si="7"/>
        <v>0</v>
      </c>
      <c r="AN58">
        <f t="shared" si="8"/>
        <v>212157.921266968</v>
      </c>
      <c r="AO58">
        <f>IF($A58="","",_xlfn.SUMIFS(Compta!$F$1:$F$1448,Compta!$A$1:$A$1448,"GRP",Compta!$B$1:$B$1448,"6236",Compta!$C$1:$C$1448,$A58))</f>
        <v>499926</v>
      </c>
      <c r="AP58" t="s">
        <v>274</v>
      </c>
      <c r="AQ58" t="s">
        <v>274</v>
      </c>
      <c r="AR58">
        <f t="shared" si="9"/>
        <v>0</v>
      </c>
    </row>
    <row r="59" ht="14.25" customHeight="1">
      <c r="A59" t="str">
        <f>IF(Allocation!C59="","",Allocation!C59)</f>
        <v>2024</v>
      </c>
      <c r="B59" t="str">
        <f>IF(Allocation!D59="","",Allocation!D59)</f>
        <v>MBWAY_BOR</v>
      </c>
      <c r="C59" t="str">
        <f>IF(Allocation!E59="","",Allocation!E59)</f>
        <v>MBWAY</v>
      </c>
      <c r="D59" t="str">
        <f>IF(Allocation!F59="","",Allocation!F59)</f>
        <v>BAC_MGT</v>
      </c>
      <c r="E59" t="str">
        <f>IF(Allocation!G59="","",Allocation!G59)</f>
        <v>B3</v>
      </c>
      <c r="F59" t="str">
        <f>IF(Allocation!H59="","",Allocation!H59)</f>
        <v>ALT</v>
      </c>
      <c r="G59">
        <f>IF(Allocation!D59="","",Allocation!I59)</f>
        <v>43</v>
      </c>
      <c r="H59">
        <f>IF(Allocation!D59="","",Allocation!J59)</f>
        <v>2</v>
      </c>
      <c r="I59">
        <f>IF(Allocation!D59="","",Allocation!K59)</f>
        <v>291970</v>
      </c>
      <c r="J59">
        <f>IF($A59="","",_xlfn.SUMIFS(Socle!$K$1:$K$448,Socle!$C$1:$C$448,$B59,Socle!$D$1:$D$448,$D59,Socle!$E$1:$E$448,$E59,Socle!$F$1:$F$448,$F59,Socle!$G$1:$G$448,$A59))</f>
        <v>0</v>
      </c>
      <c r="K59">
        <f t="shared" si="0"/>
        <v>960</v>
      </c>
      <c r="L59">
        <f>IF($A59="","",_xlfn.SUMIFS(Allocation!$I$1:$I$175,Allocation!$C$1:$C$175,$A59,Allocation!$D$1:$D$175,$B59))</f>
        <v>221</v>
      </c>
      <c r="M59">
        <f>IF($A59="","",_xlfn.SUMIFS(Allocation!$J$1:$J$175,Allocation!$C$1:$C$175,$A59,Allocation!$D$1:$D$175,$B59))</f>
        <v>10</v>
      </c>
      <c r="N59">
        <f>IF($A59="","",_xlfn.SUMIFS(Allocation!$K$1:$K$175,Allocation!$C$1:$C$175,$A59,Allocation!$D$1:$D$175,$B59))</f>
        <v>1573680</v>
      </c>
      <c r="O59">
        <f t="shared" si="1"/>
        <v>4800</v>
      </c>
      <c r="P59">
        <f t="shared" si="2"/>
        <v>180</v>
      </c>
      <c r="Q59">
        <f>IF($A59="","",_xlfn.SUMIFS(Allocation!$I$1:$I$175,Allocation!$C$1:$C$175,$A59,Allocation!$E$1:$E$175,$C59))</f>
        <v>1112</v>
      </c>
      <c r="R59">
        <f>IF($A59="","",_xlfn.SUMIFS(Allocation!$J$1:$J$175,Allocation!$C$1:$C$175,$A59,Allocation!$E$1:$E$175,$C59))</f>
        <v>50</v>
      </c>
      <c r="S59">
        <f>IF($A59="","",_xlfn.SUMIFS(Allocation!$K$1:$K$175,Allocation!$C$1:$C$175,$A59,Allocation!$E$1:$E$175,$C59))</f>
        <v>8517270</v>
      </c>
      <c r="T59">
        <f>IF($A59="","",_xlfn.SUMIFS(Allocation!$I$1:$I$175,Allocation!$C$1:$C$175,$A59))</f>
        <v>2704</v>
      </c>
      <c r="U59">
        <f>IF($A59="","",_xlfn.SUMIFS(Allocation!$J$1:$J$175,Allocation!$C$1:$C$175,$A59))</f>
        <v>131</v>
      </c>
      <c r="V59">
        <f>IF($A59="","",_xlfn.SUMIFS(Allocation!$K$1:$K$175,Allocation!$C$1:$C$175,$A59))</f>
        <v>20076860</v>
      </c>
      <c r="W59">
        <f>IF($A59="","",_xlfn.SUMIFS(Compta!$F$1:$F$1448,Compta!$A$1:$A$1448,$B59,Compta!$B$1:$B$1448,"621",Compta!$C$1:$C$1448,$A59))</f>
        <v>110180</v>
      </c>
      <c r="X59">
        <f>IF($A59="","",_xlfn.SUMIFS(Compta!$F$1:$F$1448,Compta!$A$1:$A$1448,$B59,Compta!$B$1:$B$1448,"6411",Compta!$C$1:$C$1448,$A59))</f>
        <v>238657</v>
      </c>
      <c r="Y59">
        <f>IF($A59="","",_xlfn.SUMIFS(Compta!$F$1:$F$1448,Compta!$A$1:$A$1448,$B59,Compta!$B$1:$B$1448,"604",Compta!$C$1:$C$1448,$A59)+_xlfn.SUMIFS(Compta!$F$1:$F$1448,Compta!$A$1:$A$1448,$B59,Compta!$B$1:$B$1448,"6063",Compta!$C$1:$C$1448,$A59))</f>
        <v>84556</v>
      </c>
      <c r="Z59">
        <f>IF($A59="","",_xlfn.SUMIFS(Compta!$F$1:$F$1448,Compta!$A$1:$A$1448,$B59,Compta!$B$1:$B$1448,"6231",Compta!$C$1:$C$1448,$A59))</f>
        <v>20597</v>
      </c>
      <c r="AA59">
        <f>IF($A59="","",_xlfn.SUMIFS(Compta!$F$1:$F$1448,Compta!$A$1:$A$1448,$B59,Compta!$B$1:$B$1448,"6413",Compta!$C$1:$C$1448,$A59)+_xlfn.SUMIFS(Compta!$F$1:$F$1448,Compta!$A$1:$A$1448,$B59,Compta!$B$1:$B$1448,"645",Compta!$C$1:$C$1448,$A59)+_xlfn.SUMIFS(Compta!$F$1:$F$1448,Compta!$A$1:$A$1448,$B59,Compta!$B$1:$B$1448,"613",Compta!$C$1:$C$1448,$A59)+_xlfn.SUMIFS(Compta!$F$1:$F$1448,Compta!$A$1:$A$1448,$B59,Compta!$B$1:$B$1448,"615",Compta!$C$1:$C$1448,$A59)+_xlfn.SUMIFS(Compta!$F$1:$F$1448,Compta!$A$1:$A$1448,$B59,Compta!$B$1:$B$1448,"616",Compta!$C$1:$C$1448,$A59)+_xlfn.SUMIFS(Compta!$F$1:$F$1448,Compta!$A$1:$A$1448,$B59,Compta!$B$1:$B$1448,"625",Compta!$C$1:$C$1448,$A59)+_xlfn.SUMIFS(Compta!$F$1:$F$1448,Compta!$A$1:$A$1448,$B59,Compta!$B$1:$B$1448,"63511",Compta!$C$1:$C$1448,$A59))</f>
        <v>564205</v>
      </c>
      <c r="AB59">
        <f>IF($A59="","",_xlfn.SUMIFS(Compta!$F$1:$F$1448,Compta!$A$1:$A$1448,"GRP",Compta!$B$1:$B$1448,"6414",Compta!$C$1:$C$1448,$A59)+_xlfn.SUMIFS(Compta!$F$1:$F$1448,Compta!$A$1:$A$1448,"GRP",Compta!$B$1:$B$1448,"6226",Compta!$C$1:$C$1448,$A59)+_xlfn.SUMIFS(Compta!$F$1:$F$1448,Compta!$A$1:$A$1448,"GRP",Compta!$B$1:$B$1448,"626",Compta!$C$1:$C$1448,$A59)+_xlfn.SUMIFS(Compta!$F$1:$F$1448,Compta!$A$1:$A$1448,"GRP",Compta!$B$1:$B$1448,"6281",Compta!$C$1:$C$1448,$A59)+_xlfn.SUMIFS(Compta!$F$1:$F$1448,Compta!$A$1:$A$1448,"GRP",Compta!$B$1:$B$1448,"6331",Compta!$C$1:$C$1448,$A59)+_xlfn.SUMIFS(Compta!$F$1:$F$1448,Compta!$A$1:$A$1448,"GRP",Compta!$B$1:$B$1448,"6333",Compta!$C$1:$C$1448,$A59))</f>
        <v>2639292</v>
      </c>
      <c r="AC59" t="s">
        <v>274</v>
      </c>
      <c r="AD59" t="s">
        <v>274</v>
      </c>
      <c r="AE59" t="s">
        <v>274</v>
      </c>
      <c r="AF59" t="s">
        <v>274</v>
      </c>
      <c r="AG59" t="s">
        <v>274</v>
      </c>
      <c r="AH59" t="s">
        <v>274</v>
      </c>
      <c r="AI59">
        <f t="shared" si="3"/>
        <v>22036</v>
      </c>
      <c r="AJ59">
        <f t="shared" si="4"/>
        <v>47731.4</v>
      </c>
      <c r="AK59">
        <f t="shared" si="5"/>
        <v>16452.07239819</v>
      </c>
      <c r="AL59">
        <f t="shared" si="6"/>
        <v>0</v>
      </c>
      <c r="AM59">
        <f t="shared" si="7"/>
        <v>0</v>
      </c>
      <c r="AN59">
        <f t="shared" si="8"/>
        <v>205750.52760181</v>
      </c>
      <c r="AO59">
        <f>IF($A59="","",_xlfn.SUMIFS(Compta!$F$1:$F$1448,Compta!$A$1:$A$1448,"GRP",Compta!$B$1:$B$1448,"6236",Compta!$C$1:$C$1448,$A59))</f>
        <v>499926</v>
      </c>
      <c r="AP59" t="s">
        <v>274</v>
      </c>
      <c r="AQ59" t="s">
        <v>274</v>
      </c>
      <c r="AR59">
        <f t="shared" si="9"/>
        <v>0</v>
      </c>
    </row>
    <row r="60" ht="14.25" customHeight="1">
      <c r="A60" t="str">
        <f>IF(Allocation!C60="","",Allocation!C60)</f>
        <v>2024</v>
      </c>
      <c r="B60" t="str">
        <f>IF(Allocation!D60="","",Allocation!D60)</f>
        <v>MBWAY_BOR</v>
      </c>
      <c r="C60" t="str">
        <f>IF(Allocation!E60="","",Allocation!E60)</f>
        <v>MBWAY</v>
      </c>
      <c r="D60" t="str">
        <f>IF(Allocation!F60="","",Allocation!F60)</f>
        <v>MAS_MGT</v>
      </c>
      <c r="E60" t="str">
        <f>IF(Allocation!G60="","",Allocation!G60)</f>
        <v>M1</v>
      </c>
      <c r="F60" t="str">
        <f>IF(Allocation!H60="","",Allocation!H60)</f>
        <v>ALT</v>
      </c>
      <c r="G60">
        <f>IF(Allocation!D60="","",Allocation!I60)</f>
        <v>45</v>
      </c>
      <c r="H60">
        <f>IF(Allocation!D60="","",Allocation!J60)</f>
        <v>2</v>
      </c>
      <c r="I60">
        <f>IF(Allocation!D60="","",Allocation!K60)</f>
        <v>331425</v>
      </c>
      <c r="J60">
        <f>IF($A60="","",_xlfn.SUMIFS(Socle!$K$1:$K$448,Socle!$C$1:$C$448,$B60,Socle!$D$1:$D$448,$D60,Socle!$E$1:$E$448,$E60,Socle!$F$1:$F$448,$F60,Socle!$G$1:$G$448,$A60))</f>
        <v>90</v>
      </c>
      <c r="K60">
        <f t="shared" si="0"/>
        <v>840</v>
      </c>
      <c r="L60">
        <f>IF($A60="","",_xlfn.SUMIFS(Allocation!$I$1:$I$175,Allocation!$C$1:$C$175,$A60,Allocation!$D$1:$D$175,$B60))</f>
        <v>221</v>
      </c>
      <c r="M60">
        <f>IF($A60="","",_xlfn.SUMIFS(Allocation!$J$1:$J$175,Allocation!$C$1:$C$175,$A60,Allocation!$D$1:$D$175,$B60))</f>
        <v>10</v>
      </c>
      <c r="N60">
        <f>IF($A60="","",_xlfn.SUMIFS(Allocation!$K$1:$K$175,Allocation!$C$1:$C$175,$A60,Allocation!$D$1:$D$175,$B60))</f>
        <v>1573680</v>
      </c>
      <c r="O60">
        <f t="shared" si="1"/>
        <v>4800</v>
      </c>
      <c r="P60">
        <f t="shared" si="2"/>
        <v>180</v>
      </c>
      <c r="Q60">
        <f>IF($A60="","",_xlfn.SUMIFS(Allocation!$I$1:$I$175,Allocation!$C$1:$C$175,$A60,Allocation!$E$1:$E$175,$C60))</f>
        <v>1112</v>
      </c>
      <c r="R60">
        <f>IF($A60="","",_xlfn.SUMIFS(Allocation!$J$1:$J$175,Allocation!$C$1:$C$175,$A60,Allocation!$E$1:$E$175,$C60))</f>
        <v>50</v>
      </c>
      <c r="S60">
        <f>IF($A60="","",_xlfn.SUMIFS(Allocation!$K$1:$K$175,Allocation!$C$1:$C$175,$A60,Allocation!$E$1:$E$175,$C60))</f>
        <v>8517270</v>
      </c>
      <c r="T60">
        <f>IF($A60="","",_xlfn.SUMIFS(Allocation!$I$1:$I$175,Allocation!$C$1:$C$175,$A60))</f>
        <v>2704</v>
      </c>
      <c r="U60">
        <f>IF($A60="","",_xlfn.SUMIFS(Allocation!$J$1:$J$175,Allocation!$C$1:$C$175,$A60))</f>
        <v>131</v>
      </c>
      <c r="V60">
        <f>IF($A60="","",_xlfn.SUMIFS(Allocation!$K$1:$K$175,Allocation!$C$1:$C$175,$A60))</f>
        <v>20076860</v>
      </c>
      <c r="W60">
        <f>IF($A60="","",_xlfn.SUMIFS(Compta!$F$1:$F$1448,Compta!$A$1:$A$1448,$B60,Compta!$B$1:$B$1448,"621",Compta!$C$1:$C$1448,$A60))</f>
        <v>110180</v>
      </c>
      <c r="X60">
        <f>IF($A60="","",_xlfn.SUMIFS(Compta!$F$1:$F$1448,Compta!$A$1:$A$1448,$B60,Compta!$B$1:$B$1448,"6411",Compta!$C$1:$C$1448,$A60))</f>
        <v>238657</v>
      </c>
      <c r="Y60">
        <f>IF($A60="","",_xlfn.SUMIFS(Compta!$F$1:$F$1448,Compta!$A$1:$A$1448,$B60,Compta!$B$1:$B$1448,"604",Compta!$C$1:$C$1448,$A60)+_xlfn.SUMIFS(Compta!$F$1:$F$1448,Compta!$A$1:$A$1448,$B60,Compta!$B$1:$B$1448,"6063",Compta!$C$1:$C$1448,$A60))</f>
        <v>84556</v>
      </c>
      <c r="Z60">
        <f>IF($A60="","",_xlfn.SUMIFS(Compta!$F$1:$F$1448,Compta!$A$1:$A$1448,$B60,Compta!$B$1:$B$1448,"6231",Compta!$C$1:$C$1448,$A60))</f>
        <v>20597</v>
      </c>
      <c r="AA60">
        <f>IF($A60="","",_xlfn.SUMIFS(Compta!$F$1:$F$1448,Compta!$A$1:$A$1448,$B60,Compta!$B$1:$B$1448,"6413",Compta!$C$1:$C$1448,$A60)+_xlfn.SUMIFS(Compta!$F$1:$F$1448,Compta!$A$1:$A$1448,$B60,Compta!$B$1:$B$1448,"645",Compta!$C$1:$C$1448,$A60)+_xlfn.SUMIFS(Compta!$F$1:$F$1448,Compta!$A$1:$A$1448,$B60,Compta!$B$1:$B$1448,"613",Compta!$C$1:$C$1448,$A60)+_xlfn.SUMIFS(Compta!$F$1:$F$1448,Compta!$A$1:$A$1448,$B60,Compta!$B$1:$B$1448,"615",Compta!$C$1:$C$1448,$A60)+_xlfn.SUMIFS(Compta!$F$1:$F$1448,Compta!$A$1:$A$1448,$B60,Compta!$B$1:$B$1448,"616",Compta!$C$1:$C$1448,$A60)+_xlfn.SUMIFS(Compta!$F$1:$F$1448,Compta!$A$1:$A$1448,$B60,Compta!$B$1:$B$1448,"625",Compta!$C$1:$C$1448,$A60)+_xlfn.SUMIFS(Compta!$F$1:$F$1448,Compta!$A$1:$A$1448,$B60,Compta!$B$1:$B$1448,"63511",Compta!$C$1:$C$1448,$A60))</f>
        <v>564205</v>
      </c>
      <c r="AB60">
        <f>IF($A60="","",_xlfn.SUMIFS(Compta!$F$1:$F$1448,Compta!$A$1:$A$1448,"GRP",Compta!$B$1:$B$1448,"6414",Compta!$C$1:$C$1448,$A60)+_xlfn.SUMIFS(Compta!$F$1:$F$1448,Compta!$A$1:$A$1448,"GRP",Compta!$B$1:$B$1448,"6226",Compta!$C$1:$C$1448,$A60)+_xlfn.SUMIFS(Compta!$F$1:$F$1448,Compta!$A$1:$A$1448,"GRP",Compta!$B$1:$B$1448,"626",Compta!$C$1:$C$1448,$A60)+_xlfn.SUMIFS(Compta!$F$1:$F$1448,Compta!$A$1:$A$1448,"GRP",Compta!$B$1:$B$1448,"6281",Compta!$C$1:$C$1448,$A60)+_xlfn.SUMIFS(Compta!$F$1:$F$1448,Compta!$A$1:$A$1448,"GRP",Compta!$B$1:$B$1448,"6331",Compta!$C$1:$C$1448,$A60)+_xlfn.SUMIFS(Compta!$F$1:$F$1448,Compta!$A$1:$A$1448,"GRP",Compta!$B$1:$B$1448,"6333",Compta!$C$1:$C$1448,$A60))</f>
        <v>2639292</v>
      </c>
      <c r="AC60" t="s">
        <v>274</v>
      </c>
      <c r="AD60" t="s">
        <v>274</v>
      </c>
      <c r="AE60" t="s">
        <v>274</v>
      </c>
      <c r="AF60" t="s">
        <v>274</v>
      </c>
      <c r="AG60" t="s">
        <v>274</v>
      </c>
      <c r="AH60" t="s">
        <v>274</v>
      </c>
      <c r="AI60">
        <f t="shared" si="3"/>
        <v>19281.5</v>
      </c>
      <c r="AJ60">
        <f t="shared" si="4"/>
        <v>41764.975</v>
      </c>
      <c r="AK60">
        <f t="shared" si="5"/>
        <v>27515.7850678733</v>
      </c>
      <c r="AL60">
        <f t="shared" si="6"/>
        <v>0</v>
      </c>
      <c r="AM60">
        <f t="shared" si="7"/>
        <v>0</v>
      </c>
      <c r="AN60">
        <f t="shared" si="8"/>
        <v>242862.739932127</v>
      </c>
      <c r="AO60">
        <f>IF($A60="","",_xlfn.SUMIFS(Compta!$F$1:$F$1448,Compta!$A$1:$A$1448,"GRP",Compta!$B$1:$B$1448,"6236",Compta!$C$1:$C$1448,$A60))</f>
        <v>499926</v>
      </c>
      <c r="AP60" t="s">
        <v>274</v>
      </c>
      <c r="AQ60" t="s">
        <v>274</v>
      </c>
      <c r="AR60">
        <f t="shared" si="9"/>
        <v>0</v>
      </c>
    </row>
    <row r="61" ht="14.25" customHeight="1">
      <c r="A61" t="str">
        <f>IF(Allocation!C61="","",Allocation!C61)</f>
        <v>2024</v>
      </c>
      <c r="B61" t="str">
        <f>IF(Allocation!D61="","",Allocation!D61)</f>
        <v>MBWAY_BOR</v>
      </c>
      <c r="C61" t="str">
        <f>IF(Allocation!E61="","",Allocation!E61)</f>
        <v>MBWAY</v>
      </c>
      <c r="D61" t="str">
        <f>IF(Allocation!F61="","",Allocation!F61)</f>
        <v>MAS_MGT</v>
      </c>
      <c r="E61" t="str">
        <f>IF(Allocation!G61="","",Allocation!G61)</f>
        <v>M2</v>
      </c>
      <c r="F61" t="str">
        <f>IF(Allocation!H61="","",Allocation!H61)</f>
        <v>ALT</v>
      </c>
      <c r="G61">
        <f>IF(Allocation!D61="","",Allocation!I61)</f>
        <v>44</v>
      </c>
      <c r="H61">
        <f>IF(Allocation!D61="","",Allocation!J61)</f>
        <v>2</v>
      </c>
      <c r="I61">
        <f>IF(Allocation!D61="","",Allocation!K61)</f>
        <v>320100</v>
      </c>
      <c r="J61">
        <f>IF($A61="","",_xlfn.SUMIFS(Socle!$K$1:$K$448,Socle!$C$1:$C$448,$B61,Socle!$D$1:$D$448,$D61,Socle!$E$1:$E$448,$E61,Socle!$F$1:$F$448,$F61,Socle!$G$1:$G$448,$A61))</f>
        <v>0</v>
      </c>
      <c r="K61">
        <f t="shared" si="0"/>
        <v>840</v>
      </c>
      <c r="L61">
        <f>IF($A61="","",_xlfn.SUMIFS(Allocation!$I$1:$I$175,Allocation!$C$1:$C$175,$A61,Allocation!$D$1:$D$175,$B61))</f>
        <v>221</v>
      </c>
      <c r="M61">
        <f>IF($A61="","",_xlfn.SUMIFS(Allocation!$J$1:$J$175,Allocation!$C$1:$C$175,$A61,Allocation!$D$1:$D$175,$B61))</f>
        <v>10</v>
      </c>
      <c r="N61">
        <f>IF($A61="","",_xlfn.SUMIFS(Allocation!$K$1:$K$175,Allocation!$C$1:$C$175,$A61,Allocation!$D$1:$D$175,$B61))</f>
        <v>1573680</v>
      </c>
      <c r="O61">
        <f t="shared" si="1"/>
        <v>4800</v>
      </c>
      <c r="P61">
        <f t="shared" si="2"/>
        <v>180</v>
      </c>
      <c r="Q61">
        <f>IF($A61="","",_xlfn.SUMIFS(Allocation!$I$1:$I$175,Allocation!$C$1:$C$175,$A61,Allocation!$E$1:$E$175,$C61))</f>
        <v>1112</v>
      </c>
      <c r="R61">
        <f>IF($A61="","",_xlfn.SUMIFS(Allocation!$J$1:$J$175,Allocation!$C$1:$C$175,$A61,Allocation!$E$1:$E$175,$C61))</f>
        <v>50</v>
      </c>
      <c r="S61">
        <f>IF($A61="","",_xlfn.SUMIFS(Allocation!$K$1:$K$175,Allocation!$C$1:$C$175,$A61,Allocation!$E$1:$E$175,$C61))</f>
        <v>8517270</v>
      </c>
      <c r="T61">
        <f>IF($A61="","",_xlfn.SUMIFS(Allocation!$I$1:$I$175,Allocation!$C$1:$C$175,$A61))</f>
        <v>2704</v>
      </c>
      <c r="U61">
        <f>IF($A61="","",_xlfn.SUMIFS(Allocation!$J$1:$J$175,Allocation!$C$1:$C$175,$A61))</f>
        <v>131</v>
      </c>
      <c r="V61">
        <f>IF($A61="","",_xlfn.SUMIFS(Allocation!$K$1:$K$175,Allocation!$C$1:$C$175,$A61))</f>
        <v>20076860</v>
      </c>
      <c r="W61">
        <f>IF($A61="","",_xlfn.SUMIFS(Compta!$F$1:$F$1448,Compta!$A$1:$A$1448,$B61,Compta!$B$1:$B$1448,"621",Compta!$C$1:$C$1448,$A61))</f>
        <v>110180</v>
      </c>
      <c r="X61">
        <f>IF($A61="","",_xlfn.SUMIFS(Compta!$F$1:$F$1448,Compta!$A$1:$A$1448,$B61,Compta!$B$1:$B$1448,"6411",Compta!$C$1:$C$1448,$A61))</f>
        <v>238657</v>
      </c>
      <c r="Y61">
        <f>IF($A61="","",_xlfn.SUMIFS(Compta!$F$1:$F$1448,Compta!$A$1:$A$1448,$B61,Compta!$B$1:$B$1448,"604",Compta!$C$1:$C$1448,$A61)+_xlfn.SUMIFS(Compta!$F$1:$F$1448,Compta!$A$1:$A$1448,$B61,Compta!$B$1:$B$1448,"6063",Compta!$C$1:$C$1448,$A61))</f>
        <v>84556</v>
      </c>
      <c r="Z61">
        <f>IF($A61="","",_xlfn.SUMIFS(Compta!$F$1:$F$1448,Compta!$A$1:$A$1448,$B61,Compta!$B$1:$B$1448,"6231",Compta!$C$1:$C$1448,$A61))</f>
        <v>20597</v>
      </c>
      <c r="AA61">
        <f>IF($A61="","",_xlfn.SUMIFS(Compta!$F$1:$F$1448,Compta!$A$1:$A$1448,$B61,Compta!$B$1:$B$1448,"6413",Compta!$C$1:$C$1448,$A61)+_xlfn.SUMIFS(Compta!$F$1:$F$1448,Compta!$A$1:$A$1448,$B61,Compta!$B$1:$B$1448,"645",Compta!$C$1:$C$1448,$A61)+_xlfn.SUMIFS(Compta!$F$1:$F$1448,Compta!$A$1:$A$1448,$B61,Compta!$B$1:$B$1448,"613",Compta!$C$1:$C$1448,$A61)+_xlfn.SUMIFS(Compta!$F$1:$F$1448,Compta!$A$1:$A$1448,$B61,Compta!$B$1:$B$1448,"615",Compta!$C$1:$C$1448,$A61)+_xlfn.SUMIFS(Compta!$F$1:$F$1448,Compta!$A$1:$A$1448,$B61,Compta!$B$1:$B$1448,"616",Compta!$C$1:$C$1448,$A61)+_xlfn.SUMIFS(Compta!$F$1:$F$1448,Compta!$A$1:$A$1448,$B61,Compta!$B$1:$B$1448,"625",Compta!$C$1:$C$1448,$A61)+_xlfn.SUMIFS(Compta!$F$1:$F$1448,Compta!$A$1:$A$1448,$B61,Compta!$B$1:$B$1448,"63511",Compta!$C$1:$C$1448,$A61))</f>
        <v>564205</v>
      </c>
      <c r="AB61">
        <f>IF($A61="","",_xlfn.SUMIFS(Compta!$F$1:$F$1448,Compta!$A$1:$A$1448,"GRP",Compta!$B$1:$B$1448,"6414",Compta!$C$1:$C$1448,$A61)+_xlfn.SUMIFS(Compta!$F$1:$F$1448,Compta!$A$1:$A$1448,"GRP",Compta!$B$1:$B$1448,"6226",Compta!$C$1:$C$1448,$A61)+_xlfn.SUMIFS(Compta!$F$1:$F$1448,Compta!$A$1:$A$1448,"GRP",Compta!$B$1:$B$1448,"626",Compta!$C$1:$C$1448,$A61)+_xlfn.SUMIFS(Compta!$F$1:$F$1448,Compta!$A$1:$A$1448,"GRP",Compta!$B$1:$B$1448,"6281",Compta!$C$1:$C$1448,$A61)+_xlfn.SUMIFS(Compta!$F$1:$F$1448,Compta!$A$1:$A$1448,"GRP",Compta!$B$1:$B$1448,"6331",Compta!$C$1:$C$1448,$A61)+_xlfn.SUMIFS(Compta!$F$1:$F$1448,Compta!$A$1:$A$1448,"GRP",Compta!$B$1:$B$1448,"6333",Compta!$C$1:$C$1448,$A61))</f>
        <v>2639292</v>
      </c>
      <c r="AC61" t="s">
        <v>274</v>
      </c>
      <c r="AD61" t="s">
        <v>274</v>
      </c>
      <c r="AE61" t="s">
        <v>274</v>
      </c>
      <c r="AF61" t="s">
        <v>274</v>
      </c>
      <c r="AG61" t="s">
        <v>274</v>
      </c>
      <c r="AH61" t="s">
        <v>274</v>
      </c>
      <c r="AI61">
        <f t="shared" si="3"/>
        <v>19281.5</v>
      </c>
      <c r="AJ61">
        <f t="shared" si="4"/>
        <v>41764.975</v>
      </c>
      <c r="AK61">
        <f t="shared" si="5"/>
        <v>16834.6787330317</v>
      </c>
      <c r="AL61">
        <f t="shared" si="6"/>
        <v>0</v>
      </c>
      <c r="AM61">
        <f t="shared" si="7"/>
        <v>0</v>
      </c>
      <c r="AN61">
        <f t="shared" si="8"/>
        <v>242218.846266968</v>
      </c>
      <c r="AO61">
        <f>IF($A61="","",_xlfn.SUMIFS(Compta!$F$1:$F$1448,Compta!$A$1:$A$1448,"GRP",Compta!$B$1:$B$1448,"6236",Compta!$C$1:$C$1448,$A61))</f>
        <v>499926</v>
      </c>
      <c r="AP61" t="s">
        <v>274</v>
      </c>
      <c r="AQ61" t="s">
        <v>274</v>
      </c>
      <c r="AR61">
        <f t="shared" si="9"/>
        <v>0</v>
      </c>
    </row>
    <row r="62" ht="14.25" customHeight="1">
      <c r="A62" t="str">
        <f>IF(Allocation!C62="","",Allocation!C62)</f>
        <v>2026</v>
      </c>
      <c r="B62" t="str">
        <f>IF(Allocation!D62="","",Allocation!D62)</f>
        <v>ISCOM_PAR</v>
      </c>
      <c r="C62" t="str">
        <f>IF(Allocation!E62="","",Allocation!E62)</f>
        <v>ISCOM</v>
      </c>
      <c r="D62" t="str">
        <f>IF(Allocation!F62="","",Allocation!F62)</f>
        <v>BAC_COM</v>
      </c>
      <c r="E62" t="str">
        <f>IF(Allocation!G62="","",Allocation!G62)</f>
        <v>B1</v>
      </c>
      <c r="F62" t="str">
        <f>IF(Allocation!H62="","",Allocation!H62)</f>
        <v>INIT</v>
      </c>
      <c r="G62">
        <f>IF(Allocation!D62="","",Allocation!I62)</f>
        <v>72</v>
      </c>
      <c r="H62">
        <f>IF(Allocation!D62="","",Allocation!J62)</f>
        <v>3</v>
      </c>
      <c r="I62">
        <f>IF(Allocation!D62="","",Allocation!K62)</f>
        <v>611280</v>
      </c>
      <c r="J62">
        <f>IF($A62="","",_xlfn.SUMIFS(Socle!$K$1:$K$448,Socle!$C$1:$C$448,$B62,Socle!$D$1:$D$448,$D62,Socle!$E$1:$E$448,$E62,Socle!$F$1:$F$448,$F62,Socle!$G$1:$G$448,$A62))</f>
        <v>144</v>
      </c>
      <c r="K62">
        <f t="shared" si="0"/>
        <v>1800</v>
      </c>
      <c r="L62">
        <f>IF($A62="","",_xlfn.SUMIFS(Allocation!$I$1:$I$175,Allocation!$C$1:$C$175,$A62,Allocation!$D$1:$D$175,$B62))</f>
        <v>354</v>
      </c>
      <c r="M62">
        <f>IF($A62="","",_xlfn.SUMIFS(Allocation!$J$1:$J$175,Allocation!$C$1:$C$175,$A62,Allocation!$D$1:$D$175,$B62))</f>
        <v>15</v>
      </c>
      <c r="N62">
        <f>IF($A62="","",_xlfn.SUMIFS(Allocation!$K$1:$K$175,Allocation!$C$1:$C$175,$A62,Allocation!$D$1:$D$175,$B62))</f>
        <v>2908720</v>
      </c>
      <c r="O62">
        <f t="shared" si="1"/>
        <v>7200</v>
      </c>
      <c r="P62">
        <f t="shared" si="2"/>
        <v>288</v>
      </c>
      <c r="Q62">
        <f>IF($A62="","",_xlfn.SUMIFS(Allocation!$I$1:$I$175,Allocation!$C$1:$C$175,$A62,Allocation!$E$1:$E$175,$C62))</f>
        <v>829</v>
      </c>
      <c r="R62">
        <f>IF($A62="","",_xlfn.SUMIFS(Allocation!$J$1:$J$175,Allocation!$C$1:$C$175,$A62,Allocation!$E$1:$E$175,$C62))</f>
        <v>35</v>
      </c>
      <c r="S62">
        <f>IF($A62="","",_xlfn.SUMIFS(Allocation!$K$1:$K$175,Allocation!$C$1:$C$175,$A62,Allocation!$E$1:$E$175,$C62))</f>
        <v>6292550</v>
      </c>
      <c r="T62">
        <f>IF($A62="","",_xlfn.SUMIFS(Allocation!$I$1:$I$175,Allocation!$C$1:$C$175,$A62))</f>
        <v>3036</v>
      </c>
      <c r="U62">
        <f>IF($A62="","",_xlfn.SUMIFS(Allocation!$J$1:$J$175,Allocation!$C$1:$C$175,$A62))</f>
        <v>131</v>
      </c>
      <c r="V62">
        <f>IF($A62="","",_xlfn.SUMIFS(Allocation!$K$1:$K$175,Allocation!$C$1:$C$175,$A62))</f>
        <v>22544725</v>
      </c>
      <c r="W62">
        <f>IF($A62="","",_xlfn.SUMIFS(Compta!$F$1:$F$1448,Compta!$A$1:$A$1448,$B62,Compta!$B$1:$B$1448,"621",Compta!$C$1:$C$1448,$A62))</f>
        <v>181094</v>
      </c>
      <c r="X62">
        <f>IF($A62="","",_xlfn.SUMIFS(Compta!$F$1:$F$1448,Compta!$A$1:$A$1448,$B62,Compta!$B$1:$B$1448,"6411",Compta!$C$1:$C$1448,$A62))</f>
        <v>605202</v>
      </c>
      <c r="Y62">
        <f>IF($A62="","",_xlfn.SUMIFS(Compta!$F$1:$F$1448,Compta!$A$1:$A$1448,$B62,Compta!$B$1:$B$1448,"604",Compta!$C$1:$C$1448,$A62)+_xlfn.SUMIFS(Compta!$F$1:$F$1448,Compta!$A$1:$A$1448,$B62,Compta!$B$1:$B$1448,"6063",Compta!$C$1:$C$1448,$A62))</f>
        <v>131722</v>
      </c>
      <c r="Z62">
        <f>IF($A62="","",_xlfn.SUMIFS(Compta!$F$1:$F$1448,Compta!$A$1:$A$1448,$B62,Compta!$B$1:$B$1448,"6231",Compta!$C$1:$C$1448,$A62))</f>
        <v>60800</v>
      </c>
      <c r="AA62">
        <f>IF($A62="","",_xlfn.SUMIFS(Compta!$F$1:$F$1448,Compta!$A$1:$A$1448,$B62,Compta!$B$1:$B$1448,"6413",Compta!$C$1:$C$1448,$A62)+_xlfn.SUMIFS(Compta!$F$1:$F$1448,Compta!$A$1:$A$1448,$B62,Compta!$B$1:$B$1448,"645",Compta!$C$1:$C$1448,$A62)+_xlfn.SUMIFS(Compta!$F$1:$F$1448,Compta!$A$1:$A$1448,$B62,Compta!$B$1:$B$1448,"613",Compta!$C$1:$C$1448,$A62)+_xlfn.SUMIFS(Compta!$F$1:$F$1448,Compta!$A$1:$A$1448,$B62,Compta!$B$1:$B$1448,"615",Compta!$C$1:$C$1448,$A62)+_xlfn.SUMIFS(Compta!$F$1:$F$1448,Compta!$A$1:$A$1448,$B62,Compta!$B$1:$B$1448,"616",Compta!$C$1:$C$1448,$A62)+_xlfn.SUMIFS(Compta!$F$1:$F$1448,Compta!$A$1:$A$1448,$B62,Compta!$B$1:$B$1448,"625",Compta!$C$1:$C$1448,$A62)+_xlfn.SUMIFS(Compta!$F$1:$F$1448,Compta!$A$1:$A$1448,$B62,Compta!$B$1:$B$1448,"63511",Compta!$C$1:$C$1448,$A62))</f>
        <v>1380208</v>
      </c>
      <c r="AB62">
        <f>IF($A62="","",_xlfn.SUMIFS(Compta!$F$1:$F$1448,Compta!$A$1:$A$1448,"GRP",Compta!$B$1:$B$1448,"6414",Compta!$C$1:$C$1448,$A62)+_xlfn.SUMIFS(Compta!$F$1:$F$1448,Compta!$A$1:$A$1448,"GRP",Compta!$B$1:$B$1448,"6226",Compta!$C$1:$C$1448,$A62)+_xlfn.SUMIFS(Compta!$F$1:$F$1448,Compta!$A$1:$A$1448,"GRP",Compta!$B$1:$B$1448,"626",Compta!$C$1:$C$1448,$A62)+_xlfn.SUMIFS(Compta!$F$1:$F$1448,Compta!$A$1:$A$1448,"GRP",Compta!$B$1:$B$1448,"6281",Compta!$C$1:$C$1448,$A62)+_xlfn.SUMIFS(Compta!$F$1:$F$1448,Compta!$A$1:$A$1448,"GRP",Compta!$B$1:$B$1448,"6331",Compta!$C$1:$C$1448,$A62)+_xlfn.SUMIFS(Compta!$F$1:$F$1448,Compta!$A$1:$A$1448,"GRP",Compta!$B$1:$B$1448,"6333",Compta!$C$1:$C$1448,$A62))</f>
        <v>2891983</v>
      </c>
      <c r="AC62" t="s">
        <v>274</v>
      </c>
      <c r="AD62" t="s">
        <v>274</v>
      </c>
      <c r="AE62" t="s">
        <v>274</v>
      </c>
      <c r="AF62" t="s">
        <v>274</v>
      </c>
      <c r="AG62" t="s">
        <v>274</v>
      </c>
      <c r="AH62" t="s">
        <v>274</v>
      </c>
      <c r="AI62">
        <f t="shared" si="3"/>
        <v>45273.5</v>
      </c>
      <c r="AJ62">
        <f t="shared" si="4"/>
        <v>151300.5</v>
      </c>
      <c r="AK62">
        <f t="shared" si="5"/>
        <v>57190.9152542373</v>
      </c>
      <c r="AL62">
        <f t="shared" si="6"/>
        <v>0</v>
      </c>
      <c r="AM62">
        <f t="shared" si="7"/>
        <v>0</v>
      </c>
      <c r="AN62">
        <f t="shared" si="8"/>
        <v>357515.084745763</v>
      </c>
      <c r="AO62">
        <f>IF($A62="","",_xlfn.SUMIFS(Compta!$F$1:$F$1448,Compta!$A$1:$A$1448,"GRP",Compta!$B$1:$B$1448,"6236",Compta!$C$1:$C$1448,$A62))</f>
        <v>676344</v>
      </c>
      <c r="AP62" t="s">
        <v>274</v>
      </c>
      <c r="AQ62" t="s">
        <v>274</v>
      </c>
      <c r="AR62">
        <f t="shared" si="9"/>
        <v>0</v>
      </c>
    </row>
    <row r="63" ht="14.25" customHeight="1">
      <c r="A63" t="str">
        <f>IF(Allocation!C63="","",Allocation!C63)</f>
        <v>2026</v>
      </c>
      <c r="B63" t="str">
        <f>IF(Allocation!D63="","",Allocation!D63)</f>
        <v>ISCOM_PAR</v>
      </c>
      <c r="C63" t="str">
        <f>IF(Allocation!E63="","",Allocation!E63)</f>
        <v>ISCOM</v>
      </c>
      <c r="D63" t="str">
        <f>IF(Allocation!F63="","",Allocation!F63)</f>
        <v>BAC_COM</v>
      </c>
      <c r="E63" t="str">
        <f>IF(Allocation!G63="","",Allocation!G63)</f>
        <v>B2</v>
      </c>
      <c r="F63" t="str">
        <f>IF(Allocation!H63="","",Allocation!H63)</f>
        <v>ALT</v>
      </c>
      <c r="G63">
        <f>IF(Allocation!D63="","",Allocation!I63)</f>
        <v>70</v>
      </c>
      <c r="H63">
        <f>IF(Allocation!D63="","",Allocation!J63)</f>
        <v>3</v>
      </c>
      <c r="I63">
        <f>IF(Allocation!D63="","",Allocation!K63)</f>
        <v>548800</v>
      </c>
      <c r="J63">
        <f>IF($A63="","",_xlfn.SUMIFS(Socle!$K$1:$K$448,Socle!$C$1:$C$448,$B63,Socle!$D$1:$D$448,$D63,Socle!$E$1:$E$448,$E63,Socle!$F$1:$F$448,$F63,Socle!$G$1:$G$448,$A63))</f>
        <v>0</v>
      </c>
      <c r="K63">
        <f t="shared" si="0"/>
        <v>1440</v>
      </c>
      <c r="L63">
        <f>IF($A63="","",_xlfn.SUMIFS(Allocation!$I$1:$I$175,Allocation!$C$1:$C$175,$A63,Allocation!$D$1:$D$175,$B63))</f>
        <v>354</v>
      </c>
      <c r="M63">
        <f>IF($A63="","",_xlfn.SUMIFS(Allocation!$J$1:$J$175,Allocation!$C$1:$C$175,$A63,Allocation!$D$1:$D$175,$B63))</f>
        <v>15</v>
      </c>
      <c r="N63">
        <f>IF($A63="","",_xlfn.SUMIFS(Allocation!$K$1:$K$175,Allocation!$C$1:$C$175,$A63,Allocation!$D$1:$D$175,$B63))</f>
        <v>2908720</v>
      </c>
      <c r="O63">
        <f t="shared" si="1"/>
        <v>7200</v>
      </c>
      <c r="P63">
        <f t="shared" si="2"/>
        <v>288</v>
      </c>
      <c r="Q63">
        <f>IF($A63="","",_xlfn.SUMIFS(Allocation!$I$1:$I$175,Allocation!$C$1:$C$175,$A63,Allocation!$E$1:$E$175,$C63))</f>
        <v>829</v>
      </c>
      <c r="R63">
        <f>IF($A63="","",_xlfn.SUMIFS(Allocation!$J$1:$J$175,Allocation!$C$1:$C$175,$A63,Allocation!$E$1:$E$175,$C63))</f>
        <v>35</v>
      </c>
      <c r="S63">
        <f>IF($A63="","",_xlfn.SUMIFS(Allocation!$K$1:$K$175,Allocation!$C$1:$C$175,$A63,Allocation!$E$1:$E$175,$C63))</f>
        <v>6292550</v>
      </c>
      <c r="T63">
        <f>IF($A63="","",_xlfn.SUMIFS(Allocation!$I$1:$I$175,Allocation!$C$1:$C$175,$A63))</f>
        <v>3036</v>
      </c>
      <c r="U63">
        <f>IF($A63="","",_xlfn.SUMIFS(Allocation!$J$1:$J$175,Allocation!$C$1:$C$175,$A63))</f>
        <v>131</v>
      </c>
      <c r="V63">
        <f>IF($A63="","",_xlfn.SUMIFS(Allocation!$K$1:$K$175,Allocation!$C$1:$C$175,$A63))</f>
        <v>22544725</v>
      </c>
      <c r="W63">
        <f>IF($A63="","",_xlfn.SUMIFS(Compta!$F$1:$F$1448,Compta!$A$1:$A$1448,$B63,Compta!$B$1:$B$1448,"621",Compta!$C$1:$C$1448,$A63))</f>
        <v>181094</v>
      </c>
      <c r="X63">
        <f>IF($A63="","",_xlfn.SUMIFS(Compta!$F$1:$F$1448,Compta!$A$1:$A$1448,$B63,Compta!$B$1:$B$1448,"6411",Compta!$C$1:$C$1448,$A63))</f>
        <v>605202</v>
      </c>
      <c r="Y63">
        <f>IF($A63="","",_xlfn.SUMIFS(Compta!$F$1:$F$1448,Compta!$A$1:$A$1448,$B63,Compta!$B$1:$B$1448,"604",Compta!$C$1:$C$1448,$A63)+_xlfn.SUMIFS(Compta!$F$1:$F$1448,Compta!$A$1:$A$1448,$B63,Compta!$B$1:$B$1448,"6063",Compta!$C$1:$C$1448,$A63))</f>
        <v>131722</v>
      </c>
      <c r="Z63">
        <f>IF($A63="","",_xlfn.SUMIFS(Compta!$F$1:$F$1448,Compta!$A$1:$A$1448,$B63,Compta!$B$1:$B$1448,"6231",Compta!$C$1:$C$1448,$A63))</f>
        <v>60800</v>
      </c>
      <c r="AA63">
        <f>IF($A63="","",_xlfn.SUMIFS(Compta!$F$1:$F$1448,Compta!$A$1:$A$1448,$B63,Compta!$B$1:$B$1448,"6413",Compta!$C$1:$C$1448,$A63)+_xlfn.SUMIFS(Compta!$F$1:$F$1448,Compta!$A$1:$A$1448,$B63,Compta!$B$1:$B$1448,"645",Compta!$C$1:$C$1448,$A63)+_xlfn.SUMIFS(Compta!$F$1:$F$1448,Compta!$A$1:$A$1448,$B63,Compta!$B$1:$B$1448,"613",Compta!$C$1:$C$1448,$A63)+_xlfn.SUMIFS(Compta!$F$1:$F$1448,Compta!$A$1:$A$1448,$B63,Compta!$B$1:$B$1448,"615",Compta!$C$1:$C$1448,$A63)+_xlfn.SUMIFS(Compta!$F$1:$F$1448,Compta!$A$1:$A$1448,$B63,Compta!$B$1:$B$1448,"616",Compta!$C$1:$C$1448,$A63)+_xlfn.SUMIFS(Compta!$F$1:$F$1448,Compta!$A$1:$A$1448,$B63,Compta!$B$1:$B$1448,"625",Compta!$C$1:$C$1448,$A63)+_xlfn.SUMIFS(Compta!$F$1:$F$1448,Compta!$A$1:$A$1448,$B63,Compta!$B$1:$B$1448,"63511",Compta!$C$1:$C$1448,$A63))</f>
        <v>1380208</v>
      </c>
      <c r="AB63">
        <f>IF($A63="","",_xlfn.SUMIFS(Compta!$F$1:$F$1448,Compta!$A$1:$A$1448,"GRP",Compta!$B$1:$B$1448,"6414",Compta!$C$1:$C$1448,$A63)+_xlfn.SUMIFS(Compta!$F$1:$F$1448,Compta!$A$1:$A$1448,"GRP",Compta!$B$1:$B$1448,"6226",Compta!$C$1:$C$1448,$A63)+_xlfn.SUMIFS(Compta!$F$1:$F$1448,Compta!$A$1:$A$1448,"GRP",Compta!$B$1:$B$1448,"626",Compta!$C$1:$C$1448,$A63)+_xlfn.SUMIFS(Compta!$F$1:$F$1448,Compta!$A$1:$A$1448,"GRP",Compta!$B$1:$B$1448,"6281",Compta!$C$1:$C$1448,$A63)+_xlfn.SUMIFS(Compta!$F$1:$F$1448,Compta!$A$1:$A$1448,"GRP",Compta!$B$1:$B$1448,"6331",Compta!$C$1:$C$1448,$A63)+_xlfn.SUMIFS(Compta!$F$1:$F$1448,Compta!$A$1:$A$1448,"GRP",Compta!$B$1:$B$1448,"6333",Compta!$C$1:$C$1448,$A63))</f>
        <v>2891983</v>
      </c>
      <c r="AC63" t="s">
        <v>274</v>
      </c>
      <c r="AD63" t="s">
        <v>274</v>
      </c>
      <c r="AE63" t="s">
        <v>274</v>
      </c>
      <c r="AF63" t="s">
        <v>274</v>
      </c>
      <c r="AG63" t="s">
        <v>274</v>
      </c>
      <c r="AH63" t="s">
        <v>274</v>
      </c>
      <c r="AI63">
        <f t="shared" si="3"/>
        <v>36218.8</v>
      </c>
      <c r="AJ63">
        <f t="shared" si="4"/>
        <v>121040.4</v>
      </c>
      <c r="AK63">
        <f t="shared" si="5"/>
        <v>26046.7231638418</v>
      </c>
      <c r="AL63">
        <f t="shared" si="6"/>
        <v>0</v>
      </c>
      <c r="AM63">
        <f t="shared" si="7"/>
        <v>0</v>
      </c>
      <c r="AN63">
        <f t="shared" si="8"/>
        <v>365494.076836158</v>
      </c>
      <c r="AO63">
        <f>IF($A63="","",_xlfn.SUMIFS(Compta!$F$1:$F$1448,Compta!$A$1:$A$1448,"GRP",Compta!$B$1:$B$1448,"6236",Compta!$C$1:$C$1448,$A63))</f>
        <v>676344</v>
      </c>
      <c r="AP63" t="s">
        <v>274</v>
      </c>
      <c r="AQ63" t="s">
        <v>274</v>
      </c>
      <c r="AR63">
        <f t="shared" si="9"/>
        <v>0</v>
      </c>
    </row>
    <row r="64" ht="14.25" customHeight="1">
      <c r="A64" t="str">
        <f>IF(Allocation!C64="","",Allocation!C64)</f>
        <v>2026</v>
      </c>
      <c r="B64" t="str">
        <f>IF(Allocation!D64="","",Allocation!D64)</f>
        <v>ISCOM_PAR</v>
      </c>
      <c r="C64" t="str">
        <f>IF(Allocation!E64="","",Allocation!E64)</f>
        <v>ISCOM</v>
      </c>
      <c r="D64" t="str">
        <f>IF(Allocation!F64="","",Allocation!F64)</f>
        <v>BAC_COM</v>
      </c>
      <c r="E64" t="str">
        <f>IF(Allocation!G64="","",Allocation!G64)</f>
        <v>B3</v>
      </c>
      <c r="F64" t="str">
        <f>IF(Allocation!H64="","",Allocation!H64)</f>
        <v>ALT</v>
      </c>
      <c r="G64">
        <f>IF(Allocation!D64="","",Allocation!I64)</f>
        <v>69</v>
      </c>
      <c r="H64">
        <f>IF(Allocation!D64="","",Allocation!J64)</f>
        <v>3</v>
      </c>
      <c r="I64">
        <f>IF(Allocation!D64="","",Allocation!K64)</f>
        <v>540960</v>
      </c>
      <c r="J64">
        <f>IF($A64="","",_xlfn.SUMIFS(Socle!$K$1:$K$448,Socle!$C$1:$C$448,$B64,Socle!$D$1:$D$448,$D64,Socle!$E$1:$E$448,$E64,Socle!$F$1:$F$448,$F64,Socle!$G$1:$G$448,$A64))</f>
        <v>0</v>
      </c>
      <c r="K64">
        <f t="shared" si="0"/>
        <v>1440</v>
      </c>
      <c r="L64">
        <f>IF($A64="","",_xlfn.SUMIFS(Allocation!$I$1:$I$175,Allocation!$C$1:$C$175,$A64,Allocation!$D$1:$D$175,$B64))</f>
        <v>354</v>
      </c>
      <c r="M64">
        <f>IF($A64="","",_xlfn.SUMIFS(Allocation!$J$1:$J$175,Allocation!$C$1:$C$175,$A64,Allocation!$D$1:$D$175,$B64))</f>
        <v>15</v>
      </c>
      <c r="N64">
        <f>IF($A64="","",_xlfn.SUMIFS(Allocation!$K$1:$K$175,Allocation!$C$1:$C$175,$A64,Allocation!$D$1:$D$175,$B64))</f>
        <v>2908720</v>
      </c>
      <c r="O64">
        <f t="shared" si="1"/>
        <v>7200</v>
      </c>
      <c r="P64">
        <f t="shared" si="2"/>
        <v>288</v>
      </c>
      <c r="Q64">
        <f>IF($A64="","",_xlfn.SUMIFS(Allocation!$I$1:$I$175,Allocation!$C$1:$C$175,$A64,Allocation!$E$1:$E$175,$C64))</f>
        <v>829</v>
      </c>
      <c r="R64">
        <f>IF($A64="","",_xlfn.SUMIFS(Allocation!$J$1:$J$175,Allocation!$C$1:$C$175,$A64,Allocation!$E$1:$E$175,$C64))</f>
        <v>35</v>
      </c>
      <c r="S64">
        <f>IF($A64="","",_xlfn.SUMIFS(Allocation!$K$1:$K$175,Allocation!$C$1:$C$175,$A64,Allocation!$E$1:$E$175,$C64))</f>
        <v>6292550</v>
      </c>
      <c r="T64">
        <f>IF($A64="","",_xlfn.SUMIFS(Allocation!$I$1:$I$175,Allocation!$C$1:$C$175,$A64))</f>
        <v>3036</v>
      </c>
      <c r="U64">
        <f>IF($A64="","",_xlfn.SUMIFS(Allocation!$J$1:$J$175,Allocation!$C$1:$C$175,$A64))</f>
        <v>131</v>
      </c>
      <c r="V64">
        <f>IF($A64="","",_xlfn.SUMIFS(Allocation!$K$1:$K$175,Allocation!$C$1:$C$175,$A64))</f>
        <v>22544725</v>
      </c>
      <c r="W64">
        <f>IF($A64="","",_xlfn.SUMIFS(Compta!$F$1:$F$1448,Compta!$A$1:$A$1448,$B64,Compta!$B$1:$B$1448,"621",Compta!$C$1:$C$1448,$A64))</f>
        <v>181094</v>
      </c>
      <c r="X64">
        <f>IF($A64="","",_xlfn.SUMIFS(Compta!$F$1:$F$1448,Compta!$A$1:$A$1448,$B64,Compta!$B$1:$B$1448,"6411",Compta!$C$1:$C$1448,$A64))</f>
        <v>605202</v>
      </c>
      <c r="Y64">
        <f>IF($A64="","",_xlfn.SUMIFS(Compta!$F$1:$F$1448,Compta!$A$1:$A$1448,$B64,Compta!$B$1:$B$1448,"604",Compta!$C$1:$C$1448,$A64)+_xlfn.SUMIFS(Compta!$F$1:$F$1448,Compta!$A$1:$A$1448,$B64,Compta!$B$1:$B$1448,"6063",Compta!$C$1:$C$1448,$A64))</f>
        <v>131722</v>
      </c>
      <c r="Z64">
        <f>IF($A64="","",_xlfn.SUMIFS(Compta!$F$1:$F$1448,Compta!$A$1:$A$1448,$B64,Compta!$B$1:$B$1448,"6231",Compta!$C$1:$C$1448,$A64))</f>
        <v>60800</v>
      </c>
      <c r="AA64">
        <f>IF($A64="","",_xlfn.SUMIFS(Compta!$F$1:$F$1448,Compta!$A$1:$A$1448,$B64,Compta!$B$1:$B$1448,"6413",Compta!$C$1:$C$1448,$A64)+_xlfn.SUMIFS(Compta!$F$1:$F$1448,Compta!$A$1:$A$1448,$B64,Compta!$B$1:$B$1448,"645",Compta!$C$1:$C$1448,$A64)+_xlfn.SUMIFS(Compta!$F$1:$F$1448,Compta!$A$1:$A$1448,$B64,Compta!$B$1:$B$1448,"613",Compta!$C$1:$C$1448,$A64)+_xlfn.SUMIFS(Compta!$F$1:$F$1448,Compta!$A$1:$A$1448,$B64,Compta!$B$1:$B$1448,"615",Compta!$C$1:$C$1448,$A64)+_xlfn.SUMIFS(Compta!$F$1:$F$1448,Compta!$A$1:$A$1448,$B64,Compta!$B$1:$B$1448,"616",Compta!$C$1:$C$1448,$A64)+_xlfn.SUMIFS(Compta!$F$1:$F$1448,Compta!$A$1:$A$1448,$B64,Compta!$B$1:$B$1448,"625",Compta!$C$1:$C$1448,$A64)+_xlfn.SUMIFS(Compta!$F$1:$F$1448,Compta!$A$1:$A$1448,$B64,Compta!$B$1:$B$1448,"63511",Compta!$C$1:$C$1448,$A64))</f>
        <v>1380208</v>
      </c>
      <c r="AB64">
        <f>IF($A64="","",_xlfn.SUMIFS(Compta!$F$1:$F$1448,Compta!$A$1:$A$1448,"GRP",Compta!$B$1:$B$1448,"6414",Compta!$C$1:$C$1448,$A64)+_xlfn.SUMIFS(Compta!$F$1:$F$1448,Compta!$A$1:$A$1448,"GRP",Compta!$B$1:$B$1448,"6226",Compta!$C$1:$C$1448,$A64)+_xlfn.SUMIFS(Compta!$F$1:$F$1448,Compta!$A$1:$A$1448,"GRP",Compta!$B$1:$B$1448,"626",Compta!$C$1:$C$1448,$A64)+_xlfn.SUMIFS(Compta!$F$1:$F$1448,Compta!$A$1:$A$1448,"GRP",Compta!$B$1:$B$1448,"6281",Compta!$C$1:$C$1448,$A64)+_xlfn.SUMIFS(Compta!$F$1:$F$1448,Compta!$A$1:$A$1448,"GRP",Compta!$B$1:$B$1448,"6331",Compta!$C$1:$C$1448,$A64)+_xlfn.SUMIFS(Compta!$F$1:$F$1448,Compta!$A$1:$A$1448,"GRP",Compta!$B$1:$B$1448,"6333",Compta!$C$1:$C$1448,$A64))</f>
        <v>2891983</v>
      </c>
      <c r="AC64" t="s">
        <v>274</v>
      </c>
      <c r="AD64" t="s">
        <v>274</v>
      </c>
      <c r="AE64" t="s">
        <v>274</v>
      </c>
      <c r="AF64" t="s">
        <v>274</v>
      </c>
      <c r="AG64" t="s">
        <v>274</v>
      </c>
      <c r="AH64" t="s">
        <v>274</v>
      </c>
      <c r="AI64">
        <f t="shared" si="3"/>
        <v>36218.8</v>
      </c>
      <c r="AJ64">
        <f t="shared" si="4"/>
        <v>121040.4</v>
      </c>
      <c r="AK64">
        <f t="shared" si="5"/>
        <v>25674.6271186441</v>
      </c>
      <c r="AL64">
        <f t="shared" si="6"/>
        <v>0</v>
      </c>
      <c r="AM64">
        <f t="shared" si="7"/>
        <v>0</v>
      </c>
      <c r="AN64">
        <f t="shared" si="8"/>
        <v>358026.172881356</v>
      </c>
      <c r="AO64">
        <f>IF($A64="","",_xlfn.SUMIFS(Compta!$F$1:$F$1448,Compta!$A$1:$A$1448,"GRP",Compta!$B$1:$B$1448,"6236",Compta!$C$1:$C$1448,$A64))</f>
        <v>676344</v>
      </c>
      <c r="AP64" t="s">
        <v>274</v>
      </c>
      <c r="AQ64" t="s">
        <v>274</v>
      </c>
      <c r="AR64">
        <f t="shared" si="9"/>
        <v>0</v>
      </c>
    </row>
    <row r="65" ht="14.25" customHeight="1">
      <c r="A65" t="str">
        <f>IF(Allocation!C65="","",Allocation!C65)</f>
        <v>2026</v>
      </c>
      <c r="B65" t="str">
        <f>IF(Allocation!D65="","",Allocation!D65)</f>
        <v>ISCOM_PAR</v>
      </c>
      <c r="C65" t="str">
        <f>IF(Allocation!E65="","",Allocation!E65)</f>
        <v>ISCOM</v>
      </c>
      <c r="D65" t="str">
        <f>IF(Allocation!F65="","",Allocation!F65)</f>
        <v>MAS_COM</v>
      </c>
      <c r="E65" t="str">
        <f>IF(Allocation!G65="","",Allocation!G65)</f>
        <v>M1</v>
      </c>
      <c r="F65" t="str">
        <f>IF(Allocation!H65="","",Allocation!H65)</f>
        <v>ALT</v>
      </c>
      <c r="G65">
        <f>IF(Allocation!D65="","",Allocation!I65)</f>
        <v>72</v>
      </c>
      <c r="H65">
        <f>IF(Allocation!D65="","",Allocation!J65)</f>
        <v>3</v>
      </c>
      <c r="I65">
        <f>IF(Allocation!D65="","",Allocation!K65)</f>
        <v>611280</v>
      </c>
      <c r="J65">
        <f>IF($A65="","",_xlfn.SUMIFS(Socle!$K$1:$K$448,Socle!$C$1:$C$448,$B65,Socle!$D$1:$D$448,$D65,Socle!$E$1:$E$448,$E65,Socle!$F$1:$F$448,$F65,Socle!$G$1:$G$448,$A65))</f>
        <v>144</v>
      </c>
      <c r="K65">
        <f t="shared" si="0"/>
        <v>1260</v>
      </c>
      <c r="L65">
        <f>IF($A65="","",_xlfn.SUMIFS(Allocation!$I$1:$I$175,Allocation!$C$1:$C$175,$A65,Allocation!$D$1:$D$175,$B65))</f>
        <v>354</v>
      </c>
      <c r="M65">
        <f>IF($A65="","",_xlfn.SUMIFS(Allocation!$J$1:$J$175,Allocation!$C$1:$C$175,$A65,Allocation!$D$1:$D$175,$B65))</f>
        <v>15</v>
      </c>
      <c r="N65">
        <f>IF($A65="","",_xlfn.SUMIFS(Allocation!$K$1:$K$175,Allocation!$C$1:$C$175,$A65,Allocation!$D$1:$D$175,$B65))</f>
        <v>2908720</v>
      </c>
      <c r="O65">
        <f t="shared" si="1"/>
        <v>7200</v>
      </c>
      <c r="P65">
        <f t="shared" si="2"/>
        <v>288</v>
      </c>
      <c r="Q65">
        <f>IF($A65="","",_xlfn.SUMIFS(Allocation!$I$1:$I$175,Allocation!$C$1:$C$175,$A65,Allocation!$E$1:$E$175,$C65))</f>
        <v>829</v>
      </c>
      <c r="R65">
        <f>IF($A65="","",_xlfn.SUMIFS(Allocation!$J$1:$J$175,Allocation!$C$1:$C$175,$A65,Allocation!$E$1:$E$175,$C65))</f>
        <v>35</v>
      </c>
      <c r="S65">
        <f>IF($A65="","",_xlfn.SUMIFS(Allocation!$K$1:$K$175,Allocation!$C$1:$C$175,$A65,Allocation!$E$1:$E$175,$C65))</f>
        <v>6292550</v>
      </c>
      <c r="T65">
        <f>IF($A65="","",_xlfn.SUMIFS(Allocation!$I$1:$I$175,Allocation!$C$1:$C$175,$A65))</f>
        <v>3036</v>
      </c>
      <c r="U65">
        <f>IF($A65="","",_xlfn.SUMIFS(Allocation!$J$1:$J$175,Allocation!$C$1:$C$175,$A65))</f>
        <v>131</v>
      </c>
      <c r="V65">
        <f>IF($A65="","",_xlfn.SUMIFS(Allocation!$K$1:$K$175,Allocation!$C$1:$C$175,$A65))</f>
        <v>22544725</v>
      </c>
      <c r="W65">
        <f>IF($A65="","",_xlfn.SUMIFS(Compta!$F$1:$F$1448,Compta!$A$1:$A$1448,$B65,Compta!$B$1:$B$1448,"621",Compta!$C$1:$C$1448,$A65))</f>
        <v>181094</v>
      </c>
      <c r="X65">
        <f>IF($A65="","",_xlfn.SUMIFS(Compta!$F$1:$F$1448,Compta!$A$1:$A$1448,$B65,Compta!$B$1:$B$1448,"6411",Compta!$C$1:$C$1448,$A65))</f>
        <v>605202</v>
      </c>
      <c r="Y65">
        <f>IF($A65="","",_xlfn.SUMIFS(Compta!$F$1:$F$1448,Compta!$A$1:$A$1448,$B65,Compta!$B$1:$B$1448,"604",Compta!$C$1:$C$1448,$A65)+_xlfn.SUMIFS(Compta!$F$1:$F$1448,Compta!$A$1:$A$1448,$B65,Compta!$B$1:$B$1448,"6063",Compta!$C$1:$C$1448,$A65))</f>
        <v>131722</v>
      </c>
      <c r="Z65">
        <f>IF($A65="","",_xlfn.SUMIFS(Compta!$F$1:$F$1448,Compta!$A$1:$A$1448,$B65,Compta!$B$1:$B$1448,"6231",Compta!$C$1:$C$1448,$A65))</f>
        <v>60800</v>
      </c>
      <c r="AA65">
        <f>IF($A65="","",_xlfn.SUMIFS(Compta!$F$1:$F$1448,Compta!$A$1:$A$1448,$B65,Compta!$B$1:$B$1448,"6413",Compta!$C$1:$C$1448,$A65)+_xlfn.SUMIFS(Compta!$F$1:$F$1448,Compta!$A$1:$A$1448,$B65,Compta!$B$1:$B$1448,"645",Compta!$C$1:$C$1448,$A65)+_xlfn.SUMIFS(Compta!$F$1:$F$1448,Compta!$A$1:$A$1448,$B65,Compta!$B$1:$B$1448,"613",Compta!$C$1:$C$1448,$A65)+_xlfn.SUMIFS(Compta!$F$1:$F$1448,Compta!$A$1:$A$1448,$B65,Compta!$B$1:$B$1448,"615",Compta!$C$1:$C$1448,$A65)+_xlfn.SUMIFS(Compta!$F$1:$F$1448,Compta!$A$1:$A$1448,$B65,Compta!$B$1:$B$1448,"616",Compta!$C$1:$C$1448,$A65)+_xlfn.SUMIFS(Compta!$F$1:$F$1448,Compta!$A$1:$A$1448,$B65,Compta!$B$1:$B$1448,"625",Compta!$C$1:$C$1448,$A65)+_xlfn.SUMIFS(Compta!$F$1:$F$1448,Compta!$A$1:$A$1448,$B65,Compta!$B$1:$B$1448,"63511",Compta!$C$1:$C$1448,$A65))</f>
        <v>1380208</v>
      </c>
      <c r="AB65">
        <f>IF($A65="","",_xlfn.SUMIFS(Compta!$F$1:$F$1448,Compta!$A$1:$A$1448,"GRP",Compta!$B$1:$B$1448,"6414",Compta!$C$1:$C$1448,$A65)+_xlfn.SUMIFS(Compta!$F$1:$F$1448,Compta!$A$1:$A$1448,"GRP",Compta!$B$1:$B$1448,"6226",Compta!$C$1:$C$1448,$A65)+_xlfn.SUMIFS(Compta!$F$1:$F$1448,Compta!$A$1:$A$1448,"GRP",Compta!$B$1:$B$1448,"626",Compta!$C$1:$C$1448,$A65)+_xlfn.SUMIFS(Compta!$F$1:$F$1448,Compta!$A$1:$A$1448,"GRP",Compta!$B$1:$B$1448,"6281",Compta!$C$1:$C$1448,$A65)+_xlfn.SUMIFS(Compta!$F$1:$F$1448,Compta!$A$1:$A$1448,"GRP",Compta!$B$1:$B$1448,"6331",Compta!$C$1:$C$1448,$A65)+_xlfn.SUMIFS(Compta!$F$1:$F$1448,Compta!$A$1:$A$1448,"GRP",Compta!$B$1:$B$1448,"6333",Compta!$C$1:$C$1448,$A65))</f>
        <v>2891983</v>
      </c>
      <c r="AC65" t="s">
        <v>274</v>
      </c>
      <c r="AD65" t="s">
        <v>274</v>
      </c>
      <c r="AE65" t="s">
        <v>274</v>
      </c>
      <c r="AF65" t="s">
        <v>274</v>
      </c>
      <c r="AG65" t="s">
        <v>274</v>
      </c>
      <c r="AH65" t="s">
        <v>274</v>
      </c>
      <c r="AI65">
        <f t="shared" si="3"/>
        <v>31691.45</v>
      </c>
      <c r="AJ65">
        <f t="shared" si="4"/>
        <v>105910.35</v>
      </c>
      <c r="AK65">
        <f t="shared" si="5"/>
        <v>57190.9152542373</v>
      </c>
      <c r="AL65">
        <f t="shared" si="6"/>
        <v>0</v>
      </c>
      <c r="AM65">
        <f t="shared" si="7"/>
        <v>0</v>
      </c>
      <c r="AN65">
        <f t="shared" si="8"/>
        <v>416487.284745763</v>
      </c>
      <c r="AO65">
        <f>IF($A65="","",_xlfn.SUMIFS(Compta!$F$1:$F$1448,Compta!$A$1:$A$1448,"GRP",Compta!$B$1:$B$1448,"6236",Compta!$C$1:$C$1448,$A65))</f>
        <v>676344</v>
      </c>
      <c r="AP65" t="s">
        <v>274</v>
      </c>
      <c r="AQ65" t="s">
        <v>274</v>
      </c>
      <c r="AR65">
        <f t="shared" si="9"/>
        <v>0</v>
      </c>
    </row>
    <row r="66" ht="14.25" customHeight="1">
      <c r="A66" t="str">
        <f>IF(Allocation!C66="","",Allocation!C66)</f>
        <v>2026</v>
      </c>
      <c r="B66" t="str">
        <f>IF(Allocation!D66="","",Allocation!D66)</f>
        <v>ISCOM_PAR</v>
      </c>
      <c r="C66" t="str">
        <f>IF(Allocation!E66="","",Allocation!E66)</f>
        <v>ISCOM</v>
      </c>
      <c r="D66" t="str">
        <f>IF(Allocation!F66="","",Allocation!F66)</f>
        <v>MAS_COM</v>
      </c>
      <c r="E66" t="str">
        <f>IF(Allocation!G66="","",Allocation!G66)</f>
        <v>M2</v>
      </c>
      <c r="F66" t="str">
        <f>IF(Allocation!H66="","",Allocation!H66)</f>
        <v>ALT</v>
      </c>
      <c r="G66">
        <f>IF(Allocation!D66="","",Allocation!I66)</f>
        <v>71</v>
      </c>
      <c r="H66">
        <f>IF(Allocation!D66="","",Allocation!J66)</f>
        <v>3</v>
      </c>
      <c r="I66">
        <f>IF(Allocation!D66="","",Allocation!K66)</f>
        <v>596400</v>
      </c>
      <c r="J66">
        <f>IF($A66="","",_xlfn.SUMIFS(Socle!$K$1:$K$448,Socle!$C$1:$C$448,$B66,Socle!$D$1:$D$448,$D66,Socle!$E$1:$E$448,$E66,Socle!$F$1:$F$448,$F66,Socle!$G$1:$G$448,$A66))</f>
        <v>0</v>
      </c>
      <c r="K66">
        <f t="shared" si="0"/>
        <v>1260</v>
      </c>
      <c r="L66">
        <f>IF($A66="","",_xlfn.SUMIFS(Allocation!$I$1:$I$175,Allocation!$C$1:$C$175,$A66,Allocation!$D$1:$D$175,$B66))</f>
        <v>354</v>
      </c>
      <c r="M66">
        <f>IF($A66="","",_xlfn.SUMIFS(Allocation!$J$1:$J$175,Allocation!$C$1:$C$175,$A66,Allocation!$D$1:$D$175,$B66))</f>
        <v>15</v>
      </c>
      <c r="N66">
        <f>IF($A66="","",_xlfn.SUMIFS(Allocation!$K$1:$K$175,Allocation!$C$1:$C$175,$A66,Allocation!$D$1:$D$175,$B66))</f>
        <v>2908720</v>
      </c>
      <c r="O66">
        <f t="shared" si="1"/>
        <v>7200</v>
      </c>
      <c r="P66">
        <f t="shared" si="2"/>
        <v>288</v>
      </c>
      <c r="Q66">
        <f>IF($A66="","",_xlfn.SUMIFS(Allocation!$I$1:$I$175,Allocation!$C$1:$C$175,$A66,Allocation!$E$1:$E$175,$C66))</f>
        <v>829</v>
      </c>
      <c r="R66">
        <f>IF($A66="","",_xlfn.SUMIFS(Allocation!$J$1:$J$175,Allocation!$C$1:$C$175,$A66,Allocation!$E$1:$E$175,$C66))</f>
        <v>35</v>
      </c>
      <c r="S66">
        <f>IF($A66="","",_xlfn.SUMIFS(Allocation!$K$1:$K$175,Allocation!$C$1:$C$175,$A66,Allocation!$E$1:$E$175,$C66))</f>
        <v>6292550</v>
      </c>
      <c r="T66">
        <f>IF($A66="","",_xlfn.SUMIFS(Allocation!$I$1:$I$175,Allocation!$C$1:$C$175,$A66))</f>
        <v>3036</v>
      </c>
      <c r="U66">
        <f>IF($A66="","",_xlfn.SUMIFS(Allocation!$J$1:$J$175,Allocation!$C$1:$C$175,$A66))</f>
        <v>131</v>
      </c>
      <c r="V66">
        <f>IF($A66="","",_xlfn.SUMIFS(Allocation!$K$1:$K$175,Allocation!$C$1:$C$175,$A66))</f>
        <v>22544725</v>
      </c>
      <c r="W66">
        <f>IF($A66="","",_xlfn.SUMIFS(Compta!$F$1:$F$1448,Compta!$A$1:$A$1448,$B66,Compta!$B$1:$B$1448,"621",Compta!$C$1:$C$1448,$A66))</f>
        <v>181094</v>
      </c>
      <c r="X66">
        <f>IF($A66="","",_xlfn.SUMIFS(Compta!$F$1:$F$1448,Compta!$A$1:$A$1448,$B66,Compta!$B$1:$B$1448,"6411",Compta!$C$1:$C$1448,$A66))</f>
        <v>605202</v>
      </c>
      <c r="Y66">
        <f>IF($A66="","",_xlfn.SUMIFS(Compta!$F$1:$F$1448,Compta!$A$1:$A$1448,$B66,Compta!$B$1:$B$1448,"604",Compta!$C$1:$C$1448,$A66)+_xlfn.SUMIFS(Compta!$F$1:$F$1448,Compta!$A$1:$A$1448,$B66,Compta!$B$1:$B$1448,"6063",Compta!$C$1:$C$1448,$A66))</f>
        <v>131722</v>
      </c>
      <c r="Z66">
        <f>IF($A66="","",_xlfn.SUMIFS(Compta!$F$1:$F$1448,Compta!$A$1:$A$1448,$B66,Compta!$B$1:$B$1448,"6231",Compta!$C$1:$C$1448,$A66))</f>
        <v>60800</v>
      </c>
      <c r="AA66">
        <f>IF($A66="","",_xlfn.SUMIFS(Compta!$F$1:$F$1448,Compta!$A$1:$A$1448,$B66,Compta!$B$1:$B$1448,"6413",Compta!$C$1:$C$1448,$A66)+_xlfn.SUMIFS(Compta!$F$1:$F$1448,Compta!$A$1:$A$1448,$B66,Compta!$B$1:$B$1448,"645",Compta!$C$1:$C$1448,$A66)+_xlfn.SUMIFS(Compta!$F$1:$F$1448,Compta!$A$1:$A$1448,$B66,Compta!$B$1:$B$1448,"613",Compta!$C$1:$C$1448,$A66)+_xlfn.SUMIFS(Compta!$F$1:$F$1448,Compta!$A$1:$A$1448,$B66,Compta!$B$1:$B$1448,"615",Compta!$C$1:$C$1448,$A66)+_xlfn.SUMIFS(Compta!$F$1:$F$1448,Compta!$A$1:$A$1448,$B66,Compta!$B$1:$B$1448,"616",Compta!$C$1:$C$1448,$A66)+_xlfn.SUMIFS(Compta!$F$1:$F$1448,Compta!$A$1:$A$1448,$B66,Compta!$B$1:$B$1448,"625",Compta!$C$1:$C$1448,$A66)+_xlfn.SUMIFS(Compta!$F$1:$F$1448,Compta!$A$1:$A$1448,$B66,Compta!$B$1:$B$1448,"63511",Compta!$C$1:$C$1448,$A66))</f>
        <v>1380208</v>
      </c>
      <c r="AB66">
        <f>IF($A66="","",_xlfn.SUMIFS(Compta!$F$1:$F$1448,Compta!$A$1:$A$1448,"GRP",Compta!$B$1:$B$1448,"6414",Compta!$C$1:$C$1448,$A66)+_xlfn.SUMIFS(Compta!$F$1:$F$1448,Compta!$A$1:$A$1448,"GRP",Compta!$B$1:$B$1448,"6226",Compta!$C$1:$C$1448,$A66)+_xlfn.SUMIFS(Compta!$F$1:$F$1448,Compta!$A$1:$A$1448,"GRP",Compta!$B$1:$B$1448,"626",Compta!$C$1:$C$1448,$A66)+_xlfn.SUMIFS(Compta!$F$1:$F$1448,Compta!$A$1:$A$1448,"GRP",Compta!$B$1:$B$1448,"6281",Compta!$C$1:$C$1448,$A66)+_xlfn.SUMIFS(Compta!$F$1:$F$1448,Compta!$A$1:$A$1448,"GRP",Compta!$B$1:$B$1448,"6331",Compta!$C$1:$C$1448,$A66)+_xlfn.SUMIFS(Compta!$F$1:$F$1448,Compta!$A$1:$A$1448,"GRP",Compta!$B$1:$B$1448,"6333",Compta!$C$1:$C$1448,$A66))</f>
        <v>2891983</v>
      </c>
      <c r="AC66" t="s">
        <v>274</v>
      </c>
      <c r="AD66" t="s">
        <v>274</v>
      </c>
      <c r="AE66" t="s">
        <v>274</v>
      </c>
      <c r="AF66" t="s">
        <v>274</v>
      </c>
      <c r="AG66" t="s">
        <v>274</v>
      </c>
      <c r="AH66" t="s">
        <v>274</v>
      </c>
      <c r="AI66">
        <f t="shared" si="3"/>
        <v>31691.45</v>
      </c>
      <c r="AJ66">
        <f t="shared" si="4"/>
        <v>105910.35</v>
      </c>
      <c r="AK66">
        <f t="shared" si="5"/>
        <v>26418.8192090395</v>
      </c>
      <c r="AL66">
        <f t="shared" si="6"/>
        <v>0</v>
      </c>
      <c r="AM66">
        <f t="shared" si="7"/>
        <v>0</v>
      </c>
      <c r="AN66">
        <f t="shared" si="8"/>
        <v>432379.380790961</v>
      </c>
      <c r="AO66">
        <f>IF($A66="","",_xlfn.SUMIFS(Compta!$F$1:$F$1448,Compta!$A$1:$A$1448,"GRP",Compta!$B$1:$B$1448,"6236",Compta!$C$1:$C$1448,$A66))</f>
        <v>676344</v>
      </c>
      <c r="AP66" t="s">
        <v>274</v>
      </c>
      <c r="AQ66" t="s">
        <v>274</v>
      </c>
      <c r="AR66">
        <f t="shared" si="9"/>
        <v>0</v>
      </c>
    </row>
    <row r="67" ht="14.25" customHeight="1">
      <c r="A67" t="str">
        <f>IF(Allocation!C67="","",Allocation!C67)</f>
        <v>2025</v>
      </c>
      <c r="B67" t="str">
        <f>IF(Allocation!D67="","",Allocation!D67)</f>
        <v>ISCOM_PAR</v>
      </c>
      <c r="C67" t="str">
        <f>IF(Allocation!E67="","",Allocation!E67)</f>
        <v>ISCOM</v>
      </c>
      <c r="D67" t="str">
        <f>IF(Allocation!F67="","",Allocation!F67)</f>
        <v>BAC_COM</v>
      </c>
      <c r="E67" t="str">
        <f>IF(Allocation!G67="","",Allocation!G67)</f>
        <v>B1</v>
      </c>
      <c r="F67" t="str">
        <f>IF(Allocation!H67="","",Allocation!H67)</f>
        <v>INIT</v>
      </c>
      <c r="G67">
        <f>IF(Allocation!D67="","",Allocation!I67)</f>
        <v>68</v>
      </c>
      <c r="H67">
        <f>IF(Allocation!D67="","",Allocation!J67)</f>
        <v>3</v>
      </c>
      <c r="I67">
        <f>IF(Allocation!D67="","",Allocation!K67)</f>
        <v>577320</v>
      </c>
      <c r="J67">
        <f>IF($A67="","",_xlfn.SUMIFS(Socle!$K$1:$K$448,Socle!$C$1:$C$448,$B67,Socle!$D$1:$D$448,$D67,Socle!$E$1:$E$448,$E67,Socle!$F$1:$F$448,$F67,Socle!$G$1:$G$448,$A67))</f>
        <v>136</v>
      </c>
      <c r="K67">
        <f t="shared" si="0"/>
        <v>1800</v>
      </c>
      <c r="L67">
        <f>IF($A67="","",_xlfn.SUMIFS(Allocation!$I$1:$I$175,Allocation!$C$1:$C$175,$A67,Allocation!$D$1:$D$175,$B67))</f>
        <v>334</v>
      </c>
      <c r="M67">
        <f>IF($A67="","",_xlfn.SUMIFS(Allocation!$J$1:$J$175,Allocation!$C$1:$C$175,$A67,Allocation!$D$1:$D$175,$B67))</f>
        <v>15</v>
      </c>
      <c r="N67">
        <f>IF($A67="","",_xlfn.SUMIFS(Allocation!$K$1:$K$175,Allocation!$C$1:$C$175,$A67,Allocation!$D$1:$D$175,$B67))</f>
        <v>2744480</v>
      </c>
      <c r="O67">
        <f t="shared" si="1"/>
        <v>7200</v>
      </c>
      <c r="P67">
        <f t="shared" si="2"/>
        <v>272</v>
      </c>
      <c r="Q67">
        <f>IF($A67="","",_xlfn.SUMIFS(Allocation!$I$1:$I$175,Allocation!$C$1:$C$175,$A67,Allocation!$E$1:$E$175,$C67))</f>
        <v>779</v>
      </c>
      <c r="R67">
        <f>IF($A67="","",_xlfn.SUMIFS(Allocation!$J$1:$J$175,Allocation!$C$1:$C$175,$A67,Allocation!$E$1:$E$175,$C67))</f>
        <v>35</v>
      </c>
      <c r="S67">
        <f>IF($A67="","",_xlfn.SUMIFS(Allocation!$K$1:$K$175,Allocation!$C$1:$C$175,$A67,Allocation!$E$1:$E$175,$C67))</f>
        <v>5914800</v>
      </c>
      <c r="T67">
        <f>IF($A67="","",_xlfn.SUMIFS(Allocation!$I$1:$I$175,Allocation!$C$1:$C$175,$A67))</f>
        <v>2860</v>
      </c>
      <c r="U67">
        <f>IF($A67="","",_xlfn.SUMIFS(Allocation!$J$1:$J$175,Allocation!$C$1:$C$175,$A67))</f>
        <v>131</v>
      </c>
      <c r="V67">
        <f>IF($A67="","",_xlfn.SUMIFS(Allocation!$K$1:$K$175,Allocation!$C$1:$C$175,$A67))</f>
        <v>21240140</v>
      </c>
      <c r="W67">
        <f>IF($A67="","",_xlfn.SUMIFS(Compta!$F$1:$F$1448,Compta!$A$1:$A$1448,$B67,Compta!$B$1:$B$1448,"621",Compta!$C$1:$C$1448,$A67))</f>
        <v>172844</v>
      </c>
      <c r="X67">
        <f>IF($A67="","",_xlfn.SUMIFS(Compta!$F$1:$F$1448,Compta!$A$1:$A$1448,$B67,Compta!$B$1:$B$1448,"6411",Compta!$C$1:$C$1448,$A67))</f>
        <v>577630</v>
      </c>
      <c r="Y67">
        <f>IF($A67="","",_xlfn.SUMIFS(Compta!$F$1:$F$1448,Compta!$A$1:$A$1448,$B67,Compta!$B$1:$B$1448,"604",Compta!$C$1:$C$1448,$A67)+_xlfn.SUMIFS(Compta!$F$1:$F$1448,Compta!$A$1:$A$1448,$B67,Compta!$B$1:$B$1448,"6063",Compta!$C$1:$C$1448,$A67))</f>
        <v>125720</v>
      </c>
      <c r="Z67">
        <f>IF($A67="","",_xlfn.SUMIFS(Compta!$F$1:$F$1448,Compta!$A$1:$A$1448,$B67,Compta!$B$1:$B$1448,"6231",Compta!$C$1:$C$1448,$A67))</f>
        <v>55272</v>
      </c>
      <c r="AA67">
        <f>IF($A67="","",_xlfn.SUMIFS(Compta!$F$1:$F$1448,Compta!$A$1:$A$1448,$B67,Compta!$B$1:$B$1448,"6413",Compta!$C$1:$C$1448,$A67)+_xlfn.SUMIFS(Compta!$F$1:$F$1448,Compta!$A$1:$A$1448,$B67,Compta!$B$1:$B$1448,"645",Compta!$C$1:$C$1448,$A67)+_xlfn.SUMIFS(Compta!$F$1:$F$1448,Compta!$A$1:$A$1448,$B67,Compta!$B$1:$B$1448,"613",Compta!$C$1:$C$1448,$A67)+_xlfn.SUMIFS(Compta!$F$1:$F$1448,Compta!$A$1:$A$1448,$B67,Compta!$B$1:$B$1448,"615",Compta!$C$1:$C$1448,$A67)+_xlfn.SUMIFS(Compta!$F$1:$F$1448,Compta!$A$1:$A$1448,$B67,Compta!$B$1:$B$1448,"616",Compta!$C$1:$C$1448,$A67)+_xlfn.SUMIFS(Compta!$F$1:$F$1448,Compta!$A$1:$A$1448,$B67,Compta!$B$1:$B$1448,"625",Compta!$C$1:$C$1448,$A67)+_xlfn.SUMIFS(Compta!$F$1:$F$1448,Compta!$A$1:$A$1448,$B67,Compta!$B$1:$B$1448,"63511",Compta!$C$1:$C$1448,$A67))</f>
        <v>1317329</v>
      </c>
      <c r="AB67">
        <f>IF($A67="","",_xlfn.SUMIFS(Compta!$F$1:$F$1448,Compta!$A$1:$A$1448,"GRP",Compta!$B$1:$B$1448,"6414",Compta!$C$1:$C$1448,$A67)+_xlfn.SUMIFS(Compta!$F$1:$F$1448,Compta!$A$1:$A$1448,"GRP",Compta!$B$1:$B$1448,"6226",Compta!$C$1:$C$1448,$A67)+_xlfn.SUMIFS(Compta!$F$1:$F$1448,Compta!$A$1:$A$1448,"GRP",Compta!$B$1:$B$1448,"626",Compta!$C$1:$C$1448,$A67)+_xlfn.SUMIFS(Compta!$F$1:$F$1448,Compta!$A$1:$A$1448,"GRP",Compta!$B$1:$B$1448,"6281",Compta!$C$1:$C$1448,$A67)+_xlfn.SUMIFS(Compta!$F$1:$F$1448,Compta!$A$1:$A$1448,"GRP",Compta!$B$1:$B$1448,"6331",Compta!$C$1:$C$1448,$A67)+_xlfn.SUMIFS(Compta!$F$1:$F$1448,Compta!$A$1:$A$1448,"GRP",Compta!$B$1:$B$1448,"6333",Compta!$C$1:$C$1448,$A67))</f>
        <v>2760232</v>
      </c>
      <c r="AC67" t="s">
        <v>274</v>
      </c>
      <c r="AD67" t="s">
        <v>274</v>
      </c>
      <c r="AE67" t="s">
        <v>274</v>
      </c>
      <c r="AF67" t="s">
        <v>274</v>
      </c>
      <c r="AG67" t="s">
        <v>274</v>
      </c>
      <c r="AH67" t="s">
        <v>274</v>
      </c>
      <c r="AI67">
        <f t="shared" si="3"/>
        <v>43211</v>
      </c>
      <c r="AJ67">
        <f t="shared" si="4"/>
        <v>144407.5</v>
      </c>
      <c r="AK67">
        <f t="shared" si="5"/>
        <v>53231.6886227545</v>
      </c>
      <c r="AL67">
        <f t="shared" si="6"/>
        <v>0</v>
      </c>
      <c r="AM67">
        <f t="shared" si="7"/>
        <v>0</v>
      </c>
      <c r="AN67">
        <f t="shared" si="8"/>
        <v>336469.811377245</v>
      </c>
      <c r="AO67">
        <f>IF($A67="","",_xlfn.SUMIFS(Compta!$F$1:$F$1448,Compta!$A$1:$A$1448,"GRP",Compta!$B$1:$B$1448,"6236",Compta!$C$1:$C$1448,$A67))</f>
        <v>580167</v>
      </c>
      <c r="AP67" t="s">
        <v>274</v>
      </c>
      <c r="AQ67" t="s">
        <v>274</v>
      </c>
      <c r="AR67">
        <f t="shared" si="9"/>
        <v>0</v>
      </c>
    </row>
    <row r="68" ht="14.25" customHeight="1">
      <c r="A68" t="str">
        <f>IF(Allocation!C68="","",Allocation!C68)</f>
        <v>2025</v>
      </c>
      <c r="B68" t="str">
        <f>IF(Allocation!D68="","",Allocation!D68)</f>
        <v>ISCOM_PAR</v>
      </c>
      <c r="C68" t="str">
        <f>IF(Allocation!E68="","",Allocation!E68)</f>
        <v>ISCOM</v>
      </c>
      <c r="D68" t="str">
        <f>IF(Allocation!F68="","",Allocation!F68)</f>
        <v>BAC_COM</v>
      </c>
      <c r="E68" t="str">
        <f>IF(Allocation!G68="","",Allocation!G68)</f>
        <v>B2</v>
      </c>
      <c r="F68" t="str">
        <f>IF(Allocation!H68="","",Allocation!H68)</f>
        <v>ALT</v>
      </c>
      <c r="G68">
        <f>IF(Allocation!D68="","",Allocation!I68)</f>
        <v>66</v>
      </c>
      <c r="H68">
        <f>IF(Allocation!D68="","",Allocation!J68)</f>
        <v>3</v>
      </c>
      <c r="I68">
        <f>IF(Allocation!D68="","",Allocation!K68)</f>
        <v>517440</v>
      </c>
      <c r="J68">
        <f>IF($A68="","",_xlfn.SUMIFS(Socle!$K$1:$K$448,Socle!$C$1:$C$448,$B68,Socle!$D$1:$D$448,$D68,Socle!$E$1:$E$448,$E68,Socle!$F$1:$F$448,$F68,Socle!$G$1:$G$448,$A68))</f>
        <v>0</v>
      </c>
      <c r="K68">
        <f t="shared" si="0"/>
        <v>1440</v>
      </c>
      <c r="L68">
        <f>IF($A68="","",_xlfn.SUMIFS(Allocation!$I$1:$I$175,Allocation!$C$1:$C$175,$A68,Allocation!$D$1:$D$175,$B68))</f>
        <v>334</v>
      </c>
      <c r="M68">
        <f>IF($A68="","",_xlfn.SUMIFS(Allocation!$J$1:$J$175,Allocation!$C$1:$C$175,$A68,Allocation!$D$1:$D$175,$B68))</f>
        <v>15</v>
      </c>
      <c r="N68">
        <f>IF($A68="","",_xlfn.SUMIFS(Allocation!$K$1:$K$175,Allocation!$C$1:$C$175,$A68,Allocation!$D$1:$D$175,$B68))</f>
        <v>2744480</v>
      </c>
      <c r="O68">
        <f t="shared" si="1"/>
        <v>7200</v>
      </c>
      <c r="P68">
        <f t="shared" si="2"/>
        <v>272</v>
      </c>
      <c r="Q68">
        <f>IF($A68="","",_xlfn.SUMIFS(Allocation!$I$1:$I$175,Allocation!$C$1:$C$175,$A68,Allocation!$E$1:$E$175,$C68))</f>
        <v>779</v>
      </c>
      <c r="R68">
        <f>IF($A68="","",_xlfn.SUMIFS(Allocation!$J$1:$J$175,Allocation!$C$1:$C$175,$A68,Allocation!$E$1:$E$175,$C68))</f>
        <v>35</v>
      </c>
      <c r="S68">
        <f>IF($A68="","",_xlfn.SUMIFS(Allocation!$K$1:$K$175,Allocation!$C$1:$C$175,$A68,Allocation!$E$1:$E$175,$C68))</f>
        <v>5914800</v>
      </c>
      <c r="T68">
        <f>IF($A68="","",_xlfn.SUMIFS(Allocation!$I$1:$I$175,Allocation!$C$1:$C$175,$A68))</f>
        <v>2860</v>
      </c>
      <c r="U68">
        <f>IF($A68="","",_xlfn.SUMIFS(Allocation!$J$1:$J$175,Allocation!$C$1:$C$175,$A68))</f>
        <v>131</v>
      </c>
      <c r="V68">
        <f>IF($A68="","",_xlfn.SUMIFS(Allocation!$K$1:$K$175,Allocation!$C$1:$C$175,$A68))</f>
        <v>21240140</v>
      </c>
      <c r="W68">
        <f>IF($A68="","",_xlfn.SUMIFS(Compta!$F$1:$F$1448,Compta!$A$1:$A$1448,$B68,Compta!$B$1:$B$1448,"621",Compta!$C$1:$C$1448,$A68))</f>
        <v>172844</v>
      </c>
      <c r="X68">
        <f>IF($A68="","",_xlfn.SUMIFS(Compta!$F$1:$F$1448,Compta!$A$1:$A$1448,$B68,Compta!$B$1:$B$1448,"6411",Compta!$C$1:$C$1448,$A68))</f>
        <v>577630</v>
      </c>
      <c r="Y68">
        <f>IF($A68="","",_xlfn.SUMIFS(Compta!$F$1:$F$1448,Compta!$A$1:$A$1448,$B68,Compta!$B$1:$B$1448,"604",Compta!$C$1:$C$1448,$A68)+_xlfn.SUMIFS(Compta!$F$1:$F$1448,Compta!$A$1:$A$1448,$B68,Compta!$B$1:$B$1448,"6063",Compta!$C$1:$C$1448,$A68))</f>
        <v>125720</v>
      </c>
      <c r="Z68">
        <f>IF($A68="","",_xlfn.SUMIFS(Compta!$F$1:$F$1448,Compta!$A$1:$A$1448,$B68,Compta!$B$1:$B$1448,"6231",Compta!$C$1:$C$1448,$A68))</f>
        <v>55272</v>
      </c>
      <c r="AA68">
        <f>IF($A68="","",_xlfn.SUMIFS(Compta!$F$1:$F$1448,Compta!$A$1:$A$1448,$B68,Compta!$B$1:$B$1448,"6413",Compta!$C$1:$C$1448,$A68)+_xlfn.SUMIFS(Compta!$F$1:$F$1448,Compta!$A$1:$A$1448,$B68,Compta!$B$1:$B$1448,"645",Compta!$C$1:$C$1448,$A68)+_xlfn.SUMIFS(Compta!$F$1:$F$1448,Compta!$A$1:$A$1448,$B68,Compta!$B$1:$B$1448,"613",Compta!$C$1:$C$1448,$A68)+_xlfn.SUMIFS(Compta!$F$1:$F$1448,Compta!$A$1:$A$1448,$B68,Compta!$B$1:$B$1448,"615",Compta!$C$1:$C$1448,$A68)+_xlfn.SUMIFS(Compta!$F$1:$F$1448,Compta!$A$1:$A$1448,$B68,Compta!$B$1:$B$1448,"616",Compta!$C$1:$C$1448,$A68)+_xlfn.SUMIFS(Compta!$F$1:$F$1448,Compta!$A$1:$A$1448,$B68,Compta!$B$1:$B$1448,"625",Compta!$C$1:$C$1448,$A68)+_xlfn.SUMIFS(Compta!$F$1:$F$1448,Compta!$A$1:$A$1448,$B68,Compta!$B$1:$B$1448,"63511",Compta!$C$1:$C$1448,$A68))</f>
        <v>1317329</v>
      </c>
      <c r="AB68">
        <f>IF($A68="","",_xlfn.SUMIFS(Compta!$F$1:$F$1448,Compta!$A$1:$A$1448,"GRP",Compta!$B$1:$B$1448,"6414",Compta!$C$1:$C$1448,$A68)+_xlfn.SUMIFS(Compta!$F$1:$F$1448,Compta!$A$1:$A$1448,"GRP",Compta!$B$1:$B$1448,"6226",Compta!$C$1:$C$1448,$A68)+_xlfn.SUMIFS(Compta!$F$1:$F$1448,Compta!$A$1:$A$1448,"GRP",Compta!$B$1:$B$1448,"626",Compta!$C$1:$C$1448,$A68)+_xlfn.SUMIFS(Compta!$F$1:$F$1448,Compta!$A$1:$A$1448,"GRP",Compta!$B$1:$B$1448,"6281",Compta!$C$1:$C$1448,$A68)+_xlfn.SUMIFS(Compta!$F$1:$F$1448,Compta!$A$1:$A$1448,"GRP",Compta!$B$1:$B$1448,"6331",Compta!$C$1:$C$1448,$A68)+_xlfn.SUMIFS(Compta!$F$1:$F$1448,Compta!$A$1:$A$1448,"GRP",Compta!$B$1:$B$1448,"6333",Compta!$C$1:$C$1448,$A68))</f>
        <v>2760232</v>
      </c>
      <c r="AC68" t="s">
        <v>274</v>
      </c>
      <c r="AD68" t="s">
        <v>274</v>
      </c>
      <c r="AE68" t="s">
        <v>274</v>
      </c>
      <c r="AF68" t="s">
        <v>274</v>
      </c>
      <c r="AG68" t="s">
        <v>274</v>
      </c>
      <c r="AH68" t="s">
        <v>274</v>
      </c>
      <c r="AI68">
        <f t="shared" si="3"/>
        <v>34568.8</v>
      </c>
      <c r="AJ68">
        <f t="shared" si="4"/>
        <v>115526</v>
      </c>
      <c r="AK68">
        <f t="shared" si="5"/>
        <v>24842.874251497</v>
      </c>
      <c r="AL68">
        <f t="shared" si="6"/>
        <v>0</v>
      </c>
      <c r="AM68">
        <f t="shared" si="7"/>
        <v>0</v>
      </c>
      <c r="AN68">
        <f t="shared" si="8"/>
        <v>342502.325748503</v>
      </c>
      <c r="AO68">
        <f>IF($A68="","",_xlfn.SUMIFS(Compta!$F$1:$F$1448,Compta!$A$1:$A$1448,"GRP",Compta!$B$1:$B$1448,"6236",Compta!$C$1:$C$1448,$A68))</f>
        <v>580167</v>
      </c>
      <c r="AP68" t="s">
        <v>274</v>
      </c>
      <c r="AQ68" t="s">
        <v>274</v>
      </c>
      <c r="AR68">
        <f t="shared" si="9"/>
        <v>0</v>
      </c>
    </row>
    <row r="69" ht="14.25" customHeight="1">
      <c r="A69" t="str">
        <f>IF(Allocation!C69="","",Allocation!C69)</f>
        <v>2025</v>
      </c>
      <c r="B69" t="str">
        <f>IF(Allocation!D69="","",Allocation!D69)</f>
        <v>ISCOM_PAR</v>
      </c>
      <c r="C69" t="str">
        <f>IF(Allocation!E69="","",Allocation!E69)</f>
        <v>ISCOM</v>
      </c>
      <c r="D69" t="str">
        <f>IF(Allocation!F69="","",Allocation!F69)</f>
        <v>BAC_COM</v>
      </c>
      <c r="E69" t="str">
        <f>IF(Allocation!G69="","",Allocation!G69)</f>
        <v>B3</v>
      </c>
      <c r="F69" t="str">
        <f>IF(Allocation!H69="","",Allocation!H69)</f>
        <v>ALT</v>
      </c>
      <c r="G69">
        <f>IF(Allocation!D69="","",Allocation!I69)</f>
        <v>65</v>
      </c>
      <c r="H69">
        <f>IF(Allocation!D69="","",Allocation!J69)</f>
        <v>3</v>
      </c>
      <c r="I69">
        <f>IF(Allocation!D69="","",Allocation!K69)</f>
        <v>509600</v>
      </c>
      <c r="J69">
        <f>IF($A69="","",_xlfn.SUMIFS(Socle!$K$1:$K$448,Socle!$C$1:$C$448,$B69,Socle!$D$1:$D$448,$D69,Socle!$E$1:$E$448,$E69,Socle!$F$1:$F$448,$F69,Socle!$G$1:$G$448,$A69))</f>
        <v>0</v>
      </c>
      <c r="K69">
        <f t="shared" si="0"/>
        <v>1440</v>
      </c>
      <c r="L69">
        <f>IF($A69="","",_xlfn.SUMIFS(Allocation!$I$1:$I$175,Allocation!$C$1:$C$175,$A69,Allocation!$D$1:$D$175,$B69))</f>
        <v>334</v>
      </c>
      <c r="M69">
        <f>IF($A69="","",_xlfn.SUMIFS(Allocation!$J$1:$J$175,Allocation!$C$1:$C$175,$A69,Allocation!$D$1:$D$175,$B69))</f>
        <v>15</v>
      </c>
      <c r="N69">
        <f>IF($A69="","",_xlfn.SUMIFS(Allocation!$K$1:$K$175,Allocation!$C$1:$C$175,$A69,Allocation!$D$1:$D$175,$B69))</f>
        <v>2744480</v>
      </c>
      <c r="O69">
        <f t="shared" si="1"/>
        <v>7200</v>
      </c>
      <c r="P69">
        <f t="shared" si="2"/>
        <v>272</v>
      </c>
      <c r="Q69">
        <f>IF($A69="","",_xlfn.SUMIFS(Allocation!$I$1:$I$175,Allocation!$C$1:$C$175,$A69,Allocation!$E$1:$E$175,$C69))</f>
        <v>779</v>
      </c>
      <c r="R69">
        <f>IF($A69="","",_xlfn.SUMIFS(Allocation!$J$1:$J$175,Allocation!$C$1:$C$175,$A69,Allocation!$E$1:$E$175,$C69))</f>
        <v>35</v>
      </c>
      <c r="S69">
        <f>IF($A69="","",_xlfn.SUMIFS(Allocation!$K$1:$K$175,Allocation!$C$1:$C$175,$A69,Allocation!$E$1:$E$175,$C69))</f>
        <v>5914800</v>
      </c>
      <c r="T69">
        <f>IF($A69="","",_xlfn.SUMIFS(Allocation!$I$1:$I$175,Allocation!$C$1:$C$175,$A69))</f>
        <v>2860</v>
      </c>
      <c r="U69">
        <f>IF($A69="","",_xlfn.SUMIFS(Allocation!$J$1:$J$175,Allocation!$C$1:$C$175,$A69))</f>
        <v>131</v>
      </c>
      <c r="V69">
        <f>IF($A69="","",_xlfn.SUMIFS(Allocation!$K$1:$K$175,Allocation!$C$1:$C$175,$A69))</f>
        <v>21240140</v>
      </c>
      <c r="W69">
        <f>IF($A69="","",_xlfn.SUMIFS(Compta!$F$1:$F$1448,Compta!$A$1:$A$1448,$B69,Compta!$B$1:$B$1448,"621",Compta!$C$1:$C$1448,$A69))</f>
        <v>172844</v>
      </c>
      <c r="X69">
        <f>IF($A69="","",_xlfn.SUMIFS(Compta!$F$1:$F$1448,Compta!$A$1:$A$1448,$B69,Compta!$B$1:$B$1448,"6411",Compta!$C$1:$C$1448,$A69))</f>
        <v>577630</v>
      </c>
      <c r="Y69">
        <f>IF($A69="","",_xlfn.SUMIFS(Compta!$F$1:$F$1448,Compta!$A$1:$A$1448,$B69,Compta!$B$1:$B$1448,"604",Compta!$C$1:$C$1448,$A69)+_xlfn.SUMIFS(Compta!$F$1:$F$1448,Compta!$A$1:$A$1448,$B69,Compta!$B$1:$B$1448,"6063",Compta!$C$1:$C$1448,$A69))</f>
        <v>125720</v>
      </c>
      <c r="Z69">
        <f>IF($A69="","",_xlfn.SUMIFS(Compta!$F$1:$F$1448,Compta!$A$1:$A$1448,$B69,Compta!$B$1:$B$1448,"6231",Compta!$C$1:$C$1448,$A69))</f>
        <v>55272</v>
      </c>
      <c r="AA69">
        <f>IF($A69="","",_xlfn.SUMIFS(Compta!$F$1:$F$1448,Compta!$A$1:$A$1448,$B69,Compta!$B$1:$B$1448,"6413",Compta!$C$1:$C$1448,$A69)+_xlfn.SUMIFS(Compta!$F$1:$F$1448,Compta!$A$1:$A$1448,$B69,Compta!$B$1:$B$1448,"645",Compta!$C$1:$C$1448,$A69)+_xlfn.SUMIFS(Compta!$F$1:$F$1448,Compta!$A$1:$A$1448,$B69,Compta!$B$1:$B$1448,"613",Compta!$C$1:$C$1448,$A69)+_xlfn.SUMIFS(Compta!$F$1:$F$1448,Compta!$A$1:$A$1448,$B69,Compta!$B$1:$B$1448,"615",Compta!$C$1:$C$1448,$A69)+_xlfn.SUMIFS(Compta!$F$1:$F$1448,Compta!$A$1:$A$1448,$B69,Compta!$B$1:$B$1448,"616",Compta!$C$1:$C$1448,$A69)+_xlfn.SUMIFS(Compta!$F$1:$F$1448,Compta!$A$1:$A$1448,$B69,Compta!$B$1:$B$1448,"625",Compta!$C$1:$C$1448,$A69)+_xlfn.SUMIFS(Compta!$F$1:$F$1448,Compta!$A$1:$A$1448,$B69,Compta!$B$1:$B$1448,"63511",Compta!$C$1:$C$1448,$A69))</f>
        <v>1317329</v>
      </c>
      <c r="AB69">
        <f>IF($A69="","",_xlfn.SUMIFS(Compta!$F$1:$F$1448,Compta!$A$1:$A$1448,"GRP",Compta!$B$1:$B$1448,"6414",Compta!$C$1:$C$1448,$A69)+_xlfn.SUMIFS(Compta!$F$1:$F$1448,Compta!$A$1:$A$1448,"GRP",Compta!$B$1:$B$1448,"6226",Compta!$C$1:$C$1448,$A69)+_xlfn.SUMIFS(Compta!$F$1:$F$1448,Compta!$A$1:$A$1448,"GRP",Compta!$B$1:$B$1448,"626",Compta!$C$1:$C$1448,$A69)+_xlfn.SUMIFS(Compta!$F$1:$F$1448,Compta!$A$1:$A$1448,"GRP",Compta!$B$1:$B$1448,"6281",Compta!$C$1:$C$1448,$A69)+_xlfn.SUMIFS(Compta!$F$1:$F$1448,Compta!$A$1:$A$1448,"GRP",Compta!$B$1:$B$1448,"6331",Compta!$C$1:$C$1448,$A69)+_xlfn.SUMIFS(Compta!$F$1:$F$1448,Compta!$A$1:$A$1448,"GRP",Compta!$B$1:$B$1448,"6333",Compta!$C$1:$C$1448,$A69))</f>
        <v>2760232</v>
      </c>
      <c r="AC69" t="s">
        <v>274</v>
      </c>
      <c r="AD69" t="s">
        <v>274</v>
      </c>
      <c r="AE69" t="s">
        <v>274</v>
      </c>
      <c r="AF69" t="s">
        <v>274</v>
      </c>
      <c r="AG69" t="s">
        <v>274</v>
      </c>
      <c r="AH69" t="s">
        <v>274</v>
      </c>
      <c r="AI69">
        <f t="shared" si="3"/>
        <v>34568.8</v>
      </c>
      <c r="AJ69">
        <f t="shared" si="4"/>
        <v>115526</v>
      </c>
      <c r="AK69">
        <f t="shared" si="5"/>
        <v>24466.4670658683</v>
      </c>
      <c r="AL69">
        <f t="shared" si="6"/>
        <v>0</v>
      </c>
      <c r="AM69">
        <f t="shared" si="7"/>
        <v>0</v>
      </c>
      <c r="AN69">
        <f t="shared" si="8"/>
        <v>335038.732934132</v>
      </c>
      <c r="AO69">
        <f>IF($A69="","",_xlfn.SUMIFS(Compta!$F$1:$F$1448,Compta!$A$1:$A$1448,"GRP",Compta!$B$1:$B$1448,"6236",Compta!$C$1:$C$1448,$A69))</f>
        <v>580167</v>
      </c>
      <c r="AP69" t="s">
        <v>274</v>
      </c>
      <c r="AQ69" t="s">
        <v>274</v>
      </c>
      <c r="AR69">
        <f t="shared" si="9"/>
        <v>0</v>
      </c>
    </row>
    <row r="70" ht="14.25" customHeight="1">
      <c r="A70" t="str">
        <f>IF(Allocation!C70="","",Allocation!C70)</f>
        <v>2025</v>
      </c>
      <c r="B70" t="str">
        <f>IF(Allocation!D70="","",Allocation!D70)</f>
        <v>ISCOM_PAR</v>
      </c>
      <c r="C70" t="str">
        <f>IF(Allocation!E70="","",Allocation!E70)</f>
        <v>ISCOM</v>
      </c>
      <c r="D70" t="str">
        <f>IF(Allocation!F70="","",Allocation!F70)</f>
        <v>MAS_COM</v>
      </c>
      <c r="E70" t="str">
        <f>IF(Allocation!G70="","",Allocation!G70)</f>
        <v>M1</v>
      </c>
      <c r="F70" t="str">
        <f>IF(Allocation!H70="","",Allocation!H70)</f>
        <v>ALT</v>
      </c>
      <c r="G70">
        <f>IF(Allocation!D70="","",Allocation!I70)</f>
        <v>68</v>
      </c>
      <c r="H70">
        <f>IF(Allocation!D70="","",Allocation!J70)</f>
        <v>3</v>
      </c>
      <c r="I70">
        <f>IF(Allocation!D70="","",Allocation!K70)</f>
        <v>577320</v>
      </c>
      <c r="J70">
        <f>IF($A70="","",_xlfn.SUMIFS(Socle!$K$1:$K$448,Socle!$C$1:$C$448,$B70,Socle!$D$1:$D$448,$D70,Socle!$E$1:$E$448,$E70,Socle!$F$1:$F$448,$F70,Socle!$G$1:$G$448,$A70))</f>
        <v>136</v>
      </c>
      <c r="K70">
        <f t="shared" si="0"/>
        <v>1260</v>
      </c>
      <c r="L70">
        <f>IF($A70="","",_xlfn.SUMIFS(Allocation!$I$1:$I$175,Allocation!$C$1:$C$175,$A70,Allocation!$D$1:$D$175,$B70))</f>
        <v>334</v>
      </c>
      <c r="M70">
        <f>IF($A70="","",_xlfn.SUMIFS(Allocation!$J$1:$J$175,Allocation!$C$1:$C$175,$A70,Allocation!$D$1:$D$175,$B70))</f>
        <v>15</v>
      </c>
      <c r="N70">
        <f>IF($A70="","",_xlfn.SUMIFS(Allocation!$K$1:$K$175,Allocation!$C$1:$C$175,$A70,Allocation!$D$1:$D$175,$B70))</f>
        <v>2744480</v>
      </c>
      <c r="O70">
        <f t="shared" si="1"/>
        <v>7200</v>
      </c>
      <c r="P70">
        <f t="shared" si="2"/>
        <v>272</v>
      </c>
      <c r="Q70">
        <f>IF($A70="","",_xlfn.SUMIFS(Allocation!$I$1:$I$175,Allocation!$C$1:$C$175,$A70,Allocation!$E$1:$E$175,$C70))</f>
        <v>779</v>
      </c>
      <c r="R70">
        <f>IF($A70="","",_xlfn.SUMIFS(Allocation!$J$1:$J$175,Allocation!$C$1:$C$175,$A70,Allocation!$E$1:$E$175,$C70))</f>
        <v>35</v>
      </c>
      <c r="S70">
        <f>IF($A70="","",_xlfn.SUMIFS(Allocation!$K$1:$K$175,Allocation!$C$1:$C$175,$A70,Allocation!$E$1:$E$175,$C70))</f>
        <v>5914800</v>
      </c>
      <c r="T70">
        <f>IF($A70="","",_xlfn.SUMIFS(Allocation!$I$1:$I$175,Allocation!$C$1:$C$175,$A70))</f>
        <v>2860</v>
      </c>
      <c r="U70">
        <f>IF($A70="","",_xlfn.SUMIFS(Allocation!$J$1:$J$175,Allocation!$C$1:$C$175,$A70))</f>
        <v>131</v>
      </c>
      <c r="V70">
        <f>IF($A70="","",_xlfn.SUMIFS(Allocation!$K$1:$K$175,Allocation!$C$1:$C$175,$A70))</f>
        <v>21240140</v>
      </c>
      <c r="W70">
        <f>IF($A70="","",_xlfn.SUMIFS(Compta!$F$1:$F$1448,Compta!$A$1:$A$1448,$B70,Compta!$B$1:$B$1448,"621",Compta!$C$1:$C$1448,$A70))</f>
        <v>172844</v>
      </c>
      <c r="X70">
        <f>IF($A70="","",_xlfn.SUMIFS(Compta!$F$1:$F$1448,Compta!$A$1:$A$1448,$B70,Compta!$B$1:$B$1448,"6411",Compta!$C$1:$C$1448,$A70))</f>
        <v>577630</v>
      </c>
      <c r="Y70">
        <f>IF($A70="","",_xlfn.SUMIFS(Compta!$F$1:$F$1448,Compta!$A$1:$A$1448,$B70,Compta!$B$1:$B$1448,"604",Compta!$C$1:$C$1448,$A70)+_xlfn.SUMIFS(Compta!$F$1:$F$1448,Compta!$A$1:$A$1448,$B70,Compta!$B$1:$B$1448,"6063",Compta!$C$1:$C$1448,$A70))</f>
        <v>125720</v>
      </c>
      <c r="Z70">
        <f>IF($A70="","",_xlfn.SUMIFS(Compta!$F$1:$F$1448,Compta!$A$1:$A$1448,$B70,Compta!$B$1:$B$1448,"6231",Compta!$C$1:$C$1448,$A70))</f>
        <v>55272</v>
      </c>
      <c r="AA70">
        <f>IF($A70="","",_xlfn.SUMIFS(Compta!$F$1:$F$1448,Compta!$A$1:$A$1448,$B70,Compta!$B$1:$B$1448,"6413",Compta!$C$1:$C$1448,$A70)+_xlfn.SUMIFS(Compta!$F$1:$F$1448,Compta!$A$1:$A$1448,$B70,Compta!$B$1:$B$1448,"645",Compta!$C$1:$C$1448,$A70)+_xlfn.SUMIFS(Compta!$F$1:$F$1448,Compta!$A$1:$A$1448,$B70,Compta!$B$1:$B$1448,"613",Compta!$C$1:$C$1448,$A70)+_xlfn.SUMIFS(Compta!$F$1:$F$1448,Compta!$A$1:$A$1448,$B70,Compta!$B$1:$B$1448,"615",Compta!$C$1:$C$1448,$A70)+_xlfn.SUMIFS(Compta!$F$1:$F$1448,Compta!$A$1:$A$1448,$B70,Compta!$B$1:$B$1448,"616",Compta!$C$1:$C$1448,$A70)+_xlfn.SUMIFS(Compta!$F$1:$F$1448,Compta!$A$1:$A$1448,$B70,Compta!$B$1:$B$1448,"625",Compta!$C$1:$C$1448,$A70)+_xlfn.SUMIFS(Compta!$F$1:$F$1448,Compta!$A$1:$A$1448,$B70,Compta!$B$1:$B$1448,"63511",Compta!$C$1:$C$1448,$A70))</f>
        <v>1317329</v>
      </c>
      <c r="AB70">
        <f>IF($A70="","",_xlfn.SUMIFS(Compta!$F$1:$F$1448,Compta!$A$1:$A$1448,"GRP",Compta!$B$1:$B$1448,"6414",Compta!$C$1:$C$1448,$A70)+_xlfn.SUMIFS(Compta!$F$1:$F$1448,Compta!$A$1:$A$1448,"GRP",Compta!$B$1:$B$1448,"6226",Compta!$C$1:$C$1448,$A70)+_xlfn.SUMIFS(Compta!$F$1:$F$1448,Compta!$A$1:$A$1448,"GRP",Compta!$B$1:$B$1448,"626",Compta!$C$1:$C$1448,$A70)+_xlfn.SUMIFS(Compta!$F$1:$F$1448,Compta!$A$1:$A$1448,"GRP",Compta!$B$1:$B$1448,"6281",Compta!$C$1:$C$1448,$A70)+_xlfn.SUMIFS(Compta!$F$1:$F$1448,Compta!$A$1:$A$1448,"GRP",Compta!$B$1:$B$1448,"6331",Compta!$C$1:$C$1448,$A70)+_xlfn.SUMIFS(Compta!$F$1:$F$1448,Compta!$A$1:$A$1448,"GRP",Compta!$B$1:$B$1448,"6333",Compta!$C$1:$C$1448,$A70))</f>
        <v>2760232</v>
      </c>
      <c r="AC70" t="s">
        <v>274</v>
      </c>
      <c r="AD70" t="s">
        <v>274</v>
      </c>
      <c r="AE70" t="s">
        <v>274</v>
      </c>
      <c r="AF70" t="s">
        <v>274</v>
      </c>
      <c r="AG70" t="s">
        <v>274</v>
      </c>
      <c r="AH70" t="s">
        <v>274</v>
      </c>
      <c r="AI70">
        <f t="shared" si="3"/>
        <v>30247.7</v>
      </c>
      <c r="AJ70">
        <f t="shared" si="4"/>
        <v>101085.25</v>
      </c>
      <c r="AK70">
        <f t="shared" si="5"/>
        <v>53231.6886227545</v>
      </c>
      <c r="AL70">
        <f t="shared" si="6"/>
        <v>0</v>
      </c>
      <c r="AM70">
        <f t="shared" si="7"/>
        <v>0</v>
      </c>
      <c r="AN70">
        <f t="shared" si="8"/>
        <v>392755.361377246</v>
      </c>
      <c r="AO70">
        <f>IF($A70="","",_xlfn.SUMIFS(Compta!$F$1:$F$1448,Compta!$A$1:$A$1448,"GRP",Compta!$B$1:$B$1448,"6236",Compta!$C$1:$C$1448,$A70))</f>
        <v>580167</v>
      </c>
      <c r="AP70" t="s">
        <v>274</v>
      </c>
      <c r="AQ70" t="s">
        <v>274</v>
      </c>
      <c r="AR70">
        <f t="shared" si="9"/>
        <v>0</v>
      </c>
    </row>
    <row r="71" ht="14.25" customHeight="1">
      <c r="A71" t="str">
        <f>IF(Allocation!C71="","",Allocation!C71)</f>
        <v>2025</v>
      </c>
      <c r="B71" t="str">
        <f>IF(Allocation!D71="","",Allocation!D71)</f>
        <v>ISCOM_PAR</v>
      </c>
      <c r="C71" t="str">
        <f>IF(Allocation!E71="","",Allocation!E71)</f>
        <v>ISCOM</v>
      </c>
      <c r="D71" t="str">
        <f>IF(Allocation!F71="","",Allocation!F71)</f>
        <v>MAS_COM</v>
      </c>
      <c r="E71" t="str">
        <f>IF(Allocation!G71="","",Allocation!G71)</f>
        <v>M2</v>
      </c>
      <c r="F71" t="str">
        <f>IF(Allocation!H71="","",Allocation!H71)</f>
        <v>ALT</v>
      </c>
      <c r="G71">
        <f>IF(Allocation!D71="","",Allocation!I71)</f>
        <v>67</v>
      </c>
      <c r="H71">
        <f>IF(Allocation!D71="","",Allocation!J71)</f>
        <v>3</v>
      </c>
      <c r="I71">
        <f>IF(Allocation!D71="","",Allocation!K71)</f>
        <v>562800</v>
      </c>
      <c r="J71">
        <f>IF($A71="","",_xlfn.SUMIFS(Socle!$K$1:$K$448,Socle!$C$1:$C$448,$B71,Socle!$D$1:$D$448,$D71,Socle!$E$1:$E$448,$E71,Socle!$F$1:$F$448,$F71,Socle!$G$1:$G$448,$A71))</f>
        <v>0</v>
      </c>
      <c r="K71">
        <f t="shared" si="0"/>
        <v>1260</v>
      </c>
      <c r="L71">
        <f>IF($A71="","",_xlfn.SUMIFS(Allocation!$I$1:$I$175,Allocation!$C$1:$C$175,$A71,Allocation!$D$1:$D$175,$B71))</f>
        <v>334</v>
      </c>
      <c r="M71">
        <f>IF($A71="","",_xlfn.SUMIFS(Allocation!$J$1:$J$175,Allocation!$C$1:$C$175,$A71,Allocation!$D$1:$D$175,$B71))</f>
        <v>15</v>
      </c>
      <c r="N71">
        <f>IF($A71="","",_xlfn.SUMIFS(Allocation!$K$1:$K$175,Allocation!$C$1:$C$175,$A71,Allocation!$D$1:$D$175,$B71))</f>
        <v>2744480</v>
      </c>
      <c r="O71">
        <f t="shared" si="1"/>
        <v>7200</v>
      </c>
      <c r="P71">
        <f t="shared" si="2"/>
        <v>272</v>
      </c>
      <c r="Q71">
        <f>IF($A71="","",_xlfn.SUMIFS(Allocation!$I$1:$I$175,Allocation!$C$1:$C$175,$A71,Allocation!$E$1:$E$175,$C71))</f>
        <v>779</v>
      </c>
      <c r="R71">
        <f>IF($A71="","",_xlfn.SUMIFS(Allocation!$J$1:$J$175,Allocation!$C$1:$C$175,$A71,Allocation!$E$1:$E$175,$C71))</f>
        <v>35</v>
      </c>
      <c r="S71">
        <f>IF($A71="","",_xlfn.SUMIFS(Allocation!$K$1:$K$175,Allocation!$C$1:$C$175,$A71,Allocation!$E$1:$E$175,$C71))</f>
        <v>5914800</v>
      </c>
      <c r="T71">
        <f>IF($A71="","",_xlfn.SUMIFS(Allocation!$I$1:$I$175,Allocation!$C$1:$C$175,$A71))</f>
        <v>2860</v>
      </c>
      <c r="U71">
        <f>IF($A71="","",_xlfn.SUMIFS(Allocation!$J$1:$J$175,Allocation!$C$1:$C$175,$A71))</f>
        <v>131</v>
      </c>
      <c r="V71">
        <f>IF($A71="","",_xlfn.SUMIFS(Allocation!$K$1:$K$175,Allocation!$C$1:$C$175,$A71))</f>
        <v>21240140</v>
      </c>
      <c r="W71">
        <f>IF($A71="","",_xlfn.SUMIFS(Compta!$F$1:$F$1448,Compta!$A$1:$A$1448,$B71,Compta!$B$1:$B$1448,"621",Compta!$C$1:$C$1448,$A71))</f>
        <v>172844</v>
      </c>
      <c r="X71">
        <f>IF($A71="","",_xlfn.SUMIFS(Compta!$F$1:$F$1448,Compta!$A$1:$A$1448,$B71,Compta!$B$1:$B$1448,"6411",Compta!$C$1:$C$1448,$A71))</f>
        <v>577630</v>
      </c>
      <c r="Y71">
        <f>IF($A71="","",_xlfn.SUMIFS(Compta!$F$1:$F$1448,Compta!$A$1:$A$1448,$B71,Compta!$B$1:$B$1448,"604",Compta!$C$1:$C$1448,$A71)+_xlfn.SUMIFS(Compta!$F$1:$F$1448,Compta!$A$1:$A$1448,$B71,Compta!$B$1:$B$1448,"6063",Compta!$C$1:$C$1448,$A71))</f>
        <v>125720</v>
      </c>
      <c r="Z71">
        <f>IF($A71="","",_xlfn.SUMIFS(Compta!$F$1:$F$1448,Compta!$A$1:$A$1448,$B71,Compta!$B$1:$B$1448,"6231",Compta!$C$1:$C$1448,$A71))</f>
        <v>55272</v>
      </c>
      <c r="AA71">
        <f>IF($A71="","",_xlfn.SUMIFS(Compta!$F$1:$F$1448,Compta!$A$1:$A$1448,$B71,Compta!$B$1:$B$1448,"6413",Compta!$C$1:$C$1448,$A71)+_xlfn.SUMIFS(Compta!$F$1:$F$1448,Compta!$A$1:$A$1448,$B71,Compta!$B$1:$B$1448,"645",Compta!$C$1:$C$1448,$A71)+_xlfn.SUMIFS(Compta!$F$1:$F$1448,Compta!$A$1:$A$1448,$B71,Compta!$B$1:$B$1448,"613",Compta!$C$1:$C$1448,$A71)+_xlfn.SUMIFS(Compta!$F$1:$F$1448,Compta!$A$1:$A$1448,$B71,Compta!$B$1:$B$1448,"615",Compta!$C$1:$C$1448,$A71)+_xlfn.SUMIFS(Compta!$F$1:$F$1448,Compta!$A$1:$A$1448,$B71,Compta!$B$1:$B$1448,"616",Compta!$C$1:$C$1448,$A71)+_xlfn.SUMIFS(Compta!$F$1:$F$1448,Compta!$A$1:$A$1448,$B71,Compta!$B$1:$B$1448,"625",Compta!$C$1:$C$1448,$A71)+_xlfn.SUMIFS(Compta!$F$1:$F$1448,Compta!$A$1:$A$1448,$B71,Compta!$B$1:$B$1448,"63511",Compta!$C$1:$C$1448,$A71))</f>
        <v>1317329</v>
      </c>
      <c r="AB71">
        <f>IF($A71="","",_xlfn.SUMIFS(Compta!$F$1:$F$1448,Compta!$A$1:$A$1448,"GRP",Compta!$B$1:$B$1448,"6414",Compta!$C$1:$C$1448,$A71)+_xlfn.SUMIFS(Compta!$F$1:$F$1448,Compta!$A$1:$A$1448,"GRP",Compta!$B$1:$B$1448,"6226",Compta!$C$1:$C$1448,$A71)+_xlfn.SUMIFS(Compta!$F$1:$F$1448,Compta!$A$1:$A$1448,"GRP",Compta!$B$1:$B$1448,"626",Compta!$C$1:$C$1448,$A71)+_xlfn.SUMIFS(Compta!$F$1:$F$1448,Compta!$A$1:$A$1448,"GRP",Compta!$B$1:$B$1448,"6281",Compta!$C$1:$C$1448,$A71)+_xlfn.SUMIFS(Compta!$F$1:$F$1448,Compta!$A$1:$A$1448,"GRP",Compta!$B$1:$B$1448,"6331",Compta!$C$1:$C$1448,$A71)+_xlfn.SUMIFS(Compta!$F$1:$F$1448,Compta!$A$1:$A$1448,"GRP",Compta!$B$1:$B$1448,"6333",Compta!$C$1:$C$1448,$A71))</f>
        <v>2760232</v>
      </c>
      <c r="AC71" t="s">
        <v>274</v>
      </c>
      <c r="AD71" t="s">
        <v>274</v>
      </c>
      <c r="AE71" t="s">
        <v>274</v>
      </c>
      <c r="AF71" t="s">
        <v>274</v>
      </c>
      <c r="AG71" t="s">
        <v>274</v>
      </c>
      <c r="AH71" t="s">
        <v>274</v>
      </c>
      <c r="AI71">
        <f t="shared" si="3"/>
        <v>30247.7</v>
      </c>
      <c r="AJ71">
        <f t="shared" si="4"/>
        <v>101085.25</v>
      </c>
      <c r="AK71">
        <f t="shared" si="5"/>
        <v>25219.2814371257</v>
      </c>
      <c r="AL71">
        <f t="shared" si="6"/>
        <v>0</v>
      </c>
      <c r="AM71">
        <f t="shared" si="7"/>
        <v>0</v>
      </c>
      <c r="AN71">
        <f t="shared" si="8"/>
        <v>406247.768562874</v>
      </c>
      <c r="AO71">
        <f>IF($A71="","",_xlfn.SUMIFS(Compta!$F$1:$F$1448,Compta!$A$1:$A$1448,"GRP",Compta!$B$1:$B$1448,"6236",Compta!$C$1:$C$1448,$A71))</f>
        <v>580167</v>
      </c>
      <c r="AP71" t="s">
        <v>274</v>
      </c>
      <c r="AQ71" t="s">
        <v>274</v>
      </c>
      <c r="AR71">
        <f t="shared" si="9"/>
        <v>0</v>
      </c>
    </row>
    <row r="72" ht="14.25" customHeight="1">
      <c r="A72" t="str">
        <f>IF(Allocation!C72="","",Allocation!C72)</f>
        <v>2024</v>
      </c>
      <c r="B72" t="str">
        <f>IF(Allocation!D72="","",Allocation!D72)</f>
        <v>ISCOM_PAR</v>
      </c>
      <c r="C72" t="str">
        <f>IF(Allocation!E72="","",Allocation!E72)</f>
        <v>ISCOM</v>
      </c>
      <c r="D72" t="str">
        <f>IF(Allocation!F72="","",Allocation!F72)</f>
        <v>BAC_COM</v>
      </c>
      <c r="E72" t="str">
        <f>IF(Allocation!G72="","",Allocation!G72)</f>
        <v>B1</v>
      </c>
      <c r="F72" t="str">
        <f>IF(Allocation!H72="","",Allocation!H72)</f>
        <v>INIT</v>
      </c>
      <c r="G72">
        <f>IF(Allocation!D72="","",Allocation!I72)</f>
        <v>64</v>
      </c>
      <c r="H72">
        <f>IF(Allocation!D72="","",Allocation!J72)</f>
        <v>3</v>
      </c>
      <c r="I72">
        <f>IF(Allocation!D72="","",Allocation!K72)</f>
        <v>543360</v>
      </c>
      <c r="J72">
        <f>IF($A72="","",_xlfn.SUMIFS(Socle!$K$1:$K$448,Socle!$C$1:$C$448,$B72,Socle!$D$1:$D$448,$D72,Socle!$E$1:$E$448,$E72,Socle!$F$1:$F$448,$F72,Socle!$G$1:$G$448,$A72))</f>
        <v>128</v>
      </c>
      <c r="K72">
        <f t="shared" si="0"/>
        <v>1800</v>
      </c>
      <c r="L72">
        <f>IF($A72="","",_xlfn.SUMIFS(Allocation!$I$1:$I$175,Allocation!$C$1:$C$175,$A72,Allocation!$D$1:$D$175,$B72))</f>
        <v>314</v>
      </c>
      <c r="M72">
        <f>IF($A72="","",_xlfn.SUMIFS(Allocation!$J$1:$J$175,Allocation!$C$1:$C$175,$A72,Allocation!$D$1:$D$175,$B72))</f>
        <v>15</v>
      </c>
      <c r="N72">
        <f>IF($A72="","",_xlfn.SUMIFS(Allocation!$K$1:$K$175,Allocation!$C$1:$C$175,$A72,Allocation!$D$1:$D$175,$B72))</f>
        <v>2580240</v>
      </c>
      <c r="O72">
        <f t="shared" si="1"/>
        <v>7200</v>
      </c>
      <c r="P72">
        <f t="shared" si="2"/>
        <v>256</v>
      </c>
      <c r="Q72">
        <f>IF($A72="","",_xlfn.SUMIFS(Allocation!$I$1:$I$175,Allocation!$C$1:$C$175,$A72,Allocation!$E$1:$E$175,$C72))</f>
        <v>737</v>
      </c>
      <c r="R72">
        <f>IF($A72="","",_xlfn.SUMIFS(Allocation!$J$1:$J$175,Allocation!$C$1:$C$175,$A72,Allocation!$E$1:$E$175,$C72))</f>
        <v>35</v>
      </c>
      <c r="S72">
        <f>IF($A72="","",_xlfn.SUMIFS(Allocation!$K$1:$K$175,Allocation!$C$1:$C$175,$A72,Allocation!$E$1:$E$175,$C72))</f>
        <v>5593340</v>
      </c>
      <c r="T72">
        <f>IF($A72="","",_xlfn.SUMIFS(Allocation!$I$1:$I$175,Allocation!$C$1:$C$175,$A72))</f>
        <v>2704</v>
      </c>
      <c r="U72">
        <f>IF($A72="","",_xlfn.SUMIFS(Allocation!$J$1:$J$175,Allocation!$C$1:$C$175,$A72))</f>
        <v>131</v>
      </c>
      <c r="V72">
        <f>IF($A72="","",_xlfn.SUMIFS(Allocation!$K$1:$K$175,Allocation!$C$1:$C$175,$A72))</f>
        <v>20076860</v>
      </c>
      <c r="W72">
        <f>IF($A72="","",_xlfn.SUMIFS(Compta!$F$1:$F$1448,Compta!$A$1:$A$1448,$B72,Compta!$B$1:$B$1448,"621",Compta!$C$1:$C$1448,$A72))</f>
        <v>165271</v>
      </c>
      <c r="X72">
        <f>IF($A72="","",_xlfn.SUMIFS(Compta!$F$1:$F$1448,Compta!$A$1:$A$1448,$B72,Compta!$B$1:$B$1448,"6411",Compta!$C$1:$C$1448,$A72))</f>
        <v>552322</v>
      </c>
      <c r="Y72">
        <f>IF($A72="","",_xlfn.SUMIFS(Compta!$F$1:$F$1448,Compta!$A$1:$A$1448,$B72,Compta!$B$1:$B$1448,"604",Compta!$C$1:$C$1448,$A72)+_xlfn.SUMIFS(Compta!$F$1:$F$1448,Compta!$A$1:$A$1448,$B72,Compta!$B$1:$B$1448,"6063",Compta!$C$1:$C$1448,$A72))</f>
        <v>120212</v>
      </c>
      <c r="Z72">
        <f>IF($A72="","",_xlfn.SUMIFS(Compta!$F$1:$F$1448,Compta!$A$1:$A$1448,$B72,Compta!$B$1:$B$1448,"6231",Compta!$C$1:$C$1448,$A72))</f>
        <v>50248</v>
      </c>
      <c r="AA72">
        <f>IF($A72="","",_xlfn.SUMIFS(Compta!$F$1:$F$1448,Compta!$A$1:$A$1448,$B72,Compta!$B$1:$B$1448,"6413",Compta!$C$1:$C$1448,$A72)+_xlfn.SUMIFS(Compta!$F$1:$F$1448,Compta!$A$1:$A$1448,$B72,Compta!$B$1:$B$1448,"645",Compta!$C$1:$C$1448,$A72)+_xlfn.SUMIFS(Compta!$F$1:$F$1448,Compta!$A$1:$A$1448,$B72,Compta!$B$1:$B$1448,"613",Compta!$C$1:$C$1448,$A72)+_xlfn.SUMIFS(Compta!$F$1:$F$1448,Compta!$A$1:$A$1448,$B72,Compta!$B$1:$B$1448,"615",Compta!$C$1:$C$1448,$A72)+_xlfn.SUMIFS(Compta!$F$1:$F$1448,Compta!$A$1:$A$1448,$B72,Compta!$B$1:$B$1448,"616",Compta!$C$1:$C$1448,$A72)+_xlfn.SUMIFS(Compta!$F$1:$F$1448,Compta!$A$1:$A$1448,$B72,Compta!$B$1:$B$1448,"625",Compta!$C$1:$C$1448,$A72)+_xlfn.SUMIFS(Compta!$F$1:$F$1448,Compta!$A$1:$A$1448,$B72,Compta!$B$1:$B$1448,"63511",Compta!$C$1:$C$1448,$A72))</f>
        <v>1259611</v>
      </c>
      <c r="AB72">
        <f>IF($A72="","",_xlfn.SUMIFS(Compta!$F$1:$F$1448,Compta!$A$1:$A$1448,"GRP",Compta!$B$1:$B$1448,"6414",Compta!$C$1:$C$1448,$A72)+_xlfn.SUMIFS(Compta!$F$1:$F$1448,Compta!$A$1:$A$1448,"GRP",Compta!$B$1:$B$1448,"6226",Compta!$C$1:$C$1448,$A72)+_xlfn.SUMIFS(Compta!$F$1:$F$1448,Compta!$A$1:$A$1448,"GRP",Compta!$B$1:$B$1448,"626",Compta!$C$1:$C$1448,$A72)+_xlfn.SUMIFS(Compta!$F$1:$F$1448,Compta!$A$1:$A$1448,"GRP",Compta!$B$1:$B$1448,"6281",Compta!$C$1:$C$1448,$A72)+_xlfn.SUMIFS(Compta!$F$1:$F$1448,Compta!$A$1:$A$1448,"GRP",Compta!$B$1:$B$1448,"6331",Compta!$C$1:$C$1448,$A72)+_xlfn.SUMIFS(Compta!$F$1:$F$1448,Compta!$A$1:$A$1448,"GRP",Compta!$B$1:$B$1448,"6333",Compta!$C$1:$C$1448,$A72))</f>
        <v>2639292</v>
      </c>
      <c r="AC72" t="s">
        <v>274</v>
      </c>
      <c r="AD72" t="s">
        <v>274</v>
      </c>
      <c r="AE72" t="s">
        <v>274</v>
      </c>
      <c r="AF72" t="s">
        <v>274</v>
      </c>
      <c r="AG72" t="s">
        <v>274</v>
      </c>
      <c r="AH72" t="s">
        <v>274</v>
      </c>
      <c r="AI72">
        <f t="shared" si="3"/>
        <v>41317.75</v>
      </c>
      <c r="AJ72">
        <f t="shared" si="4"/>
        <v>138080.5</v>
      </c>
      <c r="AK72">
        <f t="shared" si="5"/>
        <v>49625.8089171975</v>
      </c>
      <c r="AL72">
        <f t="shared" si="6"/>
        <v>0</v>
      </c>
      <c r="AM72">
        <f t="shared" si="7"/>
        <v>0</v>
      </c>
      <c r="AN72">
        <f t="shared" si="8"/>
        <v>314335.941082802</v>
      </c>
      <c r="AO72">
        <f>IF($A72="","",_xlfn.SUMIFS(Compta!$F$1:$F$1448,Compta!$A$1:$A$1448,"GRP",Compta!$B$1:$B$1448,"6236",Compta!$C$1:$C$1448,$A72))</f>
        <v>499926</v>
      </c>
      <c r="AP72" t="s">
        <v>274</v>
      </c>
      <c r="AQ72" t="s">
        <v>274</v>
      </c>
      <c r="AR72">
        <f t="shared" si="9"/>
        <v>0</v>
      </c>
    </row>
    <row r="73" ht="14.25" customHeight="1">
      <c r="A73" t="str">
        <f>IF(Allocation!C73="","",Allocation!C73)</f>
        <v>2024</v>
      </c>
      <c r="B73" t="str">
        <f>IF(Allocation!D73="","",Allocation!D73)</f>
        <v>ISCOM_PAR</v>
      </c>
      <c r="C73" t="str">
        <f>IF(Allocation!E73="","",Allocation!E73)</f>
        <v>ISCOM</v>
      </c>
      <c r="D73" t="str">
        <f>IF(Allocation!F73="","",Allocation!F73)</f>
        <v>BAC_COM</v>
      </c>
      <c r="E73" t="str">
        <f>IF(Allocation!G73="","",Allocation!G73)</f>
        <v>B2</v>
      </c>
      <c r="F73" t="str">
        <f>IF(Allocation!H73="","",Allocation!H73)</f>
        <v>ALT</v>
      </c>
      <c r="G73">
        <f>IF(Allocation!D73="","",Allocation!I73)</f>
        <v>62</v>
      </c>
      <c r="H73">
        <f>IF(Allocation!D73="","",Allocation!J73)</f>
        <v>3</v>
      </c>
      <c r="I73">
        <f>IF(Allocation!D73="","",Allocation!K73)</f>
        <v>486080</v>
      </c>
      <c r="J73">
        <f>IF($A73="","",_xlfn.SUMIFS(Socle!$K$1:$K$448,Socle!$C$1:$C$448,$B73,Socle!$D$1:$D$448,$D73,Socle!$E$1:$E$448,$E73,Socle!$F$1:$F$448,$F73,Socle!$G$1:$G$448,$A73))</f>
        <v>0</v>
      </c>
      <c r="K73">
        <f t="shared" si="0"/>
        <v>1440</v>
      </c>
      <c r="L73">
        <f>IF($A73="","",_xlfn.SUMIFS(Allocation!$I$1:$I$175,Allocation!$C$1:$C$175,$A73,Allocation!$D$1:$D$175,$B73))</f>
        <v>314</v>
      </c>
      <c r="M73">
        <f>IF($A73="","",_xlfn.SUMIFS(Allocation!$J$1:$J$175,Allocation!$C$1:$C$175,$A73,Allocation!$D$1:$D$175,$B73))</f>
        <v>15</v>
      </c>
      <c r="N73">
        <f>IF($A73="","",_xlfn.SUMIFS(Allocation!$K$1:$K$175,Allocation!$C$1:$C$175,$A73,Allocation!$D$1:$D$175,$B73))</f>
        <v>2580240</v>
      </c>
      <c r="O73">
        <f t="shared" si="1"/>
        <v>7200</v>
      </c>
      <c r="P73">
        <f t="shared" si="2"/>
        <v>256</v>
      </c>
      <c r="Q73">
        <f>IF($A73="","",_xlfn.SUMIFS(Allocation!$I$1:$I$175,Allocation!$C$1:$C$175,$A73,Allocation!$E$1:$E$175,$C73))</f>
        <v>737</v>
      </c>
      <c r="R73">
        <f>IF($A73="","",_xlfn.SUMIFS(Allocation!$J$1:$J$175,Allocation!$C$1:$C$175,$A73,Allocation!$E$1:$E$175,$C73))</f>
        <v>35</v>
      </c>
      <c r="S73">
        <f>IF($A73="","",_xlfn.SUMIFS(Allocation!$K$1:$K$175,Allocation!$C$1:$C$175,$A73,Allocation!$E$1:$E$175,$C73))</f>
        <v>5593340</v>
      </c>
      <c r="T73">
        <f>IF($A73="","",_xlfn.SUMIFS(Allocation!$I$1:$I$175,Allocation!$C$1:$C$175,$A73))</f>
        <v>2704</v>
      </c>
      <c r="U73">
        <f>IF($A73="","",_xlfn.SUMIFS(Allocation!$J$1:$J$175,Allocation!$C$1:$C$175,$A73))</f>
        <v>131</v>
      </c>
      <c r="V73">
        <f>IF($A73="","",_xlfn.SUMIFS(Allocation!$K$1:$K$175,Allocation!$C$1:$C$175,$A73))</f>
        <v>20076860</v>
      </c>
      <c r="W73">
        <f>IF($A73="","",_xlfn.SUMIFS(Compta!$F$1:$F$1448,Compta!$A$1:$A$1448,$B73,Compta!$B$1:$B$1448,"621",Compta!$C$1:$C$1448,$A73))</f>
        <v>165271</v>
      </c>
      <c r="X73">
        <f>IF($A73="","",_xlfn.SUMIFS(Compta!$F$1:$F$1448,Compta!$A$1:$A$1448,$B73,Compta!$B$1:$B$1448,"6411",Compta!$C$1:$C$1448,$A73))</f>
        <v>552322</v>
      </c>
      <c r="Y73">
        <f>IF($A73="","",_xlfn.SUMIFS(Compta!$F$1:$F$1448,Compta!$A$1:$A$1448,$B73,Compta!$B$1:$B$1448,"604",Compta!$C$1:$C$1448,$A73)+_xlfn.SUMIFS(Compta!$F$1:$F$1448,Compta!$A$1:$A$1448,$B73,Compta!$B$1:$B$1448,"6063",Compta!$C$1:$C$1448,$A73))</f>
        <v>120212</v>
      </c>
      <c r="Z73">
        <f>IF($A73="","",_xlfn.SUMIFS(Compta!$F$1:$F$1448,Compta!$A$1:$A$1448,$B73,Compta!$B$1:$B$1448,"6231",Compta!$C$1:$C$1448,$A73))</f>
        <v>50248</v>
      </c>
      <c r="AA73">
        <f>IF($A73="","",_xlfn.SUMIFS(Compta!$F$1:$F$1448,Compta!$A$1:$A$1448,$B73,Compta!$B$1:$B$1448,"6413",Compta!$C$1:$C$1448,$A73)+_xlfn.SUMIFS(Compta!$F$1:$F$1448,Compta!$A$1:$A$1448,$B73,Compta!$B$1:$B$1448,"645",Compta!$C$1:$C$1448,$A73)+_xlfn.SUMIFS(Compta!$F$1:$F$1448,Compta!$A$1:$A$1448,$B73,Compta!$B$1:$B$1448,"613",Compta!$C$1:$C$1448,$A73)+_xlfn.SUMIFS(Compta!$F$1:$F$1448,Compta!$A$1:$A$1448,$B73,Compta!$B$1:$B$1448,"615",Compta!$C$1:$C$1448,$A73)+_xlfn.SUMIFS(Compta!$F$1:$F$1448,Compta!$A$1:$A$1448,$B73,Compta!$B$1:$B$1448,"616",Compta!$C$1:$C$1448,$A73)+_xlfn.SUMIFS(Compta!$F$1:$F$1448,Compta!$A$1:$A$1448,$B73,Compta!$B$1:$B$1448,"625",Compta!$C$1:$C$1448,$A73)+_xlfn.SUMIFS(Compta!$F$1:$F$1448,Compta!$A$1:$A$1448,$B73,Compta!$B$1:$B$1448,"63511",Compta!$C$1:$C$1448,$A73))</f>
        <v>1259611</v>
      </c>
      <c r="AB73">
        <f>IF($A73="","",_xlfn.SUMIFS(Compta!$F$1:$F$1448,Compta!$A$1:$A$1448,"GRP",Compta!$B$1:$B$1448,"6414",Compta!$C$1:$C$1448,$A73)+_xlfn.SUMIFS(Compta!$F$1:$F$1448,Compta!$A$1:$A$1448,"GRP",Compta!$B$1:$B$1448,"6226",Compta!$C$1:$C$1448,$A73)+_xlfn.SUMIFS(Compta!$F$1:$F$1448,Compta!$A$1:$A$1448,"GRP",Compta!$B$1:$B$1448,"626",Compta!$C$1:$C$1448,$A73)+_xlfn.SUMIFS(Compta!$F$1:$F$1448,Compta!$A$1:$A$1448,"GRP",Compta!$B$1:$B$1448,"6281",Compta!$C$1:$C$1448,$A73)+_xlfn.SUMIFS(Compta!$F$1:$F$1448,Compta!$A$1:$A$1448,"GRP",Compta!$B$1:$B$1448,"6331",Compta!$C$1:$C$1448,$A73)+_xlfn.SUMIFS(Compta!$F$1:$F$1448,Compta!$A$1:$A$1448,"GRP",Compta!$B$1:$B$1448,"6333",Compta!$C$1:$C$1448,$A73))</f>
        <v>2639292</v>
      </c>
      <c r="AC73" t="s">
        <v>274</v>
      </c>
      <c r="AD73" t="s">
        <v>274</v>
      </c>
      <c r="AE73" t="s">
        <v>274</v>
      </c>
      <c r="AF73" t="s">
        <v>274</v>
      </c>
      <c r="AG73" t="s">
        <v>274</v>
      </c>
      <c r="AH73" t="s">
        <v>274</v>
      </c>
      <c r="AI73">
        <f t="shared" si="3"/>
        <v>33054.2</v>
      </c>
      <c r="AJ73">
        <f t="shared" si="4"/>
        <v>110464.4</v>
      </c>
      <c r="AK73">
        <f t="shared" si="5"/>
        <v>23736.127388535</v>
      </c>
      <c r="AL73">
        <f t="shared" si="6"/>
        <v>0</v>
      </c>
      <c r="AM73">
        <f t="shared" si="7"/>
        <v>0</v>
      </c>
      <c r="AN73">
        <f t="shared" si="8"/>
        <v>318825.272611465</v>
      </c>
      <c r="AO73">
        <f>IF($A73="","",_xlfn.SUMIFS(Compta!$F$1:$F$1448,Compta!$A$1:$A$1448,"GRP",Compta!$B$1:$B$1448,"6236",Compta!$C$1:$C$1448,$A73))</f>
        <v>499926</v>
      </c>
      <c r="AP73" t="s">
        <v>274</v>
      </c>
      <c r="AQ73" t="s">
        <v>274</v>
      </c>
      <c r="AR73">
        <f t="shared" si="9"/>
        <v>0</v>
      </c>
    </row>
    <row r="74" ht="14.25" customHeight="1">
      <c r="A74" t="str">
        <f>IF(Allocation!C74="","",Allocation!C74)</f>
        <v>2024</v>
      </c>
      <c r="B74" t="str">
        <f>IF(Allocation!D74="","",Allocation!D74)</f>
        <v>ISCOM_PAR</v>
      </c>
      <c r="C74" t="str">
        <f>IF(Allocation!E74="","",Allocation!E74)</f>
        <v>ISCOM</v>
      </c>
      <c r="D74" t="str">
        <f>IF(Allocation!F74="","",Allocation!F74)</f>
        <v>BAC_COM</v>
      </c>
      <c r="E74" t="str">
        <f>IF(Allocation!G74="","",Allocation!G74)</f>
        <v>B3</v>
      </c>
      <c r="F74" t="str">
        <f>IF(Allocation!H74="","",Allocation!H74)</f>
        <v>ALT</v>
      </c>
      <c r="G74">
        <f>IF(Allocation!D74="","",Allocation!I74)</f>
        <v>61</v>
      </c>
      <c r="H74">
        <f>IF(Allocation!D74="","",Allocation!J74)</f>
        <v>3</v>
      </c>
      <c r="I74">
        <f>IF(Allocation!D74="","",Allocation!K74)</f>
        <v>478240</v>
      </c>
      <c r="J74">
        <f>IF($A74="","",_xlfn.SUMIFS(Socle!$K$1:$K$448,Socle!$C$1:$C$448,$B74,Socle!$D$1:$D$448,$D74,Socle!$E$1:$E$448,$E74,Socle!$F$1:$F$448,$F74,Socle!$G$1:$G$448,$A74))</f>
        <v>0</v>
      </c>
      <c r="K74">
        <f t="shared" si="0"/>
        <v>1440</v>
      </c>
      <c r="L74">
        <f>IF($A74="","",_xlfn.SUMIFS(Allocation!$I$1:$I$175,Allocation!$C$1:$C$175,$A74,Allocation!$D$1:$D$175,$B74))</f>
        <v>314</v>
      </c>
      <c r="M74">
        <f>IF($A74="","",_xlfn.SUMIFS(Allocation!$J$1:$J$175,Allocation!$C$1:$C$175,$A74,Allocation!$D$1:$D$175,$B74))</f>
        <v>15</v>
      </c>
      <c r="N74">
        <f>IF($A74="","",_xlfn.SUMIFS(Allocation!$K$1:$K$175,Allocation!$C$1:$C$175,$A74,Allocation!$D$1:$D$175,$B74))</f>
        <v>2580240</v>
      </c>
      <c r="O74">
        <f t="shared" si="1"/>
        <v>7200</v>
      </c>
      <c r="P74">
        <f t="shared" si="2"/>
        <v>256</v>
      </c>
      <c r="Q74">
        <f>IF($A74="","",_xlfn.SUMIFS(Allocation!$I$1:$I$175,Allocation!$C$1:$C$175,$A74,Allocation!$E$1:$E$175,$C74))</f>
        <v>737</v>
      </c>
      <c r="R74">
        <f>IF($A74="","",_xlfn.SUMIFS(Allocation!$J$1:$J$175,Allocation!$C$1:$C$175,$A74,Allocation!$E$1:$E$175,$C74))</f>
        <v>35</v>
      </c>
      <c r="S74">
        <f>IF($A74="","",_xlfn.SUMIFS(Allocation!$K$1:$K$175,Allocation!$C$1:$C$175,$A74,Allocation!$E$1:$E$175,$C74))</f>
        <v>5593340</v>
      </c>
      <c r="T74">
        <f>IF($A74="","",_xlfn.SUMIFS(Allocation!$I$1:$I$175,Allocation!$C$1:$C$175,$A74))</f>
        <v>2704</v>
      </c>
      <c r="U74">
        <f>IF($A74="","",_xlfn.SUMIFS(Allocation!$J$1:$J$175,Allocation!$C$1:$C$175,$A74))</f>
        <v>131</v>
      </c>
      <c r="V74">
        <f>IF($A74="","",_xlfn.SUMIFS(Allocation!$K$1:$K$175,Allocation!$C$1:$C$175,$A74))</f>
        <v>20076860</v>
      </c>
      <c r="W74">
        <f>IF($A74="","",_xlfn.SUMIFS(Compta!$F$1:$F$1448,Compta!$A$1:$A$1448,$B74,Compta!$B$1:$B$1448,"621",Compta!$C$1:$C$1448,$A74))</f>
        <v>165271</v>
      </c>
      <c r="X74">
        <f>IF($A74="","",_xlfn.SUMIFS(Compta!$F$1:$F$1448,Compta!$A$1:$A$1448,$B74,Compta!$B$1:$B$1448,"6411",Compta!$C$1:$C$1448,$A74))</f>
        <v>552322</v>
      </c>
      <c r="Y74">
        <f>IF($A74="","",_xlfn.SUMIFS(Compta!$F$1:$F$1448,Compta!$A$1:$A$1448,$B74,Compta!$B$1:$B$1448,"604",Compta!$C$1:$C$1448,$A74)+_xlfn.SUMIFS(Compta!$F$1:$F$1448,Compta!$A$1:$A$1448,$B74,Compta!$B$1:$B$1448,"6063",Compta!$C$1:$C$1448,$A74))</f>
        <v>120212</v>
      </c>
      <c r="Z74">
        <f>IF($A74="","",_xlfn.SUMIFS(Compta!$F$1:$F$1448,Compta!$A$1:$A$1448,$B74,Compta!$B$1:$B$1448,"6231",Compta!$C$1:$C$1448,$A74))</f>
        <v>50248</v>
      </c>
      <c r="AA74">
        <f>IF($A74="","",_xlfn.SUMIFS(Compta!$F$1:$F$1448,Compta!$A$1:$A$1448,$B74,Compta!$B$1:$B$1448,"6413",Compta!$C$1:$C$1448,$A74)+_xlfn.SUMIFS(Compta!$F$1:$F$1448,Compta!$A$1:$A$1448,$B74,Compta!$B$1:$B$1448,"645",Compta!$C$1:$C$1448,$A74)+_xlfn.SUMIFS(Compta!$F$1:$F$1448,Compta!$A$1:$A$1448,$B74,Compta!$B$1:$B$1448,"613",Compta!$C$1:$C$1448,$A74)+_xlfn.SUMIFS(Compta!$F$1:$F$1448,Compta!$A$1:$A$1448,$B74,Compta!$B$1:$B$1448,"615",Compta!$C$1:$C$1448,$A74)+_xlfn.SUMIFS(Compta!$F$1:$F$1448,Compta!$A$1:$A$1448,$B74,Compta!$B$1:$B$1448,"616",Compta!$C$1:$C$1448,$A74)+_xlfn.SUMIFS(Compta!$F$1:$F$1448,Compta!$A$1:$A$1448,$B74,Compta!$B$1:$B$1448,"625",Compta!$C$1:$C$1448,$A74)+_xlfn.SUMIFS(Compta!$F$1:$F$1448,Compta!$A$1:$A$1448,$B74,Compta!$B$1:$B$1448,"63511",Compta!$C$1:$C$1448,$A74))</f>
        <v>1259611</v>
      </c>
      <c r="AB74">
        <f>IF($A74="","",_xlfn.SUMIFS(Compta!$F$1:$F$1448,Compta!$A$1:$A$1448,"GRP",Compta!$B$1:$B$1448,"6414",Compta!$C$1:$C$1448,$A74)+_xlfn.SUMIFS(Compta!$F$1:$F$1448,Compta!$A$1:$A$1448,"GRP",Compta!$B$1:$B$1448,"6226",Compta!$C$1:$C$1448,$A74)+_xlfn.SUMIFS(Compta!$F$1:$F$1448,Compta!$A$1:$A$1448,"GRP",Compta!$B$1:$B$1448,"626",Compta!$C$1:$C$1448,$A74)+_xlfn.SUMIFS(Compta!$F$1:$F$1448,Compta!$A$1:$A$1448,"GRP",Compta!$B$1:$B$1448,"6281",Compta!$C$1:$C$1448,$A74)+_xlfn.SUMIFS(Compta!$F$1:$F$1448,Compta!$A$1:$A$1448,"GRP",Compta!$B$1:$B$1448,"6331",Compta!$C$1:$C$1448,$A74)+_xlfn.SUMIFS(Compta!$F$1:$F$1448,Compta!$A$1:$A$1448,"GRP",Compta!$B$1:$B$1448,"6333",Compta!$C$1:$C$1448,$A74))</f>
        <v>2639292</v>
      </c>
      <c r="AC74" t="s">
        <v>274</v>
      </c>
      <c r="AD74" t="s">
        <v>274</v>
      </c>
      <c r="AE74" t="s">
        <v>274</v>
      </c>
      <c r="AF74" t="s">
        <v>274</v>
      </c>
      <c r="AG74" t="s">
        <v>274</v>
      </c>
      <c r="AH74" t="s">
        <v>274</v>
      </c>
      <c r="AI74">
        <f t="shared" si="3"/>
        <v>33054.2</v>
      </c>
      <c r="AJ74">
        <f t="shared" si="4"/>
        <v>110464.4</v>
      </c>
      <c r="AK74">
        <f t="shared" si="5"/>
        <v>23353.2866242038</v>
      </c>
      <c r="AL74">
        <f t="shared" si="6"/>
        <v>0</v>
      </c>
      <c r="AM74">
        <f t="shared" si="7"/>
        <v>0</v>
      </c>
      <c r="AN74">
        <f t="shared" si="8"/>
        <v>311368.113375796</v>
      </c>
      <c r="AO74">
        <f>IF($A74="","",_xlfn.SUMIFS(Compta!$F$1:$F$1448,Compta!$A$1:$A$1448,"GRP",Compta!$B$1:$B$1448,"6236",Compta!$C$1:$C$1448,$A74))</f>
        <v>499926</v>
      </c>
      <c r="AP74" t="s">
        <v>274</v>
      </c>
      <c r="AQ74" t="s">
        <v>274</v>
      </c>
      <c r="AR74">
        <f t="shared" si="9"/>
        <v>0</v>
      </c>
    </row>
    <row r="75" ht="14.25" customHeight="1">
      <c r="A75" t="str">
        <f>IF(Allocation!C75="","",Allocation!C75)</f>
        <v>2024</v>
      </c>
      <c r="B75" t="str">
        <f>IF(Allocation!D75="","",Allocation!D75)</f>
        <v>ISCOM_PAR</v>
      </c>
      <c r="C75" t="str">
        <f>IF(Allocation!E75="","",Allocation!E75)</f>
        <v>ISCOM</v>
      </c>
      <c r="D75" t="str">
        <f>IF(Allocation!F75="","",Allocation!F75)</f>
        <v>MAS_COM</v>
      </c>
      <c r="E75" t="str">
        <f>IF(Allocation!G75="","",Allocation!G75)</f>
        <v>M1</v>
      </c>
      <c r="F75" t="str">
        <f>IF(Allocation!H75="","",Allocation!H75)</f>
        <v>ALT</v>
      </c>
      <c r="G75">
        <f>IF(Allocation!D75="","",Allocation!I75)</f>
        <v>64</v>
      </c>
      <c r="H75">
        <f>IF(Allocation!D75="","",Allocation!J75)</f>
        <v>3</v>
      </c>
      <c r="I75">
        <f>IF(Allocation!D75="","",Allocation!K75)</f>
        <v>543360</v>
      </c>
      <c r="J75">
        <f>IF($A75="","",_xlfn.SUMIFS(Socle!$K$1:$K$448,Socle!$C$1:$C$448,$B75,Socle!$D$1:$D$448,$D75,Socle!$E$1:$E$448,$E75,Socle!$F$1:$F$448,$F75,Socle!$G$1:$G$448,$A75))</f>
        <v>128</v>
      </c>
      <c r="K75">
        <f t="shared" si="0"/>
        <v>1260</v>
      </c>
      <c r="L75">
        <f>IF($A75="","",_xlfn.SUMIFS(Allocation!$I$1:$I$175,Allocation!$C$1:$C$175,$A75,Allocation!$D$1:$D$175,$B75))</f>
        <v>314</v>
      </c>
      <c r="M75">
        <f>IF($A75="","",_xlfn.SUMIFS(Allocation!$J$1:$J$175,Allocation!$C$1:$C$175,$A75,Allocation!$D$1:$D$175,$B75))</f>
        <v>15</v>
      </c>
      <c r="N75">
        <f>IF($A75="","",_xlfn.SUMIFS(Allocation!$K$1:$K$175,Allocation!$C$1:$C$175,$A75,Allocation!$D$1:$D$175,$B75))</f>
        <v>2580240</v>
      </c>
      <c r="O75">
        <f t="shared" si="1"/>
        <v>7200</v>
      </c>
      <c r="P75">
        <f t="shared" si="2"/>
        <v>256</v>
      </c>
      <c r="Q75">
        <f>IF($A75="","",_xlfn.SUMIFS(Allocation!$I$1:$I$175,Allocation!$C$1:$C$175,$A75,Allocation!$E$1:$E$175,$C75))</f>
        <v>737</v>
      </c>
      <c r="R75">
        <f>IF($A75="","",_xlfn.SUMIFS(Allocation!$J$1:$J$175,Allocation!$C$1:$C$175,$A75,Allocation!$E$1:$E$175,$C75))</f>
        <v>35</v>
      </c>
      <c r="S75">
        <f>IF($A75="","",_xlfn.SUMIFS(Allocation!$K$1:$K$175,Allocation!$C$1:$C$175,$A75,Allocation!$E$1:$E$175,$C75))</f>
        <v>5593340</v>
      </c>
      <c r="T75">
        <f>IF($A75="","",_xlfn.SUMIFS(Allocation!$I$1:$I$175,Allocation!$C$1:$C$175,$A75))</f>
        <v>2704</v>
      </c>
      <c r="U75">
        <f>IF($A75="","",_xlfn.SUMIFS(Allocation!$J$1:$J$175,Allocation!$C$1:$C$175,$A75))</f>
        <v>131</v>
      </c>
      <c r="V75">
        <f>IF($A75="","",_xlfn.SUMIFS(Allocation!$K$1:$K$175,Allocation!$C$1:$C$175,$A75))</f>
        <v>20076860</v>
      </c>
      <c r="W75">
        <f>IF($A75="","",_xlfn.SUMIFS(Compta!$F$1:$F$1448,Compta!$A$1:$A$1448,$B75,Compta!$B$1:$B$1448,"621",Compta!$C$1:$C$1448,$A75))</f>
        <v>165271</v>
      </c>
      <c r="X75">
        <f>IF($A75="","",_xlfn.SUMIFS(Compta!$F$1:$F$1448,Compta!$A$1:$A$1448,$B75,Compta!$B$1:$B$1448,"6411",Compta!$C$1:$C$1448,$A75))</f>
        <v>552322</v>
      </c>
      <c r="Y75">
        <f>IF($A75="","",_xlfn.SUMIFS(Compta!$F$1:$F$1448,Compta!$A$1:$A$1448,$B75,Compta!$B$1:$B$1448,"604",Compta!$C$1:$C$1448,$A75)+_xlfn.SUMIFS(Compta!$F$1:$F$1448,Compta!$A$1:$A$1448,$B75,Compta!$B$1:$B$1448,"6063",Compta!$C$1:$C$1448,$A75))</f>
        <v>120212</v>
      </c>
      <c r="Z75">
        <f>IF($A75="","",_xlfn.SUMIFS(Compta!$F$1:$F$1448,Compta!$A$1:$A$1448,$B75,Compta!$B$1:$B$1448,"6231",Compta!$C$1:$C$1448,$A75))</f>
        <v>50248</v>
      </c>
      <c r="AA75">
        <f>IF($A75="","",_xlfn.SUMIFS(Compta!$F$1:$F$1448,Compta!$A$1:$A$1448,$B75,Compta!$B$1:$B$1448,"6413",Compta!$C$1:$C$1448,$A75)+_xlfn.SUMIFS(Compta!$F$1:$F$1448,Compta!$A$1:$A$1448,$B75,Compta!$B$1:$B$1448,"645",Compta!$C$1:$C$1448,$A75)+_xlfn.SUMIFS(Compta!$F$1:$F$1448,Compta!$A$1:$A$1448,$B75,Compta!$B$1:$B$1448,"613",Compta!$C$1:$C$1448,$A75)+_xlfn.SUMIFS(Compta!$F$1:$F$1448,Compta!$A$1:$A$1448,$B75,Compta!$B$1:$B$1448,"615",Compta!$C$1:$C$1448,$A75)+_xlfn.SUMIFS(Compta!$F$1:$F$1448,Compta!$A$1:$A$1448,$B75,Compta!$B$1:$B$1448,"616",Compta!$C$1:$C$1448,$A75)+_xlfn.SUMIFS(Compta!$F$1:$F$1448,Compta!$A$1:$A$1448,$B75,Compta!$B$1:$B$1448,"625",Compta!$C$1:$C$1448,$A75)+_xlfn.SUMIFS(Compta!$F$1:$F$1448,Compta!$A$1:$A$1448,$B75,Compta!$B$1:$B$1448,"63511",Compta!$C$1:$C$1448,$A75))</f>
        <v>1259611</v>
      </c>
      <c r="AB75">
        <f>IF($A75="","",_xlfn.SUMIFS(Compta!$F$1:$F$1448,Compta!$A$1:$A$1448,"GRP",Compta!$B$1:$B$1448,"6414",Compta!$C$1:$C$1448,$A75)+_xlfn.SUMIFS(Compta!$F$1:$F$1448,Compta!$A$1:$A$1448,"GRP",Compta!$B$1:$B$1448,"6226",Compta!$C$1:$C$1448,$A75)+_xlfn.SUMIFS(Compta!$F$1:$F$1448,Compta!$A$1:$A$1448,"GRP",Compta!$B$1:$B$1448,"626",Compta!$C$1:$C$1448,$A75)+_xlfn.SUMIFS(Compta!$F$1:$F$1448,Compta!$A$1:$A$1448,"GRP",Compta!$B$1:$B$1448,"6281",Compta!$C$1:$C$1448,$A75)+_xlfn.SUMIFS(Compta!$F$1:$F$1448,Compta!$A$1:$A$1448,"GRP",Compta!$B$1:$B$1448,"6331",Compta!$C$1:$C$1448,$A75)+_xlfn.SUMIFS(Compta!$F$1:$F$1448,Compta!$A$1:$A$1448,"GRP",Compta!$B$1:$B$1448,"6333",Compta!$C$1:$C$1448,$A75))</f>
        <v>2639292</v>
      </c>
      <c r="AC75" t="s">
        <v>274</v>
      </c>
      <c r="AD75" t="s">
        <v>274</v>
      </c>
      <c r="AE75" t="s">
        <v>274</v>
      </c>
      <c r="AF75" t="s">
        <v>274</v>
      </c>
      <c r="AG75" t="s">
        <v>274</v>
      </c>
      <c r="AH75" t="s">
        <v>274</v>
      </c>
      <c r="AI75">
        <f t="shared" si="3"/>
        <v>28922.425</v>
      </c>
      <c r="AJ75">
        <f t="shared" si="4"/>
        <v>96656.35</v>
      </c>
      <c r="AK75">
        <f t="shared" si="5"/>
        <v>49625.8089171975</v>
      </c>
      <c r="AL75">
        <f t="shared" si="6"/>
        <v>0</v>
      </c>
      <c r="AM75">
        <f t="shared" si="7"/>
        <v>0</v>
      </c>
      <c r="AN75">
        <f t="shared" si="8"/>
        <v>368155.416082802</v>
      </c>
      <c r="AO75">
        <f>IF($A75="","",_xlfn.SUMIFS(Compta!$F$1:$F$1448,Compta!$A$1:$A$1448,"GRP",Compta!$B$1:$B$1448,"6236",Compta!$C$1:$C$1448,$A75))</f>
        <v>499926</v>
      </c>
      <c r="AP75" t="s">
        <v>274</v>
      </c>
      <c r="AQ75" t="s">
        <v>274</v>
      </c>
      <c r="AR75">
        <f t="shared" si="9"/>
        <v>0</v>
      </c>
    </row>
    <row r="76" ht="14.25" customHeight="1">
      <c r="A76" t="str">
        <f>IF(Allocation!C76="","",Allocation!C76)</f>
        <v>2024</v>
      </c>
      <c r="B76" t="str">
        <f>IF(Allocation!D76="","",Allocation!D76)</f>
        <v>ISCOM_PAR</v>
      </c>
      <c r="C76" t="str">
        <f>IF(Allocation!E76="","",Allocation!E76)</f>
        <v>ISCOM</v>
      </c>
      <c r="D76" t="str">
        <f>IF(Allocation!F76="","",Allocation!F76)</f>
        <v>MAS_COM</v>
      </c>
      <c r="E76" t="str">
        <f>IF(Allocation!G76="","",Allocation!G76)</f>
        <v>M2</v>
      </c>
      <c r="F76" t="str">
        <f>IF(Allocation!H76="","",Allocation!H76)</f>
        <v>ALT</v>
      </c>
      <c r="G76">
        <f>IF(Allocation!D76="","",Allocation!I76)</f>
        <v>63</v>
      </c>
      <c r="H76">
        <f>IF(Allocation!D76="","",Allocation!J76)</f>
        <v>3</v>
      </c>
      <c r="I76">
        <f>IF(Allocation!D76="","",Allocation!K76)</f>
        <v>529200</v>
      </c>
      <c r="J76">
        <f>IF($A76="","",_xlfn.SUMIFS(Socle!$K$1:$K$448,Socle!$C$1:$C$448,$B76,Socle!$D$1:$D$448,$D76,Socle!$E$1:$E$448,$E76,Socle!$F$1:$F$448,$F76,Socle!$G$1:$G$448,$A76))</f>
        <v>0</v>
      </c>
      <c r="K76">
        <f t="shared" si="0"/>
        <v>1260</v>
      </c>
      <c r="L76">
        <f>IF($A76="","",_xlfn.SUMIFS(Allocation!$I$1:$I$175,Allocation!$C$1:$C$175,$A76,Allocation!$D$1:$D$175,$B76))</f>
        <v>314</v>
      </c>
      <c r="M76">
        <f>IF($A76="","",_xlfn.SUMIFS(Allocation!$J$1:$J$175,Allocation!$C$1:$C$175,$A76,Allocation!$D$1:$D$175,$B76))</f>
        <v>15</v>
      </c>
      <c r="N76">
        <f>IF($A76="","",_xlfn.SUMIFS(Allocation!$K$1:$K$175,Allocation!$C$1:$C$175,$A76,Allocation!$D$1:$D$175,$B76))</f>
        <v>2580240</v>
      </c>
      <c r="O76">
        <f t="shared" si="1"/>
        <v>7200</v>
      </c>
      <c r="P76">
        <f t="shared" si="2"/>
        <v>256</v>
      </c>
      <c r="Q76">
        <f>IF($A76="","",_xlfn.SUMIFS(Allocation!$I$1:$I$175,Allocation!$C$1:$C$175,$A76,Allocation!$E$1:$E$175,$C76))</f>
        <v>737</v>
      </c>
      <c r="R76">
        <f>IF($A76="","",_xlfn.SUMIFS(Allocation!$J$1:$J$175,Allocation!$C$1:$C$175,$A76,Allocation!$E$1:$E$175,$C76))</f>
        <v>35</v>
      </c>
      <c r="S76">
        <f>IF($A76="","",_xlfn.SUMIFS(Allocation!$K$1:$K$175,Allocation!$C$1:$C$175,$A76,Allocation!$E$1:$E$175,$C76))</f>
        <v>5593340</v>
      </c>
      <c r="T76">
        <f>IF($A76="","",_xlfn.SUMIFS(Allocation!$I$1:$I$175,Allocation!$C$1:$C$175,$A76))</f>
        <v>2704</v>
      </c>
      <c r="U76">
        <f>IF($A76="","",_xlfn.SUMIFS(Allocation!$J$1:$J$175,Allocation!$C$1:$C$175,$A76))</f>
        <v>131</v>
      </c>
      <c r="V76">
        <f>IF($A76="","",_xlfn.SUMIFS(Allocation!$K$1:$K$175,Allocation!$C$1:$C$175,$A76))</f>
        <v>20076860</v>
      </c>
      <c r="W76">
        <f>IF($A76="","",_xlfn.SUMIFS(Compta!$F$1:$F$1448,Compta!$A$1:$A$1448,$B76,Compta!$B$1:$B$1448,"621",Compta!$C$1:$C$1448,$A76))</f>
        <v>165271</v>
      </c>
      <c r="X76">
        <f>IF($A76="","",_xlfn.SUMIFS(Compta!$F$1:$F$1448,Compta!$A$1:$A$1448,$B76,Compta!$B$1:$B$1448,"6411",Compta!$C$1:$C$1448,$A76))</f>
        <v>552322</v>
      </c>
      <c r="Y76">
        <f>IF($A76="","",_xlfn.SUMIFS(Compta!$F$1:$F$1448,Compta!$A$1:$A$1448,$B76,Compta!$B$1:$B$1448,"604",Compta!$C$1:$C$1448,$A76)+_xlfn.SUMIFS(Compta!$F$1:$F$1448,Compta!$A$1:$A$1448,$B76,Compta!$B$1:$B$1448,"6063",Compta!$C$1:$C$1448,$A76))</f>
        <v>120212</v>
      </c>
      <c r="Z76">
        <f>IF($A76="","",_xlfn.SUMIFS(Compta!$F$1:$F$1448,Compta!$A$1:$A$1448,$B76,Compta!$B$1:$B$1448,"6231",Compta!$C$1:$C$1448,$A76))</f>
        <v>50248</v>
      </c>
      <c r="AA76">
        <f>IF($A76="","",_xlfn.SUMIFS(Compta!$F$1:$F$1448,Compta!$A$1:$A$1448,$B76,Compta!$B$1:$B$1448,"6413",Compta!$C$1:$C$1448,$A76)+_xlfn.SUMIFS(Compta!$F$1:$F$1448,Compta!$A$1:$A$1448,$B76,Compta!$B$1:$B$1448,"645",Compta!$C$1:$C$1448,$A76)+_xlfn.SUMIFS(Compta!$F$1:$F$1448,Compta!$A$1:$A$1448,$B76,Compta!$B$1:$B$1448,"613",Compta!$C$1:$C$1448,$A76)+_xlfn.SUMIFS(Compta!$F$1:$F$1448,Compta!$A$1:$A$1448,$B76,Compta!$B$1:$B$1448,"615",Compta!$C$1:$C$1448,$A76)+_xlfn.SUMIFS(Compta!$F$1:$F$1448,Compta!$A$1:$A$1448,$B76,Compta!$B$1:$B$1448,"616",Compta!$C$1:$C$1448,$A76)+_xlfn.SUMIFS(Compta!$F$1:$F$1448,Compta!$A$1:$A$1448,$B76,Compta!$B$1:$B$1448,"625",Compta!$C$1:$C$1448,$A76)+_xlfn.SUMIFS(Compta!$F$1:$F$1448,Compta!$A$1:$A$1448,$B76,Compta!$B$1:$B$1448,"63511",Compta!$C$1:$C$1448,$A76))</f>
        <v>1259611</v>
      </c>
      <c r="AB76">
        <f>IF($A76="","",_xlfn.SUMIFS(Compta!$F$1:$F$1448,Compta!$A$1:$A$1448,"GRP",Compta!$B$1:$B$1448,"6414",Compta!$C$1:$C$1448,$A76)+_xlfn.SUMIFS(Compta!$F$1:$F$1448,Compta!$A$1:$A$1448,"GRP",Compta!$B$1:$B$1448,"6226",Compta!$C$1:$C$1448,$A76)+_xlfn.SUMIFS(Compta!$F$1:$F$1448,Compta!$A$1:$A$1448,"GRP",Compta!$B$1:$B$1448,"626",Compta!$C$1:$C$1448,$A76)+_xlfn.SUMIFS(Compta!$F$1:$F$1448,Compta!$A$1:$A$1448,"GRP",Compta!$B$1:$B$1448,"6281",Compta!$C$1:$C$1448,$A76)+_xlfn.SUMIFS(Compta!$F$1:$F$1448,Compta!$A$1:$A$1448,"GRP",Compta!$B$1:$B$1448,"6331",Compta!$C$1:$C$1448,$A76)+_xlfn.SUMIFS(Compta!$F$1:$F$1448,Compta!$A$1:$A$1448,"GRP",Compta!$B$1:$B$1448,"6333",Compta!$C$1:$C$1448,$A76))</f>
        <v>2639292</v>
      </c>
      <c r="AC76" t="s">
        <v>274</v>
      </c>
      <c r="AD76" t="s">
        <v>274</v>
      </c>
      <c r="AE76" t="s">
        <v>274</v>
      </c>
      <c r="AF76" t="s">
        <v>274</v>
      </c>
      <c r="AG76" t="s">
        <v>274</v>
      </c>
      <c r="AH76" t="s">
        <v>274</v>
      </c>
      <c r="AI76">
        <f t="shared" si="3"/>
        <v>28922.425</v>
      </c>
      <c r="AJ76">
        <f t="shared" si="4"/>
        <v>96656.35</v>
      </c>
      <c r="AK76">
        <f t="shared" si="5"/>
        <v>24118.9681528662</v>
      </c>
      <c r="AL76">
        <f t="shared" si="6"/>
        <v>0</v>
      </c>
      <c r="AM76">
        <f t="shared" si="7"/>
        <v>0</v>
      </c>
      <c r="AN76">
        <f t="shared" si="8"/>
        <v>379502.256847134</v>
      </c>
      <c r="AO76">
        <f>IF($A76="","",_xlfn.SUMIFS(Compta!$F$1:$F$1448,Compta!$A$1:$A$1448,"GRP",Compta!$B$1:$B$1448,"6236",Compta!$C$1:$C$1448,$A76))</f>
        <v>499926</v>
      </c>
      <c r="AP76" t="s">
        <v>274</v>
      </c>
      <c r="AQ76" t="s">
        <v>274</v>
      </c>
      <c r="AR76">
        <f t="shared" si="9"/>
        <v>0</v>
      </c>
    </row>
    <row r="77" ht="14.25" customHeight="1">
      <c r="A77" t="str">
        <f>IF(Allocation!C77="","",Allocation!C77)</f>
        <v>2026</v>
      </c>
      <c r="B77" t="str">
        <f>IF(Allocation!D77="","",Allocation!D77)</f>
        <v>ISCOM_LIL</v>
      </c>
      <c r="C77" t="str">
        <f>IF(Allocation!E77="","",Allocation!E77)</f>
        <v>ISCOM</v>
      </c>
      <c r="D77" t="str">
        <f>IF(Allocation!F77="","",Allocation!F77)</f>
        <v>BAC_COM</v>
      </c>
      <c r="E77" t="str">
        <f>IF(Allocation!G77="","",Allocation!G77)</f>
        <v>B1</v>
      </c>
      <c r="F77" t="str">
        <f>IF(Allocation!H77="","",Allocation!H77)</f>
        <v>INIT</v>
      </c>
      <c r="G77">
        <f>IF(Allocation!D77="","",Allocation!I77)</f>
        <v>50</v>
      </c>
      <c r="H77">
        <f>IF(Allocation!D77="","",Allocation!J77)</f>
        <v>2</v>
      </c>
      <c r="I77">
        <f>IF(Allocation!D77="","",Allocation!K77)</f>
        <v>372000</v>
      </c>
      <c r="J77">
        <f>IF($A77="","",_xlfn.SUMIFS(Socle!$K$1:$K$448,Socle!$C$1:$C$448,$B77,Socle!$D$1:$D$448,$D77,Socle!$E$1:$E$448,$E77,Socle!$F$1:$F$448,$F77,Socle!$G$1:$G$448,$A77))</f>
        <v>100</v>
      </c>
      <c r="K77">
        <f t="shared" si="0"/>
        <v>1200</v>
      </c>
      <c r="L77">
        <f>IF($A77="","",_xlfn.SUMIFS(Allocation!$I$1:$I$175,Allocation!$C$1:$C$175,$A77,Allocation!$D$1:$D$175,$B77))</f>
        <v>244</v>
      </c>
      <c r="M77">
        <f>IF($A77="","",_xlfn.SUMIFS(Allocation!$J$1:$J$175,Allocation!$C$1:$C$175,$A77,Allocation!$D$1:$D$175,$B77))</f>
        <v>10</v>
      </c>
      <c r="N77">
        <f>IF($A77="","",_xlfn.SUMIFS(Allocation!$K$1:$K$175,Allocation!$C$1:$C$175,$A77,Allocation!$D$1:$D$175,$B77))</f>
        <v>1755850</v>
      </c>
      <c r="O77">
        <f t="shared" si="1"/>
        <v>4800</v>
      </c>
      <c r="P77">
        <f t="shared" si="2"/>
        <v>200</v>
      </c>
      <c r="Q77">
        <f>IF($A77="","",_xlfn.SUMIFS(Allocation!$I$1:$I$175,Allocation!$C$1:$C$175,$A77,Allocation!$E$1:$E$175,$C77))</f>
        <v>829</v>
      </c>
      <c r="R77">
        <f>IF($A77="","",_xlfn.SUMIFS(Allocation!$J$1:$J$175,Allocation!$C$1:$C$175,$A77,Allocation!$E$1:$E$175,$C77))</f>
        <v>35</v>
      </c>
      <c r="S77">
        <f>IF($A77="","",_xlfn.SUMIFS(Allocation!$K$1:$K$175,Allocation!$C$1:$C$175,$A77,Allocation!$E$1:$E$175,$C77))</f>
        <v>6292550</v>
      </c>
      <c r="T77">
        <f>IF($A77="","",_xlfn.SUMIFS(Allocation!$I$1:$I$175,Allocation!$C$1:$C$175,$A77))</f>
        <v>3036</v>
      </c>
      <c r="U77">
        <f>IF($A77="","",_xlfn.SUMIFS(Allocation!$J$1:$J$175,Allocation!$C$1:$C$175,$A77))</f>
        <v>131</v>
      </c>
      <c r="V77">
        <f>IF($A77="","",_xlfn.SUMIFS(Allocation!$K$1:$K$175,Allocation!$C$1:$C$175,$A77))</f>
        <v>22544725</v>
      </c>
      <c r="W77">
        <f>IF($A77="","",_xlfn.SUMIFS(Compta!$F$1:$F$1448,Compta!$A$1:$A$1448,$B77,Compta!$B$1:$B$1448,"621",Compta!$C$1:$C$1448,$A77))</f>
        <v>120729</v>
      </c>
      <c r="X77">
        <f>IF($A77="","",_xlfn.SUMIFS(Compta!$F$1:$F$1448,Compta!$A$1:$A$1448,$B77,Compta!$B$1:$B$1448,"6411",Compta!$C$1:$C$1448,$A77))</f>
        <v>229130</v>
      </c>
      <c r="Y77">
        <f>IF($A77="","",_xlfn.SUMIFS(Compta!$F$1:$F$1448,Compta!$A$1:$A$1448,$B77,Compta!$B$1:$B$1448,"604",Compta!$C$1:$C$1448,$A77)+_xlfn.SUMIFS(Compta!$F$1:$F$1448,Compta!$A$1:$A$1448,$B77,Compta!$B$1:$B$1448,"6063",Compta!$C$1:$C$1448,$A77))</f>
        <v>90791</v>
      </c>
      <c r="Z77">
        <f>IF($A77="","",_xlfn.SUMIFS(Compta!$F$1:$F$1448,Compta!$A$1:$A$1448,$B77,Compta!$B$1:$B$1448,"6231",Compta!$C$1:$C$1448,$A77))</f>
        <v>25220</v>
      </c>
      <c r="AA77">
        <f>IF($A77="","",_xlfn.SUMIFS(Compta!$F$1:$F$1448,Compta!$A$1:$A$1448,$B77,Compta!$B$1:$B$1448,"6413",Compta!$C$1:$C$1448,$A77)+_xlfn.SUMIFS(Compta!$F$1:$F$1448,Compta!$A$1:$A$1448,$B77,Compta!$B$1:$B$1448,"645",Compta!$C$1:$C$1448,$A77)+_xlfn.SUMIFS(Compta!$F$1:$F$1448,Compta!$A$1:$A$1448,$B77,Compta!$B$1:$B$1448,"613",Compta!$C$1:$C$1448,$A77)+_xlfn.SUMIFS(Compta!$F$1:$F$1448,Compta!$A$1:$A$1448,$B77,Compta!$B$1:$B$1448,"615",Compta!$C$1:$C$1448,$A77)+_xlfn.SUMIFS(Compta!$F$1:$F$1448,Compta!$A$1:$A$1448,$B77,Compta!$B$1:$B$1448,"616",Compta!$C$1:$C$1448,$A77)+_xlfn.SUMIFS(Compta!$F$1:$F$1448,Compta!$A$1:$A$1448,$B77,Compta!$B$1:$B$1448,"625",Compta!$C$1:$C$1448,$A77)+_xlfn.SUMIFS(Compta!$F$1:$F$1448,Compta!$A$1:$A$1448,$B77,Compta!$B$1:$B$1448,"63511",Compta!$C$1:$C$1448,$A77))</f>
        <v>534322</v>
      </c>
      <c r="AB77">
        <f>IF($A77="","",_xlfn.SUMIFS(Compta!$F$1:$F$1448,Compta!$A$1:$A$1448,"GRP",Compta!$B$1:$B$1448,"6414",Compta!$C$1:$C$1448,$A77)+_xlfn.SUMIFS(Compta!$F$1:$F$1448,Compta!$A$1:$A$1448,"GRP",Compta!$B$1:$B$1448,"6226",Compta!$C$1:$C$1448,$A77)+_xlfn.SUMIFS(Compta!$F$1:$F$1448,Compta!$A$1:$A$1448,"GRP",Compta!$B$1:$B$1448,"626",Compta!$C$1:$C$1448,$A77)+_xlfn.SUMIFS(Compta!$F$1:$F$1448,Compta!$A$1:$A$1448,"GRP",Compta!$B$1:$B$1448,"6281",Compta!$C$1:$C$1448,$A77)+_xlfn.SUMIFS(Compta!$F$1:$F$1448,Compta!$A$1:$A$1448,"GRP",Compta!$B$1:$B$1448,"6331",Compta!$C$1:$C$1448,$A77)+_xlfn.SUMIFS(Compta!$F$1:$F$1448,Compta!$A$1:$A$1448,"GRP",Compta!$B$1:$B$1448,"6333",Compta!$C$1:$C$1448,$A77))</f>
        <v>2891983</v>
      </c>
      <c r="AC77" t="s">
        <v>274</v>
      </c>
      <c r="AD77" t="s">
        <v>274</v>
      </c>
      <c r="AE77" t="s">
        <v>274</v>
      </c>
      <c r="AF77" t="s">
        <v>274</v>
      </c>
      <c r="AG77" t="s">
        <v>274</v>
      </c>
      <c r="AH77" t="s">
        <v>274</v>
      </c>
      <c r="AI77">
        <f t="shared" si="3"/>
        <v>30182.25</v>
      </c>
      <c r="AJ77">
        <f t="shared" si="4"/>
        <v>57282.5</v>
      </c>
      <c r="AK77">
        <f t="shared" si="5"/>
        <v>31214.7131147541</v>
      </c>
      <c r="AL77">
        <f t="shared" si="6"/>
        <v>0</v>
      </c>
      <c r="AM77">
        <f t="shared" si="7"/>
        <v>0</v>
      </c>
      <c r="AN77">
        <f t="shared" si="8"/>
        <v>253320.536885246</v>
      </c>
      <c r="AO77">
        <f>IF($A77="","",_xlfn.SUMIFS(Compta!$F$1:$F$1448,Compta!$A$1:$A$1448,"GRP",Compta!$B$1:$B$1448,"6236",Compta!$C$1:$C$1448,$A77))</f>
        <v>676344</v>
      </c>
      <c r="AP77" t="s">
        <v>274</v>
      </c>
      <c r="AQ77" t="s">
        <v>274</v>
      </c>
      <c r="AR77">
        <f t="shared" si="9"/>
        <v>0</v>
      </c>
    </row>
    <row r="78" ht="14.25" customHeight="1">
      <c r="A78" t="str">
        <f>IF(Allocation!C78="","",Allocation!C78)</f>
        <v>2026</v>
      </c>
      <c r="B78" t="str">
        <f>IF(Allocation!D78="","",Allocation!D78)</f>
        <v>ISCOM_LIL</v>
      </c>
      <c r="C78" t="str">
        <f>IF(Allocation!E78="","",Allocation!E78)</f>
        <v>ISCOM</v>
      </c>
      <c r="D78" t="str">
        <f>IF(Allocation!F78="","",Allocation!F78)</f>
        <v>BAC_COM</v>
      </c>
      <c r="E78" t="str">
        <f>IF(Allocation!G78="","",Allocation!G78)</f>
        <v>B2</v>
      </c>
      <c r="F78" t="str">
        <f>IF(Allocation!H78="","",Allocation!H78)</f>
        <v>ALT</v>
      </c>
      <c r="G78">
        <f>IF(Allocation!D78="","",Allocation!I78)</f>
        <v>48</v>
      </c>
      <c r="H78">
        <f>IF(Allocation!D78="","",Allocation!J78)</f>
        <v>2</v>
      </c>
      <c r="I78">
        <f>IF(Allocation!D78="","",Allocation!K78)</f>
        <v>329280</v>
      </c>
      <c r="J78">
        <f>IF($A78="","",_xlfn.SUMIFS(Socle!$K$1:$K$448,Socle!$C$1:$C$448,$B78,Socle!$D$1:$D$448,$D78,Socle!$E$1:$E$448,$E78,Socle!$F$1:$F$448,$F78,Socle!$G$1:$G$448,$A78))</f>
        <v>0</v>
      </c>
      <c r="K78">
        <f t="shared" si="0"/>
        <v>960</v>
      </c>
      <c r="L78">
        <f>IF($A78="","",_xlfn.SUMIFS(Allocation!$I$1:$I$175,Allocation!$C$1:$C$175,$A78,Allocation!$D$1:$D$175,$B78))</f>
        <v>244</v>
      </c>
      <c r="M78">
        <f>IF($A78="","",_xlfn.SUMIFS(Allocation!$J$1:$J$175,Allocation!$C$1:$C$175,$A78,Allocation!$D$1:$D$175,$B78))</f>
        <v>10</v>
      </c>
      <c r="N78">
        <f>IF($A78="","",_xlfn.SUMIFS(Allocation!$K$1:$K$175,Allocation!$C$1:$C$175,$A78,Allocation!$D$1:$D$175,$B78))</f>
        <v>1755850</v>
      </c>
      <c r="O78">
        <f t="shared" si="1"/>
        <v>4800</v>
      </c>
      <c r="P78">
        <f t="shared" si="2"/>
        <v>200</v>
      </c>
      <c r="Q78">
        <f>IF($A78="","",_xlfn.SUMIFS(Allocation!$I$1:$I$175,Allocation!$C$1:$C$175,$A78,Allocation!$E$1:$E$175,$C78))</f>
        <v>829</v>
      </c>
      <c r="R78">
        <f>IF($A78="","",_xlfn.SUMIFS(Allocation!$J$1:$J$175,Allocation!$C$1:$C$175,$A78,Allocation!$E$1:$E$175,$C78))</f>
        <v>35</v>
      </c>
      <c r="S78">
        <f>IF($A78="","",_xlfn.SUMIFS(Allocation!$K$1:$K$175,Allocation!$C$1:$C$175,$A78,Allocation!$E$1:$E$175,$C78))</f>
        <v>6292550</v>
      </c>
      <c r="T78">
        <f>IF($A78="","",_xlfn.SUMIFS(Allocation!$I$1:$I$175,Allocation!$C$1:$C$175,$A78))</f>
        <v>3036</v>
      </c>
      <c r="U78">
        <f>IF($A78="","",_xlfn.SUMIFS(Allocation!$J$1:$J$175,Allocation!$C$1:$C$175,$A78))</f>
        <v>131</v>
      </c>
      <c r="V78">
        <f>IF($A78="","",_xlfn.SUMIFS(Allocation!$K$1:$K$175,Allocation!$C$1:$C$175,$A78))</f>
        <v>22544725</v>
      </c>
      <c r="W78">
        <f>IF($A78="","",_xlfn.SUMIFS(Compta!$F$1:$F$1448,Compta!$A$1:$A$1448,$B78,Compta!$B$1:$B$1448,"621",Compta!$C$1:$C$1448,$A78))</f>
        <v>120729</v>
      </c>
      <c r="X78">
        <f>IF($A78="","",_xlfn.SUMIFS(Compta!$F$1:$F$1448,Compta!$A$1:$A$1448,$B78,Compta!$B$1:$B$1448,"6411",Compta!$C$1:$C$1448,$A78))</f>
        <v>229130</v>
      </c>
      <c r="Y78">
        <f>IF($A78="","",_xlfn.SUMIFS(Compta!$F$1:$F$1448,Compta!$A$1:$A$1448,$B78,Compta!$B$1:$B$1448,"604",Compta!$C$1:$C$1448,$A78)+_xlfn.SUMIFS(Compta!$F$1:$F$1448,Compta!$A$1:$A$1448,$B78,Compta!$B$1:$B$1448,"6063",Compta!$C$1:$C$1448,$A78))</f>
        <v>90791</v>
      </c>
      <c r="Z78">
        <f>IF($A78="","",_xlfn.SUMIFS(Compta!$F$1:$F$1448,Compta!$A$1:$A$1448,$B78,Compta!$B$1:$B$1448,"6231",Compta!$C$1:$C$1448,$A78))</f>
        <v>25220</v>
      </c>
      <c r="AA78">
        <f>IF($A78="","",_xlfn.SUMIFS(Compta!$F$1:$F$1448,Compta!$A$1:$A$1448,$B78,Compta!$B$1:$B$1448,"6413",Compta!$C$1:$C$1448,$A78)+_xlfn.SUMIFS(Compta!$F$1:$F$1448,Compta!$A$1:$A$1448,$B78,Compta!$B$1:$B$1448,"645",Compta!$C$1:$C$1448,$A78)+_xlfn.SUMIFS(Compta!$F$1:$F$1448,Compta!$A$1:$A$1448,$B78,Compta!$B$1:$B$1448,"613",Compta!$C$1:$C$1448,$A78)+_xlfn.SUMIFS(Compta!$F$1:$F$1448,Compta!$A$1:$A$1448,$B78,Compta!$B$1:$B$1448,"615",Compta!$C$1:$C$1448,$A78)+_xlfn.SUMIFS(Compta!$F$1:$F$1448,Compta!$A$1:$A$1448,$B78,Compta!$B$1:$B$1448,"616",Compta!$C$1:$C$1448,$A78)+_xlfn.SUMIFS(Compta!$F$1:$F$1448,Compta!$A$1:$A$1448,$B78,Compta!$B$1:$B$1448,"625",Compta!$C$1:$C$1448,$A78)+_xlfn.SUMIFS(Compta!$F$1:$F$1448,Compta!$A$1:$A$1448,$B78,Compta!$B$1:$B$1448,"63511",Compta!$C$1:$C$1448,$A78))</f>
        <v>534322</v>
      </c>
      <c r="AB78">
        <f>IF($A78="","",_xlfn.SUMIFS(Compta!$F$1:$F$1448,Compta!$A$1:$A$1448,"GRP",Compta!$B$1:$B$1448,"6414",Compta!$C$1:$C$1448,$A78)+_xlfn.SUMIFS(Compta!$F$1:$F$1448,Compta!$A$1:$A$1448,"GRP",Compta!$B$1:$B$1448,"6226",Compta!$C$1:$C$1448,$A78)+_xlfn.SUMIFS(Compta!$F$1:$F$1448,Compta!$A$1:$A$1448,"GRP",Compta!$B$1:$B$1448,"626",Compta!$C$1:$C$1448,$A78)+_xlfn.SUMIFS(Compta!$F$1:$F$1448,Compta!$A$1:$A$1448,"GRP",Compta!$B$1:$B$1448,"6281",Compta!$C$1:$C$1448,$A78)+_xlfn.SUMIFS(Compta!$F$1:$F$1448,Compta!$A$1:$A$1448,"GRP",Compta!$B$1:$B$1448,"6331",Compta!$C$1:$C$1448,$A78)+_xlfn.SUMIFS(Compta!$F$1:$F$1448,Compta!$A$1:$A$1448,"GRP",Compta!$B$1:$B$1448,"6333",Compta!$C$1:$C$1448,$A78))</f>
        <v>2891983</v>
      </c>
      <c r="AC78" t="s">
        <v>274</v>
      </c>
      <c r="AD78" t="s">
        <v>274</v>
      </c>
      <c r="AE78" t="s">
        <v>274</v>
      </c>
      <c r="AF78" t="s">
        <v>274</v>
      </c>
      <c r="AG78" t="s">
        <v>274</v>
      </c>
      <c r="AH78" t="s">
        <v>274</v>
      </c>
      <c r="AI78">
        <f t="shared" si="3"/>
        <v>24145.8</v>
      </c>
      <c r="AJ78">
        <f t="shared" si="4"/>
        <v>45826</v>
      </c>
      <c r="AK78">
        <f t="shared" si="5"/>
        <v>17860.5245901639</v>
      </c>
      <c r="AL78">
        <f t="shared" si="6"/>
        <v>0</v>
      </c>
      <c r="AM78">
        <f t="shared" si="7"/>
        <v>0</v>
      </c>
      <c r="AN78">
        <f t="shared" si="8"/>
        <v>241447.675409836</v>
      </c>
      <c r="AO78">
        <f>IF($A78="","",_xlfn.SUMIFS(Compta!$F$1:$F$1448,Compta!$A$1:$A$1448,"GRP",Compta!$B$1:$B$1448,"6236",Compta!$C$1:$C$1448,$A78))</f>
        <v>676344</v>
      </c>
      <c r="AP78" t="s">
        <v>274</v>
      </c>
      <c r="AQ78" t="s">
        <v>274</v>
      </c>
      <c r="AR78">
        <f t="shared" si="9"/>
        <v>0</v>
      </c>
    </row>
    <row r="79" ht="14.25" customHeight="1">
      <c r="A79" t="str">
        <f>IF(Allocation!C79="","",Allocation!C79)</f>
        <v>2026</v>
      </c>
      <c r="B79" t="str">
        <f>IF(Allocation!D79="","",Allocation!D79)</f>
        <v>ISCOM_LIL</v>
      </c>
      <c r="C79" t="str">
        <f>IF(Allocation!E79="","",Allocation!E79)</f>
        <v>ISCOM</v>
      </c>
      <c r="D79" t="str">
        <f>IF(Allocation!F79="","",Allocation!F79)</f>
        <v>BAC_COM</v>
      </c>
      <c r="E79" t="str">
        <f>IF(Allocation!G79="","",Allocation!G79)</f>
        <v>B3</v>
      </c>
      <c r="F79" t="str">
        <f>IF(Allocation!H79="","",Allocation!H79)</f>
        <v>ALT</v>
      </c>
      <c r="G79">
        <f>IF(Allocation!D79="","",Allocation!I79)</f>
        <v>47</v>
      </c>
      <c r="H79">
        <f>IF(Allocation!D79="","",Allocation!J79)</f>
        <v>2</v>
      </c>
      <c r="I79">
        <f>IF(Allocation!D79="","",Allocation!K79)</f>
        <v>322420</v>
      </c>
      <c r="J79">
        <f>IF($A79="","",_xlfn.SUMIFS(Socle!$K$1:$K$448,Socle!$C$1:$C$448,$B79,Socle!$D$1:$D$448,$D79,Socle!$E$1:$E$448,$E79,Socle!$F$1:$F$448,$F79,Socle!$G$1:$G$448,$A79))</f>
        <v>0</v>
      </c>
      <c r="K79">
        <f t="shared" si="0"/>
        <v>960</v>
      </c>
      <c r="L79">
        <f>IF($A79="","",_xlfn.SUMIFS(Allocation!$I$1:$I$175,Allocation!$C$1:$C$175,$A79,Allocation!$D$1:$D$175,$B79))</f>
        <v>244</v>
      </c>
      <c r="M79">
        <f>IF($A79="","",_xlfn.SUMIFS(Allocation!$J$1:$J$175,Allocation!$C$1:$C$175,$A79,Allocation!$D$1:$D$175,$B79))</f>
        <v>10</v>
      </c>
      <c r="N79">
        <f>IF($A79="","",_xlfn.SUMIFS(Allocation!$K$1:$K$175,Allocation!$C$1:$C$175,$A79,Allocation!$D$1:$D$175,$B79))</f>
        <v>1755850</v>
      </c>
      <c r="O79">
        <f t="shared" si="1"/>
        <v>4800</v>
      </c>
      <c r="P79">
        <f t="shared" si="2"/>
        <v>200</v>
      </c>
      <c r="Q79">
        <f>IF($A79="","",_xlfn.SUMIFS(Allocation!$I$1:$I$175,Allocation!$C$1:$C$175,$A79,Allocation!$E$1:$E$175,$C79))</f>
        <v>829</v>
      </c>
      <c r="R79">
        <f>IF($A79="","",_xlfn.SUMIFS(Allocation!$J$1:$J$175,Allocation!$C$1:$C$175,$A79,Allocation!$E$1:$E$175,$C79))</f>
        <v>35</v>
      </c>
      <c r="S79">
        <f>IF($A79="","",_xlfn.SUMIFS(Allocation!$K$1:$K$175,Allocation!$C$1:$C$175,$A79,Allocation!$E$1:$E$175,$C79))</f>
        <v>6292550</v>
      </c>
      <c r="T79">
        <f>IF($A79="","",_xlfn.SUMIFS(Allocation!$I$1:$I$175,Allocation!$C$1:$C$175,$A79))</f>
        <v>3036</v>
      </c>
      <c r="U79">
        <f>IF($A79="","",_xlfn.SUMIFS(Allocation!$J$1:$J$175,Allocation!$C$1:$C$175,$A79))</f>
        <v>131</v>
      </c>
      <c r="V79">
        <f>IF($A79="","",_xlfn.SUMIFS(Allocation!$K$1:$K$175,Allocation!$C$1:$C$175,$A79))</f>
        <v>22544725</v>
      </c>
      <c r="W79">
        <f>IF($A79="","",_xlfn.SUMIFS(Compta!$F$1:$F$1448,Compta!$A$1:$A$1448,$B79,Compta!$B$1:$B$1448,"621",Compta!$C$1:$C$1448,$A79))</f>
        <v>120729</v>
      </c>
      <c r="X79">
        <f>IF($A79="","",_xlfn.SUMIFS(Compta!$F$1:$F$1448,Compta!$A$1:$A$1448,$B79,Compta!$B$1:$B$1448,"6411",Compta!$C$1:$C$1448,$A79))</f>
        <v>229130</v>
      </c>
      <c r="Y79">
        <f>IF($A79="","",_xlfn.SUMIFS(Compta!$F$1:$F$1448,Compta!$A$1:$A$1448,$B79,Compta!$B$1:$B$1448,"604",Compta!$C$1:$C$1448,$A79)+_xlfn.SUMIFS(Compta!$F$1:$F$1448,Compta!$A$1:$A$1448,$B79,Compta!$B$1:$B$1448,"6063",Compta!$C$1:$C$1448,$A79))</f>
        <v>90791</v>
      </c>
      <c r="Z79">
        <f>IF($A79="","",_xlfn.SUMIFS(Compta!$F$1:$F$1448,Compta!$A$1:$A$1448,$B79,Compta!$B$1:$B$1448,"6231",Compta!$C$1:$C$1448,$A79))</f>
        <v>25220</v>
      </c>
      <c r="AA79">
        <f>IF($A79="","",_xlfn.SUMIFS(Compta!$F$1:$F$1448,Compta!$A$1:$A$1448,$B79,Compta!$B$1:$B$1448,"6413",Compta!$C$1:$C$1448,$A79)+_xlfn.SUMIFS(Compta!$F$1:$F$1448,Compta!$A$1:$A$1448,$B79,Compta!$B$1:$B$1448,"645",Compta!$C$1:$C$1448,$A79)+_xlfn.SUMIFS(Compta!$F$1:$F$1448,Compta!$A$1:$A$1448,$B79,Compta!$B$1:$B$1448,"613",Compta!$C$1:$C$1448,$A79)+_xlfn.SUMIFS(Compta!$F$1:$F$1448,Compta!$A$1:$A$1448,$B79,Compta!$B$1:$B$1448,"615",Compta!$C$1:$C$1448,$A79)+_xlfn.SUMIFS(Compta!$F$1:$F$1448,Compta!$A$1:$A$1448,$B79,Compta!$B$1:$B$1448,"616",Compta!$C$1:$C$1448,$A79)+_xlfn.SUMIFS(Compta!$F$1:$F$1448,Compta!$A$1:$A$1448,$B79,Compta!$B$1:$B$1448,"625",Compta!$C$1:$C$1448,$A79)+_xlfn.SUMIFS(Compta!$F$1:$F$1448,Compta!$A$1:$A$1448,$B79,Compta!$B$1:$B$1448,"63511",Compta!$C$1:$C$1448,$A79))</f>
        <v>534322</v>
      </c>
      <c r="AB79">
        <f>IF($A79="","",_xlfn.SUMIFS(Compta!$F$1:$F$1448,Compta!$A$1:$A$1448,"GRP",Compta!$B$1:$B$1448,"6414",Compta!$C$1:$C$1448,$A79)+_xlfn.SUMIFS(Compta!$F$1:$F$1448,Compta!$A$1:$A$1448,"GRP",Compta!$B$1:$B$1448,"6226",Compta!$C$1:$C$1448,$A79)+_xlfn.SUMIFS(Compta!$F$1:$F$1448,Compta!$A$1:$A$1448,"GRP",Compta!$B$1:$B$1448,"626",Compta!$C$1:$C$1448,$A79)+_xlfn.SUMIFS(Compta!$F$1:$F$1448,Compta!$A$1:$A$1448,"GRP",Compta!$B$1:$B$1448,"6281",Compta!$C$1:$C$1448,$A79)+_xlfn.SUMIFS(Compta!$F$1:$F$1448,Compta!$A$1:$A$1448,"GRP",Compta!$B$1:$B$1448,"6331",Compta!$C$1:$C$1448,$A79)+_xlfn.SUMIFS(Compta!$F$1:$F$1448,Compta!$A$1:$A$1448,"GRP",Compta!$B$1:$B$1448,"6333",Compta!$C$1:$C$1448,$A79))</f>
        <v>2891983</v>
      </c>
      <c r="AC79" t="s">
        <v>274</v>
      </c>
      <c r="AD79" t="s">
        <v>274</v>
      </c>
      <c r="AE79" t="s">
        <v>274</v>
      </c>
      <c r="AF79" t="s">
        <v>274</v>
      </c>
      <c r="AG79" t="s">
        <v>274</v>
      </c>
      <c r="AH79" t="s">
        <v>274</v>
      </c>
      <c r="AI79">
        <f t="shared" si="3"/>
        <v>24145.8</v>
      </c>
      <c r="AJ79">
        <f t="shared" si="4"/>
        <v>45826</v>
      </c>
      <c r="AK79">
        <f t="shared" si="5"/>
        <v>17488.4303278689</v>
      </c>
      <c r="AL79">
        <f t="shared" si="6"/>
        <v>0</v>
      </c>
      <c r="AM79">
        <f t="shared" si="7"/>
        <v>0</v>
      </c>
      <c r="AN79">
        <f t="shared" si="8"/>
        <v>234959.769672131</v>
      </c>
      <c r="AO79">
        <f>IF($A79="","",_xlfn.SUMIFS(Compta!$F$1:$F$1448,Compta!$A$1:$A$1448,"GRP",Compta!$B$1:$B$1448,"6236",Compta!$C$1:$C$1448,$A79))</f>
        <v>676344</v>
      </c>
      <c r="AP79" t="s">
        <v>274</v>
      </c>
      <c r="AQ79" t="s">
        <v>274</v>
      </c>
      <c r="AR79">
        <f t="shared" si="9"/>
        <v>0</v>
      </c>
    </row>
    <row r="80" ht="14.25" customHeight="1">
      <c r="A80" t="str">
        <f>IF(Allocation!C80="","",Allocation!C80)</f>
        <v>2026</v>
      </c>
      <c r="B80" t="str">
        <f>IF(Allocation!D80="","",Allocation!D80)</f>
        <v>ISCOM_LIL</v>
      </c>
      <c r="C80" t="str">
        <f>IF(Allocation!E80="","",Allocation!E80)</f>
        <v>ISCOM</v>
      </c>
      <c r="D80" t="str">
        <f>IF(Allocation!F80="","",Allocation!F80)</f>
        <v>MAS_COM</v>
      </c>
      <c r="E80" t="str">
        <f>IF(Allocation!G80="","",Allocation!G80)</f>
        <v>M1</v>
      </c>
      <c r="F80" t="str">
        <f>IF(Allocation!H80="","",Allocation!H80)</f>
        <v>ALT</v>
      </c>
      <c r="G80">
        <f>IF(Allocation!D80="","",Allocation!I80)</f>
        <v>50</v>
      </c>
      <c r="H80">
        <f>IF(Allocation!D80="","",Allocation!J80)</f>
        <v>2</v>
      </c>
      <c r="I80">
        <f>IF(Allocation!D80="","",Allocation!K80)</f>
        <v>372000</v>
      </c>
      <c r="J80">
        <f>IF($A80="","",_xlfn.SUMIFS(Socle!$K$1:$K$448,Socle!$C$1:$C$448,$B80,Socle!$D$1:$D$448,$D80,Socle!$E$1:$E$448,$E80,Socle!$F$1:$F$448,$F80,Socle!$G$1:$G$448,$A80))</f>
        <v>100</v>
      </c>
      <c r="K80">
        <f t="shared" si="0"/>
        <v>840</v>
      </c>
      <c r="L80">
        <f>IF($A80="","",_xlfn.SUMIFS(Allocation!$I$1:$I$175,Allocation!$C$1:$C$175,$A80,Allocation!$D$1:$D$175,$B80))</f>
        <v>244</v>
      </c>
      <c r="M80">
        <f>IF($A80="","",_xlfn.SUMIFS(Allocation!$J$1:$J$175,Allocation!$C$1:$C$175,$A80,Allocation!$D$1:$D$175,$B80))</f>
        <v>10</v>
      </c>
      <c r="N80">
        <f>IF($A80="","",_xlfn.SUMIFS(Allocation!$K$1:$K$175,Allocation!$C$1:$C$175,$A80,Allocation!$D$1:$D$175,$B80))</f>
        <v>1755850</v>
      </c>
      <c r="O80">
        <f t="shared" si="1"/>
        <v>4800</v>
      </c>
      <c r="P80">
        <f t="shared" si="2"/>
        <v>200</v>
      </c>
      <c r="Q80">
        <f>IF($A80="","",_xlfn.SUMIFS(Allocation!$I$1:$I$175,Allocation!$C$1:$C$175,$A80,Allocation!$E$1:$E$175,$C80))</f>
        <v>829</v>
      </c>
      <c r="R80">
        <f>IF($A80="","",_xlfn.SUMIFS(Allocation!$J$1:$J$175,Allocation!$C$1:$C$175,$A80,Allocation!$E$1:$E$175,$C80))</f>
        <v>35</v>
      </c>
      <c r="S80">
        <f>IF($A80="","",_xlfn.SUMIFS(Allocation!$K$1:$K$175,Allocation!$C$1:$C$175,$A80,Allocation!$E$1:$E$175,$C80))</f>
        <v>6292550</v>
      </c>
      <c r="T80">
        <f>IF($A80="","",_xlfn.SUMIFS(Allocation!$I$1:$I$175,Allocation!$C$1:$C$175,$A80))</f>
        <v>3036</v>
      </c>
      <c r="U80">
        <f>IF($A80="","",_xlfn.SUMIFS(Allocation!$J$1:$J$175,Allocation!$C$1:$C$175,$A80))</f>
        <v>131</v>
      </c>
      <c r="V80">
        <f>IF($A80="","",_xlfn.SUMIFS(Allocation!$K$1:$K$175,Allocation!$C$1:$C$175,$A80))</f>
        <v>22544725</v>
      </c>
      <c r="W80">
        <f>IF($A80="","",_xlfn.SUMIFS(Compta!$F$1:$F$1448,Compta!$A$1:$A$1448,$B80,Compta!$B$1:$B$1448,"621",Compta!$C$1:$C$1448,$A80))</f>
        <v>120729</v>
      </c>
      <c r="X80">
        <f>IF($A80="","",_xlfn.SUMIFS(Compta!$F$1:$F$1448,Compta!$A$1:$A$1448,$B80,Compta!$B$1:$B$1448,"6411",Compta!$C$1:$C$1448,$A80))</f>
        <v>229130</v>
      </c>
      <c r="Y80">
        <f>IF($A80="","",_xlfn.SUMIFS(Compta!$F$1:$F$1448,Compta!$A$1:$A$1448,$B80,Compta!$B$1:$B$1448,"604",Compta!$C$1:$C$1448,$A80)+_xlfn.SUMIFS(Compta!$F$1:$F$1448,Compta!$A$1:$A$1448,$B80,Compta!$B$1:$B$1448,"6063",Compta!$C$1:$C$1448,$A80))</f>
        <v>90791</v>
      </c>
      <c r="Z80">
        <f>IF($A80="","",_xlfn.SUMIFS(Compta!$F$1:$F$1448,Compta!$A$1:$A$1448,$B80,Compta!$B$1:$B$1448,"6231",Compta!$C$1:$C$1448,$A80))</f>
        <v>25220</v>
      </c>
      <c r="AA80">
        <f>IF($A80="","",_xlfn.SUMIFS(Compta!$F$1:$F$1448,Compta!$A$1:$A$1448,$B80,Compta!$B$1:$B$1448,"6413",Compta!$C$1:$C$1448,$A80)+_xlfn.SUMIFS(Compta!$F$1:$F$1448,Compta!$A$1:$A$1448,$B80,Compta!$B$1:$B$1448,"645",Compta!$C$1:$C$1448,$A80)+_xlfn.SUMIFS(Compta!$F$1:$F$1448,Compta!$A$1:$A$1448,$B80,Compta!$B$1:$B$1448,"613",Compta!$C$1:$C$1448,$A80)+_xlfn.SUMIFS(Compta!$F$1:$F$1448,Compta!$A$1:$A$1448,$B80,Compta!$B$1:$B$1448,"615",Compta!$C$1:$C$1448,$A80)+_xlfn.SUMIFS(Compta!$F$1:$F$1448,Compta!$A$1:$A$1448,$B80,Compta!$B$1:$B$1448,"616",Compta!$C$1:$C$1448,$A80)+_xlfn.SUMIFS(Compta!$F$1:$F$1448,Compta!$A$1:$A$1448,$B80,Compta!$B$1:$B$1448,"625",Compta!$C$1:$C$1448,$A80)+_xlfn.SUMIFS(Compta!$F$1:$F$1448,Compta!$A$1:$A$1448,$B80,Compta!$B$1:$B$1448,"63511",Compta!$C$1:$C$1448,$A80))</f>
        <v>534322</v>
      </c>
      <c r="AB80">
        <f>IF($A80="","",_xlfn.SUMIFS(Compta!$F$1:$F$1448,Compta!$A$1:$A$1448,"GRP",Compta!$B$1:$B$1448,"6414",Compta!$C$1:$C$1448,$A80)+_xlfn.SUMIFS(Compta!$F$1:$F$1448,Compta!$A$1:$A$1448,"GRP",Compta!$B$1:$B$1448,"6226",Compta!$C$1:$C$1448,$A80)+_xlfn.SUMIFS(Compta!$F$1:$F$1448,Compta!$A$1:$A$1448,"GRP",Compta!$B$1:$B$1448,"626",Compta!$C$1:$C$1448,$A80)+_xlfn.SUMIFS(Compta!$F$1:$F$1448,Compta!$A$1:$A$1448,"GRP",Compta!$B$1:$B$1448,"6281",Compta!$C$1:$C$1448,$A80)+_xlfn.SUMIFS(Compta!$F$1:$F$1448,Compta!$A$1:$A$1448,"GRP",Compta!$B$1:$B$1448,"6331",Compta!$C$1:$C$1448,$A80)+_xlfn.SUMIFS(Compta!$F$1:$F$1448,Compta!$A$1:$A$1448,"GRP",Compta!$B$1:$B$1448,"6333",Compta!$C$1:$C$1448,$A80))</f>
        <v>2891983</v>
      </c>
      <c r="AC80" t="s">
        <v>274</v>
      </c>
      <c r="AD80" t="s">
        <v>274</v>
      </c>
      <c r="AE80" t="s">
        <v>274</v>
      </c>
      <c r="AF80" t="s">
        <v>274</v>
      </c>
      <c r="AG80" t="s">
        <v>274</v>
      </c>
      <c r="AH80" t="s">
        <v>274</v>
      </c>
      <c r="AI80">
        <f t="shared" si="3"/>
        <v>21127.575</v>
      </c>
      <c r="AJ80">
        <f t="shared" si="4"/>
        <v>40097.75</v>
      </c>
      <c r="AK80">
        <f t="shared" si="5"/>
        <v>31214.7131147541</v>
      </c>
      <c r="AL80">
        <f t="shared" si="6"/>
        <v>0</v>
      </c>
      <c r="AM80">
        <f t="shared" si="7"/>
        <v>0</v>
      </c>
      <c r="AN80">
        <f t="shared" si="8"/>
        <v>279559.961885246</v>
      </c>
      <c r="AO80">
        <f>IF($A80="","",_xlfn.SUMIFS(Compta!$F$1:$F$1448,Compta!$A$1:$A$1448,"GRP",Compta!$B$1:$B$1448,"6236",Compta!$C$1:$C$1448,$A80))</f>
        <v>676344</v>
      </c>
      <c r="AP80" t="s">
        <v>274</v>
      </c>
      <c r="AQ80" t="s">
        <v>274</v>
      </c>
      <c r="AR80">
        <f t="shared" si="9"/>
        <v>0</v>
      </c>
    </row>
    <row r="81" ht="14.25" customHeight="1">
      <c r="A81" t="str">
        <f>IF(Allocation!C81="","",Allocation!C81)</f>
        <v>2026</v>
      </c>
      <c r="B81" t="str">
        <f>IF(Allocation!D81="","",Allocation!D81)</f>
        <v>ISCOM_LIL</v>
      </c>
      <c r="C81" t="str">
        <f>IF(Allocation!E81="","",Allocation!E81)</f>
        <v>ISCOM</v>
      </c>
      <c r="D81" t="str">
        <f>IF(Allocation!F81="","",Allocation!F81)</f>
        <v>MAS_COM</v>
      </c>
      <c r="E81" t="str">
        <f>IF(Allocation!G81="","",Allocation!G81)</f>
        <v>M2</v>
      </c>
      <c r="F81" t="str">
        <f>IF(Allocation!H81="","",Allocation!H81)</f>
        <v>ALT</v>
      </c>
      <c r="G81">
        <f>IF(Allocation!D81="","",Allocation!I81)</f>
        <v>49</v>
      </c>
      <c r="H81">
        <f>IF(Allocation!D81="","",Allocation!J81)</f>
        <v>2</v>
      </c>
      <c r="I81">
        <f>IF(Allocation!D81="","",Allocation!K81)</f>
        <v>360150</v>
      </c>
      <c r="J81">
        <f>IF($A81="","",_xlfn.SUMIFS(Socle!$K$1:$K$448,Socle!$C$1:$C$448,$B81,Socle!$D$1:$D$448,$D81,Socle!$E$1:$E$448,$E81,Socle!$F$1:$F$448,$F81,Socle!$G$1:$G$448,$A81))</f>
        <v>0</v>
      </c>
      <c r="K81">
        <f t="shared" si="0"/>
        <v>840</v>
      </c>
      <c r="L81">
        <f>IF($A81="","",_xlfn.SUMIFS(Allocation!$I$1:$I$175,Allocation!$C$1:$C$175,$A81,Allocation!$D$1:$D$175,$B81))</f>
        <v>244</v>
      </c>
      <c r="M81">
        <f>IF($A81="","",_xlfn.SUMIFS(Allocation!$J$1:$J$175,Allocation!$C$1:$C$175,$A81,Allocation!$D$1:$D$175,$B81))</f>
        <v>10</v>
      </c>
      <c r="N81">
        <f>IF($A81="","",_xlfn.SUMIFS(Allocation!$K$1:$K$175,Allocation!$C$1:$C$175,$A81,Allocation!$D$1:$D$175,$B81))</f>
        <v>1755850</v>
      </c>
      <c r="O81">
        <f t="shared" si="1"/>
        <v>4800</v>
      </c>
      <c r="P81">
        <f t="shared" si="2"/>
        <v>200</v>
      </c>
      <c r="Q81">
        <f>IF($A81="","",_xlfn.SUMIFS(Allocation!$I$1:$I$175,Allocation!$C$1:$C$175,$A81,Allocation!$E$1:$E$175,$C81))</f>
        <v>829</v>
      </c>
      <c r="R81">
        <f>IF($A81="","",_xlfn.SUMIFS(Allocation!$J$1:$J$175,Allocation!$C$1:$C$175,$A81,Allocation!$E$1:$E$175,$C81))</f>
        <v>35</v>
      </c>
      <c r="S81">
        <f>IF($A81="","",_xlfn.SUMIFS(Allocation!$K$1:$K$175,Allocation!$C$1:$C$175,$A81,Allocation!$E$1:$E$175,$C81))</f>
        <v>6292550</v>
      </c>
      <c r="T81">
        <f>IF($A81="","",_xlfn.SUMIFS(Allocation!$I$1:$I$175,Allocation!$C$1:$C$175,$A81))</f>
        <v>3036</v>
      </c>
      <c r="U81">
        <f>IF($A81="","",_xlfn.SUMIFS(Allocation!$J$1:$J$175,Allocation!$C$1:$C$175,$A81))</f>
        <v>131</v>
      </c>
      <c r="V81">
        <f>IF($A81="","",_xlfn.SUMIFS(Allocation!$K$1:$K$175,Allocation!$C$1:$C$175,$A81))</f>
        <v>22544725</v>
      </c>
      <c r="W81">
        <f>IF($A81="","",_xlfn.SUMIFS(Compta!$F$1:$F$1448,Compta!$A$1:$A$1448,$B81,Compta!$B$1:$B$1448,"621",Compta!$C$1:$C$1448,$A81))</f>
        <v>120729</v>
      </c>
      <c r="X81">
        <f>IF($A81="","",_xlfn.SUMIFS(Compta!$F$1:$F$1448,Compta!$A$1:$A$1448,$B81,Compta!$B$1:$B$1448,"6411",Compta!$C$1:$C$1448,$A81))</f>
        <v>229130</v>
      </c>
      <c r="Y81">
        <f>IF($A81="","",_xlfn.SUMIFS(Compta!$F$1:$F$1448,Compta!$A$1:$A$1448,$B81,Compta!$B$1:$B$1448,"604",Compta!$C$1:$C$1448,$A81)+_xlfn.SUMIFS(Compta!$F$1:$F$1448,Compta!$A$1:$A$1448,$B81,Compta!$B$1:$B$1448,"6063",Compta!$C$1:$C$1448,$A81))</f>
        <v>90791</v>
      </c>
      <c r="Z81">
        <f>IF($A81="","",_xlfn.SUMIFS(Compta!$F$1:$F$1448,Compta!$A$1:$A$1448,$B81,Compta!$B$1:$B$1448,"6231",Compta!$C$1:$C$1448,$A81))</f>
        <v>25220</v>
      </c>
      <c r="AA81">
        <f>IF($A81="","",_xlfn.SUMIFS(Compta!$F$1:$F$1448,Compta!$A$1:$A$1448,$B81,Compta!$B$1:$B$1448,"6413",Compta!$C$1:$C$1448,$A81)+_xlfn.SUMIFS(Compta!$F$1:$F$1448,Compta!$A$1:$A$1448,$B81,Compta!$B$1:$B$1448,"645",Compta!$C$1:$C$1448,$A81)+_xlfn.SUMIFS(Compta!$F$1:$F$1448,Compta!$A$1:$A$1448,$B81,Compta!$B$1:$B$1448,"613",Compta!$C$1:$C$1448,$A81)+_xlfn.SUMIFS(Compta!$F$1:$F$1448,Compta!$A$1:$A$1448,$B81,Compta!$B$1:$B$1448,"615",Compta!$C$1:$C$1448,$A81)+_xlfn.SUMIFS(Compta!$F$1:$F$1448,Compta!$A$1:$A$1448,$B81,Compta!$B$1:$B$1448,"616",Compta!$C$1:$C$1448,$A81)+_xlfn.SUMIFS(Compta!$F$1:$F$1448,Compta!$A$1:$A$1448,$B81,Compta!$B$1:$B$1448,"625",Compta!$C$1:$C$1448,$A81)+_xlfn.SUMIFS(Compta!$F$1:$F$1448,Compta!$A$1:$A$1448,$B81,Compta!$B$1:$B$1448,"63511",Compta!$C$1:$C$1448,$A81))</f>
        <v>534322</v>
      </c>
      <c r="AB81">
        <f>IF($A81="","",_xlfn.SUMIFS(Compta!$F$1:$F$1448,Compta!$A$1:$A$1448,"GRP",Compta!$B$1:$B$1448,"6414",Compta!$C$1:$C$1448,$A81)+_xlfn.SUMIFS(Compta!$F$1:$F$1448,Compta!$A$1:$A$1448,"GRP",Compta!$B$1:$B$1448,"6226",Compta!$C$1:$C$1448,$A81)+_xlfn.SUMIFS(Compta!$F$1:$F$1448,Compta!$A$1:$A$1448,"GRP",Compta!$B$1:$B$1448,"626",Compta!$C$1:$C$1448,$A81)+_xlfn.SUMIFS(Compta!$F$1:$F$1448,Compta!$A$1:$A$1448,"GRP",Compta!$B$1:$B$1448,"6281",Compta!$C$1:$C$1448,$A81)+_xlfn.SUMIFS(Compta!$F$1:$F$1448,Compta!$A$1:$A$1448,"GRP",Compta!$B$1:$B$1448,"6331",Compta!$C$1:$C$1448,$A81)+_xlfn.SUMIFS(Compta!$F$1:$F$1448,Compta!$A$1:$A$1448,"GRP",Compta!$B$1:$B$1448,"6333",Compta!$C$1:$C$1448,$A81))</f>
        <v>2891983</v>
      </c>
      <c r="AC81" t="s">
        <v>274</v>
      </c>
      <c r="AD81" t="s">
        <v>274</v>
      </c>
      <c r="AE81" t="s">
        <v>274</v>
      </c>
      <c r="AF81" t="s">
        <v>274</v>
      </c>
      <c r="AG81" t="s">
        <v>274</v>
      </c>
      <c r="AH81" t="s">
        <v>274</v>
      </c>
      <c r="AI81">
        <f t="shared" si="3"/>
        <v>21127.575</v>
      </c>
      <c r="AJ81">
        <f t="shared" si="4"/>
        <v>40097.75</v>
      </c>
      <c r="AK81">
        <f t="shared" si="5"/>
        <v>18232.618852459</v>
      </c>
      <c r="AL81">
        <f t="shared" si="6"/>
        <v>0</v>
      </c>
      <c r="AM81">
        <f t="shared" si="7"/>
        <v>0</v>
      </c>
      <c r="AN81">
        <f t="shared" si="8"/>
        <v>280692.056147541</v>
      </c>
      <c r="AO81">
        <f>IF($A81="","",_xlfn.SUMIFS(Compta!$F$1:$F$1448,Compta!$A$1:$A$1448,"GRP",Compta!$B$1:$B$1448,"6236",Compta!$C$1:$C$1448,$A81))</f>
        <v>676344</v>
      </c>
      <c r="AP81" t="s">
        <v>274</v>
      </c>
      <c r="AQ81" t="s">
        <v>274</v>
      </c>
      <c r="AR81">
        <f t="shared" si="9"/>
        <v>0</v>
      </c>
    </row>
    <row r="82" ht="14.25" customHeight="1">
      <c r="A82" t="str">
        <f>IF(Allocation!C82="","",Allocation!C82)</f>
        <v>2025</v>
      </c>
      <c r="B82" t="str">
        <f>IF(Allocation!D82="","",Allocation!D82)</f>
        <v>ISCOM_LIL</v>
      </c>
      <c r="C82" t="str">
        <f>IF(Allocation!E82="","",Allocation!E82)</f>
        <v>ISCOM</v>
      </c>
      <c r="D82" t="str">
        <f>IF(Allocation!F82="","",Allocation!F82)</f>
        <v>BAC_COM</v>
      </c>
      <c r="E82" t="str">
        <f>IF(Allocation!G82="","",Allocation!G82)</f>
        <v>B1</v>
      </c>
      <c r="F82" t="str">
        <f>IF(Allocation!H82="","",Allocation!H82)</f>
        <v>INIT</v>
      </c>
      <c r="G82">
        <f>IF(Allocation!D82="","",Allocation!I82)</f>
        <v>47</v>
      </c>
      <c r="H82">
        <f>IF(Allocation!D82="","",Allocation!J82)</f>
        <v>2</v>
      </c>
      <c r="I82">
        <f>IF(Allocation!D82="","",Allocation!K82)</f>
        <v>349680</v>
      </c>
      <c r="J82">
        <f>IF($A82="","",_xlfn.SUMIFS(Socle!$K$1:$K$448,Socle!$C$1:$C$448,$B82,Socle!$D$1:$D$448,$D82,Socle!$E$1:$E$448,$E82,Socle!$F$1:$F$448,$F82,Socle!$G$1:$G$448,$A82))</f>
        <v>94</v>
      </c>
      <c r="K82">
        <f t="shared" si="0"/>
        <v>1200</v>
      </c>
      <c r="L82">
        <f>IF($A82="","",_xlfn.SUMIFS(Allocation!$I$1:$I$175,Allocation!$C$1:$C$175,$A82,Allocation!$D$1:$D$175,$B82))</f>
        <v>229</v>
      </c>
      <c r="M82">
        <f>IF($A82="","",_xlfn.SUMIFS(Allocation!$J$1:$J$175,Allocation!$C$1:$C$175,$A82,Allocation!$D$1:$D$175,$B82))</f>
        <v>10</v>
      </c>
      <c r="N82">
        <f>IF($A82="","",_xlfn.SUMIFS(Allocation!$K$1:$K$175,Allocation!$C$1:$C$175,$A82,Allocation!$D$1:$D$175,$B82))</f>
        <v>1648000</v>
      </c>
      <c r="O82">
        <f t="shared" si="1"/>
        <v>4800</v>
      </c>
      <c r="P82">
        <f t="shared" si="2"/>
        <v>188</v>
      </c>
      <c r="Q82">
        <f>IF($A82="","",_xlfn.SUMIFS(Allocation!$I$1:$I$175,Allocation!$C$1:$C$175,$A82,Allocation!$E$1:$E$175,$C82))</f>
        <v>779</v>
      </c>
      <c r="R82">
        <f>IF($A82="","",_xlfn.SUMIFS(Allocation!$J$1:$J$175,Allocation!$C$1:$C$175,$A82,Allocation!$E$1:$E$175,$C82))</f>
        <v>35</v>
      </c>
      <c r="S82">
        <f>IF($A82="","",_xlfn.SUMIFS(Allocation!$K$1:$K$175,Allocation!$C$1:$C$175,$A82,Allocation!$E$1:$E$175,$C82))</f>
        <v>5914800</v>
      </c>
      <c r="T82">
        <f>IF($A82="","",_xlfn.SUMIFS(Allocation!$I$1:$I$175,Allocation!$C$1:$C$175,$A82))</f>
        <v>2860</v>
      </c>
      <c r="U82">
        <f>IF($A82="","",_xlfn.SUMIFS(Allocation!$J$1:$J$175,Allocation!$C$1:$C$175,$A82))</f>
        <v>131</v>
      </c>
      <c r="V82">
        <f>IF($A82="","",_xlfn.SUMIFS(Allocation!$K$1:$K$175,Allocation!$C$1:$C$175,$A82))</f>
        <v>21240140</v>
      </c>
      <c r="W82">
        <f>IF($A82="","",_xlfn.SUMIFS(Compta!$F$1:$F$1448,Compta!$A$1:$A$1448,$B82,Compta!$B$1:$B$1448,"621",Compta!$C$1:$C$1448,$A82))</f>
        <v>115229</v>
      </c>
      <c r="X82">
        <f>IF($A82="","",_xlfn.SUMIFS(Compta!$F$1:$F$1448,Compta!$A$1:$A$1448,$B82,Compta!$B$1:$B$1448,"6411",Compta!$C$1:$C$1448,$A82))</f>
        <v>218691</v>
      </c>
      <c r="Y82">
        <f>IF($A82="","",_xlfn.SUMIFS(Compta!$F$1:$F$1448,Compta!$A$1:$A$1448,$B82,Compta!$B$1:$B$1448,"604",Compta!$C$1:$C$1448,$A82)+_xlfn.SUMIFS(Compta!$F$1:$F$1448,Compta!$A$1:$A$1448,$B82,Compta!$B$1:$B$1448,"6063",Compta!$C$1:$C$1448,$A82))</f>
        <v>86655</v>
      </c>
      <c r="Z82">
        <f>IF($A82="","",_xlfn.SUMIFS(Compta!$F$1:$F$1448,Compta!$A$1:$A$1448,$B82,Compta!$B$1:$B$1448,"6231",Compta!$C$1:$C$1448,$A82))</f>
        <v>22927</v>
      </c>
      <c r="AA82">
        <f>IF($A82="","",_xlfn.SUMIFS(Compta!$F$1:$F$1448,Compta!$A$1:$A$1448,$B82,Compta!$B$1:$B$1448,"6413",Compta!$C$1:$C$1448,$A82)+_xlfn.SUMIFS(Compta!$F$1:$F$1448,Compta!$A$1:$A$1448,$B82,Compta!$B$1:$B$1448,"645",Compta!$C$1:$C$1448,$A82)+_xlfn.SUMIFS(Compta!$F$1:$F$1448,Compta!$A$1:$A$1448,$B82,Compta!$B$1:$B$1448,"613",Compta!$C$1:$C$1448,$A82)+_xlfn.SUMIFS(Compta!$F$1:$F$1448,Compta!$A$1:$A$1448,$B82,Compta!$B$1:$B$1448,"615",Compta!$C$1:$C$1448,$A82)+_xlfn.SUMIFS(Compta!$F$1:$F$1448,Compta!$A$1:$A$1448,$B82,Compta!$B$1:$B$1448,"616",Compta!$C$1:$C$1448,$A82)+_xlfn.SUMIFS(Compta!$F$1:$F$1448,Compta!$A$1:$A$1448,$B82,Compta!$B$1:$B$1448,"625",Compta!$C$1:$C$1448,$A82)+_xlfn.SUMIFS(Compta!$F$1:$F$1448,Compta!$A$1:$A$1448,$B82,Compta!$B$1:$B$1448,"63511",Compta!$C$1:$C$1448,$A82))</f>
        <v>509979</v>
      </c>
      <c r="AB82">
        <f>IF($A82="","",_xlfn.SUMIFS(Compta!$F$1:$F$1448,Compta!$A$1:$A$1448,"GRP",Compta!$B$1:$B$1448,"6414",Compta!$C$1:$C$1448,$A82)+_xlfn.SUMIFS(Compta!$F$1:$F$1448,Compta!$A$1:$A$1448,"GRP",Compta!$B$1:$B$1448,"6226",Compta!$C$1:$C$1448,$A82)+_xlfn.SUMIFS(Compta!$F$1:$F$1448,Compta!$A$1:$A$1448,"GRP",Compta!$B$1:$B$1448,"626",Compta!$C$1:$C$1448,$A82)+_xlfn.SUMIFS(Compta!$F$1:$F$1448,Compta!$A$1:$A$1448,"GRP",Compta!$B$1:$B$1448,"6281",Compta!$C$1:$C$1448,$A82)+_xlfn.SUMIFS(Compta!$F$1:$F$1448,Compta!$A$1:$A$1448,"GRP",Compta!$B$1:$B$1448,"6331",Compta!$C$1:$C$1448,$A82)+_xlfn.SUMIFS(Compta!$F$1:$F$1448,Compta!$A$1:$A$1448,"GRP",Compta!$B$1:$B$1448,"6333",Compta!$C$1:$C$1448,$A82))</f>
        <v>2760232</v>
      </c>
      <c r="AC82" t="s">
        <v>274</v>
      </c>
      <c r="AD82" t="s">
        <v>274</v>
      </c>
      <c r="AE82" t="s">
        <v>274</v>
      </c>
      <c r="AF82" t="s">
        <v>274</v>
      </c>
      <c r="AG82" t="s">
        <v>274</v>
      </c>
      <c r="AH82" t="s">
        <v>274</v>
      </c>
      <c r="AI82">
        <f t="shared" si="3"/>
        <v>28807.25</v>
      </c>
      <c r="AJ82">
        <f t="shared" si="4"/>
        <v>54672.75</v>
      </c>
      <c r="AK82">
        <f t="shared" si="5"/>
        <v>29248.5873362445</v>
      </c>
      <c r="AL82">
        <f t="shared" si="6"/>
        <v>0</v>
      </c>
      <c r="AM82">
        <f t="shared" si="7"/>
        <v>0</v>
      </c>
      <c r="AN82">
        <f t="shared" si="8"/>
        <v>236951.412663756</v>
      </c>
      <c r="AO82">
        <f>IF($A82="","",_xlfn.SUMIFS(Compta!$F$1:$F$1448,Compta!$A$1:$A$1448,"GRP",Compta!$B$1:$B$1448,"6236",Compta!$C$1:$C$1448,$A82))</f>
        <v>580167</v>
      </c>
      <c r="AP82" t="s">
        <v>274</v>
      </c>
      <c r="AQ82" t="s">
        <v>274</v>
      </c>
      <c r="AR82">
        <f t="shared" si="9"/>
        <v>0</v>
      </c>
    </row>
    <row r="83" ht="14.25" customHeight="1">
      <c r="A83" t="str">
        <f>IF(Allocation!C83="","",Allocation!C83)</f>
        <v>2025</v>
      </c>
      <c r="B83" t="str">
        <f>IF(Allocation!D83="","",Allocation!D83)</f>
        <v>ISCOM_LIL</v>
      </c>
      <c r="C83" t="str">
        <f>IF(Allocation!E83="","",Allocation!E83)</f>
        <v>ISCOM</v>
      </c>
      <c r="D83" t="str">
        <f>IF(Allocation!F83="","",Allocation!F83)</f>
        <v>BAC_COM</v>
      </c>
      <c r="E83" t="str">
        <f>IF(Allocation!G83="","",Allocation!G83)</f>
        <v>B2</v>
      </c>
      <c r="F83" t="str">
        <f>IF(Allocation!H83="","",Allocation!H83)</f>
        <v>ALT</v>
      </c>
      <c r="G83">
        <f>IF(Allocation!D83="","",Allocation!I83)</f>
        <v>45</v>
      </c>
      <c r="H83">
        <f>IF(Allocation!D83="","",Allocation!J83)</f>
        <v>2</v>
      </c>
      <c r="I83">
        <f>IF(Allocation!D83="","",Allocation!K83)</f>
        <v>308700</v>
      </c>
      <c r="J83">
        <f>IF($A83="","",_xlfn.SUMIFS(Socle!$K$1:$K$448,Socle!$C$1:$C$448,$B83,Socle!$D$1:$D$448,$D83,Socle!$E$1:$E$448,$E83,Socle!$F$1:$F$448,$F83,Socle!$G$1:$G$448,$A83))</f>
        <v>0</v>
      </c>
      <c r="K83">
        <f t="shared" si="0"/>
        <v>960</v>
      </c>
      <c r="L83">
        <f>IF($A83="","",_xlfn.SUMIFS(Allocation!$I$1:$I$175,Allocation!$C$1:$C$175,$A83,Allocation!$D$1:$D$175,$B83))</f>
        <v>229</v>
      </c>
      <c r="M83">
        <f>IF($A83="","",_xlfn.SUMIFS(Allocation!$J$1:$J$175,Allocation!$C$1:$C$175,$A83,Allocation!$D$1:$D$175,$B83))</f>
        <v>10</v>
      </c>
      <c r="N83">
        <f>IF($A83="","",_xlfn.SUMIFS(Allocation!$K$1:$K$175,Allocation!$C$1:$C$175,$A83,Allocation!$D$1:$D$175,$B83))</f>
        <v>1648000</v>
      </c>
      <c r="O83">
        <f t="shared" si="1"/>
        <v>4800</v>
      </c>
      <c r="P83">
        <f t="shared" si="2"/>
        <v>188</v>
      </c>
      <c r="Q83">
        <f>IF($A83="","",_xlfn.SUMIFS(Allocation!$I$1:$I$175,Allocation!$C$1:$C$175,$A83,Allocation!$E$1:$E$175,$C83))</f>
        <v>779</v>
      </c>
      <c r="R83">
        <f>IF($A83="","",_xlfn.SUMIFS(Allocation!$J$1:$J$175,Allocation!$C$1:$C$175,$A83,Allocation!$E$1:$E$175,$C83))</f>
        <v>35</v>
      </c>
      <c r="S83">
        <f>IF($A83="","",_xlfn.SUMIFS(Allocation!$K$1:$K$175,Allocation!$C$1:$C$175,$A83,Allocation!$E$1:$E$175,$C83))</f>
        <v>5914800</v>
      </c>
      <c r="T83">
        <f>IF($A83="","",_xlfn.SUMIFS(Allocation!$I$1:$I$175,Allocation!$C$1:$C$175,$A83))</f>
        <v>2860</v>
      </c>
      <c r="U83">
        <f>IF($A83="","",_xlfn.SUMIFS(Allocation!$J$1:$J$175,Allocation!$C$1:$C$175,$A83))</f>
        <v>131</v>
      </c>
      <c r="V83">
        <f>IF($A83="","",_xlfn.SUMIFS(Allocation!$K$1:$K$175,Allocation!$C$1:$C$175,$A83))</f>
        <v>21240140</v>
      </c>
      <c r="W83">
        <f>IF($A83="","",_xlfn.SUMIFS(Compta!$F$1:$F$1448,Compta!$A$1:$A$1448,$B83,Compta!$B$1:$B$1448,"621",Compta!$C$1:$C$1448,$A83))</f>
        <v>115229</v>
      </c>
      <c r="X83">
        <f>IF($A83="","",_xlfn.SUMIFS(Compta!$F$1:$F$1448,Compta!$A$1:$A$1448,$B83,Compta!$B$1:$B$1448,"6411",Compta!$C$1:$C$1448,$A83))</f>
        <v>218691</v>
      </c>
      <c r="Y83">
        <f>IF($A83="","",_xlfn.SUMIFS(Compta!$F$1:$F$1448,Compta!$A$1:$A$1448,$B83,Compta!$B$1:$B$1448,"604",Compta!$C$1:$C$1448,$A83)+_xlfn.SUMIFS(Compta!$F$1:$F$1448,Compta!$A$1:$A$1448,$B83,Compta!$B$1:$B$1448,"6063",Compta!$C$1:$C$1448,$A83))</f>
        <v>86655</v>
      </c>
      <c r="Z83">
        <f>IF($A83="","",_xlfn.SUMIFS(Compta!$F$1:$F$1448,Compta!$A$1:$A$1448,$B83,Compta!$B$1:$B$1448,"6231",Compta!$C$1:$C$1448,$A83))</f>
        <v>22927</v>
      </c>
      <c r="AA83">
        <f>IF($A83="","",_xlfn.SUMIFS(Compta!$F$1:$F$1448,Compta!$A$1:$A$1448,$B83,Compta!$B$1:$B$1448,"6413",Compta!$C$1:$C$1448,$A83)+_xlfn.SUMIFS(Compta!$F$1:$F$1448,Compta!$A$1:$A$1448,$B83,Compta!$B$1:$B$1448,"645",Compta!$C$1:$C$1448,$A83)+_xlfn.SUMIFS(Compta!$F$1:$F$1448,Compta!$A$1:$A$1448,$B83,Compta!$B$1:$B$1448,"613",Compta!$C$1:$C$1448,$A83)+_xlfn.SUMIFS(Compta!$F$1:$F$1448,Compta!$A$1:$A$1448,$B83,Compta!$B$1:$B$1448,"615",Compta!$C$1:$C$1448,$A83)+_xlfn.SUMIFS(Compta!$F$1:$F$1448,Compta!$A$1:$A$1448,$B83,Compta!$B$1:$B$1448,"616",Compta!$C$1:$C$1448,$A83)+_xlfn.SUMIFS(Compta!$F$1:$F$1448,Compta!$A$1:$A$1448,$B83,Compta!$B$1:$B$1448,"625",Compta!$C$1:$C$1448,$A83)+_xlfn.SUMIFS(Compta!$F$1:$F$1448,Compta!$A$1:$A$1448,$B83,Compta!$B$1:$B$1448,"63511",Compta!$C$1:$C$1448,$A83))</f>
        <v>509979</v>
      </c>
      <c r="AB83">
        <f>IF($A83="","",_xlfn.SUMIFS(Compta!$F$1:$F$1448,Compta!$A$1:$A$1448,"GRP",Compta!$B$1:$B$1448,"6414",Compta!$C$1:$C$1448,$A83)+_xlfn.SUMIFS(Compta!$F$1:$F$1448,Compta!$A$1:$A$1448,"GRP",Compta!$B$1:$B$1448,"6226",Compta!$C$1:$C$1448,$A83)+_xlfn.SUMIFS(Compta!$F$1:$F$1448,Compta!$A$1:$A$1448,"GRP",Compta!$B$1:$B$1448,"626",Compta!$C$1:$C$1448,$A83)+_xlfn.SUMIFS(Compta!$F$1:$F$1448,Compta!$A$1:$A$1448,"GRP",Compta!$B$1:$B$1448,"6281",Compta!$C$1:$C$1448,$A83)+_xlfn.SUMIFS(Compta!$F$1:$F$1448,Compta!$A$1:$A$1448,"GRP",Compta!$B$1:$B$1448,"6331",Compta!$C$1:$C$1448,$A83)+_xlfn.SUMIFS(Compta!$F$1:$F$1448,Compta!$A$1:$A$1448,"GRP",Compta!$B$1:$B$1448,"6333",Compta!$C$1:$C$1448,$A83))</f>
        <v>2760232</v>
      </c>
      <c r="AC83" t="s">
        <v>274</v>
      </c>
      <c r="AD83" t="s">
        <v>274</v>
      </c>
      <c r="AE83" t="s">
        <v>274</v>
      </c>
      <c r="AF83" t="s">
        <v>274</v>
      </c>
      <c r="AG83" t="s">
        <v>274</v>
      </c>
      <c r="AH83" t="s">
        <v>274</v>
      </c>
      <c r="AI83">
        <f t="shared" si="3"/>
        <v>23045.8</v>
      </c>
      <c r="AJ83">
        <f t="shared" si="4"/>
        <v>43738.2</v>
      </c>
      <c r="AK83">
        <f t="shared" si="5"/>
        <v>17028.2751091703</v>
      </c>
      <c r="AL83">
        <f t="shared" si="6"/>
        <v>0</v>
      </c>
      <c r="AM83">
        <f t="shared" si="7"/>
        <v>0</v>
      </c>
      <c r="AN83">
        <f t="shared" si="8"/>
        <v>224887.72489083</v>
      </c>
      <c r="AO83">
        <f>IF($A83="","",_xlfn.SUMIFS(Compta!$F$1:$F$1448,Compta!$A$1:$A$1448,"GRP",Compta!$B$1:$B$1448,"6236",Compta!$C$1:$C$1448,$A83))</f>
        <v>580167</v>
      </c>
      <c r="AP83" t="s">
        <v>274</v>
      </c>
      <c r="AQ83" t="s">
        <v>274</v>
      </c>
      <c r="AR83">
        <f t="shared" si="9"/>
        <v>0</v>
      </c>
    </row>
    <row r="84" ht="14.25" customHeight="1">
      <c r="A84" t="str">
        <f>IF(Allocation!C84="","",Allocation!C84)</f>
        <v>2025</v>
      </c>
      <c r="B84" t="str">
        <f>IF(Allocation!D84="","",Allocation!D84)</f>
        <v>ISCOM_LIL</v>
      </c>
      <c r="C84" t="str">
        <f>IF(Allocation!E84="","",Allocation!E84)</f>
        <v>ISCOM</v>
      </c>
      <c r="D84" t="str">
        <f>IF(Allocation!F84="","",Allocation!F84)</f>
        <v>BAC_COM</v>
      </c>
      <c r="E84" t="str">
        <f>IF(Allocation!G84="","",Allocation!G84)</f>
        <v>B3</v>
      </c>
      <c r="F84" t="str">
        <f>IF(Allocation!H84="","",Allocation!H84)</f>
        <v>ALT</v>
      </c>
      <c r="G84">
        <f>IF(Allocation!D84="","",Allocation!I84)</f>
        <v>44</v>
      </c>
      <c r="H84">
        <f>IF(Allocation!D84="","",Allocation!J84)</f>
        <v>2</v>
      </c>
      <c r="I84">
        <f>IF(Allocation!D84="","",Allocation!K84)</f>
        <v>301840</v>
      </c>
      <c r="J84">
        <f>IF($A84="","",_xlfn.SUMIFS(Socle!$K$1:$K$448,Socle!$C$1:$C$448,$B84,Socle!$D$1:$D$448,$D84,Socle!$E$1:$E$448,$E84,Socle!$F$1:$F$448,$F84,Socle!$G$1:$G$448,$A84))</f>
        <v>0</v>
      </c>
      <c r="K84">
        <f t="shared" si="0"/>
        <v>960</v>
      </c>
      <c r="L84">
        <f>IF($A84="","",_xlfn.SUMIFS(Allocation!$I$1:$I$175,Allocation!$C$1:$C$175,$A84,Allocation!$D$1:$D$175,$B84))</f>
        <v>229</v>
      </c>
      <c r="M84">
        <f>IF($A84="","",_xlfn.SUMIFS(Allocation!$J$1:$J$175,Allocation!$C$1:$C$175,$A84,Allocation!$D$1:$D$175,$B84))</f>
        <v>10</v>
      </c>
      <c r="N84">
        <f>IF($A84="","",_xlfn.SUMIFS(Allocation!$K$1:$K$175,Allocation!$C$1:$C$175,$A84,Allocation!$D$1:$D$175,$B84))</f>
        <v>1648000</v>
      </c>
      <c r="O84">
        <f t="shared" si="1"/>
        <v>4800</v>
      </c>
      <c r="P84">
        <f t="shared" si="2"/>
        <v>188</v>
      </c>
      <c r="Q84">
        <f>IF($A84="","",_xlfn.SUMIFS(Allocation!$I$1:$I$175,Allocation!$C$1:$C$175,$A84,Allocation!$E$1:$E$175,$C84))</f>
        <v>779</v>
      </c>
      <c r="R84">
        <f>IF($A84="","",_xlfn.SUMIFS(Allocation!$J$1:$J$175,Allocation!$C$1:$C$175,$A84,Allocation!$E$1:$E$175,$C84))</f>
        <v>35</v>
      </c>
      <c r="S84">
        <f>IF($A84="","",_xlfn.SUMIFS(Allocation!$K$1:$K$175,Allocation!$C$1:$C$175,$A84,Allocation!$E$1:$E$175,$C84))</f>
        <v>5914800</v>
      </c>
      <c r="T84">
        <f>IF($A84="","",_xlfn.SUMIFS(Allocation!$I$1:$I$175,Allocation!$C$1:$C$175,$A84))</f>
        <v>2860</v>
      </c>
      <c r="U84">
        <f>IF($A84="","",_xlfn.SUMIFS(Allocation!$J$1:$J$175,Allocation!$C$1:$C$175,$A84))</f>
        <v>131</v>
      </c>
      <c r="V84">
        <f>IF($A84="","",_xlfn.SUMIFS(Allocation!$K$1:$K$175,Allocation!$C$1:$C$175,$A84))</f>
        <v>21240140</v>
      </c>
      <c r="W84">
        <f>IF($A84="","",_xlfn.SUMIFS(Compta!$F$1:$F$1448,Compta!$A$1:$A$1448,$B84,Compta!$B$1:$B$1448,"621",Compta!$C$1:$C$1448,$A84))</f>
        <v>115229</v>
      </c>
      <c r="X84">
        <f>IF($A84="","",_xlfn.SUMIFS(Compta!$F$1:$F$1448,Compta!$A$1:$A$1448,$B84,Compta!$B$1:$B$1448,"6411",Compta!$C$1:$C$1448,$A84))</f>
        <v>218691</v>
      </c>
      <c r="Y84">
        <f>IF($A84="","",_xlfn.SUMIFS(Compta!$F$1:$F$1448,Compta!$A$1:$A$1448,$B84,Compta!$B$1:$B$1448,"604",Compta!$C$1:$C$1448,$A84)+_xlfn.SUMIFS(Compta!$F$1:$F$1448,Compta!$A$1:$A$1448,$B84,Compta!$B$1:$B$1448,"6063",Compta!$C$1:$C$1448,$A84))</f>
        <v>86655</v>
      </c>
      <c r="Z84">
        <f>IF($A84="","",_xlfn.SUMIFS(Compta!$F$1:$F$1448,Compta!$A$1:$A$1448,$B84,Compta!$B$1:$B$1448,"6231",Compta!$C$1:$C$1448,$A84))</f>
        <v>22927</v>
      </c>
      <c r="AA84">
        <f>IF($A84="","",_xlfn.SUMIFS(Compta!$F$1:$F$1448,Compta!$A$1:$A$1448,$B84,Compta!$B$1:$B$1448,"6413",Compta!$C$1:$C$1448,$A84)+_xlfn.SUMIFS(Compta!$F$1:$F$1448,Compta!$A$1:$A$1448,$B84,Compta!$B$1:$B$1448,"645",Compta!$C$1:$C$1448,$A84)+_xlfn.SUMIFS(Compta!$F$1:$F$1448,Compta!$A$1:$A$1448,$B84,Compta!$B$1:$B$1448,"613",Compta!$C$1:$C$1448,$A84)+_xlfn.SUMIFS(Compta!$F$1:$F$1448,Compta!$A$1:$A$1448,$B84,Compta!$B$1:$B$1448,"615",Compta!$C$1:$C$1448,$A84)+_xlfn.SUMIFS(Compta!$F$1:$F$1448,Compta!$A$1:$A$1448,$B84,Compta!$B$1:$B$1448,"616",Compta!$C$1:$C$1448,$A84)+_xlfn.SUMIFS(Compta!$F$1:$F$1448,Compta!$A$1:$A$1448,$B84,Compta!$B$1:$B$1448,"625",Compta!$C$1:$C$1448,$A84)+_xlfn.SUMIFS(Compta!$F$1:$F$1448,Compta!$A$1:$A$1448,$B84,Compta!$B$1:$B$1448,"63511",Compta!$C$1:$C$1448,$A84))</f>
        <v>509979</v>
      </c>
      <c r="AB84">
        <f>IF($A84="","",_xlfn.SUMIFS(Compta!$F$1:$F$1448,Compta!$A$1:$A$1448,"GRP",Compta!$B$1:$B$1448,"6414",Compta!$C$1:$C$1448,$A84)+_xlfn.SUMIFS(Compta!$F$1:$F$1448,Compta!$A$1:$A$1448,"GRP",Compta!$B$1:$B$1448,"6226",Compta!$C$1:$C$1448,$A84)+_xlfn.SUMIFS(Compta!$F$1:$F$1448,Compta!$A$1:$A$1448,"GRP",Compta!$B$1:$B$1448,"626",Compta!$C$1:$C$1448,$A84)+_xlfn.SUMIFS(Compta!$F$1:$F$1448,Compta!$A$1:$A$1448,"GRP",Compta!$B$1:$B$1448,"6281",Compta!$C$1:$C$1448,$A84)+_xlfn.SUMIFS(Compta!$F$1:$F$1448,Compta!$A$1:$A$1448,"GRP",Compta!$B$1:$B$1448,"6331",Compta!$C$1:$C$1448,$A84)+_xlfn.SUMIFS(Compta!$F$1:$F$1448,Compta!$A$1:$A$1448,"GRP",Compta!$B$1:$B$1448,"6333",Compta!$C$1:$C$1448,$A84))</f>
        <v>2760232</v>
      </c>
      <c r="AC84" t="s">
        <v>274</v>
      </c>
      <c r="AD84" t="s">
        <v>274</v>
      </c>
      <c r="AE84" t="s">
        <v>274</v>
      </c>
      <c r="AF84" t="s">
        <v>274</v>
      </c>
      <c r="AG84" t="s">
        <v>274</v>
      </c>
      <c r="AH84" t="s">
        <v>274</v>
      </c>
      <c r="AI84">
        <f t="shared" si="3"/>
        <v>23045.8</v>
      </c>
      <c r="AJ84">
        <f t="shared" si="4"/>
        <v>43738.2</v>
      </c>
      <c r="AK84">
        <f t="shared" si="5"/>
        <v>16649.8689956332</v>
      </c>
      <c r="AL84">
        <f t="shared" si="6"/>
        <v>0</v>
      </c>
      <c r="AM84">
        <f t="shared" si="7"/>
        <v>0</v>
      </c>
      <c r="AN84">
        <f t="shared" si="8"/>
        <v>218406.131004367</v>
      </c>
      <c r="AO84">
        <f>IF($A84="","",_xlfn.SUMIFS(Compta!$F$1:$F$1448,Compta!$A$1:$A$1448,"GRP",Compta!$B$1:$B$1448,"6236",Compta!$C$1:$C$1448,$A84))</f>
        <v>580167</v>
      </c>
      <c r="AP84" t="s">
        <v>274</v>
      </c>
      <c r="AQ84" t="s">
        <v>274</v>
      </c>
      <c r="AR84">
        <f t="shared" si="9"/>
        <v>0</v>
      </c>
    </row>
    <row r="85" ht="14.25" customHeight="1">
      <c r="A85" t="str">
        <f>IF(Allocation!C85="","",Allocation!C85)</f>
        <v>2025</v>
      </c>
      <c r="B85" t="str">
        <f>IF(Allocation!D85="","",Allocation!D85)</f>
        <v>ISCOM_LIL</v>
      </c>
      <c r="C85" t="str">
        <f>IF(Allocation!E85="","",Allocation!E85)</f>
        <v>ISCOM</v>
      </c>
      <c r="D85" t="str">
        <f>IF(Allocation!F85="","",Allocation!F85)</f>
        <v>MAS_COM</v>
      </c>
      <c r="E85" t="str">
        <f>IF(Allocation!G85="","",Allocation!G85)</f>
        <v>M1</v>
      </c>
      <c r="F85" t="str">
        <f>IF(Allocation!H85="","",Allocation!H85)</f>
        <v>ALT</v>
      </c>
      <c r="G85">
        <f>IF(Allocation!D85="","",Allocation!I85)</f>
        <v>47</v>
      </c>
      <c r="H85">
        <f>IF(Allocation!D85="","",Allocation!J85)</f>
        <v>2</v>
      </c>
      <c r="I85">
        <f>IF(Allocation!D85="","",Allocation!K85)</f>
        <v>349680</v>
      </c>
      <c r="J85">
        <f>IF($A85="","",_xlfn.SUMIFS(Socle!$K$1:$K$448,Socle!$C$1:$C$448,$B85,Socle!$D$1:$D$448,$D85,Socle!$E$1:$E$448,$E85,Socle!$F$1:$F$448,$F85,Socle!$G$1:$G$448,$A85))</f>
        <v>94</v>
      </c>
      <c r="K85">
        <f t="shared" si="0"/>
        <v>840</v>
      </c>
      <c r="L85">
        <f>IF($A85="","",_xlfn.SUMIFS(Allocation!$I$1:$I$175,Allocation!$C$1:$C$175,$A85,Allocation!$D$1:$D$175,$B85))</f>
        <v>229</v>
      </c>
      <c r="M85">
        <f>IF($A85="","",_xlfn.SUMIFS(Allocation!$J$1:$J$175,Allocation!$C$1:$C$175,$A85,Allocation!$D$1:$D$175,$B85))</f>
        <v>10</v>
      </c>
      <c r="N85">
        <f>IF($A85="","",_xlfn.SUMIFS(Allocation!$K$1:$K$175,Allocation!$C$1:$C$175,$A85,Allocation!$D$1:$D$175,$B85))</f>
        <v>1648000</v>
      </c>
      <c r="O85">
        <f t="shared" si="1"/>
        <v>4800</v>
      </c>
      <c r="P85">
        <f t="shared" si="2"/>
        <v>188</v>
      </c>
      <c r="Q85">
        <f>IF($A85="","",_xlfn.SUMIFS(Allocation!$I$1:$I$175,Allocation!$C$1:$C$175,$A85,Allocation!$E$1:$E$175,$C85))</f>
        <v>779</v>
      </c>
      <c r="R85">
        <f>IF($A85="","",_xlfn.SUMIFS(Allocation!$J$1:$J$175,Allocation!$C$1:$C$175,$A85,Allocation!$E$1:$E$175,$C85))</f>
        <v>35</v>
      </c>
      <c r="S85">
        <f>IF($A85="","",_xlfn.SUMIFS(Allocation!$K$1:$K$175,Allocation!$C$1:$C$175,$A85,Allocation!$E$1:$E$175,$C85))</f>
        <v>5914800</v>
      </c>
      <c r="T85">
        <f>IF($A85="","",_xlfn.SUMIFS(Allocation!$I$1:$I$175,Allocation!$C$1:$C$175,$A85))</f>
        <v>2860</v>
      </c>
      <c r="U85">
        <f>IF($A85="","",_xlfn.SUMIFS(Allocation!$J$1:$J$175,Allocation!$C$1:$C$175,$A85))</f>
        <v>131</v>
      </c>
      <c r="V85">
        <f>IF($A85="","",_xlfn.SUMIFS(Allocation!$K$1:$K$175,Allocation!$C$1:$C$175,$A85))</f>
        <v>21240140</v>
      </c>
      <c r="W85">
        <f>IF($A85="","",_xlfn.SUMIFS(Compta!$F$1:$F$1448,Compta!$A$1:$A$1448,$B85,Compta!$B$1:$B$1448,"621",Compta!$C$1:$C$1448,$A85))</f>
        <v>115229</v>
      </c>
      <c r="X85">
        <f>IF($A85="","",_xlfn.SUMIFS(Compta!$F$1:$F$1448,Compta!$A$1:$A$1448,$B85,Compta!$B$1:$B$1448,"6411",Compta!$C$1:$C$1448,$A85))</f>
        <v>218691</v>
      </c>
      <c r="Y85">
        <f>IF($A85="","",_xlfn.SUMIFS(Compta!$F$1:$F$1448,Compta!$A$1:$A$1448,$B85,Compta!$B$1:$B$1448,"604",Compta!$C$1:$C$1448,$A85)+_xlfn.SUMIFS(Compta!$F$1:$F$1448,Compta!$A$1:$A$1448,$B85,Compta!$B$1:$B$1448,"6063",Compta!$C$1:$C$1448,$A85))</f>
        <v>86655</v>
      </c>
      <c r="Z85">
        <f>IF($A85="","",_xlfn.SUMIFS(Compta!$F$1:$F$1448,Compta!$A$1:$A$1448,$B85,Compta!$B$1:$B$1448,"6231",Compta!$C$1:$C$1448,$A85))</f>
        <v>22927</v>
      </c>
      <c r="AA85">
        <f>IF($A85="","",_xlfn.SUMIFS(Compta!$F$1:$F$1448,Compta!$A$1:$A$1448,$B85,Compta!$B$1:$B$1448,"6413",Compta!$C$1:$C$1448,$A85)+_xlfn.SUMIFS(Compta!$F$1:$F$1448,Compta!$A$1:$A$1448,$B85,Compta!$B$1:$B$1448,"645",Compta!$C$1:$C$1448,$A85)+_xlfn.SUMIFS(Compta!$F$1:$F$1448,Compta!$A$1:$A$1448,$B85,Compta!$B$1:$B$1448,"613",Compta!$C$1:$C$1448,$A85)+_xlfn.SUMIFS(Compta!$F$1:$F$1448,Compta!$A$1:$A$1448,$B85,Compta!$B$1:$B$1448,"615",Compta!$C$1:$C$1448,$A85)+_xlfn.SUMIFS(Compta!$F$1:$F$1448,Compta!$A$1:$A$1448,$B85,Compta!$B$1:$B$1448,"616",Compta!$C$1:$C$1448,$A85)+_xlfn.SUMIFS(Compta!$F$1:$F$1448,Compta!$A$1:$A$1448,$B85,Compta!$B$1:$B$1448,"625",Compta!$C$1:$C$1448,$A85)+_xlfn.SUMIFS(Compta!$F$1:$F$1448,Compta!$A$1:$A$1448,$B85,Compta!$B$1:$B$1448,"63511",Compta!$C$1:$C$1448,$A85))</f>
        <v>509979</v>
      </c>
      <c r="AB85">
        <f>IF($A85="","",_xlfn.SUMIFS(Compta!$F$1:$F$1448,Compta!$A$1:$A$1448,"GRP",Compta!$B$1:$B$1448,"6414",Compta!$C$1:$C$1448,$A85)+_xlfn.SUMIFS(Compta!$F$1:$F$1448,Compta!$A$1:$A$1448,"GRP",Compta!$B$1:$B$1448,"6226",Compta!$C$1:$C$1448,$A85)+_xlfn.SUMIFS(Compta!$F$1:$F$1448,Compta!$A$1:$A$1448,"GRP",Compta!$B$1:$B$1448,"626",Compta!$C$1:$C$1448,$A85)+_xlfn.SUMIFS(Compta!$F$1:$F$1448,Compta!$A$1:$A$1448,"GRP",Compta!$B$1:$B$1448,"6281",Compta!$C$1:$C$1448,$A85)+_xlfn.SUMIFS(Compta!$F$1:$F$1448,Compta!$A$1:$A$1448,"GRP",Compta!$B$1:$B$1448,"6331",Compta!$C$1:$C$1448,$A85)+_xlfn.SUMIFS(Compta!$F$1:$F$1448,Compta!$A$1:$A$1448,"GRP",Compta!$B$1:$B$1448,"6333",Compta!$C$1:$C$1448,$A85))</f>
        <v>2760232</v>
      </c>
      <c r="AC85" t="s">
        <v>274</v>
      </c>
      <c r="AD85" t="s">
        <v>274</v>
      </c>
      <c r="AE85" t="s">
        <v>274</v>
      </c>
      <c r="AF85" t="s">
        <v>274</v>
      </c>
      <c r="AG85" t="s">
        <v>274</v>
      </c>
      <c r="AH85" t="s">
        <v>274</v>
      </c>
      <c r="AI85">
        <f t="shared" si="3"/>
        <v>20165.075</v>
      </c>
      <c r="AJ85">
        <f t="shared" si="4"/>
        <v>38270.925</v>
      </c>
      <c r="AK85">
        <f t="shared" si="5"/>
        <v>29248.5873362445</v>
      </c>
      <c r="AL85">
        <f t="shared" si="6"/>
        <v>0</v>
      </c>
      <c r="AM85">
        <f t="shared" si="7"/>
        <v>0</v>
      </c>
      <c r="AN85">
        <f t="shared" si="8"/>
        <v>261995.412663756</v>
      </c>
      <c r="AO85">
        <f>IF($A85="","",_xlfn.SUMIFS(Compta!$F$1:$F$1448,Compta!$A$1:$A$1448,"GRP",Compta!$B$1:$B$1448,"6236",Compta!$C$1:$C$1448,$A85))</f>
        <v>580167</v>
      </c>
      <c r="AP85" t="s">
        <v>274</v>
      </c>
      <c r="AQ85" t="s">
        <v>274</v>
      </c>
      <c r="AR85">
        <f t="shared" si="9"/>
        <v>0</v>
      </c>
    </row>
    <row r="86" ht="14.25" customHeight="1">
      <c r="A86" t="str">
        <f>IF(Allocation!C86="","",Allocation!C86)</f>
        <v>2025</v>
      </c>
      <c r="B86" t="str">
        <f>IF(Allocation!D86="","",Allocation!D86)</f>
        <v>ISCOM_LIL</v>
      </c>
      <c r="C86" t="str">
        <f>IF(Allocation!E86="","",Allocation!E86)</f>
        <v>ISCOM</v>
      </c>
      <c r="D86" t="str">
        <f>IF(Allocation!F86="","",Allocation!F86)</f>
        <v>MAS_COM</v>
      </c>
      <c r="E86" t="str">
        <f>IF(Allocation!G86="","",Allocation!G86)</f>
        <v>M2</v>
      </c>
      <c r="F86" t="str">
        <f>IF(Allocation!H86="","",Allocation!H86)</f>
        <v>ALT</v>
      </c>
      <c r="G86">
        <f>IF(Allocation!D86="","",Allocation!I86)</f>
        <v>46</v>
      </c>
      <c r="H86">
        <f>IF(Allocation!D86="","",Allocation!J86)</f>
        <v>2</v>
      </c>
      <c r="I86">
        <f>IF(Allocation!D86="","",Allocation!K86)</f>
        <v>338100</v>
      </c>
      <c r="J86">
        <f>IF($A86="","",_xlfn.SUMIFS(Socle!$K$1:$K$448,Socle!$C$1:$C$448,$B86,Socle!$D$1:$D$448,$D86,Socle!$E$1:$E$448,$E86,Socle!$F$1:$F$448,$F86,Socle!$G$1:$G$448,$A86))</f>
        <v>0</v>
      </c>
      <c r="K86">
        <f t="shared" si="0"/>
        <v>840</v>
      </c>
      <c r="L86">
        <f>IF($A86="","",_xlfn.SUMIFS(Allocation!$I$1:$I$175,Allocation!$C$1:$C$175,$A86,Allocation!$D$1:$D$175,$B86))</f>
        <v>229</v>
      </c>
      <c r="M86">
        <f>IF($A86="","",_xlfn.SUMIFS(Allocation!$J$1:$J$175,Allocation!$C$1:$C$175,$A86,Allocation!$D$1:$D$175,$B86))</f>
        <v>10</v>
      </c>
      <c r="N86">
        <f>IF($A86="","",_xlfn.SUMIFS(Allocation!$K$1:$K$175,Allocation!$C$1:$C$175,$A86,Allocation!$D$1:$D$175,$B86))</f>
        <v>1648000</v>
      </c>
      <c r="O86">
        <f t="shared" si="1"/>
        <v>4800</v>
      </c>
      <c r="P86">
        <f t="shared" si="2"/>
        <v>188</v>
      </c>
      <c r="Q86">
        <f>IF($A86="","",_xlfn.SUMIFS(Allocation!$I$1:$I$175,Allocation!$C$1:$C$175,$A86,Allocation!$E$1:$E$175,$C86))</f>
        <v>779</v>
      </c>
      <c r="R86">
        <f>IF($A86="","",_xlfn.SUMIFS(Allocation!$J$1:$J$175,Allocation!$C$1:$C$175,$A86,Allocation!$E$1:$E$175,$C86))</f>
        <v>35</v>
      </c>
      <c r="S86">
        <f>IF($A86="","",_xlfn.SUMIFS(Allocation!$K$1:$K$175,Allocation!$C$1:$C$175,$A86,Allocation!$E$1:$E$175,$C86))</f>
        <v>5914800</v>
      </c>
      <c r="T86">
        <f>IF($A86="","",_xlfn.SUMIFS(Allocation!$I$1:$I$175,Allocation!$C$1:$C$175,$A86))</f>
        <v>2860</v>
      </c>
      <c r="U86">
        <f>IF($A86="","",_xlfn.SUMIFS(Allocation!$J$1:$J$175,Allocation!$C$1:$C$175,$A86))</f>
        <v>131</v>
      </c>
      <c r="V86">
        <f>IF($A86="","",_xlfn.SUMIFS(Allocation!$K$1:$K$175,Allocation!$C$1:$C$175,$A86))</f>
        <v>21240140</v>
      </c>
      <c r="W86">
        <f>IF($A86="","",_xlfn.SUMIFS(Compta!$F$1:$F$1448,Compta!$A$1:$A$1448,$B86,Compta!$B$1:$B$1448,"621",Compta!$C$1:$C$1448,$A86))</f>
        <v>115229</v>
      </c>
      <c r="X86">
        <f>IF($A86="","",_xlfn.SUMIFS(Compta!$F$1:$F$1448,Compta!$A$1:$A$1448,$B86,Compta!$B$1:$B$1448,"6411",Compta!$C$1:$C$1448,$A86))</f>
        <v>218691</v>
      </c>
      <c r="Y86">
        <f>IF($A86="","",_xlfn.SUMIFS(Compta!$F$1:$F$1448,Compta!$A$1:$A$1448,$B86,Compta!$B$1:$B$1448,"604",Compta!$C$1:$C$1448,$A86)+_xlfn.SUMIFS(Compta!$F$1:$F$1448,Compta!$A$1:$A$1448,$B86,Compta!$B$1:$B$1448,"6063",Compta!$C$1:$C$1448,$A86))</f>
        <v>86655</v>
      </c>
      <c r="Z86">
        <f>IF($A86="","",_xlfn.SUMIFS(Compta!$F$1:$F$1448,Compta!$A$1:$A$1448,$B86,Compta!$B$1:$B$1448,"6231",Compta!$C$1:$C$1448,$A86))</f>
        <v>22927</v>
      </c>
      <c r="AA86">
        <f>IF($A86="","",_xlfn.SUMIFS(Compta!$F$1:$F$1448,Compta!$A$1:$A$1448,$B86,Compta!$B$1:$B$1448,"6413",Compta!$C$1:$C$1448,$A86)+_xlfn.SUMIFS(Compta!$F$1:$F$1448,Compta!$A$1:$A$1448,$B86,Compta!$B$1:$B$1448,"645",Compta!$C$1:$C$1448,$A86)+_xlfn.SUMIFS(Compta!$F$1:$F$1448,Compta!$A$1:$A$1448,$B86,Compta!$B$1:$B$1448,"613",Compta!$C$1:$C$1448,$A86)+_xlfn.SUMIFS(Compta!$F$1:$F$1448,Compta!$A$1:$A$1448,$B86,Compta!$B$1:$B$1448,"615",Compta!$C$1:$C$1448,$A86)+_xlfn.SUMIFS(Compta!$F$1:$F$1448,Compta!$A$1:$A$1448,$B86,Compta!$B$1:$B$1448,"616",Compta!$C$1:$C$1448,$A86)+_xlfn.SUMIFS(Compta!$F$1:$F$1448,Compta!$A$1:$A$1448,$B86,Compta!$B$1:$B$1448,"625",Compta!$C$1:$C$1448,$A86)+_xlfn.SUMIFS(Compta!$F$1:$F$1448,Compta!$A$1:$A$1448,$B86,Compta!$B$1:$B$1448,"63511",Compta!$C$1:$C$1448,$A86))</f>
        <v>509979</v>
      </c>
      <c r="AB86">
        <f>IF($A86="","",_xlfn.SUMIFS(Compta!$F$1:$F$1448,Compta!$A$1:$A$1448,"GRP",Compta!$B$1:$B$1448,"6414",Compta!$C$1:$C$1448,$A86)+_xlfn.SUMIFS(Compta!$F$1:$F$1448,Compta!$A$1:$A$1448,"GRP",Compta!$B$1:$B$1448,"6226",Compta!$C$1:$C$1448,$A86)+_xlfn.SUMIFS(Compta!$F$1:$F$1448,Compta!$A$1:$A$1448,"GRP",Compta!$B$1:$B$1448,"626",Compta!$C$1:$C$1448,$A86)+_xlfn.SUMIFS(Compta!$F$1:$F$1448,Compta!$A$1:$A$1448,"GRP",Compta!$B$1:$B$1448,"6281",Compta!$C$1:$C$1448,$A86)+_xlfn.SUMIFS(Compta!$F$1:$F$1448,Compta!$A$1:$A$1448,"GRP",Compta!$B$1:$B$1448,"6331",Compta!$C$1:$C$1448,$A86)+_xlfn.SUMIFS(Compta!$F$1:$F$1448,Compta!$A$1:$A$1448,"GRP",Compta!$B$1:$B$1448,"6333",Compta!$C$1:$C$1448,$A86))</f>
        <v>2760232</v>
      </c>
      <c r="AC86" t="s">
        <v>274</v>
      </c>
      <c r="AD86" t="s">
        <v>274</v>
      </c>
      <c r="AE86" t="s">
        <v>274</v>
      </c>
      <c r="AF86" t="s">
        <v>274</v>
      </c>
      <c r="AG86" t="s">
        <v>274</v>
      </c>
      <c r="AH86" t="s">
        <v>274</v>
      </c>
      <c r="AI86">
        <f t="shared" si="3"/>
        <v>20165.075</v>
      </c>
      <c r="AJ86">
        <f t="shared" si="4"/>
        <v>38270.925</v>
      </c>
      <c r="AK86">
        <f t="shared" si="5"/>
        <v>17406.6812227074</v>
      </c>
      <c r="AL86">
        <f t="shared" si="6"/>
        <v>0</v>
      </c>
      <c r="AM86">
        <f t="shared" si="7"/>
        <v>0</v>
      </c>
      <c r="AN86">
        <f t="shared" si="8"/>
        <v>262257.318777293</v>
      </c>
      <c r="AO86">
        <f>IF($A86="","",_xlfn.SUMIFS(Compta!$F$1:$F$1448,Compta!$A$1:$A$1448,"GRP",Compta!$B$1:$B$1448,"6236",Compta!$C$1:$C$1448,$A86))</f>
        <v>580167</v>
      </c>
      <c r="AP86" t="s">
        <v>274</v>
      </c>
      <c r="AQ86" t="s">
        <v>274</v>
      </c>
      <c r="AR86">
        <f t="shared" si="9"/>
        <v>0</v>
      </c>
    </row>
    <row r="87" ht="14.25" customHeight="1">
      <c r="A87" t="str">
        <f>IF(Allocation!C87="","",Allocation!C87)</f>
        <v>2024</v>
      </c>
      <c r="B87" t="str">
        <f>IF(Allocation!D87="","",Allocation!D87)</f>
        <v>ISCOM_LIL</v>
      </c>
      <c r="C87" t="str">
        <f>IF(Allocation!E87="","",Allocation!E87)</f>
        <v>ISCOM</v>
      </c>
      <c r="D87" t="str">
        <f>IF(Allocation!F87="","",Allocation!F87)</f>
        <v>BAC_COM</v>
      </c>
      <c r="E87" t="str">
        <f>IF(Allocation!G87="","",Allocation!G87)</f>
        <v>B1</v>
      </c>
      <c r="F87" t="str">
        <f>IF(Allocation!H87="","",Allocation!H87)</f>
        <v>INIT</v>
      </c>
      <c r="G87">
        <f>IF(Allocation!D87="","",Allocation!I87)</f>
        <v>44</v>
      </c>
      <c r="H87">
        <f>IF(Allocation!D87="","",Allocation!J87)</f>
        <v>2</v>
      </c>
      <c r="I87">
        <f>IF(Allocation!D87="","",Allocation!K87)</f>
        <v>327360</v>
      </c>
      <c r="J87">
        <f>IF($A87="","",_xlfn.SUMIFS(Socle!$K$1:$K$448,Socle!$C$1:$C$448,$B87,Socle!$D$1:$D$448,$D87,Socle!$E$1:$E$448,$E87,Socle!$F$1:$F$448,$F87,Socle!$G$1:$G$448,$A87))</f>
        <v>88</v>
      </c>
      <c r="K87">
        <f t="shared" si="0"/>
        <v>1200</v>
      </c>
      <c r="L87">
        <f>IF($A87="","",_xlfn.SUMIFS(Allocation!$I$1:$I$175,Allocation!$C$1:$C$175,$A87,Allocation!$D$1:$D$175,$B87))</f>
        <v>217</v>
      </c>
      <c r="M87">
        <f>IF($A87="","",_xlfn.SUMIFS(Allocation!$J$1:$J$175,Allocation!$C$1:$C$175,$A87,Allocation!$D$1:$D$175,$B87))</f>
        <v>10</v>
      </c>
      <c r="N87">
        <f>IF($A87="","",_xlfn.SUMIFS(Allocation!$K$1:$K$175,Allocation!$C$1:$C$175,$A87,Allocation!$D$1:$D$175,$B87))</f>
        <v>1561220</v>
      </c>
      <c r="O87">
        <f t="shared" si="1"/>
        <v>4800</v>
      </c>
      <c r="P87">
        <f t="shared" si="2"/>
        <v>176</v>
      </c>
      <c r="Q87">
        <f>IF($A87="","",_xlfn.SUMIFS(Allocation!$I$1:$I$175,Allocation!$C$1:$C$175,$A87,Allocation!$E$1:$E$175,$C87))</f>
        <v>737</v>
      </c>
      <c r="R87">
        <f>IF($A87="","",_xlfn.SUMIFS(Allocation!$J$1:$J$175,Allocation!$C$1:$C$175,$A87,Allocation!$E$1:$E$175,$C87))</f>
        <v>35</v>
      </c>
      <c r="S87">
        <f>IF($A87="","",_xlfn.SUMIFS(Allocation!$K$1:$K$175,Allocation!$C$1:$C$175,$A87,Allocation!$E$1:$E$175,$C87))</f>
        <v>5593340</v>
      </c>
      <c r="T87">
        <f>IF($A87="","",_xlfn.SUMIFS(Allocation!$I$1:$I$175,Allocation!$C$1:$C$175,$A87))</f>
        <v>2704</v>
      </c>
      <c r="U87">
        <f>IF($A87="","",_xlfn.SUMIFS(Allocation!$J$1:$J$175,Allocation!$C$1:$C$175,$A87))</f>
        <v>131</v>
      </c>
      <c r="V87">
        <f>IF($A87="","",_xlfn.SUMIFS(Allocation!$K$1:$K$175,Allocation!$C$1:$C$175,$A87))</f>
        <v>20076860</v>
      </c>
      <c r="W87">
        <f>IF($A87="","",_xlfn.SUMIFS(Compta!$F$1:$F$1448,Compta!$A$1:$A$1448,$B87,Compta!$B$1:$B$1448,"621",Compta!$C$1:$C$1448,$A87))</f>
        <v>110180</v>
      </c>
      <c r="X87">
        <f>IF($A87="","",_xlfn.SUMIFS(Compta!$F$1:$F$1448,Compta!$A$1:$A$1448,$B87,Compta!$B$1:$B$1448,"6411",Compta!$C$1:$C$1448,$A87))</f>
        <v>209109</v>
      </c>
      <c r="Y87">
        <f>IF($A87="","",_xlfn.SUMIFS(Compta!$F$1:$F$1448,Compta!$A$1:$A$1448,$B87,Compta!$B$1:$B$1448,"604",Compta!$C$1:$C$1448,$A87)+_xlfn.SUMIFS(Compta!$F$1:$F$1448,Compta!$A$1:$A$1448,$B87,Compta!$B$1:$B$1448,"6063",Compta!$C$1:$C$1448,$A87))</f>
        <v>82858</v>
      </c>
      <c r="Z87">
        <f>IF($A87="","",_xlfn.SUMIFS(Compta!$F$1:$F$1448,Compta!$A$1:$A$1448,$B87,Compta!$B$1:$B$1448,"6231",Compta!$C$1:$C$1448,$A87))</f>
        <v>20843</v>
      </c>
      <c r="AA87">
        <f>IF($A87="","",_xlfn.SUMIFS(Compta!$F$1:$F$1448,Compta!$A$1:$A$1448,$B87,Compta!$B$1:$B$1448,"6413",Compta!$C$1:$C$1448,$A87)+_xlfn.SUMIFS(Compta!$F$1:$F$1448,Compta!$A$1:$A$1448,$B87,Compta!$B$1:$B$1448,"645",Compta!$C$1:$C$1448,$A87)+_xlfn.SUMIFS(Compta!$F$1:$F$1448,Compta!$A$1:$A$1448,$B87,Compta!$B$1:$B$1448,"613",Compta!$C$1:$C$1448,$A87)+_xlfn.SUMIFS(Compta!$F$1:$F$1448,Compta!$A$1:$A$1448,$B87,Compta!$B$1:$B$1448,"615",Compta!$C$1:$C$1448,$A87)+_xlfn.SUMIFS(Compta!$F$1:$F$1448,Compta!$A$1:$A$1448,$B87,Compta!$B$1:$B$1448,"616",Compta!$C$1:$C$1448,$A87)+_xlfn.SUMIFS(Compta!$F$1:$F$1448,Compta!$A$1:$A$1448,$B87,Compta!$B$1:$B$1448,"625",Compta!$C$1:$C$1448,$A87)+_xlfn.SUMIFS(Compta!$F$1:$F$1448,Compta!$A$1:$A$1448,$B87,Compta!$B$1:$B$1448,"63511",Compta!$C$1:$C$1448,$A87))</f>
        <v>487636</v>
      </c>
      <c r="AB87">
        <f>IF($A87="","",_xlfn.SUMIFS(Compta!$F$1:$F$1448,Compta!$A$1:$A$1448,"GRP",Compta!$B$1:$B$1448,"6414",Compta!$C$1:$C$1448,$A87)+_xlfn.SUMIFS(Compta!$F$1:$F$1448,Compta!$A$1:$A$1448,"GRP",Compta!$B$1:$B$1448,"6226",Compta!$C$1:$C$1448,$A87)+_xlfn.SUMIFS(Compta!$F$1:$F$1448,Compta!$A$1:$A$1448,"GRP",Compta!$B$1:$B$1448,"626",Compta!$C$1:$C$1448,$A87)+_xlfn.SUMIFS(Compta!$F$1:$F$1448,Compta!$A$1:$A$1448,"GRP",Compta!$B$1:$B$1448,"6281",Compta!$C$1:$C$1448,$A87)+_xlfn.SUMIFS(Compta!$F$1:$F$1448,Compta!$A$1:$A$1448,"GRP",Compta!$B$1:$B$1448,"6331",Compta!$C$1:$C$1448,$A87)+_xlfn.SUMIFS(Compta!$F$1:$F$1448,Compta!$A$1:$A$1448,"GRP",Compta!$B$1:$B$1448,"6333",Compta!$C$1:$C$1448,$A87))</f>
        <v>2639292</v>
      </c>
      <c r="AC87" t="s">
        <v>274</v>
      </c>
      <c r="AD87" t="s">
        <v>274</v>
      </c>
      <c r="AE87" t="s">
        <v>274</v>
      </c>
      <c r="AF87" t="s">
        <v>274</v>
      </c>
      <c r="AG87" t="s">
        <v>274</v>
      </c>
      <c r="AH87" t="s">
        <v>274</v>
      </c>
      <c r="AI87">
        <f t="shared" si="3"/>
        <v>27545</v>
      </c>
      <c r="AJ87">
        <f t="shared" si="4"/>
        <v>52277.25</v>
      </c>
      <c r="AK87">
        <f t="shared" si="5"/>
        <v>27222.2004608295</v>
      </c>
      <c r="AL87">
        <f t="shared" si="6"/>
        <v>0</v>
      </c>
      <c r="AM87">
        <f t="shared" si="7"/>
        <v>0</v>
      </c>
      <c r="AN87">
        <f t="shared" si="8"/>
        <v>220315.549539171</v>
      </c>
      <c r="AO87">
        <f>IF($A87="","",_xlfn.SUMIFS(Compta!$F$1:$F$1448,Compta!$A$1:$A$1448,"GRP",Compta!$B$1:$B$1448,"6236",Compta!$C$1:$C$1448,$A87))</f>
        <v>499926</v>
      </c>
      <c r="AP87" t="s">
        <v>274</v>
      </c>
      <c r="AQ87" t="s">
        <v>274</v>
      </c>
      <c r="AR87">
        <f t="shared" si="9"/>
        <v>0</v>
      </c>
    </row>
    <row r="88" ht="14.25" customHeight="1">
      <c r="A88" t="str">
        <f>IF(Allocation!C88="","",Allocation!C88)</f>
        <v>2024</v>
      </c>
      <c r="B88" t="str">
        <f>IF(Allocation!D88="","",Allocation!D88)</f>
        <v>ISCOM_LIL</v>
      </c>
      <c r="C88" t="str">
        <f>IF(Allocation!E88="","",Allocation!E88)</f>
        <v>ISCOM</v>
      </c>
      <c r="D88" t="str">
        <f>IF(Allocation!F88="","",Allocation!F88)</f>
        <v>BAC_COM</v>
      </c>
      <c r="E88" t="str">
        <f>IF(Allocation!G88="","",Allocation!G88)</f>
        <v>B2</v>
      </c>
      <c r="F88" t="str">
        <f>IF(Allocation!H88="","",Allocation!H88)</f>
        <v>ALT</v>
      </c>
      <c r="G88">
        <f>IF(Allocation!D88="","",Allocation!I88)</f>
        <v>43</v>
      </c>
      <c r="H88">
        <f>IF(Allocation!D88="","",Allocation!J88)</f>
        <v>2</v>
      </c>
      <c r="I88">
        <f>IF(Allocation!D88="","",Allocation!K88)</f>
        <v>294980</v>
      </c>
      <c r="J88">
        <f>IF($A88="","",_xlfn.SUMIFS(Socle!$K$1:$K$448,Socle!$C$1:$C$448,$B88,Socle!$D$1:$D$448,$D88,Socle!$E$1:$E$448,$E88,Socle!$F$1:$F$448,$F88,Socle!$G$1:$G$448,$A88))</f>
        <v>0</v>
      </c>
      <c r="K88">
        <f t="shared" si="0"/>
        <v>960</v>
      </c>
      <c r="L88">
        <f>IF($A88="","",_xlfn.SUMIFS(Allocation!$I$1:$I$175,Allocation!$C$1:$C$175,$A88,Allocation!$D$1:$D$175,$B88))</f>
        <v>217</v>
      </c>
      <c r="M88">
        <f>IF($A88="","",_xlfn.SUMIFS(Allocation!$J$1:$J$175,Allocation!$C$1:$C$175,$A88,Allocation!$D$1:$D$175,$B88))</f>
        <v>10</v>
      </c>
      <c r="N88">
        <f>IF($A88="","",_xlfn.SUMIFS(Allocation!$K$1:$K$175,Allocation!$C$1:$C$175,$A88,Allocation!$D$1:$D$175,$B88))</f>
        <v>1561220</v>
      </c>
      <c r="O88">
        <f t="shared" si="1"/>
        <v>4800</v>
      </c>
      <c r="P88">
        <f t="shared" si="2"/>
        <v>176</v>
      </c>
      <c r="Q88">
        <f>IF($A88="","",_xlfn.SUMIFS(Allocation!$I$1:$I$175,Allocation!$C$1:$C$175,$A88,Allocation!$E$1:$E$175,$C88))</f>
        <v>737</v>
      </c>
      <c r="R88">
        <f>IF($A88="","",_xlfn.SUMIFS(Allocation!$J$1:$J$175,Allocation!$C$1:$C$175,$A88,Allocation!$E$1:$E$175,$C88))</f>
        <v>35</v>
      </c>
      <c r="S88">
        <f>IF($A88="","",_xlfn.SUMIFS(Allocation!$K$1:$K$175,Allocation!$C$1:$C$175,$A88,Allocation!$E$1:$E$175,$C88))</f>
        <v>5593340</v>
      </c>
      <c r="T88">
        <f>IF($A88="","",_xlfn.SUMIFS(Allocation!$I$1:$I$175,Allocation!$C$1:$C$175,$A88))</f>
        <v>2704</v>
      </c>
      <c r="U88">
        <f>IF($A88="","",_xlfn.SUMIFS(Allocation!$J$1:$J$175,Allocation!$C$1:$C$175,$A88))</f>
        <v>131</v>
      </c>
      <c r="V88">
        <f>IF($A88="","",_xlfn.SUMIFS(Allocation!$K$1:$K$175,Allocation!$C$1:$C$175,$A88))</f>
        <v>20076860</v>
      </c>
      <c r="W88">
        <f>IF($A88="","",_xlfn.SUMIFS(Compta!$F$1:$F$1448,Compta!$A$1:$A$1448,$B88,Compta!$B$1:$B$1448,"621",Compta!$C$1:$C$1448,$A88))</f>
        <v>110180</v>
      </c>
      <c r="X88">
        <f>IF($A88="","",_xlfn.SUMIFS(Compta!$F$1:$F$1448,Compta!$A$1:$A$1448,$B88,Compta!$B$1:$B$1448,"6411",Compta!$C$1:$C$1448,$A88))</f>
        <v>209109</v>
      </c>
      <c r="Y88">
        <f>IF($A88="","",_xlfn.SUMIFS(Compta!$F$1:$F$1448,Compta!$A$1:$A$1448,$B88,Compta!$B$1:$B$1448,"604",Compta!$C$1:$C$1448,$A88)+_xlfn.SUMIFS(Compta!$F$1:$F$1448,Compta!$A$1:$A$1448,$B88,Compta!$B$1:$B$1448,"6063",Compta!$C$1:$C$1448,$A88))</f>
        <v>82858</v>
      </c>
      <c r="Z88">
        <f>IF($A88="","",_xlfn.SUMIFS(Compta!$F$1:$F$1448,Compta!$A$1:$A$1448,$B88,Compta!$B$1:$B$1448,"6231",Compta!$C$1:$C$1448,$A88))</f>
        <v>20843</v>
      </c>
      <c r="AA88">
        <f>IF($A88="","",_xlfn.SUMIFS(Compta!$F$1:$F$1448,Compta!$A$1:$A$1448,$B88,Compta!$B$1:$B$1448,"6413",Compta!$C$1:$C$1448,$A88)+_xlfn.SUMIFS(Compta!$F$1:$F$1448,Compta!$A$1:$A$1448,$B88,Compta!$B$1:$B$1448,"645",Compta!$C$1:$C$1448,$A88)+_xlfn.SUMIFS(Compta!$F$1:$F$1448,Compta!$A$1:$A$1448,$B88,Compta!$B$1:$B$1448,"613",Compta!$C$1:$C$1448,$A88)+_xlfn.SUMIFS(Compta!$F$1:$F$1448,Compta!$A$1:$A$1448,$B88,Compta!$B$1:$B$1448,"615",Compta!$C$1:$C$1448,$A88)+_xlfn.SUMIFS(Compta!$F$1:$F$1448,Compta!$A$1:$A$1448,$B88,Compta!$B$1:$B$1448,"616",Compta!$C$1:$C$1448,$A88)+_xlfn.SUMIFS(Compta!$F$1:$F$1448,Compta!$A$1:$A$1448,$B88,Compta!$B$1:$B$1448,"625",Compta!$C$1:$C$1448,$A88)+_xlfn.SUMIFS(Compta!$F$1:$F$1448,Compta!$A$1:$A$1448,$B88,Compta!$B$1:$B$1448,"63511",Compta!$C$1:$C$1448,$A88))</f>
        <v>487636</v>
      </c>
      <c r="AB88">
        <f>IF($A88="","",_xlfn.SUMIFS(Compta!$F$1:$F$1448,Compta!$A$1:$A$1448,"GRP",Compta!$B$1:$B$1448,"6414",Compta!$C$1:$C$1448,$A88)+_xlfn.SUMIFS(Compta!$F$1:$F$1448,Compta!$A$1:$A$1448,"GRP",Compta!$B$1:$B$1448,"6226",Compta!$C$1:$C$1448,$A88)+_xlfn.SUMIFS(Compta!$F$1:$F$1448,Compta!$A$1:$A$1448,"GRP",Compta!$B$1:$B$1448,"626",Compta!$C$1:$C$1448,$A88)+_xlfn.SUMIFS(Compta!$F$1:$F$1448,Compta!$A$1:$A$1448,"GRP",Compta!$B$1:$B$1448,"6281",Compta!$C$1:$C$1448,$A88)+_xlfn.SUMIFS(Compta!$F$1:$F$1448,Compta!$A$1:$A$1448,"GRP",Compta!$B$1:$B$1448,"6331",Compta!$C$1:$C$1448,$A88)+_xlfn.SUMIFS(Compta!$F$1:$F$1448,Compta!$A$1:$A$1448,"GRP",Compta!$B$1:$B$1448,"6333",Compta!$C$1:$C$1448,$A88))</f>
        <v>2639292</v>
      </c>
      <c r="AC88" t="s">
        <v>274</v>
      </c>
      <c r="AD88" t="s">
        <v>274</v>
      </c>
      <c r="AE88" t="s">
        <v>274</v>
      </c>
      <c r="AF88" t="s">
        <v>274</v>
      </c>
      <c r="AG88" t="s">
        <v>274</v>
      </c>
      <c r="AH88" t="s">
        <v>274</v>
      </c>
      <c r="AI88">
        <f t="shared" si="3"/>
        <v>22036</v>
      </c>
      <c r="AJ88">
        <f t="shared" si="4"/>
        <v>41821.8</v>
      </c>
      <c r="AK88">
        <f t="shared" si="5"/>
        <v>16418.866359447</v>
      </c>
      <c r="AL88">
        <f t="shared" si="6"/>
        <v>0</v>
      </c>
      <c r="AM88">
        <f t="shared" si="7"/>
        <v>0</v>
      </c>
      <c r="AN88">
        <f t="shared" si="8"/>
        <v>214703.333640553</v>
      </c>
      <c r="AO88">
        <f>IF($A88="","",_xlfn.SUMIFS(Compta!$F$1:$F$1448,Compta!$A$1:$A$1448,"GRP",Compta!$B$1:$B$1448,"6236",Compta!$C$1:$C$1448,$A88))</f>
        <v>499926</v>
      </c>
      <c r="AP88" t="s">
        <v>274</v>
      </c>
      <c r="AQ88" t="s">
        <v>274</v>
      </c>
      <c r="AR88">
        <f t="shared" si="9"/>
        <v>0</v>
      </c>
    </row>
    <row r="89" ht="14.25" customHeight="1">
      <c r="A89" t="str">
        <f>IF(Allocation!C89="","",Allocation!C89)</f>
        <v>2024</v>
      </c>
      <c r="B89" t="str">
        <f>IF(Allocation!D89="","",Allocation!D89)</f>
        <v>ISCOM_LIL</v>
      </c>
      <c r="C89" t="str">
        <f>IF(Allocation!E89="","",Allocation!E89)</f>
        <v>ISCOM</v>
      </c>
      <c r="D89" t="str">
        <f>IF(Allocation!F89="","",Allocation!F89)</f>
        <v>BAC_COM</v>
      </c>
      <c r="E89" t="str">
        <f>IF(Allocation!G89="","",Allocation!G89)</f>
        <v>B3</v>
      </c>
      <c r="F89" t="str">
        <f>IF(Allocation!H89="","",Allocation!H89)</f>
        <v>ALT</v>
      </c>
      <c r="G89">
        <f>IF(Allocation!D89="","",Allocation!I89)</f>
        <v>42</v>
      </c>
      <c r="H89">
        <f>IF(Allocation!D89="","",Allocation!J89)</f>
        <v>2</v>
      </c>
      <c r="I89">
        <f>IF(Allocation!D89="","",Allocation!K89)</f>
        <v>288120</v>
      </c>
      <c r="J89">
        <f>IF($A89="","",_xlfn.SUMIFS(Socle!$K$1:$K$448,Socle!$C$1:$C$448,$B89,Socle!$D$1:$D$448,$D89,Socle!$E$1:$E$448,$E89,Socle!$F$1:$F$448,$F89,Socle!$G$1:$G$448,$A89))</f>
        <v>0</v>
      </c>
      <c r="K89">
        <f t="shared" si="0"/>
        <v>960</v>
      </c>
      <c r="L89">
        <f>IF($A89="","",_xlfn.SUMIFS(Allocation!$I$1:$I$175,Allocation!$C$1:$C$175,$A89,Allocation!$D$1:$D$175,$B89))</f>
        <v>217</v>
      </c>
      <c r="M89">
        <f>IF($A89="","",_xlfn.SUMIFS(Allocation!$J$1:$J$175,Allocation!$C$1:$C$175,$A89,Allocation!$D$1:$D$175,$B89))</f>
        <v>10</v>
      </c>
      <c r="N89">
        <f>IF($A89="","",_xlfn.SUMIFS(Allocation!$K$1:$K$175,Allocation!$C$1:$C$175,$A89,Allocation!$D$1:$D$175,$B89))</f>
        <v>1561220</v>
      </c>
      <c r="O89">
        <f t="shared" si="1"/>
        <v>4800</v>
      </c>
      <c r="P89">
        <f t="shared" si="2"/>
        <v>176</v>
      </c>
      <c r="Q89">
        <f>IF($A89="","",_xlfn.SUMIFS(Allocation!$I$1:$I$175,Allocation!$C$1:$C$175,$A89,Allocation!$E$1:$E$175,$C89))</f>
        <v>737</v>
      </c>
      <c r="R89">
        <f>IF($A89="","",_xlfn.SUMIFS(Allocation!$J$1:$J$175,Allocation!$C$1:$C$175,$A89,Allocation!$E$1:$E$175,$C89))</f>
        <v>35</v>
      </c>
      <c r="S89">
        <f>IF($A89="","",_xlfn.SUMIFS(Allocation!$K$1:$K$175,Allocation!$C$1:$C$175,$A89,Allocation!$E$1:$E$175,$C89))</f>
        <v>5593340</v>
      </c>
      <c r="T89">
        <f>IF($A89="","",_xlfn.SUMIFS(Allocation!$I$1:$I$175,Allocation!$C$1:$C$175,$A89))</f>
        <v>2704</v>
      </c>
      <c r="U89">
        <f>IF($A89="","",_xlfn.SUMIFS(Allocation!$J$1:$J$175,Allocation!$C$1:$C$175,$A89))</f>
        <v>131</v>
      </c>
      <c r="V89">
        <f>IF($A89="","",_xlfn.SUMIFS(Allocation!$K$1:$K$175,Allocation!$C$1:$C$175,$A89))</f>
        <v>20076860</v>
      </c>
      <c r="W89">
        <f>IF($A89="","",_xlfn.SUMIFS(Compta!$F$1:$F$1448,Compta!$A$1:$A$1448,$B89,Compta!$B$1:$B$1448,"621",Compta!$C$1:$C$1448,$A89))</f>
        <v>110180</v>
      </c>
      <c r="X89">
        <f>IF($A89="","",_xlfn.SUMIFS(Compta!$F$1:$F$1448,Compta!$A$1:$A$1448,$B89,Compta!$B$1:$B$1448,"6411",Compta!$C$1:$C$1448,$A89))</f>
        <v>209109</v>
      </c>
      <c r="Y89">
        <f>IF($A89="","",_xlfn.SUMIFS(Compta!$F$1:$F$1448,Compta!$A$1:$A$1448,$B89,Compta!$B$1:$B$1448,"604",Compta!$C$1:$C$1448,$A89)+_xlfn.SUMIFS(Compta!$F$1:$F$1448,Compta!$A$1:$A$1448,$B89,Compta!$B$1:$B$1448,"6063",Compta!$C$1:$C$1448,$A89))</f>
        <v>82858</v>
      </c>
      <c r="Z89">
        <f>IF($A89="","",_xlfn.SUMIFS(Compta!$F$1:$F$1448,Compta!$A$1:$A$1448,$B89,Compta!$B$1:$B$1448,"6231",Compta!$C$1:$C$1448,$A89))</f>
        <v>20843</v>
      </c>
      <c r="AA89">
        <f>IF($A89="","",_xlfn.SUMIFS(Compta!$F$1:$F$1448,Compta!$A$1:$A$1448,$B89,Compta!$B$1:$B$1448,"6413",Compta!$C$1:$C$1448,$A89)+_xlfn.SUMIFS(Compta!$F$1:$F$1448,Compta!$A$1:$A$1448,$B89,Compta!$B$1:$B$1448,"645",Compta!$C$1:$C$1448,$A89)+_xlfn.SUMIFS(Compta!$F$1:$F$1448,Compta!$A$1:$A$1448,$B89,Compta!$B$1:$B$1448,"613",Compta!$C$1:$C$1448,$A89)+_xlfn.SUMIFS(Compta!$F$1:$F$1448,Compta!$A$1:$A$1448,$B89,Compta!$B$1:$B$1448,"615",Compta!$C$1:$C$1448,$A89)+_xlfn.SUMIFS(Compta!$F$1:$F$1448,Compta!$A$1:$A$1448,$B89,Compta!$B$1:$B$1448,"616",Compta!$C$1:$C$1448,$A89)+_xlfn.SUMIFS(Compta!$F$1:$F$1448,Compta!$A$1:$A$1448,$B89,Compta!$B$1:$B$1448,"625",Compta!$C$1:$C$1448,$A89)+_xlfn.SUMIFS(Compta!$F$1:$F$1448,Compta!$A$1:$A$1448,$B89,Compta!$B$1:$B$1448,"63511",Compta!$C$1:$C$1448,$A89))</f>
        <v>487636</v>
      </c>
      <c r="AB89">
        <f>IF($A89="","",_xlfn.SUMIFS(Compta!$F$1:$F$1448,Compta!$A$1:$A$1448,"GRP",Compta!$B$1:$B$1448,"6414",Compta!$C$1:$C$1448,$A89)+_xlfn.SUMIFS(Compta!$F$1:$F$1448,Compta!$A$1:$A$1448,"GRP",Compta!$B$1:$B$1448,"6226",Compta!$C$1:$C$1448,$A89)+_xlfn.SUMIFS(Compta!$F$1:$F$1448,Compta!$A$1:$A$1448,"GRP",Compta!$B$1:$B$1448,"626",Compta!$C$1:$C$1448,$A89)+_xlfn.SUMIFS(Compta!$F$1:$F$1448,Compta!$A$1:$A$1448,"GRP",Compta!$B$1:$B$1448,"6281",Compta!$C$1:$C$1448,$A89)+_xlfn.SUMIFS(Compta!$F$1:$F$1448,Compta!$A$1:$A$1448,"GRP",Compta!$B$1:$B$1448,"6331",Compta!$C$1:$C$1448,$A89)+_xlfn.SUMIFS(Compta!$F$1:$F$1448,Compta!$A$1:$A$1448,"GRP",Compta!$B$1:$B$1448,"6333",Compta!$C$1:$C$1448,$A89))</f>
        <v>2639292</v>
      </c>
      <c r="AC89" t="s">
        <v>274</v>
      </c>
      <c r="AD89" t="s">
        <v>274</v>
      </c>
      <c r="AE89" t="s">
        <v>274</v>
      </c>
      <c r="AF89" t="s">
        <v>274</v>
      </c>
      <c r="AG89" t="s">
        <v>274</v>
      </c>
      <c r="AH89" t="s">
        <v>274</v>
      </c>
      <c r="AI89">
        <f t="shared" si="3"/>
        <v>22036</v>
      </c>
      <c r="AJ89">
        <f t="shared" si="4"/>
        <v>41821.8</v>
      </c>
      <c r="AK89">
        <f t="shared" si="5"/>
        <v>16037.0322580645</v>
      </c>
      <c r="AL89">
        <f t="shared" si="6"/>
        <v>0</v>
      </c>
      <c r="AM89">
        <f t="shared" si="7"/>
        <v>0</v>
      </c>
      <c r="AN89">
        <f t="shared" si="8"/>
        <v>208225.167741935</v>
      </c>
      <c r="AO89">
        <f>IF($A89="","",_xlfn.SUMIFS(Compta!$F$1:$F$1448,Compta!$A$1:$A$1448,"GRP",Compta!$B$1:$B$1448,"6236",Compta!$C$1:$C$1448,$A89))</f>
        <v>499926</v>
      </c>
      <c r="AP89" t="s">
        <v>274</v>
      </c>
      <c r="AQ89" t="s">
        <v>274</v>
      </c>
      <c r="AR89">
        <f t="shared" si="9"/>
        <v>0</v>
      </c>
    </row>
    <row r="90" ht="14.25" customHeight="1">
      <c r="A90" t="str">
        <f>IF(Allocation!C90="","",Allocation!C90)</f>
        <v>2024</v>
      </c>
      <c r="B90" t="str">
        <f>IF(Allocation!D90="","",Allocation!D90)</f>
        <v>ISCOM_LIL</v>
      </c>
      <c r="C90" t="str">
        <f>IF(Allocation!E90="","",Allocation!E90)</f>
        <v>ISCOM</v>
      </c>
      <c r="D90" t="str">
        <f>IF(Allocation!F90="","",Allocation!F90)</f>
        <v>MAS_COM</v>
      </c>
      <c r="E90" t="str">
        <f>IF(Allocation!G90="","",Allocation!G90)</f>
        <v>M1</v>
      </c>
      <c r="F90" t="str">
        <f>IF(Allocation!H90="","",Allocation!H90)</f>
        <v>ALT</v>
      </c>
      <c r="G90">
        <f>IF(Allocation!D90="","",Allocation!I90)</f>
        <v>44</v>
      </c>
      <c r="H90">
        <f>IF(Allocation!D90="","",Allocation!J90)</f>
        <v>2</v>
      </c>
      <c r="I90">
        <f>IF(Allocation!D90="","",Allocation!K90)</f>
        <v>327360</v>
      </c>
      <c r="J90">
        <f>IF($A90="","",_xlfn.SUMIFS(Socle!$K$1:$K$448,Socle!$C$1:$C$448,$B90,Socle!$D$1:$D$448,$D90,Socle!$E$1:$E$448,$E90,Socle!$F$1:$F$448,$F90,Socle!$G$1:$G$448,$A90))</f>
        <v>88</v>
      </c>
      <c r="K90">
        <f t="shared" si="0"/>
        <v>840</v>
      </c>
      <c r="L90">
        <f>IF($A90="","",_xlfn.SUMIFS(Allocation!$I$1:$I$175,Allocation!$C$1:$C$175,$A90,Allocation!$D$1:$D$175,$B90))</f>
        <v>217</v>
      </c>
      <c r="M90">
        <f>IF($A90="","",_xlfn.SUMIFS(Allocation!$J$1:$J$175,Allocation!$C$1:$C$175,$A90,Allocation!$D$1:$D$175,$B90))</f>
        <v>10</v>
      </c>
      <c r="N90">
        <f>IF($A90="","",_xlfn.SUMIFS(Allocation!$K$1:$K$175,Allocation!$C$1:$C$175,$A90,Allocation!$D$1:$D$175,$B90))</f>
        <v>1561220</v>
      </c>
      <c r="O90">
        <f t="shared" si="1"/>
        <v>4800</v>
      </c>
      <c r="P90">
        <f t="shared" si="2"/>
        <v>176</v>
      </c>
      <c r="Q90">
        <f>IF($A90="","",_xlfn.SUMIFS(Allocation!$I$1:$I$175,Allocation!$C$1:$C$175,$A90,Allocation!$E$1:$E$175,$C90))</f>
        <v>737</v>
      </c>
      <c r="R90">
        <f>IF($A90="","",_xlfn.SUMIFS(Allocation!$J$1:$J$175,Allocation!$C$1:$C$175,$A90,Allocation!$E$1:$E$175,$C90))</f>
        <v>35</v>
      </c>
      <c r="S90">
        <f>IF($A90="","",_xlfn.SUMIFS(Allocation!$K$1:$K$175,Allocation!$C$1:$C$175,$A90,Allocation!$E$1:$E$175,$C90))</f>
        <v>5593340</v>
      </c>
      <c r="T90">
        <f>IF($A90="","",_xlfn.SUMIFS(Allocation!$I$1:$I$175,Allocation!$C$1:$C$175,$A90))</f>
        <v>2704</v>
      </c>
      <c r="U90">
        <f>IF($A90="","",_xlfn.SUMIFS(Allocation!$J$1:$J$175,Allocation!$C$1:$C$175,$A90))</f>
        <v>131</v>
      </c>
      <c r="V90">
        <f>IF($A90="","",_xlfn.SUMIFS(Allocation!$K$1:$K$175,Allocation!$C$1:$C$175,$A90))</f>
        <v>20076860</v>
      </c>
      <c r="W90">
        <f>IF($A90="","",_xlfn.SUMIFS(Compta!$F$1:$F$1448,Compta!$A$1:$A$1448,$B90,Compta!$B$1:$B$1448,"621",Compta!$C$1:$C$1448,$A90))</f>
        <v>110180</v>
      </c>
      <c r="X90">
        <f>IF($A90="","",_xlfn.SUMIFS(Compta!$F$1:$F$1448,Compta!$A$1:$A$1448,$B90,Compta!$B$1:$B$1448,"6411",Compta!$C$1:$C$1448,$A90))</f>
        <v>209109</v>
      </c>
      <c r="Y90">
        <f>IF($A90="","",_xlfn.SUMIFS(Compta!$F$1:$F$1448,Compta!$A$1:$A$1448,$B90,Compta!$B$1:$B$1448,"604",Compta!$C$1:$C$1448,$A90)+_xlfn.SUMIFS(Compta!$F$1:$F$1448,Compta!$A$1:$A$1448,$B90,Compta!$B$1:$B$1448,"6063",Compta!$C$1:$C$1448,$A90))</f>
        <v>82858</v>
      </c>
      <c r="Z90">
        <f>IF($A90="","",_xlfn.SUMIFS(Compta!$F$1:$F$1448,Compta!$A$1:$A$1448,$B90,Compta!$B$1:$B$1448,"6231",Compta!$C$1:$C$1448,$A90))</f>
        <v>20843</v>
      </c>
      <c r="AA90">
        <f>IF($A90="","",_xlfn.SUMIFS(Compta!$F$1:$F$1448,Compta!$A$1:$A$1448,$B90,Compta!$B$1:$B$1448,"6413",Compta!$C$1:$C$1448,$A90)+_xlfn.SUMIFS(Compta!$F$1:$F$1448,Compta!$A$1:$A$1448,$B90,Compta!$B$1:$B$1448,"645",Compta!$C$1:$C$1448,$A90)+_xlfn.SUMIFS(Compta!$F$1:$F$1448,Compta!$A$1:$A$1448,$B90,Compta!$B$1:$B$1448,"613",Compta!$C$1:$C$1448,$A90)+_xlfn.SUMIFS(Compta!$F$1:$F$1448,Compta!$A$1:$A$1448,$B90,Compta!$B$1:$B$1448,"615",Compta!$C$1:$C$1448,$A90)+_xlfn.SUMIFS(Compta!$F$1:$F$1448,Compta!$A$1:$A$1448,$B90,Compta!$B$1:$B$1448,"616",Compta!$C$1:$C$1448,$A90)+_xlfn.SUMIFS(Compta!$F$1:$F$1448,Compta!$A$1:$A$1448,$B90,Compta!$B$1:$B$1448,"625",Compta!$C$1:$C$1448,$A90)+_xlfn.SUMIFS(Compta!$F$1:$F$1448,Compta!$A$1:$A$1448,$B90,Compta!$B$1:$B$1448,"63511",Compta!$C$1:$C$1448,$A90))</f>
        <v>487636</v>
      </c>
      <c r="AB90">
        <f>IF($A90="","",_xlfn.SUMIFS(Compta!$F$1:$F$1448,Compta!$A$1:$A$1448,"GRP",Compta!$B$1:$B$1448,"6414",Compta!$C$1:$C$1448,$A90)+_xlfn.SUMIFS(Compta!$F$1:$F$1448,Compta!$A$1:$A$1448,"GRP",Compta!$B$1:$B$1448,"6226",Compta!$C$1:$C$1448,$A90)+_xlfn.SUMIFS(Compta!$F$1:$F$1448,Compta!$A$1:$A$1448,"GRP",Compta!$B$1:$B$1448,"626",Compta!$C$1:$C$1448,$A90)+_xlfn.SUMIFS(Compta!$F$1:$F$1448,Compta!$A$1:$A$1448,"GRP",Compta!$B$1:$B$1448,"6281",Compta!$C$1:$C$1448,$A90)+_xlfn.SUMIFS(Compta!$F$1:$F$1448,Compta!$A$1:$A$1448,"GRP",Compta!$B$1:$B$1448,"6331",Compta!$C$1:$C$1448,$A90)+_xlfn.SUMIFS(Compta!$F$1:$F$1448,Compta!$A$1:$A$1448,"GRP",Compta!$B$1:$B$1448,"6333",Compta!$C$1:$C$1448,$A90))</f>
        <v>2639292</v>
      </c>
      <c r="AC90" t="s">
        <v>274</v>
      </c>
      <c r="AD90" t="s">
        <v>274</v>
      </c>
      <c r="AE90" t="s">
        <v>274</v>
      </c>
      <c r="AF90" t="s">
        <v>274</v>
      </c>
      <c r="AG90" t="s">
        <v>274</v>
      </c>
      <c r="AH90" t="s">
        <v>274</v>
      </c>
      <c r="AI90">
        <f t="shared" si="3"/>
        <v>19281.5</v>
      </c>
      <c r="AJ90">
        <f t="shared" si="4"/>
        <v>36594.075</v>
      </c>
      <c r="AK90">
        <f t="shared" si="5"/>
        <v>27222.2004608295</v>
      </c>
      <c r="AL90">
        <f t="shared" si="6"/>
        <v>0</v>
      </c>
      <c r="AM90">
        <f t="shared" si="7"/>
        <v>0</v>
      </c>
      <c r="AN90">
        <f t="shared" si="8"/>
        <v>244262.224539171</v>
      </c>
      <c r="AO90">
        <f>IF($A90="","",_xlfn.SUMIFS(Compta!$F$1:$F$1448,Compta!$A$1:$A$1448,"GRP",Compta!$B$1:$B$1448,"6236",Compta!$C$1:$C$1448,$A90))</f>
        <v>499926</v>
      </c>
      <c r="AP90" t="s">
        <v>274</v>
      </c>
      <c r="AQ90" t="s">
        <v>274</v>
      </c>
      <c r="AR90">
        <f t="shared" si="9"/>
        <v>0</v>
      </c>
    </row>
    <row r="91" ht="14.25" customHeight="1">
      <c r="A91" t="str">
        <f>IF(Allocation!C91="","",Allocation!C91)</f>
        <v>2024</v>
      </c>
      <c r="B91" t="str">
        <f>IF(Allocation!D91="","",Allocation!D91)</f>
        <v>ISCOM_LIL</v>
      </c>
      <c r="C91" t="str">
        <f>IF(Allocation!E91="","",Allocation!E91)</f>
        <v>ISCOM</v>
      </c>
      <c r="D91" t="str">
        <f>IF(Allocation!F91="","",Allocation!F91)</f>
        <v>MAS_COM</v>
      </c>
      <c r="E91" t="str">
        <f>IF(Allocation!G91="","",Allocation!G91)</f>
        <v>M2</v>
      </c>
      <c r="F91" t="str">
        <f>IF(Allocation!H91="","",Allocation!H91)</f>
        <v>ALT</v>
      </c>
      <c r="G91">
        <f>IF(Allocation!D91="","",Allocation!I91)</f>
        <v>44</v>
      </c>
      <c r="H91">
        <f>IF(Allocation!D91="","",Allocation!J91)</f>
        <v>2</v>
      </c>
      <c r="I91">
        <f>IF(Allocation!D91="","",Allocation!K91)</f>
        <v>323400</v>
      </c>
      <c r="J91">
        <f>IF($A91="","",_xlfn.SUMIFS(Socle!$K$1:$K$448,Socle!$C$1:$C$448,$B91,Socle!$D$1:$D$448,$D91,Socle!$E$1:$E$448,$E91,Socle!$F$1:$F$448,$F91,Socle!$G$1:$G$448,$A91))</f>
        <v>0</v>
      </c>
      <c r="K91">
        <f t="shared" si="0"/>
        <v>840</v>
      </c>
      <c r="L91">
        <f>IF($A91="","",_xlfn.SUMIFS(Allocation!$I$1:$I$175,Allocation!$C$1:$C$175,$A91,Allocation!$D$1:$D$175,$B91))</f>
        <v>217</v>
      </c>
      <c r="M91">
        <f>IF($A91="","",_xlfn.SUMIFS(Allocation!$J$1:$J$175,Allocation!$C$1:$C$175,$A91,Allocation!$D$1:$D$175,$B91))</f>
        <v>10</v>
      </c>
      <c r="N91">
        <f>IF($A91="","",_xlfn.SUMIFS(Allocation!$K$1:$K$175,Allocation!$C$1:$C$175,$A91,Allocation!$D$1:$D$175,$B91))</f>
        <v>1561220</v>
      </c>
      <c r="O91">
        <f t="shared" si="1"/>
        <v>4800</v>
      </c>
      <c r="P91">
        <f t="shared" si="2"/>
        <v>176</v>
      </c>
      <c r="Q91">
        <f>IF($A91="","",_xlfn.SUMIFS(Allocation!$I$1:$I$175,Allocation!$C$1:$C$175,$A91,Allocation!$E$1:$E$175,$C91))</f>
        <v>737</v>
      </c>
      <c r="R91">
        <f>IF($A91="","",_xlfn.SUMIFS(Allocation!$J$1:$J$175,Allocation!$C$1:$C$175,$A91,Allocation!$E$1:$E$175,$C91))</f>
        <v>35</v>
      </c>
      <c r="S91">
        <f>IF($A91="","",_xlfn.SUMIFS(Allocation!$K$1:$K$175,Allocation!$C$1:$C$175,$A91,Allocation!$E$1:$E$175,$C91))</f>
        <v>5593340</v>
      </c>
      <c r="T91">
        <f>IF($A91="","",_xlfn.SUMIFS(Allocation!$I$1:$I$175,Allocation!$C$1:$C$175,$A91))</f>
        <v>2704</v>
      </c>
      <c r="U91">
        <f>IF($A91="","",_xlfn.SUMIFS(Allocation!$J$1:$J$175,Allocation!$C$1:$C$175,$A91))</f>
        <v>131</v>
      </c>
      <c r="V91">
        <f>IF($A91="","",_xlfn.SUMIFS(Allocation!$K$1:$K$175,Allocation!$C$1:$C$175,$A91))</f>
        <v>20076860</v>
      </c>
      <c r="W91">
        <f>IF($A91="","",_xlfn.SUMIFS(Compta!$F$1:$F$1448,Compta!$A$1:$A$1448,$B91,Compta!$B$1:$B$1448,"621",Compta!$C$1:$C$1448,$A91))</f>
        <v>110180</v>
      </c>
      <c r="X91">
        <f>IF($A91="","",_xlfn.SUMIFS(Compta!$F$1:$F$1448,Compta!$A$1:$A$1448,$B91,Compta!$B$1:$B$1448,"6411",Compta!$C$1:$C$1448,$A91))</f>
        <v>209109</v>
      </c>
      <c r="Y91">
        <f>IF($A91="","",_xlfn.SUMIFS(Compta!$F$1:$F$1448,Compta!$A$1:$A$1448,$B91,Compta!$B$1:$B$1448,"604",Compta!$C$1:$C$1448,$A91)+_xlfn.SUMIFS(Compta!$F$1:$F$1448,Compta!$A$1:$A$1448,$B91,Compta!$B$1:$B$1448,"6063",Compta!$C$1:$C$1448,$A91))</f>
        <v>82858</v>
      </c>
      <c r="Z91">
        <f>IF($A91="","",_xlfn.SUMIFS(Compta!$F$1:$F$1448,Compta!$A$1:$A$1448,$B91,Compta!$B$1:$B$1448,"6231",Compta!$C$1:$C$1448,$A91))</f>
        <v>20843</v>
      </c>
      <c r="AA91">
        <f>IF($A91="","",_xlfn.SUMIFS(Compta!$F$1:$F$1448,Compta!$A$1:$A$1448,$B91,Compta!$B$1:$B$1448,"6413",Compta!$C$1:$C$1448,$A91)+_xlfn.SUMIFS(Compta!$F$1:$F$1448,Compta!$A$1:$A$1448,$B91,Compta!$B$1:$B$1448,"645",Compta!$C$1:$C$1448,$A91)+_xlfn.SUMIFS(Compta!$F$1:$F$1448,Compta!$A$1:$A$1448,$B91,Compta!$B$1:$B$1448,"613",Compta!$C$1:$C$1448,$A91)+_xlfn.SUMIFS(Compta!$F$1:$F$1448,Compta!$A$1:$A$1448,$B91,Compta!$B$1:$B$1448,"615",Compta!$C$1:$C$1448,$A91)+_xlfn.SUMIFS(Compta!$F$1:$F$1448,Compta!$A$1:$A$1448,$B91,Compta!$B$1:$B$1448,"616",Compta!$C$1:$C$1448,$A91)+_xlfn.SUMIFS(Compta!$F$1:$F$1448,Compta!$A$1:$A$1448,$B91,Compta!$B$1:$B$1448,"625",Compta!$C$1:$C$1448,$A91)+_xlfn.SUMIFS(Compta!$F$1:$F$1448,Compta!$A$1:$A$1448,$B91,Compta!$B$1:$B$1448,"63511",Compta!$C$1:$C$1448,$A91))</f>
        <v>487636</v>
      </c>
      <c r="AB91">
        <f>IF($A91="","",_xlfn.SUMIFS(Compta!$F$1:$F$1448,Compta!$A$1:$A$1448,"GRP",Compta!$B$1:$B$1448,"6414",Compta!$C$1:$C$1448,$A91)+_xlfn.SUMIFS(Compta!$F$1:$F$1448,Compta!$A$1:$A$1448,"GRP",Compta!$B$1:$B$1448,"6226",Compta!$C$1:$C$1448,$A91)+_xlfn.SUMIFS(Compta!$F$1:$F$1448,Compta!$A$1:$A$1448,"GRP",Compta!$B$1:$B$1448,"626",Compta!$C$1:$C$1448,$A91)+_xlfn.SUMIFS(Compta!$F$1:$F$1448,Compta!$A$1:$A$1448,"GRP",Compta!$B$1:$B$1448,"6281",Compta!$C$1:$C$1448,$A91)+_xlfn.SUMIFS(Compta!$F$1:$F$1448,Compta!$A$1:$A$1448,"GRP",Compta!$B$1:$B$1448,"6331",Compta!$C$1:$C$1448,$A91)+_xlfn.SUMIFS(Compta!$F$1:$F$1448,Compta!$A$1:$A$1448,"GRP",Compta!$B$1:$B$1448,"6333",Compta!$C$1:$C$1448,$A91))</f>
        <v>2639292</v>
      </c>
      <c r="AC91" t="s">
        <v>274</v>
      </c>
      <c r="AD91" t="s">
        <v>274</v>
      </c>
      <c r="AE91" t="s">
        <v>274</v>
      </c>
      <c r="AF91" t="s">
        <v>274</v>
      </c>
      <c r="AG91" t="s">
        <v>274</v>
      </c>
      <c r="AH91" t="s">
        <v>274</v>
      </c>
      <c r="AI91">
        <f t="shared" si="3"/>
        <v>19281.5</v>
      </c>
      <c r="AJ91">
        <f t="shared" si="4"/>
        <v>36594.075</v>
      </c>
      <c r="AK91">
        <f t="shared" si="5"/>
        <v>16800.7004608295</v>
      </c>
      <c r="AL91">
        <f t="shared" si="6"/>
        <v>0</v>
      </c>
      <c r="AM91">
        <f t="shared" si="7"/>
        <v>0</v>
      </c>
      <c r="AN91">
        <f t="shared" si="8"/>
        <v>250723.724539171</v>
      </c>
      <c r="AO91">
        <f>IF($A91="","",_xlfn.SUMIFS(Compta!$F$1:$F$1448,Compta!$A$1:$A$1448,"GRP",Compta!$B$1:$B$1448,"6236",Compta!$C$1:$C$1448,$A91))</f>
        <v>499926</v>
      </c>
      <c r="AP91" t="s">
        <v>274</v>
      </c>
      <c r="AQ91" t="s">
        <v>274</v>
      </c>
      <c r="AR91">
        <f t="shared" si="9"/>
        <v>0</v>
      </c>
    </row>
    <row r="92" ht="14.25" customHeight="1">
      <c r="A92" t="str">
        <f>IF(Allocation!C92="","",Allocation!C92)</f>
        <v>2026</v>
      </c>
      <c r="B92" t="str">
        <f>IF(Allocation!D92="","",Allocation!D92)</f>
        <v>ISCOM_TLS</v>
      </c>
      <c r="C92" t="str">
        <f>IF(Allocation!E92="","",Allocation!E92)</f>
        <v>ISCOM</v>
      </c>
      <c r="D92" t="str">
        <f>IF(Allocation!F92="","",Allocation!F92)</f>
        <v>BAC_COM</v>
      </c>
      <c r="E92" t="str">
        <f>IF(Allocation!G92="","",Allocation!G92)</f>
        <v>B1</v>
      </c>
      <c r="F92" t="str">
        <f>IF(Allocation!H92="","",Allocation!H92)</f>
        <v>INIT</v>
      </c>
      <c r="G92">
        <f>IF(Allocation!D92="","",Allocation!I92)</f>
        <v>47</v>
      </c>
      <c r="H92">
        <f>IF(Allocation!D92="","",Allocation!J92)</f>
        <v>2</v>
      </c>
      <c r="I92">
        <f>IF(Allocation!D92="","",Allocation!K92)</f>
        <v>342630</v>
      </c>
      <c r="J92">
        <f>IF($A92="","",_xlfn.SUMIFS(Socle!$K$1:$K$448,Socle!$C$1:$C$448,$B92,Socle!$D$1:$D$448,$D92,Socle!$E$1:$E$448,$E92,Socle!$F$1:$F$448,$F92,Socle!$G$1:$G$448,$A92))</f>
        <v>94</v>
      </c>
      <c r="K92">
        <f t="shared" si="0"/>
        <v>1200</v>
      </c>
      <c r="L92">
        <f>IF($A92="","",_xlfn.SUMIFS(Allocation!$I$1:$I$175,Allocation!$C$1:$C$175,$A92,Allocation!$D$1:$D$175,$B92))</f>
        <v>231</v>
      </c>
      <c r="M92">
        <f>IF($A92="","",_xlfn.SUMIFS(Allocation!$J$1:$J$175,Allocation!$C$1:$C$175,$A92,Allocation!$D$1:$D$175,$B92))</f>
        <v>10</v>
      </c>
      <c r="N92">
        <f>IF($A92="","",_xlfn.SUMIFS(Allocation!$K$1:$K$175,Allocation!$C$1:$C$175,$A92,Allocation!$D$1:$D$175,$B92))</f>
        <v>1627980</v>
      </c>
      <c r="O92">
        <f t="shared" si="1"/>
        <v>4800</v>
      </c>
      <c r="P92">
        <f t="shared" si="2"/>
        <v>188</v>
      </c>
      <c r="Q92">
        <f>IF($A92="","",_xlfn.SUMIFS(Allocation!$I$1:$I$175,Allocation!$C$1:$C$175,$A92,Allocation!$E$1:$E$175,$C92))</f>
        <v>829</v>
      </c>
      <c r="R92">
        <f>IF($A92="","",_xlfn.SUMIFS(Allocation!$J$1:$J$175,Allocation!$C$1:$C$175,$A92,Allocation!$E$1:$E$175,$C92))</f>
        <v>35</v>
      </c>
      <c r="S92">
        <f>IF($A92="","",_xlfn.SUMIFS(Allocation!$K$1:$K$175,Allocation!$C$1:$C$175,$A92,Allocation!$E$1:$E$175,$C92))</f>
        <v>6292550</v>
      </c>
      <c r="T92">
        <f>IF($A92="","",_xlfn.SUMIFS(Allocation!$I$1:$I$175,Allocation!$C$1:$C$175,$A92))</f>
        <v>3036</v>
      </c>
      <c r="U92">
        <f>IF($A92="","",_xlfn.SUMIFS(Allocation!$J$1:$J$175,Allocation!$C$1:$C$175,$A92))</f>
        <v>131</v>
      </c>
      <c r="V92">
        <f>IF($A92="","",_xlfn.SUMIFS(Allocation!$K$1:$K$175,Allocation!$C$1:$C$175,$A92))</f>
        <v>22544725</v>
      </c>
      <c r="W92">
        <f>IF($A92="","",_xlfn.SUMIFS(Compta!$F$1:$F$1448,Compta!$A$1:$A$1448,$B92,Compta!$B$1:$B$1448,"621",Compta!$C$1:$C$1448,$A92))</f>
        <v>120729</v>
      </c>
      <c r="X92">
        <f>IF($A92="","",_xlfn.SUMIFS(Compta!$F$1:$F$1448,Compta!$A$1:$A$1448,$B92,Compta!$B$1:$B$1448,"6411",Compta!$C$1:$C$1448,$A92))</f>
        <v>224149</v>
      </c>
      <c r="Y92">
        <f>IF($A92="","",_xlfn.SUMIFS(Compta!$F$1:$F$1448,Compta!$A$1:$A$1448,$B92,Compta!$B$1:$B$1448,"604",Compta!$C$1:$C$1448,$A92)+_xlfn.SUMIFS(Compta!$F$1:$F$1448,Compta!$A$1:$A$1448,$B92,Compta!$B$1:$B$1448,"6063",Compta!$C$1:$C$1448,$A92))</f>
        <v>85954</v>
      </c>
      <c r="Z92">
        <f>IF($A92="","",_xlfn.SUMIFS(Compta!$F$1:$F$1448,Compta!$A$1:$A$1448,$B92,Compta!$B$1:$B$1448,"6231",Compta!$C$1:$C$1448,$A92))</f>
        <v>22083</v>
      </c>
      <c r="AA92">
        <f>IF($A92="","",_xlfn.SUMIFS(Compta!$F$1:$F$1448,Compta!$A$1:$A$1448,$B92,Compta!$B$1:$B$1448,"6413",Compta!$C$1:$C$1448,$A92)+_xlfn.SUMIFS(Compta!$F$1:$F$1448,Compta!$A$1:$A$1448,$B92,Compta!$B$1:$B$1448,"645",Compta!$C$1:$C$1448,$A92)+_xlfn.SUMIFS(Compta!$F$1:$F$1448,Compta!$A$1:$A$1448,$B92,Compta!$B$1:$B$1448,"613",Compta!$C$1:$C$1448,$A92)+_xlfn.SUMIFS(Compta!$F$1:$F$1448,Compta!$A$1:$A$1448,$B92,Compta!$B$1:$B$1448,"615",Compta!$C$1:$C$1448,$A92)+_xlfn.SUMIFS(Compta!$F$1:$F$1448,Compta!$A$1:$A$1448,$B92,Compta!$B$1:$B$1448,"616",Compta!$C$1:$C$1448,$A92)+_xlfn.SUMIFS(Compta!$F$1:$F$1448,Compta!$A$1:$A$1448,$B92,Compta!$B$1:$B$1448,"625",Compta!$C$1:$C$1448,$A92)+_xlfn.SUMIFS(Compta!$F$1:$F$1448,Compta!$A$1:$A$1448,$B92,Compta!$B$1:$B$1448,"63511",Compta!$C$1:$C$1448,$A92))</f>
        <v>503990</v>
      </c>
      <c r="AB92">
        <f>IF($A92="","",_xlfn.SUMIFS(Compta!$F$1:$F$1448,Compta!$A$1:$A$1448,"GRP",Compta!$B$1:$B$1448,"6414",Compta!$C$1:$C$1448,$A92)+_xlfn.SUMIFS(Compta!$F$1:$F$1448,Compta!$A$1:$A$1448,"GRP",Compta!$B$1:$B$1448,"6226",Compta!$C$1:$C$1448,$A92)+_xlfn.SUMIFS(Compta!$F$1:$F$1448,Compta!$A$1:$A$1448,"GRP",Compta!$B$1:$B$1448,"626",Compta!$C$1:$C$1448,$A92)+_xlfn.SUMIFS(Compta!$F$1:$F$1448,Compta!$A$1:$A$1448,"GRP",Compta!$B$1:$B$1448,"6281",Compta!$C$1:$C$1448,$A92)+_xlfn.SUMIFS(Compta!$F$1:$F$1448,Compta!$A$1:$A$1448,"GRP",Compta!$B$1:$B$1448,"6331",Compta!$C$1:$C$1448,$A92)+_xlfn.SUMIFS(Compta!$F$1:$F$1448,Compta!$A$1:$A$1448,"GRP",Compta!$B$1:$B$1448,"6333",Compta!$C$1:$C$1448,$A92))</f>
        <v>2891983</v>
      </c>
      <c r="AC92" t="s">
        <v>274</v>
      </c>
      <c r="AD92" t="s">
        <v>274</v>
      </c>
      <c r="AE92" t="s">
        <v>274</v>
      </c>
      <c r="AF92" t="s">
        <v>274</v>
      </c>
      <c r="AG92" t="s">
        <v>274</v>
      </c>
      <c r="AH92" t="s">
        <v>274</v>
      </c>
      <c r="AI92">
        <f t="shared" si="3"/>
        <v>30182.25</v>
      </c>
      <c r="AJ92">
        <f t="shared" si="4"/>
        <v>56037.25</v>
      </c>
      <c r="AK92">
        <f t="shared" si="5"/>
        <v>28529.9761904762</v>
      </c>
      <c r="AL92">
        <f t="shared" si="6"/>
        <v>0</v>
      </c>
      <c r="AM92">
        <f t="shared" si="7"/>
        <v>0</v>
      </c>
      <c r="AN92">
        <f t="shared" si="8"/>
        <v>227880.523809524</v>
      </c>
      <c r="AO92">
        <f>IF($A92="","",_xlfn.SUMIFS(Compta!$F$1:$F$1448,Compta!$A$1:$A$1448,"GRP",Compta!$B$1:$B$1448,"6236",Compta!$C$1:$C$1448,$A92))</f>
        <v>676344</v>
      </c>
      <c r="AP92" t="s">
        <v>274</v>
      </c>
      <c r="AQ92" t="s">
        <v>274</v>
      </c>
      <c r="AR92">
        <f t="shared" si="9"/>
        <v>0</v>
      </c>
    </row>
    <row r="93" ht="14.25" customHeight="1">
      <c r="A93" t="str">
        <f>IF(Allocation!C93="","",Allocation!C93)</f>
        <v>2026</v>
      </c>
      <c r="B93" t="str">
        <f>IF(Allocation!D93="","",Allocation!D93)</f>
        <v>ISCOM_TLS</v>
      </c>
      <c r="C93" t="str">
        <f>IF(Allocation!E93="","",Allocation!E93)</f>
        <v>ISCOM</v>
      </c>
      <c r="D93" t="str">
        <f>IF(Allocation!F93="","",Allocation!F93)</f>
        <v>BAC_COM</v>
      </c>
      <c r="E93" t="str">
        <f>IF(Allocation!G93="","",Allocation!G93)</f>
        <v>B2</v>
      </c>
      <c r="F93" t="str">
        <f>IF(Allocation!H93="","",Allocation!H93)</f>
        <v>ALT</v>
      </c>
      <c r="G93">
        <f>IF(Allocation!D93="","",Allocation!I93)</f>
        <v>46</v>
      </c>
      <c r="H93">
        <f>IF(Allocation!D93="","",Allocation!J93)</f>
        <v>2</v>
      </c>
      <c r="I93">
        <f>IF(Allocation!D93="","",Allocation!K93)</f>
        <v>309120</v>
      </c>
      <c r="J93">
        <f>IF($A93="","",_xlfn.SUMIFS(Socle!$K$1:$K$448,Socle!$C$1:$C$448,$B93,Socle!$D$1:$D$448,$D93,Socle!$E$1:$E$448,$E93,Socle!$F$1:$F$448,$F93,Socle!$G$1:$G$448,$A93))</f>
        <v>0</v>
      </c>
      <c r="K93">
        <f t="shared" si="0"/>
        <v>960</v>
      </c>
      <c r="L93">
        <f>IF($A93="","",_xlfn.SUMIFS(Allocation!$I$1:$I$175,Allocation!$C$1:$C$175,$A93,Allocation!$D$1:$D$175,$B93))</f>
        <v>231</v>
      </c>
      <c r="M93">
        <f>IF($A93="","",_xlfn.SUMIFS(Allocation!$J$1:$J$175,Allocation!$C$1:$C$175,$A93,Allocation!$D$1:$D$175,$B93))</f>
        <v>10</v>
      </c>
      <c r="N93">
        <f>IF($A93="","",_xlfn.SUMIFS(Allocation!$K$1:$K$175,Allocation!$C$1:$C$175,$A93,Allocation!$D$1:$D$175,$B93))</f>
        <v>1627980</v>
      </c>
      <c r="O93">
        <f t="shared" si="1"/>
        <v>4800</v>
      </c>
      <c r="P93">
        <f t="shared" si="2"/>
        <v>188</v>
      </c>
      <c r="Q93">
        <f>IF($A93="","",_xlfn.SUMIFS(Allocation!$I$1:$I$175,Allocation!$C$1:$C$175,$A93,Allocation!$E$1:$E$175,$C93))</f>
        <v>829</v>
      </c>
      <c r="R93">
        <f>IF($A93="","",_xlfn.SUMIFS(Allocation!$J$1:$J$175,Allocation!$C$1:$C$175,$A93,Allocation!$E$1:$E$175,$C93))</f>
        <v>35</v>
      </c>
      <c r="S93">
        <f>IF($A93="","",_xlfn.SUMIFS(Allocation!$K$1:$K$175,Allocation!$C$1:$C$175,$A93,Allocation!$E$1:$E$175,$C93))</f>
        <v>6292550</v>
      </c>
      <c r="T93">
        <f>IF($A93="","",_xlfn.SUMIFS(Allocation!$I$1:$I$175,Allocation!$C$1:$C$175,$A93))</f>
        <v>3036</v>
      </c>
      <c r="U93">
        <f>IF($A93="","",_xlfn.SUMIFS(Allocation!$J$1:$J$175,Allocation!$C$1:$C$175,$A93))</f>
        <v>131</v>
      </c>
      <c r="V93">
        <f>IF($A93="","",_xlfn.SUMIFS(Allocation!$K$1:$K$175,Allocation!$C$1:$C$175,$A93))</f>
        <v>22544725</v>
      </c>
      <c r="W93">
        <f>IF($A93="","",_xlfn.SUMIFS(Compta!$F$1:$F$1448,Compta!$A$1:$A$1448,$B93,Compta!$B$1:$B$1448,"621",Compta!$C$1:$C$1448,$A93))</f>
        <v>120729</v>
      </c>
      <c r="X93">
        <f>IF($A93="","",_xlfn.SUMIFS(Compta!$F$1:$F$1448,Compta!$A$1:$A$1448,$B93,Compta!$B$1:$B$1448,"6411",Compta!$C$1:$C$1448,$A93))</f>
        <v>224149</v>
      </c>
      <c r="Y93">
        <f>IF($A93="","",_xlfn.SUMIFS(Compta!$F$1:$F$1448,Compta!$A$1:$A$1448,$B93,Compta!$B$1:$B$1448,"604",Compta!$C$1:$C$1448,$A93)+_xlfn.SUMIFS(Compta!$F$1:$F$1448,Compta!$A$1:$A$1448,$B93,Compta!$B$1:$B$1448,"6063",Compta!$C$1:$C$1448,$A93))</f>
        <v>85954</v>
      </c>
      <c r="Z93">
        <f>IF($A93="","",_xlfn.SUMIFS(Compta!$F$1:$F$1448,Compta!$A$1:$A$1448,$B93,Compta!$B$1:$B$1448,"6231",Compta!$C$1:$C$1448,$A93))</f>
        <v>22083</v>
      </c>
      <c r="AA93">
        <f>IF($A93="","",_xlfn.SUMIFS(Compta!$F$1:$F$1448,Compta!$A$1:$A$1448,$B93,Compta!$B$1:$B$1448,"6413",Compta!$C$1:$C$1448,$A93)+_xlfn.SUMIFS(Compta!$F$1:$F$1448,Compta!$A$1:$A$1448,$B93,Compta!$B$1:$B$1448,"645",Compta!$C$1:$C$1448,$A93)+_xlfn.SUMIFS(Compta!$F$1:$F$1448,Compta!$A$1:$A$1448,$B93,Compta!$B$1:$B$1448,"613",Compta!$C$1:$C$1448,$A93)+_xlfn.SUMIFS(Compta!$F$1:$F$1448,Compta!$A$1:$A$1448,$B93,Compta!$B$1:$B$1448,"615",Compta!$C$1:$C$1448,$A93)+_xlfn.SUMIFS(Compta!$F$1:$F$1448,Compta!$A$1:$A$1448,$B93,Compta!$B$1:$B$1448,"616",Compta!$C$1:$C$1448,$A93)+_xlfn.SUMIFS(Compta!$F$1:$F$1448,Compta!$A$1:$A$1448,$B93,Compta!$B$1:$B$1448,"625",Compta!$C$1:$C$1448,$A93)+_xlfn.SUMIFS(Compta!$F$1:$F$1448,Compta!$A$1:$A$1448,$B93,Compta!$B$1:$B$1448,"63511",Compta!$C$1:$C$1448,$A93))</f>
        <v>503990</v>
      </c>
      <c r="AB93">
        <f>IF($A93="","",_xlfn.SUMIFS(Compta!$F$1:$F$1448,Compta!$A$1:$A$1448,"GRP",Compta!$B$1:$B$1448,"6414",Compta!$C$1:$C$1448,$A93)+_xlfn.SUMIFS(Compta!$F$1:$F$1448,Compta!$A$1:$A$1448,"GRP",Compta!$B$1:$B$1448,"6226",Compta!$C$1:$C$1448,$A93)+_xlfn.SUMIFS(Compta!$F$1:$F$1448,Compta!$A$1:$A$1448,"GRP",Compta!$B$1:$B$1448,"626",Compta!$C$1:$C$1448,$A93)+_xlfn.SUMIFS(Compta!$F$1:$F$1448,Compta!$A$1:$A$1448,"GRP",Compta!$B$1:$B$1448,"6281",Compta!$C$1:$C$1448,$A93)+_xlfn.SUMIFS(Compta!$F$1:$F$1448,Compta!$A$1:$A$1448,"GRP",Compta!$B$1:$B$1448,"6331",Compta!$C$1:$C$1448,$A93)+_xlfn.SUMIFS(Compta!$F$1:$F$1448,Compta!$A$1:$A$1448,"GRP",Compta!$B$1:$B$1448,"6333",Compta!$C$1:$C$1448,$A93))</f>
        <v>2891983</v>
      </c>
      <c r="AC93" t="s">
        <v>274</v>
      </c>
      <c r="AD93" t="s">
        <v>274</v>
      </c>
      <c r="AE93" t="s">
        <v>274</v>
      </c>
      <c r="AF93" t="s">
        <v>274</v>
      </c>
      <c r="AG93" t="s">
        <v>274</v>
      </c>
      <c r="AH93" t="s">
        <v>274</v>
      </c>
      <c r="AI93">
        <f t="shared" si="3"/>
        <v>24145.8</v>
      </c>
      <c r="AJ93">
        <f t="shared" si="4"/>
        <v>44829.8</v>
      </c>
      <c r="AK93">
        <f t="shared" si="5"/>
        <v>17116.380952381</v>
      </c>
      <c r="AL93">
        <f t="shared" si="6"/>
        <v>0</v>
      </c>
      <c r="AM93">
        <f t="shared" si="7"/>
        <v>0</v>
      </c>
      <c r="AN93">
        <f t="shared" si="8"/>
        <v>223028.019047619</v>
      </c>
      <c r="AO93">
        <f>IF($A93="","",_xlfn.SUMIFS(Compta!$F$1:$F$1448,Compta!$A$1:$A$1448,"GRP",Compta!$B$1:$B$1448,"6236",Compta!$C$1:$C$1448,$A93))</f>
        <v>676344</v>
      </c>
      <c r="AP93" t="s">
        <v>274</v>
      </c>
      <c r="AQ93" t="s">
        <v>274</v>
      </c>
      <c r="AR93">
        <f t="shared" si="9"/>
        <v>0</v>
      </c>
    </row>
    <row r="94" ht="14.25" customHeight="1">
      <c r="A94" t="str">
        <f>IF(Allocation!C94="","",Allocation!C94)</f>
        <v>2026</v>
      </c>
      <c r="B94" t="str">
        <f>IF(Allocation!D94="","",Allocation!D94)</f>
        <v>ISCOM_TLS</v>
      </c>
      <c r="C94" t="str">
        <f>IF(Allocation!E94="","",Allocation!E94)</f>
        <v>ISCOM</v>
      </c>
      <c r="D94" t="str">
        <f>IF(Allocation!F94="","",Allocation!F94)</f>
        <v>BAC_COM</v>
      </c>
      <c r="E94" t="str">
        <f>IF(Allocation!G94="","",Allocation!G94)</f>
        <v>B3</v>
      </c>
      <c r="F94" t="str">
        <f>IF(Allocation!H94="","",Allocation!H94)</f>
        <v>ALT</v>
      </c>
      <c r="G94">
        <f>IF(Allocation!D94="","",Allocation!I94)</f>
        <v>45</v>
      </c>
      <c r="H94">
        <f>IF(Allocation!D94="","",Allocation!J94)</f>
        <v>2</v>
      </c>
      <c r="I94">
        <f>IF(Allocation!D94="","",Allocation!K94)</f>
        <v>302400</v>
      </c>
      <c r="J94">
        <f>IF($A94="","",_xlfn.SUMIFS(Socle!$K$1:$K$448,Socle!$C$1:$C$448,$B94,Socle!$D$1:$D$448,$D94,Socle!$E$1:$E$448,$E94,Socle!$F$1:$F$448,$F94,Socle!$G$1:$G$448,$A94))</f>
        <v>0</v>
      </c>
      <c r="K94">
        <f t="shared" si="0"/>
        <v>960</v>
      </c>
      <c r="L94">
        <f>IF($A94="","",_xlfn.SUMIFS(Allocation!$I$1:$I$175,Allocation!$C$1:$C$175,$A94,Allocation!$D$1:$D$175,$B94))</f>
        <v>231</v>
      </c>
      <c r="M94">
        <f>IF($A94="","",_xlfn.SUMIFS(Allocation!$J$1:$J$175,Allocation!$C$1:$C$175,$A94,Allocation!$D$1:$D$175,$B94))</f>
        <v>10</v>
      </c>
      <c r="N94">
        <f>IF($A94="","",_xlfn.SUMIFS(Allocation!$K$1:$K$175,Allocation!$C$1:$C$175,$A94,Allocation!$D$1:$D$175,$B94))</f>
        <v>1627980</v>
      </c>
      <c r="O94">
        <f t="shared" si="1"/>
        <v>4800</v>
      </c>
      <c r="P94">
        <f t="shared" si="2"/>
        <v>188</v>
      </c>
      <c r="Q94">
        <f>IF($A94="","",_xlfn.SUMIFS(Allocation!$I$1:$I$175,Allocation!$C$1:$C$175,$A94,Allocation!$E$1:$E$175,$C94))</f>
        <v>829</v>
      </c>
      <c r="R94">
        <f>IF($A94="","",_xlfn.SUMIFS(Allocation!$J$1:$J$175,Allocation!$C$1:$C$175,$A94,Allocation!$E$1:$E$175,$C94))</f>
        <v>35</v>
      </c>
      <c r="S94">
        <f>IF($A94="","",_xlfn.SUMIFS(Allocation!$K$1:$K$175,Allocation!$C$1:$C$175,$A94,Allocation!$E$1:$E$175,$C94))</f>
        <v>6292550</v>
      </c>
      <c r="T94">
        <f>IF($A94="","",_xlfn.SUMIFS(Allocation!$I$1:$I$175,Allocation!$C$1:$C$175,$A94))</f>
        <v>3036</v>
      </c>
      <c r="U94">
        <f>IF($A94="","",_xlfn.SUMIFS(Allocation!$J$1:$J$175,Allocation!$C$1:$C$175,$A94))</f>
        <v>131</v>
      </c>
      <c r="V94">
        <f>IF($A94="","",_xlfn.SUMIFS(Allocation!$K$1:$K$175,Allocation!$C$1:$C$175,$A94))</f>
        <v>22544725</v>
      </c>
      <c r="W94">
        <f>IF($A94="","",_xlfn.SUMIFS(Compta!$F$1:$F$1448,Compta!$A$1:$A$1448,$B94,Compta!$B$1:$B$1448,"621",Compta!$C$1:$C$1448,$A94))</f>
        <v>120729</v>
      </c>
      <c r="X94">
        <f>IF($A94="","",_xlfn.SUMIFS(Compta!$F$1:$F$1448,Compta!$A$1:$A$1448,$B94,Compta!$B$1:$B$1448,"6411",Compta!$C$1:$C$1448,$A94))</f>
        <v>224149</v>
      </c>
      <c r="Y94">
        <f>IF($A94="","",_xlfn.SUMIFS(Compta!$F$1:$F$1448,Compta!$A$1:$A$1448,$B94,Compta!$B$1:$B$1448,"604",Compta!$C$1:$C$1448,$A94)+_xlfn.SUMIFS(Compta!$F$1:$F$1448,Compta!$A$1:$A$1448,$B94,Compta!$B$1:$B$1448,"6063",Compta!$C$1:$C$1448,$A94))</f>
        <v>85954</v>
      </c>
      <c r="Z94">
        <f>IF($A94="","",_xlfn.SUMIFS(Compta!$F$1:$F$1448,Compta!$A$1:$A$1448,$B94,Compta!$B$1:$B$1448,"6231",Compta!$C$1:$C$1448,$A94))</f>
        <v>22083</v>
      </c>
      <c r="AA94">
        <f>IF($A94="","",_xlfn.SUMIFS(Compta!$F$1:$F$1448,Compta!$A$1:$A$1448,$B94,Compta!$B$1:$B$1448,"6413",Compta!$C$1:$C$1448,$A94)+_xlfn.SUMIFS(Compta!$F$1:$F$1448,Compta!$A$1:$A$1448,$B94,Compta!$B$1:$B$1448,"645",Compta!$C$1:$C$1448,$A94)+_xlfn.SUMIFS(Compta!$F$1:$F$1448,Compta!$A$1:$A$1448,$B94,Compta!$B$1:$B$1448,"613",Compta!$C$1:$C$1448,$A94)+_xlfn.SUMIFS(Compta!$F$1:$F$1448,Compta!$A$1:$A$1448,$B94,Compta!$B$1:$B$1448,"615",Compta!$C$1:$C$1448,$A94)+_xlfn.SUMIFS(Compta!$F$1:$F$1448,Compta!$A$1:$A$1448,$B94,Compta!$B$1:$B$1448,"616",Compta!$C$1:$C$1448,$A94)+_xlfn.SUMIFS(Compta!$F$1:$F$1448,Compta!$A$1:$A$1448,$B94,Compta!$B$1:$B$1448,"625",Compta!$C$1:$C$1448,$A94)+_xlfn.SUMIFS(Compta!$F$1:$F$1448,Compta!$A$1:$A$1448,$B94,Compta!$B$1:$B$1448,"63511",Compta!$C$1:$C$1448,$A94))</f>
        <v>503990</v>
      </c>
      <c r="AB94">
        <f>IF($A94="","",_xlfn.SUMIFS(Compta!$F$1:$F$1448,Compta!$A$1:$A$1448,"GRP",Compta!$B$1:$B$1448,"6414",Compta!$C$1:$C$1448,$A94)+_xlfn.SUMIFS(Compta!$F$1:$F$1448,Compta!$A$1:$A$1448,"GRP",Compta!$B$1:$B$1448,"6226",Compta!$C$1:$C$1448,$A94)+_xlfn.SUMIFS(Compta!$F$1:$F$1448,Compta!$A$1:$A$1448,"GRP",Compta!$B$1:$B$1448,"626",Compta!$C$1:$C$1448,$A94)+_xlfn.SUMIFS(Compta!$F$1:$F$1448,Compta!$A$1:$A$1448,"GRP",Compta!$B$1:$B$1448,"6281",Compta!$C$1:$C$1448,$A94)+_xlfn.SUMIFS(Compta!$F$1:$F$1448,Compta!$A$1:$A$1448,"GRP",Compta!$B$1:$B$1448,"6331",Compta!$C$1:$C$1448,$A94)+_xlfn.SUMIFS(Compta!$F$1:$F$1448,Compta!$A$1:$A$1448,"GRP",Compta!$B$1:$B$1448,"6333",Compta!$C$1:$C$1448,$A94))</f>
        <v>2891983</v>
      </c>
      <c r="AC94" t="s">
        <v>274</v>
      </c>
      <c r="AD94" t="s">
        <v>274</v>
      </c>
      <c r="AE94" t="s">
        <v>274</v>
      </c>
      <c r="AF94" t="s">
        <v>274</v>
      </c>
      <c r="AG94" t="s">
        <v>274</v>
      </c>
      <c r="AH94" t="s">
        <v>274</v>
      </c>
      <c r="AI94">
        <f t="shared" si="3"/>
        <v>24145.8</v>
      </c>
      <c r="AJ94">
        <f t="shared" si="4"/>
        <v>44829.8</v>
      </c>
      <c r="AK94">
        <f t="shared" si="5"/>
        <v>16744.2857142857</v>
      </c>
      <c r="AL94">
        <f t="shared" si="6"/>
        <v>0</v>
      </c>
      <c r="AM94">
        <f t="shared" si="7"/>
        <v>0</v>
      </c>
      <c r="AN94">
        <f t="shared" si="8"/>
        <v>216680.114285714</v>
      </c>
      <c r="AO94">
        <f>IF($A94="","",_xlfn.SUMIFS(Compta!$F$1:$F$1448,Compta!$A$1:$A$1448,"GRP",Compta!$B$1:$B$1448,"6236",Compta!$C$1:$C$1448,$A94))</f>
        <v>676344</v>
      </c>
      <c r="AP94" t="s">
        <v>274</v>
      </c>
      <c r="AQ94" t="s">
        <v>274</v>
      </c>
      <c r="AR94">
        <f t="shared" si="9"/>
        <v>0</v>
      </c>
    </row>
    <row r="95" ht="14.25" customHeight="1">
      <c r="A95" t="str">
        <f>IF(Allocation!C95="","",Allocation!C95)</f>
        <v>2026</v>
      </c>
      <c r="B95" t="str">
        <f>IF(Allocation!D95="","",Allocation!D95)</f>
        <v>ISCOM_TLS</v>
      </c>
      <c r="C95" t="str">
        <f>IF(Allocation!E95="","",Allocation!E95)</f>
        <v>ISCOM</v>
      </c>
      <c r="D95" t="str">
        <f>IF(Allocation!F95="","",Allocation!F95)</f>
        <v>MAS_COM</v>
      </c>
      <c r="E95" t="str">
        <f>IF(Allocation!G95="","",Allocation!G95)</f>
        <v>M1</v>
      </c>
      <c r="F95" t="str">
        <f>IF(Allocation!H95="","",Allocation!H95)</f>
        <v>ALT</v>
      </c>
      <c r="G95">
        <f>IF(Allocation!D95="","",Allocation!I95)</f>
        <v>47</v>
      </c>
      <c r="H95">
        <f>IF(Allocation!D95="","",Allocation!J95)</f>
        <v>2</v>
      </c>
      <c r="I95">
        <f>IF(Allocation!D95="","",Allocation!K95)</f>
        <v>342630</v>
      </c>
      <c r="J95">
        <f>IF($A95="","",_xlfn.SUMIFS(Socle!$K$1:$K$448,Socle!$C$1:$C$448,$B95,Socle!$D$1:$D$448,$D95,Socle!$E$1:$E$448,$E95,Socle!$F$1:$F$448,$F95,Socle!$G$1:$G$448,$A95))</f>
        <v>94</v>
      </c>
      <c r="K95">
        <f t="shared" si="0"/>
        <v>840</v>
      </c>
      <c r="L95">
        <f>IF($A95="","",_xlfn.SUMIFS(Allocation!$I$1:$I$175,Allocation!$C$1:$C$175,$A95,Allocation!$D$1:$D$175,$B95))</f>
        <v>231</v>
      </c>
      <c r="M95">
        <f>IF($A95="","",_xlfn.SUMIFS(Allocation!$J$1:$J$175,Allocation!$C$1:$C$175,$A95,Allocation!$D$1:$D$175,$B95))</f>
        <v>10</v>
      </c>
      <c r="N95">
        <f>IF($A95="","",_xlfn.SUMIFS(Allocation!$K$1:$K$175,Allocation!$C$1:$C$175,$A95,Allocation!$D$1:$D$175,$B95))</f>
        <v>1627980</v>
      </c>
      <c r="O95">
        <f t="shared" si="1"/>
        <v>4800</v>
      </c>
      <c r="P95">
        <f t="shared" si="2"/>
        <v>188</v>
      </c>
      <c r="Q95">
        <f>IF($A95="","",_xlfn.SUMIFS(Allocation!$I$1:$I$175,Allocation!$C$1:$C$175,$A95,Allocation!$E$1:$E$175,$C95))</f>
        <v>829</v>
      </c>
      <c r="R95">
        <f>IF($A95="","",_xlfn.SUMIFS(Allocation!$J$1:$J$175,Allocation!$C$1:$C$175,$A95,Allocation!$E$1:$E$175,$C95))</f>
        <v>35</v>
      </c>
      <c r="S95">
        <f>IF($A95="","",_xlfn.SUMIFS(Allocation!$K$1:$K$175,Allocation!$C$1:$C$175,$A95,Allocation!$E$1:$E$175,$C95))</f>
        <v>6292550</v>
      </c>
      <c r="T95">
        <f>IF($A95="","",_xlfn.SUMIFS(Allocation!$I$1:$I$175,Allocation!$C$1:$C$175,$A95))</f>
        <v>3036</v>
      </c>
      <c r="U95">
        <f>IF($A95="","",_xlfn.SUMIFS(Allocation!$J$1:$J$175,Allocation!$C$1:$C$175,$A95))</f>
        <v>131</v>
      </c>
      <c r="V95">
        <f>IF($A95="","",_xlfn.SUMIFS(Allocation!$K$1:$K$175,Allocation!$C$1:$C$175,$A95))</f>
        <v>22544725</v>
      </c>
      <c r="W95">
        <f>IF($A95="","",_xlfn.SUMIFS(Compta!$F$1:$F$1448,Compta!$A$1:$A$1448,$B95,Compta!$B$1:$B$1448,"621",Compta!$C$1:$C$1448,$A95))</f>
        <v>120729</v>
      </c>
      <c r="X95">
        <f>IF($A95="","",_xlfn.SUMIFS(Compta!$F$1:$F$1448,Compta!$A$1:$A$1448,$B95,Compta!$B$1:$B$1448,"6411",Compta!$C$1:$C$1448,$A95))</f>
        <v>224149</v>
      </c>
      <c r="Y95">
        <f>IF($A95="","",_xlfn.SUMIFS(Compta!$F$1:$F$1448,Compta!$A$1:$A$1448,$B95,Compta!$B$1:$B$1448,"604",Compta!$C$1:$C$1448,$A95)+_xlfn.SUMIFS(Compta!$F$1:$F$1448,Compta!$A$1:$A$1448,$B95,Compta!$B$1:$B$1448,"6063",Compta!$C$1:$C$1448,$A95))</f>
        <v>85954</v>
      </c>
      <c r="Z95">
        <f>IF($A95="","",_xlfn.SUMIFS(Compta!$F$1:$F$1448,Compta!$A$1:$A$1448,$B95,Compta!$B$1:$B$1448,"6231",Compta!$C$1:$C$1448,$A95))</f>
        <v>22083</v>
      </c>
      <c r="AA95">
        <f>IF($A95="","",_xlfn.SUMIFS(Compta!$F$1:$F$1448,Compta!$A$1:$A$1448,$B95,Compta!$B$1:$B$1448,"6413",Compta!$C$1:$C$1448,$A95)+_xlfn.SUMIFS(Compta!$F$1:$F$1448,Compta!$A$1:$A$1448,$B95,Compta!$B$1:$B$1448,"645",Compta!$C$1:$C$1448,$A95)+_xlfn.SUMIFS(Compta!$F$1:$F$1448,Compta!$A$1:$A$1448,$B95,Compta!$B$1:$B$1448,"613",Compta!$C$1:$C$1448,$A95)+_xlfn.SUMIFS(Compta!$F$1:$F$1448,Compta!$A$1:$A$1448,$B95,Compta!$B$1:$B$1448,"615",Compta!$C$1:$C$1448,$A95)+_xlfn.SUMIFS(Compta!$F$1:$F$1448,Compta!$A$1:$A$1448,$B95,Compta!$B$1:$B$1448,"616",Compta!$C$1:$C$1448,$A95)+_xlfn.SUMIFS(Compta!$F$1:$F$1448,Compta!$A$1:$A$1448,$B95,Compta!$B$1:$B$1448,"625",Compta!$C$1:$C$1448,$A95)+_xlfn.SUMIFS(Compta!$F$1:$F$1448,Compta!$A$1:$A$1448,$B95,Compta!$B$1:$B$1448,"63511",Compta!$C$1:$C$1448,$A95))</f>
        <v>503990</v>
      </c>
      <c r="AB95">
        <f>IF($A95="","",_xlfn.SUMIFS(Compta!$F$1:$F$1448,Compta!$A$1:$A$1448,"GRP",Compta!$B$1:$B$1448,"6414",Compta!$C$1:$C$1448,$A95)+_xlfn.SUMIFS(Compta!$F$1:$F$1448,Compta!$A$1:$A$1448,"GRP",Compta!$B$1:$B$1448,"6226",Compta!$C$1:$C$1448,$A95)+_xlfn.SUMIFS(Compta!$F$1:$F$1448,Compta!$A$1:$A$1448,"GRP",Compta!$B$1:$B$1448,"626",Compta!$C$1:$C$1448,$A95)+_xlfn.SUMIFS(Compta!$F$1:$F$1448,Compta!$A$1:$A$1448,"GRP",Compta!$B$1:$B$1448,"6281",Compta!$C$1:$C$1448,$A95)+_xlfn.SUMIFS(Compta!$F$1:$F$1448,Compta!$A$1:$A$1448,"GRP",Compta!$B$1:$B$1448,"6331",Compta!$C$1:$C$1448,$A95)+_xlfn.SUMIFS(Compta!$F$1:$F$1448,Compta!$A$1:$A$1448,"GRP",Compta!$B$1:$B$1448,"6333",Compta!$C$1:$C$1448,$A95))</f>
        <v>2891983</v>
      </c>
      <c r="AC95" t="s">
        <v>274</v>
      </c>
      <c r="AD95" t="s">
        <v>274</v>
      </c>
      <c r="AE95" t="s">
        <v>274</v>
      </c>
      <c r="AF95" t="s">
        <v>274</v>
      </c>
      <c r="AG95" t="s">
        <v>274</v>
      </c>
      <c r="AH95" t="s">
        <v>274</v>
      </c>
      <c r="AI95">
        <f t="shared" si="3"/>
        <v>21127.575</v>
      </c>
      <c r="AJ95">
        <f t="shared" si="4"/>
        <v>39226.075</v>
      </c>
      <c r="AK95">
        <f t="shared" si="5"/>
        <v>28529.9761904762</v>
      </c>
      <c r="AL95">
        <f t="shared" si="6"/>
        <v>0</v>
      </c>
      <c r="AM95">
        <f t="shared" si="7"/>
        <v>0</v>
      </c>
      <c r="AN95">
        <f t="shared" si="8"/>
        <v>253746.373809524</v>
      </c>
      <c r="AO95">
        <f>IF($A95="","",_xlfn.SUMIFS(Compta!$F$1:$F$1448,Compta!$A$1:$A$1448,"GRP",Compta!$B$1:$B$1448,"6236",Compta!$C$1:$C$1448,$A95))</f>
        <v>676344</v>
      </c>
      <c r="AP95" t="s">
        <v>274</v>
      </c>
      <c r="AQ95" t="s">
        <v>274</v>
      </c>
      <c r="AR95">
        <f t="shared" si="9"/>
        <v>0</v>
      </c>
    </row>
    <row r="96" ht="14.25" customHeight="1">
      <c r="A96" t="str">
        <f>IF(Allocation!C96="","",Allocation!C96)</f>
        <v>2026</v>
      </c>
      <c r="B96" t="str">
        <f>IF(Allocation!D96="","",Allocation!D96)</f>
        <v>ISCOM_TLS</v>
      </c>
      <c r="C96" t="str">
        <f>IF(Allocation!E96="","",Allocation!E96)</f>
        <v>ISCOM</v>
      </c>
      <c r="D96" t="str">
        <f>IF(Allocation!F96="","",Allocation!F96)</f>
        <v>MAS_COM</v>
      </c>
      <c r="E96" t="str">
        <f>IF(Allocation!G96="","",Allocation!G96)</f>
        <v>M2</v>
      </c>
      <c r="F96" t="str">
        <f>IF(Allocation!H96="","",Allocation!H96)</f>
        <v>ALT</v>
      </c>
      <c r="G96">
        <f>IF(Allocation!D96="","",Allocation!I96)</f>
        <v>46</v>
      </c>
      <c r="H96">
        <f>IF(Allocation!D96="","",Allocation!J96)</f>
        <v>2</v>
      </c>
      <c r="I96">
        <f>IF(Allocation!D96="","",Allocation!K96)</f>
        <v>331200</v>
      </c>
      <c r="J96">
        <f>IF($A96="","",_xlfn.SUMIFS(Socle!$K$1:$K$448,Socle!$C$1:$C$448,$B96,Socle!$D$1:$D$448,$D96,Socle!$E$1:$E$448,$E96,Socle!$F$1:$F$448,$F96,Socle!$G$1:$G$448,$A96))</f>
        <v>0</v>
      </c>
      <c r="K96">
        <f t="shared" si="0"/>
        <v>840</v>
      </c>
      <c r="L96">
        <f>IF($A96="","",_xlfn.SUMIFS(Allocation!$I$1:$I$175,Allocation!$C$1:$C$175,$A96,Allocation!$D$1:$D$175,$B96))</f>
        <v>231</v>
      </c>
      <c r="M96">
        <f>IF($A96="","",_xlfn.SUMIFS(Allocation!$J$1:$J$175,Allocation!$C$1:$C$175,$A96,Allocation!$D$1:$D$175,$B96))</f>
        <v>10</v>
      </c>
      <c r="N96">
        <f>IF($A96="","",_xlfn.SUMIFS(Allocation!$K$1:$K$175,Allocation!$C$1:$C$175,$A96,Allocation!$D$1:$D$175,$B96))</f>
        <v>1627980</v>
      </c>
      <c r="O96">
        <f t="shared" si="1"/>
        <v>4800</v>
      </c>
      <c r="P96">
        <f t="shared" si="2"/>
        <v>188</v>
      </c>
      <c r="Q96">
        <f>IF($A96="","",_xlfn.SUMIFS(Allocation!$I$1:$I$175,Allocation!$C$1:$C$175,$A96,Allocation!$E$1:$E$175,$C96))</f>
        <v>829</v>
      </c>
      <c r="R96">
        <f>IF($A96="","",_xlfn.SUMIFS(Allocation!$J$1:$J$175,Allocation!$C$1:$C$175,$A96,Allocation!$E$1:$E$175,$C96))</f>
        <v>35</v>
      </c>
      <c r="S96">
        <f>IF($A96="","",_xlfn.SUMIFS(Allocation!$K$1:$K$175,Allocation!$C$1:$C$175,$A96,Allocation!$E$1:$E$175,$C96))</f>
        <v>6292550</v>
      </c>
      <c r="T96">
        <f>IF($A96="","",_xlfn.SUMIFS(Allocation!$I$1:$I$175,Allocation!$C$1:$C$175,$A96))</f>
        <v>3036</v>
      </c>
      <c r="U96">
        <f>IF($A96="","",_xlfn.SUMIFS(Allocation!$J$1:$J$175,Allocation!$C$1:$C$175,$A96))</f>
        <v>131</v>
      </c>
      <c r="V96">
        <f>IF($A96="","",_xlfn.SUMIFS(Allocation!$K$1:$K$175,Allocation!$C$1:$C$175,$A96))</f>
        <v>22544725</v>
      </c>
      <c r="W96">
        <f>IF($A96="","",_xlfn.SUMIFS(Compta!$F$1:$F$1448,Compta!$A$1:$A$1448,$B96,Compta!$B$1:$B$1448,"621",Compta!$C$1:$C$1448,$A96))</f>
        <v>120729</v>
      </c>
      <c r="X96">
        <f>IF($A96="","",_xlfn.SUMIFS(Compta!$F$1:$F$1448,Compta!$A$1:$A$1448,$B96,Compta!$B$1:$B$1448,"6411",Compta!$C$1:$C$1448,$A96))</f>
        <v>224149</v>
      </c>
      <c r="Y96">
        <f>IF($A96="","",_xlfn.SUMIFS(Compta!$F$1:$F$1448,Compta!$A$1:$A$1448,$B96,Compta!$B$1:$B$1448,"604",Compta!$C$1:$C$1448,$A96)+_xlfn.SUMIFS(Compta!$F$1:$F$1448,Compta!$A$1:$A$1448,$B96,Compta!$B$1:$B$1448,"6063",Compta!$C$1:$C$1448,$A96))</f>
        <v>85954</v>
      </c>
      <c r="Z96">
        <f>IF($A96="","",_xlfn.SUMIFS(Compta!$F$1:$F$1448,Compta!$A$1:$A$1448,$B96,Compta!$B$1:$B$1448,"6231",Compta!$C$1:$C$1448,$A96))</f>
        <v>22083</v>
      </c>
      <c r="AA96">
        <f>IF($A96="","",_xlfn.SUMIFS(Compta!$F$1:$F$1448,Compta!$A$1:$A$1448,$B96,Compta!$B$1:$B$1448,"6413",Compta!$C$1:$C$1448,$A96)+_xlfn.SUMIFS(Compta!$F$1:$F$1448,Compta!$A$1:$A$1448,$B96,Compta!$B$1:$B$1448,"645",Compta!$C$1:$C$1448,$A96)+_xlfn.SUMIFS(Compta!$F$1:$F$1448,Compta!$A$1:$A$1448,$B96,Compta!$B$1:$B$1448,"613",Compta!$C$1:$C$1448,$A96)+_xlfn.SUMIFS(Compta!$F$1:$F$1448,Compta!$A$1:$A$1448,$B96,Compta!$B$1:$B$1448,"615",Compta!$C$1:$C$1448,$A96)+_xlfn.SUMIFS(Compta!$F$1:$F$1448,Compta!$A$1:$A$1448,$B96,Compta!$B$1:$B$1448,"616",Compta!$C$1:$C$1448,$A96)+_xlfn.SUMIFS(Compta!$F$1:$F$1448,Compta!$A$1:$A$1448,$B96,Compta!$B$1:$B$1448,"625",Compta!$C$1:$C$1448,$A96)+_xlfn.SUMIFS(Compta!$F$1:$F$1448,Compta!$A$1:$A$1448,$B96,Compta!$B$1:$B$1448,"63511",Compta!$C$1:$C$1448,$A96))</f>
        <v>503990</v>
      </c>
      <c r="AB96">
        <f>IF($A96="","",_xlfn.SUMIFS(Compta!$F$1:$F$1448,Compta!$A$1:$A$1448,"GRP",Compta!$B$1:$B$1448,"6414",Compta!$C$1:$C$1448,$A96)+_xlfn.SUMIFS(Compta!$F$1:$F$1448,Compta!$A$1:$A$1448,"GRP",Compta!$B$1:$B$1448,"6226",Compta!$C$1:$C$1448,$A96)+_xlfn.SUMIFS(Compta!$F$1:$F$1448,Compta!$A$1:$A$1448,"GRP",Compta!$B$1:$B$1448,"626",Compta!$C$1:$C$1448,$A96)+_xlfn.SUMIFS(Compta!$F$1:$F$1448,Compta!$A$1:$A$1448,"GRP",Compta!$B$1:$B$1448,"6281",Compta!$C$1:$C$1448,$A96)+_xlfn.SUMIFS(Compta!$F$1:$F$1448,Compta!$A$1:$A$1448,"GRP",Compta!$B$1:$B$1448,"6331",Compta!$C$1:$C$1448,$A96)+_xlfn.SUMIFS(Compta!$F$1:$F$1448,Compta!$A$1:$A$1448,"GRP",Compta!$B$1:$B$1448,"6333",Compta!$C$1:$C$1448,$A96))</f>
        <v>2891983</v>
      </c>
      <c r="AC96" t="s">
        <v>274</v>
      </c>
      <c r="AD96" t="s">
        <v>274</v>
      </c>
      <c r="AE96" t="s">
        <v>274</v>
      </c>
      <c r="AF96" t="s">
        <v>274</v>
      </c>
      <c r="AG96" t="s">
        <v>274</v>
      </c>
      <c r="AH96" t="s">
        <v>274</v>
      </c>
      <c r="AI96">
        <f t="shared" si="3"/>
        <v>21127.575</v>
      </c>
      <c r="AJ96">
        <f t="shared" si="4"/>
        <v>39226.075</v>
      </c>
      <c r="AK96">
        <f t="shared" si="5"/>
        <v>17116.380952381</v>
      </c>
      <c r="AL96">
        <f t="shared" si="6"/>
        <v>0</v>
      </c>
      <c r="AM96">
        <f t="shared" si="7"/>
        <v>0</v>
      </c>
      <c r="AN96">
        <f t="shared" si="8"/>
        <v>253729.969047619</v>
      </c>
      <c r="AO96">
        <f>IF($A96="","",_xlfn.SUMIFS(Compta!$F$1:$F$1448,Compta!$A$1:$A$1448,"GRP",Compta!$B$1:$B$1448,"6236",Compta!$C$1:$C$1448,$A96))</f>
        <v>676344</v>
      </c>
      <c r="AP96" t="s">
        <v>274</v>
      </c>
      <c r="AQ96" t="s">
        <v>274</v>
      </c>
      <c r="AR96">
        <f t="shared" si="9"/>
        <v>0</v>
      </c>
    </row>
    <row r="97" ht="14.25" customHeight="1">
      <c r="A97" t="str">
        <f>IF(Allocation!C97="","",Allocation!C97)</f>
        <v>2025</v>
      </c>
      <c r="B97" t="str">
        <f>IF(Allocation!D97="","",Allocation!D97)</f>
        <v>ISCOM_TLS</v>
      </c>
      <c r="C97" t="str">
        <f>IF(Allocation!E97="","",Allocation!E97)</f>
        <v>ISCOM</v>
      </c>
      <c r="D97" t="str">
        <f>IF(Allocation!F97="","",Allocation!F97)</f>
        <v>BAC_COM</v>
      </c>
      <c r="E97" t="str">
        <f>IF(Allocation!G97="","",Allocation!G97)</f>
        <v>B1</v>
      </c>
      <c r="F97" t="str">
        <f>IF(Allocation!H97="","",Allocation!H97)</f>
        <v>INIT</v>
      </c>
      <c r="G97">
        <f>IF(Allocation!D97="","",Allocation!I97)</f>
        <v>44</v>
      </c>
      <c r="H97">
        <f>IF(Allocation!D97="","",Allocation!J97)</f>
        <v>2</v>
      </c>
      <c r="I97">
        <f>IF(Allocation!D97="","",Allocation!K97)</f>
        <v>320760</v>
      </c>
      <c r="J97">
        <f>IF($A97="","",_xlfn.SUMIFS(Socle!$K$1:$K$448,Socle!$C$1:$C$448,$B97,Socle!$D$1:$D$448,$D97,Socle!$E$1:$E$448,$E97,Socle!$F$1:$F$448,$F97,Socle!$G$1:$G$448,$A97))</f>
        <v>88</v>
      </c>
      <c r="K97">
        <f t="shared" si="0"/>
        <v>1200</v>
      </c>
      <c r="L97">
        <f>IF($A97="","",_xlfn.SUMIFS(Allocation!$I$1:$I$175,Allocation!$C$1:$C$175,$A97,Allocation!$D$1:$D$175,$B97))</f>
        <v>216</v>
      </c>
      <c r="M97">
        <f>IF($A97="","",_xlfn.SUMIFS(Allocation!$J$1:$J$175,Allocation!$C$1:$C$175,$A97,Allocation!$D$1:$D$175,$B97))</f>
        <v>10</v>
      </c>
      <c r="N97">
        <f>IF($A97="","",_xlfn.SUMIFS(Allocation!$K$1:$K$175,Allocation!$C$1:$C$175,$A97,Allocation!$D$1:$D$175,$B97))</f>
        <v>1522320</v>
      </c>
      <c r="O97">
        <f t="shared" si="1"/>
        <v>4800</v>
      </c>
      <c r="P97">
        <f t="shared" si="2"/>
        <v>176</v>
      </c>
      <c r="Q97">
        <f>IF($A97="","",_xlfn.SUMIFS(Allocation!$I$1:$I$175,Allocation!$C$1:$C$175,$A97,Allocation!$E$1:$E$175,$C97))</f>
        <v>779</v>
      </c>
      <c r="R97">
        <f>IF($A97="","",_xlfn.SUMIFS(Allocation!$J$1:$J$175,Allocation!$C$1:$C$175,$A97,Allocation!$E$1:$E$175,$C97))</f>
        <v>35</v>
      </c>
      <c r="S97">
        <f>IF($A97="","",_xlfn.SUMIFS(Allocation!$K$1:$K$175,Allocation!$C$1:$C$175,$A97,Allocation!$E$1:$E$175,$C97))</f>
        <v>5914800</v>
      </c>
      <c r="T97">
        <f>IF($A97="","",_xlfn.SUMIFS(Allocation!$I$1:$I$175,Allocation!$C$1:$C$175,$A97))</f>
        <v>2860</v>
      </c>
      <c r="U97">
        <f>IF($A97="","",_xlfn.SUMIFS(Allocation!$J$1:$J$175,Allocation!$C$1:$C$175,$A97))</f>
        <v>131</v>
      </c>
      <c r="V97">
        <f>IF($A97="","",_xlfn.SUMIFS(Allocation!$K$1:$K$175,Allocation!$C$1:$C$175,$A97))</f>
        <v>21240140</v>
      </c>
      <c r="W97">
        <f>IF($A97="","",_xlfn.SUMIFS(Compta!$F$1:$F$1448,Compta!$A$1:$A$1448,$B97,Compta!$B$1:$B$1448,"621",Compta!$C$1:$C$1448,$A97))</f>
        <v>115229</v>
      </c>
      <c r="X97">
        <f>IF($A97="","",_xlfn.SUMIFS(Compta!$F$1:$F$1448,Compta!$A$1:$A$1448,$B97,Compta!$B$1:$B$1448,"6411",Compta!$C$1:$C$1448,$A97))</f>
        <v>213937</v>
      </c>
      <c r="Y97">
        <f>IF($A97="","",_xlfn.SUMIFS(Compta!$F$1:$F$1448,Compta!$A$1:$A$1448,$B97,Compta!$B$1:$B$1448,"604",Compta!$C$1:$C$1448,$A97)+_xlfn.SUMIFS(Compta!$F$1:$F$1448,Compta!$A$1:$A$1448,$B97,Compta!$B$1:$B$1448,"6063",Compta!$C$1:$C$1448,$A97))</f>
        <v>82038</v>
      </c>
      <c r="Z97">
        <f>IF($A97="","",_xlfn.SUMIFS(Compta!$F$1:$F$1448,Compta!$A$1:$A$1448,$B97,Compta!$B$1:$B$1448,"6231",Compta!$C$1:$C$1448,$A97))</f>
        <v>20076</v>
      </c>
      <c r="AA97">
        <f>IF($A97="","",_xlfn.SUMIFS(Compta!$F$1:$F$1448,Compta!$A$1:$A$1448,$B97,Compta!$B$1:$B$1448,"6413",Compta!$C$1:$C$1448,$A97)+_xlfn.SUMIFS(Compta!$F$1:$F$1448,Compta!$A$1:$A$1448,$B97,Compta!$B$1:$B$1448,"645",Compta!$C$1:$C$1448,$A97)+_xlfn.SUMIFS(Compta!$F$1:$F$1448,Compta!$A$1:$A$1448,$B97,Compta!$B$1:$B$1448,"613",Compta!$C$1:$C$1448,$A97)+_xlfn.SUMIFS(Compta!$F$1:$F$1448,Compta!$A$1:$A$1448,$B97,Compta!$B$1:$B$1448,"615",Compta!$C$1:$C$1448,$A97)+_xlfn.SUMIFS(Compta!$F$1:$F$1448,Compta!$A$1:$A$1448,$B97,Compta!$B$1:$B$1448,"616",Compta!$C$1:$C$1448,$A97)+_xlfn.SUMIFS(Compta!$F$1:$F$1448,Compta!$A$1:$A$1448,$B97,Compta!$B$1:$B$1448,"625",Compta!$C$1:$C$1448,$A97)+_xlfn.SUMIFS(Compta!$F$1:$F$1448,Compta!$A$1:$A$1448,$B97,Compta!$B$1:$B$1448,"63511",Compta!$C$1:$C$1448,$A97))</f>
        <v>481029</v>
      </c>
      <c r="AB97">
        <f>IF($A97="","",_xlfn.SUMIFS(Compta!$F$1:$F$1448,Compta!$A$1:$A$1448,"GRP",Compta!$B$1:$B$1448,"6414",Compta!$C$1:$C$1448,$A97)+_xlfn.SUMIFS(Compta!$F$1:$F$1448,Compta!$A$1:$A$1448,"GRP",Compta!$B$1:$B$1448,"6226",Compta!$C$1:$C$1448,$A97)+_xlfn.SUMIFS(Compta!$F$1:$F$1448,Compta!$A$1:$A$1448,"GRP",Compta!$B$1:$B$1448,"626",Compta!$C$1:$C$1448,$A97)+_xlfn.SUMIFS(Compta!$F$1:$F$1448,Compta!$A$1:$A$1448,"GRP",Compta!$B$1:$B$1448,"6281",Compta!$C$1:$C$1448,$A97)+_xlfn.SUMIFS(Compta!$F$1:$F$1448,Compta!$A$1:$A$1448,"GRP",Compta!$B$1:$B$1448,"6331",Compta!$C$1:$C$1448,$A97)+_xlfn.SUMIFS(Compta!$F$1:$F$1448,Compta!$A$1:$A$1448,"GRP",Compta!$B$1:$B$1448,"6333",Compta!$C$1:$C$1448,$A97))</f>
        <v>2760232</v>
      </c>
      <c r="AC97" t="s">
        <v>274</v>
      </c>
      <c r="AD97" t="s">
        <v>274</v>
      </c>
      <c r="AE97" t="s">
        <v>274</v>
      </c>
      <c r="AF97" t="s">
        <v>274</v>
      </c>
      <c r="AG97" t="s">
        <v>274</v>
      </c>
      <c r="AH97" t="s">
        <v>274</v>
      </c>
      <c r="AI97">
        <f t="shared" si="3"/>
        <v>28807.25</v>
      </c>
      <c r="AJ97">
        <f t="shared" si="4"/>
        <v>53484.25</v>
      </c>
      <c r="AK97">
        <f t="shared" si="5"/>
        <v>26749.4444444444</v>
      </c>
      <c r="AL97">
        <f t="shared" si="6"/>
        <v>0</v>
      </c>
      <c r="AM97">
        <f t="shared" si="7"/>
        <v>0</v>
      </c>
      <c r="AN97">
        <f t="shared" si="8"/>
        <v>211719.055555556</v>
      </c>
      <c r="AO97">
        <f>IF($A97="","",_xlfn.SUMIFS(Compta!$F$1:$F$1448,Compta!$A$1:$A$1448,"GRP",Compta!$B$1:$B$1448,"6236",Compta!$C$1:$C$1448,$A97))</f>
        <v>580167</v>
      </c>
      <c r="AP97" t="s">
        <v>274</v>
      </c>
      <c r="AQ97" t="s">
        <v>274</v>
      </c>
      <c r="AR97">
        <f t="shared" si="9"/>
        <v>0</v>
      </c>
    </row>
    <row r="98" ht="14.25" customHeight="1">
      <c r="A98" t="str">
        <f>IF(Allocation!C98="","",Allocation!C98)</f>
        <v>2025</v>
      </c>
      <c r="B98" t="str">
        <f>IF(Allocation!D98="","",Allocation!D98)</f>
        <v>ISCOM_TLS</v>
      </c>
      <c r="C98" t="str">
        <f>IF(Allocation!E98="","",Allocation!E98)</f>
        <v>ISCOM</v>
      </c>
      <c r="D98" t="str">
        <f>IF(Allocation!F98="","",Allocation!F98)</f>
        <v>BAC_COM</v>
      </c>
      <c r="E98" t="str">
        <f>IF(Allocation!G98="","",Allocation!G98)</f>
        <v>B2</v>
      </c>
      <c r="F98" t="str">
        <f>IF(Allocation!H98="","",Allocation!H98)</f>
        <v>ALT</v>
      </c>
      <c r="G98">
        <f>IF(Allocation!D98="","",Allocation!I98)</f>
        <v>43</v>
      </c>
      <c r="H98">
        <f>IF(Allocation!D98="","",Allocation!J98)</f>
        <v>2</v>
      </c>
      <c r="I98">
        <f>IF(Allocation!D98="","",Allocation!K98)</f>
        <v>288960</v>
      </c>
      <c r="J98">
        <f>IF($A98="","",_xlfn.SUMIFS(Socle!$K$1:$K$448,Socle!$C$1:$C$448,$B98,Socle!$D$1:$D$448,$D98,Socle!$E$1:$E$448,$E98,Socle!$F$1:$F$448,$F98,Socle!$G$1:$G$448,$A98))</f>
        <v>0</v>
      </c>
      <c r="K98">
        <f t="shared" si="0"/>
        <v>960</v>
      </c>
      <c r="L98">
        <f>IF($A98="","",_xlfn.SUMIFS(Allocation!$I$1:$I$175,Allocation!$C$1:$C$175,$A98,Allocation!$D$1:$D$175,$B98))</f>
        <v>216</v>
      </c>
      <c r="M98">
        <f>IF($A98="","",_xlfn.SUMIFS(Allocation!$J$1:$J$175,Allocation!$C$1:$C$175,$A98,Allocation!$D$1:$D$175,$B98))</f>
        <v>10</v>
      </c>
      <c r="N98">
        <f>IF($A98="","",_xlfn.SUMIFS(Allocation!$K$1:$K$175,Allocation!$C$1:$C$175,$A98,Allocation!$D$1:$D$175,$B98))</f>
        <v>1522320</v>
      </c>
      <c r="O98">
        <f t="shared" si="1"/>
        <v>4800</v>
      </c>
      <c r="P98">
        <f t="shared" si="2"/>
        <v>176</v>
      </c>
      <c r="Q98">
        <f>IF($A98="","",_xlfn.SUMIFS(Allocation!$I$1:$I$175,Allocation!$C$1:$C$175,$A98,Allocation!$E$1:$E$175,$C98))</f>
        <v>779</v>
      </c>
      <c r="R98">
        <f>IF($A98="","",_xlfn.SUMIFS(Allocation!$J$1:$J$175,Allocation!$C$1:$C$175,$A98,Allocation!$E$1:$E$175,$C98))</f>
        <v>35</v>
      </c>
      <c r="S98">
        <f>IF($A98="","",_xlfn.SUMIFS(Allocation!$K$1:$K$175,Allocation!$C$1:$C$175,$A98,Allocation!$E$1:$E$175,$C98))</f>
        <v>5914800</v>
      </c>
      <c r="T98">
        <f>IF($A98="","",_xlfn.SUMIFS(Allocation!$I$1:$I$175,Allocation!$C$1:$C$175,$A98))</f>
        <v>2860</v>
      </c>
      <c r="U98">
        <f>IF($A98="","",_xlfn.SUMIFS(Allocation!$J$1:$J$175,Allocation!$C$1:$C$175,$A98))</f>
        <v>131</v>
      </c>
      <c r="V98">
        <f>IF($A98="","",_xlfn.SUMIFS(Allocation!$K$1:$K$175,Allocation!$C$1:$C$175,$A98))</f>
        <v>21240140</v>
      </c>
      <c r="W98">
        <f>IF($A98="","",_xlfn.SUMIFS(Compta!$F$1:$F$1448,Compta!$A$1:$A$1448,$B98,Compta!$B$1:$B$1448,"621",Compta!$C$1:$C$1448,$A98))</f>
        <v>115229</v>
      </c>
      <c r="X98">
        <f>IF($A98="","",_xlfn.SUMIFS(Compta!$F$1:$F$1448,Compta!$A$1:$A$1448,$B98,Compta!$B$1:$B$1448,"6411",Compta!$C$1:$C$1448,$A98))</f>
        <v>213937</v>
      </c>
      <c r="Y98">
        <f>IF($A98="","",_xlfn.SUMIFS(Compta!$F$1:$F$1448,Compta!$A$1:$A$1448,$B98,Compta!$B$1:$B$1448,"604",Compta!$C$1:$C$1448,$A98)+_xlfn.SUMIFS(Compta!$F$1:$F$1448,Compta!$A$1:$A$1448,$B98,Compta!$B$1:$B$1448,"6063",Compta!$C$1:$C$1448,$A98))</f>
        <v>82038</v>
      </c>
      <c r="Z98">
        <f>IF($A98="","",_xlfn.SUMIFS(Compta!$F$1:$F$1448,Compta!$A$1:$A$1448,$B98,Compta!$B$1:$B$1448,"6231",Compta!$C$1:$C$1448,$A98))</f>
        <v>20076</v>
      </c>
      <c r="AA98">
        <f>IF($A98="","",_xlfn.SUMIFS(Compta!$F$1:$F$1448,Compta!$A$1:$A$1448,$B98,Compta!$B$1:$B$1448,"6413",Compta!$C$1:$C$1448,$A98)+_xlfn.SUMIFS(Compta!$F$1:$F$1448,Compta!$A$1:$A$1448,$B98,Compta!$B$1:$B$1448,"645",Compta!$C$1:$C$1448,$A98)+_xlfn.SUMIFS(Compta!$F$1:$F$1448,Compta!$A$1:$A$1448,$B98,Compta!$B$1:$B$1448,"613",Compta!$C$1:$C$1448,$A98)+_xlfn.SUMIFS(Compta!$F$1:$F$1448,Compta!$A$1:$A$1448,$B98,Compta!$B$1:$B$1448,"615",Compta!$C$1:$C$1448,$A98)+_xlfn.SUMIFS(Compta!$F$1:$F$1448,Compta!$A$1:$A$1448,$B98,Compta!$B$1:$B$1448,"616",Compta!$C$1:$C$1448,$A98)+_xlfn.SUMIFS(Compta!$F$1:$F$1448,Compta!$A$1:$A$1448,$B98,Compta!$B$1:$B$1448,"625",Compta!$C$1:$C$1448,$A98)+_xlfn.SUMIFS(Compta!$F$1:$F$1448,Compta!$A$1:$A$1448,$B98,Compta!$B$1:$B$1448,"63511",Compta!$C$1:$C$1448,$A98))</f>
        <v>481029</v>
      </c>
      <c r="AB98">
        <f>IF($A98="","",_xlfn.SUMIFS(Compta!$F$1:$F$1448,Compta!$A$1:$A$1448,"GRP",Compta!$B$1:$B$1448,"6414",Compta!$C$1:$C$1448,$A98)+_xlfn.SUMIFS(Compta!$F$1:$F$1448,Compta!$A$1:$A$1448,"GRP",Compta!$B$1:$B$1448,"6226",Compta!$C$1:$C$1448,$A98)+_xlfn.SUMIFS(Compta!$F$1:$F$1448,Compta!$A$1:$A$1448,"GRP",Compta!$B$1:$B$1448,"626",Compta!$C$1:$C$1448,$A98)+_xlfn.SUMIFS(Compta!$F$1:$F$1448,Compta!$A$1:$A$1448,"GRP",Compta!$B$1:$B$1448,"6281",Compta!$C$1:$C$1448,$A98)+_xlfn.SUMIFS(Compta!$F$1:$F$1448,Compta!$A$1:$A$1448,"GRP",Compta!$B$1:$B$1448,"6331",Compta!$C$1:$C$1448,$A98)+_xlfn.SUMIFS(Compta!$F$1:$F$1448,Compta!$A$1:$A$1448,"GRP",Compta!$B$1:$B$1448,"6333",Compta!$C$1:$C$1448,$A98))</f>
        <v>2760232</v>
      </c>
      <c r="AC98" t="s">
        <v>274</v>
      </c>
      <c r="AD98" t="s">
        <v>274</v>
      </c>
      <c r="AE98" t="s">
        <v>274</v>
      </c>
      <c r="AF98" t="s">
        <v>274</v>
      </c>
      <c r="AG98" t="s">
        <v>274</v>
      </c>
      <c r="AH98" t="s">
        <v>274</v>
      </c>
      <c r="AI98">
        <f t="shared" si="3"/>
        <v>23045.8</v>
      </c>
      <c r="AJ98">
        <f t="shared" si="4"/>
        <v>42787.4</v>
      </c>
      <c r="AK98">
        <f t="shared" si="5"/>
        <v>16331.6388888889</v>
      </c>
      <c r="AL98">
        <f t="shared" si="6"/>
        <v>0</v>
      </c>
      <c r="AM98">
        <f t="shared" si="7"/>
        <v>0</v>
      </c>
      <c r="AN98">
        <f t="shared" si="8"/>
        <v>206795.161111111</v>
      </c>
      <c r="AO98">
        <f>IF($A98="","",_xlfn.SUMIFS(Compta!$F$1:$F$1448,Compta!$A$1:$A$1448,"GRP",Compta!$B$1:$B$1448,"6236",Compta!$C$1:$C$1448,$A98))</f>
        <v>580167</v>
      </c>
      <c r="AP98" t="s">
        <v>274</v>
      </c>
      <c r="AQ98" t="s">
        <v>274</v>
      </c>
      <c r="AR98">
        <f t="shared" si="9"/>
        <v>0</v>
      </c>
    </row>
    <row r="99" ht="14.25" customHeight="1">
      <c r="A99" t="str">
        <f>IF(Allocation!C99="","",Allocation!C99)</f>
        <v>2025</v>
      </c>
      <c r="B99" t="str">
        <f>IF(Allocation!D99="","",Allocation!D99)</f>
        <v>ISCOM_TLS</v>
      </c>
      <c r="C99" t="str">
        <f>IF(Allocation!E99="","",Allocation!E99)</f>
        <v>ISCOM</v>
      </c>
      <c r="D99" t="str">
        <f>IF(Allocation!F99="","",Allocation!F99)</f>
        <v>BAC_COM</v>
      </c>
      <c r="E99" t="str">
        <f>IF(Allocation!G99="","",Allocation!G99)</f>
        <v>B3</v>
      </c>
      <c r="F99" t="str">
        <f>IF(Allocation!H99="","",Allocation!H99)</f>
        <v>ALT</v>
      </c>
      <c r="G99">
        <f>IF(Allocation!D99="","",Allocation!I99)</f>
        <v>42</v>
      </c>
      <c r="H99">
        <f>IF(Allocation!D99="","",Allocation!J99)</f>
        <v>2</v>
      </c>
      <c r="I99">
        <f>IF(Allocation!D99="","",Allocation!K99)</f>
        <v>282240</v>
      </c>
      <c r="J99">
        <f>IF($A99="","",_xlfn.SUMIFS(Socle!$K$1:$K$448,Socle!$C$1:$C$448,$B99,Socle!$D$1:$D$448,$D99,Socle!$E$1:$E$448,$E99,Socle!$F$1:$F$448,$F99,Socle!$G$1:$G$448,$A99))</f>
        <v>0</v>
      </c>
      <c r="K99">
        <f t="shared" si="0"/>
        <v>960</v>
      </c>
      <c r="L99">
        <f>IF($A99="","",_xlfn.SUMIFS(Allocation!$I$1:$I$175,Allocation!$C$1:$C$175,$A99,Allocation!$D$1:$D$175,$B99))</f>
        <v>216</v>
      </c>
      <c r="M99">
        <f>IF($A99="","",_xlfn.SUMIFS(Allocation!$J$1:$J$175,Allocation!$C$1:$C$175,$A99,Allocation!$D$1:$D$175,$B99))</f>
        <v>10</v>
      </c>
      <c r="N99">
        <f>IF($A99="","",_xlfn.SUMIFS(Allocation!$K$1:$K$175,Allocation!$C$1:$C$175,$A99,Allocation!$D$1:$D$175,$B99))</f>
        <v>1522320</v>
      </c>
      <c r="O99">
        <f t="shared" si="1"/>
        <v>4800</v>
      </c>
      <c r="P99">
        <f t="shared" si="2"/>
        <v>176</v>
      </c>
      <c r="Q99">
        <f>IF($A99="","",_xlfn.SUMIFS(Allocation!$I$1:$I$175,Allocation!$C$1:$C$175,$A99,Allocation!$E$1:$E$175,$C99))</f>
        <v>779</v>
      </c>
      <c r="R99">
        <f>IF($A99="","",_xlfn.SUMIFS(Allocation!$J$1:$J$175,Allocation!$C$1:$C$175,$A99,Allocation!$E$1:$E$175,$C99))</f>
        <v>35</v>
      </c>
      <c r="S99">
        <f>IF($A99="","",_xlfn.SUMIFS(Allocation!$K$1:$K$175,Allocation!$C$1:$C$175,$A99,Allocation!$E$1:$E$175,$C99))</f>
        <v>5914800</v>
      </c>
      <c r="T99">
        <f>IF($A99="","",_xlfn.SUMIFS(Allocation!$I$1:$I$175,Allocation!$C$1:$C$175,$A99))</f>
        <v>2860</v>
      </c>
      <c r="U99">
        <f>IF($A99="","",_xlfn.SUMIFS(Allocation!$J$1:$J$175,Allocation!$C$1:$C$175,$A99))</f>
        <v>131</v>
      </c>
      <c r="V99">
        <f>IF($A99="","",_xlfn.SUMIFS(Allocation!$K$1:$K$175,Allocation!$C$1:$C$175,$A99))</f>
        <v>21240140</v>
      </c>
      <c r="W99">
        <f>IF($A99="","",_xlfn.SUMIFS(Compta!$F$1:$F$1448,Compta!$A$1:$A$1448,$B99,Compta!$B$1:$B$1448,"621",Compta!$C$1:$C$1448,$A99))</f>
        <v>115229</v>
      </c>
      <c r="X99">
        <f>IF($A99="","",_xlfn.SUMIFS(Compta!$F$1:$F$1448,Compta!$A$1:$A$1448,$B99,Compta!$B$1:$B$1448,"6411",Compta!$C$1:$C$1448,$A99))</f>
        <v>213937</v>
      </c>
      <c r="Y99">
        <f>IF($A99="","",_xlfn.SUMIFS(Compta!$F$1:$F$1448,Compta!$A$1:$A$1448,$B99,Compta!$B$1:$B$1448,"604",Compta!$C$1:$C$1448,$A99)+_xlfn.SUMIFS(Compta!$F$1:$F$1448,Compta!$A$1:$A$1448,$B99,Compta!$B$1:$B$1448,"6063",Compta!$C$1:$C$1448,$A99))</f>
        <v>82038</v>
      </c>
      <c r="Z99">
        <f>IF($A99="","",_xlfn.SUMIFS(Compta!$F$1:$F$1448,Compta!$A$1:$A$1448,$B99,Compta!$B$1:$B$1448,"6231",Compta!$C$1:$C$1448,$A99))</f>
        <v>20076</v>
      </c>
      <c r="AA99">
        <f>IF($A99="","",_xlfn.SUMIFS(Compta!$F$1:$F$1448,Compta!$A$1:$A$1448,$B99,Compta!$B$1:$B$1448,"6413",Compta!$C$1:$C$1448,$A99)+_xlfn.SUMIFS(Compta!$F$1:$F$1448,Compta!$A$1:$A$1448,$B99,Compta!$B$1:$B$1448,"645",Compta!$C$1:$C$1448,$A99)+_xlfn.SUMIFS(Compta!$F$1:$F$1448,Compta!$A$1:$A$1448,$B99,Compta!$B$1:$B$1448,"613",Compta!$C$1:$C$1448,$A99)+_xlfn.SUMIFS(Compta!$F$1:$F$1448,Compta!$A$1:$A$1448,$B99,Compta!$B$1:$B$1448,"615",Compta!$C$1:$C$1448,$A99)+_xlfn.SUMIFS(Compta!$F$1:$F$1448,Compta!$A$1:$A$1448,$B99,Compta!$B$1:$B$1448,"616",Compta!$C$1:$C$1448,$A99)+_xlfn.SUMIFS(Compta!$F$1:$F$1448,Compta!$A$1:$A$1448,$B99,Compta!$B$1:$B$1448,"625",Compta!$C$1:$C$1448,$A99)+_xlfn.SUMIFS(Compta!$F$1:$F$1448,Compta!$A$1:$A$1448,$B99,Compta!$B$1:$B$1448,"63511",Compta!$C$1:$C$1448,$A99))</f>
        <v>481029</v>
      </c>
      <c r="AB99">
        <f>IF($A99="","",_xlfn.SUMIFS(Compta!$F$1:$F$1448,Compta!$A$1:$A$1448,"GRP",Compta!$B$1:$B$1448,"6414",Compta!$C$1:$C$1448,$A99)+_xlfn.SUMIFS(Compta!$F$1:$F$1448,Compta!$A$1:$A$1448,"GRP",Compta!$B$1:$B$1448,"6226",Compta!$C$1:$C$1448,$A99)+_xlfn.SUMIFS(Compta!$F$1:$F$1448,Compta!$A$1:$A$1448,"GRP",Compta!$B$1:$B$1448,"626",Compta!$C$1:$C$1448,$A99)+_xlfn.SUMIFS(Compta!$F$1:$F$1448,Compta!$A$1:$A$1448,"GRP",Compta!$B$1:$B$1448,"6281",Compta!$C$1:$C$1448,$A99)+_xlfn.SUMIFS(Compta!$F$1:$F$1448,Compta!$A$1:$A$1448,"GRP",Compta!$B$1:$B$1448,"6331",Compta!$C$1:$C$1448,$A99)+_xlfn.SUMIFS(Compta!$F$1:$F$1448,Compta!$A$1:$A$1448,"GRP",Compta!$B$1:$B$1448,"6333",Compta!$C$1:$C$1448,$A99))</f>
        <v>2760232</v>
      </c>
      <c r="AC99" t="s">
        <v>274</v>
      </c>
      <c r="AD99" t="s">
        <v>274</v>
      </c>
      <c r="AE99" t="s">
        <v>274</v>
      </c>
      <c r="AF99" t="s">
        <v>274</v>
      </c>
      <c r="AG99" t="s">
        <v>274</v>
      </c>
      <c r="AH99" t="s">
        <v>274</v>
      </c>
      <c r="AI99">
        <f t="shared" si="3"/>
        <v>23045.8</v>
      </c>
      <c r="AJ99">
        <f t="shared" si="4"/>
        <v>42787.4</v>
      </c>
      <c r="AK99">
        <f t="shared" si="5"/>
        <v>15951.8333333333</v>
      </c>
      <c r="AL99">
        <f t="shared" si="6"/>
        <v>0</v>
      </c>
      <c r="AM99">
        <f t="shared" si="7"/>
        <v>0</v>
      </c>
      <c r="AN99">
        <f t="shared" si="8"/>
        <v>200454.966666667</v>
      </c>
      <c r="AO99">
        <f>IF($A99="","",_xlfn.SUMIFS(Compta!$F$1:$F$1448,Compta!$A$1:$A$1448,"GRP",Compta!$B$1:$B$1448,"6236",Compta!$C$1:$C$1448,$A99))</f>
        <v>580167</v>
      </c>
      <c r="AP99" t="s">
        <v>274</v>
      </c>
      <c r="AQ99" t="s">
        <v>274</v>
      </c>
      <c r="AR99">
        <f t="shared" si="9"/>
        <v>0</v>
      </c>
    </row>
    <row r="100" ht="14.25" customHeight="1">
      <c r="A100" t="str">
        <f>IF(Allocation!C100="","",Allocation!C100)</f>
        <v>2025</v>
      </c>
      <c r="B100" t="str">
        <f>IF(Allocation!D100="","",Allocation!D100)</f>
        <v>ISCOM_TLS</v>
      </c>
      <c r="C100" t="str">
        <f>IF(Allocation!E100="","",Allocation!E100)</f>
        <v>ISCOM</v>
      </c>
      <c r="D100" t="str">
        <f>IF(Allocation!F100="","",Allocation!F100)</f>
        <v>MAS_COM</v>
      </c>
      <c r="E100" t="str">
        <f>IF(Allocation!G100="","",Allocation!G100)</f>
        <v>M1</v>
      </c>
      <c r="F100" t="str">
        <f>IF(Allocation!H100="","",Allocation!H100)</f>
        <v>ALT</v>
      </c>
      <c r="G100">
        <f>IF(Allocation!D100="","",Allocation!I100)</f>
        <v>44</v>
      </c>
      <c r="H100">
        <f>IF(Allocation!D100="","",Allocation!J100)</f>
        <v>2</v>
      </c>
      <c r="I100">
        <f>IF(Allocation!D100="","",Allocation!K100)</f>
        <v>320760</v>
      </c>
      <c r="J100">
        <f>IF($A100="","",_xlfn.SUMIFS(Socle!$K$1:$K$448,Socle!$C$1:$C$448,$B100,Socle!$D$1:$D$448,$D100,Socle!$E$1:$E$448,$E100,Socle!$F$1:$F$448,$F100,Socle!$G$1:$G$448,$A100))</f>
        <v>88</v>
      </c>
      <c r="K100">
        <f t="shared" si="0"/>
        <v>840</v>
      </c>
      <c r="L100">
        <f>IF($A100="","",_xlfn.SUMIFS(Allocation!$I$1:$I$175,Allocation!$C$1:$C$175,$A100,Allocation!$D$1:$D$175,$B100))</f>
        <v>216</v>
      </c>
      <c r="M100">
        <f>IF($A100="","",_xlfn.SUMIFS(Allocation!$J$1:$J$175,Allocation!$C$1:$C$175,$A100,Allocation!$D$1:$D$175,$B100))</f>
        <v>10</v>
      </c>
      <c r="N100">
        <f>IF($A100="","",_xlfn.SUMIFS(Allocation!$K$1:$K$175,Allocation!$C$1:$C$175,$A100,Allocation!$D$1:$D$175,$B100))</f>
        <v>1522320</v>
      </c>
      <c r="O100">
        <f t="shared" si="1"/>
        <v>4800</v>
      </c>
      <c r="P100">
        <f t="shared" si="2"/>
        <v>176</v>
      </c>
      <c r="Q100">
        <f>IF($A100="","",_xlfn.SUMIFS(Allocation!$I$1:$I$175,Allocation!$C$1:$C$175,$A100,Allocation!$E$1:$E$175,$C100))</f>
        <v>779</v>
      </c>
      <c r="R100">
        <f>IF($A100="","",_xlfn.SUMIFS(Allocation!$J$1:$J$175,Allocation!$C$1:$C$175,$A100,Allocation!$E$1:$E$175,$C100))</f>
        <v>35</v>
      </c>
      <c r="S100">
        <f>IF($A100="","",_xlfn.SUMIFS(Allocation!$K$1:$K$175,Allocation!$C$1:$C$175,$A100,Allocation!$E$1:$E$175,$C100))</f>
        <v>5914800</v>
      </c>
      <c r="T100">
        <f>IF($A100="","",_xlfn.SUMIFS(Allocation!$I$1:$I$175,Allocation!$C$1:$C$175,$A100))</f>
        <v>2860</v>
      </c>
      <c r="U100">
        <f>IF($A100="","",_xlfn.SUMIFS(Allocation!$J$1:$J$175,Allocation!$C$1:$C$175,$A100))</f>
        <v>131</v>
      </c>
      <c r="V100">
        <f>IF($A100="","",_xlfn.SUMIFS(Allocation!$K$1:$K$175,Allocation!$C$1:$C$175,$A100))</f>
        <v>21240140</v>
      </c>
      <c r="W100">
        <f>IF($A100="","",_xlfn.SUMIFS(Compta!$F$1:$F$1448,Compta!$A$1:$A$1448,$B100,Compta!$B$1:$B$1448,"621",Compta!$C$1:$C$1448,$A100))</f>
        <v>115229</v>
      </c>
      <c r="X100">
        <f>IF($A100="","",_xlfn.SUMIFS(Compta!$F$1:$F$1448,Compta!$A$1:$A$1448,$B100,Compta!$B$1:$B$1448,"6411",Compta!$C$1:$C$1448,$A100))</f>
        <v>213937</v>
      </c>
      <c r="Y100">
        <f>IF($A100="","",_xlfn.SUMIFS(Compta!$F$1:$F$1448,Compta!$A$1:$A$1448,$B100,Compta!$B$1:$B$1448,"604",Compta!$C$1:$C$1448,$A100)+_xlfn.SUMIFS(Compta!$F$1:$F$1448,Compta!$A$1:$A$1448,$B100,Compta!$B$1:$B$1448,"6063",Compta!$C$1:$C$1448,$A100))</f>
        <v>82038</v>
      </c>
      <c r="Z100">
        <f>IF($A100="","",_xlfn.SUMIFS(Compta!$F$1:$F$1448,Compta!$A$1:$A$1448,$B100,Compta!$B$1:$B$1448,"6231",Compta!$C$1:$C$1448,$A100))</f>
        <v>20076</v>
      </c>
      <c r="AA100">
        <f>IF($A100="","",_xlfn.SUMIFS(Compta!$F$1:$F$1448,Compta!$A$1:$A$1448,$B100,Compta!$B$1:$B$1448,"6413",Compta!$C$1:$C$1448,$A100)+_xlfn.SUMIFS(Compta!$F$1:$F$1448,Compta!$A$1:$A$1448,$B100,Compta!$B$1:$B$1448,"645",Compta!$C$1:$C$1448,$A100)+_xlfn.SUMIFS(Compta!$F$1:$F$1448,Compta!$A$1:$A$1448,$B100,Compta!$B$1:$B$1448,"613",Compta!$C$1:$C$1448,$A100)+_xlfn.SUMIFS(Compta!$F$1:$F$1448,Compta!$A$1:$A$1448,$B100,Compta!$B$1:$B$1448,"615",Compta!$C$1:$C$1448,$A100)+_xlfn.SUMIFS(Compta!$F$1:$F$1448,Compta!$A$1:$A$1448,$B100,Compta!$B$1:$B$1448,"616",Compta!$C$1:$C$1448,$A100)+_xlfn.SUMIFS(Compta!$F$1:$F$1448,Compta!$A$1:$A$1448,$B100,Compta!$B$1:$B$1448,"625",Compta!$C$1:$C$1448,$A100)+_xlfn.SUMIFS(Compta!$F$1:$F$1448,Compta!$A$1:$A$1448,$B100,Compta!$B$1:$B$1448,"63511",Compta!$C$1:$C$1448,$A100))</f>
        <v>481029</v>
      </c>
      <c r="AB100">
        <f>IF($A100="","",_xlfn.SUMIFS(Compta!$F$1:$F$1448,Compta!$A$1:$A$1448,"GRP",Compta!$B$1:$B$1448,"6414",Compta!$C$1:$C$1448,$A100)+_xlfn.SUMIFS(Compta!$F$1:$F$1448,Compta!$A$1:$A$1448,"GRP",Compta!$B$1:$B$1448,"6226",Compta!$C$1:$C$1448,$A100)+_xlfn.SUMIFS(Compta!$F$1:$F$1448,Compta!$A$1:$A$1448,"GRP",Compta!$B$1:$B$1448,"626",Compta!$C$1:$C$1448,$A100)+_xlfn.SUMIFS(Compta!$F$1:$F$1448,Compta!$A$1:$A$1448,"GRP",Compta!$B$1:$B$1448,"6281",Compta!$C$1:$C$1448,$A100)+_xlfn.SUMIFS(Compta!$F$1:$F$1448,Compta!$A$1:$A$1448,"GRP",Compta!$B$1:$B$1448,"6331",Compta!$C$1:$C$1448,$A100)+_xlfn.SUMIFS(Compta!$F$1:$F$1448,Compta!$A$1:$A$1448,"GRP",Compta!$B$1:$B$1448,"6333",Compta!$C$1:$C$1448,$A100))</f>
        <v>2760232</v>
      </c>
      <c r="AC100" t="s">
        <v>274</v>
      </c>
      <c r="AD100" t="s">
        <v>274</v>
      </c>
      <c r="AE100" t="s">
        <v>274</v>
      </c>
      <c r="AF100" t="s">
        <v>274</v>
      </c>
      <c r="AG100" t="s">
        <v>274</v>
      </c>
      <c r="AH100" t="s">
        <v>274</v>
      </c>
      <c r="AI100">
        <f t="shared" si="3"/>
        <v>20165.075</v>
      </c>
      <c r="AJ100">
        <f t="shared" si="4"/>
        <v>37438.975</v>
      </c>
      <c r="AK100">
        <f t="shared" si="5"/>
        <v>26749.4444444444</v>
      </c>
      <c r="AL100">
        <f t="shared" si="6"/>
        <v>0</v>
      </c>
      <c r="AM100">
        <f t="shared" si="7"/>
        <v>0</v>
      </c>
      <c r="AN100">
        <f t="shared" si="8"/>
        <v>236406.505555556</v>
      </c>
      <c r="AO100">
        <f>IF($A100="","",_xlfn.SUMIFS(Compta!$F$1:$F$1448,Compta!$A$1:$A$1448,"GRP",Compta!$B$1:$B$1448,"6236",Compta!$C$1:$C$1448,$A100))</f>
        <v>580167</v>
      </c>
      <c r="AP100" t="s">
        <v>274</v>
      </c>
      <c r="AQ100" t="s">
        <v>274</v>
      </c>
      <c r="AR100">
        <f t="shared" si="9"/>
        <v>0</v>
      </c>
    </row>
    <row r="101" ht="14.25" customHeight="1">
      <c r="A101" t="str">
        <f>IF(Allocation!C101="","",Allocation!C101)</f>
        <v>2025</v>
      </c>
      <c r="B101" t="str">
        <f>IF(Allocation!D101="","",Allocation!D101)</f>
        <v>ISCOM_TLS</v>
      </c>
      <c r="C101" t="str">
        <f>IF(Allocation!E101="","",Allocation!E101)</f>
        <v>ISCOM</v>
      </c>
      <c r="D101" t="str">
        <f>IF(Allocation!F101="","",Allocation!F101)</f>
        <v>MAS_COM</v>
      </c>
      <c r="E101" t="str">
        <f>IF(Allocation!G101="","",Allocation!G101)</f>
        <v>M2</v>
      </c>
      <c r="F101" t="str">
        <f>IF(Allocation!H101="","",Allocation!H101)</f>
        <v>ALT</v>
      </c>
      <c r="G101">
        <f>IF(Allocation!D101="","",Allocation!I101)</f>
        <v>43</v>
      </c>
      <c r="H101">
        <f>IF(Allocation!D101="","",Allocation!J101)</f>
        <v>2</v>
      </c>
      <c r="I101">
        <f>IF(Allocation!D101="","",Allocation!K101)</f>
        <v>309600</v>
      </c>
      <c r="J101">
        <f>IF($A101="","",_xlfn.SUMIFS(Socle!$K$1:$K$448,Socle!$C$1:$C$448,$B101,Socle!$D$1:$D$448,$D101,Socle!$E$1:$E$448,$E101,Socle!$F$1:$F$448,$F101,Socle!$G$1:$G$448,$A101))</f>
        <v>0</v>
      </c>
      <c r="K101">
        <f t="shared" si="0"/>
        <v>840</v>
      </c>
      <c r="L101">
        <f>IF($A101="","",_xlfn.SUMIFS(Allocation!$I$1:$I$175,Allocation!$C$1:$C$175,$A101,Allocation!$D$1:$D$175,$B101))</f>
        <v>216</v>
      </c>
      <c r="M101">
        <f>IF($A101="","",_xlfn.SUMIFS(Allocation!$J$1:$J$175,Allocation!$C$1:$C$175,$A101,Allocation!$D$1:$D$175,$B101))</f>
        <v>10</v>
      </c>
      <c r="N101">
        <f>IF($A101="","",_xlfn.SUMIFS(Allocation!$K$1:$K$175,Allocation!$C$1:$C$175,$A101,Allocation!$D$1:$D$175,$B101))</f>
        <v>1522320</v>
      </c>
      <c r="O101">
        <f t="shared" si="1"/>
        <v>4800</v>
      </c>
      <c r="P101">
        <f t="shared" si="2"/>
        <v>176</v>
      </c>
      <c r="Q101">
        <f>IF($A101="","",_xlfn.SUMIFS(Allocation!$I$1:$I$175,Allocation!$C$1:$C$175,$A101,Allocation!$E$1:$E$175,$C101))</f>
        <v>779</v>
      </c>
      <c r="R101">
        <f>IF($A101="","",_xlfn.SUMIFS(Allocation!$J$1:$J$175,Allocation!$C$1:$C$175,$A101,Allocation!$E$1:$E$175,$C101))</f>
        <v>35</v>
      </c>
      <c r="S101">
        <f>IF($A101="","",_xlfn.SUMIFS(Allocation!$K$1:$K$175,Allocation!$C$1:$C$175,$A101,Allocation!$E$1:$E$175,$C101))</f>
        <v>5914800</v>
      </c>
      <c r="T101">
        <f>IF($A101="","",_xlfn.SUMIFS(Allocation!$I$1:$I$175,Allocation!$C$1:$C$175,$A101))</f>
        <v>2860</v>
      </c>
      <c r="U101">
        <f>IF($A101="","",_xlfn.SUMIFS(Allocation!$J$1:$J$175,Allocation!$C$1:$C$175,$A101))</f>
        <v>131</v>
      </c>
      <c r="V101">
        <f>IF($A101="","",_xlfn.SUMIFS(Allocation!$K$1:$K$175,Allocation!$C$1:$C$175,$A101))</f>
        <v>21240140</v>
      </c>
      <c r="W101">
        <f>IF($A101="","",_xlfn.SUMIFS(Compta!$F$1:$F$1448,Compta!$A$1:$A$1448,$B101,Compta!$B$1:$B$1448,"621",Compta!$C$1:$C$1448,$A101))</f>
        <v>115229</v>
      </c>
      <c r="X101">
        <f>IF($A101="","",_xlfn.SUMIFS(Compta!$F$1:$F$1448,Compta!$A$1:$A$1448,$B101,Compta!$B$1:$B$1448,"6411",Compta!$C$1:$C$1448,$A101))</f>
        <v>213937</v>
      </c>
      <c r="Y101">
        <f>IF($A101="","",_xlfn.SUMIFS(Compta!$F$1:$F$1448,Compta!$A$1:$A$1448,$B101,Compta!$B$1:$B$1448,"604",Compta!$C$1:$C$1448,$A101)+_xlfn.SUMIFS(Compta!$F$1:$F$1448,Compta!$A$1:$A$1448,$B101,Compta!$B$1:$B$1448,"6063",Compta!$C$1:$C$1448,$A101))</f>
        <v>82038</v>
      </c>
      <c r="Z101">
        <f>IF($A101="","",_xlfn.SUMIFS(Compta!$F$1:$F$1448,Compta!$A$1:$A$1448,$B101,Compta!$B$1:$B$1448,"6231",Compta!$C$1:$C$1448,$A101))</f>
        <v>20076</v>
      </c>
      <c r="AA101">
        <f>IF($A101="","",_xlfn.SUMIFS(Compta!$F$1:$F$1448,Compta!$A$1:$A$1448,$B101,Compta!$B$1:$B$1448,"6413",Compta!$C$1:$C$1448,$A101)+_xlfn.SUMIFS(Compta!$F$1:$F$1448,Compta!$A$1:$A$1448,$B101,Compta!$B$1:$B$1448,"645",Compta!$C$1:$C$1448,$A101)+_xlfn.SUMIFS(Compta!$F$1:$F$1448,Compta!$A$1:$A$1448,$B101,Compta!$B$1:$B$1448,"613",Compta!$C$1:$C$1448,$A101)+_xlfn.SUMIFS(Compta!$F$1:$F$1448,Compta!$A$1:$A$1448,$B101,Compta!$B$1:$B$1448,"615",Compta!$C$1:$C$1448,$A101)+_xlfn.SUMIFS(Compta!$F$1:$F$1448,Compta!$A$1:$A$1448,$B101,Compta!$B$1:$B$1448,"616",Compta!$C$1:$C$1448,$A101)+_xlfn.SUMIFS(Compta!$F$1:$F$1448,Compta!$A$1:$A$1448,$B101,Compta!$B$1:$B$1448,"625",Compta!$C$1:$C$1448,$A101)+_xlfn.SUMIFS(Compta!$F$1:$F$1448,Compta!$A$1:$A$1448,$B101,Compta!$B$1:$B$1448,"63511",Compta!$C$1:$C$1448,$A101))</f>
        <v>481029</v>
      </c>
      <c r="AB101">
        <f>IF($A101="","",_xlfn.SUMIFS(Compta!$F$1:$F$1448,Compta!$A$1:$A$1448,"GRP",Compta!$B$1:$B$1448,"6414",Compta!$C$1:$C$1448,$A101)+_xlfn.SUMIFS(Compta!$F$1:$F$1448,Compta!$A$1:$A$1448,"GRP",Compta!$B$1:$B$1448,"6226",Compta!$C$1:$C$1448,$A101)+_xlfn.SUMIFS(Compta!$F$1:$F$1448,Compta!$A$1:$A$1448,"GRP",Compta!$B$1:$B$1448,"626",Compta!$C$1:$C$1448,$A101)+_xlfn.SUMIFS(Compta!$F$1:$F$1448,Compta!$A$1:$A$1448,"GRP",Compta!$B$1:$B$1448,"6281",Compta!$C$1:$C$1448,$A101)+_xlfn.SUMIFS(Compta!$F$1:$F$1448,Compta!$A$1:$A$1448,"GRP",Compta!$B$1:$B$1448,"6331",Compta!$C$1:$C$1448,$A101)+_xlfn.SUMIFS(Compta!$F$1:$F$1448,Compta!$A$1:$A$1448,"GRP",Compta!$B$1:$B$1448,"6333",Compta!$C$1:$C$1448,$A101))</f>
        <v>2760232</v>
      </c>
      <c r="AC101" t="s">
        <v>274</v>
      </c>
      <c r="AD101" t="s">
        <v>274</v>
      </c>
      <c r="AE101" t="s">
        <v>274</v>
      </c>
      <c r="AF101" t="s">
        <v>274</v>
      </c>
      <c r="AG101" t="s">
        <v>274</v>
      </c>
      <c r="AH101" t="s">
        <v>274</v>
      </c>
      <c r="AI101">
        <f t="shared" si="3"/>
        <v>20165.075</v>
      </c>
      <c r="AJ101">
        <f t="shared" si="4"/>
        <v>37438.975</v>
      </c>
      <c r="AK101">
        <f t="shared" si="5"/>
        <v>16331.6388888889</v>
      </c>
      <c r="AL101">
        <f t="shared" si="6"/>
        <v>0</v>
      </c>
      <c r="AM101">
        <f t="shared" si="7"/>
        <v>0</v>
      </c>
      <c r="AN101">
        <f t="shared" si="8"/>
        <v>235664.311111111</v>
      </c>
      <c r="AO101">
        <f>IF($A101="","",_xlfn.SUMIFS(Compta!$F$1:$F$1448,Compta!$A$1:$A$1448,"GRP",Compta!$B$1:$B$1448,"6236",Compta!$C$1:$C$1448,$A101))</f>
        <v>580167</v>
      </c>
      <c r="AP101" t="s">
        <v>274</v>
      </c>
      <c r="AQ101" t="s">
        <v>274</v>
      </c>
      <c r="AR101">
        <f t="shared" si="9"/>
        <v>0</v>
      </c>
    </row>
    <row r="102" ht="14.25" customHeight="1">
      <c r="A102" t="str">
        <f>IF(Allocation!C102="","",Allocation!C102)</f>
        <v>2024</v>
      </c>
      <c r="B102" t="str">
        <f>IF(Allocation!D102="","",Allocation!D102)</f>
        <v>ISCOM_TLS</v>
      </c>
      <c r="C102" t="str">
        <f>IF(Allocation!E102="","",Allocation!E102)</f>
        <v>ISCOM</v>
      </c>
      <c r="D102" t="str">
        <f>IF(Allocation!F102="","",Allocation!F102)</f>
        <v>BAC_COM</v>
      </c>
      <c r="E102" t="str">
        <f>IF(Allocation!G102="","",Allocation!G102)</f>
        <v>B1</v>
      </c>
      <c r="F102" t="str">
        <f>IF(Allocation!H102="","",Allocation!H102)</f>
        <v>INIT</v>
      </c>
      <c r="G102">
        <f>IF(Allocation!D102="","",Allocation!I102)</f>
        <v>42</v>
      </c>
      <c r="H102">
        <f>IF(Allocation!D102="","",Allocation!J102)</f>
        <v>2</v>
      </c>
      <c r="I102">
        <f>IF(Allocation!D102="","",Allocation!K102)</f>
        <v>306180</v>
      </c>
      <c r="J102">
        <f>IF($A102="","",_xlfn.SUMIFS(Socle!$K$1:$K$448,Socle!$C$1:$C$448,$B102,Socle!$D$1:$D$448,$D102,Socle!$E$1:$E$448,$E102,Socle!$F$1:$F$448,$F102,Socle!$G$1:$G$448,$A102))</f>
        <v>84</v>
      </c>
      <c r="K102">
        <f t="shared" si="0"/>
        <v>1200</v>
      </c>
      <c r="L102">
        <f>IF($A102="","",_xlfn.SUMIFS(Allocation!$I$1:$I$175,Allocation!$C$1:$C$175,$A102,Allocation!$D$1:$D$175,$B102))</f>
        <v>206</v>
      </c>
      <c r="M102">
        <f>IF($A102="","",_xlfn.SUMIFS(Allocation!$J$1:$J$175,Allocation!$C$1:$C$175,$A102,Allocation!$D$1:$D$175,$B102))</f>
        <v>10</v>
      </c>
      <c r="N102">
        <f>IF($A102="","",_xlfn.SUMIFS(Allocation!$K$1:$K$175,Allocation!$C$1:$C$175,$A102,Allocation!$D$1:$D$175,$B102))</f>
        <v>1451880</v>
      </c>
      <c r="O102">
        <f t="shared" si="1"/>
        <v>4800</v>
      </c>
      <c r="P102">
        <f t="shared" si="2"/>
        <v>168</v>
      </c>
      <c r="Q102">
        <f>IF($A102="","",_xlfn.SUMIFS(Allocation!$I$1:$I$175,Allocation!$C$1:$C$175,$A102,Allocation!$E$1:$E$175,$C102))</f>
        <v>737</v>
      </c>
      <c r="R102">
        <f>IF($A102="","",_xlfn.SUMIFS(Allocation!$J$1:$J$175,Allocation!$C$1:$C$175,$A102,Allocation!$E$1:$E$175,$C102))</f>
        <v>35</v>
      </c>
      <c r="S102">
        <f>IF($A102="","",_xlfn.SUMIFS(Allocation!$K$1:$K$175,Allocation!$C$1:$C$175,$A102,Allocation!$E$1:$E$175,$C102))</f>
        <v>5593340</v>
      </c>
      <c r="T102">
        <f>IF($A102="","",_xlfn.SUMIFS(Allocation!$I$1:$I$175,Allocation!$C$1:$C$175,$A102))</f>
        <v>2704</v>
      </c>
      <c r="U102">
        <f>IF($A102="","",_xlfn.SUMIFS(Allocation!$J$1:$J$175,Allocation!$C$1:$C$175,$A102))</f>
        <v>131</v>
      </c>
      <c r="V102">
        <f>IF($A102="","",_xlfn.SUMIFS(Allocation!$K$1:$K$175,Allocation!$C$1:$C$175,$A102))</f>
        <v>20076860</v>
      </c>
      <c r="W102">
        <f>IF($A102="","",_xlfn.SUMIFS(Compta!$F$1:$F$1448,Compta!$A$1:$A$1448,$B102,Compta!$B$1:$B$1448,"621",Compta!$C$1:$C$1448,$A102))</f>
        <v>110180</v>
      </c>
      <c r="X102">
        <f>IF($A102="","",_xlfn.SUMIFS(Compta!$F$1:$F$1448,Compta!$A$1:$A$1448,$B102,Compta!$B$1:$B$1448,"6411",Compta!$C$1:$C$1448,$A102))</f>
        <v>204564</v>
      </c>
      <c r="Y102">
        <f>IF($A102="","",_xlfn.SUMIFS(Compta!$F$1:$F$1448,Compta!$A$1:$A$1448,$B102,Compta!$B$1:$B$1448,"604",Compta!$C$1:$C$1448,$A102)+_xlfn.SUMIFS(Compta!$F$1:$F$1448,Compta!$A$1:$A$1448,$B102,Compta!$B$1:$B$1448,"6063",Compta!$C$1:$C$1448,$A102))</f>
        <v>78443</v>
      </c>
      <c r="Z102">
        <f>IF($A102="","",_xlfn.SUMIFS(Compta!$F$1:$F$1448,Compta!$A$1:$A$1448,$B102,Compta!$B$1:$B$1448,"6231",Compta!$C$1:$C$1448,$A102))</f>
        <v>18251</v>
      </c>
      <c r="AA102">
        <f>IF($A102="","",_xlfn.SUMIFS(Compta!$F$1:$F$1448,Compta!$A$1:$A$1448,$B102,Compta!$B$1:$B$1448,"6413",Compta!$C$1:$C$1448,$A102)+_xlfn.SUMIFS(Compta!$F$1:$F$1448,Compta!$A$1:$A$1448,$B102,Compta!$B$1:$B$1448,"645",Compta!$C$1:$C$1448,$A102)+_xlfn.SUMIFS(Compta!$F$1:$F$1448,Compta!$A$1:$A$1448,$B102,Compta!$B$1:$B$1448,"613",Compta!$C$1:$C$1448,$A102)+_xlfn.SUMIFS(Compta!$F$1:$F$1448,Compta!$A$1:$A$1448,$B102,Compta!$B$1:$B$1448,"615",Compta!$C$1:$C$1448,$A102)+_xlfn.SUMIFS(Compta!$F$1:$F$1448,Compta!$A$1:$A$1448,$B102,Compta!$B$1:$B$1448,"616",Compta!$C$1:$C$1448,$A102)+_xlfn.SUMIFS(Compta!$F$1:$F$1448,Compta!$A$1:$A$1448,$B102,Compta!$B$1:$B$1448,"625",Compta!$C$1:$C$1448,$A102)+_xlfn.SUMIFS(Compta!$F$1:$F$1448,Compta!$A$1:$A$1448,$B102,Compta!$B$1:$B$1448,"63511",Compta!$C$1:$C$1448,$A102))</f>
        <v>459952</v>
      </c>
      <c r="AB102">
        <f>IF($A102="","",_xlfn.SUMIFS(Compta!$F$1:$F$1448,Compta!$A$1:$A$1448,"GRP",Compta!$B$1:$B$1448,"6414",Compta!$C$1:$C$1448,$A102)+_xlfn.SUMIFS(Compta!$F$1:$F$1448,Compta!$A$1:$A$1448,"GRP",Compta!$B$1:$B$1448,"6226",Compta!$C$1:$C$1448,$A102)+_xlfn.SUMIFS(Compta!$F$1:$F$1448,Compta!$A$1:$A$1448,"GRP",Compta!$B$1:$B$1448,"626",Compta!$C$1:$C$1448,$A102)+_xlfn.SUMIFS(Compta!$F$1:$F$1448,Compta!$A$1:$A$1448,"GRP",Compta!$B$1:$B$1448,"6281",Compta!$C$1:$C$1448,$A102)+_xlfn.SUMIFS(Compta!$F$1:$F$1448,Compta!$A$1:$A$1448,"GRP",Compta!$B$1:$B$1448,"6331",Compta!$C$1:$C$1448,$A102)+_xlfn.SUMIFS(Compta!$F$1:$F$1448,Compta!$A$1:$A$1448,"GRP",Compta!$B$1:$B$1448,"6333",Compta!$C$1:$C$1448,$A102))</f>
        <v>2639292</v>
      </c>
      <c r="AC102" t="s">
        <v>274</v>
      </c>
      <c r="AD102" t="s">
        <v>274</v>
      </c>
      <c r="AE102" t="s">
        <v>274</v>
      </c>
      <c r="AF102" t="s">
        <v>274</v>
      </c>
      <c r="AG102" t="s">
        <v>274</v>
      </c>
      <c r="AH102" t="s">
        <v>274</v>
      </c>
      <c r="AI102">
        <f t="shared" si="3"/>
        <v>27545</v>
      </c>
      <c r="AJ102">
        <f t="shared" si="4"/>
        <v>51141</v>
      </c>
      <c r="AK102">
        <f t="shared" si="5"/>
        <v>25118.7330097087</v>
      </c>
      <c r="AL102">
        <f t="shared" si="6"/>
        <v>0</v>
      </c>
      <c r="AM102">
        <f t="shared" si="7"/>
        <v>0</v>
      </c>
      <c r="AN102">
        <f t="shared" si="8"/>
        <v>202375.266990291</v>
      </c>
      <c r="AO102">
        <f>IF($A102="","",_xlfn.SUMIFS(Compta!$F$1:$F$1448,Compta!$A$1:$A$1448,"GRP",Compta!$B$1:$B$1448,"6236",Compta!$C$1:$C$1448,$A102))</f>
        <v>499926</v>
      </c>
      <c r="AP102" t="s">
        <v>274</v>
      </c>
      <c r="AQ102" t="s">
        <v>274</v>
      </c>
      <c r="AR102">
        <f t="shared" si="9"/>
        <v>0</v>
      </c>
    </row>
    <row r="103" ht="14.25" customHeight="1">
      <c r="A103" t="str">
        <f>IF(Allocation!C103="","",Allocation!C103)</f>
        <v>2024</v>
      </c>
      <c r="B103" t="str">
        <f>IF(Allocation!D103="","",Allocation!D103)</f>
        <v>ISCOM_TLS</v>
      </c>
      <c r="C103" t="str">
        <f>IF(Allocation!E103="","",Allocation!E103)</f>
        <v>ISCOM</v>
      </c>
      <c r="D103" t="str">
        <f>IF(Allocation!F103="","",Allocation!F103)</f>
        <v>BAC_COM</v>
      </c>
      <c r="E103" t="str">
        <f>IF(Allocation!G103="","",Allocation!G103)</f>
        <v>B2</v>
      </c>
      <c r="F103" t="str">
        <f>IF(Allocation!H103="","",Allocation!H103)</f>
        <v>ALT</v>
      </c>
      <c r="G103">
        <f>IF(Allocation!D103="","",Allocation!I103)</f>
        <v>41</v>
      </c>
      <c r="H103">
        <f>IF(Allocation!D103="","",Allocation!J103)</f>
        <v>2</v>
      </c>
      <c r="I103">
        <f>IF(Allocation!D103="","",Allocation!K103)</f>
        <v>275520</v>
      </c>
      <c r="J103">
        <f>IF($A103="","",_xlfn.SUMIFS(Socle!$K$1:$K$448,Socle!$C$1:$C$448,$B103,Socle!$D$1:$D$448,$D103,Socle!$E$1:$E$448,$E103,Socle!$F$1:$F$448,$F103,Socle!$G$1:$G$448,$A103))</f>
        <v>0</v>
      </c>
      <c r="K103">
        <f t="shared" si="0"/>
        <v>960</v>
      </c>
      <c r="L103">
        <f>IF($A103="","",_xlfn.SUMIFS(Allocation!$I$1:$I$175,Allocation!$C$1:$C$175,$A103,Allocation!$D$1:$D$175,$B103))</f>
        <v>206</v>
      </c>
      <c r="M103">
        <f>IF($A103="","",_xlfn.SUMIFS(Allocation!$J$1:$J$175,Allocation!$C$1:$C$175,$A103,Allocation!$D$1:$D$175,$B103))</f>
        <v>10</v>
      </c>
      <c r="N103">
        <f>IF($A103="","",_xlfn.SUMIFS(Allocation!$K$1:$K$175,Allocation!$C$1:$C$175,$A103,Allocation!$D$1:$D$175,$B103))</f>
        <v>1451880</v>
      </c>
      <c r="O103">
        <f t="shared" si="1"/>
        <v>4800</v>
      </c>
      <c r="P103">
        <f t="shared" si="2"/>
        <v>168</v>
      </c>
      <c r="Q103">
        <f>IF($A103="","",_xlfn.SUMIFS(Allocation!$I$1:$I$175,Allocation!$C$1:$C$175,$A103,Allocation!$E$1:$E$175,$C103))</f>
        <v>737</v>
      </c>
      <c r="R103">
        <f>IF($A103="","",_xlfn.SUMIFS(Allocation!$J$1:$J$175,Allocation!$C$1:$C$175,$A103,Allocation!$E$1:$E$175,$C103))</f>
        <v>35</v>
      </c>
      <c r="S103">
        <f>IF($A103="","",_xlfn.SUMIFS(Allocation!$K$1:$K$175,Allocation!$C$1:$C$175,$A103,Allocation!$E$1:$E$175,$C103))</f>
        <v>5593340</v>
      </c>
      <c r="T103">
        <f>IF($A103="","",_xlfn.SUMIFS(Allocation!$I$1:$I$175,Allocation!$C$1:$C$175,$A103))</f>
        <v>2704</v>
      </c>
      <c r="U103">
        <f>IF($A103="","",_xlfn.SUMIFS(Allocation!$J$1:$J$175,Allocation!$C$1:$C$175,$A103))</f>
        <v>131</v>
      </c>
      <c r="V103">
        <f>IF($A103="","",_xlfn.SUMIFS(Allocation!$K$1:$K$175,Allocation!$C$1:$C$175,$A103))</f>
        <v>20076860</v>
      </c>
      <c r="W103">
        <f>IF($A103="","",_xlfn.SUMIFS(Compta!$F$1:$F$1448,Compta!$A$1:$A$1448,$B103,Compta!$B$1:$B$1448,"621",Compta!$C$1:$C$1448,$A103))</f>
        <v>110180</v>
      </c>
      <c r="X103">
        <f>IF($A103="","",_xlfn.SUMIFS(Compta!$F$1:$F$1448,Compta!$A$1:$A$1448,$B103,Compta!$B$1:$B$1448,"6411",Compta!$C$1:$C$1448,$A103))</f>
        <v>204564</v>
      </c>
      <c r="Y103">
        <f>IF($A103="","",_xlfn.SUMIFS(Compta!$F$1:$F$1448,Compta!$A$1:$A$1448,$B103,Compta!$B$1:$B$1448,"604",Compta!$C$1:$C$1448,$A103)+_xlfn.SUMIFS(Compta!$F$1:$F$1448,Compta!$A$1:$A$1448,$B103,Compta!$B$1:$B$1448,"6063",Compta!$C$1:$C$1448,$A103))</f>
        <v>78443</v>
      </c>
      <c r="Z103">
        <f>IF($A103="","",_xlfn.SUMIFS(Compta!$F$1:$F$1448,Compta!$A$1:$A$1448,$B103,Compta!$B$1:$B$1448,"6231",Compta!$C$1:$C$1448,$A103))</f>
        <v>18251</v>
      </c>
      <c r="AA103">
        <f>IF($A103="","",_xlfn.SUMIFS(Compta!$F$1:$F$1448,Compta!$A$1:$A$1448,$B103,Compta!$B$1:$B$1448,"6413",Compta!$C$1:$C$1448,$A103)+_xlfn.SUMIFS(Compta!$F$1:$F$1448,Compta!$A$1:$A$1448,$B103,Compta!$B$1:$B$1448,"645",Compta!$C$1:$C$1448,$A103)+_xlfn.SUMIFS(Compta!$F$1:$F$1448,Compta!$A$1:$A$1448,$B103,Compta!$B$1:$B$1448,"613",Compta!$C$1:$C$1448,$A103)+_xlfn.SUMIFS(Compta!$F$1:$F$1448,Compta!$A$1:$A$1448,$B103,Compta!$B$1:$B$1448,"615",Compta!$C$1:$C$1448,$A103)+_xlfn.SUMIFS(Compta!$F$1:$F$1448,Compta!$A$1:$A$1448,$B103,Compta!$B$1:$B$1448,"616",Compta!$C$1:$C$1448,$A103)+_xlfn.SUMIFS(Compta!$F$1:$F$1448,Compta!$A$1:$A$1448,$B103,Compta!$B$1:$B$1448,"625",Compta!$C$1:$C$1448,$A103)+_xlfn.SUMIFS(Compta!$F$1:$F$1448,Compta!$A$1:$A$1448,$B103,Compta!$B$1:$B$1448,"63511",Compta!$C$1:$C$1448,$A103))</f>
        <v>459952</v>
      </c>
      <c r="AB103">
        <f>IF($A103="","",_xlfn.SUMIFS(Compta!$F$1:$F$1448,Compta!$A$1:$A$1448,"GRP",Compta!$B$1:$B$1448,"6414",Compta!$C$1:$C$1448,$A103)+_xlfn.SUMIFS(Compta!$F$1:$F$1448,Compta!$A$1:$A$1448,"GRP",Compta!$B$1:$B$1448,"6226",Compta!$C$1:$C$1448,$A103)+_xlfn.SUMIFS(Compta!$F$1:$F$1448,Compta!$A$1:$A$1448,"GRP",Compta!$B$1:$B$1448,"626",Compta!$C$1:$C$1448,$A103)+_xlfn.SUMIFS(Compta!$F$1:$F$1448,Compta!$A$1:$A$1448,"GRP",Compta!$B$1:$B$1448,"6281",Compta!$C$1:$C$1448,$A103)+_xlfn.SUMIFS(Compta!$F$1:$F$1448,Compta!$A$1:$A$1448,"GRP",Compta!$B$1:$B$1448,"6331",Compta!$C$1:$C$1448,$A103)+_xlfn.SUMIFS(Compta!$F$1:$F$1448,Compta!$A$1:$A$1448,"GRP",Compta!$B$1:$B$1448,"6333",Compta!$C$1:$C$1448,$A103))</f>
        <v>2639292</v>
      </c>
      <c r="AC103" t="s">
        <v>274</v>
      </c>
      <c r="AD103" t="s">
        <v>274</v>
      </c>
      <c r="AE103" t="s">
        <v>274</v>
      </c>
      <c r="AF103" t="s">
        <v>274</v>
      </c>
      <c r="AG103" t="s">
        <v>274</v>
      </c>
      <c r="AH103" t="s">
        <v>274</v>
      </c>
      <c r="AI103">
        <f t="shared" si="3"/>
        <v>22036</v>
      </c>
      <c r="AJ103">
        <f t="shared" si="4"/>
        <v>40912.8</v>
      </c>
      <c r="AK103">
        <f t="shared" si="5"/>
        <v>15612.4417475728</v>
      </c>
      <c r="AL103">
        <f t="shared" si="6"/>
        <v>0</v>
      </c>
      <c r="AM103">
        <f t="shared" si="7"/>
        <v>0</v>
      </c>
      <c r="AN103">
        <f t="shared" si="8"/>
        <v>196958.758252427</v>
      </c>
      <c r="AO103">
        <f>IF($A103="","",_xlfn.SUMIFS(Compta!$F$1:$F$1448,Compta!$A$1:$A$1448,"GRP",Compta!$B$1:$B$1448,"6236",Compta!$C$1:$C$1448,$A103))</f>
        <v>499926</v>
      </c>
      <c r="AP103" t="s">
        <v>274</v>
      </c>
      <c r="AQ103" t="s">
        <v>274</v>
      </c>
      <c r="AR103">
        <f t="shared" si="9"/>
        <v>0</v>
      </c>
    </row>
    <row r="104" ht="14.25" customHeight="1">
      <c r="A104" t="str">
        <f>IF(Allocation!C104="","",Allocation!C104)</f>
        <v>2024</v>
      </c>
      <c r="B104" t="str">
        <f>IF(Allocation!D104="","",Allocation!D104)</f>
        <v>ISCOM_TLS</v>
      </c>
      <c r="C104" t="str">
        <f>IF(Allocation!E104="","",Allocation!E104)</f>
        <v>ISCOM</v>
      </c>
      <c r="D104" t="str">
        <f>IF(Allocation!F104="","",Allocation!F104)</f>
        <v>BAC_COM</v>
      </c>
      <c r="E104" t="str">
        <f>IF(Allocation!G104="","",Allocation!G104)</f>
        <v>B3</v>
      </c>
      <c r="F104" t="str">
        <f>IF(Allocation!H104="","",Allocation!H104)</f>
        <v>ALT</v>
      </c>
      <c r="G104">
        <f>IF(Allocation!D104="","",Allocation!I104)</f>
        <v>40</v>
      </c>
      <c r="H104">
        <f>IF(Allocation!D104="","",Allocation!J104)</f>
        <v>2</v>
      </c>
      <c r="I104">
        <f>IF(Allocation!D104="","",Allocation!K104)</f>
        <v>268800</v>
      </c>
      <c r="J104">
        <f>IF($A104="","",_xlfn.SUMIFS(Socle!$K$1:$K$448,Socle!$C$1:$C$448,$B104,Socle!$D$1:$D$448,$D104,Socle!$E$1:$E$448,$E104,Socle!$F$1:$F$448,$F104,Socle!$G$1:$G$448,$A104))</f>
        <v>0</v>
      </c>
      <c r="K104">
        <f t="shared" si="0"/>
        <v>960</v>
      </c>
      <c r="L104">
        <f>IF($A104="","",_xlfn.SUMIFS(Allocation!$I$1:$I$175,Allocation!$C$1:$C$175,$A104,Allocation!$D$1:$D$175,$B104))</f>
        <v>206</v>
      </c>
      <c r="M104">
        <f>IF($A104="","",_xlfn.SUMIFS(Allocation!$J$1:$J$175,Allocation!$C$1:$C$175,$A104,Allocation!$D$1:$D$175,$B104))</f>
        <v>10</v>
      </c>
      <c r="N104">
        <f>IF($A104="","",_xlfn.SUMIFS(Allocation!$K$1:$K$175,Allocation!$C$1:$C$175,$A104,Allocation!$D$1:$D$175,$B104))</f>
        <v>1451880</v>
      </c>
      <c r="O104">
        <f t="shared" si="1"/>
        <v>4800</v>
      </c>
      <c r="P104">
        <f t="shared" si="2"/>
        <v>168</v>
      </c>
      <c r="Q104">
        <f>IF($A104="","",_xlfn.SUMIFS(Allocation!$I$1:$I$175,Allocation!$C$1:$C$175,$A104,Allocation!$E$1:$E$175,$C104))</f>
        <v>737</v>
      </c>
      <c r="R104">
        <f>IF($A104="","",_xlfn.SUMIFS(Allocation!$J$1:$J$175,Allocation!$C$1:$C$175,$A104,Allocation!$E$1:$E$175,$C104))</f>
        <v>35</v>
      </c>
      <c r="S104">
        <f>IF($A104="","",_xlfn.SUMIFS(Allocation!$K$1:$K$175,Allocation!$C$1:$C$175,$A104,Allocation!$E$1:$E$175,$C104))</f>
        <v>5593340</v>
      </c>
      <c r="T104">
        <f>IF($A104="","",_xlfn.SUMIFS(Allocation!$I$1:$I$175,Allocation!$C$1:$C$175,$A104))</f>
        <v>2704</v>
      </c>
      <c r="U104">
        <f>IF($A104="","",_xlfn.SUMIFS(Allocation!$J$1:$J$175,Allocation!$C$1:$C$175,$A104))</f>
        <v>131</v>
      </c>
      <c r="V104">
        <f>IF($A104="","",_xlfn.SUMIFS(Allocation!$K$1:$K$175,Allocation!$C$1:$C$175,$A104))</f>
        <v>20076860</v>
      </c>
      <c r="W104">
        <f>IF($A104="","",_xlfn.SUMIFS(Compta!$F$1:$F$1448,Compta!$A$1:$A$1448,$B104,Compta!$B$1:$B$1448,"621",Compta!$C$1:$C$1448,$A104))</f>
        <v>110180</v>
      </c>
      <c r="X104">
        <f>IF($A104="","",_xlfn.SUMIFS(Compta!$F$1:$F$1448,Compta!$A$1:$A$1448,$B104,Compta!$B$1:$B$1448,"6411",Compta!$C$1:$C$1448,$A104))</f>
        <v>204564</v>
      </c>
      <c r="Y104">
        <f>IF($A104="","",_xlfn.SUMIFS(Compta!$F$1:$F$1448,Compta!$A$1:$A$1448,$B104,Compta!$B$1:$B$1448,"604",Compta!$C$1:$C$1448,$A104)+_xlfn.SUMIFS(Compta!$F$1:$F$1448,Compta!$A$1:$A$1448,$B104,Compta!$B$1:$B$1448,"6063",Compta!$C$1:$C$1448,$A104))</f>
        <v>78443</v>
      </c>
      <c r="Z104">
        <f>IF($A104="","",_xlfn.SUMIFS(Compta!$F$1:$F$1448,Compta!$A$1:$A$1448,$B104,Compta!$B$1:$B$1448,"6231",Compta!$C$1:$C$1448,$A104))</f>
        <v>18251</v>
      </c>
      <c r="AA104">
        <f>IF($A104="","",_xlfn.SUMIFS(Compta!$F$1:$F$1448,Compta!$A$1:$A$1448,$B104,Compta!$B$1:$B$1448,"6413",Compta!$C$1:$C$1448,$A104)+_xlfn.SUMIFS(Compta!$F$1:$F$1448,Compta!$A$1:$A$1448,$B104,Compta!$B$1:$B$1448,"645",Compta!$C$1:$C$1448,$A104)+_xlfn.SUMIFS(Compta!$F$1:$F$1448,Compta!$A$1:$A$1448,$B104,Compta!$B$1:$B$1448,"613",Compta!$C$1:$C$1448,$A104)+_xlfn.SUMIFS(Compta!$F$1:$F$1448,Compta!$A$1:$A$1448,$B104,Compta!$B$1:$B$1448,"615",Compta!$C$1:$C$1448,$A104)+_xlfn.SUMIFS(Compta!$F$1:$F$1448,Compta!$A$1:$A$1448,$B104,Compta!$B$1:$B$1448,"616",Compta!$C$1:$C$1448,$A104)+_xlfn.SUMIFS(Compta!$F$1:$F$1448,Compta!$A$1:$A$1448,$B104,Compta!$B$1:$B$1448,"625",Compta!$C$1:$C$1448,$A104)+_xlfn.SUMIFS(Compta!$F$1:$F$1448,Compta!$A$1:$A$1448,$B104,Compta!$B$1:$B$1448,"63511",Compta!$C$1:$C$1448,$A104))</f>
        <v>459952</v>
      </c>
      <c r="AB104">
        <f>IF($A104="","",_xlfn.SUMIFS(Compta!$F$1:$F$1448,Compta!$A$1:$A$1448,"GRP",Compta!$B$1:$B$1448,"6414",Compta!$C$1:$C$1448,$A104)+_xlfn.SUMIFS(Compta!$F$1:$F$1448,Compta!$A$1:$A$1448,"GRP",Compta!$B$1:$B$1448,"6226",Compta!$C$1:$C$1448,$A104)+_xlfn.SUMIFS(Compta!$F$1:$F$1448,Compta!$A$1:$A$1448,"GRP",Compta!$B$1:$B$1448,"626",Compta!$C$1:$C$1448,$A104)+_xlfn.SUMIFS(Compta!$F$1:$F$1448,Compta!$A$1:$A$1448,"GRP",Compta!$B$1:$B$1448,"6281",Compta!$C$1:$C$1448,$A104)+_xlfn.SUMIFS(Compta!$F$1:$F$1448,Compta!$A$1:$A$1448,"GRP",Compta!$B$1:$B$1448,"6331",Compta!$C$1:$C$1448,$A104)+_xlfn.SUMIFS(Compta!$F$1:$F$1448,Compta!$A$1:$A$1448,"GRP",Compta!$B$1:$B$1448,"6333",Compta!$C$1:$C$1448,$A104))</f>
        <v>2639292</v>
      </c>
      <c r="AC104" t="s">
        <v>274</v>
      </c>
      <c r="AD104" t="s">
        <v>274</v>
      </c>
      <c r="AE104" t="s">
        <v>274</v>
      </c>
      <c r="AF104" t="s">
        <v>274</v>
      </c>
      <c r="AG104" t="s">
        <v>274</v>
      </c>
      <c r="AH104" t="s">
        <v>274</v>
      </c>
      <c r="AI104">
        <f t="shared" si="3"/>
        <v>22036</v>
      </c>
      <c r="AJ104">
        <f t="shared" si="4"/>
        <v>40912.8</v>
      </c>
      <c r="AK104">
        <f t="shared" si="5"/>
        <v>15231.6504854369</v>
      </c>
      <c r="AL104">
        <f t="shared" si="6"/>
        <v>0</v>
      </c>
      <c r="AM104">
        <f t="shared" si="7"/>
        <v>0</v>
      </c>
      <c r="AN104">
        <f t="shared" si="8"/>
        <v>190619.549514563</v>
      </c>
      <c r="AO104">
        <f>IF($A104="","",_xlfn.SUMIFS(Compta!$F$1:$F$1448,Compta!$A$1:$A$1448,"GRP",Compta!$B$1:$B$1448,"6236",Compta!$C$1:$C$1448,$A104))</f>
        <v>499926</v>
      </c>
      <c r="AP104" t="s">
        <v>274</v>
      </c>
      <c r="AQ104" t="s">
        <v>274</v>
      </c>
      <c r="AR104">
        <f t="shared" si="9"/>
        <v>0</v>
      </c>
    </row>
    <row r="105" ht="14.25" customHeight="1">
      <c r="A105" t="str">
        <f>IF(Allocation!C105="","",Allocation!C105)</f>
        <v>2024</v>
      </c>
      <c r="B105" t="str">
        <f>IF(Allocation!D105="","",Allocation!D105)</f>
        <v>ISCOM_TLS</v>
      </c>
      <c r="C105" t="str">
        <f>IF(Allocation!E105="","",Allocation!E105)</f>
        <v>ISCOM</v>
      </c>
      <c r="D105" t="str">
        <f>IF(Allocation!F105="","",Allocation!F105)</f>
        <v>MAS_COM</v>
      </c>
      <c r="E105" t="str">
        <f>IF(Allocation!G105="","",Allocation!G105)</f>
        <v>M1</v>
      </c>
      <c r="F105" t="str">
        <f>IF(Allocation!H105="","",Allocation!H105)</f>
        <v>ALT</v>
      </c>
      <c r="G105">
        <f>IF(Allocation!D105="","",Allocation!I105)</f>
        <v>42</v>
      </c>
      <c r="H105">
        <f>IF(Allocation!D105="","",Allocation!J105)</f>
        <v>2</v>
      </c>
      <c r="I105">
        <f>IF(Allocation!D105="","",Allocation!K105)</f>
        <v>306180</v>
      </c>
      <c r="J105">
        <f>IF($A105="","",_xlfn.SUMIFS(Socle!$K$1:$K$448,Socle!$C$1:$C$448,$B105,Socle!$D$1:$D$448,$D105,Socle!$E$1:$E$448,$E105,Socle!$F$1:$F$448,$F105,Socle!$G$1:$G$448,$A105))</f>
        <v>84</v>
      </c>
      <c r="K105">
        <f t="shared" si="0"/>
        <v>840</v>
      </c>
      <c r="L105">
        <f>IF($A105="","",_xlfn.SUMIFS(Allocation!$I$1:$I$175,Allocation!$C$1:$C$175,$A105,Allocation!$D$1:$D$175,$B105))</f>
        <v>206</v>
      </c>
      <c r="M105">
        <f>IF($A105="","",_xlfn.SUMIFS(Allocation!$J$1:$J$175,Allocation!$C$1:$C$175,$A105,Allocation!$D$1:$D$175,$B105))</f>
        <v>10</v>
      </c>
      <c r="N105">
        <f>IF($A105="","",_xlfn.SUMIFS(Allocation!$K$1:$K$175,Allocation!$C$1:$C$175,$A105,Allocation!$D$1:$D$175,$B105))</f>
        <v>1451880</v>
      </c>
      <c r="O105">
        <f t="shared" si="1"/>
        <v>4800</v>
      </c>
      <c r="P105">
        <f t="shared" si="2"/>
        <v>168</v>
      </c>
      <c r="Q105">
        <f>IF($A105="","",_xlfn.SUMIFS(Allocation!$I$1:$I$175,Allocation!$C$1:$C$175,$A105,Allocation!$E$1:$E$175,$C105))</f>
        <v>737</v>
      </c>
      <c r="R105">
        <f>IF($A105="","",_xlfn.SUMIFS(Allocation!$J$1:$J$175,Allocation!$C$1:$C$175,$A105,Allocation!$E$1:$E$175,$C105))</f>
        <v>35</v>
      </c>
      <c r="S105">
        <f>IF($A105="","",_xlfn.SUMIFS(Allocation!$K$1:$K$175,Allocation!$C$1:$C$175,$A105,Allocation!$E$1:$E$175,$C105))</f>
        <v>5593340</v>
      </c>
      <c r="T105">
        <f>IF($A105="","",_xlfn.SUMIFS(Allocation!$I$1:$I$175,Allocation!$C$1:$C$175,$A105))</f>
        <v>2704</v>
      </c>
      <c r="U105">
        <f>IF($A105="","",_xlfn.SUMIFS(Allocation!$J$1:$J$175,Allocation!$C$1:$C$175,$A105))</f>
        <v>131</v>
      </c>
      <c r="V105">
        <f>IF($A105="","",_xlfn.SUMIFS(Allocation!$K$1:$K$175,Allocation!$C$1:$C$175,$A105))</f>
        <v>20076860</v>
      </c>
      <c r="W105">
        <f>IF($A105="","",_xlfn.SUMIFS(Compta!$F$1:$F$1448,Compta!$A$1:$A$1448,$B105,Compta!$B$1:$B$1448,"621",Compta!$C$1:$C$1448,$A105))</f>
        <v>110180</v>
      </c>
      <c r="X105">
        <f>IF($A105="","",_xlfn.SUMIFS(Compta!$F$1:$F$1448,Compta!$A$1:$A$1448,$B105,Compta!$B$1:$B$1448,"6411",Compta!$C$1:$C$1448,$A105))</f>
        <v>204564</v>
      </c>
      <c r="Y105">
        <f>IF($A105="","",_xlfn.SUMIFS(Compta!$F$1:$F$1448,Compta!$A$1:$A$1448,$B105,Compta!$B$1:$B$1448,"604",Compta!$C$1:$C$1448,$A105)+_xlfn.SUMIFS(Compta!$F$1:$F$1448,Compta!$A$1:$A$1448,$B105,Compta!$B$1:$B$1448,"6063",Compta!$C$1:$C$1448,$A105))</f>
        <v>78443</v>
      </c>
      <c r="Z105">
        <f>IF($A105="","",_xlfn.SUMIFS(Compta!$F$1:$F$1448,Compta!$A$1:$A$1448,$B105,Compta!$B$1:$B$1448,"6231",Compta!$C$1:$C$1448,$A105))</f>
        <v>18251</v>
      </c>
      <c r="AA105">
        <f>IF($A105="","",_xlfn.SUMIFS(Compta!$F$1:$F$1448,Compta!$A$1:$A$1448,$B105,Compta!$B$1:$B$1448,"6413",Compta!$C$1:$C$1448,$A105)+_xlfn.SUMIFS(Compta!$F$1:$F$1448,Compta!$A$1:$A$1448,$B105,Compta!$B$1:$B$1448,"645",Compta!$C$1:$C$1448,$A105)+_xlfn.SUMIFS(Compta!$F$1:$F$1448,Compta!$A$1:$A$1448,$B105,Compta!$B$1:$B$1448,"613",Compta!$C$1:$C$1448,$A105)+_xlfn.SUMIFS(Compta!$F$1:$F$1448,Compta!$A$1:$A$1448,$B105,Compta!$B$1:$B$1448,"615",Compta!$C$1:$C$1448,$A105)+_xlfn.SUMIFS(Compta!$F$1:$F$1448,Compta!$A$1:$A$1448,$B105,Compta!$B$1:$B$1448,"616",Compta!$C$1:$C$1448,$A105)+_xlfn.SUMIFS(Compta!$F$1:$F$1448,Compta!$A$1:$A$1448,$B105,Compta!$B$1:$B$1448,"625",Compta!$C$1:$C$1448,$A105)+_xlfn.SUMIFS(Compta!$F$1:$F$1448,Compta!$A$1:$A$1448,$B105,Compta!$B$1:$B$1448,"63511",Compta!$C$1:$C$1448,$A105))</f>
        <v>459952</v>
      </c>
      <c r="AB105">
        <f>IF($A105="","",_xlfn.SUMIFS(Compta!$F$1:$F$1448,Compta!$A$1:$A$1448,"GRP",Compta!$B$1:$B$1448,"6414",Compta!$C$1:$C$1448,$A105)+_xlfn.SUMIFS(Compta!$F$1:$F$1448,Compta!$A$1:$A$1448,"GRP",Compta!$B$1:$B$1448,"6226",Compta!$C$1:$C$1448,$A105)+_xlfn.SUMIFS(Compta!$F$1:$F$1448,Compta!$A$1:$A$1448,"GRP",Compta!$B$1:$B$1448,"626",Compta!$C$1:$C$1448,$A105)+_xlfn.SUMIFS(Compta!$F$1:$F$1448,Compta!$A$1:$A$1448,"GRP",Compta!$B$1:$B$1448,"6281",Compta!$C$1:$C$1448,$A105)+_xlfn.SUMIFS(Compta!$F$1:$F$1448,Compta!$A$1:$A$1448,"GRP",Compta!$B$1:$B$1448,"6331",Compta!$C$1:$C$1448,$A105)+_xlfn.SUMIFS(Compta!$F$1:$F$1448,Compta!$A$1:$A$1448,"GRP",Compta!$B$1:$B$1448,"6333",Compta!$C$1:$C$1448,$A105))</f>
        <v>2639292</v>
      </c>
      <c r="AC105" t="s">
        <v>274</v>
      </c>
      <c r="AD105" t="s">
        <v>274</v>
      </c>
      <c r="AE105" t="s">
        <v>274</v>
      </c>
      <c r="AF105" t="s">
        <v>274</v>
      </c>
      <c r="AG105" t="s">
        <v>274</v>
      </c>
      <c r="AH105" t="s">
        <v>274</v>
      </c>
      <c r="AI105">
        <f t="shared" si="3"/>
        <v>19281.5</v>
      </c>
      <c r="AJ105">
        <f t="shared" si="4"/>
        <v>35798.7</v>
      </c>
      <c r="AK105">
        <f t="shared" si="5"/>
        <v>25118.7330097087</v>
      </c>
      <c r="AL105">
        <f t="shared" si="6"/>
        <v>0</v>
      </c>
      <c r="AM105">
        <f t="shared" si="7"/>
        <v>0</v>
      </c>
      <c r="AN105">
        <f t="shared" si="8"/>
        <v>225981.066990291</v>
      </c>
      <c r="AO105">
        <f>IF($A105="","",_xlfn.SUMIFS(Compta!$F$1:$F$1448,Compta!$A$1:$A$1448,"GRP",Compta!$B$1:$B$1448,"6236",Compta!$C$1:$C$1448,$A105))</f>
        <v>499926</v>
      </c>
      <c r="AP105" t="s">
        <v>274</v>
      </c>
      <c r="AQ105" t="s">
        <v>274</v>
      </c>
      <c r="AR105">
        <f t="shared" si="9"/>
        <v>0</v>
      </c>
    </row>
    <row r="106" ht="14.25" customHeight="1">
      <c r="A106" t="str">
        <f>IF(Allocation!C106="","",Allocation!C106)</f>
        <v>2024</v>
      </c>
      <c r="B106" t="str">
        <f>IF(Allocation!D106="","",Allocation!D106)</f>
        <v>ISCOM_TLS</v>
      </c>
      <c r="C106" t="str">
        <f>IF(Allocation!E106="","",Allocation!E106)</f>
        <v>ISCOM</v>
      </c>
      <c r="D106" t="str">
        <f>IF(Allocation!F106="","",Allocation!F106)</f>
        <v>MAS_COM</v>
      </c>
      <c r="E106" t="str">
        <f>IF(Allocation!G106="","",Allocation!G106)</f>
        <v>M2</v>
      </c>
      <c r="F106" t="str">
        <f>IF(Allocation!H106="","",Allocation!H106)</f>
        <v>ALT</v>
      </c>
      <c r="G106">
        <f>IF(Allocation!D106="","",Allocation!I106)</f>
        <v>41</v>
      </c>
      <c r="H106">
        <f>IF(Allocation!D106="","",Allocation!J106)</f>
        <v>2</v>
      </c>
      <c r="I106">
        <f>IF(Allocation!D106="","",Allocation!K106)</f>
        <v>295200</v>
      </c>
      <c r="J106">
        <f>IF($A106="","",_xlfn.SUMIFS(Socle!$K$1:$K$448,Socle!$C$1:$C$448,$B106,Socle!$D$1:$D$448,$D106,Socle!$E$1:$E$448,$E106,Socle!$F$1:$F$448,$F106,Socle!$G$1:$G$448,$A106))</f>
        <v>0</v>
      </c>
      <c r="K106">
        <f t="shared" si="0"/>
        <v>840</v>
      </c>
      <c r="L106">
        <f>IF($A106="","",_xlfn.SUMIFS(Allocation!$I$1:$I$175,Allocation!$C$1:$C$175,$A106,Allocation!$D$1:$D$175,$B106))</f>
        <v>206</v>
      </c>
      <c r="M106">
        <f>IF($A106="","",_xlfn.SUMIFS(Allocation!$J$1:$J$175,Allocation!$C$1:$C$175,$A106,Allocation!$D$1:$D$175,$B106))</f>
        <v>10</v>
      </c>
      <c r="N106">
        <f>IF($A106="","",_xlfn.SUMIFS(Allocation!$K$1:$K$175,Allocation!$C$1:$C$175,$A106,Allocation!$D$1:$D$175,$B106))</f>
        <v>1451880</v>
      </c>
      <c r="O106">
        <f t="shared" si="1"/>
        <v>4800</v>
      </c>
      <c r="P106">
        <f t="shared" si="2"/>
        <v>168</v>
      </c>
      <c r="Q106">
        <f>IF($A106="","",_xlfn.SUMIFS(Allocation!$I$1:$I$175,Allocation!$C$1:$C$175,$A106,Allocation!$E$1:$E$175,$C106))</f>
        <v>737</v>
      </c>
      <c r="R106">
        <f>IF($A106="","",_xlfn.SUMIFS(Allocation!$J$1:$J$175,Allocation!$C$1:$C$175,$A106,Allocation!$E$1:$E$175,$C106))</f>
        <v>35</v>
      </c>
      <c r="S106">
        <f>IF($A106="","",_xlfn.SUMIFS(Allocation!$K$1:$K$175,Allocation!$C$1:$C$175,$A106,Allocation!$E$1:$E$175,$C106))</f>
        <v>5593340</v>
      </c>
      <c r="T106">
        <f>IF($A106="","",_xlfn.SUMIFS(Allocation!$I$1:$I$175,Allocation!$C$1:$C$175,$A106))</f>
        <v>2704</v>
      </c>
      <c r="U106">
        <f>IF($A106="","",_xlfn.SUMIFS(Allocation!$J$1:$J$175,Allocation!$C$1:$C$175,$A106))</f>
        <v>131</v>
      </c>
      <c r="V106">
        <f>IF($A106="","",_xlfn.SUMIFS(Allocation!$K$1:$K$175,Allocation!$C$1:$C$175,$A106))</f>
        <v>20076860</v>
      </c>
      <c r="W106">
        <f>IF($A106="","",_xlfn.SUMIFS(Compta!$F$1:$F$1448,Compta!$A$1:$A$1448,$B106,Compta!$B$1:$B$1448,"621",Compta!$C$1:$C$1448,$A106))</f>
        <v>110180</v>
      </c>
      <c r="X106">
        <f>IF($A106="","",_xlfn.SUMIFS(Compta!$F$1:$F$1448,Compta!$A$1:$A$1448,$B106,Compta!$B$1:$B$1448,"6411",Compta!$C$1:$C$1448,$A106))</f>
        <v>204564</v>
      </c>
      <c r="Y106">
        <f>IF($A106="","",_xlfn.SUMIFS(Compta!$F$1:$F$1448,Compta!$A$1:$A$1448,$B106,Compta!$B$1:$B$1448,"604",Compta!$C$1:$C$1448,$A106)+_xlfn.SUMIFS(Compta!$F$1:$F$1448,Compta!$A$1:$A$1448,$B106,Compta!$B$1:$B$1448,"6063",Compta!$C$1:$C$1448,$A106))</f>
        <v>78443</v>
      </c>
      <c r="Z106">
        <f>IF($A106="","",_xlfn.SUMIFS(Compta!$F$1:$F$1448,Compta!$A$1:$A$1448,$B106,Compta!$B$1:$B$1448,"6231",Compta!$C$1:$C$1448,$A106))</f>
        <v>18251</v>
      </c>
      <c r="AA106">
        <f>IF($A106="","",_xlfn.SUMIFS(Compta!$F$1:$F$1448,Compta!$A$1:$A$1448,$B106,Compta!$B$1:$B$1448,"6413",Compta!$C$1:$C$1448,$A106)+_xlfn.SUMIFS(Compta!$F$1:$F$1448,Compta!$A$1:$A$1448,$B106,Compta!$B$1:$B$1448,"645",Compta!$C$1:$C$1448,$A106)+_xlfn.SUMIFS(Compta!$F$1:$F$1448,Compta!$A$1:$A$1448,$B106,Compta!$B$1:$B$1448,"613",Compta!$C$1:$C$1448,$A106)+_xlfn.SUMIFS(Compta!$F$1:$F$1448,Compta!$A$1:$A$1448,$B106,Compta!$B$1:$B$1448,"615",Compta!$C$1:$C$1448,$A106)+_xlfn.SUMIFS(Compta!$F$1:$F$1448,Compta!$A$1:$A$1448,$B106,Compta!$B$1:$B$1448,"616",Compta!$C$1:$C$1448,$A106)+_xlfn.SUMIFS(Compta!$F$1:$F$1448,Compta!$A$1:$A$1448,$B106,Compta!$B$1:$B$1448,"625",Compta!$C$1:$C$1448,$A106)+_xlfn.SUMIFS(Compta!$F$1:$F$1448,Compta!$A$1:$A$1448,$B106,Compta!$B$1:$B$1448,"63511",Compta!$C$1:$C$1448,$A106))</f>
        <v>459952</v>
      </c>
      <c r="AB106">
        <f>IF($A106="","",_xlfn.SUMIFS(Compta!$F$1:$F$1448,Compta!$A$1:$A$1448,"GRP",Compta!$B$1:$B$1448,"6414",Compta!$C$1:$C$1448,$A106)+_xlfn.SUMIFS(Compta!$F$1:$F$1448,Compta!$A$1:$A$1448,"GRP",Compta!$B$1:$B$1448,"6226",Compta!$C$1:$C$1448,$A106)+_xlfn.SUMIFS(Compta!$F$1:$F$1448,Compta!$A$1:$A$1448,"GRP",Compta!$B$1:$B$1448,"626",Compta!$C$1:$C$1448,$A106)+_xlfn.SUMIFS(Compta!$F$1:$F$1448,Compta!$A$1:$A$1448,"GRP",Compta!$B$1:$B$1448,"6281",Compta!$C$1:$C$1448,$A106)+_xlfn.SUMIFS(Compta!$F$1:$F$1448,Compta!$A$1:$A$1448,"GRP",Compta!$B$1:$B$1448,"6331",Compta!$C$1:$C$1448,$A106)+_xlfn.SUMIFS(Compta!$F$1:$F$1448,Compta!$A$1:$A$1448,"GRP",Compta!$B$1:$B$1448,"6333",Compta!$C$1:$C$1448,$A106))</f>
        <v>2639292</v>
      </c>
      <c r="AC106" t="s">
        <v>274</v>
      </c>
      <c r="AD106" t="s">
        <v>274</v>
      </c>
      <c r="AE106" t="s">
        <v>274</v>
      </c>
      <c r="AF106" t="s">
        <v>274</v>
      </c>
      <c r="AG106" t="s">
        <v>274</v>
      </c>
      <c r="AH106" t="s">
        <v>274</v>
      </c>
      <c r="AI106">
        <f t="shared" si="3"/>
        <v>19281.5</v>
      </c>
      <c r="AJ106">
        <f t="shared" si="4"/>
        <v>35798.7</v>
      </c>
      <c r="AK106">
        <f t="shared" si="5"/>
        <v>15612.4417475728</v>
      </c>
      <c r="AL106">
        <f t="shared" si="6"/>
        <v>0</v>
      </c>
      <c r="AM106">
        <f t="shared" si="7"/>
        <v>0</v>
      </c>
      <c r="AN106">
        <f t="shared" si="8"/>
        <v>224507.358252427</v>
      </c>
      <c r="AO106">
        <f>IF($A106="","",_xlfn.SUMIFS(Compta!$F$1:$F$1448,Compta!$A$1:$A$1448,"GRP",Compta!$B$1:$B$1448,"6236",Compta!$C$1:$C$1448,$A106))</f>
        <v>499926</v>
      </c>
      <c r="AP106" t="s">
        <v>274</v>
      </c>
      <c r="AQ106" t="s">
        <v>274</v>
      </c>
      <c r="AR106">
        <f t="shared" si="9"/>
        <v>0</v>
      </c>
    </row>
    <row r="107" ht="14.25" customHeight="1">
      <c r="A107" t="str">
        <f>IF(Allocation!C107="","",Allocation!C107)</f>
        <v>2026</v>
      </c>
      <c r="B107" t="str">
        <f>IF(Allocation!D107="","",Allocation!D107)</f>
        <v>IPAC_NAN</v>
      </c>
      <c r="C107" t="str">
        <f>IF(Allocation!E107="","",Allocation!E107)</f>
        <v>IPAC</v>
      </c>
      <c r="D107" t="str">
        <f>IF(Allocation!F107="","",Allocation!F107)</f>
        <v>BAC_CCE</v>
      </c>
      <c r="E107" t="str">
        <f>IF(Allocation!G107="","",Allocation!G107)</f>
        <v>B1</v>
      </c>
      <c r="F107" t="str">
        <f>IF(Allocation!H107="","",Allocation!H107)</f>
        <v>ALT</v>
      </c>
      <c r="G107">
        <f>IF(Allocation!D107="","",Allocation!I107)</f>
        <v>50</v>
      </c>
      <c r="H107">
        <f>IF(Allocation!D107="","",Allocation!J107)</f>
        <v>2</v>
      </c>
      <c r="I107">
        <f>IF(Allocation!D107="","",Allocation!K107)</f>
        <v>354500</v>
      </c>
      <c r="J107">
        <f>IF($A107="","",_xlfn.SUMIFS(Socle!$K$1:$K$448,Socle!$C$1:$C$448,$B107,Socle!$D$1:$D$448,$D107,Socle!$E$1:$E$448,$E107,Socle!$F$1:$F$448,$F107,Socle!$G$1:$G$448,$A107))</f>
        <v>100</v>
      </c>
      <c r="K107">
        <f t="shared" si="0"/>
        <v>960</v>
      </c>
      <c r="L107">
        <f>IF($A107="","",_xlfn.SUMIFS(Allocation!$I$1:$I$175,Allocation!$C$1:$C$175,$A107,Allocation!$D$1:$D$175,$B107))</f>
        <v>145</v>
      </c>
      <c r="M107">
        <f>IF($A107="","",_xlfn.SUMIFS(Allocation!$J$1:$J$175,Allocation!$C$1:$C$175,$A107,Allocation!$D$1:$D$175,$B107))</f>
        <v>6</v>
      </c>
      <c r="N107">
        <f>IF($A107="","",_xlfn.SUMIFS(Allocation!$K$1:$K$175,Allocation!$C$1:$C$175,$A107,Allocation!$D$1:$D$175,$B107))</f>
        <v>1019500</v>
      </c>
      <c r="O107">
        <f t="shared" si="1"/>
        <v>2880</v>
      </c>
      <c r="P107">
        <f t="shared" si="2"/>
        <v>100</v>
      </c>
      <c r="Q107">
        <f>IF($A107="","",_xlfn.SUMIFS(Allocation!$I$1:$I$175,Allocation!$C$1:$C$175,$A107,Allocation!$E$1:$E$175,$C107))</f>
        <v>379</v>
      </c>
      <c r="R107">
        <f>IF($A107="","",_xlfn.SUMIFS(Allocation!$J$1:$J$175,Allocation!$C$1:$C$175,$A107,Allocation!$E$1:$E$175,$C107))</f>
        <v>18</v>
      </c>
      <c r="S107">
        <f>IF($A107="","",_xlfn.SUMIFS(Allocation!$K$1:$K$175,Allocation!$C$1:$C$175,$A107,Allocation!$E$1:$E$175,$C107))</f>
        <v>2582800</v>
      </c>
      <c r="T107">
        <f>IF($A107="","",_xlfn.SUMIFS(Allocation!$I$1:$I$175,Allocation!$C$1:$C$175,$A107))</f>
        <v>3036</v>
      </c>
      <c r="U107">
        <f>IF($A107="","",_xlfn.SUMIFS(Allocation!$J$1:$J$175,Allocation!$C$1:$C$175,$A107))</f>
        <v>131</v>
      </c>
      <c r="V107">
        <f>IF($A107="","",_xlfn.SUMIFS(Allocation!$K$1:$K$175,Allocation!$C$1:$C$175,$A107))</f>
        <v>22544725</v>
      </c>
      <c r="W107">
        <f>IF($A107="","",_xlfn.SUMIFS(Compta!$F$1:$F$1448,Compta!$A$1:$A$1448,$B107,Compta!$B$1:$B$1448,"621",Compta!$C$1:$C$1448,$A107))</f>
        <v>72438</v>
      </c>
      <c r="X107">
        <f>IF($A107="","",_xlfn.SUMIFS(Compta!$F$1:$F$1448,Compta!$A$1:$A$1448,$B107,Compta!$B$1:$B$1448,"6411",Compta!$C$1:$C$1448,$A107))</f>
        <v>149433</v>
      </c>
      <c r="Y107">
        <f>IF($A107="","",_xlfn.SUMIFS(Compta!$F$1:$F$1448,Compta!$A$1:$A$1448,$B107,Compta!$B$1:$B$1448,"604",Compta!$C$1:$C$1448,$A107)+_xlfn.SUMIFS(Compta!$F$1:$F$1448,Compta!$A$1:$A$1448,$B107,Compta!$B$1:$B$1448,"6063",Compta!$C$1:$C$1448,$A107))</f>
        <v>53954</v>
      </c>
      <c r="Z107">
        <f>IF($A107="","",_xlfn.SUMIFS(Compta!$F$1:$F$1448,Compta!$A$1:$A$1448,$B107,Compta!$B$1:$B$1448,"6231",Compta!$C$1:$C$1448,$A107))</f>
        <v>21760</v>
      </c>
      <c r="AA107">
        <f>IF($A107="","",_xlfn.SUMIFS(Compta!$F$1:$F$1448,Compta!$A$1:$A$1448,$B107,Compta!$B$1:$B$1448,"6413",Compta!$C$1:$C$1448,$A107)+_xlfn.SUMIFS(Compta!$F$1:$F$1448,Compta!$A$1:$A$1448,$B107,Compta!$B$1:$B$1448,"645",Compta!$C$1:$C$1448,$A107)+_xlfn.SUMIFS(Compta!$F$1:$F$1448,Compta!$A$1:$A$1448,$B107,Compta!$B$1:$B$1448,"613",Compta!$C$1:$C$1448,$A107)+_xlfn.SUMIFS(Compta!$F$1:$F$1448,Compta!$A$1:$A$1448,$B107,Compta!$B$1:$B$1448,"615",Compta!$C$1:$C$1448,$A107)+_xlfn.SUMIFS(Compta!$F$1:$F$1448,Compta!$A$1:$A$1448,$B107,Compta!$B$1:$B$1448,"616",Compta!$C$1:$C$1448,$A107)+_xlfn.SUMIFS(Compta!$F$1:$F$1448,Compta!$A$1:$A$1448,$B107,Compta!$B$1:$B$1448,"625",Compta!$C$1:$C$1448,$A107)+_xlfn.SUMIFS(Compta!$F$1:$F$1448,Compta!$A$1:$A$1448,$B107,Compta!$B$1:$B$1448,"63511",Compta!$C$1:$C$1448,$A107))</f>
        <v>346231</v>
      </c>
      <c r="AB107">
        <f>IF($A107="","",_xlfn.SUMIFS(Compta!$F$1:$F$1448,Compta!$A$1:$A$1448,"GRP",Compta!$B$1:$B$1448,"6414",Compta!$C$1:$C$1448,$A107)+_xlfn.SUMIFS(Compta!$F$1:$F$1448,Compta!$A$1:$A$1448,"GRP",Compta!$B$1:$B$1448,"6226",Compta!$C$1:$C$1448,$A107)+_xlfn.SUMIFS(Compta!$F$1:$F$1448,Compta!$A$1:$A$1448,"GRP",Compta!$B$1:$B$1448,"626",Compta!$C$1:$C$1448,$A107)+_xlfn.SUMIFS(Compta!$F$1:$F$1448,Compta!$A$1:$A$1448,"GRP",Compta!$B$1:$B$1448,"6281",Compta!$C$1:$C$1448,$A107)+_xlfn.SUMIFS(Compta!$F$1:$F$1448,Compta!$A$1:$A$1448,"GRP",Compta!$B$1:$B$1448,"6331",Compta!$C$1:$C$1448,$A107)+_xlfn.SUMIFS(Compta!$F$1:$F$1448,Compta!$A$1:$A$1448,"GRP",Compta!$B$1:$B$1448,"6333",Compta!$C$1:$C$1448,$A107))</f>
        <v>2891983</v>
      </c>
      <c r="AC107" t="s">
        <v>274</v>
      </c>
      <c r="AD107" t="s">
        <v>274</v>
      </c>
      <c r="AE107" t="s">
        <v>274</v>
      </c>
      <c r="AF107" t="s">
        <v>274</v>
      </c>
      <c r="AG107" t="s">
        <v>274</v>
      </c>
      <c r="AH107" t="s">
        <v>274</v>
      </c>
      <c r="AI107">
        <f t="shared" si="3"/>
        <v>24146</v>
      </c>
      <c r="AJ107">
        <f t="shared" si="4"/>
        <v>49811</v>
      </c>
      <c r="AK107">
        <f t="shared" si="5"/>
        <v>40364.8275862069</v>
      </c>
      <c r="AL107">
        <f t="shared" si="6"/>
        <v>0</v>
      </c>
      <c r="AM107">
        <f t="shared" si="7"/>
        <v>0</v>
      </c>
      <c r="AN107">
        <f t="shared" si="8"/>
        <v>240178.172413793</v>
      </c>
      <c r="AO107">
        <f>IF($A107="","",_xlfn.SUMIFS(Compta!$F$1:$F$1448,Compta!$A$1:$A$1448,"GRP",Compta!$B$1:$B$1448,"6236",Compta!$C$1:$C$1448,$A107))</f>
        <v>676344</v>
      </c>
      <c r="AP107" t="s">
        <v>274</v>
      </c>
      <c r="AQ107" t="s">
        <v>274</v>
      </c>
      <c r="AR107">
        <f t="shared" si="9"/>
        <v>0</v>
      </c>
    </row>
    <row r="108" ht="14.25" customHeight="1">
      <c r="A108" t="str">
        <f>IF(Allocation!C108="","",Allocation!C108)</f>
        <v>2026</v>
      </c>
      <c r="B108" t="str">
        <f>IF(Allocation!D108="","",Allocation!D108)</f>
        <v>IPAC_NAN</v>
      </c>
      <c r="C108" t="str">
        <f>IF(Allocation!E108="","",Allocation!E108)</f>
        <v>IPAC</v>
      </c>
      <c r="D108" t="str">
        <f>IF(Allocation!F108="","",Allocation!F108)</f>
        <v>BAC_CCE</v>
      </c>
      <c r="E108" t="str">
        <f>IF(Allocation!G108="","",Allocation!G108)</f>
        <v>B2</v>
      </c>
      <c r="F108" t="str">
        <f>IF(Allocation!H108="","",Allocation!H108)</f>
        <v>ALT</v>
      </c>
      <c r="G108">
        <f>IF(Allocation!D108="","",Allocation!I108)</f>
        <v>48</v>
      </c>
      <c r="H108">
        <f>IF(Allocation!D108="","",Allocation!J108)</f>
        <v>2</v>
      </c>
      <c r="I108">
        <f>IF(Allocation!D108="","",Allocation!K108)</f>
        <v>336000</v>
      </c>
      <c r="J108">
        <f>IF($A108="","",_xlfn.SUMIFS(Socle!$K$1:$K$448,Socle!$C$1:$C$448,$B108,Socle!$D$1:$D$448,$D108,Socle!$E$1:$E$448,$E108,Socle!$F$1:$F$448,$F108,Socle!$G$1:$G$448,$A108))</f>
        <v>0</v>
      </c>
      <c r="K108">
        <f t="shared" si="0"/>
        <v>960</v>
      </c>
      <c r="L108">
        <f>IF($A108="","",_xlfn.SUMIFS(Allocation!$I$1:$I$175,Allocation!$C$1:$C$175,$A108,Allocation!$D$1:$D$175,$B108))</f>
        <v>145</v>
      </c>
      <c r="M108">
        <f>IF($A108="","",_xlfn.SUMIFS(Allocation!$J$1:$J$175,Allocation!$C$1:$C$175,$A108,Allocation!$D$1:$D$175,$B108))</f>
        <v>6</v>
      </c>
      <c r="N108">
        <f>IF($A108="","",_xlfn.SUMIFS(Allocation!$K$1:$K$175,Allocation!$C$1:$C$175,$A108,Allocation!$D$1:$D$175,$B108))</f>
        <v>1019500</v>
      </c>
      <c r="O108">
        <f t="shared" si="1"/>
        <v>2880</v>
      </c>
      <c r="P108">
        <f t="shared" si="2"/>
        <v>100</v>
      </c>
      <c r="Q108">
        <f>IF($A108="","",_xlfn.SUMIFS(Allocation!$I$1:$I$175,Allocation!$C$1:$C$175,$A108,Allocation!$E$1:$E$175,$C108))</f>
        <v>379</v>
      </c>
      <c r="R108">
        <f>IF($A108="","",_xlfn.SUMIFS(Allocation!$J$1:$J$175,Allocation!$C$1:$C$175,$A108,Allocation!$E$1:$E$175,$C108))</f>
        <v>18</v>
      </c>
      <c r="S108">
        <f>IF($A108="","",_xlfn.SUMIFS(Allocation!$K$1:$K$175,Allocation!$C$1:$C$175,$A108,Allocation!$E$1:$E$175,$C108))</f>
        <v>2582800</v>
      </c>
      <c r="T108">
        <f>IF($A108="","",_xlfn.SUMIFS(Allocation!$I$1:$I$175,Allocation!$C$1:$C$175,$A108))</f>
        <v>3036</v>
      </c>
      <c r="U108">
        <f>IF($A108="","",_xlfn.SUMIFS(Allocation!$J$1:$J$175,Allocation!$C$1:$C$175,$A108))</f>
        <v>131</v>
      </c>
      <c r="V108">
        <f>IF($A108="","",_xlfn.SUMIFS(Allocation!$K$1:$K$175,Allocation!$C$1:$C$175,$A108))</f>
        <v>22544725</v>
      </c>
      <c r="W108">
        <f>IF($A108="","",_xlfn.SUMIFS(Compta!$F$1:$F$1448,Compta!$A$1:$A$1448,$B108,Compta!$B$1:$B$1448,"621",Compta!$C$1:$C$1448,$A108))</f>
        <v>72438</v>
      </c>
      <c r="X108">
        <f>IF($A108="","",_xlfn.SUMIFS(Compta!$F$1:$F$1448,Compta!$A$1:$A$1448,$B108,Compta!$B$1:$B$1448,"6411",Compta!$C$1:$C$1448,$A108))</f>
        <v>149433</v>
      </c>
      <c r="Y108">
        <f>IF($A108="","",_xlfn.SUMIFS(Compta!$F$1:$F$1448,Compta!$A$1:$A$1448,$B108,Compta!$B$1:$B$1448,"604",Compta!$C$1:$C$1448,$A108)+_xlfn.SUMIFS(Compta!$F$1:$F$1448,Compta!$A$1:$A$1448,$B108,Compta!$B$1:$B$1448,"6063",Compta!$C$1:$C$1448,$A108))</f>
        <v>53954</v>
      </c>
      <c r="Z108">
        <f>IF($A108="","",_xlfn.SUMIFS(Compta!$F$1:$F$1448,Compta!$A$1:$A$1448,$B108,Compta!$B$1:$B$1448,"6231",Compta!$C$1:$C$1448,$A108))</f>
        <v>21760</v>
      </c>
      <c r="AA108">
        <f>IF($A108="","",_xlfn.SUMIFS(Compta!$F$1:$F$1448,Compta!$A$1:$A$1448,$B108,Compta!$B$1:$B$1448,"6413",Compta!$C$1:$C$1448,$A108)+_xlfn.SUMIFS(Compta!$F$1:$F$1448,Compta!$A$1:$A$1448,$B108,Compta!$B$1:$B$1448,"645",Compta!$C$1:$C$1448,$A108)+_xlfn.SUMIFS(Compta!$F$1:$F$1448,Compta!$A$1:$A$1448,$B108,Compta!$B$1:$B$1448,"613",Compta!$C$1:$C$1448,$A108)+_xlfn.SUMIFS(Compta!$F$1:$F$1448,Compta!$A$1:$A$1448,$B108,Compta!$B$1:$B$1448,"615",Compta!$C$1:$C$1448,$A108)+_xlfn.SUMIFS(Compta!$F$1:$F$1448,Compta!$A$1:$A$1448,$B108,Compta!$B$1:$B$1448,"616",Compta!$C$1:$C$1448,$A108)+_xlfn.SUMIFS(Compta!$F$1:$F$1448,Compta!$A$1:$A$1448,$B108,Compta!$B$1:$B$1448,"625",Compta!$C$1:$C$1448,$A108)+_xlfn.SUMIFS(Compta!$F$1:$F$1448,Compta!$A$1:$A$1448,$B108,Compta!$B$1:$B$1448,"63511",Compta!$C$1:$C$1448,$A108))</f>
        <v>346231</v>
      </c>
      <c r="AB108">
        <f>IF($A108="","",_xlfn.SUMIFS(Compta!$F$1:$F$1448,Compta!$A$1:$A$1448,"GRP",Compta!$B$1:$B$1448,"6414",Compta!$C$1:$C$1448,$A108)+_xlfn.SUMIFS(Compta!$F$1:$F$1448,Compta!$A$1:$A$1448,"GRP",Compta!$B$1:$B$1448,"6226",Compta!$C$1:$C$1448,$A108)+_xlfn.SUMIFS(Compta!$F$1:$F$1448,Compta!$A$1:$A$1448,"GRP",Compta!$B$1:$B$1448,"626",Compta!$C$1:$C$1448,$A108)+_xlfn.SUMIFS(Compta!$F$1:$F$1448,Compta!$A$1:$A$1448,"GRP",Compta!$B$1:$B$1448,"6281",Compta!$C$1:$C$1448,$A108)+_xlfn.SUMIFS(Compta!$F$1:$F$1448,Compta!$A$1:$A$1448,"GRP",Compta!$B$1:$B$1448,"6331",Compta!$C$1:$C$1448,$A108)+_xlfn.SUMIFS(Compta!$F$1:$F$1448,Compta!$A$1:$A$1448,"GRP",Compta!$B$1:$B$1448,"6333",Compta!$C$1:$C$1448,$A108))</f>
        <v>2891983</v>
      </c>
      <c r="AC108" t="s">
        <v>274</v>
      </c>
      <c r="AD108" t="s">
        <v>274</v>
      </c>
      <c r="AE108" t="s">
        <v>274</v>
      </c>
      <c r="AF108" t="s">
        <v>274</v>
      </c>
      <c r="AG108" t="s">
        <v>274</v>
      </c>
      <c r="AH108" t="s">
        <v>274</v>
      </c>
      <c r="AI108">
        <f t="shared" si="3"/>
        <v>24146</v>
      </c>
      <c r="AJ108">
        <f t="shared" si="4"/>
        <v>49811</v>
      </c>
      <c r="AK108">
        <f t="shared" si="5"/>
        <v>17860.6344827586</v>
      </c>
      <c r="AL108">
        <f t="shared" si="6"/>
        <v>0</v>
      </c>
      <c r="AM108">
        <f t="shared" si="7"/>
        <v>0</v>
      </c>
      <c r="AN108">
        <f t="shared" si="8"/>
        <v>244182.365517241</v>
      </c>
      <c r="AO108">
        <f>IF($A108="","",_xlfn.SUMIFS(Compta!$F$1:$F$1448,Compta!$A$1:$A$1448,"GRP",Compta!$B$1:$B$1448,"6236",Compta!$C$1:$C$1448,$A108))</f>
        <v>676344</v>
      </c>
      <c r="AP108" t="s">
        <v>274</v>
      </c>
      <c r="AQ108" t="s">
        <v>274</v>
      </c>
      <c r="AR108">
        <f t="shared" si="9"/>
        <v>0</v>
      </c>
    </row>
    <row r="109" ht="14.25" customHeight="1">
      <c r="A109" t="str">
        <f>IF(Allocation!C109="","",Allocation!C109)</f>
        <v>2026</v>
      </c>
      <c r="B109" t="str">
        <f>IF(Allocation!D109="","",Allocation!D109)</f>
        <v>IPAC_NAN</v>
      </c>
      <c r="C109" t="str">
        <f>IF(Allocation!E109="","",Allocation!E109)</f>
        <v>IPAC</v>
      </c>
      <c r="D109" t="str">
        <f>IF(Allocation!F109="","",Allocation!F109)</f>
        <v>BAC_CCE</v>
      </c>
      <c r="E109" t="str">
        <f>IF(Allocation!G109="","",Allocation!G109)</f>
        <v>B3</v>
      </c>
      <c r="F109" t="str">
        <f>IF(Allocation!H109="","",Allocation!H109)</f>
        <v>ALT</v>
      </c>
      <c r="G109">
        <f>IF(Allocation!D109="","",Allocation!I109)</f>
        <v>47</v>
      </c>
      <c r="H109">
        <f>IF(Allocation!D109="","",Allocation!J109)</f>
        <v>2</v>
      </c>
      <c r="I109">
        <f>IF(Allocation!D109="","",Allocation!K109)</f>
        <v>329000</v>
      </c>
      <c r="J109">
        <f>IF($A109="","",_xlfn.SUMIFS(Socle!$K$1:$K$448,Socle!$C$1:$C$448,$B109,Socle!$D$1:$D$448,$D109,Socle!$E$1:$E$448,$E109,Socle!$F$1:$F$448,$F109,Socle!$G$1:$G$448,$A109))</f>
        <v>0</v>
      </c>
      <c r="K109">
        <f t="shared" si="0"/>
        <v>960</v>
      </c>
      <c r="L109">
        <f>IF($A109="","",_xlfn.SUMIFS(Allocation!$I$1:$I$175,Allocation!$C$1:$C$175,$A109,Allocation!$D$1:$D$175,$B109))</f>
        <v>145</v>
      </c>
      <c r="M109">
        <f>IF($A109="","",_xlfn.SUMIFS(Allocation!$J$1:$J$175,Allocation!$C$1:$C$175,$A109,Allocation!$D$1:$D$175,$B109))</f>
        <v>6</v>
      </c>
      <c r="N109">
        <f>IF($A109="","",_xlfn.SUMIFS(Allocation!$K$1:$K$175,Allocation!$C$1:$C$175,$A109,Allocation!$D$1:$D$175,$B109))</f>
        <v>1019500</v>
      </c>
      <c r="O109">
        <f t="shared" si="1"/>
        <v>2880</v>
      </c>
      <c r="P109">
        <f t="shared" si="2"/>
        <v>100</v>
      </c>
      <c r="Q109">
        <f>IF($A109="","",_xlfn.SUMIFS(Allocation!$I$1:$I$175,Allocation!$C$1:$C$175,$A109,Allocation!$E$1:$E$175,$C109))</f>
        <v>379</v>
      </c>
      <c r="R109">
        <f>IF($A109="","",_xlfn.SUMIFS(Allocation!$J$1:$J$175,Allocation!$C$1:$C$175,$A109,Allocation!$E$1:$E$175,$C109))</f>
        <v>18</v>
      </c>
      <c r="S109">
        <f>IF($A109="","",_xlfn.SUMIFS(Allocation!$K$1:$K$175,Allocation!$C$1:$C$175,$A109,Allocation!$E$1:$E$175,$C109))</f>
        <v>2582800</v>
      </c>
      <c r="T109">
        <f>IF($A109="","",_xlfn.SUMIFS(Allocation!$I$1:$I$175,Allocation!$C$1:$C$175,$A109))</f>
        <v>3036</v>
      </c>
      <c r="U109">
        <f>IF($A109="","",_xlfn.SUMIFS(Allocation!$J$1:$J$175,Allocation!$C$1:$C$175,$A109))</f>
        <v>131</v>
      </c>
      <c r="V109">
        <f>IF($A109="","",_xlfn.SUMIFS(Allocation!$K$1:$K$175,Allocation!$C$1:$C$175,$A109))</f>
        <v>22544725</v>
      </c>
      <c r="W109">
        <f>IF($A109="","",_xlfn.SUMIFS(Compta!$F$1:$F$1448,Compta!$A$1:$A$1448,$B109,Compta!$B$1:$B$1448,"621",Compta!$C$1:$C$1448,$A109))</f>
        <v>72438</v>
      </c>
      <c r="X109">
        <f>IF($A109="","",_xlfn.SUMIFS(Compta!$F$1:$F$1448,Compta!$A$1:$A$1448,$B109,Compta!$B$1:$B$1448,"6411",Compta!$C$1:$C$1448,$A109))</f>
        <v>149433</v>
      </c>
      <c r="Y109">
        <f>IF($A109="","",_xlfn.SUMIFS(Compta!$F$1:$F$1448,Compta!$A$1:$A$1448,$B109,Compta!$B$1:$B$1448,"604",Compta!$C$1:$C$1448,$A109)+_xlfn.SUMIFS(Compta!$F$1:$F$1448,Compta!$A$1:$A$1448,$B109,Compta!$B$1:$B$1448,"6063",Compta!$C$1:$C$1448,$A109))</f>
        <v>53954</v>
      </c>
      <c r="Z109">
        <f>IF($A109="","",_xlfn.SUMIFS(Compta!$F$1:$F$1448,Compta!$A$1:$A$1448,$B109,Compta!$B$1:$B$1448,"6231",Compta!$C$1:$C$1448,$A109))</f>
        <v>21760</v>
      </c>
      <c r="AA109">
        <f>IF($A109="","",_xlfn.SUMIFS(Compta!$F$1:$F$1448,Compta!$A$1:$A$1448,$B109,Compta!$B$1:$B$1448,"6413",Compta!$C$1:$C$1448,$A109)+_xlfn.SUMIFS(Compta!$F$1:$F$1448,Compta!$A$1:$A$1448,$B109,Compta!$B$1:$B$1448,"645",Compta!$C$1:$C$1448,$A109)+_xlfn.SUMIFS(Compta!$F$1:$F$1448,Compta!$A$1:$A$1448,$B109,Compta!$B$1:$B$1448,"613",Compta!$C$1:$C$1448,$A109)+_xlfn.SUMIFS(Compta!$F$1:$F$1448,Compta!$A$1:$A$1448,$B109,Compta!$B$1:$B$1448,"615",Compta!$C$1:$C$1448,$A109)+_xlfn.SUMIFS(Compta!$F$1:$F$1448,Compta!$A$1:$A$1448,$B109,Compta!$B$1:$B$1448,"616",Compta!$C$1:$C$1448,$A109)+_xlfn.SUMIFS(Compta!$F$1:$F$1448,Compta!$A$1:$A$1448,$B109,Compta!$B$1:$B$1448,"625",Compta!$C$1:$C$1448,$A109)+_xlfn.SUMIFS(Compta!$F$1:$F$1448,Compta!$A$1:$A$1448,$B109,Compta!$B$1:$B$1448,"63511",Compta!$C$1:$C$1448,$A109))</f>
        <v>346231</v>
      </c>
      <c r="AB109">
        <f>IF($A109="","",_xlfn.SUMIFS(Compta!$F$1:$F$1448,Compta!$A$1:$A$1448,"GRP",Compta!$B$1:$B$1448,"6414",Compta!$C$1:$C$1448,$A109)+_xlfn.SUMIFS(Compta!$F$1:$F$1448,Compta!$A$1:$A$1448,"GRP",Compta!$B$1:$B$1448,"6226",Compta!$C$1:$C$1448,$A109)+_xlfn.SUMIFS(Compta!$F$1:$F$1448,Compta!$A$1:$A$1448,"GRP",Compta!$B$1:$B$1448,"626",Compta!$C$1:$C$1448,$A109)+_xlfn.SUMIFS(Compta!$F$1:$F$1448,Compta!$A$1:$A$1448,"GRP",Compta!$B$1:$B$1448,"6281",Compta!$C$1:$C$1448,$A109)+_xlfn.SUMIFS(Compta!$F$1:$F$1448,Compta!$A$1:$A$1448,"GRP",Compta!$B$1:$B$1448,"6331",Compta!$C$1:$C$1448,$A109)+_xlfn.SUMIFS(Compta!$F$1:$F$1448,Compta!$A$1:$A$1448,"GRP",Compta!$B$1:$B$1448,"6333",Compta!$C$1:$C$1448,$A109))</f>
        <v>2891983</v>
      </c>
      <c r="AC109" t="s">
        <v>274</v>
      </c>
      <c r="AD109" t="s">
        <v>274</v>
      </c>
      <c r="AE109" t="s">
        <v>274</v>
      </c>
      <c r="AF109" t="s">
        <v>274</v>
      </c>
      <c r="AG109" t="s">
        <v>274</v>
      </c>
      <c r="AH109" t="s">
        <v>274</v>
      </c>
      <c r="AI109">
        <f t="shared" si="3"/>
        <v>24146</v>
      </c>
      <c r="AJ109">
        <f t="shared" si="4"/>
        <v>49811</v>
      </c>
      <c r="AK109">
        <f t="shared" si="5"/>
        <v>17488.5379310345</v>
      </c>
      <c r="AL109">
        <f t="shared" si="6"/>
        <v>0</v>
      </c>
      <c r="AM109">
        <f t="shared" si="7"/>
        <v>0</v>
      </c>
      <c r="AN109">
        <f t="shared" si="8"/>
        <v>237554.462068965</v>
      </c>
      <c r="AO109">
        <f>IF($A109="","",_xlfn.SUMIFS(Compta!$F$1:$F$1448,Compta!$A$1:$A$1448,"GRP",Compta!$B$1:$B$1448,"6236",Compta!$C$1:$C$1448,$A109))</f>
        <v>676344</v>
      </c>
      <c r="AP109" t="s">
        <v>274</v>
      </c>
      <c r="AQ109" t="s">
        <v>274</v>
      </c>
      <c r="AR109">
        <f t="shared" si="9"/>
        <v>0</v>
      </c>
    </row>
    <row r="110" ht="14.25" customHeight="1">
      <c r="A110" t="str">
        <f>IF(Allocation!C110="","",Allocation!C110)</f>
        <v>2025</v>
      </c>
      <c r="B110" t="str">
        <f>IF(Allocation!D110="","",Allocation!D110)</f>
        <v>IPAC_NAN</v>
      </c>
      <c r="C110" t="str">
        <f>IF(Allocation!E110="","",Allocation!E110)</f>
        <v>IPAC</v>
      </c>
      <c r="D110" t="str">
        <f>IF(Allocation!F110="","",Allocation!F110)</f>
        <v>BAC_CCE</v>
      </c>
      <c r="E110" t="str">
        <f>IF(Allocation!G110="","",Allocation!G110)</f>
        <v>B1</v>
      </c>
      <c r="F110" t="str">
        <f>IF(Allocation!H110="","",Allocation!H110)</f>
        <v>ALT</v>
      </c>
      <c r="G110">
        <f>IF(Allocation!D110="","",Allocation!I110)</f>
        <v>47</v>
      </c>
      <c r="H110">
        <f>IF(Allocation!D110="","",Allocation!J110)</f>
        <v>2</v>
      </c>
      <c r="I110">
        <f>IF(Allocation!D110="","",Allocation!K110)</f>
        <v>333230</v>
      </c>
      <c r="J110">
        <f>IF($A110="","",_xlfn.SUMIFS(Socle!$K$1:$K$448,Socle!$C$1:$C$448,$B110,Socle!$D$1:$D$448,$D110,Socle!$E$1:$E$448,$E110,Socle!$F$1:$F$448,$F110,Socle!$G$1:$G$448,$A110))</f>
        <v>94</v>
      </c>
      <c r="K110">
        <f t="shared" si="0"/>
        <v>960</v>
      </c>
      <c r="L110">
        <f>IF($A110="","",_xlfn.SUMIFS(Allocation!$I$1:$I$175,Allocation!$C$1:$C$175,$A110,Allocation!$D$1:$D$175,$B110))</f>
        <v>136</v>
      </c>
      <c r="M110">
        <f>IF($A110="","",_xlfn.SUMIFS(Allocation!$J$1:$J$175,Allocation!$C$1:$C$175,$A110,Allocation!$D$1:$D$175,$B110))</f>
        <v>6</v>
      </c>
      <c r="N110">
        <f>IF($A110="","",_xlfn.SUMIFS(Allocation!$K$1:$K$175,Allocation!$C$1:$C$175,$A110,Allocation!$D$1:$D$175,$B110))</f>
        <v>956230</v>
      </c>
      <c r="O110">
        <f t="shared" si="1"/>
        <v>2880</v>
      </c>
      <c r="P110">
        <f t="shared" si="2"/>
        <v>94</v>
      </c>
      <c r="Q110">
        <f>IF($A110="","",_xlfn.SUMIFS(Allocation!$I$1:$I$175,Allocation!$C$1:$C$175,$A110,Allocation!$E$1:$E$175,$C110))</f>
        <v>358</v>
      </c>
      <c r="R110">
        <f>IF($A110="","",_xlfn.SUMIFS(Allocation!$J$1:$J$175,Allocation!$C$1:$C$175,$A110,Allocation!$E$1:$E$175,$C110))</f>
        <v>18</v>
      </c>
      <c r="S110">
        <f>IF($A110="","",_xlfn.SUMIFS(Allocation!$K$1:$K$175,Allocation!$C$1:$C$175,$A110,Allocation!$E$1:$E$175,$C110))</f>
        <v>2439370</v>
      </c>
      <c r="T110">
        <f>IF($A110="","",_xlfn.SUMIFS(Allocation!$I$1:$I$175,Allocation!$C$1:$C$175,$A110))</f>
        <v>2860</v>
      </c>
      <c r="U110">
        <f>IF($A110="","",_xlfn.SUMIFS(Allocation!$J$1:$J$175,Allocation!$C$1:$C$175,$A110))</f>
        <v>131</v>
      </c>
      <c r="V110">
        <f>IF($A110="","",_xlfn.SUMIFS(Allocation!$K$1:$K$175,Allocation!$C$1:$C$175,$A110))</f>
        <v>21240140</v>
      </c>
      <c r="W110">
        <f>IF($A110="","",_xlfn.SUMIFS(Compta!$F$1:$F$1448,Compta!$A$1:$A$1448,$B110,Compta!$B$1:$B$1448,"621",Compta!$C$1:$C$1448,$A110))</f>
        <v>69137</v>
      </c>
      <c r="X110">
        <f>IF($A110="","",_xlfn.SUMIFS(Compta!$F$1:$F$1448,Compta!$A$1:$A$1448,$B110,Compta!$B$1:$B$1448,"6411",Compta!$C$1:$C$1448,$A110))</f>
        <v>142625</v>
      </c>
      <c r="Y110">
        <f>IF($A110="","",_xlfn.SUMIFS(Compta!$F$1:$F$1448,Compta!$A$1:$A$1448,$B110,Compta!$B$1:$B$1448,"604",Compta!$C$1:$C$1448,$A110)+_xlfn.SUMIFS(Compta!$F$1:$F$1448,Compta!$A$1:$A$1448,$B110,Compta!$B$1:$B$1448,"6063",Compta!$C$1:$C$1448,$A110))</f>
        <v>51495</v>
      </c>
      <c r="Z110">
        <f>IF($A110="","",_xlfn.SUMIFS(Compta!$F$1:$F$1448,Compta!$A$1:$A$1448,$B110,Compta!$B$1:$B$1448,"6231",Compta!$C$1:$C$1448,$A110))</f>
        <v>19782</v>
      </c>
      <c r="AA110">
        <f>IF($A110="","",_xlfn.SUMIFS(Compta!$F$1:$F$1448,Compta!$A$1:$A$1448,$B110,Compta!$B$1:$B$1448,"6413",Compta!$C$1:$C$1448,$A110)+_xlfn.SUMIFS(Compta!$F$1:$F$1448,Compta!$A$1:$A$1448,$B110,Compta!$B$1:$B$1448,"645",Compta!$C$1:$C$1448,$A110)+_xlfn.SUMIFS(Compta!$F$1:$F$1448,Compta!$A$1:$A$1448,$B110,Compta!$B$1:$B$1448,"613",Compta!$C$1:$C$1448,$A110)+_xlfn.SUMIFS(Compta!$F$1:$F$1448,Compta!$A$1:$A$1448,$B110,Compta!$B$1:$B$1448,"615",Compta!$C$1:$C$1448,$A110)+_xlfn.SUMIFS(Compta!$F$1:$F$1448,Compta!$A$1:$A$1448,$B110,Compta!$B$1:$B$1448,"616",Compta!$C$1:$C$1448,$A110)+_xlfn.SUMIFS(Compta!$F$1:$F$1448,Compta!$A$1:$A$1448,$B110,Compta!$B$1:$B$1448,"625",Compta!$C$1:$C$1448,$A110)+_xlfn.SUMIFS(Compta!$F$1:$F$1448,Compta!$A$1:$A$1448,$B110,Compta!$B$1:$B$1448,"63511",Compta!$C$1:$C$1448,$A110))</f>
        <v>330458</v>
      </c>
      <c r="AB110">
        <f>IF($A110="","",_xlfn.SUMIFS(Compta!$F$1:$F$1448,Compta!$A$1:$A$1448,"GRP",Compta!$B$1:$B$1448,"6414",Compta!$C$1:$C$1448,$A110)+_xlfn.SUMIFS(Compta!$F$1:$F$1448,Compta!$A$1:$A$1448,"GRP",Compta!$B$1:$B$1448,"6226",Compta!$C$1:$C$1448,$A110)+_xlfn.SUMIFS(Compta!$F$1:$F$1448,Compta!$A$1:$A$1448,"GRP",Compta!$B$1:$B$1448,"626",Compta!$C$1:$C$1448,$A110)+_xlfn.SUMIFS(Compta!$F$1:$F$1448,Compta!$A$1:$A$1448,"GRP",Compta!$B$1:$B$1448,"6281",Compta!$C$1:$C$1448,$A110)+_xlfn.SUMIFS(Compta!$F$1:$F$1448,Compta!$A$1:$A$1448,"GRP",Compta!$B$1:$B$1448,"6331",Compta!$C$1:$C$1448,$A110)+_xlfn.SUMIFS(Compta!$F$1:$F$1448,Compta!$A$1:$A$1448,"GRP",Compta!$B$1:$B$1448,"6333",Compta!$C$1:$C$1448,$A110))</f>
        <v>2760232</v>
      </c>
      <c r="AC110" t="s">
        <v>274</v>
      </c>
      <c r="AD110" t="s">
        <v>274</v>
      </c>
      <c r="AE110" t="s">
        <v>274</v>
      </c>
      <c r="AF110" t="s">
        <v>274</v>
      </c>
      <c r="AG110" t="s">
        <v>274</v>
      </c>
      <c r="AH110" t="s">
        <v>274</v>
      </c>
      <c r="AI110">
        <f t="shared" si="3"/>
        <v>23045.6666666667</v>
      </c>
      <c r="AJ110">
        <f t="shared" si="4"/>
        <v>47541.6666666667</v>
      </c>
      <c r="AK110">
        <f t="shared" si="5"/>
        <v>37578.0661764706</v>
      </c>
      <c r="AL110">
        <f t="shared" si="6"/>
        <v>0</v>
      </c>
      <c r="AM110">
        <f t="shared" si="7"/>
        <v>0</v>
      </c>
      <c r="AN110">
        <f t="shared" si="8"/>
        <v>225064.600490196</v>
      </c>
      <c r="AO110">
        <f>IF($A110="","",_xlfn.SUMIFS(Compta!$F$1:$F$1448,Compta!$A$1:$A$1448,"GRP",Compta!$B$1:$B$1448,"6236",Compta!$C$1:$C$1448,$A110))</f>
        <v>580167</v>
      </c>
      <c r="AP110" t="s">
        <v>274</v>
      </c>
      <c r="AQ110" t="s">
        <v>274</v>
      </c>
      <c r="AR110">
        <f t="shared" si="9"/>
        <v>0</v>
      </c>
    </row>
    <row r="111" ht="14.25" customHeight="1">
      <c r="A111" t="str">
        <f>IF(Allocation!C111="","",Allocation!C111)</f>
        <v>2025</v>
      </c>
      <c r="B111" t="str">
        <f>IF(Allocation!D111="","",Allocation!D111)</f>
        <v>IPAC_NAN</v>
      </c>
      <c r="C111" t="str">
        <f>IF(Allocation!E111="","",Allocation!E111)</f>
        <v>IPAC</v>
      </c>
      <c r="D111" t="str">
        <f>IF(Allocation!F111="","",Allocation!F111)</f>
        <v>BAC_CCE</v>
      </c>
      <c r="E111" t="str">
        <f>IF(Allocation!G111="","",Allocation!G111)</f>
        <v>B2</v>
      </c>
      <c r="F111" t="str">
        <f>IF(Allocation!H111="","",Allocation!H111)</f>
        <v>ALT</v>
      </c>
      <c r="G111">
        <f>IF(Allocation!D111="","",Allocation!I111)</f>
        <v>45</v>
      </c>
      <c r="H111">
        <f>IF(Allocation!D111="","",Allocation!J111)</f>
        <v>2</v>
      </c>
      <c r="I111">
        <f>IF(Allocation!D111="","",Allocation!K111)</f>
        <v>315000</v>
      </c>
      <c r="J111">
        <f>IF($A111="","",_xlfn.SUMIFS(Socle!$K$1:$K$448,Socle!$C$1:$C$448,$B111,Socle!$D$1:$D$448,$D111,Socle!$E$1:$E$448,$E111,Socle!$F$1:$F$448,$F111,Socle!$G$1:$G$448,$A111))</f>
        <v>0</v>
      </c>
      <c r="K111">
        <f t="shared" si="0"/>
        <v>960</v>
      </c>
      <c r="L111">
        <f>IF($A111="","",_xlfn.SUMIFS(Allocation!$I$1:$I$175,Allocation!$C$1:$C$175,$A111,Allocation!$D$1:$D$175,$B111))</f>
        <v>136</v>
      </c>
      <c r="M111">
        <f>IF($A111="","",_xlfn.SUMIFS(Allocation!$J$1:$J$175,Allocation!$C$1:$C$175,$A111,Allocation!$D$1:$D$175,$B111))</f>
        <v>6</v>
      </c>
      <c r="N111">
        <f>IF($A111="","",_xlfn.SUMIFS(Allocation!$K$1:$K$175,Allocation!$C$1:$C$175,$A111,Allocation!$D$1:$D$175,$B111))</f>
        <v>956230</v>
      </c>
      <c r="O111">
        <f t="shared" si="1"/>
        <v>2880</v>
      </c>
      <c r="P111">
        <f t="shared" si="2"/>
        <v>94</v>
      </c>
      <c r="Q111">
        <f>IF($A111="","",_xlfn.SUMIFS(Allocation!$I$1:$I$175,Allocation!$C$1:$C$175,$A111,Allocation!$E$1:$E$175,$C111))</f>
        <v>358</v>
      </c>
      <c r="R111">
        <f>IF($A111="","",_xlfn.SUMIFS(Allocation!$J$1:$J$175,Allocation!$C$1:$C$175,$A111,Allocation!$E$1:$E$175,$C111))</f>
        <v>18</v>
      </c>
      <c r="S111">
        <f>IF($A111="","",_xlfn.SUMIFS(Allocation!$K$1:$K$175,Allocation!$C$1:$C$175,$A111,Allocation!$E$1:$E$175,$C111))</f>
        <v>2439370</v>
      </c>
      <c r="T111">
        <f>IF($A111="","",_xlfn.SUMIFS(Allocation!$I$1:$I$175,Allocation!$C$1:$C$175,$A111))</f>
        <v>2860</v>
      </c>
      <c r="U111">
        <f>IF($A111="","",_xlfn.SUMIFS(Allocation!$J$1:$J$175,Allocation!$C$1:$C$175,$A111))</f>
        <v>131</v>
      </c>
      <c r="V111">
        <f>IF($A111="","",_xlfn.SUMIFS(Allocation!$K$1:$K$175,Allocation!$C$1:$C$175,$A111))</f>
        <v>21240140</v>
      </c>
      <c r="W111">
        <f>IF($A111="","",_xlfn.SUMIFS(Compta!$F$1:$F$1448,Compta!$A$1:$A$1448,$B111,Compta!$B$1:$B$1448,"621",Compta!$C$1:$C$1448,$A111))</f>
        <v>69137</v>
      </c>
      <c r="X111">
        <f>IF($A111="","",_xlfn.SUMIFS(Compta!$F$1:$F$1448,Compta!$A$1:$A$1448,$B111,Compta!$B$1:$B$1448,"6411",Compta!$C$1:$C$1448,$A111))</f>
        <v>142625</v>
      </c>
      <c r="Y111">
        <f>IF($A111="","",_xlfn.SUMIFS(Compta!$F$1:$F$1448,Compta!$A$1:$A$1448,$B111,Compta!$B$1:$B$1448,"604",Compta!$C$1:$C$1448,$A111)+_xlfn.SUMIFS(Compta!$F$1:$F$1448,Compta!$A$1:$A$1448,$B111,Compta!$B$1:$B$1448,"6063",Compta!$C$1:$C$1448,$A111))</f>
        <v>51495</v>
      </c>
      <c r="Z111">
        <f>IF($A111="","",_xlfn.SUMIFS(Compta!$F$1:$F$1448,Compta!$A$1:$A$1448,$B111,Compta!$B$1:$B$1448,"6231",Compta!$C$1:$C$1448,$A111))</f>
        <v>19782</v>
      </c>
      <c r="AA111">
        <f>IF($A111="","",_xlfn.SUMIFS(Compta!$F$1:$F$1448,Compta!$A$1:$A$1448,$B111,Compta!$B$1:$B$1448,"6413",Compta!$C$1:$C$1448,$A111)+_xlfn.SUMIFS(Compta!$F$1:$F$1448,Compta!$A$1:$A$1448,$B111,Compta!$B$1:$B$1448,"645",Compta!$C$1:$C$1448,$A111)+_xlfn.SUMIFS(Compta!$F$1:$F$1448,Compta!$A$1:$A$1448,$B111,Compta!$B$1:$B$1448,"613",Compta!$C$1:$C$1448,$A111)+_xlfn.SUMIFS(Compta!$F$1:$F$1448,Compta!$A$1:$A$1448,$B111,Compta!$B$1:$B$1448,"615",Compta!$C$1:$C$1448,$A111)+_xlfn.SUMIFS(Compta!$F$1:$F$1448,Compta!$A$1:$A$1448,$B111,Compta!$B$1:$B$1448,"616",Compta!$C$1:$C$1448,$A111)+_xlfn.SUMIFS(Compta!$F$1:$F$1448,Compta!$A$1:$A$1448,$B111,Compta!$B$1:$B$1448,"625",Compta!$C$1:$C$1448,$A111)+_xlfn.SUMIFS(Compta!$F$1:$F$1448,Compta!$A$1:$A$1448,$B111,Compta!$B$1:$B$1448,"63511",Compta!$C$1:$C$1448,$A111))</f>
        <v>330458</v>
      </c>
      <c r="AB111">
        <f>IF($A111="","",_xlfn.SUMIFS(Compta!$F$1:$F$1448,Compta!$A$1:$A$1448,"GRP",Compta!$B$1:$B$1448,"6414",Compta!$C$1:$C$1448,$A111)+_xlfn.SUMIFS(Compta!$F$1:$F$1448,Compta!$A$1:$A$1448,"GRP",Compta!$B$1:$B$1448,"6226",Compta!$C$1:$C$1448,$A111)+_xlfn.SUMIFS(Compta!$F$1:$F$1448,Compta!$A$1:$A$1448,"GRP",Compta!$B$1:$B$1448,"626",Compta!$C$1:$C$1448,$A111)+_xlfn.SUMIFS(Compta!$F$1:$F$1448,Compta!$A$1:$A$1448,"GRP",Compta!$B$1:$B$1448,"6281",Compta!$C$1:$C$1448,$A111)+_xlfn.SUMIFS(Compta!$F$1:$F$1448,Compta!$A$1:$A$1448,"GRP",Compta!$B$1:$B$1448,"6331",Compta!$C$1:$C$1448,$A111)+_xlfn.SUMIFS(Compta!$F$1:$F$1448,Compta!$A$1:$A$1448,"GRP",Compta!$B$1:$B$1448,"6333",Compta!$C$1:$C$1448,$A111))</f>
        <v>2760232</v>
      </c>
      <c r="AC111" t="s">
        <v>274</v>
      </c>
      <c r="AD111" t="s">
        <v>274</v>
      </c>
      <c r="AE111" t="s">
        <v>274</v>
      </c>
      <c r="AF111" t="s">
        <v>274</v>
      </c>
      <c r="AG111" t="s">
        <v>274</v>
      </c>
      <c r="AH111" t="s">
        <v>274</v>
      </c>
      <c r="AI111">
        <f t="shared" si="3"/>
        <v>23045.6666666667</v>
      </c>
      <c r="AJ111">
        <f t="shared" si="4"/>
        <v>47541.6666666667</v>
      </c>
      <c r="AK111">
        <f t="shared" si="5"/>
        <v>17038.7867647059</v>
      </c>
      <c r="AL111">
        <f t="shared" si="6"/>
        <v>0</v>
      </c>
      <c r="AM111">
        <f t="shared" si="7"/>
        <v>0</v>
      </c>
      <c r="AN111">
        <f t="shared" si="8"/>
        <v>227373.879901961</v>
      </c>
      <c r="AO111">
        <f>IF($A111="","",_xlfn.SUMIFS(Compta!$F$1:$F$1448,Compta!$A$1:$A$1448,"GRP",Compta!$B$1:$B$1448,"6236",Compta!$C$1:$C$1448,$A111))</f>
        <v>580167</v>
      </c>
      <c r="AP111" t="s">
        <v>274</v>
      </c>
      <c r="AQ111" t="s">
        <v>274</v>
      </c>
      <c r="AR111">
        <f t="shared" si="9"/>
        <v>0</v>
      </c>
    </row>
    <row r="112" ht="14.25" customHeight="1">
      <c r="A112" t="str">
        <f>IF(Allocation!C112="","",Allocation!C112)</f>
        <v>2025</v>
      </c>
      <c r="B112" t="str">
        <f>IF(Allocation!D112="","",Allocation!D112)</f>
        <v>IPAC_NAN</v>
      </c>
      <c r="C112" t="str">
        <f>IF(Allocation!E112="","",Allocation!E112)</f>
        <v>IPAC</v>
      </c>
      <c r="D112" t="str">
        <f>IF(Allocation!F112="","",Allocation!F112)</f>
        <v>BAC_CCE</v>
      </c>
      <c r="E112" t="str">
        <f>IF(Allocation!G112="","",Allocation!G112)</f>
        <v>B3</v>
      </c>
      <c r="F112" t="str">
        <f>IF(Allocation!H112="","",Allocation!H112)</f>
        <v>ALT</v>
      </c>
      <c r="G112">
        <f>IF(Allocation!D112="","",Allocation!I112)</f>
        <v>44</v>
      </c>
      <c r="H112">
        <f>IF(Allocation!D112="","",Allocation!J112)</f>
        <v>2</v>
      </c>
      <c r="I112">
        <f>IF(Allocation!D112="","",Allocation!K112)</f>
        <v>308000</v>
      </c>
      <c r="J112">
        <f>IF($A112="","",_xlfn.SUMIFS(Socle!$K$1:$K$448,Socle!$C$1:$C$448,$B112,Socle!$D$1:$D$448,$D112,Socle!$E$1:$E$448,$E112,Socle!$F$1:$F$448,$F112,Socle!$G$1:$G$448,$A112))</f>
        <v>0</v>
      </c>
      <c r="K112">
        <f t="shared" si="0"/>
        <v>960</v>
      </c>
      <c r="L112">
        <f>IF($A112="","",_xlfn.SUMIFS(Allocation!$I$1:$I$175,Allocation!$C$1:$C$175,$A112,Allocation!$D$1:$D$175,$B112))</f>
        <v>136</v>
      </c>
      <c r="M112">
        <f>IF($A112="","",_xlfn.SUMIFS(Allocation!$J$1:$J$175,Allocation!$C$1:$C$175,$A112,Allocation!$D$1:$D$175,$B112))</f>
        <v>6</v>
      </c>
      <c r="N112">
        <f>IF($A112="","",_xlfn.SUMIFS(Allocation!$K$1:$K$175,Allocation!$C$1:$C$175,$A112,Allocation!$D$1:$D$175,$B112))</f>
        <v>956230</v>
      </c>
      <c r="O112">
        <f t="shared" si="1"/>
        <v>2880</v>
      </c>
      <c r="P112">
        <f t="shared" si="2"/>
        <v>94</v>
      </c>
      <c r="Q112">
        <f>IF($A112="","",_xlfn.SUMIFS(Allocation!$I$1:$I$175,Allocation!$C$1:$C$175,$A112,Allocation!$E$1:$E$175,$C112))</f>
        <v>358</v>
      </c>
      <c r="R112">
        <f>IF($A112="","",_xlfn.SUMIFS(Allocation!$J$1:$J$175,Allocation!$C$1:$C$175,$A112,Allocation!$E$1:$E$175,$C112))</f>
        <v>18</v>
      </c>
      <c r="S112">
        <f>IF($A112="","",_xlfn.SUMIFS(Allocation!$K$1:$K$175,Allocation!$C$1:$C$175,$A112,Allocation!$E$1:$E$175,$C112))</f>
        <v>2439370</v>
      </c>
      <c r="T112">
        <f>IF($A112="","",_xlfn.SUMIFS(Allocation!$I$1:$I$175,Allocation!$C$1:$C$175,$A112))</f>
        <v>2860</v>
      </c>
      <c r="U112">
        <f>IF($A112="","",_xlfn.SUMIFS(Allocation!$J$1:$J$175,Allocation!$C$1:$C$175,$A112))</f>
        <v>131</v>
      </c>
      <c r="V112">
        <f>IF($A112="","",_xlfn.SUMIFS(Allocation!$K$1:$K$175,Allocation!$C$1:$C$175,$A112))</f>
        <v>21240140</v>
      </c>
      <c r="W112">
        <f>IF($A112="","",_xlfn.SUMIFS(Compta!$F$1:$F$1448,Compta!$A$1:$A$1448,$B112,Compta!$B$1:$B$1448,"621",Compta!$C$1:$C$1448,$A112))</f>
        <v>69137</v>
      </c>
      <c r="X112">
        <f>IF($A112="","",_xlfn.SUMIFS(Compta!$F$1:$F$1448,Compta!$A$1:$A$1448,$B112,Compta!$B$1:$B$1448,"6411",Compta!$C$1:$C$1448,$A112))</f>
        <v>142625</v>
      </c>
      <c r="Y112">
        <f>IF($A112="","",_xlfn.SUMIFS(Compta!$F$1:$F$1448,Compta!$A$1:$A$1448,$B112,Compta!$B$1:$B$1448,"604",Compta!$C$1:$C$1448,$A112)+_xlfn.SUMIFS(Compta!$F$1:$F$1448,Compta!$A$1:$A$1448,$B112,Compta!$B$1:$B$1448,"6063",Compta!$C$1:$C$1448,$A112))</f>
        <v>51495</v>
      </c>
      <c r="Z112">
        <f>IF($A112="","",_xlfn.SUMIFS(Compta!$F$1:$F$1448,Compta!$A$1:$A$1448,$B112,Compta!$B$1:$B$1448,"6231",Compta!$C$1:$C$1448,$A112))</f>
        <v>19782</v>
      </c>
      <c r="AA112">
        <f>IF($A112="","",_xlfn.SUMIFS(Compta!$F$1:$F$1448,Compta!$A$1:$A$1448,$B112,Compta!$B$1:$B$1448,"6413",Compta!$C$1:$C$1448,$A112)+_xlfn.SUMIFS(Compta!$F$1:$F$1448,Compta!$A$1:$A$1448,$B112,Compta!$B$1:$B$1448,"645",Compta!$C$1:$C$1448,$A112)+_xlfn.SUMIFS(Compta!$F$1:$F$1448,Compta!$A$1:$A$1448,$B112,Compta!$B$1:$B$1448,"613",Compta!$C$1:$C$1448,$A112)+_xlfn.SUMIFS(Compta!$F$1:$F$1448,Compta!$A$1:$A$1448,$B112,Compta!$B$1:$B$1448,"615",Compta!$C$1:$C$1448,$A112)+_xlfn.SUMIFS(Compta!$F$1:$F$1448,Compta!$A$1:$A$1448,$B112,Compta!$B$1:$B$1448,"616",Compta!$C$1:$C$1448,$A112)+_xlfn.SUMIFS(Compta!$F$1:$F$1448,Compta!$A$1:$A$1448,$B112,Compta!$B$1:$B$1448,"625",Compta!$C$1:$C$1448,$A112)+_xlfn.SUMIFS(Compta!$F$1:$F$1448,Compta!$A$1:$A$1448,$B112,Compta!$B$1:$B$1448,"63511",Compta!$C$1:$C$1448,$A112))</f>
        <v>330458</v>
      </c>
      <c r="AB112">
        <f>IF($A112="","",_xlfn.SUMIFS(Compta!$F$1:$F$1448,Compta!$A$1:$A$1448,"GRP",Compta!$B$1:$B$1448,"6414",Compta!$C$1:$C$1448,$A112)+_xlfn.SUMIFS(Compta!$F$1:$F$1448,Compta!$A$1:$A$1448,"GRP",Compta!$B$1:$B$1448,"6226",Compta!$C$1:$C$1448,$A112)+_xlfn.SUMIFS(Compta!$F$1:$F$1448,Compta!$A$1:$A$1448,"GRP",Compta!$B$1:$B$1448,"626",Compta!$C$1:$C$1448,$A112)+_xlfn.SUMIFS(Compta!$F$1:$F$1448,Compta!$A$1:$A$1448,"GRP",Compta!$B$1:$B$1448,"6281",Compta!$C$1:$C$1448,$A112)+_xlfn.SUMIFS(Compta!$F$1:$F$1448,Compta!$A$1:$A$1448,"GRP",Compta!$B$1:$B$1448,"6331",Compta!$C$1:$C$1448,$A112)+_xlfn.SUMIFS(Compta!$F$1:$F$1448,Compta!$A$1:$A$1448,"GRP",Compta!$B$1:$B$1448,"6333",Compta!$C$1:$C$1448,$A112))</f>
        <v>2760232</v>
      </c>
      <c r="AC112" t="s">
        <v>274</v>
      </c>
      <c r="AD112" t="s">
        <v>274</v>
      </c>
      <c r="AE112" t="s">
        <v>274</v>
      </c>
      <c r="AF112" t="s">
        <v>274</v>
      </c>
      <c r="AG112" t="s">
        <v>274</v>
      </c>
      <c r="AH112" t="s">
        <v>274</v>
      </c>
      <c r="AI112">
        <f t="shared" si="3"/>
        <v>23045.6666666667</v>
      </c>
      <c r="AJ112">
        <f t="shared" si="4"/>
        <v>47541.6666666667</v>
      </c>
      <c r="AK112">
        <f t="shared" si="5"/>
        <v>16660.1470588235</v>
      </c>
      <c r="AL112">
        <f t="shared" si="6"/>
        <v>0</v>
      </c>
      <c r="AM112">
        <f t="shared" si="7"/>
        <v>0</v>
      </c>
      <c r="AN112">
        <f t="shared" si="8"/>
        <v>220752.519607843</v>
      </c>
      <c r="AO112">
        <f>IF($A112="","",_xlfn.SUMIFS(Compta!$F$1:$F$1448,Compta!$A$1:$A$1448,"GRP",Compta!$B$1:$B$1448,"6236",Compta!$C$1:$C$1448,$A112))</f>
        <v>580167</v>
      </c>
      <c r="AP112" t="s">
        <v>274</v>
      </c>
      <c r="AQ112" t="s">
        <v>274</v>
      </c>
      <c r="AR112">
        <f t="shared" si="9"/>
        <v>0</v>
      </c>
    </row>
    <row r="113" ht="14.25" customHeight="1">
      <c r="A113" t="str">
        <f>IF(Allocation!C113="","",Allocation!C113)</f>
        <v>2024</v>
      </c>
      <c r="B113" t="str">
        <f>IF(Allocation!D113="","",Allocation!D113)</f>
        <v>IPAC_NAN</v>
      </c>
      <c r="C113" t="str">
        <f>IF(Allocation!E113="","",Allocation!E113)</f>
        <v>IPAC</v>
      </c>
      <c r="D113" t="str">
        <f>IF(Allocation!F113="","",Allocation!F113)</f>
        <v>BAC_CCE</v>
      </c>
      <c r="E113" t="str">
        <f>IF(Allocation!G113="","",Allocation!G113)</f>
        <v>B1</v>
      </c>
      <c r="F113" t="str">
        <f>IF(Allocation!H113="","",Allocation!H113)</f>
        <v>ALT</v>
      </c>
      <c r="G113">
        <f>IF(Allocation!D113="","",Allocation!I113)</f>
        <v>44</v>
      </c>
      <c r="H113">
        <f>IF(Allocation!D113="","",Allocation!J113)</f>
        <v>2</v>
      </c>
      <c r="I113">
        <f>IF(Allocation!D113="","",Allocation!K113)</f>
        <v>311960</v>
      </c>
      <c r="J113">
        <f>IF($A113="","",_xlfn.SUMIFS(Socle!$K$1:$K$448,Socle!$C$1:$C$448,$B113,Socle!$D$1:$D$448,$D113,Socle!$E$1:$E$448,$E113,Socle!$F$1:$F$448,$F113,Socle!$G$1:$G$448,$A113))</f>
        <v>88</v>
      </c>
      <c r="K113">
        <f t="shared" si="0"/>
        <v>960</v>
      </c>
      <c r="L113">
        <f>IF($A113="","",_xlfn.SUMIFS(Allocation!$I$1:$I$175,Allocation!$C$1:$C$175,$A113,Allocation!$D$1:$D$175,$B113))</f>
        <v>129</v>
      </c>
      <c r="M113">
        <f>IF($A113="","",_xlfn.SUMIFS(Allocation!$J$1:$J$175,Allocation!$C$1:$C$175,$A113,Allocation!$D$1:$D$175,$B113))</f>
        <v>6</v>
      </c>
      <c r="N113">
        <f>IF($A113="","",_xlfn.SUMIFS(Allocation!$K$1:$K$175,Allocation!$C$1:$C$175,$A113,Allocation!$D$1:$D$175,$B113))</f>
        <v>906960</v>
      </c>
      <c r="O113">
        <f t="shared" si="1"/>
        <v>2880</v>
      </c>
      <c r="P113">
        <f t="shared" si="2"/>
        <v>88</v>
      </c>
      <c r="Q113">
        <f>IF($A113="","",_xlfn.SUMIFS(Allocation!$I$1:$I$175,Allocation!$C$1:$C$175,$A113,Allocation!$E$1:$E$175,$C113))</f>
        <v>339</v>
      </c>
      <c r="R113">
        <f>IF($A113="","",_xlfn.SUMIFS(Allocation!$J$1:$J$175,Allocation!$C$1:$C$175,$A113,Allocation!$E$1:$E$175,$C113))</f>
        <v>18</v>
      </c>
      <c r="S113">
        <f>IF($A113="","",_xlfn.SUMIFS(Allocation!$K$1:$K$175,Allocation!$C$1:$C$175,$A113,Allocation!$E$1:$E$175,$C113))</f>
        <v>2309940</v>
      </c>
      <c r="T113">
        <f>IF($A113="","",_xlfn.SUMIFS(Allocation!$I$1:$I$175,Allocation!$C$1:$C$175,$A113))</f>
        <v>2704</v>
      </c>
      <c r="U113">
        <f>IF($A113="","",_xlfn.SUMIFS(Allocation!$J$1:$J$175,Allocation!$C$1:$C$175,$A113))</f>
        <v>131</v>
      </c>
      <c r="V113">
        <f>IF($A113="","",_xlfn.SUMIFS(Allocation!$K$1:$K$175,Allocation!$C$1:$C$175,$A113))</f>
        <v>20076860</v>
      </c>
      <c r="W113">
        <f>IF($A113="","",_xlfn.SUMIFS(Compta!$F$1:$F$1448,Compta!$A$1:$A$1448,$B113,Compta!$B$1:$B$1448,"621",Compta!$C$1:$C$1448,$A113))</f>
        <v>66108</v>
      </c>
      <c r="X113">
        <f>IF($A113="","",_xlfn.SUMIFS(Compta!$F$1:$F$1448,Compta!$A$1:$A$1448,$B113,Compta!$B$1:$B$1448,"6411",Compta!$C$1:$C$1448,$A113))</f>
        <v>136376</v>
      </c>
      <c r="Y113">
        <f>IF($A113="","",_xlfn.SUMIFS(Compta!$F$1:$F$1448,Compta!$A$1:$A$1448,$B113,Compta!$B$1:$B$1448,"604",Compta!$C$1:$C$1448,$A113)+_xlfn.SUMIFS(Compta!$F$1:$F$1448,Compta!$A$1:$A$1448,$B113,Compta!$B$1:$B$1448,"6063",Compta!$C$1:$C$1448,$A113))</f>
        <v>49240</v>
      </c>
      <c r="Z113">
        <f>IF($A113="","",_xlfn.SUMIFS(Compta!$F$1:$F$1448,Compta!$A$1:$A$1448,$B113,Compta!$B$1:$B$1448,"6231",Compta!$C$1:$C$1448,$A113))</f>
        <v>17983</v>
      </c>
      <c r="AA113">
        <f>IF($A113="","",_xlfn.SUMIFS(Compta!$F$1:$F$1448,Compta!$A$1:$A$1448,$B113,Compta!$B$1:$B$1448,"6413",Compta!$C$1:$C$1448,$A113)+_xlfn.SUMIFS(Compta!$F$1:$F$1448,Compta!$A$1:$A$1448,$B113,Compta!$B$1:$B$1448,"645",Compta!$C$1:$C$1448,$A113)+_xlfn.SUMIFS(Compta!$F$1:$F$1448,Compta!$A$1:$A$1448,$B113,Compta!$B$1:$B$1448,"613",Compta!$C$1:$C$1448,$A113)+_xlfn.SUMIFS(Compta!$F$1:$F$1448,Compta!$A$1:$A$1448,$B113,Compta!$B$1:$B$1448,"615",Compta!$C$1:$C$1448,$A113)+_xlfn.SUMIFS(Compta!$F$1:$F$1448,Compta!$A$1:$A$1448,$B113,Compta!$B$1:$B$1448,"616",Compta!$C$1:$C$1448,$A113)+_xlfn.SUMIFS(Compta!$F$1:$F$1448,Compta!$A$1:$A$1448,$B113,Compta!$B$1:$B$1448,"625",Compta!$C$1:$C$1448,$A113)+_xlfn.SUMIFS(Compta!$F$1:$F$1448,Compta!$A$1:$A$1448,$B113,Compta!$B$1:$B$1448,"63511",Compta!$C$1:$C$1448,$A113))</f>
        <v>315979</v>
      </c>
      <c r="AB113">
        <f>IF($A113="","",_xlfn.SUMIFS(Compta!$F$1:$F$1448,Compta!$A$1:$A$1448,"GRP",Compta!$B$1:$B$1448,"6414",Compta!$C$1:$C$1448,$A113)+_xlfn.SUMIFS(Compta!$F$1:$F$1448,Compta!$A$1:$A$1448,"GRP",Compta!$B$1:$B$1448,"6226",Compta!$C$1:$C$1448,$A113)+_xlfn.SUMIFS(Compta!$F$1:$F$1448,Compta!$A$1:$A$1448,"GRP",Compta!$B$1:$B$1448,"626",Compta!$C$1:$C$1448,$A113)+_xlfn.SUMIFS(Compta!$F$1:$F$1448,Compta!$A$1:$A$1448,"GRP",Compta!$B$1:$B$1448,"6281",Compta!$C$1:$C$1448,$A113)+_xlfn.SUMIFS(Compta!$F$1:$F$1448,Compta!$A$1:$A$1448,"GRP",Compta!$B$1:$B$1448,"6331",Compta!$C$1:$C$1448,$A113)+_xlfn.SUMIFS(Compta!$F$1:$F$1448,Compta!$A$1:$A$1448,"GRP",Compta!$B$1:$B$1448,"6333",Compta!$C$1:$C$1448,$A113))</f>
        <v>2639292</v>
      </c>
      <c r="AC113" t="s">
        <v>274</v>
      </c>
      <c r="AD113" t="s">
        <v>274</v>
      </c>
      <c r="AE113" t="s">
        <v>274</v>
      </c>
      <c r="AF113" t="s">
        <v>274</v>
      </c>
      <c r="AG113" t="s">
        <v>274</v>
      </c>
      <c r="AH113" t="s">
        <v>274</v>
      </c>
      <c r="AI113">
        <f t="shared" si="3"/>
        <v>22036</v>
      </c>
      <c r="AJ113">
        <f t="shared" si="4"/>
        <v>45458.6666666667</v>
      </c>
      <c r="AK113">
        <f t="shared" si="5"/>
        <v>34778.0387596899</v>
      </c>
      <c r="AL113">
        <f t="shared" si="6"/>
        <v>0</v>
      </c>
      <c r="AM113">
        <f t="shared" si="7"/>
        <v>0</v>
      </c>
      <c r="AN113">
        <f t="shared" si="8"/>
        <v>209687.294573643</v>
      </c>
      <c r="AO113">
        <f>IF($A113="","",_xlfn.SUMIFS(Compta!$F$1:$F$1448,Compta!$A$1:$A$1448,"GRP",Compta!$B$1:$B$1448,"6236",Compta!$C$1:$C$1448,$A113))</f>
        <v>499926</v>
      </c>
      <c r="AP113" t="s">
        <v>274</v>
      </c>
      <c r="AQ113" t="s">
        <v>274</v>
      </c>
      <c r="AR113">
        <f t="shared" si="9"/>
        <v>0</v>
      </c>
    </row>
    <row r="114" ht="14.25" customHeight="1">
      <c r="A114" t="str">
        <f>IF(Allocation!C114="","",Allocation!C114)</f>
        <v>2024</v>
      </c>
      <c r="B114" t="str">
        <f>IF(Allocation!D114="","",Allocation!D114)</f>
        <v>IPAC_NAN</v>
      </c>
      <c r="C114" t="str">
        <f>IF(Allocation!E114="","",Allocation!E114)</f>
        <v>IPAC</v>
      </c>
      <c r="D114" t="str">
        <f>IF(Allocation!F114="","",Allocation!F114)</f>
        <v>BAC_CCE</v>
      </c>
      <c r="E114" t="str">
        <f>IF(Allocation!G114="","",Allocation!G114)</f>
        <v>B2</v>
      </c>
      <c r="F114" t="str">
        <f>IF(Allocation!H114="","",Allocation!H114)</f>
        <v>ALT</v>
      </c>
      <c r="G114">
        <f>IF(Allocation!D114="","",Allocation!I114)</f>
        <v>43</v>
      </c>
      <c r="H114">
        <f>IF(Allocation!D114="","",Allocation!J114)</f>
        <v>2</v>
      </c>
      <c r="I114">
        <f>IF(Allocation!D114="","",Allocation!K114)</f>
        <v>301000</v>
      </c>
      <c r="J114">
        <f>IF($A114="","",_xlfn.SUMIFS(Socle!$K$1:$K$448,Socle!$C$1:$C$448,$B114,Socle!$D$1:$D$448,$D114,Socle!$E$1:$E$448,$E114,Socle!$F$1:$F$448,$F114,Socle!$G$1:$G$448,$A114))</f>
        <v>0</v>
      </c>
      <c r="K114">
        <f t="shared" si="0"/>
        <v>960</v>
      </c>
      <c r="L114">
        <f>IF($A114="","",_xlfn.SUMIFS(Allocation!$I$1:$I$175,Allocation!$C$1:$C$175,$A114,Allocation!$D$1:$D$175,$B114))</f>
        <v>129</v>
      </c>
      <c r="M114">
        <f>IF($A114="","",_xlfn.SUMIFS(Allocation!$J$1:$J$175,Allocation!$C$1:$C$175,$A114,Allocation!$D$1:$D$175,$B114))</f>
        <v>6</v>
      </c>
      <c r="N114">
        <f>IF($A114="","",_xlfn.SUMIFS(Allocation!$K$1:$K$175,Allocation!$C$1:$C$175,$A114,Allocation!$D$1:$D$175,$B114))</f>
        <v>906960</v>
      </c>
      <c r="O114">
        <f t="shared" si="1"/>
        <v>2880</v>
      </c>
      <c r="P114">
        <f t="shared" si="2"/>
        <v>88</v>
      </c>
      <c r="Q114">
        <f>IF($A114="","",_xlfn.SUMIFS(Allocation!$I$1:$I$175,Allocation!$C$1:$C$175,$A114,Allocation!$E$1:$E$175,$C114))</f>
        <v>339</v>
      </c>
      <c r="R114">
        <f>IF($A114="","",_xlfn.SUMIFS(Allocation!$J$1:$J$175,Allocation!$C$1:$C$175,$A114,Allocation!$E$1:$E$175,$C114))</f>
        <v>18</v>
      </c>
      <c r="S114">
        <f>IF($A114="","",_xlfn.SUMIFS(Allocation!$K$1:$K$175,Allocation!$C$1:$C$175,$A114,Allocation!$E$1:$E$175,$C114))</f>
        <v>2309940</v>
      </c>
      <c r="T114">
        <f>IF($A114="","",_xlfn.SUMIFS(Allocation!$I$1:$I$175,Allocation!$C$1:$C$175,$A114))</f>
        <v>2704</v>
      </c>
      <c r="U114">
        <f>IF($A114="","",_xlfn.SUMIFS(Allocation!$J$1:$J$175,Allocation!$C$1:$C$175,$A114))</f>
        <v>131</v>
      </c>
      <c r="V114">
        <f>IF($A114="","",_xlfn.SUMIFS(Allocation!$K$1:$K$175,Allocation!$C$1:$C$175,$A114))</f>
        <v>20076860</v>
      </c>
      <c r="W114">
        <f>IF($A114="","",_xlfn.SUMIFS(Compta!$F$1:$F$1448,Compta!$A$1:$A$1448,$B114,Compta!$B$1:$B$1448,"621",Compta!$C$1:$C$1448,$A114))</f>
        <v>66108</v>
      </c>
      <c r="X114">
        <f>IF($A114="","",_xlfn.SUMIFS(Compta!$F$1:$F$1448,Compta!$A$1:$A$1448,$B114,Compta!$B$1:$B$1448,"6411",Compta!$C$1:$C$1448,$A114))</f>
        <v>136376</v>
      </c>
      <c r="Y114">
        <f>IF($A114="","",_xlfn.SUMIFS(Compta!$F$1:$F$1448,Compta!$A$1:$A$1448,$B114,Compta!$B$1:$B$1448,"604",Compta!$C$1:$C$1448,$A114)+_xlfn.SUMIFS(Compta!$F$1:$F$1448,Compta!$A$1:$A$1448,$B114,Compta!$B$1:$B$1448,"6063",Compta!$C$1:$C$1448,$A114))</f>
        <v>49240</v>
      </c>
      <c r="Z114">
        <f>IF($A114="","",_xlfn.SUMIFS(Compta!$F$1:$F$1448,Compta!$A$1:$A$1448,$B114,Compta!$B$1:$B$1448,"6231",Compta!$C$1:$C$1448,$A114))</f>
        <v>17983</v>
      </c>
      <c r="AA114">
        <f>IF($A114="","",_xlfn.SUMIFS(Compta!$F$1:$F$1448,Compta!$A$1:$A$1448,$B114,Compta!$B$1:$B$1448,"6413",Compta!$C$1:$C$1448,$A114)+_xlfn.SUMIFS(Compta!$F$1:$F$1448,Compta!$A$1:$A$1448,$B114,Compta!$B$1:$B$1448,"645",Compta!$C$1:$C$1448,$A114)+_xlfn.SUMIFS(Compta!$F$1:$F$1448,Compta!$A$1:$A$1448,$B114,Compta!$B$1:$B$1448,"613",Compta!$C$1:$C$1448,$A114)+_xlfn.SUMIFS(Compta!$F$1:$F$1448,Compta!$A$1:$A$1448,$B114,Compta!$B$1:$B$1448,"615",Compta!$C$1:$C$1448,$A114)+_xlfn.SUMIFS(Compta!$F$1:$F$1448,Compta!$A$1:$A$1448,$B114,Compta!$B$1:$B$1448,"616",Compta!$C$1:$C$1448,$A114)+_xlfn.SUMIFS(Compta!$F$1:$F$1448,Compta!$A$1:$A$1448,$B114,Compta!$B$1:$B$1448,"625",Compta!$C$1:$C$1448,$A114)+_xlfn.SUMIFS(Compta!$F$1:$F$1448,Compta!$A$1:$A$1448,$B114,Compta!$B$1:$B$1448,"63511",Compta!$C$1:$C$1448,$A114))</f>
        <v>315979</v>
      </c>
      <c r="AB114">
        <f>IF($A114="","",_xlfn.SUMIFS(Compta!$F$1:$F$1448,Compta!$A$1:$A$1448,"GRP",Compta!$B$1:$B$1448,"6414",Compta!$C$1:$C$1448,$A114)+_xlfn.SUMIFS(Compta!$F$1:$F$1448,Compta!$A$1:$A$1448,"GRP",Compta!$B$1:$B$1448,"6226",Compta!$C$1:$C$1448,$A114)+_xlfn.SUMIFS(Compta!$F$1:$F$1448,Compta!$A$1:$A$1448,"GRP",Compta!$B$1:$B$1448,"626",Compta!$C$1:$C$1448,$A114)+_xlfn.SUMIFS(Compta!$F$1:$F$1448,Compta!$A$1:$A$1448,"GRP",Compta!$B$1:$B$1448,"6281",Compta!$C$1:$C$1448,$A114)+_xlfn.SUMIFS(Compta!$F$1:$F$1448,Compta!$A$1:$A$1448,"GRP",Compta!$B$1:$B$1448,"6331",Compta!$C$1:$C$1448,$A114)+_xlfn.SUMIFS(Compta!$F$1:$F$1448,Compta!$A$1:$A$1448,"GRP",Compta!$B$1:$B$1448,"6333",Compta!$C$1:$C$1448,$A114))</f>
        <v>2639292</v>
      </c>
      <c r="AC114" t="s">
        <v>274</v>
      </c>
      <c r="AD114" t="s">
        <v>274</v>
      </c>
      <c r="AE114" t="s">
        <v>274</v>
      </c>
      <c r="AF114" t="s">
        <v>274</v>
      </c>
      <c r="AG114" t="s">
        <v>274</v>
      </c>
      <c r="AH114" t="s">
        <v>274</v>
      </c>
      <c r="AI114">
        <f t="shared" si="3"/>
        <v>22036</v>
      </c>
      <c r="AJ114">
        <f t="shared" si="4"/>
        <v>45458.6666666667</v>
      </c>
      <c r="AK114">
        <f t="shared" si="5"/>
        <v>16413.3333333333</v>
      </c>
      <c r="AL114">
        <f t="shared" si="6"/>
        <v>0</v>
      </c>
      <c r="AM114">
        <f t="shared" si="7"/>
        <v>0</v>
      </c>
      <c r="AN114">
        <f t="shared" si="8"/>
        <v>217092</v>
      </c>
      <c r="AO114">
        <f>IF($A114="","",_xlfn.SUMIFS(Compta!$F$1:$F$1448,Compta!$A$1:$A$1448,"GRP",Compta!$B$1:$B$1448,"6236",Compta!$C$1:$C$1448,$A114))</f>
        <v>499926</v>
      </c>
      <c r="AP114" t="s">
        <v>274</v>
      </c>
      <c r="AQ114" t="s">
        <v>274</v>
      </c>
      <c r="AR114">
        <f t="shared" si="9"/>
        <v>0</v>
      </c>
    </row>
    <row r="115" ht="14.25" customHeight="1">
      <c r="A115" t="str">
        <f>IF(Allocation!C115="","",Allocation!C115)</f>
        <v>2024</v>
      </c>
      <c r="B115" t="str">
        <f>IF(Allocation!D115="","",Allocation!D115)</f>
        <v>IPAC_NAN</v>
      </c>
      <c r="C115" t="str">
        <f>IF(Allocation!E115="","",Allocation!E115)</f>
        <v>IPAC</v>
      </c>
      <c r="D115" t="str">
        <f>IF(Allocation!F115="","",Allocation!F115)</f>
        <v>BAC_CCE</v>
      </c>
      <c r="E115" t="str">
        <f>IF(Allocation!G115="","",Allocation!G115)</f>
        <v>B3</v>
      </c>
      <c r="F115" t="str">
        <f>IF(Allocation!H115="","",Allocation!H115)</f>
        <v>ALT</v>
      </c>
      <c r="G115">
        <f>IF(Allocation!D115="","",Allocation!I115)</f>
        <v>42</v>
      </c>
      <c r="H115">
        <f>IF(Allocation!D115="","",Allocation!J115)</f>
        <v>2</v>
      </c>
      <c r="I115">
        <f>IF(Allocation!D115="","",Allocation!K115)</f>
        <v>294000</v>
      </c>
      <c r="J115">
        <f>IF($A115="","",_xlfn.SUMIFS(Socle!$K$1:$K$448,Socle!$C$1:$C$448,$B115,Socle!$D$1:$D$448,$D115,Socle!$E$1:$E$448,$E115,Socle!$F$1:$F$448,$F115,Socle!$G$1:$G$448,$A115))</f>
        <v>0</v>
      </c>
      <c r="K115">
        <f t="shared" si="0"/>
        <v>960</v>
      </c>
      <c r="L115">
        <f>IF($A115="","",_xlfn.SUMIFS(Allocation!$I$1:$I$175,Allocation!$C$1:$C$175,$A115,Allocation!$D$1:$D$175,$B115))</f>
        <v>129</v>
      </c>
      <c r="M115">
        <f>IF($A115="","",_xlfn.SUMIFS(Allocation!$J$1:$J$175,Allocation!$C$1:$C$175,$A115,Allocation!$D$1:$D$175,$B115))</f>
        <v>6</v>
      </c>
      <c r="N115">
        <f>IF($A115="","",_xlfn.SUMIFS(Allocation!$K$1:$K$175,Allocation!$C$1:$C$175,$A115,Allocation!$D$1:$D$175,$B115))</f>
        <v>906960</v>
      </c>
      <c r="O115">
        <f t="shared" si="1"/>
        <v>2880</v>
      </c>
      <c r="P115">
        <f t="shared" si="2"/>
        <v>88</v>
      </c>
      <c r="Q115">
        <f>IF($A115="","",_xlfn.SUMIFS(Allocation!$I$1:$I$175,Allocation!$C$1:$C$175,$A115,Allocation!$E$1:$E$175,$C115))</f>
        <v>339</v>
      </c>
      <c r="R115">
        <f>IF($A115="","",_xlfn.SUMIFS(Allocation!$J$1:$J$175,Allocation!$C$1:$C$175,$A115,Allocation!$E$1:$E$175,$C115))</f>
        <v>18</v>
      </c>
      <c r="S115">
        <f>IF($A115="","",_xlfn.SUMIFS(Allocation!$K$1:$K$175,Allocation!$C$1:$C$175,$A115,Allocation!$E$1:$E$175,$C115))</f>
        <v>2309940</v>
      </c>
      <c r="T115">
        <f>IF($A115="","",_xlfn.SUMIFS(Allocation!$I$1:$I$175,Allocation!$C$1:$C$175,$A115))</f>
        <v>2704</v>
      </c>
      <c r="U115">
        <f>IF($A115="","",_xlfn.SUMIFS(Allocation!$J$1:$J$175,Allocation!$C$1:$C$175,$A115))</f>
        <v>131</v>
      </c>
      <c r="V115">
        <f>IF($A115="","",_xlfn.SUMIFS(Allocation!$K$1:$K$175,Allocation!$C$1:$C$175,$A115))</f>
        <v>20076860</v>
      </c>
      <c r="W115">
        <f>IF($A115="","",_xlfn.SUMIFS(Compta!$F$1:$F$1448,Compta!$A$1:$A$1448,$B115,Compta!$B$1:$B$1448,"621",Compta!$C$1:$C$1448,$A115))</f>
        <v>66108</v>
      </c>
      <c r="X115">
        <f>IF($A115="","",_xlfn.SUMIFS(Compta!$F$1:$F$1448,Compta!$A$1:$A$1448,$B115,Compta!$B$1:$B$1448,"6411",Compta!$C$1:$C$1448,$A115))</f>
        <v>136376</v>
      </c>
      <c r="Y115">
        <f>IF($A115="","",_xlfn.SUMIFS(Compta!$F$1:$F$1448,Compta!$A$1:$A$1448,$B115,Compta!$B$1:$B$1448,"604",Compta!$C$1:$C$1448,$A115)+_xlfn.SUMIFS(Compta!$F$1:$F$1448,Compta!$A$1:$A$1448,$B115,Compta!$B$1:$B$1448,"6063",Compta!$C$1:$C$1448,$A115))</f>
        <v>49240</v>
      </c>
      <c r="Z115">
        <f>IF($A115="","",_xlfn.SUMIFS(Compta!$F$1:$F$1448,Compta!$A$1:$A$1448,$B115,Compta!$B$1:$B$1448,"6231",Compta!$C$1:$C$1448,$A115))</f>
        <v>17983</v>
      </c>
      <c r="AA115">
        <f>IF($A115="","",_xlfn.SUMIFS(Compta!$F$1:$F$1448,Compta!$A$1:$A$1448,$B115,Compta!$B$1:$B$1448,"6413",Compta!$C$1:$C$1448,$A115)+_xlfn.SUMIFS(Compta!$F$1:$F$1448,Compta!$A$1:$A$1448,$B115,Compta!$B$1:$B$1448,"645",Compta!$C$1:$C$1448,$A115)+_xlfn.SUMIFS(Compta!$F$1:$F$1448,Compta!$A$1:$A$1448,$B115,Compta!$B$1:$B$1448,"613",Compta!$C$1:$C$1448,$A115)+_xlfn.SUMIFS(Compta!$F$1:$F$1448,Compta!$A$1:$A$1448,$B115,Compta!$B$1:$B$1448,"615",Compta!$C$1:$C$1448,$A115)+_xlfn.SUMIFS(Compta!$F$1:$F$1448,Compta!$A$1:$A$1448,$B115,Compta!$B$1:$B$1448,"616",Compta!$C$1:$C$1448,$A115)+_xlfn.SUMIFS(Compta!$F$1:$F$1448,Compta!$A$1:$A$1448,$B115,Compta!$B$1:$B$1448,"625",Compta!$C$1:$C$1448,$A115)+_xlfn.SUMIFS(Compta!$F$1:$F$1448,Compta!$A$1:$A$1448,$B115,Compta!$B$1:$B$1448,"63511",Compta!$C$1:$C$1448,$A115))</f>
        <v>315979</v>
      </c>
      <c r="AB115">
        <f>IF($A115="","",_xlfn.SUMIFS(Compta!$F$1:$F$1448,Compta!$A$1:$A$1448,"GRP",Compta!$B$1:$B$1448,"6414",Compta!$C$1:$C$1448,$A115)+_xlfn.SUMIFS(Compta!$F$1:$F$1448,Compta!$A$1:$A$1448,"GRP",Compta!$B$1:$B$1448,"6226",Compta!$C$1:$C$1448,$A115)+_xlfn.SUMIFS(Compta!$F$1:$F$1448,Compta!$A$1:$A$1448,"GRP",Compta!$B$1:$B$1448,"626",Compta!$C$1:$C$1448,$A115)+_xlfn.SUMIFS(Compta!$F$1:$F$1448,Compta!$A$1:$A$1448,"GRP",Compta!$B$1:$B$1448,"6281",Compta!$C$1:$C$1448,$A115)+_xlfn.SUMIFS(Compta!$F$1:$F$1448,Compta!$A$1:$A$1448,"GRP",Compta!$B$1:$B$1448,"6331",Compta!$C$1:$C$1448,$A115)+_xlfn.SUMIFS(Compta!$F$1:$F$1448,Compta!$A$1:$A$1448,"GRP",Compta!$B$1:$B$1448,"6333",Compta!$C$1:$C$1448,$A115))</f>
        <v>2639292</v>
      </c>
      <c r="AC115" t="s">
        <v>274</v>
      </c>
      <c r="AD115" t="s">
        <v>274</v>
      </c>
      <c r="AE115" t="s">
        <v>274</v>
      </c>
      <c r="AF115" t="s">
        <v>274</v>
      </c>
      <c r="AG115" t="s">
        <v>274</v>
      </c>
      <c r="AH115" t="s">
        <v>274</v>
      </c>
      <c r="AI115">
        <f t="shared" si="3"/>
        <v>22036</v>
      </c>
      <c r="AJ115">
        <f t="shared" si="4"/>
        <v>45458.6666666667</v>
      </c>
      <c r="AK115">
        <f t="shared" si="5"/>
        <v>16031.6279069767</v>
      </c>
      <c r="AL115">
        <f t="shared" si="6"/>
        <v>0</v>
      </c>
      <c r="AM115">
        <f t="shared" si="7"/>
        <v>0</v>
      </c>
      <c r="AN115">
        <f t="shared" si="8"/>
        <v>210473.705426357</v>
      </c>
      <c r="AO115">
        <f>IF($A115="","",_xlfn.SUMIFS(Compta!$F$1:$F$1448,Compta!$A$1:$A$1448,"GRP",Compta!$B$1:$B$1448,"6236",Compta!$C$1:$C$1448,$A115))</f>
        <v>499926</v>
      </c>
      <c r="AP115" t="s">
        <v>274</v>
      </c>
      <c r="AQ115" t="s">
        <v>274</v>
      </c>
      <c r="AR115">
        <f t="shared" si="9"/>
        <v>0</v>
      </c>
    </row>
    <row r="116" ht="14.25" customHeight="1">
      <c r="A116" t="str">
        <f>IF(Allocation!C116="","",Allocation!C116)</f>
        <v>2026</v>
      </c>
      <c r="B116" t="str">
        <f>IF(Allocation!D116="","",Allocation!D116)</f>
        <v>IPAC_REN</v>
      </c>
      <c r="C116" t="str">
        <f>IF(Allocation!E116="","",Allocation!E116)</f>
        <v>IPAC</v>
      </c>
      <c r="D116" t="str">
        <f>IF(Allocation!F116="","",Allocation!F116)</f>
        <v>BAC_CCE</v>
      </c>
      <c r="E116" t="str">
        <f>IF(Allocation!G116="","",Allocation!G116)</f>
        <v>B1</v>
      </c>
      <c r="F116" t="str">
        <f>IF(Allocation!H116="","",Allocation!H116)</f>
        <v>ALT</v>
      </c>
      <c r="G116">
        <f>IF(Allocation!D116="","",Allocation!I116)</f>
        <v>40</v>
      </c>
      <c r="H116">
        <f>IF(Allocation!D116="","",Allocation!J116)</f>
        <v>2</v>
      </c>
      <c r="I116">
        <f>IF(Allocation!D116="","",Allocation!K116)</f>
        <v>269600</v>
      </c>
      <c r="J116">
        <f>IF($A116="","",_xlfn.SUMIFS(Socle!$K$1:$K$448,Socle!$C$1:$C$448,$B116,Socle!$D$1:$D$448,$D116,Socle!$E$1:$E$448,$E116,Socle!$F$1:$F$448,$F116,Socle!$G$1:$G$448,$A116))</f>
        <v>80</v>
      </c>
      <c r="K116">
        <f t="shared" si="0"/>
        <v>960</v>
      </c>
      <c r="L116">
        <f>IF($A116="","",_xlfn.SUMIFS(Allocation!$I$1:$I$175,Allocation!$C$1:$C$175,$A116,Allocation!$D$1:$D$175,$B116))</f>
        <v>117</v>
      </c>
      <c r="M116">
        <f>IF($A116="","",_xlfn.SUMIFS(Allocation!$J$1:$J$175,Allocation!$C$1:$C$175,$A116,Allocation!$D$1:$D$175,$B116))</f>
        <v>6</v>
      </c>
      <c r="N116">
        <f>IF($A116="","",_xlfn.SUMIFS(Allocation!$K$1:$K$175,Allocation!$C$1:$C$175,$A116,Allocation!$D$1:$D$175,$B116))</f>
        <v>781650</v>
      </c>
      <c r="O116">
        <f t="shared" si="1"/>
        <v>2880</v>
      </c>
      <c r="P116">
        <f t="shared" si="2"/>
        <v>80</v>
      </c>
      <c r="Q116">
        <f>IF($A116="","",_xlfn.SUMIFS(Allocation!$I$1:$I$175,Allocation!$C$1:$C$175,$A116,Allocation!$E$1:$E$175,$C116))</f>
        <v>379</v>
      </c>
      <c r="R116">
        <f>IF($A116="","",_xlfn.SUMIFS(Allocation!$J$1:$J$175,Allocation!$C$1:$C$175,$A116,Allocation!$E$1:$E$175,$C116))</f>
        <v>18</v>
      </c>
      <c r="S116">
        <f>IF($A116="","",_xlfn.SUMIFS(Allocation!$K$1:$K$175,Allocation!$C$1:$C$175,$A116,Allocation!$E$1:$E$175,$C116))</f>
        <v>2582800</v>
      </c>
      <c r="T116">
        <f>IF($A116="","",_xlfn.SUMIFS(Allocation!$I$1:$I$175,Allocation!$C$1:$C$175,$A116))</f>
        <v>3036</v>
      </c>
      <c r="U116">
        <f>IF($A116="","",_xlfn.SUMIFS(Allocation!$J$1:$J$175,Allocation!$C$1:$C$175,$A116))</f>
        <v>131</v>
      </c>
      <c r="V116">
        <f>IF($A116="","",_xlfn.SUMIFS(Allocation!$K$1:$K$175,Allocation!$C$1:$C$175,$A116))</f>
        <v>22544725</v>
      </c>
      <c r="W116">
        <f>IF($A116="","",_xlfn.SUMIFS(Compta!$F$1:$F$1448,Compta!$A$1:$A$1448,$B116,Compta!$B$1:$B$1448,"621",Compta!$C$1:$C$1448,$A116))</f>
        <v>72438</v>
      </c>
      <c r="X116">
        <f>IF($A116="","",_xlfn.SUMIFS(Compta!$F$1:$F$1448,Compta!$A$1:$A$1448,$B116,Compta!$B$1:$B$1448,"6411",Compta!$C$1:$C$1448,$A116))</f>
        <v>131501</v>
      </c>
      <c r="Y116">
        <f>IF($A116="","",_xlfn.SUMIFS(Compta!$F$1:$F$1448,Compta!$A$1:$A$1448,$B116,Compta!$B$1:$B$1448,"604",Compta!$C$1:$C$1448,$A116)+_xlfn.SUMIFS(Compta!$F$1:$F$1448,Compta!$A$1:$A$1448,$B116,Compta!$B$1:$B$1448,"6063",Compta!$C$1:$C$1448,$A116))</f>
        <v>43535</v>
      </c>
      <c r="Z116">
        <f>IF($A116="","",_xlfn.SUMIFS(Compta!$F$1:$F$1448,Compta!$A$1:$A$1448,$B116,Compta!$B$1:$B$1448,"6231",Compta!$C$1:$C$1448,$A116))</f>
        <v>14933</v>
      </c>
      <c r="AA116">
        <f>IF($A116="","",_xlfn.SUMIFS(Compta!$F$1:$F$1448,Compta!$A$1:$A$1448,$B116,Compta!$B$1:$B$1448,"6413",Compta!$C$1:$C$1448,$A116)+_xlfn.SUMIFS(Compta!$F$1:$F$1448,Compta!$A$1:$A$1448,$B116,Compta!$B$1:$B$1448,"645",Compta!$C$1:$C$1448,$A116)+_xlfn.SUMIFS(Compta!$F$1:$F$1448,Compta!$A$1:$A$1448,$B116,Compta!$B$1:$B$1448,"613",Compta!$C$1:$C$1448,$A116)+_xlfn.SUMIFS(Compta!$F$1:$F$1448,Compta!$A$1:$A$1448,$B116,Compta!$B$1:$B$1448,"615",Compta!$C$1:$C$1448,$A116)+_xlfn.SUMIFS(Compta!$F$1:$F$1448,Compta!$A$1:$A$1448,$B116,Compta!$B$1:$B$1448,"616",Compta!$C$1:$C$1448,$A116)+_xlfn.SUMIFS(Compta!$F$1:$F$1448,Compta!$A$1:$A$1448,$B116,Compta!$B$1:$B$1448,"625",Compta!$C$1:$C$1448,$A116)+_xlfn.SUMIFS(Compta!$F$1:$F$1448,Compta!$A$1:$A$1448,$B116,Compta!$B$1:$B$1448,"63511",Compta!$C$1:$C$1448,$A116))</f>
        <v>265266</v>
      </c>
      <c r="AB116">
        <f>IF($A116="","",_xlfn.SUMIFS(Compta!$F$1:$F$1448,Compta!$A$1:$A$1448,"GRP",Compta!$B$1:$B$1448,"6414",Compta!$C$1:$C$1448,$A116)+_xlfn.SUMIFS(Compta!$F$1:$F$1448,Compta!$A$1:$A$1448,"GRP",Compta!$B$1:$B$1448,"6226",Compta!$C$1:$C$1448,$A116)+_xlfn.SUMIFS(Compta!$F$1:$F$1448,Compta!$A$1:$A$1448,"GRP",Compta!$B$1:$B$1448,"626",Compta!$C$1:$C$1448,$A116)+_xlfn.SUMIFS(Compta!$F$1:$F$1448,Compta!$A$1:$A$1448,"GRP",Compta!$B$1:$B$1448,"6281",Compta!$C$1:$C$1448,$A116)+_xlfn.SUMIFS(Compta!$F$1:$F$1448,Compta!$A$1:$A$1448,"GRP",Compta!$B$1:$B$1448,"6331",Compta!$C$1:$C$1448,$A116)+_xlfn.SUMIFS(Compta!$F$1:$F$1448,Compta!$A$1:$A$1448,"GRP",Compta!$B$1:$B$1448,"6333",Compta!$C$1:$C$1448,$A116))</f>
        <v>2891983</v>
      </c>
      <c r="AC116" t="s">
        <v>274</v>
      </c>
      <c r="AD116" t="s">
        <v>274</v>
      </c>
      <c r="AE116" t="s">
        <v>274</v>
      </c>
      <c r="AF116" t="s">
        <v>274</v>
      </c>
      <c r="AG116" t="s">
        <v>274</v>
      </c>
      <c r="AH116" t="s">
        <v>274</v>
      </c>
      <c r="AI116">
        <f t="shared" si="3"/>
        <v>24146</v>
      </c>
      <c r="AJ116">
        <f t="shared" si="4"/>
        <v>43833.6666666667</v>
      </c>
      <c r="AK116">
        <f t="shared" si="5"/>
        <v>29816.7606837607</v>
      </c>
      <c r="AL116">
        <f t="shared" si="6"/>
        <v>0</v>
      </c>
      <c r="AM116">
        <f t="shared" si="7"/>
        <v>0</v>
      </c>
      <c r="AN116">
        <f t="shared" si="8"/>
        <v>171803.572649573</v>
      </c>
      <c r="AO116">
        <f>IF($A116="","",_xlfn.SUMIFS(Compta!$F$1:$F$1448,Compta!$A$1:$A$1448,"GRP",Compta!$B$1:$B$1448,"6236",Compta!$C$1:$C$1448,$A116))</f>
        <v>676344</v>
      </c>
      <c r="AP116" t="s">
        <v>274</v>
      </c>
      <c r="AQ116" t="s">
        <v>274</v>
      </c>
      <c r="AR116">
        <f t="shared" si="9"/>
        <v>0</v>
      </c>
    </row>
    <row r="117" ht="14.25" customHeight="1">
      <c r="A117" t="str">
        <f>IF(Allocation!C117="","",Allocation!C117)</f>
        <v>2026</v>
      </c>
      <c r="B117" t="str">
        <f>IF(Allocation!D117="","",Allocation!D117)</f>
        <v>IPAC_REN</v>
      </c>
      <c r="C117" t="str">
        <f>IF(Allocation!E117="","",Allocation!E117)</f>
        <v>IPAC</v>
      </c>
      <c r="D117" t="str">
        <f>IF(Allocation!F117="","",Allocation!F117)</f>
        <v>BAC_CCE</v>
      </c>
      <c r="E117" t="str">
        <f>IF(Allocation!G117="","",Allocation!G117)</f>
        <v>B2</v>
      </c>
      <c r="F117" t="str">
        <f>IF(Allocation!H117="","",Allocation!H117)</f>
        <v>ALT</v>
      </c>
      <c r="G117">
        <f>IF(Allocation!D117="","",Allocation!I117)</f>
        <v>39</v>
      </c>
      <c r="H117">
        <f>IF(Allocation!D117="","",Allocation!J117)</f>
        <v>2</v>
      </c>
      <c r="I117">
        <f>IF(Allocation!D117="","",Allocation!K117)</f>
        <v>259350</v>
      </c>
      <c r="J117">
        <f>IF($A117="","",_xlfn.SUMIFS(Socle!$K$1:$K$448,Socle!$C$1:$C$448,$B117,Socle!$D$1:$D$448,$D117,Socle!$E$1:$E$448,$E117,Socle!$F$1:$F$448,$F117,Socle!$G$1:$G$448,$A117))</f>
        <v>0</v>
      </c>
      <c r="K117">
        <f t="shared" si="0"/>
        <v>960</v>
      </c>
      <c r="L117">
        <f>IF($A117="","",_xlfn.SUMIFS(Allocation!$I$1:$I$175,Allocation!$C$1:$C$175,$A117,Allocation!$D$1:$D$175,$B117))</f>
        <v>117</v>
      </c>
      <c r="M117">
        <f>IF($A117="","",_xlfn.SUMIFS(Allocation!$J$1:$J$175,Allocation!$C$1:$C$175,$A117,Allocation!$D$1:$D$175,$B117))</f>
        <v>6</v>
      </c>
      <c r="N117">
        <f>IF($A117="","",_xlfn.SUMIFS(Allocation!$K$1:$K$175,Allocation!$C$1:$C$175,$A117,Allocation!$D$1:$D$175,$B117))</f>
        <v>781650</v>
      </c>
      <c r="O117">
        <f t="shared" si="1"/>
        <v>2880</v>
      </c>
      <c r="P117">
        <f t="shared" si="2"/>
        <v>80</v>
      </c>
      <c r="Q117">
        <f>IF($A117="","",_xlfn.SUMIFS(Allocation!$I$1:$I$175,Allocation!$C$1:$C$175,$A117,Allocation!$E$1:$E$175,$C117))</f>
        <v>379</v>
      </c>
      <c r="R117">
        <f>IF($A117="","",_xlfn.SUMIFS(Allocation!$J$1:$J$175,Allocation!$C$1:$C$175,$A117,Allocation!$E$1:$E$175,$C117))</f>
        <v>18</v>
      </c>
      <c r="S117">
        <f>IF($A117="","",_xlfn.SUMIFS(Allocation!$K$1:$K$175,Allocation!$C$1:$C$175,$A117,Allocation!$E$1:$E$175,$C117))</f>
        <v>2582800</v>
      </c>
      <c r="T117">
        <f>IF($A117="","",_xlfn.SUMIFS(Allocation!$I$1:$I$175,Allocation!$C$1:$C$175,$A117))</f>
        <v>3036</v>
      </c>
      <c r="U117">
        <f>IF($A117="","",_xlfn.SUMIFS(Allocation!$J$1:$J$175,Allocation!$C$1:$C$175,$A117))</f>
        <v>131</v>
      </c>
      <c r="V117">
        <f>IF($A117="","",_xlfn.SUMIFS(Allocation!$K$1:$K$175,Allocation!$C$1:$C$175,$A117))</f>
        <v>22544725</v>
      </c>
      <c r="W117">
        <f>IF($A117="","",_xlfn.SUMIFS(Compta!$F$1:$F$1448,Compta!$A$1:$A$1448,$B117,Compta!$B$1:$B$1448,"621",Compta!$C$1:$C$1448,$A117))</f>
        <v>72438</v>
      </c>
      <c r="X117">
        <f>IF($A117="","",_xlfn.SUMIFS(Compta!$F$1:$F$1448,Compta!$A$1:$A$1448,$B117,Compta!$B$1:$B$1448,"6411",Compta!$C$1:$C$1448,$A117))</f>
        <v>131501</v>
      </c>
      <c r="Y117">
        <f>IF($A117="","",_xlfn.SUMIFS(Compta!$F$1:$F$1448,Compta!$A$1:$A$1448,$B117,Compta!$B$1:$B$1448,"604",Compta!$C$1:$C$1448,$A117)+_xlfn.SUMIFS(Compta!$F$1:$F$1448,Compta!$A$1:$A$1448,$B117,Compta!$B$1:$B$1448,"6063",Compta!$C$1:$C$1448,$A117))</f>
        <v>43535</v>
      </c>
      <c r="Z117">
        <f>IF($A117="","",_xlfn.SUMIFS(Compta!$F$1:$F$1448,Compta!$A$1:$A$1448,$B117,Compta!$B$1:$B$1448,"6231",Compta!$C$1:$C$1448,$A117))</f>
        <v>14933</v>
      </c>
      <c r="AA117">
        <f>IF($A117="","",_xlfn.SUMIFS(Compta!$F$1:$F$1448,Compta!$A$1:$A$1448,$B117,Compta!$B$1:$B$1448,"6413",Compta!$C$1:$C$1448,$A117)+_xlfn.SUMIFS(Compta!$F$1:$F$1448,Compta!$A$1:$A$1448,$B117,Compta!$B$1:$B$1448,"645",Compta!$C$1:$C$1448,$A117)+_xlfn.SUMIFS(Compta!$F$1:$F$1448,Compta!$A$1:$A$1448,$B117,Compta!$B$1:$B$1448,"613",Compta!$C$1:$C$1448,$A117)+_xlfn.SUMIFS(Compta!$F$1:$F$1448,Compta!$A$1:$A$1448,$B117,Compta!$B$1:$B$1448,"615",Compta!$C$1:$C$1448,$A117)+_xlfn.SUMIFS(Compta!$F$1:$F$1448,Compta!$A$1:$A$1448,$B117,Compta!$B$1:$B$1448,"616",Compta!$C$1:$C$1448,$A117)+_xlfn.SUMIFS(Compta!$F$1:$F$1448,Compta!$A$1:$A$1448,$B117,Compta!$B$1:$B$1448,"625",Compta!$C$1:$C$1448,$A117)+_xlfn.SUMIFS(Compta!$F$1:$F$1448,Compta!$A$1:$A$1448,$B117,Compta!$B$1:$B$1448,"63511",Compta!$C$1:$C$1448,$A117))</f>
        <v>265266</v>
      </c>
      <c r="AB117">
        <f>IF($A117="","",_xlfn.SUMIFS(Compta!$F$1:$F$1448,Compta!$A$1:$A$1448,"GRP",Compta!$B$1:$B$1448,"6414",Compta!$C$1:$C$1448,$A117)+_xlfn.SUMIFS(Compta!$F$1:$F$1448,Compta!$A$1:$A$1448,"GRP",Compta!$B$1:$B$1448,"6226",Compta!$C$1:$C$1448,$A117)+_xlfn.SUMIFS(Compta!$F$1:$F$1448,Compta!$A$1:$A$1448,"GRP",Compta!$B$1:$B$1448,"626",Compta!$C$1:$C$1448,$A117)+_xlfn.SUMIFS(Compta!$F$1:$F$1448,Compta!$A$1:$A$1448,"GRP",Compta!$B$1:$B$1448,"6281",Compta!$C$1:$C$1448,$A117)+_xlfn.SUMIFS(Compta!$F$1:$F$1448,Compta!$A$1:$A$1448,"GRP",Compta!$B$1:$B$1448,"6331",Compta!$C$1:$C$1448,$A117)+_xlfn.SUMIFS(Compta!$F$1:$F$1448,Compta!$A$1:$A$1448,"GRP",Compta!$B$1:$B$1448,"6333",Compta!$C$1:$C$1448,$A117))</f>
        <v>2891983</v>
      </c>
      <c r="AC117" t="s">
        <v>274</v>
      </c>
      <c r="AD117" t="s">
        <v>274</v>
      </c>
      <c r="AE117" t="s">
        <v>274</v>
      </c>
      <c r="AF117" t="s">
        <v>274</v>
      </c>
      <c r="AG117" t="s">
        <v>274</v>
      </c>
      <c r="AH117" t="s">
        <v>274</v>
      </c>
      <c r="AI117">
        <f t="shared" si="3"/>
        <v>24146</v>
      </c>
      <c r="AJ117">
        <f t="shared" si="4"/>
        <v>43833.6666666667</v>
      </c>
      <c r="AK117">
        <f t="shared" si="5"/>
        <v>14511.6666666667</v>
      </c>
      <c r="AL117">
        <f t="shared" si="6"/>
        <v>0</v>
      </c>
      <c r="AM117">
        <f t="shared" si="7"/>
        <v>0</v>
      </c>
      <c r="AN117">
        <f t="shared" si="8"/>
        <v>176858.666666667</v>
      </c>
      <c r="AO117">
        <f>IF($A117="","",_xlfn.SUMIFS(Compta!$F$1:$F$1448,Compta!$A$1:$A$1448,"GRP",Compta!$B$1:$B$1448,"6236",Compta!$C$1:$C$1448,$A117))</f>
        <v>676344</v>
      </c>
      <c r="AP117" t="s">
        <v>274</v>
      </c>
      <c r="AQ117" t="s">
        <v>274</v>
      </c>
      <c r="AR117">
        <f t="shared" si="9"/>
        <v>0</v>
      </c>
    </row>
    <row r="118" ht="14.25" customHeight="1">
      <c r="A118" t="str">
        <f>IF(Allocation!C118="","",Allocation!C118)</f>
        <v>2026</v>
      </c>
      <c r="B118" t="str">
        <f>IF(Allocation!D118="","",Allocation!D118)</f>
        <v>IPAC_REN</v>
      </c>
      <c r="C118" t="str">
        <f>IF(Allocation!E118="","",Allocation!E118)</f>
        <v>IPAC</v>
      </c>
      <c r="D118" t="str">
        <f>IF(Allocation!F118="","",Allocation!F118)</f>
        <v>BAC_CCE</v>
      </c>
      <c r="E118" t="str">
        <f>IF(Allocation!G118="","",Allocation!G118)</f>
        <v>B3</v>
      </c>
      <c r="F118" t="str">
        <f>IF(Allocation!H118="","",Allocation!H118)</f>
        <v>ALT</v>
      </c>
      <c r="G118">
        <f>IF(Allocation!D118="","",Allocation!I118)</f>
        <v>38</v>
      </c>
      <c r="H118">
        <f>IF(Allocation!D118="","",Allocation!J118)</f>
        <v>2</v>
      </c>
      <c r="I118">
        <f>IF(Allocation!D118="","",Allocation!K118)</f>
        <v>252700</v>
      </c>
      <c r="J118">
        <f>IF($A118="","",_xlfn.SUMIFS(Socle!$K$1:$K$448,Socle!$C$1:$C$448,$B118,Socle!$D$1:$D$448,$D118,Socle!$E$1:$E$448,$E118,Socle!$F$1:$F$448,$F118,Socle!$G$1:$G$448,$A118))</f>
        <v>0</v>
      </c>
      <c r="K118">
        <f t="shared" si="0"/>
        <v>960</v>
      </c>
      <c r="L118">
        <f>IF($A118="","",_xlfn.SUMIFS(Allocation!$I$1:$I$175,Allocation!$C$1:$C$175,$A118,Allocation!$D$1:$D$175,$B118))</f>
        <v>117</v>
      </c>
      <c r="M118">
        <f>IF($A118="","",_xlfn.SUMIFS(Allocation!$J$1:$J$175,Allocation!$C$1:$C$175,$A118,Allocation!$D$1:$D$175,$B118))</f>
        <v>6</v>
      </c>
      <c r="N118">
        <f>IF($A118="","",_xlfn.SUMIFS(Allocation!$K$1:$K$175,Allocation!$C$1:$C$175,$A118,Allocation!$D$1:$D$175,$B118))</f>
        <v>781650</v>
      </c>
      <c r="O118">
        <f t="shared" si="1"/>
        <v>2880</v>
      </c>
      <c r="P118">
        <f t="shared" si="2"/>
        <v>80</v>
      </c>
      <c r="Q118">
        <f>IF($A118="","",_xlfn.SUMIFS(Allocation!$I$1:$I$175,Allocation!$C$1:$C$175,$A118,Allocation!$E$1:$E$175,$C118))</f>
        <v>379</v>
      </c>
      <c r="R118">
        <f>IF($A118="","",_xlfn.SUMIFS(Allocation!$J$1:$J$175,Allocation!$C$1:$C$175,$A118,Allocation!$E$1:$E$175,$C118))</f>
        <v>18</v>
      </c>
      <c r="S118">
        <f>IF($A118="","",_xlfn.SUMIFS(Allocation!$K$1:$K$175,Allocation!$C$1:$C$175,$A118,Allocation!$E$1:$E$175,$C118))</f>
        <v>2582800</v>
      </c>
      <c r="T118">
        <f>IF($A118="","",_xlfn.SUMIFS(Allocation!$I$1:$I$175,Allocation!$C$1:$C$175,$A118))</f>
        <v>3036</v>
      </c>
      <c r="U118">
        <f>IF($A118="","",_xlfn.SUMIFS(Allocation!$J$1:$J$175,Allocation!$C$1:$C$175,$A118))</f>
        <v>131</v>
      </c>
      <c r="V118">
        <f>IF($A118="","",_xlfn.SUMIFS(Allocation!$K$1:$K$175,Allocation!$C$1:$C$175,$A118))</f>
        <v>22544725</v>
      </c>
      <c r="W118">
        <f>IF($A118="","",_xlfn.SUMIFS(Compta!$F$1:$F$1448,Compta!$A$1:$A$1448,$B118,Compta!$B$1:$B$1448,"621",Compta!$C$1:$C$1448,$A118))</f>
        <v>72438</v>
      </c>
      <c r="X118">
        <f>IF($A118="","",_xlfn.SUMIFS(Compta!$F$1:$F$1448,Compta!$A$1:$A$1448,$B118,Compta!$B$1:$B$1448,"6411",Compta!$C$1:$C$1448,$A118))</f>
        <v>131501</v>
      </c>
      <c r="Y118">
        <f>IF($A118="","",_xlfn.SUMIFS(Compta!$F$1:$F$1448,Compta!$A$1:$A$1448,$B118,Compta!$B$1:$B$1448,"604",Compta!$C$1:$C$1448,$A118)+_xlfn.SUMIFS(Compta!$F$1:$F$1448,Compta!$A$1:$A$1448,$B118,Compta!$B$1:$B$1448,"6063",Compta!$C$1:$C$1448,$A118))</f>
        <v>43535</v>
      </c>
      <c r="Z118">
        <f>IF($A118="","",_xlfn.SUMIFS(Compta!$F$1:$F$1448,Compta!$A$1:$A$1448,$B118,Compta!$B$1:$B$1448,"6231",Compta!$C$1:$C$1448,$A118))</f>
        <v>14933</v>
      </c>
      <c r="AA118">
        <f>IF($A118="","",_xlfn.SUMIFS(Compta!$F$1:$F$1448,Compta!$A$1:$A$1448,$B118,Compta!$B$1:$B$1448,"6413",Compta!$C$1:$C$1448,$A118)+_xlfn.SUMIFS(Compta!$F$1:$F$1448,Compta!$A$1:$A$1448,$B118,Compta!$B$1:$B$1448,"645",Compta!$C$1:$C$1448,$A118)+_xlfn.SUMIFS(Compta!$F$1:$F$1448,Compta!$A$1:$A$1448,$B118,Compta!$B$1:$B$1448,"613",Compta!$C$1:$C$1448,$A118)+_xlfn.SUMIFS(Compta!$F$1:$F$1448,Compta!$A$1:$A$1448,$B118,Compta!$B$1:$B$1448,"615",Compta!$C$1:$C$1448,$A118)+_xlfn.SUMIFS(Compta!$F$1:$F$1448,Compta!$A$1:$A$1448,$B118,Compta!$B$1:$B$1448,"616",Compta!$C$1:$C$1448,$A118)+_xlfn.SUMIFS(Compta!$F$1:$F$1448,Compta!$A$1:$A$1448,$B118,Compta!$B$1:$B$1448,"625",Compta!$C$1:$C$1448,$A118)+_xlfn.SUMIFS(Compta!$F$1:$F$1448,Compta!$A$1:$A$1448,$B118,Compta!$B$1:$B$1448,"63511",Compta!$C$1:$C$1448,$A118))</f>
        <v>265266</v>
      </c>
      <c r="AB118">
        <f>IF($A118="","",_xlfn.SUMIFS(Compta!$F$1:$F$1448,Compta!$A$1:$A$1448,"GRP",Compta!$B$1:$B$1448,"6414",Compta!$C$1:$C$1448,$A118)+_xlfn.SUMIFS(Compta!$F$1:$F$1448,Compta!$A$1:$A$1448,"GRP",Compta!$B$1:$B$1448,"6226",Compta!$C$1:$C$1448,$A118)+_xlfn.SUMIFS(Compta!$F$1:$F$1448,Compta!$A$1:$A$1448,"GRP",Compta!$B$1:$B$1448,"626",Compta!$C$1:$C$1448,$A118)+_xlfn.SUMIFS(Compta!$F$1:$F$1448,Compta!$A$1:$A$1448,"GRP",Compta!$B$1:$B$1448,"6281",Compta!$C$1:$C$1448,$A118)+_xlfn.SUMIFS(Compta!$F$1:$F$1448,Compta!$A$1:$A$1448,"GRP",Compta!$B$1:$B$1448,"6331",Compta!$C$1:$C$1448,$A118)+_xlfn.SUMIFS(Compta!$F$1:$F$1448,Compta!$A$1:$A$1448,"GRP",Compta!$B$1:$B$1448,"6333",Compta!$C$1:$C$1448,$A118))</f>
        <v>2891983</v>
      </c>
      <c r="AC118" t="s">
        <v>274</v>
      </c>
      <c r="AD118" t="s">
        <v>274</v>
      </c>
      <c r="AE118" t="s">
        <v>274</v>
      </c>
      <c r="AF118" t="s">
        <v>274</v>
      </c>
      <c r="AG118" t="s">
        <v>274</v>
      </c>
      <c r="AH118" t="s">
        <v>274</v>
      </c>
      <c r="AI118">
        <f t="shared" si="3"/>
        <v>24146</v>
      </c>
      <c r="AJ118">
        <f t="shared" si="4"/>
        <v>43833.6666666667</v>
      </c>
      <c r="AK118">
        <f t="shared" si="5"/>
        <v>14139.5726495727</v>
      </c>
      <c r="AL118">
        <f t="shared" si="6"/>
        <v>0</v>
      </c>
      <c r="AM118">
        <f t="shared" si="7"/>
        <v>0</v>
      </c>
      <c r="AN118">
        <f t="shared" si="8"/>
        <v>170580.760683761</v>
      </c>
      <c r="AO118">
        <f>IF($A118="","",_xlfn.SUMIFS(Compta!$F$1:$F$1448,Compta!$A$1:$A$1448,"GRP",Compta!$B$1:$B$1448,"6236",Compta!$C$1:$C$1448,$A118))</f>
        <v>676344</v>
      </c>
      <c r="AP118" t="s">
        <v>274</v>
      </c>
      <c r="AQ118" t="s">
        <v>274</v>
      </c>
      <c r="AR118">
        <f t="shared" si="9"/>
        <v>0</v>
      </c>
    </row>
    <row r="119" ht="14.25" customHeight="1">
      <c r="A119" t="str">
        <f>IF(Allocation!C119="","",Allocation!C119)</f>
        <v>2025</v>
      </c>
      <c r="B119" t="str">
        <f>IF(Allocation!D119="","",Allocation!D119)</f>
        <v>IPAC_REN</v>
      </c>
      <c r="C119" t="str">
        <f>IF(Allocation!E119="","",Allocation!E119)</f>
        <v>IPAC</v>
      </c>
      <c r="D119" t="str">
        <f>IF(Allocation!F119="","",Allocation!F119)</f>
        <v>BAC_CCE</v>
      </c>
      <c r="E119" t="str">
        <f>IF(Allocation!G119="","",Allocation!G119)</f>
        <v>B1</v>
      </c>
      <c r="F119" t="str">
        <f>IF(Allocation!H119="","",Allocation!H119)</f>
        <v>ALT</v>
      </c>
      <c r="G119">
        <f>IF(Allocation!D119="","",Allocation!I119)</f>
        <v>38</v>
      </c>
      <c r="H119">
        <f>IF(Allocation!D119="","",Allocation!J119)</f>
        <v>2</v>
      </c>
      <c r="I119">
        <f>IF(Allocation!D119="","",Allocation!K119)</f>
        <v>256120</v>
      </c>
      <c r="J119">
        <f>IF($A119="","",_xlfn.SUMIFS(Socle!$K$1:$K$448,Socle!$C$1:$C$448,$B119,Socle!$D$1:$D$448,$D119,Socle!$E$1:$E$448,$E119,Socle!$F$1:$F$448,$F119,Socle!$G$1:$G$448,$A119))</f>
        <v>76</v>
      </c>
      <c r="K119">
        <f t="shared" si="0"/>
        <v>960</v>
      </c>
      <c r="L119">
        <f>IF($A119="","",_xlfn.SUMIFS(Allocation!$I$1:$I$175,Allocation!$C$1:$C$175,$A119,Allocation!$D$1:$D$175,$B119))</f>
        <v>111</v>
      </c>
      <c r="M119">
        <f>IF($A119="","",_xlfn.SUMIFS(Allocation!$J$1:$J$175,Allocation!$C$1:$C$175,$A119,Allocation!$D$1:$D$175,$B119))</f>
        <v>6</v>
      </c>
      <c r="N119">
        <f>IF($A119="","",_xlfn.SUMIFS(Allocation!$K$1:$K$175,Allocation!$C$1:$C$175,$A119,Allocation!$D$1:$D$175,$B119))</f>
        <v>741570</v>
      </c>
      <c r="O119">
        <f t="shared" si="1"/>
        <v>2880</v>
      </c>
      <c r="P119">
        <f t="shared" si="2"/>
        <v>76</v>
      </c>
      <c r="Q119">
        <f>IF($A119="","",_xlfn.SUMIFS(Allocation!$I$1:$I$175,Allocation!$C$1:$C$175,$A119,Allocation!$E$1:$E$175,$C119))</f>
        <v>358</v>
      </c>
      <c r="R119">
        <f>IF($A119="","",_xlfn.SUMIFS(Allocation!$J$1:$J$175,Allocation!$C$1:$C$175,$A119,Allocation!$E$1:$E$175,$C119))</f>
        <v>18</v>
      </c>
      <c r="S119">
        <f>IF($A119="","",_xlfn.SUMIFS(Allocation!$K$1:$K$175,Allocation!$C$1:$C$175,$A119,Allocation!$E$1:$E$175,$C119))</f>
        <v>2439370</v>
      </c>
      <c r="T119">
        <f>IF($A119="","",_xlfn.SUMIFS(Allocation!$I$1:$I$175,Allocation!$C$1:$C$175,$A119))</f>
        <v>2860</v>
      </c>
      <c r="U119">
        <f>IF($A119="","",_xlfn.SUMIFS(Allocation!$J$1:$J$175,Allocation!$C$1:$C$175,$A119))</f>
        <v>131</v>
      </c>
      <c r="V119">
        <f>IF($A119="","",_xlfn.SUMIFS(Allocation!$K$1:$K$175,Allocation!$C$1:$C$175,$A119))</f>
        <v>21240140</v>
      </c>
      <c r="W119">
        <f>IF($A119="","",_xlfn.SUMIFS(Compta!$F$1:$F$1448,Compta!$A$1:$A$1448,$B119,Compta!$B$1:$B$1448,"621",Compta!$C$1:$C$1448,$A119))</f>
        <v>69137</v>
      </c>
      <c r="X119">
        <f>IF($A119="","",_xlfn.SUMIFS(Compta!$F$1:$F$1448,Compta!$A$1:$A$1448,$B119,Compta!$B$1:$B$1448,"6411",Compta!$C$1:$C$1448,$A119))</f>
        <v>125510</v>
      </c>
      <c r="Y119">
        <f>IF($A119="","",_xlfn.SUMIFS(Compta!$F$1:$F$1448,Compta!$A$1:$A$1448,$B119,Compta!$B$1:$B$1448,"604",Compta!$C$1:$C$1448,$A119)+_xlfn.SUMIFS(Compta!$F$1:$F$1448,Compta!$A$1:$A$1448,$B119,Compta!$B$1:$B$1448,"6063",Compta!$C$1:$C$1448,$A119))</f>
        <v>41552</v>
      </c>
      <c r="Z119">
        <f>IF($A119="","",_xlfn.SUMIFS(Compta!$F$1:$F$1448,Compta!$A$1:$A$1448,$B119,Compta!$B$1:$B$1448,"6231",Compta!$C$1:$C$1448,$A119))</f>
        <v>13575</v>
      </c>
      <c r="AA119">
        <f>IF($A119="","",_xlfn.SUMIFS(Compta!$F$1:$F$1448,Compta!$A$1:$A$1448,$B119,Compta!$B$1:$B$1448,"6413",Compta!$C$1:$C$1448,$A119)+_xlfn.SUMIFS(Compta!$F$1:$F$1448,Compta!$A$1:$A$1448,$B119,Compta!$B$1:$B$1448,"645",Compta!$C$1:$C$1448,$A119)+_xlfn.SUMIFS(Compta!$F$1:$F$1448,Compta!$A$1:$A$1448,$B119,Compta!$B$1:$B$1448,"613",Compta!$C$1:$C$1448,$A119)+_xlfn.SUMIFS(Compta!$F$1:$F$1448,Compta!$A$1:$A$1448,$B119,Compta!$B$1:$B$1448,"615",Compta!$C$1:$C$1448,$A119)+_xlfn.SUMIFS(Compta!$F$1:$F$1448,Compta!$A$1:$A$1448,$B119,Compta!$B$1:$B$1448,"616",Compta!$C$1:$C$1448,$A119)+_xlfn.SUMIFS(Compta!$F$1:$F$1448,Compta!$A$1:$A$1448,$B119,Compta!$B$1:$B$1448,"625",Compta!$C$1:$C$1448,$A119)+_xlfn.SUMIFS(Compta!$F$1:$F$1448,Compta!$A$1:$A$1448,$B119,Compta!$B$1:$B$1448,"63511",Compta!$C$1:$C$1448,$A119))</f>
        <v>253182</v>
      </c>
      <c r="AB119">
        <f>IF($A119="","",_xlfn.SUMIFS(Compta!$F$1:$F$1448,Compta!$A$1:$A$1448,"GRP",Compta!$B$1:$B$1448,"6414",Compta!$C$1:$C$1448,$A119)+_xlfn.SUMIFS(Compta!$F$1:$F$1448,Compta!$A$1:$A$1448,"GRP",Compta!$B$1:$B$1448,"6226",Compta!$C$1:$C$1448,$A119)+_xlfn.SUMIFS(Compta!$F$1:$F$1448,Compta!$A$1:$A$1448,"GRP",Compta!$B$1:$B$1448,"626",Compta!$C$1:$C$1448,$A119)+_xlfn.SUMIFS(Compta!$F$1:$F$1448,Compta!$A$1:$A$1448,"GRP",Compta!$B$1:$B$1448,"6281",Compta!$C$1:$C$1448,$A119)+_xlfn.SUMIFS(Compta!$F$1:$F$1448,Compta!$A$1:$A$1448,"GRP",Compta!$B$1:$B$1448,"6331",Compta!$C$1:$C$1448,$A119)+_xlfn.SUMIFS(Compta!$F$1:$F$1448,Compta!$A$1:$A$1448,"GRP",Compta!$B$1:$B$1448,"6333",Compta!$C$1:$C$1448,$A119))</f>
        <v>2760232</v>
      </c>
      <c r="AC119" t="s">
        <v>274</v>
      </c>
      <c r="AD119" t="s">
        <v>274</v>
      </c>
      <c r="AE119" t="s">
        <v>274</v>
      </c>
      <c r="AF119" t="s">
        <v>274</v>
      </c>
      <c r="AG119" t="s">
        <v>274</v>
      </c>
      <c r="AH119" t="s">
        <v>274</v>
      </c>
      <c r="AI119">
        <f t="shared" si="3"/>
        <v>23045.6666666667</v>
      </c>
      <c r="AJ119">
        <f t="shared" si="4"/>
        <v>41836.6666666667</v>
      </c>
      <c r="AK119">
        <f t="shared" si="5"/>
        <v>27800.009009009</v>
      </c>
      <c r="AL119">
        <f t="shared" si="6"/>
        <v>0</v>
      </c>
      <c r="AM119">
        <f t="shared" si="7"/>
        <v>0</v>
      </c>
      <c r="AN119">
        <f t="shared" si="8"/>
        <v>163437.657657658</v>
      </c>
      <c r="AO119">
        <f>IF($A119="","",_xlfn.SUMIFS(Compta!$F$1:$F$1448,Compta!$A$1:$A$1448,"GRP",Compta!$B$1:$B$1448,"6236",Compta!$C$1:$C$1448,$A119))</f>
        <v>580167</v>
      </c>
      <c r="AP119" t="s">
        <v>274</v>
      </c>
      <c r="AQ119" t="s">
        <v>274</v>
      </c>
      <c r="AR119">
        <f t="shared" si="9"/>
        <v>0</v>
      </c>
    </row>
    <row r="120" ht="14.25" customHeight="1">
      <c r="A120" t="str">
        <f>IF(Allocation!C120="","",Allocation!C120)</f>
        <v>2025</v>
      </c>
      <c r="B120" t="str">
        <f>IF(Allocation!D120="","",Allocation!D120)</f>
        <v>IPAC_REN</v>
      </c>
      <c r="C120" t="str">
        <f>IF(Allocation!E120="","",Allocation!E120)</f>
        <v>IPAC</v>
      </c>
      <c r="D120" t="str">
        <f>IF(Allocation!F120="","",Allocation!F120)</f>
        <v>BAC_CCE</v>
      </c>
      <c r="E120" t="str">
        <f>IF(Allocation!G120="","",Allocation!G120)</f>
        <v>B2</v>
      </c>
      <c r="F120" t="str">
        <f>IF(Allocation!H120="","",Allocation!H120)</f>
        <v>ALT</v>
      </c>
      <c r="G120">
        <f>IF(Allocation!D120="","",Allocation!I120)</f>
        <v>37</v>
      </c>
      <c r="H120">
        <f>IF(Allocation!D120="","",Allocation!J120)</f>
        <v>2</v>
      </c>
      <c r="I120">
        <f>IF(Allocation!D120="","",Allocation!K120)</f>
        <v>246050</v>
      </c>
      <c r="J120">
        <f>IF($A120="","",_xlfn.SUMIFS(Socle!$K$1:$K$448,Socle!$C$1:$C$448,$B120,Socle!$D$1:$D$448,$D120,Socle!$E$1:$E$448,$E120,Socle!$F$1:$F$448,$F120,Socle!$G$1:$G$448,$A120))</f>
        <v>0</v>
      </c>
      <c r="K120">
        <f t="shared" si="0"/>
        <v>960</v>
      </c>
      <c r="L120">
        <f>IF($A120="","",_xlfn.SUMIFS(Allocation!$I$1:$I$175,Allocation!$C$1:$C$175,$A120,Allocation!$D$1:$D$175,$B120))</f>
        <v>111</v>
      </c>
      <c r="M120">
        <f>IF($A120="","",_xlfn.SUMIFS(Allocation!$J$1:$J$175,Allocation!$C$1:$C$175,$A120,Allocation!$D$1:$D$175,$B120))</f>
        <v>6</v>
      </c>
      <c r="N120">
        <f>IF($A120="","",_xlfn.SUMIFS(Allocation!$K$1:$K$175,Allocation!$C$1:$C$175,$A120,Allocation!$D$1:$D$175,$B120))</f>
        <v>741570</v>
      </c>
      <c r="O120">
        <f t="shared" si="1"/>
        <v>2880</v>
      </c>
      <c r="P120">
        <f t="shared" si="2"/>
        <v>76</v>
      </c>
      <c r="Q120">
        <f>IF($A120="","",_xlfn.SUMIFS(Allocation!$I$1:$I$175,Allocation!$C$1:$C$175,$A120,Allocation!$E$1:$E$175,$C120))</f>
        <v>358</v>
      </c>
      <c r="R120">
        <f>IF($A120="","",_xlfn.SUMIFS(Allocation!$J$1:$J$175,Allocation!$C$1:$C$175,$A120,Allocation!$E$1:$E$175,$C120))</f>
        <v>18</v>
      </c>
      <c r="S120">
        <f>IF($A120="","",_xlfn.SUMIFS(Allocation!$K$1:$K$175,Allocation!$C$1:$C$175,$A120,Allocation!$E$1:$E$175,$C120))</f>
        <v>2439370</v>
      </c>
      <c r="T120">
        <f>IF($A120="","",_xlfn.SUMIFS(Allocation!$I$1:$I$175,Allocation!$C$1:$C$175,$A120))</f>
        <v>2860</v>
      </c>
      <c r="U120">
        <f>IF($A120="","",_xlfn.SUMIFS(Allocation!$J$1:$J$175,Allocation!$C$1:$C$175,$A120))</f>
        <v>131</v>
      </c>
      <c r="V120">
        <f>IF($A120="","",_xlfn.SUMIFS(Allocation!$K$1:$K$175,Allocation!$C$1:$C$175,$A120))</f>
        <v>21240140</v>
      </c>
      <c r="W120">
        <f>IF($A120="","",_xlfn.SUMIFS(Compta!$F$1:$F$1448,Compta!$A$1:$A$1448,$B120,Compta!$B$1:$B$1448,"621",Compta!$C$1:$C$1448,$A120))</f>
        <v>69137</v>
      </c>
      <c r="X120">
        <f>IF($A120="","",_xlfn.SUMIFS(Compta!$F$1:$F$1448,Compta!$A$1:$A$1448,$B120,Compta!$B$1:$B$1448,"6411",Compta!$C$1:$C$1448,$A120))</f>
        <v>125510</v>
      </c>
      <c r="Y120">
        <f>IF($A120="","",_xlfn.SUMIFS(Compta!$F$1:$F$1448,Compta!$A$1:$A$1448,$B120,Compta!$B$1:$B$1448,"604",Compta!$C$1:$C$1448,$A120)+_xlfn.SUMIFS(Compta!$F$1:$F$1448,Compta!$A$1:$A$1448,$B120,Compta!$B$1:$B$1448,"6063",Compta!$C$1:$C$1448,$A120))</f>
        <v>41552</v>
      </c>
      <c r="Z120">
        <f>IF($A120="","",_xlfn.SUMIFS(Compta!$F$1:$F$1448,Compta!$A$1:$A$1448,$B120,Compta!$B$1:$B$1448,"6231",Compta!$C$1:$C$1448,$A120))</f>
        <v>13575</v>
      </c>
      <c r="AA120">
        <f>IF($A120="","",_xlfn.SUMIFS(Compta!$F$1:$F$1448,Compta!$A$1:$A$1448,$B120,Compta!$B$1:$B$1448,"6413",Compta!$C$1:$C$1448,$A120)+_xlfn.SUMIFS(Compta!$F$1:$F$1448,Compta!$A$1:$A$1448,$B120,Compta!$B$1:$B$1448,"645",Compta!$C$1:$C$1448,$A120)+_xlfn.SUMIFS(Compta!$F$1:$F$1448,Compta!$A$1:$A$1448,$B120,Compta!$B$1:$B$1448,"613",Compta!$C$1:$C$1448,$A120)+_xlfn.SUMIFS(Compta!$F$1:$F$1448,Compta!$A$1:$A$1448,$B120,Compta!$B$1:$B$1448,"615",Compta!$C$1:$C$1448,$A120)+_xlfn.SUMIFS(Compta!$F$1:$F$1448,Compta!$A$1:$A$1448,$B120,Compta!$B$1:$B$1448,"616",Compta!$C$1:$C$1448,$A120)+_xlfn.SUMIFS(Compta!$F$1:$F$1448,Compta!$A$1:$A$1448,$B120,Compta!$B$1:$B$1448,"625",Compta!$C$1:$C$1448,$A120)+_xlfn.SUMIFS(Compta!$F$1:$F$1448,Compta!$A$1:$A$1448,$B120,Compta!$B$1:$B$1448,"63511",Compta!$C$1:$C$1448,$A120))</f>
        <v>253182</v>
      </c>
      <c r="AB120">
        <f>IF($A120="","",_xlfn.SUMIFS(Compta!$F$1:$F$1448,Compta!$A$1:$A$1448,"GRP",Compta!$B$1:$B$1448,"6414",Compta!$C$1:$C$1448,$A120)+_xlfn.SUMIFS(Compta!$F$1:$F$1448,Compta!$A$1:$A$1448,"GRP",Compta!$B$1:$B$1448,"6226",Compta!$C$1:$C$1448,$A120)+_xlfn.SUMIFS(Compta!$F$1:$F$1448,Compta!$A$1:$A$1448,"GRP",Compta!$B$1:$B$1448,"626",Compta!$C$1:$C$1448,$A120)+_xlfn.SUMIFS(Compta!$F$1:$F$1448,Compta!$A$1:$A$1448,"GRP",Compta!$B$1:$B$1448,"6281",Compta!$C$1:$C$1448,$A120)+_xlfn.SUMIFS(Compta!$F$1:$F$1448,Compta!$A$1:$A$1448,"GRP",Compta!$B$1:$B$1448,"6331",Compta!$C$1:$C$1448,$A120)+_xlfn.SUMIFS(Compta!$F$1:$F$1448,Compta!$A$1:$A$1448,"GRP",Compta!$B$1:$B$1448,"6333",Compta!$C$1:$C$1448,$A120))</f>
        <v>2760232</v>
      </c>
      <c r="AC120" t="s">
        <v>274</v>
      </c>
      <c r="AD120" t="s">
        <v>274</v>
      </c>
      <c r="AE120" t="s">
        <v>274</v>
      </c>
      <c r="AF120" t="s">
        <v>274</v>
      </c>
      <c r="AG120" t="s">
        <v>274</v>
      </c>
      <c r="AH120" t="s">
        <v>274</v>
      </c>
      <c r="AI120">
        <f t="shared" si="3"/>
        <v>23045.6666666667</v>
      </c>
      <c r="AJ120">
        <f t="shared" si="4"/>
        <v>41836.6666666667</v>
      </c>
      <c r="AK120">
        <f t="shared" si="5"/>
        <v>13850.6666666667</v>
      </c>
      <c r="AL120">
        <f t="shared" si="6"/>
        <v>0</v>
      </c>
      <c r="AM120">
        <f t="shared" si="7"/>
        <v>0</v>
      </c>
      <c r="AN120">
        <f t="shared" si="8"/>
        <v>167317</v>
      </c>
      <c r="AO120">
        <f>IF($A120="","",_xlfn.SUMIFS(Compta!$F$1:$F$1448,Compta!$A$1:$A$1448,"GRP",Compta!$B$1:$B$1448,"6236",Compta!$C$1:$C$1448,$A120))</f>
        <v>580167</v>
      </c>
      <c r="AP120" t="s">
        <v>274</v>
      </c>
      <c r="AQ120" t="s">
        <v>274</v>
      </c>
      <c r="AR120">
        <f t="shared" si="9"/>
        <v>0</v>
      </c>
    </row>
    <row r="121" ht="14.25" customHeight="1">
      <c r="A121" t="str">
        <f>IF(Allocation!C121="","",Allocation!C121)</f>
        <v>2025</v>
      </c>
      <c r="B121" t="str">
        <f>IF(Allocation!D121="","",Allocation!D121)</f>
        <v>IPAC_REN</v>
      </c>
      <c r="C121" t="str">
        <f>IF(Allocation!E121="","",Allocation!E121)</f>
        <v>IPAC</v>
      </c>
      <c r="D121" t="str">
        <f>IF(Allocation!F121="","",Allocation!F121)</f>
        <v>BAC_CCE</v>
      </c>
      <c r="E121" t="str">
        <f>IF(Allocation!G121="","",Allocation!G121)</f>
        <v>B3</v>
      </c>
      <c r="F121" t="str">
        <f>IF(Allocation!H121="","",Allocation!H121)</f>
        <v>ALT</v>
      </c>
      <c r="G121">
        <f>IF(Allocation!D121="","",Allocation!I121)</f>
        <v>36</v>
      </c>
      <c r="H121">
        <f>IF(Allocation!D121="","",Allocation!J121)</f>
        <v>2</v>
      </c>
      <c r="I121">
        <f>IF(Allocation!D121="","",Allocation!K121)</f>
        <v>239400</v>
      </c>
      <c r="J121">
        <f>IF($A121="","",_xlfn.SUMIFS(Socle!$K$1:$K$448,Socle!$C$1:$C$448,$B121,Socle!$D$1:$D$448,$D121,Socle!$E$1:$E$448,$E121,Socle!$F$1:$F$448,$F121,Socle!$G$1:$G$448,$A121))</f>
        <v>0</v>
      </c>
      <c r="K121">
        <f t="shared" si="0"/>
        <v>960</v>
      </c>
      <c r="L121">
        <f>IF($A121="","",_xlfn.SUMIFS(Allocation!$I$1:$I$175,Allocation!$C$1:$C$175,$A121,Allocation!$D$1:$D$175,$B121))</f>
        <v>111</v>
      </c>
      <c r="M121">
        <f>IF($A121="","",_xlfn.SUMIFS(Allocation!$J$1:$J$175,Allocation!$C$1:$C$175,$A121,Allocation!$D$1:$D$175,$B121))</f>
        <v>6</v>
      </c>
      <c r="N121">
        <f>IF($A121="","",_xlfn.SUMIFS(Allocation!$K$1:$K$175,Allocation!$C$1:$C$175,$A121,Allocation!$D$1:$D$175,$B121))</f>
        <v>741570</v>
      </c>
      <c r="O121">
        <f t="shared" si="1"/>
        <v>2880</v>
      </c>
      <c r="P121">
        <f t="shared" si="2"/>
        <v>76</v>
      </c>
      <c r="Q121">
        <f>IF($A121="","",_xlfn.SUMIFS(Allocation!$I$1:$I$175,Allocation!$C$1:$C$175,$A121,Allocation!$E$1:$E$175,$C121))</f>
        <v>358</v>
      </c>
      <c r="R121">
        <f>IF($A121="","",_xlfn.SUMIFS(Allocation!$J$1:$J$175,Allocation!$C$1:$C$175,$A121,Allocation!$E$1:$E$175,$C121))</f>
        <v>18</v>
      </c>
      <c r="S121">
        <f>IF($A121="","",_xlfn.SUMIFS(Allocation!$K$1:$K$175,Allocation!$C$1:$C$175,$A121,Allocation!$E$1:$E$175,$C121))</f>
        <v>2439370</v>
      </c>
      <c r="T121">
        <f>IF($A121="","",_xlfn.SUMIFS(Allocation!$I$1:$I$175,Allocation!$C$1:$C$175,$A121))</f>
        <v>2860</v>
      </c>
      <c r="U121">
        <f>IF($A121="","",_xlfn.SUMIFS(Allocation!$J$1:$J$175,Allocation!$C$1:$C$175,$A121))</f>
        <v>131</v>
      </c>
      <c r="V121">
        <f>IF($A121="","",_xlfn.SUMIFS(Allocation!$K$1:$K$175,Allocation!$C$1:$C$175,$A121))</f>
        <v>21240140</v>
      </c>
      <c r="W121">
        <f>IF($A121="","",_xlfn.SUMIFS(Compta!$F$1:$F$1448,Compta!$A$1:$A$1448,$B121,Compta!$B$1:$B$1448,"621",Compta!$C$1:$C$1448,$A121))</f>
        <v>69137</v>
      </c>
      <c r="X121">
        <f>IF($A121="","",_xlfn.SUMIFS(Compta!$F$1:$F$1448,Compta!$A$1:$A$1448,$B121,Compta!$B$1:$B$1448,"6411",Compta!$C$1:$C$1448,$A121))</f>
        <v>125510</v>
      </c>
      <c r="Y121">
        <f>IF($A121="","",_xlfn.SUMIFS(Compta!$F$1:$F$1448,Compta!$A$1:$A$1448,$B121,Compta!$B$1:$B$1448,"604",Compta!$C$1:$C$1448,$A121)+_xlfn.SUMIFS(Compta!$F$1:$F$1448,Compta!$A$1:$A$1448,$B121,Compta!$B$1:$B$1448,"6063",Compta!$C$1:$C$1448,$A121))</f>
        <v>41552</v>
      </c>
      <c r="Z121">
        <f>IF($A121="","",_xlfn.SUMIFS(Compta!$F$1:$F$1448,Compta!$A$1:$A$1448,$B121,Compta!$B$1:$B$1448,"6231",Compta!$C$1:$C$1448,$A121))</f>
        <v>13575</v>
      </c>
      <c r="AA121">
        <f>IF($A121="","",_xlfn.SUMIFS(Compta!$F$1:$F$1448,Compta!$A$1:$A$1448,$B121,Compta!$B$1:$B$1448,"6413",Compta!$C$1:$C$1448,$A121)+_xlfn.SUMIFS(Compta!$F$1:$F$1448,Compta!$A$1:$A$1448,$B121,Compta!$B$1:$B$1448,"645",Compta!$C$1:$C$1448,$A121)+_xlfn.SUMIFS(Compta!$F$1:$F$1448,Compta!$A$1:$A$1448,$B121,Compta!$B$1:$B$1448,"613",Compta!$C$1:$C$1448,$A121)+_xlfn.SUMIFS(Compta!$F$1:$F$1448,Compta!$A$1:$A$1448,$B121,Compta!$B$1:$B$1448,"615",Compta!$C$1:$C$1448,$A121)+_xlfn.SUMIFS(Compta!$F$1:$F$1448,Compta!$A$1:$A$1448,$B121,Compta!$B$1:$B$1448,"616",Compta!$C$1:$C$1448,$A121)+_xlfn.SUMIFS(Compta!$F$1:$F$1448,Compta!$A$1:$A$1448,$B121,Compta!$B$1:$B$1448,"625",Compta!$C$1:$C$1448,$A121)+_xlfn.SUMIFS(Compta!$F$1:$F$1448,Compta!$A$1:$A$1448,$B121,Compta!$B$1:$B$1448,"63511",Compta!$C$1:$C$1448,$A121))</f>
        <v>253182</v>
      </c>
      <c r="AB121">
        <f>IF($A121="","",_xlfn.SUMIFS(Compta!$F$1:$F$1448,Compta!$A$1:$A$1448,"GRP",Compta!$B$1:$B$1448,"6414",Compta!$C$1:$C$1448,$A121)+_xlfn.SUMIFS(Compta!$F$1:$F$1448,Compta!$A$1:$A$1448,"GRP",Compta!$B$1:$B$1448,"6226",Compta!$C$1:$C$1448,$A121)+_xlfn.SUMIFS(Compta!$F$1:$F$1448,Compta!$A$1:$A$1448,"GRP",Compta!$B$1:$B$1448,"626",Compta!$C$1:$C$1448,$A121)+_xlfn.SUMIFS(Compta!$F$1:$F$1448,Compta!$A$1:$A$1448,"GRP",Compta!$B$1:$B$1448,"6281",Compta!$C$1:$C$1448,$A121)+_xlfn.SUMIFS(Compta!$F$1:$F$1448,Compta!$A$1:$A$1448,"GRP",Compta!$B$1:$B$1448,"6331",Compta!$C$1:$C$1448,$A121)+_xlfn.SUMIFS(Compta!$F$1:$F$1448,Compta!$A$1:$A$1448,"GRP",Compta!$B$1:$B$1448,"6333",Compta!$C$1:$C$1448,$A121))</f>
        <v>2760232</v>
      </c>
      <c r="AC121" t="s">
        <v>274</v>
      </c>
      <c r="AD121" t="s">
        <v>274</v>
      </c>
      <c r="AE121" t="s">
        <v>274</v>
      </c>
      <c r="AF121" t="s">
        <v>274</v>
      </c>
      <c r="AG121" t="s">
        <v>274</v>
      </c>
      <c r="AH121" t="s">
        <v>274</v>
      </c>
      <c r="AI121">
        <f t="shared" si="3"/>
        <v>23045.6666666667</v>
      </c>
      <c r="AJ121">
        <f t="shared" si="4"/>
        <v>41836.6666666667</v>
      </c>
      <c r="AK121">
        <f t="shared" si="5"/>
        <v>13476.3243243243</v>
      </c>
      <c r="AL121">
        <f t="shared" si="6"/>
        <v>0</v>
      </c>
      <c r="AM121">
        <f t="shared" si="7"/>
        <v>0</v>
      </c>
      <c r="AN121">
        <f t="shared" si="8"/>
        <v>161041.342342342</v>
      </c>
      <c r="AO121">
        <f>IF($A121="","",_xlfn.SUMIFS(Compta!$F$1:$F$1448,Compta!$A$1:$A$1448,"GRP",Compta!$B$1:$B$1448,"6236",Compta!$C$1:$C$1448,$A121))</f>
        <v>580167</v>
      </c>
      <c r="AP121" t="s">
        <v>274</v>
      </c>
      <c r="AQ121" t="s">
        <v>274</v>
      </c>
      <c r="AR121">
        <f t="shared" si="9"/>
        <v>0</v>
      </c>
    </row>
    <row r="122" ht="14.25" customHeight="1">
      <c r="A122" t="str">
        <f>IF(Allocation!C122="","",Allocation!C122)</f>
        <v>2024</v>
      </c>
      <c r="B122" t="str">
        <f>IF(Allocation!D122="","",Allocation!D122)</f>
        <v>IPAC_REN</v>
      </c>
      <c r="C122" t="str">
        <f>IF(Allocation!E122="","",Allocation!E122)</f>
        <v>IPAC</v>
      </c>
      <c r="D122" t="str">
        <f>IF(Allocation!F122="","",Allocation!F122)</f>
        <v>BAC_CCE</v>
      </c>
      <c r="E122" t="str">
        <f>IF(Allocation!G122="","",Allocation!G122)</f>
        <v>B1</v>
      </c>
      <c r="F122" t="str">
        <f>IF(Allocation!H122="","",Allocation!H122)</f>
        <v>ALT</v>
      </c>
      <c r="G122">
        <f>IF(Allocation!D122="","",Allocation!I122)</f>
        <v>36</v>
      </c>
      <c r="H122">
        <f>IF(Allocation!D122="","",Allocation!J122)</f>
        <v>2</v>
      </c>
      <c r="I122">
        <f>IF(Allocation!D122="","",Allocation!K122)</f>
        <v>242640</v>
      </c>
      <c r="J122">
        <f>IF($A122="","",_xlfn.SUMIFS(Socle!$K$1:$K$448,Socle!$C$1:$C$448,$B122,Socle!$D$1:$D$448,$D122,Socle!$E$1:$E$448,$E122,Socle!$F$1:$F$448,$F122,Socle!$G$1:$G$448,$A122))</f>
        <v>72</v>
      </c>
      <c r="K122">
        <f t="shared" si="0"/>
        <v>960</v>
      </c>
      <c r="L122">
        <f>IF($A122="","",_xlfn.SUMIFS(Allocation!$I$1:$I$175,Allocation!$C$1:$C$175,$A122,Allocation!$D$1:$D$175,$B122))</f>
        <v>105</v>
      </c>
      <c r="M122">
        <f>IF($A122="","",_xlfn.SUMIFS(Allocation!$J$1:$J$175,Allocation!$C$1:$C$175,$A122,Allocation!$D$1:$D$175,$B122))</f>
        <v>6</v>
      </c>
      <c r="N122">
        <f>IF($A122="","",_xlfn.SUMIFS(Allocation!$K$1:$K$175,Allocation!$C$1:$C$175,$A122,Allocation!$D$1:$D$175,$B122))</f>
        <v>701490</v>
      </c>
      <c r="O122">
        <f t="shared" si="1"/>
        <v>2880</v>
      </c>
      <c r="P122">
        <f t="shared" si="2"/>
        <v>72</v>
      </c>
      <c r="Q122">
        <f>IF($A122="","",_xlfn.SUMIFS(Allocation!$I$1:$I$175,Allocation!$C$1:$C$175,$A122,Allocation!$E$1:$E$175,$C122))</f>
        <v>339</v>
      </c>
      <c r="R122">
        <f>IF($A122="","",_xlfn.SUMIFS(Allocation!$J$1:$J$175,Allocation!$C$1:$C$175,$A122,Allocation!$E$1:$E$175,$C122))</f>
        <v>18</v>
      </c>
      <c r="S122">
        <f>IF($A122="","",_xlfn.SUMIFS(Allocation!$K$1:$K$175,Allocation!$C$1:$C$175,$A122,Allocation!$E$1:$E$175,$C122))</f>
        <v>2309940</v>
      </c>
      <c r="T122">
        <f>IF($A122="","",_xlfn.SUMIFS(Allocation!$I$1:$I$175,Allocation!$C$1:$C$175,$A122))</f>
        <v>2704</v>
      </c>
      <c r="U122">
        <f>IF($A122="","",_xlfn.SUMIFS(Allocation!$J$1:$J$175,Allocation!$C$1:$C$175,$A122))</f>
        <v>131</v>
      </c>
      <c r="V122">
        <f>IF($A122="","",_xlfn.SUMIFS(Allocation!$K$1:$K$175,Allocation!$C$1:$C$175,$A122))</f>
        <v>20076860</v>
      </c>
      <c r="W122">
        <f>IF($A122="","",_xlfn.SUMIFS(Compta!$F$1:$F$1448,Compta!$A$1:$A$1448,$B122,Compta!$B$1:$B$1448,"621",Compta!$C$1:$C$1448,$A122))</f>
        <v>66108</v>
      </c>
      <c r="X122">
        <f>IF($A122="","",_xlfn.SUMIFS(Compta!$F$1:$F$1448,Compta!$A$1:$A$1448,$B122,Compta!$B$1:$B$1448,"6411",Compta!$C$1:$C$1448,$A122))</f>
        <v>120011</v>
      </c>
      <c r="Y122">
        <f>IF($A122="","",_xlfn.SUMIFS(Compta!$F$1:$F$1448,Compta!$A$1:$A$1448,$B122,Compta!$B$1:$B$1448,"604",Compta!$C$1:$C$1448,$A122)+_xlfn.SUMIFS(Compta!$F$1:$F$1448,Compta!$A$1:$A$1448,$B122,Compta!$B$1:$B$1448,"6063",Compta!$C$1:$C$1448,$A122))</f>
        <v>39731</v>
      </c>
      <c r="Z122">
        <f>IF($A122="","",_xlfn.SUMIFS(Compta!$F$1:$F$1448,Compta!$A$1:$A$1448,$B122,Compta!$B$1:$B$1448,"6231",Compta!$C$1:$C$1448,$A122))</f>
        <v>12341</v>
      </c>
      <c r="AA122">
        <f>IF($A122="","",_xlfn.SUMIFS(Compta!$F$1:$F$1448,Compta!$A$1:$A$1448,$B122,Compta!$B$1:$B$1448,"6413",Compta!$C$1:$C$1448,$A122)+_xlfn.SUMIFS(Compta!$F$1:$F$1448,Compta!$A$1:$A$1448,$B122,Compta!$B$1:$B$1448,"645",Compta!$C$1:$C$1448,$A122)+_xlfn.SUMIFS(Compta!$F$1:$F$1448,Compta!$A$1:$A$1448,$B122,Compta!$B$1:$B$1448,"613",Compta!$C$1:$C$1448,$A122)+_xlfn.SUMIFS(Compta!$F$1:$F$1448,Compta!$A$1:$A$1448,$B122,Compta!$B$1:$B$1448,"615",Compta!$C$1:$C$1448,$A122)+_xlfn.SUMIFS(Compta!$F$1:$F$1448,Compta!$A$1:$A$1448,$B122,Compta!$B$1:$B$1448,"616",Compta!$C$1:$C$1448,$A122)+_xlfn.SUMIFS(Compta!$F$1:$F$1448,Compta!$A$1:$A$1448,$B122,Compta!$B$1:$B$1448,"625",Compta!$C$1:$C$1448,$A122)+_xlfn.SUMIFS(Compta!$F$1:$F$1448,Compta!$A$1:$A$1448,$B122,Compta!$B$1:$B$1448,"63511",Compta!$C$1:$C$1448,$A122))</f>
        <v>242088</v>
      </c>
      <c r="AB122">
        <f>IF($A122="","",_xlfn.SUMIFS(Compta!$F$1:$F$1448,Compta!$A$1:$A$1448,"GRP",Compta!$B$1:$B$1448,"6414",Compta!$C$1:$C$1448,$A122)+_xlfn.SUMIFS(Compta!$F$1:$F$1448,Compta!$A$1:$A$1448,"GRP",Compta!$B$1:$B$1448,"6226",Compta!$C$1:$C$1448,$A122)+_xlfn.SUMIFS(Compta!$F$1:$F$1448,Compta!$A$1:$A$1448,"GRP",Compta!$B$1:$B$1448,"626",Compta!$C$1:$C$1448,$A122)+_xlfn.SUMIFS(Compta!$F$1:$F$1448,Compta!$A$1:$A$1448,"GRP",Compta!$B$1:$B$1448,"6281",Compta!$C$1:$C$1448,$A122)+_xlfn.SUMIFS(Compta!$F$1:$F$1448,Compta!$A$1:$A$1448,"GRP",Compta!$B$1:$B$1448,"6331",Compta!$C$1:$C$1448,$A122)+_xlfn.SUMIFS(Compta!$F$1:$F$1448,Compta!$A$1:$A$1448,"GRP",Compta!$B$1:$B$1448,"6333",Compta!$C$1:$C$1448,$A122))</f>
        <v>2639292</v>
      </c>
      <c r="AC122" t="s">
        <v>274</v>
      </c>
      <c r="AD122" t="s">
        <v>274</v>
      </c>
      <c r="AE122" t="s">
        <v>274</v>
      </c>
      <c r="AF122" t="s">
        <v>274</v>
      </c>
      <c r="AG122" t="s">
        <v>274</v>
      </c>
      <c r="AH122" t="s">
        <v>274</v>
      </c>
      <c r="AI122">
        <f t="shared" si="3"/>
        <v>22036</v>
      </c>
      <c r="AJ122">
        <f t="shared" si="4"/>
        <v>40003.6666666667</v>
      </c>
      <c r="AK122">
        <f t="shared" si="5"/>
        <v>25963.0571428571</v>
      </c>
      <c r="AL122">
        <f t="shared" si="6"/>
        <v>0</v>
      </c>
      <c r="AM122">
        <f t="shared" si="7"/>
        <v>0</v>
      </c>
      <c r="AN122">
        <f t="shared" si="8"/>
        <v>154637.276190476</v>
      </c>
      <c r="AO122">
        <f>IF($A122="","",_xlfn.SUMIFS(Compta!$F$1:$F$1448,Compta!$A$1:$A$1448,"GRP",Compta!$B$1:$B$1448,"6236",Compta!$C$1:$C$1448,$A122))</f>
        <v>499926</v>
      </c>
      <c r="AP122" t="s">
        <v>274</v>
      </c>
      <c r="AQ122" t="s">
        <v>274</v>
      </c>
      <c r="AR122">
        <f t="shared" si="9"/>
        <v>0</v>
      </c>
    </row>
    <row r="123" ht="14.25" customHeight="1">
      <c r="A123" t="str">
        <f>IF(Allocation!C123="","",Allocation!C123)</f>
        <v>2024</v>
      </c>
      <c r="B123" t="str">
        <f>IF(Allocation!D123="","",Allocation!D123)</f>
        <v>IPAC_REN</v>
      </c>
      <c r="C123" t="str">
        <f>IF(Allocation!E123="","",Allocation!E123)</f>
        <v>IPAC</v>
      </c>
      <c r="D123" t="str">
        <f>IF(Allocation!F123="","",Allocation!F123)</f>
        <v>BAC_CCE</v>
      </c>
      <c r="E123" t="str">
        <f>IF(Allocation!G123="","",Allocation!G123)</f>
        <v>B2</v>
      </c>
      <c r="F123" t="str">
        <f>IF(Allocation!H123="","",Allocation!H123)</f>
        <v>ALT</v>
      </c>
      <c r="G123">
        <f>IF(Allocation!D123="","",Allocation!I123)</f>
        <v>35</v>
      </c>
      <c r="H123">
        <f>IF(Allocation!D123="","",Allocation!J123)</f>
        <v>2</v>
      </c>
      <c r="I123">
        <f>IF(Allocation!D123="","",Allocation!K123)</f>
        <v>232750</v>
      </c>
      <c r="J123">
        <f>IF($A123="","",_xlfn.SUMIFS(Socle!$K$1:$K$448,Socle!$C$1:$C$448,$B123,Socle!$D$1:$D$448,$D123,Socle!$E$1:$E$448,$E123,Socle!$F$1:$F$448,$F123,Socle!$G$1:$G$448,$A123))</f>
        <v>0</v>
      </c>
      <c r="K123">
        <f t="shared" si="0"/>
        <v>960</v>
      </c>
      <c r="L123">
        <f>IF($A123="","",_xlfn.SUMIFS(Allocation!$I$1:$I$175,Allocation!$C$1:$C$175,$A123,Allocation!$D$1:$D$175,$B123))</f>
        <v>105</v>
      </c>
      <c r="M123">
        <f>IF($A123="","",_xlfn.SUMIFS(Allocation!$J$1:$J$175,Allocation!$C$1:$C$175,$A123,Allocation!$D$1:$D$175,$B123))</f>
        <v>6</v>
      </c>
      <c r="N123">
        <f>IF($A123="","",_xlfn.SUMIFS(Allocation!$K$1:$K$175,Allocation!$C$1:$C$175,$A123,Allocation!$D$1:$D$175,$B123))</f>
        <v>701490</v>
      </c>
      <c r="O123">
        <f t="shared" si="1"/>
        <v>2880</v>
      </c>
      <c r="P123">
        <f t="shared" si="2"/>
        <v>72</v>
      </c>
      <c r="Q123">
        <f>IF($A123="","",_xlfn.SUMIFS(Allocation!$I$1:$I$175,Allocation!$C$1:$C$175,$A123,Allocation!$E$1:$E$175,$C123))</f>
        <v>339</v>
      </c>
      <c r="R123">
        <f>IF($A123="","",_xlfn.SUMIFS(Allocation!$J$1:$J$175,Allocation!$C$1:$C$175,$A123,Allocation!$E$1:$E$175,$C123))</f>
        <v>18</v>
      </c>
      <c r="S123">
        <f>IF($A123="","",_xlfn.SUMIFS(Allocation!$K$1:$K$175,Allocation!$C$1:$C$175,$A123,Allocation!$E$1:$E$175,$C123))</f>
        <v>2309940</v>
      </c>
      <c r="T123">
        <f>IF($A123="","",_xlfn.SUMIFS(Allocation!$I$1:$I$175,Allocation!$C$1:$C$175,$A123))</f>
        <v>2704</v>
      </c>
      <c r="U123">
        <f>IF($A123="","",_xlfn.SUMIFS(Allocation!$J$1:$J$175,Allocation!$C$1:$C$175,$A123))</f>
        <v>131</v>
      </c>
      <c r="V123">
        <f>IF($A123="","",_xlfn.SUMIFS(Allocation!$K$1:$K$175,Allocation!$C$1:$C$175,$A123))</f>
        <v>20076860</v>
      </c>
      <c r="W123">
        <f>IF($A123="","",_xlfn.SUMIFS(Compta!$F$1:$F$1448,Compta!$A$1:$A$1448,$B123,Compta!$B$1:$B$1448,"621",Compta!$C$1:$C$1448,$A123))</f>
        <v>66108</v>
      </c>
      <c r="X123">
        <f>IF($A123="","",_xlfn.SUMIFS(Compta!$F$1:$F$1448,Compta!$A$1:$A$1448,$B123,Compta!$B$1:$B$1448,"6411",Compta!$C$1:$C$1448,$A123))</f>
        <v>120011</v>
      </c>
      <c r="Y123">
        <f>IF($A123="","",_xlfn.SUMIFS(Compta!$F$1:$F$1448,Compta!$A$1:$A$1448,$B123,Compta!$B$1:$B$1448,"604",Compta!$C$1:$C$1448,$A123)+_xlfn.SUMIFS(Compta!$F$1:$F$1448,Compta!$A$1:$A$1448,$B123,Compta!$B$1:$B$1448,"6063",Compta!$C$1:$C$1448,$A123))</f>
        <v>39731</v>
      </c>
      <c r="Z123">
        <f>IF($A123="","",_xlfn.SUMIFS(Compta!$F$1:$F$1448,Compta!$A$1:$A$1448,$B123,Compta!$B$1:$B$1448,"6231",Compta!$C$1:$C$1448,$A123))</f>
        <v>12341</v>
      </c>
      <c r="AA123">
        <f>IF($A123="","",_xlfn.SUMIFS(Compta!$F$1:$F$1448,Compta!$A$1:$A$1448,$B123,Compta!$B$1:$B$1448,"6413",Compta!$C$1:$C$1448,$A123)+_xlfn.SUMIFS(Compta!$F$1:$F$1448,Compta!$A$1:$A$1448,$B123,Compta!$B$1:$B$1448,"645",Compta!$C$1:$C$1448,$A123)+_xlfn.SUMIFS(Compta!$F$1:$F$1448,Compta!$A$1:$A$1448,$B123,Compta!$B$1:$B$1448,"613",Compta!$C$1:$C$1448,$A123)+_xlfn.SUMIFS(Compta!$F$1:$F$1448,Compta!$A$1:$A$1448,$B123,Compta!$B$1:$B$1448,"615",Compta!$C$1:$C$1448,$A123)+_xlfn.SUMIFS(Compta!$F$1:$F$1448,Compta!$A$1:$A$1448,$B123,Compta!$B$1:$B$1448,"616",Compta!$C$1:$C$1448,$A123)+_xlfn.SUMIFS(Compta!$F$1:$F$1448,Compta!$A$1:$A$1448,$B123,Compta!$B$1:$B$1448,"625",Compta!$C$1:$C$1448,$A123)+_xlfn.SUMIFS(Compta!$F$1:$F$1448,Compta!$A$1:$A$1448,$B123,Compta!$B$1:$B$1448,"63511",Compta!$C$1:$C$1448,$A123))</f>
        <v>242088</v>
      </c>
      <c r="AB123">
        <f>IF($A123="","",_xlfn.SUMIFS(Compta!$F$1:$F$1448,Compta!$A$1:$A$1448,"GRP",Compta!$B$1:$B$1448,"6414",Compta!$C$1:$C$1448,$A123)+_xlfn.SUMIFS(Compta!$F$1:$F$1448,Compta!$A$1:$A$1448,"GRP",Compta!$B$1:$B$1448,"6226",Compta!$C$1:$C$1448,$A123)+_xlfn.SUMIFS(Compta!$F$1:$F$1448,Compta!$A$1:$A$1448,"GRP",Compta!$B$1:$B$1448,"626",Compta!$C$1:$C$1448,$A123)+_xlfn.SUMIFS(Compta!$F$1:$F$1448,Compta!$A$1:$A$1448,"GRP",Compta!$B$1:$B$1448,"6281",Compta!$C$1:$C$1448,$A123)+_xlfn.SUMIFS(Compta!$F$1:$F$1448,Compta!$A$1:$A$1448,"GRP",Compta!$B$1:$B$1448,"6331",Compta!$C$1:$C$1448,$A123)+_xlfn.SUMIFS(Compta!$F$1:$F$1448,Compta!$A$1:$A$1448,"GRP",Compta!$B$1:$B$1448,"6333",Compta!$C$1:$C$1448,$A123))</f>
        <v>2639292</v>
      </c>
      <c r="AC123" t="s">
        <v>274</v>
      </c>
      <c r="AD123" t="s">
        <v>274</v>
      </c>
      <c r="AE123" t="s">
        <v>274</v>
      </c>
      <c r="AF123" t="s">
        <v>274</v>
      </c>
      <c r="AG123" t="s">
        <v>274</v>
      </c>
      <c r="AH123" t="s">
        <v>274</v>
      </c>
      <c r="AI123">
        <f t="shared" si="3"/>
        <v>22036</v>
      </c>
      <c r="AJ123">
        <f t="shared" si="4"/>
        <v>40003.6666666667</v>
      </c>
      <c r="AK123">
        <f t="shared" si="5"/>
        <v>13243.6666666667</v>
      </c>
      <c r="AL123">
        <f t="shared" si="6"/>
        <v>0</v>
      </c>
      <c r="AM123">
        <f t="shared" si="7"/>
        <v>0</v>
      </c>
      <c r="AN123">
        <f t="shared" si="8"/>
        <v>157466.666666667</v>
      </c>
      <c r="AO123">
        <f>IF($A123="","",_xlfn.SUMIFS(Compta!$F$1:$F$1448,Compta!$A$1:$A$1448,"GRP",Compta!$B$1:$B$1448,"6236",Compta!$C$1:$C$1448,$A123))</f>
        <v>499926</v>
      </c>
      <c r="AP123" t="s">
        <v>274</v>
      </c>
      <c r="AQ123" t="s">
        <v>274</v>
      </c>
      <c r="AR123">
        <f t="shared" si="9"/>
        <v>0</v>
      </c>
    </row>
    <row r="124" ht="14.25" customHeight="1">
      <c r="A124" t="str">
        <f>IF(Allocation!C124="","",Allocation!C124)</f>
        <v>2024</v>
      </c>
      <c r="B124" t="str">
        <f>IF(Allocation!D124="","",Allocation!D124)</f>
        <v>IPAC_REN</v>
      </c>
      <c r="C124" t="str">
        <f>IF(Allocation!E124="","",Allocation!E124)</f>
        <v>IPAC</v>
      </c>
      <c r="D124" t="str">
        <f>IF(Allocation!F124="","",Allocation!F124)</f>
        <v>BAC_CCE</v>
      </c>
      <c r="E124" t="str">
        <f>IF(Allocation!G124="","",Allocation!G124)</f>
        <v>B3</v>
      </c>
      <c r="F124" t="str">
        <f>IF(Allocation!H124="","",Allocation!H124)</f>
        <v>ALT</v>
      </c>
      <c r="G124">
        <f>IF(Allocation!D124="","",Allocation!I124)</f>
        <v>34</v>
      </c>
      <c r="H124">
        <f>IF(Allocation!D124="","",Allocation!J124)</f>
        <v>2</v>
      </c>
      <c r="I124">
        <f>IF(Allocation!D124="","",Allocation!K124)</f>
        <v>226100</v>
      </c>
      <c r="J124">
        <f>IF($A124="","",_xlfn.SUMIFS(Socle!$K$1:$K$448,Socle!$C$1:$C$448,$B124,Socle!$D$1:$D$448,$D124,Socle!$E$1:$E$448,$E124,Socle!$F$1:$F$448,$F124,Socle!$G$1:$G$448,$A124))</f>
        <v>0</v>
      </c>
      <c r="K124">
        <f t="shared" si="0"/>
        <v>960</v>
      </c>
      <c r="L124">
        <f>IF($A124="","",_xlfn.SUMIFS(Allocation!$I$1:$I$175,Allocation!$C$1:$C$175,$A124,Allocation!$D$1:$D$175,$B124))</f>
        <v>105</v>
      </c>
      <c r="M124">
        <f>IF($A124="","",_xlfn.SUMIFS(Allocation!$J$1:$J$175,Allocation!$C$1:$C$175,$A124,Allocation!$D$1:$D$175,$B124))</f>
        <v>6</v>
      </c>
      <c r="N124">
        <f>IF($A124="","",_xlfn.SUMIFS(Allocation!$K$1:$K$175,Allocation!$C$1:$C$175,$A124,Allocation!$D$1:$D$175,$B124))</f>
        <v>701490</v>
      </c>
      <c r="O124">
        <f t="shared" si="1"/>
        <v>2880</v>
      </c>
      <c r="P124">
        <f t="shared" si="2"/>
        <v>72</v>
      </c>
      <c r="Q124">
        <f>IF($A124="","",_xlfn.SUMIFS(Allocation!$I$1:$I$175,Allocation!$C$1:$C$175,$A124,Allocation!$E$1:$E$175,$C124))</f>
        <v>339</v>
      </c>
      <c r="R124">
        <f>IF($A124="","",_xlfn.SUMIFS(Allocation!$J$1:$J$175,Allocation!$C$1:$C$175,$A124,Allocation!$E$1:$E$175,$C124))</f>
        <v>18</v>
      </c>
      <c r="S124">
        <f>IF($A124="","",_xlfn.SUMIFS(Allocation!$K$1:$K$175,Allocation!$C$1:$C$175,$A124,Allocation!$E$1:$E$175,$C124))</f>
        <v>2309940</v>
      </c>
      <c r="T124">
        <f>IF($A124="","",_xlfn.SUMIFS(Allocation!$I$1:$I$175,Allocation!$C$1:$C$175,$A124))</f>
        <v>2704</v>
      </c>
      <c r="U124">
        <f>IF($A124="","",_xlfn.SUMIFS(Allocation!$J$1:$J$175,Allocation!$C$1:$C$175,$A124))</f>
        <v>131</v>
      </c>
      <c r="V124">
        <f>IF($A124="","",_xlfn.SUMIFS(Allocation!$K$1:$K$175,Allocation!$C$1:$C$175,$A124))</f>
        <v>20076860</v>
      </c>
      <c r="W124">
        <f>IF($A124="","",_xlfn.SUMIFS(Compta!$F$1:$F$1448,Compta!$A$1:$A$1448,$B124,Compta!$B$1:$B$1448,"621",Compta!$C$1:$C$1448,$A124))</f>
        <v>66108</v>
      </c>
      <c r="X124">
        <f>IF($A124="","",_xlfn.SUMIFS(Compta!$F$1:$F$1448,Compta!$A$1:$A$1448,$B124,Compta!$B$1:$B$1448,"6411",Compta!$C$1:$C$1448,$A124))</f>
        <v>120011</v>
      </c>
      <c r="Y124">
        <f>IF($A124="","",_xlfn.SUMIFS(Compta!$F$1:$F$1448,Compta!$A$1:$A$1448,$B124,Compta!$B$1:$B$1448,"604",Compta!$C$1:$C$1448,$A124)+_xlfn.SUMIFS(Compta!$F$1:$F$1448,Compta!$A$1:$A$1448,$B124,Compta!$B$1:$B$1448,"6063",Compta!$C$1:$C$1448,$A124))</f>
        <v>39731</v>
      </c>
      <c r="Z124">
        <f>IF($A124="","",_xlfn.SUMIFS(Compta!$F$1:$F$1448,Compta!$A$1:$A$1448,$B124,Compta!$B$1:$B$1448,"6231",Compta!$C$1:$C$1448,$A124))</f>
        <v>12341</v>
      </c>
      <c r="AA124">
        <f>IF($A124="","",_xlfn.SUMIFS(Compta!$F$1:$F$1448,Compta!$A$1:$A$1448,$B124,Compta!$B$1:$B$1448,"6413",Compta!$C$1:$C$1448,$A124)+_xlfn.SUMIFS(Compta!$F$1:$F$1448,Compta!$A$1:$A$1448,$B124,Compta!$B$1:$B$1448,"645",Compta!$C$1:$C$1448,$A124)+_xlfn.SUMIFS(Compta!$F$1:$F$1448,Compta!$A$1:$A$1448,$B124,Compta!$B$1:$B$1448,"613",Compta!$C$1:$C$1448,$A124)+_xlfn.SUMIFS(Compta!$F$1:$F$1448,Compta!$A$1:$A$1448,$B124,Compta!$B$1:$B$1448,"615",Compta!$C$1:$C$1448,$A124)+_xlfn.SUMIFS(Compta!$F$1:$F$1448,Compta!$A$1:$A$1448,$B124,Compta!$B$1:$B$1448,"616",Compta!$C$1:$C$1448,$A124)+_xlfn.SUMIFS(Compta!$F$1:$F$1448,Compta!$A$1:$A$1448,$B124,Compta!$B$1:$B$1448,"625",Compta!$C$1:$C$1448,$A124)+_xlfn.SUMIFS(Compta!$F$1:$F$1448,Compta!$A$1:$A$1448,$B124,Compta!$B$1:$B$1448,"63511",Compta!$C$1:$C$1448,$A124))</f>
        <v>242088</v>
      </c>
      <c r="AB124">
        <f>IF($A124="","",_xlfn.SUMIFS(Compta!$F$1:$F$1448,Compta!$A$1:$A$1448,"GRP",Compta!$B$1:$B$1448,"6414",Compta!$C$1:$C$1448,$A124)+_xlfn.SUMIFS(Compta!$F$1:$F$1448,Compta!$A$1:$A$1448,"GRP",Compta!$B$1:$B$1448,"6226",Compta!$C$1:$C$1448,$A124)+_xlfn.SUMIFS(Compta!$F$1:$F$1448,Compta!$A$1:$A$1448,"GRP",Compta!$B$1:$B$1448,"626",Compta!$C$1:$C$1448,$A124)+_xlfn.SUMIFS(Compta!$F$1:$F$1448,Compta!$A$1:$A$1448,"GRP",Compta!$B$1:$B$1448,"6281",Compta!$C$1:$C$1448,$A124)+_xlfn.SUMIFS(Compta!$F$1:$F$1448,Compta!$A$1:$A$1448,"GRP",Compta!$B$1:$B$1448,"6331",Compta!$C$1:$C$1448,$A124)+_xlfn.SUMIFS(Compta!$F$1:$F$1448,Compta!$A$1:$A$1448,"GRP",Compta!$B$1:$B$1448,"6333",Compta!$C$1:$C$1448,$A124))</f>
        <v>2639292</v>
      </c>
      <c r="AC124" t="s">
        <v>274</v>
      </c>
      <c r="AD124" t="s">
        <v>274</v>
      </c>
      <c r="AE124" t="s">
        <v>274</v>
      </c>
      <c r="AF124" t="s">
        <v>274</v>
      </c>
      <c r="AG124" t="s">
        <v>274</v>
      </c>
      <c r="AH124" t="s">
        <v>274</v>
      </c>
      <c r="AI124">
        <f t="shared" si="3"/>
        <v>22036</v>
      </c>
      <c r="AJ124">
        <f t="shared" si="4"/>
        <v>40003.6666666667</v>
      </c>
      <c r="AK124">
        <f t="shared" si="5"/>
        <v>12865.2761904762</v>
      </c>
      <c r="AL124">
        <f t="shared" si="6"/>
        <v>0</v>
      </c>
      <c r="AM124">
        <f t="shared" si="7"/>
        <v>0</v>
      </c>
      <c r="AN124">
        <f t="shared" si="8"/>
        <v>151195.057142857</v>
      </c>
      <c r="AO124">
        <f>IF($A124="","",_xlfn.SUMIFS(Compta!$F$1:$F$1448,Compta!$A$1:$A$1448,"GRP",Compta!$B$1:$B$1448,"6236",Compta!$C$1:$C$1448,$A124))</f>
        <v>499926</v>
      </c>
      <c r="AP124" t="s">
        <v>274</v>
      </c>
      <c r="AQ124" t="s">
        <v>274</v>
      </c>
      <c r="AR124">
        <f t="shared" si="9"/>
        <v>0</v>
      </c>
    </row>
    <row r="125" ht="14.25" customHeight="1">
      <c r="A125" t="str">
        <f>IF(Allocation!C125="","",Allocation!C125)</f>
        <v>2026</v>
      </c>
      <c r="B125" t="str">
        <f>IF(Allocation!D125="","",Allocation!D125)</f>
        <v>IPAC_MTP</v>
      </c>
      <c r="C125" t="str">
        <f>IF(Allocation!E125="","",Allocation!E125)</f>
        <v>IPAC</v>
      </c>
      <c r="D125" t="str">
        <f>IF(Allocation!F125="","",Allocation!F125)</f>
        <v>BAC_CCE</v>
      </c>
      <c r="E125" t="str">
        <f>IF(Allocation!G125="","",Allocation!G125)</f>
        <v>B1</v>
      </c>
      <c r="F125" t="str">
        <f>IF(Allocation!H125="","",Allocation!H125)</f>
        <v>ALT</v>
      </c>
      <c r="G125">
        <f>IF(Allocation!D125="","",Allocation!I125)</f>
        <v>40</v>
      </c>
      <c r="H125">
        <f>IF(Allocation!D125="","",Allocation!J125)</f>
        <v>2</v>
      </c>
      <c r="I125">
        <f>IF(Allocation!D125="","",Allocation!K125)</f>
        <v>269600</v>
      </c>
      <c r="J125">
        <f>IF($A125="","",_xlfn.SUMIFS(Socle!$K$1:$K$448,Socle!$C$1:$C$448,$B125,Socle!$D$1:$D$448,$D125,Socle!$E$1:$E$448,$E125,Socle!$F$1:$F$448,$F125,Socle!$G$1:$G$448,$A125))</f>
        <v>80</v>
      </c>
      <c r="K125">
        <f t="shared" si="0"/>
        <v>960</v>
      </c>
      <c r="L125">
        <f>IF($A125="","",_xlfn.SUMIFS(Allocation!$I$1:$I$175,Allocation!$C$1:$C$175,$A125,Allocation!$D$1:$D$175,$B125))</f>
        <v>117</v>
      </c>
      <c r="M125">
        <f>IF($A125="","",_xlfn.SUMIFS(Allocation!$J$1:$J$175,Allocation!$C$1:$C$175,$A125,Allocation!$D$1:$D$175,$B125))</f>
        <v>6</v>
      </c>
      <c r="N125">
        <f>IF($A125="","",_xlfn.SUMIFS(Allocation!$K$1:$K$175,Allocation!$C$1:$C$175,$A125,Allocation!$D$1:$D$175,$B125))</f>
        <v>781650</v>
      </c>
      <c r="O125">
        <f t="shared" si="1"/>
        <v>2880</v>
      </c>
      <c r="P125">
        <f t="shared" si="2"/>
        <v>80</v>
      </c>
      <c r="Q125">
        <f>IF($A125="","",_xlfn.SUMIFS(Allocation!$I$1:$I$175,Allocation!$C$1:$C$175,$A125,Allocation!$E$1:$E$175,$C125))</f>
        <v>379</v>
      </c>
      <c r="R125">
        <f>IF($A125="","",_xlfn.SUMIFS(Allocation!$J$1:$J$175,Allocation!$C$1:$C$175,$A125,Allocation!$E$1:$E$175,$C125))</f>
        <v>18</v>
      </c>
      <c r="S125">
        <f>IF($A125="","",_xlfn.SUMIFS(Allocation!$K$1:$K$175,Allocation!$C$1:$C$175,$A125,Allocation!$E$1:$E$175,$C125))</f>
        <v>2582800</v>
      </c>
      <c r="T125">
        <f>IF($A125="","",_xlfn.SUMIFS(Allocation!$I$1:$I$175,Allocation!$C$1:$C$175,$A125))</f>
        <v>3036</v>
      </c>
      <c r="U125">
        <f>IF($A125="","",_xlfn.SUMIFS(Allocation!$J$1:$J$175,Allocation!$C$1:$C$175,$A125))</f>
        <v>131</v>
      </c>
      <c r="V125">
        <f>IF($A125="","",_xlfn.SUMIFS(Allocation!$K$1:$K$175,Allocation!$C$1:$C$175,$A125))</f>
        <v>22544725</v>
      </c>
      <c r="W125">
        <f>IF($A125="","",_xlfn.SUMIFS(Compta!$F$1:$F$1448,Compta!$A$1:$A$1448,$B125,Compta!$B$1:$B$1448,"621",Compta!$C$1:$C$1448,$A125))</f>
        <v>72438</v>
      </c>
      <c r="X125">
        <f>IF($A125="","",_xlfn.SUMIFS(Compta!$F$1:$F$1448,Compta!$A$1:$A$1448,$B125,Compta!$B$1:$B$1448,"6411",Compta!$C$1:$C$1448,$A125))</f>
        <v>131501</v>
      </c>
      <c r="Y125">
        <f>IF($A125="","",_xlfn.SUMIFS(Compta!$F$1:$F$1448,Compta!$A$1:$A$1448,$B125,Compta!$B$1:$B$1448,"604",Compta!$C$1:$C$1448,$A125)+_xlfn.SUMIFS(Compta!$F$1:$F$1448,Compta!$A$1:$A$1448,$B125,Compta!$B$1:$B$1448,"6063",Compta!$C$1:$C$1448,$A125))</f>
        <v>43535</v>
      </c>
      <c r="Z125">
        <f>IF($A125="","",_xlfn.SUMIFS(Compta!$F$1:$F$1448,Compta!$A$1:$A$1448,$B125,Compta!$B$1:$B$1448,"6231",Compta!$C$1:$C$1448,$A125))</f>
        <v>15178</v>
      </c>
      <c r="AA125">
        <f>IF($A125="","",_xlfn.SUMIFS(Compta!$F$1:$F$1448,Compta!$A$1:$A$1448,$B125,Compta!$B$1:$B$1448,"6413",Compta!$C$1:$C$1448,$A125)+_xlfn.SUMIFS(Compta!$F$1:$F$1448,Compta!$A$1:$A$1448,$B125,Compta!$B$1:$B$1448,"645",Compta!$C$1:$C$1448,$A125)+_xlfn.SUMIFS(Compta!$F$1:$F$1448,Compta!$A$1:$A$1448,$B125,Compta!$B$1:$B$1448,"613",Compta!$C$1:$C$1448,$A125)+_xlfn.SUMIFS(Compta!$F$1:$F$1448,Compta!$A$1:$A$1448,$B125,Compta!$B$1:$B$1448,"615",Compta!$C$1:$C$1448,$A125)+_xlfn.SUMIFS(Compta!$F$1:$F$1448,Compta!$A$1:$A$1448,$B125,Compta!$B$1:$B$1448,"616",Compta!$C$1:$C$1448,$A125)+_xlfn.SUMIFS(Compta!$F$1:$F$1448,Compta!$A$1:$A$1448,$B125,Compta!$B$1:$B$1448,"625",Compta!$C$1:$C$1448,$A125)+_xlfn.SUMIFS(Compta!$F$1:$F$1448,Compta!$A$1:$A$1448,$B125,Compta!$B$1:$B$1448,"63511",Compta!$C$1:$C$1448,$A125))</f>
        <v>265266</v>
      </c>
      <c r="AB125">
        <f>IF($A125="","",_xlfn.SUMIFS(Compta!$F$1:$F$1448,Compta!$A$1:$A$1448,"GRP",Compta!$B$1:$B$1448,"6414",Compta!$C$1:$C$1448,$A125)+_xlfn.SUMIFS(Compta!$F$1:$F$1448,Compta!$A$1:$A$1448,"GRP",Compta!$B$1:$B$1448,"6226",Compta!$C$1:$C$1448,$A125)+_xlfn.SUMIFS(Compta!$F$1:$F$1448,Compta!$A$1:$A$1448,"GRP",Compta!$B$1:$B$1448,"626",Compta!$C$1:$C$1448,$A125)+_xlfn.SUMIFS(Compta!$F$1:$F$1448,Compta!$A$1:$A$1448,"GRP",Compta!$B$1:$B$1448,"6281",Compta!$C$1:$C$1448,$A125)+_xlfn.SUMIFS(Compta!$F$1:$F$1448,Compta!$A$1:$A$1448,"GRP",Compta!$B$1:$B$1448,"6331",Compta!$C$1:$C$1448,$A125)+_xlfn.SUMIFS(Compta!$F$1:$F$1448,Compta!$A$1:$A$1448,"GRP",Compta!$B$1:$B$1448,"6333",Compta!$C$1:$C$1448,$A125))</f>
        <v>2891983</v>
      </c>
      <c r="AC125" t="s">
        <v>274</v>
      </c>
      <c r="AD125" t="s">
        <v>274</v>
      </c>
      <c r="AE125" t="s">
        <v>274</v>
      </c>
      <c r="AF125" t="s">
        <v>274</v>
      </c>
      <c r="AG125" t="s">
        <v>274</v>
      </c>
      <c r="AH125" t="s">
        <v>274</v>
      </c>
      <c r="AI125">
        <f t="shared" si="3"/>
        <v>24146</v>
      </c>
      <c r="AJ125">
        <f t="shared" si="4"/>
        <v>43833.6666666667</v>
      </c>
      <c r="AK125">
        <f t="shared" si="5"/>
        <v>30061.7606837607</v>
      </c>
      <c r="AL125">
        <f t="shared" si="6"/>
        <v>0</v>
      </c>
      <c r="AM125">
        <f t="shared" si="7"/>
        <v>0</v>
      </c>
      <c r="AN125">
        <f t="shared" si="8"/>
        <v>171558.572649573</v>
      </c>
      <c r="AO125">
        <f>IF($A125="","",_xlfn.SUMIFS(Compta!$F$1:$F$1448,Compta!$A$1:$A$1448,"GRP",Compta!$B$1:$B$1448,"6236",Compta!$C$1:$C$1448,$A125))</f>
        <v>676344</v>
      </c>
      <c r="AP125" t="s">
        <v>274</v>
      </c>
      <c r="AQ125" t="s">
        <v>274</v>
      </c>
      <c r="AR125">
        <f t="shared" si="9"/>
        <v>0</v>
      </c>
    </row>
    <row r="126" ht="14.25" customHeight="1">
      <c r="A126" t="str">
        <f>IF(Allocation!C126="","",Allocation!C126)</f>
        <v>2026</v>
      </c>
      <c r="B126" t="str">
        <f>IF(Allocation!D126="","",Allocation!D126)</f>
        <v>IPAC_MTP</v>
      </c>
      <c r="C126" t="str">
        <f>IF(Allocation!E126="","",Allocation!E126)</f>
        <v>IPAC</v>
      </c>
      <c r="D126" t="str">
        <f>IF(Allocation!F126="","",Allocation!F126)</f>
        <v>BAC_CCE</v>
      </c>
      <c r="E126" t="str">
        <f>IF(Allocation!G126="","",Allocation!G126)</f>
        <v>B2</v>
      </c>
      <c r="F126" t="str">
        <f>IF(Allocation!H126="","",Allocation!H126)</f>
        <v>ALT</v>
      </c>
      <c r="G126">
        <f>IF(Allocation!D126="","",Allocation!I126)</f>
        <v>39</v>
      </c>
      <c r="H126">
        <f>IF(Allocation!D126="","",Allocation!J126)</f>
        <v>2</v>
      </c>
      <c r="I126">
        <f>IF(Allocation!D126="","",Allocation!K126)</f>
        <v>259350</v>
      </c>
      <c r="J126">
        <f>IF($A126="","",_xlfn.SUMIFS(Socle!$K$1:$K$448,Socle!$C$1:$C$448,$B126,Socle!$D$1:$D$448,$D126,Socle!$E$1:$E$448,$E126,Socle!$F$1:$F$448,$F126,Socle!$G$1:$G$448,$A126))</f>
        <v>0</v>
      </c>
      <c r="K126">
        <f t="shared" si="0"/>
        <v>960</v>
      </c>
      <c r="L126">
        <f>IF($A126="","",_xlfn.SUMIFS(Allocation!$I$1:$I$175,Allocation!$C$1:$C$175,$A126,Allocation!$D$1:$D$175,$B126))</f>
        <v>117</v>
      </c>
      <c r="M126">
        <f>IF($A126="","",_xlfn.SUMIFS(Allocation!$J$1:$J$175,Allocation!$C$1:$C$175,$A126,Allocation!$D$1:$D$175,$B126))</f>
        <v>6</v>
      </c>
      <c r="N126">
        <f>IF($A126="","",_xlfn.SUMIFS(Allocation!$K$1:$K$175,Allocation!$C$1:$C$175,$A126,Allocation!$D$1:$D$175,$B126))</f>
        <v>781650</v>
      </c>
      <c r="O126">
        <f t="shared" si="1"/>
        <v>2880</v>
      </c>
      <c r="P126">
        <f t="shared" si="2"/>
        <v>80</v>
      </c>
      <c r="Q126">
        <f>IF($A126="","",_xlfn.SUMIFS(Allocation!$I$1:$I$175,Allocation!$C$1:$C$175,$A126,Allocation!$E$1:$E$175,$C126))</f>
        <v>379</v>
      </c>
      <c r="R126">
        <f>IF($A126="","",_xlfn.SUMIFS(Allocation!$J$1:$J$175,Allocation!$C$1:$C$175,$A126,Allocation!$E$1:$E$175,$C126))</f>
        <v>18</v>
      </c>
      <c r="S126">
        <f>IF($A126="","",_xlfn.SUMIFS(Allocation!$K$1:$K$175,Allocation!$C$1:$C$175,$A126,Allocation!$E$1:$E$175,$C126))</f>
        <v>2582800</v>
      </c>
      <c r="T126">
        <f>IF($A126="","",_xlfn.SUMIFS(Allocation!$I$1:$I$175,Allocation!$C$1:$C$175,$A126))</f>
        <v>3036</v>
      </c>
      <c r="U126">
        <f>IF($A126="","",_xlfn.SUMIFS(Allocation!$J$1:$J$175,Allocation!$C$1:$C$175,$A126))</f>
        <v>131</v>
      </c>
      <c r="V126">
        <f>IF($A126="","",_xlfn.SUMIFS(Allocation!$K$1:$K$175,Allocation!$C$1:$C$175,$A126))</f>
        <v>22544725</v>
      </c>
      <c r="W126">
        <f>IF($A126="","",_xlfn.SUMIFS(Compta!$F$1:$F$1448,Compta!$A$1:$A$1448,$B126,Compta!$B$1:$B$1448,"621",Compta!$C$1:$C$1448,$A126))</f>
        <v>72438</v>
      </c>
      <c r="X126">
        <f>IF($A126="","",_xlfn.SUMIFS(Compta!$F$1:$F$1448,Compta!$A$1:$A$1448,$B126,Compta!$B$1:$B$1448,"6411",Compta!$C$1:$C$1448,$A126))</f>
        <v>131501</v>
      </c>
      <c r="Y126">
        <f>IF($A126="","",_xlfn.SUMIFS(Compta!$F$1:$F$1448,Compta!$A$1:$A$1448,$B126,Compta!$B$1:$B$1448,"604",Compta!$C$1:$C$1448,$A126)+_xlfn.SUMIFS(Compta!$F$1:$F$1448,Compta!$A$1:$A$1448,$B126,Compta!$B$1:$B$1448,"6063",Compta!$C$1:$C$1448,$A126))</f>
        <v>43535</v>
      </c>
      <c r="Z126">
        <f>IF($A126="","",_xlfn.SUMIFS(Compta!$F$1:$F$1448,Compta!$A$1:$A$1448,$B126,Compta!$B$1:$B$1448,"6231",Compta!$C$1:$C$1448,$A126))</f>
        <v>15178</v>
      </c>
      <c r="AA126">
        <f>IF($A126="","",_xlfn.SUMIFS(Compta!$F$1:$F$1448,Compta!$A$1:$A$1448,$B126,Compta!$B$1:$B$1448,"6413",Compta!$C$1:$C$1448,$A126)+_xlfn.SUMIFS(Compta!$F$1:$F$1448,Compta!$A$1:$A$1448,$B126,Compta!$B$1:$B$1448,"645",Compta!$C$1:$C$1448,$A126)+_xlfn.SUMIFS(Compta!$F$1:$F$1448,Compta!$A$1:$A$1448,$B126,Compta!$B$1:$B$1448,"613",Compta!$C$1:$C$1448,$A126)+_xlfn.SUMIFS(Compta!$F$1:$F$1448,Compta!$A$1:$A$1448,$B126,Compta!$B$1:$B$1448,"615",Compta!$C$1:$C$1448,$A126)+_xlfn.SUMIFS(Compta!$F$1:$F$1448,Compta!$A$1:$A$1448,$B126,Compta!$B$1:$B$1448,"616",Compta!$C$1:$C$1448,$A126)+_xlfn.SUMIFS(Compta!$F$1:$F$1448,Compta!$A$1:$A$1448,$B126,Compta!$B$1:$B$1448,"625",Compta!$C$1:$C$1448,$A126)+_xlfn.SUMIFS(Compta!$F$1:$F$1448,Compta!$A$1:$A$1448,$B126,Compta!$B$1:$B$1448,"63511",Compta!$C$1:$C$1448,$A126))</f>
        <v>265266</v>
      </c>
      <c r="AB126">
        <f>IF($A126="","",_xlfn.SUMIFS(Compta!$F$1:$F$1448,Compta!$A$1:$A$1448,"GRP",Compta!$B$1:$B$1448,"6414",Compta!$C$1:$C$1448,$A126)+_xlfn.SUMIFS(Compta!$F$1:$F$1448,Compta!$A$1:$A$1448,"GRP",Compta!$B$1:$B$1448,"6226",Compta!$C$1:$C$1448,$A126)+_xlfn.SUMIFS(Compta!$F$1:$F$1448,Compta!$A$1:$A$1448,"GRP",Compta!$B$1:$B$1448,"626",Compta!$C$1:$C$1448,$A126)+_xlfn.SUMIFS(Compta!$F$1:$F$1448,Compta!$A$1:$A$1448,"GRP",Compta!$B$1:$B$1448,"6281",Compta!$C$1:$C$1448,$A126)+_xlfn.SUMIFS(Compta!$F$1:$F$1448,Compta!$A$1:$A$1448,"GRP",Compta!$B$1:$B$1448,"6331",Compta!$C$1:$C$1448,$A126)+_xlfn.SUMIFS(Compta!$F$1:$F$1448,Compta!$A$1:$A$1448,"GRP",Compta!$B$1:$B$1448,"6333",Compta!$C$1:$C$1448,$A126))</f>
        <v>2891983</v>
      </c>
      <c r="AC126" t="s">
        <v>274</v>
      </c>
      <c r="AD126" t="s">
        <v>274</v>
      </c>
      <c r="AE126" t="s">
        <v>274</v>
      </c>
      <c r="AF126" t="s">
        <v>274</v>
      </c>
      <c r="AG126" t="s">
        <v>274</v>
      </c>
      <c r="AH126" t="s">
        <v>274</v>
      </c>
      <c r="AI126">
        <f t="shared" si="3"/>
        <v>24146</v>
      </c>
      <c r="AJ126">
        <f t="shared" si="4"/>
        <v>43833.6666666667</v>
      </c>
      <c r="AK126">
        <f t="shared" si="5"/>
        <v>14511.6666666667</v>
      </c>
      <c r="AL126">
        <f t="shared" si="6"/>
        <v>0</v>
      </c>
      <c r="AM126">
        <f t="shared" si="7"/>
        <v>0</v>
      </c>
      <c r="AN126">
        <f t="shared" si="8"/>
        <v>176858.666666667</v>
      </c>
      <c r="AO126">
        <f>IF($A126="","",_xlfn.SUMIFS(Compta!$F$1:$F$1448,Compta!$A$1:$A$1448,"GRP",Compta!$B$1:$B$1448,"6236",Compta!$C$1:$C$1448,$A126))</f>
        <v>676344</v>
      </c>
      <c r="AP126" t="s">
        <v>274</v>
      </c>
      <c r="AQ126" t="s">
        <v>274</v>
      </c>
      <c r="AR126">
        <f t="shared" si="9"/>
        <v>0</v>
      </c>
    </row>
    <row r="127" ht="14.25" customHeight="1">
      <c r="A127" t="str">
        <f>IF(Allocation!C127="","",Allocation!C127)</f>
        <v>2026</v>
      </c>
      <c r="B127" t="str">
        <f>IF(Allocation!D127="","",Allocation!D127)</f>
        <v>IPAC_MTP</v>
      </c>
      <c r="C127" t="str">
        <f>IF(Allocation!E127="","",Allocation!E127)</f>
        <v>IPAC</v>
      </c>
      <c r="D127" t="str">
        <f>IF(Allocation!F127="","",Allocation!F127)</f>
        <v>BAC_CCE</v>
      </c>
      <c r="E127" t="str">
        <f>IF(Allocation!G127="","",Allocation!G127)</f>
        <v>B3</v>
      </c>
      <c r="F127" t="str">
        <f>IF(Allocation!H127="","",Allocation!H127)</f>
        <v>ALT</v>
      </c>
      <c r="G127">
        <f>IF(Allocation!D127="","",Allocation!I127)</f>
        <v>38</v>
      </c>
      <c r="H127">
        <f>IF(Allocation!D127="","",Allocation!J127)</f>
        <v>2</v>
      </c>
      <c r="I127">
        <f>IF(Allocation!D127="","",Allocation!K127)</f>
        <v>252700</v>
      </c>
      <c r="J127">
        <f>IF($A127="","",_xlfn.SUMIFS(Socle!$K$1:$K$448,Socle!$C$1:$C$448,$B127,Socle!$D$1:$D$448,$D127,Socle!$E$1:$E$448,$E127,Socle!$F$1:$F$448,$F127,Socle!$G$1:$G$448,$A127))</f>
        <v>0</v>
      </c>
      <c r="K127">
        <f t="shared" si="0"/>
        <v>960</v>
      </c>
      <c r="L127">
        <f>IF($A127="","",_xlfn.SUMIFS(Allocation!$I$1:$I$175,Allocation!$C$1:$C$175,$A127,Allocation!$D$1:$D$175,$B127))</f>
        <v>117</v>
      </c>
      <c r="M127">
        <f>IF($A127="","",_xlfn.SUMIFS(Allocation!$J$1:$J$175,Allocation!$C$1:$C$175,$A127,Allocation!$D$1:$D$175,$B127))</f>
        <v>6</v>
      </c>
      <c r="N127">
        <f>IF($A127="","",_xlfn.SUMIFS(Allocation!$K$1:$K$175,Allocation!$C$1:$C$175,$A127,Allocation!$D$1:$D$175,$B127))</f>
        <v>781650</v>
      </c>
      <c r="O127">
        <f t="shared" si="1"/>
        <v>2880</v>
      </c>
      <c r="P127">
        <f t="shared" si="2"/>
        <v>80</v>
      </c>
      <c r="Q127">
        <f>IF($A127="","",_xlfn.SUMIFS(Allocation!$I$1:$I$175,Allocation!$C$1:$C$175,$A127,Allocation!$E$1:$E$175,$C127))</f>
        <v>379</v>
      </c>
      <c r="R127">
        <f>IF($A127="","",_xlfn.SUMIFS(Allocation!$J$1:$J$175,Allocation!$C$1:$C$175,$A127,Allocation!$E$1:$E$175,$C127))</f>
        <v>18</v>
      </c>
      <c r="S127">
        <f>IF($A127="","",_xlfn.SUMIFS(Allocation!$K$1:$K$175,Allocation!$C$1:$C$175,$A127,Allocation!$E$1:$E$175,$C127))</f>
        <v>2582800</v>
      </c>
      <c r="T127">
        <f>IF($A127="","",_xlfn.SUMIFS(Allocation!$I$1:$I$175,Allocation!$C$1:$C$175,$A127))</f>
        <v>3036</v>
      </c>
      <c r="U127">
        <f>IF($A127="","",_xlfn.SUMIFS(Allocation!$J$1:$J$175,Allocation!$C$1:$C$175,$A127))</f>
        <v>131</v>
      </c>
      <c r="V127">
        <f>IF($A127="","",_xlfn.SUMIFS(Allocation!$K$1:$K$175,Allocation!$C$1:$C$175,$A127))</f>
        <v>22544725</v>
      </c>
      <c r="W127">
        <f>IF($A127="","",_xlfn.SUMIFS(Compta!$F$1:$F$1448,Compta!$A$1:$A$1448,$B127,Compta!$B$1:$B$1448,"621",Compta!$C$1:$C$1448,$A127))</f>
        <v>72438</v>
      </c>
      <c r="X127">
        <f>IF($A127="","",_xlfn.SUMIFS(Compta!$F$1:$F$1448,Compta!$A$1:$A$1448,$B127,Compta!$B$1:$B$1448,"6411",Compta!$C$1:$C$1448,$A127))</f>
        <v>131501</v>
      </c>
      <c r="Y127">
        <f>IF($A127="","",_xlfn.SUMIFS(Compta!$F$1:$F$1448,Compta!$A$1:$A$1448,$B127,Compta!$B$1:$B$1448,"604",Compta!$C$1:$C$1448,$A127)+_xlfn.SUMIFS(Compta!$F$1:$F$1448,Compta!$A$1:$A$1448,$B127,Compta!$B$1:$B$1448,"6063",Compta!$C$1:$C$1448,$A127))</f>
        <v>43535</v>
      </c>
      <c r="Z127">
        <f>IF($A127="","",_xlfn.SUMIFS(Compta!$F$1:$F$1448,Compta!$A$1:$A$1448,$B127,Compta!$B$1:$B$1448,"6231",Compta!$C$1:$C$1448,$A127))</f>
        <v>15178</v>
      </c>
      <c r="AA127">
        <f>IF($A127="","",_xlfn.SUMIFS(Compta!$F$1:$F$1448,Compta!$A$1:$A$1448,$B127,Compta!$B$1:$B$1448,"6413",Compta!$C$1:$C$1448,$A127)+_xlfn.SUMIFS(Compta!$F$1:$F$1448,Compta!$A$1:$A$1448,$B127,Compta!$B$1:$B$1448,"645",Compta!$C$1:$C$1448,$A127)+_xlfn.SUMIFS(Compta!$F$1:$F$1448,Compta!$A$1:$A$1448,$B127,Compta!$B$1:$B$1448,"613",Compta!$C$1:$C$1448,$A127)+_xlfn.SUMIFS(Compta!$F$1:$F$1448,Compta!$A$1:$A$1448,$B127,Compta!$B$1:$B$1448,"615",Compta!$C$1:$C$1448,$A127)+_xlfn.SUMIFS(Compta!$F$1:$F$1448,Compta!$A$1:$A$1448,$B127,Compta!$B$1:$B$1448,"616",Compta!$C$1:$C$1448,$A127)+_xlfn.SUMIFS(Compta!$F$1:$F$1448,Compta!$A$1:$A$1448,$B127,Compta!$B$1:$B$1448,"625",Compta!$C$1:$C$1448,$A127)+_xlfn.SUMIFS(Compta!$F$1:$F$1448,Compta!$A$1:$A$1448,$B127,Compta!$B$1:$B$1448,"63511",Compta!$C$1:$C$1448,$A127))</f>
        <v>265266</v>
      </c>
      <c r="AB127">
        <f>IF($A127="","",_xlfn.SUMIFS(Compta!$F$1:$F$1448,Compta!$A$1:$A$1448,"GRP",Compta!$B$1:$B$1448,"6414",Compta!$C$1:$C$1448,$A127)+_xlfn.SUMIFS(Compta!$F$1:$F$1448,Compta!$A$1:$A$1448,"GRP",Compta!$B$1:$B$1448,"6226",Compta!$C$1:$C$1448,$A127)+_xlfn.SUMIFS(Compta!$F$1:$F$1448,Compta!$A$1:$A$1448,"GRP",Compta!$B$1:$B$1448,"626",Compta!$C$1:$C$1448,$A127)+_xlfn.SUMIFS(Compta!$F$1:$F$1448,Compta!$A$1:$A$1448,"GRP",Compta!$B$1:$B$1448,"6281",Compta!$C$1:$C$1448,$A127)+_xlfn.SUMIFS(Compta!$F$1:$F$1448,Compta!$A$1:$A$1448,"GRP",Compta!$B$1:$B$1448,"6331",Compta!$C$1:$C$1448,$A127)+_xlfn.SUMIFS(Compta!$F$1:$F$1448,Compta!$A$1:$A$1448,"GRP",Compta!$B$1:$B$1448,"6333",Compta!$C$1:$C$1448,$A127))</f>
        <v>2891983</v>
      </c>
      <c r="AC127" t="s">
        <v>274</v>
      </c>
      <c r="AD127" t="s">
        <v>274</v>
      </c>
      <c r="AE127" t="s">
        <v>274</v>
      </c>
      <c r="AF127" t="s">
        <v>274</v>
      </c>
      <c r="AG127" t="s">
        <v>274</v>
      </c>
      <c r="AH127" t="s">
        <v>274</v>
      </c>
      <c r="AI127">
        <f t="shared" si="3"/>
        <v>24146</v>
      </c>
      <c r="AJ127">
        <f t="shared" si="4"/>
        <v>43833.6666666667</v>
      </c>
      <c r="AK127">
        <f t="shared" si="5"/>
        <v>14139.5726495727</v>
      </c>
      <c r="AL127">
        <f t="shared" si="6"/>
        <v>0</v>
      </c>
      <c r="AM127">
        <f t="shared" si="7"/>
        <v>0</v>
      </c>
      <c r="AN127">
        <f t="shared" si="8"/>
        <v>170580.760683761</v>
      </c>
      <c r="AO127">
        <f>IF($A127="","",_xlfn.SUMIFS(Compta!$F$1:$F$1448,Compta!$A$1:$A$1448,"GRP",Compta!$B$1:$B$1448,"6236",Compta!$C$1:$C$1448,$A127))</f>
        <v>676344</v>
      </c>
      <c r="AP127" t="s">
        <v>274</v>
      </c>
      <c r="AQ127" t="s">
        <v>274</v>
      </c>
      <c r="AR127">
        <f t="shared" si="9"/>
        <v>0</v>
      </c>
    </row>
    <row r="128" ht="14.25" customHeight="1">
      <c r="A128" t="str">
        <f>IF(Allocation!C128="","",Allocation!C128)</f>
        <v>2025</v>
      </c>
      <c r="B128" t="str">
        <f>IF(Allocation!D128="","",Allocation!D128)</f>
        <v>IPAC_MTP</v>
      </c>
      <c r="C128" t="str">
        <f>IF(Allocation!E128="","",Allocation!E128)</f>
        <v>IPAC</v>
      </c>
      <c r="D128" t="str">
        <f>IF(Allocation!F128="","",Allocation!F128)</f>
        <v>BAC_CCE</v>
      </c>
      <c r="E128" t="str">
        <f>IF(Allocation!G128="","",Allocation!G128)</f>
        <v>B1</v>
      </c>
      <c r="F128" t="str">
        <f>IF(Allocation!H128="","",Allocation!H128)</f>
        <v>ALT</v>
      </c>
      <c r="G128">
        <f>IF(Allocation!D128="","",Allocation!I128)</f>
        <v>38</v>
      </c>
      <c r="H128">
        <f>IF(Allocation!D128="","",Allocation!J128)</f>
        <v>2</v>
      </c>
      <c r="I128">
        <f>IF(Allocation!D128="","",Allocation!K128)</f>
        <v>256120</v>
      </c>
      <c r="J128">
        <f>IF($A128="","",_xlfn.SUMIFS(Socle!$K$1:$K$448,Socle!$C$1:$C$448,$B128,Socle!$D$1:$D$448,$D128,Socle!$E$1:$E$448,$E128,Socle!$F$1:$F$448,$F128,Socle!$G$1:$G$448,$A128))</f>
        <v>76</v>
      </c>
      <c r="K128">
        <f t="shared" si="0"/>
        <v>960</v>
      </c>
      <c r="L128">
        <f>IF($A128="","",_xlfn.SUMIFS(Allocation!$I$1:$I$175,Allocation!$C$1:$C$175,$A128,Allocation!$D$1:$D$175,$B128))</f>
        <v>111</v>
      </c>
      <c r="M128">
        <f>IF($A128="","",_xlfn.SUMIFS(Allocation!$J$1:$J$175,Allocation!$C$1:$C$175,$A128,Allocation!$D$1:$D$175,$B128))</f>
        <v>6</v>
      </c>
      <c r="N128">
        <f>IF($A128="","",_xlfn.SUMIFS(Allocation!$K$1:$K$175,Allocation!$C$1:$C$175,$A128,Allocation!$D$1:$D$175,$B128))</f>
        <v>741570</v>
      </c>
      <c r="O128">
        <f t="shared" si="1"/>
        <v>2880</v>
      </c>
      <c r="P128">
        <f t="shared" si="2"/>
        <v>76</v>
      </c>
      <c r="Q128">
        <f>IF($A128="","",_xlfn.SUMIFS(Allocation!$I$1:$I$175,Allocation!$C$1:$C$175,$A128,Allocation!$E$1:$E$175,$C128))</f>
        <v>358</v>
      </c>
      <c r="R128">
        <f>IF($A128="","",_xlfn.SUMIFS(Allocation!$J$1:$J$175,Allocation!$C$1:$C$175,$A128,Allocation!$E$1:$E$175,$C128))</f>
        <v>18</v>
      </c>
      <c r="S128">
        <f>IF($A128="","",_xlfn.SUMIFS(Allocation!$K$1:$K$175,Allocation!$C$1:$C$175,$A128,Allocation!$E$1:$E$175,$C128))</f>
        <v>2439370</v>
      </c>
      <c r="T128">
        <f>IF($A128="","",_xlfn.SUMIFS(Allocation!$I$1:$I$175,Allocation!$C$1:$C$175,$A128))</f>
        <v>2860</v>
      </c>
      <c r="U128">
        <f>IF($A128="","",_xlfn.SUMIFS(Allocation!$J$1:$J$175,Allocation!$C$1:$C$175,$A128))</f>
        <v>131</v>
      </c>
      <c r="V128">
        <f>IF($A128="","",_xlfn.SUMIFS(Allocation!$K$1:$K$175,Allocation!$C$1:$C$175,$A128))</f>
        <v>21240140</v>
      </c>
      <c r="W128">
        <f>IF($A128="","",_xlfn.SUMIFS(Compta!$F$1:$F$1448,Compta!$A$1:$A$1448,$B128,Compta!$B$1:$B$1448,"621",Compta!$C$1:$C$1448,$A128))</f>
        <v>69137</v>
      </c>
      <c r="X128">
        <f>IF($A128="","",_xlfn.SUMIFS(Compta!$F$1:$F$1448,Compta!$A$1:$A$1448,$B128,Compta!$B$1:$B$1448,"6411",Compta!$C$1:$C$1448,$A128))</f>
        <v>125510</v>
      </c>
      <c r="Y128">
        <f>IF($A128="","",_xlfn.SUMIFS(Compta!$F$1:$F$1448,Compta!$A$1:$A$1448,$B128,Compta!$B$1:$B$1448,"604",Compta!$C$1:$C$1448,$A128)+_xlfn.SUMIFS(Compta!$F$1:$F$1448,Compta!$A$1:$A$1448,$B128,Compta!$B$1:$B$1448,"6063",Compta!$C$1:$C$1448,$A128))</f>
        <v>41552</v>
      </c>
      <c r="Z128">
        <f>IF($A128="","",_xlfn.SUMIFS(Compta!$F$1:$F$1448,Compta!$A$1:$A$1448,$B128,Compta!$B$1:$B$1448,"6231",Compta!$C$1:$C$1448,$A128))</f>
        <v>13798</v>
      </c>
      <c r="AA128">
        <f>IF($A128="","",_xlfn.SUMIFS(Compta!$F$1:$F$1448,Compta!$A$1:$A$1448,$B128,Compta!$B$1:$B$1448,"6413",Compta!$C$1:$C$1448,$A128)+_xlfn.SUMIFS(Compta!$F$1:$F$1448,Compta!$A$1:$A$1448,$B128,Compta!$B$1:$B$1448,"645",Compta!$C$1:$C$1448,$A128)+_xlfn.SUMIFS(Compta!$F$1:$F$1448,Compta!$A$1:$A$1448,$B128,Compta!$B$1:$B$1448,"613",Compta!$C$1:$C$1448,$A128)+_xlfn.SUMIFS(Compta!$F$1:$F$1448,Compta!$A$1:$A$1448,$B128,Compta!$B$1:$B$1448,"615",Compta!$C$1:$C$1448,$A128)+_xlfn.SUMIFS(Compta!$F$1:$F$1448,Compta!$A$1:$A$1448,$B128,Compta!$B$1:$B$1448,"616",Compta!$C$1:$C$1448,$A128)+_xlfn.SUMIFS(Compta!$F$1:$F$1448,Compta!$A$1:$A$1448,$B128,Compta!$B$1:$B$1448,"625",Compta!$C$1:$C$1448,$A128)+_xlfn.SUMIFS(Compta!$F$1:$F$1448,Compta!$A$1:$A$1448,$B128,Compta!$B$1:$B$1448,"63511",Compta!$C$1:$C$1448,$A128))</f>
        <v>253182</v>
      </c>
      <c r="AB128">
        <f>IF($A128="","",_xlfn.SUMIFS(Compta!$F$1:$F$1448,Compta!$A$1:$A$1448,"GRP",Compta!$B$1:$B$1448,"6414",Compta!$C$1:$C$1448,$A128)+_xlfn.SUMIFS(Compta!$F$1:$F$1448,Compta!$A$1:$A$1448,"GRP",Compta!$B$1:$B$1448,"6226",Compta!$C$1:$C$1448,$A128)+_xlfn.SUMIFS(Compta!$F$1:$F$1448,Compta!$A$1:$A$1448,"GRP",Compta!$B$1:$B$1448,"626",Compta!$C$1:$C$1448,$A128)+_xlfn.SUMIFS(Compta!$F$1:$F$1448,Compta!$A$1:$A$1448,"GRP",Compta!$B$1:$B$1448,"6281",Compta!$C$1:$C$1448,$A128)+_xlfn.SUMIFS(Compta!$F$1:$F$1448,Compta!$A$1:$A$1448,"GRP",Compta!$B$1:$B$1448,"6331",Compta!$C$1:$C$1448,$A128)+_xlfn.SUMIFS(Compta!$F$1:$F$1448,Compta!$A$1:$A$1448,"GRP",Compta!$B$1:$B$1448,"6333",Compta!$C$1:$C$1448,$A128))</f>
        <v>2760232</v>
      </c>
      <c r="AC128" t="s">
        <v>274</v>
      </c>
      <c r="AD128" t="s">
        <v>274</v>
      </c>
      <c r="AE128" t="s">
        <v>274</v>
      </c>
      <c r="AF128" t="s">
        <v>274</v>
      </c>
      <c r="AG128" t="s">
        <v>274</v>
      </c>
      <c r="AH128" t="s">
        <v>274</v>
      </c>
      <c r="AI128">
        <f t="shared" si="3"/>
        <v>23045.6666666667</v>
      </c>
      <c r="AJ128">
        <f t="shared" si="4"/>
        <v>41836.6666666667</v>
      </c>
      <c r="AK128">
        <f t="shared" si="5"/>
        <v>28023.009009009</v>
      </c>
      <c r="AL128">
        <f t="shared" si="6"/>
        <v>0</v>
      </c>
      <c r="AM128">
        <f t="shared" si="7"/>
        <v>0</v>
      </c>
      <c r="AN128">
        <f t="shared" si="8"/>
        <v>163214.657657658</v>
      </c>
      <c r="AO128">
        <f>IF($A128="","",_xlfn.SUMIFS(Compta!$F$1:$F$1448,Compta!$A$1:$A$1448,"GRP",Compta!$B$1:$B$1448,"6236",Compta!$C$1:$C$1448,$A128))</f>
        <v>580167</v>
      </c>
      <c r="AP128" t="s">
        <v>274</v>
      </c>
      <c r="AQ128" t="s">
        <v>274</v>
      </c>
      <c r="AR128">
        <f t="shared" si="9"/>
        <v>0</v>
      </c>
    </row>
    <row r="129" ht="14.25" customHeight="1">
      <c r="A129" t="str">
        <f>IF(Allocation!C129="","",Allocation!C129)</f>
        <v>2025</v>
      </c>
      <c r="B129" t="str">
        <f>IF(Allocation!D129="","",Allocation!D129)</f>
        <v>IPAC_MTP</v>
      </c>
      <c r="C129" t="str">
        <f>IF(Allocation!E129="","",Allocation!E129)</f>
        <v>IPAC</v>
      </c>
      <c r="D129" t="str">
        <f>IF(Allocation!F129="","",Allocation!F129)</f>
        <v>BAC_CCE</v>
      </c>
      <c r="E129" t="str">
        <f>IF(Allocation!G129="","",Allocation!G129)</f>
        <v>B2</v>
      </c>
      <c r="F129" t="str">
        <f>IF(Allocation!H129="","",Allocation!H129)</f>
        <v>ALT</v>
      </c>
      <c r="G129">
        <f>IF(Allocation!D129="","",Allocation!I129)</f>
        <v>37</v>
      </c>
      <c r="H129">
        <f>IF(Allocation!D129="","",Allocation!J129)</f>
        <v>2</v>
      </c>
      <c r="I129">
        <f>IF(Allocation!D129="","",Allocation!K129)</f>
        <v>246050</v>
      </c>
      <c r="J129">
        <f>IF($A129="","",_xlfn.SUMIFS(Socle!$K$1:$K$448,Socle!$C$1:$C$448,$B129,Socle!$D$1:$D$448,$D129,Socle!$E$1:$E$448,$E129,Socle!$F$1:$F$448,$F129,Socle!$G$1:$G$448,$A129))</f>
        <v>0</v>
      </c>
      <c r="K129">
        <f t="shared" si="0"/>
        <v>960</v>
      </c>
      <c r="L129">
        <f>IF($A129="","",_xlfn.SUMIFS(Allocation!$I$1:$I$175,Allocation!$C$1:$C$175,$A129,Allocation!$D$1:$D$175,$B129))</f>
        <v>111</v>
      </c>
      <c r="M129">
        <f>IF($A129="","",_xlfn.SUMIFS(Allocation!$J$1:$J$175,Allocation!$C$1:$C$175,$A129,Allocation!$D$1:$D$175,$B129))</f>
        <v>6</v>
      </c>
      <c r="N129">
        <f>IF($A129="","",_xlfn.SUMIFS(Allocation!$K$1:$K$175,Allocation!$C$1:$C$175,$A129,Allocation!$D$1:$D$175,$B129))</f>
        <v>741570</v>
      </c>
      <c r="O129">
        <f t="shared" si="1"/>
        <v>2880</v>
      </c>
      <c r="P129">
        <f t="shared" si="2"/>
        <v>76</v>
      </c>
      <c r="Q129">
        <f>IF($A129="","",_xlfn.SUMIFS(Allocation!$I$1:$I$175,Allocation!$C$1:$C$175,$A129,Allocation!$E$1:$E$175,$C129))</f>
        <v>358</v>
      </c>
      <c r="R129">
        <f>IF($A129="","",_xlfn.SUMIFS(Allocation!$J$1:$J$175,Allocation!$C$1:$C$175,$A129,Allocation!$E$1:$E$175,$C129))</f>
        <v>18</v>
      </c>
      <c r="S129">
        <f>IF($A129="","",_xlfn.SUMIFS(Allocation!$K$1:$K$175,Allocation!$C$1:$C$175,$A129,Allocation!$E$1:$E$175,$C129))</f>
        <v>2439370</v>
      </c>
      <c r="T129">
        <f>IF($A129="","",_xlfn.SUMIFS(Allocation!$I$1:$I$175,Allocation!$C$1:$C$175,$A129))</f>
        <v>2860</v>
      </c>
      <c r="U129">
        <f>IF($A129="","",_xlfn.SUMIFS(Allocation!$J$1:$J$175,Allocation!$C$1:$C$175,$A129))</f>
        <v>131</v>
      </c>
      <c r="V129">
        <f>IF($A129="","",_xlfn.SUMIFS(Allocation!$K$1:$K$175,Allocation!$C$1:$C$175,$A129))</f>
        <v>21240140</v>
      </c>
      <c r="W129">
        <f>IF($A129="","",_xlfn.SUMIFS(Compta!$F$1:$F$1448,Compta!$A$1:$A$1448,$B129,Compta!$B$1:$B$1448,"621",Compta!$C$1:$C$1448,$A129))</f>
        <v>69137</v>
      </c>
      <c r="X129">
        <f>IF($A129="","",_xlfn.SUMIFS(Compta!$F$1:$F$1448,Compta!$A$1:$A$1448,$B129,Compta!$B$1:$B$1448,"6411",Compta!$C$1:$C$1448,$A129))</f>
        <v>125510</v>
      </c>
      <c r="Y129">
        <f>IF($A129="","",_xlfn.SUMIFS(Compta!$F$1:$F$1448,Compta!$A$1:$A$1448,$B129,Compta!$B$1:$B$1448,"604",Compta!$C$1:$C$1448,$A129)+_xlfn.SUMIFS(Compta!$F$1:$F$1448,Compta!$A$1:$A$1448,$B129,Compta!$B$1:$B$1448,"6063",Compta!$C$1:$C$1448,$A129))</f>
        <v>41552</v>
      </c>
      <c r="Z129">
        <f>IF($A129="","",_xlfn.SUMIFS(Compta!$F$1:$F$1448,Compta!$A$1:$A$1448,$B129,Compta!$B$1:$B$1448,"6231",Compta!$C$1:$C$1448,$A129))</f>
        <v>13798</v>
      </c>
      <c r="AA129">
        <f>IF($A129="","",_xlfn.SUMIFS(Compta!$F$1:$F$1448,Compta!$A$1:$A$1448,$B129,Compta!$B$1:$B$1448,"6413",Compta!$C$1:$C$1448,$A129)+_xlfn.SUMIFS(Compta!$F$1:$F$1448,Compta!$A$1:$A$1448,$B129,Compta!$B$1:$B$1448,"645",Compta!$C$1:$C$1448,$A129)+_xlfn.SUMIFS(Compta!$F$1:$F$1448,Compta!$A$1:$A$1448,$B129,Compta!$B$1:$B$1448,"613",Compta!$C$1:$C$1448,$A129)+_xlfn.SUMIFS(Compta!$F$1:$F$1448,Compta!$A$1:$A$1448,$B129,Compta!$B$1:$B$1448,"615",Compta!$C$1:$C$1448,$A129)+_xlfn.SUMIFS(Compta!$F$1:$F$1448,Compta!$A$1:$A$1448,$B129,Compta!$B$1:$B$1448,"616",Compta!$C$1:$C$1448,$A129)+_xlfn.SUMIFS(Compta!$F$1:$F$1448,Compta!$A$1:$A$1448,$B129,Compta!$B$1:$B$1448,"625",Compta!$C$1:$C$1448,$A129)+_xlfn.SUMIFS(Compta!$F$1:$F$1448,Compta!$A$1:$A$1448,$B129,Compta!$B$1:$B$1448,"63511",Compta!$C$1:$C$1448,$A129))</f>
        <v>253182</v>
      </c>
      <c r="AB129">
        <f>IF($A129="","",_xlfn.SUMIFS(Compta!$F$1:$F$1448,Compta!$A$1:$A$1448,"GRP",Compta!$B$1:$B$1448,"6414",Compta!$C$1:$C$1448,$A129)+_xlfn.SUMIFS(Compta!$F$1:$F$1448,Compta!$A$1:$A$1448,"GRP",Compta!$B$1:$B$1448,"6226",Compta!$C$1:$C$1448,$A129)+_xlfn.SUMIFS(Compta!$F$1:$F$1448,Compta!$A$1:$A$1448,"GRP",Compta!$B$1:$B$1448,"626",Compta!$C$1:$C$1448,$A129)+_xlfn.SUMIFS(Compta!$F$1:$F$1448,Compta!$A$1:$A$1448,"GRP",Compta!$B$1:$B$1448,"6281",Compta!$C$1:$C$1448,$A129)+_xlfn.SUMIFS(Compta!$F$1:$F$1448,Compta!$A$1:$A$1448,"GRP",Compta!$B$1:$B$1448,"6331",Compta!$C$1:$C$1448,$A129)+_xlfn.SUMIFS(Compta!$F$1:$F$1448,Compta!$A$1:$A$1448,"GRP",Compta!$B$1:$B$1448,"6333",Compta!$C$1:$C$1448,$A129))</f>
        <v>2760232</v>
      </c>
      <c r="AC129" t="s">
        <v>274</v>
      </c>
      <c r="AD129" t="s">
        <v>274</v>
      </c>
      <c r="AE129" t="s">
        <v>274</v>
      </c>
      <c r="AF129" t="s">
        <v>274</v>
      </c>
      <c r="AG129" t="s">
        <v>274</v>
      </c>
      <c r="AH129" t="s">
        <v>274</v>
      </c>
      <c r="AI129">
        <f t="shared" si="3"/>
        <v>23045.6666666667</v>
      </c>
      <c r="AJ129">
        <f t="shared" si="4"/>
        <v>41836.6666666667</v>
      </c>
      <c r="AK129">
        <f t="shared" si="5"/>
        <v>13850.6666666667</v>
      </c>
      <c r="AL129">
        <f t="shared" si="6"/>
        <v>0</v>
      </c>
      <c r="AM129">
        <f t="shared" si="7"/>
        <v>0</v>
      </c>
      <c r="AN129">
        <f t="shared" si="8"/>
        <v>167317</v>
      </c>
      <c r="AO129">
        <f>IF($A129="","",_xlfn.SUMIFS(Compta!$F$1:$F$1448,Compta!$A$1:$A$1448,"GRP",Compta!$B$1:$B$1448,"6236",Compta!$C$1:$C$1448,$A129))</f>
        <v>580167</v>
      </c>
      <c r="AP129" t="s">
        <v>274</v>
      </c>
      <c r="AQ129" t="s">
        <v>274</v>
      </c>
      <c r="AR129">
        <f t="shared" si="9"/>
        <v>0</v>
      </c>
    </row>
    <row r="130" ht="14.25" customHeight="1">
      <c r="A130" t="str">
        <f>IF(Allocation!C130="","",Allocation!C130)</f>
        <v>2025</v>
      </c>
      <c r="B130" t="str">
        <f>IF(Allocation!D130="","",Allocation!D130)</f>
        <v>IPAC_MTP</v>
      </c>
      <c r="C130" t="str">
        <f>IF(Allocation!E130="","",Allocation!E130)</f>
        <v>IPAC</v>
      </c>
      <c r="D130" t="str">
        <f>IF(Allocation!F130="","",Allocation!F130)</f>
        <v>BAC_CCE</v>
      </c>
      <c r="E130" t="str">
        <f>IF(Allocation!G130="","",Allocation!G130)</f>
        <v>B3</v>
      </c>
      <c r="F130" t="str">
        <f>IF(Allocation!H130="","",Allocation!H130)</f>
        <v>ALT</v>
      </c>
      <c r="G130">
        <f>IF(Allocation!D130="","",Allocation!I130)</f>
        <v>36</v>
      </c>
      <c r="H130">
        <f>IF(Allocation!D130="","",Allocation!J130)</f>
        <v>2</v>
      </c>
      <c r="I130">
        <f>IF(Allocation!D130="","",Allocation!K130)</f>
        <v>239400</v>
      </c>
      <c r="J130">
        <f>IF($A130="","",_xlfn.SUMIFS(Socle!$K$1:$K$448,Socle!$C$1:$C$448,$B130,Socle!$D$1:$D$448,$D130,Socle!$E$1:$E$448,$E130,Socle!$F$1:$F$448,$F130,Socle!$G$1:$G$448,$A130))</f>
        <v>0</v>
      </c>
      <c r="K130">
        <f t="shared" si="0"/>
        <v>960</v>
      </c>
      <c r="L130">
        <f>IF($A130="","",_xlfn.SUMIFS(Allocation!$I$1:$I$175,Allocation!$C$1:$C$175,$A130,Allocation!$D$1:$D$175,$B130))</f>
        <v>111</v>
      </c>
      <c r="M130">
        <f>IF($A130="","",_xlfn.SUMIFS(Allocation!$J$1:$J$175,Allocation!$C$1:$C$175,$A130,Allocation!$D$1:$D$175,$B130))</f>
        <v>6</v>
      </c>
      <c r="N130">
        <f>IF($A130="","",_xlfn.SUMIFS(Allocation!$K$1:$K$175,Allocation!$C$1:$C$175,$A130,Allocation!$D$1:$D$175,$B130))</f>
        <v>741570</v>
      </c>
      <c r="O130">
        <f t="shared" si="1"/>
        <v>2880</v>
      </c>
      <c r="P130">
        <f t="shared" si="2"/>
        <v>76</v>
      </c>
      <c r="Q130">
        <f>IF($A130="","",_xlfn.SUMIFS(Allocation!$I$1:$I$175,Allocation!$C$1:$C$175,$A130,Allocation!$E$1:$E$175,$C130))</f>
        <v>358</v>
      </c>
      <c r="R130">
        <f>IF($A130="","",_xlfn.SUMIFS(Allocation!$J$1:$J$175,Allocation!$C$1:$C$175,$A130,Allocation!$E$1:$E$175,$C130))</f>
        <v>18</v>
      </c>
      <c r="S130">
        <f>IF($A130="","",_xlfn.SUMIFS(Allocation!$K$1:$K$175,Allocation!$C$1:$C$175,$A130,Allocation!$E$1:$E$175,$C130))</f>
        <v>2439370</v>
      </c>
      <c r="T130">
        <f>IF($A130="","",_xlfn.SUMIFS(Allocation!$I$1:$I$175,Allocation!$C$1:$C$175,$A130))</f>
        <v>2860</v>
      </c>
      <c r="U130">
        <f>IF($A130="","",_xlfn.SUMIFS(Allocation!$J$1:$J$175,Allocation!$C$1:$C$175,$A130))</f>
        <v>131</v>
      </c>
      <c r="V130">
        <f>IF($A130="","",_xlfn.SUMIFS(Allocation!$K$1:$K$175,Allocation!$C$1:$C$175,$A130))</f>
        <v>21240140</v>
      </c>
      <c r="W130">
        <f>IF($A130="","",_xlfn.SUMIFS(Compta!$F$1:$F$1448,Compta!$A$1:$A$1448,$B130,Compta!$B$1:$B$1448,"621",Compta!$C$1:$C$1448,$A130))</f>
        <v>69137</v>
      </c>
      <c r="X130">
        <f>IF($A130="","",_xlfn.SUMIFS(Compta!$F$1:$F$1448,Compta!$A$1:$A$1448,$B130,Compta!$B$1:$B$1448,"6411",Compta!$C$1:$C$1448,$A130))</f>
        <v>125510</v>
      </c>
      <c r="Y130">
        <f>IF($A130="","",_xlfn.SUMIFS(Compta!$F$1:$F$1448,Compta!$A$1:$A$1448,$B130,Compta!$B$1:$B$1448,"604",Compta!$C$1:$C$1448,$A130)+_xlfn.SUMIFS(Compta!$F$1:$F$1448,Compta!$A$1:$A$1448,$B130,Compta!$B$1:$B$1448,"6063",Compta!$C$1:$C$1448,$A130))</f>
        <v>41552</v>
      </c>
      <c r="Z130">
        <f>IF($A130="","",_xlfn.SUMIFS(Compta!$F$1:$F$1448,Compta!$A$1:$A$1448,$B130,Compta!$B$1:$B$1448,"6231",Compta!$C$1:$C$1448,$A130))</f>
        <v>13798</v>
      </c>
      <c r="AA130">
        <f>IF($A130="","",_xlfn.SUMIFS(Compta!$F$1:$F$1448,Compta!$A$1:$A$1448,$B130,Compta!$B$1:$B$1448,"6413",Compta!$C$1:$C$1448,$A130)+_xlfn.SUMIFS(Compta!$F$1:$F$1448,Compta!$A$1:$A$1448,$B130,Compta!$B$1:$B$1448,"645",Compta!$C$1:$C$1448,$A130)+_xlfn.SUMIFS(Compta!$F$1:$F$1448,Compta!$A$1:$A$1448,$B130,Compta!$B$1:$B$1448,"613",Compta!$C$1:$C$1448,$A130)+_xlfn.SUMIFS(Compta!$F$1:$F$1448,Compta!$A$1:$A$1448,$B130,Compta!$B$1:$B$1448,"615",Compta!$C$1:$C$1448,$A130)+_xlfn.SUMIFS(Compta!$F$1:$F$1448,Compta!$A$1:$A$1448,$B130,Compta!$B$1:$B$1448,"616",Compta!$C$1:$C$1448,$A130)+_xlfn.SUMIFS(Compta!$F$1:$F$1448,Compta!$A$1:$A$1448,$B130,Compta!$B$1:$B$1448,"625",Compta!$C$1:$C$1448,$A130)+_xlfn.SUMIFS(Compta!$F$1:$F$1448,Compta!$A$1:$A$1448,$B130,Compta!$B$1:$B$1448,"63511",Compta!$C$1:$C$1448,$A130))</f>
        <v>253182</v>
      </c>
      <c r="AB130">
        <f>IF($A130="","",_xlfn.SUMIFS(Compta!$F$1:$F$1448,Compta!$A$1:$A$1448,"GRP",Compta!$B$1:$B$1448,"6414",Compta!$C$1:$C$1448,$A130)+_xlfn.SUMIFS(Compta!$F$1:$F$1448,Compta!$A$1:$A$1448,"GRP",Compta!$B$1:$B$1448,"6226",Compta!$C$1:$C$1448,$A130)+_xlfn.SUMIFS(Compta!$F$1:$F$1448,Compta!$A$1:$A$1448,"GRP",Compta!$B$1:$B$1448,"626",Compta!$C$1:$C$1448,$A130)+_xlfn.SUMIFS(Compta!$F$1:$F$1448,Compta!$A$1:$A$1448,"GRP",Compta!$B$1:$B$1448,"6281",Compta!$C$1:$C$1448,$A130)+_xlfn.SUMIFS(Compta!$F$1:$F$1448,Compta!$A$1:$A$1448,"GRP",Compta!$B$1:$B$1448,"6331",Compta!$C$1:$C$1448,$A130)+_xlfn.SUMIFS(Compta!$F$1:$F$1448,Compta!$A$1:$A$1448,"GRP",Compta!$B$1:$B$1448,"6333",Compta!$C$1:$C$1448,$A130))</f>
        <v>2760232</v>
      </c>
      <c r="AC130" t="s">
        <v>274</v>
      </c>
      <c r="AD130" t="s">
        <v>274</v>
      </c>
      <c r="AE130" t="s">
        <v>274</v>
      </c>
      <c r="AF130" t="s">
        <v>274</v>
      </c>
      <c r="AG130" t="s">
        <v>274</v>
      </c>
      <c r="AH130" t="s">
        <v>274</v>
      </c>
      <c r="AI130">
        <f t="shared" si="3"/>
        <v>23045.6666666667</v>
      </c>
      <c r="AJ130">
        <f t="shared" si="4"/>
        <v>41836.6666666667</v>
      </c>
      <c r="AK130">
        <f t="shared" si="5"/>
        <v>13476.3243243243</v>
      </c>
      <c r="AL130">
        <f t="shared" si="6"/>
        <v>0</v>
      </c>
      <c r="AM130">
        <f t="shared" si="7"/>
        <v>0</v>
      </c>
      <c r="AN130">
        <f t="shared" si="8"/>
        <v>161041.342342342</v>
      </c>
      <c r="AO130">
        <f>IF($A130="","",_xlfn.SUMIFS(Compta!$F$1:$F$1448,Compta!$A$1:$A$1448,"GRP",Compta!$B$1:$B$1448,"6236",Compta!$C$1:$C$1448,$A130))</f>
        <v>580167</v>
      </c>
      <c r="AP130" t="s">
        <v>274</v>
      </c>
      <c r="AQ130" t="s">
        <v>274</v>
      </c>
      <c r="AR130">
        <f t="shared" si="9"/>
        <v>0</v>
      </c>
    </row>
    <row r="131" ht="14.25" customHeight="1">
      <c r="A131" t="str">
        <f>IF(Allocation!C131="","",Allocation!C131)</f>
        <v>2024</v>
      </c>
      <c r="B131" t="str">
        <f>IF(Allocation!D131="","",Allocation!D131)</f>
        <v>IPAC_MTP</v>
      </c>
      <c r="C131" t="str">
        <f>IF(Allocation!E131="","",Allocation!E131)</f>
        <v>IPAC</v>
      </c>
      <c r="D131" t="str">
        <f>IF(Allocation!F131="","",Allocation!F131)</f>
        <v>BAC_CCE</v>
      </c>
      <c r="E131" t="str">
        <f>IF(Allocation!G131="","",Allocation!G131)</f>
        <v>B1</v>
      </c>
      <c r="F131" t="str">
        <f>IF(Allocation!H131="","",Allocation!H131)</f>
        <v>ALT</v>
      </c>
      <c r="G131">
        <f>IF(Allocation!D131="","",Allocation!I131)</f>
        <v>36</v>
      </c>
      <c r="H131">
        <f>IF(Allocation!D131="","",Allocation!J131)</f>
        <v>2</v>
      </c>
      <c r="I131">
        <f>IF(Allocation!D131="","",Allocation!K131)</f>
        <v>242640</v>
      </c>
      <c r="J131">
        <f>IF($A131="","",_xlfn.SUMIFS(Socle!$K$1:$K$448,Socle!$C$1:$C$448,$B131,Socle!$D$1:$D$448,$D131,Socle!$E$1:$E$448,$E131,Socle!$F$1:$F$448,$F131,Socle!$G$1:$G$448,$A131))</f>
        <v>72</v>
      </c>
      <c r="K131">
        <f t="shared" si="0"/>
        <v>960</v>
      </c>
      <c r="L131">
        <f>IF($A131="","",_xlfn.SUMIFS(Allocation!$I$1:$I$175,Allocation!$C$1:$C$175,$A131,Allocation!$D$1:$D$175,$B131))</f>
        <v>105</v>
      </c>
      <c r="M131">
        <f>IF($A131="","",_xlfn.SUMIFS(Allocation!$J$1:$J$175,Allocation!$C$1:$C$175,$A131,Allocation!$D$1:$D$175,$B131))</f>
        <v>6</v>
      </c>
      <c r="N131">
        <f>IF($A131="","",_xlfn.SUMIFS(Allocation!$K$1:$K$175,Allocation!$C$1:$C$175,$A131,Allocation!$D$1:$D$175,$B131))</f>
        <v>701490</v>
      </c>
      <c r="O131">
        <f t="shared" si="1"/>
        <v>2880</v>
      </c>
      <c r="P131">
        <f t="shared" si="2"/>
        <v>72</v>
      </c>
      <c r="Q131">
        <f>IF($A131="","",_xlfn.SUMIFS(Allocation!$I$1:$I$175,Allocation!$C$1:$C$175,$A131,Allocation!$E$1:$E$175,$C131))</f>
        <v>339</v>
      </c>
      <c r="R131">
        <f>IF($A131="","",_xlfn.SUMIFS(Allocation!$J$1:$J$175,Allocation!$C$1:$C$175,$A131,Allocation!$E$1:$E$175,$C131))</f>
        <v>18</v>
      </c>
      <c r="S131">
        <f>IF($A131="","",_xlfn.SUMIFS(Allocation!$K$1:$K$175,Allocation!$C$1:$C$175,$A131,Allocation!$E$1:$E$175,$C131))</f>
        <v>2309940</v>
      </c>
      <c r="T131">
        <f>IF($A131="","",_xlfn.SUMIFS(Allocation!$I$1:$I$175,Allocation!$C$1:$C$175,$A131))</f>
        <v>2704</v>
      </c>
      <c r="U131">
        <f>IF($A131="","",_xlfn.SUMIFS(Allocation!$J$1:$J$175,Allocation!$C$1:$C$175,$A131))</f>
        <v>131</v>
      </c>
      <c r="V131">
        <f>IF($A131="","",_xlfn.SUMIFS(Allocation!$K$1:$K$175,Allocation!$C$1:$C$175,$A131))</f>
        <v>20076860</v>
      </c>
      <c r="W131">
        <f>IF($A131="","",_xlfn.SUMIFS(Compta!$F$1:$F$1448,Compta!$A$1:$A$1448,$B131,Compta!$B$1:$B$1448,"621",Compta!$C$1:$C$1448,$A131))</f>
        <v>66108</v>
      </c>
      <c r="X131">
        <f>IF($A131="","",_xlfn.SUMIFS(Compta!$F$1:$F$1448,Compta!$A$1:$A$1448,$B131,Compta!$B$1:$B$1448,"6411",Compta!$C$1:$C$1448,$A131))</f>
        <v>120011</v>
      </c>
      <c r="Y131">
        <f>IF($A131="","",_xlfn.SUMIFS(Compta!$F$1:$F$1448,Compta!$A$1:$A$1448,$B131,Compta!$B$1:$B$1448,"604",Compta!$C$1:$C$1448,$A131)+_xlfn.SUMIFS(Compta!$F$1:$F$1448,Compta!$A$1:$A$1448,$B131,Compta!$B$1:$B$1448,"6063",Compta!$C$1:$C$1448,$A131))</f>
        <v>39731</v>
      </c>
      <c r="Z131">
        <f>IF($A131="","",_xlfn.SUMIFS(Compta!$F$1:$F$1448,Compta!$A$1:$A$1448,$B131,Compta!$B$1:$B$1448,"6231",Compta!$C$1:$C$1448,$A131))</f>
        <v>12543</v>
      </c>
      <c r="AA131">
        <f>IF($A131="","",_xlfn.SUMIFS(Compta!$F$1:$F$1448,Compta!$A$1:$A$1448,$B131,Compta!$B$1:$B$1448,"6413",Compta!$C$1:$C$1448,$A131)+_xlfn.SUMIFS(Compta!$F$1:$F$1448,Compta!$A$1:$A$1448,$B131,Compta!$B$1:$B$1448,"645",Compta!$C$1:$C$1448,$A131)+_xlfn.SUMIFS(Compta!$F$1:$F$1448,Compta!$A$1:$A$1448,$B131,Compta!$B$1:$B$1448,"613",Compta!$C$1:$C$1448,$A131)+_xlfn.SUMIFS(Compta!$F$1:$F$1448,Compta!$A$1:$A$1448,$B131,Compta!$B$1:$B$1448,"615",Compta!$C$1:$C$1448,$A131)+_xlfn.SUMIFS(Compta!$F$1:$F$1448,Compta!$A$1:$A$1448,$B131,Compta!$B$1:$B$1448,"616",Compta!$C$1:$C$1448,$A131)+_xlfn.SUMIFS(Compta!$F$1:$F$1448,Compta!$A$1:$A$1448,$B131,Compta!$B$1:$B$1448,"625",Compta!$C$1:$C$1448,$A131)+_xlfn.SUMIFS(Compta!$F$1:$F$1448,Compta!$A$1:$A$1448,$B131,Compta!$B$1:$B$1448,"63511",Compta!$C$1:$C$1448,$A131))</f>
        <v>242088</v>
      </c>
      <c r="AB131">
        <f>IF($A131="","",_xlfn.SUMIFS(Compta!$F$1:$F$1448,Compta!$A$1:$A$1448,"GRP",Compta!$B$1:$B$1448,"6414",Compta!$C$1:$C$1448,$A131)+_xlfn.SUMIFS(Compta!$F$1:$F$1448,Compta!$A$1:$A$1448,"GRP",Compta!$B$1:$B$1448,"6226",Compta!$C$1:$C$1448,$A131)+_xlfn.SUMIFS(Compta!$F$1:$F$1448,Compta!$A$1:$A$1448,"GRP",Compta!$B$1:$B$1448,"626",Compta!$C$1:$C$1448,$A131)+_xlfn.SUMIFS(Compta!$F$1:$F$1448,Compta!$A$1:$A$1448,"GRP",Compta!$B$1:$B$1448,"6281",Compta!$C$1:$C$1448,$A131)+_xlfn.SUMIFS(Compta!$F$1:$F$1448,Compta!$A$1:$A$1448,"GRP",Compta!$B$1:$B$1448,"6331",Compta!$C$1:$C$1448,$A131)+_xlfn.SUMIFS(Compta!$F$1:$F$1448,Compta!$A$1:$A$1448,"GRP",Compta!$B$1:$B$1448,"6333",Compta!$C$1:$C$1448,$A131))</f>
        <v>2639292</v>
      </c>
      <c r="AC131" t="s">
        <v>274</v>
      </c>
      <c r="AD131" t="s">
        <v>274</v>
      </c>
      <c r="AE131" t="s">
        <v>274</v>
      </c>
      <c r="AF131" t="s">
        <v>274</v>
      </c>
      <c r="AG131" t="s">
        <v>274</v>
      </c>
      <c r="AH131" t="s">
        <v>274</v>
      </c>
      <c r="AI131">
        <f t="shared" si="3"/>
        <v>22036</v>
      </c>
      <c r="AJ131">
        <f t="shared" si="4"/>
        <v>40003.6666666667</v>
      </c>
      <c r="AK131">
        <f t="shared" si="5"/>
        <v>26165.0571428571</v>
      </c>
      <c r="AL131">
        <f t="shared" si="6"/>
        <v>0</v>
      </c>
      <c r="AM131">
        <f t="shared" si="7"/>
        <v>0</v>
      </c>
      <c r="AN131">
        <f t="shared" si="8"/>
        <v>154435.276190476</v>
      </c>
      <c r="AO131">
        <f>IF($A131="","",_xlfn.SUMIFS(Compta!$F$1:$F$1448,Compta!$A$1:$A$1448,"GRP",Compta!$B$1:$B$1448,"6236",Compta!$C$1:$C$1448,$A131))</f>
        <v>499926</v>
      </c>
      <c r="AP131" t="s">
        <v>274</v>
      </c>
      <c r="AQ131" t="s">
        <v>274</v>
      </c>
      <c r="AR131">
        <f t="shared" si="9"/>
        <v>0</v>
      </c>
    </row>
    <row r="132" ht="14.25" customHeight="1">
      <c r="A132" t="str">
        <f>IF(Allocation!C132="","",Allocation!C132)</f>
        <v>2024</v>
      </c>
      <c r="B132" t="str">
        <f>IF(Allocation!D132="","",Allocation!D132)</f>
        <v>IPAC_MTP</v>
      </c>
      <c r="C132" t="str">
        <f>IF(Allocation!E132="","",Allocation!E132)</f>
        <v>IPAC</v>
      </c>
      <c r="D132" t="str">
        <f>IF(Allocation!F132="","",Allocation!F132)</f>
        <v>BAC_CCE</v>
      </c>
      <c r="E132" t="str">
        <f>IF(Allocation!G132="","",Allocation!G132)</f>
        <v>B2</v>
      </c>
      <c r="F132" t="str">
        <f>IF(Allocation!H132="","",Allocation!H132)</f>
        <v>ALT</v>
      </c>
      <c r="G132">
        <f>IF(Allocation!D132="","",Allocation!I132)</f>
        <v>35</v>
      </c>
      <c r="H132">
        <f>IF(Allocation!D132="","",Allocation!J132)</f>
        <v>2</v>
      </c>
      <c r="I132">
        <f>IF(Allocation!D132="","",Allocation!K132)</f>
        <v>232750</v>
      </c>
      <c r="J132">
        <f>IF($A132="","",_xlfn.SUMIFS(Socle!$K$1:$K$448,Socle!$C$1:$C$448,$B132,Socle!$D$1:$D$448,$D132,Socle!$E$1:$E$448,$E132,Socle!$F$1:$F$448,$F132,Socle!$G$1:$G$448,$A132))</f>
        <v>0</v>
      </c>
      <c r="K132">
        <f t="shared" si="0"/>
        <v>960</v>
      </c>
      <c r="L132">
        <f>IF($A132="","",_xlfn.SUMIFS(Allocation!$I$1:$I$175,Allocation!$C$1:$C$175,$A132,Allocation!$D$1:$D$175,$B132))</f>
        <v>105</v>
      </c>
      <c r="M132">
        <f>IF($A132="","",_xlfn.SUMIFS(Allocation!$J$1:$J$175,Allocation!$C$1:$C$175,$A132,Allocation!$D$1:$D$175,$B132))</f>
        <v>6</v>
      </c>
      <c r="N132">
        <f>IF($A132="","",_xlfn.SUMIFS(Allocation!$K$1:$K$175,Allocation!$C$1:$C$175,$A132,Allocation!$D$1:$D$175,$B132))</f>
        <v>701490</v>
      </c>
      <c r="O132">
        <f t="shared" si="1"/>
        <v>2880</v>
      </c>
      <c r="P132">
        <f t="shared" si="2"/>
        <v>72</v>
      </c>
      <c r="Q132">
        <f>IF($A132="","",_xlfn.SUMIFS(Allocation!$I$1:$I$175,Allocation!$C$1:$C$175,$A132,Allocation!$E$1:$E$175,$C132))</f>
        <v>339</v>
      </c>
      <c r="R132">
        <f>IF($A132="","",_xlfn.SUMIFS(Allocation!$J$1:$J$175,Allocation!$C$1:$C$175,$A132,Allocation!$E$1:$E$175,$C132))</f>
        <v>18</v>
      </c>
      <c r="S132">
        <f>IF($A132="","",_xlfn.SUMIFS(Allocation!$K$1:$K$175,Allocation!$C$1:$C$175,$A132,Allocation!$E$1:$E$175,$C132))</f>
        <v>2309940</v>
      </c>
      <c r="T132">
        <f>IF($A132="","",_xlfn.SUMIFS(Allocation!$I$1:$I$175,Allocation!$C$1:$C$175,$A132))</f>
        <v>2704</v>
      </c>
      <c r="U132">
        <f>IF($A132="","",_xlfn.SUMIFS(Allocation!$J$1:$J$175,Allocation!$C$1:$C$175,$A132))</f>
        <v>131</v>
      </c>
      <c r="V132">
        <f>IF($A132="","",_xlfn.SUMIFS(Allocation!$K$1:$K$175,Allocation!$C$1:$C$175,$A132))</f>
        <v>20076860</v>
      </c>
      <c r="W132">
        <f>IF($A132="","",_xlfn.SUMIFS(Compta!$F$1:$F$1448,Compta!$A$1:$A$1448,$B132,Compta!$B$1:$B$1448,"621",Compta!$C$1:$C$1448,$A132))</f>
        <v>66108</v>
      </c>
      <c r="X132">
        <f>IF($A132="","",_xlfn.SUMIFS(Compta!$F$1:$F$1448,Compta!$A$1:$A$1448,$B132,Compta!$B$1:$B$1448,"6411",Compta!$C$1:$C$1448,$A132))</f>
        <v>120011</v>
      </c>
      <c r="Y132">
        <f>IF($A132="","",_xlfn.SUMIFS(Compta!$F$1:$F$1448,Compta!$A$1:$A$1448,$B132,Compta!$B$1:$B$1448,"604",Compta!$C$1:$C$1448,$A132)+_xlfn.SUMIFS(Compta!$F$1:$F$1448,Compta!$A$1:$A$1448,$B132,Compta!$B$1:$B$1448,"6063",Compta!$C$1:$C$1448,$A132))</f>
        <v>39731</v>
      </c>
      <c r="Z132">
        <f>IF($A132="","",_xlfn.SUMIFS(Compta!$F$1:$F$1448,Compta!$A$1:$A$1448,$B132,Compta!$B$1:$B$1448,"6231",Compta!$C$1:$C$1448,$A132))</f>
        <v>12543</v>
      </c>
      <c r="AA132">
        <f>IF($A132="","",_xlfn.SUMIFS(Compta!$F$1:$F$1448,Compta!$A$1:$A$1448,$B132,Compta!$B$1:$B$1448,"6413",Compta!$C$1:$C$1448,$A132)+_xlfn.SUMIFS(Compta!$F$1:$F$1448,Compta!$A$1:$A$1448,$B132,Compta!$B$1:$B$1448,"645",Compta!$C$1:$C$1448,$A132)+_xlfn.SUMIFS(Compta!$F$1:$F$1448,Compta!$A$1:$A$1448,$B132,Compta!$B$1:$B$1448,"613",Compta!$C$1:$C$1448,$A132)+_xlfn.SUMIFS(Compta!$F$1:$F$1448,Compta!$A$1:$A$1448,$B132,Compta!$B$1:$B$1448,"615",Compta!$C$1:$C$1448,$A132)+_xlfn.SUMIFS(Compta!$F$1:$F$1448,Compta!$A$1:$A$1448,$B132,Compta!$B$1:$B$1448,"616",Compta!$C$1:$C$1448,$A132)+_xlfn.SUMIFS(Compta!$F$1:$F$1448,Compta!$A$1:$A$1448,$B132,Compta!$B$1:$B$1448,"625",Compta!$C$1:$C$1448,$A132)+_xlfn.SUMIFS(Compta!$F$1:$F$1448,Compta!$A$1:$A$1448,$B132,Compta!$B$1:$B$1448,"63511",Compta!$C$1:$C$1448,$A132))</f>
        <v>242088</v>
      </c>
      <c r="AB132">
        <f>IF($A132="","",_xlfn.SUMIFS(Compta!$F$1:$F$1448,Compta!$A$1:$A$1448,"GRP",Compta!$B$1:$B$1448,"6414",Compta!$C$1:$C$1448,$A132)+_xlfn.SUMIFS(Compta!$F$1:$F$1448,Compta!$A$1:$A$1448,"GRP",Compta!$B$1:$B$1448,"6226",Compta!$C$1:$C$1448,$A132)+_xlfn.SUMIFS(Compta!$F$1:$F$1448,Compta!$A$1:$A$1448,"GRP",Compta!$B$1:$B$1448,"626",Compta!$C$1:$C$1448,$A132)+_xlfn.SUMIFS(Compta!$F$1:$F$1448,Compta!$A$1:$A$1448,"GRP",Compta!$B$1:$B$1448,"6281",Compta!$C$1:$C$1448,$A132)+_xlfn.SUMIFS(Compta!$F$1:$F$1448,Compta!$A$1:$A$1448,"GRP",Compta!$B$1:$B$1448,"6331",Compta!$C$1:$C$1448,$A132)+_xlfn.SUMIFS(Compta!$F$1:$F$1448,Compta!$A$1:$A$1448,"GRP",Compta!$B$1:$B$1448,"6333",Compta!$C$1:$C$1448,$A132))</f>
        <v>2639292</v>
      </c>
      <c r="AC132" t="s">
        <v>274</v>
      </c>
      <c r="AD132" t="s">
        <v>274</v>
      </c>
      <c r="AE132" t="s">
        <v>274</v>
      </c>
      <c r="AF132" t="s">
        <v>274</v>
      </c>
      <c r="AG132" t="s">
        <v>274</v>
      </c>
      <c r="AH132" t="s">
        <v>274</v>
      </c>
      <c r="AI132">
        <f t="shared" si="3"/>
        <v>22036</v>
      </c>
      <c r="AJ132">
        <f t="shared" si="4"/>
        <v>40003.6666666667</v>
      </c>
      <c r="AK132">
        <f t="shared" si="5"/>
        <v>13243.6666666667</v>
      </c>
      <c r="AL132">
        <f t="shared" si="6"/>
        <v>0</v>
      </c>
      <c r="AM132">
        <f t="shared" si="7"/>
        <v>0</v>
      </c>
      <c r="AN132">
        <f t="shared" si="8"/>
        <v>157466.666666667</v>
      </c>
      <c r="AO132">
        <f>IF($A132="","",_xlfn.SUMIFS(Compta!$F$1:$F$1448,Compta!$A$1:$A$1448,"GRP",Compta!$B$1:$B$1448,"6236",Compta!$C$1:$C$1448,$A132))</f>
        <v>499926</v>
      </c>
      <c r="AP132" t="s">
        <v>274</v>
      </c>
      <c r="AQ132" t="s">
        <v>274</v>
      </c>
      <c r="AR132">
        <f t="shared" si="9"/>
        <v>0</v>
      </c>
    </row>
    <row r="133" ht="14.25" customHeight="1">
      <c r="A133" t="str">
        <f>IF(Allocation!C133="","",Allocation!C133)</f>
        <v>2024</v>
      </c>
      <c r="B133" t="str">
        <f>IF(Allocation!D133="","",Allocation!D133)</f>
        <v>IPAC_MTP</v>
      </c>
      <c r="C133" t="str">
        <f>IF(Allocation!E133="","",Allocation!E133)</f>
        <v>IPAC</v>
      </c>
      <c r="D133" t="str">
        <f>IF(Allocation!F133="","",Allocation!F133)</f>
        <v>BAC_CCE</v>
      </c>
      <c r="E133" t="str">
        <f>IF(Allocation!G133="","",Allocation!G133)</f>
        <v>B3</v>
      </c>
      <c r="F133" t="str">
        <f>IF(Allocation!H133="","",Allocation!H133)</f>
        <v>ALT</v>
      </c>
      <c r="G133">
        <f>IF(Allocation!D133="","",Allocation!I133)</f>
        <v>34</v>
      </c>
      <c r="H133">
        <f>IF(Allocation!D133="","",Allocation!J133)</f>
        <v>2</v>
      </c>
      <c r="I133">
        <f>IF(Allocation!D133="","",Allocation!K133)</f>
        <v>226100</v>
      </c>
      <c r="J133">
        <f>IF($A133="","",_xlfn.SUMIFS(Socle!$K$1:$K$448,Socle!$C$1:$C$448,$B133,Socle!$D$1:$D$448,$D133,Socle!$E$1:$E$448,$E133,Socle!$F$1:$F$448,$F133,Socle!$G$1:$G$448,$A133))</f>
        <v>0</v>
      </c>
      <c r="K133">
        <f t="shared" si="0"/>
        <v>960</v>
      </c>
      <c r="L133">
        <f>IF($A133="","",_xlfn.SUMIFS(Allocation!$I$1:$I$175,Allocation!$C$1:$C$175,$A133,Allocation!$D$1:$D$175,$B133))</f>
        <v>105</v>
      </c>
      <c r="M133">
        <f>IF($A133="","",_xlfn.SUMIFS(Allocation!$J$1:$J$175,Allocation!$C$1:$C$175,$A133,Allocation!$D$1:$D$175,$B133))</f>
        <v>6</v>
      </c>
      <c r="N133">
        <f>IF($A133="","",_xlfn.SUMIFS(Allocation!$K$1:$K$175,Allocation!$C$1:$C$175,$A133,Allocation!$D$1:$D$175,$B133))</f>
        <v>701490</v>
      </c>
      <c r="O133">
        <f t="shared" si="1"/>
        <v>2880</v>
      </c>
      <c r="P133">
        <f t="shared" si="2"/>
        <v>72</v>
      </c>
      <c r="Q133">
        <f>IF($A133="","",_xlfn.SUMIFS(Allocation!$I$1:$I$175,Allocation!$C$1:$C$175,$A133,Allocation!$E$1:$E$175,$C133))</f>
        <v>339</v>
      </c>
      <c r="R133">
        <f>IF($A133="","",_xlfn.SUMIFS(Allocation!$J$1:$J$175,Allocation!$C$1:$C$175,$A133,Allocation!$E$1:$E$175,$C133))</f>
        <v>18</v>
      </c>
      <c r="S133">
        <f>IF($A133="","",_xlfn.SUMIFS(Allocation!$K$1:$K$175,Allocation!$C$1:$C$175,$A133,Allocation!$E$1:$E$175,$C133))</f>
        <v>2309940</v>
      </c>
      <c r="T133">
        <f>IF($A133="","",_xlfn.SUMIFS(Allocation!$I$1:$I$175,Allocation!$C$1:$C$175,$A133))</f>
        <v>2704</v>
      </c>
      <c r="U133">
        <f>IF($A133="","",_xlfn.SUMIFS(Allocation!$J$1:$J$175,Allocation!$C$1:$C$175,$A133))</f>
        <v>131</v>
      </c>
      <c r="V133">
        <f>IF($A133="","",_xlfn.SUMIFS(Allocation!$K$1:$K$175,Allocation!$C$1:$C$175,$A133))</f>
        <v>20076860</v>
      </c>
      <c r="W133">
        <f>IF($A133="","",_xlfn.SUMIFS(Compta!$F$1:$F$1448,Compta!$A$1:$A$1448,$B133,Compta!$B$1:$B$1448,"621",Compta!$C$1:$C$1448,$A133))</f>
        <v>66108</v>
      </c>
      <c r="X133">
        <f>IF($A133="","",_xlfn.SUMIFS(Compta!$F$1:$F$1448,Compta!$A$1:$A$1448,$B133,Compta!$B$1:$B$1448,"6411",Compta!$C$1:$C$1448,$A133))</f>
        <v>120011</v>
      </c>
      <c r="Y133">
        <f>IF($A133="","",_xlfn.SUMIFS(Compta!$F$1:$F$1448,Compta!$A$1:$A$1448,$B133,Compta!$B$1:$B$1448,"604",Compta!$C$1:$C$1448,$A133)+_xlfn.SUMIFS(Compta!$F$1:$F$1448,Compta!$A$1:$A$1448,$B133,Compta!$B$1:$B$1448,"6063",Compta!$C$1:$C$1448,$A133))</f>
        <v>39731</v>
      </c>
      <c r="Z133">
        <f>IF($A133="","",_xlfn.SUMIFS(Compta!$F$1:$F$1448,Compta!$A$1:$A$1448,$B133,Compta!$B$1:$B$1448,"6231",Compta!$C$1:$C$1448,$A133))</f>
        <v>12543</v>
      </c>
      <c r="AA133">
        <f>IF($A133="","",_xlfn.SUMIFS(Compta!$F$1:$F$1448,Compta!$A$1:$A$1448,$B133,Compta!$B$1:$B$1448,"6413",Compta!$C$1:$C$1448,$A133)+_xlfn.SUMIFS(Compta!$F$1:$F$1448,Compta!$A$1:$A$1448,$B133,Compta!$B$1:$B$1448,"645",Compta!$C$1:$C$1448,$A133)+_xlfn.SUMIFS(Compta!$F$1:$F$1448,Compta!$A$1:$A$1448,$B133,Compta!$B$1:$B$1448,"613",Compta!$C$1:$C$1448,$A133)+_xlfn.SUMIFS(Compta!$F$1:$F$1448,Compta!$A$1:$A$1448,$B133,Compta!$B$1:$B$1448,"615",Compta!$C$1:$C$1448,$A133)+_xlfn.SUMIFS(Compta!$F$1:$F$1448,Compta!$A$1:$A$1448,$B133,Compta!$B$1:$B$1448,"616",Compta!$C$1:$C$1448,$A133)+_xlfn.SUMIFS(Compta!$F$1:$F$1448,Compta!$A$1:$A$1448,$B133,Compta!$B$1:$B$1448,"625",Compta!$C$1:$C$1448,$A133)+_xlfn.SUMIFS(Compta!$F$1:$F$1448,Compta!$A$1:$A$1448,$B133,Compta!$B$1:$B$1448,"63511",Compta!$C$1:$C$1448,$A133))</f>
        <v>242088</v>
      </c>
      <c r="AB133">
        <f>IF($A133="","",_xlfn.SUMIFS(Compta!$F$1:$F$1448,Compta!$A$1:$A$1448,"GRP",Compta!$B$1:$B$1448,"6414",Compta!$C$1:$C$1448,$A133)+_xlfn.SUMIFS(Compta!$F$1:$F$1448,Compta!$A$1:$A$1448,"GRP",Compta!$B$1:$B$1448,"6226",Compta!$C$1:$C$1448,$A133)+_xlfn.SUMIFS(Compta!$F$1:$F$1448,Compta!$A$1:$A$1448,"GRP",Compta!$B$1:$B$1448,"626",Compta!$C$1:$C$1448,$A133)+_xlfn.SUMIFS(Compta!$F$1:$F$1448,Compta!$A$1:$A$1448,"GRP",Compta!$B$1:$B$1448,"6281",Compta!$C$1:$C$1448,$A133)+_xlfn.SUMIFS(Compta!$F$1:$F$1448,Compta!$A$1:$A$1448,"GRP",Compta!$B$1:$B$1448,"6331",Compta!$C$1:$C$1448,$A133)+_xlfn.SUMIFS(Compta!$F$1:$F$1448,Compta!$A$1:$A$1448,"GRP",Compta!$B$1:$B$1448,"6333",Compta!$C$1:$C$1448,$A133))</f>
        <v>2639292</v>
      </c>
      <c r="AC133" t="s">
        <v>274</v>
      </c>
      <c r="AD133" t="s">
        <v>274</v>
      </c>
      <c r="AE133" t="s">
        <v>274</v>
      </c>
      <c r="AF133" t="s">
        <v>274</v>
      </c>
      <c r="AG133" t="s">
        <v>274</v>
      </c>
      <c r="AH133" t="s">
        <v>274</v>
      </c>
      <c r="AI133">
        <f t="shared" si="3"/>
        <v>22036</v>
      </c>
      <c r="AJ133">
        <f t="shared" si="4"/>
        <v>40003.6666666667</v>
      </c>
      <c r="AK133">
        <f t="shared" si="5"/>
        <v>12865.2761904762</v>
      </c>
      <c r="AL133">
        <f t="shared" si="6"/>
        <v>0</v>
      </c>
      <c r="AM133">
        <f t="shared" si="7"/>
        <v>0</v>
      </c>
      <c r="AN133">
        <f t="shared" si="8"/>
        <v>151195.057142857</v>
      </c>
      <c r="AO133">
        <f>IF($A133="","",_xlfn.SUMIFS(Compta!$F$1:$F$1448,Compta!$A$1:$A$1448,"GRP",Compta!$B$1:$B$1448,"6236",Compta!$C$1:$C$1448,$A133))</f>
        <v>499926</v>
      </c>
      <c r="AP133" t="s">
        <v>274</v>
      </c>
      <c r="AQ133" t="s">
        <v>274</v>
      </c>
      <c r="AR133">
        <f t="shared" si="9"/>
        <v>0</v>
      </c>
    </row>
    <row r="134" ht="14.25" customHeight="1">
      <c r="A134" t="str">
        <f>IF(Allocation!C134="","",Allocation!C134)</f>
        <v>2026</v>
      </c>
      <c r="B134" t="str">
        <f>IF(Allocation!D134="","",Allocation!D134)</f>
        <v>PIGIER_LYO</v>
      </c>
      <c r="C134" t="str">
        <f>IF(Allocation!E134="","",Allocation!E134)</f>
        <v>PIGIER</v>
      </c>
      <c r="D134" t="str">
        <f>IF(Allocation!F134="","",Allocation!F134)</f>
        <v>BTS_GES</v>
      </c>
      <c r="E134" t="str">
        <f>IF(Allocation!G134="","",Allocation!G134)</f>
        <v>BTS1</v>
      </c>
      <c r="F134" t="str">
        <f>IF(Allocation!H134="","",Allocation!H134)</f>
        <v>ALT</v>
      </c>
      <c r="G134">
        <f>IF(Allocation!D134="","",Allocation!I134)</f>
        <v>46</v>
      </c>
      <c r="H134">
        <f>IF(Allocation!D134="","",Allocation!J134)</f>
        <v>2</v>
      </c>
      <c r="I134">
        <f>IF(Allocation!D134="","",Allocation!K134)</f>
        <v>293940</v>
      </c>
      <c r="J134">
        <f>IF($A134="","",_xlfn.SUMIFS(Socle!$K$1:$K$448,Socle!$C$1:$C$448,$B134,Socle!$D$1:$D$448,$D134,Socle!$E$1:$E$448,$E134,Socle!$F$1:$F$448,$F134,Socle!$G$1:$G$448,$A134))</f>
        <v>92</v>
      </c>
      <c r="K134">
        <f t="shared" si="0"/>
        <v>1400</v>
      </c>
      <c r="L134">
        <f>IF($A134="","",_xlfn.SUMIFS(Allocation!$I$1:$I$175,Allocation!$C$1:$C$175,$A134,Allocation!$D$1:$D$175,$B134))</f>
        <v>182</v>
      </c>
      <c r="M134">
        <f>IF($A134="","",_xlfn.SUMIFS(Allocation!$J$1:$J$175,Allocation!$C$1:$C$175,$A134,Allocation!$D$1:$D$175,$B134))</f>
        <v>8</v>
      </c>
      <c r="N134">
        <f>IF($A134="","",_xlfn.SUMIFS(Allocation!$K$1:$K$175,Allocation!$C$1:$C$175,$A134,Allocation!$D$1:$D$175,$B134))</f>
        <v>1250430</v>
      </c>
      <c r="O134">
        <f t="shared" si="1"/>
        <v>4720</v>
      </c>
      <c r="P134">
        <f t="shared" si="2"/>
        <v>184</v>
      </c>
      <c r="Q134">
        <f>IF($A134="","",_xlfn.SUMIFS(Allocation!$I$1:$I$175,Allocation!$C$1:$C$175,$A134,Allocation!$E$1:$E$175,$C134))</f>
        <v>324</v>
      </c>
      <c r="R134">
        <f>IF($A134="","",_xlfn.SUMIFS(Allocation!$J$1:$J$175,Allocation!$C$1:$C$175,$A134,Allocation!$E$1:$E$175,$C134))</f>
        <v>16</v>
      </c>
      <c r="S134">
        <f>IF($A134="","",_xlfn.SUMIFS(Allocation!$K$1:$K$175,Allocation!$C$1:$C$175,$A134,Allocation!$E$1:$E$175,$C134))</f>
        <v>2152220</v>
      </c>
      <c r="T134">
        <f>IF($A134="","",_xlfn.SUMIFS(Allocation!$I$1:$I$175,Allocation!$C$1:$C$175,$A134))</f>
        <v>3036</v>
      </c>
      <c r="U134">
        <f>IF($A134="","",_xlfn.SUMIFS(Allocation!$J$1:$J$175,Allocation!$C$1:$C$175,$A134))</f>
        <v>131</v>
      </c>
      <c r="V134">
        <f>IF($A134="","",_xlfn.SUMIFS(Allocation!$K$1:$K$175,Allocation!$C$1:$C$175,$A134))</f>
        <v>22544725</v>
      </c>
      <c r="W134">
        <f>IF($A134="","",_xlfn.SUMIFS(Compta!$F$1:$F$1448,Compta!$A$1:$A$1448,$B134,Compta!$B$1:$B$1448,"621",Compta!$C$1:$C$1448,$A134))</f>
        <v>96583</v>
      </c>
      <c r="X134">
        <f>IF($A134="","",_xlfn.SUMIFS(Compta!$F$1:$F$1448,Compta!$A$1:$A$1448,$B134,Compta!$B$1:$B$1448,"6411",Compta!$C$1:$C$1448,$A134))</f>
        <v>223153</v>
      </c>
      <c r="Y134">
        <f>IF($A134="","",_xlfn.SUMIFS(Compta!$F$1:$F$1448,Compta!$A$1:$A$1448,$B134,Compta!$B$1:$B$1448,"604",Compta!$C$1:$C$1448,$A134)+_xlfn.SUMIFS(Compta!$F$1:$F$1448,Compta!$A$1:$A$1448,$B134,Compta!$B$1:$B$1448,"6063",Compta!$C$1:$C$1448,$A134))</f>
        <v>67722</v>
      </c>
      <c r="Z134">
        <f>IF($A134="","",_xlfn.SUMIFS(Compta!$F$1:$F$1448,Compta!$A$1:$A$1448,$B134,Compta!$B$1:$B$1448,"6231",Compta!$C$1:$C$1448,$A134))</f>
        <v>36612</v>
      </c>
      <c r="AA134">
        <f>IF($A134="","",_xlfn.SUMIFS(Compta!$F$1:$F$1448,Compta!$A$1:$A$1448,$B134,Compta!$B$1:$B$1448,"6413",Compta!$C$1:$C$1448,$A134)+_xlfn.SUMIFS(Compta!$F$1:$F$1448,Compta!$A$1:$A$1448,$B134,Compta!$B$1:$B$1448,"645",Compta!$C$1:$C$1448,$A134)+_xlfn.SUMIFS(Compta!$F$1:$F$1448,Compta!$A$1:$A$1448,$B134,Compta!$B$1:$B$1448,"613",Compta!$C$1:$C$1448,$A134)+_xlfn.SUMIFS(Compta!$F$1:$F$1448,Compta!$A$1:$A$1448,$B134,Compta!$B$1:$B$1448,"615",Compta!$C$1:$C$1448,$A134)+_xlfn.SUMIFS(Compta!$F$1:$F$1448,Compta!$A$1:$A$1448,$B134,Compta!$B$1:$B$1448,"616",Compta!$C$1:$C$1448,$A134)+_xlfn.SUMIFS(Compta!$F$1:$F$1448,Compta!$A$1:$A$1448,$B134,Compta!$B$1:$B$1448,"625",Compta!$C$1:$C$1448,$A134)+_xlfn.SUMIFS(Compta!$F$1:$F$1448,Compta!$A$1:$A$1448,$B134,Compta!$B$1:$B$1448,"63511",Compta!$C$1:$C$1448,$A134))</f>
        <v>496734</v>
      </c>
      <c r="AB134">
        <f>IF($A134="","",_xlfn.SUMIFS(Compta!$F$1:$F$1448,Compta!$A$1:$A$1448,"GRP",Compta!$B$1:$B$1448,"6414",Compta!$C$1:$C$1448,$A134)+_xlfn.SUMIFS(Compta!$F$1:$F$1448,Compta!$A$1:$A$1448,"GRP",Compta!$B$1:$B$1448,"6226",Compta!$C$1:$C$1448,$A134)+_xlfn.SUMIFS(Compta!$F$1:$F$1448,Compta!$A$1:$A$1448,"GRP",Compta!$B$1:$B$1448,"626",Compta!$C$1:$C$1448,$A134)+_xlfn.SUMIFS(Compta!$F$1:$F$1448,Compta!$A$1:$A$1448,"GRP",Compta!$B$1:$B$1448,"6281",Compta!$C$1:$C$1448,$A134)+_xlfn.SUMIFS(Compta!$F$1:$F$1448,Compta!$A$1:$A$1448,"GRP",Compta!$B$1:$B$1448,"6331",Compta!$C$1:$C$1448,$A134)+_xlfn.SUMIFS(Compta!$F$1:$F$1448,Compta!$A$1:$A$1448,"GRP",Compta!$B$1:$B$1448,"6333",Compta!$C$1:$C$1448,$A134))</f>
        <v>2891983</v>
      </c>
      <c r="AC134" t="s">
        <v>274</v>
      </c>
      <c r="AD134" t="s">
        <v>274</v>
      </c>
      <c r="AE134" t="s">
        <v>274</v>
      </c>
      <c r="AF134" t="s">
        <v>274</v>
      </c>
      <c r="AG134" t="s">
        <v>274</v>
      </c>
      <c r="AH134" t="s">
        <v>274</v>
      </c>
      <c r="AI134">
        <f t="shared" si="3"/>
        <v>28647.5</v>
      </c>
      <c r="AJ134">
        <f t="shared" si="4"/>
        <v>66189.4491525424</v>
      </c>
      <c r="AK134">
        <f t="shared" si="5"/>
        <v>35422.5494505494</v>
      </c>
      <c r="AL134">
        <f t="shared" si="6"/>
        <v>0</v>
      </c>
      <c r="AM134">
        <f t="shared" si="7"/>
        <v>0</v>
      </c>
      <c r="AN134">
        <f t="shared" si="8"/>
        <v>163680.501396908</v>
      </c>
      <c r="AO134">
        <f>IF($A134="","",_xlfn.SUMIFS(Compta!$F$1:$F$1448,Compta!$A$1:$A$1448,"GRP",Compta!$B$1:$B$1448,"6236",Compta!$C$1:$C$1448,$A134))</f>
        <v>676344</v>
      </c>
      <c r="AP134" t="s">
        <v>274</v>
      </c>
      <c r="AQ134" t="s">
        <v>274</v>
      </c>
      <c r="AR134">
        <f t="shared" si="9"/>
        <v>0</v>
      </c>
    </row>
    <row r="135" ht="14.25" customHeight="1">
      <c r="A135" t="str">
        <f>IF(Allocation!C135="","",Allocation!C135)</f>
        <v>2026</v>
      </c>
      <c r="B135" t="str">
        <f>IF(Allocation!D135="","",Allocation!D135)</f>
        <v>PIGIER_LYO</v>
      </c>
      <c r="C135" t="str">
        <f>IF(Allocation!E135="","",Allocation!E135)</f>
        <v>PIGIER</v>
      </c>
      <c r="D135" t="str">
        <f>IF(Allocation!F135="","",Allocation!F135)</f>
        <v>BTS_GES</v>
      </c>
      <c r="E135" t="str">
        <f>IF(Allocation!G135="","",Allocation!G135)</f>
        <v>BTS2</v>
      </c>
      <c r="F135" t="str">
        <f>IF(Allocation!H135="","",Allocation!H135)</f>
        <v>ALT</v>
      </c>
      <c r="G135">
        <f>IF(Allocation!D135="","",Allocation!I135)</f>
        <v>45</v>
      </c>
      <c r="H135">
        <f>IF(Allocation!D135="","",Allocation!J135)</f>
        <v>2</v>
      </c>
      <c r="I135">
        <f>IF(Allocation!D135="","",Allocation!K135)</f>
        <v>283500</v>
      </c>
      <c r="J135">
        <f>IF($A135="","",_xlfn.SUMIFS(Socle!$K$1:$K$448,Socle!$C$1:$C$448,$B135,Socle!$D$1:$D$448,$D135,Socle!$E$1:$E$448,$E135,Socle!$F$1:$F$448,$F135,Socle!$G$1:$G$448,$A135))</f>
        <v>0</v>
      </c>
      <c r="K135">
        <f t="shared" si="0"/>
        <v>1400</v>
      </c>
      <c r="L135">
        <f>IF($A135="","",_xlfn.SUMIFS(Allocation!$I$1:$I$175,Allocation!$C$1:$C$175,$A135,Allocation!$D$1:$D$175,$B135))</f>
        <v>182</v>
      </c>
      <c r="M135">
        <f>IF($A135="","",_xlfn.SUMIFS(Allocation!$J$1:$J$175,Allocation!$C$1:$C$175,$A135,Allocation!$D$1:$D$175,$B135))</f>
        <v>8</v>
      </c>
      <c r="N135">
        <f>IF($A135="","",_xlfn.SUMIFS(Allocation!$K$1:$K$175,Allocation!$C$1:$C$175,$A135,Allocation!$D$1:$D$175,$B135))</f>
        <v>1250430</v>
      </c>
      <c r="O135">
        <f t="shared" si="1"/>
        <v>4720</v>
      </c>
      <c r="P135">
        <f t="shared" si="2"/>
        <v>184</v>
      </c>
      <c r="Q135">
        <f>IF($A135="","",_xlfn.SUMIFS(Allocation!$I$1:$I$175,Allocation!$C$1:$C$175,$A135,Allocation!$E$1:$E$175,$C135))</f>
        <v>324</v>
      </c>
      <c r="R135">
        <f>IF($A135="","",_xlfn.SUMIFS(Allocation!$J$1:$J$175,Allocation!$C$1:$C$175,$A135,Allocation!$E$1:$E$175,$C135))</f>
        <v>16</v>
      </c>
      <c r="S135">
        <f>IF($A135="","",_xlfn.SUMIFS(Allocation!$K$1:$K$175,Allocation!$C$1:$C$175,$A135,Allocation!$E$1:$E$175,$C135))</f>
        <v>2152220</v>
      </c>
      <c r="T135">
        <f>IF($A135="","",_xlfn.SUMIFS(Allocation!$I$1:$I$175,Allocation!$C$1:$C$175,$A135))</f>
        <v>3036</v>
      </c>
      <c r="U135">
        <f>IF($A135="","",_xlfn.SUMIFS(Allocation!$J$1:$J$175,Allocation!$C$1:$C$175,$A135))</f>
        <v>131</v>
      </c>
      <c r="V135">
        <f>IF($A135="","",_xlfn.SUMIFS(Allocation!$K$1:$K$175,Allocation!$C$1:$C$175,$A135))</f>
        <v>22544725</v>
      </c>
      <c r="W135">
        <f>IF($A135="","",_xlfn.SUMIFS(Compta!$F$1:$F$1448,Compta!$A$1:$A$1448,$B135,Compta!$B$1:$B$1448,"621",Compta!$C$1:$C$1448,$A135))</f>
        <v>96583</v>
      </c>
      <c r="X135">
        <f>IF($A135="","",_xlfn.SUMIFS(Compta!$F$1:$F$1448,Compta!$A$1:$A$1448,$B135,Compta!$B$1:$B$1448,"6411",Compta!$C$1:$C$1448,$A135))</f>
        <v>223153</v>
      </c>
      <c r="Y135">
        <f>IF($A135="","",_xlfn.SUMIFS(Compta!$F$1:$F$1448,Compta!$A$1:$A$1448,$B135,Compta!$B$1:$B$1448,"604",Compta!$C$1:$C$1448,$A135)+_xlfn.SUMIFS(Compta!$F$1:$F$1448,Compta!$A$1:$A$1448,$B135,Compta!$B$1:$B$1448,"6063",Compta!$C$1:$C$1448,$A135))</f>
        <v>67722</v>
      </c>
      <c r="Z135">
        <f>IF($A135="","",_xlfn.SUMIFS(Compta!$F$1:$F$1448,Compta!$A$1:$A$1448,$B135,Compta!$B$1:$B$1448,"6231",Compta!$C$1:$C$1448,$A135))</f>
        <v>36612</v>
      </c>
      <c r="AA135">
        <f>IF($A135="","",_xlfn.SUMIFS(Compta!$F$1:$F$1448,Compta!$A$1:$A$1448,$B135,Compta!$B$1:$B$1448,"6413",Compta!$C$1:$C$1448,$A135)+_xlfn.SUMIFS(Compta!$F$1:$F$1448,Compta!$A$1:$A$1448,$B135,Compta!$B$1:$B$1448,"645",Compta!$C$1:$C$1448,$A135)+_xlfn.SUMIFS(Compta!$F$1:$F$1448,Compta!$A$1:$A$1448,$B135,Compta!$B$1:$B$1448,"613",Compta!$C$1:$C$1448,$A135)+_xlfn.SUMIFS(Compta!$F$1:$F$1448,Compta!$A$1:$A$1448,$B135,Compta!$B$1:$B$1448,"615",Compta!$C$1:$C$1448,$A135)+_xlfn.SUMIFS(Compta!$F$1:$F$1448,Compta!$A$1:$A$1448,$B135,Compta!$B$1:$B$1448,"616",Compta!$C$1:$C$1448,$A135)+_xlfn.SUMIFS(Compta!$F$1:$F$1448,Compta!$A$1:$A$1448,$B135,Compta!$B$1:$B$1448,"625",Compta!$C$1:$C$1448,$A135)+_xlfn.SUMIFS(Compta!$F$1:$F$1448,Compta!$A$1:$A$1448,$B135,Compta!$B$1:$B$1448,"63511",Compta!$C$1:$C$1448,$A135))</f>
        <v>496734</v>
      </c>
      <c r="AB135">
        <f>IF($A135="","",_xlfn.SUMIFS(Compta!$F$1:$F$1448,Compta!$A$1:$A$1448,"GRP",Compta!$B$1:$B$1448,"6414",Compta!$C$1:$C$1448,$A135)+_xlfn.SUMIFS(Compta!$F$1:$F$1448,Compta!$A$1:$A$1448,"GRP",Compta!$B$1:$B$1448,"6226",Compta!$C$1:$C$1448,$A135)+_xlfn.SUMIFS(Compta!$F$1:$F$1448,Compta!$A$1:$A$1448,"GRP",Compta!$B$1:$B$1448,"626",Compta!$C$1:$C$1448,$A135)+_xlfn.SUMIFS(Compta!$F$1:$F$1448,Compta!$A$1:$A$1448,"GRP",Compta!$B$1:$B$1448,"6281",Compta!$C$1:$C$1448,$A135)+_xlfn.SUMIFS(Compta!$F$1:$F$1448,Compta!$A$1:$A$1448,"GRP",Compta!$B$1:$B$1448,"6331",Compta!$C$1:$C$1448,$A135)+_xlfn.SUMIFS(Compta!$F$1:$F$1448,Compta!$A$1:$A$1448,"GRP",Compta!$B$1:$B$1448,"6333",Compta!$C$1:$C$1448,$A135))</f>
        <v>2891983</v>
      </c>
      <c r="AC135" t="s">
        <v>274</v>
      </c>
      <c r="AD135" t="s">
        <v>274</v>
      </c>
      <c r="AE135" t="s">
        <v>274</v>
      </c>
      <c r="AF135" t="s">
        <v>274</v>
      </c>
      <c r="AG135" t="s">
        <v>274</v>
      </c>
      <c r="AH135" t="s">
        <v>274</v>
      </c>
      <c r="AI135">
        <f t="shared" si="3"/>
        <v>28647.5</v>
      </c>
      <c r="AJ135">
        <f t="shared" si="4"/>
        <v>66189.4491525424</v>
      </c>
      <c r="AK135">
        <f t="shared" si="5"/>
        <v>16744.4505494506</v>
      </c>
      <c r="AL135">
        <f t="shared" si="6"/>
        <v>0</v>
      </c>
      <c r="AM135">
        <f t="shared" si="7"/>
        <v>0</v>
      </c>
      <c r="AN135">
        <f t="shared" si="8"/>
        <v>171918.600298007</v>
      </c>
      <c r="AO135">
        <f>IF($A135="","",_xlfn.SUMIFS(Compta!$F$1:$F$1448,Compta!$A$1:$A$1448,"GRP",Compta!$B$1:$B$1448,"6236",Compta!$C$1:$C$1448,$A135))</f>
        <v>676344</v>
      </c>
      <c r="AP135" t="s">
        <v>274</v>
      </c>
      <c r="AQ135" t="s">
        <v>274</v>
      </c>
      <c r="AR135">
        <f t="shared" si="9"/>
        <v>0</v>
      </c>
    </row>
    <row r="136" ht="14.25" customHeight="1">
      <c r="A136" t="str">
        <f>IF(Allocation!C136="","",Allocation!C136)</f>
        <v>2026</v>
      </c>
      <c r="B136" t="str">
        <f>IF(Allocation!D136="","",Allocation!D136)</f>
        <v>PIGIER_LYO</v>
      </c>
      <c r="C136" t="str">
        <f>IF(Allocation!E136="","",Allocation!E136)</f>
        <v>PIGIER</v>
      </c>
      <c r="D136" t="str">
        <f>IF(Allocation!F136="","",Allocation!F136)</f>
        <v>BAC_RH</v>
      </c>
      <c r="E136" t="str">
        <f>IF(Allocation!G136="","",Allocation!G136)</f>
        <v>B1</v>
      </c>
      <c r="F136" t="str">
        <f>IF(Allocation!H136="","",Allocation!H136)</f>
        <v>ALT</v>
      </c>
      <c r="G136">
        <f>IF(Allocation!D136="","",Allocation!I136)</f>
        <v>46</v>
      </c>
      <c r="H136">
        <f>IF(Allocation!D136="","",Allocation!J136)</f>
        <v>2</v>
      </c>
      <c r="I136">
        <f>IF(Allocation!D136="","",Allocation!K136)</f>
        <v>342240</v>
      </c>
      <c r="J136">
        <f>IF($A136="","",_xlfn.SUMIFS(Socle!$K$1:$K$448,Socle!$C$1:$C$448,$B136,Socle!$D$1:$D$448,$D136,Socle!$E$1:$E$448,$E136,Socle!$F$1:$F$448,$F136,Socle!$G$1:$G$448,$A136))</f>
        <v>92</v>
      </c>
      <c r="K136">
        <f t="shared" si="0"/>
        <v>960</v>
      </c>
      <c r="L136">
        <f>IF($A136="","",_xlfn.SUMIFS(Allocation!$I$1:$I$175,Allocation!$C$1:$C$175,$A136,Allocation!$D$1:$D$175,$B136))</f>
        <v>182</v>
      </c>
      <c r="M136">
        <f>IF($A136="","",_xlfn.SUMIFS(Allocation!$J$1:$J$175,Allocation!$C$1:$C$175,$A136,Allocation!$D$1:$D$175,$B136))</f>
        <v>8</v>
      </c>
      <c r="N136">
        <f>IF($A136="","",_xlfn.SUMIFS(Allocation!$K$1:$K$175,Allocation!$C$1:$C$175,$A136,Allocation!$D$1:$D$175,$B136))</f>
        <v>1250430</v>
      </c>
      <c r="O136">
        <f t="shared" si="1"/>
        <v>4720</v>
      </c>
      <c r="P136">
        <f t="shared" si="2"/>
        <v>184</v>
      </c>
      <c r="Q136">
        <f>IF($A136="","",_xlfn.SUMIFS(Allocation!$I$1:$I$175,Allocation!$C$1:$C$175,$A136,Allocation!$E$1:$E$175,$C136))</f>
        <v>324</v>
      </c>
      <c r="R136">
        <f>IF($A136="","",_xlfn.SUMIFS(Allocation!$J$1:$J$175,Allocation!$C$1:$C$175,$A136,Allocation!$E$1:$E$175,$C136))</f>
        <v>16</v>
      </c>
      <c r="S136">
        <f>IF($A136="","",_xlfn.SUMIFS(Allocation!$K$1:$K$175,Allocation!$C$1:$C$175,$A136,Allocation!$E$1:$E$175,$C136))</f>
        <v>2152220</v>
      </c>
      <c r="T136">
        <f>IF($A136="","",_xlfn.SUMIFS(Allocation!$I$1:$I$175,Allocation!$C$1:$C$175,$A136))</f>
        <v>3036</v>
      </c>
      <c r="U136">
        <f>IF($A136="","",_xlfn.SUMIFS(Allocation!$J$1:$J$175,Allocation!$C$1:$C$175,$A136))</f>
        <v>131</v>
      </c>
      <c r="V136">
        <f>IF($A136="","",_xlfn.SUMIFS(Allocation!$K$1:$K$175,Allocation!$C$1:$C$175,$A136))</f>
        <v>22544725</v>
      </c>
      <c r="W136">
        <f>IF($A136="","",_xlfn.SUMIFS(Compta!$F$1:$F$1448,Compta!$A$1:$A$1448,$B136,Compta!$B$1:$B$1448,"621",Compta!$C$1:$C$1448,$A136))</f>
        <v>96583</v>
      </c>
      <c r="X136">
        <f>IF($A136="","",_xlfn.SUMIFS(Compta!$F$1:$F$1448,Compta!$A$1:$A$1448,$B136,Compta!$B$1:$B$1448,"6411",Compta!$C$1:$C$1448,$A136))</f>
        <v>223153</v>
      </c>
      <c r="Y136">
        <f>IF($A136="","",_xlfn.SUMIFS(Compta!$F$1:$F$1448,Compta!$A$1:$A$1448,$B136,Compta!$B$1:$B$1448,"604",Compta!$C$1:$C$1448,$A136)+_xlfn.SUMIFS(Compta!$F$1:$F$1448,Compta!$A$1:$A$1448,$B136,Compta!$B$1:$B$1448,"6063",Compta!$C$1:$C$1448,$A136))</f>
        <v>67722</v>
      </c>
      <c r="Z136">
        <f>IF($A136="","",_xlfn.SUMIFS(Compta!$F$1:$F$1448,Compta!$A$1:$A$1448,$B136,Compta!$B$1:$B$1448,"6231",Compta!$C$1:$C$1448,$A136))</f>
        <v>36612</v>
      </c>
      <c r="AA136">
        <f>IF($A136="","",_xlfn.SUMIFS(Compta!$F$1:$F$1448,Compta!$A$1:$A$1448,$B136,Compta!$B$1:$B$1448,"6413",Compta!$C$1:$C$1448,$A136)+_xlfn.SUMIFS(Compta!$F$1:$F$1448,Compta!$A$1:$A$1448,$B136,Compta!$B$1:$B$1448,"645",Compta!$C$1:$C$1448,$A136)+_xlfn.SUMIFS(Compta!$F$1:$F$1448,Compta!$A$1:$A$1448,$B136,Compta!$B$1:$B$1448,"613",Compta!$C$1:$C$1448,$A136)+_xlfn.SUMIFS(Compta!$F$1:$F$1448,Compta!$A$1:$A$1448,$B136,Compta!$B$1:$B$1448,"615",Compta!$C$1:$C$1448,$A136)+_xlfn.SUMIFS(Compta!$F$1:$F$1448,Compta!$A$1:$A$1448,$B136,Compta!$B$1:$B$1448,"616",Compta!$C$1:$C$1448,$A136)+_xlfn.SUMIFS(Compta!$F$1:$F$1448,Compta!$A$1:$A$1448,$B136,Compta!$B$1:$B$1448,"625",Compta!$C$1:$C$1448,$A136)+_xlfn.SUMIFS(Compta!$F$1:$F$1448,Compta!$A$1:$A$1448,$B136,Compta!$B$1:$B$1448,"63511",Compta!$C$1:$C$1448,$A136))</f>
        <v>496734</v>
      </c>
      <c r="AB136">
        <f>IF($A136="","",_xlfn.SUMIFS(Compta!$F$1:$F$1448,Compta!$A$1:$A$1448,"GRP",Compta!$B$1:$B$1448,"6414",Compta!$C$1:$C$1448,$A136)+_xlfn.SUMIFS(Compta!$F$1:$F$1448,Compta!$A$1:$A$1448,"GRP",Compta!$B$1:$B$1448,"6226",Compta!$C$1:$C$1448,$A136)+_xlfn.SUMIFS(Compta!$F$1:$F$1448,Compta!$A$1:$A$1448,"GRP",Compta!$B$1:$B$1448,"626",Compta!$C$1:$C$1448,$A136)+_xlfn.SUMIFS(Compta!$F$1:$F$1448,Compta!$A$1:$A$1448,"GRP",Compta!$B$1:$B$1448,"6281",Compta!$C$1:$C$1448,$A136)+_xlfn.SUMIFS(Compta!$F$1:$F$1448,Compta!$A$1:$A$1448,"GRP",Compta!$B$1:$B$1448,"6331",Compta!$C$1:$C$1448,$A136)+_xlfn.SUMIFS(Compta!$F$1:$F$1448,Compta!$A$1:$A$1448,"GRP",Compta!$B$1:$B$1448,"6333",Compta!$C$1:$C$1448,$A136))</f>
        <v>2891983</v>
      </c>
      <c r="AC136" t="s">
        <v>274</v>
      </c>
      <c r="AD136" t="s">
        <v>274</v>
      </c>
      <c r="AE136" t="s">
        <v>274</v>
      </c>
      <c r="AF136" t="s">
        <v>274</v>
      </c>
      <c r="AG136" t="s">
        <v>274</v>
      </c>
      <c r="AH136" t="s">
        <v>274</v>
      </c>
      <c r="AI136">
        <f t="shared" si="3"/>
        <v>19644</v>
      </c>
      <c r="AJ136">
        <f t="shared" si="4"/>
        <v>45387.0508474576</v>
      </c>
      <c r="AK136">
        <f t="shared" si="5"/>
        <v>35422.5494505494</v>
      </c>
      <c r="AL136">
        <f t="shared" si="6"/>
        <v>0</v>
      </c>
      <c r="AM136">
        <f t="shared" si="7"/>
        <v>0</v>
      </c>
      <c r="AN136">
        <f t="shared" si="8"/>
        <v>241786.399701993</v>
      </c>
      <c r="AO136">
        <f>IF($A136="","",_xlfn.SUMIFS(Compta!$F$1:$F$1448,Compta!$A$1:$A$1448,"GRP",Compta!$B$1:$B$1448,"6236",Compta!$C$1:$C$1448,$A136))</f>
        <v>676344</v>
      </c>
      <c r="AP136" t="s">
        <v>274</v>
      </c>
      <c r="AQ136" t="s">
        <v>274</v>
      </c>
      <c r="AR136">
        <f t="shared" si="9"/>
        <v>0</v>
      </c>
    </row>
    <row r="137" ht="14.25" customHeight="1">
      <c r="A137" t="str">
        <f>IF(Allocation!C137="","",Allocation!C137)</f>
        <v>2026</v>
      </c>
      <c r="B137" t="str">
        <f>IF(Allocation!D137="","",Allocation!D137)</f>
        <v>PIGIER_LYO</v>
      </c>
      <c r="C137" t="str">
        <f>IF(Allocation!E137="","",Allocation!E137)</f>
        <v>PIGIER</v>
      </c>
      <c r="D137" t="str">
        <f>IF(Allocation!F137="","",Allocation!F137)</f>
        <v>BAC_RH</v>
      </c>
      <c r="E137" t="str">
        <f>IF(Allocation!G137="","",Allocation!G137)</f>
        <v>B3</v>
      </c>
      <c r="F137" t="str">
        <f>IF(Allocation!H137="","",Allocation!H137)</f>
        <v>ALT</v>
      </c>
      <c r="G137">
        <f>IF(Allocation!D137="","",Allocation!I137)</f>
        <v>45</v>
      </c>
      <c r="H137">
        <f>IF(Allocation!D137="","",Allocation!J137)</f>
        <v>2</v>
      </c>
      <c r="I137">
        <f>IF(Allocation!D137="","",Allocation!K137)</f>
        <v>330750</v>
      </c>
      <c r="J137">
        <f>IF($A137="","",_xlfn.SUMIFS(Socle!$K$1:$K$448,Socle!$C$1:$C$448,$B137,Socle!$D$1:$D$448,$D137,Socle!$E$1:$E$448,$E137,Socle!$F$1:$F$448,$F137,Socle!$G$1:$G$448,$A137))</f>
        <v>0</v>
      </c>
      <c r="K137">
        <f t="shared" si="0"/>
        <v>960</v>
      </c>
      <c r="L137">
        <f>IF($A137="","",_xlfn.SUMIFS(Allocation!$I$1:$I$175,Allocation!$C$1:$C$175,$A137,Allocation!$D$1:$D$175,$B137))</f>
        <v>182</v>
      </c>
      <c r="M137">
        <f>IF($A137="","",_xlfn.SUMIFS(Allocation!$J$1:$J$175,Allocation!$C$1:$C$175,$A137,Allocation!$D$1:$D$175,$B137))</f>
        <v>8</v>
      </c>
      <c r="N137">
        <f>IF($A137="","",_xlfn.SUMIFS(Allocation!$K$1:$K$175,Allocation!$C$1:$C$175,$A137,Allocation!$D$1:$D$175,$B137))</f>
        <v>1250430</v>
      </c>
      <c r="O137">
        <f t="shared" si="1"/>
        <v>4720</v>
      </c>
      <c r="P137">
        <f t="shared" si="2"/>
        <v>184</v>
      </c>
      <c r="Q137">
        <f>IF($A137="","",_xlfn.SUMIFS(Allocation!$I$1:$I$175,Allocation!$C$1:$C$175,$A137,Allocation!$E$1:$E$175,$C137))</f>
        <v>324</v>
      </c>
      <c r="R137">
        <f>IF($A137="","",_xlfn.SUMIFS(Allocation!$J$1:$J$175,Allocation!$C$1:$C$175,$A137,Allocation!$E$1:$E$175,$C137))</f>
        <v>16</v>
      </c>
      <c r="S137">
        <f>IF($A137="","",_xlfn.SUMIFS(Allocation!$K$1:$K$175,Allocation!$C$1:$C$175,$A137,Allocation!$E$1:$E$175,$C137))</f>
        <v>2152220</v>
      </c>
      <c r="T137">
        <f>IF($A137="","",_xlfn.SUMIFS(Allocation!$I$1:$I$175,Allocation!$C$1:$C$175,$A137))</f>
        <v>3036</v>
      </c>
      <c r="U137">
        <f>IF($A137="","",_xlfn.SUMIFS(Allocation!$J$1:$J$175,Allocation!$C$1:$C$175,$A137))</f>
        <v>131</v>
      </c>
      <c r="V137">
        <f>IF($A137="","",_xlfn.SUMIFS(Allocation!$K$1:$K$175,Allocation!$C$1:$C$175,$A137))</f>
        <v>22544725</v>
      </c>
      <c r="W137">
        <f>IF($A137="","",_xlfn.SUMIFS(Compta!$F$1:$F$1448,Compta!$A$1:$A$1448,$B137,Compta!$B$1:$B$1448,"621",Compta!$C$1:$C$1448,$A137))</f>
        <v>96583</v>
      </c>
      <c r="X137">
        <f>IF($A137="","",_xlfn.SUMIFS(Compta!$F$1:$F$1448,Compta!$A$1:$A$1448,$B137,Compta!$B$1:$B$1448,"6411",Compta!$C$1:$C$1448,$A137))</f>
        <v>223153</v>
      </c>
      <c r="Y137">
        <f>IF($A137="","",_xlfn.SUMIFS(Compta!$F$1:$F$1448,Compta!$A$1:$A$1448,$B137,Compta!$B$1:$B$1448,"604",Compta!$C$1:$C$1448,$A137)+_xlfn.SUMIFS(Compta!$F$1:$F$1448,Compta!$A$1:$A$1448,$B137,Compta!$B$1:$B$1448,"6063",Compta!$C$1:$C$1448,$A137))</f>
        <v>67722</v>
      </c>
      <c r="Z137">
        <f>IF($A137="","",_xlfn.SUMIFS(Compta!$F$1:$F$1448,Compta!$A$1:$A$1448,$B137,Compta!$B$1:$B$1448,"6231",Compta!$C$1:$C$1448,$A137))</f>
        <v>36612</v>
      </c>
      <c r="AA137">
        <f>IF($A137="","",_xlfn.SUMIFS(Compta!$F$1:$F$1448,Compta!$A$1:$A$1448,$B137,Compta!$B$1:$B$1448,"6413",Compta!$C$1:$C$1448,$A137)+_xlfn.SUMIFS(Compta!$F$1:$F$1448,Compta!$A$1:$A$1448,$B137,Compta!$B$1:$B$1448,"645",Compta!$C$1:$C$1448,$A137)+_xlfn.SUMIFS(Compta!$F$1:$F$1448,Compta!$A$1:$A$1448,$B137,Compta!$B$1:$B$1448,"613",Compta!$C$1:$C$1448,$A137)+_xlfn.SUMIFS(Compta!$F$1:$F$1448,Compta!$A$1:$A$1448,$B137,Compta!$B$1:$B$1448,"615",Compta!$C$1:$C$1448,$A137)+_xlfn.SUMIFS(Compta!$F$1:$F$1448,Compta!$A$1:$A$1448,$B137,Compta!$B$1:$B$1448,"616",Compta!$C$1:$C$1448,$A137)+_xlfn.SUMIFS(Compta!$F$1:$F$1448,Compta!$A$1:$A$1448,$B137,Compta!$B$1:$B$1448,"625",Compta!$C$1:$C$1448,$A137)+_xlfn.SUMIFS(Compta!$F$1:$F$1448,Compta!$A$1:$A$1448,$B137,Compta!$B$1:$B$1448,"63511",Compta!$C$1:$C$1448,$A137))</f>
        <v>496734</v>
      </c>
      <c r="AB137">
        <f>IF($A137="","",_xlfn.SUMIFS(Compta!$F$1:$F$1448,Compta!$A$1:$A$1448,"GRP",Compta!$B$1:$B$1448,"6414",Compta!$C$1:$C$1448,$A137)+_xlfn.SUMIFS(Compta!$F$1:$F$1448,Compta!$A$1:$A$1448,"GRP",Compta!$B$1:$B$1448,"6226",Compta!$C$1:$C$1448,$A137)+_xlfn.SUMIFS(Compta!$F$1:$F$1448,Compta!$A$1:$A$1448,"GRP",Compta!$B$1:$B$1448,"626",Compta!$C$1:$C$1448,$A137)+_xlfn.SUMIFS(Compta!$F$1:$F$1448,Compta!$A$1:$A$1448,"GRP",Compta!$B$1:$B$1448,"6281",Compta!$C$1:$C$1448,$A137)+_xlfn.SUMIFS(Compta!$F$1:$F$1448,Compta!$A$1:$A$1448,"GRP",Compta!$B$1:$B$1448,"6331",Compta!$C$1:$C$1448,$A137)+_xlfn.SUMIFS(Compta!$F$1:$F$1448,Compta!$A$1:$A$1448,"GRP",Compta!$B$1:$B$1448,"6333",Compta!$C$1:$C$1448,$A137))</f>
        <v>2891983</v>
      </c>
      <c r="AC137" t="s">
        <v>274</v>
      </c>
      <c r="AD137" t="s">
        <v>274</v>
      </c>
      <c r="AE137" t="s">
        <v>274</v>
      </c>
      <c r="AF137" t="s">
        <v>274</v>
      </c>
      <c r="AG137" t="s">
        <v>274</v>
      </c>
      <c r="AH137" t="s">
        <v>274</v>
      </c>
      <c r="AI137">
        <f t="shared" si="3"/>
        <v>19644</v>
      </c>
      <c r="AJ137">
        <f t="shared" si="4"/>
        <v>45387.0508474576</v>
      </c>
      <c r="AK137">
        <f t="shared" si="5"/>
        <v>16744.4505494506</v>
      </c>
      <c r="AL137">
        <f t="shared" si="6"/>
        <v>0</v>
      </c>
      <c r="AM137">
        <f t="shared" si="7"/>
        <v>0</v>
      </c>
      <c r="AN137">
        <f t="shared" si="8"/>
        <v>248974.498603092</v>
      </c>
      <c r="AO137">
        <f>IF($A137="","",_xlfn.SUMIFS(Compta!$F$1:$F$1448,Compta!$A$1:$A$1448,"GRP",Compta!$B$1:$B$1448,"6236",Compta!$C$1:$C$1448,$A137))</f>
        <v>676344</v>
      </c>
      <c r="AP137" t="s">
        <v>274</v>
      </c>
      <c r="AQ137" t="s">
        <v>274</v>
      </c>
      <c r="AR137">
        <f t="shared" si="9"/>
        <v>0</v>
      </c>
    </row>
    <row r="138" ht="14.25" customHeight="1">
      <c r="A138" t="str">
        <f>IF(Allocation!C138="","",Allocation!C138)</f>
        <v>2025</v>
      </c>
      <c r="B138" t="str">
        <f>IF(Allocation!D138="","",Allocation!D138)</f>
        <v>PIGIER_LYO</v>
      </c>
      <c r="C138" t="str">
        <f>IF(Allocation!E138="","",Allocation!E138)</f>
        <v>PIGIER</v>
      </c>
      <c r="D138" t="str">
        <f>IF(Allocation!F138="","",Allocation!F138)</f>
        <v>BTS_GES</v>
      </c>
      <c r="E138" t="str">
        <f>IF(Allocation!G138="","",Allocation!G138)</f>
        <v>BTS1</v>
      </c>
      <c r="F138" t="str">
        <f>IF(Allocation!H138="","",Allocation!H138)</f>
        <v>ALT</v>
      </c>
      <c r="G138">
        <f>IF(Allocation!D138="","",Allocation!I138)</f>
        <v>43</v>
      </c>
      <c r="H138">
        <f>IF(Allocation!D138="","",Allocation!J138)</f>
        <v>2</v>
      </c>
      <c r="I138">
        <f>IF(Allocation!D138="","",Allocation!K138)</f>
        <v>274770</v>
      </c>
      <c r="J138">
        <f>IF($A138="","",_xlfn.SUMIFS(Socle!$K$1:$K$448,Socle!$C$1:$C$448,$B138,Socle!$D$1:$D$448,$D138,Socle!$E$1:$E$448,$E138,Socle!$F$1:$F$448,$F138,Socle!$G$1:$G$448,$A138))</f>
        <v>86</v>
      </c>
      <c r="K138">
        <f t="shared" si="0"/>
        <v>1400</v>
      </c>
      <c r="L138">
        <f>IF($A138="","",_xlfn.SUMIFS(Allocation!$I$1:$I$175,Allocation!$C$1:$C$175,$A138,Allocation!$D$1:$D$175,$B138))</f>
        <v>170</v>
      </c>
      <c r="M138">
        <f>IF($A138="","",_xlfn.SUMIFS(Allocation!$J$1:$J$175,Allocation!$C$1:$C$175,$A138,Allocation!$D$1:$D$175,$B138))</f>
        <v>8</v>
      </c>
      <c r="N138">
        <f>IF($A138="","",_xlfn.SUMIFS(Allocation!$K$1:$K$175,Allocation!$C$1:$C$175,$A138,Allocation!$D$1:$D$175,$B138))</f>
        <v>1167990</v>
      </c>
      <c r="O138">
        <f t="shared" si="1"/>
        <v>4720</v>
      </c>
      <c r="P138">
        <f t="shared" si="2"/>
        <v>172</v>
      </c>
      <c r="Q138">
        <f>IF($A138="","",_xlfn.SUMIFS(Allocation!$I$1:$I$175,Allocation!$C$1:$C$175,$A138,Allocation!$E$1:$E$175,$C138))</f>
        <v>304</v>
      </c>
      <c r="R138">
        <f>IF($A138="","",_xlfn.SUMIFS(Allocation!$J$1:$J$175,Allocation!$C$1:$C$175,$A138,Allocation!$E$1:$E$175,$C138))</f>
        <v>16</v>
      </c>
      <c r="S138">
        <f>IF($A138="","",_xlfn.SUMIFS(Allocation!$K$1:$K$175,Allocation!$C$1:$C$175,$A138,Allocation!$E$1:$E$175,$C138))</f>
        <v>2018980</v>
      </c>
      <c r="T138">
        <f>IF($A138="","",_xlfn.SUMIFS(Allocation!$I$1:$I$175,Allocation!$C$1:$C$175,$A138))</f>
        <v>2860</v>
      </c>
      <c r="U138">
        <f>IF($A138="","",_xlfn.SUMIFS(Allocation!$J$1:$J$175,Allocation!$C$1:$C$175,$A138))</f>
        <v>131</v>
      </c>
      <c r="V138">
        <f>IF($A138="","",_xlfn.SUMIFS(Allocation!$K$1:$K$175,Allocation!$C$1:$C$175,$A138))</f>
        <v>21240140</v>
      </c>
      <c r="W138">
        <f>IF($A138="","",_xlfn.SUMIFS(Compta!$F$1:$F$1448,Compta!$A$1:$A$1448,$B138,Compta!$B$1:$B$1448,"621",Compta!$C$1:$C$1448,$A138))</f>
        <v>92183</v>
      </c>
      <c r="X138">
        <f>IF($A138="","",_xlfn.SUMIFS(Compta!$F$1:$F$1448,Compta!$A$1:$A$1448,$B138,Compta!$B$1:$B$1448,"6411",Compta!$C$1:$C$1448,$A138))</f>
        <v>212986</v>
      </c>
      <c r="Y138">
        <f>IF($A138="","",_xlfn.SUMIFS(Compta!$F$1:$F$1448,Compta!$A$1:$A$1448,$B138,Compta!$B$1:$B$1448,"604",Compta!$C$1:$C$1448,$A138)+_xlfn.SUMIFS(Compta!$F$1:$F$1448,Compta!$A$1:$A$1448,$B138,Compta!$B$1:$B$1448,"6063",Compta!$C$1:$C$1448,$A138))</f>
        <v>64636</v>
      </c>
      <c r="Z138">
        <f>IF($A138="","",_xlfn.SUMIFS(Compta!$F$1:$F$1448,Compta!$A$1:$A$1448,$B138,Compta!$B$1:$B$1448,"6231",Compta!$C$1:$C$1448,$A138))</f>
        <v>33284</v>
      </c>
      <c r="AA138">
        <f>IF($A138="","",_xlfn.SUMIFS(Compta!$F$1:$F$1448,Compta!$A$1:$A$1448,$B138,Compta!$B$1:$B$1448,"6413",Compta!$C$1:$C$1448,$A138)+_xlfn.SUMIFS(Compta!$F$1:$F$1448,Compta!$A$1:$A$1448,$B138,Compta!$B$1:$B$1448,"645",Compta!$C$1:$C$1448,$A138)+_xlfn.SUMIFS(Compta!$F$1:$F$1448,Compta!$A$1:$A$1448,$B138,Compta!$B$1:$B$1448,"613",Compta!$C$1:$C$1448,$A138)+_xlfn.SUMIFS(Compta!$F$1:$F$1448,Compta!$A$1:$A$1448,$B138,Compta!$B$1:$B$1448,"615",Compta!$C$1:$C$1448,$A138)+_xlfn.SUMIFS(Compta!$F$1:$F$1448,Compta!$A$1:$A$1448,$B138,Compta!$B$1:$B$1448,"616",Compta!$C$1:$C$1448,$A138)+_xlfn.SUMIFS(Compta!$F$1:$F$1448,Compta!$A$1:$A$1448,$B138,Compta!$B$1:$B$1448,"625",Compta!$C$1:$C$1448,$A138)+_xlfn.SUMIFS(Compta!$F$1:$F$1448,Compta!$A$1:$A$1448,$B138,Compta!$B$1:$B$1448,"63511",Compta!$C$1:$C$1448,$A138))</f>
        <v>474103</v>
      </c>
      <c r="AB138">
        <f>IF($A138="","",_xlfn.SUMIFS(Compta!$F$1:$F$1448,Compta!$A$1:$A$1448,"GRP",Compta!$B$1:$B$1448,"6414",Compta!$C$1:$C$1448,$A138)+_xlfn.SUMIFS(Compta!$F$1:$F$1448,Compta!$A$1:$A$1448,"GRP",Compta!$B$1:$B$1448,"6226",Compta!$C$1:$C$1448,$A138)+_xlfn.SUMIFS(Compta!$F$1:$F$1448,Compta!$A$1:$A$1448,"GRP",Compta!$B$1:$B$1448,"626",Compta!$C$1:$C$1448,$A138)+_xlfn.SUMIFS(Compta!$F$1:$F$1448,Compta!$A$1:$A$1448,"GRP",Compta!$B$1:$B$1448,"6281",Compta!$C$1:$C$1448,$A138)+_xlfn.SUMIFS(Compta!$F$1:$F$1448,Compta!$A$1:$A$1448,"GRP",Compta!$B$1:$B$1448,"6331",Compta!$C$1:$C$1448,$A138)+_xlfn.SUMIFS(Compta!$F$1:$F$1448,Compta!$A$1:$A$1448,"GRP",Compta!$B$1:$B$1448,"6333",Compta!$C$1:$C$1448,$A138))</f>
        <v>2760232</v>
      </c>
      <c r="AC138" t="s">
        <v>274</v>
      </c>
      <c r="AD138" t="s">
        <v>274</v>
      </c>
      <c r="AE138" t="s">
        <v>274</v>
      </c>
      <c r="AF138" t="s">
        <v>274</v>
      </c>
      <c r="AG138" t="s">
        <v>274</v>
      </c>
      <c r="AH138" t="s">
        <v>274</v>
      </c>
      <c r="AI138">
        <f t="shared" si="3"/>
        <v>27342.4152542373</v>
      </c>
      <c r="AJ138">
        <f t="shared" si="4"/>
        <v>63173.813559322</v>
      </c>
      <c r="AK138">
        <f t="shared" si="5"/>
        <v>32991.1058823529</v>
      </c>
      <c r="AL138">
        <f t="shared" si="6"/>
        <v>0</v>
      </c>
      <c r="AM138">
        <f t="shared" si="7"/>
        <v>0</v>
      </c>
      <c r="AN138">
        <f t="shared" si="8"/>
        <v>151262.665304088</v>
      </c>
      <c r="AO138">
        <f>IF($A138="","",_xlfn.SUMIFS(Compta!$F$1:$F$1448,Compta!$A$1:$A$1448,"GRP",Compta!$B$1:$B$1448,"6236",Compta!$C$1:$C$1448,$A138))</f>
        <v>580167</v>
      </c>
      <c r="AP138" t="s">
        <v>274</v>
      </c>
      <c r="AQ138" t="s">
        <v>274</v>
      </c>
      <c r="AR138">
        <f t="shared" si="9"/>
        <v>0</v>
      </c>
    </row>
    <row r="139" ht="14.25" customHeight="1">
      <c r="A139" t="str">
        <f>IF(Allocation!C139="","",Allocation!C139)</f>
        <v>2025</v>
      </c>
      <c r="B139" t="str">
        <f>IF(Allocation!D139="","",Allocation!D139)</f>
        <v>PIGIER_LYO</v>
      </c>
      <c r="C139" t="str">
        <f>IF(Allocation!E139="","",Allocation!E139)</f>
        <v>PIGIER</v>
      </c>
      <c r="D139" t="str">
        <f>IF(Allocation!F139="","",Allocation!F139)</f>
        <v>BTS_GES</v>
      </c>
      <c r="E139" t="str">
        <f>IF(Allocation!G139="","",Allocation!G139)</f>
        <v>BTS2</v>
      </c>
      <c r="F139" t="str">
        <f>IF(Allocation!H139="","",Allocation!H139)</f>
        <v>ALT</v>
      </c>
      <c r="G139">
        <f>IF(Allocation!D139="","",Allocation!I139)</f>
        <v>42</v>
      </c>
      <c r="H139">
        <f>IF(Allocation!D139="","",Allocation!J139)</f>
        <v>2</v>
      </c>
      <c r="I139">
        <f>IF(Allocation!D139="","",Allocation!K139)</f>
        <v>264600</v>
      </c>
      <c r="J139">
        <f>IF($A139="","",_xlfn.SUMIFS(Socle!$K$1:$K$448,Socle!$C$1:$C$448,$B139,Socle!$D$1:$D$448,$D139,Socle!$E$1:$E$448,$E139,Socle!$F$1:$F$448,$F139,Socle!$G$1:$G$448,$A139))</f>
        <v>0</v>
      </c>
      <c r="K139">
        <f t="shared" si="0"/>
        <v>1400</v>
      </c>
      <c r="L139">
        <f>IF($A139="","",_xlfn.SUMIFS(Allocation!$I$1:$I$175,Allocation!$C$1:$C$175,$A139,Allocation!$D$1:$D$175,$B139))</f>
        <v>170</v>
      </c>
      <c r="M139">
        <f>IF($A139="","",_xlfn.SUMIFS(Allocation!$J$1:$J$175,Allocation!$C$1:$C$175,$A139,Allocation!$D$1:$D$175,$B139))</f>
        <v>8</v>
      </c>
      <c r="N139">
        <f>IF($A139="","",_xlfn.SUMIFS(Allocation!$K$1:$K$175,Allocation!$C$1:$C$175,$A139,Allocation!$D$1:$D$175,$B139))</f>
        <v>1167990</v>
      </c>
      <c r="O139">
        <f t="shared" si="1"/>
        <v>4720</v>
      </c>
      <c r="P139">
        <f t="shared" si="2"/>
        <v>172</v>
      </c>
      <c r="Q139">
        <f>IF($A139="","",_xlfn.SUMIFS(Allocation!$I$1:$I$175,Allocation!$C$1:$C$175,$A139,Allocation!$E$1:$E$175,$C139))</f>
        <v>304</v>
      </c>
      <c r="R139">
        <f>IF($A139="","",_xlfn.SUMIFS(Allocation!$J$1:$J$175,Allocation!$C$1:$C$175,$A139,Allocation!$E$1:$E$175,$C139))</f>
        <v>16</v>
      </c>
      <c r="S139">
        <f>IF($A139="","",_xlfn.SUMIFS(Allocation!$K$1:$K$175,Allocation!$C$1:$C$175,$A139,Allocation!$E$1:$E$175,$C139))</f>
        <v>2018980</v>
      </c>
      <c r="T139">
        <f>IF($A139="","",_xlfn.SUMIFS(Allocation!$I$1:$I$175,Allocation!$C$1:$C$175,$A139))</f>
        <v>2860</v>
      </c>
      <c r="U139">
        <f>IF($A139="","",_xlfn.SUMIFS(Allocation!$J$1:$J$175,Allocation!$C$1:$C$175,$A139))</f>
        <v>131</v>
      </c>
      <c r="V139">
        <f>IF($A139="","",_xlfn.SUMIFS(Allocation!$K$1:$K$175,Allocation!$C$1:$C$175,$A139))</f>
        <v>21240140</v>
      </c>
      <c r="W139">
        <f>IF($A139="","",_xlfn.SUMIFS(Compta!$F$1:$F$1448,Compta!$A$1:$A$1448,$B139,Compta!$B$1:$B$1448,"621",Compta!$C$1:$C$1448,$A139))</f>
        <v>92183</v>
      </c>
      <c r="X139">
        <f>IF($A139="","",_xlfn.SUMIFS(Compta!$F$1:$F$1448,Compta!$A$1:$A$1448,$B139,Compta!$B$1:$B$1448,"6411",Compta!$C$1:$C$1448,$A139))</f>
        <v>212986</v>
      </c>
      <c r="Y139">
        <f>IF($A139="","",_xlfn.SUMIFS(Compta!$F$1:$F$1448,Compta!$A$1:$A$1448,$B139,Compta!$B$1:$B$1448,"604",Compta!$C$1:$C$1448,$A139)+_xlfn.SUMIFS(Compta!$F$1:$F$1448,Compta!$A$1:$A$1448,$B139,Compta!$B$1:$B$1448,"6063",Compta!$C$1:$C$1448,$A139))</f>
        <v>64636</v>
      </c>
      <c r="Z139">
        <f>IF($A139="","",_xlfn.SUMIFS(Compta!$F$1:$F$1448,Compta!$A$1:$A$1448,$B139,Compta!$B$1:$B$1448,"6231",Compta!$C$1:$C$1448,$A139))</f>
        <v>33284</v>
      </c>
      <c r="AA139">
        <f>IF($A139="","",_xlfn.SUMIFS(Compta!$F$1:$F$1448,Compta!$A$1:$A$1448,$B139,Compta!$B$1:$B$1448,"6413",Compta!$C$1:$C$1448,$A139)+_xlfn.SUMIFS(Compta!$F$1:$F$1448,Compta!$A$1:$A$1448,$B139,Compta!$B$1:$B$1448,"645",Compta!$C$1:$C$1448,$A139)+_xlfn.SUMIFS(Compta!$F$1:$F$1448,Compta!$A$1:$A$1448,$B139,Compta!$B$1:$B$1448,"613",Compta!$C$1:$C$1448,$A139)+_xlfn.SUMIFS(Compta!$F$1:$F$1448,Compta!$A$1:$A$1448,$B139,Compta!$B$1:$B$1448,"615",Compta!$C$1:$C$1448,$A139)+_xlfn.SUMIFS(Compta!$F$1:$F$1448,Compta!$A$1:$A$1448,$B139,Compta!$B$1:$B$1448,"616",Compta!$C$1:$C$1448,$A139)+_xlfn.SUMIFS(Compta!$F$1:$F$1448,Compta!$A$1:$A$1448,$B139,Compta!$B$1:$B$1448,"625",Compta!$C$1:$C$1448,$A139)+_xlfn.SUMIFS(Compta!$F$1:$F$1448,Compta!$A$1:$A$1448,$B139,Compta!$B$1:$B$1448,"63511",Compta!$C$1:$C$1448,$A139))</f>
        <v>474103</v>
      </c>
      <c r="AB139">
        <f>IF($A139="","",_xlfn.SUMIFS(Compta!$F$1:$F$1448,Compta!$A$1:$A$1448,"GRP",Compta!$B$1:$B$1448,"6414",Compta!$C$1:$C$1448,$A139)+_xlfn.SUMIFS(Compta!$F$1:$F$1448,Compta!$A$1:$A$1448,"GRP",Compta!$B$1:$B$1448,"6226",Compta!$C$1:$C$1448,$A139)+_xlfn.SUMIFS(Compta!$F$1:$F$1448,Compta!$A$1:$A$1448,"GRP",Compta!$B$1:$B$1448,"626",Compta!$C$1:$C$1448,$A139)+_xlfn.SUMIFS(Compta!$F$1:$F$1448,Compta!$A$1:$A$1448,"GRP",Compta!$B$1:$B$1448,"6281",Compta!$C$1:$C$1448,$A139)+_xlfn.SUMIFS(Compta!$F$1:$F$1448,Compta!$A$1:$A$1448,"GRP",Compta!$B$1:$B$1448,"6331",Compta!$C$1:$C$1448,$A139)+_xlfn.SUMIFS(Compta!$F$1:$F$1448,Compta!$A$1:$A$1448,"GRP",Compta!$B$1:$B$1448,"6333",Compta!$C$1:$C$1448,$A139))</f>
        <v>2760232</v>
      </c>
      <c r="AC139" t="s">
        <v>274</v>
      </c>
      <c r="AD139" t="s">
        <v>274</v>
      </c>
      <c r="AE139" t="s">
        <v>274</v>
      </c>
      <c r="AF139" t="s">
        <v>274</v>
      </c>
      <c r="AG139" t="s">
        <v>274</v>
      </c>
      <c r="AH139" t="s">
        <v>274</v>
      </c>
      <c r="AI139">
        <f t="shared" si="3"/>
        <v>27342.4152542373</v>
      </c>
      <c r="AJ139">
        <f t="shared" si="4"/>
        <v>63173.813559322</v>
      </c>
      <c r="AK139">
        <f t="shared" si="5"/>
        <v>15968.8941176471</v>
      </c>
      <c r="AL139">
        <f t="shared" si="6"/>
        <v>0</v>
      </c>
      <c r="AM139">
        <f t="shared" si="7"/>
        <v>0</v>
      </c>
      <c r="AN139">
        <f t="shared" si="8"/>
        <v>158114.877068794</v>
      </c>
      <c r="AO139">
        <f>IF($A139="","",_xlfn.SUMIFS(Compta!$F$1:$F$1448,Compta!$A$1:$A$1448,"GRP",Compta!$B$1:$B$1448,"6236",Compta!$C$1:$C$1448,$A139))</f>
        <v>580167</v>
      </c>
      <c r="AP139" t="s">
        <v>274</v>
      </c>
      <c r="AQ139" t="s">
        <v>274</v>
      </c>
      <c r="AR139">
        <f t="shared" si="9"/>
        <v>0</v>
      </c>
    </row>
    <row r="140" ht="14.25" customHeight="1">
      <c r="A140" t="str">
        <f>IF(Allocation!C140="","",Allocation!C140)</f>
        <v>2025</v>
      </c>
      <c r="B140" t="str">
        <f>IF(Allocation!D140="","",Allocation!D140)</f>
        <v>PIGIER_LYO</v>
      </c>
      <c r="C140" t="str">
        <f>IF(Allocation!E140="","",Allocation!E140)</f>
        <v>PIGIER</v>
      </c>
      <c r="D140" t="str">
        <f>IF(Allocation!F140="","",Allocation!F140)</f>
        <v>BAC_RH</v>
      </c>
      <c r="E140" t="str">
        <f>IF(Allocation!G140="","",Allocation!G140)</f>
        <v>B1</v>
      </c>
      <c r="F140" t="str">
        <f>IF(Allocation!H140="","",Allocation!H140)</f>
        <v>ALT</v>
      </c>
      <c r="G140">
        <f>IF(Allocation!D140="","",Allocation!I140)</f>
        <v>43</v>
      </c>
      <c r="H140">
        <f>IF(Allocation!D140="","",Allocation!J140)</f>
        <v>2</v>
      </c>
      <c r="I140">
        <f>IF(Allocation!D140="","",Allocation!K140)</f>
        <v>319920</v>
      </c>
      <c r="J140">
        <f>IF($A140="","",_xlfn.SUMIFS(Socle!$K$1:$K$448,Socle!$C$1:$C$448,$B140,Socle!$D$1:$D$448,$D140,Socle!$E$1:$E$448,$E140,Socle!$F$1:$F$448,$F140,Socle!$G$1:$G$448,$A140))</f>
        <v>86</v>
      </c>
      <c r="K140">
        <f t="shared" si="0"/>
        <v>960</v>
      </c>
      <c r="L140">
        <f>IF($A140="","",_xlfn.SUMIFS(Allocation!$I$1:$I$175,Allocation!$C$1:$C$175,$A140,Allocation!$D$1:$D$175,$B140))</f>
        <v>170</v>
      </c>
      <c r="M140">
        <f>IF($A140="","",_xlfn.SUMIFS(Allocation!$J$1:$J$175,Allocation!$C$1:$C$175,$A140,Allocation!$D$1:$D$175,$B140))</f>
        <v>8</v>
      </c>
      <c r="N140">
        <f>IF($A140="","",_xlfn.SUMIFS(Allocation!$K$1:$K$175,Allocation!$C$1:$C$175,$A140,Allocation!$D$1:$D$175,$B140))</f>
        <v>1167990</v>
      </c>
      <c r="O140">
        <f t="shared" si="1"/>
        <v>4720</v>
      </c>
      <c r="P140">
        <f t="shared" si="2"/>
        <v>172</v>
      </c>
      <c r="Q140">
        <f>IF($A140="","",_xlfn.SUMIFS(Allocation!$I$1:$I$175,Allocation!$C$1:$C$175,$A140,Allocation!$E$1:$E$175,$C140))</f>
        <v>304</v>
      </c>
      <c r="R140">
        <f>IF($A140="","",_xlfn.SUMIFS(Allocation!$J$1:$J$175,Allocation!$C$1:$C$175,$A140,Allocation!$E$1:$E$175,$C140))</f>
        <v>16</v>
      </c>
      <c r="S140">
        <f>IF($A140="","",_xlfn.SUMIFS(Allocation!$K$1:$K$175,Allocation!$C$1:$C$175,$A140,Allocation!$E$1:$E$175,$C140))</f>
        <v>2018980</v>
      </c>
      <c r="T140">
        <f>IF($A140="","",_xlfn.SUMIFS(Allocation!$I$1:$I$175,Allocation!$C$1:$C$175,$A140))</f>
        <v>2860</v>
      </c>
      <c r="U140">
        <f>IF($A140="","",_xlfn.SUMIFS(Allocation!$J$1:$J$175,Allocation!$C$1:$C$175,$A140))</f>
        <v>131</v>
      </c>
      <c r="V140">
        <f>IF($A140="","",_xlfn.SUMIFS(Allocation!$K$1:$K$175,Allocation!$C$1:$C$175,$A140))</f>
        <v>21240140</v>
      </c>
      <c r="W140">
        <f>IF($A140="","",_xlfn.SUMIFS(Compta!$F$1:$F$1448,Compta!$A$1:$A$1448,$B140,Compta!$B$1:$B$1448,"621",Compta!$C$1:$C$1448,$A140))</f>
        <v>92183</v>
      </c>
      <c r="X140">
        <f>IF($A140="","",_xlfn.SUMIFS(Compta!$F$1:$F$1448,Compta!$A$1:$A$1448,$B140,Compta!$B$1:$B$1448,"6411",Compta!$C$1:$C$1448,$A140))</f>
        <v>212986</v>
      </c>
      <c r="Y140">
        <f>IF($A140="","",_xlfn.SUMIFS(Compta!$F$1:$F$1448,Compta!$A$1:$A$1448,$B140,Compta!$B$1:$B$1448,"604",Compta!$C$1:$C$1448,$A140)+_xlfn.SUMIFS(Compta!$F$1:$F$1448,Compta!$A$1:$A$1448,$B140,Compta!$B$1:$B$1448,"6063",Compta!$C$1:$C$1448,$A140))</f>
        <v>64636</v>
      </c>
      <c r="Z140">
        <f>IF($A140="","",_xlfn.SUMIFS(Compta!$F$1:$F$1448,Compta!$A$1:$A$1448,$B140,Compta!$B$1:$B$1448,"6231",Compta!$C$1:$C$1448,$A140))</f>
        <v>33284</v>
      </c>
      <c r="AA140">
        <f>IF($A140="","",_xlfn.SUMIFS(Compta!$F$1:$F$1448,Compta!$A$1:$A$1448,$B140,Compta!$B$1:$B$1448,"6413",Compta!$C$1:$C$1448,$A140)+_xlfn.SUMIFS(Compta!$F$1:$F$1448,Compta!$A$1:$A$1448,$B140,Compta!$B$1:$B$1448,"645",Compta!$C$1:$C$1448,$A140)+_xlfn.SUMIFS(Compta!$F$1:$F$1448,Compta!$A$1:$A$1448,$B140,Compta!$B$1:$B$1448,"613",Compta!$C$1:$C$1448,$A140)+_xlfn.SUMIFS(Compta!$F$1:$F$1448,Compta!$A$1:$A$1448,$B140,Compta!$B$1:$B$1448,"615",Compta!$C$1:$C$1448,$A140)+_xlfn.SUMIFS(Compta!$F$1:$F$1448,Compta!$A$1:$A$1448,$B140,Compta!$B$1:$B$1448,"616",Compta!$C$1:$C$1448,$A140)+_xlfn.SUMIFS(Compta!$F$1:$F$1448,Compta!$A$1:$A$1448,$B140,Compta!$B$1:$B$1448,"625",Compta!$C$1:$C$1448,$A140)+_xlfn.SUMIFS(Compta!$F$1:$F$1448,Compta!$A$1:$A$1448,$B140,Compta!$B$1:$B$1448,"63511",Compta!$C$1:$C$1448,$A140))</f>
        <v>474103</v>
      </c>
      <c r="AB140">
        <f>IF($A140="","",_xlfn.SUMIFS(Compta!$F$1:$F$1448,Compta!$A$1:$A$1448,"GRP",Compta!$B$1:$B$1448,"6414",Compta!$C$1:$C$1448,$A140)+_xlfn.SUMIFS(Compta!$F$1:$F$1448,Compta!$A$1:$A$1448,"GRP",Compta!$B$1:$B$1448,"6226",Compta!$C$1:$C$1448,$A140)+_xlfn.SUMIFS(Compta!$F$1:$F$1448,Compta!$A$1:$A$1448,"GRP",Compta!$B$1:$B$1448,"626",Compta!$C$1:$C$1448,$A140)+_xlfn.SUMIFS(Compta!$F$1:$F$1448,Compta!$A$1:$A$1448,"GRP",Compta!$B$1:$B$1448,"6281",Compta!$C$1:$C$1448,$A140)+_xlfn.SUMIFS(Compta!$F$1:$F$1448,Compta!$A$1:$A$1448,"GRP",Compta!$B$1:$B$1448,"6331",Compta!$C$1:$C$1448,$A140)+_xlfn.SUMIFS(Compta!$F$1:$F$1448,Compta!$A$1:$A$1448,"GRP",Compta!$B$1:$B$1448,"6333",Compta!$C$1:$C$1448,$A140))</f>
        <v>2760232</v>
      </c>
      <c r="AC140" t="s">
        <v>274</v>
      </c>
      <c r="AD140" t="s">
        <v>274</v>
      </c>
      <c r="AE140" t="s">
        <v>274</v>
      </c>
      <c r="AF140" t="s">
        <v>274</v>
      </c>
      <c r="AG140" t="s">
        <v>274</v>
      </c>
      <c r="AH140" t="s">
        <v>274</v>
      </c>
      <c r="AI140">
        <f t="shared" si="3"/>
        <v>18749.0847457627</v>
      </c>
      <c r="AJ140">
        <f t="shared" si="4"/>
        <v>43319.186440678</v>
      </c>
      <c r="AK140">
        <f t="shared" si="5"/>
        <v>32991.1058823529</v>
      </c>
      <c r="AL140">
        <f t="shared" si="6"/>
        <v>0</v>
      </c>
      <c r="AM140">
        <f t="shared" si="7"/>
        <v>0</v>
      </c>
      <c r="AN140">
        <f t="shared" si="8"/>
        <v>224860.622931206</v>
      </c>
      <c r="AO140">
        <f>IF($A140="","",_xlfn.SUMIFS(Compta!$F$1:$F$1448,Compta!$A$1:$A$1448,"GRP",Compta!$B$1:$B$1448,"6236",Compta!$C$1:$C$1448,$A140))</f>
        <v>580167</v>
      </c>
      <c r="AP140" t="s">
        <v>274</v>
      </c>
      <c r="AQ140" t="s">
        <v>274</v>
      </c>
      <c r="AR140">
        <f t="shared" si="9"/>
        <v>0</v>
      </c>
    </row>
    <row r="141" ht="14.25" customHeight="1">
      <c r="A141" t="str">
        <f>IF(Allocation!C141="","",Allocation!C141)</f>
        <v>2025</v>
      </c>
      <c r="B141" t="str">
        <f>IF(Allocation!D141="","",Allocation!D141)</f>
        <v>PIGIER_LYO</v>
      </c>
      <c r="C141" t="str">
        <f>IF(Allocation!E141="","",Allocation!E141)</f>
        <v>PIGIER</v>
      </c>
      <c r="D141" t="str">
        <f>IF(Allocation!F141="","",Allocation!F141)</f>
        <v>BAC_RH</v>
      </c>
      <c r="E141" t="str">
        <f>IF(Allocation!G141="","",Allocation!G141)</f>
        <v>B3</v>
      </c>
      <c r="F141" t="str">
        <f>IF(Allocation!H141="","",Allocation!H141)</f>
        <v>ALT</v>
      </c>
      <c r="G141">
        <f>IF(Allocation!D141="","",Allocation!I141)</f>
        <v>42</v>
      </c>
      <c r="H141">
        <f>IF(Allocation!D141="","",Allocation!J141)</f>
        <v>2</v>
      </c>
      <c r="I141">
        <f>IF(Allocation!D141="","",Allocation!K141)</f>
        <v>308700</v>
      </c>
      <c r="J141">
        <f>IF($A141="","",_xlfn.SUMIFS(Socle!$K$1:$K$448,Socle!$C$1:$C$448,$B141,Socle!$D$1:$D$448,$D141,Socle!$E$1:$E$448,$E141,Socle!$F$1:$F$448,$F141,Socle!$G$1:$G$448,$A141))</f>
        <v>0</v>
      </c>
      <c r="K141">
        <f t="shared" si="0"/>
        <v>960</v>
      </c>
      <c r="L141">
        <f>IF($A141="","",_xlfn.SUMIFS(Allocation!$I$1:$I$175,Allocation!$C$1:$C$175,$A141,Allocation!$D$1:$D$175,$B141))</f>
        <v>170</v>
      </c>
      <c r="M141">
        <f>IF($A141="","",_xlfn.SUMIFS(Allocation!$J$1:$J$175,Allocation!$C$1:$C$175,$A141,Allocation!$D$1:$D$175,$B141))</f>
        <v>8</v>
      </c>
      <c r="N141">
        <f>IF($A141="","",_xlfn.SUMIFS(Allocation!$K$1:$K$175,Allocation!$C$1:$C$175,$A141,Allocation!$D$1:$D$175,$B141))</f>
        <v>1167990</v>
      </c>
      <c r="O141">
        <f t="shared" si="1"/>
        <v>4720</v>
      </c>
      <c r="P141">
        <f t="shared" si="2"/>
        <v>172</v>
      </c>
      <c r="Q141">
        <f>IF($A141="","",_xlfn.SUMIFS(Allocation!$I$1:$I$175,Allocation!$C$1:$C$175,$A141,Allocation!$E$1:$E$175,$C141))</f>
        <v>304</v>
      </c>
      <c r="R141">
        <f>IF($A141="","",_xlfn.SUMIFS(Allocation!$J$1:$J$175,Allocation!$C$1:$C$175,$A141,Allocation!$E$1:$E$175,$C141))</f>
        <v>16</v>
      </c>
      <c r="S141">
        <f>IF($A141="","",_xlfn.SUMIFS(Allocation!$K$1:$K$175,Allocation!$C$1:$C$175,$A141,Allocation!$E$1:$E$175,$C141))</f>
        <v>2018980</v>
      </c>
      <c r="T141">
        <f>IF($A141="","",_xlfn.SUMIFS(Allocation!$I$1:$I$175,Allocation!$C$1:$C$175,$A141))</f>
        <v>2860</v>
      </c>
      <c r="U141">
        <f>IF($A141="","",_xlfn.SUMIFS(Allocation!$J$1:$J$175,Allocation!$C$1:$C$175,$A141))</f>
        <v>131</v>
      </c>
      <c r="V141">
        <f>IF($A141="","",_xlfn.SUMIFS(Allocation!$K$1:$K$175,Allocation!$C$1:$C$175,$A141))</f>
        <v>21240140</v>
      </c>
      <c r="W141">
        <f>IF($A141="","",_xlfn.SUMIFS(Compta!$F$1:$F$1448,Compta!$A$1:$A$1448,$B141,Compta!$B$1:$B$1448,"621",Compta!$C$1:$C$1448,$A141))</f>
        <v>92183</v>
      </c>
      <c r="X141">
        <f>IF($A141="","",_xlfn.SUMIFS(Compta!$F$1:$F$1448,Compta!$A$1:$A$1448,$B141,Compta!$B$1:$B$1448,"6411",Compta!$C$1:$C$1448,$A141))</f>
        <v>212986</v>
      </c>
      <c r="Y141">
        <f>IF($A141="","",_xlfn.SUMIFS(Compta!$F$1:$F$1448,Compta!$A$1:$A$1448,$B141,Compta!$B$1:$B$1448,"604",Compta!$C$1:$C$1448,$A141)+_xlfn.SUMIFS(Compta!$F$1:$F$1448,Compta!$A$1:$A$1448,$B141,Compta!$B$1:$B$1448,"6063",Compta!$C$1:$C$1448,$A141))</f>
        <v>64636</v>
      </c>
      <c r="Z141">
        <f>IF($A141="","",_xlfn.SUMIFS(Compta!$F$1:$F$1448,Compta!$A$1:$A$1448,$B141,Compta!$B$1:$B$1448,"6231",Compta!$C$1:$C$1448,$A141))</f>
        <v>33284</v>
      </c>
      <c r="AA141">
        <f>IF($A141="","",_xlfn.SUMIFS(Compta!$F$1:$F$1448,Compta!$A$1:$A$1448,$B141,Compta!$B$1:$B$1448,"6413",Compta!$C$1:$C$1448,$A141)+_xlfn.SUMIFS(Compta!$F$1:$F$1448,Compta!$A$1:$A$1448,$B141,Compta!$B$1:$B$1448,"645",Compta!$C$1:$C$1448,$A141)+_xlfn.SUMIFS(Compta!$F$1:$F$1448,Compta!$A$1:$A$1448,$B141,Compta!$B$1:$B$1448,"613",Compta!$C$1:$C$1448,$A141)+_xlfn.SUMIFS(Compta!$F$1:$F$1448,Compta!$A$1:$A$1448,$B141,Compta!$B$1:$B$1448,"615",Compta!$C$1:$C$1448,$A141)+_xlfn.SUMIFS(Compta!$F$1:$F$1448,Compta!$A$1:$A$1448,$B141,Compta!$B$1:$B$1448,"616",Compta!$C$1:$C$1448,$A141)+_xlfn.SUMIFS(Compta!$F$1:$F$1448,Compta!$A$1:$A$1448,$B141,Compta!$B$1:$B$1448,"625",Compta!$C$1:$C$1448,$A141)+_xlfn.SUMIFS(Compta!$F$1:$F$1448,Compta!$A$1:$A$1448,$B141,Compta!$B$1:$B$1448,"63511",Compta!$C$1:$C$1448,$A141))</f>
        <v>474103</v>
      </c>
      <c r="AB141">
        <f>IF($A141="","",_xlfn.SUMIFS(Compta!$F$1:$F$1448,Compta!$A$1:$A$1448,"GRP",Compta!$B$1:$B$1448,"6414",Compta!$C$1:$C$1448,$A141)+_xlfn.SUMIFS(Compta!$F$1:$F$1448,Compta!$A$1:$A$1448,"GRP",Compta!$B$1:$B$1448,"6226",Compta!$C$1:$C$1448,$A141)+_xlfn.SUMIFS(Compta!$F$1:$F$1448,Compta!$A$1:$A$1448,"GRP",Compta!$B$1:$B$1448,"626",Compta!$C$1:$C$1448,$A141)+_xlfn.SUMIFS(Compta!$F$1:$F$1448,Compta!$A$1:$A$1448,"GRP",Compta!$B$1:$B$1448,"6281",Compta!$C$1:$C$1448,$A141)+_xlfn.SUMIFS(Compta!$F$1:$F$1448,Compta!$A$1:$A$1448,"GRP",Compta!$B$1:$B$1448,"6331",Compta!$C$1:$C$1448,$A141)+_xlfn.SUMIFS(Compta!$F$1:$F$1448,Compta!$A$1:$A$1448,"GRP",Compta!$B$1:$B$1448,"6333",Compta!$C$1:$C$1448,$A141))</f>
        <v>2760232</v>
      </c>
      <c r="AC141" t="s">
        <v>274</v>
      </c>
      <c r="AD141" t="s">
        <v>274</v>
      </c>
      <c r="AE141" t="s">
        <v>274</v>
      </c>
      <c r="AF141" t="s">
        <v>274</v>
      </c>
      <c r="AG141" t="s">
        <v>274</v>
      </c>
      <c r="AH141" t="s">
        <v>274</v>
      </c>
      <c r="AI141">
        <f t="shared" si="3"/>
        <v>18749.0847457627</v>
      </c>
      <c r="AJ141">
        <f t="shared" si="4"/>
        <v>43319.186440678</v>
      </c>
      <c r="AK141">
        <f t="shared" si="5"/>
        <v>15968.8941176471</v>
      </c>
      <c r="AL141">
        <f t="shared" si="6"/>
        <v>0</v>
      </c>
      <c r="AM141">
        <f t="shared" si="7"/>
        <v>0</v>
      </c>
      <c r="AN141">
        <f t="shared" si="8"/>
        <v>230662.834695912</v>
      </c>
      <c r="AO141">
        <f>IF($A141="","",_xlfn.SUMIFS(Compta!$F$1:$F$1448,Compta!$A$1:$A$1448,"GRP",Compta!$B$1:$B$1448,"6236",Compta!$C$1:$C$1448,$A141))</f>
        <v>580167</v>
      </c>
      <c r="AP141" t="s">
        <v>274</v>
      </c>
      <c r="AQ141" t="s">
        <v>274</v>
      </c>
      <c r="AR141">
        <f t="shared" si="9"/>
        <v>0</v>
      </c>
    </row>
    <row r="142" ht="14.25" customHeight="1">
      <c r="A142" t="str">
        <f>IF(Allocation!C142="","",Allocation!C142)</f>
        <v>2024</v>
      </c>
      <c r="B142" t="str">
        <f>IF(Allocation!D142="","",Allocation!D142)</f>
        <v>PIGIER_LYO</v>
      </c>
      <c r="C142" t="str">
        <f>IF(Allocation!E142="","",Allocation!E142)</f>
        <v>PIGIER</v>
      </c>
      <c r="D142" t="str">
        <f>IF(Allocation!F142="","",Allocation!F142)</f>
        <v>BTS_GES</v>
      </c>
      <c r="E142" t="str">
        <f>IF(Allocation!G142="","",Allocation!G142)</f>
        <v>BTS1</v>
      </c>
      <c r="F142" t="str">
        <f>IF(Allocation!H142="","",Allocation!H142)</f>
        <v>ALT</v>
      </c>
      <c r="G142">
        <f>IF(Allocation!D142="","",Allocation!I142)</f>
        <v>41</v>
      </c>
      <c r="H142">
        <f>IF(Allocation!D142="","",Allocation!J142)</f>
        <v>2</v>
      </c>
      <c r="I142">
        <f>IF(Allocation!D142="","",Allocation!K142)</f>
        <v>261990</v>
      </c>
      <c r="J142">
        <f>IF($A142="","",_xlfn.SUMIFS(Socle!$K$1:$K$448,Socle!$C$1:$C$448,$B142,Socle!$D$1:$D$448,$D142,Socle!$E$1:$E$448,$E142,Socle!$F$1:$F$448,$F142,Socle!$G$1:$G$448,$A142))</f>
        <v>82</v>
      </c>
      <c r="K142">
        <f t="shared" si="0"/>
        <v>1400</v>
      </c>
      <c r="L142">
        <f>IF($A142="","",_xlfn.SUMIFS(Allocation!$I$1:$I$175,Allocation!$C$1:$C$175,$A142,Allocation!$D$1:$D$175,$B142))</f>
        <v>162</v>
      </c>
      <c r="M142">
        <f>IF($A142="","",_xlfn.SUMIFS(Allocation!$J$1:$J$175,Allocation!$C$1:$C$175,$A142,Allocation!$D$1:$D$175,$B142))</f>
        <v>8</v>
      </c>
      <c r="N142">
        <f>IF($A142="","",_xlfn.SUMIFS(Allocation!$K$1:$K$175,Allocation!$C$1:$C$175,$A142,Allocation!$D$1:$D$175,$B142))</f>
        <v>1113030</v>
      </c>
      <c r="O142">
        <f t="shared" si="1"/>
        <v>4720</v>
      </c>
      <c r="P142">
        <f t="shared" si="2"/>
        <v>164</v>
      </c>
      <c r="Q142">
        <f>IF($A142="","",_xlfn.SUMIFS(Allocation!$I$1:$I$175,Allocation!$C$1:$C$175,$A142,Allocation!$E$1:$E$175,$C142))</f>
        <v>288</v>
      </c>
      <c r="R142">
        <f>IF($A142="","",_xlfn.SUMIFS(Allocation!$J$1:$J$175,Allocation!$C$1:$C$175,$A142,Allocation!$E$1:$E$175,$C142))</f>
        <v>16</v>
      </c>
      <c r="S142">
        <f>IF($A142="","",_xlfn.SUMIFS(Allocation!$K$1:$K$175,Allocation!$C$1:$C$175,$A142,Allocation!$E$1:$E$175,$C142))</f>
        <v>1913220</v>
      </c>
      <c r="T142">
        <f>IF($A142="","",_xlfn.SUMIFS(Allocation!$I$1:$I$175,Allocation!$C$1:$C$175,$A142))</f>
        <v>2704</v>
      </c>
      <c r="U142">
        <f>IF($A142="","",_xlfn.SUMIFS(Allocation!$J$1:$J$175,Allocation!$C$1:$C$175,$A142))</f>
        <v>131</v>
      </c>
      <c r="V142">
        <f>IF($A142="","",_xlfn.SUMIFS(Allocation!$K$1:$K$175,Allocation!$C$1:$C$175,$A142))</f>
        <v>20076860</v>
      </c>
      <c r="W142">
        <f>IF($A142="","",_xlfn.SUMIFS(Compta!$F$1:$F$1448,Compta!$A$1:$A$1448,$B142,Compta!$B$1:$B$1448,"621",Compta!$C$1:$C$1448,$A142))</f>
        <v>88144</v>
      </c>
      <c r="X142">
        <f>IF($A142="","",_xlfn.SUMIFS(Compta!$F$1:$F$1448,Compta!$A$1:$A$1448,$B142,Compta!$B$1:$B$1448,"6411",Compta!$C$1:$C$1448,$A142))</f>
        <v>203654</v>
      </c>
      <c r="Y142">
        <f>IF($A142="","",_xlfn.SUMIFS(Compta!$F$1:$F$1448,Compta!$A$1:$A$1448,$B142,Compta!$B$1:$B$1448,"604",Compta!$C$1:$C$1448,$A142)+_xlfn.SUMIFS(Compta!$F$1:$F$1448,Compta!$A$1:$A$1448,$B142,Compta!$B$1:$B$1448,"6063",Compta!$C$1:$C$1448,$A142))</f>
        <v>61804</v>
      </c>
      <c r="Z142">
        <f>IF($A142="","",_xlfn.SUMIFS(Compta!$F$1:$F$1448,Compta!$A$1:$A$1448,$B142,Compta!$B$1:$B$1448,"6231",Compta!$C$1:$C$1448,$A142))</f>
        <v>30258</v>
      </c>
      <c r="AA142">
        <f>IF($A142="","",_xlfn.SUMIFS(Compta!$F$1:$F$1448,Compta!$A$1:$A$1448,$B142,Compta!$B$1:$B$1448,"6413",Compta!$C$1:$C$1448,$A142)+_xlfn.SUMIFS(Compta!$F$1:$F$1448,Compta!$A$1:$A$1448,$B142,Compta!$B$1:$B$1448,"645",Compta!$C$1:$C$1448,$A142)+_xlfn.SUMIFS(Compta!$F$1:$F$1448,Compta!$A$1:$A$1448,$B142,Compta!$B$1:$B$1448,"613",Compta!$C$1:$C$1448,$A142)+_xlfn.SUMIFS(Compta!$F$1:$F$1448,Compta!$A$1:$A$1448,$B142,Compta!$B$1:$B$1448,"615",Compta!$C$1:$C$1448,$A142)+_xlfn.SUMIFS(Compta!$F$1:$F$1448,Compta!$A$1:$A$1448,$B142,Compta!$B$1:$B$1448,"616",Compta!$C$1:$C$1448,$A142)+_xlfn.SUMIFS(Compta!$F$1:$F$1448,Compta!$A$1:$A$1448,$B142,Compta!$B$1:$B$1448,"625",Compta!$C$1:$C$1448,$A142)+_xlfn.SUMIFS(Compta!$F$1:$F$1448,Compta!$A$1:$A$1448,$B142,Compta!$B$1:$B$1448,"63511",Compta!$C$1:$C$1448,$A142))</f>
        <v>453331</v>
      </c>
      <c r="AB142">
        <f>IF($A142="","",_xlfn.SUMIFS(Compta!$F$1:$F$1448,Compta!$A$1:$A$1448,"GRP",Compta!$B$1:$B$1448,"6414",Compta!$C$1:$C$1448,$A142)+_xlfn.SUMIFS(Compta!$F$1:$F$1448,Compta!$A$1:$A$1448,"GRP",Compta!$B$1:$B$1448,"6226",Compta!$C$1:$C$1448,$A142)+_xlfn.SUMIFS(Compta!$F$1:$F$1448,Compta!$A$1:$A$1448,"GRP",Compta!$B$1:$B$1448,"626",Compta!$C$1:$C$1448,$A142)+_xlfn.SUMIFS(Compta!$F$1:$F$1448,Compta!$A$1:$A$1448,"GRP",Compta!$B$1:$B$1448,"6281",Compta!$C$1:$C$1448,$A142)+_xlfn.SUMIFS(Compta!$F$1:$F$1448,Compta!$A$1:$A$1448,"GRP",Compta!$B$1:$B$1448,"6331",Compta!$C$1:$C$1448,$A142)+_xlfn.SUMIFS(Compta!$F$1:$F$1448,Compta!$A$1:$A$1448,"GRP",Compta!$B$1:$B$1448,"6333",Compta!$C$1:$C$1448,$A142))</f>
        <v>2639292</v>
      </c>
      <c r="AC142" t="s">
        <v>274</v>
      </c>
      <c r="AD142" t="s">
        <v>274</v>
      </c>
      <c r="AE142" t="s">
        <v>274</v>
      </c>
      <c r="AF142" t="s">
        <v>274</v>
      </c>
      <c r="AG142" t="s">
        <v>274</v>
      </c>
      <c r="AH142" t="s">
        <v>274</v>
      </c>
      <c r="AI142">
        <f t="shared" si="3"/>
        <v>26144.406779661</v>
      </c>
      <c r="AJ142">
        <f t="shared" si="4"/>
        <v>60405.8474576271</v>
      </c>
      <c r="AK142">
        <f t="shared" si="5"/>
        <v>30770.7530864198</v>
      </c>
      <c r="AL142">
        <f t="shared" si="6"/>
        <v>0</v>
      </c>
      <c r="AM142">
        <f t="shared" si="7"/>
        <v>0</v>
      </c>
      <c r="AN142">
        <f t="shared" si="8"/>
        <v>144668.992676292</v>
      </c>
      <c r="AO142">
        <f>IF($A142="","",_xlfn.SUMIFS(Compta!$F$1:$F$1448,Compta!$A$1:$A$1448,"GRP",Compta!$B$1:$B$1448,"6236",Compta!$C$1:$C$1448,$A142))</f>
        <v>499926</v>
      </c>
      <c r="AP142" t="s">
        <v>274</v>
      </c>
      <c r="AQ142" t="s">
        <v>274</v>
      </c>
      <c r="AR142">
        <f t="shared" si="9"/>
        <v>0</v>
      </c>
    </row>
    <row r="143" ht="14.25" customHeight="1">
      <c r="A143" t="str">
        <f>IF(Allocation!C143="","",Allocation!C143)</f>
        <v>2024</v>
      </c>
      <c r="B143" t="str">
        <f>IF(Allocation!D143="","",Allocation!D143)</f>
        <v>PIGIER_LYO</v>
      </c>
      <c r="C143" t="str">
        <f>IF(Allocation!E143="","",Allocation!E143)</f>
        <v>PIGIER</v>
      </c>
      <c r="D143" t="str">
        <f>IF(Allocation!F143="","",Allocation!F143)</f>
        <v>BTS_GES</v>
      </c>
      <c r="E143" t="str">
        <f>IF(Allocation!G143="","",Allocation!G143)</f>
        <v>BTS2</v>
      </c>
      <c r="F143" t="str">
        <f>IF(Allocation!H143="","",Allocation!H143)</f>
        <v>ALT</v>
      </c>
      <c r="G143">
        <f>IF(Allocation!D143="","",Allocation!I143)</f>
        <v>40</v>
      </c>
      <c r="H143">
        <f>IF(Allocation!D143="","",Allocation!J143)</f>
        <v>2</v>
      </c>
      <c r="I143">
        <f>IF(Allocation!D143="","",Allocation!K143)</f>
        <v>252000</v>
      </c>
      <c r="J143">
        <f>IF($A143="","",_xlfn.SUMIFS(Socle!$K$1:$K$448,Socle!$C$1:$C$448,$B143,Socle!$D$1:$D$448,$D143,Socle!$E$1:$E$448,$E143,Socle!$F$1:$F$448,$F143,Socle!$G$1:$G$448,$A143))</f>
        <v>0</v>
      </c>
      <c r="K143">
        <f t="shared" si="0"/>
        <v>1400</v>
      </c>
      <c r="L143">
        <f>IF($A143="","",_xlfn.SUMIFS(Allocation!$I$1:$I$175,Allocation!$C$1:$C$175,$A143,Allocation!$D$1:$D$175,$B143))</f>
        <v>162</v>
      </c>
      <c r="M143">
        <f>IF($A143="","",_xlfn.SUMIFS(Allocation!$J$1:$J$175,Allocation!$C$1:$C$175,$A143,Allocation!$D$1:$D$175,$B143))</f>
        <v>8</v>
      </c>
      <c r="N143">
        <f>IF($A143="","",_xlfn.SUMIFS(Allocation!$K$1:$K$175,Allocation!$C$1:$C$175,$A143,Allocation!$D$1:$D$175,$B143))</f>
        <v>1113030</v>
      </c>
      <c r="O143">
        <f t="shared" si="1"/>
        <v>4720</v>
      </c>
      <c r="P143">
        <f t="shared" si="2"/>
        <v>164</v>
      </c>
      <c r="Q143">
        <f>IF($A143="","",_xlfn.SUMIFS(Allocation!$I$1:$I$175,Allocation!$C$1:$C$175,$A143,Allocation!$E$1:$E$175,$C143))</f>
        <v>288</v>
      </c>
      <c r="R143">
        <f>IF($A143="","",_xlfn.SUMIFS(Allocation!$J$1:$J$175,Allocation!$C$1:$C$175,$A143,Allocation!$E$1:$E$175,$C143))</f>
        <v>16</v>
      </c>
      <c r="S143">
        <f>IF($A143="","",_xlfn.SUMIFS(Allocation!$K$1:$K$175,Allocation!$C$1:$C$175,$A143,Allocation!$E$1:$E$175,$C143))</f>
        <v>1913220</v>
      </c>
      <c r="T143">
        <f>IF($A143="","",_xlfn.SUMIFS(Allocation!$I$1:$I$175,Allocation!$C$1:$C$175,$A143))</f>
        <v>2704</v>
      </c>
      <c r="U143">
        <f>IF($A143="","",_xlfn.SUMIFS(Allocation!$J$1:$J$175,Allocation!$C$1:$C$175,$A143))</f>
        <v>131</v>
      </c>
      <c r="V143">
        <f>IF($A143="","",_xlfn.SUMIFS(Allocation!$K$1:$K$175,Allocation!$C$1:$C$175,$A143))</f>
        <v>20076860</v>
      </c>
      <c r="W143">
        <f>IF($A143="","",_xlfn.SUMIFS(Compta!$F$1:$F$1448,Compta!$A$1:$A$1448,$B143,Compta!$B$1:$B$1448,"621",Compta!$C$1:$C$1448,$A143))</f>
        <v>88144</v>
      </c>
      <c r="X143">
        <f>IF($A143="","",_xlfn.SUMIFS(Compta!$F$1:$F$1448,Compta!$A$1:$A$1448,$B143,Compta!$B$1:$B$1448,"6411",Compta!$C$1:$C$1448,$A143))</f>
        <v>203654</v>
      </c>
      <c r="Y143">
        <f>IF($A143="","",_xlfn.SUMIFS(Compta!$F$1:$F$1448,Compta!$A$1:$A$1448,$B143,Compta!$B$1:$B$1448,"604",Compta!$C$1:$C$1448,$A143)+_xlfn.SUMIFS(Compta!$F$1:$F$1448,Compta!$A$1:$A$1448,$B143,Compta!$B$1:$B$1448,"6063",Compta!$C$1:$C$1448,$A143))</f>
        <v>61804</v>
      </c>
      <c r="Z143">
        <f>IF($A143="","",_xlfn.SUMIFS(Compta!$F$1:$F$1448,Compta!$A$1:$A$1448,$B143,Compta!$B$1:$B$1448,"6231",Compta!$C$1:$C$1448,$A143))</f>
        <v>30258</v>
      </c>
      <c r="AA143">
        <f>IF($A143="","",_xlfn.SUMIFS(Compta!$F$1:$F$1448,Compta!$A$1:$A$1448,$B143,Compta!$B$1:$B$1448,"6413",Compta!$C$1:$C$1448,$A143)+_xlfn.SUMIFS(Compta!$F$1:$F$1448,Compta!$A$1:$A$1448,$B143,Compta!$B$1:$B$1448,"645",Compta!$C$1:$C$1448,$A143)+_xlfn.SUMIFS(Compta!$F$1:$F$1448,Compta!$A$1:$A$1448,$B143,Compta!$B$1:$B$1448,"613",Compta!$C$1:$C$1448,$A143)+_xlfn.SUMIFS(Compta!$F$1:$F$1448,Compta!$A$1:$A$1448,$B143,Compta!$B$1:$B$1448,"615",Compta!$C$1:$C$1448,$A143)+_xlfn.SUMIFS(Compta!$F$1:$F$1448,Compta!$A$1:$A$1448,$B143,Compta!$B$1:$B$1448,"616",Compta!$C$1:$C$1448,$A143)+_xlfn.SUMIFS(Compta!$F$1:$F$1448,Compta!$A$1:$A$1448,$B143,Compta!$B$1:$B$1448,"625",Compta!$C$1:$C$1448,$A143)+_xlfn.SUMIFS(Compta!$F$1:$F$1448,Compta!$A$1:$A$1448,$B143,Compta!$B$1:$B$1448,"63511",Compta!$C$1:$C$1448,$A143))</f>
        <v>453331</v>
      </c>
      <c r="AB143">
        <f>IF($A143="","",_xlfn.SUMIFS(Compta!$F$1:$F$1448,Compta!$A$1:$A$1448,"GRP",Compta!$B$1:$B$1448,"6414",Compta!$C$1:$C$1448,$A143)+_xlfn.SUMIFS(Compta!$F$1:$F$1448,Compta!$A$1:$A$1448,"GRP",Compta!$B$1:$B$1448,"6226",Compta!$C$1:$C$1448,$A143)+_xlfn.SUMIFS(Compta!$F$1:$F$1448,Compta!$A$1:$A$1448,"GRP",Compta!$B$1:$B$1448,"626",Compta!$C$1:$C$1448,$A143)+_xlfn.SUMIFS(Compta!$F$1:$F$1448,Compta!$A$1:$A$1448,"GRP",Compta!$B$1:$B$1448,"6281",Compta!$C$1:$C$1448,$A143)+_xlfn.SUMIFS(Compta!$F$1:$F$1448,Compta!$A$1:$A$1448,"GRP",Compta!$B$1:$B$1448,"6331",Compta!$C$1:$C$1448,$A143)+_xlfn.SUMIFS(Compta!$F$1:$F$1448,Compta!$A$1:$A$1448,"GRP",Compta!$B$1:$B$1448,"6333",Compta!$C$1:$C$1448,$A143))</f>
        <v>2639292</v>
      </c>
      <c r="AC143" t="s">
        <v>274</v>
      </c>
      <c r="AD143" t="s">
        <v>274</v>
      </c>
      <c r="AE143" t="s">
        <v>274</v>
      </c>
      <c r="AF143" t="s">
        <v>274</v>
      </c>
      <c r="AG143" t="s">
        <v>274</v>
      </c>
      <c r="AH143" t="s">
        <v>274</v>
      </c>
      <c r="AI143">
        <f t="shared" si="3"/>
        <v>26144.406779661</v>
      </c>
      <c r="AJ143">
        <f t="shared" si="4"/>
        <v>60405.8474576271</v>
      </c>
      <c r="AK143">
        <f t="shared" si="5"/>
        <v>15260.2469135802</v>
      </c>
      <c r="AL143">
        <f t="shared" si="6"/>
        <v>0</v>
      </c>
      <c r="AM143">
        <f t="shared" si="7"/>
        <v>0</v>
      </c>
      <c r="AN143">
        <f t="shared" si="8"/>
        <v>150189.498849132</v>
      </c>
      <c r="AO143">
        <f>IF($A143="","",_xlfn.SUMIFS(Compta!$F$1:$F$1448,Compta!$A$1:$A$1448,"GRP",Compta!$B$1:$B$1448,"6236",Compta!$C$1:$C$1448,$A143))</f>
        <v>499926</v>
      </c>
      <c r="AP143" t="s">
        <v>274</v>
      </c>
      <c r="AQ143" t="s">
        <v>274</v>
      </c>
      <c r="AR143">
        <f t="shared" si="9"/>
        <v>0</v>
      </c>
    </row>
    <row r="144" ht="14.25" customHeight="1">
      <c r="A144" t="str">
        <f>IF(Allocation!C144="","",Allocation!C144)</f>
        <v>2024</v>
      </c>
      <c r="B144" t="str">
        <f>IF(Allocation!D144="","",Allocation!D144)</f>
        <v>PIGIER_LYO</v>
      </c>
      <c r="C144" t="str">
        <f>IF(Allocation!E144="","",Allocation!E144)</f>
        <v>PIGIER</v>
      </c>
      <c r="D144" t="str">
        <f>IF(Allocation!F144="","",Allocation!F144)</f>
        <v>BAC_RH</v>
      </c>
      <c r="E144" t="str">
        <f>IF(Allocation!G144="","",Allocation!G144)</f>
        <v>B1</v>
      </c>
      <c r="F144" t="str">
        <f>IF(Allocation!H144="","",Allocation!H144)</f>
        <v>ALT</v>
      </c>
      <c r="G144">
        <f>IF(Allocation!D144="","",Allocation!I144)</f>
        <v>41</v>
      </c>
      <c r="H144">
        <f>IF(Allocation!D144="","",Allocation!J144)</f>
        <v>2</v>
      </c>
      <c r="I144">
        <f>IF(Allocation!D144="","",Allocation!K144)</f>
        <v>305040</v>
      </c>
      <c r="J144">
        <f>IF($A144="","",_xlfn.SUMIFS(Socle!$K$1:$K$448,Socle!$C$1:$C$448,$B144,Socle!$D$1:$D$448,$D144,Socle!$E$1:$E$448,$E144,Socle!$F$1:$F$448,$F144,Socle!$G$1:$G$448,$A144))</f>
        <v>82</v>
      </c>
      <c r="K144">
        <f t="shared" si="0"/>
        <v>960</v>
      </c>
      <c r="L144">
        <f>IF($A144="","",_xlfn.SUMIFS(Allocation!$I$1:$I$175,Allocation!$C$1:$C$175,$A144,Allocation!$D$1:$D$175,$B144))</f>
        <v>162</v>
      </c>
      <c r="M144">
        <f>IF($A144="","",_xlfn.SUMIFS(Allocation!$J$1:$J$175,Allocation!$C$1:$C$175,$A144,Allocation!$D$1:$D$175,$B144))</f>
        <v>8</v>
      </c>
      <c r="N144">
        <f>IF($A144="","",_xlfn.SUMIFS(Allocation!$K$1:$K$175,Allocation!$C$1:$C$175,$A144,Allocation!$D$1:$D$175,$B144))</f>
        <v>1113030</v>
      </c>
      <c r="O144">
        <f t="shared" si="1"/>
        <v>4720</v>
      </c>
      <c r="P144">
        <f t="shared" si="2"/>
        <v>164</v>
      </c>
      <c r="Q144">
        <f>IF($A144="","",_xlfn.SUMIFS(Allocation!$I$1:$I$175,Allocation!$C$1:$C$175,$A144,Allocation!$E$1:$E$175,$C144))</f>
        <v>288</v>
      </c>
      <c r="R144">
        <f>IF($A144="","",_xlfn.SUMIFS(Allocation!$J$1:$J$175,Allocation!$C$1:$C$175,$A144,Allocation!$E$1:$E$175,$C144))</f>
        <v>16</v>
      </c>
      <c r="S144">
        <f>IF($A144="","",_xlfn.SUMIFS(Allocation!$K$1:$K$175,Allocation!$C$1:$C$175,$A144,Allocation!$E$1:$E$175,$C144))</f>
        <v>1913220</v>
      </c>
      <c r="T144">
        <f>IF($A144="","",_xlfn.SUMIFS(Allocation!$I$1:$I$175,Allocation!$C$1:$C$175,$A144))</f>
        <v>2704</v>
      </c>
      <c r="U144">
        <f>IF($A144="","",_xlfn.SUMIFS(Allocation!$J$1:$J$175,Allocation!$C$1:$C$175,$A144))</f>
        <v>131</v>
      </c>
      <c r="V144">
        <f>IF($A144="","",_xlfn.SUMIFS(Allocation!$K$1:$K$175,Allocation!$C$1:$C$175,$A144))</f>
        <v>20076860</v>
      </c>
      <c r="W144">
        <f>IF($A144="","",_xlfn.SUMIFS(Compta!$F$1:$F$1448,Compta!$A$1:$A$1448,$B144,Compta!$B$1:$B$1448,"621",Compta!$C$1:$C$1448,$A144))</f>
        <v>88144</v>
      </c>
      <c r="X144">
        <f>IF($A144="","",_xlfn.SUMIFS(Compta!$F$1:$F$1448,Compta!$A$1:$A$1448,$B144,Compta!$B$1:$B$1448,"6411",Compta!$C$1:$C$1448,$A144))</f>
        <v>203654</v>
      </c>
      <c r="Y144">
        <f>IF($A144="","",_xlfn.SUMIFS(Compta!$F$1:$F$1448,Compta!$A$1:$A$1448,$B144,Compta!$B$1:$B$1448,"604",Compta!$C$1:$C$1448,$A144)+_xlfn.SUMIFS(Compta!$F$1:$F$1448,Compta!$A$1:$A$1448,$B144,Compta!$B$1:$B$1448,"6063",Compta!$C$1:$C$1448,$A144))</f>
        <v>61804</v>
      </c>
      <c r="Z144">
        <f>IF($A144="","",_xlfn.SUMIFS(Compta!$F$1:$F$1448,Compta!$A$1:$A$1448,$B144,Compta!$B$1:$B$1448,"6231",Compta!$C$1:$C$1448,$A144))</f>
        <v>30258</v>
      </c>
      <c r="AA144">
        <f>IF($A144="","",_xlfn.SUMIFS(Compta!$F$1:$F$1448,Compta!$A$1:$A$1448,$B144,Compta!$B$1:$B$1448,"6413",Compta!$C$1:$C$1448,$A144)+_xlfn.SUMIFS(Compta!$F$1:$F$1448,Compta!$A$1:$A$1448,$B144,Compta!$B$1:$B$1448,"645",Compta!$C$1:$C$1448,$A144)+_xlfn.SUMIFS(Compta!$F$1:$F$1448,Compta!$A$1:$A$1448,$B144,Compta!$B$1:$B$1448,"613",Compta!$C$1:$C$1448,$A144)+_xlfn.SUMIFS(Compta!$F$1:$F$1448,Compta!$A$1:$A$1448,$B144,Compta!$B$1:$B$1448,"615",Compta!$C$1:$C$1448,$A144)+_xlfn.SUMIFS(Compta!$F$1:$F$1448,Compta!$A$1:$A$1448,$B144,Compta!$B$1:$B$1448,"616",Compta!$C$1:$C$1448,$A144)+_xlfn.SUMIFS(Compta!$F$1:$F$1448,Compta!$A$1:$A$1448,$B144,Compta!$B$1:$B$1448,"625",Compta!$C$1:$C$1448,$A144)+_xlfn.SUMIFS(Compta!$F$1:$F$1448,Compta!$A$1:$A$1448,$B144,Compta!$B$1:$B$1448,"63511",Compta!$C$1:$C$1448,$A144))</f>
        <v>453331</v>
      </c>
      <c r="AB144">
        <f>IF($A144="","",_xlfn.SUMIFS(Compta!$F$1:$F$1448,Compta!$A$1:$A$1448,"GRP",Compta!$B$1:$B$1448,"6414",Compta!$C$1:$C$1448,$A144)+_xlfn.SUMIFS(Compta!$F$1:$F$1448,Compta!$A$1:$A$1448,"GRP",Compta!$B$1:$B$1448,"6226",Compta!$C$1:$C$1448,$A144)+_xlfn.SUMIFS(Compta!$F$1:$F$1448,Compta!$A$1:$A$1448,"GRP",Compta!$B$1:$B$1448,"626",Compta!$C$1:$C$1448,$A144)+_xlfn.SUMIFS(Compta!$F$1:$F$1448,Compta!$A$1:$A$1448,"GRP",Compta!$B$1:$B$1448,"6281",Compta!$C$1:$C$1448,$A144)+_xlfn.SUMIFS(Compta!$F$1:$F$1448,Compta!$A$1:$A$1448,"GRP",Compta!$B$1:$B$1448,"6331",Compta!$C$1:$C$1448,$A144)+_xlfn.SUMIFS(Compta!$F$1:$F$1448,Compta!$A$1:$A$1448,"GRP",Compta!$B$1:$B$1448,"6333",Compta!$C$1:$C$1448,$A144))</f>
        <v>2639292</v>
      </c>
      <c r="AC144" t="s">
        <v>274</v>
      </c>
      <c r="AD144" t="s">
        <v>274</v>
      </c>
      <c r="AE144" t="s">
        <v>274</v>
      </c>
      <c r="AF144" t="s">
        <v>274</v>
      </c>
      <c r="AG144" t="s">
        <v>274</v>
      </c>
      <c r="AH144" t="s">
        <v>274</v>
      </c>
      <c r="AI144">
        <f t="shared" si="3"/>
        <v>17927.593220339</v>
      </c>
      <c r="AJ144">
        <f t="shared" si="4"/>
        <v>41421.1525423729</v>
      </c>
      <c r="AK144">
        <f t="shared" si="5"/>
        <v>30770.7530864198</v>
      </c>
      <c r="AL144">
        <f t="shared" si="6"/>
        <v>0</v>
      </c>
      <c r="AM144">
        <f t="shared" si="7"/>
        <v>0</v>
      </c>
      <c r="AN144">
        <f t="shared" si="8"/>
        <v>214920.501150868</v>
      </c>
      <c r="AO144">
        <f>IF($A144="","",_xlfn.SUMIFS(Compta!$F$1:$F$1448,Compta!$A$1:$A$1448,"GRP",Compta!$B$1:$B$1448,"6236",Compta!$C$1:$C$1448,$A144))</f>
        <v>499926</v>
      </c>
      <c r="AP144" t="s">
        <v>274</v>
      </c>
      <c r="AQ144" t="s">
        <v>274</v>
      </c>
      <c r="AR144">
        <f t="shared" si="9"/>
        <v>0</v>
      </c>
    </row>
    <row r="145" ht="14.25" customHeight="1">
      <c r="A145" t="str">
        <f>IF(Allocation!C145="","",Allocation!C145)</f>
        <v>2024</v>
      </c>
      <c r="B145" t="str">
        <f>IF(Allocation!D145="","",Allocation!D145)</f>
        <v>PIGIER_LYO</v>
      </c>
      <c r="C145" t="str">
        <f>IF(Allocation!E145="","",Allocation!E145)</f>
        <v>PIGIER</v>
      </c>
      <c r="D145" t="str">
        <f>IF(Allocation!F145="","",Allocation!F145)</f>
        <v>BAC_RH</v>
      </c>
      <c r="E145" t="str">
        <f>IF(Allocation!G145="","",Allocation!G145)</f>
        <v>B3</v>
      </c>
      <c r="F145" t="str">
        <f>IF(Allocation!H145="","",Allocation!H145)</f>
        <v>ALT</v>
      </c>
      <c r="G145">
        <f>IF(Allocation!D145="","",Allocation!I145)</f>
        <v>40</v>
      </c>
      <c r="H145">
        <f>IF(Allocation!D145="","",Allocation!J145)</f>
        <v>2</v>
      </c>
      <c r="I145">
        <f>IF(Allocation!D145="","",Allocation!K145)</f>
        <v>294000</v>
      </c>
      <c r="J145">
        <f>IF($A145="","",_xlfn.SUMIFS(Socle!$K$1:$K$448,Socle!$C$1:$C$448,$B145,Socle!$D$1:$D$448,$D145,Socle!$E$1:$E$448,$E145,Socle!$F$1:$F$448,$F145,Socle!$G$1:$G$448,$A145))</f>
        <v>0</v>
      </c>
      <c r="K145">
        <f t="shared" si="0"/>
        <v>960</v>
      </c>
      <c r="L145">
        <f>IF($A145="","",_xlfn.SUMIFS(Allocation!$I$1:$I$175,Allocation!$C$1:$C$175,$A145,Allocation!$D$1:$D$175,$B145))</f>
        <v>162</v>
      </c>
      <c r="M145">
        <f>IF($A145="","",_xlfn.SUMIFS(Allocation!$J$1:$J$175,Allocation!$C$1:$C$175,$A145,Allocation!$D$1:$D$175,$B145))</f>
        <v>8</v>
      </c>
      <c r="N145">
        <f>IF($A145="","",_xlfn.SUMIFS(Allocation!$K$1:$K$175,Allocation!$C$1:$C$175,$A145,Allocation!$D$1:$D$175,$B145))</f>
        <v>1113030</v>
      </c>
      <c r="O145">
        <f t="shared" si="1"/>
        <v>4720</v>
      </c>
      <c r="P145">
        <f t="shared" si="2"/>
        <v>164</v>
      </c>
      <c r="Q145">
        <f>IF($A145="","",_xlfn.SUMIFS(Allocation!$I$1:$I$175,Allocation!$C$1:$C$175,$A145,Allocation!$E$1:$E$175,$C145))</f>
        <v>288</v>
      </c>
      <c r="R145">
        <f>IF($A145="","",_xlfn.SUMIFS(Allocation!$J$1:$J$175,Allocation!$C$1:$C$175,$A145,Allocation!$E$1:$E$175,$C145))</f>
        <v>16</v>
      </c>
      <c r="S145">
        <f>IF($A145="","",_xlfn.SUMIFS(Allocation!$K$1:$K$175,Allocation!$C$1:$C$175,$A145,Allocation!$E$1:$E$175,$C145))</f>
        <v>1913220</v>
      </c>
      <c r="T145">
        <f>IF($A145="","",_xlfn.SUMIFS(Allocation!$I$1:$I$175,Allocation!$C$1:$C$175,$A145))</f>
        <v>2704</v>
      </c>
      <c r="U145">
        <f>IF($A145="","",_xlfn.SUMIFS(Allocation!$J$1:$J$175,Allocation!$C$1:$C$175,$A145))</f>
        <v>131</v>
      </c>
      <c r="V145">
        <f>IF($A145="","",_xlfn.SUMIFS(Allocation!$K$1:$K$175,Allocation!$C$1:$C$175,$A145))</f>
        <v>20076860</v>
      </c>
      <c r="W145">
        <f>IF($A145="","",_xlfn.SUMIFS(Compta!$F$1:$F$1448,Compta!$A$1:$A$1448,$B145,Compta!$B$1:$B$1448,"621",Compta!$C$1:$C$1448,$A145))</f>
        <v>88144</v>
      </c>
      <c r="X145">
        <f>IF($A145="","",_xlfn.SUMIFS(Compta!$F$1:$F$1448,Compta!$A$1:$A$1448,$B145,Compta!$B$1:$B$1448,"6411",Compta!$C$1:$C$1448,$A145))</f>
        <v>203654</v>
      </c>
      <c r="Y145">
        <f>IF($A145="","",_xlfn.SUMIFS(Compta!$F$1:$F$1448,Compta!$A$1:$A$1448,$B145,Compta!$B$1:$B$1448,"604",Compta!$C$1:$C$1448,$A145)+_xlfn.SUMIFS(Compta!$F$1:$F$1448,Compta!$A$1:$A$1448,$B145,Compta!$B$1:$B$1448,"6063",Compta!$C$1:$C$1448,$A145))</f>
        <v>61804</v>
      </c>
      <c r="Z145">
        <f>IF($A145="","",_xlfn.SUMIFS(Compta!$F$1:$F$1448,Compta!$A$1:$A$1448,$B145,Compta!$B$1:$B$1448,"6231",Compta!$C$1:$C$1448,$A145))</f>
        <v>30258</v>
      </c>
      <c r="AA145">
        <f>IF($A145="","",_xlfn.SUMIFS(Compta!$F$1:$F$1448,Compta!$A$1:$A$1448,$B145,Compta!$B$1:$B$1448,"6413",Compta!$C$1:$C$1448,$A145)+_xlfn.SUMIFS(Compta!$F$1:$F$1448,Compta!$A$1:$A$1448,$B145,Compta!$B$1:$B$1448,"645",Compta!$C$1:$C$1448,$A145)+_xlfn.SUMIFS(Compta!$F$1:$F$1448,Compta!$A$1:$A$1448,$B145,Compta!$B$1:$B$1448,"613",Compta!$C$1:$C$1448,$A145)+_xlfn.SUMIFS(Compta!$F$1:$F$1448,Compta!$A$1:$A$1448,$B145,Compta!$B$1:$B$1448,"615",Compta!$C$1:$C$1448,$A145)+_xlfn.SUMIFS(Compta!$F$1:$F$1448,Compta!$A$1:$A$1448,$B145,Compta!$B$1:$B$1448,"616",Compta!$C$1:$C$1448,$A145)+_xlfn.SUMIFS(Compta!$F$1:$F$1448,Compta!$A$1:$A$1448,$B145,Compta!$B$1:$B$1448,"625",Compta!$C$1:$C$1448,$A145)+_xlfn.SUMIFS(Compta!$F$1:$F$1448,Compta!$A$1:$A$1448,$B145,Compta!$B$1:$B$1448,"63511",Compta!$C$1:$C$1448,$A145))</f>
        <v>453331</v>
      </c>
      <c r="AB145">
        <f>IF($A145="","",_xlfn.SUMIFS(Compta!$F$1:$F$1448,Compta!$A$1:$A$1448,"GRP",Compta!$B$1:$B$1448,"6414",Compta!$C$1:$C$1448,$A145)+_xlfn.SUMIFS(Compta!$F$1:$F$1448,Compta!$A$1:$A$1448,"GRP",Compta!$B$1:$B$1448,"6226",Compta!$C$1:$C$1448,$A145)+_xlfn.SUMIFS(Compta!$F$1:$F$1448,Compta!$A$1:$A$1448,"GRP",Compta!$B$1:$B$1448,"626",Compta!$C$1:$C$1448,$A145)+_xlfn.SUMIFS(Compta!$F$1:$F$1448,Compta!$A$1:$A$1448,"GRP",Compta!$B$1:$B$1448,"6281",Compta!$C$1:$C$1448,$A145)+_xlfn.SUMIFS(Compta!$F$1:$F$1448,Compta!$A$1:$A$1448,"GRP",Compta!$B$1:$B$1448,"6331",Compta!$C$1:$C$1448,$A145)+_xlfn.SUMIFS(Compta!$F$1:$F$1448,Compta!$A$1:$A$1448,"GRP",Compta!$B$1:$B$1448,"6333",Compta!$C$1:$C$1448,$A145))</f>
        <v>2639292</v>
      </c>
      <c r="AC145" t="s">
        <v>274</v>
      </c>
      <c r="AD145" t="s">
        <v>274</v>
      </c>
      <c r="AE145" t="s">
        <v>274</v>
      </c>
      <c r="AF145" t="s">
        <v>274</v>
      </c>
      <c r="AG145" t="s">
        <v>274</v>
      </c>
      <c r="AH145" t="s">
        <v>274</v>
      </c>
      <c r="AI145">
        <f t="shared" si="3"/>
        <v>17927.593220339</v>
      </c>
      <c r="AJ145">
        <f t="shared" si="4"/>
        <v>41421.1525423729</v>
      </c>
      <c r="AK145">
        <f t="shared" si="5"/>
        <v>15260.2469135802</v>
      </c>
      <c r="AL145">
        <f t="shared" si="6"/>
        <v>0</v>
      </c>
      <c r="AM145">
        <f t="shared" si="7"/>
        <v>0</v>
      </c>
      <c r="AN145">
        <f t="shared" si="8"/>
        <v>219391.007323708</v>
      </c>
      <c r="AO145">
        <f>IF($A145="","",_xlfn.SUMIFS(Compta!$F$1:$F$1448,Compta!$A$1:$A$1448,"GRP",Compta!$B$1:$B$1448,"6236",Compta!$C$1:$C$1448,$A145))</f>
        <v>499926</v>
      </c>
      <c r="AP145" t="s">
        <v>274</v>
      </c>
      <c r="AQ145" t="s">
        <v>274</v>
      </c>
      <c r="AR145">
        <f t="shared" si="9"/>
        <v>0</v>
      </c>
    </row>
    <row r="146" ht="14.25" customHeight="1">
      <c r="A146" t="str">
        <f>IF(Allocation!C146="","",Allocation!C146)</f>
        <v>2026</v>
      </c>
      <c r="B146" t="str">
        <f>IF(Allocation!D146="","",Allocation!D146)</f>
        <v>PIGIER_BOR</v>
      </c>
      <c r="C146" t="str">
        <f>IF(Allocation!E146="","",Allocation!E146)</f>
        <v>PIGIER</v>
      </c>
      <c r="D146" t="str">
        <f>IF(Allocation!F146="","",Allocation!F146)</f>
        <v>BTS_GES</v>
      </c>
      <c r="E146" t="str">
        <f>IF(Allocation!G146="","",Allocation!G146)</f>
        <v>BTS1</v>
      </c>
      <c r="F146" t="str">
        <f>IF(Allocation!H146="","",Allocation!H146)</f>
        <v>ALT</v>
      </c>
      <c r="G146">
        <f>IF(Allocation!D146="","",Allocation!I146)</f>
        <v>36</v>
      </c>
      <c r="H146">
        <f>IF(Allocation!D146="","",Allocation!J146)</f>
        <v>2</v>
      </c>
      <c r="I146">
        <f>IF(Allocation!D146="","",Allocation!K146)</f>
        <v>212760</v>
      </c>
      <c r="J146">
        <f>IF($A146="","",_xlfn.SUMIFS(Socle!$K$1:$K$448,Socle!$C$1:$C$448,$B146,Socle!$D$1:$D$448,$D146,Socle!$E$1:$E$448,$E146,Socle!$F$1:$F$448,$F146,Socle!$G$1:$G$448,$A146))</f>
        <v>72</v>
      </c>
      <c r="K146">
        <f t="shared" si="0"/>
        <v>1400</v>
      </c>
      <c r="L146">
        <f>IF($A146="","",_xlfn.SUMIFS(Allocation!$I$1:$I$175,Allocation!$C$1:$C$175,$A146,Allocation!$D$1:$D$175,$B146))</f>
        <v>142</v>
      </c>
      <c r="M146">
        <f>IF($A146="","",_xlfn.SUMIFS(Allocation!$J$1:$J$175,Allocation!$C$1:$C$175,$A146,Allocation!$D$1:$D$175,$B146))</f>
        <v>8</v>
      </c>
      <c r="N146">
        <f>IF($A146="","",_xlfn.SUMIFS(Allocation!$K$1:$K$175,Allocation!$C$1:$C$175,$A146,Allocation!$D$1:$D$175,$B146))</f>
        <v>901790</v>
      </c>
      <c r="O146">
        <f t="shared" si="1"/>
        <v>4720</v>
      </c>
      <c r="P146">
        <f t="shared" si="2"/>
        <v>144</v>
      </c>
      <c r="Q146">
        <f>IF($A146="","",_xlfn.SUMIFS(Allocation!$I$1:$I$175,Allocation!$C$1:$C$175,$A146,Allocation!$E$1:$E$175,$C146))</f>
        <v>324</v>
      </c>
      <c r="R146">
        <f>IF($A146="","",_xlfn.SUMIFS(Allocation!$J$1:$J$175,Allocation!$C$1:$C$175,$A146,Allocation!$E$1:$E$175,$C146))</f>
        <v>16</v>
      </c>
      <c r="S146">
        <f>IF($A146="","",_xlfn.SUMIFS(Allocation!$K$1:$K$175,Allocation!$C$1:$C$175,$A146,Allocation!$E$1:$E$175,$C146))</f>
        <v>2152220</v>
      </c>
      <c r="T146">
        <f>IF($A146="","",_xlfn.SUMIFS(Allocation!$I$1:$I$175,Allocation!$C$1:$C$175,$A146))</f>
        <v>3036</v>
      </c>
      <c r="U146">
        <f>IF($A146="","",_xlfn.SUMIFS(Allocation!$J$1:$J$175,Allocation!$C$1:$C$175,$A146))</f>
        <v>131</v>
      </c>
      <c r="V146">
        <f>IF($A146="","",_xlfn.SUMIFS(Allocation!$K$1:$K$175,Allocation!$C$1:$C$175,$A146))</f>
        <v>22544725</v>
      </c>
      <c r="W146">
        <f>IF($A146="","",_xlfn.SUMIFS(Compta!$F$1:$F$1448,Compta!$A$1:$A$1448,$B146,Compta!$B$1:$B$1448,"621",Compta!$C$1:$C$1448,$A146))</f>
        <v>96583</v>
      </c>
      <c r="X146">
        <f>IF($A146="","",_xlfn.SUMIFS(Compta!$F$1:$F$1448,Compta!$A$1:$A$1448,$B146,Compta!$B$1:$B$1448,"6411",Compta!$C$1:$C$1448,$A146))</f>
        <v>209206</v>
      </c>
      <c r="Y146">
        <f>IF($A146="","",_xlfn.SUMIFS(Compta!$F$1:$F$1448,Compta!$A$1:$A$1448,$B146,Compta!$B$1:$B$1448,"604",Compta!$C$1:$C$1448,$A146)+_xlfn.SUMIFS(Compta!$F$1:$F$1448,Compta!$A$1:$A$1448,$B146,Compta!$B$1:$B$1448,"6063",Compta!$C$1:$C$1448,$A146))</f>
        <v>52838</v>
      </c>
      <c r="Z146">
        <f>IF($A146="","",_xlfn.SUMIFS(Compta!$F$1:$F$1448,Compta!$A$1:$A$1448,$B146,Compta!$B$1:$B$1448,"6231",Compta!$C$1:$C$1448,$A146))</f>
        <v>21968</v>
      </c>
      <c r="AA146">
        <f>IF($A146="","",_xlfn.SUMIFS(Compta!$F$1:$F$1448,Compta!$A$1:$A$1448,$B146,Compta!$B$1:$B$1448,"6413",Compta!$C$1:$C$1448,$A146)+_xlfn.SUMIFS(Compta!$F$1:$F$1448,Compta!$A$1:$A$1448,$B146,Compta!$B$1:$B$1448,"645",Compta!$C$1:$C$1448,$A146)+_xlfn.SUMIFS(Compta!$F$1:$F$1448,Compta!$A$1:$A$1448,$B146,Compta!$B$1:$B$1448,"613",Compta!$C$1:$C$1448,$A146)+_xlfn.SUMIFS(Compta!$F$1:$F$1448,Compta!$A$1:$A$1448,$B146,Compta!$B$1:$B$1448,"615",Compta!$C$1:$C$1448,$A146)+_xlfn.SUMIFS(Compta!$F$1:$F$1448,Compta!$A$1:$A$1448,$B146,Compta!$B$1:$B$1448,"616",Compta!$C$1:$C$1448,$A146)+_xlfn.SUMIFS(Compta!$F$1:$F$1448,Compta!$A$1:$A$1448,$B146,Compta!$B$1:$B$1448,"625",Compta!$C$1:$C$1448,$A146)+_xlfn.SUMIFS(Compta!$F$1:$F$1448,Compta!$A$1:$A$1448,$B146,Compta!$B$1:$B$1448,"63511",Compta!$C$1:$C$1448,$A146))</f>
        <v>398498</v>
      </c>
      <c r="AB146">
        <f>IF($A146="","",_xlfn.SUMIFS(Compta!$F$1:$F$1448,Compta!$A$1:$A$1448,"GRP",Compta!$B$1:$B$1448,"6414",Compta!$C$1:$C$1448,$A146)+_xlfn.SUMIFS(Compta!$F$1:$F$1448,Compta!$A$1:$A$1448,"GRP",Compta!$B$1:$B$1448,"6226",Compta!$C$1:$C$1448,$A146)+_xlfn.SUMIFS(Compta!$F$1:$F$1448,Compta!$A$1:$A$1448,"GRP",Compta!$B$1:$B$1448,"626",Compta!$C$1:$C$1448,$A146)+_xlfn.SUMIFS(Compta!$F$1:$F$1448,Compta!$A$1:$A$1448,"GRP",Compta!$B$1:$B$1448,"6281",Compta!$C$1:$C$1448,$A146)+_xlfn.SUMIFS(Compta!$F$1:$F$1448,Compta!$A$1:$A$1448,"GRP",Compta!$B$1:$B$1448,"6331",Compta!$C$1:$C$1448,$A146)+_xlfn.SUMIFS(Compta!$F$1:$F$1448,Compta!$A$1:$A$1448,"GRP",Compta!$B$1:$B$1448,"6333",Compta!$C$1:$C$1448,$A146))</f>
        <v>2891983</v>
      </c>
      <c r="AC146" t="s">
        <v>274</v>
      </c>
      <c r="AD146" t="s">
        <v>274</v>
      </c>
      <c r="AE146" t="s">
        <v>274</v>
      </c>
      <c r="AF146" t="s">
        <v>274</v>
      </c>
      <c r="AG146" t="s">
        <v>274</v>
      </c>
      <c r="AH146" t="s">
        <v>274</v>
      </c>
      <c r="AI146">
        <f t="shared" si="3"/>
        <v>28647.5</v>
      </c>
      <c r="AJ146">
        <f t="shared" si="4"/>
        <v>62052.6271186441</v>
      </c>
      <c r="AK146">
        <f t="shared" si="5"/>
        <v>24379.5492957746</v>
      </c>
      <c r="AL146">
        <f t="shared" si="6"/>
        <v>0</v>
      </c>
      <c r="AM146">
        <f t="shared" si="7"/>
        <v>0</v>
      </c>
      <c r="AN146">
        <f t="shared" si="8"/>
        <v>97680.3235855813</v>
      </c>
      <c r="AO146">
        <f>IF($A146="","",_xlfn.SUMIFS(Compta!$F$1:$F$1448,Compta!$A$1:$A$1448,"GRP",Compta!$B$1:$B$1448,"6236",Compta!$C$1:$C$1448,$A146))</f>
        <v>676344</v>
      </c>
      <c r="AP146" t="s">
        <v>274</v>
      </c>
      <c r="AQ146" t="s">
        <v>274</v>
      </c>
      <c r="AR146">
        <f t="shared" si="9"/>
        <v>0</v>
      </c>
    </row>
    <row r="147" ht="14.25" customHeight="1">
      <c r="A147" t="str">
        <f>IF(Allocation!C147="","",Allocation!C147)</f>
        <v>2026</v>
      </c>
      <c r="B147" t="str">
        <f>IF(Allocation!D147="","",Allocation!D147)</f>
        <v>PIGIER_BOR</v>
      </c>
      <c r="C147" t="str">
        <f>IF(Allocation!E147="","",Allocation!E147)</f>
        <v>PIGIER</v>
      </c>
      <c r="D147" t="str">
        <f>IF(Allocation!F147="","",Allocation!F147)</f>
        <v>BTS_GES</v>
      </c>
      <c r="E147" t="str">
        <f>IF(Allocation!G147="","",Allocation!G147)</f>
        <v>BTS2</v>
      </c>
      <c r="F147" t="str">
        <f>IF(Allocation!H147="","",Allocation!H147)</f>
        <v>ALT</v>
      </c>
      <c r="G147">
        <f>IF(Allocation!D147="","",Allocation!I147)</f>
        <v>35</v>
      </c>
      <c r="H147">
        <f>IF(Allocation!D147="","",Allocation!J147)</f>
        <v>2</v>
      </c>
      <c r="I147">
        <f>IF(Allocation!D147="","",Allocation!K147)</f>
        <v>203700</v>
      </c>
      <c r="J147">
        <f>IF($A147="","",_xlfn.SUMIFS(Socle!$K$1:$K$448,Socle!$C$1:$C$448,$B147,Socle!$D$1:$D$448,$D147,Socle!$E$1:$E$448,$E147,Socle!$F$1:$F$448,$F147,Socle!$G$1:$G$448,$A147))</f>
        <v>0</v>
      </c>
      <c r="K147">
        <f t="shared" si="0"/>
        <v>1400</v>
      </c>
      <c r="L147">
        <f>IF($A147="","",_xlfn.SUMIFS(Allocation!$I$1:$I$175,Allocation!$C$1:$C$175,$A147,Allocation!$D$1:$D$175,$B147))</f>
        <v>142</v>
      </c>
      <c r="M147">
        <f>IF($A147="","",_xlfn.SUMIFS(Allocation!$J$1:$J$175,Allocation!$C$1:$C$175,$A147,Allocation!$D$1:$D$175,$B147))</f>
        <v>8</v>
      </c>
      <c r="N147">
        <f>IF($A147="","",_xlfn.SUMIFS(Allocation!$K$1:$K$175,Allocation!$C$1:$C$175,$A147,Allocation!$D$1:$D$175,$B147))</f>
        <v>901790</v>
      </c>
      <c r="O147">
        <f t="shared" si="1"/>
        <v>4720</v>
      </c>
      <c r="P147">
        <f t="shared" si="2"/>
        <v>144</v>
      </c>
      <c r="Q147">
        <f>IF($A147="","",_xlfn.SUMIFS(Allocation!$I$1:$I$175,Allocation!$C$1:$C$175,$A147,Allocation!$E$1:$E$175,$C147))</f>
        <v>324</v>
      </c>
      <c r="R147">
        <f>IF($A147="","",_xlfn.SUMIFS(Allocation!$J$1:$J$175,Allocation!$C$1:$C$175,$A147,Allocation!$E$1:$E$175,$C147))</f>
        <v>16</v>
      </c>
      <c r="S147">
        <f>IF($A147="","",_xlfn.SUMIFS(Allocation!$K$1:$K$175,Allocation!$C$1:$C$175,$A147,Allocation!$E$1:$E$175,$C147))</f>
        <v>2152220</v>
      </c>
      <c r="T147">
        <f>IF($A147="","",_xlfn.SUMIFS(Allocation!$I$1:$I$175,Allocation!$C$1:$C$175,$A147))</f>
        <v>3036</v>
      </c>
      <c r="U147">
        <f>IF($A147="","",_xlfn.SUMIFS(Allocation!$J$1:$J$175,Allocation!$C$1:$C$175,$A147))</f>
        <v>131</v>
      </c>
      <c r="V147">
        <f>IF($A147="","",_xlfn.SUMIFS(Allocation!$K$1:$K$175,Allocation!$C$1:$C$175,$A147))</f>
        <v>22544725</v>
      </c>
      <c r="W147">
        <f>IF($A147="","",_xlfn.SUMIFS(Compta!$F$1:$F$1448,Compta!$A$1:$A$1448,$B147,Compta!$B$1:$B$1448,"621",Compta!$C$1:$C$1448,$A147))</f>
        <v>96583</v>
      </c>
      <c r="X147">
        <f>IF($A147="","",_xlfn.SUMIFS(Compta!$F$1:$F$1448,Compta!$A$1:$A$1448,$B147,Compta!$B$1:$B$1448,"6411",Compta!$C$1:$C$1448,$A147))</f>
        <v>209206</v>
      </c>
      <c r="Y147">
        <f>IF($A147="","",_xlfn.SUMIFS(Compta!$F$1:$F$1448,Compta!$A$1:$A$1448,$B147,Compta!$B$1:$B$1448,"604",Compta!$C$1:$C$1448,$A147)+_xlfn.SUMIFS(Compta!$F$1:$F$1448,Compta!$A$1:$A$1448,$B147,Compta!$B$1:$B$1448,"6063",Compta!$C$1:$C$1448,$A147))</f>
        <v>52838</v>
      </c>
      <c r="Z147">
        <f>IF($A147="","",_xlfn.SUMIFS(Compta!$F$1:$F$1448,Compta!$A$1:$A$1448,$B147,Compta!$B$1:$B$1448,"6231",Compta!$C$1:$C$1448,$A147))</f>
        <v>21968</v>
      </c>
      <c r="AA147">
        <f>IF($A147="","",_xlfn.SUMIFS(Compta!$F$1:$F$1448,Compta!$A$1:$A$1448,$B147,Compta!$B$1:$B$1448,"6413",Compta!$C$1:$C$1448,$A147)+_xlfn.SUMIFS(Compta!$F$1:$F$1448,Compta!$A$1:$A$1448,$B147,Compta!$B$1:$B$1448,"645",Compta!$C$1:$C$1448,$A147)+_xlfn.SUMIFS(Compta!$F$1:$F$1448,Compta!$A$1:$A$1448,$B147,Compta!$B$1:$B$1448,"613",Compta!$C$1:$C$1448,$A147)+_xlfn.SUMIFS(Compta!$F$1:$F$1448,Compta!$A$1:$A$1448,$B147,Compta!$B$1:$B$1448,"615",Compta!$C$1:$C$1448,$A147)+_xlfn.SUMIFS(Compta!$F$1:$F$1448,Compta!$A$1:$A$1448,$B147,Compta!$B$1:$B$1448,"616",Compta!$C$1:$C$1448,$A147)+_xlfn.SUMIFS(Compta!$F$1:$F$1448,Compta!$A$1:$A$1448,$B147,Compta!$B$1:$B$1448,"625",Compta!$C$1:$C$1448,$A147)+_xlfn.SUMIFS(Compta!$F$1:$F$1448,Compta!$A$1:$A$1448,$B147,Compta!$B$1:$B$1448,"63511",Compta!$C$1:$C$1448,$A147))</f>
        <v>398498</v>
      </c>
      <c r="AB147">
        <f>IF($A147="","",_xlfn.SUMIFS(Compta!$F$1:$F$1448,Compta!$A$1:$A$1448,"GRP",Compta!$B$1:$B$1448,"6414",Compta!$C$1:$C$1448,$A147)+_xlfn.SUMIFS(Compta!$F$1:$F$1448,Compta!$A$1:$A$1448,"GRP",Compta!$B$1:$B$1448,"6226",Compta!$C$1:$C$1448,$A147)+_xlfn.SUMIFS(Compta!$F$1:$F$1448,Compta!$A$1:$A$1448,"GRP",Compta!$B$1:$B$1448,"626",Compta!$C$1:$C$1448,$A147)+_xlfn.SUMIFS(Compta!$F$1:$F$1448,Compta!$A$1:$A$1448,"GRP",Compta!$B$1:$B$1448,"6281",Compta!$C$1:$C$1448,$A147)+_xlfn.SUMIFS(Compta!$F$1:$F$1448,Compta!$A$1:$A$1448,"GRP",Compta!$B$1:$B$1448,"6331",Compta!$C$1:$C$1448,$A147)+_xlfn.SUMIFS(Compta!$F$1:$F$1448,Compta!$A$1:$A$1448,"GRP",Compta!$B$1:$B$1448,"6333",Compta!$C$1:$C$1448,$A147))</f>
        <v>2891983</v>
      </c>
      <c r="AC147" t="s">
        <v>274</v>
      </c>
      <c r="AD147" t="s">
        <v>274</v>
      </c>
      <c r="AE147" t="s">
        <v>274</v>
      </c>
      <c r="AF147" t="s">
        <v>274</v>
      </c>
      <c r="AG147" t="s">
        <v>274</v>
      </c>
      <c r="AH147" t="s">
        <v>274</v>
      </c>
      <c r="AI147">
        <f t="shared" si="3"/>
        <v>28647.5</v>
      </c>
      <c r="AJ147">
        <f t="shared" si="4"/>
        <v>62052.6271186441</v>
      </c>
      <c r="AK147">
        <f t="shared" si="5"/>
        <v>13023.4507042254</v>
      </c>
      <c r="AL147">
        <f t="shared" si="6"/>
        <v>0</v>
      </c>
      <c r="AM147">
        <f t="shared" si="7"/>
        <v>0</v>
      </c>
      <c r="AN147">
        <f t="shared" si="8"/>
        <v>99976.4221771305</v>
      </c>
      <c r="AO147">
        <f>IF($A147="","",_xlfn.SUMIFS(Compta!$F$1:$F$1448,Compta!$A$1:$A$1448,"GRP",Compta!$B$1:$B$1448,"6236",Compta!$C$1:$C$1448,$A147))</f>
        <v>676344</v>
      </c>
      <c r="AP147" t="s">
        <v>274</v>
      </c>
      <c r="AQ147" t="s">
        <v>274</v>
      </c>
      <c r="AR147">
        <f t="shared" si="9"/>
        <v>0</v>
      </c>
    </row>
    <row r="148" ht="14.25" customHeight="1">
      <c r="A148" t="str">
        <f>IF(Allocation!C148="","",Allocation!C148)</f>
        <v>2026</v>
      </c>
      <c r="B148" t="str">
        <f>IF(Allocation!D148="","",Allocation!D148)</f>
        <v>PIGIER_BOR</v>
      </c>
      <c r="C148" t="str">
        <f>IF(Allocation!E148="","",Allocation!E148)</f>
        <v>PIGIER</v>
      </c>
      <c r="D148" t="str">
        <f>IF(Allocation!F148="","",Allocation!F148)</f>
        <v>BAC_RH</v>
      </c>
      <c r="E148" t="str">
        <f>IF(Allocation!G148="","",Allocation!G148)</f>
        <v>B1</v>
      </c>
      <c r="F148" t="str">
        <f>IF(Allocation!H148="","",Allocation!H148)</f>
        <v>ALT</v>
      </c>
      <c r="G148">
        <f>IF(Allocation!D148="","",Allocation!I148)</f>
        <v>36</v>
      </c>
      <c r="H148">
        <f>IF(Allocation!D148="","",Allocation!J148)</f>
        <v>2</v>
      </c>
      <c r="I148">
        <f>IF(Allocation!D148="","",Allocation!K148)</f>
        <v>247680</v>
      </c>
      <c r="J148">
        <f>IF($A148="","",_xlfn.SUMIFS(Socle!$K$1:$K$448,Socle!$C$1:$C$448,$B148,Socle!$D$1:$D$448,$D148,Socle!$E$1:$E$448,$E148,Socle!$F$1:$F$448,$F148,Socle!$G$1:$G$448,$A148))</f>
        <v>72</v>
      </c>
      <c r="K148">
        <f t="shared" si="0"/>
        <v>960</v>
      </c>
      <c r="L148">
        <f>IF($A148="","",_xlfn.SUMIFS(Allocation!$I$1:$I$175,Allocation!$C$1:$C$175,$A148,Allocation!$D$1:$D$175,$B148))</f>
        <v>142</v>
      </c>
      <c r="M148">
        <f>IF($A148="","",_xlfn.SUMIFS(Allocation!$J$1:$J$175,Allocation!$C$1:$C$175,$A148,Allocation!$D$1:$D$175,$B148))</f>
        <v>8</v>
      </c>
      <c r="N148">
        <f>IF($A148="","",_xlfn.SUMIFS(Allocation!$K$1:$K$175,Allocation!$C$1:$C$175,$A148,Allocation!$D$1:$D$175,$B148))</f>
        <v>901790</v>
      </c>
      <c r="O148">
        <f t="shared" si="1"/>
        <v>4720</v>
      </c>
      <c r="P148">
        <f t="shared" si="2"/>
        <v>144</v>
      </c>
      <c r="Q148">
        <f>IF($A148="","",_xlfn.SUMIFS(Allocation!$I$1:$I$175,Allocation!$C$1:$C$175,$A148,Allocation!$E$1:$E$175,$C148))</f>
        <v>324</v>
      </c>
      <c r="R148">
        <f>IF($A148="","",_xlfn.SUMIFS(Allocation!$J$1:$J$175,Allocation!$C$1:$C$175,$A148,Allocation!$E$1:$E$175,$C148))</f>
        <v>16</v>
      </c>
      <c r="S148">
        <f>IF($A148="","",_xlfn.SUMIFS(Allocation!$K$1:$K$175,Allocation!$C$1:$C$175,$A148,Allocation!$E$1:$E$175,$C148))</f>
        <v>2152220</v>
      </c>
      <c r="T148">
        <f>IF($A148="","",_xlfn.SUMIFS(Allocation!$I$1:$I$175,Allocation!$C$1:$C$175,$A148))</f>
        <v>3036</v>
      </c>
      <c r="U148">
        <f>IF($A148="","",_xlfn.SUMIFS(Allocation!$J$1:$J$175,Allocation!$C$1:$C$175,$A148))</f>
        <v>131</v>
      </c>
      <c r="V148">
        <f>IF($A148="","",_xlfn.SUMIFS(Allocation!$K$1:$K$175,Allocation!$C$1:$C$175,$A148))</f>
        <v>22544725</v>
      </c>
      <c r="W148">
        <f>IF($A148="","",_xlfn.SUMIFS(Compta!$F$1:$F$1448,Compta!$A$1:$A$1448,$B148,Compta!$B$1:$B$1448,"621",Compta!$C$1:$C$1448,$A148))</f>
        <v>96583</v>
      </c>
      <c r="X148">
        <f>IF($A148="","",_xlfn.SUMIFS(Compta!$F$1:$F$1448,Compta!$A$1:$A$1448,$B148,Compta!$B$1:$B$1448,"6411",Compta!$C$1:$C$1448,$A148))</f>
        <v>209206</v>
      </c>
      <c r="Y148">
        <f>IF($A148="","",_xlfn.SUMIFS(Compta!$F$1:$F$1448,Compta!$A$1:$A$1448,$B148,Compta!$B$1:$B$1448,"604",Compta!$C$1:$C$1448,$A148)+_xlfn.SUMIFS(Compta!$F$1:$F$1448,Compta!$A$1:$A$1448,$B148,Compta!$B$1:$B$1448,"6063",Compta!$C$1:$C$1448,$A148))</f>
        <v>52838</v>
      </c>
      <c r="Z148">
        <f>IF($A148="","",_xlfn.SUMIFS(Compta!$F$1:$F$1448,Compta!$A$1:$A$1448,$B148,Compta!$B$1:$B$1448,"6231",Compta!$C$1:$C$1448,$A148))</f>
        <v>21968</v>
      </c>
      <c r="AA148">
        <f>IF($A148="","",_xlfn.SUMIFS(Compta!$F$1:$F$1448,Compta!$A$1:$A$1448,$B148,Compta!$B$1:$B$1448,"6413",Compta!$C$1:$C$1448,$A148)+_xlfn.SUMIFS(Compta!$F$1:$F$1448,Compta!$A$1:$A$1448,$B148,Compta!$B$1:$B$1448,"645",Compta!$C$1:$C$1448,$A148)+_xlfn.SUMIFS(Compta!$F$1:$F$1448,Compta!$A$1:$A$1448,$B148,Compta!$B$1:$B$1448,"613",Compta!$C$1:$C$1448,$A148)+_xlfn.SUMIFS(Compta!$F$1:$F$1448,Compta!$A$1:$A$1448,$B148,Compta!$B$1:$B$1448,"615",Compta!$C$1:$C$1448,$A148)+_xlfn.SUMIFS(Compta!$F$1:$F$1448,Compta!$A$1:$A$1448,$B148,Compta!$B$1:$B$1448,"616",Compta!$C$1:$C$1448,$A148)+_xlfn.SUMIFS(Compta!$F$1:$F$1448,Compta!$A$1:$A$1448,$B148,Compta!$B$1:$B$1448,"625",Compta!$C$1:$C$1448,$A148)+_xlfn.SUMIFS(Compta!$F$1:$F$1448,Compta!$A$1:$A$1448,$B148,Compta!$B$1:$B$1448,"63511",Compta!$C$1:$C$1448,$A148))</f>
        <v>398498</v>
      </c>
      <c r="AB148">
        <f>IF($A148="","",_xlfn.SUMIFS(Compta!$F$1:$F$1448,Compta!$A$1:$A$1448,"GRP",Compta!$B$1:$B$1448,"6414",Compta!$C$1:$C$1448,$A148)+_xlfn.SUMIFS(Compta!$F$1:$F$1448,Compta!$A$1:$A$1448,"GRP",Compta!$B$1:$B$1448,"6226",Compta!$C$1:$C$1448,$A148)+_xlfn.SUMIFS(Compta!$F$1:$F$1448,Compta!$A$1:$A$1448,"GRP",Compta!$B$1:$B$1448,"626",Compta!$C$1:$C$1448,$A148)+_xlfn.SUMIFS(Compta!$F$1:$F$1448,Compta!$A$1:$A$1448,"GRP",Compta!$B$1:$B$1448,"6281",Compta!$C$1:$C$1448,$A148)+_xlfn.SUMIFS(Compta!$F$1:$F$1448,Compta!$A$1:$A$1448,"GRP",Compta!$B$1:$B$1448,"6331",Compta!$C$1:$C$1448,$A148)+_xlfn.SUMIFS(Compta!$F$1:$F$1448,Compta!$A$1:$A$1448,"GRP",Compta!$B$1:$B$1448,"6333",Compta!$C$1:$C$1448,$A148))</f>
        <v>2891983</v>
      </c>
      <c r="AC148" t="s">
        <v>274</v>
      </c>
      <c r="AD148" t="s">
        <v>274</v>
      </c>
      <c r="AE148" t="s">
        <v>274</v>
      </c>
      <c r="AF148" t="s">
        <v>274</v>
      </c>
      <c r="AG148" t="s">
        <v>274</v>
      </c>
      <c r="AH148" t="s">
        <v>274</v>
      </c>
      <c r="AI148">
        <f t="shared" si="3"/>
        <v>19644</v>
      </c>
      <c r="AJ148">
        <f t="shared" si="4"/>
        <v>42550.3728813559</v>
      </c>
      <c r="AK148">
        <f t="shared" si="5"/>
        <v>24379.5492957746</v>
      </c>
      <c r="AL148">
        <f t="shared" si="6"/>
        <v>0</v>
      </c>
      <c r="AM148">
        <f t="shared" si="7"/>
        <v>0</v>
      </c>
      <c r="AN148">
        <f t="shared" si="8"/>
        <v>161106.077822869</v>
      </c>
      <c r="AO148">
        <f>IF($A148="","",_xlfn.SUMIFS(Compta!$F$1:$F$1448,Compta!$A$1:$A$1448,"GRP",Compta!$B$1:$B$1448,"6236",Compta!$C$1:$C$1448,$A148))</f>
        <v>676344</v>
      </c>
      <c r="AP148" t="s">
        <v>274</v>
      </c>
      <c r="AQ148" t="s">
        <v>274</v>
      </c>
      <c r="AR148">
        <f t="shared" si="9"/>
        <v>0</v>
      </c>
    </row>
    <row r="149" ht="14.25" customHeight="1">
      <c r="A149" t="str">
        <f>IF(Allocation!C149="","",Allocation!C149)</f>
        <v>2026</v>
      </c>
      <c r="B149" t="str">
        <f>IF(Allocation!D149="","",Allocation!D149)</f>
        <v>PIGIER_BOR</v>
      </c>
      <c r="C149" t="str">
        <f>IF(Allocation!E149="","",Allocation!E149)</f>
        <v>PIGIER</v>
      </c>
      <c r="D149" t="str">
        <f>IF(Allocation!F149="","",Allocation!F149)</f>
        <v>BAC_RH</v>
      </c>
      <c r="E149" t="str">
        <f>IF(Allocation!G149="","",Allocation!G149)</f>
        <v>B3</v>
      </c>
      <c r="F149" t="str">
        <f>IF(Allocation!H149="","",Allocation!H149)</f>
        <v>ALT</v>
      </c>
      <c r="G149">
        <f>IF(Allocation!D149="","",Allocation!I149)</f>
        <v>35</v>
      </c>
      <c r="H149">
        <f>IF(Allocation!D149="","",Allocation!J149)</f>
        <v>2</v>
      </c>
      <c r="I149">
        <f>IF(Allocation!D149="","",Allocation!K149)</f>
        <v>237650</v>
      </c>
      <c r="J149">
        <f>IF($A149="","",_xlfn.SUMIFS(Socle!$K$1:$K$448,Socle!$C$1:$C$448,$B149,Socle!$D$1:$D$448,$D149,Socle!$E$1:$E$448,$E149,Socle!$F$1:$F$448,$F149,Socle!$G$1:$G$448,$A149))</f>
        <v>0</v>
      </c>
      <c r="K149">
        <f t="shared" si="0"/>
        <v>960</v>
      </c>
      <c r="L149">
        <f>IF($A149="","",_xlfn.SUMIFS(Allocation!$I$1:$I$175,Allocation!$C$1:$C$175,$A149,Allocation!$D$1:$D$175,$B149))</f>
        <v>142</v>
      </c>
      <c r="M149">
        <f>IF($A149="","",_xlfn.SUMIFS(Allocation!$J$1:$J$175,Allocation!$C$1:$C$175,$A149,Allocation!$D$1:$D$175,$B149))</f>
        <v>8</v>
      </c>
      <c r="N149">
        <f>IF($A149="","",_xlfn.SUMIFS(Allocation!$K$1:$K$175,Allocation!$C$1:$C$175,$A149,Allocation!$D$1:$D$175,$B149))</f>
        <v>901790</v>
      </c>
      <c r="O149">
        <f t="shared" si="1"/>
        <v>4720</v>
      </c>
      <c r="P149">
        <f t="shared" si="2"/>
        <v>144</v>
      </c>
      <c r="Q149">
        <f>IF($A149="","",_xlfn.SUMIFS(Allocation!$I$1:$I$175,Allocation!$C$1:$C$175,$A149,Allocation!$E$1:$E$175,$C149))</f>
        <v>324</v>
      </c>
      <c r="R149">
        <f>IF($A149="","",_xlfn.SUMIFS(Allocation!$J$1:$J$175,Allocation!$C$1:$C$175,$A149,Allocation!$E$1:$E$175,$C149))</f>
        <v>16</v>
      </c>
      <c r="S149">
        <f>IF($A149="","",_xlfn.SUMIFS(Allocation!$K$1:$K$175,Allocation!$C$1:$C$175,$A149,Allocation!$E$1:$E$175,$C149))</f>
        <v>2152220</v>
      </c>
      <c r="T149">
        <f>IF($A149="","",_xlfn.SUMIFS(Allocation!$I$1:$I$175,Allocation!$C$1:$C$175,$A149))</f>
        <v>3036</v>
      </c>
      <c r="U149">
        <f>IF($A149="","",_xlfn.SUMIFS(Allocation!$J$1:$J$175,Allocation!$C$1:$C$175,$A149))</f>
        <v>131</v>
      </c>
      <c r="V149">
        <f>IF($A149="","",_xlfn.SUMIFS(Allocation!$K$1:$K$175,Allocation!$C$1:$C$175,$A149))</f>
        <v>22544725</v>
      </c>
      <c r="W149">
        <f>IF($A149="","",_xlfn.SUMIFS(Compta!$F$1:$F$1448,Compta!$A$1:$A$1448,$B149,Compta!$B$1:$B$1448,"621",Compta!$C$1:$C$1448,$A149))</f>
        <v>96583</v>
      </c>
      <c r="X149">
        <f>IF($A149="","",_xlfn.SUMIFS(Compta!$F$1:$F$1448,Compta!$A$1:$A$1448,$B149,Compta!$B$1:$B$1448,"6411",Compta!$C$1:$C$1448,$A149))</f>
        <v>209206</v>
      </c>
      <c r="Y149">
        <f>IF($A149="","",_xlfn.SUMIFS(Compta!$F$1:$F$1448,Compta!$A$1:$A$1448,$B149,Compta!$B$1:$B$1448,"604",Compta!$C$1:$C$1448,$A149)+_xlfn.SUMIFS(Compta!$F$1:$F$1448,Compta!$A$1:$A$1448,$B149,Compta!$B$1:$B$1448,"6063",Compta!$C$1:$C$1448,$A149))</f>
        <v>52838</v>
      </c>
      <c r="Z149">
        <f>IF($A149="","",_xlfn.SUMIFS(Compta!$F$1:$F$1448,Compta!$A$1:$A$1448,$B149,Compta!$B$1:$B$1448,"6231",Compta!$C$1:$C$1448,$A149))</f>
        <v>21968</v>
      </c>
      <c r="AA149">
        <f>IF($A149="","",_xlfn.SUMIFS(Compta!$F$1:$F$1448,Compta!$A$1:$A$1448,$B149,Compta!$B$1:$B$1448,"6413",Compta!$C$1:$C$1448,$A149)+_xlfn.SUMIFS(Compta!$F$1:$F$1448,Compta!$A$1:$A$1448,$B149,Compta!$B$1:$B$1448,"645",Compta!$C$1:$C$1448,$A149)+_xlfn.SUMIFS(Compta!$F$1:$F$1448,Compta!$A$1:$A$1448,$B149,Compta!$B$1:$B$1448,"613",Compta!$C$1:$C$1448,$A149)+_xlfn.SUMIFS(Compta!$F$1:$F$1448,Compta!$A$1:$A$1448,$B149,Compta!$B$1:$B$1448,"615",Compta!$C$1:$C$1448,$A149)+_xlfn.SUMIFS(Compta!$F$1:$F$1448,Compta!$A$1:$A$1448,$B149,Compta!$B$1:$B$1448,"616",Compta!$C$1:$C$1448,$A149)+_xlfn.SUMIFS(Compta!$F$1:$F$1448,Compta!$A$1:$A$1448,$B149,Compta!$B$1:$B$1448,"625",Compta!$C$1:$C$1448,$A149)+_xlfn.SUMIFS(Compta!$F$1:$F$1448,Compta!$A$1:$A$1448,$B149,Compta!$B$1:$B$1448,"63511",Compta!$C$1:$C$1448,$A149))</f>
        <v>398498</v>
      </c>
      <c r="AB149">
        <f>IF($A149="","",_xlfn.SUMIFS(Compta!$F$1:$F$1448,Compta!$A$1:$A$1448,"GRP",Compta!$B$1:$B$1448,"6414",Compta!$C$1:$C$1448,$A149)+_xlfn.SUMIFS(Compta!$F$1:$F$1448,Compta!$A$1:$A$1448,"GRP",Compta!$B$1:$B$1448,"6226",Compta!$C$1:$C$1448,$A149)+_xlfn.SUMIFS(Compta!$F$1:$F$1448,Compta!$A$1:$A$1448,"GRP",Compta!$B$1:$B$1448,"626",Compta!$C$1:$C$1448,$A149)+_xlfn.SUMIFS(Compta!$F$1:$F$1448,Compta!$A$1:$A$1448,"GRP",Compta!$B$1:$B$1448,"6281",Compta!$C$1:$C$1448,$A149)+_xlfn.SUMIFS(Compta!$F$1:$F$1448,Compta!$A$1:$A$1448,"GRP",Compta!$B$1:$B$1448,"6331",Compta!$C$1:$C$1448,$A149)+_xlfn.SUMIFS(Compta!$F$1:$F$1448,Compta!$A$1:$A$1448,"GRP",Compta!$B$1:$B$1448,"6333",Compta!$C$1:$C$1448,$A149))</f>
        <v>2891983</v>
      </c>
      <c r="AC149" t="s">
        <v>274</v>
      </c>
      <c r="AD149" t="s">
        <v>274</v>
      </c>
      <c r="AE149" t="s">
        <v>274</v>
      </c>
      <c r="AF149" t="s">
        <v>274</v>
      </c>
      <c r="AG149" t="s">
        <v>274</v>
      </c>
      <c r="AH149" t="s">
        <v>274</v>
      </c>
      <c r="AI149">
        <f t="shared" si="3"/>
        <v>19644</v>
      </c>
      <c r="AJ149">
        <f t="shared" si="4"/>
        <v>42550.3728813559</v>
      </c>
      <c r="AK149">
        <f t="shared" si="5"/>
        <v>13023.4507042254</v>
      </c>
      <c r="AL149">
        <f t="shared" si="6"/>
        <v>0</v>
      </c>
      <c r="AM149">
        <f t="shared" si="7"/>
        <v>0</v>
      </c>
      <c r="AN149">
        <f t="shared" si="8"/>
        <v>162432.176414419</v>
      </c>
      <c r="AO149">
        <f>IF($A149="","",_xlfn.SUMIFS(Compta!$F$1:$F$1448,Compta!$A$1:$A$1448,"GRP",Compta!$B$1:$B$1448,"6236",Compta!$C$1:$C$1448,$A149))</f>
        <v>676344</v>
      </c>
      <c r="AP149" t="s">
        <v>274</v>
      </c>
      <c r="AQ149" t="s">
        <v>274</v>
      </c>
      <c r="AR149">
        <f t="shared" si="9"/>
        <v>0</v>
      </c>
    </row>
    <row r="150" ht="14.25" customHeight="1">
      <c r="A150" t="str">
        <f>IF(Allocation!C150="","",Allocation!C150)</f>
        <v>2025</v>
      </c>
      <c r="B150" t="str">
        <f>IF(Allocation!D150="","",Allocation!D150)</f>
        <v>PIGIER_BOR</v>
      </c>
      <c r="C150" t="str">
        <f>IF(Allocation!E150="","",Allocation!E150)</f>
        <v>PIGIER</v>
      </c>
      <c r="D150" t="str">
        <f>IF(Allocation!F150="","",Allocation!F150)</f>
        <v>BTS_GES</v>
      </c>
      <c r="E150" t="str">
        <f>IF(Allocation!G150="","",Allocation!G150)</f>
        <v>BTS1</v>
      </c>
      <c r="F150" t="str">
        <f>IF(Allocation!H150="","",Allocation!H150)</f>
        <v>ALT</v>
      </c>
      <c r="G150">
        <f>IF(Allocation!D150="","",Allocation!I150)</f>
        <v>34</v>
      </c>
      <c r="H150">
        <f>IF(Allocation!D150="","",Allocation!J150)</f>
        <v>2</v>
      </c>
      <c r="I150">
        <f>IF(Allocation!D150="","",Allocation!K150)</f>
        <v>200940</v>
      </c>
      <c r="J150">
        <f>IF($A150="","",_xlfn.SUMIFS(Socle!$K$1:$K$448,Socle!$C$1:$C$448,$B150,Socle!$D$1:$D$448,$D150,Socle!$E$1:$E$448,$E150,Socle!$F$1:$F$448,$F150,Socle!$G$1:$G$448,$A150))</f>
        <v>68</v>
      </c>
      <c r="K150">
        <f t="shared" si="0"/>
        <v>1400</v>
      </c>
      <c r="L150">
        <f>IF($A150="","",_xlfn.SUMIFS(Allocation!$I$1:$I$175,Allocation!$C$1:$C$175,$A150,Allocation!$D$1:$D$175,$B150))</f>
        <v>134</v>
      </c>
      <c r="M150">
        <f>IF($A150="","",_xlfn.SUMIFS(Allocation!$J$1:$J$175,Allocation!$C$1:$C$175,$A150,Allocation!$D$1:$D$175,$B150))</f>
        <v>8</v>
      </c>
      <c r="N150">
        <f>IF($A150="","",_xlfn.SUMIFS(Allocation!$K$1:$K$175,Allocation!$C$1:$C$175,$A150,Allocation!$D$1:$D$175,$B150))</f>
        <v>850990</v>
      </c>
      <c r="O150">
        <f t="shared" si="1"/>
        <v>4720</v>
      </c>
      <c r="P150">
        <f t="shared" si="2"/>
        <v>136</v>
      </c>
      <c r="Q150">
        <f>IF($A150="","",_xlfn.SUMIFS(Allocation!$I$1:$I$175,Allocation!$C$1:$C$175,$A150,Allocation!$E$1:$E$175,$C150))</f>
        <v>304</v>
      </c>
      <c r="R150">
        <f>IF($A150="","",_xlfn.SUMIFS(Allocation!$J$1:$J$175,Allocation!$C$1:$C$175,$A150,Allocation!$E$1:$E$175,$C150))</f>
        <v>16</v>
      </c>
      <c r="S150">
        <f>IF($A150="","",_xlfn.SUMIFS(Allocation!$K$1:$K$175,Allocation!$C$1:$C$175,$A150,Allocation!$E$1:$E$175,$C150))</f>
        <v>2018980</v>
      </c>
      <c r="T150">
        <f>IF($A150="","",_xlfn.SUMIFS(Allocation!$I$1:$I$175,Allocation!$C$1:$C$175,$A150))</f>
        <v>2860</v>
      </c>
      <c r="U150">
        <f>IF($A150="","",_xlfn.SUMIFS(Allocation!$J$1:$J$175,Allocation!$C$1:$C$175,$A150))</f>
        <v>131</v>
      </c>
      <c r="V150">
        <f>IF($A150="","",_xlfn.SUMIFS(Allocation!$K$1:$K$175,Allocation!$C$1:$C$175,$A150))</f>
        <v>21240140</v>
      </c>
      <c r="W150">
        <f>IF($A150="","",_xlfn.SUMIFS(Compta!$F$1:$F$1448,Compta!$A$1:$A$1448,$B150,Compta!$B$1:$B$1448,"621",Compta!$C$1:$C$1448,$A150))</f>
        <v>92183</v>
      </c>
      <c r="X150">
        <f>IF($A150="","",_xlfn.SUMIFS(Compta!$F$1:$F$1448,Compta!$A$1:$A$1448,$B150,Compta!$B$1:$B$1448,"6411",Compta!$C$1:$C$1448,$A150))</f>
        <v>199675</v>
      </c>
      <c r="Y150">
        <f>IF($A150="","",_xlfn.SUMIFS(Compta!$F$1:$F$1448,Compta!$A$1:$A$1448,$B150,Compta!$B$1:$B$1448,"604",Compta!$C$1:$C$1448,$A150)+_xlfn.SUMIFS(Compta!$F$1:$F$1448,Compta!$A$1:$A$1448,$B150,Compta!$B$1:$B$1448,"6063",Compta!$C$1:$C$1448,$A150))</f>
        <v>50430</v>
      </c>
      <c r="Z150">
        <f>IF($A150="","",_xlfn.SUMIFS(Compta!$F$1:$F$1448,Compta!$A$1:$A$1448,$B150,Compta!$B$1:$B$1448,"6231",Compta!$C$1:$C$1448,$A150))</f>
        <v>19971</v>
      </c>
      <c r="AA150">
        <f>IF($A150="","",_xlfn.SUMIFS(Compta!$F$1:$F$1448,Compta!$A$1:$A$1448,$B150,Compta!$B$1:$B$1448,"6413",Compta!$C$1:$C$1448,$A150)+_xlfn.SUMIFS(Compta!$F$1:$F$1448,Compta!$A$1:$A$1448,$B150,Compta!$B$1:$B$1448,"645",Compta!$C$1:$C$1448,$A150)+_xlfn.SUMIFS(Compta!$F$1:$F$1448,Compta!$A$1:$A$1448,$B150,Compta!$B$1:$B$1448,"613",Compta!$C$1:$C$1448,$A150)+_xlfn.SUMIFS(Compta!$F$1:$F$1448,Compta!$A$1:$A$1448,$B150,Compta!$B$1:$B$1448,"615",Compta!$C$1:$C$1448,$A150)+_xlfn.SUMIFS(Compta!$F$1:$F$1448,Compta!$A$1:$A$1448,$B150,Compta!$B$1:$B$1448,"616",Compta!$C$1:$C$1448,$A150)+_xlfn.SUMIFS(Compta!$F$1:$F$1448,Compta!$A$1:$A$1448,$B150,Compta!$B$1:$B$1448,"625",Compta!$C$1:$C$1448,$A150)+_xlfn.SUMIFS(Compta!$F$1:$F$1448,Compta!$A$1:$A$1448,$B150,Compta!$B$1:$B$1448,"63511",Compta!$C$1:$C$1448,$A150))</f>
        <v>380344</v>
      </c>
      <c r="AB150">
        <f>IF($A150="","",_xlfn.SUMIFS(Compta!$F$1:$F$1448,Compta!$A$1:$A$1448,"GRP",Compta!$B$1:$B$1448,"6414",Compta!$C$1:$C$1448,$A150)+_xlfn.SUMIFS(Compta!$F$1:$F$1448,Compta!$A$1:$A$1448,"GRP",Compta!$B$1:$B$1448,"6226",Compta!$C$1:$C$1448,$A150)+_xlfn.SUMIFS(Compta!$F$1:$F$1448,Compta!$A$1:$A$1448,"GRP",Compta!$B$1:$B$1448,"626",Compta!$C$1:$C$1448,$A150)+_xlfn.SUMIFS(Compta!$F$1:$F$1448,Compta!$A$1:$A$1448,"GRP",Compta!$B$1:$B$1448,"6281",Compta!$C$1:$C$1448,$A150)+_xlfn.SUMIFS(Compta!$F$1:$F$1448,Compta!$A$1:$A$1448,"GRP",Compta!$B$1:$B$1448,"6331",Compta!$C$1:$C$1448,$A150)+_xlfn.SUMIFS(Compta!$F$1:$F$1448,Compta!$A$1:$A$1448,"GRP",Compta!$B$1:$B$1448,"6333",Compta!$C$1:$C$1448,$A150))</f>
        <v>2760232</v>
      </c>
      <c r="AC150" t="s">
        <v>274</v>
      </c>
      <c r="AD150" t="s">
        <v>274</v>
      </c>
      <c r="AE150" t="s">
        <v>274</v>
      </c>
      <c r="AF150" t="s">
        <v>274</v>
      </c>
      <c r="AG150" t="s">
        <v>274</v>
      </c>
      <c r="AH150" t="s">
        <v>274</v>
      </c>
      <c r="AI150">
        <f t="shared" si="3"/>
        <v>27342.4152542373</v>
      </c>
      <c r="AJ150">
        <f t="shared" si="4"/>
        <v>59225.6355932203</v>
      </c>
      <c r="AK150">
        <f t="shared" si="5"/>
        <v>22781.171641791</v>
      </c>
      <c r="AL150">
        <f t="shared" si="6"/>
        <v>0</v>
      </c>
      <c r="AM150">
        <f t="shared" si="7"/>
        <v>0</v>
      </c>
      <c r="AN150">
        <f t="shared" si="8"/>
        <v>91590.7775107514</v>
      </c>
      <c r="AO150">
        <f>IF($A150="","",_xlfn.SUMIFS(Compta!$F$1:$F$1448,Compta!$A$1:$A$1448,"GRP",Compta!$B$1:$B$1448,"6236",Compta!$C$1:$C$1448,$A150))</f>
        <v>580167</v>
      </c>
      <c r="AP150" t="s">
        <v>274</v>
      </c>
      <c r="AQ150" t="s">
        <v>274</v>
      </c>
      <c r="AR150">
        <f t="shared" si="9"/>
        <v>0</v>
      </c>
    </row>
    <row r="151" ht="14.25" customHeight="1">
      <c r="A151" t="str">
        <f>IF(Allocation!C151="","",Allocation!C151)</f>
        <v>2025</v>
      </c>
      <c r="B151" t="str">
        <f>IF(Allocation!D151="","",Allocation!D151)</f>
        <v>PIGIER_BOR</v>
      </c>
      <c r="C151" t="str">
        <f>IF(Allocation!E151="","",Allocation!E151)</f>
        <v>PIGIER</v>
      </c>
      <c r="D151" t="str">
        <f>IF(Allocation!F151="","",Allocation!F151)</f>
        <v>BTS_GES</v>
      </c>
      <c r="E151" t="str">
        <f>IF(Allocation!G151="","",Allocation!G151)</f>
        <v>BTS2</v>
      </c>
      <c r="F151" t="str">
        <f>IF(Allocation!H151="","",Allocation!H151)</f>
        <v>ALT</v>
      </c>
      <c r="G151">
        <f>IF(Allocation!D151="","",Allocation!I151)</f>
        <v>33</v>
      </c>
      <c r="H151">
        <f>IF(Allocation!D151="","",Allocation!J151)</f>
        <v>2</v>
      </c>
      <c r="I151">
        <f>IF(Allocation!D151="","",Allocation!K151)</f>
        <v>192060</v>
      </c>
      <c r="J151">
        <f>IF($A151="","",_xlfn.SUMIFS(Socle!$K$1:$K$448,Socle!$C$1:$C$448,$B151,Socle!$D$1:$D$448,$D151,Socle!$E$1:$E$448,$E151,Socle!$F$1:$F$448,$F151,Socle!$G$1:$G$448,$A151))</f>
        <v>0</v>
      </c>
      <c r="K151">
        <f t="shared" si="0"/>
        <v>1400</v>
      </c>
      <c r="L151">
        <f>IF($A151="","",_xlfn.SUMIFS(Allocation!$I$1:$I$175,Allocation!$C$1:$C$175,$A151,Allocation!$D$1:$D$175,$B151))</f>
        <v>134</v>
      </c>
      <c r="M151">
        <f>IF($A151="","",_xlfn.SUMIFS(Allocation!$J$1:$J$175,Allocation!$C$1:$C$175,$A151,Allocation!$D$1:$D$175,$B151))</f>
        <v>8</v>
      </c>
      <c r="N151">
        <f>IF($A151="","",_xlfn.SUMIFS(Allocation!$K$1:$K$175,Allocation!$C$1:$C$175,$A151,Allocation!$D$1:$D$175,$B151))</f>
        <v>850990</v>
      </c>
      <c r="O151">
        <f t="shared" si="1"/>
        <v>4720</v>
      </c>
      <c r="P151">
        <f t="shared" si="2"/>
        <v>136</v>
      </c>
      <c r="Q151">
        <f>IF($A151="","",_xlfn.SUMIFS(Allocation!$I$1:$I$175,Allocation!$C$1:$C$175,$A151,Allocation!$E$1:$E$175,$C151))</f>
        <v>304</v>
      </c>
      <c r="R151">
        <f>IF($A151="","",_xlfn.SUMIFS(Allocation!$J$1:$J$175,Allocation!$C$1:$C$175,$A151,Allocation!$E$1:$E$175,$C151))</f>
        <v>16</v>
      </c>
      <c r="S151">
        <f>IF($A151="","",_xlfn.SUMIFS(Allocation!$K$1:$K$175,Allocation!$C$1:$C$175,$A151,Allocation!$E$1:$E$175,$C151))</f>
        <v>2018980</v>
      </c>
      <c r="T151">
        <f>IF($A151="","",_xlfn.SUMIFS(Allocation!$I$1:$I$175,Allocation!$C$1:$C$175,$A151))</f>
        <v>2860</v>
      </c>
      <c r="U151">
        <f>IF($A151="","",_xlfn.SUMIFS(Allocation!$J$1:$J$175,Allocation!$C$1:$C$175,$A151))</f>
        <v>131</v>
      </c>
      <c r="V151">
        <f>IF($A151="","",_xlfn.SUMIFS(Allocation!$K$1:$K$175,Allocation!$C$1:$C$175,$A151))</f>
        <v>21240140</v>
      </c>
      <c r="W151">
        <f>IF($A151="","",_xlfn.SUMIFS(Compta!$F$1:$F$1448,Compta!$A$1:$A$1448,$B151,Compta!$B$1:$B$1448,"621",Compta!$C$1:$C$1448,$A151))</f>
        <v>92183</v>
      </c>
      <c r="X151">
        <f>IF($A151="","",_xlfn.SUMIFS(Compta!$F$1:$F$1448,Compta!$A$1:$A$1448,$B151,Compta!$B$1:$B$1448,"6411",Compta!$C$1:$C$1448,$A151))</f>
        <v>199675</v>
      </c>
      <c r="Y151">
        <f>IF($A151="","",_xlfn.SUMIFS(Compta!$F$1:$F$1448,Compta!$A$1:$A$1448,$B151,Compta!$B$1:$B$1448,"604",Compta!$C$1:$C$1448,$A151)+_xlfn.SUMIFS(Compta!$F$1:$F$1448,Compta!$A$1:$A$1448,$B151,Compta!$B$1:$B$1448,"6063",Compta!$C$1:$C$1448,$A151))</f>
        <v>50430</v>
      </c>
      <c r="Z151">
        <f>IF($A151="","",_xlfn.SUMIFS(Compta!$F$1:$F$1448,Compta!$A$1:$A$1448,$B151,Compta!$B$1:$B$1448,"6231",Compta!$C$1:$C$1448,$A151))</f>
        <v>19971</v>
      </c>
      <c r="AA151">
        <f>IF($A151="","",_xlfn.SUMIFS(Compta!$F$1:$F$1448,Compta!$A$1:$A$1448,$B151,Compta!$B$1:$B$1448,"6413",Compta!$C$1:$C$1448,$A151)+_xlfn.SUMIFS(Compta!$F$1:$F$1448,Compta!$A$1:$A$1448,$B151,Compta!$B$1:$B$1448,"645",Compta!$C$1:$C$1448,$A151)+_xlfn.SUMIFS(Compta!$F$1:$F$1448,Compta!$A$1:$A$1448,$B151,Compta!$B$1:$B$1448,"613",Compta!$C$1:$C$1448,$A151)+_xlfn.SUMIFS(Compta!$F$1:$F$1448,Compta!$A$1:$A$1448,$B151,Compta!$B$1:$B$1448,"615",Compta!$C$1:$C$1448,$A151)+_xlfn.SUMIFS(Compta!$F$1:$F$1448,Compta!$A$1:$A$1448,$B151,Compta!$B$1:$B$1448,"616",Compta!$C$1:$C$1448,$A151)+_xlfn.SUMIFS(Compta!$F$1:$F$1448,Compta!$A$1:$A$1448,$B151,Compta!$B$1:$B$1448,"625",Compta!$C$1:$C$1448,$A151)+_xlfn.SUMIFS(Compta!$F$1:$F$1448,Compta!$A$1:$A$1448,$B151,Compta!$B$1:$B$1448,"63511",Compta!$C$1:$C$1448,$A151))</f>
        <v>380344</v>
      </c>
      <c r="AB151">
        <f>IF($A151="","",_xlfn.SUMIFS(Compta!$F$1:$F$1448,Compta!$A$1:$A$1448,"GRP",Compta!$B$1:$B$1448,"6414",Compta!$C$1:$C$1448,$A151)+_xlfn.SUMIFS(Compta!$F$1:$F$1448,Compta!$A$1:$A$1448,"GRP",Compta!$B$1:$B$1448,"6226",Compta!$C$1:$C$1448,$A151)+_xlfn.SUMIFS(Compta!$F$1:$F$1448,Compta!$A$1:$A$1448,"GRP",Compta!$B$1:$B$1448,"626",Compta!$C$1:$C$1448,$A151)+_xlfn.SUMIFS(Compta!$F$1:$F$1448,Compta!$A$1:$A$1448,"GRP",Compta!$B$1:$B$1448,"6281",Compta!$C$1:$C$1448,$A151)+_xlfn.SUMIFS(Compta!$F$1:$F$1448,Compta!$A$1:$A$1448,"GRP",Compta!$B$1:$B$1448,"6331",Compta!$C$1:$C$1448,$A151)+_xlfn.SUMIFS(Compta!$F$1:$F$1448,Compta!$A$1:$A$1448,"GRP",Compta!$B$1:$B$1448,"6333",Compta!$C$1:$C$1448,$A151))</f>
        <v>2760232</v>
      </c>
      <c r="AC151" t="s">
        <v>274</v>
      </c>
      <c r="AD151" t="s">
        <v>274</v>
      </c>
      <c r="AE151" t="s">
        <v>274</v>
      </c>
      <c r="AF151" t="s">
        <v>274</v>
      </c>
      <c r="AG151" t="s">
        <v>274</v>
      </c>
      <c r="AH151" t="s">
        <v>274</v>
      </c>
      <c r="AI151">
        <f t="shared" si="3"/>
        <v>27342.4152542373</v>
      </c>
      <c r="AJ151">
        <f t="shared" si="4"/>
        <v>59225.6355932203</v>
      </c>
      <c r="AK151">
        <f t="shared" si="5"/>
        <v>12419.328358209</v>
      </c>
      <c r="AL151">
        <f t="shared" si="6"/>
        <v>0</v>
      </c>
      <c r="AM151">
        <f t="shared" si="7"/>
        <v>0</v>
      </c>
      <c r="AN151">
        <f t="shared" si="8"/>
        <v>93072.6207943334</v>
      </c>
      <c r="AO151">
        <f>IF($A151="","",_xlfn.SUMIFS(Compta!$F$1:$F$1448,Compta!$A$1:$A$1448,"GRP",Compta!$B$1:$B$1448,"6236",Compta!$C$1:$C$1448,$A151))</f>
        <v>580167</v>
      </c>
      <c r="AP151" t="s">
        <v>274</v>
      </c>
      <c r="AQ151" t="s">
        <v>274</v>
      </c>
      <c r="AR151">
        <f t="shared" si="9"/>
        <v>0</v>
      </c>
    </row>
    <row r="152" ht="14.25" customHeight="1">
      <c r="A152" t="str">
        <f>IF(Allocation!C152="","",Allocation!C152)</f>
        <v>2025</v>
      </c>
      <c r="B152" t="str">
        <f>IF(Allocation!D152="","",Allocation!D152)</f>
        <v>PIGIER_BOR</v>
      </c>
      <c r="C152" t="str">
        <f>IF(Allocation!E152="","",Allocation!E152)</f>
        <v>PIGIER</v>
      </c>
      <c r="D152" t="str">
        <f>IF(Allocation!F152="","",Allocation!F152)</f>
        <v>BAC_RH</v>
      </c>
      <c r="E152" t="str">
        <f>IF(Allocation!G152="","",Allocation!G152)</f>
        <v>B1</v>
      </c>
      <c r="F152" t="str">
        <f>IF(Allocation!H152="","",Allocation!H152)</f>
        <v>ALT</v>
      </c>
      <c r="G152">
        <f>IF(Allocation!D152="","",Allocation!I152)</f>
        <v>34</v>
      </c>
      <c r="H152">
        <f>IF(Allocation!D152="","",Allocation!J152)</f>
        <v>2</v>
      </c>
      <c r="I152">
        <f>IF(Allocation!D152="","",Allocation!K152)</f>
        <v>233920</v>
      </c>
      <c r="J152">
        <f>IF($A152="","",_xlfn.SUMIFS(Socle!$K$1:$K$448,Socle!$C$1:$C$448,$B152,Socle!$D$1:$D$448,$D152,Socle!$E$1:$E$448,$E152,Socle!$F$1:$F$448,$F152,Socle!$G$1:$G$448,$A152))</f>
        <v>68</v>
      </c>
      <c r="K152">
        <f t="shared" si="0"/>
        <v>960</v>
      </c>
      <c r="L152">
        <f>IF($A152="","",_xlfn.SUMIFS(Allocation!$I$1:$I$175,Allocation!$C$1:$C$175,$A152,Allocation!$D$1:$D$175,$B152))</f>
        <v>134</v>
      </c>
      <c r="M152">
        <f>IF($A152="","",_xlfn.SUMIFS(Allocation!$J$1:$J$175,Allocation!$C$1:$C$175,$A152,Allocation!$D$1:$D$175,$B152))</f>
        <v>8</v>
      </c>
      <c r="N152">
        <f>IF($A152="","",_xlfn.SUMIFS(Allocation!$K$1:$K$175,Allocation!$C$1:$C$175,$A152,Allocation!$D$1:$D$175,$B152))</f>
        <v>850990</v>
      </c>
      <c r="O152">
        <f t="shared" si="1"/>
        <v>4720</v>
      </c>
      <c r="P152">
        <f t="shared" si="2"/>
        <v>136</v>
      </c>
      <c r="Q152">
        <f>IF($A152="","",_xlfn.SUMIFS(Allocation!$I$1:$I$175,Allocation!$C$1:$C$175,$A152,Allocation!$E$1:$E$175,$C152))</f>
        <v>304</v>
      </c>
      <c r="R152">
        <f>IF($A152="","",_xlfn.SUMIFS(Allocation!$J$1:$J$175,Allocation!$C$1:$C$175,$A152,Allocation!$E$1:$E$175,$C152))</f>
        <v>16</v>
      </c>
      <c r="S152">
        <f>IF($A152="","",_xlfn.SUMIFS(Allocation!$K$1:$K$175,Allocation!$C$1:$C$175,$A152,Allocation!$E$1:$E$175,$C152))</f>
        <v>2018980</v>
      </c>
      <c r="T152">
        <f>IF($A152="","",_xlfn.SUMIFS(Allocation!$I$1:$I$175,Allocation!$C$1:$C$175,$A152))</f>
        <v>2860</v>
      </c>
      <c r="U152">
        <f>IF($A152="","",_xlfn.SUMIFS(Allocation!$J$1:$J$175,Allocation!$C$1:$C$175,$A152))</f>
        <v>131</v>
      </c>
      <c r="V152">
        <f>IF($A152="","",_xlfn.SUMIFS(Allocation!$K$1:$K$175,Allocation!$C$1:$C$175,$A152))</f>
        <v>21240140</v>
      </c>
      <c r="W152">
        <f>IF($A152="","",_xlfn.SUMIFS(Compta!$F$1:$F$1448,Compta!$A$1:$A$1448,$B152,Compta!$B$1:$B$1448,"621",Compta!$C$1:$C$1448,$A152))</f>
        <v>92183</v>
      </c>
      <c r="X152">
        <f>IF($A152="","",_xlfn.SUMIFS(Compta!$F$1:$F$1448,Compta!$A$1:$A$1448,$B152,Compta!$B$1:$B$1448,"6411",Compta!$C$1:$C$1448,$A152))</f>
        <v>199675</v>
      </c>
      <c r="Y152">
        <f>IF($A152="","",_xlfn.SUMIFS(Compta!$F$1:$F$1448,Compta!$A$1:$A$1448,$B152,Compta!$B$1:$B$1448,"604",Compta!$C$1:$C$1448,$A152)+_xlfn.SUMIFS(Compta!$F$1:$F$1448,Compta!$A$1:$A$1448,$B152,Compta!$B$1:$B$1448,"6063",Compta!$C$1:$C$1448,$A152))</f>
        <v>50430</v>
      </c>
      <c r="Z152">
        <f>IF($A152="","",_xlfn.SUMIFS(Compta!$F$1:$F$1448,Compta!$A$1:$A$1448,$B152,Compta!$B$1:$B$1448,"6231",Compta!$C$1:$C$1448,$A152))</f>
        <v>19971</v>
      </c>
      <c r="AA152">
        <f>IF($A152="","",_xlfn.SUMIFS(Compta!$F$1:$F$1448,Compta!$A$1:$A$1448,$B152,Compta!$B$1:$B$1448,"6413",Compta!$C$1:$C$1448,$A152)+_xlfn.SUMIFS(Compta!$F$1:$F$1448,Compta!$A$1:$A$1448,$B152,Compta!$B$1:$B$1448,"645",Compta!$C$1:$C$1448,$A152)+_xlfn.SUMIFS(Compta!$F$1:$F$1448,Compta!$A$1:$A$1448,$B152,Compta!$B$1:$B$1448,"613",Compta!$C$1:$C$1448,$A152)+_xlfn.SUMIFS(Compta!$F$1:$F$1448,Compta!$A$1:$A$1448,$B152,Compta!$B$1:$B$1448,"615",Compta!$C$1:$C$1448,$A152)+_xlfn.SUMIFS(Compta!$F$1:$F$1448,Compta!$A$1:$A$1448,$B152,Compta!$B$1:$B$1448,"616",Compta!$C$1:$C$1448,$A152)+_xlfn.SUMIFS(Compta!$F$1:$F$1448,Compta!$A$1:$A$1448,$B152,Compta!$B$1:$B$1448,"625",Compta!$C$1:$C$1448,$A152)+_xlfn.SUMIFS(Compta!$F$1:$F$1448,Compta!$A$1:$A$1448,$B152,Compta!$B$1:$B$1448,"63511",Compta!$C$1:$C$1448,$A152))</f>
        <v>380344</v>
      </c>
      <c r="AB152">
        <f>IF($A152="","",_xlfn.SUMIFS(Compta!$F$1:$F$1448,Compta!$A$1:$A$1448,"GRP",Compta!$B$1:$B$1448,"6414",Compta!$C$1:$C$1448,$A152)+_xlfn.SUMIFS(Compta!$F$1:$F$1448,Compta!$A$1:$A$1448,"GRP",Compta!$B$1:$B$1448,"6226",Compta!$C$1:$C$1448,$A152)+_xlfn.SUMIFS(Compta!$F$1:$F$1448,Compta!$A$1:$A$1448,"GRP",Compta!$B$1:$B$1448,"626",Compta!$C$1:$C$1448,$A152)+_xlfn.SUMIFS(Compta!$F$1:$F$1448,Compta!$A$1:$A$1448,"GRP",Compta!$B$1:$B$1448,"6281",Compta!$C$1:$C$1448,$A152)+_xlfn.SUMIFS(Compta!$F$1:$F$1448,Compta!$A$1:$A$1448,"GRP",Compta!$B$1:$B$1448,"6331",Compta!$C$1:$C$1448,$A152)+_xlfn.SUMIFS(Compta!$F$1:$F$1448,Compta!$A$1:$A$1448,"GRP",Compta!$B$1:$B$1448,"6333",Compta!$C$1:$C$1448,$A152))</f>
        <v>2760232</v>
      </c>
      <c r="AC152" t="s">
        <v>274</v>
      </c>
      <c r="AD152" t="s">
        <v>274</v>
      </c>
      <c r="AE152" t="s">
        <v>274</v>
      </c>
      <c r="AF152" t="s">
        <v>274</v>
      </c>
      <c r="AG152" t="s">
        <v>274</v>
      </c>
      <c r="AH152" t="s">
        <v>274</v>
      </c>
      <c r="AI152">
        <f t="shared" si="3"/>
        <v>18749.0847457627</v>
      </c>
      <c r="AJ152">
        <f t="shared" si="4"/>
        <v>40611.8644067797</v>
      </c>
      <c r="AK152">
        <f t="shared" si="5"/>
        <v>22781.171641791</v>
      </c>
      <c r="AL152">
        <f t="shared" si="6"/>
        <v>0</v>
      </c>
      <c r="AM152">
        <f t="shared" si="7"/>
        <v>0</v>
      </c>
      <c r="AN152">
        <f t="shared" si="8"/>
        <v>151777.879205667</v>
      </c>
      <c r="AO152">
        <f>IF($A152="","",_xlfn.SUMIFS(Compta!$F$1:$F$1448,Compta!$A$1:$A$1448,"GRP",Compta!$B$1:$B$1448,"6236",Compta!$C$1:$C$1448,$A152))</f>
        <v>580167</v>
      </c>
      <c r="AP152" t="s">
        <v>274</v>
      </c>
      <c r="AQ152" t="s">
        <v>274</v>
      </c>
      <c r="AR152">
        <f t="shared" si="9"/>
        <v>0</v>
      </c>
    </row>
    <row r="153" ht="14.25" customHeight="1">
      <c r="A153" t="str">
        <f>IF(Allocation!C153="","",Allocation!C153)</f>
        <v>2025</v>
      </c>
      <c r="B153" t="str">
        <f>IF(Allocation!D153="","",Allocation!D153)</f>
        <v>PIGIER_BOR</v>
      </c>
      <c r="C153" t="str">
        <f>IF(Allocation!E153="","",Allocation!E153)</f>
        <v>PIGIER</v>
      </c>
      <c r="D153" t="str">
        <f>IF(Allocation!F153="","",Allocation!F153)</f>
        <v>BAC_RH</v>
      </c>
      <c r="E153" t="str">
        <f>IF(Allocation!G153="","",Allocation!G153)</f>
        <v>B3</v>
      </c>
      <c r="F153" t="str">
        <f>IF(Allocation!H153="","",Allocation!H153)</f>
        <v>ALT</v>
      </c>
      <c r="G153">
        <f>IF(Allocation!D153="","",Allocation!I153)</f>
        <v>33</v>
      </c>
      <c r="H153">
        <f>IF(Allocation!D153="","",Allocation!J153)</f>
        <v>2</v>
      </c>
      <c r="I153">
        <f>IF(Allocation!D153="","",Allocation!K153)</f>
        <v>224070</v>
      </c>
      <c r="J153">
        <f>IF($A153="","",_xlfn.SUMIFS(Socle!$K$1:$K$448,Socle!$C$1:$C$448,$B153,Socle!$D$1:$D$448,$D153,Socle!$E$1:$E$448,$E153,Socle!$F$1:$F$448,$F153,Socle!$G$1:$G$448,$A153))</f>
        <v>0</v>
      </c>
      <c r="K153">
        <f t="shared" si="0"/>
        <v>960</v>
      </c>
      <c r="L153">
        <f>IF($A153="","",_xlfn.SUMIFS(Allocation!$I$1:$I$175,Allocation!$C$1:$C$175,$A153,Allocation!$D$1:$D$175,$B153))</f>
        <v>134</v>
      </c>
      <c r="M153">
        <f>IF($A153="","",_xlfn.SUMIFS(Allocation!$J$1:$J$175,Allocation!$C$1:$C$175,$A153,Allocation!$D$1:$D$175,$B153))</f>
        <v>8</v>
      </c>
      <c r="N153">
        <f>IF($A153="","",_xlfn.SUMIFS(Allocation!$K$1:$K$175,Allocation!$C$1:$C$175,$A153,Allocation!$D$1:$D$175,$B153))</f>
        <v>850990</v>
      </c>
      <c r="O153">
        <f t="shared" si="1"/>
        <v>4720</v>
      </c>
      <c r="P153">
        <f t="shared" si="2"/>
        <v>136</v>
      </c>
      <c r="Q153">
        <f>IF($A153="","",_xlfn.SUMIFS(Allocation!$I$1:$I$175,Allocation!$C$1:$C$175,$A153,Allocation!$E$1:$E$175,$C153))</f>
        <v>304</v>
      </c>
      <c r="R153">
        <f>IF($A153="","",_xlfn.SUMIFS(Allocation!$J$1:$J$175,Allocation!$C$1:$C$175,$A153,Allocation!$E$1:$E$175,$C153))</f>
        <v>16</v>
      </c>
      <c r="S153">
        <f>IF($A153="","",_xlfn.SUMIFS(Allocation!$K$1:$K$175,Allocation!$C$1:$C$175,$A153,Allocation!$E$1:$E$175,$C153))</f>
        <v>2018980</v>
      </c>
      <c r="T153">
        <f>IF($A153="","",_xlfn.SUMIFS(Allocation!$I$1:$I$175,Allocation!$C$1:$C$175,$A153))</f>
        <v>2860</v>
      </c>
      <c r="U153">
        <f>IF($A153="","",_xlfn.SUMIFS(Allocation!$J$1:$J$175,Allocation!$C$1:$C$175,$A153))</f>
        <v>131</v>
      </c>
      <c r="V153">
        <f>IF($A153="","",_xlfn.SUMIFS(Allocation!$K$1:$K$175,Allocation!$C$1:$C$175,$A153))</f>
        <v>21240140</v>
      </c>
      <c r="W153">
        <f>IF($A153="","",_xlfn.SUMIFS(Compta!$F$1:$F$1448,Compta!$A$1:$A$1448,$B153,Compta!$B$1:$B$1448,"621",Compta!$C$1:$C$1448,$A153))</f>
        <v>92183</v>
      </c>
      <c r="X153">
        <f>IF($A153="","",_xlfn.SUMIFS(Compta!$F$1:$F$1448,Compta!$A$1:$A$1448,$B153,Compta!$B$1:$B$1448,"6411",Compta!$C$1:$C$1448,$A153))</f>
        <v>199675</v>
      </c>
      <c r="Y153">
        <f>IF($A153="","",_xlfn.SUMIFS(Compta!$F$1:$F$1448,Compta!$A$1:$A$1448,$B153,Compta!$B$1:$B$1448,"604",Compta!$C$1:$C$1448,$A153)+_xlfn.SUMIFS(Compta!$F$1:$F$1448,Compta!$A$1:$A$1448,$B153,Compta!$B$1:$B$1448,"6063",Compta!$C$1:$C$1448,$A153))</f>
        <v>50430</v>
      </c>
      <c r="Z153">
        <f>IF($A153="","",_xlfn.SUMIFS(Compta!$F$1:$F$1448,Compta!$A$1:$A$1448,$B153,Compta!$B$1:$B$1448,"6231",Compta!$C$1:$C$1448,$A153))</f>
        <v>19971</v>
      </c>
      <c r="AA153">
        <f>IF($A153="","",_xlfn.SUMIFS(Compta!$F$1:$F$1448,Compta!$A$1:$A$1448,$B153,Compta!$B$1:$B$1448,"6413",Compta!$C$1:$C$1448,$A153)+_xlfn.SUMIFS(Compta!$F$1:$F$1448,Compta!$A$1:$A$1448,$B153,Compta!$B$1:$B$1448,"645",Compta!$C$1:$C$1448,$A153)+_xlfn.SUMIFS(Compta!$F$1:$F$1448,Compta!$A$1:$A$1448,$B153,Compta!$B$1:$B$1448,"613",Compta!$C$1:$C$1448,$A153)+_xlfn.SUMIFS(Compta!$F$1:$F$1448,Compta!$A$1:$A$1448,$B153,Compta!$B$1:$B$1448,"615",Compta!$C$1:$C$1448,$A153)+_xlfn.SUMIFS(Compta!$F$1:$F$1448,Compta!$A$1:$A$1448,$B153,Compta!$B$1:$B$1448,"616",Compta!$C$1:$C$1448,$A153)+_xlfn.SUMIFS(Compta!$F$1:$F$1448,Compta!$A$1:$A$1448,$B153,Compta!$B$1:$B$1448,"625",Compta!$C$1:$C$1448,$A153)+_xlfn.SUMIFS(Compta!$F$1:$F$1448,Compta!$A$1:$A$1448,$B153,Compta!$B$1:$B$1448,"63511",Compta!$C$1:$C$1448,$A153))</f>
        <v>380344</v>
      </c>
      <c r="AB153">
        <f>IF($A153="","",_xlfn.SUMIFS(Compta!$F$1:$F$1448,Compta!$A$1:$A$1448,"GRP",Compta!$B$1:$B$1448,"6414",Compta!$C$1:$C$1448,$A153)+_xlfn.SUMIFS(Compta!$F$1:$F$1448,Compta!$A$1:$A$1448,"GRP",Compta!$B$1:$B$1448,"6226",Compta!$C$1:$C$1448,$A153)+_xlfn.SUMIFS(Compta!$F$1:$F$1448,Compta!$A$1:$A$1448,"GRP",Compta!$B$1:$B$1448,"626",Compta!$C$1:$C$1448,$A153)+_xlfn.SUMIFS(Compta!$F$1:$F$1448,Compta!$A$1:$A$1448,"GRP",Compta!$B$1:$B$1448,"6281",Compta!$C$1:$C$1448,$A153)+_xlfn.SUMIFS(Compta!$F$1:$F$1448,Compta!$A$1:$A$1448,"GRP",Compta!$B$1:$B$1448,"6331",Compta!$C$1:$C$1448,$A153)+_xlfn.SUMIFS(Compta!$F$1:$F$1448,Compta!$A$1:$A$1448,"GRP",Compta!$B$1:$B$1448,"6333",Compta!$C$1:$C$1448,$A153))</f>
        <v>2760232</v>
      </c>
      <c r="AC153" t="s">
        <v>274</v>
      </c>
      <c r="AD153" t="s">
        <v>274</v>
      </c>
      <c r="AE153" t="s">
        <v>274</v>
      </c>
      <c r="AF153" t="s">
        <v>274</v>
      </c>
      <c r="AG153" t="s">
        <v>274</v>
      </c>
      <c r="AH153" t="s">
        <v>274</v>
      </c>
      <c r="AI153">
        <f t="shared" si="3"/>
        <v>18749.0847457627</v>
      </c>
      <c r="AJ153">
        <f t="shared" si="4"/>
        <v>40611.8644067797</v>
      </c>
      <c r="AK153">
        <f t="shared" si="5"/>
        <v>12419.328358209</v>
      </c>
      <c r="AL153">
        <f t="shared" si="6"/>
        <v>0</v>
      </c>
      <c r="AM153">
        <f t="shared" si="7"/>
        <v>0</v>
      </c>
      <c r="AN153">
        <f t="shared" si="8"/>
        <v>152289.722489249</v>
      </c>
      <c r="AO153">
        <f>IF($A153="","",_xlfn.SUMIFS(Compta!$F$1:$F$1448,Compta!$A$1:$A$1448,"GRP",Compta!$B$1:$B$1448,"6236",Compta!$C$1:$C$1448,$A153))</f>
        <v>580167</v>
      </c>
      <c r="AP153" t="s">
        <v>274</v>
      </c>
      <c r="AQ153" t="s">
        <v>274</v>
      </c>
      <c r="AR153">
        <f t="shared" si="9"/>
        <v>0</v>
      </c>
    </row>
    <row r="154" ht="14.25" customHeight="1">
      <c r="A154" t="str">
        <f>IF(Allocation!C154="","",Allocation!C154)</f>
        <v>2024</v>
      </c>
      <c r="B154" t="str">
        <f>IF(Allocation!D154="","",Allocation!D154)</f>
        <v>PIGIER_BOR</v>
      </c>
      <c r="C154" t="str">
        <f>IF(Allocation!E154="","",Allocation!E154)</f>
        <v>PIGIER</v>
      </c>
      <c r="D154" t="str">
        <f>IF(Allocation!F154="","",Allocation!F154)</f>
        <v>BTS_GES</v>
      </c>
      <c r="E154" t="str">
        <f>IF(Allocation!G154="","",Allocation!G154)</f>
        <v>BTS1</v>
      </c>
      <c r="F154" t="str">
        <f>IF(Allocation!H154="","",Allocation!H154)</f>
        <v>ALT</v>
      </c>
      <c r="G154">
        <f>IF(Allocation!D154="","",Allocation!I154)</f>
        <v>32</v>
      </c>
      <c r="H154">
        <f>IF(Allocation!D154="","",Allocation!J154)</f>
        <v>2</v>
      </c>
      <c r="I154">
        <f>IF(Allocation!D154="","",Allocation!K154)</f>
        <v>189120</v>
      </c>
      <c r="J154">
        <f>IF($A154="","",_xlfn.SUMIFS(Socle!$K$1:$K$448,Socle!$C$1:$C$448,$B154,Socle!$D$1:$D$448,$D154,Socle!$E$1:$E$448,$E154,Socle!$F$1:$F$448,$F154,Socle!$G$1:$G$448,$A154))</f>
        <v>64</v>
      </c>
      <c r="K154">
        <f t="shared" si="0"/>
        <v>1400</v>
      </c>
      <c r="L154">
        <f>IF($A154="","",_xlfn.SUMIFS(Allocation!$I$1:$I$175,Allocation!$C$1:$C$175,$A154,Allocation!$D$1:$D$175,$B154))</f>
        <v>126</v>
      </c>
      <c r="M154">
        <f>IF($A154="","",_xlfn.SUMIFS(Allocation!$J$1:$J$175,Allocation!$C$1:$C$175,$A154,Allocation!$D$1:$D$175,$B154))</f>
        <v>8</v>
      </c>
      <c r="N154">
        <f>IF($A154="","",_xlfn.SUMIFS(Allocation!$K$1:$K$175,Allocation!$C$1:$C$175,$A154,Allocation!$D$1:$D$175,$B154))</f>
        <v>800190</v>
      </c>
      <c r="O154">
        <f t="shared" si="1"/>
        <v>4720</v>
      </c>
      <c r="P154">
        <f t="shared" si="2"/>
        <v>128</v>
      </c>
      <c r="Q154">
        <f>IF($A154="","",_xlfn.SUMIFS(Allocation!$I$1:$I$175,Allocation!$C$1:$C$175,$A154,Allocation!$E$1:$E$175,$C154))</f>
        <v>288</v>
      </c>
      <c r="R154">
        <f>IF($A154="","",_xlfn.SUMIFS(Allocation!$J$1:$J$175,Allocation!$C$1:$C$175,$A154,Allocation!$E$1:$E$175,$C154))</f>
        <v>16</v>
      </c>
      <c r="S154">
        <f>IF($A154="","",_xlfn.SUMIFS(Allocation!$K$1:$K$175,Allocation!$C$1:$C$175,$A154,Allocation!$E$1:$E$175,$C154))</f>
        <v>1913220</v>
      </c>
      <c r="T154">
        <f>IF($A154="","",_xlfn.SUMIFS(Allocation!$I$1:$I$175,Allocation!$C$1:$C$175,$A154))</f>
        <v>2704</v>
      </c>
      <c r="U154">
        <f>IF($A154="","",_xlfn.SUMIFS(Allocation!$J$1:$J$175,Allocation!$C$1:$C$175,$A154))</f>
        <v>131</v>
      </c>
      <c r="V154">
        <f>IF($A154="","",_xlfn.SUMIFS(Allocation!$K$1:$K$175,Allocation!$C$1:$C$175,$A154))</f>
        <v>20076860</v>
      </c>
      <c r="W154">
        <f>IF($A154="","",_xlfn.SUMIFS(Compta!$F$1:$F$1448,Compta!$A$1:$A$1448,$B154,Compta!$B$1:$B$1448,"621",Compta!$C$1:$C$1448,$A154))</f>
        <v>88144</v>
      </c>
      <c r="X154">
        <f>IF($A154="","",_xlfn.SUMIFS(Compta!$F$1:$F$1448,Compta!$A$1:$A$1448,$B154,Compta!$B$1:$B$1448,"6411",Compta!$C$1:$C$1448,$A154))</f>
        <v>190926</v>
      </c>
      <c r="Y154">
        <f>IF($A154="","",_xlfn.SUMIFS(Compta!$F$1:$F$1448,Compta!$A$1:$A$1448,$B154,Compta!$B$1:$B$1448,"604",Compta!$C$1:$C$1448,$A154)+_xlfn.SUMIFS(Compta!$F$1:$F$1448,Compta!$A$1:$A$1448,$B154,Compta!$B$1:$B$1448,"6063",Compta!$C$1:$C$1448,$A154))</f>
        <v>48220</v>
      </c>
      <c r="Z154">
        <f>IF($A154="","",_xlfn.SUMIFS(Compta!$F$1:$F$1448,Compta!$A$1:$A$1448,$B154,Compta!$B$1:$B$1448,"6231",Compta!$C$1:$C$1448,$A154))</f>
        <v>18155</v>
      </c>
      <c r="AA154">
        <f>IF($A154="","",_xlfn.SUMIFS(Compta!$F$1:$F$1448,Compta!$A$1:$A$1448,$B154,Compta!$B$1:$B$1448,"6413",Compta!$C$1:$C$1448,$A154)+_xlfn.SUMIFS(Compta!$F$1:$F$1448,Compta!$A$1:$A$1448,$B154,Compta!$B$1:$B$1448,"645",Compta!$C$1:$C$1448,$A154)+_xlfn.SUMIFS(Compta!$F$1:$F$1448,Compta!$A$1:$A$1448,$B154,Compta!$B$1:$B$1448,"613",Compta!$C$1:$C$1448,$A154)+_xlfn.SUMIFS(Compta!$F$1:$F$1448,Compta!$A$1:$A$1448,$B154,Compta!$B$1:$B$1448,"615",Compta!$C$1:$C$1448,$A154)+_xlfn.SUMIFS(Compta!$F$1:$F$1448,Compta!$A$1:$A$1448,$B154,Compta!$B$1:$B$1448,"616",Compta!$C$1:$C$1448,$A154)+_xlfn.SUMIFS(Compta!$F$1:$F$1448,Compta!$A$1:$A$1448,$B154,Compta!$B$1:$B$1448,"625",Compta!$C$1:$C$1448,$A154)+_xlfn.SUMIFS(Compta!$F$1:$F$1448,Compta!$A$1:$A$1448,$B154,Compta!$B$1:$B$1448,"63511",Compta!$C$1:$C$1448,$A154))</f>
        <v>363679</v>
      </c>
      <c r="AB154">
        <f>IF($A154="","",_xlfn.SUMIFS(Compta!$F$1:$F$1448,Compta!$A$1:$A$1448,"GRP",Compta!$B$1:$B$1448,"6414",Compta!$C$1:$C$1448,$A154)+_xlfn.SUMIFS(Compta!$F$1:$F$1448,Compta!$A$1:$A$1448,"GRP",Compta!$B$1:$B$1448,"6226",Compta!$C$1:$C$1448,$A154)+_xlfn.SUMIFS(Compta!$F$1:$F$1448,Compta!$A$1:$A$1448,"GRP",Compta!$B$1:$B$1448,"626",Compta!$C$1:$C$1448,$A154)+_xlfn.SUMIFS(Compta!$F$1:$F$1448,Compta!$A$1:$A$1448,"GRP",Compta!$B$1:$B$1448,"6281",Compta!$C$1:$C$1448,$A154)+_xlfn.SUMIFS(Compta!$F$1:$F$1448,Compta!$A$1:$A$1448,"GRP",Compta!$B$1:$B$1448,"6331",Compta!$C$1:$C$1448,$A154)+_xlfn.SUMIFS(Compta!$F$1:$F$1448,Compta!$A$1:$A$1448,"GRP",Compta!$B$1:$B$1448,"6333",Compta!$C$1:$C$1448,$A154))</f>
        <v>2639292</v>
      </c>
      <c r="AC154" t="s">
        <v>274</v>
      </c>
      <c r="AD154" t="s">
        <v>274</v>
      </c>
      <c r="AE154" t="s">
        <v>274</v>
      </c>
      <c r="AF154" t="s">
        <v>274</v>
      </c>
      <c r="AG154" t="s">
        <v>274</v>
      </c>
      <c r="AH154" t="s">
        <v>274</v>
      </c>
      <c r="AI154">
        <f t="shared" si="3"/>
        <v>26144.406779661</v>
      </c>
      <c r="AJ154">
        <f t="shared" si="4"/>
        <v>56630.593220339</v>
      </c>
      <c r="AK154">
        <f t="shared" si="5"/>
        <v>21323.8492063492</v>
      </c>
      <c r="AL154">
        <f t="shared" si="6"/>
        <v>0</v>
      </c>
      <c r="AM154">
        <f t="shared" si="7"/>
        <v>0</v>
      </c>
      <c r="AN154">
        <f t="shared" si="8"/>
        <v>85021.1507936508</v>
      </c>
      <c r="AO154">
        <f>IF($A154="","",_xlfn.SUMIFS(Compta!$F$1:$F$1448,Compta!$A$1:$A$1448,"GRP",Compta!$B$1:$B$1448,"6236",Compta!$C$1:$C$1448,$A154))</f>
        <v>499926</v>
      </c>
      <c r="AP154" t="s">
        <v>274</v>
      </c>
      <c r="AQ154" t="s">
        <v>274</v>
      </c>
      <c r="AR154">
        <f t="shared" si="9"/>
        <v>0</v>
      </c>
    </row>
    <row r="155" ht="14.25" customHeight="1">
      <c r="A155" t="str">
        <f>IF(Allocation!C155="","",Allocation!C155)</f>
        <v>2024</v>
      </c>
      <c r="B155" t="str">
        <f>IF(Allocation!D155="","",Allocation!D155)</f>
        <v>PIGIER_BOR</v>
      </c>
      <c r="C155" t="str">
        <f>IF(Allocation!E155="","",Allocation!E155)</f>
        <v>PIGIER</v>
      </c>
      <c r="D155" t="str">
        <f>IF(Allocation!F155="","",Allocation!F155)</f>
        <v>BTS_GES</v>
      </c>
      <c r="E155" t="str">
        <f>IF(Allocation!G155="","",Allocation!G155)</f>
        <v>BTS2</v>
      </c>
      <c r="F155" t="str">
        <f>IF(Allocation!H155="","",Allocation!H155)</f>
        <v>ALT</v>
      </c>
      <c r="G155">
        <f>IF(Allocation!D155="","",Allocation!I155)</f>
        <v>31</v>
      </c>
      <c r="H155">
        <f>IF(Allocation!D155="","",Allocation!J155)</f>
        <v>2</v>
      </c>
      <c r="I155">
        <f>IF(Allocation!D155="","",Allocation!K155)</f>
        <v>180420</v>
      </c>
      <c r="J155">
        <f>IF($A155="","",_xlfn.SUMIFS(Socle!$K$1:$K$448,Socle!$C$1:$C$448,$B155,Socle!$D$1:$D$448,$D155,Socle!$E$1:$E$448,$E155,Socle!$F$1:$F$448,$F155,Socle!$G$1:$G$448,$A155))</f>
        <v>0</v>
      </c>
      <c r="K155">
        <f t="shared" si="0"/>
        <v>1400</v>
      </c>
      <c r="L155">
        <f>IF($A155="","",_xlfn.SUMIFS(Allocation!$I$1:$I$175,Allocation!$C$1:$C$175,$A155,Allocation!$D$1:$D$175,$B155))</f>
        <v>126</v>
      </c>
      <c r="M155">
        <f>IF($A155="","",_xlfn.SUMIFS(Allocation!$J$1:$J$175,Allocation!$C$1:$C$175,$A155,Allocation!$D$1:$D$175,$B155))</f>
        <v>8</v>
      </c>
      <c r="N155">
        <f>IF($A155="","",_xlfn.SUMIFS(Allocation!$K$1:$K$175,Allocation!$C$1:$C$175,$A155,Allocation!$D$1:$D$175,$B155))</f>
        <v>800190</v>
      </c>
      <c r="O155">
        <f t="shared" si="1"/>
        <v>4720</v>
      </c>
      <c r="P155">
        <f t="shared" si="2"/>
        <v>128</v>
      </c>
      <c r="Q155">
        <f>IF($A155="","",_xlfn.SUMIFS(Allocation!$I$1:$I$175,Allocation!$C$1:$C$175,$A155,Allocation!$E$1:$E$175,$C155))</f>
        <v>288</v>
      </c>
      <c r="R155">
        <f>IF($A155="","",_xlfn.SUMIFS(Allocation!$J$1:$J$175,Allocation!$C$1:$C$175,$A155,Allocation!$E$1:$E$175,$C155))</f>
        <v>16</v>
      </c>
      <c r="S155">
        <f>IF($A155="","",_xlfn.SUMIFS(Allocation!$K$1:$K$175,Allocation!$C$1:$C$175,$A155,Allocation!$E$1:$E$175,$C155))</f>
        <v>1913220</v>
      </c>
      <c r="T155">
        <f>IF($A155="","",_xlfn.SUMIFS(Allocation!$I$1:$I$175,Allocation!$C$1:$C$175,$A155))</f>
        <v>2704</v>
      </c>
      <c r="U155">
        <f>IF($A155="","",_xlfn.SUMIFS(Allocation!$J$1:$J$175,Allocation!$C$1:$C$175,$A155))</f>
        <v>131</v>
      </c>
      <c r="V155">
        <f>IF($A155="","",_xlfn.SUMIFS(Allocation!$K$1:$K$175,Allocation!$C$1:$C$175,$A155))</f>
        <v>20076860</v>
      </c>
      <c r="W155">
        <f>IF($A155="","",_xlfn.SUMIFS(Compta!$F$1:$F$1448,Compta!$A$1:$A$1448,$B155,Compta!$B$1:$B$1448,"621",Compta!$C$1:$C$1448,$A155))</f>
        <v>88144</v>
      </c>
      <c r="X155">
        <f>IF($A155="","",_xlfn.SUMIFS(Compta!$F$1:$F$1448,Compta!$A$1:$A$1448,$B155,Compta!$B$1:$B$1448,"6411",Compta!$C$1:$C$1448,$A155))</f>
        <v>190926</v>
      </c>
      <c r="Y155">
        <f>IF($A155="","",_xlfn.SUMIFS(Compta!$F$1:$F$1448,Compta!$A$1:$A$1448,$B155,Compta!$B$1:$B$1448,"604",Compta!$C$1:$C$1448,$A155)+_xlfn.SUMIFS(Compta!$F$1:$F$1448,Compta!$A$1:$A$1448,$B155,Compta!$B$1:$B$1448,"6063",Compta!$C$1:$C$1448,$A155))</f>
        <v>48220</v>
      </c>
      <c r="Z155">
        <f>IF($A155="","",_xlfn.SUMIFS(Compta!$F$1:$F$1448,Compta!$A$1:$A$1448,$B155,Compta!$B$1:$B$1448,"6231",Compta!$C$1:$C$1448,$A155))</f>
        <v>18155</v>
      </c>
      <c r="AA155">
        <f>IF($A155="","",_xlfn.SUMIFS(Compta!$F$1:$F$1448,Compta!$A$1:$A$1448,$B155,Compta!$B$1:$B$1448,"6413",Compta!$C$1:$C$1448,$A155)+_xlfn.SUMIFS(Compta!$F$1:$F$1448,Compta!$A$1:$A$1448,$B155,Compta!$B$1:$B$1448,"645",Compta!$C$1:$C$1448,$A155)+_xlfn.SUMIFS(Compta!$F$1:$F$1448,Compta!$A$1:$A$1448,$B155,Compta!$B$1:$B$1448,"613",Compta!$C$1:$C$1448,$A155)+_xlfn.SUMIFS(Compta!$F$1:$F$1448,Compta!$A$1:$A$1448,$B155,Compta!$B$1:$B$1448,"615",Compta!$C$1:$C$1448,$A155)+_xlfn.SUMIFS(Compta!$F$1:$F$1448,Compta!$A$1:$A$1448,$B155,Compta!$B$1:$B$1448,"616",Compta!$C$1:$C$1448,$A155)+_xlfn.SUMIFS(Compta!$F$1:$F$1448,Compta!$A$1:$A$1448,$B155,Compta!$B$1:$B$1448,"625",Compta!$C$1:$C$1448,$A155)+_xlfn.SUMIFS(Compta!$F$1:$F$1448,Compta!$A$1:$A$1448,$B155,Compta!$B$1:$B$1448,"63511",Compta!$C$1:$C$1448,$A155))</f>
        <v>363679</v>
      </c>
      <c r="AB155">
        <f>IF($A155="","",_xlfn.SUMIFS(Compta!$F$1:$F$1448,Compta!$A$1:$A$1448,"GRP",Compta!$B$1:$B$1448,"6414",Compta!$C$1:$C$1448,$A155)+_xlfn.SUMIFS(Compta!$F$1:$F$1448,Compta!$A$1:$A$1448,"GRP",Compta!$B$1:$B$1448,"6226",Compta!$C$1:$C$1448,$A155)+_xlfn.SUMIFS(Compta!$F$1:$F$1448,Compta!$A$1:$A$1448,"GRP",Compta!$B$1:$B$1448,"626",Compta!$C$1:$C$1448,$A155)+_xlfn.SUMIFS(Compta!$F$1:$F$1448,Compta!$A$1:$A$1448,"GRP",Compta!$B$1:$B$1448,"6281",Compta!$C$1:$C$1448,$A155)+_xlfn.SUMIFS(Compta!$F$1:$F$1448,Compta!$A$1:$A$1448,"GRP",Compta!$B$1:$B$1448,"6331",Compta!$C$1:$C$1448,$A155)+_xlfn.SUMIFS(Compta!$F$1:$F$1448,Compta!$A$1:$A$1448,"GRP",Compta!$B$1:$B$1448,"6333",Compta!$C$1:$C$1448,$A155))</f>
        <v>2639292</v>
      </c>
      <c r="AC155" t="s">
        <v>274</v>
      </c>
      <c r="AD155" t="s">
        <v>274</v>
      </c>
      <c r="AE155" t="s">
        <v>274</v>
      </c>
      <c r="AF155" t="s">
        <v>274</v>
      </c>
      <c r="AG155" t="s">
        <v>274</v>
      </c>
      <c r="AH155" t="s">
        <v>274</v>
      </c>
      <c r="AI155">
        <f t="shared" si="3"/>
        <v>26144.406779661</v>
      </c>
      <c r="AJ155">
        <f t="shared" si="4"/>
        <v>56630.593220339</v>
      </c>
      <c r="AK155">
        <f t="shared" si="5"/>
        <v>11863.6507936508</v>
      </c>
      <c r="AL155">
        <f t="shared" si="6"/>
        <v>0</v>
      </c>
      <c r="AM155">
        <f t="shared" si="7"/>
        <v>0</v>
      </c>
      <c r="AN155">
        <f t="shared" si="8"/>
        <v>85781.3492063492</v>
      </c>
      <c r="AO155">
        <f>IF($A155="","",_xlfn.SUMIFS(Compta!$F$1:$F$1448,Compta!$A$1:$A$1448,"GRP",Compta!$B$1:$B$1448,"6236",Compta!$C$1:$C$1448,$A155))</f>
        <v>499926</v>
      </c>
      <c r="AP155" t="s">
        <v>274</v>
      </c>
      <c r="AQ155" t="s">
        <v>274</v>
      </c>
      <c r="AR155">
        <f t="shared" si="9"/>
        <v>0</v>
      </c>
    </row>
    <row r="156" ht="14.25" customHeight="1">
      <c r="A156" t="str">
        <f>IF(Allocation!C156="","",Allocation!C156)</f>
        <v>2024</v>
      </c>
      <c r="B156" t="str">
        <f>IF(Allocation!D156="","",Allocation!D156)</f>
        <v>PIGIER_BOR</v>
      </c>
      <c r="C156" t="str">
        <f>IF(Allocation!E156="","",Allocation!E156)</f>
        <v>PIGIER</v>
      </c>
      <c r="D156" t="str">
        <f>IF(Allocation!F156="","",Allocation!F156)</f>
        <v>BAC_RH</v>
      </c>
      <c r="E156" t="str">
        <f>IF(Allocation!G156="","",Allocation!G156)</f>
        <v>B1</v>
      </c>
      <c r="F156" t="str">
        <f>IF(Allocation!H156="","",Allocation!H156)</f>
        <v>ALT</v>
      </c>
      <c r="G156">
        <f>IF(Allocation!D156="","",Allocation!I156)</f>
        <v>32</v>
      </c>
      <c r="H156">
        <f>IF(Allocation!D156="","",Allocation!J156)</f>
        <v>2</v>
      </c>
      <c r="I156">
        <f>IF(Allocation!D156="","",Allocation!K156)</f>
        <v>220160</v>
      </c>
      <c r="J156">
        <f>IF($A156="","",_xlfn.SUMIFS(Socle!$K$1:$K$448,Socle!$C$1:$C$448,$B156,Socle!$D$1:$D$448,$D156,Socle!$E$1:$E$448,$E156,Socle!$F$1:$F$448,$F156,Socle!$G$1:$G$448,$A156))</f>
        <v>64</v>
      </c>
      <c r="K156">
        <f t="shared" si="0"/>
        <v>960</v>
      </c>
      <c r="L156">
        <f>IF($A156="","",_xlfn.SUMIFS(Allocation!$I$1:$I$175,Allocation!$C$1:$C$175,$A156,Allocation!$D$1:$D$175,$B156))</f>
        <v>126</v>
      </c>
      <c r="M156">
        <f>IF($A156="","",_xlfn.SUMIFS(Allocation!$J$1:$J$175,Allocation!$C$1:$C$175,$A156,Allocation!$D$1:$D$175,$B156))</f>
        <v>8</v>
      </c>
      <c r="N156">
        <f>IF($A156="","",_xlfn.SUMIFS(Allocation!$K$1:$K$175,Allocation!$C$1:$C$175,$A156,Allocation!$D$1:$D$175,$B156))</f>
        <v>800190</v>
      </c>
      <c r="O156">
        <f t="shared" si="1"/>
        <v>4720</v>
      </c>
      <c r="P156">
        <f t="shared" si="2"/>
        <v>128</v>
      </c>
      <c r="Q156">
        <f>IF($A156="","",_xlfn.SUMIFS(Allocation!$I$1:$I$175,Allocation!$C$1:$C$175,$A156,Allocation!$E$1:$E$175,$C156))</f>
        <v>288</v>
      </c>
      <c r="R156">
        <f>IF($A156="","",_xlfn.SUMIFS(Allocation!$J$1:$J$175,Allocation!$C$1:$C$175,$A156,Allocation!$E$1:$E$175,$C156))</f>
        <v>16</v>
      </c>
      <c r="S156">
        <f>IF($A156="","",_xlfn.SUMIFS(Allocation!$K$1:$K$175,Allocation!$C$1:$C$175,$A156,Allocation!$E$1:$E$175,$C156))</f>
        <v>1913220</v>
      </c>
      <c r="T156">
        <f>IF($A156="","",_xlfn.SUMIFS(Allocation!$I$1:$I$175,Allocation!$C$1:$C$175,$A156))</f>
        <v>2704</v>
      </c>
      <c r="U156">
        <f>IF($A156="","",_xlfn.SUMIFS(Allocation!$J$1:$J$175,Allocation!$C$1:$C$175,$A156))</f>
        <v>131</v>
      </c>
      <c r="V156">
        <f>IF($A156="","",_xlfn.SUMIFS(Allocation!$K$1:$K$175,Allocation!$C$1:$C$175,$A156))</f>
        <v>20076860</v>
      </c>
      <c r="W156">
        <f>IF($A156="","",_xlfn.SUMIFS(Compta!$F$1:$F$1448,Compta!$A$1:$A$1448,$B156,Compta!$B$1:$B$1448,"621",Compta!$C$1:$C$1448,$A156))</f>
        <v>88144</v>
      </c>
      <c r="X156">
        <f>IF($A156="","",_xlfn.SUMIFS(Compta!$F$1:$F$1448,Compta!$A$1:$A$1448,$B156,Compta!$B$1:$B$1448,"6411",Compta!$C$1:$C$1448,$A156))</f>
        <v>190926</v>
      </c>
      <c r="Y156">
        <f>IF($A156="","",_xlfn.SUMIFS(Compta!$F$1:$F$1448,Compta!$A$1:$A$1448,$B156,Compta!$B$1:$B$1448,"604",Compta!$C$1:$C$1448,$A156)+_xlfn.SUMIFS(Compta!$F$1:$F$1448,Compta!$A$1:$A$1448,$B156,Compta!$B$1:$B$1448,"6063",Compta!$C$1:$C$1448,$A156))</f>
        <v>48220</v>
      </c>
      <c r="Z156">
        <f>IF($A156="","",_xlfn.SUMIFS(Compta!$F$1:$F$1448,Compta!$A$1:$A$1448,$B156,Compta!$B$1:$B$1448,"6231",Compta!$C$1:$C$1448,$A156))</f>
        <v>18155</v>
      </c>
      <c r="AA156">
        <f>IF($A156="","",_xlfn.SUMIFS(Compta!$F$1:$F$1448,Compta!$A$1:$A$1448,$B156,Compta!$B$1:$B$1448,"6413",Compta!$C$1:$C$1448,$A156)+_xlfn.SUMIFS(Compta!$F$1:$F$1448,Compta!$A$1:$A$1448,$B156,Compta!$B$1:$B$1448,"645",Compta!$C$1:$C$1448,$A156)+_xlfn.SUMIFS(Compta!$F$1:$F$1448,Compta!$A$1:$A$1448,$B156,Compta!$B$1:$B$1448,"613",Compta!$C$1:$C$1448,$A156)+_xlfn.SUMIFS(Compta!$F$1:$F$1448,Compta!$A$1:$A$1448,$B156,Compta!$B$1:$B$1448,"615",Compta!$C$1:$C$1448,$A156)+_xlfn.SUMIFS(Compta!$F$1:$F$1448,Compta!$A$1:$A$1448,$B156,Compta!$B$1:$B$1448,"616",Compta!$C$1:$C$1448,$A156)+_xlfn.SUMIFS(Compta!$F$1:$F$1448,Compta!$A$1:$A$1448,$B156,Compta!$B$1:$B$1448,"625",Compta!$C$1:$C$1448,$A156)+_xlfn.SUMIFS(Compta!$F$1:$F$1448,Compta!$A$1:$A$1448,$B156,Compta!$B$1:$B$1448,"63511",Compta!$C$1:$C$1448,$A156))</f>
        <v>363679</v>
      </c>
      <c r="AB156">
        <f>IF($A156="","",_xlfn.SUMIFS(Compta!$F$1:$F$1448,Compta!$A$1:$A$1448,"GRP",Compta!$B$1:$B$1448,"6414",Compta!$C$1:$C$1448,$A156)+_xlfn.SUMIFS(Compta!$F$1:$F$1448,Compta!$A$1:$A$1448,"GRP",Compta!$B$1:$B$1448,"6226",Compta!$C$1:$C$1448,$A156)+_xlfn.SUMIFS(Compta!$F$1:$F$1448,Compta!$A$1:$A$1448,"GRP",Compta!$B$1:$B$1448,"626",Compta!$C$1:$C$1448,$A156)+_xlfn.SUMIFS(Compta!$F$1:$F$1448,Compta!$A$1:$A$1448,"GRP",Compta!$B$1:$B$1448,"6281",Compta!$C$1:$C$1448,$A156)+_xlfn.SUMIFS(Compta!$F$1:$F$1448,Compta!$A$1:$A$1448,"GRP",Compta!$B$1:$B$1448,"6331",Compta!$C$1:$C$1448,$A156)+_xlfn.SUMIFS(Compta!$F$1:$F$1448,Compta!$A$1:$A$1448,"GRP",Compta!$B$1:$B$1448,"6333",Compta!$C$1:$C$1448,$A156))</f>
        <v>2639292</v>
      </c>
      <c r="AC156" t="s">
        <v>274</v>
      </c>
      <c r="AD156" t="s">
        <v>274</v>
      </c>
      <c r="AE156" t="s">
        <v>274</v>
      </c>
      <c r="AF156" t="s">
        <v>274</v>
      </c>
      <c r="AG156" t="s">
        <v>274</v>
      </c>
      <c r="AH156" t="s">
        <v>274</v>
      </c>
      <c r="AI156">
        <f t="shared" si="3"/>
        <v>17927.593220339</v>
      </c>
      <c r="AJ156">
        <f t="shared" si="4"/>
        <v>38832.406779661</v>
      </c>
      <c r="AK156">
        <f t="shared" si="5"/>
        <v>21323.8492063492</v>
      </c>
      <c r="AL156">
        <f t="shared" si="6"/>
        <v>0</v>
      </c>
      <c r="AM156">
        <f t="shared" si="7"/>
        <v>0</v>
      </c>
      <c r="AN156">
        <f t="shared" si="8"/>
        <v>142076.150793651</v>
      </c>
      <c r="AO156">
        <f>IF($A156="","",_xlfn.SUMIFS(Compta!$F$1:$F$1448,Compta!$A$1:$A$1448,"GRP",Compta!$B$1:$B$1448,"6236",Compta!$C$1:$C$1448,$A156))</f>
        <v>499926</v>
      </c>
      <c r="AP156" t="s">
        <v>274</v>
      </c>
      <c r="AQ156" t="s">
        <v>274</v>
      </c>
      <c r="AR156">
        <f t="shared" si="9"/>
        <v>0</v>
      </c>
    </row>
    <row r="157" ht="14.25" customHeight="1">
      <c r="A157" t="str">
        <f>IF(Allocation!C157="","",Allocation!C157)</f>
        <v>2024</v>
      </c>
      <c r="B157" t="str">
        <f>IF(Allocation!D157="","",Allocation!D157)</f>
        <v>PIGIER_BOR</v>
      </c>
      <c r="C157" t="str">
        <f>IF(Allocation!E157="","",Allocation!E157)</f>
        <v>PIGIER</v>
      </c>
      <c r="D157" t="str">
        <f>IF(Allocation!F157="","",Allocation!F157)</f>
        <v>BAC_RH</v>
      </c>
      <c r="E157" t="str">
        <f>IF(Allocation!G157="","",Allocation!G157)</f>
        <v>B3</v>
      </c>
      <c r="F157" t="str">
        <f>IF(Allocation!H157="","",Allocation!H157)</f>
        <v>ALT</v>
      </c>
      <c r="G157">
        <f>IF(Allocation!D157="","",Allocation!I157)</f>
        <v>31</v>
      </c>
      <c r="H157">
        <f>IF(Allocation!D157="","",Allocation!J157)</f>
        <v>2</v>
      </c>
      <c r="I157">
        <f>IF(Allocation!D157="","",Allocation!K157)</f>
        <v>210490</v>
      </c>
      <c r="J157">
        <f>IF($A157="","",_xlfn.SUMIFS(Socle!$K$1:$K$448,Socle!$C$1:$C$448,$B157,Socle!$D$1:$D$448,$D157,Socle!$E$1:$E$448,$E157,Socle!$F$1:$F$448,$F157,Socle!$G$1:$G$448,$A157))</f>
        <v>0</v>
      </c>
      <c r="K157">
        <f t="shared" si="0"/>
        <v>960</v>
      </c>
      <c r="L157">
        <f>IF($A157="","",_xlfn.SUMIFS(Allocation!$I$1:$I$175,Allocation!$C$1:$C$175,$A157,Allocation!$D$1:$D$175,$B157))</f>
        <v>126</v>
      </c>
      <c r="M157">
        <f>IF($A157="","",_xlfn.SUMIFS(Allocation!$J$1:$J$175,Allocation!$C$1:$C$175,$A157,Allocation!$D$1:$D$175,$B157))</f>
        <v>8</v>
      </c>
      <c r="N157">
        <f>IF($A157="","",_xlfn.SUMIFS(Allocation!$K$1:$K$175,Allocation!$C$1:$C$175,$A157,Allocation!$D$1:$D$175,$B157))</f>
        <v>800190</v>
      </c>
      <c r="O157">
        <f t="shared" si="1"/>
        <v>4720</v>
      </c>
      <c r="P157">
        <f t="shared" si="2"/>
        <v>128</v>
      </c>
      <c r="Q157">
        <f>IF($A157="","",_xlfn.SUMIFS(Allocation!$I$1:$I$175,Allocation!$C$1:$C$175,$A157,Allocation!$E$1:$E$175,$C157))</f>
        <v>288</v>
      </c>
      <c r="R157">
        <f>IF($A157="","",_xlfn.SUMIFS(Allocation!$J$1:$J$175,Allocation!$C$1:$C$175,$A157,Allocation!$E$1:$E$175,$C157))</f>
        <v>16</v>
      </c>
      <c r="S157">
        <f>IF($A157="","",_xlfn.SUMIFS(Allocation!$K$1:$K$175,Allocation!$C$1:$C$175,$A157,Allocation!$E$1:$E$175,$C157))</f>
        <v>1913220</v>
      </c>
      <c r="T157">
        <f>IF($A157="","",_xlfn.SUMIFS(Allocation!$I$1:$I$175,Allocation!$C$1:$C$175,$A157))</f>
        <v>2704</v>
      </c>
      <c r="U157">
        <f>IF($A157="","",_xlfn.SUMIFS(Allocation!$J$1:$J$175,Allocation!$C$1:$C$175,$A157))</f>
        <v>131</v>
      </c>
      <c r="V157">
        <f>IF($A157="","",_xlfn.SUMIFS(Allocation!$K$1:$K$175,Allocation!$C$1:$C$175,$A157))</f>
        <v>20076860</v>
      </c>
      <c r="W157">
        <f>IF($A157="","",_xlfn.SUMIFS(Compta!$F$1:$F$1448,Compta!$A$1:$A$1448,$B157,Compta!$B$1:$B$1448,"621",Compta!$C$1:$C$1448,$A157))</f>
        <v>88144</v>
      </c>
      <c r="X157">
        <f>IF($A157="","",_xlfn.SUMIFS(Compta!$F$1:$F$1448,Compta!$A$1:$A$1448,$B157,Compta!$B$1:$B$1448,"6411",Compta!$C$1:$C$1448,$A157))</f>
        <v>190926</v>
      </c>
      <c r="Y157">
        <f>IF($A157="","",_xlfn.SUMIFS(Compta!$F$1:$F$1448,Compta!$A$1:$A$1448,$B157,Compta!$B$1:$B$1448,"604",Compta!$C$1:$C$1448,$A157)+_xlfn.SUMIFS(Compta!$F$1:$F$1448,Compta!$A$1:$A$1448,$B157,Compta!$B$1:$B$1448,"6063",Compta!$C$1:$C$1448,$A157))</f>
        <v>48220</v>
      </c>
      <c r="Z157">
        <f>IF($A157="","",_xlfn.SUMIFS(Compta!$F$1:$F$1448,Compta!$A$1:$A$1448,$B157,Compta!$B$1:$B$1448,"6231",Compta!$C$1:$C$1448,$A157))</f>
        <v>18155</v>
      </c>
      <c r="AA157">
        <f>IF($A157="","",_xlfn.SUMIFS(Compta!$F$1:$F$1448,Compta!$A$1:$A$1448,$B157,Compta!$B$1:$B$1448,"6413",Compta!$C$1:$C$1448,$A157)+_xlfn.SUMIFS(Compta!$F$1:$F$1448,Compta!$A$1:$A$1448,$B157,Compta!$B$1:$B$1448,"645",Compta!$C$1:$C$1448,$A157)+_xlfn.SUMIFS(Compta!$F$1:$F$1448,Compta!$A$1:$A$1448,$B157,Compta!$B$1:$B$1448,"613",Compta!$C$1:$C$1448,$A157)+_xlfn.SUMIFS(Compta!$F$1:$F$1448,Compta!$A$1:$A$1448,$B157,Compta!$B$1:$B$1448,"615",Compta!$C$1:$C$1448,$A157)+_xlfn.SUMIFS(Compta!$F$1:$F$1448,Compta!$A$1:$A$1448,$B157,Compta!$B$1:$B$1448,"616",Compta!$C$1:$C$1448,$A157)+_xlfn.SUMIFS(Compta!$F$1:$F$1448,Compta!$A$1:$A$1448,$B157,Compta!$B$1:$B$1448,"625",Compta!$C$1:$C$1448,$A157)+_xlfn.SUMIFS(Compta!$F$1:$F$1448,Compta!$A$1:$A$1448,$B157,Compta!$B$1:$B$1448,"63511",Compta!$C$1:$C$1448,$A157))</f>
        <v>363679</v>
      </c>
      <c r="AB157">
        <f>IF($A157="","",_xlfn.SUMIFS(Compta!$F$1:$F$1448,Compta!$A$1:$A$1448,"GRP",Compta!$B$1:$B$1448,"6414",Compta!$C$1:$C$1448,$A157)+_xlfn.SUMIFS(Compta!$F$1:$F$1448,Compta!$A$1:$A$1448,"GRP",Compta!$B$1:$B$1448,"6226",Compta!$C$1:$C$1448,$A157)+_xlfn.SUMIFS(Compta!$F$1:$F$1448,Compta!$A$1:$A$1448,"GRP",Compta!$B$1:$B$1448,"626",Compta!$C$1:$C$1448,$A157)+_xlfn.SUMIFS(Compta!$F$1:$F$1448,Compta!$A$1:$A$1448,"GRP",Compta!$B$1:$B$1448,"6281",Compta!$C$1:$C$1448,$A157)+_xlfn.SUMIFS(Compta!$F$1:$F$1448,Compta!$A$1:$A$1448,"GRP",Compta!$B$1:$B$1448,"6331",Compta!$C$1:$C$1448,$A157)+_xlfn.SUMIFS(Compta!$F$1:$F$1448,Compta!$A$1:$A$1448,"GRP",Compta!$B$1:$B$1448,"6333",Compta!$C$1:$C$1448,$A157))</f>
        <v>2639292</v>
      </c>
      <c r="AC157" t="s">
        <v>274</v>
      </c>
      <c r="AD157" t="s">
        <v>274</v>
      </c>
      <c r="AE157" t="s">
        <v>274</v>
      </c>
      <c r="AF157" t="s">
        <v>274</v>
      </c>
      <c r="AG157" t="s">
        <v>274</v>
      </c>
      <c r="AH157" t="s">
        <v>274</v>
      </c>
      <c r="AI157">
        <f t="shared" si="3"/>
        <v>17927.593220339</v>
      </c>
      <c r="AJ157">
        <f t="shared" si="4"/>
        <v>38832.406779661</v>
      </c>
      <c r="AK157">
        <f t="shared" si="5"/>
        <v>11863.6507936508</v>
      </c>
      <c r="AL157">
        <f t="shared" si="6"/>
        <v>0</v>
      </c>
      <c r="AM157">
        <f t="shared" si="7"/>
        <v>0</v>
      </c>
      <c r="AN157">
        <f t="shared" si="8"/>
        <v>141866.349206349</v>
      </c>
      <c r="AO157">
        <f>IF($A157="","",_xlfn.SUMIFS(Compta!$F$1:$F$1448,Compta!$A$1:$A$1448,"GRP",Compta!$B$1:$B$1448,"6236",Compta!$C$1:$C$1448,$A157))</f>
        <v>499926</v>
      </c>
      <c r="AP157" t="s">
        <v>274</v>
      </c>
      <c r="AQ157" t="s">
        <v>274</v>
      </c>
      <c r="AR157">
        <f t="shared" si="9"/>
        <v>0</v>
      </c>
    </row>
    <row r="158" ht="14.25" customHeight="1">
      <c r="A158" t="str">
        <f>IF(Allocation!C158="","",Allocation!C158)</f>
        <v>2026</v>
      </c>
      <c r="B158" t="str">
        <f>IF(Allocation!D158="","",Allocation!D158)</f>
        <v>TUNON_PAR</v>
      </c>
      <c r="C158" t="str">
        <f>IF(Allocation!E158="","",Allocation!E158)</f>
        <v>TUNON</v>
      </c>
      <c r="D158" t="str">
        <f>IF(Allocation!F158="","",Allocation!F158)</f>
        <v>BAC_TOU</v>
      </c>
      <c r="E158" t="str">
        <f>IF(Allocation!G158="","",Allocation!G158)</f>
        <v>B1</v>
      </c>
      <c r="F158" t="str">
        <f>IF(Allocation!H158="","",Allocation!H158)</f>
        <v>ALT</v>
      </c>
      <c r="G158">
        <f>IF(Allocation!D158="","",Allocation!I158)</f>
        <v>47</v>
      </c>
      <c r="H158">
        <f>IF(Allocation!D158="","",Allocation!J158)</f>
        <v>2</v>
      </c>
      <c r="I158">
        <f>IF(Allocation!D158="","",Allocation!K158)</f>
        <v>372710</v>
      </c>
      <c r="J158">
        <f>IF($A158="","",_xlfn.SUMIFS(Socle!$K$1:$K$448,Socle!$C$1:$C$448,$B158,Socle!$D$1:$D$448,$D158,Socle!$E$1:$E$448,$E158,Socle!$F$1:$F$448,$F158,Socle!$G$1:$G$448,$A158))</f>
        <v>94</v>
      </c>
      <c r="K158">
        <f t="shared" si="0"/>
        <v>960</v>
      </c>
      <c r="L158">
        <f>IF($A158="","",_xlfn.SUMIFS(Allocation!$I$1:$I$175,Allocation!$C$1:$C$175,$A158,Allocation!$D$1:$D$175,$B158))</f>
        <v>138</v>
      </c>
      <c r="M158">
        <f>IF($A158="","",_xlfn.SUMIFS(Allocation!$J$1:$J$175,Allocation!$C$1:$C$175,$A158,Allocation!$D$1:$D$175,$B158))</f>
        <v>6</v>
      </c>
      <c r="N158">
        <f>IF($A158="","",_xlfn.SUMIFS(Allocation!$K$1:$K$175,Allocation!$C$1:$C$175,$A158,Allocation!$D$1:$D$175,$B158))</f>
        <v>1086150</v>
      </c>
      <c r="O158">
        <f t="shared" si="1"/>
        <v>2880</v>
      </c>
      <c r="P158">
        <f t="shared" si="2"/>
        <v>94</v>
      </c>
      <c r="Q158">
        <f>IF($A158="","",_xlfn.SUMIFS(Allocation!$I$1:$I$175,Allocation!$C$1:$C$175,$A158,Allocation!$E$1:$E$175,$C158))</f>
        <v>255</v>
      </c>
      <c r="R158">
        <f>IF($A158="","",_xlfn.SUMIFS(Allocation!$J$1:$J$175,Allocation!$C$1:$C$175,$A158,Allocation!$E$1:$E$175,$C158))</f>
        <v>12</v>
      </c>
      <c r="S158">
        <f>IF($A158="","",_xlfn.SUMIFS(Allocation!$K$1:$K$175,Allocation!$C$1:$C$175,$A158,Allocation!$E$1:$E$175,$C158))</f>
        <v>1949700</v>
      </c>
      <c r="T158">
        <f>IF($A158="","",_xlfn.SUMIFS(Allocation!$I$1:$I$175,Allocation!$C$1:$C$175,$A158))</f>
        <v>3036</v>
      </c>
      <c r="U158">
        <f>IF($A158="","",_xlfn.SUMIFS(Allocation!$J$1:$J$175,Allocation!$C$1:$C$175,$A158))</f>
        <v>131</v>
      </c>
      <c r="V158">
        <f>IF($A158="","",_xlfn.SUMIFS(Allocation!$K$1:$K$175,Allocation!$C$1:$C$175,$A158))</f>
        <v>22544725</v>
      </c>
      <c r="W158">
        <f>IF($A158="","",_xlfn.SUMIFS(Compta!$F$1:$F$1448,Compta!$A$1:$A$1448,$B158,Compta!$B$1:$B$1448,"621",Compta!$C$1:$C$1448,$A158))</f>
        <v>72438</v>
      </c>
      <c r="X158">
        <f>IF($A158="","",_xlfn.SUMIFS(Compta!$F$1:$F$1448,Compta!$A$1:$A$1448,$B158,Compta!$B$1:$B$1448,"6411",Compta!$C$1:$C$1448,$A158))</f>
        <v>242081</v>
      </c>
      <c r="Y158">
        <f>IF($A158="","",_xlfn.SUMIFS(Compta!$F$1:$F$1448,Compta!$A$1:$A$1448,$B158,Compta!$B$1:$B$1448,"604",Compta!$C$1:$C$1448,$A158)+_xlfn.SUMIFS(Compta!$F$1:$F$1448,Compta!$A$1:$A$1448,$B158,Compta!$B$1:$B$1448,"6063",Compta!$C$1:$C$1448,$A158))</f>
        <v>51349</v>
      </c>
      <c r="Z158">
        <f>IF($A158="","",_xlfn.SUMIFS(Compta!$F$1:$F$1448,Compta!$A$1:$A$1448,$B158,Compta!$B$1:$B$1448,"6231",Compta!$C$1:$C$1448,$A158))</f>
        <v>30240</v>
      </c>
      <c r="AA158">
        <f>IF($A158="","",_xlfn.SUMIFS(Compta!$F$1:$F$1448,Compta!$A$1:$A$1448,$B158,Compta!$B$1:$B$1448,"6413",Compta!$C$1:$C$1448,$A158)+_xlfn.SUMIFS(Compta!$F$1:$F$1448,Compta!$A$1:$A$1448,$B158,Compta!$B$1:$B$1448,"645",Compta!$C$1:$C$1448,$A158)+_xlfn.SUMIFS(Compta!$F$1:$F$1448,Compta!$A$1:$A$1448,$B158,Compta!$B$1:$B$1448,"613",Compta!$C$1:$C$1448,$A158)+_xlfn.SUMIFS(Compta!$F$1:$F$1448,Compta!$A$1:$A$1448,$B158,Compta!$B$1:$B$1448,"615",Compta!$C$1:$C$1448,$A158)+_xlfn.SUMIFS(Compta!$F$1:$F$1448,Compta!$A$1:$A$1448,$B158,Compta!$B$1:$B$1448,"616",Compta!$C$1:$C$1448,$A158)+_xlfn.SUMIFS(Compta!$F$1:$F$1448,Compta!$A$1:$A$1448,$B158,Compta!$B$1:$B$1448,"625",Compta!$C$1:$C$1448,$A158)+_xlfn.SUMIFS(Compta!$F$1:$F$1448,Compta!$A$1:$A$1448,$B158,Compta!$B$1:$B$1448,"63511",Compta!$C$1:$C$1448,$A158))</f>
        <v>542754</v>
      </c>
      <c r="AB158">
        <f>IF($A158="","",_xlfn.SUMIFS(Compta!$F$1:$F$1448,Compta!$A$1:$A$1448,"GRP",Compta!$B$1:$B$1448,"6414",Compta!$C$1:$C$1448,$A158)+_xlfn.SUMIFS(Compta!$F$1:$F$1448,Compta!$A$1:$A$1448,"GRP",Compta!$B$1:$B$1448,"6226",Compta!$C$1:$C$1448,$A158)+_xlfn.SUMIFS(Compta!$F$1:$F$1448,Compta!$A$1:$A$1448,"GRP",Compta!$B$1:$B$1448,"626",Compta!$C$1:$C$1448,$A158)+_xlfn.SUMIFS(Compta!$F$1:$F$1448,Compta!$A$1:$A$1448,"GRP",Compta!$B$1:$B$1448,"6281",Compta!$C$1:$C$1448,$A158)+_xlfn.SUMIFS(Compta!$F$1:$F$1448,Compta!$A$1:$A$1448,"GRP",Compta!$B$1:$B$1448,"6331",Compta!$C$1:$C$1448,$A158)+_xlfn.SUMIFS(Compta!$F$1:$F$1448,Compta!$A$1:$A$1448,"GRP",Compta!$B$1:$B$1448,"6333",Compta!$C$1:$C$1448,$A158))</f>
        <v>2891983</v>
      </c>
      <c r="AC158" t="s">
        <v>274</v>
      </c>
      <c r="AD158" t="s">
        <v>274</v>
      </c>
      <c r="AE158" t="s">
        <v>274</v>
      </c>
      <c r="AF158" t="s">
        <v>274</v>
      </c>
      <c r="AG158" t="s">
        <v>274</v>
      </c>
      <c r="AH158" t="s">
        <v>274</v>
      </c>
      <c r="AI158">
        <f t="shared" si="3"/>
        <v>24146</v>
      </c>
      <c r="AJ158">
        <f t="shared" si="4"/>
        <v>80693.6666666667</v>
      </c>
      <c r="AK158">
        <f t="shared" si="5"/>
        <v>47728.4275362319</v>
      </c>
      <c r="AL158">
        <f t="shared" si="6"/>
        <v>0</v>
      </c>
      <c r="AM158">
        <f t="shared" si="7"/>
        <v>0</v>
      </c>
      <c r="AN158">
        <f t="shared" si="8"/>
        <v>220141.905797101</v>
      </c>
      <c r="AO158">
        <f>IF($A158="","",_xlfn.SUMIFS(Compta!$F$1:$F$1448,Compta!$A$1:$A$1448,"GRP",Compta!$B$1:$B$1448,"6236",Compta!$C$1:$C$1448,$A158))</f>
        <v>676344</v>
      </c>
      <c r="AP158" t="s">
        <v>274</v>
      </c>
      <c r="AQ158" t="s">
        <v>274</v>
      </c>
      <c r="AR158">
        <f t="shared" si="9"/>
        <v>0</v>
      </c>
    </row>
    <row r="159" ht="14.25" customHeight="1">
      <c r="A159" t="str">
        <f>IF(Allocation!C159="","",Allocation!C159)</f>
        <v>2026</v>
      </c>
      <c r="B159" t="str">
        <f>IF(Allocation!D159="","",Allocation!D159)</f>
        <v>TUNON_PAR</v>
      </c>
      <c r="C159" t="str">
        <f>IF(Allocation!E159="","",Allocation!E159)</f>
        <v>TUNON</v>
      </c>
      <c r="D159" t="str">
        <f>IF(Allocation!F159="","",Allocation!F159)</f>
        <v>BAC_TOU</v>
      </c>
      <c r="E159" t="str">
        <f>IF(Allocation!G159="","",Allocation!G159)</f>
        <v>B2</v>
      </c>
      <c r="F159" t="str">
        <f>IF(Allocation!H159="","",Allocation!H159)</f>
        <v>ALT</v>
      </c>
      <c r="G159">
        <f>IF(Allocation!D159="","",Allocation!I159)</f>
        <v>46</v>
      </c>
      <c r="H159">
        <f>IF(Allocation!D159="","",Allocation!J159)</f>
        <v>2</v>
      </c>
      <c r="I159">
        <f>IF(Allocation!D159="","",Allocation!K159)</f>
        <v>360640</v>
      </c>
      <c r="J159">
        <f>IF($A159="","",_xlfn.SUMIFS(Socle!$K$1:$K$448,Socle!$C$1:$C$448,$B159,Socle!$D$1:$D$448,$D159,Socle!$E$1:$E$448,$E159,Socle!$F$1:$F$448,$F159,Socle!$G$1:$G$448,$A159))</f>
        <v>0</v>
      </c>
      <c r="K159">
        <f t="shared" si="0"/>
        <v>960</v>
      </c>
      <c r="L159">
        <f>IF($A159="","",_xlfn.SUMIFS(Allocation!$I$1:$I$175,Allocation!$C$1:$C$175,$A159,Allocation!$D$1:$D$175,$B159))</f>
        <v>138</v>
      </c>
      <c r="M159">
        <f>IF($A159="","",_xlfn.SUMIFS(Allocation!$J$1:$J$175,Allocation!$C$1:$C$175,$A159,Allocation!$D$1:$D$175,$B159))</f>
        <v>6</v>
      </c>
      <c r="N159">
        <f>IF($A159="","",_xlfn.SUMIFS(Allocation!$K$1:$K$175,Allocation!$C$1:$C$175,$A159,Allocation!$D$1:$D$175,$B159))</f>
        <v>1086150</v>
      </c>
      <c r="O159">
        <f t="shared" si="1"/>
        <v>2880</v>
      </c>
      <c r="P159">
        <f t="shared" si="2"/>
        <v>94</v>
      </c>
      <c r="Q159">
        <f>IF($A159="","",_xlfn.SUMIFS(Allocation!$I$1:$I$175,Allocation!$C$1:$C$175,$A159,Allocation!$E$1:$E$175,$C159))</f>
        <v>255</v>
      </c>
      <c r="R159">
        <f>IF($A159="","",_xlfn.SUMIFS(Allocation!$J$1:$J$175,Allocation!$C$1:$C$175,$A159,Allocation!$E$1:$E$175,$C159))</f>
        <v>12</v>
      </c>
      <c r="S159">
        <f>IF($A159="","",_xlfn.SUMIFS(Allocation!$K$1:$K$175,Allocation!$C$1:$C$175,$A159,Allocation!$E$1:$E$175,$C159))</f>
        <v>1949700</v>
      </c>
      <c r="T159">
        <f>IF($A159="","",_xlfn.SUMIFS(Allocation!$I$1:$I$175,Allocation!$C$1:$C$175,$A159))</f>
        <v>3036</v>
      </c>
      <c r="U159">
        <f>IF($A159="","",_xlfn.SUMIFS(Allocation!$J$1:$J$175,Allocation!$C$1:$C$175,$A159))</f>
        <v>131</v>
      </c>
      <c r="V159">
        <f>IF($A159="","",_xlfn.SUMIFS(Allocation!$K$1:$K$175,Allocation!$C$1:$C$175,$A159))</f>
        <v>22544725</v>
      </c>
      <c r="W159">
        <f>IF($A159="","",_xlfn.SUMIFS(Compta!$F$1:$F$1448,Compta!$A$1:$A$1448,$B159,Compta!$B$1:$B$1448,"621",Compta!$C$1:$C$1448,$A159))</f>
        <v>72438</v>
      </c>
      <c r="X159">
        <f>IF($A159="","",_xlfn.SUMIFS(Compta!$F$1:$F$1448,Compta!$A$1:$A$1448,$B159,Compta!$B$1:$B$1448,"6411",Compta!$C$1:$C$1448,$A159))</f>
        <v>242081</v>
      </c>
      <c r="Y159">
        <f>IF($A159="","",_xlfn.SUMIFS(Compta!$F$1:$F$1448,Compta!$A$1:$A$1448,$B159,Compta!$B$1:$B$1448,"604",Compta!$C$1:$C$1448,$A159)+_xlfn.SUMIFS(Compta!$F$1:$F$1448,Compta!$A$1:$A$1448,$B159,Compta!$B$1:$B$1448,"6063",Compta!$C$1:$C$1448,$A159))</f>
        <v>51349</v>
      </c>
      <c r="Z159">
        <f>IF($A159="","",_xlfn.SUMIFS(Compta!$F$1:$F$1448,Compta!$A$1:$A$1448,$B159,Compta!$B$1:$B$1448,"6231",Compta!$C$1:$C$1448,$A159))</f>
        <v>30240</v>
      </c>
      <c r="AA159">
        <f>IF($A159="","",_xlfn.SUMIFS(Compta!$F$1:$F$1448,Compta!$A$1:$A$1448,$B159,Compta!$B$1:$B$1448,"6413",Compta!$C$1:$C$1448,$A159)+_xlfn.SUMIFS(Compta!$F$1:$F$1448,Compta!$A$1:$A$1448,$B159,Compta!$B$1:$B$1448,"645",Compta!$C$1:$C$1448,$A159)+_xlfn.SUMIFS(Compta!$F$1:$F$1448,Compta!$A$1:$A$1448,$B159,Compta!$B$1:$B$1448,"613",Compta!$C$1:$C$1448,$A159)+_xlfn.SUMIFS(Compta!$F$1:$F$1448,Compta!$A$1:$A$1448,$B159,Compta!$B$1:$B$1448,"615",Compta!$C$1:$C$1448,$A159)+_xlfn.SUMIFS(Compta!$F$1:$F$1448,Compta!$A$1:$A$1448,$B159,Compta!$B$1:$B$1448,"616",Compta!$C$1:$C$1448,$A159)+_xlfn.SUMIFS(Compta!$F$1:$F$1448,Compta!$A$1:$A$1448,$B159,Compta!$B$1:$B$1448,"625",Compta!$C$1:$C$1448,$A159)+_xlfn.SUMIFS(Compta!$F$1:$F$1448,Compta!$A$1:$A$1448,$B159,Compta!$B$1:$B$1448,"63511",Compta!$C$1:$C$1448,$A159))</f>
        <v>542754</v>
      </c>
      <c r="AB159">
        <f>IF($A159="","",_xlfn.SUMIFS(Compta!$F$1:$F$1448,Compta!$A$1:$A$1448,"GRP",Compta!$B$1:$B$1448,"6414",Compta!$C$1:$C$1448,$A159)+_xlfn.SUMIFS(Compta!$F$1:$F$1448,Compta!$A$1:$A$1448,"GRP",Compta!$B$1:$B$1448,"6226",Compta!$C$1:$C$1448,$A159)+_xlfn.SUMIFS(Compta!$F$1:$F$1448,Compta!$A$1:$A$1448,"GRP",Compta!$B$1:$B$1448,"626",Compta!$C$1:$C$1448,$A159)+_xlfn.SUMIFS(Compta!$F$1:$F$1448,Compta!$A$1:$A$1448,"GRP",Compta!$B$1:$B$1448,"6281",Compta!$C$1:$C$1448,$A159)+_xlfn.SUMIFS(Compta!$F$1:$F$1448,Compta!$A$1:$A$1448,"GRP",Compta!$B$1:$B$1448,"6331",Compta!$C$1:$C$1448,$A159)+_xlfn.SUMIFS(Compta!$F$1:$F$1448,Compta!$A$1:$A$1448,"GRP",Compta!$B$1:$B$1448,"6333",Compta!$C$1:$C$1448,$A159))</f>
        <v>2891983</v>
      </c>
      <c r="AC159" t="s">
        <v>274</v>
      </c>
      <c r="AD159" t="s">
        <v>274</v>
      </c>
      <c r="AE159" t="s">
        <v>274</v>
      </c>
      <c r="AF159" t="s">
        <v>274</v>
      </c>
      <c r="AG159" t="s">
        <v>274</v>
      </c>
      <c r="AH159" t="s">
        <v>274</v>
      </c>
      <c r="AI159">
        <f t="shared" si="3"/>
        <v>24146</v>
      </c>
      <c r="AJ159">
        <f t="shared" si="4"/>
        <v>80693.6666666667</v>
      </c>
      <c r="AK159">
        <f t="shared" si="5"/>
        <v>17116.3333333333</v>
      </c>
      <c r="AL159">
        <f t="shared" si="6"/>
        <v>0</v>
      </c>
      <c r="AM159">
        <f t="shared" si="7"/>
        <v>0</v>
      </c>
      <c r="AN159">
        <f t="shared" si="8"/>
        <v>238684</v>
      </c>
      <c r="AO159">
        <f>IF($A159="","",_xlfn.SUMIFS(Compta!$F$1:$F$1448,Compta!$A$1:$A$1448,"GRP",Compta!$B$1:$B$1448,"6236",Compta!$C$1:$C$1448,$A159))</f>
        <v>676344</v>
      </c>
      <c r="AP159" t="s">
        <v>274</v>
      </c>
      <c r="AQ159" t="s">
        <v>274</v>
      </c>
      <c r="AR159">
        <f t="shared" si="9"/>
        <v>0</v>
      </c>
    </row>
    <row r="160" ht="14.25" customHeight="1">
      <c r="A160" t="str">
        <f>IF(Allocation!C160="","",Allocation!C160)</f>
        <v>2026</v>
      </c>
      <c r="B160" t="str">
        <f>IF(Allocation!D160="","",Allocation!D160)</f>
        <v>TUNON_PAR</v>
      </c>
      <c r="C160" t="str">
        <f>IF(Allocation!E160="","",Allocation!E160)</f>
        <v>TUNON</v>
      </c>
      <c r="D160" t="str">
        <f>IF(Allocation!F160="","",Allocation!F160)</f>
        <v>BAC_TOU</v>
      </c>
      <c r="E160" t="str">
        <f>IF(Allocation!G160="","",Allocation!G160)</f>
        <v>B3</v>
      </c>
      <c r="F160" t="str">
        <f>IF(Allocation!H160="","",Allocation!H160)</f>
        <v>ALT</v>
      </c>
      <c r="G160">
        <f>IF(Allocation!D160="","",Allocation!I160)</f>
        <v>45</v>
      </c>
      <c r="H160">
        <f>IF(Allocation!D160="","",Allocation!J160)</f>
        <v>2</v>
      </c>
      <c r="I160">
        <f>IF(Allocation!D160="","",Allocation!K160)</f>
        <v>352800</v>
      </c>
      <c r="J160">
        <f>IF($A160="","",_xlfn.SUMIFS(Socle!$K$1:$K$448,Socle!$C$1:$C$448,$B160,Socle!$D$1:$D$448,$D160,Socle!$E$1:$E$448,$E160,Socle!$F$1:$F$448,$F160,Socle!$G$1:$G$448,$A160))</f>
        <v>0</v>
      </c>
      <c r="K160">
        <f t="shared" si="0"/>
        <v>960</v>
      </c>
      <c r="L160">
        <f>IF($A160="","",_xlfn.SUMIFS(Allocation!$I$1:$I$175,Allocation!$C$1:$C$175,$A160,Allocation!$D$1:$D$175,$B160))</f>
        <v>138</v>
      </c>
      <c r="M160">
        <f>IF($A160="","",_xlfn.SUMIFS(Allocation!$J$1:$J$175,Allocation!$C$1:$C$175,$A160,Allocation!$D$1:$D$175,$B160))</f>
        <v>6</v>
      </c>
      <c r="N160">
        <f>IF($A160="","",_xlfn.SUMIFS(Allocation!$K$1:$K$175,Allocation!$C$1:$C$175,$A160,Allocation!$D$1:$D$175,$B160))</f>
        <v>1086150</v>
      </c>
      <c r="O160">
        <f t="shared" si="1"/>
        <v>2880</v>
      </c>
      <c r="P160">
        <f t="shared" si="2"/>
        <v>94</v>
      </c>
      <c r="Q160">
        <f>IF($A160="","",_xlfn.SUMIFS(Allocation!$I$1:$I$175,Allocation!$C$1:$C$175,$A160,Allocation!$E$1:$E$175,$C160))</f>
        <v>255</v>
      </c>
      <c r="R160">
        <f>IF($A160="","",_xlfn.SUMIFS(Allocation!$J$1:$J$175,Allocation!$C$1:$C$175,$A160,Allocation!$E$1:$E$175,$C160))</f>
        <v>12</v>
      </c>
      <c r="S160">
        <f>IF($A160="","",_xlfn.SUMIFS(Allocation!$K$1:$K$175,Allocation!$C$1:$C$175,$A160,Allocation!$E$1:$E$175,$C160))</f>
        <v>1949700</v>
      </c>
      <c r="T160">
        <f>IF($A160="","",_xlfn.SUMIFS(Allocation!$I$1:$I$175,Allocation!$C$1:$C$175,$A160))</f>
        <v>3036</v>
      </c>
      <c r="U160">
        <f>IF($A160="","",_xlfn.SUMIFS(Allocation!$J$1:$J$175,Allocation!$C$1:$C$175,$A160))</f>
        <v>131</v>
      </c>
      <c r="V160">
        <f>IF($A160="","",_xlfn.SUMIFS(Allocation!$K$1:$K$175,Allocation!$C$1:$C$175,$A160))</f>
        <v>22544725</v>
      </c>
      <c r="W160">
        <f>IF($A160="","",_xlfn.SUMIFS(Compta!$F$1:$F$1448,Compta!$A$1:$A$1448,$B160,Compta!$B$1:$B$1448,"621",Compta!$C$1:$C$1448,$A160))</f>
        <v>72438</v>
      </c>
      <c r="X160">
        <f>IF($A160="","",_xlfn.SUMIFS(Compta!$F$1:$F$1448,Compta!$A$1:$A$1448,$B160,Compta!$B$1:$B$1448,"6411",Compta!$C$1:$C$1448,$A160))</f>
        <v>242081</v>
      </c>
      <c r="Y160">
        <f>IF($A160="","",_xlfn.SUMIFS(Compta!$F$1:$F$1448,Compta!$A$1:$A$1448,$B160,Compta!$B$1:$B$1448,"604",Compta!$C$1:$C$1448,$A160)+_xlfn.SUMIFS(Compta!$F$1:$F$1448,Compta!$A$1:$A$1448,$B160,Compta!$B$1:$B$1448,"6063",Compta!$C$1:$C$1448,$A160))</f>
        <v>51349</v>
      </c>
      <c r="Z160">
        <f>IF($A160="","",_xlfn.SUMIFS(Compta!$F$1:$F$1448,Compta!$A$1:$A$1448,$B160,Compta!$B$1:$B$1448,"6231",Compta!$C$1:$C$1448,$A160))</f>
        <v>30240</v>
      </c>
      <c r="AA160">
        <f>IF($A160="","",_xlfn.SUMIFS(Compta!$F$1:$F$1448,Compta!$A$1:$A$1448,$B160,Compta!$B$1:$B$1448,"6413",Compta!$C$1:$C$1448,$A160)+_xlfn.SUMIFS(Compta!$F$1:$F$1448,Compta!$A$1:$A$1448,$B160,Compta!$B$1:$B$1448,"645",Compta!$C$1:$C$1448,$A160)+_xlfn.SUMIFS(Compta!$F$1:$F$1448,Compta!$A$1:$A$1448,$B160,Compta!$B$1:$B$1448,"613",Compta!$C$1:$C$1448,$A160)+_xlfn.SUMIFS(Compta!$F$1:$F$1448,Compta!$A$1:$A$1448,$B160,Compta!$B$1:$B$1448,"615",Compta!$C$1:$C$1448,$A160)+_xlfn.SUMIFS(Compta!$F$1:$F$1448,Compta!$A$1:$A$1448,$B160,Compta!$B$1:$B$1448,"616",Compta!$C$1:$C$1448,$A160)+_xlfn.SUMIFS(Compta!$F$1:$F$1448,Compta!$A$1:$A$1448,$B160,Compta!$B$1:$B$1448,"625",Compta!$C$1:$C$1448,$A160)+_xlfn.SUMIFS(Compta!$F$1:$F$1448,Compta!$A$1:$A$1448,$B160,Compta!$B$1:$B$1448,"63511",Compta!$C$1:$C$1448,$A160))</f>
        <v>542754</v>
      </c>
      <c r="AB160">
        <f>IF($A160="","",_xlfn.SUMIFS(Compta!$F$1:$F$1448,Compta!$A$1:$A$1448,"GRP",Compta!$B$1:$B$1448,"6414",Compta!$C$1:$C$1448,$A160)+_xlfn.SUMIFS(Compta!$F$1:$F$1448,Compta!$A$1:$A$1448,"GRP",Compta!$B$1:$B$1448,"6226",Compta!$C$1:$C$1448,$A160)+_xlfn.SUMIFS(Compta!$F$1:$F$1448,Compta!$A$1:$A$1448,"GRP",Compta!$B$1:$B$1448,"626",Compta!$C$1:$C$1448,$A160)+_xlfn.SUMIFS(Compta!$F$1:$F$1448,Compta!$A$1:$A$1448,"GRP",Compta!$B$1:$B$1448,"6281",Compta!$C$1:$C$1448,$A160)+_xlfn.SUMIFS(Compta!$F$1:$F$1448,Compta!$A$1:$A$1448,"GRP",Compta!$B$1:$B$1448,"6331",Compta!$C$1:$C$1448,$A160)+_xlfn.SUMIFS(Compta!$F$1:$F$1448,Compta!$A$1:$A$1448,"GRP",Compta!$B$1:$B$1448,"6333",Compta!$C$1:$C$1448,$A160))</f>
        <v>2891983</v>
      </c>
      <c r="AC160" t="s">
        <v>274</v>
      </c>
      <c r="AD160" t="s">
        <v>274</v>
      </c>
      <c r="AE160" t="s">
        <v>274</v>
      </c>
      <c r="AF160" t="s">
        <v>274</v>
      </c>
      <c r="AG160" t="s">
        <v>274</v>
      </c>
      <c r="AH160" t="s">
        <v>274</v>
      </c>
      <c r="AI160">
        <f t="shared" si="3"/>
        <v>24146</v>
      </c>
      <c r="AJ160">
        <f t="shared" si="4"/>
        <v>80693.6666666667</v>
      </c>
      <c r="AK160">
        <f t="shared" si="5"/>
        <v>16744.2391304348</v>
      </c>
      <c r="AL160">
        <f t="shared" si="6"/>
        <v>0</v>
      </c>
      <c r="AM160">
        <f t="shared" si="7"/>
        <v>0</v>
      </c>
      <c r="AN160">
        <f t="shared" si="8"/>
        <v>231216.094202899</v>
      </c>
      <c r="AO160">
        <f>IF($A160="","",_xlfn.SUMIFS(Compta!$F$1:$F$1448,Compta!$A$1:$A$1448,"GRP",Compta!$B$1:$B$1448,"6236",Compta!$C$1:$C$1448,$A160))</f>
        <v>676344</v>
      </c>
      <c r="AP160" t="s">
        <v>274</v>
      </c>
      <c r="AQ160" t="s">
        <v>274</v>
      </c>
      <c r="AR160">
        <f t="shared" si="9"/>
        <v>0</v>
      </c>
    </row>
    <row r="161" ht="14.25" customHeight="1">
      <c r="A161" t="str">
        <f>IF(Allocation!C161="","",Allocation!C161)</f>
        <v>2025</v>
      </c>
      <c r="B161" t="str">
        <f>IF(Allocation!D161="","",Allocation!D161)</f>
        <v>TUNON_PAR</v>
      </c>
      <c r="C161" t="str">
        <f>IF(Allocation!E161="","",Allocation!E161)</f>
        <v>TUNON</v>
      </c>
      <c r="D161" t="str">
        <f>IF(Allocation!F161="","",Allocation!F161)</f>
        <v>BAC_TOU</v>
      </c>
      <c r="E161" t="str">
        <f>IF(Allocation!G161="","",Allocation!G161)</f>
        <v>B1</v>
      </c>
      <c r="F161" t="str">
        <f>IF(Allocation!H161="","",Allocation!H161)</f>
        <v>ALT</v>
      </c>
      <c r="G161">
        <f>IF(Allocation!D161="","",Allocation!I161)</f>
        <v>44</v>
      </c>
      <c r="H161">
        <f>IF(Allocation!D161="","",Allocation!J161)</f>
        <v>2</v>
      </c>
      <c r="I161">
        <f>IF(Allocation!D161="","",Allocation!K161)</f>
        <v>348920</v>
      </c>
      <c r="J161">
        <f>IF($A161="","",_xlfn.SUMIFS(Socle!$K$1:$K$448,Socle!$C$1:$C$448,$B161,Socle!$D$1:$D$448,$D161,Socle!$E$1:$E$448,$E161,Socle!$F$1:$F$448,$F161,Socle!$G$1:$G$448,$A161))</f>
        <v>88</v>
      </c>
      <c r="K161">
        <f t="shared" si="0"/>
        <v>960</v>
      </c>
      <c r="L161">
        <f>IF($A161="","",_xlfn.SUMIFS(Allocation!$I$1:$I$175,Allocation!$C$1:$C$175,$A161,Allocation!$D$1:$D$175,$B161))</f>
        <v>129</v>
      </c>
      <c r="M161">
        <f>IF($A161="","",_xlfn.SUMIFS(Allocation!$J$1:$J$175,Allocation!$C$1:$C$175,$A161,Allocation!$D$1:$D$175,$B161))</f>
        <v>6</v>
      </c>
      <c r="N161">
        <f>IF($A161="","",_xlfn.SUMIFS(Allocation!$K$1:$K$175,Allocation!$C$1:$C$175,$A161,Allocation!$D$1:$D$175,$B161))</f>
        <v>1015320</v>
      </c>
      <c r="O161">
        <f t="shared" si="1"/>
        <v>2880</v>
      </c>
      <c r="P161">
        <f t="shared" si="2"/>
        <v>88</v>
      </c>
      <c r="Q161">
        <f>IF($A161="","",_xlfn.SUMIFS(Allocation!$I$1:$I$175,Allocation!$C$1:$C$175,$A161,Allocation!$E$1:$E$175,$C161))</f>
        <v>240</v>
      </c>
      <c r="R161">
        <f>IF($A161="","",_xlfn.SUMIFS(Allocation!$J$1:$J$175,Allocation!$C$1:$C$175,$A161,Allocation!$E$1:$E$175,$C161))</f>
        <v>12</v>
      </c>
      <c r="S161">
        <f>IF($A161="","",_xlfn.SUMIFS(Allocation!$K$1:$K$175,Allocation!$C$1:$C$175,$A161,Allocation!$E$1:$E$175,$C161))</f>
        <v>1834590</v>
      </c>
      <c r="T161">
        <f>IF($A161="","",_xlfn.SUMIFS(Allocation!$I$1:$I$175,Allocation!$C$1:$C$175,$A161))</f>
        <v>2860</v>
      </c>
      <c r="U161">
        <f>IF($A161="","",_xlfn.SUMIFS(Allocation!$J$1:$J$175,Allocation!$C$1:$C$175,$A161))</f>
        <v>131</v>
      </c>
      <c r="V161">
        <f>IF($A161="","",_xlfn.SUMIFS(Allocation!$K$1:$K$175,Allocation!$C$1:$C$175,$A161))</f>
        <v>21240140</v>
      </c>
      <c r="W161">
        <f>IF($A161="","",_xlfn.SUMIFS(Compta!$F$1:$F$1448,Compta!$A$1:$A$1448,$B161,Compta!$B$1:$B$1448,"621",Compta!$C$1:$C$1448,$A161))</f>
        <v>69137</v>
      </c>
      <c r="X161">
        <f>IF($A161="","",_xlfn.SUMIFS(Compta!$F$1:$F$1448,Compta!$A$1:$A$1448,$B161,Compta!$B$1:$B$1448,"6411",Compta!$C$1:$C$1448,$A161))</f>
        <v>231052</v>
      </c>
      <c r="Y161">
        <f>IF($A161="","",_xlfn.SUMIFS(Compta!$F$1:$F$1448,Compta!$A$1:$A$1448,$B161,Compta!$B$1:$B$1448,"604",Compta!$C$1:$C$1448,$A161)+_xlfn.SUMIFS(Compta!$F$1:$F$1448,Compta!$A$1:$A$1448,$B161,Compta!$B$1:$B$1448,"6063",Compta!$C$1:$C$1448,$A161))</f>
        <v>49010</v>
      </c>
      <c r="Z161">
        <f>IF($A161="","",_xlfn.SUMIFS(Compta!$F$1:$F$1448,Compta!$A$1:$A$1448,$B161,Compta!$B$1:$B$1448,"6231",Compta!$C$1:$C$1448,$A161))</f>
        <v>27491</v>
      </c>
      <c r="AA161">
        <f>IF($A161="","",_xlfn.SUMIFS(Compta!$F$1:$F$1448,Compta!$A$1:$A$1448,$B161,Compta!$B$1:$B$1448,"6413",Compta!$C$1:$C$1448,$A161)+_xlfn.SUMIFS(Compta!$F$1:$F$1448,Compta!$A$1:$A$1448,$B161,Compta!$B$1:$B$1448,"645",Compta!$C$1:$C$1448,$A161)+_xlfn.SUMIFS(Compta!$F$1:$F$1448,Compta!$A$1:$A$1448,$B161,Compta!$B$1:$B$1448,"613",Compta!$C$1:$C$1448,$A161)+_xlfn.SUMIFS(Compta!$F$1:$F$1448,Compta!$A$1:$A$1448,$B161,Compta!$B$1:$B$1448,"615",Compta!$C$1:$C$1448,$A161)+_xlfn.SUMIFS(Compta!$F$1:$F$1448,Compta!$A$1:$A$1448,$B161,Compta!$B$1:$B$1448,"616",Compta!$C$1:$C$1448,$A161)+_xlfn.SUMIFS(Compta!$F$1:$F$1448,Compta!$A$1:$A$1448,$B161,Compta!$B$1:$B$1448,"625",Compta!$C$1:$C$1448,$A161)+_xlfn.SUMIFS(Compta!$F$1:$F$1448,Compta!$A$1:$A$1448,$B161,Compta!$B$1:$B$1448,"63511",Compta!$C$1:$C$1448,$A161))</f>
        <v>518027</v>
      </c>
      <c r="AB161">
        <f>IF($A161="","",_xlfn.SUMIFS(Compta!$F$1:$F$1448,Compta!$A$1:$A$1448,"GRP",Compta!$B$1:$B$1448,"6414",Compta!$C$1:$C$1448,$A161)+_xlfn.SUMIFS(Compta!$F$1:$F$1448,Compta!$A$1:$A$1448,"GRP",Compta!$B$1:$B$1448,"6226",Compta!$C$1:$C$1448,$A161)+_xlfn.SUMIFS(Compta!$F$1:$F$1448,Compta!$A$1:$A$1448,"GRP",Compta!$B$1:$B$1448,"626",Compta!$C$1:$C$1448,$A161)+_xlfn.SUMIFS(Compta!$F$1:$F$1448,Compta!$A$1:$A$1448,"GRP",Compta!$B$1:$B$1448,"6281",Compta!$C$1:$C$1448,$A161)+_xlfn.SUMIFS(Compta!$F$1:$F$1448,Compta!$A$1:$A$1448,"GRP",Compta!$B$1:$B$1448,"6331",Compta!$C$1:$C$1448,$A161)+_xlfn.SUMIFS(Compta!$F$1:$F$1448,Compta!$A$1:$A$1448,"GRP",Compta!$B$1:$B$1448,"6333",Compta!$C$1:$C$1448,$A161))</f>
        <v>2760232</v>
      </c>
      <c r="AC161" t="s">
        <v>274</v>
      </c>
      <c r="AD161" t="s">
        <v>274</v>
      </c>
      <c r="AE161" t="s">
        <v>274</v>
      </c>
      <c r="AF161" t="s">
        <v>274</v>
      </c>
      <c r="AG161" t="s">
        <v>274</v>
      </c>
      <c r="AH161" t="s">
        <v>274</v>
      </c>
      <c r="AI161">
        <f t="shared" si="3"/>
        <v>23045.6666666667</v>
      </c>
      <c r="AJ161">
        <f t="shared" si="4"/>
        <v>77017.3333333333</v>
      </c>
      <c r="AK161">
        <f t="shared" si="5"/>
        <v>44207.5891472868</v>
      </c>
      <c r="AL161">
        <f t="shared" si="6"/>
        <v>0</v>
      </c>
      <c r="AM161">
        <f t="shared" si="7"/>
        <v>0</v>
      </c>
      <c r="AN161">
        <f t="shared" si="8"/>
        <v>204649.410852713</v>
      </c>
      <c r="AO161">
        <f>IF($A161="","",_xlfn.SUMIFS(Compta!$F$1:$F$1448,Compta!$A$1:$A$1448,"GRP",Compta!$B$1:$B$1448,"6236",Compta!$C$1:$C$1448,$A161))</f>
        <v>580167</v>
      </c>
      <c r="AP161" t="s">
        <v>274</v>
      </c>
      <c r="AQ161" t="s">
        <v>274</v>
      </c>
      <c r="AR161">
        <f t="shared" si="9"/>
        <v>0</v>
      </c>
    </row>
    <row r="162" ht="14.25" customHeight="1">
      <c r="A162" t="str">
        <f>IF(Allocation!C162="","",Allocation!C162)</f>
        <v>2025</v>
      </c>
      <c r="B162" t="str">
        <f>IF(Allocation!D162="","",Allocation!D162)</f>
        <v>TUNON_PAR</v>
      </c>
      <c r="C162" t="str">
        <f>IF(Allocation!E162="","",Allocation!E162)</f>
        <v>TUNON</v>
      </c>
      <c r="D162" t="str">
        <f>IF(Allocation!F162="","",Allocation!F162)</f>
        <v>BAC_TOU</v>
      </c>
      <c r="E162" t="str">
        <f>IF(Allocation!G162="","",Allocation!G162)</f>
        <v>B2</v>
      </c>
      <c r="F162" t="str">
        <f>IF(Allocation!H162="","",Allocation!H162)</f>
        <v>ALT</v>
      </c>
      <c r="G162">
        <f>IF(Allocation!D162="","",Allocation!I162)</f>
        <v>43</v>
      </c>
      <c r="H162">
        <f>IF(Allocation!D162="","",Allocation!J162)</f>
        <v>2</v>
      </c>
      <c r="I162">
        <f>IF(Allocation!D162="","",Allocation!K162)</f>
        <v>337120</v>
      </c>
      <c r="J162">
        <f>IF($A162="","",_xlfn.SUMIFS(Socle!$K$1:$K$448,Socle!$C$1:$C$448,$B162,Socle!$D$1:$D$448,$D162,Socle!$E$1:$E$448,$E162,Socle!$F$1:$F$448,$F162,Socle!$G$1:$G$448,$A162))</f>
        <v>0</v>
      </c>
      <c r="K162">
        <f t="shared" si="0"/>
        <v>960</v>
      </c>
      <c r="L162">
        <f>IF($A162="","",_xlfn.SUMIFS(Allocation!$I$1:$I$175,Allocation!$C$1:$C$175,$A162,Allocation!$D$1:$D$175,$B162))</f>
        <v>129</v>
      </c>
      <c r="M162">
        <f>IF($A162="","",_xlfn.SUMIFS(Allocation!$J$1:$J$175,Allocation!$C$1:$C$175,$A162,Allocation!$D$1:$D$175,$B162))</f>
        <v>6</v>
      </c>
      <c r="N162">
        <f>IF($A162="","",_xlfn.SUMIFS(Allocation!$K$1:$K$175,Allocation!$C$1:$C$175,$A162,Allocation!$D$1:$D$175,$B162))</f>
        <v>1015320</v>
      </c>
      <c r="O162">
        <f t="shared" si="1"/>
        <v>2880</v>
      </c>
      <c r="P162">
        <f t="shared" si="2"/>
        <v>88</v>
      </c>
      <c r="Q162">
        <f>IF($A162="","",_xlfn.SUMIFS(Allocation!$I$1:$I$175,Allocation!$C$1:$C$175,$A162,Allocation!$E$1:$E$175,$C162))</f>
        <v>240</v>
      </c>
      <c r="R162">
        <f>IF($A162="","",_xlfn.SUMIFS(Allocation!$J$1:$J$175,Allocation!$C$1:$C$175,$A162,Allocation!$E$1:$E$175,$C162))</f>
        <v>12</v>
      </c>
      <c r="S162">
        <f>IF($A162="","",_xlfn.SUMIFS(Allocation!$K$1:$K$175,Allocation!$C$1:$C$175,$A162,Allocation!$E$1:$E$175,$C162))</f>
        <v>1834590</v>
      </c>
      <c r="T162">
        <f>IF($A162="","",_xlfn.SUMIFS(Allocation!$I$1:$I$175,Allocation!$C$1:$C$175,$A162))</f>
        <v>2860</v>
      </c>
      <c r="U162">
        <f>IF($A162="","",_xlfn.SUMIFS(Allocation!$J$1:$J$175,Allocation!$C$1:$C$175,$A162))</f>
        <v>131</v>
      </c>
      <c r="V162">
        <f>IF($A162="","",_xlfn.SUMIFS(Allocation!$K$1:$K$175,Allocation!$C$1:$C$175,$A162))</f>
        <v>21240140</v>
      </c>
      <c r="W162">
        <f>IF($A162="","",_xlfn.SUMIFS(Compta!$F$1:$F$1448,Compta!$A$1:$A$1448,$B162,Compta!$B$1:$B$1448,"621",Compta!$C$1:$C$1448,$A162))</f>
        <v>69137</v>
      </c>
      <c r="X162">
        <f>IF($A162="","",_xlfn.SUMIFS(Compta!$F$1:$F$1448,Compta!$A$1:$A$1448,$B162,Compta!$B$1:$B$1448,"6411",Compta!$C$1:$C$1448,$A162))</f>
        <v>231052</v>
      </c>
      <c r="Y162">
        <f>IF($A162="","",_xlfn.SUMIFS(Compta!$F$1:$F$1448,Compta!$A$1:$A$1448,$B162,Compta!$B$1:$B$1448,"604",Compta!$C$1:$C$1448,$A162)+_xlfn.SUMIFS(Compta!$F$1:$F$1448,Compta!$A$1:$A$1448,$B162,Compta!$B$1:$B$1448,"6063",Compta!$C$1:$C$1448,$A162))</f>
        <v>49010</v>
      </c>
      <c r="Z162">
        <f>IF($A162="","",_xlfn.SUMIFS(Compta!$F$1:$F$1448,Compta!$A$1:$A$1448,$B162,Compta!$B$1:$B$1448,"6231",Compta!$C$1:$C$1448,$A162))</f>
        <v>27491</v>
      </c>
      <c r="AA162">
        <f>IF($A162="","",_xlfn.SUMIFS(Compta!$F$1:$F$1448,Compta!$A$1:$A$1448,$B162,Compta!$B$1:$B$1448,"6413",Compta!$C$1:$C$1448,$A162)+_xlfn.SUMIFS(Compta!$F$1:$F$1448,Compta!$A$1:$A$1448,$B162,Compta!$B$1:$B$1448,"645",Compta!$C$1:$C$1448,$A162)+_xlfn.SUMIFS(Compta!$F$1:$F$1448,Compta!$A$1:$A$1448,$B162,Compta!$B$1:$B$1448,"613",Compta!$C$1:$C$1448,$A162)+_xlfn.SUMIFS(Compta!$F$1:$F$1448,Compta!$A$1:$A$1448,$B162,Compta!$B$1:$B$1448,"615",Compta!$C$1:$C$1448,$A162)+_xlfn.SUMIFS(Compta!$F$1:$F$1448,Compta!$A$1:$A$1448,$B162,Compta!$B$1:$B$1448,"616",Compta!$C$1:$C$1448,$A162)+_xlfn.SUMIFS(Compta!$F$1:$F$1448,Compta!$A$1:$A$1448,$B162,Compta!$B$1:$B$1448,"625",Compta!$C$1:$C$1448,$A162)+_xlfn.SUMIFS(Compta!$F$1:$F$1448,Compta!$A$1:$A$1448,$B162,Compta!$B$1:$B$1448,"63511",Compta!$C$1:$C$1448,$A162))</f>
        <v>518027</v>
      </c>
      <c r="AB162">
        <f>IF($A162="","",_xlfn.SUMIFS(Compta!$F$1:$F$1448,Compta!$A$1:$A$1448,"GRP",Compta!$B$1:$B$1448,"6414",Compta!$C$1:$C$1448,$A162)+_xlfn.SUMIFS(Compta!$F$1:$F$1448,Compta!$A$1:$A$1448,"GRP",Compta!$B$1:$B$1448,"6226",Compta!$C$1:$C$1448,$A162)+_xlfn.SUMIFS(Compta!$F$1:$F$1448,Compta!$A$1:$A$1448,"GRP",Compta!$B$1:$B$1448,"626",Compta!$C$1:$C$1448,$A162)+_xlfn.SUMIFS(Compta!$F$1:$F$1448,Compta!$A$1:$A$1448,"GRP",Compta!$B$1:$B$1448,"6281",Compta!$C$1:$C$1448,$A162)+_xlfn.SUMIFS(Compta!$F$1:$F$1448,Compta!$A$1:$A$1448,"GRP",Compta!$B$1:$B$1448,"6331",Compta!$C$1:$C$1448,$A162)+_xlfn.SUMIFS(Compta!$F$1:$F$1448,Compta!$A$1:$A$1448,"GRP",Compta!$B$1:$B$1448,"6333",Compta!$C$1:$C$1448,$A162))</f>
        <v>2760232</v>
      </c>
      <c r="AC162" t="s">
        <v>274</v>
      </c>
      <c r="AD162" t="s">
        <v>274</v>
      </c>
      <c r="AE162" t="s">
        <v>274</v>
      </c>
      <c r="AF162" t="s">
        <v>274</v>
      </c>
      <c r="AG162" t="s">
        <v>274</v>
      </c>
      <c r="AH162" t="s">
        <v>274</v>
      </c>
      <c r="AI162">
        <f t="shared" si="3"/>
        <v>23045.6666666667</v>
      </c>
      <c r="AJ162">
        <f t="shared" si="4"/>
        <v>77017.3333333333</v>
      </c>
      <c r="AK162">
        <f t="shared" si="5"/>
        <v>16336.6666666667</v>
      </c>
      <c r="AL162">
        <f t="shared" si="6"/>
        <v>0</v>
      </c>
      <c r="AM162">
        <f t="shared" si="7"/>
        <v>0</v>
      </c>
      <c r="AN162">
        <f t="shared" si="8"/>
        <v>220720.333333333</v>
      </c>
      <c r="AO162">
        <f>IF($A162="","",_xlfn.SUMIFS(Compta!$F$1:$F$1448,Compta!$A$1:$A$1448,"GRP",Compta!$B$1:$B$1448,"6236",Compta!$C$1:$C$1448,$A162))</f>
        <v>580167</v>
      </c>
      <c r="AP162" t="s">
        <v>274</v>
      </c>
      <c r="AQ162" t="s">
        <v>274</v>
      </c>
      <c r="AR162">
        <f t="shared" si="9"/>
        <v>0</v>
      </c>
    </row>
    <row r="163" ht="14.25" customHeight="1">
      <c r="A163" t="str">
        <f>IF(Allocation!C163="","",Allocation!C163)</f>
        <v>2025</v>
      </c>
      <c r="B163" t="str">
        <f>IF(Allocation!D163="","",Allocation!D163)</f>
        <v>TUNON_PAR</v>
      </c>
      <c r="C163" t="str">
        <f>IF(Allocation!E163="","",Allocation!E163)</f>
        <v>TUNON</v>
      </c>
      <c r="D163" t="str">
        <f>IF(Allocation!F163="","",Allocation!F163)</f>
        <v>BAC_TOU</v>
      </c>
      <c r="E163" t="str">
        <f>IF(Allocation!G163="","",Allocation!G163)</f>
        <v>B3</v>
      </c>
      <c r="F163" t="str">
        <f>IF(Allocation!H163="","",Allocation!H163)</f>
        <v>ALT</v>
      </c>
      <c r="G163">
        <f>IF(Allocation!D163="","",Allocation!I163)</f>
        <v>42</v>
      </c>
      <c r="H163">
        <f>IF(Allocation!D163="","",Allocation!J163)</f>
        <v>2</v>
      </c>
      <c r="I163">
        <f>IF(Allocation!D163="","",Allocation!K163)</f>
        <v>329280</v>
      </c>
      <c r="J163">
        <f>IF($A163="","",_xlfn.SUMIFS(Socle!$K$1:$K$448,Socle!$C$1:$C$448,$B163,Socle!$D$1:$D$448,$D163,Socle!$E$1:$E$448,$E163,Socle!$F$1:$F$448,$F163,Socle!$G$1:$G$448,$A163))</f>
        <v>0</v>
      </c>
      <c r="K163">
        <f t="shared" si="0"/>
        <v>960</v>
      </c>
      <c r="L163">
        <f>IF($A163="","",_xlfn.SUMIFS(Allocation!$I$1:$I$175,Allocation!$C$1:$C$175,$A163,Allocation!$D$1:$D$175,$B163))</f>
        <v>129</v>
      </c>
      <c r="M163">
        <f>IF($A163="","",_xlfn.SUMIFS(Allocation!$J$1:$J$175,Allocation!$C$1:$C$175,$A163,Allocation!$D$1:$D$175,$B163))</f>
        <v>6</v>
      </c>
      <c r="N163">
        <f>IF($A163="","",_xlfn.SUMIFS(Allocation!$K$1:$K$175,Allocation!$C$1:$C$175,$A163,Allocation!$D$1:$D$175,$B163))</f>
        <v>1015320</v>
      </c>
      <c r="O163">
        <f t="shared" si="1"/>
        <v>2880</v>
      </c>
      <c r="P163">
        <f t="shared" si="2"/>
        <v>88</v>
      </c>
      <c r="Q163">
        <f>IF($A163="","",_xlfn.SUMIFS(Allocation!$I$1:$I$175,Allocation!$C$1:$C$175,$A163,Allocation!$E$1:$E$175,$C163))</f>
        <v>240</v>
      </c>
      <c r="R163">
        <f>IF($A163="","",_xlfn.SUMIFS(Allocation!$J$1:$J$175,Allocation!$C$1:$C$175,$A163,Allocation!$E$1:$E$175,$C163))</f>
        <v>12</v>
      </c>
      <c r="S163">
        <f>IF($A163="","",_xlfn.SUMIFS(Allocation!$K$1:$K$175,Allocation!$C$1:$C$175,$A163,Allocation!$E$1:$E$175,$C163))</f>
        <v>1834590</v>
      </c>
      <c r="T163">
        <f>IF($A163="","",_xlfn.SUMIFS(Allocation!$I$1:$I$175,Allocation!$C$1:$C$175,$A163))</f>
        <v>2860</v>
      </c>
      <c r="U163">
        <f>IF($A163="","",_xlfn.SUMIFS(Allocation!$J$1:$J$175,Allocation!$C$1:$C$175,$A163))</f>
        <v>131</v>
      </c>
      <c r="V163">
        <f>IF($A163="","",_xlfn.SUMIFS(Allocation!$K$1:$K$175,Allocation!$C$1:$C$175,$A163))</f>
        <v>21240140</v>
      </c>
      <c r="W163">
        <f>IF($A163="","",_xlfn.SUMIFS(Compta!$F$1:$F$1448,Compta!$A$1:$A$1448,$B163,Compta!$B$1:$B$1448,"621",Compta!$C$1:$C$1448,$A163))</f>
        <v>69137</v>
      </c>
      <c r="X163">
        <f>IF($A163="","",_xlfn.SUMIFS(Compta!$F$1:$F$1448,Compta!$A$1:$A$1448,$B163,Compta!$B$1:$B$1448,"6411",Compta!$C$1:$C$1448,$A163))</f>
        <v>231052</v>
      </c>
      <c r="Y163">
        <f>IF($A163="","",_xlfn.SUMIFS(Compta!$F$1:$F$1448,Compta!$A$1:$A$1448,$B163,Compta!$B$1:$B$1448,"604",Compta!$C$1:$C$1448,$A163)+_xlfn.SUMIFS(Compta!$F$1:$F$1448,Compta!$A$1:$A$1448,$B163,Compta!$B$1:$B$1448,"6063",Compta!$C$1:$C$1448,$A163))</f>
        <v>49010</v>
      </c>
      <c r="Z163">
        <f>IF($A163="","",_xlfn.SUMIFS(Compta!$F$1:$F$1448,Compta!$A$1:$A$1448,$B163,Compta!$B$1:$B$1448,"6231",Compta!$C$1:$C$1448,$A163))</f>
        <v>27491</v>
      </c>
      <c r="AA163">
        <f>IF($A163="","",_xlfn.SUMIFS(Compta!$F$1:$F$1448,Compta!$A$1:$A$1448,$B163,Compta!$B$1:$B$1448,"6413",Compta!$C$1:$C$1448,$A163)+_xlfn.SUMIFS(Compta!$F$1:$F$1448,Compta!$A$1:$A$1448,$B163,Compta!$B$1:$B$1448,"645",Compta!$C$1:$C$1448,$A163)+_xlfn.SUMIFS(Compta!$F$1:$F$1448,Compta!$A$1:$A$1448,$B163,Compta!$B$1:$B$1448,"613",Compta!$C$1:$C$1448,$A163)+_xlfn.SUMIFS(Compta!$F$1:$F$1448,Compta!$A$1:$A$1448,$B163,Compta!$B$1:$B$1448,"615",Compta!$C$1:$C$1448,$A163)+_xlfn.SUMIFS(Compta!$F$1:$F$1448,Compta!$A$1:$A$1448,$B163,Compta!$B$1:$B$1448,"616",Compta!$C$1:$C$1448,$A163)+_xlfn.SUMIFS(Compta!$F$1:$F$1448,Compta!$A$1:$A$1448,$B163,Compta!$B$1:$B$1448,"625",Compta!$C$1:$C$1448,$A163)+_xlfn.SUMIFS(Compta!$F$1:$F$1448,Compta!$A$1:$A$1448,$B163,Compta!$B$1:$B$1448,"63511",Compta!$C$1:$C$1448,$A163))</f>
        <v>518027</v>
      </c>
      <c r="AB163">
        <f>IF($A163="","",_xlfn.SUMIFS(Compta!$F$1:$F$1448,Compta!$A$1:$A$1448,"GRP",Compta!$B$1:$B$1448,"6414",Compta!$C$1:$C$1448,$A163)+_xlfn.SUMIFS(Compta!$F$1:$F$1448,Compta!$A$1:$A$1448,"GRP",Compta!$B$1:$B$1448,"6226",Compta!$C$1:$C$1448,$A163)+_xlfn.SUMIFS(Compta!$F$1:$F$1448,Compta!$A$1:$A$1448,"GRP",Compta!$B$1:$B$1448,"626",Compta!$C$1:$C$1448,$A163)+_xlfn.SUMIFS(Compta!$F$1:$F$1448,Compta!$A$1:$A$1448,"GRP",Compta!$B$1:$B$1448,"6281",Compta!$C$1:$C$1448,$A163)+_xlfn.SUMIFS(Compta!$F$1:$F$1448,Compta!$A$1:$A$1448,"GRP",Compta!$B$1:$B$1448,"6331",Compta!$C$1:$C$1448,$A163)+_xlfn.SUMIFS(Compta!$F$1:$F$1448,Compta!$A$1:$A$1448,"GRP",Compta!$B$1:$B$1448,"6333",Compta!$C$1:$C$1448,$A163))</f>
        <v>2760232</v>
      </c>
      <c r="AC163" t="s">
        <v>274</v>
      </c>
      <c r="AD163" t="s">
        <v>274</v>
      </c>
      <c r="AE163" t="s">
        <v>274</v>
      </c>
      <c r="AF163" t="s">
        <v>274</v>
      </c>
      <c r="AG163" t="s">
        <v>274</v>
      </c>
      <c r="AH163" t="s">
        <v>274</v>
      </c>
      <c r="AI163">
        <f t="shared" si="3"/>
        <v>23045.6666666667</v>
      </c>
      <c r="AJ163">
        <f t="shared" si="4"/>
        <v>77017.3333333333</v>
      </c>
      <c r="AK163">
        <f t="shared" si="5"/>
        <v>15956.7441860465</v>
      </c>
      <c r="AL163">
        <f t="shared" si="6"/>
        <v>0</v>
      </c>
      <c r="AM163">
        <f t="shared" si="7"/>
        <v>0</v>
      </c>
      <c r="AN163">
        <f t="shared" si="8"/>
        <v>213260.255813953</v>
      </c>
      <c r="AO163">
        <f>IF($A163="","",_xlfn.SUMIFS(Compta!$F$1:$F$1448,Compta!$A$1:$A$1448,"GRP",Compta!$B$1:$B$1448,"6236",Compta!$C$1:$C$1448,$A163))</f>
        <v>580167</v>
      </c>
      <c r="AP163" t="s">
        <v>274</v>
      </c>
      <c r="AQ163" t="s">
        <v>274</v>
      </c>
      <c r="AR163">
        <f t="shared" si="9"/>
        <v>0</v>
      </c>
    </row>
    <row r="164" ht="14.25" customHeight="1">
      <c r="A164" t="str">
        <f>IF(Allocation!C164="","",Allocation!C164)</f>
        <v>2024</v>
      </c>
      <c r="B164" t="str">
        <f>IF(Allocation!D164="","",Allocation!D164)</f>
        <v>TUNON_PAR</v>
      </c>
      <c r="C164" t="str">
        <f>IF(Allocation!E164="","",Allocation!E164)</f>
        <v>TUNON</v>
      </c>
      <c r="D164" t="str">
        <f>IF(Allocation!F164="","",Allocation!F164)</f>
        <v>BAC_TOU</v>
      </c>
      <c r="E164" t="str">
        <f>IF(Allocation!G164="","",Allocation!G164)</f>
        <v>B1</v>
      </c>
      <c r="F164" t="str">
        <f>IF(Allocation!H164="","",Allocation!H164)</f>
        <v>ALT</v>
      </c>
      <c r="G164">
        <f>IF(Allocation!D164="","",Allocation!I164)</f>
        <v>42</v>
      </c>
      <c r="H164">
        <f>IF(Allocation!D164="","",Allocation!J164)</f>
        <v>2</v>
      </c>
      <c r="I164">
        <f>IF(Allocation!D164="","",Allocation!K164)</f>
        <v>333060</v>
      </c>
      <c r="J164">
        <f>IF($A164="","",_xlfn.SUMIFS(Socle!$K$1:$K$448,Socle!$C$1:$C$448,$B164,Socle!$D$1:$D$448,$D164,Socle!$E$1:$E$448,$E164,Socle!$F$1:$F$448,$F164,Socle!$G$1:$G$448,$A164))</f>
        <v>84</v>
      </c>
      <c r="K164">
        <f t="shared" si="0"/>
        <v>960</v>
      </c>
      <c r="L164">
        <f>IF($A164="","",_xlfn.SUMIFS(Allocation!$I$1:$I$175,Allocation!$C$1:$C$175,$A164,Allocation!$D$1:$D$175,$B164))</f>
        <v>123</v>
      </c>
      <c r="M164">
        <f>IF($A164="","",_xlfn.SUMIFS(Allocation!$J$1:$J$175,Allocation!$C$1:$C$175,$A164,Allocation!$D$1:$D$175,$B164))</f>
        <v>6</v>
      </c>
      <c r="N164">
        <f>IF($A164="","",_xlfn.SUMIFS(Allocation!$K$1:$K$175,Allocation!$C$1:$C$175,$A164,Allocation!$D$1:$D$175,$B164))</f>
        <v>968100</v>
      </c>
      <c r="O164">
        <f t="shared" si="1"/>
        <v>2880</v>
      </c>
      <c r="P164">
        <f t="shared" si="2"/>
        <v>84</v>
      </c>
      <c r="Q164">
        <f>IF($A164="","",_xlfn.SUMIFS(Allocation!$I$1:$I$175,Allocation!$C$1:$C$175,$A164,Allocation!$E$1:$E$175,$C164))</f>
        <v>228</v>
      </c>
      <c r="R164">
        <f>IF($A164="","",_xlfn.SUMIFS(Allocation!$J$1:$J$175,Allocation!$C$1:$C$175,$A164,Allocation!$E$1:$E$175,$C164))</f>
        <v>12</v>
      </c>
      <c r="S164">
        <f>IF($A164="","",_xlfn.SUMIFS(Allocation!$K$1:$K$175,Allocation!$C$1:$C$175,$A164,Allocation!$E$1:$E$175,$C164))</f>
        <v>1743090</v>
      </c>
      <c r="T164">
        <f>IF($A164="","",_xlfn.SUMIFS(Allocation!$I$1:$I$175,Allocation!$C$1:$C$175,$A164))</f>
        <v>2704</v>
      </c>
      <c r="U164">
        <f>IF($A164="","",_xlfn.SUMIFS(Allocation!$J$1:$J$175,Allocation!$C$1:$C$175,$A164))</f>
        <v>131</v>
      </c>
      <c r="V164">
        <f>IF($A164="","",_xlfn.SUMIFS(Allocation!$K$1:$K$175,Allocation!$C$1:$C$175,$A164))</f>
        <v>20076860</v>
      </c>
      <c r="W164">
        <f>IF($A164="","",_xlfn.SUMIFS(Compta!$F$1:$F$1448,Compta!$A$1:$A$1448,$B164,Compta!$B$1:$B$1448,"621",Compta!$C$1:$C$1448,$A164))</f>
        <v>66108</v>
      </c>
      <c r="X164">
        <f>IF($A164="","",_xlfn.SUMIFS(Compta!$F$1:$F$1448,Compta!$A$1:$A$1448,$B164,Compta!$B$1:$B$1448,"6411",Compta!$C$1:$C$1448,$A164))</f>
        <v>220929</v>
      </c>
      <c r="Y164">
        <f>IF($A164="","",_xlfn.SUMIFS(Compta!$F$1:$F$1448,Compta!$A$1:$A$1448,$B164,Compta!$B$1:$B$1448,"604",Compta!$C$1:$C$1448,$A164)+_xlfn.SUMIFS(Compta!$F$1:$F$1448,Compta!$A$1:$A$1448,$B164,Compta!$B$1:$B$1448,"6063",Compta!$C$1:$C$1448,$A164))</f>
        <v>46862</v>
      </c>
      <c r="Z164">
        <f>IF($A164="","",_xlfn.SUMIFS(Compta!$F$1:$F$1448,Compta!$A$1:$A$1448,$B164,Compta!$B$1:$B$1448,"6231",Compta!$C$1:$C$1448,$A164))</f>
        <v>24992</v>
      </c>
      <c r="AA164">
        <f>IF($A164="","",_xlfn.SUMIFS(Compta!$F$1:$F$1448,Compta!$A$1:$A$1448,$B164,Compta!$B$1:$B$1448,"6413",Compta!$C$1:$C$1448,$A164)+_xlfn.SUMIFS(Compta!$F$1:$F$1448,Compta!$A$1:$A$1448,$B164,Compta!$B$1:$B$1448,"645",Compta!$C$1:$C$1448,$A164)+_xlfn.SUMIFS(Compta!$F$1:$F$1448,Compta!$A$1:$A$1448,$B164,Compta!$B$1:$B$1448,"613",Compta!$C$1:$C$1448,$A164)+_xlfn.SUMIFS(Compta!$F$1:$F$1448,Compta!$A$1:$A$1448,$B164,Compta!$B$1:$B$1448,"615",Compta!$C$1:$C$1448,$A164)+_xlfn.SUMIFS(Compta!$F$1:$F$1448,Compta!$A$1:$A$1448,$B164,Compta!$B$1:$B$1448,"616",Compta!$C$1:$C$1448,$A164)+_xlfn.SUMIFS(Compta!$F$1:$F$1448,Compta!$A$1:$A$1448,$B164,Compta!$B$1:$B$1448,"625",Compta!$C$1:$C$1448,$A164)+_xlfn.SUMIFS(Compta!$F$1:$F$1448,Compta!$A$1:$A$1448,$B164,Compta!$B$1:$B$1448,"63511",Compta!$C$1:$C$1448,$A164))</f>
        <v>495331</v>
      </c>
      <c r="AB164">
        <f>IF($A164="","",_xlfn.SUMIFS(Compta!$F$1:$F$1448,Compta!$A$1:$A$1448,"GRP",Compta!$B$1:$B$1448,"6414",Compta!$C$1:$C$1448,$A164)+_xlfn.SUMIFS(Compta!$F$1:$F$1448,Compta!$A$1:$A$1448,"GRP",Compta!$B$1:$B$1448,"6226",Compta!$C$1:$C$1448,$A164)+_xlfn.SUMIFS(Compta!$F$1:$F$1448,Compta!$A$1:$A$1448,"GRP",Compta!$B$1:$B$1448,"626",Compta!$C$1:$C$1448,$A164)+_xlfn.SUMIFS(Compta!$F$1:$F$1448,Compta!$A$1:$A$1448,"GRP",Compta!$B$1:$B$1448,"6281",Compta!$C$1:$C$1448,$A164)+_xlfn.SUMIFS(Compta!$F$1:$F$1448,Compta!$A$1:$A$1448,"GRP",Compta!$B$1:$B$1448,"6331",Compta!$C$1:$C$1448,$A164)+_xlfn.SUMIFS(Compta!$F$1:$F$1448,Compta!$A$1:$A$1448,"GRP",Compta!$B$1:$B$1448,"6333",Compta!$C$1:$C$1448,$A164))</f>
        <v>2639292</v>
      </c>
      <c r="AC164" t="s">
        <v>274</v>
      </c>
      <c r="AD164" t="s">
        <v>274</v>
      </c>
      <c r="AE164" t="s">
        <v>274</v>
      </c>
      <c r="AF164" t="s">
        <v>274</v>
      </c>
      <c r="AG164" t="s">
        <v>274</v>
      </c>
      <c r="AH164" t="s">
        <v>274</v>
      </c>
      <c r="AI164">
        <f t="shared" si="3"/>
        <v>22036</v>
      </c>
      <c r="AJ164">
        <f t="shared" si="4"/>
        <v>73643</v>
      </c>
      <c r="AK164">
        <f t="shared" si="5"/>
        <v>40993.6585365854</v>
      </c>
      <c r="AL164">
        <f t="shared" si="6"/>
        <v>0</v>
      </c>
      <c r="AM164">
        <f t="shared" si="7"/>
        <v>0</v>
      </c>
      <c r="AN164">
        <f t="shared" si="8"/>
        <v>196387.341463415</v>
      </c>
      <c r="AO164">
        <f>IF($A164="","",_xlfn.SUMIFS(Compta!$F$1:$F$1448,Compta!$A$1:$A$1448,"GRP",Compta!$B$1:$B$1448,"6236",Compta!$C$1:$C$1448,$A164))</f>
        <v>499926</v>
      </c>
      <c r="AP164" t="s">
        <v>274</v>
      </c>
      <c r="AQ164" t="s">
        <v>274</v>
      </c>
      <c r="AR164">
        <f t="shared" si="9"/>
        <v>0</v>
      </c>
    </row>
    <row r="165" ht="14.25" customHeight="1">
      <c r="A165" t="str">
        <f>IF(Allocation!C165="","",Allocation!C165)</f>
        <v>2024</v>
      </c>
      <c r="B165" t="str">
        <f>IF(Allocation!D165="","",Allocation!D165)</f>
        <v>TUNON_PAR</v>
      </c>
      <c r="C165" t="str">
        <f>IF(Allocation!E165="","",Allocation!E165)</f>
        <v>TUNON</v>
      </c>
      <c r="D165" t="str">
        <f>IF(Allocation!F165="","",Allocation!F165)</f>
        <v>BAC_TOU</v>
      </c>
      <c r="E165" t="str">
        <f>IF(Allocation!G165="","",Allocation!G165)</f>
        <v>B2</v>
      </c>
      <c r="F165" t="str">
        <f>IF(Allocation!H165="","",Allocation!H165)</f>
        <v>ALT</v>
      </c>
      <c r="G165">
        <f>IF(Allocation!D165="","",Allocation!I165)</f>
        <v>41</v>
      </c>
      <c r="H165">
        <f>IF(Allocation!D165="","",Allocation!J165)</f>
        <v>2</v>
      </c>
      <c r="I165">
        <f>IF(Allocation!D165="","",Allocation!K165)</f>
        <v>321440</v>
      </c>
      <c r="J165">
        <f>IF($A165="","",_xlfn.SUMIFS(Socle!$K$1:$K$448,Socle!$C$1:$C$448,$B165,Socle!$D$1:$D$448,$D165,Socle!$E$1:$E$448,$E165,Socle!$F$1:$F$448,$F165,Socle!$G$1:$G$448,$A165))</f>
        <v>0</v>
      </c>
      <c r="K165">
        <f t="shared" si="0"/>
        <v>960</v>
      </c>
      <c r="L165">
        <f>IF($A165="","",_xlfn.SUMIFS(Allocation!$I$1:$I$175,Allocation!$C$1:$C$175,$A165,Allocation!$D$1:$D$175,$B165))</f>
        <v>123</v>
      </c>
      <c r="M165">
        <f>IF($A165="","",_xlfn.SUMIFS(Allocation!$J$1:$J$175,Allocation!$C$1:$C$175,$A165,Allocation!$D$1:$D$175,$B165))</f>
        <v>6</v>
      </c>
      <c r="N165">
        <f>IF($A165="","",_xlfn.SUMIFS(Allocation!$K$1:$K$175,Allocation!$C$1:$C$175,$A165,Allocation!$D$1:$D$175,$B165))</f>
        <v>968100</v>
      </c>
      <c r="O165">
        <f t="shared" si="1"/>
        <v>2880</v>
      </c>
      <c r="P165">
        <f t="shared" si="2"/>
        <v>84</v>
      </c>
      <c r="Q165">
        <f>IF($A165="","",_xlfn.SUMIFS(Allocation!$I$1:$I$175,Allocation!$C$1:$C$175,$A165,Allocation!$E$1:$E$175,$C165))</f>
        <v>228</v>
      </c>
      <c r="R165">
        <f>IF($A165="","",_xlfn.SUMIFS(Allocation!$J$1:$J$175,Allocation!$C$1:$C$175,$A165,Allocation!$E$1:$E$175,$C165))</f>
        <v>12</v>
      </c>
      <c r="S165">
        <f>IF($A165="","",_xlfn.SUMIFS(Allocation!$K$1:$K$175,Allocation!$C$1:$C$175,$A165,Allocation!$E$1:$E$175,$C165))</f>
        <v>1743090</v>
      </c>
      <c r="T165">
        <f>IF($A165="","",_xlfn.SUMIFS(Allocation!$I$1:$I$175,Allocation!$C$1:$C$175,$A165))</f>
        <v>2704</v>
      </c>
      <c r="U165">
        <f>IF($A165="","",_xlfn.SUMIFS(Allocation!$J$1:$J$175,Allocation!$C$1:$C$175,$A165))</f>
        <v>131</v>
      </c>
      <c r="V165">
        <f>IF($A165="","",_xlfn.SUMIFS(Allocation!$K$1:$K$175,Allocation!$C$1:$C$175,$A165))</f>
        <v>20076860</v>
      </c>
      <c r="W165">
        <f>IF($A165="","",_xlfn.SUMIFS(Compta!$F$1:$F$1448,Compta!$A$1:$A$1448,$B165,Compta!$B$1:$B$1448,"621",Compta!$C$1:$C$1448,$A165))</f>
        <v>66108</v>
      </c>
      <c r="X165">
        <f>IF($A165="","",_xlfn.SUMIFS(Compta!$F$1:$F$1448,Compta!$A$1:$A$1448,$B165,Compta!$B$1:$B$1448,"6411",Compta!$C$1:$C$1448,$A165))</f>
        <v>220929</v>
      </c>
      <c r="Y165">
        <f>IF($A165="","",_xlfn.SUMIFS(Compta!$F$1:$F$1448,Compta!$A$1:$A$1448,$B165,Compta!$B$1:$B$1448,"604",Compta!$C$1:$C$1448,$A165)+_xlfn.SUMIFS(Compta!$F$1:$F$1448,Compta!$A$1:$A$1448,$B165,Compta!$B$1:$B$1448,"6063",Compta!$C$1:$C$1448,$A165))</f>
        <v>46862</v>
      </c>
      <c r="Z165">
        <f>IF($A165="","",_xlfn.SUMIFS(Compta!$F$1:$F$1448,Compta!$A$1:$A$1448,$B165,Compta!$B$1:$B$1448,"6231",Compta!$C$1:$C$1448,$A165))</f>
        <v>24992</v>
      </c>
      <c r="AA165">
        <f>IF($A165="","",_xlfn.SUMIFS(Compta!$F$1:$F$1448,Compta!$A$1:$A$1448,$B165,Compta!$B$1:$B$1448,"6413",Compta!$C$1:$C$1448,$A165)+_xlfn.SUMIFS(Compta!$F$1:$F$1448,Compta!$A$1:$A$1448,$B165,Compta!$B$1:$B$1448,"645",Compta!$C$1:$C$1448,$A165)+_xlfn.SUMIFS(Compta!$F$1:$F$1448,Compta!$A$1:$A$1448,$B165,Compta!$B$1:$B$1448,"613",Compta!$C$1:$C$1448,$A165)+_xlfn.SUMIFS(Compta!$F$1:$F$1448,Compta!$A$1:$A$1448,$B165,Compta!$B$1:$B$1448,"615",Compta!$C$1:$C$1448,$A165)+_xlfn.SUMIFS(Compta!$F$1:$F$1448,Compta!$A$1:$A$1448,$B165,Compta!$B$1:$B$1448,"616",Compta!$C$1:$C$1448,$A165)+_xlfn.SUMIFS(Compta!$F$1:$F$1448,Compta!$A$1:$A$1448,$B165,Compta!$B$1:$B$1448,"625",Compta!$C$1:$C$1448,$A165)+_xlfn.SUMIFS(Compta!$F$1:$F$1448,Compta!$A$1:$A$1448,$B165,Compta!$B$1:$B$1448,"63511",Compta!$C$1:$C$1448,$A165))</f>
        <v>495331</v>
      </c>
      <c r="AB165">
        <f>IF($A165="","",_xlfn.SUMIFS(Compta!$F$1:$F$1448,Compta!$A$1:$A$1448,"GRP",Compta!$B$1:$B$1448,"6414",Compta!$C$1:$C$1448,$A165)+_xlfn.SUMIFS(Compta!$F$1:$F$1448,Compta!$A$1:$A$1448,"GRP",Compta!$B$1:$B$1448,"6226",Compta!$C$1:$C$1448,$A165)+_xlfn.SUMIFS(Compta!$F$1:$F$1448,Compta!$A$1:$A$1448,"GRP",Compta!$B$1:$B$1448,"626",Compta!$C$1:$C$1448,$A165)+_xlfn.SUMIFS(Compta!$F$1:$F$1448,Compta!$A$1:$A$1448,"GRP",Compta!$B$1:$B$1448,"6281",Compta!$C$1:$C$1448,$A165)+_xlfn.SUMIFS(Compta!$F$1:$F$1448,Compta!$A$1:$A$1448,"GRP",Compta!$B$1:$B$1448,"6331",Compta!$C$1:$C$1448,$A165)+_xlfn.SUMIFS(Compta!$F$1:$F$1448,Compta!$A$1:$A$1448,"GRP",Compta!$B$1:$B$1448,"6333",Compta!$C$1:$C$1448,$A165))</f>
        <v>2639292</v>
      </c>
      <c r="AC165" t="s">
        <v>274</v>
      </c>
      <c r="AD165" t="s">
        <v>274</v>
      </c>
      <c r="AE165" t="s">
        <v>274</v>
      </c>
      <c r="AF165" t="s">
        <v>274</v>
      </c>
      <c r="AG165" t="s">
        <v>274</v>
      </c>
      <c r="AH165" t="s">
        <v>274</v>
      </c>
      <c r="AI165">
        <f t="shared" si="3"/>
        <v>22036</v>
      </c>
      <c r="AJ165">
        <f t="shared" si="4"/>
        <v>73643</v>
      </c>
      <c r="AK165">
        <f t="shared" si="5"/>
        <v>15620.6666666667</v>
      </c>
      <c r="AL165">
        <f t="shared" si="6"/>
        <v>0</v>
      </c>
      <c r="AM165">
        <f t="shared" si="7"/>
        <v>0</v>
      </c>
      <c r="AN165">
        <f t="shared" si="8"/>
        <v>210140.333333333</v>
      </c>
      <c r="AO165">
        <f>IF($A165="","",_xlfn.SUMIFS(Compta!$F$1:$F$1448,Compta!$A$1:$A$1448,"GRP",Compta!$B$1:$B$1448,"6236",Compta!$C$1:$C$1448,$A165))</f>
        <v>499926</v>
      </c>
      <c r="AP165" t="s">
        <v>274</v>
      </c>
      <c r="AQ165" t="s">
        <v>274</v>
      </c>
      <c r="AR165">
        <f t="shared" si="9"/>
        <v>0</v>
      </c>
    </row>
    <row r="166" ht="14.25" customHeight="1">
      <c r="A166" t="str">
        <f>IF(Allocation!C166="","",Allocation!C166)</f>
        <v>2024</v>
      </c>
      <c r="B166" t="str">
        <f>IF(Allocation!D166="","",Allocation!D166)</f>
        <v>TUNON_PAR</v>
      </c>
      <c r="C166" t="str">
        <f>IF(Allocation!E166="","",Allocation!E166)</f>
        <v>TUNON</v>
      </c>
      <c r="D166" t="str">
        <f>IF(Allocation!F166="","",Allocation!F166)</f>
        <v>BAC_TOU</v>
      </c>
      <c r="E166" t="str">
        <f>IF(Allocation!G166="","",Allocation!G166)</f>
        <v>B3</v>
      </c>
      <c r="F166" t="str">
        <f>IF(Allocation!H166="","",Allocation!H166)</f>
        <v>ALT</v>
      </c>
      <c r="G166">
        <f>IF(Allocation!D166="","",Allocation!I166)</f>
        <v>40</v>
      </c>
      <c r="H166">
        <f>IF(Allocation!D166="","",Allocation!J166)</f>
        <v>2</v>
      </c>
      <c r="I166">
        <f>IF(Allocation!D166="","",Allocation!K166)</f>
        <v>313600</v>
      </c>
      <c r="J166">
        <f>IF($A166="","",_xlfn.SUMIFS(Socle!$K$1:$K$448,Socle!$C$1:$C$448,$B166,Socle!$D$1:$D$448,$D166,Socle!$E$1:$E$448,$E166,Socle!$F$1:$F$448,$F166,Socle!$G$1:$G$448,$A166))</f>
        <v>0</v>
      </c>
      <c r="K166">
        <f t="shared" si="0"/>
        <v>960</v>
      </c>
      <c r="L166">
        <f>IF($A166="","",_xlfn.SUMIFS(Allocation!$I$1:$I$175,Allocation!$C$1:$C$175,$A166,Allocation!$D$1:$D$175,$B166))</f>
        <v>123</v>
      </c>
      <c r="M166">
        <f>IF($A166="","",_xlfn.SUMIFS(Allocation!$J$1:$J$175,Allocation!$C$1:$C$175,$A166,Allocation!$D$1:$D$175,$B166))</f>
        <v>6</v>
      </c>
      <c r="N166">
        <f>IF($A166="","",_xlfn.SUMIFS(Allocation!$K$1:$K$175,Allocation!$C$1:$C$175,$A166,Allocation!$D$1:$D$175,$B166))</f>
        <v>968100</v>
      </c>
      <c r="O166">
        <f t="shared" si="1"/>
        <v>2880</v>
      </c>
      <c r="P166">
        <f t="shared" si="2"/>
        <v>84</v>
      </c>
      <c r="Q166">
        <f>IF($A166="","",_xlfn.SUMIFS(Allocation!$I$1:$I$175,Allocation!$C$1:$C$175,$A166,Allocation!$E$1:$E$175,$C166))</f>
        <v>228</v>
      </c>
      <c r="R166">
        <f>IF($A166="","",_xlfn.SUMIFS(Allocation!$J$1:$J$175,Allocation!$C$1:$C$175,$A166,Allocation!$E$1:$E$175,$C166))</f>
        <v>12</v>
      </c>
      <c r="S166">
        <f>IF($A166="","",_xlfn.SUMIFS(Allocation!$K$1:$K$175,Allocation!$C$1:$C$175,$A166,Allocation!$E$1:$E$175,$C166))</f>
        <v>1743090</v>
      </c>
      <c r="T166">
        <f>IF($A166="","",_xlfn.SUMIFS(Allocation!$I$1:$I$175,Allocation!$C$1:$C$175,$A166))</f>
        <v>2704</v>
      </c>
      <c r="U166">
        <f>IF($A166="","",_xlfn.SUMIFS(Allocation!$J$1:$J$175,Allocation!$C$1:$C$175,$A166))</f>
        <v>131</v>
      </c>
      <c r="V166">
        <f>IF($A166="","",_xlfn.SUMIFS(Allocation!$K$1:$K$175,Allocation!$C$1:$C$175,$A166))</f>
        <v>20076860</v>
      </c>
      <c r="W166">
        <f>IF($A166="","",_xlfn.SUMIFS(Compta!$F$1:$F$1448,Compta!$A$1:$A$1448,$B166,Compta!$B$1:$B$1448,"621",Compta!$C$1:$C$1448,$A166))</f>
        <v>66108</v>
      </c>
      <c r="X166">
        <f>IF($A166="","",_xlfn.SUMIFS(Compta!$F$1:$F$1448,Compta!$A$1:$A$1448,$B166,Compta!$B$1:$B$1448,"6411",Compta!$C$1:$C$1448,$A166))</f>
        <v>220929</v>
      </c>
      <c r="Y166">
        <f>IF($A166="","",_xlfn.SUMIFS(Compta!$F$1:$F$1448,Compta!$A$1:$A$1448,$B166,Compta!$B$1:$B$1448,"604",Compta!$C$1:$C$1448,$A166)+_xlfn.SUMIFS(Compta!$F$1:$F$1448,Compta!$A$1:$A$1448,$B166,Compta!$B$1:$B$1448,"6063",Compta!$C$1:$C$1448,$A166))</f>
        <v>46862</v>
      </c>
      <c r="Z166">
        <f>IF($A166="","",_xlfn.SUMIFS(Compta!$F$1:$F$1448,Compta!$A$1:$A$1448,$B166,Compta!$B$1:$B$1448,"6231",Compta!$C$1:$C$1448,$A166))</f>
        <v>24992</v>
      </c>
      <c r="AA166">
        <f>IF($A166="","",_xlfn.SUMIFS(Compta!$F$1:$F$1448,Compta!$A$1:$A$1448,$B166,Compta!$B$1:$B$1448,"6413",Compta!$C$1:$C$1448,$A166)+_xlfn.SUMIFS(Compta!$F$1:$F$1448,Compta!$A$1:$A$1448,$B166,Compta!$B$1:$B$1448,"645",Compta!$C$1:$C$1448,$A166)+_xlfn.SUMIFS(Compta!$F$1:$F$1448,Compta!$A$1:$A$1448,$B166,Compta!$B$1:$B$1448,"613",Compta!$C$1:$C$1448,$A166)+_xlfn.SUMIFS(Compta!$F$1:$F$1448,Compta!$A$1:$A$1448,$B166,Compta!$B$1:$B$1448,"615",Compta!$C$1:$C$1448,$A166)+_xlfn.SUMIFS(Compta!$F$1:$F$1448,Compta!$A$1:$A$1448,$B166,Compta!$B$1:$B$1448,"616",Compta!$C$1:$C$1448,$A166)+_xlfn.SUMIFS(Compta!$F$1:$F$1448,Compta!$A$1:$A$1448,$B166,Compta!$B$1:$B$1448,"625",Compta!$C$1:$C$1448,$A166)+_xlfn.SUMIFS(Compta!$F$1:$F$1448,Compta!$A$1:$A$1448,$B166,Compta!$B$1:$B$1448,"63511",Compta!$C$1:$C$1448,$A166))</f>
        <v>495331</v>
      </c>
      <c r="AB166">
        <f>IF($A166="","",_xlfn.SUMIFS(Compta!$F$1:$F$1448,Compta!$A$1:$A$1448,"GRP",Compta!$B$1:$B$1448,"6414",Compta!$C$1:$C$1448,$A166)+_xlfn.SUMIFS(Compta!$F$1:$F$1448,Compta!$A$1:$A$1448,"GRP",Compta!$B$1:$B$1448,"6226",Compta!$C$1:$C$1448,$A166)+_xlfn.SUMIFS(Compta!$F$1:$F$1448,Compta!$A$1:$A$1448,"GRP",Compta!$B$1:$B$1448,"626",Compta!$C$1:$C$1448,$A166)+_xlfn.SUMIFS(Compta!$F$1:$F$1448,Compta!$A$1:$A$1448,"GRP",Compta!$B$1:$B$1448,"6281",Compta!$C$1:$C$1448,$A166)+_xlfn.SUMIFS(Compta!$F$1:$F$1448,Compta!$A$1:$A$1448,"GRP",Compta!$B$1:$B$1448,"6331",Compta!$C$1:$C$1448,$A166)+_xlfn.SUMIFS(Compta!$F$1:$F$1448,Compta!$A$1:$A$1448,"GRP",Compta!$B$1:$B$1448,"6333",Compta!$C$1:$C$1448,$A166))</f>
        <v>2639292</v>
      </c>
      <c r="AC166" t="s">
        <v>274</v>
      </c>
      <c r="AD166" t="s">
        <v>274</v>
      </c>
      <c r="AE166" t="s">
        <v>274</v>
      </c>
      <c r="AF166" t="s">
        <v>274</v>
      </c>
      <c r="AG166" t="s">
        <v>274</v>
      </c>
      <c r="AH166" t="s">
        <v>274</v>
      </c>
      <c r="AI166">
        <f t="shared" si="3"/>
        <v>22036</v>
      </c>
      <c r="AJ166">
        <f t="shared" si="4"/>
        <v>73643</v>
      </c>
      <c r="AK166">
        <f t="shared" si="5"/>
        <v>15239.674796748</v>
      </c>
      <c r="AL166">
        <f t="shared" si="6"/>
        <v>0</v>
      </c>
      <c r="AM166">
        <f t="shared" si="7"/>
        <v>0</v>
      </c>
      <c r="AN166">
        <f t="shared" si="8"/>
        <v>202681.325203252</v>
      </c>
      <c r="AO166">
        <f>IF($A166="","",_xlfn.SUMIFS(Compta!$F$1:$F$1448,Compta!$A$1:$A$1448,"GRP",Compta!$B$1:$B$1448,"6236",Compta!$C$1:$C$1448,$A166))</f>
        <v>499926</v>
      </c>
      <c r="AP166" t="s">
        <v>274</v>
      </c>
      <c r="AQ166" t="s">
        <v>274</v>
      </c>
      <c r="AR166">
        <f t="shared" si="9"/>
        <v>0</v>
      </c>
    </row>
    <row r="167" ht="14.25" customHeight="1">
      <c r="A167" t="str">
        <f>IF(Allocation!C167="","",Allocation!C167)</f>
        <v>2026</v>
      </c>
      <c r="B167" t="str">
        <f>IF(Allocation!D167="","",Allocation!D167)</f>
        <v>TUNON_LYO</v>
      </c>
      <c r="C167" t="str">
        <f>IF(Allocation!E167="","",Allocation!E167)</f>
        <v>TUNON</v>
      </c>
      <c r="D167" t="str">
        <f>IF(Allocation!F167="","",Allocation!F167)</f>
        <v>BAC_TOU</v>
      </c>
      <c r="E167" t="str">
        <f>IF(Allocation!G167="","",Allocation!G167)</f>
        <v>B1</v>
      </c>
      <c r="F167" t="str">
        <f>IF(Allocation!H167="","",Allocation!H167)</f>
        <v>ALT</v>
      </c>
      <c r="G167">
        <f>IF(Allocation!D167="","",Allocation!I167)</f>
        <v>40</v>
      </c>
      <c r="H167">
        <f>IF(Allocation!D167="","",Allocation!J167)</f>
        <v>2</v>
      </c>
      <c r="I167">
        <f>IF(Allocation!D167="","",Allocation!K167)</f>
        <v>297600</v>
      </c>
      <c r="J167">
        <f>IF($A167="","",_xlfn.SUMIFS(Socle!$K$1:$K$448,Socle!$C$1:$C$448,$B167,Socle!$D$1:$D$448,$D167,Socle!$E$1:$E$448,$E167,Socle!$F$1:$F$448,$F167,Socle!$G$1:$G$448,$A167))</f>
        <v>80</v>
      </c>
      <c r="K167">
        <f t="shared" si="0"/>
        <v>960</v>
      </c>
      <c r="L167">
        <f>IF($A167="","",_xlfn.SUMIFS(Allocation!$I$1:$I$175,Allocation!$C$1:$C$175,$A167,Allocation!$D$1:$D$175,$B167))</f>
        <v>117</v>
      </c>
      <c r="M167">
        <f>IF($A167="","",_xlfn.SUMIFS(Allocation!$J$1:$J$175,Allocation!$C$1:$C$175,$A167,Allocation!$D$1:$D$175,$B167))</f>
        <v>6</v>
      </c>
      <c r="N167">
        <f>IF($A167="","",_xlfn.SUMIFS(Allocation!$K$1:$K$175,Allocation!$C$1:$C$175,$A167,Allocation!$D$1:$D$175,$B167))</f>
        <v>863550</v>
      </c>
      <c r="O167">
        <f t="shared" si="1"/>
        <v>2880</v>
      </c>
      <c r="P167">
        <f t="shared" si="2"/>
        <v>80</v>
      </c>
      <c r="Q167">
        <f>IF($A167="","",_xlfn.SUMIFS(Allocation!$I$1:$I$175,Allocation!$C$1:$C$175,$A167,Allocation!$E$1:$E$175,$C167))</f>
        <v>255</v>
      </c>
      <c r="R167">
        <f>IF($A167="","",_xlfn.SUMIFS(Allocation!$J$1:$J$175,Allocation!$C$1:$C$175,$A167,Allocation!$E$1:$E$175,$C167))</f>
        <v>12</v>
      </c>
      <c r="S167">
        <f>IF($A167="","",_xlfn.SUMIFS(Allocation!$K$1:$K$175,Allocation!$C$1:$C$175,$A167,Allocation!$E$1:$E$175,$C167))</f>
        <v>1949700</v>
      </c>
      <c r="T167">
        <f>IF($A167="","",_xlfn.SUMIFS(Allocation!$I$1:$I$175,Allocation!$C$1:$C$175,$A167))</f>
        <v>3036</v>
      </c>
      <c r="U167">
        <f>IF($A167="","",_xlfn.SUMIFS(Allocation!$J$1:$J$175,Allocation!$C$1:$C$175,$A167))</f>
        <v>131</v>
      </c>
      <c r="V167">
        <f>IF($A167="","",_xlfn.SUMIFS(Allocation!$K$1:$K$175,Allocation!$C$1:$C$175,$A167))</f>
        <v>22544725</v>
      </c>
      <c r="W167">
        <f>IF($A167="","",_xlfn.SUMIFS(Compta!$F$1:$F$1448,Compta!$A$1:$A$1448,$B167,Compta!$B$1:$B$1448,"621",Compta!$C$1:$C$1448,$A167))</f>
        <v>72438</v>
      </c>
      <c r="X167">
        <f>IF($A167="","",_xlfn.SUMIFS(Compta!$F$1:$F$1448,Compta!$A$1:$A$1448,$B167,Compta!$B$1:$B$1448,"6411",Compta!$C$1:$C$1448,$A167))</f>
        <v>167364</v>
      </c>
      <c r="Y167">
        <f>IF($A167="","",_xlfn.SUMIFS(Compta!$F$1:$F$1448,Compta!$A$1:$A$1448,$B167,Compta!$B$1:$B$1448,"604",Compta!$C$1:$C$1448,$A167)+_xlfn.SUMIFS(Compta!$F$1:$F$1448,Compta!$A$1:$A$1448,$B167,Compta!$B$1:$B$1448,"6063",Compta!$C$1:$C$1448,$A167))</f>
        <v>43535</v>
      </c>
      <c r="Z167">
        <f>IF($A167="","",_xlfn.SUMIFS(Compta!$F$1:$F$1448,Compta!$A$1:$A$1448,$B167,Compta!$B$1:$B$1448,"6231",Compta!$C$1:$C$1448,$A167))</f>
        <v>18850</v>
      </c>
      <c r="AA167">
        <f>IF($A167="","",_xlfn.SUMIFS(Compta!$F$1:$F$1448,Compta!$A$1:$A$1448,$B167,Compta!$B$1:$B$1448,"6413",Compta!$C$1:$C$1448,$A167)+_xlfn.SUMIFS(Compta!$F$1:$F$1448,Compta!$A$1:$A$1448,$B167,Compta!$B$1:$B$1448,"645",Compta!$C$1:$C$1448,$A167)+_xlfn.SUMIFS(Compta!$F$1:$F$1448,Compta!$A$1:$A$1448,$B167,Compta!$B$1:$B$1448,"613",Compta!$C$1:$C$1448,$A167)+_xlfn.SUMIFS(Compta!$F$1:$F$1448,Compta!$A$1:$A$1448,$B167,Compta!$B$1:$B$1448,"615",Compta!$C$1:$C$1448,$A167)+_xlfn.SUMIFS(Compta!$F$1:$F$1448,Compta!$A$1:$A$1448,$B167,Compta!$B$1:$B$1448,"616",Compta!$C$1:$C$1448,$A167)+_xlfn.SUMIFS(Compta!$F$1:$F$1448,Compta!$A$1:$A$1448,$B167,Compta!$B$1:$B$1448,"625",Compta!$C$1:$C$1448,$A167)+_xlfn.SUMIFS(Compta!$F$1:$F$1448,Compta!$A$1:$A$1448,$B167,Compta!$B$1:$B$1448,"63511",Compta!$C$1:$C$1448,$A167))</f>
        <v>337611</v>
      </c>
      <c r="AB167">
        <f>IF($A167="","",_xlfn.SUMIFS(Compta!$F$1:$F$1448,Compta!$A$1:$A$1448,"GRP",Compta!$B$1:$B$1448,"6414",Compta!$C$1:$C$1448,$A167)+_xlfn.SUMIFS(Compta!$F$1:$F$1448,Compta!$A$1:$A$1448,"GRP",Compta!$B$1:$B$1448,"6226",Compta!$C$1:$C$1448,$A167)+_xlfn.SUMIFS(Compta!$F$1:$F$1448,Compta!$A$1:$A$1448,"GRP",Compta!$B$1:$B$1448,"626",Compta!$C$1:$C$1448,$A167)+_xlfn.SUMIFS(Compta!$F$1:$F$1448,Compta!$A$1:$A$1448,"GRP",Compta!$B$1:$B$1448,"6281",Compta!$C$1:$C$1448,$A167)+_xlfn.SUMIFS(Compta!$F$1:$F$1448,Compta!$A$1:$A$1448,"GRP",Compta!$B$1:$B$1448,"6331",Compta!$C$1:$C$1448,$A167)+_xlfn.SUMIFS(Compta!$F$1:$F$1448,Compta!$A$1:$A$1448,"GRP",Compta!$B$1:$B$1448,"6333",Compta!$C$1:$C$1448,$A167))</f>
        <v>2891983</v>
      </c>
      <c r="AC167" t="s">
        <v>274</v>
      </c>
      <c r="AD167" t="s">
        <v>274</v>
      </c>
      <c r="AE167" t="s">
        <v>274</v>
      </c>
      <c r="AF167" t="s">
        <v>274</v>
      </c>
      <c r="AG167" t="s">
        <v>274</v>
      </c>
      <c r="AH167" t="s">
        <v>274</v>
      </c>
      <c r="AI167">
        <f t="shared" si="3"/>
        <v>24146</v>
      </c>
      <c r="AJ167">
        <f t="shared" si="4"/>
        <v>55788</v>
      </c>
      <c r="AK167">
        <f t="shared" si="5"/>
        <v>33733.7606837607</v>
      </c>
      <c r="AL167">
        <f t="shared" si="6"/>
        <v>0</v>
      </c>
      <c r="AM167">
        <f t="shared" si="7"/>
        <v>0</v>
      </c>
      <c r="AN167">
        <f t="shared" si="8"/>
        <v>183932.239316239</v>
      </c>
      <c r="AO167">
        <f>IF($A167="","",_xlfn.SUMIFS(Compta!$F$1:$F$1448,Compta!$A$1:$A$1448,"GRP",Compta!$B$1:$B$1448,"6236",Compta!$C$1:$C$1448,$A167))</f>
        <v>676344</v>
      </c>
      <c r="AP167" t="s">
        <v>274</v>
      </c>
      <c r="AQ167" t="s">
        <v>274</v>
      </c>
      <c r="AR167">
        <f t="shared" si="9"/>
        <v>0</v>
      </c>
    </row>
    <row r="168" ht="14.25" customHeight="1">
      <c r="A168" t="str">
        <f>IF(Allocation!C168="","",Allocation!C168)</f>
        <v>2026</v>
      </c>
      <c r="B168" t="str">
        <f>IF(Allocation!D168="","",Allocation!D168)</f>
        <v>TUNON_LYO</v>
      </c>
      <c r="C168" t="str">
        <f>IF(Allocation!E168="","",Allocation!E168)</f>
        <v>TUNON</v>
      </c>
      <c r="D168" t="str">
        <f>IF(Allocation!F168="","",Allocation!F168)</f>
        <v>BAC_TOU</v>
      </c>
      <c r="E168" t="str">
        <f>IF(Allocation!G168="","",Allocation!G168)</f>
        <v>B2</v>
      </c>
      <c r="F168" t="str">
        <f>IF(Allocation!H168="","",Allocation!H168)</f>
        <v>ALT</v>
      </c>
      <c r="G168">
        <f>IF(Allocation!D168="","",Allocation!I168)</f>
        <v>39</v>
      </c>
      <c r="H168">
        <f>IF(Allocation!D168="","",Allocation!J168)</f>
        <v>2</v>
      </c>
      <c r="I168">
        <f>IF(Allocation!D168="","",Allocation!K168)</f>
        <v>286650</v>
      </c>
      <c r="J168">
        <f>IF($A168="","",_xlfn.SUMIFS(Socle!$K$1:$K$448,Socle!$C$1:$C$448,$B168,Socle!$D$1:$D$448,$D168,Socle!$E$1:$E$448,$E168,Socle!$F$1:$F$448,$F168,Socle!$G$1:$G$448,$A168))</f>
        <v>0</v>
      </c>
      <c r="K168">
        <f t="shared" si="0"/>
        <v>960</v>
      </c>
      <c r="L168">
        <f>IF($A168="","",_xlfn.SUMIFS(Allocation!$I$1:$I$175,Allocation!$C$1:$C$175,$A168,Allocation!$D$1:$D$175,$B168))</f>
        <v>117</v>
      </c>
      <c r="M168">
        <f>IF($A168="","",_xlfn.SUMIFS(Allocation!$J$1:$J$175,Allocation!$C$1:$C$175,$A168,Allocation!$D$1:$D$175,$B168))</f>
        <v>6</v>
      </c>
      <c r="N168">
        <f>IF($A168="","",_xlfn.SUMIFS(Allocation!$K$1:$K$175,Allocation!$C$1:$C$175,$A168,Allocation!$D$1:$D$175,$B168))</f>
        <v>863550</v>
      </c>
      <c r="O168">
        <f t="shared" si="1"/>
        <v>2880</v>
      </c>
      <c r="P168">
        <f t="shared" si="2"/>
        <v>80</v>
      </c>
      <c r="Q168">
        <f>IF($A168="","",_xlfn.SUMIFS(Allocation!$I$1:$I$175,Allocation!$C$1:$C$175,$A168,Allocation!$E$1:$E$175,$C168))</f>
        <v>255</v>
      </c>
      <c r="R168">
        <f>IF($A168="","",_xlfn.SUMIFS(Allocation!$J$1:$J$175,Allocation!$C$1:$C$175,$A168,Allocation!$E$1:$E$175,$C168))</f>
        <v>12</v>
      </c>
      <c r="S168">
        <f>IF($A168="","",_xlfn.SUMIFS(Allocation!$K$1:$K$175,Allocation!$C$1:$C$175,$A168,Allocation!$E$1:$E$175,$C168))</f>
        <v>1949700</v>
      </c>
      <c r="T168">
        <f>IF($A168="","",_xlfn.SUMIFS(Allocation!$I$1:$I$175,Allocation!$C$1:$C$175,$A168))</f>
        <v>3036</v>
      </c>
      <c r="U168">
        <f>IF($A168="","",_xlfn.SUMIFS(Allocation!$J$1:$J$175,Allocation!$C$1:$C$175,$A168))</f>
        <v>131</v>
      </c>
      <c r="V168">
        <f>IF($A168="","",_xlfn.SUMIFS(Allocation!$K$1:$K$175,Allocation!$C$1:$C$175,$A168))</f>
        <v>22544725</v>
      </c>
      <c r="W168">
        <f>IF($A168="","",_xlfn.SUMIFS(Compta!$F$1:$F$1448,Compta!$A$1:$A$1448,$B168,Compta!$B$1:$B$1448,"621",Compta!$C$1:$C$1448,$A168))</f>
        <v>72438</v>
      </c>
      <c r="X168">
        <f>IF($A168="","",_xlfn.SUMIFS(Compta!$F$1:$F$1448,Compta!$A$1:$A$1448,$B168,Compta!$B$1:$B$1448,"6411",Compta!$C$1:$C$1448,$A168))</f>
        <v>167364</v>
      </c>
      <c r="Y168">
        <f>IF($A168="","",_xlfn.SUMIFS(Compta!$F$1:$F$1448,Compta!$A$1:$A$1448,$B168,Compta!$B$1:$B$1448,"604",Compta!$C$1:$C$1448,$A168)+_xlfn.SUMIFS(Compta!$F$1:$F$1448,Compta!$A$1:$A$1448,$B168,Compta!$B$1:$B$1448,"6063",Compta!$C$1:$C$1448,$A168))</f>
        <v>43535</v>
      </c>
      <c r="Z168">
        <f>IF($A168="","",_xlfn.SUMIFS(Compta!$F$1:$F$1448,Compta!$A$1:$A$1448,$B168,Compta!$B$1:$B$1448,"6231",Compta!$C$1:$C$1448,$A168))</f>
        <v>18850</v>
      </c>
      <c r="AA168">
        <f>IF($A168="","",_xlfn.SUMIFS(Compta!$F$1:$F$1448,Compta!$A$1:$A$1448,$B168,Compta!$B$1:$B$1448,"6413",Compta!$C$1:$C$1448,$A168)+_xlfn.SUMIFS(Compta!$F$1:$F$1448,Compta!$A$1:$A$1448,$B168,Compta!$B$1:$B$1448,"645",Compta!$C$1:$C$1448,$A168)+_xlfn.SUMIFS(Compta!$F$1:$F$1448,Compta!$A$1:$A$1448,$B168,Compta!$B$1:$B$1448,"613",Compta!$C$1:$C$1448,$A168)+_xlfn.SUMIFS(Compta!$F$1:$F$1448,Compta!$A$1:$A$1448,$B168,Compta!$B$1:$B$1448,"615",Compta!$C$1:$C$1448,$A168)+_xlfn.SUMIFS(Compta!$F$1:$F$1448,Compta!$A$1:$A$1448,$B168,Compta!$B$1:$B$1448,"616",Compta!$C$1:$C$1448,$A168)+_xlfn.SUMIFS(Compta!$F$1:$F$1448,Compta!$A$1:$A$1448,$B168,Compta!$B$1:$B$1448,"625",Compta!$C$1:$C$1448,$A168)+_xlfn.SUMIFS(Compta!$F$1:$F$1448,Compta!$A$1:$A$1448,$B168,Compta!$B$1:$B$1448,"63511",Compta!$C$1:$C$1448,$A168))</f>
        <v>337611</v>
      </c>
      <c r="AB168">
        <f>IF($A168="","",_xlfn.SUMIFS(Compta!$F$1:$F$1448,Compta!$A$1:$A$1448,"GRP",Compta!$B$1:$B$1448,"6414",Compta!$C$1:$C$1448,$A168)+_xlfn.SUMIFS(Compta!$F$1:$F$1448,Compta!$A$1:$A$1448,"GRP",Compta!$B$1:$B$1448,"6226",Compta!$C$1:$C$1448,$A168)+_xlfn.SUMIFS(Compta!$F$1:$F$1448,Compta!$A$1:$A$1448,"GRP",Compta!$B$1:$B$1448,"626",Compta!$C$1:$C$1448,$A168)+_xlfn.SUMIFS(Compta!$F$1:$F$1448,Compta!$A$1:$A$1448,"GRP",Compta!$B$1:$B$1448,"6281",Compta!$C$1:$C$1448,$A168)+_xlfn.SUMIFS(Compta!$F$1:$F$1448,Compta!$A$1:$A$1448,"GRP",Compta!$B$1:$B$1448,"6331",Compta!$C$1:$C$1448,$A168)+_xlfn.SUMIFS(Compta!$F$1:$F$1448,Compta!$A$1:$A$1448,"GRP",Compta!$B$1:$B$1448,"6333",Compta!$C$1:$C$1448,$A168))</f>
        <v>2891983</v>
      </c>
      <c r="AC168" t="s">
        <v>274</v>
      </c>
      <c r="AD168" t="s">
        <v>274</v>
      </c>
      <c r="AE168" t="s">
        <v>274</v>
      </c>
      <c r="AF168" t="s">
        <v>274</v>
      </c>
      <c r="AG168" t="s">
        <v>274</v>
      </c>
      <c r="AH168" t="s">
        <v>274</v>
      </c>
      <c r="AI168">
        <f t="shared" si="3"/>
        <v>24146</v>
      </c>
      <c r="AJ168">
        <f t="shared" si="4"/>
        <v>55788</v>
      </c>
      <c r="AK168">
        <f t="shared" si="5"/>
        <v>14511.6666666667</v>
      </c>
      <c r="AL168">
        <f t="shared" si="6"/>
        <v>0</v>
      </c>
      <c r="AM168">
        <f t="shared" si="7"/>
        <v>0</v>
      </c>
      <c r="AN168">
        <f t="shared" si="8"/>
        <v>192204.333333333</v>
      </c>
      <c r="AO168">
        <f>IF($A168="","",_xlfn.SUMIFS(Compta!$F$1:$F$1448,Compta!$A$1:$A$1448,"GRP",Compta!$B$1:$B$1448,"6236",Compta!$C$1:$C$1448,$A168))</f>
        <v>676344</v>
      </c>
      <c r="AP168" t="s">
        <v>274</v>
      </c>
      <c r="AQ168" t="s">
        <v>274</v>
      </c>
      <c r="AR168">
        <f t="shared" si="9"/>
        <v>0</v>
      </c>
    </row>
    <row r="169" ht="14.25" customHeight="1">
      <c r="A169" t="str">
        <f>IF(Allocation!C169="","",Allocation!C169)</f>
        <v>2026</v>
      </c>
      <c r="B169" t="str">
        <f>IF(Allocation!D169="","",Allocation!D169)</f>
        <v>TUNON_LYO</v>
      </c>
      <c r="C169" t="str">
        <f>IF(Allocation!E169="","",Allocation!E169)</f>
        <v>TUNON</v>
      </c>
      <c r="D169" t="str">
        <f>IF(Allocation!F169="","",Allocation!F169)</f>
        <v>BAC_TOU</v>
      </c>
      <c r="E169" t="str">
        <f>IF(Allocation!G169="","",Allocation!G169)</f>
        <v>B3</v>
      </c>
      <c r="F169" t="str">
        <f>IF(Allocation!H169="","",Allocation!H169)</f>
        <v>ALT</v>
      </c>
      <c r="G169">
        <f>IF(Allocation!D169="","",Allocation!I169)</f>
        <v>38</v>
      </c>
      <c r="H169">
        <f>IF(Allocation!D169="","",Allocation!J169)</f>
        <v>2</v>
      </c>
      <c r="I169">
        <f>IF(Allocation!D169="","",Allocation!K169)</f>
        <v>279300</v>
      </c>
      <c r="J169">
        <f>IF($A169="","",_xlfn.SUMIFS(Socle!$K$1:$K$448,Socle!$C$1:$C$448,$B169,Socle!$D$1:$D$448,$D169,Socle!$E$1:$E$448,$E169,Socle!$F$1:$F$448,$F169,Socle!$G$1:$G$448,$A169))</f>
        <v>0</v>
      </c>
      <c r="K169">
        <f t="shared" si="0"/>
        <v>960</v>
      </c>
      <c r="L169">
        <f>IF($A169="","",_xlfn.SUMIFS(Allocation!$I$1:$I$175,Allocation!$C$1:$C$175,$A169,Allocation!$D$1:$D$175,$B169))</f>
        <v>117</v>
      </c>
      <c r="M169">
        <f>IF($A169="","",_xlfn.SUMIFS(Allocation!$J$1:$J$175,Allocation!$C$1:$C$175,$A169,Allocation!$D$1:$D$175,$B169))</f>
        <v>6</v>
      </c>
      <c r="N169">
        <f>IF($A169="","",_xlfn.SUMIFS(Allocation!$K$1:$K$175,Allocation!$C$1:$C$175,$A169,Allocation!$D$1:$D$175,$B169))</f>
        <v>863550</v>
      </c>
      <c r="O169">
        <f t="shared" si="1"/>
        <v>2880</v>
      </c>
      <c r="P169">
        <f t="shared" si="2"/>
        <v>80</v>
      </c>
      <c r="Q169">
        <f>IF($A169="","",_xlfn.SUMIFS(Allocation!$I$1:$I$175,Allocation!$C$1:$C$175,$A169,Allocation!$E$1:$E$175,$C169))</f>
        <v>255</v>
      </c>
      <c r="R169">
        <f>IF($A169="","",_xlfn.SUMIFS(Allocation!$J$1:$J$175,Allocation!$C$1:$C$175,$A169,Allocation!$E$1:$E$175,$C169))</f>
        <v>12</v>
      </c>
      <c r="S169">
        <f>IF($A169="","",_xlfn.SUMIFS(Allocation!$K$1:$K$175,Allocation!$C$1:$C$175,$A169,Allocation!$E$1:$E$175,$C169))</f>
        <v>1949700</v>
      </c>
      <c r="T169">
        <f>IF($A169="","",_xlfn.SUMIFS(Allocation!$I$1:$I$175,Allocation!$C$1:$C$175,$A169))</f>
        <v>3036</v>
      </c>
      <c r="U169">
        <f>IF($A169="","",_xlfn.SUMIFS(Allocation!$J$1:$J$175,Allocation!$C$1:$C$175,$A169))</f>
        <v>131</v>
      </c>
      <c r="V169">
        <f>IF($A169="","",_xlfn.SUMIFS(Allocation!$K$1:$K$175,Allocation!$C$1:$C$175,$A169))</f>
        <v>22544725</v>
      </c>
      <c r="W169">
        <f>IF($A169="","",_xlfn.SUMIFS(Compta!$F$1:$F$1448,Compta!$A$1:$A$1448,$B169,Compta!$B$1:$B$1448,"621",Compta!$C$1:$C$1448,$A169))</f>
        <v>72438</v>
      </c>
      <c r="X169">
        <f>IF($A169="","",_xlfn.SUMIFS(Compta!$F$1:$F$1448,Compta!$A$1:$A$1448,$B169,Compta!$B$1:$B$1448,"6411",Compta!$C$1:$C$1448,$A169))</f>
        <v>167364</v>
      </c>
      <c r="Y169">
        <f>IF($A169="","",_xlfn.SUMIFS(Compta!$F$1:$F$1448,Compta!$A$1:$A$1448,$B169,Compta!$B$1:$B$1448,"604",Compta!$C$1:$C$1448,$A169)+_xlfn.SUMIFS(Compta!$F$1:$F$1448,Compta!$A$1:$A$1448,$B169,Compta!$B$1:$B$1448,"6063",Compta!$C$1:$C$1448,$A169))</f>
        <v>43535</v>
      </c>
      <c r="Z169">
        <f>IF($A169="","",_xlfn.SUMIFS(Compta!$F$1:$F$1448,Compta!$A$1:$A$1448,$B169,Compta!$B$1:$B$1448,"6231",Compta!$C$1:$C$1448,$A169))</f>
        <v>18850</v>
      </c>
      <c r="AA169">
        <f>IF($A169="","",_xlfn.SUMIFS(Compta!$F$1:$F$1448,Compta!$A$1:$A$1448,$B169,Compta!$B$1:$B$1448,"6413",Compta!$C$1:$C$1448,$A169)+_xlfn.SUMIFS(Compta!$F$1:$F$1448,Compta!$A$1:$A$1448,$B169,Compta!$B$1:$B$1448,"645",Compta!$C$1:$C$1448,$A169)+_xlfn.SUMIFS(Compta!$F$1:$F$1448,Compta!$A$1:$A$1448,$B169,Compta!$B$1:$B$1448,"613",Compta!$C$1:$C$1448,$A169)+_xlfn.SUMIFS(Compta!$F$1:$F$1448,Compta!$A$1:$A$1448,$B169,Compta!$B$1:$B$1448,"615",Compta!$C$1:$C$1448,$A169)+_xlfn.SUMIFS(Compta!$F$1:$F$1448,Compta!$A$1:$A$1448,$B169,Compta!$B$1:$B$1448,"616",Compta!$C$1:$C$1448,$A169)+_xlfn.SUMIFS(Compta!$F$1:$F$1448,Compta!$A$1:$A$1448,$B169,Compta!$B$1:$B$1448,"625",Compta!$C$1:$C$1448,$A169)+_xlfn.SUMIFS(Compta!$F$1:$F$1448,Compta!$A$1:$A$1448,$B169,Compta!$B$1:$B$1448,"63511",Compta!$C$1:$C$1448,$A169))</f>
        <v>337611</v>
      </c>
      <c r="AB169">
        <f>IF($A169="","",_xlfn.SUMIFS(Compta!$F$1:$F$1448,Compta!$A$1:$A$1448,"GRP",Compta!$B$1:$B$1448,"6414",Compta!$C$1:$C$1448,$A169)+_xlfn.SUMIFS(Compta!$F$1:$F$1448,Compta!$A$1:$A$1448,"GRP",Compta!$B$1:$B$1448,"6226",Compta!$C$1:$C$1448,$A169)+_xlfn.SUMIFS(Compta!$F$1:$F$1448,Compta!$A$1:$A$1448,"GRP",Compta!$B$1:$B$1448,"626",Compta!$C$1:$C$1448,$A169)+_xlfn.SUMIFS(Compta!$F$1:$F$1448,Compta!$A$1:$A$1448,"GRP",Compta!$B$1:$B$1448,"6281",Compta!$C$1:$C$1448,$A169)+_xlfn.SUMIFS(Compta!$F$1:$F$1448,Compta!$A$1:$A$1448,"GRP",Compta!$B$1:$B$1448,"6331",Compta!$C$1:$C$1448,$A169)+_xlfn.SUMIFS(Compta!$F$1:$F$1448,Compta!$A$1:$A$1448,"GRP",Compta!$B$1:$B$1448,"6333",Compta!$C$1:$C$1448,$A169))</f>
        <v>2891983</v>
      </c>
      <c r="AC169" t="s">
        <v>274</v>
      </c>
      <c r="AD169" t="s">
        <v>274</v>
      </c>
      <c r="AE169" t="s">
        <v>274</v>
      </c>
      <c r="AF169" t="s">
        <v>274</v>
      </c>
      <c r="AG169" t="s">
        <v>274</v>
      </c>
      <c r="AH169" t="s">
        <v>274</v>
      </c>
      <c r="AI169">
        <f t="shared" si="3"/>
        <v>24146</v>
      </c>
      <c r="AJ169">
        <f t="shared" si="4"/>
        <v>55788</v>
      </c>
      <c r="AK169">
        <f t="shared" si="5"/>
        <v>14139.5726495727</v>
      </c>
      <c r="AL169">
        <f t="shared" si="6"/>
        <v>0</v>
      </c>
      <c r="AM169">
        <f t="shared" si="7"/>
        <v>0</v>
      </c>
      <c r="AN169">
        <f t="shared" si="8"/>
        <v>185226.427350427</v>
      </c>
      <c r="AO169">
        <f>IF($A169="","",_xlfn.SUMIFS(Compta!$F$1:$F$1448,Compta!$A$1:$A$1448,"GRP",Compta!$B$1:$B$1448,"6236",Compta!$C$1:$C$1448,$A169))</f>
        <v>676344</v>
      </c>
      <c r="AP169" t="s">
        <v>274</v>
      </c>
      <c r="AQ169" t="s">
        <v>274</v>
      </c>
      <c r="AR169">
        <f t="shared" si="9"/>
        <v>0</v>
      </c>
    </row>
    <row r="170" ht="14.25" customHeight="1">
      <c r="A170" t="str">
        <f>IF(Allocation!C170="","",Allocation!C170)</f>
        <v>2025</v>
      </c>
      <c r="B170" t="str">
        <f>IF(Allocation!D170="","",Allocation!D170)</f>
        <v>TUNON_LYO</v>
      </c>
      <c r="C170" t="str">
        <f>IF(Allocation!E170="","",Allocation!E170)</f>
        <v>TUNON</v>
      </c>
      <c r="D170" t="str">
        <f>IF(Allocation!F170="","",Allocation!F170)</f>
        <v>BAC_TOU</v>
      </c>
      <c r="E170" t="str">
        <f>IF(Allocation!G170="","",Allocation!G170)</f>
        <v>B1</v>
      </c>
      <c r="F170" t="str">
        <f>IF(Allocation!H170="","",Allocation!H170)</f>
        <v>ALT</v>
      </c>
      <c r="G170">
        <f>IF(Allocation!D170="","",Allocation!I170)</f>
        <v>38</v>
      </c>
      <c r="H170">
        <f>IF(Allocation!D170="","",Allocation!J170)</f>
        <v>2</v>
      </c>
      <c r="I170">
        <f>IF(Allocation!D170="","",Allocation!K170)</f>
        <v>282720</v>
      </c>
      <c r="J170">
        <f>IF($A170="","",_xlfn.SUMIFS(Socle!$K$1:$K$448,Socle!$C$1:$C$448,$B170,Socle!$D$1:$D$448,$D170,Socle!$E$1:$E$448,$E170,Socle!$F$1:$F$448,$F170,Socle!$G$1:$G$448,$A170))</f>
        <v>76</v>
      </c>
      <c r="K170">
        <f t="shared" si="0"/>
        <v>960</v>
      </c>
      <c r="L170">
        <f>IF($A170="","",_xlfn.SUMIFS(Allocation!$I$1:$I$175,Allocation!$C$1:$C$175,$A170,Allocation!$D$1:$D$175,$B170))</f>
        <v>111</v>
      </c>
      <c r="M170">
        <f>IF($A170="","",_xlfn.SUMIFS(Allocation!$J$1:$J$175,Allocation!$C$1:$C$175,$A170,Allocation!$D$1:$D$175,$B170))</f>
        <v>6</v>
      </c>
      <c r="N170">
        <f>IF($A170="","",_xlfn.SUMIFS(Allocation!$K$1:$K$175,Allocation!$C$1:$C$175,$A170,Allocation!$D$1:$D$175,$B170))</f>
        <v>819270</v>
      </c>
      <c r="O170">
        <f t="shared" si="1"/>
        <v>2880</v>
      </c>
      <c r="P170">
        <f t="shared" si="2"/>
        <v>76</v>
      </c>
      <c r="Q170">
        <f>IF($A170="","",_xlfn.SUMIFS(Allocation!$I$1:$I$175,Allocation!$C$1:$C$175,$A170,Allocation!$E$1:$E$175,$C170))</f>
        <v>240</v>
      </c>
      <c r="R170">
        <f>IF($A170="","",_xlfn.SUMIFS(Allocation!$J$1:$J$175,Allocation!$C$1:$C$175,$A170,Allocation!$E$1:$E$175,$C170))</f>
        <v>12</v>
      </c>
      <c r="S170">
        <f>IF($A170="","",_xlfn.SUMIFS(Allocation!$K$1:$K$175,Allocation!$C$1:$C$175,$A170,Allocation!$E$1:$E$175,$C170))</f>
        <v>1834590</v>
      </c>
      <c r="T170">
        <f>IF($A170="","",_xlfn.SUMIFS(Allocation!$I$1:$I$175,Allocation!$C$1:$C$175,$A170))</f>
        <v>2860</v>
      </c>
      <c r="U170">
        <f>IF($A170="","",_xlfn.SUMIFS(Allocation!$J$1:$J$175,Allocation!$C$1:$C$175,$A170))</f>
        <v>131</v>
      </c>
      <c r="V170">
        <f>IF($A170="","",_xlfn.SUMIFS(Allocation!$K$1:$K$175,Allocation!$C$1:$C$175,$A170))</f>
        <v>21240140</v>
      </c>
      <c r="W170">
        <f>IF($A170="","",_xlfn.SUMIFS(Compta!$F$1:$F$1448,Compta!$A$1:$A$1448,$B170,Compta!$B$1:$B$1448,"621",Compta!$C$1:$C$1448,$A170))</f>
        <v>69137</v>
      </c>
      <c r="X170">
        <f>IF($A170="","",_xlfn.SUMIFS(Compta!$F$1:$F$1448,Compta!$A$1:$A$1448,$B170,Compta!$B$1:$B$1448,"6411",Compta!$C$1:$C$1448,$A170))</f>
        <v>159740</v>
      </c>
      <c r="Y170">
        <f>IF($A170="","",_xlfn.SUMIFS(Compta!$F$1:$F$1448,Compta!$A$1:$A$1448,$B170,Compta!$B$1:$B$1448,"604",Compta!$C$1:$C$1448,$A170)+_xlfn.SUMIFS(Compta!$F$1:$F$1448,Compta!$A$1:$A$1448,$B170,Compta!$B$1:$B$1448,"6063",Compta!$C$1:$C$1448,$A170))</f>
        <v>41552</v>
      </c>
      <c r="Z170">
        <f>IF($A170="","",_xlfn.SUMIFS(Compta!$F$1:$F$1448,Compta!$A$1:$A$1448,$B170,Compta!$B$1:$B$1448,"6231",Compta!$C$1:$C$1448,$A170))</f>
        <v>17136</v>
      </c>
      <c r="AA170">
        <f>IF($A170="","",_xlfn.SUMIFS(Compta!$F$1:$F$1448,Compta!$A$1:$A$1448,$B170,Compta!$B$1:$B$1448,"6413",Compta!$C$1:$C$1448,$A170)+_xlfn.SUMIFS(Compta!$F$1:$F$1448,Compta!$A$1:$A$1448,$B170,Compta!$B$1:$B$1448,"645",Compta!$C$1:$C$1448,$A170)+_xlfn.SUMIFS(Compta!$F$1:$F$1448,Compta!$A$1:$A$1448,$B170,Compta!$B$1:$B$1448,"613",Compta!$C$1:$C$1448,$A170)+_xlfn.SUMIFS(Compta!$F$1:$F$1448,Compta!$A$1:$A$1448,$B170,Compta!$B$1:$B$1448,"615",Compta!$C$1:$C$1448,$A170)+_xlfn.SUMIFS(Compta!$F$1:$F$1448,Compta!$A$1:$A$1448,$B170,Compta!$B$1:$B$1448,"616",Compta!$C$1:$C$1448,$A170)+_xlfn.SUMIFS(Compta!$F$1:$F$1448,Compta!$A$1:$A$1448,$B170,Compta!$B$1:$B$1448,"625",Compta!$C$1:$C$1448,$A170)+_xlfn.SUMIFS(Compta!$F$1:$F$1448,Compta!$A$1:$A$1448,$B170,Compta!$B$1:$B$1448,"63511",Compta!$C$1:$C$1448,$A170))</f>
        <v>322230</v>
      </c>
      <c r="AB170">
        <f>IF($A170="","",_xlfn.SUMIFS(Compta!$F$1:$F$1448,Compta!$A$1:$A$1448,"GRP",Compta!$B$1:$B$1448,"6414",Compta!$C$1:$C$1448,$A170)+_xlfn.SUMIFS(Compta!$F$1:$F$1448,Compta!$A$1:$A$1448,"GRP",Compta!$B$1:$B$1448,"6226",Compta!$C$1:$C$1448,$A170)+_xlfn.SUMIFS(Compta!$F$1:$F$1448,Compta!$A$1:$A$1448,"GRP",Compta!$B$1:$B$1448,"626",Compta!$C$1:$C$1448,$A170)+_xlfn.SUMIFS(Compta!$F$1:$F$1448,Compta!$A$1:$A$1448,"GRP",Compta!$B$1:$B$1448,"6281",Compta!$C$1:$C$1448,$A170)+_xlfn.SUMIFS(Compta!$F$1:$F$1448,Compta!$A$1:$A$1448,"GRP",Compta!$B$1:$B$1448,"6331",Compta!$C$1:$C$1448,$A170)+_xlfn.SUMIFS(Compta!$F$1:$F$1448,Compta!$A$1:$A$1448,"GRP",Compta!$B$1:$B$1448,"6333",Compta!$C$1:$C$1448,$A170))</f>
        <v>2760232</v>
      </c>
      <c r="AC170" t="s">
        <v>274</v>
      </c>
      <c r="AD170" t="s">
        <v>274</v>
      </c>
      <c r="AE170" t="s">
        <v>274</v>
      </c>
      <c r="AF170" t="s">
        <v>274</v>
      </c>
      <c r="AG170" t="s">
        <v>274</v>
      </c>
      <c r="AH170" t="s">
        <v>274</v>
      </c>
      <c r="AI170">
        <f t="shared" si="3"/>
        <v>23045.6666666667</v>
      </c>
      <c r="AJ170">
        <f t="shared" si="4"/>
        <v>53246.6666666667</v>
      </c>
      <c r="AK170">
        <f t="shared" si="5"/>
        <v>31361.009009009</v>
      </c>
      <c r="AL170">
        <f t="shared" si="6"/>
        <v>0</v>
      </c>
      <c r="AM170">
        <f t="shared" si="7"/>
        <v>0</v>
      </c>
      <c r="AN170">
        <f t="shared" si="8"/>
        <v>175066.657657658</v>
      </c>
      <c r="AO170">
        <f>IF($A170="","",_xlfn.SUMIFS(Compta!$F$1:$F$1448,Compta!$A$1:$A$1448,"GRP",Compta!$B$1:$B$1448,"6236",Compta!$C$1:$C$1448,$A170))</f>
        <v>580167</v>
      </c>
      <c r="AP170" t="s">
        <v>274</v>
      </c>
      <c r="AQ170" t="s">
        <v>274</v>
      </c>
      <c r="AR170">
        <f t="shared" si="9"/>
        <v>0</v>
      </c>
    </row>
    <row r="171" ht="14.25" customHeight="1">
      <c r="A171" t="str">
        <f>IF(Allocation!C171="","",Allocation!C171)</f>
        <v>2025</v>
      </c>
      <c r="B171" t="str">
        <f>IF(Allocation!D171="","",Allocation!D171)</f>
        <v>TUNON_LYO</v>
      </c>
      <c r="C171" t="str">
        <f>IF(Allocation!E171="","",Allocation!E171)</f>
        <v>TUNON</v>
      </c>
      <c r="D171" t="str">
        <f>IF(Allocation!F171="","",Allocation!F171)</f>
        <v>BAC_TOU</v>
      </c>
      <c r="E171" t="str">
        <f>IF(Allocation!G171="","",Allocation!G171)</f>
        <v>B2</v>
      </c>
      <c r="F171" t="str">
        <f>IF(Allocation!H171="","",Allocation!H171)</f>
        <v>ALT</v>
      </c>
      <c r="G171">
        <f>IF(Allocation!D171="","",Allocation!I171)</f>
        <v>37</v>
      </c>
      <c r="H171">
        <f>IF(Allocation!D171="","",Allocation!J171)</f>
        <v>2</v>
      </c>
      <c r="I171">
        <f>IF(Allocation!D171="","",Allocation!K171)</f>
        <v>271950</v>
      </c>
      <c r="J171">
        <f>IF($A171="","",_xlfn.SUMIFS(Socle!$K$1:$K$448,Socle!$C$1:$C$448,$B171,Socle!$D$1:$D$448,$D171,Socle!$E$1:$E$448,$E171,Socle!$F$1:$F$448,$F171,Socle!$G$1:$G$448,$A171))</f>
        <v>0</v>
      </c>
      <c r="K171">
        <f t="shared" si="0"/>
        <v>960</v>
      </c>
      <c r="L171">
        <f>IF($A171="","",_xlfn.SUMIFS(Allocation!$I$1:$I$175,Allocation!$C$1:$C$175,$A171,Allocation!$D$1:$D$175,$B171))</f>
        <v>111</v>
      </c>
      <c r="M171">
        <f>IF($A171="","",_xlfn.SUMIFS(Allocation!$J$1:$J$175,Allocation!$C$1:$C$175,$A171,Allocation!$D$1:$D$175,$B171))</f>
        <v>6</v>
      </c>
      <c r="N171">
        <f>IF($A171="","",_xlfn.SUMIFS(Allocation!$K$1:$K$175,Allocation!$C$1:$C$175,$A171,Allocation!$D$1:$D$175,$B171))</f>
        <v>819270</v>
      </c>
      <c r="O171">
        <f t="shared" si="1"/>
        <v>2880</v>
      </c>
      <c r="P171">
        <f t="shared" si="2"/>
        <v>76</v>
      </c>
      <c r="Q171">
        <f>IF($A171="","",_xlfn.SUMIFS(Allocation!$I$1:$I$175,Allocation!$C$1:$C$175,$A171,Allocation!$E$1:$E$175,$C171))</f>
        <v>240</v>
      </c>
      <c r="R171">
        <f>IF($A171="","",_xlfn.SUMIFS(Allocation!$J$1:$J$175,Allocation!$C$1:$C$175,$A171,Allocation!$E$1:$E$175,$C171))</f>
        <v>12</v>
      </c>
      <c r="S171">
        <f>IF($A171="","",_xlfn.SUMIFS(Allocation!$K$1:$K$175,Allocation!$C$1:$C$175,$A171,Allocation!$E$1:$E$175,$C171))</f>
        <v>1834590</v>
      </c>
      <c r="T171">
        <f>IF($A171="","",_xlfn.SUMIFS(Allocation!$I$1:$I$175,Allocation!$C$1:$C$175,$A171))</f>
        <v>2860</v>
      </c>
      <c r="U171">
        <f>IF($A171="","",_xlfn.SUMIFS(Allocation!$J$1:$J$175,Allocation!$C$1:$C$175,$A171))</f>
        <v>131</v>
      </c>
      <c r="V171">
        <f>IF($A171="","",_xlfn.SUMIFS(Allocation!$K$1:$K$175,Allocation!$C$1:$C$175,$A171))</f>
        <v>21240140</v>
      </c>
      <c r="W171">
        <f>IF($A171="","",_xlfn.SUMIFS(Compta!$F$1:$F$1448,Compta!$A$1:$A$1448,$B171,Compta!$B$1:$B$1448,"621",Compta!$C$1:$C$1448,$A171))</f>
        <v>69137</v>
      </c>
      <c r="X171">
        <f>IF($A171="","",_xlfn.SUMIFS(Compta!$F$1:$F$1448,Compta!$A$1:$A$1448,$B171,Compta!$B$1:$B$1448,"6411",Compta!$C$1:$C$1448,$A171))</f>
        <v>159740</v>
      </c>
      <c r="Y171">
        <f>IF($A171="","",_xlfn.SUMIFS(Compta!$F$1:$F$1448,Compta!$A$1:$A$1448,$B171,Compta!$B$1:$B$1448,"604",Compta!$C$1:$C$1448,$A171)+_xlfn.SUMIFS(Compta!$F$1:$F$1448,Compta!$A$1:$A$1448,$B171,Compta!$B$1:$B$1448,"6063",Compta!$C$1:$C$1448,$A171))</f>
        <v>41552</v>
      </c>
      <c r="Z171">
        <f>IF($A171="","",_xlfn.SUMIFS(Compta!$F$1:$F$1448,Compta!$A$1:$A$1448,$B171,Compta!$B$1:$B$1448,"6231",Compta!$C$1:$C$1448,$A171))</f>
        <v>17136</v>
      </c>
      <c r="AA171">
        <f>IF($A171="","",_xlfn.SUMIFS(Compta!$F$1:$F$1448,Compta!$A$1:$A$1448,$B171,Compta!$B$1:$B$1448,"6413",Compta!$C$1:$C$1448,$A171)+_xlfn.SUMIFS(Compta!$F$1:$F$1448,Compta!$A$1:$A$1448,$B171,Compta!$B$1:$B$1448,"645",Compta!$C$1:$C$1448,$A171)+_xlfn.SUMIFS(Compta!$F$1:$F$1448,Compta!$A$1:$A$1448,$B171,Compta!$B$1:$B$1448,"613",Compta!$C$1:$C$1448,$A171)+_xlfn.SUMIFS(Compta!$F$1:$F$1448,Compta!$A$1:$A$1448,$B171,Compta!$B$1:$B$1448,"615",Compta!$C$1:$C$1448,$A171)+_xlfn.SUMIFS(Compta!$F$1:$F$1448,Compta!$A$1:$A$1448,$B171,Compta!$B$1:$B$1448,"616",Compta!$C$1:$C$1448,$A171)+_xlfn.SUMIFS(Compta!$F$1:$F$1448,Compta!$A$1:$A$1448,$B171,Compta!$B$1:$B$1448,"625",Compta!$C$1:$C$1448,$A171)+_xlfn.SUMIFS(Compta!$F$1:$F$1448,Compta!$A$1:$A$1448,$B171,Compta!$B$1:$B$1448,"63511",Compta!$C$1:$C$1448,$A171))</f>
        <v>322230</v>
      </c>
      <c r="AB171">
        <f>IF($A171="","",_xlfn.SUMIFS(Compta!$F$1:$F$1448,Compta!$A$1:$A$1448,"GRP",Compta!$B$1:$B$1448,"6414",Compta!$C$1:$C$1448,$A171)+_xlfn.SUMIFS(Compta!$F$1:$F$1448,Compta!$A$1:$A$1448,"GRP",Compta!$B$1:$B$1448,"6226",Compta!$C$1:$C$1448,$A171)+_xlfn.SUMIFS(Compta!$F$1:$F$1448,Compta!$A$1:$A$1448,"GRP",Compta!$B$1:$B$1448,"626",Compta!$C$1:$C$1448,$A171)+_xlfn.SUMIFS(Compta!$F$1:$F$1448,Compta!$A$1:$A$1448,"GRP",Compta!$B$1:$B$1448,"6281",Compta!$C$1:$C$1448,$A171)+_xlfn.SUMIFS(Compta!$F$1:$F$1448,Compta!$A$1:$A$1448,"GRP",Compta!$B$1:$B$1448,"6331",Compta!$C$1:$C$1448,$A171)+_xlfn.SUMIFS(Compta!$F$1:$F$1448,Compta!$A$1:$A$1448,"GRP",Compta!$B$1:$B$1448,"6333",Compta!$C$1:$C$1448,$A171))</f>
        <v>2760232</v>
      </c>
      <c r="AC171" t="s">
        <v>274</v>
      </c>
      <c r="AD171" t="s">
        <v>274</v>
      </c>
      <c r="AE171" t="s">
        <v>274</v>
      </c>
      <c r="AF171" t="s">
        <v>274</v>
      </c>
      <c r="AG171" t="s">
        <v>274</v>
      </c>
      <c r="AH171" t="s">
        <v>274</v>
      </c>
      <c r="AI171">
        <f t="shared" si="3"/>
        <v>23045.6666666667</v>
      </c>
      <c r="AJ171">
        <f t="shared" si="4"/>
        <v>53246.6666666667</v>
      </c>
      <c r="AK171">
        <f t="shared" si="5"/>
        <v>13850.6666666667</v>
      </c>
      <c r="AL171">
        <f t="shared" si="6"/>
        <v>0</v>
      </c>
      <c r="AM171">
        <f t="shared" si="7"/>
        <v>0</v>
      </c>
      <c r="AN171">
        <f t="shared" si="8"/>
        <v>181807</v>
      </c>
      <c r="AO171">
        <f>IF($A171="","",_xlfn.SUMIFS(Compta!$F$1:$F$1448,Compta!$A$1:$A$1448,"GRP",Compta!$B$1:$B$1448,"6236",Compta!$C$1:$C$1448,$A171))</f>
        <v>580167</v>
      </c>
      <c r="AP171" t="s">
        <v>274</v>
      </c>
      <c r="AQ171" t="s">
        <v>274</v>
      </c>
      <c r="AR171">
        <f t="shared" si="9"/>
        <v>0</v>
      </c>
    </row>
    <row r="172" ht="14.25" customHeight="1">
      <c r="A172" t="str">
        <f>IF(Allocation!C172="","",Allocation!C172)</f>
        <v>2025</v>
      </c>
      <c r="B172" t="str">
        <f>IF(Allocation!D172="","",Allocation!D172)</f>
        <v>TUNON_LYO</v>
      </c>
      <c r="C172" t="str">
        <f>IF(Allocation!E172="","",Allocation!E172)</f>
        <v>TUNON</v>
      </c>
      <c r="D172" t="str">
        <f>IF(Allocation!F172="","",Allocation!F172)</f>
        <v>BAC_TOU</v>
      </c>
      <c r="E172" t="str">
        <f>IF(Allocation!G172="","",Allocation!G172)</f>
        <v>B3</v>
      </c>
      <c r="F172" t="str">
        <f>IF(Allocation!H172="","",Allocation!H172)</f>
        <v>ALT</v>
      </c>
      <c r="G172">
        <f>IF(Allocation!D172="","",Allocation!I172)</f>
        <v>36</v>
      </c>
      <c r="H172">
        <f>IF(Allocation!D172="","",Allocation!J172)</f>
        <v>2</v>
      </c>
      <c r="I172">
        <f>IF(Allocation!D172="","",Allocation!K172)</f>
        <v>264600</v>
      </c>
      <c r="J172">
        <f>IF($A172="","",_xlfn.SUMIFS(Socle!$K$1:$K$448,Socle!$C$1:$C$448,$B172,Socle!$D$1:$D$448,$D172,Socle!$E$1:$E$448,$E172,Socle!$F$1:$F$448,$F172,Socle!$G$1:$G$448,$A172))</f>
        <v>0</v>
      </c>
      <c r="K172">
        <f t="shared" si="0"/>
        <v>960</v>
      </c>
      <c r="L172">
        <f>IF($A172="","",_xlfn.SUMIFS(Allocation!$I$1:$I$175,Allocation!$C$1:$C$175,$A172,Allocation!$D$1:$D$175,$B172))</f>
        <v>111</v>
      </c>
      <c r="M172">
        <f>IF($A172="","",_xlfn.SUMIFS(Allocation!$J$1:$J$175,Allocation!$C$1:$C$175,$A172,Allocation!$D$1:$D$175,$B172))</f>
        <v>6</v>
      </c>
      <c r="N172">
        <f>IF($A172="","",_xlfn.SUMIFS(Allocation!$K$1:$K$175,Allocation!$C$1:$C$175,$A172,Allocation!$D$1:$D$175,$B172))</f>
        <v>819270</v>
      </c>
      <c r="O172">
        <f t="shared" si="1"/>
        <v>2880</v>
      </c>
      <c r="P172">
        <f t="shared" si="2"/>
        <v>76</v>
      </c>
      <c r="Q172">
        <f>IF($A172="","",_xlfn.SUMIFS(Allocation!$I$1:$I$175,Allocation!$C$1:$C$175,$A172,Allocation!$E$1:$E$175,$C172))</f>
        <v>240</v>
      </c>
      <c r="R172">
        <f>IF($A172="","",_xlfn.SUMIFS(Allocation!$J$1:$J$175,Allocation!$C$1:$C$175,$A172,Allocation!$E$1:$E$175,$C172))</f>
        <v>12</v>
      </c>
      <c r="S172">
        <f>IF($A172="","",_xlfn.SUMIFS(Allocation!$K$1:$K$175,Allocation!$C$1:$C$175,$A172,Allocation!$E$1:$E$175,$C172))</f>
        <v>1834590</v>
      </c>
      <c r="T172">
        <f>IF($A172="","",_xlfn.SUMIFS(Allocation!$I$1:$I$175,Allocation!$C$1:$C$175,$A172))</f>
        <v>2860</v>
      </c>
      <c r="U172">
        <f>IF($A172="","",_xlfn.SUMIFS(Allocation!$J$1:$J$175,Allocation!$C$1:$C$175,$A172))</f>
        <v>131</v>
      </c>
      <c r="V172">
        <f>IF($A172="","",_xlfn.SUMIFS(Allocation!$K$1:$K$175,Allocation!$C$1:$C$175,$A172))</f>
        <v>21240140</v>
      </c>
      <c r="W172">
        <f>IF($A172="","",_xlfn.SUMIFS(Compta!$F$1:$F$1448,Compta!$A$1:$A$1448,$B172,Compta!$B$1:$B$1448,"621",Compta!$C$1:$C$1448,$A172))</f>
        <v>69137</v>
      </c>
      <c r="X172">
        <f>IF($A172="","",_xlfn.SUMIFS(Compta!$F$1:$F$1448,Compta!$A$1:$A$1448,$B172,Compta!$B$1:$B$1448,"6411",Compta!$C$1:$C$1448,$A172))</f>
        <v>159740</v>
      </c>
      <c r="Y172">
        <f>IF($A172="","",_xlfn.SUMIFS(Compta!$F$1:$F$1448,Compta!$A$1:$A$1448,$B172,Compta!$B$1:$B$1448,"604",Compta!$C$1:$C$1448,$A172)+_xlfn.SUMIFS(Compta!$F$1:$F$1448,Compta!$A$1:$A$1448,$B172,Compta!$B$1:$B$1448,"6063",Compta!$C$1:$C$1448,$A172))</f>
        <v>41552</v>
      </c>
      <c r="Z172">
        <f>IF($A172="","",_xlfn.SUMIFS(Compta!$F$1:$F$1448,Compta!$A$1:$A$1448,$B172,Compta!$B$1:$B$1448,"6231",Compta!$C$1:$C$1448,$A172))</f>
        <v>17136</v>
      </c>
      <c r="AA172">
        <f>IF($A172="","",_xlfn.SUMIFS(Compta!$F$1:$F$1448,Compta!$A$1:$A$1448,$B172,Compta!$B$1:$B$1448,"6413",Compta!$C$1:$C$1448,$A172)+_xlfn.SUMIFS(Compta!$F$1:$F$1448,Compta!$A$1:$A$1448,$B172,Compta!$B$1:$B$1448,"645",Compta!$C$1:$C$1448,$A172)+_xlfn.SUMIFS(Compta!$F$1:$F$1448,Compta!$A$1:$A$1448,$B172,Compta!$B$1:$B$1448,"613",Compta!$C$1:$C$1448,$A172)+_xlfn.SUMIFS(Compta!$F$1:$F$1448,Compta!$A$1:$A$1448,$B172,Compta!$B$1:$B$1448,"615",Compta!$C$1:$C$1448,$A172)+_xlfn.SUMIFS(Compta!$F$1:$F$1448,Compta!$A$1:$A$1448,$B172,Compta!$B$1:$B$1448,"616",Compta!$C$1:$C$1448,$A172)+_xlfn.SUMIFS(Compta!$F$1:$F$1448,Compta!$A$1:$A$1448,$B172,Compta!$B$1:$B$1448,"625",Compta!$C$1:$C$1448,$A172)+_xlfn.SUMIFS(Compta!$F$1:$F$1448,Compta!$A$1:$A$1448,$B172,Compta!$B$1:$B$1448,"63511",Compta!$C$1:$C$1448,$A172))</f>
        <v>322230</v>
      </c>
      <c r="AB172">
        <f>IF($A172="","",_xlfn.SUMIFS(Compta!$F$1:$F$1448,Compta!$A$1:$A$1448,"GRP",Compta!$B$1:$B$1448,"6414",Compta!$C$1:$C$1448,$A172)+_xlfn.SUMIFS(Compta!$F$1:$F$1448,Compta!$A$1:$A$1448,"GRP",Compta!$B$1:$B$1448,"6226",Compta!$C$1:$C$1448,$A172)+_xlfn.SUMIFS(Compta!$F$1:$F$1448,Compta!$A$1:$A$1448,"GRP",Compta!$B$1:$B$1448,"626",Compta!$C$1:$C$1448,$A172)+_xlfn.SUMIFS(Compta!$F$1:$F$1448,Compta!$A$1:$A$1448,"GRP",Compta!$B$1:$B$1448,"6281",Compta!$C$1:$C$1448,$A172)+_xlfn.SUMIFS(Compta!$F$1:$F$1448,Compta!$A$1:$A$1448,"GRP",Compta!$B$1:$B$1448,"6331",Compta!$C$1:$C$1448,$A172)+_xlfn.SUMIFS(Compta!$F$1:$F$1448,Compta!$A$1:$A$1448,"GRP",Compta!$B$1:$B$1448,"6333",Compta!$C$1:$C$1448,$A172))</f>
        <v>2760232</v>
      </c>
      <c r="AC172" t="s">
        <v>274</v>
      </c>
      <c r="AD172" t="s">
        <v>274</v>
      </c>
      <c r="AE172" t="s">
        <v>274</v>
      </c>
      <c r="AF172" t="s">
        <v>274</v>
      </c>
      <c r="AG172" t="s">
        <v>274</v>
      </c>
      <c r="AH172" t="s">
        <v>274</v>
      </c>
      <c r="AI172">
        <f t="shared" si="3"/>
        <v>23045.6666666667</v>
      </c>
      <c r="AJ172">
        <f t="shared" si="4"/>
        <v>53246.6666666667</v>
      </c>
      <c r="AK172">
        <f t="shared" si="5"/>
        <v>13476.3243243243</v>
      </c>
      <c r="AL172">
        <f t="shared" si="6"/>
        <v>0</v>
      </c>
      <c r="AM172">
        <f t="shared" si="7"/>
        <v>0</v>
      </c>
      <c r="AN172">
        <f t="shared" si="8"/>
        <v>174831.342342342</v>
      </c>
      <c r="AO172">
        <f>IF($A172="","",_xlfn.SUMIFS(Compta!$F$1:$F$1448,Compta!$A$1:$A$1448,"GRP",Compta!$B$1:$B$1448,"6236",Compta!$C$1:$C$1448,$A172))</f>
        <v>580167</v>
      </c>
      <c r="AP172" t="s">
        <v>274</v>
      </c>
      <c r="AQ172" t="s">
        <v>274</v>
      </c>
      <c r="AR172">
        <f t="shared" si="9"/>
        <v>0</v>
      </c>
    </row>
    <row r="173" ht="14.25" customHeight="1">
      <c r="A173" t="str">
        <f>IF(Allocation!C173="","",Allocation!C173)</f>
        <v>2024</v>
      </c>
      <c r="B173" t="str">
        <f>IF(Allocation!D173="","",Allocation!D173)</f>
        <v>TUNON_LYO</v>
      </c>
      <c r="C173" t="str">
        <f>IF(Allocation!E173="","",Allocation!E173)</f>
        <v>TUNON</v>
      </c>
      <c r="D173" t="str">
        <f>IF(Allocation!F173="","",Allocation!F173)</f>
        <v>BAC_TOU</v>
      </c>
      <c r="E173" t="str">
        <f>IF(Allocation!G173="","",Allocation!G173)</f>
        <v>B1</v>
      </c>
      <c r="F173" t="str">
        <f>IF(Allocation!H173="","",Allocation!H173)</f>
        <v>ALT</v>
      </c>
      <c r="G173">
        <f>IF(Allocation!D173="","",Allocation!I173)</f>
        <v>36</v>
      </c>
      <c r="H173">
        <f>IF(Allocation!D173="","",Allocation!J173)</f>
        <v>2</v>
      </c>
      <c r="I173">
        <f>IF(Allocation!D173="","",Allocation!K173)</f>
        <v>267840</v>
      </c>
      <c r="J173">
        <f>IF($A173="","",_xlfn.SUMIFS(Socle!$K$1:$K$448,Socle!$C$1:$C$448,$B173,Socle!$D$1:$D$448,$D173,Socle!$E$1:$E$448,$E173,Socle!$F$1:$F$448,$F173,Socle!$G$1:$G$448,$A173))</f>
        <v>72</v>
      </c>
      <c r="K173">
        <f t="shared" si="0"/>
        <v>960</v>
      </c>
      <c r="L173">
        <f>IF($A173="","",_xlfn.SUMIFS(Allocation!$I$1:$I$175,Allocation!$C$1:$C$175,$A173,Allocation!$D$1:$D$175,$B173))</f>
        <v>105</v>
      </c>
      <c r="M173">
        <f>IF($A173="","",_xlfn.SUMIFS(Allocation!$J$1:$J$175,Allocation!$C$1:$C$175,$A173,Allocation!$D$1:$D$175,$B173))</f>
        <v>6</v>
      </c>
      <c r="N173">
        <f>IF($A173="","",_xlfn.SUMIFS(Allocation!$K$1:$K$175,Allocation!$C$1:$C$175,$A173,Allocation!$D$1:$D$175,$B173))</f>
        <v>774990</v>
      </c>
      <c r="O173">
        <f t="shared" si="1"/>
        <v>2880</v>
      </c>
      <c r="P173">
        <f t="shared" si="2"/>
        <v>72</v>
      </c>
      <c r="Q173">
        <f>IF($A173="","",_xlfn.SUMIFS(Allocation!$I$1:$I$175,Allocation!$C$1:$C$175,$A173,Allocation!$E$1:$E$175,$C173))</f>
        <v>228</v>
      </c>
      <c r="R173">
        <f>IF($A173="","",_xlfn.SUMIFS(Allocation!$J$1:$J$175,Allocation!$C$1:$C$175,$A173,Allocation!$E$1:$E$175,$C173))</f>
        <v>12</v>
      </c>
      <c r="S173">
        <f>IF($A173="","",_xlfn.SUMIFS(Allocation!$K$1:$K$175,Allocation!$C$1:$C$175,$A173,Allocation!$E$1:$E$175,$C173))</f>
        <v>1743090</v>
      </c>
      <c r="T173">
        <f>IF($A173="","",_xlfn.SUMIFS(Allocation!$I$1:$I$175,Allocation!$C$1:$C$175,$A173))</f>
        <v>2704</v>
      </c>
      <c r="U173">
        <f>IF($A173="","",_xlfn.SUMIFS(Allocation!$J$1:$J$175,Allocation!$C$1:$C$175,$A173))</f>
        <v>131</v>
      </c>
      <c r="V173">
        <f>IF($A173="","",_xlfn.SUMIFS(Allocation!$K$1:$K$175,Allocation!$C$1:$C$175,$A173))</f>
        <v>20076860</v>
      </c>
      <c r="W173">
        <f>IF($A173="","",_xlfn.SUMIFS(Compta!$F$1:$F$1448,Compta!$A$1:$A$1448,$B173,Compta!$B$1:$B$1448,"621",Compta!$C$1:$C$1448,$A173))</f>
        <v>66108</v>
      </c>
      <c r="X173">
        <f>IF($A173="","",_xlfn.SUMIFS(Compta!$F$1:$F$1448,Compta!$A$1:$A$1448,$B173,Compta!$B$1:$B$1448,"6411",Compta!$C$1:$C$1448,$A173))</f>
        <v>152741</v>
      </c>
      <c r="Y173">
        <f>IF($A173="","",_xlfn.SUMIFS(Compta!$F$1:$F$1448,Compta!$A$1:$A$1448,$B173,Compta!$B$1:$B$1448,"604",Compta!$C$1:$C$1448,$A173)+_xlfn.SUMIFS(Compta!$F$1:$F$1448,Compta!$A$1:$A$1448,$B173,Compta!$B$1:$B$1448,"6063",Compta!$C$1:$C$1448,$A173))</f>
        <v>39731</v>
      </c>
      <c r="Z173">
        <f>IF($A173="","",_xlfn.SUMIFS(Compta!$F$1:$F$1448,Compta!$A$1:$A$1448,$B173,Compta!$B$1:$B$1448,"6231",Compta!$C$1:$C$1448,$A173))</f>
        <v>15578</v>
      </c>
      <c r="AA173">
        <f>IF($A173="","",_xlfn.SUMIFS(Compta!$F$1:$F$1448,Compta!$A$1:$A$1448,$B173,Compta!$B$1:$B$1448,"6413",Compta!$C$1:$C$1448,$A173)+_xlfn.SUMIFS(Compta!$F$1:$F$1448,Compta!$A$1:$A$1448,$B173,Compta!$B$1:$B$1448,"645",Compta!$C$1:$C$1448,$A173)+_xlfn.SUMIFS(Compta!$F$1:$F$1448,Compta!$A$1:$A$1448,$B173,Compta!$B$1:$B$1448,"613",Compta!$C$1:$C$1448,$A173)+_xlfn.SUMIFS(Compta!$F$1:$F$1448,Compta!$A$1:$A$1448,$B173,Compta!$B$1:$B$1448,"615",Compta!$C$1:$C$1448,$A173)+_xlfn.SUMIFS(Compta!$F$1:$F$1448,Compta!$A$1:$A$1448,$B173,Compta!$B$1:$B$1448,"616",Compta!$C$1:$C$1448,$A173)+_xlfn.SUMIFS(Compta!$F$1:$F$1448,Compta!$A$1:$A$1448,$B173,Compta!$B$1:$B$1448,"625",Compta!$C$1:$C$1448,$A173)+_xlfn.SUMIFS(Compta!$F$1:$F$1448,Compta!$A$1:$A$1448,$B173,Compta!$B$1:$B$1448,"63511",Compta!$C$1:$C$1448,$A173))</f>
        <v>308112</v>
      </c>
      <c r="AB173">
        <f>IF($A173="","",_xlfn.SUMIFS(Compta!$F$1:$F$1448,Compta!$A$1:$A$1448,"GRP",Compta!$B$1:$B$1448,"6414",Compta!$C$1:$C$1448,$A173)+_xlfn.SUMIFS(Compta!$F$1:$F$1448,Compta!$A$1:$A$1448,"GRP",Compta!$B$1:$B$1448,"6226",Compta!$C$1:$C$1448,$A173)+_xlfn.SUMIFS(Compta!$F$1:$F$1448,Compta!$A$1:$A$1448,"GRP",Compta!$B$1:$B$1448,"626",Compta!$C$1:$C$1448,$A173)+_xlfn.SUMIFS(Compta!$F$1:$F$1448,Compta!$A$1:$A$1448,"GRP",Compta!$B$1:$B$1448,"6281",Compta!$C$1:$C$1448,$A173)+_xlfn.SUMIFS(Compta!$F$1:$F$1448,Compta!$A$1:$A$1448,"GRP",Compta!$B$1:$B$1448,"6331",Compta!$C$1:$C$1448,$A173)+_xlfn.SUMIFS(Compta!$F$1:$F$1448,Compta!$A$1:$A$1448,"GRP",Compta!$B$1:$B$1448,"6333",Compta!$C$1:$C$1448,$A173))</f>
        <v>2639292</v>
      </c>
      <c r="AC173" t="s">
        <v>274</v>
      </c>
      <c r="AD173" t="s">
        <v>274</v>
      </c>
      <c r="AE173" t="s">
        <v>274</v>
      </c>
      <c r="AF173" t="s">
        <v>274</v>
      </c>
      <c r="AG173" t="s">
        <v>274</v>
      </c>
      <c r="AH173" t="s">
        <v>274</v>
      </c>
      <c r="AI173">
        <f t="shared" si="3"/>
        <v>22036</v>
      </c>
      <c r="AJ173">
        <f t="shared" si="4"/>
        <v>50913.6666666667</v>
      </c>
      <c r="AK173">
        <f t="shared" si="5"/>
        <v>29200.0571428571</v>
      </c>
      <c r="AL173">
        <f t="shared" si="6"/>
        <v>0</v>
      </c>
      <c r="AM173">
        <f t="shared" si="7"/>
        <v>0</v>
      </c>
      <c r="AN173">
        <f t="shared" si="8"/>
        <v>165690.276190476</v>
      </c>
      <c r="AO173">
        <f>IF($A173="","",_xlfn.SUMIFS(Compta!$F$1:$F$1448,Compta!$A$1:$A$1448,"GRP",Compta!$B$1:$B$1448,"6236",Compta!$C$1:$C$1448,$A173))</f>
        <v>499926</v>
      </c>
      <c r="AP173" t="s">
        <v>274</v>
      </c>
      <c r="AQ173" t="s">
        <v>274</v>
      </c>
      <c r="AR173">
        <f t="shared" si="9"/>
        <v>0</v>
      </c>
    </row>
    <row r="174" ht="14.25" customHeight="1">
      <c r="A174" t="str">
        <f>IF(Allocation!C174="","",Allocation!C174)</f>
        <v>2024</v>
      </c>
      <c r="B174" t="str">
        <f>IF(Allocation!D174="","",Allocation!D174)</f>
        <v>TUNON_LYO</v>
      </c>
      <c r="C174" t="str">
        <f>IF(Allocation!E174="","",Allocation!E174)</f>
        <v>TUNON</v>
      </c>
      <c r="D174" t="str">
        <f>IF(Allocation!F174="","",Allocation!F174)</f>
        <v>BAC_TOU</v>
      </c>
      <c r="E174" t="str">
        <f>IF(Allocation!G174="","",Allocation!G174)</f>
        <v>B2</v>
      </c>
      <c r="F174" t="str">
        <f>IF(Allocation!H174="","",Allocation!H174)</f>
        <v>ALT</v>
      </c>
      <c r="G174">
        <f>IF(Allocation!D174="","",Allocation!I174)</f>
        <v>35</v>
      </c>
      <c r="H174">
        <f>IF(Allocation!D174="","",Allocation!J174)</f>
        <v>2</v>
      </c>
      <c r="I174">
        <f>IF(Allocation!D174="","",Allocation!K174)</f>
        <v>257250</v>
      </c>
      <c r="J174">
        <f>IF($A174="","",_xlfn.SUMIFS(Socle!$K$1:$K$448,Socle!$C$1:$C$448,$B174,Socle!$D$1:$D$448,$D174,Socle!$E$1:$E$448,$E174,Socle!$F$1:$F$448,$F174,Socle!$G$1:$G$448,$A174))</f>
        <v>0</v>
      </c>
      <c r="K174">
        <f t="shared" si="0"/>
        <v>960</v>
      </c>
      <c r="L174">
        <f>IF($A174="","",_xlfn.SUMIFS(Allocation!$I$1:$I$175,Allocation!$C$1:$C$175,$A174,Allocation!$D$1:$D$175,$B174))</f>
        <v>105</v>
      </c>
      <c r="M174">
        <f>IF($A174="","",_xlfn.SUMIFS(Allocation!$J$1:$J$175,Allocation!$C$1:$C$175,$A174,Allocation!$D$1:$D$175,$B174))</f>
        <v>6</v>
      </c>
      <c r="N174">
        <f>IF($A174="","",_xlfn.SUMIFS(Allocation!$K$1:$K$175,Allocation!$C$1:$C$175,$A174,Allocation!$D$1:$D$175,$B174))</f>
        <v>774990</v>
      </c>
      <c r="O174">
        <f t="shared" si="1"/>
        <v>2880</v>
      </c>
      <c r="P174">
        <f t="shared" si="2"/>
        <v>72</v>
      </c>
      <c r="Q174">
        <f>IF($A174="","",_xlfn.SUMIFS(Allocation!$I$1:$I$175,Allocation!$C$1:$C$175,$A174,Allocation!$E$1:$E$175,$C174))</f>
        <v>228</v>
      </c>
      <c r="R174">
        <f>IF($A174="","",_xlfn.SUMIFS(Allocation!$J$1:$J$175,Allocation!$C$1:$C$175,$A174,Allocation!$E$1:$E$175,$C174))</f>
        <v>12</v>
      </c>
      <c r="S174">
        <f>IF($A174="","",_xlfn.SUMIFS(Allocation!$K$1:$K$175,Allocation!$C$1:$C$175,$A174,Allocation!$E$1:$E$175,$C174))</f>
        <v>1743090</v>
      </c>
      <c r="T174">
        <f>IF($A174="","",_xlfn.SUMIFS(Allocation!$I$1:$I$175,Allocation!$C$1:$C$175,$A174))</f>
        <v>2704</v>
      </c>
      <c r="U174">
        <f>IF($A174="","",_xlfn.SUMIFS(Allocation!$J$1:$J$175,Allocation!$C$1:$C$175,$A174))</f>
        <v>131</v>
      </c>
      <c r="V174">
        <f>IF($A174="","",_xlfn.SUMIFS(Allocation!$K$1:$K$175,Allocation!$C$1:$C$175,$A174))</f>
        <v>20076860</v>
      </c>
      <c r="W174">
        <f>IF($A174="","",_xlfn.SUMIFS(Compta!$F$1:$F$1448,Compta!$A$1:$A$1448,$B174,Compta!$B$1:$B$1448,"621",Compta!$C$1:$C$1448,$A174))</f>
        <v>66108</v>
      </c>
      <c r="X174">
        <f>IF($A174="","",_xlfn.SUMIFS(Compta!$F$1:$F$1448,Compta!$A$1:$A$1448,$B174,Compta!$B$1:$B$1448,"6411",Compta!$C$1:$C$1448,$A174))</f>
        <v>152741</v>
      </c>
      <c r="Y174">
        <f>IF($A174="","",_xlfn.SUMIFS(Compta!$F$1:$F$1448,Compta!$A$1:$A$1448,$B174,Compta!$B$1:$B$1448,"604",Compta!$C$1:$C$1448,$A174)+_xlfn.SUMIFS(Compta!$F$1:$F$1448,Compta!$A$1:$A$1448,$B174,Compta!$B$1:$B$1448,"6063",Compta!$C$1:$C$1448,$A174))</f>
        <v>39731</v>
      </c>
      <c r="Z174">
        <f>IF($A174="","",_xlfn.SUMIFS(Compta!$F$1:$F$1448,Compta!$A$1:$A$1448,$B174,Compta!$B$1:$B$1448,"6231",Compta!$C$1:$C$1448,$A174))</f>
        <v>15578</v>
      </c>
      <c r="AA174">
        <f>IF($A174="","",_xlfn.SUMIFS(Compta!$F$1:$F$1448,Compta!$A$1:$A$1448,$B174,Compta!$B$1:$B$1448,"6413",Compta!$C$1:$C$1448,$A174)+_xlfn.SUMIFS(Compta!$F$1:$F$1448,Compta!$A$1:$A$1448,$B174,Compta!$B$1:$B$1448,"645",Compta!$C$1:$C$1448,$A174)+_xlfn.SUMIFS(Compta!$F$1:$F$1448,Compta!$A$1:$A$1448,$B174,Compta!$B$1:$B$1448,"613",Compta!$C$1:$C$1448,$A174)+_xlfn.SUMIFS(Compta!$F$1:$F$1448,Compta!$A$1:$A$1448,$B174,Compta!$B$1:$B$1448,"615",Compta!$C$1:$C$1448,$A174)+_xlfn.SUMIFS(Compta!$F$1:$F$1448,Compta!$A$1:$A$1448,$B174,Compta!$B$1:$B$1448,"616",Compta!$C$1:$C$1448,$A174)+_xlfn.SUMIFS(Compta!$F$1:$F$1448,Compta!$A$1:$A$1448,$B174,Compta!$B$1:$B$1448,"625",Compta!$C$1:$C$1448,$A174)+_xlfn.SUMIFS(Compta!$F$1:$F$1448,Compta!$A$1:$A$1448,$B174,Compta!$B$1:$B$1448,"63511",Compta!$C$1:$C$1448,$A174))</f>
        <v>308112</v>
      </c>
      <c r="AB174">
        <f>IF($A174="","",_xlfn.SUMIFS(Compta!$F$1:$F$1448,Compta!$A$1:$A$1448,"GRP",Compta!$B$1:$B$1448,"6414",Compta!$C$1:$C$1448,$A174)+_xlfn.SUMIFS(Compta!$F$1:$F$1448,Compta!$A$1:$A$1448,"GRP",Compta!$B$1:$B$1448,"6226",Compta!$C$1:$C$1448,$A174)+_xlfn.SUMIFS(Compta!$F$1:$F$1448,Compta!$A$1:$A$1448,"GRP",Compta!$B$1:$B$1448,"626",Compta!$C$1:$C$1448,$A174)+_xlfn.SUMIFS(Compta!$F$1:$F$1448,Compta!$A$1:$A$1448,"GRP",Compta!$B$1:$B$1448,"6281",Compta!$C$1:$C$1448,$A174)+_xlfn.SUMIFS(Compta!$F$1:$F$1448,Compta!$A$1:$A$1448,"GRP",Compta!$B$1:$B$1448,"6331",Compta!$C$1:$C$1448,$A174)+_xlfn.SUMIFS(Compta!$F$1:$F$1448,Compta!$A$1:$A$1448,"GRP",Compta!$B$1:$B$1448,"6333",Compta!$C$1:$C$1448,$A174))</f>
        <v>2639292</v>
      </c>
      <c r="AC174" t="s">
        <v>274</v>
      </c>
      <c r="AD174" t="s">
        <v>274</v>
      </c>
      <c r="AE174" t="s">
        <v>274</v>
      </c>
      <c r="AF174" t="s">
        <v>274</v>
      </c>
      <c r="AG174" t="s">
        <v>274</v>
      </c>
      <c r="AH174" t="s">
        <v>274</v>
      </c>
      <c r="AI174">
        <f t="shared" si="3"/>
        <v>22036</v>
      </c>
      <c r="AJ174">
        <f t="shared" si="4"/>
        <v>50913.6666666667</v>
      </c>
      <c r="AK174">
        <f t="shared" si="5"/>
        <v>13243.6666666667</v>
      </c>
      <c r="AL174">
        <f t="shared" si="6"/>
        <v>0</v>
      </c>
      <c r="AM174">
        <f t="shared" si="7"/>
        <v>0</v>
      </c>
      <c r="AN174">
        <f t="shared" si="8"/>
        <v>171056.666666667</v>
      </c>
      <c r="AO174">
        <f>IF($A174="","",_xlfn.SUMIFS(Compta!$F$1:$F$1448,Compta!$A$1:$A$1448,"GRP",Compta!$B$1:$B$1448,"6236",Compta!$C$1:$C$1448,$A174))</f>
        <v>499926</v>
      </c>
      <c r="AP174" t="s">
        <v>274</v>
      </c>
      <c r="AQ174" t="s">
        <v>274</v>
      </c>
      <c r="AR174">
        <f t="shared" si="9"/>
        <v>0</v>
      </c>
    </row>
    <row r="175" ht="14.25" customHeight="1">
      <c r="A175" t="str">
        <f>IF(Allocation!C175="","",Allocation!C175)</f>
        <v>2024</v>
      </c>
      <c r="B175" t="str">
        <f>IF(Allocation!D175="","",Allocation!D175)</f>
        <v>TUNON_LYO</v>
      </c>
      <c r="C175" t="str">
        <f>IF(Allocation!E175="","",Allocation!E175)</f>
        <v>TUNON</v>
      </c>
      <c r="D175" t="str">
        <f>IF(Allocation!F175="","",Allocation!F175)</f>
        <v>BAC_TOU</v>
      </c>
      <c r="E175" t="str">
        <f>IF(Allocation!G175="","",Allocation!G175)</f>
        <v>B3</v>
      </c>
      <c r="F175" t="str">
        <f>IF(Allocation!H175="","",Allocation!H175)</f>
        <v>ALT</v>
      </c>
      <c r="G175">
        <f>IF(Allocation!D175="","",Allocation!I175)</f>
        <v>34</v>
      </c>
      <c r="H175">
        <f>IF(Allocation!D175="","",Allocation!J175)</f>
        <v>2</v>
      </c>
      <c r="I175">
        <f>IF(Allocation!D175="","",Allocation!K175)</f>
        <v>249900</v>
      </c>
      <c r="J175">
        <f>IF($A175="","",_xlfn.SUMIFS(Socle!$K$1:$K$448,Socle!$C$1:$C$448,$B175,Socle!$D$1:$D$448,$D175,Socle!$E$1:$E$448,$E175,Socle!$F$1:$F$448,$F175,Socle!$G$1:$G$448,$A175))</f>
        <v>0</v>
      </c>
      <c r="K175">
        <f t="shared" si="0"/>
        <v>960</v>
      </c>
      <c r="L175">
        <f>IF($A175="","",_xlfn.SUMIFS(Allocation!$I$1:$I$175,Allocation!$C$1:$C$175,$A175,Allocation!$D$1:$D$175,$B175))</f>
        <v>105</v>
      </c>
      <c r="M175">
        <f>IF($A175="","",_xlfn.SUMIFS(Allocation!$J$1:$J$175,Allocation!$C$1:$C$175,$A175,Allocation!$D$1:$D$175,$B175))</f>
        <v>6</v>
      </c>
      <c r="N175">
        <f>IF($A175="","",_xlfn.SUMIFS(Allocation!$K$1:$K$175,Allocation!$C$1:$C$175,$A175,Allocation!$D$1:$D$175,$B175))</f>
        <v>774990</v>
      </c>
      <c r="O175">
        <f t="shared" si="1"/>
        <v>2880</v>
      </c>
      <c r="P175">
        <f t="shared" si="2"/>
        <v>72</v>
      </c>
      <c r="Q175">
        <f>IF($A175="","",_xlfn.SUMIFS(Allocation!$I$1:$I$175,Allocation!$C$1:$C$175,$A175,Allocation!$E$1:$E$175,$C175))</f>
        <v>228</v>
      </c>
      <c r="R175">
        <f>IF($A175="","",_xlfn.SUMIFS(Allocation!$J$1:$J$175,Allocation!$C$1:$C$175,$A175,Allocation!$E$1:$E$175,$C175))</f>
        <v>12</v>
      </c>
      <c r="S175">
        <f>IF($A175="","",_xlfn.SUMIFS(Allocation!$K$1:$K$175,Allocation!$C$1:$C$175,$A175,Allocation!$E$1:$E$175,$C175))</f>
        <v>1743090</v>
      </c>
      <c r="T175">
        <f>IF($A175="","",_xlfn.SUMIFS(Allocation!$I$1:$I$175,Allocation!$C$1:$C$175,$A175))</f>
        <v>2704</v>
      </c>
      <c r="U175">
        <f>IF($A175="","",_xlfn.SUMIFS(Allocation!$J$1:$J$175,Allocation!$C$1:$C$175,$A175))</f>
        <v>131</v>
      </c>
      <c r="V175">
        <f>IF($A175="","",_xlfn.SUMIFS(Allocation!$K$1:$K$175,Allocation!$C$1:$C$175,$A175))</f>
        <v>20076860</v>
      </c>
      <c r="W175">
        <f>IF($A175="","",_xlfn.SUMIFS(Compta!$F$1:$F$1448,Compta!$A$1:$A$1448,$B175,Compta!$B$1:$B$1448,"621",Compta!$C$1:$C$1448,$A175))</f>
        <v>66108</v>
      </c>
      <c r="X175">
        <f>IF($A175="","",_xlfn.SUMIFS(Compta!$F$1:$F$1448,Compta!$A$1:$A$1448,$B175,Compta!$B$1:$B$1448,"6411",Compta!$C$1:$C$1448,$A175))</f>
        <v>152741</v>
      </c>
      <c r="Y175">
        <f>IF($A175="","",_xlfn.SUMIFS(Compta!$F$1:$F$1448,Compta!$A$1:$A$1448,$B175,Compta!$B$1:$B$1448,"604",Compta!$C$1:$C$1448,$A175)+_xlfn.SUMIFS(Compta!$F$1:$F$1448,Compta!$A$1:$A$1448,$B175,Compta!$B$1:$B$1448,"6063",Compta!$C$1:$C$1448,$A175))</f>
        <v>39731</v>
      </c>
      <c r="Z175">
        <f>IF($A175="","",_xlfn.SUMIFS(Compta!$F$1:$F$1448,Compta!$A$1:$A$1448,$B175,Compta!$B$1:$B$1448,"6231",Compta!$C$1:$C$1448,$A175))</f>
        <v>15578</v>
      </c>
      <c r="AA175">
        <f>IF($A175="","",_xlfn.SUMIFS(Compta!$F$1:$F$1448,Compta!$A$1:$A$1448,$B175,Compta!$B$1:$B$1448,"6413",Compta!$C$1:$C$1448,$A175)+_xlfn.SUMIFS(Compta!$F$1:$F$1448,Compta!$A$1:$A$1448,$B175,Compta!$B$1:$B$1448,"645",Compta!$C$1:$C$1448,$A175)+_xlfn.SUMIFS(Compta!$F$1:$F$1448,Compta!$A$1:$A$1448,$B175,Compta!$B$1:$B$1448,"613",Compta!$C$1:$C$1448,$A175)+_xlfn.SUMIFS(Compta!$F$1:$F$1448,Compta!$A$1:$A$1448,$B175,Compta!$B$1:$B$1448,"615",Compta!$C$1:$C$1448,$A175)+_xlfn.SUMIFS(Compta!$F$1:$F$1448,Compta!$A$1:$A$1448,$B175,Compta!$B$1:$B$1448,"616",Compta!$C$1:$C$1448,$A175)+_xlfn.SUMIFS(Compta!$F$1:$F$1448,Compta!$A$1:$A$1448,$B175,Compta!$B$1:$B$1448,"625",Compta!$C$1:$C$1448,$A175)+_xlfn.SUMIFS(Compta!$F$1:$F$1448,Compta!$A$1:$A$1448,$B175,Compta!$B$1:$B$1448,"63511",Compta!$C$1:$C$1448,$A175))</f>
        <v>308112</v>
      </c>
      <c r="AB175">
        <f>IF($A175="","",_xlfn.SUMIFS(Compta!$F$1:$F$1448,Compta!$A$1:$A$1448,"GRP",Compta!$B$1:$B$1448,"6414",Compta!$C$1:$C$1448,$A175)+_xlfn.SUMIFS(Compta!$F$1:$F$1448,Compta!$A$1:$A$1448,"GRP",Compta!$B$1:$B$1448,"6226",Compta!$C$1:$C$1448,$A175)+_xlfn.SUMIFS(Compta!$F$1:$F$1448,Compta!$A$1:$A$1448,"GRP",Compta!$B$1:$B$1448,"626",Compta!$C$1:$C$1448,$A175)+_xlfn.SUMIFS(Compta!$F$1:$F$1448,Compta!$A$1:$A$1448,"GRP",Compta!$B$1:$B$1448,"6281",Compta!$C$1:$C$1448,$A175)+_xlfn.SUMIFS(Compta!$F$1:$F$1448,Compta!$A$1:$A$1448,"GRP",Compta!$B$1:$B$1448,"6331",Compta!$C$1:$C$1448,$A175)+_xlfn.SUMIFS(Compta!$F$1:$F$1448,Compta!$A$1:$A$1448,"GRP",Compta!$B$1:$B$1448,"6333",Compta!$C$1:$C$1448,$A175))</f>
        <v>2639292</v>
      </c>
      <c r="AC175" t="s">
        <v>274</v>
      </c>
      <c r="AD175" t="s">
        <v>274</v>
      </c>
      <c r="AE175" t="s">
        <v>274</v>
      </c>
      <c r="AF175" t="s">
        <v>274</v>
      </c>
      <c r="AG175" t="s">
        <v>274</v>
      </c>
      <c r="AH175" t="s">
        <v>274</v>
      </c>
      <c r="AI175">
        <f t="shared" si="3"/>
        <v>22036</v>
      </c>
      <c r="AJ175">
        <f t="shared" si="4"/>
        <v>50913.6666666667</v>
      </c>
      <c r="AK175">
        <f t="shared" si="5"/>
        <v>12865.2761904762</v>
      </c>
      <c r="AL175">
        <f t="shared" si="6"/>
        <v>0</v>
      </c>
      <c r="AM175">
        <f t="shared" si="7"/>
        <v>0</v>
      </c>
      <c r="AN175">
        <f t="shared" si="8"/>
        <v>164085.057142857</v>
      </c>
      <c r="AO175">
        <f>IF($A175="","",_xlfn.SUMIFS(Compta!$F$1:$F$1448,Compta!$A$1:$A$1448,"GRP",Compta!$B$1:$B$1448,"6236",Compta!$C$1:$C$1448,$A175))</f>
        <v>499926</v>
      </c>
      <c r="AP175" t="s">
        <v>274</v>
      </c>
      <c r="AQ175" t="s">
        <v>274</v>
      </c>
      <c r="AR175">
        <f t="shared" si="9"/>
        <v>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51</vt:i4>
      </vt:variant>
    </vt:vector>
  </HeadingPairs>
  <TitlesOfParts>
    <vt:vector size="63" baseType="lpstr">
      <vt:lpstr>cad</vt:lpstr>
      <vt:lpstr>PIL</vt:lpstr>
      <vt:lpstr>ALLOC</vt:lpstr>
      <vt:lpstr>Socle</vt:lpstr>
      <vt:lpstr>Campagne</vt:lpstr>
      <vt:lpstr>Moteur</vt:lpstr>
      <vt:lpstr>Compta</vt:lpstr>
      <vt:lpstr>PNL</vt:lpstr>
      <vt:lpstr>Allocation</vt:lpstr>
      <vt:lpstr>_CALC_MOTEUR</vt:lpstr>
      <vt:lpstr>_CALC_PNL</vt:lpstr>
      <vt:lpstr>_CALC_ALLOC</vt:lpstr>
      <vt:lpstr>ALLOC_BRAND_CAMP</vt:lpstr>
      <vt:lpstr>ALLOC_CAMP_CLASS</vt:lpstr>
      <vt:lpstr>ALLOC_GRP_BRAND</vt:lpstr>
      <vt:lpstr>ALLOC_GRP_MARQUE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HYP_PASSAGE_V02</vt:lpstr>
      <vt:lpstr>HYP_PASSAGE_V03</vt:lpstr>
      <vt:lpstr>HYP_PRICE_COEF_IPAC</vt:lpstr>
      <vt:lpstr>HYP_PRICE_COEF_ISCOM</vt:lpstr>
      <vt:lpstr>HYP_PRICE_COEF_MBWAY</vt:lpstr>
      <vt:lpstr>HYP_PRICE_COEF_PIGIER</vt:lpstr>
      <vt:lpstr>HYP_PRICE_COEF_TUNON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HYP_STRUCT_COST_V01</vt:lpstr>
      <vt:lpstr>HYP_STRUCT_COST_V02</vt:lpstr>
      <vt:lpstr>HYP_STRUCT_COST_V03</vt:lpstr>
      <vt:lpstr>SCENARIO_ACTIF</vt:lpstr>
      <vt:lpstr>SCENARIO_CODE</vt:lpstr>
      <vt:lpstr>TEC_EBITDA</vt:lpstr>
      <vt:lpstr>TEC_PL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2026-08-19T10:07:49Z</dcterms:created>
  <dc:creator>Hamza Bouzidi</dc:creator>
  <cp:lastModifiedBy>Saad El meziati</cp:lastModifiedBy>
  <dcterms:modified xsi:type="dcterms:W3CDTF">2026-08-25T23:06:13Z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