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 cl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-#,##0 &quot;€&quot;;&quot;—&quot;"/>
    <numFmt numFmtId="165" formatCode="0.0%"/>
    <numFmt numFmtId="166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1606D"/>
      <sz val="9"/>
    </font>
    <font>
      <name val="Arial"/>
      <b val="1"/>
      <color rgb="00FFFFFF"/>
      <sz val="11"/>
    </font>
    <font>
      <name val="Arial"/>
      <color rgb="0051606D"/>
      <sz val="9.5"/>
    </font>
    <font>
      <name val="Arial"/>
      <b val="1"/>
      <color rgb="00152230"/>
      <sz val="10"/>
    </font>
    <font>
      <name val="Arial"/>
      <b val="1"/>
      <color rgb="000A5A48"/>
      <sz val="10"/>
    </font>
    <font>
      <name val="Arial"/>
      <b val="1"/>
      <color rgb="00B3641C"/>
      <sz val="9.5"/>
    </font>
    <font>
      <name val="Arial"/>
      <b val="1"/>
      <color rgb="00152230"/>
      <sz val="11"/>
    </font>
    <font>
      <name val="Arial"/>
      <b val="1"/>
      <color rgb="00B3641C"/>
      <sz val="10"/>
    </font>
    <font>
      <name val="Arial"/>
      <i val="1"/>
      <color rgb="007D8B98"/>
      <sz val="8.5"/>
    </font>
    <font>
      <name val="Arial"/>
      <color rgb="00152230"/>
      <sz val="10"/>
    </font>
    <font>
      <name val="Arial"/>
      <b val="1"/>
      <color rgb="000A5A48"/>
      <sz val="11"/>
    </font>
    <font>
      <name val="Arial"/>
      <b val="1"/>
      <color rgb="00B3641C"/>
      <sz val="11"/>
    </font>
    <font>
      <name val="Arial"/>
      <color rgb="00FFFFFF"/>
      <sz val="8"/>
    </font>
    <font>
      <name val="Arial"/>
      <b val="1"/>
      <color rgb="0051606D"/>
      <sz val="9"/>
    </font>
    <font>
      <name val="Arial"/>
      <b val="1"/>
      <color rgb="00152230"/>
      <sz val="9"/>
    </font>
    <font>
      <name val="Arial"/>
      <b val="1"/>
      <color rgb="001E7A55"/>
      <sz val="9"/>
    </font>
  </fonts>
  <fills count="7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0D7A62"/>
      </patternFill>
    </fill>
    <fill>
      <patternFill patternType="solid">
        <fgColor rgb="00FFF6DA"/>
      </patternFill>
    </fill>
    <fill>
      <patternFill patternType="solid">
        <fgColor rgb="003D4F8F"/>
      </patternFill>
    </fill>
    <fill>
      <patternFill patternType="solid">
        <fgColor rgb="00FBFCFB"/>
      </patternFill>
    </fill>
  </fills>
  <borders count="3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  <border>
      <left style="medium">
        <color rgb="00E8B84B"/>
      </left>
      <right style="medium">
        <color rgb="00E8B84B"/>
      </right>
      <top style="medium">
        <color rgb="00E8B84B"/>
      </top>
      <bottom style="medium">
        <color rgb="00E8B84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5" fontId="8" fillId="4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right" vertical="center"/>
    </xf>
    <xf numFmtId="3" fontId="8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164" fontId="8" fillId="4" borderId="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15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164" fontId="17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Contribution de la classe selon le nb d'élèves (croise 0 au point mort)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'Simulateur classe'!$B$28:$H$28</f>
            </numRef>
          </cat>
          <val>
            <numRef>
              <f>'Simulateur classe'!$B$29:$H$29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€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57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 xml:space="preserve">  SIMULATEUR DIRECTEUR DE CAMPUS — MBway Bordeaux  ·  ouvrir / fermer une classe</t>
        </is>
      </c>
    </row>
    <row r="2" ht="18" customHeight="1">
      <c r="A2" s="2" t="inlineStr">
        <is>
          <t xml:space="preserve">  À la main du directeur : je teste une décision, je vois l'effet immédiat sur ma contribution et mon point mort. Jaune = saisie.</t>
        </is>
      </c>
    </row>
    <row r="4" ht="24" customHeight="1">
      <c r="A4" s="3" t="inlineStr">
        <is>
          <t>①  Mon campus aujourd'hui  (pré-rempli — projection groupe)</t>
        </is>
      </c>
    </row>
    <row r="5" ht="19" customHeight="1">
      <c r="A5" s="4" t="inlineStr"/>
      <c r="B5" s="5" t="n">
        <v>1773610</v>
      </c>
      <c r="D5" s="6" t="inlineStr">
        <is>
          <t>Objectif contribution (lettre de cadrage) :</t>
        </is>
      </c>
      <c r="G5" s="7" t="n">
        <v>0.05</v>
      </c>
    </row>
    <row r="6" ht="17" customHeight="1">
      <c r="A6" s="8" t="inlineStr">
        <is>
          <t>Coûts directs</t>
        </is>
      </c>
      <c r="B6" s="5" t="n">
        <v>1118034</v>
      </c>
      <c r="D6" s="6" t="inlineStr">
        <is>
          <t>→ cible contribution :</t>
        </is>
      </c>
      <c r="G6" s="9">
        <f>655576*(1+G5)</f>
        <v/>
      </c>
    </row>
    <row r="7" ht="17" customHeight="1">
      <c r="A7" s="8" t="inlineStr">
        <is>
          <t>Contribution (avant siège)</t>
        </is>
      </c>
      <c r="B7" s="10" t="n">
        <v>655576</v>
      </c>
    </row>
    <row r="8" ht="17" customHeight="1">
      <c r="A8" s="8" t="inlineStr">
        <is>
          <t>Marge de contribution</t>
        </is>
      </c>
      <c r="B8" s="11" t="n">
        <v>0.3696280467521045</v>
      </c>
    </row>
    <row r="9" ht="24" customHeight="1">
      <c r="A9" s="3" t="inlineStr">
        <is>
          <t>②  La décision à tester  (ma main)</t>
        </is>
      </c>
    </row>
    <row r="10" ht="17" customHeight="1">
      <c r="A10" s="4" t="inlineStr">
        <is>
          <t>Classe concernée (libellé)</t>
        </is>
      </c>
      <c r="B10" s="12" t="n">
        <v>10</v>
      </c>
      <c r="C10" s="13" t="inlineStr">
        <is>
          <t>BAC_MGT B1</t>
        </is>
      </c>
    </row>
    <row r="11" ht="19" customHeight="1">
      <c r="A11" s="4" t="inlineStr">
        <is>
          <t>Ouvrir (+1)  /  Fermer (−1)</t>
        </is>
      </c>
      <c r="B11" s="14" t="n">
        <v>111803</v>
      </c>
      <c r="C11" s="15" t="n">
        <v>1</v>
      </c>
      <c r="D11" s="16" t="inlineStr">
        <is>
          <t>tape 1 pour ouvrir, -1 pour fermer</t>
        </is>
      </c>
    </row>
    <row r="12" ht="19" customHeight="1">
      <c r="A12" s="4" t="inlineStr">
        <is>
          <t>Élèves dans la classe</t>
        </is>
      </c>
      <c r="C12" s="15" t="n">
        <v>25</v>
      </c>
      <c r="D12" s="16" t="inlineStr">
        <is>
          <t>combien tu remplis (ou combien il y a si tu fermes)</t>
        </is>
      </c>
    </row>
    <row r="13" ht="19" customHeight="1">
      <c r="A13" s="4" t="inlineStr">
        <is>
          <t>Heures d'enseignement / an</t>
        </is>
      </c>
      <c r="C13" s="15" t="n">
        <v>600</v>
      </c>
      <c r="D13" s="16" t="inlineStr">
        <is>
          <t>BAC INIT 600 · BAC ALT 480 · MAS ALT 420</t>
        </is>
      </c>
    </row>
    <row r="14" ht="19" customHeight="1">
      <c r="A14" s="4" t="inlineStr">
        <is>
          <t>Taux horaire prof (€, chargé)</t>
        </is>
      </c>
      <c r="C14" s="17" t="n">
        <v>50</v>
      </c>
      <c r="D14" s="16" t="inlineStr">
        <is>
          <t>vacataire chargé ≈ 45-60 €/h</t>
        </is>
      </c>
    </row>
    <row r="15" ht="19" customHeight="1">
      <c r="A15" s="4" t="inlineStr">
        <is>
          <t>Coût ressource additionnelle (€)</t>
        </is>
      </c>
      <c r="C15" s="17" t="n">
        <v>0</v>
      </c>
      <c r="D15" s="16" t="inlineStr">
        <is>
          <t>nouveau permanent / nouvelle salle si besoin (sinon 0)</t>
        </is>
      </c>
    </row>
    <row r="16" ht="19" customHeight="1">
      <c r="A16" s="4" t="inlineStr">
        <is>
          <t>Prix / élève (€)</t>
        </is>
      </c>
      <c r="C16" s="17" t="n">
        <v>7275</v>
      </c>
      <c r="D16" s="16" t="inlineStr">
        <is>
          <t>tarif du programme</t>
        </is>
      </c>
    </row>
    <row r="17" ht="19" customHeight="1">
      <c r="A17" s="4" t="inlineStr">
        <is>
          <t>Coût variable / élève (€)</t>
        </is>
      </c>
      <c r="C17" s="17" t="n">
        <v>300</v>
      </c>
      <c r="D17" s="16" t="inlineStr">
        <is>
          <t>pédago, supports, sous-traitance</t>
        </is>
      </c>
    </row>
    <row r="19" ht="24" customHeight="1">
      <c r="A19" s="18" t="inlineStr">
        <is>
          <t>③  Effet immédiat</t>
        </is>
      </c>
    </row>
    <row r="20" ht="18" customHeight="1">
      <c r="A20" s="19" t="inlineStr">
        <is>
          <t>Coût de la classe (enseignement + ressource)</t>
        </is>
      </c>
      <c r="C20" s="20">
        <f>C13*C14+C15</f>
        <v/>
      </c>
    </row>
    <row r="21" ht="18" customHeight="1">
      <c r="A21" s="19" t="inlineStr">
        <is>
          <t>Marge par élève (prix − variable)</t>
        </is>
      </c>
      <c r="C21" s="20">
        <f>C16-C17</f>
        <v/>
      </c>
    </row>
    <row r="22" ht="18" customHeight="1">
      <c r="A22" s="4" t="inlineStr">
        <is>
          <t>◆ POINT MORT marginal (élèves)</t>
        </is>
      </c>
      <c r="C22" s="21">
        <f>IFERROR((C13*C14+C15)/(C16-C17),0)</f>
        <v/>
      </c>
    </row>
    <row r="23" ht="18" customHeight="1">
      <c r="A23" s="4" t="inlineStr">
        <is>
          <t>◆ POINT MORT complet — couvrir le coût moyen/classe</t>
        </is>
      </c>
      <c r="C23" s="22">
        <f>IFERROR($B$11/(C16-C17),0)</f>
        <v/>
      </c>
    </row>
    <row r="24" ht="18" customHeight="1">
      <c r="A24" s="4" t="inlineStr">
        <is>
          <t>Contribution de la classe (élèves × marge − coût)</t>
        </is>
      </c>
      <c r="C24" s="23">
        <f>C11*(C12*(C16-C17)-(C13*C14+C15))</f>
        <v/>
      </c>
    </row>
    <row r="25" ht="46" customHeight="1">
      <c r="A25" s="24">
        <f>IF(C11=1,IF(C12&gt;=(C13*C14+C15)/(C16-C17),"🟢 OUVRIR : classe rentable — "&amp;TEXT(C12,"0")&amp;" élèves &gt; point mort "&amp;TEXT((C13*C14+C15)/(C16-C17),"0.0")&amp;" → contribution "&amp;TEXT(C12*(C16-C17)-(C13*C14+C15),"+#,##0")&amp;" €","🔴 OUVRIR risqué : "&amp;TEXT(C12,"0")&amp;" élèves &lt; point mort "&amp;TEXT((C13*C14+C15)/(C16-C17),"0.0")&amp;" → la classe perd "&amp;TEXT(C12*(C16-C17)-(C13*C14+C15),"#,##0")&amp;" €"),IF(C12*(C16-C17)&lt;(C13*C14+C15),"🟢 FERMER : cette classe était déficitaire ("&amp;TEXT(C12,"0")&amp;" élèves &lt; point mort) → tu récupères "&amp;TEXT((C13*C14+C15)-C12*(C16-C17),"+#,##0")&amp;" €","⚠️ FERMER coûte : cette classe était rentable → tu perds "&amp;TEXT(C12*(C16-C17)-(C13*C14+C15),"#,##0")&amp;" € de contribution"))</f>
        <v/>
      </c>
      <c r="B25" s="25" t="n"/>
      <c r="C25" s="25" t="n"/>
      <c r="D25" s="25" t="n"/>
      <c r="E25" s="25" t="n"/>
      <c r="F25" s="25" t="n"/>
      <c r="G25" s="25" t="n"/>
      <c r="H25" s="25" t="n"/>
    </row>
    <row r="27" ht="24" customHeight="1">
      <c r="A27" s="3" t="inlineStr">
        <is>
          <t>④  Échelle de rentabilité de la classe  (contribution selon le remplissage)</t>
        </is>
      </c>
    </row>
    <row r="28" ht="16" customHeight="1">
      <c r="A28" s="26" t="inlineStr">
        <is>
          <t>Élèves</t>
        </is>
      </c>
      <c r="B28" s="27" t="n">
        <v>5</v>
      </c>
      <c r="C28" s="27" t="n">
        <v>10</v>
      </c>
      <c r="D28" s="27" t="n">
        <v>15</v>
      </c>
      <c r="E28" s="27" t="n">
        <v>20</v>
      </c>
      <c r="F28" s="27" t="n">
        <v>25</v>
      </c>
      <c r="G28" s="27" t="n">
        <v>30</v>
      </c>
      <c r="H28" s="27" t="n">
        <v>32</v>
      </c>
    </row>
    <row r="29" ht="17" customHeight="1">
      <c r="A29" s="28" t="inlineStr">
        <is>
          <t>Contribution (€)</t>
        </is>
      </c>
      <c r="B29" s="29">
        <f>5*(C16-C17)-(C13*C14+C15)</f>
        <v/>
      </c>
      <c r="C29" s="29">
        <f>10*(C16-C17)-(C13*C14+C15)</f>
        <v/>
      </c>
      <c r="D29" s="29">
        <f>15*(C16-C17)-(C13*C14+C15)</f>
        <v/>
      </c>
      <c r="E29" s="29">
        <f>20*(C16-C17)-(C13*C14+C15)</f>
        <v/>
      </c>
      <c r="F29" s="29">
        <f>25*(C16-C17)-(C13*C14+C15)</f>
        <v/>
      </c>
      <c r="G29" s="29">
        <f>30*(C16-C17)-(C13*C14+C15)</f>
        <v/>
      </c>
      <c r="H29" s="29">
        <f>32*(C16-C17)-(C13*C14+C15)</f>
        <v/>
      </c>
    </row>
    <row r="46" ht="24" customHeight="1">
      <c r="A46" s="18" t="inlineStr">
        <is>
          <t>⑤  Effet sur mon campus  (vs objectif)</t>
        </is>
      </c>
    </row>
    <row r="47" ht="18" customHeight="1">
      <c r="A47" s="19" t="inlineStr">
        <is>
          <t>Contribution campus — avant</t>
        </is>
      </c>
      <c r="C47" s="20">
        <f>655576</f>
        <v/>
      </c>
    </row>
    <row r="48" ht="18" customHeight="1">
      <c r="A48" s="19" t="inlineStr">
        <is>
          <t>+ effet de la décision</t>
        </is>
      </c>
      <c r="C48" s="20">
        <f>C11*(C12*(C16-C17)-(C13*C14+C15))</f>
        <v/>
      </c>
    </row>
    <row r="49" ht="18" customHeight="1">
      <c r="A49" s="4">
        <f> Contribution campus — après</f>
        <v/>
      </c>
      <c r="C49" s="30">
        <f>655576+C11*(C12*(C16-C17)-(C13*C14+C15))</f>
        <v/>
      </c>
    </row>
    <row r="50" ht="22" customHeight="1">
      <c r="A50" s="24">
        <f>"vs objectif ("&amp;TEXT(G6,"#,##0")&amp;" €) : "&amp;IF(655576+C11*(C12*(C16-C17)-(C13*C14+C15))&gt;=G6,"🟢 tenu (+"&amp;TEXT(655576+C11*(C12*(C16-C17)-(C13*C14+C15))-G6,"#,##0")&amp;" €)","🔴 à combler ("&amp;TEXT(655576+C11*(C12*(C16-C17)-(C13*C14+C15))-G6,"#,##0")&amp;" €)")</f>
        <v/>
      </c>
      <c r="B50" s="25" t="n"/>
      <c r="C50" s="25" t="n"/>
      <c r="D50" s="25" t="n"/>
      <c r="E50" s="25" t="n"/>
      <c r="F50" s="25" t="n"/>
      <c r="G50" s="25" t="n"/>
      <c r="H50" s="25" t="n"/>
    </row>
    <row r="52" ht="42" customHeight="1">
      <c r="A52" s="31" t="inlineStr">
        <is>
          <t>Lecture : le point mort MARGINAL (≈ coût prof d'une classe) est bas — en alternance, une classe est rentable dès quelques élèves. Le point mort COMPLET (couvrir le coût moyen chargé d'une classe) est le vrai seuil de « bonne santé ». La contrainte réelle du directeur n'est pas le coût d'enseigner, c'est de REMPLIR la classe (recrutement) et la CAPACITÉ des salles.</t>
        </is>
      </c>
    </row>
    <row r="53"/>
  </sheetData>
  <mergeCells count="10">
    <mergeCell ref="A9:H9"/>
    <mergeCell ref="A4:H4"/>
    <mergeCell ref="A50:H50"/>
    <mergeCell ref="A52:H53"/>
    <mergeCell ref="A25:H25"/>
    <mergeCell ref="A2:H2"/>
    <mergeCell ref="A19:H19"/>
    <mergeCell ref="A1:H1"/>
    <mergeCell ref="A46:H46"/>
    <mergeCell ref="A27:H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2026-09-01T23:28:50Z</dcterms:created>
  <dcterms:modified xsi:type="dcterms:W3CDTF">2026-09-01T23:28:50Z</dcterms:modified>
</cp:coreProperties>
</file>