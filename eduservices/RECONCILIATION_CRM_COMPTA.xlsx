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conciliation" sheetId="1" state="visible" r:id="rId1"/>
    <sheet name="Données" sheetId="2" state="visible" r:id="rId2"/>
  </sheets>
  <definedNames>
    <definedName name="_xlnm.Print_Area" localSheetId="0">'Réconciliation'!$A$1:$G$44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€&quot;;[Red]-#,##0&quot; €&quot;"/>
    <numFmt numFmtId="165" formatCode="+#,##0&quot; €&quot;;[Red]-#,##0&quot; €&quot;;&quot;–&quot;"/>
    <numFmt numFmtId="166" formatCode="+0.00%;[Red]-0.00%;&quot;–&quot;"/>
  </numFmts>
  <fonts count="15">
    <font>
      <name val="Calibri"/>
      <family val="2"/>
      <color theme="1"/>
      <sz val="11"/>
      <scheme val="minor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595959"/>
      <sz val="8"/>
    </font>
    <font>
      <name val="Arial"/>
      <b val="1"/>
      <color rgb="00FFFFFF"/>
      <sz val="12"/>
    </font>
    <font>
      <name val="Arial"/>
      <color rgb="00C6D3DE"/>
      <sz val="9"/>
    </font>
    <font>
      <name val="Arial"/>
      <b val="1"/>
      <color rgb="00000000"/>
      <sz val="10"/>
    </font>
    <font>
      <name val="Arial"/>
      <b val="1"/>
      <color rgb="00595959"/>
      <sz val="8"/>
    </font>
    <font>
      <name val="Arial"/>
      <b val="1"/>
      <color rgb="00595959"/>
      <sz val="9"/>
    </font>
    <font>
      <name val="Arial"/>
      <b val="1"/>
      <color rgb="00000000"/>
      <sz val="16"/>
    </font>
    <font>
      <name val="Arial"/>
      <color rgb="00595959"/>
      <sz val="9"/>
    </font>
    <font>
      <name val="Arial"/>
      <b val="1"/>
      <color rgb="00000000"/>
      <sz val="10.5"/>
    </font>
    <font>
      <name val="Arial"/>
      <b val="1"/>
      <color rgb="00FFFFFF"/>
      <sz val="9"/>
    </font>
    <font>
      <name val="Arial"/>
      <i val="1"/>
      <color rgb="00595959"/>
      <sz val="9"/>
    </font>
    <font>
      <name val="Arial"/>
      <b val="1"/>
      <color rgb="00000000"/>
      <sz val="9.5"/>
    </font>
  </fonts>
  <fills count="6">
    <fill>
      <patternFill/>
    </fill>
    <fill>
      <patternFill patternType="gray125"/>
    </fill>
    <fill>
      <patternFill patternType="solid">
        <fgColor rgb="00D9E2EC"/>
      </patternFill>
    </fill>
    <fill>
      <patternFill patternType="solid">
        <fgColor rgb="001F3B57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595959"/>
      </top>
      <bottom style="thin">
        <color rgb="00595959"/>
      </bottom>
    </border>
    <border>
      <left style="thin">
        <color rgb="00BFBFBF"/>
      </left>
      <right style="thin">
        <color rgb="00BFBFBF"/>
      </right>
      <bottom style="thin">
        <color rgb="00EDEFF2"/>
      </bottom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  <border>
      <left style="thin">
        <color rgb="00595959"/>
      </left>
      <top style="thin">
        <color rgb="00595959"/>
      </top>
    </border>
    <border>
      <top style="thin">
        <color rgb="00595959"/>
      </top>
    </border>
    <border>
      <left style="thin">
        <color rgb="00BFBFBF"/>
      </left>
      <top style="thin">
        <color rgb="00595959"/>
      </top>
    </border>
    <border>
      <right style="thin">
        <color rgb="00595959"/>
      </right>
      <top style="thin">
        <color rgb="00595959"/>
      </top>
    </border>
    <border>
      <left style="thin">
        <color rgb="00595959"/>
      </left>
    </border>
    <border/>
    <border>
      <left style="thin">
        <color rgb="00BFBFBF"/>
      </left>
    </border>
    <border>
      <right style="thin">
        <color rgb="00595959"/>
      </right>
    </border>
    <border>
      <left style="thin">
        <color rgb="00595959"/>
      </left>
      <bottom style="thin">
        <color rgb="00595959"/>
      </bottom>
    </border>
    <border>
      <bottom style="thin">
        <color rgb="00595959"/>
      </bottom>
    </border>
    <border>
      <left style="thin">
        <color rgb="00BFBFBF"/>
      </left>
      <bottom style="thin">
        <color rgb="00595959"/>
      </bottom>
    </border>
    <border>
      <right style="thin">
        <color rgb="00595959"/>
      </right>
      <bottom style="thin">
        <color rgb="00595959"/>
      </bottom>
    </border>
    <border>
      <bottom style="medium">
        <color rgb="00595959"/>
      </bottom>
    </border>
    <border>
      <top style="thin">
        <color rgb="00595959"/>
      </top>
      <bottom style="double">
        <color rgb="0000000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6" fillId="4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" fontId="3" fillId="0" borderId="0" applyAlignment="1" pivotButton="0" quotePrefix="0" xfId="0">
      <alignment horizontal="center" vertical="center"/>
    </xf>
    <xf numFmtId="1" fontId="6" fillId="4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left" vertical="center" indent="1"/>
    </xf>
    <xf numFmtId="0" fontId="2" fillId="0" borderId="5" pivotButton="0" quotePrefix="0" xfId="0"/>
    <xf numFmtId="0" fontId="8" fillId="0" borderId="6" applyAlignment="1" pivotButton="0" quotePrefix="0" xfId="0">
      <alignment horizontal="left" vertical="center" indent="1"/>
    </xf>
    <xf numFmtId="0" fontId="2" fillId="0" borderId="7" pivotButton="0" quotePrefix="0" xfId="0"/>
    <xf numFmtId="164" fontId="9" fillId="0" borderId="8" applyAlignment="1" pivotButton="0" quotePrefix="0" xfId="0">
      <alignment horizontal="left" vertical="center" indent="1"/>
    </xf>
    <xf numFmtId="0" fontId="2" fillId="0" borderId="9" pivotButton="0" quotePrefix="0" xfId="0"/>
    <xf numFmtId="164" fontId="9" fillId="0" borderId="10" applyAlignment="1" pivotButton="0" quotePrefix="0" xfId="0">
      <alignment horizontal="left" vertical="center" indent="1"/>
    </xf>
    <xf numFmtId="165" fontId="9" fillId="0" borderId="10" applyAlignment="1" pivotButton="0" quotePrefix="0" xfId="0">
      <alignment horizontal="left" vertical="center" indent="1"/>
    </xf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166" fontId="10" fillId="0" borderId="14" applyAlignment="1" pivotButton="0" quotePrefix="0" xfId="0">
      <alignment horizontal="left" vertical="center" indent="1"/>
    </xf>
    <xf numFmtId="0" fontId="2" fillId="0" borderId="15" pivotButton="0" quotePrefix="0" xfId="0"/>
    <xf numFmtId="0" fontId="11" fillId="0" borderId="16" applyAlignment="1" pivotButton="0" quotePrefix="0" xfId="0">
      <alignment horizontal="left" vertical="center"/>
    </xf>
    <xf numFmtId="0" fontId="2" fillId="0" borderId="16" pivotButton="0" quotePrefix="0" xfId="0"/>
    <xf numFmtId="0" fontId="12" fillId="3" borderId="1" applyAlignment="1" pivotButton="0" quotePrefix="0" xfId="0">
      <alignment horizontal="left" vertical="center" indent="1"/>
    </xf>
    <xf numFmtId="0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indent="1"/>
    </xf>
    <xf numFmtId="164" fontId="2" fillId="0" borderId="2" applyAlignment="1" pivotButton="0" quotePrefix="0" xfId="0">
      <alignment horizontal="right" vertical="center"/>
    </xf>
    <xf numFmtId="165" fontId="2" fillId="0" borderId="2" applyAlignment="1" pivotButton="0" quotePrefix="0" xfId="0">
      <alignment horizontal="right" vertical="center"/>
    </xf>
    <xf numFmtId="166" fontId="2" fillId="0" borderId="2" applyAlignment="1" pivotButton="0" quotePrefix="0" xfId="0">
      <alignment horizontal="right" vertical="center"/>
    </xf>
    <xf numFmtId="0" fontId="2" fillId="0" borderId="2" pivotButton="0" quotePrefix="0" xfId="0"/>
    <xf numFmtId="0" fontId="13" fillId="0" borderId="2" applyAlignment="1" pivotButton="0" quotePrefix="0" xfId="0">
      <alignment horizontal="left" vertical="center" indent="1"/>
    </xf>
    <xf numFmtId="0" fontId="14" fillId="5" borderId="17" applyAlignment="1" pivotButton="0" quotePrefix="0" xfId="0">
      <alignment horizontal="left" vertical="center" indent="1"/>
    </xf>
    <xf numFmtId="164" fontId="14" fillId="5" borderId="17" applyAlignment="1" pivotButton="0" quotePrefix="0" xfId="0">
      <alignment horizontal="right" vertical="center"/>
    </xf>
    <xf numFmtId="165" fontId="14" fillId="5" borderId="17" applyAlignment="1" pivotButton="0" quotePrefix="0" xfId="0">
      <alignment horizontal="right" vertical="center"/>
    </xf>
    <xf numFmtId="166" fontId="14" fillId="5" borderId="17" applyAlignment="1" pivotButton="0" quotePrefix="0" xfId="0">
      <alignment horizontal="right" vertical="center"/>
    </xf>
    <xf numFmtId="0" fontId="2" fillId="5" borderId="17" pivotButton="0" quotePrefix="0" xfId="0"/>
    <xf numFmtId="0" fontId="10" fillId="0" borderId="2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name val="Arial"/>
        <b val="1"/>
        <color rgb="00C00000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0" customWidth="1" min="2" max="2"/>
    <col width="16" customWidth="1" min="3" max="3"/>
    <col width="16" customWidth="1" min="4" max="4"/>
    <col width="15" customWidth="1" min="5" max="5"/>
    <col width="13" customWidth="1" min="6" max="6"/>
    <col width="11" customWidth="1" min="7" max="7"/>
    <col width="2.5" customWidth="1" min="8" max="8"/>
    <col width="22" customWidth="1" min="9" max="9"/>
    <col width="8" customWidth="1" min="10" max="10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0" customHeight="1">
      <c r="A2" s="2" t="n"/>
      <c r="B2" s="3" t="inlineStr">
        <is>
          <t>EDUSERVICES GROUP    Réconciliation CRM / Comptabilité</t>
        </is>
      </c>
      <c r="C2" s="2" t="n"/>
      <c r="D2" s="2" t="n"/>
      <c r="E2" s="2" t="n"/>
      <c r="F2" s="4" t="inlineStr">
        <is>
          <t>Source : Tagetik TGK_MSSQL_07</t>
        </is>
      </c>
      <c r="G2" s="2" t="n"/>
      <c r="H2" s="2" t="n"/>
      <c r="I2" s="2" t="n"/>
      <c r="J2" s="2" t="n"/>
      <c r="K2" s="2" t="n"/>
      <c r="L2" s="2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20" customHeight="1">
      <c r="A5" s="1" t="n"/>
      <c r="B5" s="5" t="inlineStr">
        <is>
          <t>Exercice</t>
        </is>
      </c>
      <c r="C5" s="6" t="inlineStr">
        <is>
          <t>2027</t>
        </is>
      </c>
      <c r="D5" s="1" t="n"/>
      <c r="E5" s="1" t="n"/>
      <c r="F5" s="1" t="n"/>
      <c r="G5" s="1" t="n"/>
      <c r="H5" s="1" t="n"/>
      <c r="I5" s="7" t="inlineStr">
        <is>
          <t>Colonnes repérées par leur nom</t>
        </is>
      </c>
      <c r="J5" s="1" t="n"/>
      <c r="K5" s="1" t="n"/>
      <c r="L5" s="1" t="n"/>
    </row>
    <row r="6" ht="20" customHeight="1">
      <c r="A6" s="1" t="n"/>
      <c r="B6" s="5" t="inlineStr">
        <is>
          <t>Version</t>
        </is>
      </c>
      <c r="C6" s="6" t="inlineStr">
        <is>
          <t>V01</t>
        </is>
      </c>
      <c r="D6" s="1" t="n"/>
      <c r="E6" s="1" t="n"/>
      <c r="F6" s="1" t="n"/>
      <c r="G6" s="1" t="n"/>
      <c r="H6" s="1" t="n"/>
      <c r="I6" s="8" t="inlineStr">
        <is>
          <t>Entity</t>
        </is>
      </c>
      <c r="J6" s="9">
        <f>MATCH("Entity",INDEX(Données!$A:$Z,$C$7,0),0)</f>
        <v/>
      </c>
      <c r="K6" s="1" t="n"/>
      <c r="L6" s="1" t="n"/>
    </row>
    <row r="7" ht="20" customHeight="1">
      <c r="A7" s="1" t="n"/>
      <c r="B7" s="5" t="inlineStr">
        <is>
          <t>Ligne d'en-tête de la restitution</t>
        </is>
      </c>
      <c r="C7" s="10" t="n">
        <v>1</v>
      </c>
      <c r="D7" s="1" t="n"/>
      <c r="E7" s="1" t="n"/>
      <c r="F7" s="1" t="n"/>
      <c r="G7" s="1" t="n"/>
      <c r="H7" s="1" t="n"/>
      <c r="I7" s="8" t="inlineStr">
        <is>
          <t>Marque</t>
        </is>
      </c>
      <c r="J7" s="9">
        <f>MATCH("Marque",INDEX(Données!$A:$Z,$C$7,0),0)</f>
        <v/>
      </c>
      <c r="K7" s="1" t="n"/>
      <c r="L7" s="1" t="n"/>
    </row>
    <row r="8" ht="10" customHeight="1">
      <c r="A8" s="1" t="n"/>
      <c r="B8" s="1" t="n"/>
      <c r="C8" s="1" t="n"/>
      <c r="D8" s="1" t="n"/>
      <c r="E8" s="1" t="n"/>
      <c r="F8" s="1" t="n"/>
      <c r="G8" s="1" t="n"/>
      <c r="H8" s="1" t="n"/>
      <c r="I8" s="8" t="inlineStr">
        <is>
          <t>Exercice</t>
        </is>
      </c>
      <c r="J8" s="9">
        <f>MATCH("Exercice",INDEX(Données!$A:$Z,$C$7,0),0)</f>
        <v/>
      </c>
      <c r="K8" s="1" t="n"/>
      <c r="L8" s="1" t="n"/>
    </row>
    <row r="9" ht="15" customHeight="1">
      <c r="A9" s="1" t="n"/>
      <c r="B9" s="11" t="inlineStr">
        <is>
          <t>CA CRM</t>
        </is>
      </c>
      <c r="C9" s="12" t="n"/>
      <c r="D9" s="13" t="inlineStr">
        <is>
          <t>CA comptabilité</t>
        </is>
      </c>
      <c r="E9" s="12" t="n"/>
      <c r="F9" s="13" t="inlineStr">
        <is>
          <t>Écart</t>
        </is>
      </c>
      <c r="G9" s="14" t="n"/>
      <c r="H9" s="1" t="n"/>
      <c r="I9" s="8" t="inlineStr">
        <is>
          <t>Version</t>
        </is>
      </c>
      <c r="J9" s="9">
        <f>MATCH("Version",INDEX(Données!$A:$Z,$C$7,0),0)</f>
        <v/>
      </c>
      <c r="K9" s="1" t="n"/>
      <c r="L9" s="1" t="n"/>
    </row>
    <row r="10" ht="24" customHeight="1">
      <c r="A10" s="1" t="n"/>
      <c r="B10" s="15">
        <f>$C$21</f>
        <v/>
      </c>
      <c r="C10" s="16" t="n"/>
      <c r="D10" s="17">
        <f>$D$21</f>
        <v/>
      </c>
      <c r="E10" s="16" t="n"/>
      <c r="F10" s="18">
        <f>$E$21</f>
        <v/>
      </c>
      <c r="G10" s="19" t="n"/>
      <c r="H10" s="1" t="n"/>
      <c r="I10" s="8" t="inlineStr">
        <is>
          <t>CA CRM</t>
        </is>
      </c>
      <c r="J10" s="9">
        <f>MATCH("CA CRM",INDEX(Données!$A:$Z,$C$7,0),0)</f>
        <v/>
      </c>
      <c r="K10" s="1" t="n"/>
      <c r="L10" s="1" t="n"/>
    </row>
    <row r="11" ht="15" customHeight="1">
      <c r="A11" s="1" t="n"/>
      <c r="B11" s="20" t="n"/>
      <c r="C11" s="21" t="n"/>
      <c r="D11" s="22" t="n"/>
      <c r="E11" s="21" t="n"/>
      <c r="F11" s="23">
        <f>IF($C$21=0,0,$E$21/$C$21)</f>
        <v/>
      </c>
      <c r="G11" s="24" t="n"/>
      <c r="H11" s="1" t="n"/>
      <c r="I11" s="8" t="inlineStr">
        <is>
          <t>CA Compta</t>
        </is>
      </c>
      <c r="J11" s="9">
        <f>MATCH("CA Compta",INDEX(Données!$A:$Z,$C$7,0),0)</f>
        <v/>
      </c>
      <c r="K11" s="1" t="n"/>
      <c r="L11" s="1" t="n"/>
    </row>
    <row r="12" ht="10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 ht="22" customHeight="1">
      <c r="A13" s="1" t="n"/>
      <c r="B13" s="25" t="inlineStr">
        <is>
          <t>PAR MARQUE</t>
        </is>
      </c>
      <c r="C13" s="26" t="n"/>
      <c r="D13" s="26" t="n"/>
      <c r="E13" s="26" t="n"/>
      <c r="F13" s="26" t="n"/>
      <c r="G13" s="26" t="n"/>
      <c r="H13" s="1" t="n"/>
      <c r="I13" s="1" t="n"/>
      <c r="J13" s="1" t="n"/>
      <c r="K13" s="1" t="n"/>
      <c r="L13" s="1" t="n"/>
    </row>
    <row r="14" ht="18" customHeight="1">
      <c r="A14" s="1" t="n"/>
      <c r="B14" s="27" t="inlineStr">
        <is>
          <t>Marque</t>
        </is>
      </c>
      <c r="C14" s="28" t="inlineStr">
        <is>
          <t>CA CRM</t>
        </is>
      </c>
      <c r="D14" s="28" t="inlineStr">
        <is>
          <t>CA Comptabilité</t>
        </is>
      </c>
      <c r="E14" s="28" t="inlineStr">
        <is>
          <t>Écart</t>
        </is>
      </c>
      <c r="F14" s="28" t="inlineStr">
        <is>
          <t>Écart %</t>
        </is>
      </c>
      <c r="G14" s="29" t="inlineStr"/>
      <c r="H14" s="1" t="n"/>
      <c r="I14" s="1" t="n"/>
      <c r="J14" s="1" t="n"/>
      <c r="K14" s="1" t="n"/>
      <c r="L14" s="1" t="n"/>
    </row>
    <row r="15" ht="17" customHeight="1">
      <c r="A15" s="1" t="n"/>
      <c r="B15" s="30" t="inlineStr">
        <is>
          <t>MBWAY</t>
        </is>
      </c>
      <c r="C15" s="31">
        <f>SUMIFS(INDEX(Données!$A:$Z,0,$J$10),INDEX(Données!$A:$Z,0,$J$7),$B15,INDEX(Données!$A:$Z,0,$J$8),$C$5,INDEX(Données!$A:$Z,0,$J$9),$C$6)</f>
        <v/>
      </c>
      <c r="D15" s="31">
        <f>SUMIFS(INDEX(Données!$A:$Z,0,$J$11),INDEX(Données!$A:$Z,0,$J$7),$B15,INDEX(Données!$A:$Z,0,$J$8),$C$5,INDEX(Données!$A:$Z,0,$J$9),$C$6)</f>
        <v/>
      </c>
      <c r="E15" s="32">
        <f>D15-C15</f>
        <v/>
      </c>
      <c r="F15" s="33">
        <f>IF(C15=0,0,E15/C15)</f>
        <v/>
      </c>
      <c r="G15" s="34" t="n"/>
      <c r="H15" s="1" t="n"/>
      <c r="I15" s="1" t="n"/>
      <c r="J15" s="1" t="n"/>
      <c r="K15" s="1" t="n"/>
      <c r="L15" s="1" t="n"/>
    </row>
    <row r="16" ht="17" customHeight="1">
      <c r="A16" s="1" t="n"/>
      <c r="B16" s="30" t="inlineStr">
        <is>
          <t>ISCOM</t>
        </is>
      </c>
      <c r="C16" s="31">
        <f>SUMIFS(INDEX(Données!$A:$Z,0,$J$10),INDEX(Données!$A:$Z,0,$J$7),$B16,INDEX(Données!$A:$Z,0,$J$8),$C$5,INDEX(Données!$A:$Z,0,$J$9),$C$6)</f>
        <v/>
      </c>
      <c r="D16" s="31">
        <f>SUMIFS(INDEX(Données!$A:$Z,0,$J$11),INDEX(Données!$A:$Z,0,$J$7),$B16,INDEX(Données!$A:$Z,0,$J$8),$C$5,INDEX(Données!$A:$Z,0,$J$9),$C$6)</f>
        <v/>
      </c>
      <c r="E16" s="32">
        <f>D16-C16</f>
        <v/>
      </c>
      <c r="F16" s="33">
        <f>IF(C16=0,0,E16/C16)</f>
        <v/>
      </c>
      <c r="G16" s="34" t="n"/>
      <c r="H16" s="1" t="n"/>
      <c r="I16" s="1" t="n"/>
      <c r="J16" s="1" t="n"/>
      <c r="K16" s="1" t="n"/>
      <c r="L16" s="1" t="n"/>
    </row>
    <row r="17" ht="17" customHeight="1">
      <c r="A17" s="1" t="n"/>
      <c r="B17" s="30" t="inlineStr">
        <is>
          <t>IPAC</t>
        </is>
      </c>
      <c r="C17" s="31">
        <f>SUMIFS(INDEX(Données!$A:$Z,0,$J$10),INDEX(Données!$A:$Z,0,$J$7),$B17,INDEX(Données!$A:$Z,0,$J$8),$C$5,INDEX(Données!$A:$Z,0,$J$9),$C$6)</f>
        <v/>
      </c>
      <c r="D17" s="31">
        <f>SUMIFS(INDEX(Données!$A:$Z,0,$J$11),INDEX(Données!$A:$Z,0,$J$7),$B17,INDEX(Données!$A:$Z,0,$J$8),$C$5,INDEX(Données!$A:$Z,0,$J$9),$C$6)</f>
        <v/>
      </c>
      <c r="E17" s="32">
        <f>D17-C17</f>
        <v/>
      </c>
      <c r="F17" s="33">
        <f>IF(C17=0,0,E17/C17)</f>
        <v/>
      </c>
      <c r="G17" s="34" t="n"/>
      <c r="H17" s="1" t="n"/>
      <c r="I17" s="1" t="n"/>
      <c r="J17" s="1" t="n"/>
      <c r="K17" s="1" t="n"/>
      <c r="L17" s="1" t="n"/>
    </row>
    <row r="18" ht="17" customHeight="1">
      <c r="A18" s="1" t="n"/>
      <c r="B18" s="30" t="inlineStr">
        <is>
          <t>PIGIER</t>
        </is>
      </c>
      <c r="C18" s="31">
        <f>SUMIFS(INDEX(Données!$A:$Z,0,$J$10),INDEX(Données!$A:$Z,0,$J$7),$B18,INDEX(Données!$A:$Z,0,$J$8),$C$5,INDEX(Données!$A:$Z,0,$J$9),$C$6)</f>
        <v/>
      </c>
      <c r="D18" s="31">
        <f>SUMIFS(INDEX(Données!$A:$Z,0,$J$11),INDEX(Données!$A:$Z,0,$J$7),$B18,INDEX(Données!$A:$Z,0,$J$8),$C$5,INDEX(Données!$A:$Z,0,$J$9),$C$6)</f>
        <v/>
      </c>
      <c r="E18" s="32">
        <f>D18-C18</f>
        <v/>
      </c>
      <c r="F18" s="33">
        <f>IF(C18=0,0,E18/C18)</f>
        <v/>
      </c>
      <c r="G18" s="34" t="n"/>
      <c r="H18" s="1" t="n"/>
      <c r="I18" s="1" t="n"/>
      <c r="J18" s="1" t="n"/>
      <c r="K18" s="1" t="n"/>
      <c r="L18" s="1" t="n"/>
    </row>
    <row r="19" ht="17" customHeight="1">
      <c r="A19" s="1" t="n"/>
      <c r="B19" s="30" t="inlineStr">
        <is>
          <t>TUNON</t>
        </is>
      </c>
      <c r="C19" s="31">
        <f>SUMIFS(INDEX(Données!$A:$Z,0,$J$10),INDEX(Données!$A:$Z,0,$J$7),$B19,INDEX(Données!$A:$Z,0,$J$8),$C$5,INDEX(Données!$A:$Z,0,$J$9),$C$6)</f>
        <v/>
      </c>
      <c r="D19" s="31">
        <f>SUMIFS(INDEX(Données!$A:$Z,0,$J$11),INDEX(Données!$A:$Z,0,$J$7),$B19,INDEX(Données!$A:$Z,0,$J$8),$C$5,INDEX(Données!$A:$Z,0,$J$9),$C$6)</f>
        <v/>
      </c>
      <c r="E19" s="32">
        <f>D19-C19</f>
        <v/>
      </c>
      <c r="F19" s="33">
        <f>IF(C19=0,0,E19/C19)</f>
        <v/>
      </c>
      <c r="G19" s="34" t="n"/>
      <c r="H19" s="1" t="n"/>
      <c r="I19" s="1" t="n"/>
      <c r="J19" s="1" t="n"/>
      <c r="K19" s="1" t="n"/>
      <c r="L19" s="1" t="n"/>
    </row>
    <row r="20" ht="17" customHeight="1">
      <c r="A20" s="1" t="n"/>
      <c r="B20" s="35" t="inlineStr">
        <is>
          <t>Hors liste</t>
        </is>
      </c>
      <c r="C20" s="31">
        <f>SUMIFS(INDEX(Données!$A:$Z,0,$J$10),INDEX(Données!$A:$Z,0,$J$8),$C$5,INDEX(Données!$A:$Z,0,$J$9),$C$6)-SUM($C$15:$C$19)</f>
        <v/>
      </c>
      <c r="D20" s="31">
        <f>SUMIFS(INDEX(Données!$A:$Z,0,$J$11),INDEX(Données!$A:$Z,0,$J$8),$C$5,INDEX(Données!$A:$Z,0,$J$9),$C$6)-SUM($D$15:$D$19)</f>
        <v/>
      </c>
      <c r="E20" s="32">
        <f>D20-C20</f>
        <v/>
      </c>
      <c r="F20" s="34" t="n"/>
      <c r="G20" s="34" t="n"/>
      <c r="H20" s="1" t="n"/>
      <c r="I20" s="1" t="n"/>
      <c r="J20" s="1" t="n"/>
      <c r="K20" s="1" t="n"/>
      <c r="L20" s="1" t="n"/>
    </row>
    <row r="21" ht="19" customHeight="1">
      <c r="A21" s="1" t="n"/>
      <c r="B21" s="36" t="inlineStr">
        <is>
          <t>Total</t>
        </is>
      </c>
      <c r="C21" s="37">
        <f>SUM($C$15:$C$20)</f>
        <v/>
      </c>
      <c r="D21" s="37">
        <f>SUM($D$15:$D$20)</f>
        <v/>
      </c>
      <c r="E21" s="38">
        <f>D21-C21</f>
        <v/>
      </c>
      <c r="F21" s="39">
        <f>IF(C21=0,0,E21/C21)</f>
        <v/>
      </c>
      <c r="G21" s="40" t="n"/>
      <c r="H21" s="1" t="n"/>
      <c r="I21" s="1" t="n"/>
      <c r="J21" s="1" t="n"/>
      <c r="K21" s="1" t="n"/>
      <c r="L21" s="1" t="n"/>
    </row>
    <row r="22" ht="10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 ht="22" customHeight="1">
      <c r="A24" s="1" t="n"/>
      <c r="B24" s="25" t="inlineStr">
        <is>
          <t>PAR CAMPUS</t>
        </is>
      </c>
      <c r="C24" s="26" t="n"/>
      <c r="D24" s="26" t="n"/>
      <c r="E24" s="26" t="n"/>
      <c r="F24" s="26" t="n"/>
      <c r="G24" s="26" t="n"/>
      <c r="H24" s="26" t="n"/>
      <c r="I24" s="1" t="n"/>
      <c r="J24" s="1" t="n"/>
      <c r="K24" s="1" t="n"/>
      <c r="L24" s="1" t="n"/>
    </row>
    <row r="25" ht="18" customHeight="1">
      <c r="A25" s="1" t="n"/>
      <c r="B25" s="27" t="inlineStr">
        <is>
          <t>Campus</t>
        </is>
      </c>
      <c r="C25" s="27" t="inlineStr">
        <is>
          <t>Marque</t>
        </is>
      </c>
      <c r="D25" s="28" t="inlineStr">
        <is>
          <t>CA CRM</t>
        </is>
      </c>
      <c r="E25" s="28" t="inlineStr">
        <is>
          <t>CA Comptabilité</t>
        </is>
      </c>
      <c r="F25" s="28" t="inlineStr">
        <is>
          <t>Écart</t>
        </is>
      </c>
      <c r="G25" s="28" t="inlineStr">
        <is>
          <t>Écart %</t>
        </is>
      </c>
      <c r="H25" s="29" t="inlineStr"/>
      <c r="I25" s="1" t="n"/>
      <c r="J25" s="1" t="n"/>
      <c r="K25" s="1" t="n"/>
      <c r="L25" s="1" t="n"/>
    </row>
    <row r="26" ht="17" customHeight="1">
      <c r="A26" s="1" t="n"/>
      <c r="B26" s="30" t="inlineStr">
        <is>
          <t>IPAC_MTP</t>
        </is>
      </c>
      <c r="C26" s="41">
        <f>IF(ISERROR(FIND("_",$B26)),$B26,LEFT($B26,FIND("_",$B26)-1))</f>
        <v/>
      </c>
      <c r="D26" s="31">
        <f>SUMIFS(INDEX(Données!$A:$Z,0,$J$10),INDEX(Données!$A:$Z,0,$J$6),$B26,INDEX(Données!$A:$Z,0,$J$8),$C$5,INDEX(Données!$A:$Z,0,$J$9),$C$6)</f>
        <v/>
      </c>
      <c r="E26" s="31">
        <f>SUMIFS(INDEX(Données!$A:$Z,0,$J$11),INDEX(Données!$A:$Z,0,$J$6),$B26,INDEX(Données!$A:$Z,0,$J$8),$C$5,INDEX(Données!$A:$Z,0,$J$9),$C$6)</f>
        <v/>
      </c>
      <c r="F26" s="32">
        <f>E26-D26</f>
        <v/>
      </c>
      <c r="G26" s="33">
        <f>IF(D26=0,0,F26/D26)</f>
        <v/>
      </c>
      <c r="H26" s="34" t="n"/>
      <c r="I26" s="1" t="n"/>
      <c r="J26" s="1" t="n"/>
      <c r="K26" s="1" t="n"/>
      <c r="L26" s="1" t="n"/>
    </row>
    <row r="27" ht="17" customHeight="1">
      <c r="A27" s="1" t="n"/>
      <c r="B27" s="30" t="inlineStr">
        <is>
          <t>IPAC_NAN</t>
        </is>
      </c>
      <c r="C27" s="41">
        <f>IF(ISERROR(FIND("_",$B27)),$B27,LEFT($B27,FIND("_",$B27)-1))</f>
        <v/>
      </c>
      <c r="D27" s="31">
        <f>SUMIFS(INDEX(Données!$A:$Z,0,$J$10),INDEX(Données!$A:$Z,0,$J$6),$B27,INDEX(Données!$A:$Z,0,$J$8),$C$5,INDEX(Données!$A:$Z,0,$J$9),$C$6)</f>
        <v/>
      </c>
      <c r="E27" s="31">
        <f>SUMIFS(INDEX(Données!$A:$Z,0,$J$11),INDEX(Données!$A:$Z,0,$J$6),$B27,INDEX(Données!$A:$Z,0,$J$8),$C$5,INDEX(Données!$A:$Z,0,$J$9),$C$6)</f>
        <v/>
      </c>
      <c r="F27" s="32">
        <f>E27-D27</f>
        <v/>
      </c>
      <c r="G27" s="33">
        <f>IF(D27=0,0,F27/D27)</f>
        <v/>
      </c>
      <c r="H27" s="34" t="n"/>
      <c r="I27" s="1" t="n"/>
      <c r="J27" s="1" t="n"/>
      <c r="K27" s="1" t="n"/>
      <c r="L27" s="1" t="n"/>
    </row>
    <row r="28" ht="17" customHeight="1">
      <c r="A28" s="1" t="n"/>
      <c r="B28" s="30" t="inlineStr">
        <is>
          <t>IPAC_REN</t>
        </is>
      </c>
      <c r="C28" s="41">
        <f>IF(ISERROR(FIND("_",$B28)),$B28,LEFT($B28,FIND("_",$B28)-1))</f>
        <v/>
      </c>
      <c r="D28" s="31">
        <f>SUMIFS(INDEX(Données!$A:$Z,0,$J$10),INDEX(Données!$A:$Z,0,$J$6),$B28,INDEX(Données!$A:$Z,0,$J$8),$C$5,INDEX(Données!$A:$Z,0,$J$9),$C$6)</f>
        <v/>
      </c>
      <c r="E28" s="31">
        <f>SUMIFS(INDEX(Données!$A:$Z,0,$J$11),INDEX(Données!$A:$Z,0,$J$6),$B28,INDEX(Données!$A:$Z,0,$J$8),$C$5,INDEX(Données!$A:$Z,0,$J$9),$C$6)</f>
        <v/>
      </c>
      <c r="F28" s="32">
        <f>E28-D28</f>
        <v/>
      </c>
      <c r="G28" s="33">
        <f>IF(D28=0,0,F28/D28)</f>
        <v/>
      </c>
      <c r="H28" s="34" t="n"/>
      <c r="I28" s="1" t="n"/>
      <c r="J28" s="1" t="n"/>
      <c r="K28" s="1" t="n"/>
      <c r="L28" s="1" t="n"/>
    </row>
    <row r="29" ht="17" customHeight="1">
      <c r="A29" s="1" t="n"/>
      <c r="B29" s="30" t="inlineStr">
        <is>
          <t>ISCOM_LIL</t>
        </is>
      </c>
      <c r="C29" s="41">
        <f>IF(ISERROR(FIND("_",$B29)),$B29,LEFT($B29,FIND("_",$B29)-1))</f>
        <v/>
      </c>
      <c r="D29" s="31">
        <f>SUMIFS(INDEX(Données!$A:$Z,0,$J$10),INDEX(Données!$A:$Z,0,$J$6),$B29,INDEX(Données!$A:$Z,0,$J$8),$C$5,INDEX(Données!$A:$Z,0,$J$9),$C$6)</f>
        <v/>
      </c>
      <c r="E29" s="31">
        <f>SUMIFS(INDEX(Données!$A:$Z,0,$J$11),INDEX(Données!$A:$Z,0,$J$6),$B29,INDEX(Données!$A:$Z,0,$J$8),$C$5,INDEX(Données!$A:$Z,0,$J$9),$C$6)</f>
        <v/>
      </c>
      <c r="F29" s="32">
        <f>E29-D29</f>
        <v/>
      </c>
      <c r="G29" s="33">
        <f>IF(D29=0,0,F29/D29)</f>
        <v/>
      </c>
      <c r="H29" s="34" t="n"/>
      <c r="I29" s="1" t="n"/>
      <c r="J29" s="1" t="n"/>
      <c r="K29" s="1" t="n"/>
      <c r="L29" s="1" t="n"/>
    </row>
    <row r="30" ht="17" customHeight="1">
      <c r="A30" s="1" t="n"/>
      <c r="B30" s="30" t="inlineStr">
        <is>
          <t>ISCOM_PAR</t>
        </is>
      </c>
      <c r="C30" s="41">
        <f>IF(ISERROR(FIND("_",$B30)),$B30,LEFT($B30,FIND("_",$B30)-1))</f>
        <v/>
      </c>
      <c r="D30" s="31">
        <f>SUMIFS(INDEX(Données!$A:$Z,0,$J$10),INDEX(Données!$A:$Z,0,$J$6),$B30,INDEX(Données!$A:$Z,0,$J$8),$C$5,INDEX(Données!$A:$Z,0,$J$9),$C$6)</f>
        <v/>
      </c>
      <c r="E30" s="31">
        <f>SUMIFS(INDEX(Données!$A:$Z,0,$J$11),INDEX(Données!$A:$Z,0,$J$6),$B30,INDEX(Données!$A:$Z,0,$J$8),$C$5,INDEX(Données!$A:$Z,0,$J$9),$C$6)</f>
        <v/>
      </c>
      <c r="F30" s="32">
        <f>E30-D30</f>
        <v/>
      </c>
      <c r="G30" s="33">
        <f>IF(D30=0,0,F30/D30)</f>
        <v/>
      </c>
      <c r="H30" s="34" t="n"/>
      <c r="I30" s="1" t="n"/>
      <c r="J30" s="1" t="n"/>
      <c r="K30" s="1" t="n"/>
      <c r="L30" s="1" t="n"/>
    </row>
    <row r="31" ht="17" customHeight="1">
      <c r="A31" s="1" t="n"/>
      <c r="B31" s="30" t="inlineStr">
        <is>
          <t>ISCOM_TLS</t>
        </is>
      </c>
      <c r="C31" s="41">
        <f>IF(ISERROR(FIND("_",$B31)),$B31,LEFT($B31,FIND("_",$B31)-1))</f>
        <v/>
      </c>
      <c r="D31" s="31">
        <f>SUMIFS(INDEX(Données!$A:$Z,0,$J$10),INDEX(Données!$A:$Z,0,$J$6),$B31,INDEX(Données!$A:$Z,0,$J$8),$C$5,INDEX(Données!$A:$Z,0,$J$9),$C$6)</f>
        <v/>
      </c>
      <c r="E31" s="31">
        <f>SUMIFS(INDEX(Données!$A:$Z,0,$J$11),INDEX(Données!$A:$Z,0,$J$6),$B31,INDEX(Données!$A:$Z,0,$J$8),$C$5,INDEX(Données!$A:$Z,0,$J$9),$C$6)</f>
        <v/>
      </c>
      <c r="F31" s="32">
        <f>E31-D31</f>
        <v/>
      </c>
      <c r="G31" s="33">
        <f>IF(D31=0,0,F31/D31)</f>
        <v/>
      </c>
      <c r="H31" s="34" t="n"/>
      <c r="I31" s="1" t="n"/>
      <c r="J31" s="1" t="n"/>
      <c r="K31" s="1" t="n"/>
      <c r="L31" s="1" t="n"/>
    </row>
    <row r="32" ht="17" customHeight="1">
      <c r="A32" s="1" t="n"/>
      <c r="B32" s="30" t="inlineStr">
        <is>
          <t>MBWAY_BOR</t>
        </is>
      </c>
      <c r="C32" s="41">
        <f>IF(ISERROR(FIND("_",$B32)),$B32,LEFT($B32,FIND("_",$B32)-1))</f>
        <v/>
      </c>
      <c r="D32" s="31">
        <f>SUMIFS(INDEX(Données!$A:$Z,0,$J$10),INDEX(Données!$A:$Z,0,$J$6),$B32,INDEX(Données!$A:$Z,0,$J$8),$C$5,INDEX(Données!$A:$Z,0,$J$9),$C$6)</f>
        <v/>
      </c>
      <c r="E32" s="31">
        <f>SUMIFS(INDEX(Données!$A:$Z,0,$J$11),INDEX(Données!$A:$Z,0,$J$6),$B32,INDEX(Données!$A:$Z,0,$J$8),$C$5,INDEX(Données!$A:$Z,0,$J$9),$C$6)</f>
        <v/>
      </c>
      <c r="F32" s="32">
        <f>E32-D32</f>
        <v/>
      </c>
      <c r="G32" s="33">
        <f>IF(D32=0,0,F32/D32)</f>
        <v/>
      </c>
      <c r="H32" s="34" t="n"/>
      <c r="I32" s="1" t="n"/>
      <c r="J32" s="1" t="n"/>
      <c r="K32" s="1" t="n"/>
      <c r="L32" s="1" t="n"/>
    </row>
    <row r="33" ht="17" customHeight="1">
      <c r="A33" s="1" t="n"/>
      <c r="B33" s="30" t="inlineStr">
        <is>
          <t>MBWAY_LYO</t>
        </is>
      </c>
      <c r="C33" s="41">
        <f>IF(ISERROR(FIND("_",$B33)),$B33,LEFT($B33,FIND("_",$B33)-1))</f>
        <v/>
      </c>
      <c r="D33" s="31">
        <f>SUMIFS(INDEX(Données!$A:$Z,0,$J$10),INDEX(Données!$A:$Z,0,$J$6),$B33,INDEX(Données!$A:$Z,0,$J$8),$C$5,INDEX(Données!$A:$Z,0,$J$9),$C$6)</f>
        <v/>
      </c>
      <c r="E33" s="31">
        <f>SUMIFS(INDEX(Données!$A:$Z,0,$J$11),INDEX(Données!$A:$Z,0,$J$6),$B33,INDEX(Données!$A:$Z,0,$J$8),$C$5,INDEX(Données!$A:$Z,0,$J$9),$C$6)</f>
        <v/>
      </c>
      <c r="F33" s="32">
        <f>E33-D33</f>
        <v/>
      </c>
      <c r="G33" s="33">
        <f>IF(D33=0,0,F33/D33)</f>
        <v/>
      </c>
      <c r="H33" s="34" t="n"/>
      <c r="I33" s="1" t="n"/>
      <c r="J33" s="1" t="n"/>
      <c r="K33" s="1" t="n"/>
      <c r="L33" s="1" t="n"/>
    </row>
    <row r="34" ht="17" customHeight="1">
      <c r="A34" s="1" t="n"/>
      <c r="B34" s="30" t="inlineStr">
        <is>
          <t>MBWAY_NAN</t>
        </is>
      </c>
      <c r="C34" s="41">
        <f>IF(ISERROR(FIND("_",$B34)),$B34,LEFT($B34,FIND("_",$B34)-1))</f>
        <v/>
      </c>
      <c r="D34" s="31">
        <f>SUMIFS(INDEX(Données!$A:$Z,0,$J$10),INDEX(Données!$A:$Z,0,$J$6),$B34,INDEX(Données!$A:$Z,0,$J$8),$C$5,INDEX(Données!$A:$Z,0,$J$9),$C$6)</f>
        <v/>
      </c>
      <c r="E34" s="31">
        <f>SUMIFS(INDEX(Données!$A:$Z,0,$J$11),INDEX(Données!$A:$Z,0,$J$6),$B34,INDEX(Données!$A:$Z,0,$J$8),$C$5,INDEX(Données!$A:$Z,0,$J$9),$C$6)</f>
        <v/>
      </c>
      <c r="F34" s="32">
        <f>E34-D34</f>
        <v/>
      </c>
      <c r="G34" s="33">
        <f>IF(D34=0,0,F34/D34)</f>
        <v/>
      </c>
      <c r="H34" s="34" t="n"/>
      <c r="I34" s="1" t="n"/>
      <c r="J34" s="1" t="n"/>
      <c r="K34" s="1" t="n"/>
      <c r="L34" s="1" t="n"/>
    </row>
    <row r="35" ht="17" customHeight="1">
      <c r="A35" s="1" t="n"/>
      <c r="B35" s="30" t="inlineStr">
        <is>
          <t>MBWAY_PAR</t>
        </is>
      </c>
      <c r="C35" s="41">
        <f>IF(ISERROR(FIND("_",$B35)),$B35,LEFT($B35,FIND("_",$B35)-1))</f>
        <v/>
      </c>
      <c r="D35" s="31">
        <f>SUMIFS(INDEX(Données!$A:$Z,0,$J$10),INDEX(Données!$A:$Z,0,$J$6),$B35,INDEX(Données!$A:$Z,0,$J$8),$C$5,INDEX(Données!$A:$Z,0,$J$9),$C$6)</f>
        <v/>
      </c>
      <c r="E35" s="31">
        <f>SUMIFS(INDEX(Données!$A:$Z,0,$J$11),INDEX(Données!$A:$Z,0,$J$6),$B35,INDEX(Données!$A:$Z,0,$J$8),$C$5,INDEX(Données!$A:$Z,0,$J$9),$C$6)</f>
        <v/>
      </c>
      <c r="F35" s="32">
        <f>E35-D35</f>
        <v/>
      </c>
      <c r="G35" s="33">
        <f>IF(D35=0,0,F35/D35)</f>
        <v/>
      </c>
      <c r="H35" s="34" t="n"/>
      <c r="I35" s="1" t="n"/>
      <c r="J35" s="1" t="n"/>
      <c r="K35" s="1" t="n"/>
      <c r="L35" s="1" t="n"/>
    </row>
    <row r="36" ht="17" customHeight="1">
      <c r="A36" s="1" t="n"/>
      <c r="B36" s="30" t="inlineStr">
        <is>
          <t>PIGIER_BOR</t>
        </is>
      </c>
      <c r="C36" s="41">
        <f>IF(ISERROR(FIND("_",$B36)),$B36,LEFT($B36,FIND("_",$B36)-1))</f>
        <v/>
      </c>
      <c r="D36" s="31">
        <f>SUMIFS(INDEX(Données!$A:$Z,0,$J$10),INDEX(Données!$A:$Z,0,$J$6),$B36,INDEX(Données!$A:$Z,0,$J$8),$C$5,INDEX(Données!$A:$Z,0,$J$9),$C$6)</f>
        <v/>
      </c>
      <c r="E36" s="31">
        <f>SUMIFS(INDEX(Données!$A:$Z,0,$J$11),INDEX(Données!$A:$Z,0,$J$6),$B36,INDEX(Données!$A:$Z,0,$J$8),$C$5,INDEX(Données!$A:$Z,0,$J$9),$C$6)</f>
        <v/>
      </c>
      <c r="F36" s="32">
        <f>E36-D36</f>
        <v/>
      </c>
      <c r="G36" s="33">
        <f>IF(D36=0,0,F36/D36)</f>
        <v/>
      </c>
      <c r="H36" s="34" t="n"/>
      <c r="I36" s="1" t="n"/>
      <c r="J36" s="1" t="n"/>
      <c r="K36" s="1" t="n"/>
      <c r="L36" s="1" t="n"/>
    </row>
    <row r="37" ht="17" customHeight="1">
      <c r="A37" s="1" t="n"/>
      <c r="B37" s="30" t="inlineStr">
        <is>
          <t>PIGIER_LYO</t>
        </is>
      </c>
      <c r="C37" s="41">
        <f>IF(ISERROR(FIND("_",$B37)),$B37,LEFT($B37,FIND("_",$B37)-1))</f>
        <v/>
      </c>
      <c r="D37" s="31">
        <f>SUMIFS(INDEX(Données!$A:$Z,0,$J$10),INDEX(Données!$A:$Z,0,$J$6),$B37,INDEX(Données!$A:$Z,0,$J$8),$C$5,INDEX(Données!$A:$Z,0,$J$9),$C$6)</f>
        <v/>
      </c>
      <c r="E37" s="31">
        <f>SUMIFS(INDEX(Données!$A:$Z,0,$J$11),INDEX(Données!$A:$Z,0,$J$6),$B37,INDEX(Données!$A:$Z,0,$J$8),$C$5,INDEX(Données!$A:$Z,0,$J$9),$C$6)</f>
        <v/>
      </c>
      <c r="F37" s="32">
        <f>E37-D37</f>
        <v/>
      </c>
      <c r="G37" s="33">
        <f>IF(D37=0,0,F37/D37)</f>
        <v/>
      </c>
      <c r="H37" s="34" t="n"/>
      <c r="I37" s="1" t="n"/>
      <c r="J37" s="1" t="n"/>
      <c r="K37" s="1" t="n"/>
      <c r="L37" s="1" t="n"/>
    </row>
    <row r="38" ht="17" customHeight="1">
      <c r="A38" s="1" t="n"/>
      <c r="B38" s="30" t="inlineStr">
        <is>
          <t>TUNON_LYO</t>
        </is>
      </c>
      <c r="C38" s="41">
        <f>IF(ISERROR(FIND("_",$B38)),$B38,LEFT($B38,FIND("_",$B38)-1))</f>
        <v/>
      </c>
      <c r="D38" s="31">
        <f>SUMIFS(INDEX(Données!$A:$Z,0,$J$10),INDEX(Données!$A:$Z,0,$J$6),$B38,INDEX(Données!$A:$Z,0,$J$8),$C$5,INDEX(Données!$A:$Z,0,$J$9),$C$6)</f>
        <v/>
      </c>
      <c r="E38" s="31">
        <f>SUMIFS(INDEX(Données!$A:$Z,0,$J$11),INDEX(Données!$A:$Z,0,$J$6),$B38,INDEX(Données!$A:$Z,0,$J$8),$C$5,INDEX(Données!$A:$Z,0,$J$9),$C$6)</f>
        <v/>
      </c>
      <c r="F38" s="32">
        <f>E38-D38</f>
        <v/>
      </c>
      <c r="G38" s="33">
        <f>IF(D38=0,0,F38/D38)</f>
        <v/>
      </c>
      <c r="H38" s="34" t="n"/>
      <c r="I38" s="1" t="n"/>
      <c r="J38" s="1" t="n"/>
      <c r="K38" s="1" t="n"/>
      <c r="L38" s="1" t="n"/>
    </row>
    <row r="39" ht="17" customHeight="1">
      <c r="A39" s="1" t="n"/>
      <c r="B39" s="30" t="inlineStr">
        <is>
          <t>TUNON_PAR</t>
        </is>
      </c>
      <c r="C39" s="41">
        <f>IF(ISERROR(FIND("_",$B39)),$B39,LEFT($B39,FIND("_",$B39)-1))</f>
        <v/>
      </c>
      <c r="D39" s="31">
        <f>SUMIFS(INDEX(Données!$A:$Z,0,$J$10),INDEX(Données!$A:$Z,0,$J$6),$B39,INDEX(Données!$A:$Z,0,$J$8),$C$5,INDEX(Données!$A:$Z,0,$J$9),$C$6)</f>
        <v/>
      </c>
      <c r="E39" s="31">
        <f>SUMIFS(INDEX(Données!$A:$Z,0,$J$11),INDEX(Données!$A:$Z,0,$J$6),$B39,INDEX(Données!$A:$Z,0,$J$8),$C$5,INDEX(Données!$A:$Z,0,$J$9),$C$6)</f>
        <v/>
      </c>
      <c r="F39" s="32">
        <f>E39-D39</f>
        <v/>
      </c>
      <c r="G39" s="33">
        <f>IF(D39=0,0,F39/D39)</f>
        <v/>
      </c>
      <c r="H39" s="34" t="n"/>
      <c r="I39" s="1" t="n"/>
      <c r="J39" s="1" t="n"/>
      <c r="K39" s="1" t="n"/>
      <c r="L39" s="1" t="n"/>
    </row>
    <row r="40" ht="17" customHeight="1">
      <c r="A40" s="1" t="n"/>
      <c r="B40" s="35" t="inlineStr">
        <is>
          <t>Hors liste</t>
        </is>
      </c>
      <c r="C40" s="34" t="n"/>
      <c r="D40" s="31">
        <f>SUMIFS(INDEX(Données!$A:$Z,0,$J$10),INDEX(Données!$A:$Z,0,$J$8),$C$5,INDEX(Données!$A:$Z,0,$J$9),$C$6)-SUM($D$26:$D$39)</f>
        <v/>
      </c>
      <c r="E40" s="31">
        <f>SUMIFS(INDEX(Données!$A:$Z,0,$J$11),INDEX(Données!$A:$Z,0,$J$8),$C$5,INDEX(Données!$A:$Z,0,$J$9),$C$6)-SUM($E$26:$E$39)</f>
        <v/>
      </c>
      <c r="F40" s="32">
        <f>E40-D40</f>
        <v/>
      </c>
      <c r="G40" s="34" t="n"/>
      <c r="H40" s="34" t="n"/>
      <c r="I40" s="1" t="n"/>
      <c r="J40" s="1" t="n"/>
      <c r="K40" s="1" t="n"/>
      <c r="L40" s="1" t="n"/>
    </row>
    <row r="41" ht="19" customHeight="1">
      <c r="A41" s="1" t="n"/>
      <c r="B41" s="36" t="inlineStr">
        <is>
          <t>Total</t>
        </is>
      </c>
      <c r="C41" s="40" t="n"/>
      <c r="D41" s="37">
        <f>SUM($D$26:$D$40)</f>
        <v/>
      </c>
      <c r="E41" s="37">
        <f>SUM($E$26:$E$40)</f>
        <v/>
      </c>
      <c r="F41" s="38">
        <f>E41-D41</f>
        <v/>
      </c>
      <c r="G41" s="39">
        <f>IF(D41=0,0,F41/D41)</f>
        <v/>
      </c>
      <c r="H41" s="40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8" t="inlineStr">
        <is>
          <t>CA CRM = effectifs x tarif + nouveaux x frais d'inscription (socle, ou moteur pour 2027). CA Comptabilité = comptes 706 + 7062 + 708.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</sheetData>
  <conditionalFormatting sqref="E15:E21">
    <cfRule type="expression" priority="1" dxfId="0">
      <formula>ABS(E15)&gt;1</formula>
    </cfRule>
  </conditionalFormatting>
  <conditionalFormatting sqref="F26:F41">
    <cfRule type="expression" priority="2" dxfId="0">
      <formula>ABS(F26)&gt;1</formula>
    </cfRule>
  </conditionalFormatting>
  <dataValidations count="2">
    <dataValidation sqref="C5" showDropDown="0" showInputMessage="0" showErrorMessage="0" allowBlank="0" type="list">
      <formula1>"2024,2025,2026,2027"</formula1>
    </dataValidation>
    <dataValidation sqref="C6" showDropDown="0" showInputMessage="0" showErrorMessage="0" allowBlank="0" type="list">
      <formula1>"ACT,V01,V02,V03"</formula1>
    </dataValidation>
  </dataValidations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6" customWidth="1" min="5" max="5"/>
    <col width="18" customWidth="1" min="6" max="6"/>
    <col width="15" customWidth="1" min="7" max="7"/>
  </cols>
  <sheetData>
    <row r="1">
      <c r="A1" s="42" t="inlineStr">
        <is>
          <t>Entity</t>
        </is>
      </c>
      <c r="B1" s="42" t="inlineStr">
        <is>
          <t>Marque</t>
        </is>
      </c>
      <c r="C1" s="42" t="inlineStr">
        <is>
          <t>Exercice</t>
        </is>
      </c>
      <c r="D1" s="42" t="inlineStr">
        <is>
          <t>Version</t>
        </is>
      </c>
      <c r="E1" s="43" t="inlineStr">
        <is>
          <t>CA CRM</t>
        </is>
      </c>
      <c r="F1" s="43" t="inlineStr">
        <is>
          <t>CA Compta</t>
        </is>
      </c>
      <c r="G1" s="43" t="inlineStr">
        <is>
          <t>Ecart</t>
        </is>
      </c>
    </row>
    <row r="2">
      <c r="A2" s="44" t="inlineStr">
        <is>
          <t>IPAC_MTP</t>
        </is>
      </c>
      <c r="B2" s="44" t="inlineStr">
        <is>
          <t>IPAC</t>
        </is>
      </c>
      <c r="C2" s="45" t="inlineStr">
        <is>
          <t>2024</t>
        </is>
      </c>
      <c r="D2" s="45" t="inlineStr">
        <is>
          <t>ACT</t>
        </is>
      </c>
      <c r="E2" s="31" t="n">
        <v>701490</v>
      </c>
      <c r="F2" s="31" t="n">
        <v>701490</v>
      </c>
      <c r="G2" s="32">
        <f>F2-E2</f>
        <v/>
      </c>
    </row>
    <row r="3">
      <c r="A3" s="44" t="inlineStr">
        <is>
          <t>IPAC_NAN</t>
        </is>
      </c>
      <c r="B3" s="44" t="inlineStr">
        <is>
          <t>IPAC</t>
        </is>
      </c>
      <c r="C3" s="45" t="inlineStr">
        <is>
          <t>2024</t>
        </is>
      </c>
      <c r="D3" s="45" t="inlineStr">
        <is>
          <t>ACT</t>
        </is>
      </c>
      <c r="E3" s="31" t="n">
        <v>906960</v>
      </c>
      <c r="F3" s="31" t="n">
        <v>906960</v>
      </c>
      <c r="G3" s="32">
        <f>F3-E3</f>
        <v/>
      </c>
    </row>
    <row r="4">
      <c r="A4" s="44" t="inlineStr">
        <is>
          <t>IPAC_REN</t>
        </is>
      </c>
      <c r="B4" s="44" t="inlineStr">
        <is>
          <t>IPAC</t>
        </is>
      </c>
      <c r="C4" s="45" t="inlineStr">
        <is>
          <t>2024</t>
        </is>
      </c>
      <c r="D4" s="45" t="inlineStr">
        <is>
          <t>ACT</t>
        </is>
      </c>
      <c r="E4" s="31" t="n">
        <v>701490</v>
      </c>
      <c r="F4" s="31" t="n">
        <v>701490</v>
      </c>
      <c r="G4" s="32">
        <f>F4-E4</f>
        <v/>
      </c>
    </row>
    <row r="5">
      <c r="A5" s="44" t="inlineStr">
        <is>
          <t>ISCOM_LIL</t>
        </is>
      </c>
      <c r="B5" s="44" t="inlineStr">
        <is>
          <t>ISCOM</t>
        </is>
      </c>
      <c r="C5" s="45" t="inlineStr">
        <is>
          <t>2024</t>
        </is>
      </c>
      <c r="D5" s="45" t="inlineStr">
        <is>
          <t>ACT</t>
        </is>
      </c>
      <c r="E5" s="31" t="n">
        <v>1561220</v>
      </c>
      <c r="F5" s="31" t="n">
        <v>1561220</v>
      </c>
      <c r="G5" s="32">
        <f>F5-E5</f>
        <v/>
      </c>
    </row>
    <row r="6">
      <c r="A6" s="44" t="inlineStr">
        <is>
          <t>ISCOM_PAR</t>
        </is>
      </c>
      <c r="B6" s="44" t="inlineStr">
        <is>
          <t>ISCOM</t>
        </is>
      </c>
      <c r="C6" s="45" t="inlineStr">
        <is>
          <t>2024</t>
        </is>
      </c>
      <c r="D6" s="45" t="inlineStr">
        <is>
          <t>ACT</t>
        </is>
      </c>
      <c r="E6" s="31" t="n">
        <v>2580240</v>
      </c>
      <c r="F6" s="31" t="n">
        <v>2580240</v>
      </c>
      <c r="G6" s="32">
        <f>F6-E6</f>
        <v/>
      </c>
    </row>
    <row r="7">
      <c r="A7" s="44" t="inlineStr">
        <is>
          <t>ISCOM_TLS</t>
        </is>
      </c>
      <c r="B7" s="44" t="inlineStr">
        <is>
          <t>ISCOM</t>
        </is>
      </c>
      <c r="C7" s="45" t="inlineStr">
        <is>
          <t>2024</t>
        </is>
      </c>
      <c r="D7" s="45" t="inlineStr">
        <is>
          <t>ACT</t>
        </is>
      </c>
      <c r="E7" s="31" t="n">
        <v>1451880</v>
      </c>
      <c r="F7" s="31" t="n">
        <v>1451880</v>
      </c>
      <c r="G7" s="32">
        <f>F7-E7</f>
        <v/>
      </c>
    </row>
    <row r="8">
      <c r="A8" s="44" t="inlineStr">
        <is>
          <t>MBWAY_BOR</t>
        </is>
      </c>
      <c r="B8" s="44" t="inlineStr">
        <is>
          <t>MBWAY</t>
        </is>
      </c>
      <c r="C8" s="45" t="inlineStr">
        <is>
          <t>2024</t>
        </is>
      </c>
      <c r="D8" s="45" t="inlineStr">
        <is>
          <t>ACT</t>
        </is>
      </c>
      <c r="E8" s="31" t="n">
        <v>1573680</v>
      </c>
      <c r="F8" s="31" t="n">
        <v>1573680</v>
      </c>
      <c r="G8" s="32">
        <f>F8-E8</f>
        <v/>
      </c>
    </row>
    <row r="9">
      <c r="A9" s="44" t="inlineStr">
        <is>
          <t>MBWAY_LYO</t>
        </is>
      </c>
      <c r="B9" s="44" t="inlineStr">
        <is>
          <t>MBWAY</t>
        </is>
      </c>
      <c r="C9" s="45" t="inlineStr">
        <is>
          <t>2024</t>
        </is>
      </c>
      <c r="D9" s="45" t="inlineStr">
        <is>
          <t>ACT</t>
        </is>
      </c>
      <c r="E9" s="31" t="n">
        <v>2227170</v>
      </c>
      <c r="F9" s="31" t="n">
        <v>2227170</v>
      </c>
      <c r="G9" s="32">
        <f>F9-E9</f>
        <v/>
      </c>
    </row>
    <row r="10">
      <c r="A10" s="44" t="inlineStr">
        <is>
          <t>MBWAY_NAN</t>
        </is>
      </c>
      <c r="B10" s="44" t="inlineStr">
        <is>
          <t>MBWAY</t>
        </is>
      </c>
      <c r="C10" s="45" t="inlineStr">
        <is>
          <t>2024</t>
        </is>
      </c>
      <c r="D10" s="45" t="inlineStr">
        <is>
          <t>ACT</t>
        </is>
      </c>
      <c r="E10" s="31" t="n">
        <v>1923040</v>
      </c>
      <c r="F10" s="31" t="n">
        <v>1923040</v>
      </c>
      <c r="G10" s="32">
        <f>F10-E10</f>
        <v/>
      </c>
    </row>
    <row r="11">
      <c r="A11" s="44" t="inlineStr">
        <is>
          <t>MBWAY_PAR</t>
        </is>
      </c>
      <c r="B11" s="44" t="inlineStr">
        <is>
          <t>MBWAY</t>
        </is>
      </c>
      <c r="C11" s="45" t="inlineStr">
        <is>
          <t>2024</t>
        </is>
      </c>
      <c r="D11" s="45" t="inlineStr">
        <is>
          <t>ACT</t>
        </is>
      </c>
      <c r="E11" s="31" t="n">
        <v>2793380</v>
      </c>
      <c r="F11" s="31" t="n">
        <v>2793380</v>
      </c>
      <c r="G11" s="32">
        <f>F11-E11</f>
        <v/>
      </c>
    </row>
    <row r="12">
      <c r="A12" s="44" t="inlineStr">
        <is>
          <t>PIGIER_BOR</t>
        </is>
      </c>
      <c r="B12" s="44" t="inlineStr">
        <is>
          <t>PIGIER</t>
        </is>
      </c>
      <c r="C12" s="45" t="inlineStr">
        <is>
          <t>2024</t>
        </is>
      </c>
      <c r="D12" s="45" t="inlineStr">
        <is>
          <t>ACT</t>
        </is>
      </c>
      <c r="E12" s="31" t="n">
        <v>1003890</v>
      </c>
      <c r="F12" s="31" t="n">
        <v>1003890</v>
      </c>
      <c r="G12" s="32">
        <f>F12-E12</f>
        <v/>
      </c>
    </row>
    <row r="13">
      <c r="A13" s="44" t="inlineStr">
        <is>
          <t>PIGIER_LYO</t>
        </is>
      </c>
      <c r="B13" s="44" t="inlineStr">
        <is>
          <t>PIGIER</t>
        </is>
      </c>
      <c r="C13" s="45" t="inlineStr">
        <is>
          <t>2024</t>
        </is>
      </c>
      <c r="D13" s="45" t="inlineStr">
        <is>
          <t>ACT</t>
        </is>
      </c>
      <c r="E13" s="31" t="n">
        <v>1399680</v>
      </c>
      <c r="F13" s="31" t="n">
        <v>1399680</v>
      </c>
      <c r="G13" s="32">
        <f>F13-E13</f>
        <v/>
      </c>
    </row>
    <row r="14">
      <c r="A14" s="44" t="inlineStr">
        <is>
          <t>TUNON_LYO</t>
        </is>
      </c>
      <c r="B14" s="44" t="inlineStr">
        <is>
          <t>TUNON</t>
        </is>
      </c>
      <c r="C14" s="45" t="inlineStr">
        <is>
          <t>2024</t>
        </is>
      </c>
      <c r="D14" s="45" t="inlineStr">
        <is>
          <t>ACT</t>
        </is>
      </c>
      <c r="E14" s="31" t="n">
        <v>774990</v>
      </c>
      <c r="F14" s="31" t="n">
        <v>774990</v>
      </c>
      <c r="G14" s="32">
        <f>F14-E14</f>
        <v/>
      </c>
    </row>
    <row r="15">
      <c r="A15" s="44" t="inlineStr">
        <is>
          <t>TUNON_PAR</t>
        </is>
      </c>
      <c r="B15" s="44" t="inlineStr">
        <is>
          <t>TUNON</t>
        </is>
      </c>
      <c r="C15" s="45" t="inlineStr">
        <is>
          <t>2024</t>
        </is>
      </c>
      <c r="D15" s="45" t="inlineStr">
        <is>
          <t>ACT</t>
        </is>
      </c>
      <c r="E15" s="31" t="n">
        <v>968100</v>
      </c>
      <c r="F15" s="31" t="n">
        <v>968100</v>
      </c>
      <c r="G15" s="32">
        <f>F15-E15</f>
        <v/>
      </c>
    </row>
    <row r="16">
      <c r="A16" s="44" t="inlineStr">
        <is>
          <t>IPAC_MTP</t>
        </is>
      </c>
      <c r="B16" s="44" t="inlineStr">
        <is>
          <t>IPAC</t>
        </is>
      </c>
      <c r="C16" s="45" t="inlineStr">
        <is>
          <t>2025</t>
        </is>
      </c>
      <c r="D16" s="45" t="inlineStr">
        <is>
          <t>ACT</t>
        </is>
      </c>
      <c r="E16" s="31" t="n">
        <v>741570</v>
      </c>
      <c r="F16" s="31" t="n">
        <v>741570</v>
      </c>
      <c r="G16" s="32">
        <f>F16-E16</f>
        <v/>
      </c>
    </row>
    <row r="17">
      <c r="A17" s="44" t="inlineStr">
        <is>
          <t>IPAC_NAN</t>
        </is>
      </c>
      <c r="B17" s="44" t="inlineStr">
        <is>
          <t>IPAC</t>
        </is>
      </c>
      <c r="C17" s="45" t="inlineStr">
        <is>
          <t>2025</t>
        </is>
      </c>
      <c r="D17" s="45" t="inlineStr">
        <is>
          <t>ACT</t>
        </is>
      </c>
      <c r="E17" s="31" t="n">
        <v>956230</v>
      </c>
      <c r="F17" s="31" t="n">
        <v>956230</v>
      </c>
      <c r="G17" s="32">
        <f>F17-E17</f>
        <v/>
      </c>
    </row>
    <row r="18">
      <c r="A18" s="44" t="inlineStr">
        <is>
          <t>IPAC_REN</t>
        </is>
      </c>
      <c r="B18" s="44" t="inlineStr">
        <is>
          <t>IPAC</t>
        </is>
      </c>
      <c r="C18" s="45" t="inlineStr">
        <is>
          <t>2025</t>
        </is>
      </c>
      <c r="D18" s="45" t="inlineStr">
        <is>
          <t>ACT</t>
        </is>
      </c>
      <c r="E18" s="31" t="n">
        <v>741570</v>
      </c>
      <c r="F18" s="31" t="n">
        <v>741570</v>
      </c>
      <c r="G18" s="32">
        <f>F18-E18</f>
        <v/>
      </c>
    </row>
    <row r="19">
      <c r="A19" s="44" t="inlineStr">
        <is>
          <t>ISCOM_LIL</t>
        </is>
      </c>
      <c r="B19" s="44" t="inlineStr">
        <is>
          <t>ISCOM</t>
        </is>
      </c>
      <c r="C19" s="45" t="inlineStr">
        <is>
          <t>2025</t>
        </is>
      </c>
      <c r="D19" s="45" t="inlineStr">
        <is>
          <t>ACT</t>
        </is>
      </c>
      <c r="E19" s="31" t="n">
        <v>1648000</v>
      </c>
      <c r="F19" s="31" t="n">
        <v>1648000</v>
      </c>
      <c r="G19" s="32">
        <f>F19-E19</f>
        <v/>
      </c>
    </row>
    <row r="20">
      <c r="A20" s="44" t="inlineStr">
        <is>
          <t>ISCOM_PAR</t>
        </is>
      </c>
      <c r="B20" s="44" t="inlineStr">
        <is>
          <t>ISCOM</t>
        </is>
      </c>
      <c r="C20" s="45" t="inlineStr">
        <is>
          <t>2025</t>
        </is>
      </c>
      <c r="D20" s="45" t="inlineStr">
        <is>
          <t>ACT</t>
        </is>
      </c>
      <c r="E20" s="31" t="n">
        <v>2744480</v>
      </c>
      <c r="F20" s="31" t="n">
        <v>2744480</v>
      </c>
      <c r="G20" s="32">
        <f>F20-E20</f>
        <v/>
      </c>
    </row>
    <row r="21">
      <c r="A21" s="44" t="inlineStr">
        <is>
          <t>ISCOM_TLS</t>
        </is>
      </c>
      <c r="B21" s="44" t="inlineStr">
        <is>
          <t>ISCOM</t>
        </is>
      </c>
      <c r="C21" s="45" t="inlineStr">
        <is>
          <t>2025</t>
        </is>
      </c>
      <c r="D21" s="45" t="inlineStr">
        <is>
          <t>ACT</t>
        </is>
      </c>
      <c r="E21" s="31" t="n">
        <v>1522320</v>
      </c>
      <c r="F21" s="31" t="n">
        <v>1522320</v>
      </c>
      <c r="G21" s="32">
        <f>F21-E21</f>
        <v/>
      </c>
    </row>
    <row r="22">
      <c r="A22" s="44" t="inlineStr">
        <is>
          <t>MBWAY_BOR</t>
        </is>
      </c>
      <c r="B22" s="44" t="inlineStr">
        <is>
          <t>MBWAY</t>
        </is>
      </c>
      <c r="C22" s="45" t="inlineStr">
        <is>
          <t>2025</t>
        </is>
      </c>
      <c r="D22" s="45" t="inlineStr">
        <is>
          <t>ACT</t>
        </is>
      </c>
      <c r="E22" s="31" t="n">
        <v>1666855</v>
      </c>
      <c r="F22" s="31" t="n">
        <v>1666855</v>
      </c>
      <c r="G22" s="32">
        <f>F22-E22</f>
        <v/>
      </c>
    </row>
    <row r="23">
      <c r="A23" s="44" t="inlineStr">
        <is>
          <t>MBWAY_LYO</t>
        </is>
      </c>
      <c r="B23" s="44" t="inlineStr">
        <is>
          <t>MBWAY</t>
        </is>
      </c>
      <c r="C23" s="45" t="inlineStr">
        <is>
          <t>2025</t>
        </is>
      </c>
      <c r="D23" s="45" t="inlineStr">
        <is>
          <t>ACT</t>
        </is>
      </c>
      <c r="E23" s="31" t="n">
        <v>2342685</v>
      </c>
      <c r="F23" s="31" t="n">
        <v>2342685</v>
      </c>
      <c r="G23" s="32">
        <f>F23-E23</f>
        <v/>
      </c>
    </row>
    <row r="24">
      <c r="A24" s="44" t="inlineStr">
        <is>
          <t>MBWAY_NAN</t>
        </is>
      </c>
      <c r="B24" s="44" t="inlineStr">
        <is>
          <t>MBWAY</t>
        </is>
      </c>
      <c r="C24" s="45" t="inlineStr">
        <is>
          <t>2025</t>
        </is>
      </c>
      <c r="D24" s="45" t="inlineStr">
        <is>
          <t>ACT</t>
        </is>
      </c>
      <c r="E24" s="31" t="n">
        <v>2048260</v>
      </c>
      <c r="F24" s="31" t="n">
        <v>2048260</v>
      </c>
      <c r="G24" s="32">
        <f>F24-E24</f>
        <v/>
      </c>
    </row>
    <row r="25">
      <c r="A25" s="44" t="inlineStr">
        <is>
          <t>MBWAY_PAR</t>
        </is>
      </c>
      <c r="B25" s="44" t="inlineStr">
        <is>
          <t>MBWAY</t>
        </is>
      </c>
      <c r="C25" s="45" t="inlineStr">
        <is>
          <t>2025</t>
        </is>
      </c>
      <c r="D25" s="45" t="inlineStr">
        <is>
          <t>ACT</t>
        </is>
      </c>
      <c r="E25" s="31" t="n">
        <v>2974600</v>
      </c>
      <c r="F25" s="31" t="n">
        <v>2974600</v>
      </c>
      <c r="G25" s="32">
        <f>F25-E25</f>
        <v/>
      </c>
    </row>
    <row r="26">
      <c r="A26" s="44" t="inlineStr">
        <is>
          <t>PIGIER_BOR</t>
        </is>
      </c>
      <c r="B26" s="44" t="inlineStr">
        <is>
          <t>PIGIER</t>
        </is>
      </c>
      <c r="C26" s="45" t="inlineStr">
        <is>
          <t>2025</t>
        </is>
      </c>
      <c r="D26" s="45" t="inlineStr">
        <is>
          <t>ACT</t>
        </is>
      </c>
      <c r="E26" s="31" t="n">
        <v>1068270</v>
      </c>
      <c r="F26" s="31" t="n">
        <v>1068270</v>
      </c>
      <c r="G26" s="32">
        <f>F26-E26</f>
        <v/>
      </c>
    </row>
    <row r="27">
      <c r="A27" s="44" t="inlineStr">
        <is>
          <t>PIGIER_LYO</t>
        </is>
      </c>
      <c r="B27" s="44" t="inlineStr">
        <is>
          <t>PIGIER</t>
        </is>
      </c>
      <c r="C27" s="45" t="inlineStr">
        <is>
          <t>2025</t>
        </is>
      </c>
      <c r="D27" s="45" t="inlineStr">
        <is>
          <t>ACT</t>
        </is>
      </c>
      <c r="E27" s="31" t="n">
        <v>1469340</v>
      </c>
      <c r="F27" s="31" t="n">
        <v>1469340</v>
      </c>
      <c r="G27" s="32">
        <f>F27-E27</f>
        <v/>
      </c>
    </row>
    <row r="28">
      <c r="A28" s="44" t="inlineStr">
        <is>
          <t>TUNON_LYO</t>
        </is>
      </c>
      <c r="B28" s="44" t="inlineStr">
        <is>
          <t>TUNON</t>
        </is>
      </c>
      <c r="C28" s="45" t="inlineStr">
        <is>
          <t>2025</t>
        </is>
      </c>
      <c r="D28" s="45" t="inlineStr">
        <is>
          <t>ACT</t>
        </is>
      </c>
      <c r="E28" s="31" t="n">
        <v>819270</v>
      </c>
      <c r="F28" s="31" t="n">
        <v>819270</v>
      </c>
      <c r="G28" s="32">
        <f>F28-E28</f>
        <v/>
      </c>
    </row>
    <row r="29">
      <c r="A29" s="44" t="inlineStr">
        <is>
          <t>TUNON_PAR</t>
        </is>
      </c>
      <c r="B29" s="44" t="inlineStr">
        <is>
          <t>TUNON</t>
        </is>
      </c>
      <c r="C29" s="45" t="inlineStr">
        <is>
          <t>2025</t>
        </is>
      </c>
      <c r="D29" s="45" t="inlineStr">
        <is>
          <t>ACT</t>
        </is>
      </c>
      <c r="E29" s="31" t="n">
        <v>1015320</v>
      </c>
      <c r="F29" s="31" t="n">
        <v>1015320</v>
      </c>
      <c r="G29" s="32">
        <f>F29-E29</f>
        <v/>
      </c>
    </row>
    <row r="30">
      <c r="A30" s="44" t="inlineStr">
        <is>
          <t>IPAC_MTP</t>
        </is>
      </c>
      <c r="B30" s="44" t="inlineStr">
        <is>
          <t>IPAC</t>
        </is>
      </c>
      <c r="C30" s="45" t="inlineStr">
        <is>
          <t>2026</t>
        </is>
      </c>
      <c r="D30" s="45" t="inlineStr">
        <is>
          <t>ACT</t>
        </is>
      </c>
      <c r="E30" s="31" t="n">
        <v>781650</v>
      </c>
      <c r="F30" s="31" t="n">
        <v>781650</v>
      </c>
      <c r="G30" s="32">
        <f>F30-E30</f>
        <v/>
      </c>
    </row>
    <row r="31">
      <c r="A31" s="44" t="inlineStr">
        <is>
          <t>IPAC_NAN</t>
        </is>
      </c>
      <c r="B31" s="44" t="inlineStr">
        <is>
          <t>IPAC</t>
        </is>
      </c>
      <c r="C31" s="45" t="inlineStr">
        <is>
          <t>2026</t>
        </is>
      </c>
      <c r="D31" s="45" t="inlineStr">
        <is>
          <t>ACT</t>
        </is>
      </c>
      <c r="E31" s="31" t="n">
        <v>1019500</v>
      </c>
      <c r="F31" s="31" t="n">
        <v>1019500</v>
      </c>
      <c r="G31" s="32">
        <f>F31-E31</f>
        <v/>
      </c>
    </row>
    <row r="32">
      <c r="A32" s="44" t="inlineStr">
        <is>
          <t>IPAC_REN</t>
        </is>
      </c>
      <c r="B32" s="44" t="inlineStr">
        <is>
          <t>IPAC</t>
        </is>
      </c>
      <c r="C32" s="45" t="inlineStr">
        <is>
          <t>2026</t>
        </is>
      </c>
      <c r="D32" s="45" t="inlineStr">
        <is>
          <t>ACT</t>
        </is>
      </c>
      <c r="E32" s="31" t="n">
        <v>781650</v>
      </c>
      <c r="F32" s="31" t="n">
        <v>781650</v>
      </c>
      <c r="G32" s="32">
        <f>F32-E32</f>
        <v/>
      </c>
    </row>
    <row r="33">
      <c r="A33" s="44" t="inlineStr">
        <is>
          <t>ISCOM_LIL</t>
        </is>
      </c>
      <c r="B33" s="44" t="inlineStr">
        <is>
          <t>ISCOM</t>
        </is>
      </c>
      <c r="C33" s="45" t="inlineStr">
        <is>
          <t>2026</t>
        </is>
      </c>
      <c r="D33" s="45" t="inlineStr">
        <is>
          <t>ACT</t>
        </is>
      </c>
      <c r="E33" s="31" t="n">
        <v>1755850</v>
      </c>
      <c r="F33" s="31" t="n">
        <v>1755850</v>
      </c>
      <c r="G33" s="32">
        <f>F33-E33</f>
        <v/>
      </c>
    </row>
    <row r="34">
      <c r="A34" s="44" t="inlineStr">
        <is>
          <t>ISCOM_PAR</t>
        </is>
      </c>
      <c r="B34" s="44" t="inlineStr">
        <is>
          <t>ISCOM</t>
        </is>
      </c>
      <c r="C34" s="45" t="inlineStr">
        <is>
          <t>2026</t>
        </is>
      </c>
      <c r="D34" s="45" t="inlineStr">
        <is>
          <t>ACT</t>
        </is>
      </c>
      <c r="E34" s="31" t="n">
        <v>2908720</v>
      </c>
      <c r="F34" s="31" t="n">
        <v>2908720</v>
      </c>
      <c r="G34" s="32">
        <f>F34-E34</f>
        <v/>
      </c>
    </row>
    <row r="35">
      <c r="A35" s="44" t="inlineStr">
        <is>
          <t>ISCOM_TLS</t>
        </is>
      </c>
      <c r="B35" s="44" t="inlineStr">
        <is>
          <t>ISCOM</t>
        </is>
      </c>
      <c r="C35" s="45" t="inlineStr">
        <is>
          <t>2026</t>
        </is>
      </c>
      <c r="D35" s="45" t="inlineStr">
        <is>
          <t>ACT</t>
        </is>
      </c>
      <c r="E35" s="31" t="n">
        <v>1627980</v>
      </c>
      <c r="F35" s="31" t="n">
        <v>1627980</v>
      </c>
      <c r="G35" s="32">
        <f>F35-E35</f>
        <v/>
      </c>
    </row>
    <row r="36">
      <c r="A36" s="44" t="inlineStr">
        <is>
          <t>MBWAY_BOR</t>
        </is>
      </c>
      <c r="B36" s="44" t="inlineStr">
        <is>
          <t>MBWAY</t>
        </is>
      </c>
      <c r="C36" s="45" t="inlineStr">
        <is>
          <t>2026</t>
        </is>
      </c>
      <c r="D36" s="45" t="inlineStr">
        <is>
          <t>ACT</t>
        </is>
      </c>
      <c r="E36" s="31" t="n">
        <v>1773610</v>
      </c>
      <c r="F36" s="31" t="n">
        <v>1773610</v>
      </c>
      <c r="G36" s="32">
        <f>F36-E36</f>
        <v/>
      </c>
    </row>
    <row r="37">
      <c r="A37" s="44" t="inlineStr">
        <is>
          <t>MBWAY_LYO</t>
        </is>
      </c>
      <c r="B37" s="44" t="inlineStr">
        <is>
          <t>MBWAY</t>
        </is>
      </c>
      <c r="C37" s="45" t="inlineStr">
        <is>
          <t>2026</t>
        </is>
      </c>
      <c r="D37" s="45" t="inlineStr">
        <is>
          <t>ACT</t>
        </is>
      </c>
      <c r="E37" s="31" t="n">
        <v>2496705</v>
      </c>
      <c r="F37" s="31" t="n">
        <v>2496705</v>
      </c>
      <c r="G37" s="32">
        <f>F37-E37</f>
        <v/>
      </c>
    </row>
    <row r="38">
      <c r="A38" s="44" t="inlineStr">
        <is>
          <t>MBWAY_NAN</t>
        </is>
      </c>
      <c r="B38" s="44" t="inlineStr">
        <is>
          <t>MBWAY</t>
        </is>
      </c>
      <c r="C38" s="45" t="inlineStr">
        <is>
          <t>2026</t>
        </is>
      </c>
      <c r="D38" s="45" t="inlineStr">
        <is>
          <t>ACT</t>
        </is>
      </c>
      <c r="E38" s="31" t="n">
        <v>2158300</v>
      </c>
      <c r="F38" s="31" t="n">
        <v>2158300</v>
      </c>
      <c r="G38" s="32">
        <f>F38-E38</f>
        <v/>
      </c>
    </row>
    <row r="39">
      <c r="A39" s="44" t="inlineStr">
        <is>
          <t>MBWAY_PAR</t>
        </is>
      </c>
      <c r="B39" s="44" t="inlineStr">
        <is>
          <t>MBWAY</t>
        </is>
      </c>
      <c r="C39" s="45" t="inlineStr">
        <is>
          <t>2026</t>
        </is>
      </c>
      <c r="D39" s="45" t="inlineStr">
        <is>
          <t>ACT</t>
        </is>
      </c>
      <c r="E39" s="31" t="n">
        <v>3138840</v>
      </c>
      <c r="F39" s="31" t="n">
        <v>3138840</v>
      </c>
      <c r="G39" s="32">
        <f>F39-E39</f>
        <v/>
      </c>
    </row>
    <row r="40">
      <c r="A40" s="44" t="inlineStr">
        <is>
          <t>PIGIER_BOR</t>
        </is>
      </c>
      <c r="B40" s="44" t="inlineStr">
        <is>
          <t>PIGIER</t>
        </is>
      </c>
      <c r="C40" s="45" t="inlineStr">
        <is>
          <t>2026</t>
        </is>
      </c>
      <c r="D40" s="45" t="inlineStr">
        <is>
          <t>ACT</t>
        </is>
      </c>
      <c r="E40" s="31" t="n">
        <v>1132650</v>
      </c>
      <c r="F40" s="31" t="n">
        <v>1132650</v>
      </c>
      <c r="G40" s="32">
        <f>F40-E40</f>
        <v/>
      </c>
    </row>
    <row r="41">
      <c r="A41" s="44" t="inlineStr">
        <is>
          <t>PIGIER_LYO</t>
        </is>
      </c>
      <c r="B41" s="44" t="inlineStr">
        <is>
          <t>PIGIER</t>
        </is>
      </c>
      <c r="C41" s="45" t="inlineStr">
        <is>
          <t>2026</t>
        </is>
      </c>
      <c r="D41" s="45" t="inlineStr">
        <is>
          <t>ACT</t>
        </is>
      </c>
      <c r="E41" s="31" t="n">
        <v>1573830</v>
      </c>
      <c r="F41" s="31" t="n">
        <v>1573830</v>
      </c>
      <c r="G41" s="32">
        <f>F41-E41</f>
        <v/>
      </c>
    </row>
    <row r="42">
      <c r="A42" s="44" t="inlineStr">
        <is>
          <t>TUNON_LYO</t>
        </is>
      </c>
      <c r="B42" s="44" t="inlineStr">
        <is>
          <t>TUNON</t>
        </is>
      </c>
      <c r="C42" s="45" t="inlineStr">
        <is>
          <t>2026</t>
        </is>
      </c>
      <c r="D42" s="45" t="inlineStr">
        <is>
          <t>ACT</t>
        </is>
      </c>
      <c r="E42" s="31" t="n">
        <v>863550</v>
      </c>
      <c r="F42" s="31" t="n">
        <v>863550</v>
      </c>
      <c r="G42" s="32">
        <f>F42-E42</f>
        <v/>
      </c>
    </row>
    <row r="43">
      <c r="A43" s="44" t="inlineStr">
        <is>
          <t>TUNON_PAR</t>
        </is>
      </c>
      <c r="B43" s="44" t="inlineStr">
        <is>
          <t>TUNON</t>
        </is>
      </c>
      <c r="C43" s="45" t="inlineStr">
        <is>
          <t>2026</t>
        </is>
      </c>
      <c r="D43" s="45" t="inlineStr">
        <is>
          <t>ACT</t>
        </is>
      </c>
      <c r="E43" s="31" t="n">
        <v>1086150</v>
      </c>
      <c r="F43" s="31" t="n">
        <v>1086150</v>
      </c>
      <c r="G43" s="32">
        <f>F43-E43</f>
        <v/>
      </c>
    </row>
    <row r="44">
      <c r="A44" s="44" t="inlineStr">
        <is>
          <t>IPAC_MTP</t>
        </is>
      </c>
      <c r="B44" s="44" t="inlineStr">
        <is>
          <t>IPAC</t>
        </is>
      </c>
      <c r="C44" s="45" t="inlineStr">
        <is>
          <t>2027</t>
        </is>
      </c>
      <c r="D44" s="45" t="inlineStr">
        <is>
          <t>V01</t>
        </is>
      </c>
      <c r="E44" s="31" t="n">
        <v>818445.73</v>
      </c>
      <c r="F44" s="31" t="n">
        <v>819979.77</v>
      </c>
      <c r="G44" s="32">
        <f>F44-E44</f>
        <v/>
      </c>
    </row>
    <row r="45">
      <c r="A45" s="44" t="inlineStr">
        <is>
          <t>IPAC_NAN</t>
        </is>
      </c>
      <c r="B45" s="44" t="inlineStr">
        <is>
          <t>IPAC</t>
        </is>
      </c>
      <c r="C45" s="45" t="inlineStr">
        <is>
          <t>2027</t>
        </is>
      </c>
      <c r="D45" s="45" t="inlineStr">
        <is>
          <t>V01</t>
        </is>
      </c>
      <c r="E45" s="31" t="n">
        <v>1067200.9</v>
      </c>
      <c r="F45" s="31" t="n">
        <v>1069493.22</v>
      </c>
      <c r="G45" s="32">
        <f>F45-E45</f>
        <v/>
      </c>
    </row>
    <row r="46">
      <c r="A46" s="44" t="inlineStr">
        <is>
          <t>IPAC_REN</t>
        </is>
      </c>
      <c r="B46" s="44" t="inlineStr">
        <is>
          <t>IPAC</t>
        </is>
      </c>
      <c r="C46" s="45" t="inlineStr">
        <is>
          <t>2027</t>
        </is>
      </c>
      <c r="D46" s="45" t="inlineStr">
        <is>
          <t>V01</t>
        </is>
      </c>
      <c r="E46" s="31" t="n">
        <v>818371.34</v>
      </c>
      <c r="F46" s="31" t="n">
        <v>819979.77</v>
      </c>
      <c r="G46" s="32">
        <f>F46-E46</f>
        <v/>
      </c>
    </row>
    <row r="47">
      <c r="A47" s="44" t="inlineStr">
        <is>
          <t>ISCOM_LIL</t>
        </is>
      </c>
      <c r="B47" s="44" t="inlineStr">
        <is>
          <t>ISCOM</t>
        </is>
      </c>
      <c r="C47" s="45" t="inlineStr">
        <is>
          <t>2027</t>
        </is>
      </c>
      <c r="D47" s="45" t="inlineStr">
        <is>
          <t>V01</t>
        </is>
      </c>
      <c r="E47" s="31" t="n">
        <v>1844124.62</v>
      </c>
      <c r="F47" s="31" t="n">
        <v>1841951.62</v>
      </c>
      <c r="G47" s="32">
        <f>F47-E47</f>
        <v/>
      </c>
    </row>
    <row r="48">
      <c r="A48" s="44" t="inlineStr">
        <is>
          <t>ISCOM_PAR</t>
        </is>
      </c>
      <c r="B48" s="44" t="inlineStr">
        <is>
          <t>ISCOM</t>
        </is>
      </c>
      <c r="C48" s="45" t="inlineStr">
        <is>
          <t>2027</t>
        </is>
      </c>
      <c r="D48" s="45" t="inlineStr">
        <is>
          <t>V01</t>
        </is>
      </c>
      <c r="E48" s="31" t="n">
        <v>3048653.61</v>
      </c>
      <c r="F48" s="31" t="n">
        <v>3051354.9</v>
      </c>
      <c r="G48" s="32">
        <f>F48-E48</f>
        <v/>
      </c>
    </row>
    <row r="49">
      <c r="A49" s="44" t="inlineStr">
        <is>
          <t>ISCOM_TLS</t>
        </is>
      </c>
      <c r="B49" s="44" t="inlineStr">
        <is>
          <t>ISCOM</t>
        </is>
      </c>
      <c r="C49" s="45" t="inlineStr">
        <is>
          <t>2027</t>
        </is>
      </c>
      <c r="D49" s="45" t="inlineStr">
        <is>
          <t>V01</t>
        </is>
      </c>
      <c r="E49" s="31" t="n">
        <v>1709754.93</v>
      </c>
      <c r="F49" s="31" t="n">
        <v>1707811.26</v>
      </c>
      <c r="G49" s="32">
        <f>F49-E49</f>
        <v/>
      </c>
    </row>
    <row r="50">
      <c r="A50" s="44" t="inlineStr">
        <is>
          <t>MBWAY_BOR</t>
        </is>
      </c>
      <c r="B50" s="44" t="inlineStr">
        <is>
          <t>MBWAY</t>
        </is>
      </c>
      <c r="C50" s="45" t="inlineStr">
        <is>
          <t>2027</t>
        </is>
      </c>
      <c r="D50" s="45" t="inlineStr">
        <is>
          <t>V01</t>
        </is>
      </c>
      <c r="E50" s="31" t="n">
        <v>1863775.82</v>
      </c>
      <c r="F50" s="31" t="n">
        <v>1860582.51</v>
      </c>
      <c r="G50" s="32">
        <f>F50-E50</f>
        <v/>
      </c>
    </row>
    <row r="51">
      <c r="A51" s="44" t="inlineStr">
        <is>
          <t>MBWAY_LYO</t>
        </is>
      </c>
      <c r="B51" s="44" t="inlineStr">
        <is>
          <t>MBWAY</t>
        </is>
      </c>
      <c r="C51" s="45" t="inlineStr">
        <is>
          <t>2027</t>
        </is>
      </c>
      <c r="D51" s="45" t="inlineStr">
        <is>
          <t>V01</t>
        </is>
      </c>
      <c r="E51" s="31" t="n">
        <v>2620797.06</v>
      </c>
      <c r="F51" s="31" t="n">
        <v>2619135.92</v>
      </c>
      <c r="G51" s="32">
        <f>F51-E51</f>
        <v/>
      </c>
    </row>
    <row r="52">
      <c r="A52" s="44" t="inlineStr">
        <is>
          <t>MBWAY_NAN</t>
        </is>
      </c>
      <c r="B52" s="44" t="inlineStr">
        <is>
          <t>MBWAY</t>
        </is>
      </c>
      <c r="C52" s="45" t="inlineStr">
        <is>
          <t>2027</t>
        </is>
      </c>
      <c r="D52" s="45" t="inlineStr">
        <is>
          <t>V01</t>
        </is>
      </c>
      <c r="E52" s="31" t="n">
        <v>2267018.47</v>
      </c>
      <c r="F52" s="31" t="n">
        <v>2264136.56</v>
      </c>
      <c r="G52" s="32">
        <f>F52-E52</f>
        <v/>
      </c>
    </row>
    <row r="53">
      <c r="A53" s="44" t="inlineStr">
        <is>
          <t>MBWAY_PAR</t>
        </is>
      </c>
      <c r="B53" s="44" t="inlineStr">
        <is>
          <t>MBWAY</t>
        </is>
      </c>
      <c r="C53" s="45" t="inlineStr">
        <is>
          <t>2027</t>
        </is>
      </c>
      <c r="D53" s="45" t="inlineStr">
        <is>
          <t>V01</t>
        </is>
      </c>
      <c r="E53" s="31" t="n">
        <v>3292150.85</v>
      </c>
      <c r="F53" s="31" t="n">
        <v>3292759.3</v>
      </c>
      <c r="G53" s="32">
        <f>F53-E53</f>
        <v/>
      </c>
    </row>
    <row r="54">
      <c r="A54" s="44" t="inlineStr">
        <is>
          <t>PIGIER_BOR</t>
        </is>
      </c>
      <c r="B54" s="44" t="inlineStr">
        <is>
          <t>PIGIER</t>
        </is>
      </c>
      <c r="C54" s="45" t="inlineStr">
        <is>
          <t>2027</t>
        </is>
      </c>
      <c r="D54" s="45" t="inlineStr">
        <is>
          <t>V01</t>
        </is>
      </c>
      <c r="E54" s="31" t="n">
        <v>1191512.6</v>
      </c>
      <c r="F54" s="31" t="n">
        <v>1188191.76</v>
      </c>
      <c r="G54" s="32">
        <f>F54-E54</f>
        <v/>
      </c>
    </row>
    <row r="55">
      <c r="A55" s="44" t="inlineStr">
        <is>
          <t>PIGIER_LYO</t>
        </is>
      </c>
      <c r="B55" s="44" t="inlineStr">
        <is>
          <t>PIGIER</t>
        </is>
      </c>
      <c r="C55" s="45" t="inlineStr">
        <is>
          <t>2027</t>
        </is>
      </c>
      <c r="D55" s="45" t="inlineStr">
        <is>
          <t>V01</t>
        </is>
      </c>
      <c r="E55" s="31" t="n">
        <v>1653870.06</v>
      </c>
      <c r="F55" s="31" t="n">
        <v>1651005.9</v>
      </c>
      <c r="G55" s="32">
        <f>F55-E55</f>
        <v/>
      </c>
    </row>
    <row r="56">
      <c r="A56" s="44" t="inlineStr">
        <is>
          <t>TUNON_LYO</t>
        </is>
      </c>
      <c r="B56" s="44" t="inlineStr">
        <is>
          <t>TUNON</t>
        </is>
      </c>
      <c r="C56" s="45" t="inlineStr">
        <is>
          <t>2027</t>
        </is>
      </c>
      <c r="D56" s="45" t="inlineStr">
        <is>
          <t>V01</t>
        </is>
      </c>
      <c r="E56" s="31" t="n">
        <v>902399.28</v>
      </c>
      <c r="F56" s="31" t="n">
        <v>905895.9</v>
      </c>
      <c r="G56" s="32">
        <f>F56-E56</f>
        <v/>
      </c>
    </row>
    <row r="57">
      <c r="A57" s="44" t="inlineStr">
        <is>
          <t>TUNON_PAR</t>
        </is>
      </c>
      <c r="B57" s="44" t="inlineStr">
        <is>
          <t>TUNON</t>
        </is>
      </c>
      <c r="C57" s="45" t="inlineStr">
        <is>
          <t>2027</t>
        </is>
      </c>
      <c r="D57" s="45" t="inlineStr">
        <is>
          <t>V01</t>
        </is>
      </c>
      <c r="E57" s="31" t="n">
        <v>1133628.56</v>
      </c>
      <c r="F57" s="31" t="n">
        <v>1139411.54</v>
      </c>
      <c r="G57" s="32">
        <f>F57-E57</f>
        <v/>
      </c>
    </row>
    <row r="58">
      <c r="A58" s="44" t="inlineStr">
        <is>
          <t>IPAC_MTP</t>
        </is>
      </c>
      <c r="B58" s="44" t="inlineStr">
        <is>
          <t>IPAC</t>
        </is>
      </c>
      <c r="C58" s="45" t="inlineStr">
        <is>
          <t>2027</t>
        </is>
      </c>
      <c r="D58" s="45" t="inlineStr">
        <is>
          <t>V02</t>
        </is>
      </c>
      <c r="E58" s="31" t="n">
        <v>900377.7</v>
      </c>
      <c r="F58" s="31" t="n">
        <v>907368.24</v>
      </c>
      <c r="G58" s="32">
        <f>F58-E58</f>
        <v/>
      </c>
    </row>
    <row r="59">
      <c r="A59" s="44" t="inlineStr">
        <is>
          <t>IPAC_NAN</t>
        </is>
      </c>
      <c r="B59" s="44" t="inlineStr">
        <is>
          <t>IPAC</t>
        </is>
      </c>
      <c r="C59" s="45" t="inlineStr">
        <is>
          <t>2027</t>
        </is>
      </c>
      <c r="D59" s="45" t="inlineStr">
        <is>
          <t>V02</t>
        </is>
      </c>
      <c r="E59" s="31" t="n">
        <v>1174050.44</v>
      </c>
      <c r="F59" s="31" t="n">
        <v>1183473.32</v>
      </c>
      <c r="G59" s="32">
        <f>F59-E59</f>
        <v/>
      </c>
    </row>
    <row r="60">
      <c r="A60" s="44" t="inlineStr">
        <is>
          <t>IPAC_REN</t>
        </is>
      </c>
      <c r="B60" s="44" t="inlineStr">
        <is>
          <t>IPAC</t>
        </is>
      </c>
      <c r="C60" s="45" t="inlineStr">
        <is>
          <t>2027</t>
        </is>
      </c>
      <c r="D60" s="45" t="inlineStr">
        <is>
          <t>V02</t>
        </is>
      </c>
      <c r="E60" s="31" t="n">
        <v>900165.39</v>
      </c>
      <c r="F60" s="31" t="n">
        <v>907368.24</v>
      </c>
      <c r="G60" s="32">
        <f>F60-E60</f>
        <v/>
      </c>
    </row>
    <row r="61">
      <c r="A61" s="44" t="inlineStr">
        <is>
          <t>ISCOM_LIL</t>
        </is>
      </c>
      <c r="B61" s="44" t="inlineStr">
        <is>
          <t>ISCOM</t>
        </is>
      </c>
      <c r="C61" s="45" t="inlineStr">
        <is>
          <t>2027</t>
        </is>
      </c>
      <c r="D61" s="45" t="inlineStr">
        <is>
          <t>V02</t>
        </is>
      </c>
      <c r="E61" s="31" t="n">
        <v>2043286.88</v>
      </c>
      <c r="F61" s="31" t="n">
        <v>2038255.65</v>
      </c>
      <c r="G61" s="32">
        <f>F61-E61</f>
        <v/>
      </c>
    </row>
    <row r="62">
      <c r="A62" s="44" t="inlineStr">
        <is>
          <t>ISCOM_PAR</t>
        </is>
      </c>
      <c r="B62" s="44" t="inlineStr">
        <is>
          <t>ISCOM</t>
        </is>
      </c>
      <c r="C62" s="45" t="inlineStr">
        <is>
          <t>2027</t>
        </is>
      </c>
      <c r="D62" s="45" t="inlineStr">
        <is>
          <t>V02</t>
        </is>
      </c>
      <c r="E62" s="31" t="n">
        <v>3373731.92</v>
      </c>
      <c r="F62" s="31" t="n">
        <v>3376549.8</v>
      </c>
      <c r="G62" s="32">
        <f>F62-E62</f>
        <v/>
      </c>
    </row>
    <row r="63">
      <c r="A63" s="44" t="inlineStr">
        <is>
          <t>ISCOM_TLS</t>
        </is>
      </c>
      <c r="B63" s="44" t="inlineStr">
        <is>
          <t>ISCOM</t>
        </is>
      </c>
      <c r="C63" s="45" t="inlineStr">
        <is>
          <t>2027</t>
        </is>
      </c>
      <c r="D63" s="45" t="inlineStr">
        <is>
          <t>V02</t>
        </is>
      </c>
      <c r="E63" s="31" t="n">
        <v>1893896.65</v>
      </c>
      <c r="F63" s="31" t="n">
        <v>1889819.42</v>
      </c>
      <c r="G63" s="32">
        <f>F63-E63</f>
        <v/>
      </c>
    </row>
    <row r="64">
      <c r="A64" s="44" t="inlineStr">
        <is>
          <t>MBWAY_BOR</t>
        </is>
      </c>
      <c r="B64" s="44" t="inlineStr">
        <is>
          <t>MBWAY</t>
        </is>
      </c>
      <c r="C64" s="45" t="inlineStr">
        <is>
          <t>2027</t>
        </is>
      </c>
      <c r="D64" s="45" t="inlineStr">
        <is>
          <t>V02</t>
        </is>
      </c>
      <c r="E64" s="31" t="n">
        <v>2069060.75</v>
      </c>
      <c r="F64" s="31" t="n">
        <v>2058872.11</v>
      </c>
      <c r="G64" s="32">
        <f>F64-E64</f>
        <v/>
      </c>
    </row>
    <row r="65">
      <c r="A65" s="44" t="inlineStr">
        <is>
          <t>MBWAY_LYO</t>
        </is>
      </c>
      <c r="B65" s="44" t="inlineStr">
        <is>
          <t>MBWAY</t>
        </is>
      </c>
      <c r="C65" s="45" t="inlineStr">
        <is>
          <t>2027</t>
        </is>
      </c>
      <c r="D65" s="45" t="inlineStr">
        <is>
          <t>V02</t>
        </is>
      </c>
      <c r="E65" s="31" t="n">
        <v>2907661.06</v>
      </c>
      <c r="F65" s="31" t="n">
        <v>2898267.54</v>
      </c>
      <c r="G65" s="32">
        <f>F65-E65</f>
        <v/>
      </c>
    </row>
    <row r="66">
      <c r="A66" s="44" t="inlineStr">
        <is>
          <t>MBWAY_NAN</t>
        </is>
      </c>
      <c r="B66" s="44" t="inlineStr">
        <is>
          <t>MBWAY</t>
        </is>
      </c>
      <c r="C66" s="45" t="inlineStr">
        <is>
          <t>2027</t>
        </is>
      </c>
      <c r="D66" s="45" t="inlineStr">
        <is>
          <t>V02</t>
        </is>
      </c>
      <c r="E66" s="31" t="n">
        <v>2515783.33</v>
      </c>
      <c r="F66" s="31" t="n">
        <v>2505434.5</v>
      </c>
      <c r="G66" s="32">
        <f>F66-E66</f>
        <v/>
      </c>
    </row>
    <row r="67">
      <c r="A67" s="44" t="inlineStr">
        <is>
          <t>MBWAY_PAR</t>
        </is>
      </c>
      <c r="B67" s="44" t="inlineStr">
        <is>
          <t>MBWAY</t>
        </is>
      </c>
      <c r="C67" s="45" t="inlineStr">
        <is>
          <t>2027</t>
        </is>
      </c>
      <c r="D67" s="45" t="inlineStr">
        <is>
          <t>V02</t>
        </is>
      </c>
      <c r="E67" s="31" t="n">
        <v>3651607.14</v>
      </c>
      <c r="F67" s="31" t="n">
        <v>3643681.61</v>
      </c>
      <c r="G67" s="32">
        <f>F67-E67</f>
        <v/>
      </c>
    </row>
    <row r="68">
      <c r="A68" s="44" t="inlineStr">
        <is>
          <t>PIGIER_BOR</t>
        </is>
      </c>
      <c r="B68" s="44" t="inlineStr">
        <is>
          <t>PIGIER</t>
        </is>
      </c>
      <c r="C68" s="45" t="inlineStr">
        <is>
          <t>2027</t>
        </is>
      </c>
      <c r="D68" s="45" t="inlineStr">
        <is>
          <t>V02</t>
        </is>
      </c>
      <c r="E68" s="31" t="n">
        <v>1317002.71</v>
      </c>
      <c r="F68" s="31" t="n">
        <v>1314822.03</v>
      </c>
      <c r="G68" s="32">
        <f>F68-E68</f>
        <v/>
      </c>
    </row>
    <row r="69">
      <c r="A69" s="44" t="inlineStr">
        <is>
          <t>PIGIER_LYO</t>
        </is>
      </c>
      <c r="B69" s="44" t="inlineStr">
        <is>
          <t>PIGIER</t>
        </is>
      </c>
      <c r="C69" s="45" t="inlineStr">
        <is>
          <t>2027</t>
        </is>
      </c>
      <c r="D69" s="45" t="inlineStr">
        <is>
          <t>V02</t>
        </is>
      </c>
      <c r="E69" s="31" t="n">
        <v>1826823.57</v>
      </c>
      <c r="F69" s="31" t="n">
        <v>1826960.1</v>
      </c>
      <c r="G69" s="32">
        <f>F69-E69</f>
        <v/>
      </c>
    </row>
    <row r="70">
      <c r="A70" s="44" t="inlineStr">
        <is>
          <t>TUNON_LYO</t>
        </is>
      </c>
      <c r="B70" s="44" t="inlineStr">
        <is>
          <t>TUNON</t>
        </is>
      </c>
      <c r="C70" s="45" t="inlineStr">
        <is>
          <t>2027</t>
        </is>
      </c>
      <c r="D70" s="45" t="inlineStr">
        <is>
          <t>V02</t>
        </is>
      </c>
      <c r="E70" s="31" t="n">
        <v>993562.4399999999</v>
      </c>
      <c r="F70" s="31" t="n">
        <v>1002440.79</v>
      </c>
      <c r="G70" s="32">
        <f>F70-E70</f>
        <v/>
      </c>
    </row>
    <row r="71">
      <c r="A71" s="44" t="inlineStr">
        <is>
          <t>TUNON_PAR</t>
        </is>
      </c>
      <c r="B71" s="44" t="inlineStr">
        <is>
          <t>TUNON</t>
        </is>
      </c>
      <c r="C71" s="45" t="inlineStr">
        <is>
          <t>2027</t>
        </is>
      </c>
      <c r="D71" s="45" t="inlineStr">
        <is>
          <t>V02</t>
        </is>
      </c>
      <c r="E71" s="31" t="n">
        <v>1247158.51</v>
      </c>
      <c r="F71" s="31" t="n">
        <v>1260843.11</v>
      </c>
      <c r="G71" s="32">
        <f>F71-E71</f>
        <v/>
      </c>
    </row>
    <row r="72">
      <c r="A72" s="44" t="inlineStr">
        <is>
          <t>IPAC_MTP</t>
        </is>
      </c>
      <c r="B72" s="44" t="inlineStr">
        <is>
          <t>IPAC</t>
        </is>
      </c>
      <c r="C72" s="45" t="inlineStr">
        <is>
          <t>2027</t>
        </is>
      </c>
      <c r="D72" s="45" t="inlineStr">
        <is>
          <t>V03</t>
        </is>
      </c>
      <c r="E72" s="31" t="n">
        <v>764876.79</v>
      </c>
      <c r="F72" s="31" t="n">
        <v>766503.1899999999</v>
      </c>
      <c r="G72" s="32">
        <f>F72-E72</f>
        <v/>
      </c>
    </row>
    <row r="73">
      <c r="A73" s="44" t="inlineStr">
        <is>
          <t>IPAC_NAN</t>
        </is>
      </c>
      <c r="B73" s="44" t="inlineStr">
        <is>
          <t>IPAC</t>
        </is>
      </c>
      <c r="C73" s="45" t="inlineStr">
        <is>
          <t>2027</t>
        </is>
      </c>
      <c r="D73" s="45" t="inlineStr">
        <is>
          <t>V03</t>
        </is>
      </c>
      <c r="E73" s="31" t="n">
        <v>997640.7</v>
      </c>
      <c r="F73" s="31" t="n">
        <v>999744.13</v>
      </c>
      <c r="G73" s="32">
        <f>F73-E73</f>
        <v/>
      </c>
    </row>
    <row r="74">
      <c r="A74" s="44" t="inlineStr">
        <is>
          <t>IPAC_REN</t>
        </is>
      </c>
      <c r="B74" s="44" t="inlineStr">
        <is>
          <t>IPAC</t>
        </is>
      </c>
      <c r="C74" s="45" t="inlineStr">
        <is>
          <t>2027</t>
        </is>
      </c>
      <c r="D74" s="45" t="inlineStr">
        <is>
          <t>V03</t>
        </is>
      </c>
      <c r="E74" s="31" t="n">
        <v>764929.55</v>
      </c>
      <c r="F74" s="31" t="n">
        <v>766503.1899999999</v>
      </c>
      <c r="G74" s="32">
        <f>F74-E74</f>
        <v/>
      </c>
    </row>
    <row r="75">
      <c r="A75" s="44" t="inlineStr">
        <is>
          <t>ISCOM_LIL</t>
        </is>
      </c>
      <c r="B75" s="44" t="inlineStr">
        <is>
          <t>ISCOM</t>
        </is>
      </c>
      <c r="C75" s="45" t="inlineStr">
        <is>
          <t>2027</t>
        </is>
      </c>
      <c r="D75" s="45" t="inlineStr">
        <is>
          <t>V03</t>
        </is>
      </c>
      <c r="E75" s="31" t="n">
        <v>1722442.89</v>
      </c>
      <c r="F75" s="31" t="n">
        <v>1721825.14</v>
      </c>
      <c r="G75" s="32">
        <f>F75-E75</f>
        <v/>
      </c>
    </row>
    <row r="76">
      <c r="A76" s="44" t="inlineStr">
        <is>
          <t>ISCOM_PAR</t>
        </is>
      </c>
      <c r="B76" s="44" t="inlineStr">
        <is>
          <t>ISCOM</t>
        </is>
      </c>
      <c r="C76" s="45" t="inlineStr">
        <is>
          <t>2027</t>
        </is>
      </c>
      <c r="D76" s="45" t="inlineStr">
        <is>
          <t>V03</t>
        </is>
      </c>
      <c r="E76" s="31" t="n">
        <v>2856528.21</v>
      </c>
      <c r="F76" s="31" t="n">
        <v>2852354.82</v>
      </c>
      <c r="G76" s="32">
        <f>F76-E76</f>
        <v/>
      </c>
    </row>
    <row r="77">
      <c r="A77" s="44" t="inlineStr">
        <is>
          <t>ISCOM_TLS</t>
        </is>
      </c>
      <c r="B77" s="44" t="inlineStr">
        <is>
          <t>ISCOM</t>
        </is>
      </c>
      <c r="C77" s="45" t="inlineStr">
        <is>
          <t>2027</t>
        </is>
      </c>
      <c r="D77" s="45" t="inlineStr">
        <is>
          <t>V03</t>
        </is>
      </c>
      <c r="E77" s="31" t="n">
        <v>1597221.45</v>
      </c>
      <c r="F77" s="31" t="n">
        <v>1596433</v>
      </c>
      <c r="G77" s="32">
        <f>F77-E77</f>
        <v/>
      </c>
    </row>
    <row r="78">
      <c r="A78" s="44" t="inlineStr">
        <is>
          <t>MBWAY_BOR</t>
        </is>
      </c>
      <c r="B78" s="44" t="inlineStr">
        <is>
          <t>MBWAY</t>
        </is>
      </c>
      <c r="C78" s="45" t="inlineStr">
        <is>
          <t>2027</t>
        </is>
      </c>
      <c r="D78" s="45" t="inlineStr">
        <is>
          <t>V03</t>
        </is>
      </c>
      <c r="E78" s="31" t="n">
        <v>1741134.57</v>
      </c>
      <c r="F78" s="31" t="n">
        <v>1739240.99</v>
      </c>
      <c r="G78" s="32">
        <f>F78-E78</f>
        <v/>
      </c>
    </row>
    <row r="79">
      <c r="A79" s="44" t="inlineStr">
        <is>
          <t>MBWAY_LYO</t>
        </is>
      </c>
      <c r="B79" s="44" t="inlineStr">
        <is>
          <t>MBWAY</t>
        </is>
      </c>
      <c r="C79" s="45" t="inlineStr">
        <is>
          <t>2027</t>
        </is>
      </c>
      <c r="D79" s="45" t="inlineStr">
        <is>
          <t>V03</t>
        </is>
      </c>
      <c r="E79" s="31" t="n">
        <v>2452416.46</v>
      </c>
      <c r="F79" s="31" t="n">
        <v>2448323.85</v>
      </c>
      <c r="G79" s="32">
        <f>F79-E79</f>
        <v/>
      </c>
    </row>
    <row r="80">
      <c r="A80" s="44" t="inlineStr">
        <is>
          <t>MBWAY_NAN</t>
        </is>
      </c>
      <c r="B80" s="44" t="inlineStr">
        <is>
          <t>MBWAY</t>
        </is>
      </c>
      <c r="C80" s="45" t="inlineStr">
        <is>
          <t>2027</t>
        </is>
      </c>
      <c r="D80" s="45" t="inlineStr">
        <is>
          <t>V03</t>
        </is>
      </c>
      <c r="E80" s="31" t="n">
        <v>2119379.32</v>
      </c>
      <c r="F80" s="31" t="n">
        <v>2116476.46</v>
      </c>
      <c r="G80" s="32">
        <f>F80-E80</f>
        <v/>
      </c>
    </row>
    <row r="81">
      <c r="A81" s="44" t="inlineStr">
        <is>
          <t>MBWAY_PAR</t>
        </is>
      </c>
      <c r="B81" s="44" t="inlineStr">
        <is>
          <t>MBWAY</t>
        </is>
      </c>
      <c r="C81" s="45" t="inlineStr">
        <is>
          <t>2027</t>
        </is>
      </c>
      <c r="D81" s="45" t="inlineStr">
        <is>
          <t>V03</t>
        </is>
      </c>
      <c r="E81" s="31" t="n">
        <v>3084114.02</v>
      </c>
      <c r="F81" s="31" t="n">
        <v>3078015.56</v>
      </c>
      <c r="G81" s="32">
        <f>F81-E81</f>
        <v/>
      </c>
    </row>
    <row r="82">
      <c r="A82" s="44" t="inlineStr">
        <is>
          <t>PIGIER_BOR</t>
        </is>
      </c>
      <c r="B82" s="44" t="inlineStr">
        <is>
          <t>PIGIER</t>
        </is>
      </c>
      <c r="C82" s="45" t="inlineStr">
        <is>
          <t>2027</t>
        </is>
      </c>
      <c r="D82" s="45" t="inlineStr">
        <is>
          <t>V03</t>
        </is>
      </c>
      <c r="E82" s="31" t="n">
        <v>1102717.71</v>
      </c>
      <c r="F82" s="31" t="n">
        <v>1110701.51</v>
      </c>
      <c r="G82" s="32">
        <f>F82-E82</f>
        <v/>
      </c>
    </row>
    <row r="83">
      <c r="A83" s="44" t="inlineStr">
        <is>
          <t>PIGIER_LYO</t>
        </is>
      </c>
      <c r="B83" s="44" t="inlineStr">
        <is>
          <t>PIGIER</t>
        </is>
      </c>
      <c r="C83" s="45" t="inlineStr">
        <is>
          <t>2027</t>
        </is>
      </c>
      <c r="D83" s="45" t="inlineStr">
        <is>
          <t>V03</t>
        </is>
      </c>
      <c r="E83" s="31" t="n">
        <v>1533137.36</v>
      </c>
      <c r="F83" s="31" t="n">
        <v>1543332.32</v>
      </c>
      <c r="G83" s="32">
        <f>F83-E83</f>
        <v/>
      </c>
    </row>
    <row r="84">
      <c r="A84" s="44" t="inlineStr">
        <is>
          <t>TUNON_LYO</t>
        </is>
      </c>
      <c r="B84" s="44" t="inlineStr">
        <is>
          <t>TUNON</t>
        </is>
      </c>
      <c r="C84" s="45" t="inlineStr">
        <is>
          <t>2027</t>
        </is>
      </c>
      <c r="D84" s="45" t="inlineStr">
        <is>
          <t>V03</t>
        </is>
      </c>
      <c r="E84" s="31" t="n">
        <v>847806.3100000001</v>
      </c>
      <c r="F84" s="31" t="n">
        <v>846816.13</v>
      </c>
      <c r="G84" s="32">
        <f>F84-E84</f>
        <v/>
      </c>
    </row>
    <row r="85">
      <c r="A85" s="44" t="inlineStr">
        <is>
          <t>TUNON_PAR</t>
        </is>
      </c>
      <c r="B85" s="44" t="inlineStr">
        <is>
          <t>TUNON</t>
        </is>
      </c>
      <c r="C85" s="45" t="inlineStr">
        <is>
          <t>2027</t>
        </is>
      </c>
      <c r="D85" s="45" t="inlineStr">
        <is>
          <t>V03</t>
        </is>
      </c>
      <c r="E85" s="31" t="n">
        <v>1067029.19</v>
      </c>
      <c r="F85" s="31" t="n">
        <v>1065102.59</v>
      </c>
      <c r="G85" s="32">
        <f>F85-E85</f>
        <v/>
      </c>
    </row>
    <row r="86">
      <c r="A86" s="1" t="n"/>
      <c r="B86" s="1" t="n"/>
      <c r="C86" s="1" t="n"/>
      <c r="D86" s="1" t="n"/>
      <c r="E86" s="1" t="n"/>
      <c r="F86" s="1" t="n"/>
      <c r="G86" s="1" t="n"/>
    </row>
    <row r="87">
      <c r="A87" s="8" t="inlineStr">
        <is>
          <t>Coller ici la sortie de Q_RECONCILIATION_MARQUE. La ligne d'en-tête est repérée par son numéro, saisi en Réconciliation!C7.</t>
        </is>
      </c>
      <c r="B87" s="1" t="n"/>
      <c r="C87" s="1" t="n"/>
      <c r="D87" s="1" t="n"/>
      <c r="E87" s="1" t="n"/>
      <c r="F87" s="1" t="n"/>
      <c r="G87" s="1" t="n"/>
    </row>
    <row r="88">
      <c r="A88" s="1" t="n"/>
      <c r="B88" s="1" t="n"/>
      <c r="C88" s="1" t="n"/>
      <c r="D88" s="1" t="n"/>
      <c r="E88" s="1" t="n"/>
      <c r="F88" s="1" t="n"/>
      <c r="G88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2026-09-09T05:36:16Z</dcterms:created>
  <dcterms:modified xsi:type="dcterms:W3CDTF">2026-09-09T05:36:17Z</dcterms:modified>
</cp:coreProperties>
</file>