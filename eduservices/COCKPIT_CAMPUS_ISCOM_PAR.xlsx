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ckpit cam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-#,##0 &quot;€&quot;;&quot;—&quot;"/>
    <numFmt numFmtId="165" formatCode="+0.0%;-0.0%"/>
    <numFmt numFmtId="166" formatCode="#,##0.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1606D"/>
      <sz val="9"/>
    </font>
    <font>
      <name val="Arial"/>
      <b val="1"/>
      <color rgb="00FFFFFF"/>
      <sz val="11"/>
    </font>
    <font>
      <name val="Arial"/>
      <b val="1"/>
      <color rgb="0051606D"/>
      <sz val="8.5"/>
    </font>
    <font>
      <name val="Arial"/>
      <b val="1"/>
      <color rgb="00152230"/>
      <sz val="15"/>
    </font>
    <font>
      <name val="Arial"/>
      <b val="1"/>
      <color rgb="00B3641C"/>
      <sz val="15"/>
    </font>
    <font>
      <name val="Arial"/>
      <b val="1"/>
      <color rgb="000A5A48"/>
      <sz val="15"/>
    </font>
    <font>
      <name val="Arial"/>
      <b val="1"/>
      <color rgb="0051606D"/>
      <sz val="15"/>
    </font>
    <font>
      <name val="Arial"/>
      <b val="1"/>
      <color rgb="001E7A55"/>
      <sz val="15"/>
    </font>
    <font>
      <name val="Arial"/>
      <b val="1"/>
      <color rgb="00FFFFFF"/>
      <sz val="9"/>
    </font>
    <font>
      <name val="Arial"/>
      <color rgb="00152230"/>
      <sz val="9.5"/>
    </font>
    <font>
      <name val="Arial"/>
      <b val="1"/>
      <color rgb="001E7A55"/>
      <sz val="9.5"/>
    </font>
    <font>
      <name val="Arial"/>
      <b val="1"/>
      <color rgb="00FFFFFF"/>
      <sz val="8.5"/>
    </font>
    <font>
      <name val="Arial"/>
      <color rgb="001E7A55"/>
      <sz val="9.5"/>
    </font>
    <font>
      <name val="Arial"/>
      <b val="1"/>
      <color rgb="00B23A3A"/>
      <sz val="9.5"/>
    </font>
    <font>
      <name val="Arial"/>
      <b val="1"/>
      <color rgb="00B23A3A"/>
      <sz val="9"/>
    </font>
    <font>
      <name val="Arial"/>
      <b val="1"/>
      <color rgb="00152230"/>
      <sz val="9.5"/>
    </font>
    <font>
      <name val="Arial"/>
      <b val="1"/>
      <color rgb="001E7A55"/>
      <sz val="9"/>
    </font>
    <font>
      <name val="Arial"/>
      <color rgb="00B23A3A"/>
      <sz val="9.5"/>
    </font>
    <font>
      <name val="Arial"/>
      <b val="1"/>
      <color rgb="00B3641C"/>
      <sz val="9"/>
    </font>
    <font>
      <name val="Arial"/>
      <b val="1"/>
      <color rgb="000A5A48"/>
      <sz val="9.5"/>
    </font>
    <font>
      <name val="Arial"/>
      <color rgb="0051606D"/>
      <sz val="9"/>
    </font>
    <font>
      <name val="Arial"/>
      <i val="1"/>
      <color rgb="007D8B98"/>
      <sz val="8.5"/>
    </font>
  </fonts>
  <fills count="7">
    <fill>
      <patternFill/>
    </fill>
    <fill>
      <patternFill patternType="gray125"/>
    </fill>
    <fill>
      <patternFill patternType="solid">
        <fgColor rgb="000A5A48"/>
      </patternFill>
    </fill>
    <fill>
      <patternFill patternType="solid">
        <fgColor rgb="000D7A62"/>
      </patternFill>
    </fill>
    <fill>
      <patternFill patternType="solid">
        <fgColor rgb="003D4F8F"/>
      </patternFill>
    </fill>
    <fill>
      <patternFill patternType="solid">
        <fgColor rgb="00E3EFEA"/>
      </patternFill>
    </fill>
    <fill>
      <patternFill patternType="solid">
        <fgColor rgb="00B3641C"/>
      </patternFill>
    </fill>
  </fills>
  <borders count="3">
    <border>
      <left/>
      <right/>
      <top/>
      <bottom/>
      <diagonal/>
    </border>
    <border>
      <left style="thin">
        <color rgb="00C8D2DA"/>
      </left>
      <right style="thin">
        <color rgb="00C8D2DA"/>
      </right>
      <top style="thin">
        <color rgb="00C8D2DA"/>
      </top>
      <bottom style="thin">
        <color rgb="00C8D2DA"/>
      </bottom>
    </border>
    <border>
      <top style="medium">
        <color rgb="00C8D2DA"/>
      </top>
      <bottom style="medium">
        <color rgb="00C8D2D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9" fontId="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164" fontId="11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9" fontId="11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 wrapText="1"/>
    </xf>
    <xf numFmtId="9" fontId="19" fillId="0" borderId="1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left" vertical="center"/>
    </xf>
    <xf numFmtId="0" fontId="0" fillId="5" borderId="2" pivotButton="0" quotePrefix="0" xfId="0"/>
    <xf numFmtId="3" fontId="0" fillId="5" borderId="2" applyAlignment="1" pivotButton="0" quotePrefix="0" xfId="0">
      <alignment horizontal="right" vertical="center"/>
    </xf>
    <xf numFmtId="164" fontId="0" fillId="5" borderId="2" applyAlignment="1" pivotButton="0" quotePrefix="0" xfId="0">
      <alignment horizontal="right" vertical="center"/>
    </xf>
    <xf numFmtId="164" fontId="21" fillId="5" borderId="2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EBITDA net &amp; contribution — trajectoire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 campus'!$B$11:$D$11</f>
            </numRef>
          </cat>
          <val>
            <numRef>
              <f>'Cockpit campus'!$B$14:$D$14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'Cockpit campus'!$B$11:$D$11</f>
            </numRef>
          </cat>
          <val>
            <numRef>
              <f>'Cockpit campus'!$B$15:$D$15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10</row>
      <rowOff>0</rowOff>
    </from>
    <ext cx="3240000" cy="19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5" customWidth="1" min="9" max="9"/>
  </cols>
  <sheetData>
    <row r="1" ht="28" customHeight="1">
      <c r="A1" s="1" t="inlineStr">
        <is>
          <t xml:space="preserve">  COCKPIT DIRECTEUR DE CAMPUS — Iscom Paris   ·   ce que je consulte en premier</t>
        </is>
      </c>
    </row>
    <row r="2" ht="18" customHeight="1">
      <c r="A2" s="2" t="inlineStr">
        <is>
          <t xml:space="preserve">  Atterrissage 2026. Ma question : où j'en suis, qu'est-ce qui va, qu'est-ce qui coince ?</t>
        </is>
      </c>
    </row>
    <row r="4" ht="24" customHeight="1">
      <c r="A4" s="3" t="inlineStr">
        <is>
          <t>①  Mes chiffres clés  (atterrissage 2026)</t>
        </is>
      </c>
    </row>
    <row r="5">
      <c r="A5" s="4" t="inlineStr">
        <is>
          <t>Effectif</t>
        </is>
      </c>
      <c r="D5" s="4" t="inlineStr">
        <is>
          <t>Remplissage moyen</t>
        </is>
      </c>
      <c r="G5" s="4" t="inlineStr">
        <is>
          <t>Chiffre d'affaires</t>
        </is>
      </c>
    </row>
    <row r="6" ht="22" customHeight="1">
      <c r="A6" s="5" t="n">
        <v>354</v>
      </c>
      <c r="D6" s="6" t="n">
        <v>0.7972972972972973</v>
      </c>
      <c r="G6" s="7" t="n">
        <v>2908720</v>
      </c>
    </row>
    <row r="7">
      <c r="A7" s="4" t="inlineStr">
        <is>
          <t>Ma contribution (avant siège)</t>
        </is>
      </c>
      <c r="D7" s="4" t="inlineStr">
        <is>
          <t>Quote-part siège (imposée)</t>
        </is>
      </c>
      <c r="G7" s="4" t="inlineStr">
        <is>
          <t>EBITDA net</t>
        </is>
      </c>
    </row>
    <row r="8" ht="22" customHeight="1">
      <c r="A8" s="8" t="n">
        <v>549694</v>
      </c>
      <c r="D8" s="9" t="n">
        <v>-439112.5103855577</v>
      </c>
      <c r="G8" s="10" t="n">
        <v>110581.4896144421</v>
      </c>
    </row>
    <row r="10" ht="24" customHeight="1">
      <c r="A10" s="3" t="inlineStr">
        <is>
          <t>②  Ma trajectoire  2024 → 2026  (est-ce que ça monte ?)</t>
        </is>
      </c>
    </row>
    <row r="11">
      <c r="A11" s="11" t="inlineStr"/>
      <c r="B11" s="12" t="inlineStr">
        <is>
          <t>2024</t>
        </is>
      </c>
      <c r="C11" s="12" t="inlineStr">
        <is>
          <t>2025</t>
        </is>
      </c>
      <c r="D11" s="12" t="inlineStr">
        <is>
          <t>2026</t>
        </is>
      </c>
      <c r="E11" s="12" t="inlineStr">
        <is>
          <t>Évolution</t>
        </is>
      </c>
    </row>
    <row r="12" ht="17" customHeight="1">
      <c r="A12" s="13" t="inlineStr">
        <is>
          <t>Chiffre d'affaires</t>
        </is>
      </c>
      <c r="B12" s="14" t="n">
        <v>2580240</v>
      </c>
      <c r="C12" s="14" t="n">
        <v>2744480</v>
      </c>
      <c r="D12" s="14" t="n">
        <v>2908720</v>
      </c>
      <c r="E12" s="15" t="n">
        <v>0.1273059870399653</v>
      </c>
    </row>
    <row r="13" ht="17" customHeight="1">
      <c r="A13" s="13" t="inlineStr">
        <is>
          <t>Effectif</t>
        </is>
      </c>
      <c r="B13" s="16" t="n">
        <v>314</v>
      </c>
      <c r="C13" s="16" t="n">
        <v>334</v>
      </c>
      <c r="D13" s="16" t="n">
        <v>354</v>
      </c>
      <c r="E13" s="15" t="n">
        <v>0.1273885350318471</v>
      </c>
    </row>
    <row r="14" ht="17" customHeight="1">
      <c r="A14" s="13" t="inlineStr">
        <is>
          <t>Ma contribution</t>
        </is>
      </c>
      <c r="B14" s="14" t="n">
        <v>432576</v>
      </c>
      <c r="C14" s="14" t="n">
        <v>495685.0000000001</v>
      </c>
      <c r="D14" s="14" t="n">
        <v>549694</v>
      </c>
      <c r="E14" s="15" t="n">
        <v>0.2707454874981505</v>
      </c>
    </row>
    <row r="15" ht="17" customHeight="1">
      <c r="A15" s="13" t="inlineStr">
        <is>
          <t>EBITDA net</t>
        </is>
      </c>
      <c r="B15" s="14" t="n">
        <v>47693.66528023651</v>
      </c>
      <c r="C15" s="14" t="n">
        <v>84020.18847403099</v>
      </c>
      <c r="D15" s="14" t="n">
        <v>110581.4896144421</v>
      </c>
      <c r="E15" s="15" t="n">
        <v>1.318578137467352</v>
      </c>
    </row>
    <row r="17" ht="24" customHeight="1">
      <c r="A17" s="17" t="inlineStr">
        <is>
          <t>③  Mon P&amp;L par classe  (2026) — le détail que je scrute</t>
        </is>
      </c>
    </row>
    <row r="18">
      <c r="A18" s="18" t="inlineStr">
        <is>
          <t>Programme ▸ Année</t>
        </is>
      </c>
      <c r="B18" s="19" t="inlineStr">
        <is>
          <t>Rempl.</t>
        </is>
      </c>
      <c r="C18" s="19" t="inlineStr">
        <is>
          <t>Eff.</t>
        </is>
      </c>
      <c r="D18" s="19" t="inlineStr">
        <is>
          <t>CA</t>
        </is>
      </c>
      <c r="E18" s="19" t="inlineStr">
        <is>
          <t>Contribution</t>
        </is>
      </c>
      <c r="F18" s="19" t="inlineStr">
        <is>
          <t>Coût complet</t>
        </is>
      </c>
      <c r="G18" s="19" t="inlineStr">
        <is>
          <t>Marge complète</t>
        </is>
      </c>
      <c r="H18" s="19" t="inlineStr">
        <is>
          <t>Pt mort</t>
        </is>
      </c>
      <c r="I18" s="19" t="inlineStr">
        <is>
          <t>Signal</t>
        </is>
      </c>
    </row>
    <row r="19" ht="17" customHeight="1">
      <c r="A19" s="20" t="inlineStr">
        <is>
          <t>BAC_COM B1 (Init)</t>
        </is>
      </c>
      <c r="B19" s="21" t="n">
        <v>0.75</v>
      </c>
      <c r="C19" s="22" t="n">
        <v>72</v>
      </c>
      <c r="D19" s="23" t="n">
        <v>611280</v>
      </c>
      <c r="E19" s="24" t="n">
        <v>585144</v>
      </c>
      <c r="F19" s="23" t="n">
        <v>623796.2055021473</v>
      </c>
      <c r="G19" s="25" t="n">
        <v>-12516.20550214732</v>
      </c>
      <c r="H19" s="26" t="n">
        <v>25.87185125055565</v>
      </c>
      <c r="I19" s="27" t="inlineStr">
        <is>
          <t>🔴 piège</t>
        </is>
      </c>
    </row>
    <row r="20" ht="17" customHeight="1">
      <c r="A20" s="20" t="inlineStr">
        <is>
          <t>BAC_COM B2 (Alt)</t>
        </is>
      </c>
      <c r="B20" s="21" t="n">
        <v>0.7291666666666666</v>
      </c>
      <c r="C20" s="22" t="n">
        <v>70</v>
      </c>
      <c r="D20" s="23" t="n">
        <v>548800</v>
      </c>
      <c r="E20" s="24" t="n">
        <v>523390</v>
      </c>
      <c r="F20" s="23" t="n">
        <v>543058.5664604211</v>
      </c>
      <c r="G20" s="28" t="n">
        <v>5741.433539578924</v>
      </c>
      <c r="H20" s="26" t="n">
        <v>24.21018084171107</v>
      </c>
      <c r="I20" s="29" t="inlineStr">
        <is>
          <t>🟢 sain</t>
        </is>
      </c>
    </row>
    <row r="21" ht="17" customHeight="1">
      <c r="A21" s="20" t="inlineStr">
        <is>
          <t>BAC_COM B3 (Alt)</t>
        </is>
      </c>
      <c r="B21" s="21" t="n">
        <v>0.71875</v>
      </c>
      <c r="C21" s="22" t="n">
        <v>69</v>
      </c>
      <c r="D21" s="23" t="n">
        <v>540960</v>
      </c>
      <c r="E21" s="24" t="n">
        <v>515913</v>
      </c>
      <c r="F21" s="23" t="n">
        <v>537547.1469395579</v>
      </c>
      <c r="G21" s="28" t="n">
        <v>3412.853060442139</v>
      </c>
      <c r="H21" s="26" t="n">
        <v>23.96447536621452</v>
      </c>
      <c r="I21" s="29" t="inlineStr">
        <is>
          <t>🟢 sain</t>
        </is>
      </c>
    </row>
    <row r="22" ht="17" customHeight="1">
      <c r="A22" s="20" t="inlineStr">
        <is>
          <t>MAS_COM M1 (Alt)</t>
        </is>
      </c>
      <c r="B22" s="30" t="n">
        <v>0.9230769230769231</v>
      </c>
      <c r="C22" s="22" t="n">
        <v>72</v>
      </c>
      <c r="D22" s="23" t="n">
        <v>611280</v>
      </c>
      <c r="E22" s="24" t="n">
        <v>585144</v>
      </c>
      <c r="F22" s="23" t="n">
        <v>564824.0055021474</v>
      </c>
      <c r="G22" s="28" t="n">
        <v>46455.99449785263</v>
      </c>
      <c r="H22" s="26" t="n">
        <v>23.4259883663949</v>
      </c>
      <c r="I22" s="31" t="inlineStr">
        <is>
          <t>⚠️ saturé</t>
        </is>
      </c>
    </row>
    <row r="23" ht="17" customHeight="1">
      <c r="A23" s="20" t="inlineStr">
        <is>
          <t>MAS_COM M2 (Alt)</t>
        </is>
      </c>
      <c r="B23" s="30" t="n">
        <v>0.9102564102564102</v>
      </c>
      <c r="C23" s="22" t="n">
        <v>71</v>
      </c>
      <c r="D23" s="23" t="n">
        <v>596400</v>
      </c>
      <c r="E23" s="24" t="n">
        <v>570627</v>
      </c>
      <c r="F23" s="23" t="n">
        <v>528912.5859812843</v>
      </c>
      <c r="G23" s="28" t="n">
        <v>67487.41401871573</v>
      </c>
      <c r="H23" s="26" t="n">
        <v>21.93656778985875</v>
      </c>
      <c r="I23" s="31" t="inlineStr">
        <is>
          <t>⚠️ saturé</t>
        </is>
      </c>
    </row>
    <row r="24">
      <c r="A24" s="32" t="inlineStr">
        <is>
          <t>TOTAL CAMPUS</t>
        </is>
      </c>
      <c r="B24" s="33" t="n"/>
      <c r="C24" s="34" t="n">
        <v>354</v>
      </c>
      <c r="D24" s="35" t="n">
        <v>2908720</v>
      </c>
      <c r="E24" s="35" t="n">
        <v>2780218</v>
      </c>
      <c r="F24" s="35" t="n">
        <v>2798138.510385558</v>
      </c>
      <c r="G24" s="36" t="n">
        <v>110581.4896144421</v>
      </c>
      <c r="H24" s="33" t="n"/>
      <c r="I24" s="33" t="n"/>
    </row>
    <row r="26" ht="24" customHeight="1">
      <c r="A26" s="37" t="inlineStr">
        <is>
          <t>④  Mes signaux — ce qui appelle une décision</t>
        </is>
      </c>
    </row>
    <row r="27" ht="30" customHeight="1">
      <c r="A27" s="38" t="inlineStr">
        <is>
          <t>⚠️  Capacité tendue</t>
        </is>
      </c>
      <c r="C27" s="39" t="inlineStr">
        <is>
          <t>MAS_COM M1 (92 %) et M2 (91 %) : quasi pleins. Un push marketing → ouverture d'une 4ᵉ classe à étudier.</t>
        </is>
      </c>
    </row>
    <row r="28" ht="30" customHeight="1">
      <c r="A28" s="38" t="inlineStr">
        <is>
          <t>🔴  Piège de la fermeture</t>
        </is>
      </c>
      <c r="C28" s="39" t="inlineStr">
        <is>
          <t>BAC_COM B1 : marge complète −12 516 € (paraît déficitaire) MAIS contribution +585 144 €. NE PAS fermer — le fixe se réalloue.</t>
        </is>
      </c>
    </row>
    <row r="29" ht="30" customHeight="1">
      <c r="A29" s="38" t="inlineStr">
        <is>
          <t>🎯  Mon objectif</t>
        </is>
      </c>
      <c r="C29" s="39" t="inlineStr">
        <is>
          <t>EBITDA net 2026 = 110 581 € (en hausse : 48k→84k→111k). Objectif = amélioration vs 2025.</t>
        </is>
      </c>
    </row>
    <row r="31" ht="32" customHeight="1">
      <c r="A31" s="40" t="inlineStr">
        <is>
          <t>C'est l'étape « CONSULTER » : le directeur voit sa situation, sa trajectoire et ses signaux. Ensuite → ② AJUSTER (conversion, mix) puis → ③ SIMULER (ouvrir MAS_COM M1 ? ne pas fermer BAC_COM B1). Maquette de référence à porter sur Tagetik.</t>
        </is>
      </c>
    </row>
    <row r="32"/>
  </sheetData>
  <mergeCells count="22">
    <mergeCell ref="G6:I6"/>
    <mergeCell ref="D7:F7"/>
    <mergeCell ref="A26:I26"/>
    <mergeCell ref="C28:I28"/>
    <mergeCell ref="A2:I2"/>
    <mergeCell ref="A5:C5"/>
    <mergeCell ref="G5:I5"/>
    <mergeCell ref="A31:I32"/>
    <mergeCell ref="A8:C8"/>
    <mergeCell ref="A17:I17"/>
    <mergeCell ref="D8:F8"/>
    <mergeCell ref="A4:I4"/>
    <mergeCell ref="D5:F5"/>
    <mergeCell ref="A10:I10"/>
    <mergeCell ref="C29:I29"/>
    <mergeCell ref="A6:C6"/>
    <mergeCell ref="G7:I7"/>
    <mergeCell ref="A1:I1"/>
    <mergeCell ref="G8:I8"/>
    <mergeCell ref="A7:C7"/>
    <mergeCell ref="D6:F6"/>
    <mergeCell ref="C27:I2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2026-09-02T08:12:55Z</dcterms:created>
  <dcterms:modified xsi:type="dcterms:W3CDTF">2026-09-02T08:12:55Z</dcterms:modified>
</cp:coreProperties>
</file>