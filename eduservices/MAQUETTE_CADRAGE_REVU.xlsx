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rage (revu)" sheetId="1" state="visible" r:id="rId1"/>
    <sheet name="Pilotage (voyan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&quot;€&quot;;-#,##0 &quot;€&quot;;&quot;—&quot;"/>
    <numFmt numFmtId="166" formatCode="+0.0%;-0.0%;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B3641C"/>
      <sz val="9"/>
    </font>
    <font>
      <name val="Arial"/>
      <b val="1"/>
      <color rgb="00152230"/>
      <sz val="10"/>
    </font>
    <font>
      <name val="Arial"/>
      <b val="1"/>
      <color rgb="00152230"/>
      <sz val="11"/>
    </font>
    <font>
      <name val="Arial"/>
      <i val="1"/>
      <color rgb="007D8B98"/>
      <sz val="8.5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A5A48"/>
      <sz val="10"/>
    </font>
    <font>
      <name val="Arial"/>
      <b val="1"/>
      <color rgb="00152230"/>
      <sz val="9.5"/>
    </font>
    <font>
      <name val="Arial"/>
      <color rgb="00152230"/>
      <sz val="10"/>
    </font>
    <font>
      <name val="Arial"/>
      <color rgb="007D8B98"/>
      <sz val="10"/>
    </font>
    <font>
      <name val="Arial"/>
      <b val="1"/>
      <color rgb="001E7A55"/>
      <sz val="10"/>
    </font>
    <font>
      <name val="Arial"/>
      <color rgb="0051606D"/>
      <sz val="9.5"/>
    </font>
    <font>
      <name val="Arial"/>
      <color rgb="007D8B98"/>
      <sz val="9.5"/>
    </font>
    <font>
      <name val="Arial"/>
      <color rgb="00152230"/>
      <sz val="9.5"/>
    </font>
    <font>
      <name val="Arial"/>
      <b val="1"/>
      <color rgb="00FFFFFF"/>
      <sz val="12"/>
    </font>
    <font>
      <name val="Arial"/>
      <b val="1"/>
      <color rgb="0051606D"/>
      <sz val="8.5"/>
    </font>
    <font>
      <name val="Arial"/>
      <b val="1"/>
      <color rgb="000A5A48"/>
      <sz val="13"/>
    </font>
    <font>
      <name val="Arial"/>
      <b val="1"/>
      <color rgb="00152230"/>
      <sz val="13"/>
    </font>
    <font>
      <name val="Arial"/>
      <b val="1"/>
      <color rgb="000A5A48"/>
      <sz val="8.5"/>
    </font>
    <font>
      <name val="Arial"/>
      <b val="1"/>
      <color rgb="001E7A55"/>
      <sz val="11"/>
    </font>
  </fonts>
  <fills count="8">
    <fill>
      <patternFill/>
    </fill>
    <fill>
      <patternFill patternType="gray125"/>
    </fill>
    <fill>
      <patternFill patternType="solid">
        <fgColor rgb="000A5A48"/>
      </patternFill>
    </fill>
    <fill>
      <patternFill patternType="solid">
        <fgColor rgb="00FFF6DA"/>
      </patternFill>
    </fill>
    <fill>
      <patternFill patternType="solid">
        <fgColor rgb="000D7A62"/>
      </patternFill>
    </fill>
    <fill>
      <patternFill patternType="solid">
        <fgColor rgb="00FCE9C8"/>
      </patternFill>
    </fill>
    <fill>
      <patternFill patternType="solid">
        <fgColor rgb="00E3EFE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E8B84B"/>
      </left>
      <right style="medium">
        <color rgb="00E8B84B"/>
      </right>
      <top style="medium">
        <color rgb="00E8B84B"/>
      </top>
      <bottom style="medium">
        <color rgb="00E8B84B"/>
      </bottom>
    </border>
    <border>
      <left style="thin">
        <color rgb="00C8D2DA"/>
      </left>
      <right style="thin">
        <color rgb="00C8D2DA"/>
      </right>
      <top style="thin">
        <color rgb="00C8D2DA"/>
      </top>
      <bottom style="thin">
        <color rgb="00C8D2D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/>
    </xf>
    <xf numFmtId="165" fontId="3" fillId="6" borderId="2" applyAlignment="1" pivotButton="0" quotePrefix="0" xfId="0">
      <alignment horizontal="right" vertical="center"/>
    </xf>
    <xf numFmtId="165" fontId="8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/>
    </xf>
    <xf numFmtId="165" fontId="10" fillId="0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0" fillId="5" borderId="2" applyAlignment="1" pivotButton="0" quotePrefix="0" xfId="0">
      <alignment horizontal="right" vertical="center"/>
    </xf>
    <xf numFmtId="166" fontId="12" fillId="5" borderId="2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right" vertical="center"/>
    </xf>
    <xf numFmtId="166" fontId="13" fillId="0" borderId="2" applyAlignment="1" pivotButton="0" quotePrefix="0" xfId="0">
      <alignment horizontal="right" vertical="center"/>
    </xf>
    <xf numFmtId="3" fontId="10" fillId="0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center" vertical="center" wrapText="1"/>
    </xf>
    <xf numFmtId="3" fontId="15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6" fillId="2" borderId="0" pivotButton="0" quotePrefix="0" xfId="0"/>
    <xf numFmtId="0" fontId="20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165" fontId="18" fillId="6" borderId="2" applyAlignment="1" pivotButton="0" quotePrefix="0" xfId="0">
      <alignment horizontal="center" vertical="center" wrapText="1"/>
    </xf>
    <xf numFmtId="165" fontId="19" fillId="7" borderId="2" applyAlignment="1" pivotButton="0" quotePrefix="0" xfId="0">
      <alignment horizontal="center" vertical="center" wrapText="1"/>
    </xf>
    <xf numFmtId="164" fontId="19" fillId="7" borderId="2" applyAlignment="1" pivotButton="0" quotePrefix="0" xfId="0">
      <alignment horizontal="center" vertical="center" wrapText="1"/>
    </xf>
    <xf numFmtId="3" fontId="19" fillId="7" borderId="2" applyAlignment="1" pivotButton="0" quotePrefix="0" xfId="0">
      <alignment horizontal="center" vertical="center" wrapText="1"/>
    </xf>
    <xf numFmtId="166" fontId="19" fillId="7" borderId="2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4" customWidth="1" min="6" max="6"/>
    <col width="15" customWidth="1" min="7" max="7"/>
  </cols>
  <sheetData>
    <row r="1" ht="28" customHeight="1">
      <c r="A1" s="1" t="inlineStr">
        <is>
          <t xml:space="preserve">  CADRAGE 2027 — piloté par l'EBITDA  (bascule minimale de ton onglet)</t>
        </is>
      </c>
    </row>
    <row r="2" ht="18" customHeight="1">
      <c r="A2" s="2" t="inlineStr">
        <is>
          <t xml:space="preserve">  ● = les seules cellules à changer vs ta version. Tout le reste est identique.</t>
        </is>
      </c>
    </row>
    <row r="4">
      <c r="B4" s="3" t="inlineStr">
        <is>
          <t>● Objectif EBITDA (amélioration vs 2026) :</t>
        </is>
      </c>
      <c r="C4" s="4" t="n">
        <v>0.05</v>
      </c>
      <c r="D4" s="5" t="inlineStr">
        <is>
          <t>← remplace « Croissance CA cible »</t>
        </is>
      </c>
    </row>
    <row r="5">
      <c r="B5" s="5" t="inlineStr">
        <is>
          <t>(la marge n'est plus une saisie — elle se déduit)</t>
        </is>
      </c>
    </row>
    <row r="7" ht="20" customHeight="1">
      <c r="A7" s="6" t="inlineStr">
        <is>
          <t xml:space="preserve">  Réconciliation — Référence · Objectif · Construit</t>
        </is>
      </c>
    </row>
    <row r="8">
      <c r="B8" s="7" t="inlineStr">
        <is>
          <t>Indicateur</t>
        </is>
      </c>
      <c r="C8" s="8" t="inlineStr">
        <is>
          <t>Référence 2026</t>
        </is>
      </c>
      <c r="D8" s="8" t="inlineStr">
        <is>
          <t>Objectif</t>
        </is>
      </c>
      <c r="E8" s="8" t="inlineStr">
        <is>
          <t>Construit 2027</t>
        </is>
      </c>
      <c r="F8" s="8" t="inlineStr">
        <is>
          <t>Écart</t>
        </is>
      </c>
      <c r="G8" s="8" t="inlineStr">
        <is>
          <t>Évol. / Statut</t>
        </is>
      </c>
    </row>
    <row r="9">
      <c r="B9" s="9" t="inlineStr">
        <is>
          <t>◆ EBITDA (€)  — l'objectif</t>
        </is>
      </c>
      <c r="C9" s="10" t="n">
        <v>3845790</v>
      </c>
      <c r="D9" s="11">
        <f>C9*(1+$C$4)</f>
        <v/>
      </c>
      <c r="E9" s="10" t="n">
        <v>4111498</v>
      </c>
      <c r="F9" s="10">
        <f>E9-D9</f>
        <v/>
      </c>
      <c r="G9" s="12">
        <f>IF(E9&gt;=D9,"🟢 TENU","🔴 À COMBLER")</f>
        <v/>
      </c>
    </row>
    <row r="10">
      <c r="B10" s="13" t="inlineStr">
        <is>
          <t>Chiffre d'affaires (€)  — constat</t>
        </is>
      </c>
      <c r="C10" s="14" t="n">
        <v>23098985</v>
      </c>
      <c r="D10" s="15" t="inlineStr">
        <is>
          <t>—</t>
        </is>
      </c>
      <c r="E10" s="14" t="n">
        <v>24231704</v>
      </c>
      <c r="F10" s="16">
        <f>E10-C10</f>
        <v/>
      </c>
      <c r="G10" s="17">
        <f>E10/C10-1</f>
        <v/>
      </c>
    </row>
    <row r="11">
      <c r="B11" s="13" t="inlineStr">
        <is>
          <t>Marge EBITDA %  — constat</t>
        </is>
      </c>
      <c r="C11" s="18">
        <f>C9/C10</f>
        <v/>
      </c>
      <c r="D11" s="19" t="inlineStr">
        <is>
          <t>—</t>
        </is>
      </c>
      <c r="E11" s="18">
        <f>E9/E10</f>
        <v/>
      </c>
      <c r="F11" s="20">
        <f>E11-C11</f>
        <v/>
      </c>
      <c r="G11" s="21">
        <f>E11-C11</f>
        <v/>
      </c>
    </row>
    <row r="12">
      <c r="B12" s="13" t="inlineStr">
        <is>
          <t>Effectif  — constat</t>
        </is>
      </c>
      <c r="C12" s="22" t="n">
        <v>3114</v>
      </c>
      <c r="D12" s="23" t="inlineStr">
        <is>
          <t>—</t>
        </is>
      </c>
      <c r="E12" s="22" t="n">
        <v>3176</v>
      </c>
      <c r="F12" s="24">
        <f>E12-C12</f>
        <v/>
      </c>
      <c r="G12" s="21">
        <f>E12/C12-1</f>
        <v/>
      </c>
    </row>
    <row r="14" ht="40" customHeight="1">
      <c r="B14" s="25" t="inlineStr">
        <is>
          <t>Récap des changements : ①  C4 = objectif EBITDA en % (ex. 5%).  ②  D9 (EBITDA cible) = C9*(1+C4).  ③  D10 vide + F10 =E10-C10 + G10 =E10/C10-1 (CA en constat).  ④  D11/D13 marge en constat. Le reste (colonne Construit, effectif) ne bouge pas.</t>
        </is>
      </c>
    </row>
    <row r="15"/>
  </sheetData>
  <mergeCells count="4">
    <mergeCell ref="A2:G2"/>
    <mergeCell ref="B14:G15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4" customWidth="1" min="5" max="5"/>
    <col width="16" customWidth="1" min="6" max="6"/>
    <col width="4" customWidth="1" min="7" max="7"/>
  </cols>
  <sheetData>
    <row r="1" ht="26" customHeight="1">
      <c r="A1" s="26" t="inlineStr">
        <is>
          <t xml:space="preserve">  PILOTAGE — déjà conforme : il montre l'EBITDA + le CA et sa croissance</t>
        </is>
      </c>
    </row>
    <row r="3">
      <c r="B3" s="27" t="inlineStr">
        <is>
          <t>EBITDA (après siège)</t>
        </is>
      </c>
      <c r="C3" s="28" t="inlineStr">
        <is>
          <t>CA 2027</t>
        </is>
      </c>
      <c r="D3" s="28" t="inlineStr">
        <is>
          <t>Marge EBITDA</t>
        </is>
      </c>
      <c r="E3" s="28" t="inlineStr">
        <is>
          <t>Effectif</t>
        </is>
      </c>
      <c r="F3" s="28" t="inlineStr">
        <is>
          <t>Croissance CA vs 2026</t>
        </is>
      </c>
    </row>
    <row r="4">
      <c r="B4" s="29" t="n">
        <v>4111498</v>
      </c>
      <c r="C4" s="30" t="n">
        <v>24231704</v>
      </c>
      <c r="D4" s="31">
        <f>C4/C3</f>
        <v/>
      </c>
      <c r="E4" s="32" t="n">
        <v>3176</v>
      </c>
      <c r="F4" s="33">
        <f>C3/23098985-1</f>
        <v/>
      </c>
    </row>
    <row r="6" ht="24" customHeight="1">
      <c r="B6" s="34">
        <f>"EBITDA vs objectif : "&amp;IF(C3&gt;='Cadrage (revu)'!D9,"🟢 tenu (+"&amp;TEXT(C3-'Cadrage (revu)'!D9,"#,##0")&amp;" €)","🔴 à combler ("&amp;TEXT(C3-'Cadrage (revu)'!D9,"#,##0")&amp;" €)")</f>
        <v/>
      </c>
    </row>
    <row r="8" ht="34" customHeight="1">
      <c r="B8" s="25" t="inlineStr">
        <is>
          <t>À ajouter côté Tagetik : UNE cellule voyant qui compare l'EBITDA construit à l'objectif saisi dans le Cadrage (Cadrage!D9). Optionnel : placer la tuile EBITDA en premier. Rien d'autre ne change sur le Pilotage.</t>
        </is>
      </c>
    </row>
    <row r="9"/>
  </sheetData>
  <mergeCells count="3">
    <mergeCell ref="B8:F9"/>
    <mergeCell ref="A1:F1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2026-09-01T22:37:12Z</dcterms:created>
  <dcterms:modified xsi:type="dcterms:W3CDTF">2026-09-01T22:37:12Z</dcterms:modified>
</cp:coreProperties>
</file>