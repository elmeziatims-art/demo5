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>
    <definedName name="Z_PONT">'2'!$AB$7:$AG$11</definedName>
    <definedName name="Z_MARGE">'2'!$AI$7:$AU$8</definedName>
    <definedName name="Z_TENSION">'2'!$AZ$7:$BF$9</definedName>
    <definedName name="S_PONT_3">INDEX(Z_PONT,0,3)</definedName>
    <definedName name="S_PONT_2">INDEX(Z_PONT,0,2)</definedName>
    <definedName name="S_PONT_4">INDEX(Z_PONT,0,4)</definedName>
    <definedName name="S_PONT_5">INDEX(Z_PONT,0,5)</definedName>
    <definedName name="S_PONT_6">INDEX(Z_PONT,0,6)</definedName>
    <definedName name="S_MARGE_2">INDEX(Z_MARGE,0,2)</definedName>
    <definedName name="S_MARGE_1">INDEX(Z_MARGE,0,1)</definedName>
    <definedName name="S_MARGE_3">INDEX(Z_MARGE,0,3)</definedName>
    <definedName name="S_MARGE_4">INDEX(Z_MARGE,0,4)</definedName>
    <definedName name="S_TENSION_2">INDEX(Z_TENSION,0,2)</definedName>
    <definedName name="S_TENSION_1">INDEX(Z_TENSION,0,1)</definedName>
    <definedName name="S_TENSION_3">INDEX(Z_TENSION,0,3)</definedName>
  </definedNames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'COCKPIT_ZONES.xlsm'!S_PONT_3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'COCKPIT_ZONES.xlsm'!S_PONT_4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'COCKPIT_ZONES.xlsm'!S_PONT_5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'COCKPIT_ZONES.xlsm'!S_PONT_2</f>
            </strRef>
          </cat>
          <val>
            <numRef>
              <f>'COCKPIT_ZONES.xlsm'!S_PONT_6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'COCKPIT_ZONES.xlsm'!S_MARGE_2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'COCKPIT_ZONES.xlsm'!S_MARGE_3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'COCKPIT_ZONES.xlsm'!S_MARGE_1</f>
            </strRef>
          </cat>
          <val>
            <numRef>
              <f>'COCKPIT_ZONES.xlsm'!S_MARGE_4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'COCKPIT_ZONES.xlsm'!S_TENSION_2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'COCKPIT_ZONES.xlsm'!S_TENSION_1</f>
            </strRef>
          </cat>
          <val>
            <numRef>
              <f>'COCKPIT_ZONES.xlsm'!S_TENSION_3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TUNON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97381</v>
      </c>
      <c r="AF7" s="1" t="n">
        <v>0</v>
      </c>
      <c r="AG7" s="1" t="n">
        <v>0</v>
      </c>
      <c r="AI7" s="1" t="inlineStr">
        <is>
          <t>Tunon Lyon</t>
        </is>
      </c>
      <c r="AJ7" s="1" t="n">
        <v>0.0589</v>
      </c>
      <c r="AK7" s="1" t="n">
        <v>0.0492</v>
      </c>
      <c r="AL7" s="1" t="n">
        <v>0.038</v>
      </c>
      <c r="AM7" s="1" t="n">
        <v>-2.09</v>
      </c>
      <c r="AN7" s="1" t="inlineStr">
        <is>
          <t>CAMPUS</t>
        </is>
      </c>
      <c r="AO7" s="1" t="inlineStr">
        <is>
          <t>TUNON_LYO</t>
        </is>
      </c>
      <c r="AP7" s="1" t="n">
        <v>774990</v>
      </c>
      <c r="AQ7" s="1" t="n">
        <v>45650</v>
      </c>
      <c r="AR7" s="1" t="n">
        <v>819270</v>
      </c>
      <c r="AS7" s="1" t="n">
        <v>40302</v>
      </c>
      <c r="AT7" t="n">
        <v>863550</v>
      </c>
      <c r="AU7" s="2" t="n">
        <v>32829</v>
      </c>
      <c r="AZ7" s="1" t="inlineStr">
        <is>
          <t>2024</t>
        </is>
      </c>
      <c r="BA7" s="1" t="n">
        <v>100</v>
      </c>
      <c r="BB7" s="1" t="n">
        <v>100</v>
      </c>
      <c r="BC7" s="1" t="n">
        <v>520</v>
      </c>
      <c r="BD7" s="1" t="n">
        <v>0</v>
      </c>
      <c r="BE7" s="1" t="n">
        <v>40570</v>
      </c>
      <c r="BF7" s="1" t="n">
        <v>78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97381</v>
      </c>
      <c r="AE8" t="n">
        <v>0</v>
      </c>
      <c r="AF8" t="n">
        <v>98051</v>
      </c>
      <c r="AG8" t="n">
        <v>0</v>
      </c>
      <c r="AI8" t="inlineStr">
        <is>
          <t>Tunon Paris</t>
        </is>
      </c>
      <c r="AJ8" t="n">
        <v>0.066</v>
      </c>
      <c r="AK8" t="n">
        <v>0.0562</v>
      </c>
      <c r="AL8" t="n">
        <v>0.045</v>
      </c>
      <c r="AM8" t="n">
        <v>-2.1</v>
      </c>
      <c r="AN8" t="inlineStr">
        <is>
          <t>CAMPUS</t>
        </is>
      </c>
      <c r="AO8" t="inlineStr">
        <is>
          <t>TUNON_PAR</t>
        </is>
      </c>
      <c r="AP8" t="n">
        <v>968100</v>
      </c>
      <c r="AQ8" t="n">
        <v>63906</v>
      </c>
      <c r="AR8" t="n">
        <v>1015320</v>
      </c>
      <c r="AS8" t="n">
        <v>57079</v>
      </c>
      <c r="AT8" t="n">
        <v>1086150</v>
      </c>
      <c r="AU8" t="n">
        <v>48896</v>
      </c>
      <c r="AZ8" t="inlineStr">
        <is>
          <t>2025</t>
        </is>
      </c>
      <c r="BA8" t="n">
        <v>110</v>
      </c>
      <c r="BB8" t="n">
        <v>105.1</v>
      </c>
      <c r="BC8" t="n">
        <v>544</v>
      </c>
      <c r="BD8" t="n">
        <v>4.9</v>
      </c>
      <c r="BE8" t="n">
        <v>44627</v>
      </c>
      <c r="BF8" t="n">
        <v>82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195421</v>
      </c>
      <c r="AE9" t="n">
        <v>0</v>
      </c>
      <c r="AF9" t="n">
        <v>0</v>
      </c>
      <c r="AG9" t="n">
        <v>11</v>
      </c>
      <c r="AZ9" t="inlineStr">
        <is>
          <t>2026</t>
        </is>
      </c>
      <c r="BA9" t="n">
        <v>121</v>
      </c>
      <c r="BB9" t="n">
        <v>111.5</v>
      </c>
      <c r="BC9" t="n">
        <v>564</v>
      </c>
      <c r="BD9" t="n">
        <v>9.5</v>
      </c>
      <c r="BE9" t="n">
        <v>49090</v>
      </c>
      <c r="BF9" t="n">
        <v>87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81725</v>
      </c>
      <c r="AE10" t="n">
        <v>0</v>
      </c>
      <c r="AF10" t="n">
        <v>0</v>
      </c>
      <c r="AG10" t="n">
        <v>113696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81725</v>
      </c>
      <c r="AF11" s="6" t="n">
        <v>0</v>
      </c>
      <c r="AG11" s="6" t="n">
        <v>0</v>
      </c>
      <c r="AH11" s="6" t="n"/>
      <c r="AI11" s="6" t="n"/>
      <c r="AJ11" s="6" t="n"/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SUBTOTAL(9,D39:D41)</f>
        <v/>
      </c>
      <c r="E38" s="123">
        <f>IFERROR((D38-R38)/R38,"")</f>
        <v/>
      </c>
      <c r="F38" s="111">
        <f>SUBTOTAL(9,F39:F41)</f>
        <v/>
      </c>
      <c r="G38" s="123">
        <f>IFERROR((F38-Q38)/Q38,"")</f>
        <v/>
      </c>
      <c r="H38" s="113">
        <f>SUBTOTAL(9,H39:H41)</f>
        <v/>
      </c>
      <c r="I38" s="113">
        <f>IFERROR(F38/D38,"")</f>
        <v/>
      </c>
      <c r="J38" s="124">
        <f>IFERROR((I38-U38)*100,"")</f>
        <v/>
      </c>
      <c r="K38" s="111">
        <f>SUBTOTAL(9,K39:K41)</f>
        <v/>
      </c>
      <c r="L38" s="113">
        <f>IFERROR(N38/O38,"")</f>
        <v/>
      </c>
      <c r="M38" s="113">
        <f>IFERROR(P38/N38,"")</f>
        <v/>
      </c>
      <c r="N38" s="115">
        <f>SUBTOTAL(9,N39:N41)</f>
        <v/>
      </c>
      <c r="O38" s="115">
        <f>SUBTOTAL(9,O39:O41)</f>
        <v/>
      </c>
      <c r="P38" s="6">
        <f>SUBTOTAL(9,P39:P41)</f>
        <v/>
      </c>
      <c r="Q38" s="6">
        <f>SUBTOTAL(9,Q39:Q41)</f>
        <v/>
      </c>
      <c r="R38" s="6">
        <f>SUBTOTAL(9,R39:R41)</f>
        <v/>
      </c>
      <c r="S38" s="6">
        <f>SUBTOTAL(9,S39:S41)</f>
        <v/>
      </c>
      <c r="T38" s="6">
        <f>SUBTOTAL(9,T39:T41)</f>
        <v/>
      </c>
      <c r="U38" s="6">
        <f>IFERROR(Q38/R38,"")</f>
        <v/>
      </c>
      <c r="V38" s="6">
        <f>SUBTOTAL(9,V39:V41)</f>
        <v/>
      </c>
      <c r="W38" s="6">
        <f>SUBTOTAL(9,W39:W41)</f>
        <v/>
      </c>
      <c r="X38" s="6">
        <f>SUBTOTAL(9,X39:X41)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Tunon</t>
        </is>
      </c>
      <c r="D39" s="111">
        <f>SUBTOTAL(9,D40:D41)</f>
        <v/>
      </c>
      <c r="E39" s="123">
        <f>IFERROR((D39-R39)/R39,"")</f>
        <v/>
      </c>
      <c r="F39" s="111">
        <f>SUBTOTAL(9,F40:F41)</f>
        <v/>
      </c>
      <c r="G39" s="123">
        <f>IFERROR((F39-Q39)/Q39,"")</f>
        <v/>
      </c>
      <c r="H39" s="113">
        <f>SUBTOTAL(9,H40:H41)</f>
        <v/>
      </c>
      <c r="I39" s="113">
        <f>IFERROR(F39/D39,"")</f>
        <v/>
      </c>
      <c r="J39" s="124">
        <f>IFERROR((I39-U39)*100,"")</f>
        <v/>
      </c>
      <c r="K39" s="111">
        <f>SUBTOTAL(9,K40:K41)</f>
        <v/>
      </c>
      <c r="L39" s="113">
        <f>IFERROR(N39/O39,"")</f>
        <v/>
      </c>
      <c r="M39" s="113">
        <f>IFERROR(P39/N39,"")</f>
        <v/>
      </c>
      <c r="N39" s="111">
        <f>SUBTOTAL(9,N40:N41)</f>
        <v/>
      </c>
      <c r="O39" s="111">
        <f>SUBTOTAL(9,O40:O41)</f>
        <v/>
      </c>
      <c r="P39">
        <f>SUBTOTAL(9,P40:P41)</f>
        <v/>
      </c>
      <c r="Q39" s="6">
        <f>SUBTOTAL(9,Q40:Q41)</f>
        <v/>
      </c>
      <c r="R39" s="6">
        <f>SUBTOTAL(9,R40:R41)</f>
        <v/>
      </c>
      <c r="S39" s="6">
        <f>SUBTOTAL(9,S40:S41)</f>
        <v/>
      </c>
      <c r="T39" s="6">
        <f>SUBTOTAL(9,T40:T41)</f>
        <v/>
      </c>
      <c r="U39" s="6">
        <f>IFERROR(Q39/R39,"")</f>
        <v/>
      </c>
      <c r="V39" s="6">
        <f>SUBTOTAL(9,V40:V41)</f>
        <v/>
      </c>
      <c r="W39" s="6">
        <f>SUBTOTAL(9,W40:W41)</f>
        <v/>
      </c>
      <c r="X39" s="6">
        <f>SUBTOTAL(9,X40:X41)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Tunon Lyon</t>
        </is>
      </c>
      <c r="D40" s="111" t="n">
        <v>863550</v>
      </c>
      <c r="E40" s="123">
        <f>IFERROR((D40-R40)/R40,"")</f>
        <v/>
      </c>
      <c r="F40" s="111" t="n">
        <v>32829.34196884636</v>
      </c>
      <c r="G40" s="123">
        <f>IFERROR((F40-Q40)/Q40,"")</f>
        <v/>
      </c>
      <c r="H40" s="113" t="n">
        <v>0.008536436436592222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40301.88030074014</v>
      </c>
      <c r="R40" s="6" t="n">
        <v>819270</v>
      </c>
      <c r="S40" s="6" t="n">
        <v>18850</v>
      </c>
      <c r="T40" s="6" t="n">
        <v>17136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Tunon Paris</t>
        </is>
      </c>
      <c r="D41" s="111" t="n">
        <v>1086150</v>
      </c>
      <c r="E41" s="123">
        <f>IFERROR((D41-R41)/R41,"")</f>
        <v/>
      </c>
      <c r="F41" s="111" t="n">
        <v>48895.78642460998</v>
      </c>
      <c r="G41" s="123">
        <f>IFERROR((F41-Q41)/Q41,"")</f>
        <v/>
      </c>
      <c r="H41" s="113" t="n">
        <v>0.01271410719188227</v>
      </c>
      <c r="I41" s="113">
        <f>IFERROR(F41/D41,"")</f>
        <v/>
      </c>
      <c r="J41" s="124">
        <f>IFERROR((I41-U41)*100,"")</f>
        <v/>
      </c>
      <c r="K41" s="111" t="n">
        <v>47</v>
      </c>
      <c r="L41" s="113">
        <f>IFERROR(N41/O41,"")</f>
        <v/>
      </c>
      <c r="M41" s="113">
        <f>IFERROR(P41/N41,"")</f>
        <v/>
      </c>
      <c r="N41" s="111" t="n">
        <v>138</v>
      </c>
      <c r="O41" s="111" t="n">
        <v>192</v>
      </c>
      <c r="P41" t="n">
        <v>138</v>
      </c>
      <c r="Q41" s="6" t="n">
        <v>57079.30344296087</v>
      </c>
      <c r="R41" s="6" t="n">
        <v>1015320</v>
      </c>
      <c r="S41" s="6" t="n">
        <v>30240</v>
      </c>
      <c r="T41" s="6" t="n">
        <v>27491</v>
      </c>
      <c r="U41" s="6">
        <f>IFERROR(Q41/R41,"")</f>
        <v/>
      </c>
      <c r="V41" s="6" t="n">
        <v>192</v>
      </c>
      <c r="W41" s="6" t="n">
        <v>44</v>
      </c>
      <c r="X41" s="6" t="n">
        <v>129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/>
      <c r="C42" s="110" t="n"/>
      <c r="D42" s="111" t="n"/>
      <c r="E42" s="123" t="n"/>
      <c r="F42" s="111" t="n"/>
      <c r="G42" s="123" t="n"/>
      <c r="H42" s="113" t="n"/>
      <c r="I42" s="113" t="n"/>
      <c r="J42" s="124" t="n"/>
      <c r="K42" s="111" t="n"/>
      <c r="L42" s="113" t="n"/>
      <c r="M42" s="113" t="n"/>
      <c r="N42" s="111" t="n"/>
      <c r="O42" s="111" t="n"/>
      <c r="Q42" s="6" t="n"/>
      <c r="R42" s="6" t="n"/>
      <c r="S42" s="6" t="n"/>
      <c r="T42" s="6" t="n"/>
      <c r="U42" s="6" t="n"/>
      <c r="V42" s="6" t="n"/>
      <c r="W42" s="6" t="n"/>
      <c r="X42" s="6" t="n"/>
      <c r="Y42" s="6" t="n"/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/>
      <c r="C43" s="110" t="n"/>
      <c r="D43" s="111" t="n"/>
      <c r="E43" s="123" t="n"/>
      <c r="F43" s="111" t="n"/>
      <c r="G43" s="123" t="n"/>
      <c r="H43" s="113" t="n"/>
      <c r="I43" s="113" t="n"/>
      <c r="J43" s="124" t="n"/>
      <c r="K43" s="111" t="n"/>
      <c r="L43" s="113" t="n"/>
      <c r="M43" s="113" t="n"/>
      <c r="N43" s="111" t="n"/>
      <c r="O43" s="111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/>
      <c r="C44" s="110" t="n"/>
      <c r="D44" s="111" t="n"/>
      <c r="E44" s="123" t="n"/>
      <c r="F44" s="111" t="n"/>
      <c r="G44" s="123" t="n"/>
      <c r="H44" s="113" t="n"/>
      <c r="I44" s="113" t="n"/>
      <c r="J44" s="124" t="n"/>
      <c r="K44" s="111" t="n"/>
      <c r="L44" s="113" t="n"/>
      <c r="M44" s="113" t="n"/>
      <c r="N44" s="111" t="n"/>
      <c r="O44" s="111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/>
      <c r="C45" s="110" t="n"/>
      <c r="D45" s="111" t="n"/>
      <c r="E45" s="123" t="n"/>
      <c r="F45" s="111" t="n"/>
      <c r="G45" s="123" t="n"/>
      <c r="H45" s="113" t="n"/>
      <c r="I45" s="113" t="n"/>
      <c r="J45" s="124" t="n"/>
      <c r="K45" s="111" t="n"/>
      <c r="L45" s="113" t="n"/>
      <c r="M45" s="113" t="n"/>
      <c r="N45" s="111" t="n"/>
      <c r="O45" s="111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/>
      <c r="C46" s="110" t="n"/>
      <c r="D46" s="111" t="n"/>
      <c r="E46" s="123" t="n"/>
      <c r="F46" s="111" t="n"/>
      <c r="G46" s="123" t="n"/>
      <c r="H46" s="113" t="n"/>
      <c r="I46" s="113" t="n"/>
      <c r="J46" s="124" t="n"/>
      <c r="K46" s="111" t="n"/>
      <c r="L46" s="113" t="n"/>
      <c r="M46" s="113" t="n"/>
      <c r="N46" s="111" t="n"/>
      <c r="O46" s="111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/>
      <c r="C47" s="110" t="n"/>
      <c r="D47" s="111" t="n"/>
      <c r="E47" s="123" t="n"/>
      <c r="F47" s="111" t="n"/>
      <c r="G47" s="123" t="n"/>
      <c r="H47" s="113" t="n"/>
      <c r="I47" s="113" t="n"/>
      <c r="J47" s="124" t="n"/>
      <c r="K47" s="111" t="n"/>
      <c r="L47" s="113" t="n"/>
      <c r="M47" s="113" t="n"/>
      <c r="N47" s="111" t="n"/>
      <c r="O47" s="111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/>
      <c r="C48" s="110" t="n"/>
      <c r="D48" s="111" t="n"/>
      <c r="E48" s="123" t="n"/>
      <c r="F48" s="111" t="n"/>
      <c r="G48" s="123" t="n"/>
      <c r="H48" s="113" t="n"/>
      <c r="I48" s="113" t="n"/>
      <c r="J48" s="124" t="n"/>
      <c r="K48" s="111" t="n"/>
      <c r="L48" s="113" t="n"/>
      <c r="M48" s="113" t="n"/>
      <c r="N48" s="111" t="n"/>
      <c r="O48" s="111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/>
      <c r="C49" s="110" t="n"/>
      <c r="D49" s="111" t="n"/>
      <c r="E49" s="123" t="n"/>
      <c r="F49" s="111" t="n"/>
      <c r="G49" s="123" t="n"/>
      <c r="H49" s="113" t="n"/>
      <c r="I49" s="113" t="n"/>
      <c r="J49" s="124" t="n"/>
      <c r="K49" s="111" t="n"/>
      <c r="L49" s="113" t="n"/>
      <c r="M49" s="113" t="n"/>
      <c r="N49" s="111" t="n"/>
      <c r="O49" s="111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/>
      <c r="C50" s="110" t="n"/>
      <c r="D50" s="111" t="n"/>
      <c r="E50" s="123" t="n"/>
      <c r="F50" s="111" t="n"/>
      <c r="G50" s="123" t="n"/>
      <c r="H50" s="113" t="n"/>
      <c r="I50" s="113" t="n"/>
      <c r="J50" s="124" t="n"/>
      <c r="K50" s="111" t="n"/>
      <c r="L50" s="113" t="n"/>
      <c r="M50" s="113" t="n"/>
      <c r="N50" s="111" t="n"/>
      <c r="O50" s="111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/>
      <c r="C51" s="110" t="n"/>
      <c r="D51" s="111" t="n"/>
      <c r="E51" s="123" t="n"/>
      <c r="F51" s="111" t="n"/>
      <c r="G51" s="123" t="n"/>
      <c r="H51" s="113" t="n"/>
      <c r="I51" s="113" t="n"/>
      <c r="J51" s="124" t="n"/>
      <c r="K51" s="111" t="n"/>
      <c r="L51" s="113" t="n"/>
      <c r="M51" s="113" t="n"/>
      <c r="N51" s="111" t="n"/>
      <c r="O51" s="111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/>
      <c r="C52" s="110" t="n"/>
      <c r="D52" s="111" t="n"/>
      <c r="E52" s="123" t="n"/>
      <c r="F52" s="111" t="n"/>
      <c r="G52" s="123" t="n"/>
      <c r="H52" s="113" t="n"/>
      <c r="I52" s="113" t="n"/>
      <c r="J52" s="124" t="n"/>
      <c r="K52" s="111" t="n"/>
      <c r="L52" s="113" t="n"/>
      <c r="M52" s="113" t="n"/>
      <c r="N52" s="111" t="n"/>
      <c r="O52" s="111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/>
      <c r="C53" s="110" t="n"/>
      <c r="D53" s="111" t="n"/>
      <c r="E53" s="123" t="n"/>
      <c r="F53" s="111" t="n"/>
      <c r="G53" s="123" t="n"/>
      <c r="H53" s="113" t="n"/>
      <c r="I53" s="113" t="n"/>
      <c r="J53" s="124" t="n"/>
      <c r="K53" s="111" t="n"/>
      <c r="L53" s="113" t="n"/>
      <c r="M53" s="113" t="n"/>
      <c r="N53" s="111" t="n"/>
      <c r="O53" s="111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/>
      <c r="C54" s="110" t="n"/>
      <c r="D54" s="111" t="n"/>
      <c r="E54" s="123" t="n"/>
      <c r="F54" s="111" t="n"/>
      <c r="G54" s="123" t="n"/>
      <c r="H54" s="113" t="n"/>
      <c r="I54" s="113" t="n"/>
      <c r="J54" s="124" t="n"/>
      <c r="K54" s="111" t="n"/>
      <c r="L54" s="113" t="n"/>
      <c r="M54" s="113" t="n"/>
      <c r="N54" s="111" t="n"/>
      <c r="O54" s="111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/>
      <c r="C55" s="110" t="n"/>
      <c r="D55" s="111" t="n"/>
      <c r="E55" s="123" t="n"/>
      <c r="F55" s="111" t="n"/>
      <c r="G55" s="123" t="n"/>
      <c r="H55" s="113" t="n"/>
      <c r="I55" s="113" t="n"/>
      <c r="J55" s="124" t="n"/>
      <c r="K55" s="111" t="n"/>
      <c r="L55" s="113" t="n"/>
      <c r="M55" s="113" t="n"/>
      <c r="N55" s="111" t="n"/>
      <c r="O55" s="111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/>
      <c r="C56" s="110" t="n"/>
      <c r="D56" s="111" t="n"/>
      <c r="E56" s="123" t="n"/>
      <c r="F56" s="111" t="n"/>
      <c r="G56" s="123" t="n"/>
      <c r="H56" s="113" t="n"/>
      <c r="I56" s="113" t="n"/>
      <c r="J56" s="124" t="n"/>
      <c r="K56" s="111" t="n"/>
      <c r="L56" s="113" t="n"/>
      <c r="M56" s="113" t="n"/>
      <c r="N56" s="111" t="n"/>
      <c r="O56" s="111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/>
      <c r="C57" s="110" t="n"/>
      <c r="D57" s="111" t="n"/>
      <c r="E57" s="123" t="n"/>
      <c r="F57" s="111" t="n"/>
      <c r="G57" s="123" t="n"/>
      <c r="H57" s="113" t="n"/>
      <c r="I57" s="113" t="n"/>
      <c r="J57" s="124" t="n"/>
      <c r="K57" s="111" t="n"/>
      <c r="L57" s="113" t="n"/>
      <c r="M57" s="113" t="n"/>
      <c r="N57" s="111" t="n"/>
      <c r="O57" s="111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2026-09-06T19:09:37Z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