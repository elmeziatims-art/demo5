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Cockpit (extrait)" sheetId="1" state="visible" r:id="rId1"/>
    <sheet name="② Drill — Pourquoi" sheetId="2" state="visible" r:id="rId2"/>
    <sheet name="③ Drill — Par comp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▲ &quot;0.0%;&quot;▼ &quot;0.0%"/>
    <numFmt numFmtId="165" formatCode="0.0%"/>
    <numFmt numFmtId="166" formatCode="&quot;↗ +&quot;0.0&quot; pt&quot;;&quot;↘ −&quot;0.0&quot; pt&quot;"/>
    <numFmt numFmtId="167" formatCode="#,##0&quot; €&quot;"/>
    <numFmt numFmtId="168" formatCode="0.00&quot; €&quot;"/>
    <numFmt numFmtId="169" formatCode="+#,##0;−#,##0"/>
    <numFmt numFmtId="170" formatCode="&quot;+ &quot;0.0%;&quot;− &quot;0.0%"/>
  </numFmts>
  <fonts count="26">
    <font>
      <name val="Calibri"/>
      <family val="2"/>
      <color theme="1"/>
      <sz val="11"/>
      <scheme val="minor"/>
    </font>
    <font>
      <name val="Segoe UI"/>
      <b val="1"/>
      <color rgb="00131922"/>
      <sz val="13"/>
    </font>
    <font>
      <name val="Segoe UI"/>
      <color rgb="007C8798"/>
      <sz val="9"/>
    </font>
    <font>
      <name val="Segoe UI"/>
      <b val="1"/>
      <color rgb="007C8798"/>
      <sz val="8.5"/>
    </font>
    <font>
      <name val="Segoe UI"/>
      <b val="1"/>
      <color rgb="00131922"/>
      <sz val="10"/>
    </font>
    <font>
      <name val="Consolas"/>
      <b val="1"/>
      <color rgb="00131922"/>
      <sz val="9.5"/>
    </font>
    <font>
      <name val="Segoe UI"/>
      <b val="1"/>
      <color rgb="00131922"/>
      <sz val="9.5"/>
    </font>
    <font>
      <name val="Segoe UI"/>
      <color rgb="004D5866"/>
      <sz val="9.5"/>
    </font>
    <font>
      <name val="Consolas"/>
      <color rgb="004D5866"/>
      <sz val="9.5"/>
    </font>
    <font>
      <name val="Consolas"/>
      <b val="1"/>
      <color rgb="00131922"/>
      <sz val="10"/>
    </font>
    <font>
      <name val="Segoe UI"/>
      <b val="1"/>
      <color rgb="00EB6834"/>
      <sz val="10"/>
    </font>
    <font>
      <name val="Segoe UI"/>
      <color rgb="007C8798"/>
      <sz val="8.5"/>
    </font>
    <font>
      <name val="Segoe UI"/>
      <b val="1"/>
      <color rgb="00FFFFFF"/>
      <sz val="13"/>
    </font>
    <font>
      <name val="Segoe UI"/>
      <color rgb="00D6E6F8"/>
      <sz val="9"/>
    </font>
    <font>
      <name val="Segoe UI"/>
      <color rgb="007C8798"/>
      <sz val="8"/>
    </font>
    <font>
      <name val="Consolas"/>
      <b val="1"/>
      <color rgb="002A78D6"/>
      <sz val="10"/>
    </font>
    <font>
      <name val="Segoe UI"/>
      <color rgb="004D5866"/>
      <sz val="9"/>
    </font>
    <font>
      <name val="Consolas"/>
      <color rgb="004D5866"/>
      <sz val="9"/>
    </font>
    <font>
      <name val="Consolas"/>
      <color rgb="007C8798"/>
      <sz val="9"/>
    </font>
    <font>
      <name val="Segoe UI"/>
      <color rgb="00131922"/>
      <sz val="10"/>
    </font>
    <font>
      <name val="Consolas"/>
      <b val="1"/>
      <color rgb="00131922"/>
      <sz val="11"/>
    </font>
    <font>
      <name val="Segoe UI"/>
      <b val="1"/>
      <color rgb="007C8798"/>
      <sz val="9"/>
    </font>
    <font>
      <name val="Consolas"/>
      <b val="1"/>
      <color rgb="000CA30C"/>
      <sz val="10"/>
    </font>
    <font>
      <name val="Segoe UI"/>
      <b val="1"/>
      <color rgb="000CA30C"/>
      <sz val="9"/>
    </font>
    <font>
      <name val="Segoe UI"/>
      <color rgb="007C8798"/>
      <sz val="7"/>
    </font>
    <font>
      <name val="Consolas"/>
      <color rgb="00131922"/>
      <sz val="9.5"/>
    </font>
  </fonts>
  <fills count="9">
    <fill>
      <patternFill/>
    </fill>
    <fill>
      <patternFill patternType="gray125"/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4F5F7"/>
      </patternFill>
    </fill>
    <fill>
      <patternFill patternType="solid">
        <fgColor rgb="00FBE3D8"/>
      </patternFill>
    </fill>
    <fill>
      <patternFill patternType="solid">
        <fgColor rgb="002A78D6"/>
      </patternFill>
    </fill>
    <fill>
      <patternFill patternType="solid">
        <fgColor rgb="00DCE9F9"/>
      </patternFill>
    </fill>
  </fills>
  <borders count="30">
    <border>
      <left/>
      <right/>
      <top/>
      <bottom/>
      <diagonal/>
    </border>
    <border>
      <left style="thin">
        <color rgb="00DFE4EC"/>
      </left>
      <top style="thin">
        <color rgb="00DFE4EC"/>
      </top>
    </border>
    <border>
      <top style="thin">
        <color rgb="00DFE4EC"/>
      </top>
    </border>
    <border>
      <right style="thin">
        <color rgb="00DFE4EC"/>
      </right>
      <top style="thin">
        <color rgb="00DFE4EC"/>
      </top>
    </border>
    <border>
      <left style="thin">
        <color rgb="00DFE4EC"/>
      </left>
      <bottom style="thin">
        <color rgb="00DFE4EC"/>
      </bottom>
    </border>
    <border>
      <bottom style="thin">
        <color rgb="00DFE4EC"/>
      </bottom>
    </border>
    <border>
      <right style="thin">
        <color rgb="00DFE4EC"/>
      </right>
      <bottom style="thin">
        <color rgb="00DFE4EC"/>
      </bottom>
    </border>
    <border>
      <left style="thin">
        <color rgb="00DFE4EC"/>
      </left>
    </border>
    <border/>
    <border>
      <right style="thin">
        <color rgb="00DFE4EC"/>
      </right>
    </border>
    <border>
      <bottom style="thin">
        <color rgb="00EAEEF4"/>
      </bottom>
    </border>
    <border>
      <left style="thin">
        <color rgb="00DCE9F9"/>
      </left>
      <right style="thin">
        <color rgb="00DCE9F9"/>
      </right>
      <bottom style="thin">
        <color rgb="00EAEEF4"/>
      </bottom>
    </border>
    <border>
      <left style="medium">
        <color rgb="00EB6834"/>
      </left>
      <right style="medium">
        <color rgb="00EB6834"/>
      </right>
      <top style="medium">
        <color rgb="00EB6834"/>
      </top>
      <bottom style="medium">
        <color rgb="00EB6834"/>
      </bottom>
    </border>
    <border>
      <left style="thin">
        <color rgb="00DFE4EC"/>
      </left>
      <right style="thin">
        <color rgb="00DFE4EC"/>
      </right>
      <top style="thin">
        <color rgb="00DFE4EC"/>
      </top>
      <bottom style="thin">
        <color rgb="00DFE4EC"/>
      </bottom>
    </border>
    <border>
      <left/>
      <right/>
      <top style="thin">
        <color rgb="00DFE4EC"/>
      </top>
      <bottom/>
      <diagonal/>
    </border>
    <border>
      <left style="thin">
        <color rgb="00DFE4EC"/>
      </left>
      <right/>
      <top/>
      <bottom/>
      <diagonal/>
    </border>
    <border>
      <left/>
      <right style="thin">
        <color rgb="00DFE4EC"/>
      </right>
      <top style="thin">
        <color rgb="00DFE4EC"/>
      </top>
      <bottom/>
      <diagonal/>
    </border>
    <border>
      <left/>
      <right style="thin">
        <color rgb="00DFE4EC"/>
      </right>
      <top/>
      <bottom/>
      <diagonal/>
    </border>
    <border>
      <left style="thin">
        <color rgb="00DFE4EC"/>
      </left>
      <right/>
      <top/>
      <bottom style="thin">
        <color rgb="00DFE4EC"/>
      </bottom>
      <diagonal/>
    </border>
    <border>
      <left/>
      <right/>
      <top/>
      <bottom style="thin">
        <color rgb="00DFE4EC"/>
      </bottom>
      <diagonal/>
    </border>
    <border>
      <left/>
      <right style="thin">
        <color rgb="00DFE4EC"/>
      </right>
      <top/>
      <bottom style="thin">
        <color rgb="00DFE4EC"/>
      </bottom>
      <diagonal/>
    </border>
    <border>
      <left style="thick">
        <color rgb="00EB6834"/>
      </left>
    </border>
    <border>
      <left style="thin">
        <color rgb="002A78D6"/>
      </left>
      <top style="thin">
        <color rgb="002A78D6"/>
      </top>
    </border>
    <border>
      <top style="thin">
        <color rgb="002A78D6"/>
      </top>
    </border>
    <border>
      <right style="thin">
        <color rgb="002A78D6"/>
      </right>
      <top style="thin">
        <color rgb="002A78D6"/>
      </top>
    </border>
    <border>
      <left style="thin">
        <color rgb="002A78D6"/>
      </left>
      <bottom style="thin">
        <color rgb="002A78D6"/>
      </bottom>
    </border>
    <border>
      <bottom style="thin">
        <color rgb="002A78D6"/>
      </bottom>
    </border>
    <border>
      <right style="thin">
        <color rgb="002A78D6"/>
      </right>
      <bottom style="thin">
        <color rgb="002A78D6"/>
      </bottom>
    </border>
    <border>
      <left style="thin">
        <color rgb="002A78D6"/>
      </left>
      <right style="thin">
        <color rgb="002A78D6"/>
      </right>
      <top style="thin">
        <color rgb="002A78D6"/>
      </top>
      <bottom style="thin">
        <color rgb="002A78D6"/>
      </bottom>
    </border>
    <border>
      <top style="thin">
        <color rgb="007C8798"/>
      </top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0" fontId="2" fillId="3" borderId="4" applyAlignment="1" pivotButton="0" quotePrefix="0" xfId="0">
      <alignment horizontal="left" vertical="center"/>
    </xf>
    <xf numFmtId="0" fontId="0" fillId="3" borderId="5" pivotButton="0" quotePrefix="0" xfId="0"/>
    <xf numFmtId="0" fontId="0" fillId="3" borderId="6" pivotButton="0" quotePrefix="0" xfId="0"/>
    <xf numFmtId="0" fontId="3" fillId="4" borderId="5" applyAlignment="1" pivotButton="0" quotePrefix="0" xfId="0">
      <alignment horizontal="left" vertical="center"/>
    </xf>
    <xf numFmtId="0" fontId="3" fillId="4" borderId="5" applyAlignment="1" pivotButton="0" quotePrefix="0" xfId="0">
      <alignment horizontal="right" vertical="center"/>
    </xf>
    <xf numFmtId="0" fontId="4" fillId="3" borderId="10" applyAlignment="1" pivotButton="0" quotePrefix="0" xfId="0">
      <alignment horizontal="left" vertical="center"/>
    </xf>
    <xf numFmtId="3" fontId="5" fillId="3" borderId="11" applyAlignment="1" pivotButton="0" quotePrefix="0" xfId="0">
      <alignment horizontal="right" vertical="center"/>
    </xf>
    <xf numFmtId="164" fontId="5" fillId="5" borderId="10" applyAlignment="1" pivotButton="0" quotePrefix="0" xfId="0">
      <alignment horizontal="right" vertical="center"/>
    </xf>
    <xf numFmtId="165" fontId="5" fillId="3" borderId="11" applyAlignment="1" pivotButton="0" quotePrefix="0" xfId="0">
      <alignment horizontal="right" vertical="center"/>
    </xf>
    <xf numFmtId="166" fontId="5" fillId="5" borderId="10" applyAlignment="1" pivotButton="0" quotePrefix="0" xfId="0">
      <alignment horizontal="right" vertical="center"/>
    </xf>
    <xf numFmtId="0" fontId="6" fillId="3" borderId="10" applyAlignment="1" pivotButton="0" quotePrefix="0" xfId="0">
      <alignment horizontal="left" vertical="center" indent="1"/>
    </xf>
    <xf numFmtId="0" fontId="11" fillId="2" borderId="0" pivotButton="0" quotePrefix="0" xfId="0"/>
    <xf numFmtId="0" fontId="7" fillId="3" borderId="10" applyAlignment="1" pivotButton="0" quotePrefix="0" xfId="0">
      <alignment horizontal="left" vertical="center" indent="2"/>
    </xf>
    <xf numFmtId="3" fontId="8" fillId="3" borderId="11" applyAlignment="1" pivotButton="0" quotePrefix="0" xfId="0">
      <alignment horizontal="right" vertical="center"/>
    </xf>
    <xf numFmtId="164" fontId="8" fillId="5" borderId="10" applyAlignment="1" pivotButton="0" quotePrefix="0" xfId="0">
      <alignment horizontal="right" vertical="center"/>
    </xf>
    <xf numFmtId="3" fontId="9" fillId="6" borderId="12" applyAlignment="1" pivotButton="0" quotePrefix="0" xfId="0">
      <alignment horizontal="right" vertical="center"/>
    </xf>
    <xf numFmtId="165" fontId="8" fillId="3" borderId="11" applyAlignment="1" pivotButton="0" quotePrefix="0" xfId="0">
      <alignment horizontal="right" vertical="center"/>
    </xf>
    <xf numFmtId="166" fontId="8" fillId="5" borderId="1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0" fillId="3" borderId="4" pivotButton="0" quotePrefix="0" xfId="0"/>
    <xf numFmtId="0" fontId="7" fillId="4" borderId="2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12" fillId="7" borderId="22" applyAlignment="1" pivotButton="0" quotePrefix="0" xfId="0">
      <alignment horizontal="left" vertical="center"/>
    </xf>
    <xf numFmtId="0" fontId="0" fillId="7" borderId="23" pivotButton="0" quotePrefix="0" xfId="0"/>
    <xf numFmtId="0" fontId="0" fillId="7" borderId="24" pivotButton="0" quotePrefix="0" xfId="0"/>
    <xf numFmtId="0" fontId="13" fillId="7" borderId="25" applyAlignment="1" pivotButton="0" quotePrefix="0" xfId="0">
      <alignment horizontal="left" vertical="center"/>
    </xf>
    <xf numFmtId="0" fontId="0" fillId="7" borderId="26" pivotButton="0" quotePrefix="0" xfId="0"/>
    <xf numFmtId="0" fontId="0" fillId="7" borderId="27" pivotButton="0" quotePrefix="0" xfId="0"/>
    <xf numFmtId="0" fontId="3" fillId="3" borderId="1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0" fontId="15" fillId="8" borderId="28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3" borderId="3" applyAlignment="1" pivotButton="0" quotePrefix="0" xfId="0">
      <alignment horizontal="right" vertical="center"/>
    </xf>
    <xf numFmtId="0" fontId="24" fillId="2" borderId="0" pivotButton="0" quotePrefix="0" xfId="0"/>
    <xf numFmtId="0" fontId="24" fillId="0" borderId="0" pivotButton="0" quotePrefix="0" xfId="0"/>
    <xf numFmtId="0" fontId="4" fillId="4" borderId="10" applyAlignment="1" pivotButton="0" quotePrefix="0" xfId="0">
      <alignment horizontal="left" vertical="center"/>
    </xf>
    <xf numFmtId="167" fontId="9" fillId="4" borderId="10" applyAlignment="1" pivotButton="0" quotePrefix="0" xfId="0">
      <alignment horizontal="right" vertical="center"/>
    </xf>
    <xf numFmtId="0" fontId="18" fillId="4" borderId="10" applyAlignment="1" pivotButton="0" quotePrefix="0" xfId="0">
      <alignment horizontal="right" vertical="center"/>
    </xf>
    <xf numFmtId="0" fontId="2" fillId="4" borderId="10" applyAlignment="1" pivotButton="0" quotePrefix="0" xfId="0">
      <alignment horizontal="left" vertical="center"/>
    </xf>
    <xf numFmtId="0" fontId="16" fillId="3" borderId="7" applyAlignment="1" pivotButton="0" quotePrefix="0" xfId="0">
      <alignment horizontal="left" vertical="center"/>
    </xf>
    <xf numFmtId="3" fontId="17" fillId="3" borderId="10" applyAlignment="1" pivotButton="0" quotePrefix="0" xfId="0">
      <alignment horizontal="right" vertical="center"/>
    </xf>
    <xf numFmtId="3" fontId="24" fillId="0" borderId="0" pivotButton="0" quotePrefix="0" xfId="0"/>
    <xf numFmtId="0" fontId="19" fillId="3" borderId="10" applyAlignment="1" pivotButton="0" quotePrefix="0" xfId="0">
      <alignment horizontal="left" vertical="center"/>
    </xf>
    <xf numFmtId="167" fontId="9" fillId="3" borderId="10" applyAlignment="1" pivotButton="0" quotePrefix="0" xfId="0">
      <alignment horizontal="right" vertical="center"/>
    </xf>
    <xf numFmtId="0" fontId="18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horizontal="left" vertical="center"/>
    </xf>
    <xf numFmtId="167" fontId="20" fillId="4" borderId="10" applyAlignment="1" pivotButton="0" quotePrefix="0" xfId="0">
      <alignment horizontal="right" vertical="center"/>
    </xf>
    <xf numFmtId="0" fontId="16" fillId="3" borderId="4" applyAlignment="1" pivotButton="0" quotePrefix="0" xfId="0">
      <alignment horizontal="left" vertical="center"/>
    </xf>
    <xf numFmtId="0" fontId="21" fillId="3" borderId="4" applyAlignment="1" pivotButton="0" quotePrefix="0" xfId="0">
      <alignment horizontal="left" vertical="center"/>
    </xf>
    <xf numFmtId="168" fontId="22" fillId="3" borderId="5" applyAlignment="1" pivotButton="0" quotePrefix="0" xfId="0">
      <alignment horizontal="right" vertical="center"/>
    </xf>
    <xf numFmtId="0" fontId="23" fillId="3" borderId="6" applyAlignment="1" pivotButton="0" quotePrefix="0" xfId="0">
      <alignment horizontal="left" vertical="center"/>
    </xf>
    <xf numFmtId="0" fontId="15" fillId="3" borderId="4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center"/>
    </xf>
    <xf numFmtId="0" fontId="7" fillId="3" borderId="10" applyAlignment="1" pivotButton="0" quotePrefix="0" xfId="0">
      <alignment horizontal="left" vertical="center"/>
    </xf>
    <xf numFmtId="3" fontId="25" fillId="3" borderId="10" applyAlignment="1" pivotButton="0" quotePrefix="0" xfId="0">
      <alignment horizontal="right" vertical="center"/>
    </xf>
    <xf numFmtId="169" fontId="5" fillId="3" borderId="10" applyAlignment="1" pivotButton="0" quotePrefix="0" xfId="0">
      <alignment horizontal="right" vertical="center"/>
    </xf>
    <xf numFmtId="170" fontId="25" fillId="3" borderId="10" applyAlignment="1" pivotButton="0" quotePrefix="0" xfId="0">
      <alignment horizontal="right" vertical="center"/>
    </xf>
    <xf numFmtId="0" fontId="11" fillId="3" borderId="10" applyAlignment="1" pivotButton="0" quotePrefix="0" xfId="0">
      <alignment horizontal="left" vertical="center"/>
    </xf>
    <xf numFmtId="0" fontId="6" fillId="2" borderId="0" pivotButton="0" quotePrefix="0" xfId="0"/>
    <xf numFmtId="3" fontId="9" fillId="2" borderId="29" applyAlignment="1" pivotButton="0" quotePrefix="0" xfId="0">
      <alignment horizontal="right" vertical="center"/>
    </xf>
    <xf numFmtId="169" fontId="9" fillId="2" borderId="29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Consolas"/>
        <b val="1"/>
        <color rgb="000CA30C"/>
        <sz val="10"/>
      </font>
    </dxf>
    <dxf>
      <font>
        <name val="Consolas"/>
        <b val="1"/>
        <color rgb="00D03B3B"/>
        <sz val="10"/>
      </font>
    </dxf>
    <dxf>
      <font>
        <name val="Consolas"/>
        <b val="1"/>
        <color rgb="00D03B3B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TUNON_PAR  ·  2025 → 2026</a:t>
            </a:r>
          </a:p>
        </rich>
      </tx>
    </title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'② Drill — Pourquoi'!$K$11:$K$16</f>
            </numRef>
          </cat>
          <val>
            <numRef>
              <f>'② Drill — Pourquoi'!$L$11:$L$16</f>
            </numRef>
          </val>
        </ser>
        <ser>
          <idx val="1"/>
          <order val="1"/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#,##0&quot; €&quot;"/>
            <dLblPos val="ctr"/>
            <showLegendKey val="0"/>
            <showVal val="1"/>
            <showCatName val="0"/>
            <showSerName val="0"/>
          </dLbls>
          <cat>
            <numRef>
              <f>'② Drill — Pourquoi'!$K$11:$K$16</f>
            </numRef>
          </cat>
          <val>
            <numRef>
              <f>'② Drill — Pourquoi'!$M$11:$M$16</f>
            </numRef>
          </val>
        </ser>
        <ser>
          <idx val="2"/>
          <order val="2"/>
          <spPr>
            <a:solidFill>
              <a:srgbClr val="0CA30C"/>
            </a:solidFill>
            <a:ln>
              <a:solidFill>
                <a:srgbClr val="0CA30C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'② Drill — Pourquoi'!$K$11:$K$16</f>
            </numRef>
          </cat>
          <val>
            <numRef>
              <f>'② Drill — Pourquoi'!$N$11:$N$16</f>
            </numRef>
          </val>
        </ser>
        <ser>
          <idx val="3"/>
          <order val="3"/>
          <spPr>
            <a:solidFill>
              <a:srgbClr val="D03B3B"/>
            </a:solidFill>
            <a:ln>
              <a:solidFill>
                <a:srgbClr val="D03B3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'② Drill — Pourquoi'!$K$11:$K$16</f>
            </numRef>
          </cat>
          <val>
            <numRef>
              <f>'② Drill — Pourquoi'!$O$11:$O$16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5000"/>
          <min val="90000"/>
        </scaling>
        <delete val="0"/>
        <axPos val="l"/>
        <majorGridlines/>
        <numFmt formatCode="#,##0 &quot;€&quot;" sourceLinked="0"/>
        <majorTickMark val="none"/>
        <minorTickMark val="none"/>
        <crossAx val="10"/>
        <majorUnit val="1000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84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6" customHeight="1">
      <c r="A2" s="1" t="n"/>
      <c r="B2" s="2" t="inlineStr">
        <is>
          <t xml:space="preserve">  Cockpit › Portefeuille — marque &amp; campus</t>
        </is>
      </c>
      <c r="C2" s="3" t="n"/>
      <c r="D2" s="3" t="n"/>
      <c r="E2" s="3" t="n"/>
      <c r="F2" s="3" t="n"/>
      <c r="G2" s="3" t="n"/>
      <c r="H2" s="3" t="n"/>
      <c r="I2" s="3" t="n"/>
      <c r="J2" s="4" t="n"/>
      <c r="K2" s="1" t="n"/>
      <c r="L2" s="1" t="n"/>
      <c r="M2" s="1" t="n"/>
      <c r="N2" s="1" t="n"/>
      <c r="O2" s="1" t="n"/>
    </row>
    <row r="3" ht="16" customHeight="1">
      <c r="A3" s="1" t="n"/>
      <c r="B3" s="5" t="inlineStr">
        <is>
          <t xml:space="preserve">  exercice 2026 · les cellules encadrées en bleu sont des cellules de MATRICE : elles portent le contexte, donc elles sont drillables</t>
        </is>
      </c>
      <c r="C3" s="6" t="n"/>
      <c r="D3" s="6" t="n"/>
      <c r="E3" s="6" t="n"/>
      <c r="F3" s="6" t="n"/>
      <c r="G3" s="6" t="n"/>
      <c r="H3" s="6" t="n"/>
      <c r="I3" s="6" t="n"/>
      <c r="J3" s="7" t="n"/>
      <c r="K3" s="1" t="n"/>
      <c r="L3" s="1" t="n"/>
      <c r="M3" s="1" t="n"/>
      <c r="N3" s="1" t="n"/>
      <c r="O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8" customHeight="1">
      <c r="A5" s="1" t="n"/>
      <c r="B5" s="8" t="inlineStr">
        <is>
          <t>Marque / campus</t>
        </is>
      </c>
      <c r="C5" s="9" t="inlineStr">
        <is>
          <t>CA 2026</t>
        </is>
      </c>
      <c r="D5" s="9" t="inlineStr">
        <is>
          <t>Δ CA</t>
        </is>
      </c>
      <c r="E5" s="9" t="inlineStr">
        <is>
          <t>EBITDA 2026</t>
        </is>
      </c>
      <c r="F5" s="9" t="inlineStr">
        <is>
          <t>Δ EBITDA</t>
        </is>
      </c>
      <c r="G5" s="9" t="inlineStr">
        <is>
          <t>Marge</t>
        </is>
      </c>
      <c r="H5" s="9" t="inlineStr">
        <is>
          <t>Δ marge</t>
        </is>
      </c>
      <c r="I5" s="9" t="inlineStr">
        <is>
          <t>Effectifs</t>
        </is>
      </c>
      <c r="J5" s="1" t="n"/>
      <c r="K5" s="1" t="n"/>
      <c r="L5" s="1" t="n"/>
      <c r="M5" s="1" t="n"/>
      <c r="N5" s="1" t="n"/>
      <c r="O5" s="1" t="n"/>
    </row>
    <row r="6" ht="20" customHeight="1">
      <c r="A6" s="1" t="n"/>
      <c r="B6" s="10" t="inlineStr">
        <is>
          <t>GROUPE</t>
        </is>
      </c>
      <c r="C6" s="11" t="n">
        <v>23098985</v>
      </c>
      <c r="D6" s="12" t="n">
        <v>0.0608</v>
      </c>
      <c r="E6" s="11" t="n">
        <v>3845790</v>
      </c>
      <c r="F6" s="12" t="n">
        <v>0.1036</v>
      </c>
      <c r="G6" s="13" t="n">
        <v>0.1665</v>
      </c>
      <c r="H6" s="14" t="n">
        <v>0.6</v>
      </c>
      <c r="I6" s="11" t="n">
        <v>2597</v>
      </c>
      <c r="J6" s="1" t="n"/>
      <c r="K6" s="1" t="n"/>
      <c r="L6" s="1" t="n"/>
      <c r="M6" s="1" t="n"/>
      <c r="N6" s="1" t="n"/>
      <c r="O6" s="1" t="n"/>
    </row>
    <row r="7" ht="20" customHeight="1">
      <c r="A7" s="1" t="n"/>
      <c r="B7" s="15" t="inlineStr">
        <is>
          <t>Tunon</t>
        </is>
      </c>
      <c r="C7" s="11" t="n">
        <v>1847900</v>
      </c>
      <c r="D7" s="12" t="n">
        <v>0.0191</v>
      </c>
      <c r="E7" s="11" t="n">
        <v>73900</v>
      </c>
      <c r="F7" s="12" t="n">
        <v>-0.2144</v>
      </c>
      <c r="G7" s="13" t="n">
        <v>0.04</v>
      </c>
      <c r="H7" s="14" t="n">
        <v>-1.2</v>
      </c>
      <c r="I7" s="11" t="n">
        <v>309</v>
      </c>
      <c r="J7" s="1" t="n"/>
      <c r="K7" s="16" t="inlineStr">
        <is>
          <t>colonnes grisées = formules Excel : pas de contexte, pas de drill</t>
        </is>
      </c>
      <c r="L7" s="1" t="n"/>
      <c r="M7" s="1" t="n"/>
      <c r="N7" s="1" t="n"/>
      <c r="O7" s="1" t="n"/>
    </row>
    <row r="8" ht="20" customHeight="1">
      <c r="A8" s="1" t="n"/>
      <c r="B8" s="17" t="inlineStr">
        <is>
          <t>TUNON_PAR</t>
        </is>
      </c>
      <c r="C8" s="18" t="n">
        <v>1102400</v>
      </c>
      <c r="D8" s="19" t="n">
        <v>0.031</v>
      </c>
      <c r="E8" s="20" t="n">
        <v>96300</v>
      </c>
      <c r="F8" s="19" t="n">
        <v>-0.0982</v>
      </c>
      <c r="G8" s="21" t="n">
        <v>0.08740000000000001</v>
      </c>
      <c r="H8" s="22" t="n">
        <v>-1.3</v>
      </c>
      <c r="I8" s="18" t="n">
        <v>124</v>
      </c>
      <c r="J8" s="1" t="n"/>
      <c r="K8" s="23" t="inlineStr">
        <is>
          <t>◀  clic droit ici › Drill through</t>
        </is>
      </c>
      <c r="L8" s="1" t="n"/>
      <c r="M8" s="1" t="n"/>
      <c r="N8" s="1" t="n"/>
      <c r="O8" s="1" t="n"/>
    </row>
    <row r="9" ht="20" customHeight="1">
      <c r="A9" s="1" t="n"/>
      <c r="B9" s="17" t="inlineStr">
        <is>
          <t>TUNON_LYO</t>
        </is>
      </c>
      <c r="C9" s="18" t="n">
        <v>745500</v>
      </c>
      <c r="D9" s="19" t="n">
        <v>0.002</v>
      </c>
      <c r="E9" s="18" t="n">
        <v>-22400</v>
      </c>
      <c r="F9" s="19" t="inlineStr">
        <is>
          <t>n/s</t>
        </is>
      </c>
      <c r="G9" s="21" t="n">
        <v>-0.03</v>
      </c>
      <c r="H9" s="22" t="n">
        <v>-1.3</v>
      </c>
      <c r="I9" s="18" t="n">
        <v>84</v>
      </c>
      <c r="J9" s="1" t="n"/>
      <c r="K9" s="16" t="inlineStr">
        <is>
          <t>le contexte transmis : REEL · V_FINAL · 12 · 2026 · TUNON_PAR</t>
        </is>
      </c>
      <c r="L9" s="1" t="n"/>
      <c r="M9" s="1" t="n"/>
      <c r="N9" s="1" t="n"/>
      <c r="O9" s="1" t="n"/>
    </row>
    <row r="10" ht="20" customHeight="1">
      <c r="A10" s="1" t="n"/>
      <c r="B10" s="24" t="n"/>
      <c r="C10" s="6" t="n"/>
      <c r="D10" s="6" t="n"/>
      <c r="E10" s="6" t="n"/>
      <c r="F10" s="6" t="n"/>
      <c r="G10" s="6" t="n"/>
      <c r="H10" s="6" t="n"/>
      <c r="I10" s="7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1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25" t="inlineStr">
        <is>
          <t xml:space="preserve">  Pourquoi cette cellule et pas une autre.  L'audience regarde Tunon depuis le cockpit. TUNON_PAR fait +3,1 % de CA et −9,8 % d'EBITDA, pendant que le groupe fait +10,4 % : la contradiction est visible, la question se pose d'elle-même. Et son détail tient sur un écran — 6 étapes de bridge, 9 comptes. Un drill sur le CA groupe ouvrirait des milliers de lignes et la démonstration tomberait à plat.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1" t="n"/>
      <c r="M13" s="1" t="n"/>
      <c r="N13" s="1" t="n"/>
      <c r="O13" s="1" t="n"/>
    </row>
    <row r="14">
      <c r="A14" s="1" t="n"/>
      <c r="B14" s="28" t="n"/>
      <c r="K14" s="29" t="n"/>
      <c r="L14" s="1" t="n"/>
      <c r="M14" s="1" t="n"/>
      <c r="N14" s="1" t="n"/>
      <c r="O14" s="1" t="n"/>
    </row>
    <row r="15">
      <c r="A15" s="1" t="n"/>
      <c r="B15" s="28" t="n"/>
      <c r="K15" s="29" t="n"/>
      <c r="L15" s="1" t="n"/>
      <c r="M15" s="1" t="n"/>
      <c r="N15" s="1" t="n"/>
      <c r="O15" s="1" t="n"/>
    </row>
    <row r="16">
      <c r="A16" s="1" t="n"/>
      <c r="B16" s="28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</sheetData>
  <mergeCells count="1">
    <mergeCell ref="B13:K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2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1" t="n"/>
      <c r="B2" s="32" t="inlineStr">
        <is>
          <t xml:space="preserve">  Drill through  ›  Pourquoi l'EBITDA a-t-il varié ?</t>
        </is>
      </c>
      <c r="C2" s="33" t="n"/>
      <c r="D2" s="33" t="n"/>
      <c r="E2" s="33" t="n"/>
      <c r="F2" s="33" t="n"/>
      <c r="G2" s="33" t="n"/>
      <c r="H2" s="33" t="n"/>
      <c r="I2" s="34" t="n"/>
      <c r="J2" s="1" t="n"/>
      <c r="K2" s="1" t="n"/>
    </row>
    <row r="3" ht="16" customHeight="1">
      <c r="A3" s="1" t="n"/>
      <c r="B3" s="35" t="inlineStr">
        <is>
          <t xml:space="preserve">  DRILL_EBITDA_POURQUOI.sql — exécutée sur la cellule, paramètres hérités de son contexte</t>
        </is>
      </c>
      <c r="C3" s="36" t="n"/>
      <c r="D3" s="36" t="n"/>
      <c r="E3" s="36" t="n"/>
      <c r="F3" s="36" t="n"/>
      <c r="G3" s="36" t="n"/>
      <c r="H3" s="36" t="n"/>
      <c r="I3" s="37" t="n"/>
      <c r="J3" s="1" t="n"/>
      <c r="K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6" customHeight="1">
      <c r="A5" s="1" t="n"/>
      <c r="B5" s="38" t="inlineStr">
        <is>
          <t xml:space="preserve">  CONTEXTE HÉRITÉ DE LA CELLULE</t>
        </is>
      </c>
      <c r="C5" s="39" t="inlineStr">
        <is>
          <t>:SCENARIO</t>
        </is>
      </c>
      <c r="D5" s="39" t="inlineStr">
        <is>
          <t>:VERSION</t>
        </is>
      </c>
      <c r="E5" s="39" t="inlineStr">
        <is>
          <t>:PERIODE</t>
        </is>
      </c>
      <c r="F5" s="39" t="inlineStr">
        <is>
          <t>:EXERCICE</t>
        </is>
      </c>
      <c r="G5" s="39" t="inlineStr">
        <is>
          <t>:ENTITY</t>
        </is>
      </c>
      <c r="H5" s="3" t="n"/>
      <c r="I5" s="4" t="n"/>
      <c r="J5" s="1" t="n"/>
      <c r="K5" s="1" t="n"/>
    </row>
    <row r="6" ht="20" customHeight="1">
      <c r="A6" s="1" t="n"/>
      <c r="B6" s="24" t="n"/>
      <c r="C6" s="40" t="inlineStr">
        <is>
          <t>REEL</t>
        </is>
      </c>
      <c r="D6" s="40" t="inlineStr">
        <is>
          <t>V_FINAL</t>
        </is>
      </c>
      <c r="E6" s="40" t="inlineStr">
        <is>
          <t>12</t>
        </is>
      </c>
      <c r="F6" s="40" t="inlineStr">
        <is>
          <t>2026</t>
        </is>
      </c>
      <c r="G6" s="40" t="inlineStr">
        <is>
          <t>TUNON_PAR</t>
        </is>
      </c>
      <c r="H6" s="6" t="n"/>
      <c r="I6" s="7" t="n"/>
      <c r="J6" s="1" t="n"/>
      <c r="K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20" customHeight="1">
      <c r="A8" s="1" t="n"/>
      <c r="B8" s="41" t="inlineStr">
        <is>
          <t>Cellule d'origine :  Cockpit › Portefeuille › TUNON_PAR › EBITDA 2026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8" customHeight="1">
      <c r="A10" s="1" t="n"/>
      <c r="B10" s="8" t="inlineStr">
        <is>
          <t>Étape</t>
        </is>
      </c>
      <c r="C10" s="9" t="inlineStr">
        <is>
          <t>Montant</t>
        </is>
      </c>
      <c r="D10" s="8" t="inlineStr">
        <is>
          <t>Détail</t>
        </is>
      </c>
      <c r="E10" s="8" t="inlineStr">
        <is>
          <t>Lecture</t>
        </is>
      </c>
      <c r="F10" s="1" t="n"/>
      <c r="G10" s="38" t="inlineStr">
        <is>
          <t xml:space="preserve">  Agrégats lus</t>
        </is>
      </c>
      <c r="H10" s="42" t="inlineStr">
        <is>
          <t>2025</t>
        </is>
      </c>
      <c r="I10" s="43" t="inlineStr">
        <is>
          <t>2026</t>
        </is>
      </c>
      <c r="J10" s="1" t="n"/>
      <c r="K10" s="44" t="inlineStr">
        <is>
          <t>Étape</t>
        </is>
      </c>
      <c r="L10" s="45" t="inlineStr">
        <is>
          <t>Socle</t>
        </is>
      </c>
      <c r="M10" s="45" t="inlineStr">
        <is>
          <t>Ancre</t>
        </is>
      </c>
      <c r="N10" s="45" t="inlineStr">
        <is>
          <t>Hausse</t>
        </is>
      </c>
      <c r="O10" s="45" t="inlineStr">
        <is>
          <t>Baisse</t>
        </is>
      </c>
    </row>
    <row r="11" ht="19" customHeight="1">
      <c r="A11" s="1" t="n"/>
      <c r="B11" s="46" t="inlineStr">
        <is>
          <t>EBITDA 2025</t>
        </is>
      </c>
      <c r="C11" s="47">
        <f>H12-H13-H14</f>
        <v/>
      </c>
      <c r="D11" s="48" t="n"/>
      <c r="E11" s="49" t="inlineStr">
        <is>
          <t xml:space="preserve">  point de départ</t>
        </is>
      </c>
      <c r="F11" s="1" t="n"/>
      <c r="G11" s="50" t="inlineStr">
        <is>
          <t>Effectifs</t>
        </is>
      </c>
      <c r="H11" s="51" t="n">
        <v>122</v>
      </c>
      <c r="I11" s="51" t="n">
        <v>124</v>
      </c>
      <c r="J11" s="1" t="n"/>
      <c r="K11" s="44" t="inlineStr">
        <is>
          <t>EBITDA 2025</t>
        </is>
      </c>
      <c r="L11" s="52" t="inlineStr">
        <is>
          <t>0</t>
        </is>
      </c>
      <c r="M11" s="52">
        <f>C11</f>
        <v/>
      </c>
      <c r="N11" s="52" t="inlineStr">
        <is>
          <t>0</t>
        </is>
      </c>
      <c r="O11" s="52" t="inlineStr">
        <is>
          <t>0</t>
        </is>
      </c>
    </row>
    <row r="12" ht="19" customHeight="1">
      <c r="A12" s="1" t="n"/>
      <c r="B12" s="53" t="inlineStr">
        <is>
          <t>+ Effet effectifs</t>
        </is>
      </c>
      <c r="C12" s="54">
        <f>(I11-H11)*(H15-H16)</f>
        <v/>
      </c>
      <c r="D12" s="55">
        <f>H11&amp;" → "&amp;I11&amp;" élèves"</f>
        <v/>
      </c>
      <c r="E12" s="56" t="inlineStr">
        <is>
          <t xml:space="preserve">  volume, valorisé à la marge variable 2025</t>
        </is>
      </c>
      <c r="F12" s="1" t="n"/>
      <c r="G12" s="50" t="inlineStr">
        <is>
          <t>CA</t>
        </is>
      </c>
      <c r="H12" s="51" t="n">
        <v>1069253</v>
      </c>
      <c r="I12" s="51" t="n">
        <v>1102400</v>
      </c>
      <c r="J12" s="1" t="n"/>
      <c r="K12" s="44" t="inlineStr">
        <is>
          <t>Effectifs</t>
        </is>
      </c>
      <c r="L12" s="52">
        <f>C11</f>
        <v/>
      </c>
      <c r="M12" s="52" t="inlineStr">
        <is>
          <t>0</t>
        </is>
      </c>
      <c r="N12" s="52">
        <f>C12</f>
        <v/>
      </c>
      <c r="O12" s="52" t="inlineStr">
        <is>
          <t>0</t>
        </is>
      </c>
    </row>
    <row r="13" ht="19" customHeight="1">
      <c r="A13" s="1" t="n"/>
      <c r="B13" s="53" t="inlineStr">
        <is>
          <t>+ Effet prix / mix</t>
        </is>
      </c>
      <c r="C13" s="54">
        <f>(I15-H15)*I11</f>
        <v/>
      </c>
      <c r="D13" s="55">
        <f>ROUND(H15,0)&amp;" → "&amp;ROUND(I15,0)&amp;" € / élève"</f>
        <v/>
      </c>
      <c r="E13" s="56" t="inlineStr">
        <is>
          <t xml:space="preserve">  tarif, mix initiale/alternance, mix programmes</t>
        </is>
      </c>
      <c r="F13" s="1" t="n"/>
      <c r="G13" s="50" t="inlineStr">
        <is>
          <t>Coût variable</t>
        </is>
      </c>
      <c r="H13" s="51" t="n">
        <v>42944</v>
      </c>
      <c r="I13" s="51" t="n">
        <v>45012</v>
      </c>
      <c r="J13" s="1" t="n"/>
      <c r="K13" s="44" t="inlineStr">
        <is>
          <t>Prix / mix</t>
        </is>
      </c>
      <c r="L13" s="52">
        <f>C11+C12</f>
        <v/>
      </c>
      <c r="M13" s="52" t="inlineStr">
        <is>
          <t>0</t>
        </is>
      </c>
      <c r="N13" s="52">
        <f>C13</f>
        <v/>
      </c>
      <c r="O13" s="52" t="inlineStr">
        <is>
          <t>0</t>
        </is>
      </c>
    </row>
    <row r="14" ht="19" customHeight="1">
      <c r="A14" s="1" t="n"/>
      <c r="B14" s="53" t="inlineStr">
        <is>
          <t>− Effet coût variable unitaire</t>
        </is>
      </c>
      <c r="C14" s="54">
        <f>-(I16-H16)*I11</f>
        <v/>
      </c>
      <c r="D14" s="55">
        <f>ROUND(H16,0)&amp;" → "&amp;ROUND(I16,0)&amp;" € / élève"</f>
        <v/>
      </c>
      <c r="E14" s="56" t="inlineStr">
        <is>
          <t xml:space="preserve">  vacataires et achats directs, par élève</t>
        </is>
      </c>
      <c r="F14" s="1" t="n"/>
      <c r="G14" s="50" t="inlineStr">
        <is>
          <t>Coûts directs</t>
        </is>
      </c>
      <c r="H14" s="51" t="n">
        <v>919509</v>
      </c>
      <c r="I14" s="51" t="n">
        <v>961088</v>
      </c>
      <c r="J14" s="1" t="n"/>
      <c r="K14" s="44" t="inlineStr">
        <is>
          <t>Coût var.</t>
        </is>
      </c>
      <c r="L14" s="52">
        <f>C11+C12+C13+C14</f>
        <v/>
      </c>
      <c r="M14" s="52" t="inlineStr">
        <is>
          <t>0</t>
        </is>
      </c>
      <c r="N14" s="52" t="inlineStr">
        <is>
          <t>0</t>
        </is>
      </c>
      <c r="O14" s="52">
        <f>-C14</f>
        <v/>
      </c>
    </row>
    <row r="15" ht="19" customHeight="1">
      <c r="A15" s="1" t="n"/>
      <c r="B15" s="53" t="inlineStr">
        <is>
          <t>− Effet coûts directs</t>
        </is>
      </c>
      <c r="C15" s="54">
        <f>-(I14-H14)</f>
        <v/>
      </c>
      <c r="D15" s="55">
        <f>ROUND(H14/1000,0)&amp;" → "&amp;ROUND(I14/1000,0)&amp;" k€"</f>
        <v/>
      </c>
      <c r="E15" s="56" t="inlineStr">
        <is>
          <t xml:space="preserve">  permanents et structure : ils ne suivent pas l'activité</t>
        </is>
      </c>
      <c r="F15" s="1" t="n"/>
      <c r="G15" s="50" t="inlineStr">
        <is>
          <t>CA / élève</t>
        </is>
      </c>
      <c r="H15" s="51">
        <f>H12/H11</f>
        <v/>
      </c>
      <c r="I15" s="51">
        <f>I12/I11</f>
        <v/>
      </c>
      <c r="J15" s="1" t="n"/>
      <c r="K15" s="44" t="inlineStr">
        <is>
          <t>Coûts directs</t>
        </is>
      </c>
      <c r="L15" s="52">
        <f>C16</f>
        <v/>
      </c>
      <c r="M15" s="52" t="inlineStr">
        <is>
          <t>0</t>
        </is>
      </c>
      <c r="N15" s="52" t="inlineStr">
        <is>
          <t>0</t>
        </is>
      </c>
      <c r="O15" s="52">
        <f>-C15</f>
        <v/>
      </c>
    </row>
    <row r="16" ht="19" customHeight="1">
      <c r="A16" s="1" t="n"/>
      <c r="B16" s="46" t="inlineStr">
        <is>
          <t>EBITDA 2026</t>
        </is>
      </c>
      <c r="C16" s="57">
        <f>I12-I13-I14</f>
        <v/>
      </c>
      <c r="D16" s="48">
        <f>"marge "&amp;ROUND((I12-I13-I14)/I12*100,1)&amp;" %"</f>
        <v/>
      </c>
      <c r="E16" s="49" t="inlineStr">
        <is>
          <t xml:space="preserve">  doit égaler la cellule cliquée</t>
        </is>
      </c>
      <c r="F16" s="1" t="n"/>
      <c r="G16" s="58" t="inlineStr">
        <is>
          <t>Coût var. / élève</t>
        </is>
      </c>
      <c r="H16" s="51">
        <f>H13/H11</f>
        <v/>
      </c>
      <c r="I16" s="51">
        <f>I13/I11</f>
        <v/>
      </c>
      <c r="J16" s="1" t="n"/>
      <c r="K16" s="44" t="inlineStr">
        <is>
          <t>EBITDA 2026</t>
        </is>
      </c>
      <c r="L16" s="52" t="inlineStr">
        <is>
          <t>0</t>
        </is>
      </c>
      <c r="M16" s="52">
        <f>C16</f>
        <v/>
      </c>
      <c r="N16" s="52" t="inlineStr">
        <is>
          <t>0</t>
        </is>
      </c>
      <c r="O16" s="52" t="inlineStr">
        <is>
          <t>0</t>
        </is>
      </c>
    </row>
    <row r="17" ht="8" customHeight="1">
      <c r="A17" s="1" t="n"/>
      <c r="B17" s="59" t="inlineStr">
        <is>
          <t xml:space="preserve">  Contrôle du pont</t>
        </is>
      </c>
      <c r="C17" s="60">
        <f>C11+C12+C13+C14+C15-C16</f>
        <v/>
      </c>
      <c r="D17" s="6" t="n"/>
      <c r="E17" s="61">
        <f>"   écart "&amp;ROUND(C17,2)&amp;" € — le pont retombe exactement sur la cellule cliquée"</f>
        <v/>
      </c>
      <c r="F17" s="1" t="n"/>
      <c r="G17" s="1" t="n"/>
      <c r="H17" s="1" t="n"/>
      <c r="I17" s="1" t="n"/>
      <c r="J17" s="1" t="n"/>
      <c r="K17" s="1" t="n"/>
    </row>
    <row r="18" ht="16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25" t="inlineStr">
        <is>
          <t xml:space="preserve">  Ce que le drill fait dire au chiffre.  Le campus a gagné 2 élèves et vendu plus cher : +16 825 € et +15 618 €, soit +32 443 € de croissance réelle. Mais ses coûts directs — permanents et structure — ont pris 41 579 €, soit +4,5 % quand le CA n'a fait que +3,1 %. Le campus n'a pas un problème de marché, il a un problème de structure de coûts. Sans ce drill, on aurait discuté du recrutement pendant une heure.</t>
        </is>
      </c>
      <c r="C38" s="26" t="n"/>
      <c r="D38" s="26" t="n"/>
      <c r="E38" s="26" t="n"/>
      <c r="F38" s="26" t="n"/>
      <c r="G38" s="26" t="n"/>
      <c r="H38" s="26" t="n"/>
      <c r="I38" s="27" t="n"/>
      <c r="J38" s="1" t="n"/>
      <c r="K38" s="1" t="n"/>
    </row>
    <row r="39">
      <c r="A39" s="1" t="n"/>
      <c r="B39" s="28" t="n"/>
      <c r="I39" s="29" t="n"/>
      <c r="J39" s="1" t="n"/>
      <c r="K39" s="1" t="n"/>
    </row>
    <row r="40">
      <c r="A40" s="1" t="n"/>
      <c r="B40" s="28" t="n"/>
      <c r="I40" s="29" t="n"/>
      <c r="J40" s="1" t="n"/>
      <c r="K40" s="1" t="n"/>
    </row>
    <row r="41">
      <c r="A41" s="1" t="n"/>
      <c r="B41" s="28" t="n"/>
      <c r="C41" s="30" t="n"/>
      <c r="D41" s="30" t="n"/>
      <c r="E41" s="30" t="n"/>
      <c r="F41" s="30" t="n"/>
      <c r="G41" s="30" t="n"/>
      <c r="H41" s="30" t="n"/>
      <c r="I41" s="3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</sheetData>
  <mergeCells count="1">
    <mergeCell ref="B38:I41"/>
  </mergeCells>
  <conditionalFormatting sqref="C12:C1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32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32" t="inlineStr">
        <is>
          <t xml:space="preserve">  Drill through  ›  Et dans la compta, quels comptes ont bougé ?</t>
        </is>
      </c>
      <c r="C2" s="33" t="n"/>
      <c r="D2" s="33" t="n"/>
      <c r="E2" s="33" t="n"/>
      <c r="F2" s="33" t="n"/>
      <c r="G2" s="33" t="n"/>
      <c r="H2" s="34" t="n"/>
      <c r="I2" s="1" t="n"/>
    </row>
    <row r="3" ht="16" customHeight="1">
      <c r="A3" s="1" t="n"/>
      <c r="B3" s="35" t="inlineStr">
        <is>
          <t xml:space="preserve">  DRILL_EBITDA_PAR_COMPTE.sql — même cellule, même contexte · trié par variation absolue décroissante</t>
        </is>
      </c>
      <c r="C3" s="36" t="n"/>
      <c r="D3" s="36" t="n"/>
      <c r="E3" s="36" t="n"/>
      <c r="F3" s="36" t="n"/>
      <c r="G3" s="36" t="n"/>
      <c r="H3" s="37" t="n"/>
      <c r="I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6" customHeight="1">
      <c r="A5" s="1" t="n"/>
      <c r="B5" s="38" t="inlineStr">
        <is>
          <t xml:space="preserve">  CONTEXTE HÉRITÉ</t>
        </is>
      </c>
      <c r="C5" s="3" t="n"/>
      <c r="D5" s="3" t="n"/>
      <c r="E5" s="3" t="n"/>
      <c r="F5" s="3" t="n"/>
      <c r="G5" s="3" t="n"/>
      <c r="H5" s="4" t="n"/>
      <c r="I5" s="1" t="n"/>
    </row>
    <row r="6" ht="20" customHeight="1">
      <c r="A6" s="1" t="n"/>
      <c r="B6" s="62" t="inlineStr">
        <is>
          <t xml:space="preserve">  REEL · V_FINAL · 12 · 2026 · TUNON_PAR</t>
        </is>
      </c>
      <c r="C6" s="6" t="n"/>
      <c r="D6" s="6" t="n"/>
      <c r="E6" s="6" t="n"/>
      <c r="F6" s="6" t="n"/>
      <c r="G6" s="6" t="n"/>
      <c r="H6" s="7" t="n"/>
      <c r="I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20" customHeight="1">
      <c r="A8" s="1" t="n"/>
      <c r="B8" s="41" t="inlineStr">
        <is>
          <t>Rapprochement : Σ produits − Σ charges = 96 300 € = la cellule</t>
        </is>
      </c>
      <c r="C8" s="1" t="n"/>
      <c r="D8" s="1" t="n"/>
      <c r="E8" s="1" t="n"/>
      <c r="F8" s="1" t="n"/>
      <c r="G8" s="1" t="n"/>
      <c r="H8" s="1" t="n"/>
      <c r="I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18" customHeight="1">
      <c r="A10" s="1" t="n"/>
      <c r="B10" s="8" t="inlineStr">
        <is>
          <t>Compte</t>
        </is>
      </c>
      <c r="C10" s="8" t="inlineStr">
        <is>
          <t>Libellé</t>
        </is>
      </c>
      <c r="D10" s="9" t="inlineStr">
        <is>
          <t>2025</t>
        </is>
      </c>
      <c r="E10" s="9" t="inlineStr">
        <is>
          <t>2026</t>
        </is>
      </c>
      <c r="F10" s="9" t="inlineStr">
        <is>
          <t>Variation</t>
        </is>
      </c>
      <c r="G10" s="9" t="inlineStr">
        <is>
          <t>Var. %</t>
        </is>
      </c>
      <c r="H10" s="8" t="inlineStr">
        <is>
          <t>Nature</t>
        </is>
      </c>
      <c r="I10" s="1" t="n"/>
    </row>
    <row r="11">
      <c r="A11" s="1" t="n"/>
      <c r="B11" s="63" t="inlineStr">
        <is>
          <t>641</t>
        </is>
      </c>
      <c r="C11" s="64" t="inlineStr">
        <is>
          <t>Masse salariale permanente</t>
        </is>
      </c>
      <c r="D11" s="65" t="n">
        <v>578000</v>
      </c>
      <c r="E11" s="65" t="n">
        <v>612000</v>
      </c>
      <c r="F11" s="66">
        <f>E11-D11</f>
        <v/>
      </c>
      <c r="G11" s="67">
        <f>IFERROR(F11/ABS(D11),0)</f>
        <v/>
      </c>
      <c r="H11" s="68" t="inlineStr">
        <is>
          <t>charge</t>
        </is>
      </c>
      <c r="I11" s="1" t="n"/>
    </row>
    <row r="12">
      <c r="A12" s="1" t="n"/>
      <c r="B12" s="63" t="inlineStr">
        <is>
          <t>7062</t>
        </is>
      </c>
      <c r="C12" s="64" t="inlineStr">
        <is>
          <t>Scolarité alternance</t>
        </is>
      </c>
      <c r="D12" s="65" t="n">
        <v>619500</v>
      </c>
      <c r="E12" s="65" t="n">
        <v>640000</v>
      </c>
      <c r="F12" s="66">
        <f>E12-D12</f>
        <v/>
      </c>
      <c r="G12" s="67">
        <f>IFERROR(F12/ABS(D12),0)</f>
        <v/>
      </c>
      <c r="H12" s="68" t="inlineStr">
        <is>
          <t>produit</t>
        </is>
      </c>
      <c r="I12" s="1" t="n"/>
    </row>
    <row r="13">
      <c r="A13" s="1" t="n"/>
      <c r="B13" s="63" t="inlineStr">
        <is>
          <t>706</t>
        </is>
      </c>
      <c r="C13" s="64" t="inlineStr">
        <is>
          <t>Scolarité initiale</t>
        </is>
      </c>
      <c r="D13" s="65" t="n">
        <v>419000</v>
      </c>
      <c r="E13" s="65" t="n">
        <v>430000</v>
      </c>
      <c r="F13" s="66">
        <f>E13-D13</f>
        <v/>
      </c>
      <c r="G13" s="67">
        <f>IFERROR(F13/ABS(D13),0)</f>
        <v/>
      </c>
      <c r="H13" s="68" t="inlineStr">
        <is>
          <t>produit</t>
        </is>
      </c>
      <c r="I13" s="1" t="n"/>
    </row>
    <row r="14">
      <c r="A14" s="1" t="n"/>
      <c r="B14" s="63" t="inlineStr">
        <is>
          <t>613</t>
        </is>
      </c>
      <c r="C14" s="64" t="inlineStr">
        <is>
          <t>Loyers &amp; charges locatives</t>
        </is>
      </c>
      <c r="D14" s="65" t="n">
        <v>203500</v>
      </c>
      <c r="E14" s="65" t="n">
        <v>214000</v>
      </c>
      <c r="F14" s="66">
        <f>E14-D14</f>
        <v/>
      </c>
      <c r="G14" s="67">
        <f>IFERROR(F14/ABS(D14),0)</f>
        <v/>
      </c>
      <c r="H14" s="68" t="inlineStr">
        <is>
          <t>charge</t>
        </is>
      </c>
      <c r="I14" s="1" t="n"/>
    </row>
    <row r="15">
      <c r="A15" s="1" t="n"/>
      <c r="B15" s="63" t="inlineStr">
        <is>
          <t>6236</t>
        </is>
      </c>
      <c r="C15" s="64" t="inlineStr">
        <is>
          <t>Quote-part marque</t>
        </is>
      </c>
      <c r="D15" s="65" t="n">
        <v>98809</v>
      </c>
      <c r="E15" s="65" t="n">
        <v>93788</v>
      </c>
      <c r="F15" s="66">
        <f>E15-D15</f>
        <v/>
      </c>
      <c r="G15" s="67">
        <f>IFERROR(F15/ABS(D15),0)</f>
        <v/>
      </c>
      <c r="H15" s="68" t="inlineStr">
        <is>
          <t>charge</t>
        </is>
      </c>
      <c r="I15" s="1" t="n"/>
    </row>
    <row r="16">
      <c r="A16" s="1" t="n"/>
      <c r="B16" s="63" t="inlineStr">
        <is>
          <t>6063</t>
        </is>
      </c>
      <c r="C16" s="64" t="inlineStr">
        <is>
          <t>Fournitures &amp; petits équipements</t>
        </is>
      </c>
      <c r="D16" s="65" t="n">
        <v>39200</v>
      </c>
      <c r="E16" s="65" t="n">
        <v>41300</v>
      </c>
      <c r="F16" s="66">
        <f>E16-D16</f>
        <v/>
      </c>
      <c r="G16" s="67">
        <f>IFERROR(F16/ABS(D16),0)</f>
        <v/>
      </c>
      <c r="H16" s="68" t="inlineStr">
        <is>
          <t>charge</t>
        </is>
      </c>
      <c r="I16" s="1" t="n"/>
    </row>
    <row r="17">
      <c r="A17" s="1" t="n"/>
      <c r="B17" s="63" t="inlineStr">
        <is>
          <t>708</t>
        </is>
      </c>
      <c r="C17" s="64" t="inlineStr">
        <is>
          <t>Produits annexes</t>
        </is>
      </c>
      <c r="D17" s="65" t="n">
        <v>30753</v>
      </c>
      <c r="E17" s="65" t="n">
        <v>32400</v>
      </c>
      <c r="F17" s="66">
        <f>E17-D17</f>
        <v/>
      </c>
      <c r="G17" s="67">
        <f>IFERROR(F17/ABS(D17),0)</f>
        <v/>
      </c>
      <c r="H17" s="68" t="inlineStr">
        <is>
          <t>produit</t>
        </is>
      </c>
      <c r="I17" s="1" t="n"/>
    </row>
    <row r="18">
      <c r="A18" s="1" t="n"/>
      <c r="B18" s="63" t="inlineStr">
        <is>
          <t>621</t>
        </is>
      </c>
      <c r="C18" s="64" t="inlineStr">
        <is>
          <t>Vacataires</t>
        </is>
      </c>
      <c r="D18" s="65" t="n">
        <v>36900</v>
      </c>
      <c r="E18" s="65" t="n">
        <v>38500</v>
      </c>
      <c r="F18" s="66">
        <f>E18-D18</f>
        <v/>
      </c>
      <c r="G18" s="67">
        <f>IFERROR(F18/ABS(D18),0)</f>
        <v/>
      </c>
      <c r="H18" s="68" t="inlineStr">
        <is>
          <t>charge</t>
        </is>
      </c>
      <c r="I18" s="1" t="n"/>
    </row>
    <row r="19">
      <c r="A19" s="1" t="n"/>
      <c r="B19" s="63" t="inlineStr">
        <is>
          <t>604</t>
        </is>
      </c>
      <c r="C19" s="64" t="inlineStr">
        <is>
          <t>Achats de prestations</t>
        </is>
      </c>
      <c r="D19" s="65" t="n">
        <v>6044</v>
      </c>
      <c r="E19" s="65" t="n">
        <v>6512</v>
      </c>
      <c r="F19" s="66">
        <f>E19-D19</f>
        <v/>
      </c>
      <c r="G19" s="67">
        <f>IFERROR(F19/ABS(D19),0)</f>
        <v/>
      </c>
      <c r="H19" s="68" t="inlineStr">
        <is>
          <t>charge</t>
        </is>
      </c>
      <c r="I19" s="1" t="n"/>
    </row>
    <row r="20">
      <c r="A20" s="1" t="n"/>
      <c r="B20" s="1" t="n"/>
      <c r="C20" s="69" t="inlineStr">
        <is>
          <t>EBITDA = Σ produits − Σ charges</t>
        </is>
      </c>
      <c r="D20" s="70">
        <f>SUMIF($H$11:$H$19,"produit",D11:D19)-SUMIF($H$11:$H$19,"charge",D11:D19)</f>
        <v/>
      </c>
      <c r="E20" s="70">
        <f>SUMIF($H$11:$H$19,"produit",E11:E19)-SUMIF($H$11:$H$19,"charge",E11:E19)</f>
        <v/>
      </c>
      <c r="F20" s="71">
        <f>E20-D20</f>
        <v/>
      </c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25" t="inlineStr">
        <is>
          <t xml:space="preserve">  Les deux drills se répondent.  Le bridge disait « effet coûts directs −41 579 € ». Ici on voit lequel : le compte 641 — masse salariale permanente — arrive en tête avec +34 000 €, suivi des loyers à +10 500 €. Le premier drill donne la cause économique, le second la ligne comptable. C'est le moment où le CFO comprend qu'il peut aller du comité de direction jusqu'à l'écriture sans changer d'outil.</t>
        </is>
      </c>
      <c r="C22" s="26" t="n"/>
      <c r="D22" s="26" t="n"/>
      <c r="E22" s="26" t="n"/>
      <c r="F22" s="26" t="n"/>
      <c r="G22" s="26" t="n"/>
      <c r="H22" s="27" t="n"/>
      <c r="I22" s="1" t="n"/>
    </row>
    <row r="23">
      <c r="A23" s="1" t="n"/>
      <c r="B23" s="28" t="n"/>
      <c r="H23" s="29" t="n"/>
      <c r="I23" s="1" t="n"/>
    </row>
    <row r="24">
      <c r="A24" s="1" t="n"/>
      <c r="B24" s="28" t="n"/>
      <c r="H24" s="29" t="n"/>
      <c r="I24" s="1" t="n"/>
    </row>
    <row r="25">
      <c r="A25" s="1" t="n"/>
      <c r="B25" s="28" t="n"/>
      <c r="C25" s="30" t="n"/>
      <c r="D25" s="30" t="n"/>
      <c r="E25" s="30" t="n"/>
      <c r="F25" s="30" t="n"/>
      <c r="G25" s="30" t="n"/>
      <c r="H25" s="3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1">
    <mergeCell ref="B22:H25"/>
  </mergeCells>
  <conditionalFormatting sqref="F11:F19">
    <cfRule type="dataBar" priority="1">
      <dataBar showValue="1">
        <cfvo type="min"/>
        <cfvo type="max"/>
        <color rgb="FF2A78D6"/>
      </dataBar>
    </cfRule>
    <cfRule type="cellIs" priority="2" operator="less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2026-09-04T22:38:33Z</dcterms:created>
  <dcterms:modified xsi:type="dcterms:W3CDTF">2026-09-04T22:38:33Z</dcterms:modified>
</cp:coreProperties>
</file>