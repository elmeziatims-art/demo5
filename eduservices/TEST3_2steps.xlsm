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7323059F-7DAB-461A-8631-8F5C018DAC5E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  <c r="AQ175" i="17"/>
  <c r="AP175" i="17"/>
  <c r="AH175" i="17"/>
  <c r="AG175" i="17"/>
  <c r="AF175" i="17"/>
  <c r="AE175" i="17"/>
  <c r="AD175" i="17"/>
  <c r="AC175" i="17"/>
  <c r="AQ174" i="17"/>
  <c r="AP174" i="17"/>
  <c r="AH174" i="17"/>
  <c r="AG174" i="17"/>
  <c r="AF174" i="17"/>
  <c r="AE174" i="17"/>
  <c r="AD174" i="17"/>
  <c r="AC174" i="17"/>
  <c r="AQ173" i="17"/>
  <c r="AP173" i="17"/>
  <c r="AH173" i="17"/>
  <c r="AG173" i="17"/>
  <c r="AF173" i="17"/>
  <c r="AE173" i="17"/>
  <c r="AD173" i="17"/>
  <c r="AC173" i="17"/>
  <c r="AQ172" i="17"/>
  <c r="AP172" i="17"/>
  <c r="AH172" i="17"/>
  <c r="AG172" i="17"/>
  <c r="AF172" i="17"/>
  <c r="AE172" i="17"/>
  <c r="AD172" i="17"/>
  <c r="AC172" i="17"/>
  <c r="AQ171" i="17"/>
  <c r="AP171" i="17"/>
  <c r="AH171" i="17"/>
  <c r="AG171" i="17"/>
  <c r="AF171" i="17"/>
  <c r="AE171" i="17"/>
  <c r="AD171" i="17"/>
  <c r="AC171" i="17"/>
  <c r="AQ170" i="17"/>
  <c r="AP170" i="17"/>
  <c r="AH170" i="17"/>
  <c r="AG170" i="17"/>
  <c r="AF170" i="17"/>
  <c r="AE170" i="17"/>
  <c r="AD170" i="17"/>
  <c r="AC170" i="17"/>
  <c r="AQ169" i="17"/>
  <c r="AP169" i="17"/>
  <c r="AH169" i="17"/>
  <c r="AG169" i="17"/>
  <c r="AF169" i="17"/>
  <c r="AE169" i="17"/>
  <c r="AD169" i="17"/>
  <c r="AC169" i="17"/>
  <c r="AQ168" i="17"/>
  <c r="AP168" i="17"/>
  <c r="AH168" i="17"/>
  <c r="AG168" i="17"/>
  <c r="AF168" i="17"/>
  <c r="AE168" i="17"/>
  <c r="AD168" i="17"/>
  <c r="AC168" i="17"/>
  <c r="AQ167" i="17"/>
  <c r="AP167" i="17"/>
  <c r="AH167" i="17"/>
  <c r="AG167" i="17"/>
  <c r="AF167" i="17"/>
  <c r="AE167" i="17"/>
  <c r="AD167" i="17"/>
  <c r="AC167" i="17"/>
  <c r="AQ166" i="17"/>
  <c r="AP166" i="17"/>
  <c r="AH166" i="17"/>
  <c r="AG166" i="17"/>
  <c r="AF166" i="17"/>
  <c r="AE166" i="17"/>
  <c r="AD166" i="17"/>
  <c r="AC166" i="17"/>
  <c r="AQ165" i="17"/>
  <c r="AP165" i="17"/>
  <c r="AH165" i="17"/>
  <c r="AG165" i="17"/>
  <c r="AF165" i="17"/>
  <c r="AE165" i="17"/>
  <c r="AD165" i="17"/>
  <c r="AC165" i="17"/>
  <c r="AQ164" i="17"/>
  <c r="AP164" i="17"/>
  <c r="AH164" i="17"/>
  <c r="AG164" i="17"/>
  <c r="AF164" i="17"/>
  <c r="AE164" i="17"/>
  <c r="AD164" i="17"/>
  <c r="AC164" i="17"/>
  <c r="AQ163" i="17"/>
  <c r="AP163" i="17"/>
  <c r="AH163" i="17"/>
  <c r="AG163" i="17"/>
  <c r="AF163" i="17"/>
  <c r="AE163" i="17"/>
  <c r="AD163" i="17"/>
  <c r="AC163" i="17"/>
  <c r="AQ162" i="17"/>
  <c r="AP162" i="17"/>
  <c r="AH162" i="17"/>
  <c r="AG162" i="17"/>
  <c r="AF162" i="17"/>
  <c r="AE162" i="17"/>
  <c r="AD162" i="17"/>
  <c r="AC162" i="17"/>
  <c r="AQ161" i="17"/>
  <c r="AP161" i="17"/>
  <c r="AH161" i="17"/>
  <c r="AG161" i="17"/>
  <c r="AF161" i="17"/>
  <c r="AE161" i="17"/>
  <c r="AD161" i="17"/>
  <c r="AC161" i="17"/>
  <c r="AQ160" i="17"/>
  <c r="AP160" i="17"/>
  <c r="AH160" i="17"/>
  <c r="AG160" i="17"/>
  <c r="AF160" i="17"/>
  <c r="AE160" i="17"/>
  <c r="AD160" i="17"/>
  <c r="AC160" i="17"/>
  <c r="AQ159" i="17"/>
  <c r="AP159" i="17"/>
  <c r="AH159" i="17"/>
  <c r="AG159" i="17"/>
  <c r="AF159" i="17"/>
  <c r="AE159" i="17"/>
  <c r="AD159" i="17"/>
  <c r="AC159" i="17"/>
  <c r="AQ158" i="17"/>
  <c r="AP158" i="17"/>
  <c r="AH158" i="17"/>
  <c r="AG158" i="17"/>
  <c r="AF158" i="17"/>
  <c r="AE158" i="17"/>
  <c r="AD158" i="17"/>
  <c r="AC158" i="17"/>
  <c r="AQ157" i="17"/>
  <c r="AP157" i="17"/>
  <c r="AH157" i="17"/>
  <c r="AG157" i="17"/>
  <c r="AF157" i="17"/>
  <c r="AE157" i="17"/>
  <c r="AD157" i="17"/>
  <c r="AC157" i="17"/>
  <c r="AQ156" i="17"/>
  <c r="AP156" i="17"/>
  <c r="AH156" i="17"/>
  <c r="AG156" i="17"/>
  <c r="AF156" i="17"/>
  <c r="AE156" i="17"/>
  <c r="AD156" i="17"/>
  <c r="AC156" i="17"/>
  <c r="AQ155" i="17"/>
  <c r="AP155" i="17"/>
  <c r="AH155" i="17"/>
  <c r="AG155" i="17"/>
  <c r="AF155" i="17"/>
  <c r="AE155" i="17"/>
  <c r="AD155" i="17"/>
  <c r="AC155" i="17"/>
  <c r="AQ154" i="17"/>
  <c r="AP154" i="17"/>
  <c r="AH154" i="17"/>
  <c r="AG154" i="17"/>
  <c r="AF154" i="17"/>
  <c r="AE154" i="17"/>
  <c r="AD154" i="17"/>
  <c r="AC154" i="17"/>
  <c r="AQ153" i="17"/>
  <c r="AP153" i="17"/>
  <c r="AH153" i="17"/>
  <c r="AG153" i="17"/>
  <c r="AF153" i="17"/>
  <c r="AE153" i="17"/>
  <c r="AD153" i="17"/>
  <c r="AC153" i="17"/>
  <c r="AQ152" i="17"/>
  <c r="AP152" i="17"/>
  <c r="AH152" i="17"/>
  <c r="AG152" i="17"/>
  <c r="AF152" i="17"/>
  <c r="AE152" i="17"/>
  <c r="AD152" i="17"/>
  <c r="AC152" i="17"/>
  <c r="AQ151" i="17"/>
  <c r="AP151" i="17"/>
  <c r="AH151" i="17"/>
  <c r="AG151" i="17"/>
  <c r="AF151" i="17"/>
  <c r="AE151" i="17"/>
  <c r="AD151" i="17"/>
  <c r="AC151" i="17"/>
  <c r="AQ150" i="17"/>
  <c r="AP150" i="17"/>
  <c r="AH150" i="17"/>
  <c r="AG150" i="17"/>
  <c r="AF150" i="17"/>
  <c r="AE150" i="17"/>
  <c r="AD150" i="17"/>
  <c r="AC150" i="17"/>
  <c r="AQ149" i="17"/>
  <c r="AP149" i="17"/>
  <c r="AH149" i="17"/>
  <c r="AG149" i="17"/>
  <c r="AF149" i="17"/>
  <c r="AE149" i="17"/>
  <c r="AD149" i="17"/>
  <c r="AC149" i="17"/>
  <c r="AQ148" i="17"/>
  <c r="AP148" i="17"/>
  <c r="AH148" i="17"/>
  <c r="AG148" i="17"/>
  <c r="AF148" i="17"/>
  <c r="AE148" i="17"/>
  <c r="AD148" i="17"/>
  <c r="AC148" i="17"/>
  <c r="AQ147" i="17"/>
  <c r="AP147" i="17"/>
  <c r="AH147" i="17"/>
  <c r="AG147" i="17"/>
  <c r="AF147" i="17"/>
  <c r="AE147" i="17"/>
  <c r="AD147" i="17"/>
  <c r="AC147" i="17"/>
  <c r="AQ146" i="17"/>
  <c r="AP146" i="17"/>
  <c r="AH146" i="17"/>
  <c r="AG146" i="17"/>
  <c r="AF146" i="17"/>
  <c r="AE146" i="17"/>
  <c r="AD146" i="17"/>
  <c r="AC146" i="17"/>
  <c r="AQ145" i="17"/>
  <c r="AP145" i="17"/>
  <c r="AH145" i="17"/>
  <c r="AG145" i="17"/>
  <c r="AF145" i="17"/>
  <c r="AE145" i="17"/>
  <c r="AD145" i="17"/>
  <c r="AC145" i="17"/>
  <c r="AQ144" i="17"/>
  <c r="AP144" i="17"/>
  <c r="AH144" i="17"/>
  <c r="AG144" i="17"/>
  <c r="AF144" i="17"/>
  <c r="AE144" i="17"/>
  <c r="AD144" i="17"/>
  <c r="AC144" i="17"/>
  <c r="AQ143" i="17"/>
  <c r="AP143" i="17"/>
  <c r="AH143" i="17"/>
  <c r="AG143" i="17"/>
  <c r="AF143" i="17"/>
  <c r="AE143" i="17"/>
  <c r="AD143" i="17"/>
  <c r="AC143" i="17"/>
  <c r="AQ142" i="17"/>
  <c r="AP142" i="17"/>
  <c r="AH142" i="17"/>
  <c r="AG142" i="17"/>
  <c r="AF142" i="17"/>
  <c r="AE142" i="17"/>
  <c r="AD142" i="17"/>
  <c r="AC142" i="17"/>
  <c r="AQ141" i="17"/>
  <c r="AP141" i="17"/>
  <c r="AH141" i="17"/>
  <c r="AG141" i="17"/>
  <c r="AF141" i="17"/>
  <c r="AE141" i="17"/>
  <c r="AD141" i="17"/>
  <c r="AC141" i="17"/>
  <c r="AQ140" i="17"/>
  <c r="AP140" i="17"/>
  <c r="AH140" i="17"/>
  <c r="AG140" i="17"/>
  <c r="AF140" i="17"/>
  <c r="AE140" i="17"/>
  <c r="AD140" i="17"/>
  <c r="AC140" i="17"/>
  <c r="AQ139" i="17"/>
  <c r="AP139" i="17"/>
  <c r="AH139" i="17"/>
  <c r="AG139" i="17"/>
  <c r="AF139" i="17"/>
  <c r="AE139" i="17"/>
  <c r="AD139" i="17"/>
  <c r="AC139" i="17"/>
  <c r="AQ138" i="17"/>
  <c r="AP138" i="17"/>
  <c r="AH138" i="17"/>
  <c r="AG138" i="17"/>
  <c r="AF138" i="17"/>
  <c r="AE138" i="17"/>
  <c r="AD138" i="17"/>
  <c r="AC138" i="17"/>
  <c r="AQ137" i="17"/>
  <c r="AP137" i="17"/>
  <c r="AH137" i="17"/>
  <c r="AG137" i="17"/>
  <c r="AF137" i="17"/>
  <c r="AE137" i="17"/>
  <c r="AD137" i="17"/>
  <c r="AC137" i="17"/>
  <c r="AQ136" i="17"/>
  <c r="AP136" i="17"/>
  <c r="AH136" i="17"/>
  <c r="AG136" i="17"/>
  <c r="AF136" i="17"/>
  <c r="AE136" i="17"/>
  <c r="AD136" i="17"/>
  <c r="AC136" i="17"/>
  <c r="AQ135" i="17"/>
  <c r="AP135" i="17"/>
  <c r="AH135" i="17"/>
  <c r="AG135" i="17"/>
  <c r="AF135" i="17"/>
  <c r="AE135" i="17"/>
  <c r="AD135" i="17"/>
  <c r="AC135" i="17"/>
  <c r="AQ134" i="17"/>
  <c r="AP134" i="17"/>
  <c r="AH134" i="17"/>
  <c r="AG134" i="17"/>
  <c r="AF134" i="17"/>
  <c r="AE134" i="17"/>
  <c r="AD134" i="17"/>
  <c r="AC134" i="17"/>
  <c r="AQ133" i="17"/>
  <c r="AP133" i="17"/>
  <c r="AH133" i="17"/>
  <c r="AG133" i="17"/>
  <c r="AF133" i="17"/>
  <c r="AE133" i="17"/>
  <c r="AD133" i="17"/>
  <c r="AC133" i="17"/>
  <c r="AQ132" i="17"/>
  <c r="AP132" i="17"/>
  <c r="AH132" i="17"/>
  <c r="AG132" i="17"/>
  <c r="AF132" i="17"/>
  <c r="AE132" i="17"/>
  <c r="AD132" i="17"/>
  <c r="AC132" i="17"/>
  <c r="AQ131" i="17"/>
  <c r="AP131" i="17"/>
  <c r="AH131" i="17"/>
  <c r="AG131" i="17"/>
  <c r="AF131" i="17"/>
  <c r="AE131" i="17"/>
  <c r="AD131" i="17"/>
  <c r="AC131" i="17"/>
  <c r="AQ130" i="17"/>
  <c r="AP130" i="17"/>
  <c r="AH130" i="17"/>
  <c r="AG130" i="17"/>
  <c r="AF130" i="17"/>
  <c r="AE130" i="17"/>
  <c r="AD130" i="17"/>
  <c r="AC130" i="17"/>
  <c r="AQ129" i="17"/>
  <c r="AP129" i="17"/>
  <c r="AH129" i="17"/>
  <c r="AG129" i="17"/>
  <c r="AF129" i="17"/>
  <c r="AE129" i="17"/>
  <c r="AD129" i="17"/>
  <c r="AC129" i="17"/>
  <c r="AQ128" i="17"/>
  <c r="AP128" i="17"/>
  <c r="AH128" i="17"/>
  <c r="AG128" i="17"/>
  <c r="AF128" i="17"/>
  <c r="AE128" i="17"/>
  <c r="AD128" i="17"/>
  <c r="AC128" i="17"/>
  <c r="AQ127" i="17"/>
  <c r="AP127" i="17"/>
  <c r="AH127" i="17"/>
  <c r="AG127" i="17"/>
  <c r="AF127" i="17"/>
  <c r="AE127" i="17"/>
  <c r="AD127" i="17"/>
  <c r="AC127" i="17"/>
  <c r="AQ126" i="17"/>
  <c r="AP126" i="17"/>
  <c r="AH126" i="17"/>
  <c r="AG126" i="17"/>
  <c r="AF126" i="17"/>
  <c r="AE126" i="17"/>
  <c r="AD126" i="17"/>
  <c r="AC126" i="17"/>
  <c r="AQ125" i="17"/>
  <c r="AP125" i="17"/>
  <c r="AH125" i="17"/>
  <c r="AG125" i="17"/>
  <c r="AF125" i="17"/>
  <c r="AE125" i="17"/>
  <c r="AD125" i="17"/>
  <c r="AC125" i="17"/>
  <c r="AQ124" i="17"/>
  <c r="AP124" i="17"/>
  <c r="AH124" i="17"/>
  <c r="AG124" i="17"/>
  <c r="AF124" i="17"/>
  <c r="AE124" i="17"/>
  <c r="AD124" i="17"/>
  <c r="AC124" i="17"/>
  <c r="AQ123" i="17"/>
  <c r="AP123" i="17"/>
  <c r="AH123" i="17"/>
  <c r="AG123" i="17"/>
  <c r="AF123" i="17"/>
  <c r="AE123" i="17"/>
  <c r="AD123" i="17"/>
  <c r="AC123" i="17"/>
  <c r="AQ122" i="17"/>
  <c r="AP122" i="17"/>
  <c r="AH122" i="17"/>
  <c r="AG122" i="17"/>
  <c r="AF122" i="17"/>
  <c r="AE122" i="17"/>
  <c r="AD122" i="17"/>
  <c r="AC122" i="17"/>
  <c r="AQ121" i="17"/>
  <c r="AP121" i="17"/>
  <c r="AH121" i="17"/>
  <c r="AG121" i="17"/>
  <c r="AF121" i="17"/>
  <c r="AE121" i="17"/>
  <c r="AD121" i="17"/>
  <c r="AC121" i="17"/>
  <c r="AQ120" i="17"/>
  <c r="AP120" i="17"/>
  <c r="AH120" i="17"/>
  <c r="AG120" i="17"/>
  <c r="AF120" i="17"/>
  <c r="AE120" i="17"/>
  <c r="AD120" i="17"/>
  <c r="AC120" i="17"/>
  <c r="AQ119" i="17"/>
  <c r="AP119" i="17"/>
  <c r="AH119" i="17"/>
  <c r="AG119" i="17"/>
  <c r="AF119" i="17"/>
  <c r="AE119" i="17"/>
  <c r="AD119" i="17"/>
  <c r="AC119" i="17"/>
  <c r="AQ118" i="17"/>
  <c r="AP118" i="17"/>
  <c r="AH118" i="17"/>
  <c r="AG118" i="17"/>
  <c r="AF118" i="17"/>
  <c r="AE118" i="17"/>
  <c r="AD118" i="17"/>
  <c r="AC118" i="17"/>
  <c r="AQ117" i="17"/>
  <c r="AP117" i="17"/>
  <c r="AH117" i="17"/>
  <c r="AG117" i="17"/>
  <c r="AF117" i="17"/>
  <c r="AE117" i="17"/>
  <c r="AD117" i="17"/>
  <c r="AC117" i="17"/>
  <c r="AQ116" i="17"/>
  <c r="AP116" i="17"/>
  <c r="AH116" i="17"/>
  <c r="AG116" i="17"/>
  <c r="AF116" i="17"/>
  <c r="AE116" i="17"/>
  <c r="AD116" i="17"/>
  <c r="AC116" i="17"/>
  <c r="AQ115" i="17"/>
  <c r="AP115" i="17"/>
  <c r="AH115" i="17"/>
  <c r="AG115" i="17"/>
  <c r="AF115" i="17"/>
  <c r="AE115" i="17"/>
  <c r="AD115" i="17"/>
  <c r="AC115" i="17"/>
  <c r="AQ114" i="17"/>
  <c r="AP114" i="17"/>
  <c r="AH114" i="17"/>
  <c r="AG114" i="17"/>
  <c r="AF114" i="17"/>
  <c r="AE114" i="17"/>
  <c r="AD114" i="17"/>
  <c r="AC114" i="17"/>
  <c r="AQ113" i="17"/>
  <c r="AP113" i="17"/>
  <c r="AH113" i="17"/>
  <c r="AG113" i="17"/>
  <c r="AF113" i="17"/>
  <c r="AE113" i="17"/>
  <c r="AD113" i="17"/>
  <c r="AC113" i="17"/>
  <c r="AQ112" i="17"/>
  <c r="AP112" i="17"/>
  <c r="AH112" i="17"/>
  <c r="AG112" i="17"/>
  <c r="AF112" i="17"/>
  <c r="AE112" i="17"/>
  <c r="AD112" i="17"/>
  <c r="AC112" i="17"/>
  <c r="AQ111" i="17"/>
  <c r="AP111" i="17"/>
  <c r="AH111" i="17"/>
  <c r="AG111" i="17"/>
  <c r="AF111" i="17"/>
  <c r="AE111" i="17"/>
  <c r="AD111" i="17"/>
  <c r="AC111" i="17"/>
  <c r="AQ110" i="17"/>
  <c r="AP110" i="17"/>
  <c r="AH110" i="17"/>
  <c r="AG110" i="17"/>
  <c r="AF110" i="17"/>
  <c r="AE110" i="17"/>
  <c r="AD110" i="17"/>
  <c r="AC110" i="17"/>
  <c r="AQ109" i="17"/>
  <c r="AP109" i="17"/>
  <c r="AH109" i="17"/>
  <c r="AG109" i="17"/>
  <c r="AF109" i="17"/>
  <c r="AE109" i="17"/>
  <c r="AD109" i="17"/>
  <c r="AC109" i="17"/>
  <c r="AQ108" i="17"/>
  <c r="AP108" i="17"/>
  <c r="AH108" i="17"/>
  <c r="AG108" i="17"/>
  <c r="AF108" i="17"/>
  <c r="AE108" i="17"/>
  <c r="AD108" i="17"/>
  <c r="AC108" i="17"/>
  <c r="AQ107" i="17"/>
  <c r="AP107" i="17"/>
  <c r="AH107" i="17"/>
  <c r="AG107" i="17"/>
  <c r="AF107" i="17"/>
  <c r="AE107" i="17"/>
  <c r="AD107" i="17"/>
  <c r="AC107" i="17"/>
  <c r="AQ106" i="17"/>
  <c r="AP106" i="17"/>
  <c r="AH106" i="17"/>
  <c r="AG106" i="17"/>
  <c r="AF106" i="17"/>
  <c r="AE106" i="17"/>
  <c r="AD106" i="17"/>
  <c r="AC106" i="17"/>
  <c r="AQ105" i="17"/>
  <c r="AP105" i="17"/>
  <c r="AH105" i="17"/>
  <c r="AG105" i="17"/>
  <c r="AF105" i="17"/>
  <c r="AE105" i="17"/>
  <c r="AD105" i="17"/>
  <c r="AC105" i="17"/>
  <c r="AQ104" i="17"/>
  <c r="AP104" i="17"/>
  <c r="AH104" i="17"/>
  <c r="AG104" i="17"/>
  <c r="AF104" i="17"/>
  <c r="AE104" i="17"/>
  <c r="AD104" i="17"/>
  <c r="AC104" i="17"/>
  <c r="AQ103" i="17"/>
  <c r="AP103" i="17"/>
  <c r="AH103" i="17"/>
  <c r="AG103" i="17"/>
  <c r="AF103" i="17"/>
  <c r="AE103" i="17"/>
  <c r="AD103" i="17"/>
  <c r="AC103" i="17"/>
  <c r="AQ102" i="17"/>
  <c r="AP102" i="17"/>
  <c r="AH102" i="17"/>
  <c r="AG102" i="17"/>
  <c r="AF102" i="17"/>
  <c r="AE102" i="17"/>
  <c r="AD102" i="17"/>
  <c r="AC102" i="17"/>
  <c r="AQ101" i="17"/>
  <c r="AP101" i="17"/>
  <c r="AH101" i="17"/>
  <c r="AG101" i="17"/>
  <c r="AF101" i="17"/>
  <c r="AE101" i="17"/>
  <c r="AD101" i="17"/>
  <c r="AC101" i="17"/>
  <c r="AQ100" i="17"/>
  <c r="AP100" i="17"/>
  <c r="AH100" i="17"/>
  <c r="AG100" i="17"/>
  <c r="AF100" i="17"/>
  <c r="AE100" i="17"/>
  <c r="AD100" i="17"/>
  <c r="AC100" i="17"/>
  <c r="AQ99" i="17"/>
  <c r="AP99" i="17"/>
  <c r="AH99" i="17"/>
  <c r="AG99" i="17"/>
  <c r="AF99" i="17"/>
  <c r="AE99" i="17"/>
  <c r="AD99" i="17"/>
  <c r="AC99" i="17"/>
  <c r="AQ98" i="17"/>
  <c r="AP98" i="17"/>
  <c r="AH98" i="17"/>
  <c r="AG98" i="17"/>
  <c r="AF98" i="17"/>
  <c r="AE98" i="17"/>
  <c r="AD98" i="17"/>
  <c r="AC98" i="17"/>
  <c r="AQ97" i="17"/>
  <c r="AP97" i="17"/>
  <c r="AH97" i="17"/>
  <c r="AG97" i="17"/>
  <c r="AF97" i="17"/>
  <c r="AE97" i="17"/>
  <c r="AD97" i="17"/>
  <c r="AC97" i="17"/>
  <c r="AQ96" i="17"/>
  <c r="AP96" i="17"/>
  <c r="AH96" i="17"/>
  <c r="AG96" i="17"/>
  <c r="AF96" i="17"/>
  <c r="AE96" i="17"/>
  <c r="AD96" i="17"/>
  <c r="AC96" i="17"/>
  <c r="AQ95" i="17"/>
  <c r="AP95" i="17"/>
  <c r="AH95" i="17"/>
  <c r="AG95" i="17"/>
  <c r="AF95" i="17"/>
  <c r="AE95" i="17"/>
  <c r="AD95" i="17"/>
  <c r="AC95" i="17"/>
  <c r="AQ94" i="17"/>
  <c r="AP94" i="17"/>
  <c r="AH94" i="17"/>
  <c r="AG94" i="17"/>
  <c r="AF94" i="17"/>
  <c r="AE94" i="17"/>
  <c r="AD94" i="17"/>
  <c r="AC94" i="17"/>
  <c r="AQ93" i="17"/>
  <c r="AP93" i="17"/>
  <c r="AH93" i="17"/>
  <c r="AG93" i="17"/>
  <c r="AF93" i="17"/>
  <c r="AE93" i="17"/>
  <c r="AD93" i="17"/>
  <c r="AC93" i="17"/>
  <c r="AQ92" i="17"/>
  <c r="AP92" i="17"/>
  <c r="AH92" i="17"/>
  <c r="AG92" i="17"/>
  <c r="AF92" i="17"/>
  <c r="AE92" i="17"/>
  <c r="AD92" i="17"/>
  <c r="AC92" i="17"/>
  <c r="AQ91" i="17"/>
  <c r="AP91" i="17"/>
  <c r="AH91" i="17"/>
  <c r="AG91" i="17"/>
  <c r="AF91" i="17"/>
  <c r="AE91" i="17"/>
  <c r="AD91" i="17"/>
  <c r="AC91" i="17"/>
  <c r="AQ90" i="17"/>
  <c r="AP90" i="17"/>
  <c r="AH90" i="17"/>
  <c r="AG90" i="17"/>
  <c r="AF90" i="17"/>
  <c r="AE90" i="17"/>
  <c r="AD90" i="17"/>
  <c r="AC90" i="17"/>
  <c r="AQ89" i="17"/>
  <c r="AP89" i="17"/>
  <c r="AH89" i="17"/>
  <c r="AG89" i="17"/>
  <c r="AF89" i="17"/>
  <c r="AE89" i="17"/>
  <c r="AD89" i="17"/>
  <c r="AC89" i="17"/>
  <c r="AQ88" i="17"/>
  <c r="AP88" i="17"/>
  <c r="AH88" i="17"/>
  <c r="AG88" i="17"/>
  <c r="AF88" i="17"/>
  <c r="AE88" i="17"/>
  <c r="AD88" i="17"/>
  <c r="AC88" i="17"/>
  <c r="AQ87" i="17"/>
  <c r="AP87" i="17"/>
  <c r="AH87" i="17"/>
  <c r="AG87" i="17"/>
  <c r="AF87" i="17"/>
  <c r="AE87" i="17"/>
  <c r="AD87" i="17"/>
  <c r="AC87" i="17"/>
  <c r="AQ86" i="17"/>
  <c r="AP86" i="17"/>
  <c r="AH86" i="17"/>
  <c r="AG86" i="17"/>
  <c r="AF86" i="17"/>
  <c r="AE86" i="17"/>
  <c r="AD86" i="17"/>
  <c r="AC86" i="17"/>
  <c r="AQ85" i="17"/>
  <c r="AP85" i="17"/>
  <c r="AH85" i="17"/>
  <c r="AG85" i="17"/>
  <c r="AF85" i="17"/>
  <c r="AE85" i="17"/>
  <c r="AD85" i="17"/>
  <c r="AC85" i="17"/>
  <c r="AQ84" i="17"/>
  <c r="AP84" i="17"/>
  <c r="AH84" i="17"/>
  <c r="AG84" i="17"/>
  <c r="AF84" i="17"/>
  <c r="AE84" i="17"/>
  <c r="AD84" i="17"/>
  <c r="AC84" i="17"/>
  <c r="AQ83" i="17"/>
  <c r="AP83" i="17"/>
  <c r="AH83" i="17"/>
  <c r="AG83" i="17"/>
  <c r="AF83" i="17"/>
  <c r="AE83" i="17"/>
  <c r="AD83" i="17"/>
  <c r="AC83" i="17"/>
  <c r="AQ82" i="17"/>
  <c r="AP82" i="17"/>
  <c r="AH82" i="17"/>
  <c r="AG82" i="17"/>
  <c r="AF82" i="17"/>
  <c r="AE82" i="17"/>
  <c r="AD82" i="17"/>
  <c r="AC82" i="17"/>
  <c r="AQ81" i="17"/>
  <c r="AP81" i="17"/>
  <c r="AH81" i="17"/>
  <c r="AG81" i="17"/>
  <c r="AF81" i="17"/>
  <c r="AE81" i="17"/>
  <c r="AD81" i="17"/>
  <c r="AC81" i="17"/>
  <c r="AQ80" i="17"/>
  <c r="AP80" i="17"/>
  <c r="AH80" i="17"/>
  <c r="AG80" i="17"/>
  <c r="AF80" i="17"/>
  <c r="AE80" i="17"/>
  <c r="AD80" i="17"/>
  <c r="AC80" i="17"/>
  <c r="AQ79" i="17"/>
  <c r="AP79" i="17"/>
  <c r="AH79" i="17"/>
  <c r="AG79" i="17"/>
  <c r="AF79" i="17"/>
  <c r="AE79" i="17"/>
  <c r="AD79" i="17"/>
  <c r="AC79" i="17"/>
  <c r="AQ78" i="17"/>
  <c r="AP78" i="17"/>
  <c r="AH78" i="17"/>
  <c r="AG78" i="17"/>
  <c r="AF78" i="17"/>
  <c r="AE78" i="17"/>
  <c r="AD78" i="17"/>
  <c r="AC78" i="17"/>
  <c r="AQ77" i="17"/>
  <c r="AP77" i="17"/>
  <c r="AH77" i="17"/>
  <c r="AG77" i="17"/>
  <c r="AF77" i="17"/>
  <c r="AE77" i="17"/>
  <c r="AD77" i="17"/>
  <c r="AC77" i="17"/>
  <c r="AQ76" i="17"/>
  <c r="AP76" i="17"/>
  <c r="AH76" i="17"/>
  <c r="AG76" i="17"/>
  <c r="AF76" i="17"/>
  <c r="AE76" i="17"/>
  <c r="AD76" i="17"/>
  <c r="AC76" i="17"/>
  <c r="AQ75" i="17"/>
  <c r="AP75" i="17"/>
  <c r="AH75" i="17"/>
  <c r="AG75" i="17"/>
  <c r="AF75" i="17"/>
  <c r="AE75" i="17"/>
  <c r="AD75" i="17"/>
  <c r="AC75" i="17"/>
  <c r="AQ74" i="17"/>
  <c r="AP74" i="17"/>
  <c r="AH74" i="17"/>
  <c r="AG74" i="17"/>
  <c r="AF74" i="17"/>
  <c r="AE74" i="17"/>
  <c r="AD74" i="17"/>
  <c r="AC74" i="17"/>
  <c r="AQ73" i="17"/>
  <c r="AP73" i="17"/>
  <c r="AH73" i="17"/>
  <c r="AG73" i="17"/>
  <c r="AF73" i="17"/>
  <c r="AE73" i="17"/>
  <c r="AD73" i="17"/>
  <c r="AC73" i="17"/>
  <c r="AQ72" i="17"/>
  <c r="AP72" i="17"/>
  <c r="AH72" i="17"/>
  <c r="AG72" i="17"/>
  <c r="AF72" i="17"/>
  <c r="AE72" i="17"/>
  <c r="AD72" i="17"/>
  <c r="AC72" i="17"/>
  <c r="AQ71" i="17"/>
  <c r="AP71" i="17"/>
  <c r="AH71" i="17"/>
  <c r="AG71" i="17"/>
  <c r="AF71" i="17"/>
  <c r="AE71" i="17"/>
  <c r="AD71" i="17"/>
  <c r="AC71" i="17"/>
  <c r="AQ70" i="17"/>
  <c r="AP70" i="17"/>
  <c r="AH70" i="17"/>
  <c r="AG70" i="17"/>
  <c r="AF70" i="17"/>
  <c r="AE70" i="17"/>
  <c r="AD70" i="17"/>
  <c r="AC70" i="17"/>
  <c r="AQ69" i="17"/>
  <c r="AP69" i="17"/>
  <c r="AH69" i="17"/>
  <c r="AG69" i="17"/>
  <c r="AF69" i="17"/>
  <c r="AE69" i="17"/>
  <c r="AD69" i="17"/>
  <c r="AC69" i="17"/>
  <c r="AQ68" i="17"/>
  <c r="AP68" i="17"/>
  <c r="AH68" i="17"/>
  <c r="AG68" i="17"/>
  <c r="AF68" i="17"/>
  <c r="AE68" i="17"/>
  <c r="AD68" i="17"/>
  <c r="AC68" i="17"/>
  <c r="AQ67" i="17"/>
  <c r="AP67" i="17"/>
  <c r="AH67" i="17"/>
  <c r="AG67" i="17"/>
  <c r="AF67" i="17"/>
  <c r="AE67" i="17"/>
  <c r="AD67" i="17"/>
  <c r="AC67" i="17"/>
  <c r="AQ66" i="17"/>
  <c r="AP66" i="17"/>
  <c r="AH66" i="17"/>
  <c r="AG66" i="17"/>
  <c r="AF66" i="17"/>
  <c r="AE66" i="17"/>
  <c r="AD66" i="17"/>
  <c r="AC66" i="17"/>
  <c r="AQ65" i="17"/>
  <c r="AP65" i="17"/>
  <c r="AH65" i="17"/>
  <c r="AG65" i="17"/>
  <c r="AF65" i="17"/>
  <c r="AE65" i="17"/>
  <c r="AD65" i="17"/>
  <c r="AC65" i="17"/>
  <c r="AQ64" i="17"/>
  <c r="AP64" i="17"/>
  <c r="AH64" i="17"/>
  <c r="AG64" i="17"/>
  <c r="AF64" i="17"/>
  <c r="AE64" i="17"/>
  <c r="AD64" i="17"/>
  <c r="AC64" i="17"/>
  <c r="AQ63" i="17"/>
  <c r="AP63" i="17"/>
  <c r="AH63" i="17"/>
  <c r="AG63" i="17"/>
  <c r="AF63" i="17"/>
  <c r="AE63" i="17"/>
  <c r="AD63" i="17"/>
  <c r="AC63" i="17"/>
  <c r="AQ62" i="17"/>
  <c r="AP62" i="17"/>
  <c r="AH62" i="17"/>
  <c r="AG62" i="17"/>
  <c r="AF62" i="17"/>
  <c r="AE62" i="17"/>
  <c r="AD62" i="17"/>
  <c r="AC62" i="17"/>
  <c r="AQ61" i="17"/>
  <c r="AP61" i="17"/>
  <c r="AH61" i="17"/>
  <c r="AG61" i="17"/>
  <c r="AF61" i="17"/>
  <c r="AE61" i="17"/>
  <c r="AD61" i="17"/>
  <c r="AC61" i="17"/>
  <c r="AQ60" i="17"/>
  <c r="AP60" i="17"/>
  <c r="AH60" i="17"/>
  <c r="AG60" i="17"/>
  <c r="AF60" i="17"/>
  <c r="AE60" i="17"/>
  <c r="AD60" i="17"/>
  <c r="AC60" i="17"/>
  <c r="AQ59" i="17"/>
  <c r="AP59" i="17"/>
  <c r="AH59" i="17"/>
  <c r="AG59" i="17"/>
  <c r="AF59" i="17"/>
  <c r="AE59" i="17"/>
  <c r="AD59" i="17"/>
  <c r="AC59" i="17"/>
  <c r="AQ58" i="17"/>
  <c r="AP58" i="17"/>
  <c r="AH58" i="17"/>
  <c r="AG58" i="17"/>
  <c r="AF58" i="17"/>
  <c r="AE58" i="17"/>
  <c r="AD58" i="17"/>
  <c r="AC58" i="17"/>
  <c r="AQ57" i="17"/>
  <c r="AP57" i="17"/>
  <c r="AH57" i="17"/>
  <c r="AG57" i="17"/>
  <c r="AF57" i="17"/>
  <c r="AE57" i="17"/>
  <c r="AD57" i="17"/>
  <c r="AC57" i="17"/>
  <c r="AQ56" i="17"/>
  <c r="AP56" i="17"/>
  <c r="AH56" i="17"/>
  <c r="AG56" i="17"/>
  <c r="AF56" i="17"/>
  <c r="AE56" i="17"/>
  <c r="AD56" i="17"/>
  <c r="AC56" i="17"/>
  <c r="AQ55" i="17"/>
  <c r="AP55" i="17"/>
  <c r="AH55" i="17"/>
  <c r="AG55" i="17"/>
  <c r="AF55" i="17"/>
  <c r="AE55" i="17"/>
  <c r="AD55" i="17"/>
  <c r="AC55" i="17"/>
  <c r="AQ54" i="17"/>
  <c r="AP54" i="17"/>
  <c r="AH54" i="17"/>
  <c r="AG54" i="17"/>
  <c r="AF54" i="17"/>
  <c r="AE54" i="17"/>
  <c r="AD54" i="17"/>
  <c r="AC54" i="17"/>
  <c r="AQ53" i="17"/>
  <c r="AP53" i="17"/>
  <c r="AH53" i="17"/>
  <c r="AG53" i="17"/>
  <c r="AF53" i="17"/>
  <c r="AE53" i="17"/>
  <c r="AD53" i="17"/>
  <c r="AC53" i="17"/>
  <c r="AQ52" i="17"/>
  <c r="AP52" i="17"/>
  <c r="AH52" i="17"/>
  <c r="AG52" i="17"/>
  <c r="AF52" i="17"/>
  <c r="AE52" i="17"/>
  <c r="AD52" i="17"/>
  <c r="AC52" i="17"/>
  <c r="AQ51" i="17"/>
  <c r="AP51" i="17"/>
  <c r="AH51" i="17"/>
  <c r="AG51" i="17"/>
  <c r="AF51" i="17"/>
  <c r="AE51" i="17"/>
  <c r="AD51" i="17"/>
  <c r="AC51" i="17"/>
  <c r="AQ50" i="17"/>
  <c r="AP50" i="17"/>
  <c r="AH50" i="17"/>
  <c r="AG50" i="17"/>
  <c r="AF50" i="17"/>
  <c r="AE50" i="17"/>
  <c r="AD50" i="17"/>
  <c r="AC50" i="17"/>
  <c r="AQ49" i="17"/>
  <c r="AP49" i="17"/>
  <c r="AH49" i="17"/>
  <c r="AG49" i="17"/>
  <c r="AF49" i="17"/>
  <c r="AE49" i="17"/>
  <c r="AD49" i="17"/>
  <c r="AC49" i="17"/>
  <c r="AQ48" i="17"/>
  <c r="AP48" i="17"/>
  <c r="AH48" i="17"/>
  <c r="AG48" i="17"/>
  <c r="AF48" i="17"/>
  <c r="AE48" i="17"/>
  <c r="AD48" i="17"/>
  <c r="AC48" i="17"/>
  <c r="AQ47" i="17"/>
  <c r="AP47" i="17"/>
  <c r="AH47" i="17"/>
  <c r="AG47" i="17"/>
  <c r="AF47" i="17"/>
  <c r="AE47" i="17"/>
  <c r="AD47" i="17"/>
  <c r="AC47" i="17"/>
  <c r="AQ46" i="17"/>
  <c r="AP46" i="17"/>
  <c r="AH46" i="17"/>
  <c r="AG46" i="17"/>
  <c r="AF46" i="17"/>
  <c r="AE46" i="17"/>
  <c r="AD46" i="17"/>
  <c r="AC46" i="17"/>
  <c r="AQ45" i="17"/>
  <c r="AP45" i="17"/>
  <c r="AH45" i="17"/>
  <c r="AG45" i="17"/>
  <c r="AF45" i="17"/>
  <c r="AE45" i="17"/>
  <c r="AD45" i="17"/>
  <c r="AC45" i="17"/>
  <c r="AQ44" i="17"/>
  <c r="AP44" i="17"/>
  <c r="AH44" i="17"/>
  <c r="AG44" i="17"/>
  <c r="AF44" i="17"/>
  <c r="AE44" i="17"/>
  <c r="AD44" i="17"/>
  <c r="AC44" i="17"/>
  <c r="AQ43" i="17"/>
  <c r="AP43" i="17"/>
  <c r="AH43" i="17"/>
  <c r="AG43" i="17"/>
  <c r="AF43" i="17"/>
  <c r="AE43" i="17"/>
  <c r="AD43" i="17"/>
  <c r="AC43" i="17"/>
  <c r="AQ42" i="17"/>
  <c r="AP42" i="17"/>
  <c r="AH42" i="17"/>
  <c r="AG42" i="17"/>
  <c r="AF42" i="17"/>
  <c r="AE42" i="17"/>
  <c r="AD42" i="17"/>
  <c r="AC42" i="17"/>
  <c r="AQ41" i="17"/>
  <c r="AP41" i="17"/>
  <c r="AH41" i="17"/>
  <c r="AG41" i="17"/>
  <c r="AF41" i="17"/>
  <c r="AE41" i="17"/>
  <c r="AD41" i="17"/>
  <c r="AC41" i="17"/>
  <c r="AQ40" i="17"/>
  <c r="AP40" i="17"/>
  <c r="AH40" i="17"/>
  <c r="AG40" i="17"/>
  <c r="AF40" i="17"/>
  <c r="AE40" i="17"/>
  <c r="AD40" i="17"/>
  <c r="AC40" i="17"/>
  <c r="AQ39" i="17"/>
  <c r="AP39" i="17"/>
  <c r="AH39" i="17"/>
  <c r="AG39" i="17"/>
  <c r="AF39" i="17"/>
  <c r="AE39" i="17"/>
  <c r="AD39" i="17"/>
  <c r="AC39" i="17"/>
  <c r="AQ38" i="17"/>
  <c r="AP38" i="17"/>
  <c r="AH38" i="17"/>
  <c r="AG38" i="17"/>
  <c r="AF38" i="17"/>
  <c r="AE38" i="17"/>
  <c r="AD38" i="17"/>
  <c r="AC38" i="17"/>
  <c r="AQ37" i="17"/>
  <c r="AP37" i="17"/>
  <c r="AH37" i="17"/>
  <c r="AG37" i="17"/>
  <c r="AF37" i="17"/>
  <c r="AE37" i="17"/>
  <c r="AD37" i="17"/>
  <c r="AC37" i="17"/>
  <c r="AQ36" i="17"/>
  <c r="AP36" i="17"/>
  <c r="AH36" i="17"/>
  <c r="AG36" i="17"/>
  <c r="AF36" i="17"/>
  <c r="AE36" i="17"/>
  <c r="AD36" i="17"/>
  <c r="AC36" i="17"/>
  <c r="AQ35" i="17"/>
  <c r="AP35" i="17"/>
  <c r="AH35" i="17"/>
  <c r="AG35" i="17"/>
  <c r="AF35" i="17"/>
  <c r="AE35" i="17"/>
  <c r="AD35" i="17"/>
  <c r="AC35" i="17"/>
  <c r="AQ34" i="17"/>
  <c r="AP34" i="17"/>
  <c r="AH34" i="17"/>
  <c r="AG34" i="17"/>
  <c r="AF34" i="17"/>
  <c r="AE34" i="17"/>
  <c r="AD34" i="17"/>
  <c r="AC34" i="17"/>
  <c r="AQ33" i="17"/>
  <c r="AP33" i="17"/>
  <c r="AH33" i="17"/>
  <c r="AG33" i="17"/>
  <c r="AF33" i="17"/>
  <c r="AE33" i="17"/>
  <c r="AD33" i="17"/>
  <c r="AC33" i="17"/>
  <c r="AQ32" i="17"/>
  <c r="AP32" i="17"/>
  <c r="AH32" i="17"/>
  <c r="AG32" i="17"/>
  <c r="AF32" i="17"/>
  <c r="AE32" i="17"/>
  <c r="AD32" i="17"/>
  <c r="AC32" i="17"/>
  <c r="AQ31" i="17"/>
  <c r="AP31" i="17"/>
  <c r="AH31" i="17"/>
  <c r="AG31" i="17"/>
  <c r="AF31" i="17"/>
  <c r="AE31" i="17"/>
  <c r="AD31" i="17"/>
  <c r="AC31" i="17"/>
  <c r="AQ30" i="17"/>
  <c r="AP30" i="17"/>
  <c r="AH30" i="17"/>
  <c r="AG30" i="17"/>
  <c r="AF30" i="17"/>
  <c r="AE30" i="17"/>
  <c r="AD30" i="17"/>
  <c r="AC30" i="17"/>
  <c r="AQ29" i="17"/>
  <c r="AP29" i="17"/>
  <c r="AH29" i="17"/>
  <c r="AG29" i="17"/>
  <c r="AF29" i="17"/>
  <c r="AE29" i="17"/>
  <c r="AD29" i="17"/>
  <c r="AC29" i="17"/>
  <c r="AQ28" i="17"/>
  <c r="AP28" i="17"/>
  <c r="AH28" i="17"/>
  <c r="AG28" i="17"/>
  <c r="AF28" i="17"/>
  <c r="AE28" i="17"/>
  <c r="AD28" i="17"/>
  <c r="AC28" i="17"/>
  <c r="AQ27" i="17"/>
  <c r="AP27" i="17"/>
  <c r="AH27" i="17"/>
  <c r="AG27" i="17"/>
  <c r="AF27" i="17"/>
  <c r="AE27" i="17"/>
  <c r="AD27" i="17"/>
  <c r="AC27" i="17"/>
  <c r="AQ26" i="17"/>
  <c r="AP26" i="17"/>
  <c r="AH26" i="17"/>
  <c r="AG26" i="17"/>
  <c r="AF26" i="17"/>
  <c r="AE26" i="17"/>
  <c r="AD26" i="17"/>
  <c r="AC26" i="17"/>
  <c r="AQ25" i="17"/>
  <c r="AP25" i="17"/>
  <c r="AH25" i="17"/>
  <c r="AG25" i="17"/>
  <c r="AF25" i="17"/>
  <c r="AE25" i="17"/>
  <c r="AD25" i="17"/>
  <c r="AC25" i="17"/>
  <c r="AQ24" i="17"/>
  <c r="AP24" i="17"/>
  <c r="AH24" i="17"/>
  <c r="AG24" i="17"/>
  <c r="AF24" i="17"/>
  <c r="AE24" i="17"/>
  <c r="AD24" i="17"/>
  <c r="AC24" i="17"/>
  <c r="AQ23" i="17"/>
  <c r="AP23" i="17"/>
  <c r="AH23" i="17"/>
  <c r="AG23" i="17"/>
  <c r="AF23" i="17"/>
  <c r="AE23" i="17"/>
  <c r="AD23" i="17"/>
  <c r="AC23" i="17"/>
  <c r="AQ22" i="17"/>
  <c r="AP22" i="17"/>
  <c r="AH22" i="17"/>
  <c r="AG22" i="17"/>
  <c r="AF22" i="17"/>
  <c r="AE22" i="17"/>
  <c r="AD22" i="17"/>
  <c r="AC22" i="17"/>
  <c r="AQ21" i="17"/>
  <c r="AP21" i="17"/>
  <c r="AH21" i="17"/>
  <c r="AG21" i="17"/>
  <c r="AF21" i="17"/>
  <c r="AE21" i="17"/>
  <c r="AD21" i="17"/>
  <c r="AC21" i="17"/>
  <c r="AQ20" i="17"/>
  <c r="AP20" i="17"/>
  <c r="AH20" i="17"/>
  <c r="AG20" i="17"/>
  <c r="AF20" i="17"/>
  <c r="AE20" i="17"/>
  <c r="AD20" i="17"/>
  <c r="AC20" i="17"/>
  <c r="AQ19" i="17"/>
  <c r="AP19" i="17"/>
  <c r="AH19" i="17"/>
  <c r="AG19" i="17"/>
  <c r="AF19" i="17"/>
  <c r="AE19" i="17"/>
  <c r="AD19" i="17"/>
  <c r="AC19" i="17"/>
  <c r="AQ18" i="17"/>
  <c r="AP18" i="17"/>
  <c r="AH18" i="17"/>
  <c r="AG18" i="17"/>
  <c r="AF18" i="17"/>
  <c r="AE18" i="17"/>
  <c r="AD18" i="17"/>
  <c r="AC18" i="17"/>
  <c r="AQ17" i="17"/>
  <c r="AP17" i="17"/>
  <c r="AH17" i="17"/>
  <c r="AG17" i="17"/>
  <c r="AF17" i="17"/>
  <c r="AE17" i="17"/>
  <c r="AD17" i="17"/>
  <c r="AC17" i="17"/>
  <c r="AQ16" i="17"/>
  <c r="AP16" i="17"/>
  <c r="AH16" i="17"/>
  <c r="AG16" i="17"/>
  <c r="AF16" i="17"/>
  <c r="AE16" i="17"/>
  <c r="AD16" i="17"/>
  <c r="AC16" i="17"/>
  <c r="AQ15" i="17"/>
  <c r="AP15" i="17"/>
  <c r="AH15" i="17"/>
  <c r="AG15" i="17"/>
  <c r="AF15" i="17"/>
  <c r="AE15" i="17"/>
  <c r="AD15" i="17"/>
  <c r="AC15" i="17"/>
  <c r="AQ14" i="17"/>
  <c r="AP14" i="17"/>
  <c r="AH14" i="17"/>
  <c r="AG14" i="17"/>
  <c r="AF14" i="17"/>
  <c r="AE14" i="17"/>
  <c r="AD14" i="17"/>
  <c r="AC14" i="17"/>
  <c r="AQ13" i="17"/>
  <c r="AP13" i="17"/>
  <c r="AH13" i="17"/>
  <c r="AG13" i="17"/>
  <c r="AF13" i="17"/>
  <c r="AE13" i="17"/>
  <c r="AD13" i="17"/>
  <c r="AC13" i="17"/>
  <c r="AQ12" i="17"/>
  <c r="AP12" i="17"/>
  <c r="AH12" i="17"/>
  <c r="AG12" i="17"/>
  <c r="AF12" i="17"/>
  <c r="AE12" i="17"/>
  <c r="AD12" i="17"/>
  <c r="AC12" i="17"/>
  <c r="AQ11" i="17"/>
  <c r="AP11" i="17"/>
  <c r="AH11" i="17"/>
  <c r="AG11" i="17"/>
  <c r="AF11" i="17"/>
  <c r="AE11" i="17"/>
  <c r="AD11" i="17"/>
  <c r="AC11" i="17"/>
  <c r="AQ10" i="17"/>
  <c r="AP10" i="17"/>
  <c r="AH10" i="17"/>
  <c r="AG10" i="17"/>
  <c r="AF10" i="17"/>
  <c r="AE10" i="17"/>
  <c r="AD10" i="17"/>
  <c r="AC10" i="17"/>
  <c r="AQ9" i="17"/>
  <c r="AP9" i="17"/>
  <c r="AH9" i="17"/>
  <c r="AG9" i="17"/>
  <c r="AF9" i="17"/>
  <c r="AE9" i="17"/>
  <c r="AD9" i="17"/>
  <c r="AC9" i="17"/>
  <c r="AQ8" i="17"/>
  <c r="AP8" i="17"/>
  <c r="AH8" i="17"/>
  <c r="AG8" i="17"/>
  <c r="AF8" i="17"/>
  <c r="AE8" i="17"/>
  <c r="AD8" i="17"/>
  <c r="AC8" i="17"/>
  <c r="AQ7" i="17"/>
  <c r="AP7" i="17"/>
  <c r="AH7" i="17"/>
  <c r="AG7" i="17"/>
  <c r="AF7" i="17"/>
  <c r="AE7" i="17"/>
  <c r="AD7" i="17"/>
  <c r="AC7" i="17"/>
  <c r="AQ6" i="17"/>
  <c r="AP6" i="17"/>
  <c r="AH6" i="17"/>
  <c r="AG6" i="17"/>
  <c r="AF6" i="17"/>
  <c r="AE6" i="17"/>
  <c r="AD6" i="17"/>
  <c r="AC6" i="17"/>
  <c r="AQ5" i="17"/>
  <c r="AP5" i="17"/>
  <c r="AH5" i="17"/>
  <c r="AG5" i="17"/>
  <c r="AF5" i="17"/>
  <c r="AE5" i="17"/>
  <c r="AD5" i="17"/>
  <c r="AC5" i="17"/>
  <c r="AQ4" i="17"/>
  <c r="AP4" i="17"/>
  <c r="AH4" i="17"/>
  <c r="AG4" i="17"/>
  <c r="AF4" i="17"/>
  <c r="AE4" i="17"/>
  <c r="AD4" i="17"/>
  <c r="AC4" i="17"/>
  <c r="AQ3" i="17"/>
  <c r="AP3" i="17"/>
  <c r="AH3" i="17"/>
  <c r="AG3" i="17"/>
  <c r="AF3" i="17"/>
  <c r="AE3" i="17"/>
  <c r="AD3" i="17"/>
  <c r="AC3" i="17"/>
  <c r="AQ2" i="17"/>
  <c r="AP2" i="17"/>
  <c r="AR2" i="17" s="1"/>
  <c r="AH2" i="17"/>
  <c r="AG2" i="17"/>
  <c r="AF2" i="17"/>
  <c r="AE2" i="17"/>
  <c r="AD2" i="17"/>
  <c r="AC2" i="17"/>
  <c r="M1347" i="16"/>
  <c r="L1347" i="16"/>
  <c r="K1347" i="16"/>
  <c r="J1347" i="16"/>
  <c r="I1347" i="16"/>
  <c r="H1347" i="16"/>
  <c r="G1347" i="16"/>
  <c r="M1346" i="16"/>
  <c r="L1346" i="16"/>
  <c r="K1346" i="16"/>
  <c r="J1346" i="16"/>
  <c r="I1346" i="16"/>
  <c r="H1346" i="16"/>
  <c r="G1346" i="16"/>
  <c r="M1345" i="16"/>
  <c r="L1345" i="16"/>
  <c r="K1345" i="16"/>
  <c r="J1345" i="16"/>
  <c r="I1345" i="16"/>
  <c r="H1345" i="16"/>
  <c r="G1345" i="16"/>
  <c r="M1344" i="16"/>
  <c r="L1344" i="16"/>
  <c r="K1344" i="16"/>
  <c r="J1344" i="16"/>
  <c r="I1344" i="16"/>
  <c r="H1344" i="16"/>
  <c r="G1344" i="16"/>
  <c r="M1343" i="16"/>
  <c r="L1343" i="16"/>
  <c r="K1343" i="16"/>
  <c r="J1343" i="16"/>
  <c r="I1343" i="16"/>
  <c r="H1343" i="16"/>
  <c r="G1343" i="16"/>
  <c r="M1342" i="16"/>
  <c r="L1342" i="16"/>
  <c r="K1342" i="16"/>
  <c r="J1342" i="16"/>
  <c r="I1342" i="16"/>
  <c r="H1342" i="16"/>
  <c r="G1342" i="16"/>
  <c r="M1341" i="16"/>
  <c r="L1341" i="16"/>
  <c r="K1341" i="16"/>
  <c r="J1341" i="16"/>
  <c r="I1341" i="16"/>
  <c r="H1341" i="16"/>
  <c r="G1341" i="16"/>
  <c r="M1340" i="16"/>
  <c r="L1340" i="16"/>
  <c r="K1340" i="16"/>
  <c r="J1340" i="16"/>
  <c r="I1340" i="16"/>
  <c r="H1340" i="16"/>
  <c r="G1340" i="16"/>
  <c r="M1339" i="16"/>
  <c r="L1339" i="16"/>
  <c r="K1339" i="16"/>
  <c r="J1339" i="16"/>
  <c r="I1339" i="16"/>
  <c r="H1339" i="16"/>
  <c r="G1339" i="16"/>
  <c r="M1338" i="16"/>
  <c r="L1338" i="16"/>
  <c r="K1338" i="16"/>
  <c r="J1338" i="16"/>
  <c r="I1338" i="16"/>
  <c r="H1338" i="16"/>
  <c r="G1338" i="16"/>
  <c r="M1337" i="16"/>
  <c r="L1337" i="16"/>
  <c r="K1337" i="16"/>
  <c r="J1337" i="16"/>
  <c r="I1337" i="16"/>
  <c r="H1337" i="16"/>
  <c r="G1337" i="16"/>
  <c r="M1336" i="16"/>
  <c r="L1336" i="16"/>
  <c r="K1336" i="16"/>
  <c r="J1336" i="16"/>
  <c r="I1336" i="16"/>
  <c r="H1336" i="16"/>
  <c r="G1336" i="16"/>
  <c r="M1335" i="16"/>
  <c r="L1335" i="16"/>
  <c r="K1335" i="16"/>
  <c r="J1335" i="16"/>
  <c r="I1335" i="16"/>
  <c r="H1335" i="16"/>
  <c r="G1335" i="16"/>
  <c r="M1334" i="16"/>
  <c r="L1334" i="16"/>
  <c r="K1334" i="16"/>
  <c r="J1334" i="16"/>
  <c r="I1334" i="16"/>
  <c r="H1334" i="16"/>
  <c r="G1334" i="16"/>
  <c r="M1333" i="16"/>
  <c r="L1333" i="16"/>
  <c r="K1333" i="16"/>
  <c r="J1333" i="16"/>
  <c r="I1333" i="16"/>
  <c r="H1333" i="16"/>
  <c r="G1333" i="16"/>
  <c r="M1332" i="16"/>
  <c r="L1332" i="16"/>
  <c r="K1332" i="16"/>
  <c r="J1332" i="16"/>
  <c r="I1332" i="16"/>
  <c r="H1332" i="16"/>
  <c r="G1332" i="16"/>
  <c r="M1331" i="16"/>
  <c r="L1331" i="16"/>
  <c r="K1331" i="16"/>
  <c r="J1331" i="16"/>
  <c r="I1331" i="16"/>
  <c r="H1331" i="16"/>
  <c r="G1331" i="16"/>
  <c r="M1330" i="16"/>
  <c r="L1330" i="16"/>
  <c r="K1330" i="16"/>
  <c r="J1330" i="16"/>
  <c r="I1330" i="16"/>
  <c r="H1330" i="16"/>
  <c r="G1330" i="16"/>
  <c r="M1329" i="16"/>
  <c r="L1329" i="16"/>
  <c r="K1329" i="16"/>
  <c r="J1329" i="16"/>
  <c r="I1329" i="16"/>
  <c r="H1329" i="16"/>
  <c r="G1329" i="16"/>
  <c r="M1328" i="16"/>
  <c r="L1328" i="16"/>
  <c r="K1328" i="16"/>
  <c r="J1328" i="16"/>
  <c r="I1328" i="16"/>
  <c r="H1328" i="16"/>
  <c r="G1328" i="16"/>
  <c r="M1327" i="16"/>
  <c r="L1327" i="16"/>
  <c r="K1327" i="16"/>
  <c r="J1327" i="16"/>
  <c r="I1327" i="16"/>
  <c r="H1327" i="16"/>
  <c r="G1327" i="16"/>
  <c r="M1326" i="16"/>
  <c r="L1326" i="16"/>
  <c r="K1326" i="16"/>
  <c r="J1326" i="16"/>
  <c r="I1326" i="16"/>
  <c r="H1326" i="16"/>
  <c r="G1326" i="16"/>
  <c r="M1325" i="16"/>
  <c r="L1325" i="16"/>
  <c r="K1325" i="16"/>
  <c r="J1325" i="16"/>
  <c r="I1325" i="16"/>
  <c r="H1325" i="16"/>
  <c r="G1325" i="16"/>
  <c r="M1324" i="16"/>
  <c r="L1324" i="16"/>
  <c r="K1324" i="16"/>
  <c r="J1324" i="16"/>
  <c r="I1324" i="16"/>
  <c r="H1324" i="16"/>
  <c r="G1324" i="16"/>
  <c r="M1323" i="16"/>
  <c r="L1323" i="16"/>
  <c r="K1323" i="16"/>
  <c r="J1323" i="16"/>
  <c r="I1323" i="16"/>
  <c r="H1323" i="16"/>
  <c r="G1323" i="16"/>
  <c r="M1322" i="16"/>
  <c r="L1322" i="16"/>
  <c r="K1322" i="16"/>
  <c r="J1322" i="16"/>
  <c r="I1322" i="16"/>
  <c r="H1322" i="16"/>
  <c r="G1322" i="16"/>
  <c r="M1321" i="16"/>
  <c r="L1321" i="16"/>
  <c r="K1321" i="16"/>
  <c r="J1321" i="16"/>
  <c r="I1321" i="16"/>
  <c r="H1321" i="16"/>
  <c r="G1321" i="16"/>
  <c r="M1320" i="16"/>
  <c r="L1320" i="16"/>
  <c r="K1320" i="16"/>
  <c r="J1320" i="16"/>
  <c r="I1320" i="16"/>
  <c r="H1320" i="16"/>
  <c r="G1320" i="16"/>
  <c r="M1319" i="16"/>
  <c r="L1319" i="16"/>
  <c r="K1319" i="16"/>
  <c r="J1319" i="16"/>
  <c r="I1319" i="16"/>
  <c r="H1319" i="16"/>
  <c r="G1319" i="16"/>
  <c r="M1318" i="16"/>
  <c r="L1318" i="16"/>
  <c r="K1318" i="16"/>
  <c r="J1318" i="16"/>
  <c r="I1318" i="16"/>
  <c r="H1318" i="16"/>
  <c r="G1318" i="16"/>
  <c r="M1317" i="16"/>
  <c r="L1317" i="16"/>
  <c r="K1317" i="16"/>
  <c r="J1317" i="16"/>
  <c r="I1317" i="16"/>
  <c r="H1317" i="16"/>
  <c r="G1317" i="16"/>
  <c r="M1316" i="16"/>
  <c r="L1316" i="16"/>
  <c r="K1316" i="16"/>
  <c r="J1316" i="16"/>
  <c r="I1316" i="16"/>
  <c r="H1316" i="16"/>
  <c r="G1316" i="16"/>
  <c r="M1315" i="16"/>
  <c r="L1315" i="16"/>
  <c r="K1315" i="16"/>
  <c r="J1315" i="16"/>
  <c r="I1315" i="16"/>
  <c r="H1315" i="16"/>
  <c r="G1315" i="16"/>
  <c r="M1314" i="16"/>
  <c r="L1314" i="16"/>
  <c r="K1314" i="16"/>
  <c r="J1314" i="16"/>
  <c r="I1314" i="16"/>
  <c r="H1314" i="16"/>
  <c r="G1314" i="16"/>
  <c r="M1313" i="16"/>
  <c r="L1313" i="16"/>
  <c r="K1313" i="16"/>
  <c r="J1313" i="16"/>
  <c r="I1313" i="16"/>
  <c r="H1313" i="16"/>
  <c r="G1313" i="16"/>
  <c r="M1312" i="16"/>
  <c r="L1312" i="16"/>
  <c r="K1312" i="16"/>
  <c r="J1312" i="16"/>
  <c r="I1312" i="16"/>
  <c r="H1312" i="16"/>
  <c r="G1312" i="16"/>
  <c r="M1311" i="16"/>
  <c r="L1311" i="16"/>
  <c r="K1311" i="16"/>
  <c r="J1311" i="16"/>
  <c r="I1311" i="16"/>
  <c r="H1311" i="16"/>
  <c r="G1311" i="16"/>
  <c r="M1310" i="16"/>
  <c r="L1310" i="16"/>
  <c r="K1310" i="16"/>
  <c r="J1310" i="16"/>
  <c r="I1310" i="16"/>
  <c r="H1310" i="16"/>
  <c r="G1310" i="16"/>
  <c r="M1309" i="16"/>
  <c r="L1309" i="16"/>
  <c r="K1309" i="16"/>
  <c r="J1309" i="16"/>
  <c r="I1309" i="16"/>
  <c r="H1309" i="16"/>
  <c r="G1309" i="16"/>
  <c r="M1308" i="16"/>
  <c r="L1308" i="16"/>
  <c r="K1308" i="16"/>
  <c r="J1308" i="16"/>
  <c r="I1308" i="16"/>
  <c r="H1308" i="16"/>
  <c r="G1308" i="16"/>
  <c r="M1307" i="16"/>
  <c r="L1307" i="16"/>
  <c r="K1307" i="16"/>
  <c r="J1307" i="16"/>
  <c r="I1307" i="16"/>
  <c r="H1307" i="16"/>
  <c r="G1307" i="16"/>
  <c r="M1306" i="16"/>
  <c r="L1306" i="16"/>
  <c r="K1306" i="16"/>
  <c r="J1306" i="16"/>
  <c r="I1306" i="16"/>
  <c r="H1306" i="16"/>
  <c r="G1306" i="16"/>
  <c r="M1305" i="16"/>
  <c r="L1305" i="16"/>
  <c r="K1305" i="16"/>
  <c r="J1305" i="16"/>
  <c r="I1305" i="16"/>
  <c r="H1305" i="16"/>
  <c r="G1305" i="16"/>
  <c r="M1304" i="16"/>
  <c r="L1304" i="16"/>
  <c r="K1304" i="16"/>
  <c r="J1304" i="16"/>
  <c r="I1304" i="16"/>
  <c r="H1304" i="16"/>
  <c r="G1304" i="16"/>
  <c r="M1303" i="16"/>
  <c r="L1303" i="16"/>
  <c r="K1303" i="16"/>
  <c r="J1303" i="16"/>
  <c r="I1303" i="16"/>
  <c r="H1303" i="16"/>
  <c r="G1303" i="16"/>
  <c r="M1302" i="16"/>
  <c r="L1302" i="16"/>
  <c r="K1302" i="16"/>
  <c r="J1302" i="16"/>
  <c r="I1302" i="16"/>
  <c r="H1302" i="16"/>
  <c r="G1302" i="16"/>
  <c r="M1301" i="16"/>
  <c r="L1301" i="16"/>
  <c r="K1301" i="16"/>
  <c r="J1301" i="16"/>
  <c r="I1301" i="16"/>
  <c r="H1301" i="16"/>
  <c r="G1301" i="16"/>
  <c r="M1300" i="16"/>
  <c r="L1300" i="16"/>
  <c r="K1300" i="16"/>
  <c r="J1300" i="16"/>
  <c r="I1300" i="16"/>
  <c r="H1300" i="16"/>
  <c r="G1300" i="16"/>
  <c r="M1299" i="16"/>
  <c r="L1299" i="16"/>
  <c r="K1299" i="16"/>
  <c r="J1299" i="16"/>
  <c r="I1299" i="16"/>
  <c r="H1299" i="16"/>
  <c r="G1299" i="16"/>
  <c r="M1298" i="16"/>
  <c r="L1298" i="16"/>
  <c r="K1298" i="16"/>
  <c r="J1298" i="16"/>
  <c r="I1298" i="16"/>
  <c r="H1298" i="16"/>
  <c r="G1298" i="16"/>
  <c r="M1297" i="16"/>
  <c r="L1297" i="16"/>
  <c r="K1297" i="16"/>
  <c r="J1297" i="16"/>
  <c r="I1297" i="16"/>
  <c r="H1297" i="16"/>
  <c r="G1297" i="16"/>
  <c r="M1296" i="16"/>
  <c r="L1296" i="16"/>
  <c r="K1296" i="16"/>
  <c r="J1296" i="16"/>
  <c r="I1296" i="16"/>
  <c r="H1296" i="16"/>
  <c r="G1296" i="16"/>
  <c r="M1295" i="16"/>
  <c r="L1295" i="16"/>
  <c r="K1295" i="16"/>
  <c r="J1295" i="16"/>
  <c r="I1295" i="16"/>
  <c r="H1295" i="16"/>
  <c r="G1295" i="16"/>
  <c r="M1294" i="16"/>
  <c r="L1294" i="16"/>
  <c r="K1294" i="16"/>
  <c r="J1294" i="16"/>
  <c r="I1294" i="16"/>
  <c r="H1294" i="16"/>
  <c r="G1294" i="16"/>
  <c r="M1293" i="16"/>
  <c r="L1293" i="16"/>
  <c r="K1293" i="16"/>
  <c r="J1293" i="16"/>
  <c r="I1293" i="16"/>
  <c r="H1293" i="16"/>
  <c r="G1293" i="16"/>
  <c r="M1292" i="16"/>
  <c r="L1292" i="16"/>
  <c r="K1292" i="16"/>
  <c r="J1292" i="16"/>
  <c r="I1292" i="16"/>
  <c r="H1292" i="16"/>
  <c r="G1292" i="16"/>
  <c r="M1291" i="16"/>
  <c r="L1291" i="16"/>
  <c r="K1291" i="16"/>
  <c r="J1291" i="16"/>
  <c r="I1291" i="16"/>
  <c r="H1291" i="16"/>
  <c r="G1291" i="16"/>
  <c r="M1290" i="16"/>
  <c r="L1290" i="16"/>
  <c r="K1290" i="16"/>
  <c r="J1290" i="16"/>
  <c r="I1290" i="16"/>
  <c r="H1290" i="16"/>
  <c r="G1290" i="16"/>
  <c r="M1289" i="16"/>
  <c r="L1289" i="16"/>
  <c r="K1289" i="16"/>
  <c r="J1289" i="16"/>
  <c r="I1289" i="16"/>
  <c r="H1289" i="16"/>
  <c r="G1289" i="16"/>
  <c r="M1288" i="16"/>
  <c r="L1288" i="16"/>
  <c r="K1288" i="16"/>
  <c r="J1288" i="16"/>
  <c r="I1288" i="16"/>
  <c r="H1288" i="16"/>
  <c r="G1288" i="16"/>
  <c r="M1287" i="16"/>
  <c r="L1287" i="16"/>
  <c r="K1287" i="16"/>
  <c r="J1287" i="16"/>
  <c r="I1287" i="16"/>
  <c r="H1287" i="16"/>
  <c r="G1287" i="16"/>
  <c r="M1286" i="16"/>
  <c r="L1286" i="16"/>
  <c r="K1286" i="16"/>
  <c r="J1286" i="16"/>
  <c r="I1286" i="16"/>
  <c r="H1286" i="16"/>
  <c r="G1286" i="16"/>
  <c r="M1285" i="16"/>
  <c r="L1285" i="16"/>
  <c r="K1285" i="16"/>
  <c r="J1285" i="16"/>
  <c r="I1285" i="16"/>
  <c r="H1285" i="16"/>
  <c r="G1285" i="16"/>
  <c r="M1284" i="16"/>
  <c r="L1284" i="16"/>
  <c r="K1284" i="16"/>
  <c r="J1284" i="16"/>
  <c r="I1284" i="16"/>
  <c r="H1284" i="16"/>
  <c r="G1284" i="16"/>
  <c r="M1283" i="16"/>
  <c r="L1283" i="16"/>
  <c r="K1283" i="16"/>
  <c r="J1283" i="16"/>
  <c r="I1283" i="16"/>
  <c r="H1283" i="16"/>
  <c r="G1283" i="16"/>
  <c r="M1282" i="16"/>
  <c r="L1282" i="16"/>
  <c r="K1282" i="16"/>
  <c r="J1282" i="16"/>
  <c r="I1282" i="16"/>
  <c r="H1282" i="16"/>
  <c r="G1282" i="16"/>
  <c r="M1281" i="16"/>
  <c r="L1281" i="16"/>
  <c r="K1281" i="16"/>
  <c r="J1281" i="16"/>
  <c r="I1281" i="16"/>
  <c r="H1281" i="16"/>
  <c r="G1281" i="16"/>
  <c r="M1280" i="16"/>
  <c r="L1280" i="16"/>
  <c r="K1280" i="16"/>
  <c r="J1280" i="16"/>
  <c r="I1280" i="16"/>
  <c r="H1280" i="16"/>
  <c r="G1280" i="16"/>
  <c r="M1279" i="16"/>
  <c r="L1279" i="16"/>
  <c r="K1279" i="16"/>
  <c r="J1279" i="16"/>
  <c r="I1279" i="16"/>
  <c r="H1279" i="16"/>
  <c r="G1279" i="16"/>
  <c r="M1278" i="16"/>
  <c r="L1278" i="16"/>
  <c r="K1278" i="16"/>
  <c r="J1278" i="16"/>
  <c r="I1278" i="16"/>
  <c r="H1278" i="16"/>
  <c r="G1278" i="16"/>
  <c r="M1277" i="16"/>
  <c r="L1277" i="16"/>
  <c r="K1277" i="16"/>
  <c r="J1277" i="16"/>
  <c r="I1277" i="16"/>
  <c r="H1277" i="16"/>
  <c r="G1277" i="16"/>
  <c r="M1276" i="16"/>
  <c r="L1276" i="16"/>
  <c r="K1276" i="16"/>
  <c r="J1276" i="16"/>
  <c r="I1276" i="16"/>
  <c r="H1276" i="16"/>
  <c r="G1276" i="16"/>
  <c r="M1275" i="16"/>
  <c r="L1275" i="16"/>
  <c r="K1275" i="16"/>
  <c r="J1275" i="16"/>
  <c r="I1275" i="16"/>
  <c r="H1275" i="16"/>
  <c r="G1275" i="16"/>
  <c r="M1274" i="16"/>
  <c r="L1274" i="16"/>
  <c r="K1274" i="16"/>
  <c r="J1274" i="16"/>
  <c r="I1274" i="16"/>
  <c r="H1274" i="16"/>
  <c r="G1274" i="16"/>
  <c r="M1273" i="16"/>
  <c r="L1273" i="16"/>
  <c r="K1273" i="16"/>
  <c r="J1273" i="16"/>
  <c r="I1273" i="16"/>
  <c r="H1273" i="16"/>
  <c r="G1273" i="16"/>
  <c r="M1272" i="16"/>
  <c r="L1272" i="16"/>
  <c r="K1272" i="16"/>
  <c r="J1272" i="16"/>
  <c r="I1272" i="16"/>
  <c r="H1272" i="16"/>
  <c r="G1272" i="16"/>
  <c r="M1271" i="16"/>
  <c r="L1271" i="16"/>
  <c r="K1271" i="16"/>
  <c r="J1271" i="16"/>
  <c r="I1271" i="16"/>
  <c r="H1271" i="16"/>
  <c r="G1271" i="16"/>
  <c r="M1270" i="16"/>
  <c r="L1270" i="16"/>
  <c r="K1270" i="16"/>
  <c r="J1270" i="16"/>
  <c r="I1270" i="16"/>
  <c r="H1270" i="16"/>
  <c r="G1270" i="16"/>
  <c r="M1269" i="16"/>
  <c r="L1269" i="16"/>
  <c r="K1269" i="16"/>
  <c r="J1269" i="16"/>
  <c r="I1269" i="16"/>
  <c r="H1269" i="16"/>
  <c r="G1269" i="16"/>
  <c r="M1268" i="16"/>
  <c r="L1268" i="16"/>
  <c r="K1268" i="16"/>
  <c r="J1268" i="16"/>
  <c r="I1268" i="16"/>
  <c r="H1268" i="16"/>
  <c r="G1268" i="16"/>
  <c r="M1267" i="16"/>
  <c r="L1267" i="16"/>
  <c r="K1267" i="16"/>
  <c r="J1267" i="16"/>
  <c r="I1267" i="16"/>
  <c r="H1267" i="16"/>
  <c r="G1267" i="16"/>
  <c r="M1266" i="16"/>
  <c r="L1266" i="16"/>
  <c r="K1266" i="16"/>
  <c r="J1266" i="16"/>
  <c r="I1266" i="16"/>
  <c r="H1266" i="16"/>
  <c r="G1266" i="16"/>
  <c r="M1265" i="16"/>
  <c r="L1265" i="16"/>
  <c r="K1265" i="16"/>
  <c r="J1265" i="16"/>
  <c r="I1265" i="16"/>
  <c r="H1265" i="16"/>
  <c r="G1265" i="16"/>
  <c r="M1264" i="16"/>
  <c r="L1264" i="16"/>
  <c r="K1264" i="16"/>
  <c r="J1264" i="16"/>
  <c r="I1264" i="16"/>
  <c r="H1264" i="16"/>
  <c r="G1264" i="16"/>
  <c r="M1263" i="16"/>
  <c r="L1263" i="16"/>
  <c r="K1263" i="16"/>
  <c r="J1263" i="16"/>
  <c r="I1263" i="16"/>
  <c r="H1263" i="16"/>
  <c r="G1263" i="16"/>
  <c r="M1262" i="16"/>
  <c r="L1262" i="16"/>
  <c r="K1262" i="16"/>
  <c r="J1262" i="16"/>
  <c r="I1262" i="16"/>
  <c r="H1262" i="16"/>
  <c r="G1262" i="16"/>
  <c r="M1261" i="16"/>
  <c r="L1261" i="16"/>
  <c r="K1261" i="16"/>
  <c r="J1261" i="16"/>
  <c r="I1261" i="16"/>
  <c r="H1261" i="16"/>
  <c r="G1261" i="16"/>
  <c r="M1260" i="16"/>
  <c r="L1260" i="16"/>
  <c r="K1260" i="16"/>
  <c r="J1260" i="16"/>
  <c r="I1260" i="16"/>
  <c r="H1260" i="16"/>
  <c r="G1260" i="16"/>
  <c r="M1259" i="16"/>
  <c r="L1259" i="16"/>
  <c r="K1259" i="16"/>
  <c r="J1259" i="16"/>
  <c r="I1259" i="16"/>
  <c r="H1259" i="16"/>
  <c r="G1259" i="16"/>
  <c r="M1258" i="16"/>
  <c r="L1258" i="16"/>
  <c r="K1258" i="16"/>
  <c r="J1258" i="16"/>
  <c r="I1258" i="16"/>
  <c r="H1258" i="16"/>
  <c r="G1258" i="16"/>
  <c r="M1257" i="16"/>
  <c r="L1257" i="16"/>
  <c r="K1257" i="16"/>
  <c r="J1257" i="16"/>
  <c r="I1257" i="16"/>
  <c r="H1257" i="16"/>
  <c r="G1257" i="16"/>
  <c r="M1256" i="16"/>
  <c r="L1256" i="16"/>
  <c r="K1256" i="16"/>
  <c r="J1256" i="16"/>
  <c r="I1256" i="16"/>
  <c r="H1256" i="16"/>
  <c r="G1256" i="16"/>
  <c r="M1255" i="16"/>
  <c r="L1255" i="16"/>
  <c r="K1255" i="16"/>
  <c r="J1255" i="16"/>
  <c r="I1255" i="16"/>
  <c r="H1255" i="16"/>
  <c r="G1255" i="16"/>
  <c r="M1254" i="16"/>
  <c r="L1254" i="16"/>
  <c r="K1254" i="16"/>
  <c r="J1254" i="16"/>
  <c r="I1254" i="16"/>
  <c r="H1254" i="16"/>
  <c r="G1254" i="16"/>
  <c r="M1253" i="16"/>
  <c r="L1253" i="16"/>
  <c r="K1253" i="16"/>
  <c r="J1253" i="16"/>
  <c r="I1253" i="16"/>
  <c r="H1253" i="16"/>
  <c r="G1253" i="16"/>
  <c r="M1252" i="16"/>
  <c r="L1252" i="16"/>
  <c r="K1252" i="16"/>
  <c r="J1252" i="16"/>
  <c r="I1252" i="16"/>
  <c r="H1252" i="16"/>
  <c r="G1252" i="16"/>
  <c r="M1251" i="16"/>
  <c r="L1251" i="16"/>
  <c r="K1251" i="16"/>
  <c r="J1251" i="16"/>
  <c r="I1251" i="16"/>
  <c r="H1251" i="16"/>
  <c r="G1251" i="16"/>
  <c r="M1250" i="16"/>
  <c r="L1250" i="16"/>
  <c r="K1250" i="16"/>
  <c r="J1250" i="16"/>
  <c r="I1250" i="16"/>
  <c r="H1250" i="16"/>
  <c r="G1250" i="16"/>
  <c r="M1249" i="16"/>
  <c r="L1249" i="16"/>
  <c r="K1249" i="16"/>
  <c r="J1249" i="16"/>
  <c r="I1249" i="16"/>
  <c r="H1249" i="16"/>
  <c r="G1249" i="16"/>
  <c r="M1248" i="16"/>
  <c r="L1248" i="16"/>
  <c r="K1248" i="16"/>
  <c r="J1248" i="16"/>
  <c r="I1248" i="16"/>
  <c r="H1248" i="16"/>
  <c r="G1248" i="16"/>
  <c r="M1247" i="16"/>
  <c r="L1247" i="16"/>
  <c r="K1247" i="16"/>
  <c r="J1247" i="16"/>
  <c r="I1247" i="16"/>
  <c r="H1247" i="16"/>
  <c r="G1247" i="16"/>
  <c r="M1246" i="16"/>
  <c r="L1246" i="16"/>
  <c r="K1246" i="16"/>
  <c r="J1246" i="16"/>
  <c r="I1246" i="16"/>
  <c r="H1246" i="16"/>
  <c r="G1246" i="16"/>
  <c r="M1245" i="16"/>
  <c r="L1245" i="16"/>
  <c r="K1245" i="16"/>
  <c r="J1245" i="16"/>
  <c r="I1245" i="16"/>
  <c r="H1245" i="16"/>
  <c r="G1245" i="16"/>
  <c r="M1244" i="16"/>
  <c r="L1244" i="16"/>
  <c r="K1244" i="16"/>
  <c r="J1244" i="16"/>
  <c r="I1244" i="16"/>
  <c r="H1244" i="16"/>
  <c r="G1244" i="16"/>
  <c r="M1243" i="16"/>
  <c r="L1243" i="16"/>
  <c r="K1243" i="16"/>
  <c r="J1243" i="16"/>
  <c r="I1243" i="16"/>
  <c r="H1243" i="16"/>
  <c r="G1243" i="16"/>
  <c r="M1242" i="16"/>
  <c r="L1242" i="16"/>
  <c r="K1242" i="16"/>
  <c r="J1242" i="16"/>
  <c r="I1242" i="16"/>
  <c r="H1242" i="16"/>
  <c r="G1242" i="16"/>
  <c r="M1241" i="16"/>
  <c r="L1241" i="16"/>
  <c r="K1241" i="16"/>
  <c r="J1241" i="16"/>
  <c r="I1241" i="16"/>
  <c r="H1241" i="16"/>
  <c r="G1241" i="16"/>
  <c r="M1240" i="16"/>
  <c r="L1240" i="16"/>
  <c r="K1240" i="16"/>
  <c r="J1240" i="16"/>
  <c r="I1240" i="16"/>
  <c r="H1240" i="16"/>
  <c r="G1240" i="16"/>
  <c r="M1239" i="16"/>
  <c r="L1239" i="16"/>
  <c r="K1239" i="16"/>
  <c r="J1239" i="16"/>
  <c r="I1239" i="16"/>
  <c r="H1239" i="16"/>
  <c r="G1239" i="16"/>
  <c r="M1238" i="16"/>
  <c r="L1238" i="16"/>
  <c r="K1238" i="16"/>
  <c r="J1238" i="16"/>
  <c r="I1238" i="16"/>
  <c r="H1238" i="16"/>
  <c r="G1238" i="16"/>
  <c r="M1237" i="16"/>
  <c r="L1237" i="16"/>
  <c r="K1237" i="16"/>
  <c r="J1237" i="16"/>
  <c r="I1237" i="16"/>
  <c r="H1237" i="16"/>
  <c r="G1237" i="16"/>
  <c r="M1236" i="16"/>
  <c r="L1236" i="16"/>
  <c r="K1236" i="16"/>
  <c r="J1236" i="16"/>
  <c r="I1236" i="16"/>
  <c r="H1236" i="16"/>
  <c r="G1236" i="16"/>
  <c r="M1235" i="16"/>
  <c r="L1235" i="16"/>
  <c r="K1235" i="16"/>
  <c r="J1235" i="16"/>
  <c r="I1235" i="16"/>
  <c r="H1235" i="16"/>
  <c r="G1235" i="16"/>
  <c r="M1234" i="16"/>
  <c r="L1234" i="16"/>
  <c r="K1234" i="16"/>
  <c r="J1234" i="16"/>
  <c r="I1234" i="16"/>
  <c r="H1234" i="16"/>
  <c r="G1234" i="16"/>
  <c r="M1233" i="16"/>
  <c r="L1233" i="16"/>
  <c r="K1233" i="16"/>
  <c r="J1233" i="16"/>
  <c r="I1233" i="16"/>
  <c r="H1233" i="16"/>
  <c r="G1233" i="16"/>
  <c r="M1232" i="16"/>
  <c r="L1232" i="16"/>
  <c r="K1232" i="16"/>
  <c r="J1232" i="16"/>
  <c r="I1232" i="16"/>
  <c r="H1232" i="16"/>
  <c r="G1232" i="16"/>
  <c r="M1231" i="16"/>
  <c r="L1231" i="16"/>
  <c r="K1231" i="16"/>
  <c r="J1231" i="16"/>
  <c r="I1231" i="16"/>
  <c r="H1231" i="16"/>
  <c r="G1231" i="16"/>
  <c r="M1230" i="16"/>
  <c r="L1230" i="16"/>
  <c r="K1230" i="16"/>
  <c r="J1230" i="16"/>
  <c r="I1230" i="16"/>
  <c r="H1230" i="16"/>
  <c r="G1230" i="16"/>
  <c r="M1229" i="16"/>
  <c r="L1229" i="16"/>
  <c r="K1229" i="16"/>
  <c r="J1229" i="16"/>
  <c r="I1229" i="16"/>
  <c r="H1229" i="16"/>
  <c r="G1229" i="16"/>
  <c r="M1228" i="16"/>
  <c r="L1228" i="16"/>
  <c r="K1228" i="16"/>
  <c r="J1228" i="16"/>
  <c r="I1228" i="16"/>
  <c r="H1228" i="16"/>
  <c r="G1228" i="16"/>
  <c r="M1227" i="16"/>
  <c r="L1227" i="16"/>
  <c r="K1227" i="16"/>
  <c r="J1227" i="16"/>
  <c r="I1227" i="16"/>
  <c r="H1227" i="16"/>
  <c r="G1227" i="16"/>
  <c r="M1226" i="16"/>
  <c r="L1226" i="16"/>
  <c r="K1226" i="16"/>
  <c r="J1226" i="16"/>
  <c r="I1226" i="16"/>
  <c r="H1226" i="16"/>
  <c r="G1226" i="16"/>
  <c r="M1225" i="16"/>
  <c r="L1225" i="16"/>
  <c r="K1225" i="16"/>
  <c r="J1225" i="16"/>
  <c r="I1225" i="16"/>
  <c r="H1225" i="16"/>
  <c r="G1225" i="16"/>
  <c r="M1224" i="16"/>
  <c r="L1224" i="16"/>
  <c r="K1224" i="16"/>
  <c r="J1224" i="16"/>
  <c r="I1224" i="16"/>
  <c r="H1224" i="16"/>
  <c r="G1224" i="16"/>
  <c r="M1223" i="16"/>
  <c r="L1223" i="16"/>
  <c r="K1223" i="16"/>
  <c r="J1223" i="16"/>
  <c r="I1223" i="16"/>
  <c r="H1223" i="16"/>
  <c r="G1223" i="16"/>
  <c r="M1222" i="16"/>
  <c r="L1222" i="16"/>
  <c r="K1222" i="16"/>
  <c r="J1222" i="16"/>
  <c r="I1222" i="16"/>
  <c r="H1222" i="16"/>
  <c r="G1222" i="16"/>
  <c r="M1221" i="16"/>
  <c r="L1221" i="16"/>
  <c r="K1221" i="16"/>
  <c r="J1221" i="16"/>
  <c r="I1221" i="16"/>
  <c r="H1221" i="16"/>
  <c r="G1221" i="16"/>
  <c r="M1220" i="16"/>
  <c r="L1220" i="16"/>
  <c r="K1220" i="16"/>
  <c r="J1220" i="16"/>
  <c r="I1220" i="16"/>
  <c r="H1220" i="16"/>
  <c r="G1220" i="16"/>
  <c r="M1219" i="16"/>
  <c r="L1219" i="16"/>
  <c r="K1219" i="16"/>
  <c r="J1219" i="16"/>
  <c r="I1219" i="16"/>
  <c r="H1219" i="16"/>
  <c r="G1219" i="16"/>
  <c r="M1218" i="16"/>
  <c r="L1218" i="16"/>
  <c r="K1218" i="16"/>
  <c r="J1218" i="16"/>
  <c r="I1218" i="16"/>
  <c r="H1218" i="16"/>
  <c r="G1218" i="16"/>
  <c r="M1217" i="16"/>
  <c r="L1217" i="16"/>
  <c r="K1217" i="16"/>
  <c r="J1217" i="16"/>
  <c r="I1217" i="16"/>
  <c r="H1217" i="16"/>
  <c r="G1217" i="16"/>
  <c r="M1216" i="16"/>
  <c r="L1216" i="16"/>
  <c r="K1216" i="16"/>
  <c r="J1216" i="16"/>
  <c r="I1216" i="16"/>
  <c r="H1216" i="16"/>
  <c r="G1216" i="16"/>
  <c r="M1215" i="16"/>
  <c r="L1215" i="16"/>
  <c r="K1215" i="16"/>
  <c r="J1215" i="16"/>
  <c r="I1215" i="16"/>
  <c r="H1215" i="16"/>
  <c r="G1215" i="16"/>
  <c r="M1214" i="16"/>
  <c r="L1214" i="16"/>
  <c r="K1214" i="16"/>
  <c r="J1214" i="16"/>
  <c r="I1214" i="16"/>
  <c r="H1214" i="16"/>
  <c r="G1214" i="16"/>
  <c r="M1213" i="16"/>
  <c r="L1213" i="16"/>
  <c r="K1213" i="16"/>
  <c r="J1213" i="16"/>
  <c r="I1213" i="16"/>
  <c r="H1213" i="16"/>
  <c r="G1213" i="16"/>
  <c r="M1212" i="16"/>
  <c r="L1212" i="16"/>
  <c r="K1212" i="16"/>
  <c r="J1212" i="16"/>
  <c r="I1212" i="16"/>
  <c r="H1212" i="16"/>
  <c r="G1212" i="16"/>
  <c r="M1211" i="16"/>
  <c r="L1211" i="16"/>
  <c r="K1211" i="16"/>
  <c r="J1211" i="16"/>
  <c r="I1211" i="16"/>
  <c r="H1211" i="16"/>
  <c r="G1211" i="16"/>
  <c r="M1210" i="16"/>
  <c r="L1210" i="16"/>
  <c r="K1210" i="16"/>
  <c r="J1210" i="16"/>
  <c r="I1210" i="16"/>
  <c r="H1210" i="16"/>
  <c r="G1210" i="16"/>
  <c r="M1209" i="16"/>
  <c r="L1209" i="16"/>
  <c r="K1209" i="16"/>
  <c r="J1209" i="16"/>
  <c r="I1209" i="16"/>
  <c r="H1209" i="16"/>
  <c r="G1209" i="16"/>
  <c r="M1208" i="16"/>
  <c r="L1208" i="16"/>
  <c r="K1208" i="16"/>
  <c r="J1208" i="16"/>
  <c r="I1208" i="16"/>
  <c r="H1208" i="16"/>
  <c r="G1208" i="16"/>
  <c r="M1207" i="16"/>
  <c r="L1207" i="16"/>
  <c r="K1207" i="16"/>
  <c r="J1207" i="16"/>
  <c r="I1207" i="16"/>
  <c r="H1207" i="16"/>
  <c r="G1207" i="16"/>
  <c r="M1206" i="16"/>
  <c r="L1206" i="16"/>
  <c r="K1206" i="16"/>
  <c r="J1206" i="16"/>
  <c r="I1206" i="16"/>
  <c r="H1206" i="16"/>
  <c r="G1206" i="16"/>
  <c r="M1205" i="16"/>
  <c r="L1205" i="16"/>
  <c r="K1205" i="16"/>
  <c r="J1205" i="16"/>
  <c r="I1205" i="16"/>
  <c r="H1205" i="16"/>
  <c r="G1205" i="16"/>
  <c r="M1204" i="16"/>
  <c r="L1204" i="16"/>
  <c r="K1204" i="16"/>
  <c r="J1204" i="16"/>
  <c r="I1204" i="16"/>
  <c r="H1204" i="16"/>
  <c r="G1204" i="16"/>
  <c r="M1203" i="16"/>
  <c r="L1203" i="16"/>
  <c r="K1203" i="16"/>
  <c r="J1203" i="16"/>
  <c r="I1203" i="16"/>
  <c r="H1203" i="16"/>
  <c r="G1203" i="16"/>
  <c r="M1202" i="16"/>
  <c r="L1202" i="16"/>
  <c r="K1202" i="16"/>
  <c r="J1202" i="16"/>
  <c r="I1202" i="16"/>
  <c r="H1202" i="16"/>
  <c r="G1202" i="16"/>
  <c r="M1201" i="16"/>
  <c r="L1201" i="16"/>
  <c r="K1201" i="16"/>
  <c r="J1201" i="16"/>
  <c r="I1201" i="16"/>
  <c r="H1201" i="16"/>
  <c r="G1201" i="16"/>
  <c r="M1200" i="16"/>
  <c r="L1200" i="16"/>
  <c r="K1200" i="16"/>
  <c r="J1200" i="16"/>
  <c r="I1200" i="16"/>
  <c r="H1200" i="16"/>
  <c r="G1200" i="16"/>
  <c r="M1199" i="16"/>
  <c r="L1199" i="16"/>
  <c r="K1199" i="16"/>
  <c r="J1199" i="16"/>
  <c r="I1199" i="16"/>
  <c r="H1199" i="16"/>
  <c r="G1199" i="16"/>
  <c r="M1198" i="16"/>
  <c r="L1198" i="16"/>
  <c r="K1198" i="16"/>
  <c r="J1198" i="16"/>
  <c r="I1198" i="16"/>
  <c r="H1198" i="16"/>
  <c r="G1198" i="16"/>
  <c r="M1197" i="16"/>
  <c r="L1197" i="16"/>
  <c r="K1197" i="16"/>
  <c r="J1197" i="16"/>
  <c r="I1197" i="16"/>
  <c r="H1197" i="16"/>
  <c r="G1197" i="16"/>
  <c r="M1196" i="16"/>
  <c r="L1196" i="16"/>
  <c r="K1196" i="16"/>
  <c r="J1196" i="16"/>
  <c r="I1196" i="16"/>
  <c r="H1196" i="16"/>
  <c r="G1196" i="16"/>
  <c r="M1195" i="16"/>
  <c r="L1195" i="16"/>
  <c r="K1195" i="16"/>
  <c r="J1195" i="16"/>
  <c r="I1195" i="16"/>
  <c r="H1195" i="16"/>
  <c r="G1195" i="16"/>
  <c r="M1194" i="16"/>
  <c r="L1194" i="16"/>
  <c r="K1194" i="16"/>
  <c r="J1194" i="16"/>
  <c r="I1194" i="16"/>
  <c r="H1194" i="16"/>
  <c r="G1194" i="16"/>
  <c r="M1193" i="16"/>
  <c r="L1193" i="16"/>
  <c r="K1193" i="16"/>
  <c r="J1193" i="16"/>
  <c r="I1193" i="16"/>
  <c r="H1193" i="16"/>
  <c r="G1193" i="16"/>
  <c r="M1192" i="16"/>
  <c r="L1192" i="16"/>
  <c r="K1192" i="16"/>
  <c r="J1192" i="16"/>
  <c r="I1192" i="16"/>
  <c r="H1192" i="16"/>
  <c r="G1192" i="16"/>
  <c r="M1191" i="16"/>
  <c r="L1191" i="16"/>
  <c r="K1191" i="16"/>
  <c r="J1191" i="16"/>
  <c r="I1191" i="16"/>
  <c r="H1191" i="16"/>
  <c r="G1191" i="16"/>
  <c r="M1190" i="16"/>
  <c r="L1190" i="16"/>
  <c r="K1190" i="16"/>
  <c r="J1190" i="16"/>
  <c r="I1190" i="16"/>
  <c r="H1190" i="16"/>
  <c r="G1190" i="16"/>
  <c r="M1189" i="16"/>
  <c r="L1189" i="16"/>
  <c r="K1189" i="16"/>
  <c r="J1189" i="16"/>
  <c r="I1189" i="16"/>
  <c r="H1189" i="16"/>
  <c r="G1189" i="16"/>
  <c r="M1188" i="16"/>
  <c r="L1188" i="16"/>
  <c r="K1188" i="16"/>
  <c r="J1188" i="16"/>
  <c r="I1188" i="16"/>
  <c r="H1188" i="16"/>
  <c r="G1188" i="16"/>
  <c r="M1187" i="16"/>
  <c r="L1187" i="16"/>
  <c r="K1187" i="16"/>
  <c r="J1187" i="16"/>
  <c r="I1187" i="16"/>
  <c r="H1187" i="16"/>
  <c r="G1187" i="16"/>
  <c r="M1186" i="16"/>
  <c r="L1186" i="16"/>
  <c r="K1186" i="16"/>
  <c r="J1186" i="16"/>
  <c r="I1186" i="16"/>
  <c r="H1186" i="16"/>
  <c r="G1186" i="16"/>
  <c r="M1185" i="16"/>
  <c r="L1185" i="16"/>
  <c r="K1185" i="16"/>
  <c r="J1185" i="16"/>
  <c r="I1185" i="16"/>
  <c r="H1185" i="16"/>
  <c r="G1185" i="16"/>
  <c r="M1184" i="16"/>
  <c r="L1184" i="16"/>
  <c r="K1184" i="16"/>
  <c r="J1184" i="16"/>
  <c r="I1184" i="16"/>
  <c r="H1184" i="16"/>
  <c r="G1184" i="16"/>
  <c r="M1183" i="16"/>
  <c r="L1183" i="16"/>
  <c r="K1183" i="16"/>
  <c r="J1183" i="16"/>
  <c r="I1183" i="16"/>
  <c r="H1183" i="16"/>
  <c r="G1183" i="16"/>
  <c r="M1182" i="16"/>
  <c r="L1182" i="16"/>
  <c r="K1182" i="16"/>
  <c r="J1182" i="16"/>
  <c r="I1182" i="16"/>
  <c r="H1182" i="16"/>
  <c r="G1182" i="16"/>
  <c r="M1181" i="16"/>
  <c r="L1181" i="16"/>
  <c r="K1181" i="16"/>
  <c r="J1181" i="16"/>
  <c r="I1181" i="16"/>
  <c r="H1181" i="16"/>
  <c r="G1181" i="16"/>
  <c r="M1180" i="16"/>
  <c r="L1180" i="16"/>
  <c r="K1180" i="16"/>
  <c r="J1180" i="16"/>
  <c r="I1180" i="16"/>
  <c r="H1180" i="16"/>
  <c r="G1180" i="16"/>
  <c r="M1179" i="16"/>
  <c r="L1179" i="16"/>
  <c r="K1179" i="16"/>
  <c r="J1179" i="16"/>
  <c r="I1179" i="16"/>
  <c r="H1179" i="16"/>
  <c r="G1179" i="16"/>
  <c r="M1178" i="16"/>
  <c r="L1178" i="16"/>
  <c r="K1178" i="16"/>
  <c r="J1178" i="16"/>
  <c r="I1178" i="16"/>
  <c r="H1178" i="16"/>
  <c r="G1178" i="16"/>
  <c r="M1177" i="16"/>
  <c r="L1177" i="16"/>
  <c r="K1177" i="16"/>
  <c r="J1177" i="16"/>
  <c r="I1177" i="16"/>
  <c r="H1177" i="16"/>
  <c r="G1177" i="16"/>
  <c r="M1176" i="16"/>
  <c r="L1176" i="16"/>
  <c r="K1176" i="16"/>
  <c r="J1176" i="16"/>
  <c r="I1176" i="16"/>
  <c r="H1176" i="16"/>
  <c r="G1176" i="16"/>
  <c r="M1175" i="16"/>
  <c r="L1175" i="16"/>
  <c r="K1175" i="16"/>
  <c r="J1175" i="16"/>
  <c r="I1175" i="16"/>
  <c r="H1175" i="16"/>
  <c r="G1175" i="16"/>
  <c r="M1174" i="16"/>
  <c r="L1174" i="16"/>
  <c r="K1174" i="16"/>
  <c r="J1174" i="16"/>
  <c r="I1174" i="16"/>
  <c r="H1174" i="16"/>
  <c r="G1174" i="16"/>
  <c r="M1173" i="16"/>
  <c r="L1173" i="16"/>
  <c r="K1173" i="16"/>
  <c r="J1173" i="16"/>
  <c r="I1173" i="16"/>
  <c r="H1173" i="16"/>
  <c r="G1173" i="16"/>
  <c r="M1172" i="16"/>
  <c r="L1172" i="16"/>
  <c r="K1172" i="16"/>
  <c r="J1172" i="16"/>
  <c r="I1172" i="16"/>
  <c r="H1172" i="16"/>
  <c r="G1172" i="16"/>
  <c r="M1171" i="16"/>
  <c r="L1171" i="16"/>
  <c r="K1171" i="16"/>
  <c r="J1171" i="16"/>
  <c r="I1171" i="16"/>
  <c r="H1171" i="16"/>
  <c r="G1171" i="16"/>
  <c r="M1170" i="16"/>
  <c r="L1170" i="16"/>
  <c r="K1170" i="16"/>
  <c r="J1170" i="16"/>
  <c r="I1170" i="16"/>
  <c r="H1170" i="16"/>
  <c r="G1170" i="16"/>
  <c r="M1169" i="16"/>
  <c r="L1169" i="16"/>
  <c r="K1169" i="16"/>
  <c r="J1169" i="16"/>
  <c r="I1169" i="16"/>
  <c r="H1169" i="16"/>
  <c r="G1169" i="16"/>
  <c r="M1168" i="16"/>
  <c r="L1168" i="16"/>
  <c r="K1168" i="16"/>
  <c r="J1168" i="16"/>
  <c r="I1168" i="16"/>
  <c r="H1168" i="16"/>
  <c r="G1168" i="16"/>
  <c r="M1167" i="16"/>
  <c r="L1167" i="16"/>
  <c r="K1167" i="16"/>
  <c r="J1167" i="16"/>
  <c r="I1167" i="16"/>
  <c r="H1167" i="16"/>
  <c r="G1167" i="16"/>
  <c r="M1166" i="16"/>
  <c r="L1166" i="16"/>
  <c r="K1166" i="16"/>
  <c r="J1166" i="16"/>
  <c r="I1166" i="16"/>
  <c r="H1166" i="16"/>
  <c r="G1166" i="16"/>
  <c r="M1165" i="16"/>
  <c r="L1165" i="16"/>
  <c r="K1165" i="16"/>
  <c r="J1165" i="16"/>
  <c r="I1165" i="16"/>
  <c r="H1165" i="16"/>
  <c r="G1165" i="16"/>
  <c r="M1164" i="16"/>
  <c r="L1164" i="16"/>
  <c r="K1164" i="16"/>
  <c r="J1164" i="16"/>
  <c r="I1164" i="16"/>
  <c r="H1164" i="16"/>
  <c r="G1164" i="16"/>
  <c r="M1163" i="16"/>
  <c r="L1163" i="16"/>
  <c r="K1163" i="16"/>
  <c r="J1163" i="16"/>
  <c r="I1163" i="16"/>
  <c r="H1163" i="16"/>
  <c r="G1163" i="16"/>
  <c r="M1162" i="16"/>
  <c r="L1162" i="16"/>
  <c r="K1162" i="16"/>
  <c r="J1162" i="16"/>
  <c r="I1162" i="16"/>
  <c r="H1162" i="16"/>
  <c r="G1162" i="16"/>
  <c r="M1161" i="16"/>
  <c r="L1161" i="16"/>
  <c r="K1161" i="16"/>
  <c r="J1161" i="16"/>
  <c r="I1161" i="16"/>
  <c r="H1161" i="16"/>
  <c r="G1161" i="16"/>
  <c r="M1160" i="16"/>
  <c r="L1160" i="16"/>
  <c r="K1160" i="16"/>
  <c r="J1160" i="16"/>
  <c r="I1160" i="16"/>
  <c r="H1160" i="16"/>
  <c r="G1160" i="16"/>
  <c r="M1159" i="16"/>
  <c r="L1159" i="16"/>
  <c r="K1159" i="16"/>
  <c r="J1159" i="16"/>
  <c r="I1159" i="16"/>
  <c r="H1159" i="16"/>
  <c r="G1159" i="16"/>
  <c r="M1158" i="16"/>
  <c r="L1158" i="16"/>
  <c r="K1158" i="16"/>
  <c r="J1158" i="16"/>
  <c r="I1158" i="16"/>
  <c r="H1158" i="16"/>
  <c r="G1158" i="16"/>
  <c r="M1157" i="16"/>
  <c r="L1157" i="16"/>
  <c r="K1157" i="16"/>
  <c r="J1157" i="16"/>
  <c r="I1157" i="16"/>
  <c r="H1157" i="16"/>
  <c r="G1157" i="16"/>
  <c r="M1156" i="16"/>
  <c r="L1156" i="16"/>
  <c r="K1156" i="16"/>
  <c r="J1156" i="16"/>
  <c r="I1156" i="16"/>
  <c r="H1156" i="16"/>
  <c r="G1156" i="16"/>
  <c r="M1155" i="16"/>
  <c r="L1155" i="16"/>
  <c r="K1155" i="16"/>
  <c r="J1155" i="16"/>
  <c r="I1155" i="16"/>
  <c r="H1155" i="16"/>
  <c r="G1155" i="16"/>
  <c r="M1154" i="16"/>
  <c r="L1154" i="16"/>
  <c r="K1154" i="16"/>
  <c r="J1154" i="16"/>
  <c r="I1154" i="16"/>
  <c r="H1154" i="16"/>
  <c r="G1154" i="16"/>
  <c r="M1153" i="16"/>
  <c r="L1153" i="16"/>
  <c r="K1153" i="16"/>
  <c r="J1153" i="16"/>
  <c r="I1153" i="16"/>
  <c r="H1153" i="16"/>
  <c r="G1153" i="16"/>
  <c r="M1152" i="16"/>
  <c r="L1152" i="16"/>
  <c r="K1152" i="16"/>
  <c r="J1152" i="16"/>
  <c r="I1152" i="16"/>
  <c r="H1152" i="16"/>
  <c r="G1152" i="16"/>
  <c r="M1151" i="16"/>
  <c r="L1151" i="16"/>
  <c r="K1151" i="16"/>
  <c r="J1151" i="16"/>
  <c r="I1151" i="16"/>
  <c r="H1151" i="16"/>
  <c r="G1151" i="16"/>
  <c r="M1150" i="16"/>
  <c r="L1150" i="16"/>
  <c r="K1150" i="16"/>
  <c r="J1150" i="16"/>
  <c r="I1150" i="16"/>
  <c r="H1150" i="16"/>
  <c r="G1150" i="16"/>
  <c r="M1149" i="16"/>
  <c r="L1149" i="16"/>
  <c r="K1149" i="16"/>
  <c r="J1149" i="16"/>
  <c r="I1149" i="16"/>
  <c r="H1149" i="16"/>
  <c r="G1149" i="16"/>
  <c r="M1148" i="16"/>
  <c r="L1148" i="16"/>
  <c r="K1148" i="16"/>
  <c r="J1148" i="16"/>
  <c r="I1148" i="16"/>
  <c r="H1148" i="16"/>
  <c r="G1148" i="16"/>
  <c r="M1147" i="16"/>
  <c r="L1147" i="16"/>
  <c r="K1147" i="16"/>
  <c r="J1147" i="16"/>
  <c r="I1147" i="16"/>
  <c r="H1147" i="16"/>
  <c r="G1147" i="16"/>
  <c r="M1146" i="16"/>
  <c r="L1146" i="16"/>
  <c r="K1146" i="16"/>
  <c r="J1146" i="16"/>
  <c r="I1146" i="16"/>
  <c r="H1146" i="16"/>
  <c r="G1146" i="16"/>
  <c r="M1145" i="16"/>
  <c r="L1145" i="16"/>
  <c r="K1145" i="16"/>
  <c r="J1145" i="16"/>
  <c r="I1145" i="16"/>
  <c r="H1145" i="16"/>
  <c r="G1145" i="16"/>
  <c r="M1144" i="16"/>
  <c r="L1144" i="16"/>
  <c r="K1144" i="16"/>
  <c r="J1144" i="16"/>
  <c r="I1144" i="16"/>
  <c r="H1144" i="16"/>
  <c r="G1144" i="16"/>
  <c r="M1143" i="16"/>
  <c r="L1143" i="16"/>
  <c r="K1143" i="16"/>
  <c r="J1143" i="16"/>
  <c r="I1143" i="16"/>
  <c r="H1143" i="16"/>
  <c r="G1143" i="16"/>
  <c r="M1142" i="16"/>
  <c r="L1142" i="16"/>
  <c r="K1142" i="16"/>
  <c r="J1142" i="16"/>
  <c r="I1142" i="16"/>
  <c r="H1142" i="16"/>
  <c r="G1142" i="16"/>
  <c r="M1141" i="16"/>
  <c r="L1141" i="16"/>
  <c r="K1141" i="16"/>
  <c r="J1141" i="16"/>
  <c r="I1141" i="16"/>
  <c r="H1141" i="16"/>
  <c r="G1141" i="16"/>
  <c r="M1140" i="16"/>
  <c r="L1140" i="16"/>
  <c r="K1140" i="16"/>
  <c r="J1140" i="16"/>
  <c r="I1140" i="16"/>
  <c r="H1140" i="16"/>
  <c r="G1140" i="16"/>
  <c r="M1139" i="16"/>
  <c r="L1139" i="16"/>
  <c r="K1139" i="16"/>
  <c r="J1139" i="16"/>
  <c r="I1139" i="16"/>
  <c r="H1139" i="16"/>
  <c r="G1139" i="16"/>
  <c r="M1138" i="16"/>
  <c r="L1138" i="16"/>
  <c r="K1138" i="16"/>
  <c r="J1138" i="16"/>
  <c r="I1138" i="16"/>
  <c r="H1138" i="16"/>
  <c r="G1138" i="16"/>
  <c r="M1137" i="16"/>
  <c r="L1137" i="16"/>
  <c r="K1137" i="16"/>
  <c r="J1137" i="16"/>
  <c r="I1137" i="16"/>
  <c r="H1137" i="16"/>
  <c r="G1137" i="16"/>
  <c r="M1136" i="16"/>
  <c r="L1136" i="16"/>
  <c r="K1136" i="16"/>
  <c r="J1136" i="16"/>
  <c r="I1136" i="16"/>
  <c r="H1136" i="16"/>
  <c r="G1136" i="16"/>
  <c r="M1135" i="16"/>
  <c r="L1135" i="16"/>
  <c r="K1135" i="16"/>
  <c r="J1135" i="16"/>
  <c r="I1135" i="16"/>
  <c r="H1135" i="16"/>
  <c r="G1135" i="16"/>
  <c r="M1134" i="16"/>
  <c r="L1134" i="16"/>
  <c r="K1134" i="16"/>
  <c r="J1134" i="16"/>
  <c r="I1134" i="16"/>
  <c r="H1134" i="16"/>
  <c r="G1134" i="16"/>
  <c r="M1133" i="16"/>
  <c r="L1133" i="16"/>
  <c r="K1133" i="16"/>
  <c r="J1133" i="16"/>
  <c r="I1133" i="16"/>
  <c r="H1133" i="16"/>
  <c r="G1133" i="16"/>
  <c r="M1132" i="16"/>
  <c r="L1132" i="16"/>
  <c r="K1132" i="16"/>
  <c r="J1132" i="16"/>
  <c r="I1132" i="16"/>
  <c r="H1132" i="16"/>
  <c r="G1132" i="16"/>
  <c r="M1131" i="16"/>
  <c r="L1131" i="16"/>
  <c r="K1131" i="16"/>
  <c r="J1131" i="16"/>
  <c r="I1131" i="16"/>
  <c r="H1131" i="16"/>
  <c r="G1131" i="16"/>
  <c r="M1130" i="16"/>
  <c r="L1130" i="16"/>
  <c r="K1130" i="16"/>
  <c r="J1130" i="16"/>
  <c r="I1130" i="16"/>
  <c r="H1130" i="16"/>
  <c r="G1130" i="16"/>
  <c r="M1129" i="16"/>
  <c r="L1129" i="16"/>
  <c r="K1129" i="16"/>
  <c r="J1129" i="16"/>
  <c r="I1129" i="16"/>
  <c r="H1129" i="16"/>
  <c r="G1129" i="16"/>
  <c r="M1128" i="16"/>
  <c r="L1128" i="16"/>
  <c r="K1128" i="16"/>
  <c r="J1128" i="16"/>
  <c r="I1128" i="16"/>
  <c r="H1128" i="16"/>
  <c r="G1128" i="16"/>
  <c r="M1127" i="16"/>
  <c r="L1127" i="16"/>
  <c r="K1127" i="16"/>
  <c r="J1127" i="16"/>
  <c r="I1127" i="16"/>
  <c r="H1127" i="16"/>
  <c r="G1127" i="16"/>
  <c r="M1126" i="16"/>
  <c r="L1126" i="16"/>
  <c r="K1126" i="16"/>
  <c r="J1126" i="16"/>
  <c r="I1126" i="16"/>
  <c r="H1126" i="16"/>
  <c r="G1126" i="16"/>
  <c r="M1125" i="16"/>
  <c r="L1125" i="16"/>
  <c r="K1125" i="16"/>
  <c r="J1125" i="16"/>
  <c r="I1125" i="16"/>
  <c r="H1125" i="16"/>
  <c r="G1125" i="16"/>
  <c r="M1124" i="16"/>
  <c r="L1124" i="16"/>
  <c r="K1124" i="16"/>
  <c r="J1124" i="16"/>
  <c r="I1124" i="16"/>
  <c r="H1124" i="16"/>
  <c r="G1124" i="16"/>
  <c r="M1123" i="16"/>
  <c r="L1123" i="16"/>
  <c r="K1123" i="16"/>
  <c r="J1123" i="16"/>
  <c r="I1123" i="16"/>
  <c r="H1123" i="16"/>
  <c r="G1123" i="16"/>
  <c r="M1122" i="16"/>
  <c r="L1122" i="16"/>
  <c r="K1122" i="16"/>
  <c r="J1122" i="16"/>
  <c r="I1122" i="16"/>
  <c r="H1122" i="16"/>
  <c r="G1122" i="16"/>
  <c r="M1121" i="16"/>
  <c r="L1121" i="16"/>
  <c r="K1121" i="16"/>
  <c r="J1121" i="16"/>
  <c r="I1121" i="16"/>
  <c r="H1121" i="16"/>
  <c r="G1121" i="16"/>
  <c r="M1120" i="16"/>
  <c r="L1120" i="16"/>
  <c r="K1120" i="16"/>
  <c r="J1120" i="16"/>
  <c r="I1120" i="16"/>
  <c r="H1120" i="16"/>
  <c r="G1120" i="16"/>
  <c r="M1119" i="16"/>
  <c r="L1119" i="16"/>
  <c r="K1119" i="16"/>
  <c r="J1119" i="16"/>
  <c r="I1119" i="16"/>
  <c r="H1119" i="16"/>
  <c r="G1119" i="16"/>
  <c r="M1118" i="16"/>
  <c r="L1118" i="16"/>
  <c r="K1118" i="16"/>
  <c r="J1118" i="16"/>
  <c r="I1118" i="16"/>
  <c r="H1118" i="16"/>
  <c r="G1118" i="16"/>
  <c r="M1117" i="16"/>
  <c r="L1117" i="16"/>
  <c r="K1117" i="16"/>
  <c r="J1117" i="16"/>
  <c r="I1117" i="16"/>
  <c r="H1117" i="16"/>
  <c r="G1117" i="16"/>
  <c r="M1116" i="16"/>
  <c r="L1116" i="16"/>
  <c r="K1116" i="16"/>
  <c r="J1116" i="16"/>
  <c r="I1116" i="16"/>
  <c r="H1116" i="16"/>
  <c r="G1116" i="16"/>
  <c r="M1115" i="16"/>
  <c r="L1115" i="16"/>
  <c r="K1115" i="16"/>
  <c r="J1115" i="16"/>
  <c r="I1115" i="16"/>
  <c r="H1115" i="16"/>
  <c r="G1115" i="16"/>
  <c r="M1114" i="16"/>
  <c r="L1114" i="16"/>
  <c r="K1114" i="16"/>
  <c r="J1114" i="16"/>
  <c r="I1114" i="16"/>
  <c r="H1114" i="16"/>
  <c r="G1114" i="16"/>
  <c r="M1113" i="16"/>
  <c r="L1113" i="16"/>
  <c r="K1113" i="16"/>
  <c r="J1113" i="16"/>
  <c r="I1113" i="16"/>
  <c r="H1113" i="16"/>
  <c r="G1113" i="16"/>
  <c r="M1112" i="16"/>
  <c r="L1112" i="16"/>
  <c r="K1112" i="16"/>
  <c r="J1112" i="16"/>
  <c r="I1112" i="16"/>
  <c r="H1112" i="16"/>
  <c r="G1112" i="16"/>
  <c r="M1111" i="16"/>
  <c r="L1111" i="16"/>
  <c r="K1111" i="16"/>
  <c r="J1111" i="16"/>
  <c r="I1111" i="16"/>
  <c r="H1111" i="16"/>
  <c r="G1111" i="16"/>
  <c r="M1110" i="16"/>
  <c r="L1110" i="16"/>
  <c r="K1110" i="16"/>
  <c r="J1110" i="16"/>
  <c r="I1110" i="16"/>
  <c r="H1110" i="16"/>
  <c r="G1110" i="16"/>
  <c r="M1109" i="16"/>
  <c r="L1109" i="16"/>
  <c r="K1109" i="16"/>
  <c r="J1109" i="16"/>
  <c r="I1109" i="16"/>
  <c r="H1109" i="16"/>
  <c r="G1109" i="16"/>
  <c r="M1108" i="16"/>
  <c r="L1108" i="16"/>
  <c r="K1108" i="16"/>
  <c r="J1108" i="16"/>
  <c r="I1108" i="16"/>
  <c r="H1108" i="16"/>
  <c r="G1108" i="16"/>
  <c r="M1107" i="16"/>
  <c r="L1107" i="16"/>
  <c r="K1107" i="16"/>
  <c r="J1107" i="16"/>
  <c r="I1107" i="16"/>
  <c r="H1107" i="16"/>
  <c r="G1107" i="16"/>
  <c r="M1106" i="16"/>
  <c r="L1106" i="16"/>
  <c r="K1106" i="16"/>
  <c r="J1106" i="16"/>
  <c r="I1106" i="16"/>
  <c r="H1106" i="16"/>
  <c r="G1106" i="16"/>
  <c r="M1105" i="16"/>
  <c r="L1105" i="16"/>
  <c r="K1105" i="16"/>
  <c r="J1105" i="16"/>
  <c r="I1105" i="16"/>
  <c r="H1105" i="16"/>
  <c r="G1105" i="16"/>
  <c r="M1104" i="16"/>
  <c r="L1104" i="16"/>
  <c r="K1104" i="16"/>
  <c r="J1104" i="16"/>
  <c r="I1104" i="16"/>
  <c r="H1104" i="16"/>
  <c r="G1104" i="16"/>
  <c r="M1103" i="16"/>
  <c r="L1103" i="16"/>
  <c r="K1103" i="16"/>
  <c r="J1103" i="16"/>
  <c r="I1103" i="16"/>
  <c r="H1103" i="16"/>
  <c r="G1103" i="16"/>
  <c r="M1102" i="16"/>
  <c r="L1102" i="16"/>
  <c r="K1102" i="16"/>
  <c r="J1102" i="16"/>
  <c r="I1102" i="16"/>
  <c r="H1102" i="16"/>
  <c r="G1102" i="16"/>
  <c r="M1101" i="16"/>
  <c r="L1101" i="16"/>
  <c r="K1101" i="16"/>
  <c r="J1101" i="16"/>
  <c r="I1101" i="16"/>
  <c r="H1101" i="16"/>
  <c r="G1101" i="16"/>
  <c r="M1100" i="16"/>
  <c r="L1100" i="16"/>
  <c r="K1100" i="16"/>
  <c r="J1100" i="16"/>
  <c r="I1100" i="16"/>
  <c r="H1100" i="16"/>
  <c r="G1100" i="16"/>
  <c r="M1099" i="16"/>
  <c r="L1099" i="16"/>
  <c r="K1099" i="16"/>
  <c r="J1099" i="16"/>
  <c r="I1099" i="16"/>
  <c r="H1099" i="16"/>
  <c r="G1099" i="16"/>
  <c r="M1098" i="16"/>
  <c r="L1098" i="16"/>
  <c r="K1098" i="16"/>
  <c r="J1098" i="16"/>
  <c r="I1098" i="16"/>
  <c r="H1098" i="16"/>
  <c r="G1098" i="16"/>
  <c r="M1097" i="16"/>
  <c r="L1097" i="16"/>
  <c r="K1097" i="16"/>
  <c r="J1097" i="16"/>
  <c r="I1097" i="16"/>
  <c r="H1097" i="16"/>
  <c r="G1097" i="16"/>
  <c r="M1096" i="16"/>
  <c r="L1096" i="16"/>
  <c r="K1096" i="16"/>
  <c r="J1096" i="16"/>
  <c r="I1096" i="16"/>
  <c r="H1096" i="16"/>
  <c r="G1096" i="16"/>
  <c r="M1095" i="16"/>
  <c r="L1095" i="16"/>
  <c r="K1095" i="16"/>
  <c r="J1095" i="16"/>
  <c r="I1095" i="16"/>
  <c r="H1095" i="16"/>
  <c r="G1095" i="16"/>
  <c r="M1094" i="16"/>
  <c r="L1094" i="16"/>
  <c r="K1094" i="16"/>
  <c r="J1094" i="16"/>
  <c r="I1094" i="16"/>
  <c r="H1094" i="16"/>
  <c r="G1094" i="16"/>
  <c r="M1093" i="16"/>
  <c r="L1093" i="16"/>
  <c r="K1093" i="16"/>
  <c r="J1093" i="16"/>
  <c r="I1093" i="16"/>
  <c r="H1093" i="16"/>
  <c r="G1093" i="16"/>
  <c r="M1092" i="16"/>
  <c r="L1092" i="16"/>
  <c r="K1092" i="16"/>
  <c r="J1092" i="16"/>
  <c r="I1092" i="16"/>
  <c r="H1092" i="16"/>
  <c r="G1092" i="16"/>
  <c r="M1091" i="16"/>
  <c r="L1091" i="16"/>
  <c r="K1091" i="16"/>
  <c r="J1091" i="16"/>
  <c r="I1091" i="16"/>
  <c r="H1091" i="16"/>
  <c r="G1091" i="16"/>
  <c r="M1090" i="16"/>
  <c r="L1090" i="16"/>
  <c r="K1090" i="16"/>
  <c r="J1090" i="16"/>
  <c r="I1090" i="16"/>
  <c r="H1090" i="16"/>
  <c r="G1090" i="16"/>
  <c r="M1089" i="16"/>
  <c r="L1089" i="16"/>
  <c r="K1089" i="16"/>
  <c r="J1089" i="16"/>
  <c r="I1089" i="16"/>
  <c r="H1089" i="16"/>
  <c r="G1089" i="16"/>
  <c r="M1088" i="16"/>
  <c r="L1088" i="16"/>
  <c r="K1088" i="16"/>
  <c r="J1088" i="16"/>
  <c r="I1088" i="16"/>
  <c r="H1088" i="16"/>
  <c r="G1088" i="16"/>
  <c r="M1087" i="16"/>
  <c r="L1087" i="16"/>
  <c r="K1087" i="16"/>
  <c r="J1087" i="16"/>
  <c r="I1087" i="16"/>
  <c r="H1087" i="16"/>
  <c r="G1087" i="16"/>
  <c r="M1086" i="16"/>
  <c r="L1086" i="16"/>
  <c r="K1086" i="16"/>
  <c r="J1086" i="16"/>
  <c r="I1086" i="16"/>
  <c r="H1086" i="16"/>
  <c r="G1086" i="16"/>
  <c r="M1085" i="16"/>
  <c r="L1085" i="16"/>
  <c r="K1085" i="16"/>
  <c r="J1085" i="16"/>
  <c r="I1085" i="16"/>
  <c r="H1085" i="16"/>
  <c r="G1085" i="16"/>
  <c r="M1084" i="16"/>
  <c r="L1084" i="16"/>
  <c r="K1084" i="16"/>
  <c r="J1084" i="16"/>
  <c r="I1084" i="16"/>
  <c r="H1084" i="16"/>
  <c r="G1084" i="16"/>
  <c r="M1083" i="16"/>
  <c r="L1083" i="16"/>
  <c r="K1083" i="16"/>
  <c r="J1083" i="16"/>
  <c r="I1083" i="16"/>
  <c r="H1083" i="16"/>
  <c r="G1083" i="16"/>
  <c r="M1082" i="16"/>
  <c r="L1082" i="16"/>
  <c r="K1082" i="16"/>
  <c r="J1082" i="16"/>
  <c r="I1082" i="16"/>
  <c r="H1082" i="16"/>
  <c r="G1082" i="16"/>
  <c r="M1081" i="16"/>
  <c r="L1081" i="16"/>
  <c r="K1081" i="16"/>
  <c r="J1081" i="16"/>
  <c r="I1081" i="16"/>
  <c r="H1081" i="16"/>
  <c r="G1081" i="16"/>
  <c r="M1080" i="16"/>
  <c r="L1080" i="16"/>
  <c r="K1080" i="16"/>
  <c r="J1080" i="16"/>
  <c r="I1080" i="16"/>
  <c r="H1080" i="16"/>
  <c r="G1080" i="16"/>
  <c r="M1079" i="16"/>
  <c r="L1079" i="16"/>
  <c r="K1079" i="16"/>
  <c r="J1079" i="16"/>
  <c r="I1079" i="16"/>
  <c r="H1079" i="16"/>
  <c r="G1079" i="16"/>
  <c r="M1078" i="16"/>
  <c r="L1078" i="16"/>
  <c r="K1078" i="16"/>
  <c r="J1078" i="16"/>
  <c r="I1078" i="16"/>
  <c r="H1078" i="16"/>
  <c r="G1078" i="16"/>
  <c r="M1077" i="16"/>
  <c r="L1077" i="16"/>
  <c r="K1077" i="16"/>
  <c r="J1077" i="16"/>
  <c r="I1077" i="16"/>
  <c r="H1077" i="16"/>
  <c r="G1077" i="16"/>
  <c r="M1076" i="16"/>
  <c r="L1076" i="16"/>
  <c r="K1076" i="16"/>
  <c r="J1076" i="16"/>
  <c r="I1076" i="16"/>
  <c r="H1076" i="16"/>
  <c r="G1076" i="16"/>
  <c r="M1075" i="16"/>
  <c r="L1075" i="16"/>
  <c r="K1075" i="16"/>
  <c r="J1075" i="16"/>
  <c r="I1075" i="16"/>
  <c r="H1075" i="16"/>
  <c r="G1075" i="16"/>
  <c r="M1074" i="16"/>
  <c r="L1074" i="16"/>
  <c r="K1074" i="16"/>
  <c r="J1074" i="16"/>
  <c r="I1074" i="16"/>
  <c r="H1074" i="16"/>
  <c r="G1074" i="16"/>
  <c r="M1073" i="16"/>
  <c r="L1073" i="16"/>
  <c r="K1073" i="16"/>
  <c r="J1073" i="16"/>
  <c r="I1073" i="16"/>
  <c r="H1073" i="16"/>
  <c r="G1073" i="16"/>
  <c r="M1072" i="16"/>
  <c r="L1072" i="16"/>
  <c r="K1072" i="16"/>
  <c r="J1072" i="16"/>
  <c r="I1072" i="16"/>
  <c r="H1072" i="16"/>
  <c r="G1072" i="16"/>
  <c r="M1071" i="16"/>
  <c r="L1071" i="16"/>
  <c r="K1071" i="16"/>
  <c r="J1071" i="16"/>
  <c r="I1071" i="16"/>
  <c r="H1071" i="16"/>
  <c r="G1071" i="16"/>
  <c r="M1070" i="16"/>
  <c r="L1070" i="16"/>
  <c r="K1070" i="16"/>
  <c r="J1070" i="16"/>
  <c r="I1070" i="16"/>
  <c r="H1070" i="16"/>
  <c r="G1070" i="16"/>
  <c r="M1069" i="16"/>
  <c r="L1069" i="16"/>
  <c r="K1069" i="16"/>
  <c r="J1069" i="16"/>
  <c r="I1069" i="16"/>
  <c r="H1069" i="16"/>
  <c r="G1069" i="16"/>
  <c r="M1068" i="16"/>
  <c r="L1068" i="16"/>
  <c r="K1068" i="16"/>
  <c r="J1068" i="16"/>
  <c r="I1068" i="16"/>
  <c r="H1068" i="16"/>
  <c r="G1068" i="16"/>
  <c r="M1067" i="16"/>
  <c r="L1067" i="16"/>
  <c r="K1067" i="16"/>
  <c r="J1067" i="16"/>
  <c r="I1067" i="16"/>
  <c r="H1067" i="16"/>
  <c r="G1067" i="16"/>
  <c r="M1066" i="16"/>
  <c r="L1066" i="16"/>
  <c r="K1066" i="16"/>
  <c r="J1066" i="16"/>
  <c r="I1066" i="16"/>
  <c r="H1066" i="16"/>
  <c r="G1066" i="16"/>
  <c r="M1065" i="16"/>
  <c r="L1065" i="16"/>
  <c r="K1065" i="16"/>
  <c r="J1065" i="16"/>
  <c r="I1065" i="16"/>
  <c r="H1065" i="16"/>
  <c r="G1065" i="16"/>
  <c r="M1064" i="16"/>
  <c r="L1064" i="16"/>
  <c r="K1064" i="16"/>
  <c r="J1064" i="16"/>
  <c r="I1064" i="16"/>
  <c r="H1064" i="16"/>
  <c r="G1064" i="16"/>
  <c r="M1063" i="16"/>
  <c r="L1063" i="16"/>
  <c r="K1063" i="16"/>
  <c r="J1063" i="16"/>
  <c r="I1063" i="16"/>
  <c r="H1063" i="16"/>
  <c r="G1063" i="16"/>
  <c r="M1062" i="16"/>
  <c r="L1062" i="16"/>
  <c r="K1062" i="16"/>
  <c r="J1062" i="16"/>
  <c r="I1062" i="16"/>
  <c r="H1062" i="16"/>
  <c r="G1062" i="16"/>
  <c r="M1061" i="16"/>
  <c r="L1061" i="16"/>
  <c r="K1061" i="16"/>
  <c r="J1061" i="16"/>
  <c r="I1061" i="16"/>
  <c r="H1061" i="16"/>
  <c r="G1061" i="16"/>
  <c r="M1060" i="16"/>
  <c r="L1060" i="16"/>
  <c r="K1060" i="16"/>
  <c r="J1060" i="16"/>
  <c r="I1060" i="16"/>
  <c r="H1060" i="16"/>
  <c r="G1060" i="16"/>
  <c r="M1059" i="16"/>
  <c r="L1059" i="16"/>
  <c r="K1059" i="16"/>
  <c r="J1059" i="16"/>
  <c r="I1059" i="16"/>
  <c r="H1059" i="16"/>
  <c r="G1059" i="16"/>
  <c r="M1058" i="16"/>
  <c r="L1058" i="16"/>
  <c r="K1058" i="16"/>
  <c r="J1058" i="16"/>
  <c r="I1058" i="16"/>
  <c r="H1058" i="16"/>
  <c r="G1058" i="16"/>
  <c r="M1057" i="16"/>
  <c r="L1057" i="16"/>
  <c r="K1057" i="16"/>
  <c r="J1057" i="16"/>
  <c r="I1057" i="16"/>
  <c r="H1057" i="16"/>
  <c r="G1057" i="16"/>
  <c r="M1056" i="16"/>
  <c r="L1056" i="16"/>
  <c r="K1056" i="16"/>
  <c r="J1056" i="16"/>
  <c r="I1056" i="16"/>
  <c r="H1056" i="16"/>
  <c r="G1056" i="16"/>
  <c r="M1055" i="16"/>
  <c r="L1055" i="16"/>
  <c r="K1055" i="16"/>
  <c r="J1055" i="16"/>
  <c r="I1055" i="16"/>
  <c r="H1055" i="16"/>
  <c r="G1055" i="16"/>
  <c r="M1054" i="16"/>
  <c r="L1054" i="16"/>
  <c r="K1054" i="16"/>
  <c r="J1054" i="16"/>
  <c r="I1054" i="16"/>
  <c r="H1054" i="16"/>
  <c r="G1054" i="16"/>
  <c r="M1053" i="16"/>
  <c r="L1053" i="16"/>
  <c r="K1053" i="16"/>
  <c r="J1053" i="16"/>
  <c r="I1053" i="16"/>
  <c r="H1053" i="16"/>
  <c r="G1053" i="16"/>
  <c r="M1052" i="16"/>
  <c r="L1052" i="16"/>
  <c r="K1052" i="16"/>
  <c r="J1052" i="16"/>
  <c r="I1052" i="16"/>
  <c r="H1052" i="16"/>
  <c r="G1052" i="16"/>
  <c r="M1051" i="16"/>
  <c r="L1051" i="16"/>
  <c r="K1051" i="16"/>
  <c r="J1051" i="16"/>
  <c r="I1051" i="16"/>
  <c r="H1051" i="16"/>
  <c r="G1051" i="16"/>
  <c r="M1050" i="16"/>
  <c r="L1050" i="16"/>
  <c r="K1050" i="16"/>
  <c r="J1050" i="16"/>
  <c r="I1050" i="16"/>
  <c r="H1050" i="16"/>
  <c r="G1050" i="16"/>
  <c r="M1049" i="16"/>
  <c r="L1049" i="16"/>
  <c r="K1049" i="16"/>
  <c r="J1049" i="16"/>
  <c r="I1049" i="16"/>
  <c r="H1049" i="16"/>
  <c r="G1049" i="16"/>
  <c r="M1048" i="16"/>
  <c r="L1048" i="16"/>
  <c r="K1048" i="16"/>
  <c r="J1048" i="16"/>
  <c r="I1048" i="16"/>
  <c r="H1048" i="16"/>
  <c r="G1048" i="16"/>
  <c r="M1047" i="16"/>
  <c r="L1047" i="16"/>
  <c r="K1047" i="16"/>
  <c r="J1047" i="16"/>
  <c r="I1047" i="16"/>
  <c r="H1047" i="16"/>
  <c r="G1047" i="16"/>
  <c r="M1046" i="16"/>
  <c r="L1046" i="16"/>
  <c r="K1046" i="16"/>
  <c r="J1046" i="16"/>
  <c r="I1046" i="16"/>
  <c r="H1046" i="16"/>
  <c r="G1046" i="16"/>
  <c r="M1045" i="16"/>
  <c r="L1045" i="16"/>
  <c r="K1045" i="16"/>
  <c r="J1045" i="16"/>
  <c r="I1045" i="16"/>
  <c r="H1045" i="16"/>
  <c r="G1045" i="16"/>
  <c r="M1044" i="16"/>
  <c r="L1044" i="16"/>
  <c r="K1044" i="16"/>
  <c r="J1044" i="16"/>
  <c r="I1044" i="16"/>
  <c r="H1044" i="16"/>
  <c r="G1044" i="16"/>
  <c r="M1043" i="16"/>
  <c r="L1043" i="16"/>
  <c r="K1043" i="16"/>
  <c r="J1043" i="16"/>
  <c r="I1043" i="16"/>
  <c r="H1043" i="16"/>
  <c r="G1043" i="16"/>
  <c r="M1042" i="16"/>
  <c r="L1042" i="16"/>
  <c r="K1042" i="16"/>
  <c r="J1042" i="16"/>
  <c r="I1042" i="16"/>
  <c r="H1042" i="16"/>
  <c r="G1042" i="16"/>
  <c r="M1041" i="16"/>
  <c r="L1041" i="16"/>
  <c r="K1041" i="16"/>
  <c r="J1041" i="16"/>
  <c r="I1041" i="16"/>
  <c r="H1041" i="16"/>
  <c r="G1041" i="16"/>
  <c r="M1040" i="16"/>
  <c r="L1040" i="16"/>
  <c r="K1040" i="16"/>
  <c r="J1040" i="16"/>
  <c r="I1040" i="16"/>
  <c r="H1040" i="16"/>
  <c r="G1040" i="16"/>
  <c r="M1039" i="16"/>
  <c r="L1039" i="16"/>
  <c r="K1039" i="16"/>
  <c r="J1039" i="16"/>
  <c r="I1039" i="16"/>
  <c r="H1039" i="16"/>
  <c r="G1039" i="16"/>
  <c r="M1038" i="16"/>
  <c r="L1038" i="16"/>
  <c r="K1038" i="16"/>
  <c r="J1038" i="16"/>
  <c r="I1038" i="16"/>
  <c r="H1038" i="16"/>
  <c r="G1038" i="16"/>
  <c r="M1037" i="16"/>
  <c r="L1037" i="16"/>
  <c r="K1037" i="16"/>
  <c r="J1037" i="16"/>
  <c r="I1037" i="16"/>
  <c r="H1037" i="16"/>
  <c r="G1037" i="16"/>
  <c r="M1036" i="16"/>
  <c r="L1036" i="16"/>
  <c r="K1036" i="16"/>
  <c r="J1036" i="16"/>
  <c r="I1036" i="16"/>
  <c r="H1036" i="16"/>
  <c r="G1036" i="16"/>
  <c r="M1035" i="16"/>
  <c r="L1035" i="16"/>
  <c r="K1035" i="16"/>
  <c r="J1035" i="16"/>
  <c r="I1035" i="16"/>
  <c r="H1035" i="16"/>
  <c r="G1035" i="16"/>
  <c r="M1034" i="16"/>
  <c r="L1034" i="16"/>
  <c r="K1034" i="16"/>
  <c r="J1034" i="16"/>
  <c r="I1034" i="16"/>
  <c r="H1034" i="16"/>
  <c r="G1034" i="16"/>
  <c r="M1033" i="16"/>
  <c r="L1033" i="16"/>
  <c r="K1033" i="16"/>
  <c r="J1033" i="16"/>
  <c r="I1033" i="16"/>
  <c r="H1033" i="16"/>
  <c r="G1033" i="16"/>
  <c r="M1032" i="16"/>
  <c r="L1032" i="16"/>
  <c r="K1032" i="16"/>
  <c r="J1032" i="16"/>
  <c r="I1032" i="16"/>
  <c r="H1032" i="16"/>
  <c r="G1032" i="16"/>
  <c r="M1031" i="16"/>
  <c r="L1031" i="16"/>
  <c r="K1031" i="16"/>
  <c r="J1031" i="16"/>
  <c r="I1031" i="16"/>
  <c r="H1031" i="16"/>
  <c r="G1031" i="16"/>
  <c r="M1030" i="16"/>
  <c r="L1030" i="16"/>
  <c r="K1030" i="16"/>
  <c r="J1030" i="16"/>
  <c r="I1030" i="16"/>
  <c r="H1030" i="16"/>
  <c r="G1030" i="16"/>
  <c r="M1029" i="16"/>
  <c r="L1029" i="16"/>
  <c r="K1029" i="16"/>
  <c r="J1029" i="16"/>
  <c r="I1029" i="16"/>
  <c r="H1029" i="16"/>
  <c r="G1029" i="16"/>
  <c r="M1028" i="16"/>
  <c r="L1028" i="16"/>
  <c r="K1028" i="16"/>
  <c r="J1028" i="16"/>
  <c r="I1028" i="16"/>
  <c r="H1028" i="16"/>
  <c r="G1028" i="16"/>
  <c r="M1027" i="16"/>
  <c r="L1027" i="16"/>
  <c r="K1027" i="16"/>
  <c r="J1027" i="16"/>
  <c r="I1027" i="16"/>
  <c r="H1027" i="16"/>
  <c r="G1027" i="16"/>
  <c r="M1026" i="16"/>
  <c r="L1026" i="16"/>
  <c r="K1026" i="16"/>
  <c r="J1026" i="16"/>
  <c r="I1026" i="16"/>
  <c r="H1026" i="16"/>
  <c r="G1026" i="16"/>
  <c r="M1025" i="16"/>
  <c r="L1025" i="16"/>
  <c r="K1025" i="16"/>
  <c r="J1025" i="16"/>
  <c r="I1025" i="16"/>
  <c r="H1025" i="16"/>
  <c r="G1025" i="16"/>
  <c r="M1024" i="16"/>
  <c r="L1024" i="16"/>
  <c r="K1024" i="16"/>
  <c r="J1024" i="16"/>
  <c r="I1024" i="16"/>
  <c r="H1024" i="16"/>
  <c r="G1024" i="16"/>
  <c r="M1023" i="16"/>
  <c r="L1023" i="16"/>
  <c r="K1023" i="16"/>
  <c r="J1023" i="16"/>
  <c r="I1023" i="16"/>
  <c r="H1023" i="16"/>
  <c r="G1023" i="16"/>
  <c r="M1022" i="16"/>
  <c r="L1022" i="16"/>
  <c r="K1022" i="16"/>
  <c r="J1022" i="16"/>
  <c r="I1022" i="16"/>
  <c r="H1022" i="16"/>
  <c r="G1022" i="16"/>
  <c r="M1021" i="16"/>
  <c r="L1021" i="16"/>
  <c r="K1021" i="16"/>
  <c r="J1021" i="16"/>
  <c r="I1021" i="16"/>
  <c r="H1021" i="16"/>
  <c r="G1021" i="16"/>
  <c r="M1020" i="16"/>
  <c r="L1020" i="16"/>
  <c r="K1020" i="16"/>
  <c r="J1020" i="16"/>
  <c r="I1020" i="16"/>
  <c r="H1020" i="16"/>
  <c r="G1020" i="16"/>
  <c r="M1019" i="16"/>
  <c r="L1019" i="16"/>
  <c r="K1019" i="16"/>
  <c r="J1019" i="16"/>
  <c r="I1019" i="16"/>
  <c r="H1019" i="16"/>
  <c r="G1019" i="16"/>
  <c r="M1018" i="16"/>
  <c r="L1018" i="16"/>
  <c r="K1018" i="16"/>
  <c r="J1018" i="16"/>
  <c r="I1018" i="16"/>
  <c r="H1018" i="16"/>
  <c r="G1018" i="16"/>
  <c r="M1017" i="16"/>
  <c r="L1017" i="16"/>
  <c r="K1017" i="16"/>
  <c r="J1017" i="16"/>
  <c r="I1017" i="16"/>
  <c r="H1017" i="16"/>
  <c r="G1017" i="16"/>
  <c r="M1016" i="16"/>
  <c r="L1016" i="16"/>
  <c r="K1016" i="16"/>
  <c r="J1016" i="16"/>
  <c r="I1016" i="16"/>
  <c r="H1016" i="16"/>
  <c r="G1016" i="16"/>
  <c r="M1015" i="16"/>
  <c r="L1015" i="16"/>
  <c r="K1015" i="16"/>
  <c r="J1015" i="16"/>
  <c r="I1015" i="16"/>
  <c r="H1015" i="16"/>
  <c r="G1015" i="16"/>
  <c r="M1014" i="16"/>
  <c r="L1014" i="16"/>
  <c r="K1014" i="16"/>
  <c r="J1014" i="16"/>
  <c r="I1014" i="16"/>
  <c r="H1014" i="16"/>
  <c r="G1014" i="16"/>
  <c r="M1013" i="16"/>
  <c r="L1013" i="16"/>
  <c r="K1013" i="16"/>
  <c r="J1013" i="16"/>
  <c r="I1013" i="16"/>
  <c r="H1013" i="16"/>
  <c r="G1013" i="16"/>
  <c r="M1012" i="16"/>
  <c r="L1012" i="16"/>
  <c r="K1012" i="16"/>
  <c r="J1012" i="16"/>
  <c r="I1012" i="16"/>
  <c r="H1012" i="16"/>
  <c r="G1012" i="16"/>
  <c r="M1011" i="16"/>
  <c r="L1011" i="16"/>
  <c r="K1011" i="16"/>
  <c r="J1011" i="16"/>
  <c r="I1011" i="16"/>
  <c r="H1011" i="16"/>
  <c r="G1011" i="16"/>
  <c r="M1010" i="16"/>
  <c r="L1010" i="16"/>
  <c r="K1010" i="16"/>
  <c r="J1010" i="16"/>
  <c r="I1010" i="16"/>
  <c r="H1010" i="16"/>
  <c r="G1010" i="16"/>
  <c r="M1009" i="16"/>
  <c r="L1009" i="16"/>
  <c r="K1009" i="16"/>
  <c r="J1009" i="16"/>
  <c r="I1009" i="16"/>
  <c r="H1009" i="16"/>
  <c r="G1009" i="16"/>
  <c r="M1008" i="16"/>
  <c r="L1008" i="16"/>
  <c r="K1008" i="16"/>
  <c r="J1008" i="16"/>
  <c r="I1008" i="16"/>
  <c r="H1008" i="16"/>
  <c r="G1008" i="16"/>
  <c r="M1007" i="16"/>
  <c r="L1007" i="16"/>
  <c r="K1007" i="16"/>
  <c r="J1007" i="16"/>
  <c r="I1007" i="16"/>
  <c r="H1007" i="16"/>
  <c r="G1007" i="16"/>
  <c r="M1006" i="16"/>
  <c r="L1006" i="16"/>
  <c r="K1006" i="16"/>
  <c r="J1006" i="16"/>
  <c r="I1006" i="16"/>
  <c r="H1006" i="16"/>
  <c r="G1006" i="16"/>
  <c r="M1005" i="16"/>
  <c r="L1005" i="16"/>
  <c r="K1005" i="16"/>
  <c r="J1005" i="16"/>
  <c r="I1005" i="16"/>
  <c r="H1005" i="16"/>
  <c r="G1005" i="16"/>
  <c r="M1004" i="16"/>
  <c r="L1004" i="16"/>
  <c r="K1004" i="16"/>
  <c r="J1004" i="16"/>
  <c r="I1004" i="16"/>
  <c r="H1004" i="16"/>
  <c r="G1004" i="16"/>
  <c r="M1003" i="16"/>
  <c r="L1003" i="16"/>
  <c r="K1003" i="16"/>
  <c r="J1003" i="16"/>
  <c r="I1003" i="16"/>
  <c r="H1003" i="16"/>
  <c r="G1003" i="16"/>
  <c r="M1002" i="16"/>
  <c r="L1002" i="16"/>
  <c r="K1002" i="16"/>
  <c r="J1002" i="16"/>
  <c r="I1002" i="16"/>
  <c r="H1002" i="16"/>
  <c r="G1002" i="16"/>
  <c r="M1001" i="16"/>
  <c r="L1001" i="16"/>
  <c r="K1001" i="16"/>
  <c r="J1001" i="16"/>
  <c r="I1001" i="16"/>
  <c r="H1001" i="16"/>
  <c r="G1001" i="16"/>
  <c r="M1000" i="16"/>
  <c r="L1000" i="16"/>
  <c r="K1000" i="16"/>
  <c r="J1000" i="16"/>
  <c r="I1000" i="16"/>
  <c r="H1000" i="16"/>
  <c r="G1000" i="16"/>
  <c r="M999" i="16"/>
  <c r="L999" i="16"/>
  <c r="K999" i="16"/>
  <c r="J999" i="16"/>
  <c r="I999" i="16"/>
  <c r="H999" i="16"/>
  <c r="G999" i="16"/>
  <c r="M998" i="16"/>
  <c r="L998" i="16"/>
  <c r="K998" i="16"/>
  <c r="J998" i="16"/>
  <c r="I998" i="16"/>
  <c r="H998" i="16"/>
  <c r="G998" i="16"/>
  <c r="M997" i="16"/>
  <c r="L997" i="16"/>
  <c r="K997" i="16"/>
  <c r="J997" i="16"/>
  <c r="I997" i="16"/>
  <c r="H997" i="16"/>
  <c r="G997" i="16"/>
  <c r="M996" i="16"/>
  <c r="L996" i="16"/>
  <c r="K996" i="16"/>
  <c r="J996" i="16"/>
  <c r="I996" i="16"/>
  <c r="H996" i="16"/>
  <c r="G996" i="16"/>
  <c r="M995" i="16"/>
  <c r="L995" i="16"/>
  <c r="K995" i="16"/>
  <c r="J995" i="16"/>
  <c r="I995" i="16"/>
  <c r="H995" i="16"/>
  <c r="G995" i="16"/>
  <c r="M994" i="16"/>
  <c r="L994" i="16"/>
  <c r="K994" i="16"/>
  <c r="J994" i="16"/>
  <c r="I994" i="16"/>
  <c r="H994" i="16"/>
  <c r="G994" i="16"/>
  <c r="M993" i="16"/>
  <c r="L993" i="16"/>
  <c r="K993" i="16"/>
  <c r="J993" i="16"/>
  <c r="I993" i="16"/>
  <c r="H993" i="16"/>
  <c r="G993" i="16"/>
  <c r="M992" i="16"/>
  <c r="L992" i="16"/>
  <c r="K992" i="16"/>
  <c r="J992" i="16"/>
  <c r="I992" i="16"/>
  <c r="H992" i="16"/>
  <c r="G992" i="16"/>
  <c r="M991" i="16"/>
  <c r="L991" i="16"/>
  <c r="K991" i="16"/>
  <c r="J991" i="16"/>
  <c r="I991" i="16"/>
  <c r="H991" i="16"/>
  <c r="G991" i="16"/>
  <c r="M990" i="16"/>
  <c r="L990" i="16"/>
  <c r="K990" i="16"/>
  <c r="J990" i="16"/>
  <c r="I990" i="16"/>
  <c r="H990" i="16"/>
  <c r="G990" i="16"/>
  <c r="M989" i="16"/>
  <c r="L989" i="16"/>
  <c r="K989" i="16"/>
  <c r="J989" i="16"/>
  <c r="I989" i="16"/>
  <c r="H989" i="16"/>
  <c r="G989" i="16"/>
  <c r="M988" i="16"/>
  <c r="L988" i="16"/>
  <c r="K988" i="16"/>
  <c r="J988" i="16"/>
  <c r="I988" i="16"/>
  <c r="H988" i="16"/>
  <c r="G988" i="16"/>
  <c r="M987" i="16"/>
  <c r="L987" i="16"/>
  <c r="K987" i="16"/>
  <c r="J987" i="16"/>
  <c r="I987" i="16"/>
  <c r="H987" i="16"/>
  <c r="G987" i="16"/>
  <c r="M986" i="16"/>
  <c r="L986" i="16"/>
  <c r="K986" i="16"/>
  <c r="J986" i="16"/>
  <c r="I986" i="16"/>
  <c r="H986" i="16"/>
  <c r="G986" i="16"/>
  <c r="M985" i="16"/>
  <c r="L985" i="16"/>
  <c r="K985" i="16"/>
  <c r="J985" i="16"/>
  <c r="I985" i="16"/>
  <c r="H985" i="16"/>
  <c r="G985" i="16"/>
  <c r="M984" i="16"/>
  <c r="L984" i="16"/>
  <c r="K984" i="16"/>
  <c r="J984" i="16"/>
  <c r="I984" i="16"/>
  <c r="H984" i="16"/>
  <c r="G984" i="16"/>
  <c r="M983" i="16"/>
  <c r="L983" i="16"/>
  <c r="K983" i="16"/>
  <c r="J983" i="16"/>
  <c r="I983" i="16"/>
  <c r="H983" i="16"/>
  <c r="G983" i="16"/>
  <c r="M982" i="16"/>
  <c r="L982" i="16"/>
  <c r="K982" i="16"/>
  <c r="J982" i="16"/>
  <c r="I982" i="16"/>
  <c r="H982" i="16"/>
  <c r="G982" i="16"/>
  <c r="M981" i="16"/>
  <c r="L981" i="16"/>
  <c r="K981" i="16"/>
  <c r="J981" i="16"/>
  <c r="I981" i="16"/>
  <c r="H981" i="16"/>
  <c r="G981" i="16"/>
  <c r="M980" i="16"/>
  <c r="L980" i="16"/>
  <c r="K980" i="16"/>
  <c r="J980" i="16"/>
  <c r="I980" i="16"/>
  <c r="H980" i="16"/>
  <c r="G980" i="16"/>
  <c r="M979" i="16"/>
  <c r="L979" i="16"/>
  <c r="K979" i="16"/>
  <c r="J979" i="16"/>
  <c r="I979" i="16"/>
  <c r="H979" i="16"/>
  <c r="G979" i="16"/>
  <c r="M978" i="16"/>
  <c r="L978" i="16"/>
  <c r="K978" i="16"/>
  <c r="J978" i="16"/>
  <c r="I978" i="16"/>
  <c r="H978" i="16"/>
  <c r="G978" i="16"/>
  <c r="M977" i="16"/>
  <c r="L977" i="16"/>
  <c r="K977" i="16"/>
  <c r="J977" i="16"/>
  <c r="I977" i="16"/>
  <c r="H977" i="16"/>
  <c r="G977" i="16"/>
  <c r="M976" i="16"/>
  <c r="L976" i="16"/>
  <c r="K976" i="16"/>
  <c r="J976" i="16"/>
  <c r="I976" i="16"/>
  <c r="H976" i="16"/>
  <c r="G976" i="16"/>
  <c r="M975" i="16"/>
  <c r="L975" i="16"/>
  <c r="K975" i="16"/>
  <c r="J975" i="16"/>
  <c r="I975" i="16"/>
  <c r="H975" i="16"/>
  <c r="G975" i="16"/>
  <c r="M974" i="16"/>
  <c r="L974" i="16"/>
  <c r="K974" i="16"/>
  <c r="J974" i="16"/>
  <c r="I974" i="16"/>
  <c r="H974" i="16"/>
  <c r="G974" i="16"/>
  <c r="M973" i="16"/>
  <c r="L973" i="16"/>
  <c r="K973" i="16"/>
  <c r="J973" i="16"/>
  <c r="I973" i="16"/>
  <c r="H973" i="16"/>
  <c r="G973" i="16"/>
  <c r="M972" i="16"/>
  <c r="L972" i="16"/>
  <c r="K972" i="16"/>
  <c r="J972" i="16"/>
  <c r="I972" i="16"/>
  <c r="H972" i="16"/>
  <c r="G972" i="16"/>
  <c r="M971" i="16"/>
  <c r="L971" i="16"/>
  <c r="K971" i="16"/>
  <c r="J971" i="16"/>
  <c r="I971" i="16"/>
  <c r="H971" i="16"/>
  <c r="G971" i="16"/>
  <c r="M970" i="16"/>
  <c r="L970" i="16"/>
  <c r="K970" i="16"/>
  <c r="J970" i="16"/>
  <c r="I970" i="16"/>
  <c r="H970" i="16"/>
  <c r="G970" i="16"/>
  <c r="M969" i="16"/>
  <c r="L969" i="16"/>
  <c r="K969" i="16"/>
  <c r="J969" i="16"/>
  <c r="I969" i="16"/>
  <c r="H969" i="16"/>
  <c r="G969" i="16"/>
  <c r="M968" i="16"/>
  <c r="L968" i="16"/>
  <c r="K968" i="16"/>
  <c r="J968" i="16"/>
  <c r="I968" i="16"/>
  <c r="H968" i="16"/>
  <c r="G968" i="16"/>
  <c r="M967" i="16"/>
  <c r="L967" i="16"/>
  <c r="K967" i="16"/>
  <c r="J967" i="16"/>
  <c r="I967" i="16"/>
  <c r="H967" i="16"/>
  <c r="G967" i="16"/>
  <c r="M966" i="16"/>
  <c r="L966" i="16"/>
  <c r="K966" i="16"/>
  <c r="J966" i="16"/>
  <c r="I966" i="16"/>
  <c r="H966" i="16"/>
  <c r="G966" i="16"/>
  <c r="M965" i="16"/>
  <c r="L965" i="16"/>
  <c r="K965" i="16"/>
  <c r="J965" i="16"/>
  <c r="I965" i="16"/>
  <c r="H965" i="16"/>
  <c r="G965" i="16"/>
  <c r="M964" i="16"/>
  <c r="L964" i="16"/>
  <c r="K964" i="16"/>
  <c r="J964" i="16"/>
  <c r="I964" i="16"/>
  <c r="H964" i="16"/>
  <c r="G964" i="16"/>
  <c r="M963" i="16"/>
  <c r="L963" i="16"/>
  <c r="K963" i="16"/>
  <c r="J963" i="16"/>
  <c r="I963" i="16"/>
  <c r="H963" i="16"/>
  <c r="G963" i="16"/>
  <c r="M962" i="16"/>
  <c r="L962" i="16"/>
  <c r="K962" i="16"/>
  <c r="J962" i="16"/>
  <c r="I962" i="16"/>
  <c r="H962" i="16"/>
  <c r="G962" i="16"/>
  <c r="M961" i="16"/>
  <c r="L961" i="16"/>
  <c r="K961" i="16"/>
  <c r="J961" i="16"/>
  <c r="I961" i="16"/>
  <c r="H961" i="16"/>
  <c r="G961" i="16"/>
  <c r="M960" i="16"/>
  <c r="L960" i="16"/>
  <c r="K960" i="16"/>
  <c r="J960" i="16"/>
  <c r="I960" i="16"/>
  <c r="H960" i="16"/>
  <c r="G960" i="16"/>
  <c r="M959" i="16"/>
  <c r="L959" i="16"/>
  <c r="K959" i="16"/>
  <c r="J959" i="16"/>
  <c r="I959" i="16"/>
  <c r="H959" i="16"/>
  <c r="G959" i="16"/>
  <c r="M958" i="16"/>
  <c r="L958" i="16"/>
  <c r="K958" i="16"/>
  <c r="J958" i="16"/>
  <c r="I958" i="16"/>
  <c r="H958" i="16"/>
  <c r="G958" i="16"/>
  <c r="M957" i="16"/>
  <c r="L957" i="16"/>
  <c r="K957" i="16"/>
  <c r="J957" i="16"/>
  <c r="I957" i="16"/>
  <c r="H957" i="16"/>
  <c r="G957" i="16"/>
  <c r="M956" i="16"/>
  <c r="L956" i="16"/>
  <c r="K956" i="16"/>
  <c r="J956" i="16"/>
  <c r="I956" i="16"/>
  <c r="H956" i="16"/>
  <c r="G956" i="16"/>
  <c r="M955" i="16"/>
  <c r="L955" i="16"/>
  <c r="K955" i="16"/>
  <c r="J955" i="16"/>
  <c r="I955" i="16"/>
  <c r="H955" i="16"/>
  <c r="G955" i="16"/>
  <c r="M954" i="16"/>
  <c r="L954" i="16"/>
  <c r="K954" i="16"/>
  <c r="J954" i="16"/>
  <c r="I954" i="16"/>
  <c r="H954" i="16"/>
  <c r="G954" i="16"/>
  <c r="M953" i="16"/>
  <c r="L953" i="16"/>
  <c r="K953" i="16"/>
  <c r="J953" i="16"/>
  <c r="I953" i="16"/>
  <c r="H953" i="16"/>
  <c r="G953" i="16"/>
  <c r="M952" i="16"/>
  <c r="L952" i="16"/>
  <c r="K952" i="16"/>
  <c r="J952" i="16"/>
  <c r="I952" i="16"/>
  <c r="H952" i="16"/>
  <c r="G952" i="16"/>
  <c r="M951" i="16"/>
  <c r="L951" i="16"/>
  <c r="K951" i="16"/>
  <c r="J951" i="16"/>
  <c r="I951" i="16"/>
  <c r="H951" i="16"/>
  <c r="G951" i="16"/>
  <c r="M950" i="16"/>
  <c r="L950" i="16"/>
  <c r="K950" i="16"/>
  <c r="J950" i="16"/>
  <c r="I950" i="16"/>
  <c r="H950" i="16"/>
  <c r="G950" i="16"/>
  <c r="M949" i="16"/>
  <c r="L949" i="16"/>
  <c r="K949" i="16"/>
  <c r="J949" i="16"/>
  <c r="I949" i="16"/>
  <c r="H949" i="16"/>
  <c r="G949" i="16"/>
  <c r="M948" i="16"/>
  <c r="L948" i="16"/>
  <c r="K948" i="16"/>
  <c r="J948" i="16"/>
  <c r="I948" i="16"/>
  <c r="H948" i="16"/>
  <c r="G948" i="16"/>
  <c r="M947" i="16"/>
  <c r="L947" i="16"/>
  <c r="K947" i="16"/>
  <c r="J947" i="16"/>
  <c r="I947" i="16"/>
  <c r="H947" i="16"/>
  <c r="G947" i="16"/>
  <c r="M946" i="16"/>
  <c r="L946" i="16"/>
  <c r="K946" i="16"/>
  <c r="J946" i="16"/>
  <c r="I946" i="16"/>
  <c r="H946" i="16"/>
  <c r="G946" i="16"/>
  <c r="M945" i="16"/>
  <c r="L945" i="16"/>
  <c r="K945" i="16"/>
  <c r="J945" i="16"/>
  <c r="I945" i="16"/>
  <c r="H945" i="16"/>
  <c r="G945" i="16"/>
  <c r="M944" i="16"/>
  <c r="L944" i="16"/>
  <c r="K944" i="16"/>
  <c r="J944" i="16"/>
  <c r="I944" i="16"/>
  <c r="H944" i="16"/>
  <c r="G944" i="16"/>
  <c r="M943" i="16"/>
  <c r="L943" i="16"/>
  <c r="K943" i="16"/>
  <c r="J943" i="16"/>
  <c r="I943" i="16"/>
  <c r="H943" i="16"/>
  <c r="G943" i="16"/>
  <c r="M942" i="16"/>
  <c r="L942" i="16"/>
  <c r="K942" i="16"/>
  <c r="J942" i="16"/>
  <c r="I942" i="16"/>
  <c r="H942" i="16"/>
  <c r="G942" i="16"/>
  <c r="M941" i="16"/>
  <c r="L941" i="16"/>
  <c r="K941" i="16"/>
  <c r="J941" i="16"/>
  <c r="I941" i="16"/>
  <c r="H941" i="16"/>
  <c r="G941" i="16"/>
  <c r="M940" i="16"/>
  <c r="L940" i="16"/>
  <c r="K940" i="16"/>
  <c r="J940" i="16"/>
  <c r="I940" i="16"/>
  <c r="H940" i="16"/>
  <c r="G940" i="16"/>
  <c r="M939" i="16"/>
  <c r="L939" i="16"/>
  <c r="K939" i="16"/>
  <c r="J939" i="16"/>
  <c r="I939" i="16"/>
  <c r="H939" i="16"/>
  <c r="G939" i="16"/>
  <c r="M938" i="16"/>
  <c r="L938" i="16"/>
  <c r="K938" i="16"/>
  <c r="J938" i="16"/>
  <c r="I938" i="16"/>
  <c r="H938" i="16"/>
  <c r="G938" i="16"/>
  <c r="M937" i="16"/>
  <c r="L937" i="16"/>
  <c r="K937" i="16"/>
  <c r="J937" i="16"/>
  <c r="I937" i="16"/>
  <c r="H937" i="16"/>
  <c r="G937" i="16"/>
  <c r="M936" i="16"/>
  <c r="L936" i="16"/>
  <c r="K936" i="16"/>
  <c r="J936" i="16"/>
  <c r="I936" i="16"/>
  <c r="H936" i="16"/>
  <c r="G936" i="16"/>
  <c r="M935" i="16"/>
  <c r="L935" i="16"/>
  <c r="K935" i="16"/>
  <c r="J935" i="16"/>
  <c r="I935" i="16"/>
  <c r="H935" i="16"/>
  <c r="G935" i="16"/>
  <c r="M934" i="16"/>
  <c r="L934" i="16"/>
  <c r="K934" i="16"/>
  <c r="J934" i="16"/>
  <c r="I934" i="16"/>
  <c r="H934" i="16"/>
  <c r="G934" i="16"/>
  <c r="M933" i="16"/>
  <c r="L933" i="16"/>
  <c r="K933" i="16"/>
  <c r="J933" i="16"/>
  <c r="I933" i="16"/>
  <c r="H933" i="16"/>
  <c r="G933" i="16"/>
  <c r="M932" i="16"/>
  <c r="L932" i="16"/>
  <c r="K932" i="16"/>
  <c r="J932" i="16"/>
  <c r="I932" i="16"/>
  <c r="H932" i="16"/>
  <c r="G932" i="16"/>
  <c r="M931" i="16"/>
  <c r="L931" i="16"/>
  <c r="K931" i="16"/>
  <c r="J931" i="16"/>
  <c r="I931" i="16"/>
  <c r="H931" i="16"/>
  <c r="G931" i="16"/>
  <c r="M930" i="16"/>
  <c r="L930" i="16"/>
  <c r="K930" i="16"/>
  <c r="J930" i="16"/>
  <c r="I930" i="16"/>
  <c r="H930" i="16"/>
  <c r="G930" i="16"/>
  <c r="M929" i="16"/>
  <c r="L929" i="16"/>
  <c r="K929" i="16"/>
  <c r="J929" i="16"/>
  <c r="I929" i="16"/>
  <c r="H929" i="16"/>
  <c r="G929" i="16"/>
  <c r="M928" i="16"/>
  <c r="L928" i="16"/>
  <c r="K928" i="16"/>
  <c r="J928" i="16"/>
  <c r="I928" i="16"/>
  <c r="H928" i="16"/>
  <c r="G928" i="16"/>
  <c r="M927" i="16"/>
  <c r="L927" i="16"/>
  <c r="K927" i="16"/>
  <c r="J927" i="16"/>
  <c r="I927" i="16"/>
  <c r="H927" i="16"/>
  <c r="G927" i="16"/>
  <c r="M926" i="16"/>
  <c r="L926" i="16"/>
  <c r="K926" i="16"/>
  <c r="J926" i="16"/>
  <c r="I926" i="16"/>
  <c r="H926" i="16"/>
  <c r="G926" i="16"/>
  <c r="M925" i="16"/>
  <c r="L925" i="16"/>
  <c r="K925" i="16"/>
  <c r="J925" i="16"/>
  <c r="I925" i="16"/>
  <c r="H925" i="16"/>
  <c r="G925" i="16"/>
  <c r="M924" i="16"/>
  <c r="L924" i="16"/>
  <c r="K924" i="16"/>
  <c r="J924" i="16"/>
  <c r="I924" i="16"/>
  <c r="H924" i="16"/>
  <c r="G924" i="16"/>
  <c r="M923" i="16"/>
  <c r="L923" i="16"/>
  <c r="K923" i="16"/>
  <c r="J923" i="16"/>
  <c r="I923" i="16"/>
  <c r="H923" i="16"/>
  <c r="G923" i="16"/>
  <c r="M922" i="16"/>
  <c r="L922" i="16"/>
  <c r="K922" i="16"/>
  <c r="J922" i="16"/>
  <c r="I922" i="16"/>
  <c r="H922" i="16"/>
  <c r="G922" i="16"/>
  <c r="M921" i="16"/>
  <c r="L921" i="16"/>
  <c r="K921" i="16"/>
  <c r="J921" i="16"/>
  <c r="I921" i="16"/>
  <c r="H921" i="16"/>
  <c r="G921" i="16"/>
  <c r="M920" i="16"/>
  <c r="L920" i="16"/>
  <c r="K920" i="16"/>
  <c r="J920" i="16"/>
  <c r="I920" i="16"/>
  <c r="H920" i="16"/>
  <c r="G920" i="16"/>
  <c r="M919" i="16"/>
  <c r="L919" i="16"/>
  <c r="K919" i="16"/>
  <c r="J919" i="16"/>
  <c r="I919" i="16"/>
  <c r="H919" i="16"/>
  <c r="G919" i="16"/>
  <c r="M918" i="16"/>
  <c r="L918" i="16"/>
  <c r="K918" i="16"/>
  <c r="J918" i="16"/>
  <c r="I918" i="16"/>
  <c r="H918" i="16"/>
  <c r="G918" i="16"/>
  <c r="M917" i="16"/>
  <c r="L917" i="16"/>
  <c r="K917" i="16"/>
  <c r="J917" i="16"/>
  <c r="I917" i="16"/>
  <c r="H917" i="16"/>
  <c r="G917" i="16"/>
  <c r="M916" i="16"/>
  <c r="L916" i="16"/>
  <c r="K916" i="16"/>
  <c r="J916" i="16"/>
  <c r="I916" i="16"/>
  <c r="H916" i="16"/>
  <c r="G916" i="16"/>
  <c r="M915" i="16"/>
  <c r="L915" i="16"/>
  <c r="K915" i="16"/>
  <c r="J915" i="16"/>
  <c r="I915" i="16"/>
  <c r="H915" i="16"/>
  <c r="G915" i="16"/>
  <c r="M914" i="16"/>
  <c r="L914" i="16"/>
  <c r="K914" i="16"/>
  <c r="J914" i="16"/>
  <c r="I914" i="16"/>
  <c r="H914" i="16"/>
  <c r="G914" i="16"/>
  <c r="M913" i="16"/>
  <c r="L913" i="16"/>
  <c r="K913" i="16"/>
  <c r="J913" i="16"/>
  <c r="I913" i="16"/>
  <c r="H913" i="16"/>
  <c r="G913" i="16"/>
  <c r="M912" i="16"/>
  <c r="L912" i="16"/>
  <c r="K912" i="16"/>
  <c r="J912" i="16"/>
  <c r="I912" i="16"/>
  <c r="H912" i="16"/>
  <c r="G912" i="16"/>
  <c r="M911" i="16"/>
  <c r="L911" i="16"/>
  <c r="K911" i="16"/>
  <c r="J911" i="16"/>
  <c r="I911" i="16"/>
  <c r="H911" i="16"/>
  <c r="G911" i="16"/>
  <c r="M910" i="16"/>
  <c r="L910" i="16"/>
  <c r="K910" i="16"/>
  <c r="J910" i="16"/>
  <c r="I910" i="16"/>
  <c r="H910" i="16"/>
  <c r="G910" i="16"/>
  <c r="M909" i="16"/>
  <c r="L909" i="16"/>
  <c r="K909" i="16"/>
  <c r="J909" i="16"/>
  <c r="I909" i="16"/>
  <c r="H909" i="16"/>
  <c r="G909" i="16"/>
  <c r="M908" i="16"/>
  <c r="L908" i="16"/>
  <c r="K908" i="16"/>
  <c r="J908" i="16"/>
  <c r="I908" i="16"/>
  <c r="H908" i="16"/>
  <c r="G908" i="16"/>
  <c r="M907" i="16"/>
  <c r="L907" i="16"/>
  <c r="K907" i="16"/>
  <c r="J907" i="16"/>
  <c r="I907" i="16"/>
  <c r="H907" i="16"/>
  <c r="G907" i="16"/>
  <c r="M906" i="16"/>
  <c r="L906" i="16"/>
  <c r="K906" i="16"/>
  <c r="J906" i="16"/>
  <c r="I906" i="16"/>
  <c r="H906" i="16"/>
  <c r="G906" i="16"/>
  <c r="M905" i="16"/>
  <c r="L905" i="16"/>
  <c r="K905" i="16"/>
  <c r="J905" i="16"/>
  <c r="I905" i="16"/>
  <c r="H905" i="16"/>
  <c r="G905" i="16"/>
  <c r="M904" i="16"/>
  <c r="L904" i="16"/>
  <c r="K904" i="16"/>
  <c r="J904" i="16"/>
  <c r="I904" i="16"/>
  <c r="H904" i="16"/>
  <c r="G904" i="16"/>
  <c r="M903" i="16"/>
  <c r="L903" i="16"/>
  <c r="K903" i="16"/>
  <c r="J903" i="16"/>
  <c r="I903" i="16"/>
  <c r="H903" i="16"/>
  <c r="G903" i="16"/>
  <c r="M902" i="16"/>
  <c r="L902" i="16"/>
  <c r="K902" i="16"/>
  <c r="J902" i="16"/>
  <c r="I902" i="16"/>
  <c r="H902" i="16"/>
  <c r="G902" i="16"/>
  <c r="M901" i="16"/>
  <c r="L901" i="16"/>
  <c r="K901" i="16"/>
  <c r="J901" i="16"/>
  <c r="I901" i="16"/>
  <c r="H901" i="16"/>
  <c r="G901" i="16"/>
  <c r="M900" i="16"/>
  <c r="L900" i="16"/>
  <c r="K900" i="16"/>
  <c r="J900" i="16"/>
  <c r="I900" i="16"/>
  <c r="H900" i="16"/>
  <c r="G900" i="16"/>
  <c r="M899" i="16"/>
  <c r="L899" i="16"/>
  <c r="K899" i="16"/>
  <c r="J899" i="16"/>
  <c r="I899" i="16"/>
  <c r="H899" i="16"/>
  <c r="G899" i="16"/>
  <c r="M898" i="16"/>
  <c r="L898" i="16"/>
  <c r="K898" i="16"/>
  <c r="J898" i="16"/>
  <c r="I898" i="16"/>
  <c r="H898" i="16"/>
  <c r="G898" i="16"/>
  <c r="M897" i="16"/>
  <c r="L897" i="16"/>
  <c r="K897" i="16"/>
  <c r="J897" i="16"/>
  <c r="I897" i="16"/>
  <c r="H897" i="16"/>
  <c r="G897" i="16"/>
  <c r="M896" i="16"/>
  <c r="L896" i="16"/>
  <c r="K896" i="16"/>
  <c r="J896" i="16"/>
  <c r="I896" i="16"/>
  <c r="H896" i="16"/>
  <c r="G896" i="16"/>
  <c r="M895" i="16"/>
  <c r="L895" i="16"/>
  <c r="K895" i="16"/>
  <c r="J895" i="16"/>
  <c r="I895" i="16"/>
  <c r="H895" i="16"/>
  <c r="G895" i="16"/>
  <c r="M894" i="16"/>
  <c r="L894" i="16"/>
  <c r="K894" i="16"/>
  <c r="J894" i="16"/>
  <c r="I894" i="16"/>
  <c r="H894" i="16"/>
  <c r="G894" i="16"/>
  <c r="M893" i="16"/>
  <c r="L893" i="16"/>
  <c r="K893" i="16"/>
  <c r="J893" i="16"/>
  <c r="I893" i="16"/>
  <c r="H893" i="16"/>
  <c r="G893" i="16"/>
  <c r="M892" i="16"/>
  <c r="L892" i="16"/>
  <c r="K892" i="16"/>
  <c r="J892" i="16"/>
  <c r="I892" i="16"/>
  <c r="H892" i="16"/>
  <c r="G892" i="16"/>
  <c r="M891" i="16"/>
  <c r="L891" i="16"/>
  <c r="K891" i="16"/>
  <c r="J891" i="16"/>
  <c r="I891" i="16"/>
  <c r="H891" i="16"/>
  <c r="G891" i="16"/>
  <c r="M890" i="16"/>
  <c r="L890" i="16"/>
  <c r="K890" i="16"/>
  <c r="J890" i="16"/>
  <c r="I890" i="16"/>
  <c r="H890" i="16"/>
  <c r="G890" i="16"/>
  <c r="M889" i="16"/>
  <c r="L889" i="16"/>
  <c r="K889" i="16"/>
  <c r="J889" i="16"/>
  <c r="I889" i="16"/>
  <c r="H889" i="16"/>
  <c r="G889" i="16"/>
  <c r="M888" i="16"/>
  <c r="L888" i="16"/>
  <c r="K888" i="16"/>
  <c r="J888" i="16"/>
  <c r="I888" i="16"/>
  <c r="H888" i="16"/>
  <c r="G888" i="16"/>
  <c r="M887" i="16"/>
  <c r="L887" i="16"/>
  <c r="K887" i="16"/>
  <c r="J887" i="16"/>
  <c r="I887" i="16"/>
  <c r="H887" i="16"/>
  <c r="G887" i="16"/>
  <c r="M886" i="16"/>
  <c r="L886" i="16"/>
  <c r="K886" i="16"/>
  <c r="J886" i="16"/>
  <c r="I886" i="16"/>
  <c r="H886" i="16"/>
  <c r="G886" i="16"/>
  <c r="M885" i="16"/>
  <c r="L885" i="16"/>
  <c r="K885" i="16"/>
  <c r="J885" i="16"/>
  <c r="I885" i="16"/>
  <c r="H885" i="16"/>
  <c r="G885" i="16"/>
  <c r="M884" i="16"/>
  <c r="L884" i="16"/>
  <c r="K884" i="16"/>
  <c r="J884" i="16"/>
  <c r="I884" i="16"/>
  <c r="H884" i="16"/>
  <c r="G884" i="16"/>
  <c r="M883" i="16"/>
  <c r="L883" i="16"/>
  <c r="K883" i="16"/>
  <c r="J883" i="16"/>
  <c r="I883" i="16"/>
  <c r="H883" i="16"/>
  <c r="G883" i="16"/>
  <c r="M882" i="16"/>
  <c r="L882" i="16"/>
  <c r="K882" i="16"/>
  <c r="J882" i="16"/>
  <c r="I882" i="16"/>
  <c r="H882" i="16"/>
  <c r="G882" i="16"/>
  <c r="M881" i="16"/>
  <c r="L881" i="16"/>
  <c r="K881" i="16"/>
  <c r="J881" i="16"/>
  <c r="I881" i="16"/>
  <c r="H881" i="16"/>
  <c r="G881" i="16"/>
  <c r="M880" i="16"/>
  <c r="L880" i="16"/>
  <c r="K880" i="16"/>
  <c r="J880" i="16"/>
  <c r="I880" i="16"/>
  <c r="H880" i="16"/>
  <c r="G880" i="16"/>
  <c r="M879" i="16"/>
  <c r="L879" i="16"/>
  <c r="K879" i="16"/>
  <c r="J879" i="16"/>
  <c r="I879" i="16"/>
  <c r="H879" i="16"/>
  <c r="G879" i="16"/>
  <c r="M878" i="16"/>
  <c r="L878" i="16"/>
  <c r="K878" i="16"/>
  <c r="J878" i="16"/>
  <c r="I878" i="16"/>
  <c r="H878" i="16"/>
  <c r="G878" i="16"/>
  <c r="M877" i="16"/>
  <c r="L877" i="16"/>
  <c r="K877" i="16"/>
  <c r="J877" i="16"/>
  <c r="I877" i="16"/>
  <c r="H877" i="16"/>
  <c r="G877" i="16"/>
  <c r="M876" i="16"/>
  <c r="L876" i="16"/>
  <c r="K876" i="16"/>
  <c r="J876" i="16"/>
  <c r="I876" i="16"/>
  <c r="H876" i="16"/>
  <c r="G876" i="16"/>
  <c r="M875" i="16"/>
  <c r="L875" i="16"/>
  <c r="K875" i="16"/>
  <c r="J875" i="16"/>
  <c r="I875" i="16"/>
  <c r="H875" i="16"/>
  <c r="G875" i="16"/>
  <c r="M874" i="16"/>
  <c r="L874" i="16"/>
  <c r="K874" i="16"/>
  <c r="J874" i="16"/>
  <c r="I874" i="16"/>
  <c r="H874" i="16"/>
  <c r="G874" i="16"/>
  <c r="M873" i="16"/>
  <c r="L873" i="16"/>
  <c r="K873" i="16"/>
  <c r="J873" i="16"/>
  <c r="I873" i="16"/>
  <c r="H873" i="16"/>
  <c r="G873" i="16"/>
  <c r="M872" i="16"/>
  <c r="L872" i="16"/>
  <c r="K872" i="16"/>
  <c r="J872" i="16"/>
  <c r="I872" i="16"/>
  <c r="H872" i="16"/>
  <c r="G872" i="16"/>
  <c r="M871" i="16"/>
  <c r="L871" i="16"/>
  <c r="K871" i="16"/>
  <c r="J871" i="16"/>
  <c r="I871" i="16"/>
  <c r="H871" i="16"/>
  <c r="G871" i="16"/>
  <c r="M870" i="16"/>
  <c r="L870" i="16"/>
  <c r="K870" i="16"/>
  <c r="J870" i="16"/>
  <c r="I870" i="16"/>
  <c r="H870" i="16"/>
  <c r="G870" i="16"/>
  <c r="M869" i="16"/>
  <c r="L869" i="16"/>
  <c r="K869" i="16"/>
  <c r="J869" i="16"/>
  <c r="I869" i="16"/>
  <c r="H869" i="16"/>
  <c r="G869" i="16"/>
  <c r="M868" i="16"/>
  <c r="L868" i="16"/>
  <c r="K868" i="16"/>
  <c r="J868" i="16"/>
  <c r="I868" i="16"/>
  <c r="H868" i="16"/>
  <c r="G868" i="16"/>
  <c r="M867" i="16"/>
  <c r="L867" i="16"/>
  <c r="K867" i="16"/>
  <c r="J867" i="16"/>
  <c r="I867" i="16"/>
  <c r="H867" i="16"/>
  <c r="G867" i="16"/>
  <c r="M866" i="16"/>
  <c r="L866" i="16"/>
  <c r="K866" i="16"/>
  <c r="J866" i="16"/>
  <c r="I866" i="16"/>
  <c r="H866" i="16"/>
  <c r="G866" i="16"/>
  <c r="M865" i="16"/>
  <c r="L865" i="16"/>
  <c r="K865" i="16"/>
  <c r="J865" i="16"/>
  <c r="I865" i="16"/>
  <c r="H865" i="16"/>
  <c r="G865" i="16"/>
  <c r="M864" i="16"/>
  <c r="L864" i="16"/>
  <c r="K864" i="16"/>
  <c r="J864" i="16"/>
  <c r="I864" i="16"/>
  <c r="H864" i="16"/>
  <c r="G864" i="16"/>
  <c r="M863" i="16"/>
  <c r="L863" i="16"/>
  <c r="K863" i="16"/>
  <c r="J863" i="16"/>
  <c r="I863" i="16"/>
  <c r="H863" i="16"/>
  <c r="G863" i="16"/>
  <c r="M862" i="16"/>
  <c r="L862" i="16"/>
  <c r="K862" i="16"/>
  <c r="J862" i="16"/>
  <c r="I862" i="16"/>
  <c r="H862" i="16"/>
  <c r="G862" i="16"/>
  <c r="M861" i="16"/>
  <c r="L861" i="16"/>
  <c r="K861" i="16"/>
  <c r="J861" i="16"/>
  <c r="I861" i="16"/>
  <c r="H861" i="16"/>
  <c r="G861" i="16"/>
  <c r="M860" i="16"/>
  <c r="L860" i="16"/>
  <c r="K860" i="16"/>
  <c r="J860" i="16"/>
  <c r="I860" i="16"/>
  <c r="H860" i="16"/>
  <c r="G860" i="16"/>
  <c r="M859" i="16"/>
  <c r="L859" i="16"/>
  <c r="K859" i="16"/>
  <c r="J859" i="16"/>
  <c r="I859" i="16"/>
  <c r="H859" i="16"/>
  <c r="G859" i="16"/>
  <c r="M858" i="16"/>
  <c r="L858" i="16"/>
  <c r="K858" i="16"/>
  <c r="J858" i="16"/>
  <c r="I858" i="16"/>
  <c r="H858" i="16"/>
  <c r="G858" i="16"/>
  <c r="M857" i="16"/>
  <c r="L857" i="16"/>
  <c r="K857" i="16"/>
  <c r="J857" i="16"/>
  <c r="I857" i="16"/>
  <c r="H857" i="16"/>
  <c r="G857" i="16"/>
  <c r="M856" i="16"/>
  <c r="L856" i="16"/>
  <c r="K856" i="16"/>
  <c r="J856" i="16"/>
  <c r="I856" i="16"/>
  <c r="H856" i="16"/>
  <c r="G856" i="16"/>
  <c r="M855" i="16"/>
  <c r="L855" i="16"/>
  <c r="K855" i="16"/>
  <c r="J855" i="16"/>
  <c r="I855" i="16"/>
  <c r="H855" i="16"/>
  <c r="G855" i="16"/>
  <c r="M854" i="16"/>
  <c r="L854" i="16"/>
  <c r="K854" i="16"/>
  <c r="J854" i="16"/>
  <c r="I854" i="16"/>
  <c r="H854" i="16"/>
  <c r="G854" i="16"/>
  <c r="M853" i="16"/>
  <c r="L853" i="16"/>
  <c r="K853" i="16"/>
  <c r="J853" i="16"/>
  <c r="I853" i="16"/>
  <c r="H853" i="16"/>
  <c r="G853" i="16"/>
  <c r="M852" i="16"/>
  <c r="L852" i="16"/>
  <c r="K852" i="16"/>
  <c r="J852" i="16"/>
  <c r="I852" i="16"/>
  <c r="H852" i="16"/>
  <c r="G852" i="16"/>
  <c r="M851" i="16"/>
  <c r="L851" i="16"/>
  <c r="K851" i="16"/>
  <c r="J851" i="16"/>
  <c r="I851" i="16"/>
  <c r="H851" i="16"/>
  <c r="G851" i="16"/>
  <c r="M850" i="16"/>
  <c r="L850" i="16"/>
  <c r="K850" i="16"/>
  <c r="J850" i="16"/>
  <c r="I850" i="16"/>
  <c r="H850" i="16"/>
  <c r="G850" i="16"/>
  <c r="M849" i="16"/>
  <c r="L849" i="16"/>
  <c r="K849" i="16"/>
  <c r="J849" i="16"/>
  <c r="I849" i="16"/>
  <c r="H849" i="16"/>
  <c r="G849" i="16"/>
  <c r="M848" i="16"/>
  <c r="L848" i="16"/>
  <c r="K848" i="16"/>
  <c r="J848" i="16"/>
  <c r="I848" i="16"/>
  <c r="H848" i="16"/>
  <c r="G848" i="16"/>
  <c r="M847" i="16"/>
  <c r="L847" i="16"/>
  <c r="K847" i="16"/>
  <c r="J847" i="16"/>
  <c r="I847" i="16"/>
  <c r="H847" i="16"/>
  <c r="G847" i="16"/>
  <c r="M846" i="16"/>
  <c r="L846" i="16"/>
  <c r="K846" i="16"/>
  <c r="J846" i="16"/>
  <c r="I846" i="16"/>
  <c r="H846" i="16"/>
  <c r="G846" i="16"/>
  <c r="M845" i="16"/>
  <c r="L845" i="16"/>
  <c r="K845" i="16"/>
  <c r="J845" i="16"/>
  <c r="I845" i="16"/>
  <c r="H845" i="16"/>
  <c r="G845" i="16"/>
  <c r="M844" i="16"/>
  <c r="L844" i="16"/>
  <c r="K844" i="16"/>
  <c r="J844" i="16"/>
  <c r="I844" i="16"/>
  <c r="H844" i="16"/>
  <c r="G844" i="16"/>
  <c r="M843" i="16"/>
  <c r="L843" i="16"/>
  <c r="K843" i="16"/>
  <c r="J843" i="16"/>
  <c r="I843" i="16"/>
  <c r="H843" i="16"/>
  <c r="G843" i="16"/>
  <c r="M842" i="16"/>
  <c r="L842" i="16"/>
  <c r="K842" i="16"/>
  <c r="J842" i="16"/>
  <c r="I842" i="16"/>
  <c r="H842" i="16"/>
  <c r="G842" i="16"/>
  <c r="M841" i="16"/>
  <c r="L841" i="16"/>
  <c r="K841" i="16"/>
  <c r="J841" i="16"/>
  <c r="I841" i="16"/>
  <c r="H841" i="16"/>
  <c r="G841" i="16"/>
  <c r="M840" i="16"/>
  <c r="L840" i="16"/>
  <c r="K840" i="16"/>
  <c r="J840" i="16"/>
  <c r="I840" i="16"/>
  <c r="H840" i="16"/>
  <c r="G840" i="16"/>
  <c r="M839" i="16"/>
  <c r="L839" i="16"/>
  <c r="K839" i="16"/>
  <c r="J839" i="16"/>
  <c r="I839" i="16"/>
  <c r="H839" i="16"/>
  <c r="G839" i="16"/>
  <c r="M838" i="16"/>
  <c r="L838" i="16"/>
  <c r="K838" i="16"/>
  <c r="J838" i="16"/>
  <c r="I838" i="16"/>
  <c r="H838" i="16"/>
  <c r="G838" i="16"/>
  <c r="M837" i="16"/>
  <c r="L837" i="16"/>
  <c r="K837" i="16"/>
  <c r="J837" i="16"/>
  <c r="I837" i="16"/>
  <c r="H837" i="16"/>
  <c r="G837" i="16"/>
  <c r="M836" i="16"/>
  <c r="L836" i="16"/>
  <c r="K836" i="16"/>
  <c r="J836" i="16"/>
  <c r="I836" i="16"/>
  <c r="H836" i="16"/>
  <c r="G836" i="16"/>
  <c r="M835" i="16"/>
  <c r="L835" i="16"/>
  <c r="K835" i="16"/>
  <c r="J835" i="16"/>
  <c r="I835" i="16"/>
  <c r="H835" i="16"/>
  <c r="G835" i="16"/>
  <c r="M834" i="16"/>
  <c r="L834" i="16"/>
  <c r="K834" i="16"/>
  <c r="J834" i="16"/>
  <c r="I834" i="16"/>
  <c r="H834" i="16"/>
  <c r="G834" i="16"/>
  <c r="M833" i="16"/>
  <c r="L833" i="16"/>
  <c r="K833" i="16"/>
  <c r="J833" i="16"/>
  <c r="I833" i="16"/>
  <c r="H833" i="16"/>
  <c r="G833" i="16"/>
  <c r="M832" i="16"/>
  <c r="L832" i="16"/>
  <c r="K832" i="16"/>
  <c r="J832" i="16"/>
  <c r="I832" i="16"/>
  <c r="H832" i="16"/>
  <c r="G832" i="16"/>
  <c r="M831" i="16"/>
  <c r="L831" i="16"/>
  <c r="K831" i="16"/>
  <c r="J831" i="16"/>
  <c r="I831" i="16"/>
  <c r="H831" i="16"/>
  <c r="G831" i="16"/>
  <c r="M830" i="16"/>
  <c r="L830" i="16"/>
  <c r="K830" i="16"/>
  <c r="J830" i="16"/>
  <c r="I830" i="16"/>
  <c r="H830" i="16"/>
  <c r="G830" i="16"/>
  <c r="M829" i="16"/>
  <c r="L829" i="16"/>
  <c r="K829" i="16"/>
  <c r="J829" i="16"/>
  <c r="I829" i="16"/>
  <c r="H829" i="16"/>
  <c r="G829" i="16"/>
  <c r="M828" i="16"/>
  <c r="L828" i="16"/>
  <c r="K828" i="16"/>
  <c r="J828" i="16"/>
  <c r="I828" i="16"/>
  <c r="H828" i="16"/>
  <c r="G828" i="16"/>
  <c r="M827" i="16"/>
  <c r="L827" i="16"/>
  <c r="K827" i="16"/>
  <c r="J827" i="16"/>
  <c r="I827" i="16"/>
  <c r="H827" i="16"/>
  <c r="G827" i="16"/>
  <c r="M826" i="16"/>
  <c r="L826" i="16"/>
  <c r="K826" i="16"/>
  <c r="J826" i="16"/>
  <c r="I826" i="16"/>
  <c r="H826" i="16"/>
  <c r="G826" i="16"/>
  <c r="M825" i="16"/>
  <c r="L825" i="16"/>
  <c r="K825" i="16"/>
  <c r="J825" i="16"/>
  <c r="I825" i="16"/>
  <c r="H825" i="16"/>
  <c r="G825" i="16"/>
  <c r="M824" i="16"/>
  <c r="L824" i="16"/>
  <c r="K824" i="16"/>
  <c r="J824" i="16"/>
  <c r="I824" i="16"/>
  <c r="H824" i="16"/>
  <c r="G824" i="16"/>
  <c r="M823" i="16"/>
  <c r="L823" i="16"/>
  <c r="K823" i="16"/>
  <c r="J823" i="16"/>
  <c r="I823" i="16"/>
  <c r="H823" i="16"/>
  <c r="G823" i="16"/>
  <c r="M822" i="16"/>
  <c r="L822" i="16"/>
  <c r="K822" i="16"/>
  <c r="J822" i="16"/>
  <c r="I822" i="16"/>
  <c r="H822" i="16"/>
  <c r="G822" i="16"/>
  <c r="M821" i="16"/>
  <c r="L821" i="16"/>
  <c r="K821" i="16"/>
  <c r="J821" i="16"/>
  <c r="I821" i="16"/>
  <c r="H821" i="16"/>
  <c r="G821" i="16"/>
  <c r="M820" i="16"/>
  <c r="L820" i="16"/>
  <c r="K820" i="16"/>
  <c r="J820" i="16"/>
  <c r="I820" i="16"/>
  <c r="H820" i="16"/>
  <c r="G820" i="16"/>
  <c r="M819" i="16"/>
  <c r="L819" i="16"/>
  <c r="K819" i="16"/>
  <c r="J819" i="16"/>
  <c r="I819" i="16"/>
  <c r="H819" i="16"/>
  <c r="G819" i="16"/>
  <c r="M818" i="16"/>
  <c r="L818" i="16"/>
  <c r="K818" i="16"/>
  <c r="J818" i="16"/>
  <c r="I818" i="16"/>
  <c r="H818" i="16"/>
  <c r="G818" i="16"/>
  <c r="M817" i="16"/>
  <c r="L817" i="16"/>
  <c r="K817" i="16"/>
  <c r="J817" i="16"/>
  <c r="I817" i="16"/>
  <c r="H817" i="16"/>
  <c r="G817" i="16"/>
  <c r="M816" i="16"/>
  <c r="L816" i="16"/>
  <c r="K816" i="16"/>
  <c r="J816" i="16"/>
  <c r="I816" i="16"/>
  <c r="H816" i="16"/>
  <c r="G816" i="16"/>
  <c r="M815" i="16"/>
  <c r="L815" i="16"/>
  <c r="K815" i="16"/>
  <c r="J815" i="16"/>
  <c r="I815" i="16"/>
  <c r="H815" i="16"/>
  <c r="G815" i="16"/>
  <c r="M814" i="16"/>
  <c r="L814" i="16"/>
  <c r="K814" i="16"/>
  <c r="J814" i="16"/>
  <c r="I814" i="16"/>
  <c r="H814" i="16"/>
  <c r="G814" i="16"/>
  <c r="M813" i="16"/>
  <c r="L813" i="16"/>
  <c r="K813" i="16"/>
  <c r="J813" i="16"/>
  <c r="I813" i="16"/>
  <c r="H813" i="16"/>
  <c r="G813" i="16"/>
  <c r="M812" i="16"/>
  <c r="L812" i="16"/>
  <c r="K812" i="16"/>
  <c r="J812" i="16"/>
  <c r="I812" i="16"/>
  <c r="H812" i="16"/>
  <c r="G812" i="16"/>
  <c r="M811" i="16"/>
  <c r="L811" i="16"/>
  <c r="K811" i="16"/>
  <c r="J811" i="16"/>
  <c r="I811" i="16"/>
  <c r="H811" i="16"/>
  <c r="G811" i="16"/>
  <c r="M810" i="16"/>
  <c r="L810" i="16"/>
  <c r="K810" i="16"/>
  <c r="J810" i="16"/>
  <c r="I810" i="16"/>
  <c r="H810" i="16"/>
  <c r="G810" i="16"/>
  <c r="M809" i="16"/>
  <c r="L809" i="16"/>
  <c r="K809" i="16"/>
  <c r="J809" i="16"/>
  <c r="I809" i="16"/>
  <c r="H809" i="16"/>
  <c r="G809" i="16"/>
  <c r="M808" i="16"/>
  <c r="L808" i="16"/>
  <c r="K808" i="16"/>
  <c r="J808" i="16"/>
  <c r="I808" i="16"/>
  <c r="H808" i="16"/>
  <c r="G808" i="16"/>
  <c r="M807" i="16"/>
  <c r="L807" i="16"/>
  <c r="K807" i="16"/>
  <c r="J807" i="16"/>
  <c r="I807" i="16"/>
  <c r="H807" i="16"/>
  <c r="G807" i="16"/>
  <c r="M806" i="16"/>
  <c r="L806" i="16"/>
  <c r="K806" i="16"/>
  <c r="J806" i="16"/>
  <c r="I806" i="16"/>
  <c r="H806" i="16"/>
  <c r="G806" i="16"/>
  <c r="M805" i="16"/>
  <c r="L805" i="16"/>
  <c r="K805" i="16"/>
  <c r="J805" i="16"/>
  <c r="I805" i="16"/>
  <c r="H805" i="16"/>
  <c r="G805" i="16"/>
  <c r="M804" i="16"/>
  <c r="L804" i="16"/>
  <c r="K804" i="16"/>
  <c r="J804" i="16"/>
  <c r="I804" i="16"/>
  <c r="H804" i="16"/>
  <c r="G804" i="16"/>
  <c r="M803" i="16"/>
  <c r="L803" i="16"/>
  <c r="K803" i="16"/>
  <c r="J803" i="16"/>
  <c r="I803" i="16"/>
  <c r="H803" i="16"/>
  <c r="G803" i="16"/>
  <c r="M802" i="16"/>
  <c r="L802" i="16"/>
  <c r="K802" i="16"/>
  <c r="J802" i="16"/>
  <c r="I802" i="16"/>
  <c r="H802" i="16"/>
  <c r="G802" i="16"/>
  <c r="M801" i="16"/>
  <c r="L801" i="16"/>
  <c r="K801" i="16"/>
  <c r="J801" i="16"/>
  <c r="I801" i="16"/>
  <c r="H801" i="16"/>
  <c r="G801" i="16"/>
  <c r="M800" i="16"/>
  <c r="L800" i="16"/>
  <c r="K800" i="16"/>
  <c r="J800" i="16"/>
  <c r="I800" i="16"/>
  <c r="H800" i="16"/>
  <c r="G800" i="16"/>
  <c r="M799" i="16"/>
  <c r="L799" i="16"/>
  <c r="K799" i="16"/>
  <c r="J799" i="16"/>
  <c r="I799" i="16"/>
  <c r="H799" i="16"/>
  <c r="G799" i="16"/>
  <c r="M798" i="16"/>
  <c r="L798" i="16"/>
  <c r="K798" i="16"/>
  <c r="J798" i="16"/>
  <c r="I798" i="16"/>
  <c r="H798" i="16"/>
  <c r="G798" i="16"/>
  <c r="M797" i="16"/>
  <c r="L797" i="16"/>
  <c r="K797" i="16"/>
  <c r="J797" i="16"/>
  <c r="I797" i="16"/>
  <c r="H797" i="16"/>
  <c r="G797" i="16"/>
  <c r="M796" i="16"/>
  <c r="L796" i="16"/>
  <c r="K796" i="16"/>
  <c r="J796" i="16"/>
  <c r="I796" i="16"/>
  <c r="H796" i="16"/>
  <c r="G796" i="16"/>
  <c r="M795" i="16"/>
  <c r="L795" i="16"/>
  <c r="K795" i="16"/>
  <c r="J795" i="16"/>
  <c r="I795" i="16"/>
  <c r="H795" i="16"/>
  <c r="G795" i="16"/>
  <c r="M794" i="16"/>
  <c r="L794" i="16"/>
  <c r="K794" i="16"/>
  <c r="J794" i="16"/>
  <c r="I794" i="16"/>
  <c r="H794" i="16"/>
  <c r="G794" i="16"/>
  <c r="M793" i="16"/>
  <c r="L793" i="16"/>
  <c r="K793" i="16"/>
  <c r="J793" i="16"/>
  <c r="I793" i="16"/>
  <c r="H793" i="16"/>
  <c r="G793" i="16"/>
  <c r="M792" i="16"/>
  <c r="L792" i="16"/>
  <c r="K792" i="16"/>
  <c r="J792" i="16"/>
  <c r="I792" i="16"/>
  <c r="H792" i="16"/>
  <c r="G792" i="16"/>
  <c r="M791" i="16"/>
  <c r="L791" i="16"/>
  <c r="K791" i="16"/>
  <c r="J791" i="16"/>
  <c r="I791" i="16"/>
  <c r="H791" i="16"/>
  <c r="G791" i="16"/>
  <c r="M790" i="16"/>
  <c r="L790" i="16"/>
  <c r="K790" i="16"/>
  <c r="J790" i="16"/>
  <c r="I790" i="16"/>
  <c r="H790" i="16"/>
  <c r="G790" i="16"/>
  <c r="M789" i="16"/>
  <c r="L789" i="16"/>
  <c r="K789" i="16"/>
  <c r="J789" i="16"/>
  <c r="I789" i="16"/>
  <c r="H789" i="16"/>
  <c r="G789" i="16"/>
  <c r="M788" i="16"/>
  <c r="L788" i="16"/>
  <c r="K788" i="16"/>
  <c r="J788" i="16"/>
  <c r="I788" i="16"/>
  <c r="H788" i="16"/>
  <c r="G788" i="16"/>
  <c r="M787" i="16"/>
  <c r="L787" i="16"/>
  <c r="K787" i="16"/>
  <c r="J787" i="16"/>
  <c r="I787" i="16"/>
  <c r="H787" i="16"/>
  <c r="G787" i="16"/>
  <c r="M786" i="16"/>
  <c r="L786" i="16"/>
  <c r="K786" i="16"/>
  <c r="J786" i="16"/>
  <c r="I786" i="16"/>
  <c r="H786" i="16"/>
  <c r="G786" i="16"/>
  <c r="M785" i="16"/>
  <c r="L785" i="16"/>
  <c r="K785" i="16"/>
  <c r="J785" i="16"/>
  <c r="I785" i="16"/>
  <c r="H785" i="16"/>
  <c r="G785" i="16"/>
  <c r="M784" i="16"/>
  <c r="L784" i="16"/>
  <c r="K784" i="16"/>
  <c r="J784" i="16"/>
  <c r="I784" i="16"/>
  <c r="H784" i="16"/>
  <c r="G784" i="16"/>
  <c r="M783" i="16"/>
  <c r="L783" i="16"/>
  <c r="K783" i="16"/>
  <c r="J783" i="16"/>
  <c r="I783" i="16"/>
  <c r="H783" i="16"/>
  <c r="G783" i="16"/>
  <c r="M782" i="16"/>
  <c r="L782" i="16"/>
  <c r="K782" i="16"/>
  <c r="J782" i="16"/>
  <c r="I782" i="16"/>
  <c r="H782" i="16"/>
  <c r="G782" i="16"/>
  <c r="M781" i="16"/>
  <c r="L781" i="16"/>
  <c r="K781" i="16"/>
  <c r="J781" i="16"/>
  <c r="I781" i="16"/>
  <c r="H781" i="16"/>
  <c r="G781" i="16"/>
  <c r="M780" i="16"/>
  <c r="L780" i="16"/>
  <c r="K780" i="16"/>
  <c r="J780" i="16"/>
  <c r="I780" i="16"/>
  <c r="H780" i="16"/>
  <c r="G780" i="16"/>
  <c r="M779" i="16"/>
  <c r="L779" i="16"/>
  <c r="K779" i="16"/>
  <c r="J779" i="16"/>
  <c r="I779" i="16"/>
  <c r="H779" i="16"/>
  <c r="G779" i="16"/>
  <c r="M778" i="16"/>
  <c r="L778" i="16"/>
  <c r="K778" i="16"/>
  <c r="J778" i="16"/>
  <c r="I778" i="16"/>
  <c r="H778" i="16"/>
  <c r="G778" i="16"/>
  <c r="M777" i="16"/>
  <c r="L777" i="16"/>
  <c r="K777" i="16"/>
  <c r="J777" i="16"/>
  <c r="I777" i="16"/>
  <c r="H777" i="16"/>
  <c r="G777" i="16"/>
  <c r="M776" i="16"/>
  <c r="L776" i="16"/>
  <c r="K776" i="16"/>
  <c r="J776" i="16"/>
  <c r="I776" i="16"/>
  <c r="H776" i="16"/>
  <c r="G776" i="16"/>
  <c r="M775" i="16"/>
  <c r="L775" i="16"/>
  <c r="K775" i="16"/>
  <c r="J775" i="16"/>
  <c r="I775" i="16"/>
  <c r="H775" i="16"/>
  <c r="G775" i="16"/>
  <c r="M774" i="16"/>
  <c r="L774" i="16"/>
  <c r="K774" i="16"/>
  <c r="J774" i="16"/>
  <c r="I774" i="16"/>
  <c r="H774" i="16"/>
  <c r="G774" i="16"/>
  <c r="M773" i="16"/>
  <c r="L773" i="16"/>
  <c r="K773" i="16"/>
  <c r="J773" i="16"/>
  <c r="I773" i="16"/>
  <c r="H773" i="16"/>
  <c r="G773" i="16"/>
  <c r="M772" i="16"/>
  <c r="L772" i="16"/>
  <c r="K772" i="16"/>
  <c r="J772" i="16"/>
  <c r="I772" i="16"/>
  <c r="H772" i="16"/>
  <c r="G772" i="16"/>
  <c r="M771" i="16"/>
  <c r="L771" i="16"/>
  <c r="K771" i="16"/>
  <c r="J771" i="16"/>
  <c r="I771" i="16"/>
  <c r="H771" i="16"/>
  <c r="G771" i="16"/>
  <c r="M770" i="16"/>
  <c r="L770" i="16"/>
  <c r="K770" i="16"/>
  <c r="J770" i="16"/>
  <c r="I770" i="16"/>
  <c r="H770" i="16"/>
  <c r="G770" i="16"/>
  <c r="M769" i="16"/>
  <c r="L769" i="16"/>
  <c r="K769" i="16"/>
  <c r="J769" i="16"/>
  <c r="I769" i="16"/>
  <c r="H769" i="16"/>
  <c r="G769" i="16"/>
  <c r="M768" i="16"/>
  <c r="L768" i="16"/>
  <c r="K768" i="16"/>
  <c r="J768" i="16"/>
  <c r="I768" i="16"/>
  <c r="H768" i="16"/>
  <c r="G768" i="16"/>
  <c r="M767" i="16"/>
  <c r="L767" i="16"/>
  <c r="K767" i="16"/>
  <c r="J767" i="16"/>
  <c r="I767" i="16"/>
  <c r="H767" i="16"/>
  <c r="G767" i="16"/>
  <c r="M766" i="16"/>
  <c r="L766" i="16"/>
  <c r="K766" i="16"/>
  <c r="J766" i="16"/>
  <c r="I766" i="16"/>
  <c r="H766" i="16"/>
  <c r="G766" i="16"/>
  <c r="M765" i="16"/>
  <c r="L765" i="16"/>
  <c r="K765" i="16"/>
  <c r="J765" i="16"/>
  <c r="I765" i="16"/>
  <c r="H765" i="16"/>
  <c r="G765" i="16"/>
  <c r="M764" i="16"/>
  <c r="L764" i="16"/>
  <c r="K764" i="16"/>
  <c r="J764" i="16"/>
  <c r="I764" i="16"/>
  <c r="H764" i="16"/>
  <c r="G764" i="16"/>
  <c r="M763" i="16"/>
  <c r="L763" i="16"/>
  <c r="K763" i="16"/>
  <c r="J763" i="16"/>
  <c r="I763" i="16"/>
  <c r="H763" i="16"/>
  <c r="G763" i="16"/>
  <c r="M762" i="16"/>
  <c r="L762" i="16"/>
  <c r="K762" i="16"/>
  <c r="J762" i="16"/>
  <c r="I762" i="16"/>
  <c r="H762" i="16"/>
  <c r="G762" i="16"/>
  <c r="M761" i="16"/>
  <c r="L761" i="16"/>
  <c r="K761" i="16"/>
  <c r="J761" i="16"/>
  <c r="I761" i="16"/>
  <c r="H761" i="16"/>
  <c r="G761" i="16"/>
  <c r="M760" i="16"/>
  <c r="L760" i="16"/>
  <c r="K760" i="16"/>
  <c r="J760" i="16"/>
  <c r="I760" i="16"/>
  <c r="H760" i="16"/>
  <c r="G760" i="16"/>
  <c r="M759" i="16"/>
  <c r="L759" i="16"/>
  <c r="K759" i="16"/>
  <c r="J759" i="16"/>
  <c r="I759" i="16"/>
  <c r="H759" i="16"/>
  <c r="G759" i="16"/>
  <c r="M758" i="16"/>
  <c r="L758" i="16"/>
  <c r="K758" i="16"/>
  <c r="J758" i="16"/>
  <c r="I758" i="16"/>
  <c r="H758" i="16"/>
  <c r="G758" i="16"/>
  <c r="M757" i="16"/>
  <c r="L757" i="16"/>
  <c r="K757" i="16"/>
  <c r="J757" i="16"/>
  <c r="I757" i="16"/>
  <c r="H757" i="16"/>
  <c r="G757" i="16"/>
  <c r="M756" i="16"/>
  <c r="L756" i="16"/>
  <c r="K756" i="16"/>
  <c r="J756" i="16"/>
  <c r="I756" i="16"/>
  <c r="H756" i="16"/>
  <c r="G756" i="16"/>
  <c r="M755" i="16"/>
  <c r="L755" i="16"/>
  <c r="K755" i="16"/>
  <c r="J755" i="16"/>
  <c r="I755" i="16"/>
  <c r="H755" i="16"/>
  <c r="G755" i="16"/>
  <c r="M754" i="16"/>
  <c r="L754" i="16"/>
  <c r="K754" i="16"/>
  <c r="J754" i="16"/>
  <c r="I754" i="16"/>
  <c r="H754" i="16"/>
  <c r="G754" i="16"/>
  <c r="M753" i="16"/>
  <c r="L753" i="16"/>
  <c r="K753" i="16"/>
  <c r="J753" i="16"/>
  <c r="I753" i="16"/>
  <c r="H753" i="16"/>
  <c r="G753" i="16"/>
  <c r="M752" i="16"/>
  <c r="L752" i="16"/>
  <c r="K752" i="16"/>
  <c r="J752" i="16"/>
  <c r="I752" i="16"/>
  <c r="H752" i="16"/>
  <c r="G752" i="16"/>
  <c r="M751" i="16"/>
  <c r="L751" i="16"/>
  <c r="K751" i="16"/>
  <c r="J751" i="16"/>
  <c r="I751" i="16"/>
  <c r="H751" i="16"/>
  <c r="G751" i="16"/>
  <c r="M750" i="16"/>
  <c r="L750" i="16"/>
  <c r="K750" i="16"/>
  <c r="J750" i="16"/>
  <c r="I750" i="16"/>
  <c r="H750" i="16"/>
  <c r="G750" i="16"/>
  <c r="M749" i="16"/>
  <c r="L749" i="16"/>
  <c r="K749" i="16"/>
  <c r="J749" i="16"/>
  <c r="I749" i="16"/>
  <c r="H749" i="16"/>
  <c r="G749" i="16"/>
  <c r="M748" i="16"/>
  <c r="L748" i="16"/>
  <c r="K748" i="16"/>
  <c r="J748" i="16"/>
  <c r="I748" i="16"/>
  <c r="H748" i="16"/>
  <c r="G748" i="16"/>
  <c r="M747" i="16"/>
  <c r="L747" i="16"/>
  <c r="K747" i="16"/>
  <c r="J747" i="16"/>
  <c r="I747" i="16"/>
  <c r="H747" i="16"/>
  <c r="G747" i="16"/>
  <c r="M746" i="16"/>
  <c r="L746" i="16"/>
  <c r="K746" i="16"/>
  <c r="J746" i="16"/>
  <c r="I746" i="16"/>
  <c r="H746" i="16"/>
  <c r="G746" i="16"/>
  <c r="M745" i="16"/>
  <c r="L745" i="16"/>
  <c r="K745" i="16"/>
  <c r="J745" i="16"/>
  <c r="I745" i="16"/>
  <c r="H745" i="16"/>
  <c r="G745" i="16"/>
  <c r="M744" i="16"/>
  <c r="L744" i="16"/>
  <c r="K744" i="16"/>
  <c r="J744" i="16"/>
  <c r="I744" i="16"/>
  <c r="H744" i="16"/>
  <c r="G744" i="16"/>
  <c r="M743" i="16"/>
  <c r="L743" i="16"/>
  <c r="K743" i="16"/>
  <c r="J743" i="16"/>
  <c r="I743" i="16"/>
  <c r="H743" i="16"/>
  <c r="G743" i="16"/>
  <c r="M742" i="16"/>
  <c r="L742" i="16"/>
  <c r="K742" i="16"/>
  <c r="J742" i="16"/>
  <c r="I742" i="16"/>
  <c r="H742" i="16"/>
  <c r="G742" i="16"/>
  <c r="M741" i="16"/>
  <c r="L741" i="16"/>
  <c r="K741" i="16"/>
  <c r="J741" i="16"/>
  <c r="I741" i="16"/>
  <c r="H741" i="16"/>
  <c r="G741" i="16"/>
  <c r="M740" i="16"/>
  <c r="L740" i="16"/>
  <c r="K740" i="16"/>
  <c r="J740" i="16"/>
  <c r="I740" i="16"/>
  <c r="H740" i="16"/>
  <c r="G740" i="16"/>
  <c r="M739" i="16"/>
  <c r="L739" i="16"/>
  <c r="K739" i="16"/>
  <c r="J739" i="16"/>
  <c r="I739" i="16"/>
  <c r="H739" i="16"/>
  <c r="G739" i="16"/>
  <c r="M738" i="16"/>
  <c r="L738" i="16"/>
  <c r="K738" i="16"/>
  <c r="J738" i="16"/>
  <c r="I738" i="16"/>
  <c r="H738" i="16"/>
  <c r="G738" i="16"/>
  <c r="M737" i="16"/>
  <c r="L737" i="16"/>
  <c r="K737" i="16"/>
  <c r="J737" i="16"/>
  <c r="I737" i="16"/>
  <c r="H737" i="16"/>
  <c r="G737" i="16"/>
  <c r="M736" i="16"/>
  <c r="L736" i="16"/>
  <c r="K736" i="16"/>
  <c r="J736" i="16"/>
  <c r="I736" i="16"/>
  <c r="H736" i="16"/>
  <c r="G736" i="16"/>
  <c r="M735" i="16"/>
  <c r="L735" i="16"/>
  <c r="K735" i="16"/>
  <c r="J735" i="16"/>
  <c r="I735" i="16"/>
  <c r="H735" i="16"/>
  <c r="G735" i="16"/>
  <c r="M734" i="16"/>
  <c r="L734" i="16"/>
  <c r="K734" i="16"/>
  <c r="J734" i="16"/>
  <c r="I734" i="16"/>
  <c r="H734" i="16"/>
  <c r="G734" i="16"/>
  <c r="M733" i="16"/>
  <c r="L733" i="16"/>
  <c r="K733" i="16"/>
  <c r="J733" i="16"/>
  <c r="I733" i="16"/>
  <c r="H733" i="16"/>
  <c r="G733" i="16"/>
  <c r="M732" i="16"/>
  <c r="L732" i="16"/>
  <c r="K732" i="16"/>
  <c r="J732" i="16"/>
  <c r="I732" i="16"/>
  <c r="H732" i="16"/>
  <c r="G732" i="16"/>
  <c r="M731" i="16"/>
  <c r="L731" i="16"/>
  <c r="K731" i="16"/>
  <c r="J731" i="16"/>
  <c r="I731" i="16"/>
  <c r="H731" i="16"/>
  <c r="G731" i="16"/>
  <c r="M730" i="16"/>
  <c r="L730" i="16"/>
  <c r="K730" i="16"/>
  <c r="J730" i="16"/>
  <c r="I730" i="16"/>
  <c r="H730" i="16"/>
  <c r="G730" i="16"/>
  <c r="M729" i="16"/>
  <c r="L729" i="16"/>
  <c r="K729" i="16"/>
  <c r="J729" i="16"/>
  <c r="I729" i="16"/>
  <c r="H729" i="16"/>
  <c r="G729" i="16"/>
  <c r="M728" i="16"/>
  <c r="L728" i="16"/>
  <c r="K728" i="16"/>
  <c r="J728" i="16"/>
  <c r="I728" i="16"/>
  <c r="H728" i="16"/>
  <c r="G728" i="16"/>
  <c r="M727" i="16"/>
  <c r="L727" i="16"/>
  <c r="K727" i="16"/>
  <c r="J727" i="16"/>
  <c r="I727" i="16"/>
  <c r="H727" i="16"/>
  <c r="G727" i="16"/>
  <c r="M726" i="16"/>
  <c r="L726" i="16"/>
  <c r="K726" i="16"/>
  <c r="J726" i="16"/>
  <c r="I726" i="16"/>
  <c r="H726" i="16"/>
  <c r="G726" i="16"/>
  <c r="M725" i="16"/>
  <c r="L725" i="16"/>
  <c r="K725" i="16"/>
  <c r="J725" i="16"/>
  <c r="I725" i="16"/>
  <c r="H725" i="16"/>
  <c r="G725" i="16"/>
  <c r="M724" i="16"/>
  <c r="L724" i="16"/>
  <c r="K724" i="16"/>
  <c r="J724" i="16"/>
  <c r="I724" i="16"/>
  <c r="H724" i="16"/>
  <c r="G724" i="16"/>
  <c r="M723" i="16"/>
  <c r="L723" i="16"/>
  <c r="K723" i="16"/>
  <c r="J723" i="16"/>
  <c r="I723" i="16"/>
  <c r="H723" i="16"/>
  <c r="G723" i="16"/>
  <c r="M722" i="16"/>
  <c r="L722" i="16"/>
  <c r="K722" i="16"/>
  <c r="J722" i="16"/>
  <c r="I722" i="16"/>
  <c r="H722" i="16"/>
  <c r="G722" i="16"/>
  <c r="M721" i="16"/>
  <c r="L721" i="16"/>
  <c r="K721" i="16"/>
  <c r="J721" i="16"/>
  <c r="I721" i="16"/>
  <c r="H721" i="16"/>
  <c r="G721" i="16"/>
  <c r="M720" i="16"/>
  <c r="L720" i="16"/>
  <c r="K720" i="16"/>
  <c r="J720" i="16"/>
  <c r="I720" i="16"/>
  <c r="H720" i="16"/>
  <c r="G720" i="16"/>
  <c r="M719" i="16"/>
  <c r="L719" i="16"/>
  <c r="K719" i="16"/>
  <c r="J719" i="16"/>
  <c r="I719" i="16"/>
  <c r="H719" i="16"/>
  <c r="G719" i="16"/>
  <c r="M718" i="16"/>
  <c r="L718" i="16"/>
  <c r="K718" i="16"/>
  <c r="J718" i="16"/>
  <c r="I718" i="16"/>
  <c r="H718" i="16"/>
  <c r="G718" i="16"/>
  <c r="M717" i="16"/>
  <c r="L717" i="16"/>
  <c r="K717" i="16"/>
  <c r="J717" i="16"/>
  <c r="I717" i="16"/>
  <c r="H717" i="16"/>
  <c r="G717" i="16"/>
  <c r="M716" i="16"/>
  <c r="L716" i="16"/>
  <c r="K716" i="16"/>
  <c r="J716" i="16"/>
  <c r="I716" i="16"/>
  <c r="H716" i="16"/>
  <c r="G716" i="16"/>
  <c r="M715" i="16"/>
  <c r="L715" i="16"/>
  <c r="K715" i="16"/>
  <c r="J715" i="16"/>
  <c r="I715" i="16"/>
  <c r="H715" i="16"/>
  <c r="G715" i="16"/>
  <c r="M714" i="16"/>
  <c r="L714" i="16"/>
  <c r="K714" i="16"/>
  <c r="J714" i="16"/>
  <c r="I714" i="16"/>
  <c r="H714" i="16"/>
  <c r="G714" i="16"/>
  <c r="M713" i="16"/>
  <c r="L713" i="16"/>
  <c r="K713" i="16"/>
  <c r="J713" i="16"/>
  <c r="I713" i="16"/>
  <c r="H713" i="16"/>
  <c r="G713" i="16"/>
  <c r="M712" i="16"/>
  <c r="L712" i="16"/>
  <c r="K712" i="16"/>
  <c r="J712" i="16"/>
  <c r="I712" i="16"/>
  <c r="H712" i="16"/>
  <c r="G712" i="16"/>
  <c r="M711" i="16"/>
  <c r="L711" i="16"/>
  <c r="K711" i="16"/>
  <c r="J711" i="16"/>
  <c r="I711" i="16"/>
  <c r="H711" i="16"/>
  <c r="G711" i="16"/>
  <c r="M710" i="16"/>
  <c r="L710" i="16"/>
  <c r="K710" i="16"/>
  <c r="J710" i="16"/>
  <c r="I710" i="16"/>
  <c r="H710" i="16"/>
  <c r="G710" i="16"/>
  <c r="M709" i="16"/>
  <c r="L709" i="16"/>
  <c r="K709" i="16"/>
  <c r="J709" i="16"/>
  <c r="I709" i="16"/>
  <c r="H709" i="16"/>
  <c r="G709" i="16"/>
  <c r="M708" i="16"/>
  <c r="L708" i="16"/>
  <c r="K708" i="16"/>
  <c r="J708" i="16"/>
  <c r="I708" i="16"/>
  <c r="H708" i="16"/>
  <c r="G708" i="16"/>
  <c r="M707" i="16"/>
  <c r="L707" i="16"/>
  <c r="K707" i="16"/>
  <c r="J707" i="16"/>
  <c r="I707" i="16"/>
  <c r="H707" i="16"/>
  <c r="G707" i="16"/>
  <c r="M706" i="16"/>
  <c r="L706" i="16"/>
  <c r="K706" i="16"/>
  <c r="J706" i="16"/>
  <c r="I706" i="16"/>
  <c r="H706" i="16"/>
  <c r="G706" i="16"/>
  <c r="M705" i="16"/>
  <c r="L705" i="16"/>
  <c r="K705" i="16"/>
  <c r="J705" i="16"/>
  <c r="I705" i="16"/>
  <c r="H705" i="16"/>
  <c r="G705" i="16"/>
  <c r="M704" i="16"/>
  <c r="L704" i="16"/>
  <c r="K704" i="16"/>
  <c r="J704" i="16"/>
  <c r="I704" i="16"/>
  <c r="H704" i="16"/>
  <c r="G704" i="16"/>
  <c r="M703" i="16"/>
  <c r="L703" i="16"/>
  <c r="K703" i="16"/>
  <c r="J703" i="16"/>
  <c r="I703" i="16"/>
  <c r="H703" i="16"/>
  <c r="G703" i="16"/>
  <c r="M702" i="16"/>
  <c r="L702" i="16"/>
  <c r="K702" i="16"/>
  <c r="J702" i="16"/>
  <c r="I702" i="16"/>
  <c r="H702" i="16"/>
  <c r="G702" i="16"/>
  <c r="M701" i="16"/>
  <c r="L701" i="16"/>
  <c r="K701" i="16"/>
  <c r="J701" i="16"/>
  <c r="I701" i="16"/>
  <c r="H701" i="16"/>
  <c r="G701" i="16"/>
  <c r="M700" i="16"/>
  <c r="L700" i="16"/>
  <c r="K700" i="16"/>
  <c r="J700" i="16"/>
  <c r="I700" i="16"/>
  <c r="H700" i="16"/>
  <c r="G700" i="16"/>
  <c r="M699" i="16"/>
  <c r="L699" i="16"/>
  <c r="K699" i="16"/>
  <c r="J699" i="16"/>
  <c r="I699" i="16"/>
  <c r="H699" i="16"/>
  <c r="G699" i="16"/>
  <c r="M698" i="16"/>
  <c r="L698" i="16"/>
  <c r="K698" i="16"/>
  <c r="J698" i="16"/>
  <c r="I698" i="16"/>
  <c r="H698" i="16"/>
  <c r="G698" i="16"/>
  <c r="M697" i="16"/>
  <c r="L697" i="16"/>
  <c r="K697" i="16"/>
  <c r="J697" i="16"/>
  <c r="I697" i="16"/>
  <c r="H697" i="16"/>
  <c r="G697" i="16"/>
  <c r="M696" i="16"/>
  <c r="L696" i="16"/>
  <c r="K696" i="16"/>
  <c r="J696" i="16"/>
  <c r="I696" i="16"/>
  <c r="H696" i="16"/>
  <c r="G696" i="16"/>
  <c r="M695" i="16"/>
  <c r="L695" i="16"/>
  <c r="K695" i="16"/>
  <c r="J695" i="16"/>
  <c r="I695" i="16"/>
  <c r="H695" i="16"/>
  <c r="G695" i="16"/>
  <c r="M694" i="16"/>
  <c r="L694" i="16"/>
  <c r="K694" i="16"/>
  <c r="J694" i="16"/>
  <c r="I694" i="16"/>
  <c r="H694" i="16"/>
  <c r="G694" i="16"/>
  <c r="M693" i="16"/>
  <c r="L693" i="16"/>
  <c r="K693" i="16"/>
  <c r="J693" i="16"/>
  <c r="I693" i="16"/>
  <c r="H693" i="16"/>
  <c r="G693" i="16"/>
  <c r="M692" i="16"/>
  <c r="L692" i="16"/>
  <c r="K692" i="16"/>
  <c r="J692" i="16"/>
  <c r="I692" i="16"/>
  <c r="H692" i="16"/>
  <c r="G692" i="16"/>
  <c r="M691" i="16"/>
  <c r="L691" i="16"/>
  <c r="K691" i="16"/>
  <c r="J691" i="16"/>
  <c r="I691" i="16"/>
  <c r="H691" i="16"/>
  <c r="G691" i="16"/>
  <c r="M690" i="16"/>
  <c r="L690" i="16"/>
  <c r="K690" i="16"/>
  <c r="J690" i="16"/>
  <c r="I690" i="16"/>
  <c r="H690" i="16"/>
  <c r="G690" i="16"/>
  <c r="M689" i="16"/>
  <c r="L689" i="16"/>
  <c r="K689" i="16"/>
  <c r="J689" i="16"/>
  <c r="I689" i="16"/>
  <c r="H689" i="16"/>
  <c r="G689" i="16"/>
  <c r="M688" i="16"/>
  <c r="L688" i="16"/>
  <c r="K688" i="16"/>
  <c r="J688" i="16"/>
  <c r="I688" i="16"/>
  <c r="H688" i="16"/>
  <c r="G688" i="16"/>
  <c r="M687" i="16"/>
  <c r="L687" i="16"/>
  <c r="K687" i="16"/>
  <c r="J687" i="16"/>
  <c r="I687" i="16"/>
  <c r="H687" i="16"/>
  <c r="G687" i="16"/>
  <c r="M686" i="16"/>
  <c r="L686" i="16"/>
  <c r="K686" i="16"/>
  <c r="J686" i="16"/>
  <c r="I686" i="16"/>
  <c r="H686" i="16"/>
  <c r="G686" i="16"/>
  <c r="M685" i="16"/>
  <c r="L685" i="16"/>
  <c r="K685" i="16"/>
  <c r="J685" i="16"/>
  <c r="I685" i="16"/>
  <c r="H685" i="16"/>
  <c r="G685" i="16"/>
  <c r="M684" i="16"/>
  <c r="L684" i="16"/>
  <c r="K684" i="16"/>
  <c r="J684" i="16"/>
  <c r="I684" i="16"/>
  <c r="H684" i="16"/>
  <c r="G684" i="16"/>
  <c r="M683" i="16"/>
  <c r="L683" i="16"/>
  <c r="K683" i="16"/>
  <c r="J683" i="16"/>
  <c r="I683" i="16"/>
  <c r="H683" i="16"/>
  <c r="G683" i="16"/>
  <c r="M682" i="16"/>
  <c r="L682" i="16"/>
  <c r="K682" i="16"/>
  <c r="J682" i="16"/>
  <c r="I682" i="16"/>
  <c r="H682" i="16"/>
  <c r="G682" i="16"/>
  <c r="M681" i="16"/>
  <c r="L681" i="16"/>
  <c r="K681" i="16"/>
  <c r="J681" i="16"/>
  <c r="I681" i="16"/>
  <c r="H681" i="16"/>
  <c r="G681" i="16"/>
  <c r="M680" i="16"/>
  <c r="L680" i="16"/>
  <c r="K680" i="16"/>
  <c r="J680" i="16"/>
  <c r="I680" i="16"/>
  <c r="H680" i="16"/>
  <c r="G680" i="16"/>
  <c r="M679" i="16"/>
  <c r="L679" i="16"/>
  <c r="K679" i="16"/>
  <c r="J679" i="16"/>
  <c r="I679" i="16"/>
  <c r="H679" i="16"/>
  <c r="G679" i="16"/>
  <c r="M678" i="16"/>
  <c r="L678" i="16"/>
  <c r="K678" i="16"/>
  <c r="J678" i="16"/>
  <c r="I678" i="16"/>
  <c r="H678" i="16"/>
  <c r="G678" i="16"/>
  <c r="M677" i="16"/>
  <c r="L677" i="16"/>
  <c r="K677" i="16"/>
  <c r="J677" i="16"/>
  <c r="I677" i="16"/>
  <c r="H677" i="16"/>
  <c r="G677" i="16"/>
  <c r="M676" i="16"/>
  <c r="L676" i="16"/>
  <c r="K676" i="16"/>
  <c r="J676" i="16"/>
  <c r="I676" i="16"/>
  <c r="H676" i="16"/>
  <c r="G676" i="16"/>
  <c r="M675" i="16"/>
  <c r="L675" i="16"/>
  <c r="K675" i="16"/>
  <c r="J675" i="16"/>
  <c r="I675" i="16"/>
  <c r="H675" i="16"/>
  <c r="G675" i="16"/>
  <c r="M674" i="16"/>
  <c r="L674" i="16"/>
  <c r="K674" i="16"/>
  <c r="J674" i="16"/>
  <c r="I674" i="16"/>
  <c r="H674" i="16"/>
  <c r="G674" i="16"/>
  <c r="M673" i="16"/>
  <c r="L673" i="16"/>
  <c r="K673" i="16"/>
  <c r="J673" i="16"/>
  <c r="I673" i="16"/>
  <c r="H673" i="16"/>
  <c r="G673" i="16"/>
  <c r="M672" i="16"/>
  <c r="L672" i="16"/>
  <c r="K672" i="16"/>
  <c r="J672" i="16"/>
  <c r="I672" i="16"/>
  <c r="H672" i="16"/>
  <c r="G672" i="16"/>
  <c r="M671" i="16"/>
  <c r="L671" i="16"/>
  <c r="K671" i="16"/>
  <c r="J671" i="16"/>
  <c r="I671" i="16"/>
  <c r="H671" i="16"/>
  <c r="G671" i="16"/>
  <c r="M670" i="16"/>
  <c r="L670" i="16"/>
  <c r="K670" i="16"/>
  <c r="J670" i="16"/>
  <c r="I670" i="16"/>
  <c r="H670" i="16"/>
  <c r="G670" i="16"/>
  <c r="M669" i="16"/>
  <c r="L669" i="16"/>
  <c r="K669" i="16"/>
  <c r="J669" i="16"/>
  <c r="I669" i="16"/>
  <c r="H669" i="16"/>
  <c r="G669" i="16"/>
  <c r="M668" i="16"/>
  <c r="L668" i="16"/>
  <c r="K668" i="16"/>
  <c r="J668" i="16"/>
  <c r="I668" i="16"/>
  <c r="H668" i="16"/>
  <c r="G668" i="16"/>
  <c r="M667" i="16"/>
  <c r="L667" i="16"/>
  <c r="K667" i="16"/>
  <c r="J667" i="16"/>
  <c r="I667" i="16"/>
  <c r="H667" i="16"/>
  <c r="G667" i="16"/>
  <c r="M666" i="16"/>
  <c r="L666" i="16"/>
  <c r="K666" i="16"/>
  <c r="J666" i="16"/>
  <c r="I666" i="16"/>
  <c r="H666" i="16"/>
  <c r="G666" i="16"/>
  <c r="M665" i="16"/>
  <c r="L665" i="16"/>
  <c r="K665" i="16"/>
  <c r="J665" i="16"/>
  <c r="I665" i="16"/>
  <c r="H665" i="16"/>
  <c r="G665" i="16"/>
  <c r="M664" i="16"/>
  <c r="L664" i="16"/>
  <c r="K664" i="16"/>
  <c r="J664" i="16"/>
  <c r="I664" i="16"/>
  <c r="H664" i="16"/>
  <c r="G664" i="16"/>
  <c r="M663" i="16"/>
  <c r="L663" i="16"/>
  <c r="K663" i="16"/>
  <c r="J663" i="16"/>
  <c r="I663" i="16"/>
  <c r="H663" i="16"/>
  <c r="G663" i="16"/>
  <c r="M662" i="16"/>
  <c r="L662" i="16"/>
  <c r="K662" i="16"/>
  <c r="J662" i="16"/>
  <c r="I662" i="16"/>
  <c r="H662" i="16"/>
  <c r="G662" i="16"/>
  <c r="M661" i="16"/>
  <c r="L661" i="16"/>
  <c r="K661" i="16"/>
  <c r="J661" i="16"/>
  <c r="I661" i="16"/>
  <c r="H661" i="16"/>
  <c r="G661" i="16"/>
  <c r="M660" i="16"/>
  <c r="L660" i="16"/>
  <c r="K660" i="16"/>
  <c r="J660" i="16"/>
  <c r="I660" i="16"/>
  <c r="H660" i="16"/>
  <c r="G660" i="16"/>
  <c r="M659" i="16"/>
  <c r="L659" i="16"/>
  <c r="K659" i="16"/>
  <c r="J659" i="16"/>
  <c r="I659" i="16"/>
  <c r="H659" i="16"/>
  <c r="G659" i="16"/>
  <c r="M658" i="16"/>
  <c r="L658" i="16"/>
  <c r="K658" i="16"/>
  <c r="J658" i="16"/>
  <c r="I658" i="16"/>
  <c r="H658" i="16"/>
  <c r="G658" i="16"/>
  <c r="M657" i="16"/>
  <c r="L657" i="16"/>
  <c r="K657" i="16"/>
  <c r="J657" i="16"/>
  <c r="I657" i="16"/>
  <c r="H657" i="16"/>
  <c r="G657" i="16"/>
  <c r="M656" i="16"/>
  <c r="L656" i="16"/>
  <c r="K656" i="16"/>
  <c r="J656" i="16"/>
  <c r="I656" i="16"/>
  <c r="H656" i="16"/>
  <c r="G656" i="16"/>
  <c r="M655" i="16"/>
  <c r="L655" i="16"/>
  <c r="K655" i="16"/>
  <c r="J655" i="16"/>
  <c r="I655" i="16"/>
  <c r="H655" i="16"/>
  <c r="G655" i="16"/>
  <c r="M654" i="16"/>
  <c r="L654" i="16"/>
  <c r="K654" i="16"/>
  <c r="J654" i="16"/>
  <c r="I654" i="16"/>
  <c r="H654" i="16"/>
  <c r="G654" i="16"/>
  <c r="M653" i="16"/>
  <c r="L653" i="16"/>
  <c r="K653" i="16"/>
  <c r="J653" i="16"/>
  <c r="I653" i="16"/>
  <c r="H653" i="16"/>
  <c r="G653" i="16"/>
  <c r="M652" i="16"/>
  <c r="L652" i="16"/>
  <c r="K652" i="16"/>
  <c r="J652" i="16"/>
  <c r="I652" i="16"/>
  <c r="H652" i="16"/>
  <c r="G652" i="16"/>
  <c r="M651" i="16"/>
  <c r="L651" i="16"/>
  <c r="K651" i="16"/>
  <c r="J651" i="16"/>
  <c r="I651" i="16"/>
  <c r="H651" i="16"/>
  <c r="G651" i="16"/>
  <c r="M650" i="16"/>
  <c r="L650" i="16"/>
  <c r="K650" i="16"/>
  <c r="J650" i="16"/>
  <c r="I650" i="16"/>
  <c r="H650" i="16"/>
  <c r="G650" i="16"/>
  <c r="M649" i="16"/>
  <c r="L649" i="16"/>
  <c r="K649" i="16"/>
  <c r="J649" i="16"/>
  <c r="I649" i="16"/>
  <c r="H649" i="16"/>
  <c r="G649" i="16"/>
  <c r="M648" i="16"/>
  <c r="L648" i="16"/>
  <c r="K648" i="16"/>
  <c r="J648" i="16"/>
  <c r="I648" i="16"/>
  <c r="H648" i="16"/>
  <c r="G648" i="16"/>
  <c r="M647" i="16"/>
  <c r="L647" i="16"/>
  <c r="K647" i="16"/>
  <c r="J647" i="16"/>
  <c r="I647" i="16"/>
  <c r="H647" i="16"/>
  <c r="G647" i="16"/>
  <c r="M646" i="16"/>
  <c r="L646" i="16"/>
  <c r="K646" i="16"/>
  <c r="J646" i="16"/>
  <c r="I646" i="16"/>
  <c r="H646" i="16"/>
  <c r="G646" i="16"/>
  <c r="M645" i="16"/>
  <c r="L645" i="16"/>
  <c r="K645" i="16"/>
  <c r="J645" i="16"/>
  <c r="I645" i="16"/>
  <c r="H645" i="16"/>
  <c r="G645" i="16"/>
  <c r="M644" i="16"/>
  <c r="L644" i="16"/>
  <c r="K644" i="16"/>
  <c r="J644" i="16"/>
  <c r="I644" i="16"/>
  <c r="H644" i="16"/>
  <c r="G644" i="16"/>
  <c r="M643" i="16"/>
  <c r="L643" i="16"/>
  <c r="K643" i="16"/>
  <c r="J643" i="16"/>
  <c r="I643" i="16"/>
  <c r="H643" i="16"/>
  <c r="G643" i="16"/>
  <c r="M642" i="16"/>
  <c r="L642" i="16"/>
  <c r="K642" i="16"/>
  <c r="J642" i="16"/>
  <c r="I642" i="16"/>
  <c r="H642" i="16"/>
  <c r="G642" i="16"/>
  <c r="M641" i="16"/>
  <c r="L641" i="16"/>
  <c r="K641" i="16"/>
  <c r="J641" i="16"/>
  <c r="I641" i="16"/>
  <c r="H641" i="16"/>
  <c r="G641" i="16"/>
  <c r="M640" i="16"/>
  <c r="L640" i="16"/>
  <c r="K640" i="16"/>
  <c r="J640" i="16"/>
  <c r="I640" i="16"/>
  <c r="H640" i="16"/>
  <c r="G640" i="16"/>
  <c r="M639" i="16"/>
  <c r="L639" i="16"/>
  <c r="K639" i="16"/>
  <c r="J639" i="16"/>
  <c r="I639" i="16"/>
  <c r="H639" i="16"/>
  <c r="G639" i="16"/>
  <c r="M638" i="16"/>
  <c r="L638" i="16"/>
  <c r="K638" i="16"/>
  <c r="J638" i="16"/>
  <c r="I638" i="16"/>
  <c r="H638" i="16"/>
  <c r="G638" i="16"/>
  <c r="M637" i="16"/>
  <c r="L637" i="16"/>
  <c r="K637" i="16"/>
  <c r="J637" i="16"/>
  <c r="I637" i="16"/>
  <c r="H637" i="16"/>
  <c r="G637" i="16"/>
  <c r="M636" i="16"/>
  <c r="L636" i="16"/>
  <c r="K636" i="16"/>
  <c r="J636" i="16"/>
  <c r="I636" i="16"/>
  <c r="H636" i="16"/>
  <c r="G636" i="16"/>
  <c r="M635" i="16"/>
  <c r="L635" i="16"/>
  <c r="K635" i="16"/>
  <c r="J635" i="16"/>
  <c r="I635" i="16"/>
  <c r="H635" i="16"/>
  <c r="G635" i="16"/>
  <c r="M634" i="16"/>
  <c r="L634" i="16"/>
  <c r="K634" i="16"/>
  <c r="J634" i="16"/>
  <c r="I634" i="16"/>
  <c r="H634" i="16"/>
  <c r="G634" i="16"/>
  <c r="M633" i="16"/>
  <c r="L633" i="16"/>
  <c r="K633" i="16"/>
  <c r="J633" i="16"/>
  <c r="I633" i="16"/>
  <c r="H633" i="16"/>
  <c r="G633" i="16"/>
  <c r="M632" i="16"/>
  <c r="L632" i="16"/>
  <c r="K632" i="16"/>
  <c r="J632" i="16"/>
  <c r="I632" i="16"/>
  <c r="H632" i="16"/>
  <c r="G632" i="16"/>
  <c r="M631" i="16"/>
  <c r="L631" i="16"/>
  <c r="K631" i="16"/>
  <c r="J631" i="16"/>
  <c r="I631" i="16"/>
  <c r="H631" i="16"/>
  <c r="G631" i="16"/>
  <c r="M630" i="16"/>
  <c r="L630" i="16"/>
  <c r="K630" i="16"/>
  <c r="J630" i="16"/>
  <c r="I630" i="16"/>
  <c r="H630" i="16"/>
  <c r="G630" i="16"/>
  <c r="M629" i="16"/>
  <c r="L629" i="16"/>
  <c r="K629" i="16"/>
  <c r="J629" i="16"/>
  <c r="I629" i="16"/>
  <c r="H629" i="16"/>
  <c r="G629" i="16"/>
  <c r="M628" i="16"/>
  <c r="L628" i="16"/>
  <c r="K628" i="16"/>
  <c r="J628" i="16"/>
  <c r="I628" i="16"/>
  <c r="H628" i="16"/>
  <c r="G628" i="16"/>
  <c r="M627" i="16"/>
  <c r="L627" i="16"/>
  <c r="K627" i="16"/>
  <c r="J627" i="16"/>
  <c r="I627" i="16"/>
  <c r="H627" i="16"/>
  <c r="G627" i="16"/>
  <c r="M626" i="16"/>
  <c r="L626" i="16"/>
  <c r="K626" i="16"/>
  <c r="J626" i="16"/>
  <c r="I626" i="16"/>
  <c r="H626" i="16"/>
  <c r="G626" i="16"/>
  <c r="M625" i="16"/>
  <c r="L625" i="16"/>
  <c r="K625" i="16"/>
  <c r="J625" i="16"/>
  <c r="I625" i="16"/>
  <c r="H625" i="16"/>
  <c r="G625" i="16"/>
  <c r="M624" i="16"/>
  <c r="L624" i="16"/>
  <c r="K624" i="16"/>
  <c r="J624" i="16"/>
  <c r="I624" i="16"/>
  <c r="H624" i="16"/>
  <c r="G624" i="16"/>
  <c r="M623" i="16"/>
  <c r="L623" i="16"/>
  <c r="K623" i="16"/>
  <c r="J623" i="16"/>
  <c r="I623" i="16"/>
  <c r="H623" i="16"/>
  <c r="G623" i="16"/>
  <c r="M622" i="16"/>
  <c r="L622" i="16"/>
  <c r="K622" i="16"/>
  <c r="J622" i="16"/>
  <c r="I622" i="16"/>
  <c r="H622" i="16"/>
  <c r="G622" i="16"/>
  <c r="M621" i="16"/>
  <c r="L621" i="16"/>
  <c r="K621" i="16"/>
  <c r="J621" i="16"/>
  <c r="I621" i="16"/>
  <c r="H621" i="16"/>
  <c r="G621" i="16"/>
  <c r="M620" i="16"/>
  <c r="L620" i="16"/>
  <c r="K620" i="16"/>
  <c r="J620" i="16"/>
  <c r="I620" i="16"/>
  <c r="H620" i="16"/>
  <c r="G620" i="16"/>
  <c r="M619" i="16"/>
  <c r="L619" i="16"/>
  <c r="K619" i="16"/>
  <c r="J619" i="16"/>
  <c r="I619" i="16"/>
  <c r="H619" i="16"/>
  <c r="G619" i="16"/>
  <c r="M618" i="16"/>
  <c r="L618" i="16"/>
  <c r="K618" i="16"/>
  <c r="J618" i="16"/>
  <c r="I618" i="16"/>
  <c r="H618" i="16"/>
  <c r="G618" i="16"/>
  <c r="M617" i="16"/>
  <c r="L617" i="16"/>
  <c r="K617" i="16"/>
  <c r="J617" i="16"/>
  <c r="I617" i="16"/>
  <c r="H617" i="16"/>
  <c r="G617" i="16"/>
  <c r="M616" i="16"/>
  <c r="L616" i="16"/>
  <c r="K616" i="16"/>
  <c r="J616" i="16"/>
  <c r="I616" i="16"/>
  <c r="H616" i="16"/>
  <c r="G616" i="16"/>
  <c r="M615" i="16"/>
  <c r="L615" i="16"/>
  <c r="K615" i="16"/>
  <c r="J615" i="16"/>
  <c r="I615" i="16"/>
  <c r="H615" i="16"/>
  <c r="G615" i="16"/>
  <c r="M614" i="16"/>
  <c r="L614" i="16"/>
  <c r="K614" i="16"/>
  <c r="J614" i="16"/>
  <c r="I614" i="16"/>
  <c r="H614" i="16"/>
  <c r="G614" i="16"/>
  <c r="M613" i="16"/>
  <c r="L613" i="16"/>
  <c r="K613" i="16"/>
  <c r="J613" i="16"/>
  <c r="I613" i="16"/>
  <c r="H613" i="16"/>
  <c r="G613" i="16"/>
  <c r="M612" i="16"/>
  <c r="L612" i="16"/>
  <c r="K612" i="16"/>
  <c r="J612" i="16"/>
  <c r="I612" i="16"/>
  <c r="H612" i="16"/>
  <c r="G612" i="16"/>
  <c r="M611" i="16"/>
  <c r="L611" i="16"/>
  <c r="K611" i="16"/>
  <c r="J611" i="16"/>
  <c r="I611" i="16"/>
  <c r="H611" i="16"/>
  <c r="G611" i="16"/>
  <c r="M610" i="16"/>
  <c r="L610" i="16"/>
  <c r="K610" i="16"/>
  <c r="J610" i="16"/>
  <c r="I610" i="16"/>
  <c r="H610" i="16"/>
  <c r="G610" i="16"/>
  <c r="M609" i="16"/>
  <c r="L609" i="16"/>
  <c r="K609" i="16"/>
  <c r="J609" i="16"/>
  <c r="I609" i="16"/>
  <c r="H609" i="16"/>
  <c r="G609" i="16"/>
  <c r="M608" i="16"/>
  <c r="L608" i="16"/>
  <c r="K608" i="16"/>
  <c r="J608" i="16"/>
  <c r="I608" i="16"/>
  <c r="H608" i="16"/>
  <c r="G608" i="16"/>
  <c r="M607" i="16"/>
  <c r="L607" i="16"/>
  <c r="K607" i="16"/>
  <c r="J607" i="16"/>
  <c r="I607" i="16"/>
  <c r="H607" i="16"/>
  <c r="G607" i="16"/>
  <c r="M606" i="16"/>
  <c r="L606" i="16"/>
  <c r="K606" i="16"/>
  <c r="J606" i="16"/>
  <c r="I606" i="16"/>
  <c r="H606" i="16"/>
  <c r="G606" i="16"/>
  <c r="M605" i="16"/>
  <c r="L605" i="16"/>
  <c r="K605" i="16"/>
  <c r="J605" i="16"/>
  <c r="I605" i="16"/>
  <c r="H605" i="16"/>
  <c r="G605" i="16"/>
  <c r="M604" i="16"/>
  <c r="L604" i="16"/>
  <c r="K604" i="16"/>
  <c r="J604" i="16"/>
  <c r="I604" i="16"/>
  <c r="H604" i="16"/>
  <c r="G604" i="16"/>
  <c r="M603" i="16"/>
  <c r="L603" i="16"/>
  <c r="K603" i="16"/>
  <c r="J603" i="16"/>
  <c r="I603" i="16"/>
  <c r="H603" i="16"/>
  <c r="G603" i="16"/>
  <c r="M602" i="16"/>
  <c r="L602" i="16"/>
  <c r="K602" i="16"/>
  <c r="J602" i="16"/>
  <c r="I602" i="16"/>
  <c r="H602" i="16"/>
  <c r="G602" i="16"/>
  <c r="M601" i="16"/>
  <c r="L601" i="16"/>
  <c r="K601" i="16"/>
  <c r="J601" i="16"/>
  <c r="I601" i="16"/>
  <c r="H601" i="16"/>
  <c r="G601" i="16"/>
  <c r="M600" i="16"/>
  <c r="L600" i="16"/>
  <c r="K600" i="16"/>
  <c r="J600" i="16"/>
  <c r="I600" i="16"/>
  <c r="H600" i="16"/>
  <c r="G600" i="16"/>
  <c r="M599" i="16"/>
  <c r="L599" i="16"/>
  <c r="K599" i="16"/>
  <c r="J599" i="16"/>
  <c r="I599" i="16"/>
  <c r="H599" i="16"/>
  <c r="G599" i="16"/>
  <c r="M598" i="16"/>
  <c r="L598" i="16"/>
  <c r="K598" i="16"/>
  <c r="J598" i="16"/>
  <c r="I598" i="16"/>
  <c r="H598" i="16"/>
  <c r="G598" i="16"/>
  <c r="M597" i="16"/>
  <c r="L597" i="16"/>
  <c r="K597" i="16"/>
  <c r="J597" i="16"/>
  <c r="I597" i="16"/>
  <c r="H597" i="16"/>
  <c r="G597" i="16"/>
  <c r="M596" i="16"/>
  <c r="L596" i="16"/>
  <c r="K596" i="16"/>
  <c r="J596" i="16"/>
  <c r="I596" i="16"/>
  <c r="H596" i="16"/>
  <c r="G596" i="16"/>
  <c r="M595" i="16"/>
  <c r="L595" i="16"/>
  <c r="K595" i="16"/>
  <c r="J595" i="16"/>
  <c r="I595" i="16"/>
  <c r="H595" i="16"/>
  <c r="G595" i="16"/>
  <c r="M594" i="16"/>
  <c r="L594" i="16"/>
  <c r="K594" i="16"/>
  <c r="J594" i="16"/>
  <c r="I594" i="16"/>
  <c r="H594" i="16"/>
  <c r="G594" i="16"/>
  <c r="M593" i="16"/>
  <c r="L593" i="16"/>
  <c r="K593" i="16"/>
  <c r="J593" i="16"/>
  <c r="I593" i="16"/>
  <c r="H593" i="16"/>
  <c r="G593" i="16"/>
  <c r="M592" i="16"/>
  <c r="L592" i="16"/>
  <c r="K592" i="16"/>
  <c r="J592" i="16"/>
  <c r="I592" i="16"/>
  <c r="H592" i="16"/>
  <c r="G592" i="16"/>
  <c r="M591" i="16"/>
  <c r="L591" i="16"/>
  <c r="K591" i="16"/>
  <c r="J591" i="16"/>
  <c r="I591" i="16"/>
  <c r="H591" i="16"/>
  <c r="G591" i="16"/>
  <c r="M590" i="16"/>
  <c r="L590" i="16"/>
  <c r="K590" i="16"/>
  <c r="J590" i="16"/>
  <c r="I590" i="16"/>
  <c r="H590" i="16"/>
  <c r="G590" i="16"/>
  <c r="M589" i="16"/>
  <c r="L589" i="16"/>
  <c r="K589" i="16"/>
  <c r="J589" i="16"/>
  <c r="I589" i="16"/>
  <c r="H589" i="16"/>
  <c r="G589" i="16"/>
  <c r="M588" i="16"/>
  <c r="L588" i="16"/>
  <c r="K588" i="16"/>
  <c r="J588" i="16"/>
  <c r="I588" i="16"/>
  <c r="H588" i="16"/>
  <c r="G588" i="16"/>
  <c r="M587" i="16"/>
  <c r="L587" i="16"/>
  <c r="K587" i="16"/>
  <c r="J587" i="16"/>
  <c r="I587" i="16"/>
  <c r="H587" i="16"/>
  <c r="G587" i="16"/>
  <c r="M586" i="16"/>
  <c r="L586" i="16"/>
  <c r="K586" i="16"/>
  <c r="J586" i="16"/>
  <c r="I586" i="16"/>
  <c r="H586" i="16"/>
  <c r="G586" i="16"/>
  <c r="M585" i="16"/>
  <c r="L585" i="16"/>
  <c r="K585" i="16"/>
  <c r="J585" i="16"/>
  <c r="I585" i="16"/>
  <c r="H585" i="16"/>
  <c r="G585" i="16"/>
  <c r="M584" i="16"/>
  <c r="L584" i="16"/>
  <c r="K584" i="16"/>
  <c r="J584" i="16"/>
  <c r="I584" i="16"/>
  <c r="H584" i="16"/>
  <c r="G584" i="16"/>
  <c r="M583" i="16"/>
  <c r="L583" i="16"/>
  <c r="K583" i="16"/>
  <c r="J583" i="16"/>
  <c r="I583" i="16"/>
  <c r="H583" i="16"/>
  <c r="G583" i="16"/>
  <c r="M582" i="16"/>
  <c r="L582" i="16"/>
  <c r="K582" i="16"/>
  <c r="J582" i="16"/>
  <c r="I582" i="16"/>
  <c r="H582" i="16"/>
  <c r="G582" i="16"/>
  <c r="M581" i="16"/>
  <c r="L581" i="16"/>
  <c r="K581" i="16"/>
  <c r="J581" i="16"/>
  <c r="I581" i="16"/>
  <c r="H581" i="16"/>
  <c r="G581" i="16"/>
  <c r="M580" i="16"/>
  <c r="L580" i="16"/>
  <c r="K580" i="16"/>
  <c r="J580" i="16"/>
  <c r="I580" i="16"/>
  <c r="H580" i="16"/>
  <c r="G580" i="16"/>
  <c r="M579" i="16"/>
  <c r="L579" i="16"/>
  <c r="K579" i="16"/>
  <c r="J579" i="16"/>
  <c r="I579" i="16"/>
  <c r="H579" i="16"/>
  <c r="G579" i="16"/>
  <c r="M578" i="16"/>
  <c r="L578" i="16"/>
  <c r="K578" i="16"/>
  <c r="J578" i="16"/>
  <c r="I578" i="16"/>
  <c r="H578" i="16"/>
  <c r="G578" i="16"/>
  <c r="M577" i="16"/>
  <c r="L577" i="16"/>
  <c r="K577" i="16"/>
  <c r="J577" i="16"/>
  <c r="I577" i="16"/>
  <c r="H577" i="16"/>
  <c r="G577" i="16"/>
  <c r="M576" i="16"/>
  <c r="L576" i="16"/>
  <c r="K576" i="16"/>
  <c r="J576" i="16"/>
  <c r="I576" i="16"/>
  <c r="H576" i="16"/>
  <c r="G576" i="16"/>
  <c r="M575" i="16"/>
  <c r="L575" i="16"/>
  <c r="K575" i="16"/>
  <c r="J575" i="16"/>
  <c r="I575" i="16"/>
  <c r="H575" i="16"/>
  <c r="G575" i="16"/>
  <c r="M574" i="16"/>
  <c r="L574" i="16"/>
  <c r="K574" i="16"/>
  <c r="J574" i="16"/>
  <c r="I574" i="16"/>
  <c r="H574" i="16"/>
  <c r="G574" i="16"/>
  <c r="M573" i="16"/>
  <c r="L573" i="16"/>
  <c r="K573" i="16"/>
  <c r="J573" i="16"/>
  <c r="I573" i="16"/>
  <c r="H573" i="16"/>
  <c r="G573" i="16"/>
  <c r="M572" i="16"/>
  <c r="L572" i="16"/>
  <c r="K572" i="16"/>
  <c r="J572" i="16"/>
  <c r="I572" i="16"/>
  <c r="H572" i="16"/>
  <c r="G572" i="16"/>
  <c r="M571" i="16"/>
  <c r="L571" i="16"/>
  <c r="K571" i="16"/>
  <c r="J571" i="16"/>
  <c r="I571" i="16"/>
  <c r="H571" i="16"/>
  <c r="G571" i="16"/>
  <c r="M570" i="16"/>
  <c r="L570" i="16"/>
  <c r="K570" i="16"/>
  <c r="J570" i="16"/>
  <c r="I570" i="16"/>
  <c r="H570" i="16"/>
  <c r="G570" i="16"/>
  <c r="M569" i="16"/>
  <c r="L569" i="16"/>
  <c r="K569" i="16"/>
  <c r="J569" i="16"/>
  <c r="I569" i="16"/>
  <c r="H569" i="16"/>
  <c r="G569" i="16"/>
  <c r="M568" i="16"/>
  <c r="L568" i="16"/>
  <c r="K568" i="16"/>
  <c r="J568" i="16"/>
  <c r="I568" i="16"/>
  <c r="H568" i="16"/>
  <c r="G568" i="16"/>
  <c r="M567" i="16"/>
  <c r="L567" i="16"/>
  <c r="K567" i="16"/>
  <c r="J567" i="16"/>
  <c r="I567" i="16"/>
  <c r="H567" i="16"/>
  <c r="G567" i="16"/>
  <c r="M566" i="16"/>
  <c r="L566" i="16"/>
  <c r="K566" i="16"/>
  <c r="J566" i="16"/>
  <c r="I566" i="16"/>
  <c r="H566" i="16"/>
  <c r="G566" i="16"/>
  <c r="M565" i="16"/>
  <c r="L565" i="16"/>
  <c r="K565" i="16"/>
  <c r="J565" i="16"/>
  <c r="I565" i="16"/>
  <c r="H565" i="16"/>
  <c r="G565" i="16"/>
  <c r="M564" i="16"/>
  <c r="L564" i="16"/>
  <c r="K564" i="16"/>
  <c r="J564" i="16"/>
  <c r="I564" i="16"/>
  <c r="H564" i="16"/>
  <c r="G564" i="16"/>
  <c r="M563" i="16"/>
  <c r="L563" i="16"/>
  <c r="K563" i="16"/>
  <c r="J563" i="16"/>
  <c r="I563" i="16"/>
  <c r="H563" i="16"/>
  <c r="G563" i="16"/>
  <c r="M562" i="16"/>
  <c r="L562" i="16"/>
  <c r="K562" i="16"/>
  <c r="J562" i="16"/>
  <c r="I562" i="16"/>
  <c r="H562" i="16"/>
  <c r="G562" i="16"/>
  <c r="M561" i="16"/>
  <c r="L561" i="16"/>
  <c r="K561" i="16"/>
  <c r="J561" i="16"/>
  <c r="I561" i="16"/>
  <c r="H561" i="16"/>
  <c r="G561" i="16"/>
  <c r="M560" i="16"/>
  <c r="L560" i="16"/>
  <c r="K560" i="16"/>
  <c r="J560" i="16"/>
  <c r="I560" i="16"/>
  <c r="H560" i="16"/>
  <c r="G560" i="16"/>
  <c r="M559" i="16"/>
  <c r="L559" i="16"/>
  <c r="K559" i="16"/>
  <c r="J559" i="16"/>
  <c r="I559" i="16"/>
  <c r="H559" i="16"/>
  <c r="G559" i="16"/>
  <c r="M558" i="16"/>
  <c r="L558" i="16"/>
  <c r="K558" i="16"/>
  <c r="J558" i="16"/>
  <c r="I558" i="16"/>
  <c r="H558" i="16"/>
  <c r="G558" i="16"/>
  <c r="M557" i="16"/>
  <c r="L557" i="16"/>
  <c r="K557" i="16"/>
  <c r="J557" i="16"/>
  <c r="I557" i="16"/>
  <c r="H557" i="16"/>
  <c r="G557" i="16"/>
  <c r="M556" i="16"/>
  <c r="L556" i="16"/>
  <c r="K556" i="16"/>
  <c r="J556" i="16"/>
  <c r="I556" i="16"/>
  <c r="H556" i="16"/>
  <c r="G556" i="16"/>
  <c r="M555" i="16"/>
  <c r="L555" i="16"/>
  <c r="K555" i="16"/>
  <c r="J555" i="16"/>
  <c r="I555" i="16"/>
  <c r="H555" i="16"/>
  <c r="G555" i="16"/>
  <c r="M554" i="16"/>
  <c r="L554" i="16"/>
  <c r="K554" i="16"/>
  <c r="J554" i="16"/>
  <c r="I554" i="16"/>
  <c r="H554" i="16"/>
  <c r="G554" i="16"/>
  <c r="M553" i="16"/>
  <c r="L553" i="16"/>
  <c r="K553" i="16"/>
  <c r="J553" i="16"/>
  <c r="I553" i="16"/>
  <c r="H553" i="16"/>
  <c r="G553" i="16"/>
  <c r="M552" i="16"/>
  <c r="L552" i="16"/>
  <c r="K552" i="16"/>
  <c r="J552" i="16"/>
  <c r="I552" i="16"/>
  <c r="H552" i="16"/>
  <c r="G552" i="16"/>
  <c r="M551" i="16"/>
  <c r="L551" i="16"/>
  <c r="K551" i="16"/>
  <c r="J551" i="16"/>
  <c r="I551" i="16"/>
  <c r="H551" i="16"/>
  <c r="G551" i="16"/>
  <c r="M550" i="16"/>
  <c r="L550" i="16"/>
  <c r="K550" i="16"/>
  <c r="J550" i="16"/>
  <c r="I550" i="16"/>
  <c r="H550" i="16"/>
  <c r="G550" i="16"/>
  <c r="M549" i="16"/>
  <c r="L549" i="16"/>
  <c r="K549" i="16"/>
  <c r="J549" i="16"/>
  <c r="I549" i="16"/>
  <c r="H549" i="16"/>
  <c r="G549" i="16"/>
  <c r="M548" i="16"/>
  <c r="L548" i="16"/>
  <c r="K548" i="16"/>
  <c r="J548" i="16"/>
  <c r="I548" i="16"/>
  <c r="H548" i="16"/>
  <c r="G548" i="16"/>
  <c r="M547" i="16"/>
  <c r="L547" i="16"/>
  <c r="K547" i="16"/>
  <c r="J547" i="16"/>
  <c r="I547" i="16"/>
  <c r="H547" i="16"/>
  <c r="G547" i="16"/>
  <c r="M546" i="16"/>
  <c r="L546" i="16"/>
  <c r="K546" i="16"/>
  <c r="J546" i="16"/>
  <c r="I546" i="16"/>
  <c r="H546" i="16"/>
  <c r="G546" i="16"/>
  <c r="M545" i="16"/>
  <c r="L545" i="16"/>
  <c r="K545" i="16"/>
  <c r="J545" i="16"/>
  <c r="I545" i="16"/>
  <c r="H545" i="16"/>
  <c r="G545" i="16"/>
  <c r="M544" i="16"/>
  <c r="L544" i="16"/>
  <c r="K544" i="16"/>
  <c r="J544" i="16"/>
  <c r="I544" i="16"/>
  <c r="H544" i="16"/>
  <c r="G544" i="16"/>
  <c r="M543" i="16"/>
  <c r="L543" i="16"/>
  <c r="K543" i="16"/>
  <c r="J543" i="16"/>
  <c r="I543" i="16"/>
  <c r="H543" i="16"/>
  <c r="G543" i="16"/>
  <c r="M542" i="16"/>
  <c r="L542" i="16"/>
  <c r="K542" i="16"/>
  <c r="J542" i="16"/>
  <c r="I542" i="16"/>
  <c r="H542" i="16"/>
  <c r="G542" i="16"/>
  <c r="M541" i="16"/>
  <c r="L541" i="16"/>
  <c r="K541" i="16"/>
  <c r="J541" i="16"/>
  <c r="I541" i="16"/>
  <c r="H541" i="16"/>
  <c r="G541" i="16"/>
  <c r="M540" i="16"/>
  <c r="L540" i="16"/>
  <c r="K540" i="16"/>
  <c r="J540" i="16"/>
  <c r="I540" i="16"/>
  <c r="H540" i="16"/>
  <c r="G540" i="16"/>
  <c r="M539" i="16"/>
  <c r="L539" i="16"/>
  <c r="K539" i="16"/>
  <c r="J539" i="16"/>
  <c r="I539" i="16"/>
  <c r="H539" i="16"/>
  <c r="G539" i="16"/>
  <c r="M538" i="16"/>
  <c r="L538" i="16"/>
  <c r="K538" i="16"/>
  <c r="J538" i="16"/>
  <c r="I538" i="16"/>
  <c r="H538" i="16"/>
  <c r="G538" i="16"/>
  <c r="M537" i="16"/>
  <c r="L537" i="16"/>
  <c r="K537" i="16"/>
  <c r="J537" i="16"/>
  <c r="I537" i="16"/>
  <c r="H537" i="16"/>
  <c r="G537" i="16"/>
  <c r="M536" i="16"/>
  <c r="L536" i="16"/>
  <c r="K536" i="16"/>
  <c r="J536" i="16"/>
  <c r="I536" i="16"/>
  <c r="H536" i="16"/>
  <c r="G536" i="16"/>
  <c r="M535" i="16"/>
  <c r="L535" i="16"/>
  <c r="K535" i="16"/>
  <c r="J535" i="16"/>
  <c r="I535" i="16"/>
  <c r="H535" i="16"/>
  <c r="G535" i="16"/>
  <c r="M534" i="16"/>
  <c r="L534" i="16"/>
  <c r="K534" i="16"/>
  <c r="J534" i="16"/>
  <c r="I534" i="16"/>
  <c r="H534" i="16"/>
  <c r="G534" i="16"/>
  <c r="M533" i="16"/>
  <c r="L533" i="16"/>
  <c r="K533" i="16"/>
  <c r="J533" i="16"/>
  <c r="I533" i="16"/>
  <c r="H533" i="16"/>
  <c r="G533" i="16"/>
  <c r="M532" i="16"/>
  <c r="L532" i="16"/>
  <c r="K532" i="16"/>
  <c r="J532" i="16"/>
  <c r="I532" i="16"/>
  <c r="H532" i="16"/>
  <c r="G532" i="16"/>
  <c r="M531" i="16"/>
  <c r="L531" i="16"/>
  <c r="K531" i="16"/>
  <c r="J531" i="16"/>
  <c r="I531" i="16"/>
  <c r="H531" i="16"/>
  <c r="G531" i="16"/>
  <c r="M530" i="16"/>
  <c r="L530" i="16"/>
  <c r="K530" i="16"/>
  <c r="J530" i="16"/>
  <c r="I530" i="16"/>
  <c r="H530" i="16"/>
  <c r="G530" i="16"/>
  <c r="M529" i="16"/>
  <c r="L529" i="16"/>
  <c r="K529" i="16"/>
  <c r="J529" i="16"/>
  <c r="I529" i="16"/>
  <c r="H529" i="16"/>
  <c r="G529" i="16"/>
  <c r="M528" i="16"/>
  <c r="L528" i="16"/>
  <c r="K528" i="16"/>
  <c r="J528" i="16"/>
  <c r="I528" i="16"/>
  <c r="H528" i="16"/>
  <c r="G528" i="16"/>
  <c r="M527" i="16"/>
  <c r="L527" i="16"/>
  <c r="K527" i="16"/>
  <c r="J527" i="16"/>
  <c r="I527" i="16"/>
  <c r="H527" i="16"/>
  <c r="G527" i="16"/>
  <c r="M526" i="16"/>
  <c r="L526" i="16"/>
  <c r="K526" i="16"/>
  <c r="J526" i="16"/>
  <c r="I526" i="16"/>
  <c r="H526" i="16"/>
  <c r="G526" i="16"/>
  <c r="M525" i="16"/>
  <c r="L525" i="16"/>
  <c r="K525" i="16"/>
  <c r="J525" i="16"/>
  <c r="I525" i="16"/>
  <c r="H525" i="16"/>
  <c r="G525" i="16"/>
  <c r="M524" i="16"/>
  <c r="L524" i="16"/>
  <c r="K524" i="16"/>
  <c r="J524" i="16"/>
  <c r="I524" i="16"/>
  <c r="H524" i="16"/>
  <c r="G524" i="16"/>
  <c r="M523" i="16"/>
  <c r="L523" i="16"/>
  <c r="K523" i="16"/>
  <c r="J523" i="16"/>
  <c r="I523" i="16"/>
  <c r="H523" i="16"/>
  <c r="G523" i="16"/>
  <c r="M522" i="16"/>
  <c r="L522" i="16"/>
  <c r="K522" i="16"/>
  <c r="J522" i="16"/>
  <c r="I522" i="16"/>
  <c r="H522" i="16"/>
  <c r="G522" i="16"/>
  <c r="M521" i="16"/>
  <c r="L521" i="16"/>
  <c r="K521" i="16"/>
  <c r="J521" i="16"/>
  <c r="I521" i="16"/>
  <c r="H521" i="16"/>
  <c r="G521" i="16"/>
  <c r="M520" i="16"/>
  <c r="L520" i="16"/>
  <c r="K520" i="16"/>
  <c r="J520" i="16"/>
  <c r="I520" i="16"/>
  <c r="H520" i="16"/>
  <c r="G520" i="16"/>
  <c r="M519" i="16"/>
  <c r="L519" i="16"/>
  <c r="K519" i="16"/>
  <c r="J519" i="16"/>
  <c r="I519" i="16"/>
  <c r="H519" i="16"/>
  <c r="G519" i="16"/>
  <c r="M518" i="16"/>
  <c r="L518" i="16"/>
  <c r="K518" i="16"/>
  <c r="J518" i="16"/>
  <c r="I518" i="16"/>
  <c r="H518" i="16"/>
  <c r="G518" i="16"/>
  <c r="M517" i="16"/>
  <c r="L517" i="16"/>
  <c r="K517" i="16"/>
  <c r="J517" i="16"/>
  <c r="I517" i="16"/>
  <c r="H517" i="16"/>
  <c r="G517" i="16"/>
  <c r="M516" i="16"/>
  <c r="L516" i="16"/>
  <c r="K516" i="16"/>
  <c r="J516" i="16"/>
  <c r="I516" i="16"/>
  <c r="H516" i="16"/>
  <c r="G516" i="16"/>
  <c r="M515" i="16"/>
  <c r="L515" i="16"/>
  <c r="K515" i="16"/>
  <c r="J515" i="16"/>
  <c r="I515" i="16"/>
  <c r="H515" i="16"/>
  <c r="G515" i="16"/>
  <c r="M514" i="16"/>
  <c r="L514" i="16"/>
  <c r="K514" i="16"/>
  <c r="J514" i="16"/>
  <c r="I514" i="16"/>
  <c r="H514" i="16"/>
  <c r="G514" i="16"/>
  <c r="M513" i="16"/>
  <c r="L513" i="16"/>
  <c r="K513" i="16"/>
  <c r="J513" i="16"/>
  <c r="I513" i="16"/>
  <c r="H513" i="16"/>
  <c r="G513" i="16"/>
  <c r="M512" i="16"/>
  <c r="L512" i="16"/>
  <c r="K512" i="16"/>
  <c r="J512" i="16"/>
  <c r="I512" i="16"/>
  <c r="H512" i="16"/>
  <c r="G512" i="16"/>
  <c r="M511" i="16"/>
  <c r="L511" i="16"/>
  <c r="K511" i="16"/>
  <c r="J511" i="16"/>
  <c r="I511" i="16"/>
  <c r="H511" i="16"/>
  <c r="G511" i="16"/>
  <c r="M510" i="16"/>
  <c r="L510" i="16"/>
  <c r="K510" i="16"/>
  <c r="J510" i="16"/>
  <c r="I510" i="16"/>
  <c r="H510" i="16"/>
  <c r="G510" i="16"/>
  <c r="M509" i="16"/>
  <c r="L509" i="16"/>
  <c r="K509" i="16"/>
  <c r="J509" i="16"/>
  <c r="I509" i="16"/>
  <c r="H509" i="16"/>
  <c r="G509" i="16"/>
  <c r="M508" i="16"/>
  <c r="L508" i="16"/>
  <c r="K508" i="16"/>
  <c r="J508" i="16"/>
  <c r="I508" i="16"/>
  <c r="H508" i="16"/>
  <c r="G508" i="16"/>
  <c r="M507" i="16"/>
  <c r="L507" i="16"/>
  <c r="K507" i="16"/>
  <c r="J507" i="16"/>
  <c r="I507" i="16"/>
  <c r="H507" i="16"/>
  <c r="G507" i="16"/>
  <c r="M506" i="16"/>
  <c r="L506" i="16"/>
  <c r="K506" i="16"/>
  <c r="J506" i="16"/>
  <c r="I506" i="16"/>
  <c r="H506" i="16"/>
  <c r="G506" i="16"/>
  <c r="M505" i="16"/>
  <c r="L505" i="16"/>
  <c r="K505" i="16"/>
  <c r="J505" i="16"/>
  <c r="I505" i="16"/>
  <c r="H505" i="16"/>
  <c r="G505" i="16"/>
  <c r="M504" i="16"/>
  <c r="L504" i="16"/>
  <c r="K504" i="16"/>
  <c r="J504" i="16"/>
  <c r="I504" i="16"/>
  <c r="H504" i="16"/>
  <c r="G504" i="16"/>
  <c r="M503" i="16"/>
  <c r="L503" i="16"/>
  <c r="K503" i="16"/>
  <c r="J503" i="16"/>
  <c r="I503" i="16"/>
  <c r="H503" i="16"/>
  <c r="G503" i="16"/>
  <c r="M502" i="16"/>
  <c r="L502" i="16"/>
  <c r="K502" i="16"/>
  <c r="J502" i="16"/>
  <c r="I502" i="16"/>
  <c r="H502" i="16"/>
  <c r="G502" i="16"/>
  <c r="M501" i="16"/>
  <c r="L501" i="16"/>
  <c r="K501" i="16"/>
  <c r="J501" i="16"/>
  <c r="I501" i="16"/>
  <c r="H501" i="16"/>
  <c r="G501" i="16"/>
  <c r="M500" i="16"/>
  <c r="L500" i="16"/>
  <c r="K500" i="16"/>
  <c r="J500" i="16"/>
  <c r="I500" i="16"/>
  <c r="H500" i="16"/>
  <c r="G500" i="16"/>
  <c r="M499" i="16"/>
  <c r="L499" i="16"/>
  <c r="K499" i="16"/>
  <c r="J499" i="16"/>
  <c r="I499" i="16"/>
  <c r="H499" i="16"/>
  <c r="G499" i="16"/>
  <c r="M498" i="16"/>
  <c r="L498" i="16"/>
  <c r="K498" i="16"/>
  <c r="J498" i="16"/>
  <c r="I498" i="16"/>
  <c r="H498" i="16"/>
  <c r="G498" i="16"/>
  <c r="M497" i="16"/>
  <c r="L497" i="16"/>
  <c r="K497" i="16"/>
  <c r="J497" i="16"/>
  <c r="I497" i="16"/>
  <c r="H497" i="16"/>
  <c r="G497" i="16"/>
  <c r="M496" i="16"/>
  <c r="L496" i="16"/>
  <c r="K496" i="16"/>
  <c r="J496" i="16"/>
  <c r="I496" i="16"/>
  <c r="H496" i="16"/>
  <c r="G496" i="16"/>
  <c r="M495" i="16"/>
  <c r="L495" i="16"/>
  <c r="K495" i="16"/>
  <c r="J495" i="16"/>
  <c r="I495" i="16"/>
  <c r="H495" i="16"/>
  <c r="G495" i="16"/>
  <c r="M494" i="16"/>
  <c r="L494" i="16"/>
  <c r="K494" i="16"/>
  <c r="J494" i="16"/>
  <c r="I494" i="16"/>
  <c r="H494" i="16"/>
  <c r="G494" i="16"/>
  <c r="M493" i="16"/>
  <c r="L493" i="16"/>
  <c r="K493" i="16"/>
  <c r="J493" i="16"/>
  <c r="I493" i="16"/>
  <c r="H493" i="16"/>
  <c r="G493" i="16"/>
  <c r="M492" i="16"/>
  <c r="L492" i="16"/>
  <c r="K492" i="16"/>
  <c r="J492" i="16"/>
  <c r="I492" i="16"/>
  <c r="H492" i="16"/>
  <c r="G492" i="16"/>
  <c r="M491" i="16"/>
  <c r="L491" i="16"/>
  <c r="K491" i="16"/>
  <c r="J491" i="16"/>
  <c r="I491" i="16"/>
  <c r="H491" i="16"/>
  <c r="G491" i="16"/>
  <c r="M490" i="16"/>
  <c r="L490" i="16"/>
  <c r="K490" i="16"/>
  <c r="J490" i="16"/>
  <c r="I490" i="16"/>
  <c r="H490" i="16"/>
  <c r="G490" i="16"/>
  <c r="M489" i="16"/>
  <c r="L489" i="16"/>
  <c r="K489" i="16"/>
  <c r="J489" i="16"/>
  <c r="I489" i="16"/>
  <c r="H489" i="16"/>
  <c r="G489" i="16"/>
  <c r="M488" i="16"/>
  <c r="L488" i="16"/>
  <c r="K488" i="16"/>
  <c r="J488" i="16"/>
  <c r="I488" i="16"/>
  <c r="H488" i="16"/>
  <c r="G488" i="16"/>
  <c r="M487" i="16"/>
  <c r="L487" i="16"/>
  <c r="K487" i="16"/>
  <c r="J487" i="16"/>
  <c r="I487" i="16"/>
  <c r="H487" i="16"/>
  <c r="G487" i="16"/>
  <c r="M486" i="16"/>
  <c r="L486" i="16"/>
  <c r="K486" i="16"/>
  <c r="J486" i="16"/>
  <c r="I486" i="16"/>
  <c r="H486" i="16"/>
  <c r="G486" i="16"/>
  <c r="M485" i="16"/>
  <c r="L485" i="16"/>
  <c r="K485" i="16"/>
  <c r="J485" i="16"/>
  <c r="I485" i="16"/>
  <c r="H485" i="16"/>
  <c r="G485" i="16"/>
  <c r="M484" i="16"/>
  <c r="L484" i="16"/>
  <c r="K484" i="16"/>
  <c r="J484" i="16"/>
  <c r="I484" i="16"/>
  <c r="H484" i="16"/>
  <c r="G484" i="16"/>
  <c r="M483" i="16"/>
  <c r="L483" i="16"/>
  <c r="K483" i="16"/>
  <c r="J483" i="16"/>
  <c r="I483" i="16"/>
  <c r="H483" i="16"/>
  <c r="G483" i="16"/>
  <c r="M482" i="16"/>
  <c r="L482" i="16"/>
  <c r="K482" i="16"/>
  <c r="J482" i="16"/>
  <c r="I482" i="16"/>
  <c r="H482" i="16"/>
  <c r="G482" i="16"/>
  <c r="M481" i="16"/>
  <c r="L481" i="16"/>
  <c r="K481" i="16"/>
  <c r="J481" i="16"/>
  <c r="I481" i="16"/>
  <c r="H481" i="16"/>
  <c r="G481" i="16"/>
  <c r="M480" i="16"/>
  <c r="L480" i="16"/>
  <c r="K480" i="16"/>
  <c r="J480" i="16"/>
  <c r="I480" i="16"/>
  <c r="H480" i="16"/>
  <c r="G480" i="16"/>
  <c r="M479" i="16"/>
  <c r="L479" i="16"/>
  <c r="K479" i="16"/>
  <c r="J479" i="16"/>
  <c r="I479" i="16"/>
  <c r="H479" i="16"/>
  <c r="G479" i="16"/>
  <c r="M478" i="16"/>
  <c r="L478" i="16"/>
  <c r="K478" i="16"/>
  <c r="J478" i="16"/>
  <c r="I478" i="16"/>
  <c r="H478" i="16"/>
  <c r="G478" i="16"/>
  <c r="M477" i="16"/>
  <c r="L477" i="16"/>
  <c r="K477" i="16"/>
  <c r="J477" i="16"/>
  <c r="I477" i="16"/>
  <c r="H477" i="16"/>
  <c r="G477" i="16"/>
  <c r="M476" i="16"/>
  <c r="L476" i="16"/>
  <c r="K476" i="16"/>
  <c r="J476" i="16"/>
  <c r="I476" i="16"/>
  <c r="H476" i="16"/>
  <c r="G476" i="16"/>
  <c r="M475" i="16"/>
  <c r="L475" i="16"/>
  <c r="K475" i="16"/>
  <c r="J475" i="16"/>
  <c r="I475" i="16"/>
  <c r="H475" i="16"/>
  <c r="G475" i="16"/>
  <c r="M474" i="16"/>
  <c r="L474" i="16"/>
  <c r="K474" i="16"/>
  <c r="J474" i="16"/>
  <c r="I474" i="16"/>
  <c r="H474" i="16"/>
  <c r="G474" i="16"/>
  <c r="M473" i="16"/>
  <c r="L473" i="16"/>
  <c r="K473" i="16"/>
  <c r="J473" i="16"/>
  <c r="I473" i="16"/>
  <c r="H473" i="16"/>
  <c r="G473" i="16"/>
  <c r="M472" i="16"/>
  <c r="L472" i="16"/>
  <c r="K472" i="16"/>
  <c r="J472" i="16"/>
  <c r="I472" i="16"/>
  <c r="H472" i="16"/>
  <c r="G472" i="16"/>
  <c r="M471" i="16"/>
  <c r="L471" i="16"/>
  <c r="K471" i="16"/>
  <c r="J471" i="16"/>
  <c r="I471" i="16"/>
  <c r="H471" i="16"/>
  <c r="G471" i="16"/>
  <c r="M470" i="16"/>
  <c r="L470" i="16"/>
  <c r="K470" i="16"/>
  <c r="J470" i="16"/>
  <c r="I470" i="16"/>
  <c r="H470" i="16"/>
  <c r="G470" i="16"/>
  <c r="M469" i="16"/>
  <c r="L469" i="16"/>
  <c r="K469" i="16"/>
  <c r="J469" i="16"/>
  <c r="I469" i="16"/>
  <c r="H469" i="16"/>
  <c r="G469" i="16"/>
  <c r="M468" i="16"/>
  <c r="L468" i="16"/>
  <c r="K468" i="16"/>
  <c r="J468" i="16"/>
  <c r="I468" i="16"/>
  <c r="H468" i="16"/>
  <c r="G468" i="16"/>
  <c r="M467" i="16"/>
  <c r="L467" i="16"/>
  <c r="K467" i="16"/>
  <c r="J467" i="16"/>
  <c r="I467" i="16"/>
  <c r="H467" i="16"/>
  <c r="G467" i="16"/>
  <c r="M466" i="16"/>
  <c r="L466" i="16"/>
  <c r="K466" i="16"/>
  <c r="J466" i="16"/>
  <c r="I466" i="16"/>
  <c r="H466" i="16"/>
  <c r="G466" i="16"/>
  <c r="M465" i="16"/>
  <c r="L465" i="16"/>
  <c r="K465" i="16"/>
  <c r="J465" i="16"/>
  <c r="I465" i="16"/>
  <c r="H465" i="16"/>
  <c r="G465" i="16"/>
  <c r="M464" i="16"/>
  <c r="L464" i="16"/>
  <c r="K464" i="16"/>
  <c r="J464" i="16"/>
  <c r="I464" i="16"/>
  <c r="H464" i="16"/>
  <c r="G464" i="16"/>
  <c r="M463" i="16"/>
  <c r="L463" i="16"/>
  <c r="K463" i="16"/>
  <c r="J463" i="16"/>
  <c r="I463" i="16"/>
  <c r="H463" i="16"/>
  <c r="G463" i="16"/>
  <c r="M462" i="16"/>
  <c r="L462" i="16"/>
  <c r="K462" i="16"/>
  <c r="J462" i="16"/>
  <c r="I462" i="16"/>
  <c r="H462" i="16"/>
  <c r="G462" i="16"/>
  <c r="M461" i="16"/>
  <c r="L461" i="16"/>
  <c r="K461" i="16"/>
  <c r="J461" i="16"/>
  <c r="I461" i="16"/>
  <c r="H461" i="16"/>
  <c r="G461" i="16"/>
  <c r="M460" i="16"/>
  <c r="L460" i="16"/>
  <c r="K460" i="16"/>
  <c r="J460" i="16"/>
  <c r="I460" i="16"/>
  <c r="H460" i="16"/>
  <c r="G460" i="16"/>
  <c r="M459" i="16"/>
  <c r="L459" i="16"/>
  <c r="K459" i="16"/>
  <c r="J459" i="16"/>
  <c r="I459" i="16"/>
  <c r="H459" i="16"/>
  <c r="G459" i="16"/>
  <c r="M458" i="16"/>
  <c r="L458" i="16"/>
  <c r="K458" i="16"/>
  <c r="J458" i="16"/>
  <c r="I458" i="16"/>
  <c r="H458" i="16"/>
  <c r="G458" i="16"/>
  <c r="M457" i="16"/>
  <c r="L457" i="16"/>
  <c r="K457" i="16"/>
  <c r="J457" i="16"/>
  <c r="I457" i="16"/>
  <c r="H457" i="16"/>
  <c r="G457" i="16"/>
  <c r="M456" i="16"/>
  <c r="L456" i="16"/>
  <c r="K456" i="16"/>
  <c r="J456" i="16"/>
  <c r="I456" i="16"/>
  <c r="H456" i="16"/>
  <c r="G456" i="16"/>
  <c r="M455" i="16"/>
  <c r="L455" i="16"/>
  <c r="K455" i="16"/>
  <c r="J455" i="16"/>
  <c r="I455" i="16"/>
  <c r="H455" i="16"/>
  <c r="G455" i="16"/>
  <c r="M454" i="16"/>
  <c r="L454" i="16"/>
  <c r="K454" i="16"/>
  <c r="J454" i="16"/>
  <c r="I454" i="16"/>
  <c r="H454" i="16"/>
  <c r="G454" i="16"/>
  <c r="M453" i="16"/>
  <c r="L453" i="16"/>
  <c r="K453" i="16"/>
  <c r="J453" i="16"/>
  <c r="I453" i="16"/>
  <c r="H453" i="16"/>
  <c r="G453" i="16"/>
  <c r="M452" i="16"/>
  <c r="L452" i="16"/>
  <c r="K452" i="16"/>
  <c r="J452" i="16"/>
  <c r="I452" i="16"/>
  <c r="H452" i="16"/>
  <c r="G452" i="16"/>
  <c r="M451" i="16"/>
  <c r="L451" i="16"/>
  <c r="K451" i="16"/>
  <c r="J451" i="16"/>
  <c r="I451" i="16"/>
  <c r="H451" i="16"/>
  <c r="G451" i="16"/>
  <c r="M450" i="16"/>
  <c r="L450" i="16"/>
  <c r="K450" i="16"/>
  <c r="J450" i="16"/>
  <c r="I450" i="16"/>
  <c r="H450" i="16"/>
  <c r="G450" i="16"/>
  <c r="M449" i="16"/>
  <c r="L449" i="16"/>
  <c r="K449" i="16"/>
  <c r="J449" i="16"/>
  <c r="I449" i="16"/>
  <c r="H449" i="16"/>
  <c r="G449" i="16"/>
  <c r="M448" i="16"/>
  <c r="L448" i="16"/>
  <c r="K448" i="16"/>
  <c r="J448" i="16"/>
  <c r="I448" i="16"/>
  <c r="H448" i="16"/>
  <c r="G448" i="16"/>
  <c r="M447" i="16"/>
  <c r="L447" i="16"/>
  <c r="K447" i="16"/>
  <c r="J447" i="16"/>
  <c r="I447" i="16"/>
  <c r="H447" i="16"/>
  <c r="G447" i="16"/>
  <c r="M446" i="16"/>
  <c r="L446" i="16"/>
  <c r="K446" i="16"/>
  <c r="J446" i="16"/>
  <c r="I446" i="16"/>
  <c r="H446" i="16"/>
  <c r="G446" i="16"/>
  <c r="M445" i="16"/>
  <c r="L445" i="16"/>
  <c r="K445" i="16"/>
  <c r="J445" i="16"/>
  <c r="I445" i="16"/>
  <c r="H445" i="16"/>
  <c r="G445" i="16"/>
  <c r="M444" i="16"/>
  <c r="L444" i="16"/>
  <c r="K444" i="16"/>
  <c r="J444" i="16"/>
  <c r="I444" i="16"/>
  <c r="H444" i="16"/>
  <c r="G444" i="16"/>
  <c r="M443" i="16"/>
  <c r="L443" i="16"/>
  <c r="K443" i="16"/>
  <c r="J443" i="16"/>
  <c r="I443" i="16"/>
  <c r="H443" i="16"/>
  <c r="G443" i="16"/>
  <c r="M442" i="16"/>
  <c r="L442" i="16"/>
  <c r="K442" i="16"/>
  <c r="J442" i="16"/>
  <c r="I442" i="16"/>
  <c r="H442" i="16"/>
  <c r="G442" i="16"/>
  <c r="M441" i="16"/>
  <c r="L441" i="16"/>
  <c r="K441" i="16"/>
  <c r="J441" i="16"/>
  <c r="I441" i="16"/>
  <c r="H441" i="16"/>
  <c r="G441" i="16"/>
  <c r="M440" i="16"/>
  <c r="L440" i="16"/>
  <c r="K440" i="16"/>
  <c r="J440" i="16"/>
  <c r="I440" i="16"/>
  <c r="H440" i="16"/>
  <c r="G440" i="16"/>
  <c r="M439" i="16"/>
  <c r="L439" i="16"/>
  <c r="K439" i="16"/>
  <c r="J439" i="16"/>
  <c r="I439" i="16"/>
  <c r="H439" i="16"/>
  <c r="G439" i="16"/>
  <c r="M438" i="16"/>
  <c r="L438" i="16"/>
  <c r="K438" i="16"/>
  <c r="J438" i="16"/>
  <c r="I438" i="16"/>
  <c r="H438" i="16"/>
  <c r="G438" i="16"/>
  <c r="M437" i="16"/>
  <c r="L437" i="16"/>
  <c r="K437" i="16"/>
  <c r="J437" i="16"/>
  <c r="I437" i="16"/>
  <c r="H437" i="16"/>
  <c r="G437" i="16"/>
  <c r="M436" i="16"/>
  <c r="L436" i="16"/>
  <c r="K436" i="16"/>
  <c r="J436" i="16"/>
  <c r="I436" i="16"/>
  <c r="H436" i="16"/>
  <c r="G436" i="16"/>
  <c r="M435" i="16"/>
  <c r="L435" i="16"/>
  <c r="K435" i="16"/>
  <c r="J435" i="16"/>
  <c r="I435" i="16"/>
  <c r="H435" i="16"/>
  <c r="G435" i="16"/>
  <c r="M434" i="16"/>
  <c r="L434" i="16"/>
  <c r="K434" i="16"/>
  <c r="J434" i="16"/>
  <c r="I434" i="16"/>
  <c r="H434" i="16"/>
  <c r="G434" i="16"/>
  <c r="M433" i="16"/>
  <c r="L433" i="16"/>
  <c r="K433" i="16"/>
  <c r="J433" i="16"/>
  <c r="I433" i="16"/>
  <c r="H433" i="16"/>
  <c r="G433" i="16"/>
  <c r="M432" i="16"/>
  <c r="L432" i="16"/>
  <c r="K432" i="16"/>
  <c r="J432" i="16"/>
  <c r="I432" i="16"/>
  <c r="H432" i="16"/>
  <c r="G432" i="16"/>
  <c r="M431" i="16"/>
  <c r="L431" i="16"/>
  <c r="K431" i="16"/>
  <c r="J431" i="16"/>
  <c r="I431" i="16"/>
  <c r="H431" i="16"/>
  <c r="G431" i="16"/>
  <c r="M430" i="16"/>
  <c r="L430" i="16"/>
  <c r="K430" i="16"/>
  <c r="J430" i="16"/>
  <c r="I430" i="16"/>
  <c r="H430" i="16"/>
  <c r="G430" i="16"/>
  <c r="M429" i="16"/>
  <c r="L429" i="16"/>
  <c r="K429" i="16"/>
  <c r="J429" i="16"/>
  <c r="I429" i="16"/>
  <c r="H429" i="16"/>
  <c r="G429" i="16"/>
  <c r="M428" i="16"/>
  <c r="L428" i="16"/>
  <c r="K428" i="16"/>
  <c r="J428" i="16"/>
  <c r="I428" i="16"/>
  <c r="H428" i="16"/>
  <c r="G428" i="16"/>
  <c r="M427" i="16"/>
  <c r="L427" i="16"/>
  <c r="K427" i="16"/>
  <c r="J427" i="16"/>
  <c r="I427" i="16"/>
  <c r="H427" i="16"/>
  <c r="G427" i="16"/>
  <c r="M426" i="16"/>
  <c r="L426" i="16"/>
  <c r="K426" i="16"/>
  <c r="J426" i="16"/>
  <c r="I426" i="16"/>
  <c r="H426" i="16"/>
  <c r="G426" i="16"/>
  <c r="M425" i="16"/>
  <c r="L425" i="16"/>
  <c r="K425" i="16"/>
  <c r="J425" i="16"/>
  <c r="I425" i="16"/>
  <c r="H425" i="16"/>
  <c r="G425" i="16"/>
  <c r="M424" i="16"/>
  <c r="L424" i="16"/>
  <c r="K424" i="16"/>
  <c r="J424" i="16"/>
  <c r="I424" i="16"/>
  <c r="H424" i="16"/>
  <c r="G424" i="16"/>
  <c r="M423" i="16"/>
  <c r="L423" i="16"/>
  <c r="K423" i="16"/>
  <c r="J423" i="16"/>
  <c r="I423" i="16"/>
  <c r="H423" i="16"/>
  <c r="G423" i="16"/>
  <c r="M422" i="16"/>
  <c r="L422" i="16"/>
  <c r="K422" i="16"/>
  <c r="J422" i="16"/>
  <c r="I422" i="16"/>
  <c r="H422" i="16"/>
  <c r="G422" i="16"/>
  <c r="M421" i="16"/>
  <c r="L421" i="16"/>
  <c r="K421" i="16"/>
  <c r="J421" i="16"/>
  <c r="I421" i="16"/>
  <c r="H421" i="16"/>
  <c r="G421" i="16"/>
  <c r="M420" i="16"/>
  <c r="L420" i="16"/>
  <c r="K420" i="16"/>
  <c r="J420" i="16"/>
  <c r="I420" i="16"/>
  <c r="H420" i="16"/>
  <c r="G420" i="16"/>
  <c r="M419" i="16"/>
  <c r="L419" i="16"/>
  <c r="K419" i="16"/>
  <c r="J419" i="16"/>
  <c r="I419" i="16"/>
  <c r="H419" i="16"/>
  <c r="G419" i="16"/>
  <c r="M418" i="16"/>
  <c r="L418" i="16"/>
  <c r="K418" i="16"/>
  <c r="J418" i="16"/>
  <c r="I418" i="16"/>
  <c r="H418" i="16"/>
  <c r="G418" i="16"/>
  <c r="M417" i="16"/>
  <c r="L417" i="16"/>
  <c r="K417" i="16"/>
  <c r="J417" i="16"/>
  <c r="I417" i="16"/>
  <c r="H417" i="16"/>
  <c r="G417" i="16"/>
  <c r="M416" i="16"/>
  <c r="L416" i="16"/>
  <c r="K416" i="16"/>
  <c r="J416" i="16"/>
  <c r="I416" i="16"/>
  <c r="H416" i="16"/>
  <c r="G416" i="16"/>
  <c r="M415" i="16"/>
  <c r="L415" i="16"/>
  <c r="K415" i="16"/>
  <c r="J415" i="16"/>
  <c r="I415" i="16"/>
  <c r="H415" i="16"/>
  <c r="G415" i="16"/>
  <c r="M414" i="16"/>
  <c r="L414" i="16"/>
  <c r="K414" i="16"/>
  <c r="J414" i="16"/>
  <c r="I414" i="16"/>
  <c r="H414" i="16"/>
  <c r="G414" i="16"/>
  <c r="M413" i="16"/>
  <c r="L413" i="16"/>
  <c r="K413" i="16"/>
  <c r="J413" i="16"/>
  <c r="I413" i="16"/>
  <c r="H413" i="16"/>
  <c r="G413" i="16"/>
  <c r="M412" i="16"/>
  <c r="L412" i="16"/>
  <c r="K412" i="16"/>
  <c r="J412" i="16"/>
  <c r="I412" i="16"/>
  <c r="H412" i="16"/>
  <c r="G412" i="16"/>
  <c r="M411" i="16"/>
  <c r="L411" i="16"/>
  <c r="K411" i="16"/>
  <c r="J411" i="16"/>
  <c r="I411" i="16"/>
  <c r="H411" i="16"/>
  <c r="G411" i="16"/>
  <c r="M410" i="16"/>
  <c r="L410" i="16"/>
  <c r="K410" i="16"/>
  <c r="J410" i="16"/>
  <c r="I410" i="16"/>
  <c r="H410" i="16"/>
  <c r="G410" i="16"/>
  <c r="M409" i="16"/>
  <c r="L409" i="16"/>
  <c r="K409" i="16"/>
  <c r="J409" i="16"/>
  <c r="I409" i="16"/>
  <c r="H409" i="16"/>
  <c r="G409" i="16"/>
  <c r="M408" i="16"/>
  <c r="L408" i="16"/>
  <c r="K408" i="16"/>
  <c r="J408" i="16"/>
  <c r="I408" i="16"/>
  <c r="H408" i="16"/>
  <c r="G408" i="16"/>
  <c r="M407" i="16"/>
  <c r="L407" i="16"/>
  <c r="K407" i="16"/>
  <c r="J407" i="16"/>
  <c r="I407" i="16"/>
  <c r="H407" i="16"/>
  <c r="G407" i="16"/>
  <c r="M406" i="16"/>
  <c r="L406" i="16"/>
  <c r="K406" i="16"/>
  <c r="J406" i="16"/>
  <c r="I406" i="16"/>
  <c r="H406" i="16"/>
  <c r="G406" i="16"/>
  <c r="M405" i="16"/>
  <c r="L405" i="16"/>
  <c r="K405" i="16"/>
  <c r="J405" i="16"/>
  <c r="I405" i="16"/>
  <c r="H405" i="16"/>
  <c r="G405" i="16"/>
  <c r="M404" i="16"/>
  <c r="L404" i="16"/>
  <c r="K404" i="16"/>
  <c r="J404" i="16"/>
  <c r="I404" i="16"/>
  <c r="H404" i="16"/>
  <c r="G404" i="16"/>
  <c r="M403" i="16"/>
  <c r="L403" i="16"/>
  <c r="K403" i="16"/>
  <c r="J403" i="16"/>
  <c r="I403" i="16"/>
  <c r="H403" i="16"/>
  <c r="G403" i="16"/>
  <c r="M402" i="16"/>
  <c r="L402" i="16"/>
  <c r="K402" i="16"/>
  <c r="J402" i="16"/>
  <c r="I402" i="16"/>
  <c r="H402" i="16"/>
  <c r="G402" i="16"/>
  <c r="M401" i="16"/>
  <c r="L401" i="16"/>
  <c r="K401" i="16"/>
  <c r="J401" i="16"/>
  <c r="I401" i="16"/>
  <c r="H401" i="16"/>
  <c r="G401" i="16"/>
  <c r="M400" i="16"/>
  <c r="L400" i="16"/>
  <c r="K400" i="16"/>
  <c r="J400" i="16"/>
  <c r="I400" i="16"/>
  <c r="H400" i="16"/>
  <c r="G400" i="16"/>
  <c r="M399" i="16"/>
  <c r="L399" i="16"/>
  <c r="K399" i="16"/>
  <c r="J399" i="16"/>
  <c r="I399" i="16"/>
  <c r="H399" i="16"/>
  <c r="G399" i="16"/>
  <c r="M398" i="16"/>
  <c r="L398" i="16"/>
  <c r="K398" i="16"/>
  <c r="J398" i="16"/>
  <c r="I398" i="16"/>
  <c r="H398" i="16"/>
  <c r="G398" i="16"/>
  <c r="M397" i="16"/>
  <c r="L397" i="16"/>
  <c r="K397" i="16"/>
  <c r="J397" i="16"/>
  <c r="I397" i="16"/>
  <c r="H397" i="16"/>
  <c r="G397" i="16"/>
  <c r="M396" i="16"/>
  <c r="L396" i="16"/>
  <c r="K396" i="16"/>
  <c r="J396" i="16"/>
  <c r="I396" i="16"/>
  <c r="H396" i="16"/>
  <c r="G396" i="16"/>
  <c r="M395" i="16"/>
  <c r="L395" i="16"/>
  <c r="K395" i="16"/>
  <c r="J395" i="16"/>
  <c r="I395" i="16"/>
  <c r="H395" i="16"/>
  <c r="G395" i="16"/>
  <c r="M394" i="16"/>
  <c r="L394" i="16"/>
  <c r="K394" i="16"/>
  <c r="J394" i="16"/>
  <c r="I394" i="16"/>
  <c r="H394" i="16"/>
  <c r="G394" i="16"/>
  <c r="M393" i="16"/>
  <c r="L393" i="16"/>
  <c r="K393" i="16"/>
  <c r="J393" i="16"/>
  <c r="I393" i="16"/>
  <c r="H393" i="16"/>
  <c r="G393" i="16"/>
  <c r="M392" i="16"/>
  <c r="L392" i="16"/>
  <c r="K392" i="16"/>
  <c r="J392" i="16"/>
  <c r="I392" i="16"/>
  <c r="H392" i="16"/>
  <c r="G392" i="16"/>
  <c r="M391" i="16"/>
  <c r="L391" i="16"/>
  <c r="K391" i="16"/>
  <c r="J391" i="16"/>
  <c r="I391" i="16"/>
  <c r="H391" i="16"/>
  <c r="G391" i="16"/>
  <c r="M390" i="16"/>
  <c r="L390" i="16"/>
  <c r="K390" i="16"/>
  <c r="J390" i="16"/>
  <c r="I390" i="16"/>
  <c r="H390" i="16"/>
  <c r="G390" i="16"/>
  <c r="M389" i="16"/>
  <c r="L389" i="16"/>
  <c r="K389" i="16"/>
  <c r="J389" i="16"/>
  <c r="I389" i="16"/>
  <c r="H389" i="16"/>
  <c r="G389" i="16"/>
  <c r="M388" i="16"/>
  <c r="L388" i="16"/>
  <c r="K388" i="16"/>
  <c r="J388" i="16"/>
  <c r="I388" i="16"/>
  <c r="H388" i="16"/>
  <c r="G388" i="16"/>
  <c r="M387" i="16"/>
  <c r="L387" i="16"/>
  <c r="K387" i="16"/>
  <c r="J387" i="16"/>
  <c r="I387" i="16"/>
  <c r="H387" i="16"/>
  <c r="G387" i="16"/>
  <c r="M386" i="16"/>
  <c r="L386" i="16"/>
  <c r="K386" i="16"/>
  <c r="J386" i="16"/>
  <c r="I386" i="16"/>
  <c r="H386" i="16"/>
  <c r="G386" i="16"/>
  <c r="M385" i="16"/>
  <c r="L385" i="16"/>
  <c r="K385" i="16"/>
  <c r="J385" i="16"/>
  <c r="I385" i="16"/>
  <c r="H385" i="16"/>
  <c r="G385" i="16"/>
  <c r="M384" i="16"/>
  <c r="L384" i="16"/>
  <c r="K384" i="16"/>
  <c r="J384" i="16"/>
  <c r="I384" i="16"/>
  <c r="H384" i="16"/>
  <c r="G384" i="16"/>
  <c r="M383" i="16"/>
  <c r="L383" i="16"/>
  <c r="K383" i="16"/>
  <c r="J383" i="16"/>
  <c r="I383" i="16"/>
  <c r="H383" i="16"/>
  <c r="G383" i="16"/>
  <c r="M382" i="16"/>
  <c r="L382" i="16"/>
  <c r="K382" i="16"/>
  <c r="J382" i="16"/>
  <c r="I382" i="16"/>
  <c r="H382" i="16"/>
  <c r="G382" i="16"/>
  <c r="M381" i="16"/>
  <c r="L381" i="16"/>
  <c r="K381" i="16"/>
  <c r="J381" i="16"/>
  <c r="I381" i="16"/>
  <c r="H381" i="16"/>
  <c r="G381" i="16"/>
  <c r="M380" i="16"/>
  <c r="L380" i="16"/>
  <c r="K380" i="16"/>
  <c r="J380" i="16"/>
  <c r="I380" i="16"/>
  <c r="H380" i="16"/>
  <c r="G380" i="16"/>
  <c r="M379" i="16"/>
  <c r="L379" i="16"/>
  <c r="K379" i="16"/>
  <c r="J379" i="16"/>
  <c r="I379" i="16"/>
  <c r="H379" i="16"/>
  <c r="G379" i="16"/>
  <c r="M378" i="16"/>
  <c r="L378" i="16"/>
  <c r="K378" i="16"/>
  <c r="J378" i="16"/>
  <c r="I378" i="16"/>
  <c r="H378" i="16"/>
  <c r="G378" i="16"/>
  <c r="M377" i="16"/>
  <c r="L377" i="16"/>
  <c r="K377" i="16"/>
  <c r="J377" i="16"/>
  <c r="I377" i="16"/>
  <c r="H377" i="16"/>
  <c r="G377" i="16"/>
  <c r="M376" i="16"/>
  <c r="L376" i="16"/>
  <c r="K376" i="16"/>
  <c r="J376" i="16"/>
  <c r="I376" i="16"/>
  <c r="H376" i="16"/>
  <c r="G376" i="16"/>
  <c r="M375" i="16"/>
  <c r="L375" i="16"/>
  <c r="K375" i="16"/>
  <c r="J375" i="16"/>
  <c r="I375" i="16"/>
  <c r="H375" i="16"/>
  <c r="G375" i="16"/>
  <c r="M374" i="16"/>
  <c r="L374" i="16"/>
  <c r="K374" i="16"/>
  <c r="J374" i="16"/>
  <c r="I374" i="16"/>
  <c r="H374" i="16"/>
  <c r="G374" i="16"/>
  <c r="M373" i="16"/>
  <c r="L373" i="16"/>
  <c r="K373" i="16"/>
  <c r="J373" i="16"/>
  <c r="I373" i="16"/>
  <c r="H373" i="16"/>
  <c r="G373" i="16"/>
  <c r="M372" i="16"/>
  <c r="L372" i="16"/>
  <c r="K372" i="16"/>
  <c r="J372" i="16"/>
  <c r="I372" i="16"/>
  <c r="H372" i="16"/>
  <c r="G372" i="16"/>
  <c r="M371" i="16"/>
  <c r="L371" i="16"/>
  <c r="K371" i="16"/>
  <c r="J371" i="16"/>
  <c r="I371" i="16"/>
  <c r="H371" i="16"/>
  <c r="G371" i="16"/>
  <c r="M370" i="16"/>
  <c r="L370" i="16"/>
  <c r="K370" i="16"/>
  <c r="J370" i="16"/>
  <c r="I370" i="16"/>
  <c r="H370" i="16"/>
  <c r="G370" i="16"/>
  <c r="M369" i="16"/>
  <c r="L369" i="16"/>
  <c r="K369" i="16"/>
  <c r="J369" i="16"/>
  <c r="I369" i="16"/>
  <c r="H369" i="16"/>
  <c r="G369" i="16"/>
  <c r="M368" i="16"/>
  <c r="L368" i="16"/>
  <c r="K368" i="16"/>
  <c r="J368" i="16"/>
  <c r="I368" i="16"/>
  <c r="H368" i="16"/>
  <c r="G368" i="16"/>
  <c r="M367" i="16"/>
  <c r="L367" i="16"/>
  <c r="K367" i="16"/>
  <c r="J367" i="16"/>
  <c r="I367" i="16"/>
  <c r="H367" i="16"/>
  <c r="G367" i="16"/>
  <c r="M366" i="16"/>
  <c r="L366" i="16"/>
  <c r="K366" i="16"/>
  <c r="J366" i="16"/>
  <c r="I366" i="16"/>
  <c r="H366" i="16"/>
  <c r="G366" i="16"/>
  <c r="M365" i="16"/>
  <c r="L365" i="16"/>
  <c r="K365" i="16"/>
  <c r="J365" i="16"/>
  <c r="I365" i="16"/>
  <c r="H365" i="16"/>
  <c r="G365" i="16"/>
  <c r="M364" i="16"/>
  <c r="L364" i="16"/>
  <c r="K364" i="16"/>
  <c r="J364" i="16"/>
  <c r="I364" i="16"/>
  <c r="H364" i="16"/>
  <c r="G364" i="16"/>
  <c r="M363" i="16"/>
  <c r="L363" i="16"/>
  <c r="K363" i="16"/>
  <c r="J363" i="16"/>
  <c r="I363" i="16"/>
  <c r="H363" i="16"/>
  <c r="G363" i="16"/>
  <c r="M362" i="16"/>
  <c r="L362" i="16"/>
  <c r="K362" i="16"/>
  <c r="J362" i="16"/>
  <c r="I362" i="16"/>
  <c r="H362" i="16"/>
  <c r="G362" i="16"/>
  <c r="M361" i="16"/>
  <c r="L361" i="16"/>
  <c r="K361" i="16"/>
  <c r="J361" i="16"/>
  <c r="I361" i="16"/>
  <c r="H361" i="16"/>
  <c r="G361" i="16"/>
  <c r="M360" i="16"/>
  <c r="L360" i="16"/>
  <c r="K360" i="16"/>
  <c r="J360" i="16"/>
  <c r="I360" i="16"/>
  <c r="H360" i="16"/>
  <c r="G360" i="16"/>
  <c r="M359" i="16"/>
  <c r="L359" i="16"/>
  <c r="K359" i="16"/>
  <c r="J359" i="16"/>
  <c r="I359" i="16"/>
  <c r="H359" i="16"/>
  <c r="G359" i="16"/>
  <c r="M358" i="16"/>
  <c r="L358" i="16"/>
  <c r="K358" i="16"/>
  <c r="J358" i="16"/>
  <c r="I358" i="16"/>
  <c r="H358" i="16"/>
  <c r="G358" i="16"/>
  <c r="M357" i="16"/>
  <c r="L357" i="16"/>
  <c r="K357" i="16"/>
  <c r="J357" i="16"/>
  <c r="I357" i="16"/>
  <c r="H357" i="16"/>
  <c r="G357" i="16"/>
  <c r="M356" i="16"/>
  <c r="L356" i="16"/>
  <c r="K356" i="16"/>
  <c r="J356" i="16"/>
  <c r="I356" i="16"/>
  <c r="H356" i="16"/>
  <c r="G356" i="16"/>
  <c r="M355" i="16"/>
  <c r="L355" i="16"/>
  <c r="K355" i="16"/>
  <c r="J355" i="16"/>
  <c r="I355" i="16"/>
  <c r="H355" i="16"/>
  <c r="G355" i="16"/>
  <c r="M354" i="16"/>
  <c r="L354" i="16"/>
  <c r="K354" i="16"/>
  <c r="J354" i="16"/>
  <c r="I354" i="16"/>
  <c r="H354" i="16"/>
  <c r="G354" i="16"/>
  <c r="M353" i="16"/>
  <c r="L353" i="16"/>
  <c r="K353" i="16"/>
  <c r="J353" i="16"/>
  <c r="I353" i="16"/>
  <c r="H353" i="16"/>
  <c r="G353" i="16"/>
  <c r="M352" i="16"/>
  <c r="L352" i="16"/>
  <c r="K352" i="16"/>
  <c r="J352" i="16"/>
  <c r="I352" i="16"/>
  <c r="H352" i="16"/>
  <c r="G352" i="16"/>
  <c r="M351" i="16"/>
  <c r="L351" i="16"/>
  <c r="K351" i="16"/>
  <c r="J351" i="16"/>
  <c r="I351" i="16"/>
  <c r="H351" i="16"/>
  <c r="G351" i="16"/>
  <c r="M350" i="16"/>
  <c r="L350" i="16"/>
  <c r="K350" i="16"/>
  <c r="J350" i="16"/>
  <c r="I350" i="16"/>
  <c r="H350" i="16"/>
  <c r="G350" i="16"/>
  <c r="M349" i="16"/>
  <c r="L349" i="16"/>
  <c r="K349" i="16"/>
  <c r="J349" i="16"/>
  <c r="I349" i="16"/>
  <c r="H349" i="16"/>
  <c r="G349" i="16"/>
  <c r="M348" i="16"/>
  <c r="L348" i="16"/>
  <c r="K348" i="16"/>
  <c r="J348" i="16"/>
  <c r="I348" i="16"/>
  <c r="H348" i="16"/>
  <c r="G348" i="16"/>
  <c r="M347" i="16"/>
  <c r="L347" i="16"/>
  <c r="K347" i="16"/>
  <c r="J347" i="16"/>
  <c r="I347" i="16"/>
  <c r="H347" i="16"/>
  <c r="G347" i="16"/>
  <c r="M346" i="16"/>
  <c r="L346" i="16"/>
  <c r="K346" i="16"/>
  <c r="J346" i="16"/>
  <c r="I346" i="16"/>
  <c r="H346" i="16"/>
  <c r="G346" i="16"/>
  <c r="M345" i="16"/>
  <c r="L345" i="16"/>
  <c r="K345" i="16"/>
  <c r="J345" i="16"/>
  <c r="I345" i="16"/>
  <c r="H345" i="16"/>
  <c r="G345" i="16"/>
  <c r="M344" i="16"/>
  <c r="L344" i="16"/>
  <c r="K344" i="16"/>
  <c r="J344" i="16"/>
  <c r="I344" i="16"/>
  <c r="H344" i="16"/>
  <c r="G344" i="16"/>
  <c r="M343" i="16"/>
  <c r="L343" i="16"/>
  <c r="K343" i="16"/>
  <c r="J343" i="16"/>
  <c r="I343" i="16"/>
  <c r="H343" i="16"/>
  <c r="G343" i="16"/>
  <c r="M342" i="16"/>
  <c r="L342" i="16"/>
  <c r="K342" i="16"/>
  <c r="J342" i="16"/>
  <c r="I342" i="16"/>
  <c r="H342" i="16"/>
  <c r="G342" i="16"/>
  <c r="M341" i="16"/>
  <c r="L341" i="16"/>
  <c r="K341" i="16"/>
  <c r="J341" i="16"/>
  <c r="I341" i="16"/>
  <c r="H341" i="16"/>
  <c r="G341" i="16"/>
  <c r="M340" i="16"/>
  <c r="L340" i="16"/>
  <c r="K340" i="16"/>
  <c r="J340" i="16"/>
  <c r="I340" i="16"/>
  <c r="H340" i="16"/>
  <c r="G340" i="16"/>
  <c r="M339" i="16"/>
  <c r="L339" i="16"/>
  <c r="K339" i="16"/>
  <c r="J339" i="16"/>
  <c r="I339" i="16"/>
  <c r="H339" i="16"/>
  <c r="G339" i="16"/>
  <c r="M338" i="16"/>
  <c r="L338" i="16"/>
  <c r="K338" i="16"/>
  <c r="J338" i="16"/>
  <c r="I338" i="16"/>
  <c r="H338" i="16"/>
  <c r="G338" i="16"/>
  <c r="M337" i="16"/>
  <c r="L337" i="16"/>
  <c r="K337" i="16"/>
  <c r="J337" i="16"/>
  <c r="I337" i="16"/>
  <c r="H337" i="16"/>
  <c r="G337" i="16"/>
  <c r="M336" i="16"/>
  <c r="L336" i="16"/>
  <c r="K336" i="16"/>
  <c r="J336" i="16"/>
  <c r="I336" i="16"/>
  <c r="H336" i="16"/>
  <c r="G336" i="16"/>
  <c r="M335" i="16"/>
  <c r="L335" i="16"/>
  <c r="K335" i="16"/>
  <c r="J335" i="16"/>
  <c r="I335" i="16"/>
  <c r="H335" i="16"/>
  <c r="G335" i="16"/>
  <c r="M334" i="16"/>
  <c r="L334" i="16"/>
  <c r="K334" i="16"/>
  <c r="J334" i="16"/>
  <c r="I334" i="16"/>
  <c r="H334" i="16"/>
  <c r="G334" i="16"/>
  <c r="M333" i="16"/>
  <c r="L333" i="16"/>
  <c r="K333" i="16"/>
  <c r="J333" i="16"/>
  <c r="I333" i="16"/>
  <c r="H333" i="16"/>
  <c r="G333" i="16"/>
  <c r="M332" i="16"/>
  <c r="L332" i="16"/>
  <c r="K332" i="16"/>
  <c r="J332" i="16"/>
  <c r="I332" i="16"/>
  <c r="H332" i="16"/>
  <c r="G332" i="16"/>
  <c r="M331" i="16"/>
  <c r="L331" i="16"/>
  <c r="K331" i="16"/>
  <c r="J331" i="16"/>
  <c r="I331" i="16"/>
  <c r="H331" i="16"/>
  <c r="G331" i="16"/>
  <c r="M330" i="16"/>
  <c r="L330" i="16"/>
  <c r="K330" i="16"/>
  <c r="J330" i="16"/>
  <c r="I330" i="16"/>
  <c r="H330" i="16"/>
  <c r="G330" i="16"/>
  <c r="M329" i="16"/>
  <c r="L329" i="16"/>
  <c r="K329" i="16"/>
  <c r="J329" i="16"/>
  <c r="I329" i="16"/>
  <c r="H329" i="16"/>
  <c r="G329" i="16"/>
  <c r="M328" i="16"/>
  <c r="L328" i="16"/>
  <c r="K328" i="16"/>
  <c r="J328" i="16"/>
  <c r="I328" i="16"/>
  <c r="H328" i="16"/>
  <c r="G328" i="16"/>
  <c r="M327" i="16"/>
  <c r="L327" i="16"/>
  <c r="K327" i="16"/>
  <c r="J327" i="16"/>
  <c r="I327" i="16"/>
  <c r="H327" i="16"/>
  <c r="G327" i="16"/>
  <c r="M326" i="16"/>
  <c r="L326" i="16"/>
  <c r="K326" i="16"/>
  <c r="J326" i="16"/>
  <c r="I326" i="16"/>
  <c r="H326" i="16"/>
  <c r="G326" i="16"/>
  <c r="M325" i="16"/>
  <c r="L325" i="16"/>
  <c r="K325" i="16"/>
  <c r="J325" i="16"/>
  <c r="I325" i="16"/>
  <c r="H325" i="16"/>
  <c r="G325" i="16"/>
  <c r="M324" i="16"/>
  <c r="L324" i="16"/>
  <c r="K324" i="16"/>
  <c r="J324" i="16"/>
  <c r="I324" i="16"/>
  <c r="H324" i="16"/>
  <c r="G324" i="16"/>
  <c r="M323" i="16"/>
  <c r="L323" i="16"/>
  <c r="K323" i="16"/>
  <c r="J323" i="16"/>
  <c r="I323" i="16"/>
  <c r="H323" i="16"/>
  <c r="G323" i="16"/>
  <c r="M322" i="16"/>
  <c r="L322" i="16"/>
  <c r="K322" i="16"/>
  <c r="J322" i="16"/>
  <c r="I322" i="16"/>
  <c r="H322" i="16"/>
  <c r="G322" i="16"/>
  <c r="M321" i="16"/>
  <c r="L321" i="16"/>
  <c r="K321" i="16"/>
  <c r="J321" i="16"/>
  <c r="I321" i="16"/>
  <c r="H321" i="16"/>
  <c r="G321" i="16"/>
  <c r="M320" i="16"/>
  <c r="L320" i="16"/>
  <c r="K320" i="16"/>
  <c r="J320" i="16"/>
  <c r="I320" i="16"/>
  <c r="H320" i="16"/>
  <c r="G320" i="16"/>
  <c r="M319" i="16"/>
  <c r="L319" i="16"/>
  <c r="K319" i="16"/>
  <c r="J319" i="16"/>
  <c r="I319" i="16"/>
  <c r="H319" i="16"/>
  <c r="G319" i="16"/>
  <c r="M318" i="16"/>
  <c r="L318" i="16"/>
  <c r="K318" i="16"/>
  <c r="J318" i="16"/>
  <c r="I318" i="16"/>
  <c r="H318" i="16"/>
  <c r="G318" i="16"/>
  <c r="M317" i="16"/>
  <c r="L317" i="16"/>
  <c r="K317" i="16"/>
  <c r="J317" i="16"/>
  <c r="I317" i="16"/>
  <c r="H317" i="16"/>
  <c r="G317" i="16"/>
  <c r="M316" i="16"/>
  <c r="L316" i="16"/>
  <c r="K316" i="16"/>
  <c r="J316" i="16"/>
  <c r="I316" i="16"/>
  <c r="H316" i="16"/>
  <c r="G316" i="16"/>
  <c r="M315" i="16"/>
  <c r="L315" i="16"/>
  <c r="K315" i="16"/>
  <c r="J315" i="16"/>
  <c r="I315" i="16"/>
  <c r="H315" i="16"/>
  <c r="G315" i="16"/>
  <c r="M314" i="16"/>
  <c r="L314" i="16"/>
  <c r="K314" i="16"/>
  <c r="J314" i="16"/>
  <c r="I314" i="16"/>
  <c r="H314" i="16"/>
  <c r="G314" i="16"/>
  <c r="M313" i="16"/>
  <c r="L313" i="16"/>
  <c r="K313" i="16"/>
  <c r="J313" i="16"/>
  <c r="I313" i="16"/>
  <c r="H313" i="16"/>
  <c r="G313" i="16"/>
  <c r="M312" i="16"/>
  <c r="L312" i="16"/>
  <c r="K312" i="16"/>
  <c r="J312" i="16"/>
  <c r="I312" i="16"/>
  <c r="H312" i="16"/>
  <c r="G312" i="16"/>
  <c r="M311" i="16"/>
  <c r="L311" i="16"/>
  <c r="K311" i="16"/>
  <c r="J311" i="16"/>
  <c r="I311" i="16"/>
  <c r="H311" i="16"/>
  <c r="G311" i="16"/>
  <c r="M310" i="16"/>
  <c r="L310" i="16"/>
  <c r="K310" i="16"/>
  <c r="J310" i="16"/>
  <c r="I310" i="16"/>
  <c r="H310" i="16"/>
  <c r="G310" i="16"/>
  <c r="M309" i="16"/>
  <c r="L309" i="16"/>
  <c r="K309" i="16"/>
  <c r="J309" i="16"/>
  <c r="I309" i="16"/>
  <c r="H309" i="16"/>
  <c r="G309" i="16"/>
  <c r="M308" i="16"/>
  <c r="L308" i="16"/>
  <c r="K308" i="16"/>
  <c r="J308" i="16"/>
  <c r="I308" i="16"/>
  <c r="H308" i="16"/>
  <c r="G308" i="16"/>
  <c r="M307" i="16"/>
  <c r="L307" i="16"/>
  <c r="K307" i="16"/>
  <c r="J307" i="16"/>
  <c r="I307" i="16"/>
  <c r="H307" i="16"/>
  <c r="G307" i="16"/>
  <c r="M306" i="16"/>
  <c r="L306" i="16"/>
  <c r="K306" i="16"/>
  <c r="J306" i="16"/>
  <c r="I306" i="16"/>
  <c r="H306" i="16"/>
  <c r="G306" i="16"/>
  <c r="M305" i="16"/>
  <c r="L305" i="16"/>
  <c r="K305" i="16"/>
  <c r="J305" i="16"/>
  <c r="I305" i="16"/>
  <c r="H305" i="16"/>
  <c r="G305" i="16"/>
  <c r="M304" i="16"/>
  <c r="L304" i="16"/>
  <c r="K304" i="16"/>
  <c r="J304" i="16"/>
  <c r="I304" i="16"/>
  <c r="H304" i="16"/>
  <c r="G304" i="16"/>
  <c r="M303" i="16"/>
  <c r="L303" i="16"/>
  <c r="K303" i="16"/>
  <c r="J303" i="16"/>
  <c r="I303" i="16"/>
  <c r="H303" i="16"/>
  <c r="G303" i="16"/>
  <c r="M302" i="16"/>
  <c r="L302" i="16"/>
  <c r="K302" i="16"/>
  <c r="J302" i="16"/>
  <c r="I302" i="16"/>
  <c r="H302" i="16"/>
  <c r="G302" i="16"/>
  <c r="M301" i="16"/>
  <c r="L301" i="16"/>
  <c r="K301" i="16"/>
  <c r="J301" i="16"/>
  <c r="I301" i="16"/>
  <c r="H301" i="16"/>
  <c r="G301" i="16"/>
  <c r="M300" i="16"/>
  <c r="L300" i="16"/>
  <c r="K300" i="16"/>
  <c r="J300" i="16"/>
  <c r="I300" i="16"/>
  <c r="H300" i="16"/>
  <c r="G300" i="16"/>
  <c r="M299" i="16"/>
  <c r="L299" i="16"/>
  <c r="K299" i="16"/>
  <c r="J299" i="16"/>
  <c r="I299" i="16"/>
  <c r="H299" i="16"/>
  <c r="G299" i="16"/>
  <c r="M298" i="16"/>
  <c r="L298" i="16"/>
  <c r="K298" i="16"/>
  <c r="J298" i="16"/>
  <c r="I298" i="16"/>
  <c r="H298" i="16"/>
  <c r="G298" i="16"/>
  <c r="M297" i="16"/>
  <c r="L297" i="16"/>
  <c r="K297" i="16"/>
  <c r="J297" i="16"/>
  <c r="I297" i="16"/>
  <c r="H297" i="16"/>
  <c r="G297" i="16"/>
  <c r="M296" i="16"/>
  <c r="L296" i="16"/>
  <c r="K296" i="16"/>
  <c r="J296" i="16"/>
  <c r="I296" i="16"/>
  <c r="H296" i="16"/>
  <c r="G296" i="16"/>
  <c r="M295" i="16"/>
  <c r="L295" i="16"/>
  <c r="K295" i="16"/>
  <c r="J295" i="16"/>
  <c r="I295" i="16"/>
  <c r="H295" i="16"/>
  <c r="G295" i="16"/>
  <c r="M294" i="16"/>
  <c r="L294" i="16"/>
  <c r="K294" i="16"/>
  <c r="J294" i="16"/>
  <c r="I294" i="16"/>
  <c r="H294" i="16"/>
  <c r="G294" i="16"/>
  <c r="M293" i="16"/>
  <c r="L293" i="16"/>
  <c r="K293" i="16"/>
  <c r="J293" i="16"/>
  <c r="I293" i="16"/>
  <c r="H293" i="16"/>
  <c r="G293" i="16"/>
  <c r="M292" i="16"/>
  <c r="L292" i="16"/>
  <c r="K292" i="16"/>
  <c r="J292" i="16"/>
  <c r="I292" i="16"/>
  <c r="H292" i="16"/>
  <c r="G292" i="16"/>
  <c r="M291" i="16"/>
  <c r="L291" i="16"/>
  <c r="K291" i="16"/>
  <c r="J291" i="16"/>
  <c r="I291" i="16"/>
  <c r="H291" i="16"/>
  <c r="G291" i="16"/>
  <c r="M290" i="16"/>
  <c r="L290" i="16"/>
  <c r="K290" i="16"/>
  <c r="J290" i="16"/>
  <c r="I290" i="16"/>
  <c r="H290" i="16"/>
  <c r="G290" i="16"/>
  <c r="M289" i="16"/>
  <c r="L289" i="16"/>
  <c r="K289" i="16"/>
  <c r="J289" i="16"/>
  <c r="I289" i="16"/>
  <c r="H289" i="16"/>
  <c r="G289" i="16"/>
  <c r="M288" i="16"/>
  <c r="L288" i="16"/>
  <c r="K288" i="16"/>
  <c r="J288" i="16"/>
  <c r="I288" i="16"/>
  <c r="H288" i="16"/>
  <c r="G288" i="16"/>
  <c r="M287" i="16"/>
  <c r="L287" i="16"/>
  <c r="K287" i="16"/>
  <c r="J287" i="16"/>
  <c r="I287" i="16"/>
  <c r="H287" i="16"/>
  <c r="G287" i="16"/>
  <c r="M286" i="16"/>
  <c r="L286" i="16"/>
  <c r="K286" i="16"/>
  <c r="J286" i="16"/>
  <c r="I286" i="16"/>
  <c r="H286" i="16"/>
  <c r="G286" i="16"/>
  <c r="M285" i="16"/>
  <c r="L285" i="16"/>
  <c r="K285" i="16"/>
  <c r="J285" i="16"/>
  <c r="I285" i="16"/>
  <c r="H285" i="16"/>
  <c r="G285" i="16"/>
  <c r="M284" i="16"/>
  <c r="L284" i="16"/>
  <c r="K284" i="16"/>
  <c r="J284" i="16"/>
  <c r="I284" i="16"/>
  <c r="H284" i="16"/>
  <c r="G284" i="16"/>
  <c r="M283" i="16"/>
  <c r="L283" i="16"/>
  <c r="K283" i="16"/>
  <c r="J283" i="16"/>
  <c r="I283" i="16"/>
  <c r="H283" i="16"/>
  <c r="G283" i="16"/>
  <c r="M282" i="16"/>
  <c r="L282" i="16"/>
  <c r="K282" i="16"/>
  <c r="J282" i="16"/>
  <c r="I282" i="16"/>
  <c r="H282" i="16"/>
  <c r="G282" i="16"/>
  <c r="M281" i="16"/>
  <c r="L281" i="16"/>
  <c r="K281" i="16"/>
  <c r="J281" i="16"/>
  <c r="I281" i="16"/>
  <c r="H281" i="16"/>
  <c r="G281" i="16"/>
  <c r="M280" i="16"/>
  <c r="L280" i="16"/>
  <c r="K280" i="16"/>
  <c r="J280" i="16"/>
  <c r="I280" i="16"/>
  <c r="H280" i="16"/>
  <c r="G280" i="16"/>
  <c r="M279" i="16"/>
  <c r="L279" i="16"/>
  <c r="K279" i="16"/>
  <c r="J279" i="16"/>
  <c r="I279" i="16"/>
  <c r="H279" i="16"/>
  <c r="G279" i="16"/>
  <c r="M278" i="16"/>
  <c r="L278" i="16"/>
  <c r="K278" i="16"/>
  <c r="J278" i="16"/>
  <c r="I278" i="16"/>
  <c r="H278" i="16"/>
  <c r="G278" i="16"/>
  <c r="M277" i="16"/>
  <c r="L277" i="16"/>
  <c r="K277" i="16"/>
  <c r="J277" i="16"/>
  <c r="I277" i="16"/>
  <c r="H277" i="16"/>
  <c r="G277" i="16"/>
  <c r="M276" i="16"/>
  <c r="L276" i="16"/>
  <c r="K276" i="16"/>
  <c r="J276" i="16"/>
  <c r="I276" i="16"/>
  <c r="H276" i="16"/>
  <c r="G276" i="16"/>
  <c r="M275" i="16"/>
  <c r="L275" i="16"/>
  <c r="K275" i="16"/>
  <c r="J275" i="16"/>
  <c r="I275" i="16"/>
  <c r="H275" i="16"/>
  <c r="G275" i="16"/>
  <c r="M274" i="16"/>
  <c r="L274" i="16"/>
  <c r="K274" i="16"/>
  <c r="J274" i="16"/>
  <c r="I274" i="16"/>
  <c r="H274" i="16"/>
  <c r="G274" i="16"/>
  <c r="M273" i="16"/>
  <c r="L273" i="16"/>
  <c r="K273" i="16"/>
  <c r="J273" i="16"/>
  <c r="I273" i="16"/>
  <c r="H273" i="16"/>
  <c r="G273" i="16"/>
  <c r="M272" i="16"/>
  <c r="L272" i="16"/>
  <c r="K272" i="16"/>
  <c r="J272" i="16"/>
  <c r="I272" i="16"/>
  <c r="H272" i="16"/>
  <c r="G272" i="16"/>
  <c r="M271" i="16"/>
  <c r="L271" i="16"/>
  <c r="K271" i="16"/>
  <c r="J271" i="16"/>
  <c r="I271" i="16"/>
  <c r="H271" i="16"/>
  <c r="G271" i="16"/>
  <c r="M270" i="16"/>
  <c r="L270" i="16"/>
  <c r="K270" i="16"/>
  <c r="J270" i="16"/>
  <c r="I270" i="16"/>
  <c r="H270" i="16"/>
  <c r="G270" i="16"/>
  <c r="M269" i="16"/>
  <c r="L269" i="16"/>
  <c r="K269" i="16"/>
  <c r="J269" i="16"/>
  <c r="I269" i="16"/>
  <c r="H269" i="16"/>
  <c r="G269" i="16"/>
  <c r="M268" i="16"/>
  <c r="L268" i="16"/>
  <c r="K268" i="16"/>
  <c r="J268" i="16"/>
  <c r="I268" i="16"/>
  <c r="H268" i="16"/>
  <c r="G268" i="16"/>
  <c r="M267" i="16"/>
  <c r="L267" i="16"/>
  <c r="K267" i="16"/>
  <c r="J267" i="16"/>
  <c r="I267" i="16"/>
  <c r="H267" i="16"/>
  <c r="G267" i="16"/>
  <c r="M266" i="16"/>
  <c r="L266" i="16"/>
  <c r="K266" i="16"/>
  <c r="J266" i="16"/>
  <c r="I266" i="16"/>
  <c r="H266" i="16"/>
  <c r="G266" i="16"/>
  <c r="M265" i="16"/>
  <c r="L265" i="16"/>
  <c r="K265" i="16"/>
  <c r="J265" i="16"/>
  <c r="I265" i="16"/>
  <c r="H265" i="16"/>
  <c r="G265" i="16"/>
  <c r="M264" i="16"/>
  <c r="L264" i="16"/>
  <c r="K264" i="16"/>
  <c r="J264" i="16"/>
  <c r="I264" i="16"/>
  <c r="H264" i="16"/>
  <c r="G264" i="16"/>
  <c r="M263" i="16"/>
  <c r="L263" i="16"/>
  <c r="K263" i="16"/>
  <c r="J263" i="16"/>
  <c r="I263" i="16"/>
  <c r="H263" i="16"/>
  <c r="G263" i="16"/>
  <c r="M262" i="16"/>
  <c r="L262" i="16"/>
  <c r="K262" i="16"/>
  <c r="J262" i="16"/>
  <c r="I262" i="16"/>
  <c r="H262" i="16"/>
  <c r="G262" i="16"/>
  <c r="M261" i="16"/>
  <c r="L261" i="16"/>
  <c r="K261" i="16"/>
  <c r="J261" i="16"/>
  <c r="I261" i="16"/>
  <c r="H261" i="16"/>
  <c r="G261" i="16"/>
  <c r="M260" i="16"/>
  <c r="L260" i="16"/>
  <c r="K260" i="16"/>
  <c r="J260" i="16"/>
  <c r="I260" i="16"/>
  <c r="H260" i="16"/>
  <c r="G260" i="16"/>
  <c r="M259" i="16"/>
  <c r="L259" i="16"/>
  <c r="K259" i="16"/>
  <c r="J259" i="16"/>
  <c r="I259" i="16"/>
  <c r="H259" i="16"/>
  <c r="G259" i="16"/>
  <c r="M258" i="16"/>
  <c r="L258" i="16"/>
  <c r="K258" i="16"/>
  <c r="J258" i="16"/>
  <c r="I258" i="16"/>
  <c r="H258" i="16"/>
  <c r="G258" i="16"/>
  <c r="M257" i="16"/>
  <c r="L257" i="16"/>
  <c r="K257" i="16"/>
  <c r="J257" i="16"/>
  <c r="I257" i="16"/>
  <c r="H257" i="16"/>
  <c r="G257" i="16"/>
  <c r="M256" i="16"/>
  <c r="L256" i="16"/>
  <c r="K256" i="16"/>
  <c r="J256" i="16"/>
  <c r="I256" i="16"/>
  <c r="H256" i="16"/>
  <c r="G256" i="16"/>
  <c r="M255" i="16"/>
  <c r="L255" i="16"/>
  <c r="K255" i="16"/>
  <c r="J255" i="16"/>
  <c r="I255" i="16"/>
  <c r="H255" i="16"/>
  <c r="G255" i="16"/>
  <c r="M254" i="16"/>
  <c r="L254" i="16"/>
  <c r="K254" i="16"/>
  <c r="J254" i="16"/>
  <c r="I254" i="16"/>
  <c r="H254" i="16"/>
  <c r="G254" i="16"/>
  <c r="M253" i="16"/>
  <c r="L253" i="16"/>
  <c r="K253" i="16"/>
  <c r="J253" i="16"/>
  <c r="I253" i="16"/>
  <c r="H253" i="16"/>
  <c r="G253" i="16"/>
  <c r="M252" i="16"/>
  <c r="L252" i="16"/>
  <c r="K252" i="16"/>
  <c r="J252" i="16"/>
  <c r="I252" i="16"/>
  <c r="H252" i="16"/>
  <c r="G252" i="16"/>
  <c r="M251" i="16"/>
  <c r="L251" i="16"/>
  <c r="K251" i="16"/>
  <c r="J251" i="16"/>
  <c r="I251" i="16"/>
  <c r="H251" i="16"/>
  <c r="G251" i="16"/>
  <c r="M250" i="16"/>
  <c r="L250" i="16"/>
  <c r="K250" i="16"/>
  <c r="J250" i="16"/>
  <c r="I250" i="16"/>
  <c r="H250" i="16"/>
  <c r="G250" i="16"/>
  <c r="M249" i="16"/>
  <c r="L249" i="16"/>
  <c r="K249" i="16"/>
  <c r="J249" i="16"/>
  <c r="I249" i="16"/>
  <c r="H249" i="16"/>
  <c r="G249" i="16"/>
  <c r="M248" i="16"/>
  <c r="L248" i="16"/>
  <c r="K248" i="16"/>
  <c r="J248" i="16"/>
  <c r="I248" i="16"/>
  <c r="H248" i="16"/>
  <c r="G248" i="16"/>
  <c r="M247" i="16"/>
  <c r="L247" i="16"/>
  <c r="K247" i="16"/>
  <c r="J247" i="16"/>
  <c r="I247" i="16"/>
  <c r="H247" i="16"/>
  <c r="G247" i="16"/>
  <c r="M246" i="16"/>
  <c r="L246" i="16"/>
  <c r="K246" i="16"/>
  <c r="J246" i="16"/>
  <c r="I246" i="16"/>
  <c r="H246" i="16"/>
  <c r="G246" i="16"/>
  <c r="M245" i="16"/>
  <c r="L245" i="16"/>
  <c r="K245" i="16"/>
  <c r="J245" i="16"/>
  <c r="I245" i="16"/>
  <c r="H245" i="16"/>
  <c r="G245" i="16"/>
  <c r="M244" i="16"/>
  <c r="L244" i="16"/>
  <c r="K244" i="16"/>
  <c r="J244" i="16"/>
  <c r="I244" i="16"/>
  <c r="H244" i="16"/>
  <c r="G244" i="16"/>
  <c r="M243" i="16"/>
  <c r="L243" i="16"/>
  <c r="K243" i="16"/>
  <c r="J243" i="16"/>
  <c r="I243" i="16"/>
  <c r="H243" i="16"/>
  <c r="G243" i="16"/>
  <c r="M242" i="16"/>
  <c r="L242" i="16"/>
  <c r="K242" i="16"/>
  <c r="J242" i="16"/>
  <c r="I242" i="16"/>
  <c r="H242" i="16"/>
  <c r="G242" i="16"/>
  <c r="M241" i="16"/>
  <c r="L241" i="16"/>
  <c r="K241" i="16"/>
  <c r="J241" i="16"/>
  <c r="I241" i="16"/>
  <c r="H241" i="16"/>
  <c r="G241" i="16"/>
  <c r="M240" i="16"/>
  <c r="L240" i="16"/>
  <c r="K240" i="16"/>
  <c r="J240" i="16"/>
  <c r="I240" i="16"/>
  <c r="H240" i="16"/>
  <c r="G240" i="16"/>
  <c r="M239" i="16"/>
  <c r="L239" i="16"/>
  <c r="K239" i="16"/>
  <c r="J239" i="16"/>
  <c r="I239" i="16"/>
  <c r="H239" i="16"/>
  <c r="G239" i="16"/>
  <c r="M238" i="16"/>
  <c r="L238" i="16"/>
  <c r="K238" i="16"/>
  <c r="J238" i="16"/>
  <c r="I238" i="16"/>
  <c r="H238" i="16"/>
  <c r="G238" i="16"/>
  <c r="M237" i="16"/>
  <c r="L237" i="16"/>
  <c r="K237" i="16"/>
  <c r="J237" i="16"/>
  <c r="I237" i="16"/>
  <c r="H237" i="16"/>
  <c r="G237" i="16"/>
  <c r="M236" i="16"/>
  <c r="L236" i="16"/>
  <c r="K236" i="16"/>
  <c r="J236" i="16"/>
  <c r="I236" i="16"/>
  <c r="H236" i="16"/>
  <c r="G236" i="16"/>
  <c r="M235" i="16"/>
  <c r="L235" i="16"/>
  <c r="K235" i="16"/>
  <c r="J235" i="16"/>
  <c r="I235" i="16"/>
  <c r="H235" i="16"/>
  <c r="G235" i="16"/>
  <c r="M234" i="16"/>
  <c r="L234" i="16"/>
  <c r="K234" i="16"/>
  <c r="J234" i="16"/>
  <c r="I234" i="16"/>
  <c r="H234" i="16"/>
  <c r="G234" i="16"/>
  <c r="M233" i="16"/>
  <c r="L233" i="16"/>
  <c r="K233" i="16"/>
  <c r="J233" i="16"/>
  <c r="I233" i="16"/>
  <c r="H233" i="16"/>
  <c r="G233" i="16"/>
  <c r="M232" i="16"/>
  <c r="L232" i="16"/>
  <c r="K232" i="16"/>
  <c r="J232" i="16"/>
  <c r="I232" i="16"/>
  <c r="H232" i="16"/>
  <c r="G232" i="16"/>
  <c r="M231" i="16"/>
  <c r="L231" i="16"/>
  <c r="K231" i="16"/>
  <c r="J231" i="16"/>
  <c r="I231" i="16"/>
  <c r="H231" i="16"/>
  <c r="G231" i="16"/>
  <c r="M230" i="16"/>
  <c r="L230" i="16"/>
  <c r="K230" i="16"/>
  <c r="J230" i="16"/>
  <c r="I230" i="16"/>
  <c r="H230" i="16"/>
  <c r="G230" i="16"/>
  <c r="M229" i="16"/>
  <c r="L229" i="16"/>
  <c r="K229" i="16"/>
  <c r="J229" i="16"/>
  <c r="I229" i="16"/>
  <c r="H229" i="16"/>
  <c r="G229" i="16"/>
  <c r="M228" i="16"/>
  <c r="L228" i="16"/>
  <c r="K228" i="16"/>
  <c r="J228" i="16"/>
  <c r="I228" i="16"/>
  <c r="H228" i="16"/>
  <c r="G228" i="16"/>
  <c r="M227" i="16"/>
  <c r="L227" i="16"/>
  <c r="K227" i="16"/>
  <c r="J227" i="16"/>
  <c r="I227" i="16"/>
  <c r="H227" i="16"/>
  <c r="G227" i="16"/>
  <c r="M226" i="16"/>
  <c r="L226" i="16"/>
  <c r="K226" i="16"/>
  <c r="J226" i="16"/>
  <c r="I226" i="16"/>
  <c r="H226" i="16"/>
  <c r="G226" i="16"/>
  <c r="M225" i="16"/>
  <c r="L225" i="16"/>
  <c r="K225" i="16"/>
  <c r="J225" i="16"/>
  <c r="I225" i="16"/>
  <c r="H225" i="16"/>
  <c r="G225" i="16"/>
  <c r="M224" i="16"/>
  <c r="L224" i="16"/>
  <c r="K224" i="16"/>
  <c r="J224" i="16"/>
  <c r="I224" i="16"/>
  <c r="H224" i="16"/>
  <c r="G224" i="16"/>
  <c r="M223" i="16"/>
  <c r="L223" i="16"/>
  <c r="K223" i="16"/>
  <c r="J223" i="16"/>
  <c r="I223" i="16"/>
  <c r="H223" i="16"/>
  <c r="G223" i="16"/>
  <c r="M222" i="16"/>
  <c r="L222" i="16"/>
  <c r="K222" i="16"/>
  <c r="J222" i="16"/>
  <c r="I222" i="16"/>
  <c r="H222" i="16"/>
  <c r="G222" i="16"/>
  <c r="M221" i="16"/>
  <c r="L221" i="16"/>
  <c r="K221" i="16"/>
  <c r="J221" i="16"/>
  <c r="I221" i="16"/>
  <c r="H221" i="16"/>
  <c r="G221" i="16"/>
  <c r="M220" i="16"/>
  <c r="L220" i="16"/>
  <c r="K220" i="16"/>
  <c r="J220" i="16"/>
  <c r="I220" i="16"/>
  <c r="H220" i="16"/>
  <c r="G220" i="16"/>
  <c r="M219" i="16"/>
  <c r="L219" i="16"/>
  <c r="K219" i="16"/>
  <c r="J219" i="16"/>
  <c r="I219" i="16"/>
  <c r="H219" i="16"/>
  <c r="G219" i="16"/>
  <c r="M218" i="16"/>
  <c r="L218" i="16"/>
  <c r="K218" i="16"/>
  <c r="J218" i="16"/>
  <c r="I218" i="16"/>
  <c r="H218" i="16"/>
  <c r="G218" i="16"/>
  <c r="M217" i="16"/>
  <c r="L217" i="16"/>
  <c r="K217" i="16"/>
  <c r="J217" i="16"/>
  <c r="I217" i="16"/>
  <c r="H217" i="16"/>
  <c r="G217" i="16"/>
  <c r="M216" i="16"/>
  <c r="L216" i="16"/>
  <c r="K216" i="16"/>
  <c r="J216" i="16"/>
  <c r="I216" i="16"/>
  <c r="H216" i="16"/>
  <c r="G216" i="16"/>
  <c r="M215" i="16"/>
  <c r="L215" i="16"/>
  <c r="K215" i="16"/>
  <c r="J215" i="16"/>
  <c r="I215" i="16"/>
  <c r="H215" i="16"/>
  <c r="G215" i="16"/>
  <c r="M214" i="16"/>
  <c r="L214" i="16"/>
  <c r="K214" i="16"/>
  <c r="J214" i="16"/>
  <c r="I214" i="16"/>
  <c r="H214" i="16"/>
  <c r="G214" i="16"/>
  <c r="M213" i="16"/>
  <c r="L213" i="16"/>
  <c r="K213" i="16"/>
  <c r="J213" i="16"/>
  <c r="I213" i="16"/>
  <c r="H213" i="16"/>
  <c r="G213" i="16"/>
  <c r="M212" i="16"/>
  <c r="L212" i="16"/>
  <c r="K212" i="16"/>
  <c r="J212" i="16"/>
  <c r="I212" i="16"/>
  <c r="H212" i="16"/>
  <c r="G212" i="16"/>
  <c r="M211" i="16"/>
  <c r="L211" i="16"/>
  <c r="K211" i="16"/>
  <c r="J211" i="16"/>
  <c r="I211" i="16"/>
  <c r="H211" i="16"/>
  <c r="G211" i="16"/>
  <c r="M210" i="16"/>
  <c r="L210" i="16"/>
  <c r="K210" i="16"/>
  <c r="J210" i="16"/>
  <c r="I210" i="16"/>
  <c r="H210" i="16"/>
  <c r="G210" i="16"/>
  <c r="M209" i="16"/>
  <c r="L209" i="16"/>
  <c r="K209" i="16"/>
  <c r="J209" i="16"/>
  <c r="I209" i="16"/>
  <c r="H209" i="16"/>
  <c r="G209" i="16"/>
  <c r="M208" i="16"/>
  <c r="L208" i="16"/>
  <c r="K208" i="16"/>
  <c r="J208" i="16"/>
  <c r="I208" i="16"/>
  <c r="H208" i="16"/>
  <c r="G208" i="16"/>
  <c r="M207" i="16"/>
  <c r="L207" i="16"/>
  <c r="K207" i="16"/>
  <c r="J207" i="16"/>
  <c r="I207" i="16"/>
  <c r="H207" i="16"/>
  <c r="G207" i="16"/>
  <c r="M206" i="16"/>
  <c r="L206" i="16"/>
  <c r="K206" i="16"/>
  <c r="J206" i="16"/>
  <c r="I206" i="16"/>
  <c r="H206" i="16"/>
  <c r="G206" i="16"/>
  <c r="M205" i="16"/>
  <c r="L205" i="16"/>
  <c r="K205" i="16"/>
  <c r="J205" i="16"/>
  <c r="I205" i="16"/>
  <c r="H205" i="16"/>
  <c r="G205" i="16"/>
  <c r="M204" i="16"/>
  <c r="L204" i="16"/>
  <c r="K204" i="16"/>
  <c r="J204" i="16"/>
  <c r="I204" i="16"/>
  <c r="H204" i="16"/>
  <c r="G204" i="16"/>
  <c r="M203" i="16"/>
  <c r="L203" i="16"/>
  <c r="K203" i="16"/>
  <c r="J203" i="16"/>
  <c r="I203" i="16"/>
  <c r="H203" i="16"/>
  <c r="G203" i="16"/>
  <c r="M202" i="16"/>
  <c r="L202" i="16"/>
  <c r="K202" i="16"/>
  <c r="J202" i="16"/>
  <c r="I202" i="16"/>
  <c r="H202" i="16"/>
  <c r="G202" i="16"/>
  <c r="M201" i="16"/>
  <c r="L201" i="16"/>
  <c r="K201" i="16"/>
  <c r="J201" i="16"/>
  <c r="I201" i="16"/>
  <c r="H201" i="16"/>
  <c r="G201" i="16"/>
  <c r="M200" i="16"/>
  <c r="L200" i="16"/>
  <c r="K200" i="16"/>
  <c r="J200" i="16"/>
  <c r="I200" i="16"/>
  <c r="H200" i="16"/>
  <c r="G200" i="16"/>
  <c r="M199" i="16"/>
  <c r="L199" i="16"/>
  <c r="K199" i="16"/>
  <c r="J199" i="16"/>
  <c r="I199" i="16"/>
  <c r="H199" i="16"/>
  <c r="G199" i="16"/>
  <c r="M198" i="16"/>
  <c r="L198" i="16"/>
  <c r="K198" i="16"/>
  <c r="J198" i="16"/>
  <c r="I198" i="16"/>
  <c r="H198" i="16"/>
  <c r="G198" i="16"/>
  <c r="M197" i="16"/>
  <c r="L197" i="16"/>
  <c r="K197" i="16"/>
  <c r="J197" i="16"/>
  <c r="I197" i="16"/>
  <c r="H197" i="16"/>
  <c r="G197" i="16"/>
  <c r="M196" i="16"/>
  <c r="L196" i="16"/>
  <c r="K196" i="16"/>
  <c r="J196" i="16"/>
  <c r="I196" i="16"/>
  <c r="H196" i="16"/>
  <c r="G196" i="16"/>
  <c r="M195" i="16"/>
  <c r="L195" i="16"/>
  <c r="K195" i="16"/>
  <c r="J195" i="16"/>
  <c r="I195" i="16"/>
  <c r="H195" i="16"/>
  <c r="G195" i="16"/>
  <c r="M194" i="16"/>
  <c r="L194" i="16"/>
  <c r="K194" i="16"/>
  <c r="J194" i="16"/>
  <c r="I194" i="16"/>
  <c r="H194" i="16"/>
  <c r="G194" i="16"/>
  <c r="M193" i="16"/>
  <c r="L193" i="16"/>
  <c r="K193" i="16"/>
  <c r="J193" i="16"/>
  <c r="I193" i="16"/>
  <c r="H193" i="16"/>
  <c r="G193" i="16"/>
  <c r="M192" i="16"/>
  <c r="L192" i="16"/>
  <c r="K192" i="16"/>
  <c r="J192" i="16"/>
  <c r="I192" i="16"/>
  <c r="H192" i="16"/>
  <c r="G192" i="16"/>
  <c r="M191" i="16"/>
  <c r="L191" i="16"/>
  <c r="K191" i="16"/>
  <c r="J191" i="16"/>
  <c r="I191" i="16"/>
  <c r="H191" i="16"/>
  <c r="G191" i="16"/>
  <c r="M190" i="16"/>
  <c r="L190" i="16"/>
  <c r="K190" i="16"/>
  <c r="J190" i="16"/>
  <c r="I190" i="16"/>
  <c r="H190" i="16"/>
  <c r="G190" i="16"/>
  <c r="M189" i="16"/>
  <c r="L189" i="16"/>
  <c r="K189" i="16"/>
  <c r="J189" i="16"/>
  <c r="I189" i="16"/>
  <c r="H189" i="16"/>
  <c r="G189" i="16"/>
  <c r="M188" i="16"/>
  <c r="L188" i="16"/>
  <c r="K188" i="16"/>
  <c r="J188" i="16"/>
  <c r="I188" i="16"/>
  <c r="H188" i="16"/>
  <c r="G188" i="16"/>
  <c r="M187" i="16"/>
  <c r="L187" i="16"/>
  <c r="K187" i="16"/>
  <c r="J187" i="16"/>
  <c r="I187" i="16"/>
  <c r="H187" i="16"/>
  <c r="G187" i="16"/>
  <c r="M186" i="16"/>
  <c r="L186" i="16"/>
  <c r="K186" i="16"/>
  <c r="J186" i="16"/>
  <c r="I186" i="16"/>
  <c r="H186" i="16"/>
  <c r="G186" i="16"/>
  <c r="M185" i="16"/>
  <c r="L185" i="16"/>
  <c r="K185" i="16"/>
  <c r="J185" i="16"/>
  <c r="I185" i="16"/>
  <c r="H185" i="16"/>
  <c r="G185" i="16"/>
  <c r="M184" i="16"/>
  <c r="L184" i="16"/>
  <c r="K184" i="16"/>
  <c r="J184" i="16"/>
  <c r="I184" i="16"/>
  <c r="H184" i="16"/>
  <c r="G184" i="16"/>
  <c r="M183" i="16"/>
  <c r="L183" i="16"/>
  <c r="K183" i="16"/>
  <c r="J183" i="16"/>
  <c r="I183" i="16"/>
  <c r="H183" i="16"/>
  <c r="G183" i="16"/>
  <c r="M182" i="16"/>
  <c r="L182" i="16"/>
  <c r="K182" i="16"/>
  <c r="J182" i="16"/>
  <c r="I182" i="16"/>
  <c r="H182" i="16"/>
  <c r="G182" i="16"/>
  <c r="M181" i="16"/>
  <c r="L181" i="16"/>
  <c r="K181" i="16"/>
  <c r="J181" i="16"/>
  <c r="I181" i="16"/>
  <c r="H181" i="16"/>
  <c r="G181" i="16"/>
  <c r="M180" i="16"/>
  <c r="L180" i="16"/>
  <c r="K180" i="16"/>
  <c r="J180" i="16"/>
  <c r="I180" i="16"/>
  <c r="H180" i="16"/>
  <c r="G180" i="16"/>
  <c r="M179" i="16"/>
  <c r="L179" i="16"/>
  <c r="K179" i="16"/>
  <c r="J179" i="16"/>
  <c r="I179" i="16"/>
  <c r="H179" i="16"/>
  <c r="G179" i="16"/>
  <c r="M178" i="16"/>
  <c r="L178" i="16"/>
  <c r="K178" i="16"/>
  <c r="J178" i="16"/>
  <c r="I178" i="16"/>
  <c r="H178" i="16"/>
  <c r="G178" i="16"/>
  <c r="M177" i="16"/>
  <c r="L177" i="16"/>
  <c r="K177" i="16"/>
  <c r="J177" i="16"/>
  <c r="I177" i="16"/>
  <c r="H177" i="16"/>
  <c r="G177" i="16"/>
  <c r="M176" i="16"/>
  <c r="L176" i="16"/>
  <c r="K176" i="16"/>
  <c r="J176" i="16"/>
  <c r="I176" i="16"/>
  <c r="H176" i="16"/>
  <c r="G176" i="16"/>
  <c r="M175" i="16"/>
  <c r="L175" i="16"/>
  <c r="K175" i="16"/>
  <c r="J175" i="16"/>
  <c r="I175" i="16"/>
  <c r="H175" i="16"/>
  <c r="G175" i="16"/>
  <c r="M174" i="16"/>
  <c r="L174" i="16"/>
  <c r="K174" i="16"/>
  <c r="J174" i="16"/>
  <c r="I174" i="16"/>
  <c r="H174" i="16"/>
  <c r="G174" i="16"/>
  <c r="M173" i="16"/>
  <c r="L173" i="16"/>
  <c r="K173" i="16"/>
  <c r="J173" i="16"/>
  <c r="I173" i="16"/>
  <c r="H173" i="16"/>
  <c r="G173" i="16"/>
  <c r="M172" i="16"/>
  <c r="L172" i="16"/>
  <c r="K172" i="16"/>
  <c r="J172" i="16"/>
  <c r="I172" i="16"/>
  <c r="H172" i="16"/>
  <c r="G172" i="16"/>
  <c r="M171" i="16"/>
  <c r="L171" i="16"/>
  <c r="K171" i="16"/>
  <c r="J171" i="16"/>
  <c r="I171" i="16"/>
  <c r="H171" i="16"/>
  <c r="G171" i="16"/>
  <c r="M170" i="16"/>
  <c r="L170" i="16"/>
  <c r="K170" i="16"/>
  <c r="J170" i="16"/>
  <c r="I170" i="16"/>
  <c r="H170" i="16"/>
  <c r="G170" i="16"/>
  <c r="M169" i="16"/>
  <c r="L169" i="16"/>
  <c r="K169" i="16"/>
  <c r="J169" i="16"/>
  <c r="I169" i="16"/>
  <c r="H169" i="16"/>
  <c r="G169" i="16"/>
  <c r="M168" i="16"/>
  <c r="L168" i="16"/>
  <c r="K168" i="16"/>
  <c r="J168" i="16"/>
  <c r="I168" i="16"/>
  <c r="H168" i="16"/>
  <c r="G168" i="16"/>
  <c r="M167" i="16"/>
  <c r="L167" i="16"/>
  <c r="K167" i="16"/>
  <c r="J167" i="16"/>
  <c r="I167" i="16"/>
  <c r="H167" i="16"/>
  <c r="G167" i="16"/>
  <c r="M166" i="16"/>
  <c r="L166" i="16"/>
  <c r="K166" i="16"/>
  <c r="J166" i="16"/>
  <c r="I166" i="16"/>
  <c r="H166" i="16"/>
  <c r="G166" i="16"/>
  <c r="M165" i="16"/>
  <c r="L165" i="16"/>
  <c r="K165" i="16"/>
  <c r="J165" i="16"/>
  <c r="I165" i="16"/>
  <c r="H165" i="16"/>
  <c r="G165" i="16"/>
  <c r="M164" i="16"/>
  <c r="L164" i="16"/>
  <c r="K164" i="16"/>
  <c r="J164" i="16"/>
  <c r="I164" i="16"/>
  <c r="H164" i="16"/>
  <c r="G164" i="16"/>
  <c r="M163" i="16"/>
  <c r="L163" i="16"/>
  <c r="K163" i="16"/>
  <c r="J163" i="16"/>
  <c r="I163" i="16"/>
  <c r="H163" i="16"/>
  <c r="G163" i="16"/>
  <c r="M162" i="16"/>
  <c r="L162" i="16"/>
  <c r="K162" i="16"/>
  <c r="J162" i="16"/>
  <c r="I162" i="16"/>
  <c r="H162" i="16"/>
  <c r="G162" i="16"/>
  <c r="M161" i="16"/>
  <c r="L161" i="16"/>
  <c r="K161" i="16"/>
  <c r="J161" i="16"/>
  <c r="I161" i="16"/>
  <c r="H161" i="16"/>
  <c r="G161" i="16"/>
  <c r="M160" i="16"/>
  <c r="L160" i="16"/>
  <c r="K160" i="16"/>
  <c r="J160" i="16"/>
  <c r="I160" i="16"/>
  <c r="H160" i="16"/>
  <c r="G160" i="16"/>
  <c r="M159" i="16"/>
  <c r="L159" i="16"/>
  <c r="K159" i="16"/>
  <c r="J159" i="16"/>
  <c r="I159" i="16"/>
  <c r="H159" i="16"/>
  <c r="G159" i="16"/>
  <c r="M158" i="16"/>
  <c r="L158" i="16"/>
  <c r="K158" i="16"/>
  <c r="J158" i="16"/>
  <c r="I158" i="16"/>
  <c r="H158" i="16"/>
  <c r="G158" i="16"/>
  <c r="M157" i="16"/>
  <c r="L157" i="16"/>
  <c r="K157" i="16"/>
  <c r="J157" i="16"/>
  <c r="I157" i="16"/>
  <c r="H157" i="16"/>
  <c r="G157" i="16"/>
  <c r="M156" i="16"/>
  <c r="L156" i="16"/>
  <c r="K156" i="16"/>
  <c r="J156" i="16"/>
  <c r="I156" i="16"/>
  <c r="H156" i="16"/>
  <c r="G156" i="16"/>
  <c r="M155" i="16"/>
  <c r="L155" i="16"/>
  <c r="K155" i="16"/>
  <c r="J155" i="16"/>
  <c r="I155" i="16"/>
  <c r="H155" i="16"/>
  <c r="G155" i="16"/>
  <c r="M154" i="16"/>
  <c r="L154" i="16"/>
  <c r="K154" i="16"/>
  <c r="J154" i="16"/>
  <c r="I154" i="16"/>
  <c r="H154" i="16"/>
  <c r="G154" i="16"/>
  <c r="M153" i="16"/>
  <c r="L153" i="16"/>
  <c r="K153" i="16"/>
  <c r="J153" i="16"/>
  <c r="I153" i="16"/>
  <c r="H153" i="16"/>
  <c r="G153" i="16"/>
  <c r="M152" i="16"/>
  <c r="L152" i="16"/>
  <c r="K152" i="16"/>
  <c r="J152" i="16"/>
  <c r="I152" i="16"/>
  <c r="H152" i="16"/>
  <c r="G152" i="16"/>
  <c r="M151" i="16"/>
  <c r="L151" i="16"/>
  <c r="K151" i="16"/>
  <c r="J151" i="16"/>
  <c r="I151" i="16"/>
  <c r="H151" i="16"/>
  <c r="G151" i="16"/>
  <c r="M150" i="16"/>
  <c r="L150" i="16"/>
  <c r="K150" i="16"/>
  <c r="J150" i="16"/>
  <c r="I150" i="16"/>
  <c r="H150" i="16"/>
  <c r="G150" i="16"/>
  <c r="M149" i="16"/>
  <c r="L149" i="16"/>
  <c r="K149" i="16"/>
  <c r="J149" i="16"/>
  <c r="I149" i="16"/>
  <c r="H149" i="16"/>
  <c r="G149" i="16"/>
  <c r="M148" i="16"/>
  <c r="L148" i="16"/>
  <c r="K148" i="16"/>
  <c r="J148" i="16"/>
  <c r="I148" i="16"/>
  <c r="H148" i="16"/>
  <c r="G148" i="16"/>
  <c r="M147" i="16"/>
  <c r="L147" i="16"/>
  <c r="K147" i="16"/>
  <c r="J147" i="16"/>
  <c r="I147" i="16"/>
  <c r="H147" i="16"/>
  <c r="G147" i="16"/>
  <c r="M146" i="16"/>
  <c r="L146" i="16"/>
  <c r="K146" i="16"/>
  <c r="J146" i="16"/>
  <c r="I146" i="16"/>
  <c r="H146" i="16"/>
  <c r="G146" i="16"/>
  <c r="M145" i="16"/>
  <c r="L145" i="16"/>
  <c r="K145" i="16"/>
  <c r="J145" i="16"/>
  <c r="I145" i="16"/>
  <c r="H145" i="16"/>
  <c r="G145" i="16"/>
  <c r="M144" i="16"/>
  <c r="L144" i="16"/>
  <c r="K144" i="16"/>
  <c r="J144" i="16"/>
  <c r="I144" i="16"/>
  <c r="H144" i="16"/>
  <c r="G144" i="16"/>
  <c r="M143" i="16"/>
  <c r="L143" i="16"/>
  <c r="K143" i="16"/>
  <c r="J143" i="16"/>
  <c r="I143" i="16"/>
  <c r="H143" i="16"/>
  <c r="G143" i="16"/>
  <c r="M142" i="16"/>
  <c r="L142" i="16"/>
  <c r="K142" i="16"/>
  <c r="J142" i="16"/>
  <c r="I142" i="16"/>
  <c r="H142" i="16"/>
  <c r="G142" i="16"/>
  <c r="M141" i="16"/>
  <c r="L141" i="16"/>
  <c r="K141" i="16"/>
  <c r="J141" i="16"/>
  <c r="I141" i="16"/>
  <c r="H141" i="16"/>
  <c r="G141" i="16"/>
  <c r="M140" i="16"/>
  <c r="L140" i="16"/>
  <c r="K140" i="16"/>
  <c r="J140" i="16"/>
  <c r="I140" i="16"/>
  <c r="H140" i="16"/>
  <c r="G140" i="16"/>
  <c r="M139" i="16"/>
  <c r="L139" i="16"/>
  <c r="K139" i="16"/>
  <c r="J139" i="16"/>
  <c r="I139" i="16"/>
  <c r="H139" i="16"/>
  <c r="G139" i="16"/>
  <c r="M138" i="16"/>
  <c r="L138" i="16"/>
  <c r="K138" i="16"/>
  <c r="J138" i="16"/>
  <c r="I138" i="16"/>
  <c r="H138" i="16"/>
  <c r="G138" i="16"/>
  <c r="M137" i="16"/>
  <c r="L137" i="16"/>
  <c r="K137" i="16"/>
  <c r="J137" i="16"/>
  <c r="I137" i="16"/>
  <c r="H137" i="16"/>
  <c r="G137" i="16"/>
  <c r="M136" i="16"/>
  <c r="L136" i="16"/>
  <c r="K136" i="16"/>
  <c r="J136" i="16"/>
  <c r="I136" i="16"/>
  <c r="H136" i="16"/>
  <c r="G136" i="16"/>
  <c r="M135" i="16"/>
  <c r="L135" i="16"/>
  <c r="K135" i="16"/>
  <c r="J135" i="16"/>
  <c r="I135" i="16"/>
  <c r="H135" i="16"/>
  <c r="G135" i="16"/>
  <c r="M134" i="16"/>
  <c r="L134" i="16"/>
  <c r="K134" i="16"/>
  <c r="J134" i="16"/>
  <c r="I134" i="16"/>
  <c r="H134" i="16"/>
  <c r="G134" i="16"/>
  <c r="M133" i="16"/>
  <c r="L133" i="16"/>
  <c r="K133" i="16"/>
  <c r="J133" i="16"/>
  <c r="I133" i="16"/>
  <c r="H133" i="16"/>
  <c r="G133" i="16"/>
  <c r="M132" i="16"/>
  <c r="L132" i="16"/>
  <c r="K132" i="16"/>
  <c r="J132" i="16"/>
  <c r="I132" i="16"/>
  <c r="H132" i="16"/>
  <c r="G132" i="16"/>
  <c r="M131" i="16"/>
  <c r="L131" i="16"/>
  <c r="K131" i="16"/>
  <c r="J131" i="16"/>
  <c r="I131" i="16"/>
  <c r="H131" i="16"/>
  <c r="G131" i="16"/>
  <c r="M130" i="16"/>
  <c r="L130" i="16"/>
  <c r="K130" i="16"/>
  <c r="J130" i="16"/>
  <c r="I130" i="16"/>
  <c r="H130" i="16"/>
  <c r="G130" i="16"/>
  <c r="M129" i="16"/>
  <c r="L129" i="16"/>
  <c r="K129" i="16"/>
  <c r="J129" i="16"/>
  <c r="I129" i="16"/>
  <c r="H129" i="16"/>
  <c r="G129" i="16"/>
  <c r="M128" i="16"/>
  <c r="L128" i="16"/>
  <c r="K128" i="16"/>
  <c r="J128" i="16"/>
  <c r="I128" i="16"/>
  <c r="H128" i="16"/>
  <c r="G128" i="16"/>
  <c r="M127" i="16"/>
  <c r="L127" i="16"/>
  <c r="K127" i="16"/>
  <c r="J127" i="16"/>
  <c r="I127" i="16"/>
  <c r="H127" i="16"/>
  <c r="G127" i="16"/>
  <c r="M126" i="16"/>
  <c r="L126" i="16"/>
  <c r="K126" i="16"/>
  <c r="J126" i="16"/>
  <c r="I126" i="16"/>
  <c r="H126" i="16"/>
  <c r="G126" i="16"/>
  <c r="M125" i="16"/>
  <c r="L125" i="16"/>
  <c r="K125" i="16"/>
  <c r="J125" i="16"/>
  <c r="I125" i="16"/>
  <c r="H125" i="16"/>
  <c r="G125" i="16"/>
  <c r="M124" i="16"/>
  <c r="L124" i="16"/>
  <c r="K124" i="16"/>
  <c r="J124" i="16"/>
  <c r="I124" i="16"/>
  <c r="H124" i="16"/>
  <c r="G124" i="16"/>
  <c r="M123" i="16"/>
  <c r="L123" i="16"/>
  <c r="K123" i="16"/>
  <c r="J123" i="16"/>
  <c r="I123" i="16"/>
  <c r="H123" i="16"/>
  <c r="G123" i="16"/>
  <c r="M122" i="16"/>
  <c r="L122" i="16"/>
  <c r="K122" i="16"/>
  <c r="J122" i="16"/>
  <c r="I122" i="16"/>
  <c r="H122" i="16"/>
  <c r="G122" i="16"/>
  <c r="M121" i="16"/>
  <c r="L121" i="16"/>
  <c r="K121" i="16"/>
  <c r="J121" i="16"/>
  <c r="I121" i="16"/>
  <c r="H121" i="16"/>
  <c r="G121" i="16"/>
  <c r="M120" i="16"/>
  <c r="L120" i="16"/>
  <c r="K120" i="16"/>
  <c r="J120" i="16"/>
  <c r="I120" i="16"/>
  <c r="H120" i="16"/>
  <c r="G120" i="16"/>
  <c r="M119" i="16"/>
  <c r="L119" i="16"/>
  <c r="K119" i="16"/>
  <c r="J119" i="16"/>
  <c r="I119" i="16"/>
  <c r="H119" i="16"/>
  <c r="G119" i="16"/>
  <c r="M118" i="16"/>
  <c r="L118" i="16"/>
  <c r="K118" i="16"/>
  <c r="J118" i="16"/>
  <c r="I118" i="16"/>
  <c r="H118" i="16"/>
  <c r="G118" i="16"/>
  <c r="M117" i="16"/>
  <c r="L117" i="16"/>
  <c r="K117" i="16"/>
  <c r="J117" i="16"/>
  <c r="I117" i="16"/>
  <c r="H117" i="16"/>
  <c r="G117" i="16"/>
  <c r="M116" i="16"/>
  <c r="L116" i="16"/>
  <c r="K116" i="16"/>
  <c r="J116" i="16"/>
  <c r="I116" i="16"/>
  <c r="H116" i="16"/>
  <c r="G116" i="16"/>
  <c r="M115" i="16"/>
  <c r="L115" i="16"/>
  <c r="K115" i="16"/>
  <c r="J115" i="16"/>
  <c r="I115" i="16"/>
  <c r="H115" i="16"/>
  <c r="G115" i="16"/>
  <c r="M114" i="16"/>
  <c r="L114" i="16"/>
  <c r="K114" i="16"/>
  <c r="J114" i="16"/>
  <c r="I114" i="16"/>
  <c r="H114" i="16"/>
  <c r="G114" i="16"/>
  <c r="M113" i="16"/>
  <c r="L113" i="16"/>
  <c r="K113" i="16"/>
  <c r="J113" i="16"/>
  <c r="I113" i="16"/>
  <c r="H113" i="16"/>
  <c r="G113" i="16"/>
  <c r="M112" i="16"/>
  <c r="L112" i="16"/>
  <c r="K112" i="16"/>
  <c r="J112" i="16"/>
  <c r="I112" i="16"/>
  <c r="H112" i="16"/>
  <c r="G112" i="16"/>
  <c r="M111" i="16"/>
  <c r="L111" i="16"/>
  <c r="K111" i="16"/>
  <c r="J111" i="16"/>
  <c r="I111" i="16"/>
  <c r="H111" i="16"/>
  <c r="G111" i="16"/>
  <c r="M110" i="16"/>
  <c r="L110" i="16"/>
  <c r="K110" i="16"/>
  <c r="J110" i="16"/>
  <c r="I110" i="16"/>
  <c r="H110" i="16"/>
  <c r="G110" i="16"/>
  <c r="M109" i="16"/>
  <c r="L109" i="16"/>
  <c r="K109" i="16"/>
  <c r="J109" i="16"/>
  <c r="I109" i="16"/>
  <c r="H109" i="16"/>
  <c r="G109" i="16"/>
  <c r="M108" i="16"/>
  <c r="L108" i="16"/>
  <c r="K108" i="16"/>
  <c r="J108" i="16"/>
  <c r="I108" i="16"/>
  <c r="H108" i="16"/>
  <c r="G108" i="16"/>
  <c r="M107" i="16"/>
  <c r="L107" i="16"/>
  <c r="K107" i="16"/>
  <c r="J107" i="16"/>
  <c r="I107" i="16"/>
  <c r="H107" i="16"/>
  <c r="G107" i="16"/>
  <c r="M106" i="16"/>
  <c r="L106" i="16"/>
  <c r="K106" i="16"/>
  <c r="J106" i="16"/>
  <c r="I106" i="16"/>
  <c r="H106" i="16"/>
  <c r="G106" i="16"/>
  <c r="M105" i="16"/>
  <c r="L105" i="16"/>
  <c r="K105" i="16"/>
  <c r="J105" i="16"/>
  <c r="I105" i="16"/>
  <c r="H105" i="16"/>
  <c r="G105" i="16"/>
  <c r="M104" i="16"/>
  <c r="L104" i="16"/>
  <c r="K104" i="16"/>
  <c r="J104" i="16"/>
  <c r="I104" i="16"/>
  <c r="H104" i="16"/>
  <c r="G104" i="16"/>
  <c r="M103" i="16"/>
  <c r="L103" i="16"/>
  <c r="K103" i="16"/>
  <c r="J103" i="16"/>
  <c r="I103" i="16"/>
  <c r="H103" i="16"/>
  <c r="G103" i="16"/>
  <c r="M102" i="16"/>
  <c r="L102" i="16"/>
  <c r="K102" i="16"/>
  <c r="J102" i="16"/>
  <c r="I102" i="16"/>
  <c r="H102" i="16"/>
  <c r="G102" i="16"/>
  <c r="M101" i="16"/>
  <c r="L101" i="16"/>
  <c r="K101" i="16"/>
  <c r="J101" i="16"/>
  <c r="I101" i="16"/>
  <c r="H101" i="16"/>
  <c r="G101" i="16"/>
  <c r="M100" i="16"/>
  <c r="L100" i="16"/>
  <c r="K100" i="16"/>
  <c r="J100" i="16"/>
  <c r="I100" i="16"/>
  <c r="H100" i="16"/>
  <c r="G100" i="16"/>
  <c r="M99" i="16"/>
  <c r="L99" i="16"/>
  <c r="K99" i="16"/>
  <c r="J99" i="16"/>
  <c r="I99" i="16"/>
  <c r="H99" i="16"/>
  <c r="G99" i="16"/>
  <c r="M98" i="16"/>
  <c r="L98" i="16"/>
  <c r="K98" i="16"/>
  <c r="J98" i="16"/>
  <c r="I98" i="16"/>
  <c r="H98" i="16"/>
  <c r="G98" i="16"/>
  <c r="M97" i="16"/>
  <c r="L97" i="16"/>
  <c r="K97" i="16"/>
  <c r="J97" i="16"/>
  <c r="I97" i="16"/>
  <c r="H97" i="16"/>
  <c r="G97" i="16"/>
  <c r="M96" i="16"/>
  <c r="L96" i="16"/>
  <c r="K96" i="16"/>
  <c r="J96" i="16"/>
  <c r="I96" i="16"/>
  <c r="H96" i="16"/>
  <c r="G96" i="16"/>
  <c r="M95" i="16"/>
  <c r="L95" i="16"/>
  <c r="K95" i="16"/>
  <c r="J95" i="16"/>
  <c r="I95" i="16"/>
  <c r="H95" i="16"/>
  <c r="G95" i="16"/>
  <c r="M94" i="16"/>
  <c r="L94" i="16"/>
  <c r="K94" i="16"/>
  <c r="J94" i="16"/>
  <c r="I94" i="16"/>
  <c r="H94" i="16"/>
  <c r="G94" i="16"/>
  <c r="M93" i="16"/>
  <c r="L93" i="16"/>
  <c r="K93" i="16"/>
  <c r="J93" i="16"/>
  <c r="I93" i="16"/>
  <c r="H93" i="16"/>
  <c r="G93" i="16"/>
  <c r="M92" i="16"/>
  <c r="L92" i="16"/>
  <c r="K92" i="16"/>
  <c r="J92" i="16"/>
  <c r="I92" i="16"/>
  <c r="H92" i="16"/>
  <c r="G92" i="16"/>
  <c r="M91" i="16"/>
  <c r="L91" i="16"/>
  <c r="K91" i="16"/>
  <c r="J91" i="16"/>
  <c r="I91" i="16"/>
  <c r="H91" i="16"/>
  <c r="G91" i="16"/>
  <c r="M90" i="16"/>
  <c r="L90" i="16"/>
  <c r="K90" i="16"/>
  <c r="J90" i="16"/>
  <c r="I90" i="16"/>
  <c r="H90" i="16"/>
  <c r="G90" i="16"/>
  <c r="M89" i="16"/>
  <c r="L89" i="16"/>
  <c r="K89" i="16"/>
  <c r="J89" i="16"/>
  <c r="I89" i="16"/>
  <c r="H89" i="16"/>
  <c r="G89" i="16"/>
  <c r="M88" i="16"/>
  <c r="L88" i="16"/>
  <c r="K88" i="16"/>
  <c r="J88" i="16"/>
  <c r="I88" i="16"/>
  <c r="H88" i="16"/>
  <c r="G88" i="16"/>
  <c r="M87" i="16"/>
  <c r="L87" i="16"/>
  <c r="K87" i="16"/>
  <c r="J87" i="16"/>
  <c r="I87" i="16"/>
  <c r="H87" i="16"/>
  <c r="G87" i="16"/>
  <c r="M86" i="16"/>
  <c r="L86" i="16"/>
  <c r="K86" i="16"/>
  <c r="J86" i="16"/>
  <c r="I86" i="16"/>
  <c r="H86" i="16"/>
  <c r="G86" i="16"/>
  <c r="M85" i="16"/>
  <c r="L85" i="16"/>
  <c r="K85" i="16"/>
  <c r="J85" i="16"/>
  <c r="I85" i="16"/>
  <c r="H85" i="16"/>
  <c r="G85" i="16"/>
  <c r="M84" i="16"/>
  <c r="L84" i="16"/>
  <c r="K84" i="16"/>
  <c r="J84" i="16"/>
  <c r="I84" i="16"/>
  <c r="H84" i="16"/>
  <c r="G84" i="16"/>
  <c r="M83" i="16"/>
  <c r="L83" i="16"/>
  <c r="K83" i="16"/>
  <c r="J83" i="16"/>
  <c r="I83" i="16"/>
  <c r="H83" i="16"/>
  <c r="G83" i="16"/>
  <c r="M82" i="16"/>
  <c r="L82" i="16"/>
  <c r="K82" i="16"/>
  <c r="J82" i="16"/>
  <c r="I82" i="16"/>
  <c r="H82" i="16"/>
  <c r="G82" i="16"/>
  <c r="M81" i="16"/>
  <c r="L81" i="16"/>
  <c r="K81" i="16"/>
  <c r="J81" i="16"/>
  <c r="I81" i="16"/>
  <c r="H81" i="16"/>
  <c r="G81" i="16"/>
  <c r="M80" i="16"/>
  <c r="L80" i="16"/>
  <c r="K80" i="16"/>
  <c r="J80" i="16"/>
  <c r="I80" i="16"/>
  <c r="H80" i="16"/>
  <c r="G80" i="16"/>
  <c r="M79" i="16"/>
  <c r="L79" i="16"/>
  <c r="K79" i="16"/>
  <c r="J79" i="16"/>
  <c r="I79" i="16"/>
  <c r="H79" i="16"/>
  <c r="G79" i="16"/>
  <c r="M78" i="16"/>
  <c r="L78" i="16"/>
  <c r="K78" i="16"/>
  <c r="J78" i="16"/>
  <c r="I78" i="16"/>
  <c r="H78" i="16"/>
  <c r="G78" i="16"/>
  <c r="M77" i="16"/>
  <c r="L77" i="16"/>
  <c r="K77" i="16"/>
  <c r="J77" i="16"/>
  <c r="I77" i="16"/>
  <c r="H77" i="16"/>
  <c r="G77" i="16"/>
  <c r="M76" i="16"/>
  <c r="L76" i="16"/>
  <c r="K76" i="16"/>
  <c r="J76" i="16"/>
  <c r="I76" i="16"/>
  <c r="H76" i="16"/>
  <c r="G76" i="16"/>
  <c r="M75" i="16"/>
  <c r="L75" i="16"/>
  <c r="K75" i="16"/>
  <c r="J75" i="16"/>
  <c r="I75" i="16"/>
  <c r="H75" i="16"/>
  <c r="G75" i="16"/>
  <c r="M74" i="16"/>
  <c r="L74" i="16"/>
  <c r="K74" i="16"/>
  <c r="J74" i="16"/>
  <c r="I74" i="16"/>
  <c r="H74" i="16"/>
  <c r="G74" i="16"/>
  <c r="M73" i="16"/>
  <c r="L73" i="16"/>
  <c r="K73" i="16"/>
  <c r="J73" i="16"/>
  <c r="I73" i="16"/>
  <c r="H73" i="16"/>
  <c r="G73" i="16"/>
  <c r="M72" i="16"/>
  <c r="L72" i="16"/>
  <c r="K72" i="16"/>
  <c r="J72" i="16"/>
  <c r="I72" i="16"/>
  <c r="H72" i="16"/>
  <c r="G72" i="16"/>
  <c r="M71" i="16"/>
  <c r="L71" i="16"/>
  <c r="K71" i="16"/>
  <c r="J71" i="16"/>
  <c r="I71" i="16"/>
  <c r="H71" i="16"/>
  <c r="G71" i="16"/>
  <c r="M70" i="16"/>
  <c r="L70" i="16"/>
  <c r="K70" i="16"/>
  <c r="J70" i="16"/>
  <c r="I70" i="16"/>
  <c r="H70" i="16"/>
  <c r="G70" i="16"/>
  <c r="M69" i="16"/>
  <c r="L69" i="16"/>
  <c r="K69" i="16"/>
  <c r="J69" i="16"/>
  <c r="I69" i="16"/>
  <c r="H69" i="16"/>
  <c r="G69" i="16"/>
  <c r="M68" i="16"/>
  <c r="L68" i="16"/>
  <c r="K68" i="16"/>
  <c r="J68" i="16"/>
  <c r="I68" i="16"/>
  <c r="H68" i="16"/>
  <c r="G68" i="16"/>
  <c r="M67" i="16"/>
  <c r="L67" i="16"/>
  <c r="K67" i="16"/>
  <c r="J67" i="16"/>
  <c r="I67" i="16"/>
  <c r="H67" i="16"/>
  <c r="G67" i="16"/>
  <c r="M66" i="16"/>
  <c r="L66" i="16"/>
  <c r="K66" i="16"/>
  <c r="J66" i="16"/>
  <c r="I66" i="16"/>
  <c r="H66" i="16"/>
  <c r="G66" i="16"/>
  <c r="M65" i="16"/>
  <c r="L65" i="16"/>
  <c r="K65" i="16"/>
  <c r="J65" i="16"/>
  <c r="I65" i="16"/>
  <c r="H65" i="16"/>
  <c r="G65" i="16"/>
  <c r="M64" i="16"/>
  <c r="L64" i="16"/>
  <c r="K64" i="16"/>
  <c r="J64" i="16"/>
  <c r="I64" i="16"/>
  <c r="H64" i="16"/>
  <c r="G64" i="16"/>
  <c r="M63" i="16"/>
  <c r="L63" i="16"/>
  <c r="K63" i="16"/>
  <c r="J63" i="16"/>
  <c r="I63" i="16"/>
  <c r="H63" i="16"/>
  <c r="G63" i="16"/>
  <c r="M62" i="16"/>
  <c r="L62" i="16"/>
  <c r="K62" i="16"/>
  <c r="J62" i="16"/>
  <c r="I62" i="16"/>
  <c r="H62" i="16"/>
  <c r="G62" i="16"/>
  <c r="M61" i="16"/>
  <c r="L61" i="16"/>
  <c r="K61" i="16"/>
  <c r="J61" i="16"/>
  <c r="I61" i="16"/>
  <c r="H61" i="16"/>
  <c r="G61" i="16"/>
  <c r="M60" i="16"/>
  <c r="L60" i="16"/>
  <c r="K60" i="16"/>
  <c r="J60" i="16"/>
  <c r="I60" i="16"/>
  <c r="H60" i="16"/>
  <c r="G60" i="16"/>
  <c r="M59" i="16"/>
  <c r="L59" i="16"/>
  <c r="K59" i="16"/>
  <c r="J59" i="16"/>
  <c r="I59" i="16"/>
  <c r="H59" i="16"/>
  <c r="G59" i="16"/>
  <c r="M58" i="16"/>
  <c r="L58" i="16"/>
  <c r="K58" i="16"/>
  <c r="J58" i="16"/>
  <c r="I58" i="16"/>
  <c r="H58" i="16"/>
  <c r="G58" i="16"/>
  <c r="M57" i="16"/>
  <c r="L57" i="16"/>
  <c r="K57" i="16"/>
  <c r="J57" i="16"/>
  <c r="I57" i="16"/>
  <c r="H57" i="16"/>
  <c r="G57" i="16"/>
  <c r="M56" i="16"/>
  <c r="L56" i="16"/>
  <c r="K56" i="16"/>
  <c r="J56" i="16"/>
  <c r="I56" i="16"/>
  <c r="H56" i="16"/>
  <c r="G56" i="16"/>
  <c r="M55" i="16"/>
  <c r="L55" i="16"/>
  <c r="K55" i="16"/>
  <c r="J55" i="16"/>
  <c r="I55" i="16"/>
  <c r="H55" i="16"/>
  <c r="G55" i="16"/>
  <c r="M54" i="16"/>
  <c r="L54" i="16"/>
  <c r="K54" i="16"/>
  <c r="J54" i="16"/>
  <c r="I54" i="16"/>
  <c r="H54" i="16"/>
  <c r="G54" i="16"/>
  <c r="M53" i="16"/>
  <c r="L53" i="16"/>
  <c r="K53" i="16"/>
  <c r="J53" i="16"/>
  <c r="I53" i="16"/>
  <c r="H53" i="16"/>
  <c r="G53" i="16"/>
  <c r="M52" i="16"/>
  <c r="L52" i="16"/>
  <c r="K52" i="16"/>
  <c r="J52" i="16"/>
  <c r="I52" i="16"/>
  <c r="H52" i="16"/>
  <c r="G52" i="16"/>
  <c r="M51" i="16"/>
  <c r="L51" i="16"/>
  <c r="K51" i="16"/>
  <c r="J51" i="16"/>
  <c r="I51" i="16"/>
  <c r="H51" i="16"/>
  <c r="G51" i="16"/>
  <c r="M50" i="16"/>
  <c r="L50" i="16"/>
  <c r="K50" i="16"/>
  <c r="J50" i="16"/>
  <c r="I50" i="16"/>
  <c r="H50" i="16"/>
  <c r="G50" i="16"/>
  <c r="M49" i="16"/>
  <c r="L49" i="16"/>
  <c r="K49" i="16"/>
  <c r="J49" i="16"/>
  <c r="I49" i="16"/>
  <c r="H49" i="16"/>
  <c r="G49" i="16"/>
  <c r="M48" i="16"/>
  <c r="L48" i="16"/>
  <c r="K48" i="16"/>
  <c r="J48" i="16"/>
  <c r="I48" i="16"/>
  <c r="H48" i="16"/>
  <c r="G48" i="16"/>
  <c r="M47" i="16"/>
  <c r="L47" i="16"/>
  <c r="K47" i="16"/>
  <c r="J47" i="16"/>
  <c r="I47" i="16"/>
  <c r="H47" i="16"/>
  <c r="G47" i="16"/>
  <c r="M46" i="16"/>
  <c r="L46" i="16"/>
  <c r="K46" i="16"/>
  <c r="J46" i="16"/>
  <c r="I46" i="16"/>
  <c r="H46" i="16"/>
  <c r="G46" i="16"/>
  <c r="M45" i="16"/>
  <c r="L45" i="16"/>
  <c r="K45" i="16"/>
  <c r="J45" i="16"/>
  <c r="I45" i="16"/>
  <c r="H45" i="16"/>
  <c r="G45" i="16"/>
  <c r="M44" i="16"/>
  <c r="L44" i="16"/>
  <c r="K44" i="16"/>
  <c r="J44" i="16"/>
  <c r="I44" i="16"/>
  <c r="H44" i="16"/>
  <c r="G44" i="16"/>
  <c r="M43" i="16"/>
  <c r="L43" i="16"/>
  <c r="K43" i="16"/>
  <c r="J43" i="16"/>
  <c r="I43" i="16"/>
  <c r="H43" i="16"/>
  <c r="G43" i="16"/>
  <c r="M42" i="16"/>
  <c r="L42" i="16"/>
  <c r="K42" i="16"/>
  <c r="J42" i="16"/>
  <c r="I42" i="16"/>
  <c r="H42" i="16"/>
  <c r="G42" i="16"/>
  <c r="M41" i="16"/>
  <c r="L41" i="16"/>
  <c r="K41" i="16"/>
  <c r="J41" i="16"/>
  <c r="I41" i="16"/>
  <c r="H41" i="16"/>
  <c r="G41" i="16"/>
  <c r="M40" i="16"/>
  <c r="L40" i="16"/>
  <c r="K40" i="16"/>
  <c r="J40" i="16"/>
  <c r="I40" i="16"/>
  <c r="H40" i="16"/>
  <c r="G40" i="16"/>
  <c r="M39" i="16"/>
  <c r="L39" i="16"/>
  <c r="K39" i="16"/>
  <c r="J39" i="16"/>
  <c r="I39" i="16"/>
  <c r="H39" i="16"/>
  <c r="G39" i="16"/>
  <c r="M38" i="16"/>
  <c r="L38" i="16"/>
  <c r="K38" i="16"/>
  <c r="J38" i="16"/>
  <c r="I38" i="16"/>
  <c r="H38" i="16"/>
  <c r="G38" i="16"/>
  <c r="M37" i="16"/>
  <c r="L37" i="16"/>
  <c r="K37" i="16"/>
  <c r="J37" i="16"/>
  <c r="I37" i="16"/>
  <c r="H37" i="16"/>
  <c r="G37" i="16"/>
  <c r="M36" i="16"/>
  <c r="L36" i="16"/>
  <c r="K36" i="16"/>
  <c r="J36" i="16"/>
  <c r="I36" i="16"/>
  <c r="H36" i="16"/>
  <c r="G36" i="16"/>
  <c r="M35" i="16"/>
  <c r="L35" i="16"/>
  <c r="K35" i="16"/>
  <c r="J35" i="16"/>
  <c r="I35" i="16"/>
  <c r="H35" i="16"/>
  <c r="G35" i="16"/>
  <c r="M34" i="16"/>
  <c r="L34" i="16"/>
  <c r="K34" i="16"/>
  <c r="J34" i="16"/>
  <c r="I34" i="16"/>
  <c r="H34" i="16"/>
  <c r="G34" i="16"/>
  <c r="M33" i="16"/>
  <c r="L33" i="16"/>
  <c r="K33" i="16"/>
  <c r="J33" i="16"/>
  <c r="I33" i="16"/>
  <c r="H33" i="16"/>
  <c r="G33" i="16"/>
  <c r="M32" i="16"/>
  <c r="L32" i="16"/>
  <c r="K32" i="16"/>
  <c r="J32" i="16"/>
  <c r="I32" i="16"/>
  <c r="H32" i="16"/>
  <c r="G32" i="16"/>
  <c r="M31" i="16"/>
  <c r="L31" i="16"/>
  <c r="K31" i="16"/>
  <c r="J31" i="16"/>
  <c r="I31" i="16"/>
  <c r="H31" i="16"/>
  <c r="G31" i="16"/>
  <c r="M30" i="16"/>
  <c r="L30" i="16"/>
  <c r="K30" i="16"/>
  <c r="J30" i="16"/>
  <c r="I30" i="16"/>
  <c r="H30" i="16"/>
  <c r="G30" i="16"/>
  <c r="M29" i="16"/>
  <c r="L29" i="16"/>
  <c r="K29" i="16"/>
  <c r="J29" i="16"/>
  <c r="I29" i="16"/>
  <c r="H29" i="16"/>
  <c r="G29" i="16"/>
  <c r="M28" i="16"/>
  <c r="L28" i="16"/>
  <c r="K28" i="16"/>
  <c r="J28" i="16"/>
  <c r="I28" i="16"/>
  <c r="H28" i="16"/>
  <c r="G28" i="16"/>
  <c r="M27" i="16"/>
  <c r="L27" i="16"/>
  <c r="K27" i="16"/>
  <c r="J27" i="16"/>
  <c r="I27" i="16"/>
  <c r="H27" i="16"/>
  <c r="G27" i="16"/>
  <c r="M26" i="16"/>
  <c r="L26" i="16"/>
  <c r="K26" i="16"/>
  <c r="J26" i="16"/>
  <c r="I26" i="16"/>
  <c r="H26" i="16"/>
  <c r="G26" i="16"/>
  <c r="M25" i="16"/>
  <c r="L25" i="16"/>
  <c r="K25" i="16"/>
  <c r="J25" i="16"/>
  <c r="I25" i="16"/>
  <c r="H25" i="16"/>
  <c r="G25" i="16"/>
  <c r="M24" i="16"/>
  <c r="L24" i="16"/>
  <c r="K24" i="16"/>
  <c r="J24" i="16"/>
  <c r="I24" i="16"/>
  <c r="H24" i="16"/>
  <c r="G24" i="16"/>
  <c r="M23" i="16"/>
  <c r="L23" i="16"/>
  <c r="K23" i="16"/>
  <c r="J23" i="16"/>
  <c r="I23" i="16"/>
  <c r="H23" i="16"/>
  <c r="G23" i="16"/>
  <c r="M22" i="16"/>
  <c r="L22" i="16"/>
  <c r="K22" i="16"/>
  <c r="J22" i="16"/>
  <c r="I22" i="16"/>
  <c r="H22" i="16"/>
  <c r="G22" i="16"/>
  <c r="M21" i="16"/>
  <c r="L21" i="16"/>
  <c r="K21" i="16"/>
  <c r="J21" i="16"/>
  <c r="I21" i="16"/>
  <c r="H21" i="16"/>
  <c r="G21" i="16"/>
  <c r="M20" i="16"/>
  <c r="L20" i="16"/>
  <c r="K20" i="16"/>
  <c r="J20" i="16"/>
  <c r="I20" i="16"/>
  <c r="H20" i="16"/>
  <c r="G20" i="16"/>
  <c r="M19" i="16"/>
  <c r="L19" i="16"/>
  <c r="K19" i="16"/>
  <c r="J19" i="16"/>
  <c r="I19" i="16"/>
  <c r="H19" i="16"/>
  <c r="G19" i="16"/>
  <c r="M18" i="16"/>
  <c r="L18" i="16"/>
  <c r="K18" i="16"/>
  <c r="J18" i="16"/>
  <c r="I18" i="16"/>
  <c r="H18" i="16"/>
  <c r="G18" i="16"/>
  <c r="M17" i="16"/>
  <c r="L17" i="16"/>
  <c r="K17" i="16"/>
  <c r="J17" i="16"/>
  <c r="I17" i="16"/>
  <c r="H17" i="16"/>
  <c r="G17" i="16"/>
  <c r="M16" i="16"/>
  <c r="L16" i="16"/>
  <c r="K16" i="16"/>
  <c r="J16" i="16"/>
  <c r="I16" i="16"/>
  <c r="H16" i="16"/>
  <c r="G16" i="16"/>
  <c r="M15" i="16"/>
  <c r="L15" i="16"/>
  <c r="K15" i="16"/>
  <c r="J15" i="16"/>
  <c r="I15" i="16"/>
  <c r="H15" i="16"/>
  <c r="G15" i="16"/>
  <c r="M14" i="16"/>
  <c r="L14" i="16"/>
  <c r="K14" i="16"/>
  <c r="J14" i="16"/>
  <c r="I14" i="16"/>
  <c r="H14" i="16"/>
  <c r="G14" i="16"/>
  <c r="M13" i="16"/>
  <c r="L13" i="16"/>
  <c r="K13" i="16"/>
  <c r="J13" i="16"/>
  <c r="I13" i="16"/>
  <c r="H13" i="16"/>
  <c r="G13" i="16"/>
  <c r="M12" i="16"/>
  <c r="L12" i="16"/>
  <c r="K12" i="16"/>
  <c r="J12" i="16"/>
  <c r="I12" i="16"/>
  <c r="H12" i="16"/>
  <c r="G12" i="16"/>
  <c r="M11" i="16"/>
  <c r="L11" i="16"/>
  <c r="K11" i="16"/>
  <c r="J11" i="16"/>
  <c r="I11" i="16"/>
  <c r="H11" i="16"/>
  <c r="G11" i="16"/>
  <c r="M10" i="16"/>
  <c r="L10" i="16"/>
  <c r="K10" i="16"/>
  <c r="J10" i="16"/>
  <c r="I10" i="16"/>
  <c r="H10" i="16"/>
  <c r="G10" i="16"/>
  <c r="M9" i="16"/>
  <c r="L9" i="16"/>
  <c r="K9" i="16"/>
  <c r="J9" i="16"/>
  <c r="I9" i="16"/>
  <c r="H9" i="16"/>
  <c r="G9" i="16"/>
  <c r="M8" i="16"/>
  <c r="L8" i="16"/>
  <c r="K8" i="16"/>
  <c r="J8" i="16"/>
  <c r="I8" i="16"/>
  <c r="H8" i="16"/>
  <c r="G8" i="16"/>
  <c r="M7" i="16"/>
  <c r="L7" i="16"/>
  <c r="K7" i="16"/>
  <c r="J7" i="16"/>
  <c r="I7" i="16"/>
  <c r="H7" i="16"/>
  <c r="G7" i="16"/>
  <c r="M6" i="16"/>
  <c r="L6" i="16"/>
  <c r="K6" i="16"/>
  <c r="J6" i="16"/>
  <c r="I6" i="16"/>
  <c r="H6" i="16"/>
  <c r="G6" i="16"/>
  <c r="M5" i="16"/>
  <c r="L5" i="16"/>
  <c r="K5" i="16"/>
  <c r="J5" i="16"/>
  <c r="I5" i="16"/>
  <c r="H5" i="16"/>
  <c r="G5" i="16"/>
  <c r="M4" i="16"/>
  <c r="L4" i="16"/>
  <c r="K4" i="16"/>
  <c r="J4" i="16"/>
  <c r="I4" i="16"/>
  <c r="H4" i="16"/>
  <c r="G4" i="16"/>
  <c r="M3" i="16"/>
  <c r="L3" i="16"/>
  <c r="K3" i="16"/>
  <c r="J3" i="16"/>
  <c r="I3" i="16"/>
  <c r="H3" i="16"/>
  <c r="G3" i="16"/>
  <c r="M2" i="16"/>
  <c r="L2" i="16"/>
  <c r="K2" i="16"/>
  <c r="J2" i="16"/>
  <c r="I2" i="16"/>
  <c r="H2" i="16"/>
  <c r="G2" i="16"/>
  <c r="AC175" i="15"/>
  <c r="AB175" i="15"/>
  <c r="AA175" i="15"/>
  <c r="Z175" i="15"/>
  <c r="Y175" i="15"/>
  <c r="X175" i="15"/>
  <c r="W175" i="15"/>
  <c r="V175" i="15"/>
  <c r="AC174" i="15"/>
  <c r="AB174" i="15"/>
  <c r="AA174" i="15"/>
  <c r="Z174" i="15"/>
  <c r="Y174" i="15"/>
  <c r="X174" i="15"/>
  <c r="W174" i="15"/>
  <c r="V174" i="15"/>
  <c r="AC173" i="15"/>
  <c r="AB173" i="15"/>
  <c r="AA173" i="15"/>
  <c r="Z173" i="15"/>
  <c r="Y173" i="15"/>
  <c r="X173" i="15"/>
  <c r="W173" i="15"/>
  <c r="V173" i="15"/>
  <c r="AC172" i="15"/>
  <c r="AB172" i="15"/>
  <c r="AA172" i="15"/>
  <c r="Z172" i="15"/>
  <c r="Y172" i="15"/>
  <c r="X172" i="15"/>
  <c r="W172" i="15"/>
  <c r="V172" i="15"/>
  <c r="AC171" i="15"/>
  <c r="AB171" i="15"/>
  <c r="AA171" i="15"/>
  <c r="Z171" i="15"/>
  <c r="Y171" i="15"/>
  <c r="X171" i="15"/>
  <c r="W171" i="15"/>
  <c r="V171" i="15"/>
  <c r="AC170" i="15"/>
  <c r="AB170" i="15"/>
  <c r="AA170" i="15"/>
  <c r="Z170" i="15"/>
  <c r="Y170" i="15"/>
  <c r="X170" i="15"/>
  <c r="W170" i="15"/>
  <c r="V170" i="15"/>
  <c r="AC169" i="15"/>
  <c r="AB169" i="15"/>
  <c r="AA169" i="15"/>
  <c r="Z169" i="15"/>
  <c r="Y169" i="15"/>
  <c r="X169" i="15"/>
  <c r="W169" i="15"/>
  <c r="V169" i="15"/>
  <c r="AC168" i="15"/>
  <c r="AB168" i="15"/>
  <c r="AA168" i="15"/>
  <c r="Z168" i="15"/>
  <c r="Y168" i="15"/>
  <c r="X168" i="15"/>
  <c r="W168" i="15"/>
  <c r="V168" i="15"/>
  <c r="AC167" i="15"/>
  <c r="AB167" i="15"/>
  <c r="AA167" i="15"/>
  <c r="Z167" i="15"/>
  <c r="Y167" i="15"/>
  <c r="X167" i="15"/>
  <c r="W167" i="15"/>
  <c r="V167" i="15"/>
  <c r="AC166" i="15"/>
  <c r="AB166" i="15"/>
  <c r="AA166" i="15"/>
  <c r="Z166" i="15"/>
  <c r="Y166" i="15"/>
  <c r="X166" i="15"/>
  <c r="W166" i="15"/>
  <c r="V166" i="15"/>
  <c r="AC165" i="15"/>
  <c r="AB165" i="15"/>
  <c r="AA165" i="15"/>
  <c r="Z165" i="15"/>
  <c r="Y165" i="15"/>
  <c r="X165" i="15"/>
  <c r="W165" i="15"/>
  <c r="V165" i="15"/>
  <c r="AC164" i="15"/>
  <c r="AB164" i="15"/>
  <c r="AA164" i="15"/>
  <c r="Z164" i="15"/>
  <c r="Y164" i="15"/>
  <c r="X164" i="15"/>
  <c r="W164" i="15"/>
  <c r="V164" i="15"/>
  <c r="AC163" i="15"/>
  <c r="AB163" i="15"/>
  <c r="AA163" i="15"/>
  <c r="Z163" i="15"/>
  <c r="Y163" i="15"/>
  <c r="X163" i="15"/>
  <c r="W163" i="15"/>
  <c r="V163" i="15"/>
  <c r="AC162" i="15"/>
  <c r="AB162" i="15"/>
  <c r="AA162" i="15"/>
  <c r="Z162" i="15"/>
  <c r="Y162" i="15"/>
  <c r="X162" i="15"/>
  <c r="W162" i="15"/>
  <c r="V162" i="15"/>
  <c r="AC161" i="15"/>
  <c r="AB161" i="15"/>
  <c r="AA161" i="15"/>
  <c r="Z161" i="15"/>
  <c r="Y161" i="15"/>
  <c r="X161" i="15"/>
  <c r="W161" i="15"/>
  <c r="V161" i="15"/>
  <c r="AC160" i="15"/>
  <c r="AB160" i="15"/>
  <c r="AA160" i="15"/>
  <c r="Z160" i="15"/>
  <c r="Y160" i="15"/>
  <c r="X160" i="15"/>
  <c r="W160" i="15"/>
  <c r="V160" i="15"/>
  <c r="AC159" i="15"/>
  <c r="AB159" i="15"/>
  <c r="AA159" i="15"/>
  <c r="Z159" i="15"/>
  <c r="Y159" i="15"/>
  <c r="X159" i="15"/>
  <c r="W159" i="15"/>
  <c r="V159" i="15"/>
  <c r="AC158" i="15"/>
  <c r="AB158" i="15"/>
  <c r="AA158" i="15"/>
  <c r="Z158" i="15"/>
  <c r="Y158" i="15"/>
  <c r="X158" i="15"/>
  <c r="W158" i="15"/>
  <c r="V158" i="15"/>
  <c r="AC157" i="15"/>
  <c r="AB157" i="15"/>
  <c r="AA157" i="15"/>
  <c r="Z157" i="15"/>
  <c r="Y157" i="15"/>
  <c r="X157" i="15"/>
  <c r="W157" i="15"/>
  <c r="V157" i="15"/>
  <c r="AC156" i="15"/>
  <c r="AB156" i="15"/>
  <c r="AA156" i="15"/>
  <c r="Z156" i="15"/>
  <c r="Y156" i="15"/>
  <c r="X156" i="15"/>
  <c r="W156" i="15"/>
  <c r="V156" i="15"/>
  <c r="AC155" i="15"/>
  <c r="AB155" i="15"/>
  <c r="AA155" i="15"/>
  <c r="Z155" i="15"/>
  <c r="Y155" i="15"/>
  <c r="X155" i="15"/>
  <c r="W155" i="15"/>
  <c r="V155" i="15"/>
  <c r="AC154" i="15"/>
  <c r="AB154" i="15"/>
  <c r="AA154" i="15"/>
  <c r="Z154" i="15"/>
  <c r="Y154" i="15"/>
  <c r="X154" i="15"/>
  <c r="W154" i="15"/>
  <c r="V154" i="15"/>
  <c r="AC153" i="15"/>
  <c r="AB153" i="15"/>
  <c r="AA153" i="15"/>
  <c r="Z153" i="15"/>
  <c r="Y153" i="15"/>
  <c r="X153" i="15"/>
  <c r="W153" i="15"/>
  <c r="V153" i="15"/>
  <c r="AC152" i="15"/>
  <c r="AB152" i="15"/>
  <c r="AA152" i="15"/>
  <c r="Z152" i="15"/>
  <c r="Y152" i="15"/>
  <c r="X152" i="15"/>
  <c r="W152" i="15"/>
  <c r="V152" i="15"/>
  <c r="AC151" i="15"/>
  <c r="AB151" i="15"/>
  <c r="AA151" i="15"/>
  <c r="Z151" i="15"/>
  <c r="Y151" i="15"/>
  <c r="X151" i="15"/>
  <c r="W151" i="15"/>
  <c r="V151" i="15"/>
  <c r="AC150" i="15"/>
  <c r="AB150" i="15"/>
  <c r="AA150" i="15"/>
  <c r="Z150" i="15"/>
  <c r="Y150" i="15"/>
  <c r="X150" i="15"/>
  <c r="W150" i="15"/>
  <c r="V150" i="15"/>
  <c r="AC149" i="15"/>
  <c r="AB149" i="15"/>
  <c r="AA149" i="15"/>
  <c r="Z149" i="15"/>
  <c r="Y149" i="15"/>
  <c r="X149" i="15"/>
  <c r="W149" i="15"/>
  <c r="V149" i="15"/>
  <c r="AC148" i="15"/>
  <c r="AB148" i="15"/>
  <c r="AA148" i="15"/>
  <c r="Z148" i="15"/>
  <c r="Y148" i="15"/>
  <c r="X148" i="15"/>
  <c r="W148" i="15"/>
  <c r="V148" i="15"/>
  <c r="AC147" i="15"/>
  <c r="AB147" i="15"/>
  <c r="AA147" i="15"/>
  <c r="Z147" i="15"/>
  <c r="Y147" i="15"/>
  <c r="X147" i="15"/>
  <c r="W147" i="15"/>
  <c r="V147" i="15"/>
  <c r="AC146" i="15"/>
  <c r="AB146" i="15"/>
  <c r="AA146" i="15"/>
  <c r="Z146" i="15"/>
  <c r="Y146" i="15"/>
  <c r="X146" i="15"/>
  <c r="W146" i="15"/>
  <c r="V146" i="15"/>
  <c r="AC145" i="15"/>
  <c r="AB145" i="15"/>
  <c r="AA145" i="15"/>
  <c r="Z145" i="15"/>
  <c r="Y145" i="15"/>
  <c r="X145" i="15"/>
  <c r="W145" i="15"/>
  <c r="V145" i="15"/>
  <c r="AC144" i="15"/>
  <c r="AB144" i="15"/>
  <c r="AA144" i="15"/>
  <c r="Z144" i="15"/>
  <c r="Y144" i="15"/>
  <c r="X144" i="15"/>
  <c r="W144" i="15"/>
  <c r="V144" i="15"/>
  <c r="AC143" i="15"/>
  <c r="AB143" i="15"/>
  <c r="AA143" i="15"/>
  <c r="Z143" i="15"/>
  <c r="Y143" i="15"/>
  <c r="X143" i="15"/>
  <c r="W143" i="15"/>
  <c r="V143" i="15"/>
  <c r="AC142" i="15"/>
  <c r="AB142" i="15"/>
  <c r="AA142" i="15"/>
  <c r="Z142" i="15"/>
  <c r="Y142" i="15"/>
  <c r="X142" i="15"/>
  <c r="W142" i="15"/>
  <c r="V142" i="15"/>
  <c r="AC141" i="15"/>
  <c r="AB141" i="15"/>
  <c r="AA141" i="15"/>
  <c r="Z141" i="15"/>
  <c r="Y141" i="15"/>
  <c r="X141" i="15"/>
  <c r="W141" i="15"/>
  <c r="V141" i="15"/>
  <c r="AC140" i="15"/>
  <c r="AB140" i="15"/>
  <c r="AA140" i="15"/>
  <c r="Z140" i="15"/>
  <c r="Y140" i="15"/>
  <c r="X140" i="15"/>
  <c r="W140" i="15"/>
  <c r="V140" i="15"/>
  <c r="AC139" i="15"/>
  <c r="AB139" i="15"/>
  <c r="AA139" i="15"/>
  <c r="Z139" i="15"/>
  <c r="Y139" i="15"/>
  <c r="X139" i="15"/>
  <c r="W139" i="15"/>
  <c r="V139" i="15"/>
  <c r="AC138" i="15"/>
  <c r="AB138" i="15"/>
  <c r="AA138" i="15"/>
  <c r="Z138" i="15"/>
  <c r="Y138" i="15"/>
  <c r="X138" i="15"/>
  <c r="W138" i="15"/>
  <c r="V138" i="15"/>
  <c r="AC137" i="15"/>
  <c r="AB137" i="15"/>
  <c r="AA137" i="15"/>
  <c r="Z137" i="15"/>
  <c r="Y137" i="15"/>
  <c r="X137" i="15"/>
  <c r="W137" i="15"/>
  <c r="V137" i="15"/>
  <c r="AC136" i="15"/>
  <c r="AB136" i="15"/>
  <c r="AA136" i="15"/>
  <c r="Z136" i="15"/>
  <c r="Y136" i="15"/>
  <c r="X136" i="15"/>
  <c r="W136" i="15"/>
  <c r="V136" i="15"/>
  <c r="AC135" i="15"/>
  <c r="AB135" i="15"/>
  <c r="AA135" i="15"/>
  <c r="Z135" i="15"/>
  <c r="Y135" i="15"/>
  <c r="X135" i="15"/>
  <c r="W135" i="15"/>
  <c r="V135" i="15"/>
  <c r="AC134" i="15"/>
  <c r="AB134" i="15"/>
  <c r="AA134" i="15"/>
  <c r="Z134" i="15"/>
  <c r="Y134" i="15"/>
  <c r="X134" i="15"/>
  <c r="W134" i="15"/>
  <c r="V134" i="15"/>
  <c r="AC133" i="15"/>
  <c r="AB133" i="15"/>
  <c r="AA133" i="15"/>
  <c r="Z133" i="15"/>
  <c r="Y133" i="15"/>
  <c r="X133" i="15"/>
  <c r="W133" i="15"/>
  <c r="V133" i="15"/>
  <c r="AC132" i="15"/>
  <c r="AB132" i="15"/>
  <c r="AA132" i="15"/>
  <c r="Z132" i="15"/>
  <c r="Y132" i="15"/>
  <c r="X132" i="15"/>
  <c r="W132" i="15"/>
  <c r="V132" i="15"/>
  <c r="AC131" i="15"/>
  <c r="AB131" i="15"/>
  <c r="AA131" i="15"/>
  <c r="Z131" i="15"/>
  <c r="Y131" i="15"/>
  <c r="X131" i="15"/>
  <c r="W131" i="15"/>
  <c r="V131" i="15"/>
  <c r="AC130" i="15"/>
  <c r="AB130" i="15"/>
  <c r="AA130" i="15"/>
  <c r="Z130" i="15"/>
  <c r="Y130" i="15"/>
  <c r="X130" i="15"/>
  <c r="W130" i="15"/>
  <c r="V130" i="15"/>
  <c r="AC129" i="15"/>
  <c r="AB129" i="15"/>
  <c r="AA129" i="15"/>
  <c r="Z129" i="15"/>
  <c r="Y129" i="15"/>
  <c r="X129" i="15"/>
  <c r="W129" i="15"/>
  <c r="V129" i="15"/>
  <c r="AC128" i="15"/>
  <c r="AB128" i="15"/>
  <c r="AA128" i="15"/>
  <c r="Z128" i="15"/>
  <c r="Y128" i="15"/>
  <c r="X128" i="15"/>
  <c r="W128" i="15"/>
  <c r="V128" i="15"/>
  <c r="AC127" i="15"/>
  <c r="AB127" i="15"/>
  <c r="AA127" i="15"/>
  <c r="Z127" i="15"/>
  <c r="Y127" i="15"/>
  <c r="X127" i="15"/>
  <c r="W127" i="15"/>
  <c r="V127" i="15"/>
  <c r="AC126" i="15"/>
  <c r="AB126" i="15"/>
  <c r="AA126" i="15"/>
  <c r="Z126" i="15"/>
  <c r="Y126" i="15"/>
  <c r="X126" i="15"/>
  <c r="W126" i="15"/>
  <c r="V126" i="15"/>
  <c r="AC125" i="15"/>
  <c r="AB125" i="15"/>
  <c r="AA125" i="15"/>
  <c r="Z125" i="15"/>
  <c r="Y125" i="15"/>
  <c r="X125" i="15"/>
  <c r="W125" i="15"/>
  <c r="V125" i="15"/>
  <c r="AC124" i="15"/>
  <c r="AB124" i="15"/>
  <c r="AA124" i="15"/>
  <c r="Z124" i="15"/>
  <c r="Y124" i="15"/>
  <c r="X124" i="15"/>
  <c r="W124" i="15"/>
  <c r="V124" i="15"/>
  <c r="AC123" i="15"/>
  <c r="AB123" i="15"/>
  <c r="AA123" i="15"/>
  <c r="Z123" i="15"/>
  <c r="Y123" i="15"/>
  <c r="X123" i="15"/>
  <c r="W123" i="15"/>
  <c r="V123" i="15"/>
  <c r="AC122" i="15"/>
  <c r="AB122" i="15"/>
  <c r="AA122" i="15"/>
  <c r="Z122" i="15"/>
  <c r="Y122" i="15"/>
  <c r="X122" i="15"/>
  <c r="W122" i="15"/>
  <c r="V122" i="15"/>
  <c r="AC121" i="15"/>
  <c r="AB121" i="15"/>
  <c r="AA121" i="15"/>
  <c r="Z121" i="15"/>
  <c r="Y121" i="15"/>
  <c r="X121" i="15"/>
  <c r="W121" i="15"/>
  <c r="V121" i="15"/>
  <c r="AC120" i="15"/>
  <c r="AB120" i="15"/>
  <c r="AA120" i="15"/>
  <c r="Z120" i="15"/>
  <c r="Y120" i="15"/>
  <c r="X120" i="15"/>
  <c r="W120" i="15"/>
  <c r="V120" i="15"/>
  <c r="AC119" i="15"/>
  <c r="AB119" i="15"/>
  <c r="AA119" i="15"/>
  <c r="Z119" i="15"/>
  <c r="Y119" i="15"/>
  <c r="X119" i="15"/>
  <c r="W119" i="15"/>
  <c r="V119" i="15"/>
  <c r="AC118" i="15"/>
  <c r="AB118" i="15"/>
  <c r="AA118" i="15"/>
  <c r="Z118" i="15"/>
  <c r="Y118" i="15"/>
  <c r="X118" i="15"/>
  <c r="W118" i="15"/>
  <c r="V118" i="15"/>
  <c r="AC117" i="15"/>
  <c r="AB117" i="15"/>
  <c r="AA117" i="15"/>
  <c r="Z117" i="15"/>
  <c r="Y117" i="15"/>
  <c r="X117" i="15"/>
  <c r="W117" i="15"/>
  <c r="V117" i="15"/>
  <c r="AC116" i="15"/>
  <c r="AB116" i="15"/>
  <c r="AA116" i="15"/>
  <c r="Z116" i="15"/>
  <c r="Y116" i="15"/>
  <c r="X116" i="15"/>
  <c r="W116" i="15"/>
  <c r="V116" i="15"/>
  <c r="AC115" i="15"/>
  <c r="AB115" i="15"/>
  <c r="AA115" i="15"/>
  <c r="Z115" i="15"/>
  <c r="Y115" i="15"/>
  <c r="X115" i="15"/>
  <c r="W115" i="15"/>
  <c r="V115" i="15"/>
  <c r="AC114" i="15"/>
  <c r="AB114" i="15"/>
  <c r="AA114" i="15"/>
  <c r="Z114" i="15"/>
  <c r="Y114" i="15"/>
  <c r="X114" i="15"/>
  <c r="W114" i="15"/>
  <c r="V114" i="15"/>
  <c r="AC113" i="15"/>
  <c r="AB113" i="15"/>
  <c r="AA113" i="15"/>
  <c r="Z113" i="15"/>
  <c r="Y113" i="15"/>
  <c r="X113" i="15"/>
  <c r="W113" i="15"/>
  <c r="V113" i="15"/>
  <c r="AC112" i="15"/>
  <c r="AB112" i="15"/>
  <c r="AA112" i="15"/>
  <c r="Z112" i="15"/>
  <c r="Y112" i="15"/>
  <c r="X112" i="15"/>
  <c r="W112" i="15"/>
  <c r="V112" i="15"/>
  <c r="AC111" i="15"/>
  <c r="AB111" i="15"/>
  <c r="AA111" i="15"/>
  <c r="Z111" i="15"/>
  <c r="Y111" i="15"/>
  <c r="X111" i="15"/>
  <c r="W111" i="15"/>
  <c r="V111" i="15"/>
  <c r="AC110" i="15"/>
  <c r="AB110" i="15"/>
  <c r="AA110" i="15"/>
  <c r="Z110" i="15"/>
  <c r="Y110" i="15"/>
  <c r="X110" i="15"/>
  <c r="W110" i="15"/>
  <c r="V110" i="15"/>
  <c r="AC109" i="15"/>
  <c r="AB109" i="15"/>
  <c r="AA109" i="15"/>
  <c r="Z109" i="15"/>
  <c r="Y109" i="15"/>
  <c r="X109" i="15"/>
  <c r="W109" i="15"/>
  <c r="V109" i="15"/>
  <c r="AC108" i="15"/>
  <c r="AB108" i="15"/>
  <c r="AA108" i="15"/>
  <c r="Z108" i="15"/>
  <c r="Y108" i="15"/>
  <c r="X108" i="15"/>
  <c r="W108" i="15"/>
  <c r="V108" i="15"/>
  <c r="AC107" i="15"/>
  <c r="AB107" i="15"/>
  <c r="AA107" i="15"/>
  <c r="Z107" i="15"/>
  <c r="Y107" i="15"/>
  <c r="X107" i="15"/>
  <c r="W107" i="15"/>
  <c r="V107" i="15"/>
  <c r="AC106" i="15"/>
  <c r="AB106" i="15"/>
  <c r="AA106" i="15"/>
  <c r="Z106" i="15"/>
  <c r="Y106" i="15"/>
  <c r="X106" i="15"/>
  <c r="W106" i="15"/>
  <c r="V106" i="15"/>
  <c r="AC105" i="15"/>
  <c r="AB105" i="15"/>
  <c r="AA105" i="15"/>
  <c r="Z105" i="15"/>
  <c r="Y105" i="15"/>
  <c r="X105" i="15"/>
  <c r="W105" i="15"/>
  <c r="V105" i="15"/>
  <c r="AC104" i="15"/>
  <c r="AB104" i="15"/>
  <c r="AA104" i="15"/>
  <c r="Z104" i="15"/>
  <c r="Y104" i="15"/>
  <c r="X104" i="15"/>
  <c r="W104" i="15"/>
  <c r="V104" i="15"/>
  <c r="AC103" i="15"/>
  <c r="AB103" i="15"/>
  <c r="AA103" i="15"/>
  <c r="Z103" i="15"/>
  <c r="Y103" i="15"/>
  <c r="X103" i="15"/>
  <c r="W103" i="15"/>
  <c r="V103" i="15"/>
  <c r="AC102" i="15"/>
  <c r="AB102" i="15"/>
  <c r="AA102" i="15"/>
  <c r="Z102" i="15"/>
  <c r="Y102" i="15"/>
  <c r="X102" i="15"/>
  <c r="W102" i="15"/>
  <c r="V102" i="15"/>
  <c r="AC101" i="15"/>
  <c r="AB101" i="15"/>
  <c r="AA101" i="15"/>
  <c r="Z101" i="15"/>
  <c r="Y101" i="15"/>
  <c r="X101" i="15"/>
  <c r="W101" i="15"/>
  <c r="V101" i="15"/>
  <c r="AC100" i="15"/>
  <c r="AB100" i="15"/>
  <c r="AA100" i="15"/>
  <c r="Z100" i="15"/>
  <c r="Y100" i="15"/>
  <c r="X100" i="15"/>
  <c r="W100" i="15"/>
  <c r="V100" i="15"/>
  <c r="AC99" i="15"/>
  <c r="AB99" i="15"/>
  <c r="AA99" i="15"/>
  <c r="Z99" i="15"/>
  <c r="Y99" i="15"/>
  <c r="X99" i="15"/>
  <c r="W99" i="15"/>
  <c r="V99" i="15"/>
  <c r="AC98" i="15"/>
  <c r="AB98" i="15"/>
  <c r="AA98" i="15"/>
  <c r="Z98" i="15"/>
  <c r="Y98" i="15"/>
  <c r="X98" i="15"/>
  <c r="W98" i="15"/>
  <c r="V98" i="15"/>
  <c r="AC97" i="15"/>
  <c r="AB97" i="15"/>
  <c r="AA97" i="15"/>
  <c r="Z97" i="15"/>
  <c r="Y97" i="15"/>
  <c r="X97" i="15"/>
  <c r="W97" i="15"/>
  <c r="V97" i="15"/>
  <c r="AC96" i="15"/>
  <c r="AB96" i="15"/>
  <c r="AA96" i="15"/>
  <c r="Z96" i="15"/>
  <c r="Y96" i="15"/>
  <c r="X96" i="15"/>
  <c r="W96" i="15"/>
  <c r="V96" i="15"/>
  <c r="AC95" i="15"/>
  <c r="AB95" i="15"/>
  <c r="AA95" i="15"/>
  <c r="Z95" i="15"/>
  <c r="Y95" i="15"/>
  <c r="X95" i="15"/>
  <c r="W95" i="15"/>
  <c r="V95" i="15"/>
  <c r="AC94" i="15"/>
  <c r="AB94" i="15"/>
  <c r="AA94" i="15"/>
  <c r="Z94" i="15"/>
  <c r="Y94" i="15"/>
  <c r="X94" i="15"/>
  <c r="W94" i="15"/>
  <c r="V94" i="15"/>
  <c r="AC93" i="15"/>
  <c r="AB93" i="15"/>
  <c r="AA93" i="15"/>
  <c r="Z93" i="15"/>
  <c r="Y93" i="15"/>
  <c r="X93" i="15"/>
  <c r="W93" i="15"/>
  <c r="V93" i="15"/>
  <c r="AC92" i="15"/>
  <c r="AB92" i="15"/>
  <c r="AA92" i="15"/>
  <c r="Z92" i="15"/>
  <c r="Y92" i="15"/>
  <c r="X92" i="15"/>
  <c r="W92" i="15"/>
  <c r="V92" i="15"/>
  <c r="AC91" i="15"/>
  <c r="AB91" i="15"/>
  <c r="AA91" i="15"/>
  <c r="Z91" i="15"/>
  <c r="Y91" i="15"/>
  <c r="X91" i="15"/>
  <c r="W91" i="15"/>
  <c r="V91" i="15"/>
  <c r="AC90" i="15"/>
  <c r="AB90" i="15"/>
  <c r="AA90" i="15"/>
  <c r="Z90" i="15"/>
  <c r="Y90" i="15"/>
  <c r="X90" i="15"/>
  <c r="W90" i="15"/>
  <c r="V90" i="15"/>
  <c r="AC89" i="15"/>
  <c r="AB89" i="15"/>
  <c r="AA89" i="15"/>
  <c r="Z89" i="15"/>
  <c r="Y89" i="15"/>
  <c r="X89" i="15"/>
  <c r="W89" i="15"/>
  <c r="V89" i="15"/>
  <c r="AC88" i="15"/>
  <c r="AB88" i="15"/>
  <c r="AA88" i="15"/>
  <c r="Z88" i="15"/>
  <c r="Y88" i="15"/>
  <c r="X88" i="15"/>
  <c r="W88" i="15"/>
  <c r="V88" i="15"/>
  <c r="AC87" i="15"/>
  <c r="AB87" i="15"/>
  <c r="AA87" i="15"/>
  <c r="Z87" i="15"/>
  <c r="Y87" i="15"/>
  <c r="X87" i="15"/>
  <c r="W87" i="15"/>
  <c r="V87" i="15"/>
  <c r="AC86" i="15"/>
  <c r="AB86" i="15"/>
  <c r="AA86" i="15"/>
  <c r="Z86" i="15"/>
  <c r="Y86" i="15"/>
  <c r="X86" i="15"/>
  <c r="W86" i="15"/>
  <c r="V86" i="15"/>
  <c r="AC85" i="15"/>
  <c r="AB85" i="15"/>
  <c r="AA85" i="15"/>
  <c r="Z85" i="15"/>
  <c r="Y85" i="15"/>
  <c r="X85" i="15"/>
  <c r="W85" i="15"/>
  <c r="V85" i="15"/>
  <c r="AC84" i="15"/>
  <c r="AB84" i="15"/>
  <c r="AA84" i="15"/>
  <c r="Z84" i="15"/>
  <c r="Y84" i="15"/>
  <c r="X84" i="15"/>
  <c r="W84" i="15"/>
  <c r="V84" i="15"/>
  <c r="AC83" i="15"/>
  <c r="AB83" i="15"/>
  <c r="AA83" i="15"/>
  <c r="Z83" i="15"/>
  <c r="Y83" i="15"/>
  <c r="X83" i="15"/>
  <c r="W83" i="15"/>
  <c r="V83" i="15"/>
  <c r="AC82" i="15"/>
  <c r="AB82" i="15"/>
  <c r="AA82" i="15"/>
  <c r="Z82" i="15"/>
  <c r="Y82" i="15"/>
  <c r="X82" i="15"/>
  <c r="W82" i="15"/>
  <c r="V82" i="15"/>
  <c r="AC81" i="15"/>
  <c r="AB81" i="15"/>
  <c r="AA81" i="15"/>
  <c r="Z81" i="15"/>
  <c r="Y81" i="15"/>
  <c r="X81" i="15"/>
  <c r="W81" i="15"/>
  <c r="V81" i="15"/>
  <c r="AC80" i="15"/>
  <c r="AB80" i="15"/>
  <c r="AA80" i="15"/>
  <c r="Z80" i="15"/>
  <c r="Y80" i="15"/>
  <c r="X80" i="15"/>
  <c r="W80" i="15"/>
  <c r="V80" i="15"/>
  <c r="AC79" i="15"/>
  <c r="AB79" i="15"/>
  <c r="AA79" i="15"/>
  <c r="Z79" i="15"/>
  <c r="Y79" i="15"/>
  <c r="X79" i="15"/>
  <c r="W79" i="15"/>
  <c r="V79" i="15"/>
  <c r="AC78" i="15"/>
  <c r="AB78" i="15"/>
  <c r="AA78" i="15"/>
  <c r="Z78" i="15"/>
  <c r="Y78" i="15"/>
  <c r="X78" i="15"/>
  <c r="W78" i="15"/>
  <c r="V78" i="15"/>
  <c r="AC77" i="15"/>
  <c r="AB77" i="15"/>
  <c r="AA77" i="15"/>
  <c r="Z77" i="15"/>
  <c r="Y77" i="15"/>
  <c r="X77" i="15"/>
  <c r="W77" i="15"/>
  <c r="V77" i="15"/>
  <c r="AC76" i="15"/>
  <c r="AB76" i="15"/>
  <c r="AA76" i="15"/>
  <c r="Z76" i="15"/>
  <c r="Y76" i="15"/>
  <c r="X76" i="15"/>
  <c r="W76" i="15"/>
  <c r="V76" i="15"/>
  <c r="AC75" i="15"/>
  <c r="AB75" i="15"/>
  <c r="AA75" i="15"/>
  <c r="Z75" i="15"/>
  <c r="Y75" i="15"/>
  <c r="X75" i="15"/>
  <c r="W75" i="15"/>
  <c r="V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AC72" i="15"/>
  <c r="AB72" i="15"/>
  <c r="AA72" i="15"/>
  <c r="Z72" i="15"/>
  <c r="Y72" i="15"/>
  <c r="X72" i="15"/>
  <c r="W72" i="15"/>
  <c r="V72" i="15"/>
  <c r="AC71" i="15"/>
  <c r="AB71" i="15"/>
  <c r="AA71" i="15"/>
  <c r="Z71" i="15"/>
  <c r="Y71" i="15"/>
  <c r="X71" i="15"/>
  <c r="W71" i="15"/>
  <c r="V71" i="15"/>
  <c r="AC70" i="15"/>
  <c r="AB70" i="15"/>
  <c r="AA70" i="15"/>
  <c r="Z70" i="15"/>
  <c r="Y70" i="15"/>
  <c r="X70" i="15"/>
  <c r="W70" i="15"/>
  <c r="V70" i="15"/>
  <c r="AC69" i="15"/>
  <c r="AB69" i="15"/>
  <c r="AA69" i="15"/>
  <c r="Z69" i="15"/>
  <c r="Y69" i="15"/>
  <c r="X69" i="15"/>
  <c r="W69" i="15"/>
  <c r="V69" i="15"/>
  <c r="AC68" i="15"/>
  <c r="AB68" i="15"/>
  <c r="AA68" i="15"/>
  <c r="Z68" i="15"/>
  <c r="Y68" i="15"/>
  <c r="X68" i="15"/>
  <c r="W68" i="15"/>
  <c r="V68" i="15"/>
  <c r="AC67" i="15"/>
  <c r="AB67" i="15"/>
  <c r="AA67" i="15"/>
  <c r="Z67" i="15"/>
  <c r="Y67" i="15"/>
  <c r="X67" i="15"/>
  <c r="W67" i="15"/>
  <c r="V67" i="15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AC64" i="15"/>
  <c r="AB64" i="15"/>
  <c r="AA64" i="15"/>
  <c r="Z64" i="15"/>
  <c r="Y64" i="15"/>
  <c r="X64" i="15"/>
  <c r="W64" i="15"/>
  <c r="V64" i="15"/>
  <c r="AC63" i="15"/>
  <c r="AB63" i="15"/>
  <c r="AA63" i="15"/>
  <c r="Z63" i="15"/>
  <c r="Y63" i="15"/>
  <c r="X63" i="15"/>
  <c r="W63" i="15"/>
  <c r="V63" i="15"/>
  <c r="AC62" i="15"/>
  <c r="AB62" i="15"/>
  <c r="AA62" i="15"/>
  <c r="Z62" i="15"/>
  <c r="Y62" i="15"/>
  <c r="X62" i="15"/>
  <c r="W62" i="15"/>
  <c r="V62" i="15"/>
  <c r="AC61" i="15"/>
  <c r="AB61" i="15"/>
  <c r="AA61" i="15"/>
  <c r="Z61" i="15"/>
  <c r="Y61" i="15"/>
  <c r="X61" i="15"/>
  <c r="W61" i="15"/>
  <c r="V61" i="15"/>
  <c r="AC60" i="15"/>
  <c r="AB60" i="15"/>
  <c r="AA60" i="15"/>
  <c r="Z60" i="15"/>
  <c r="Y60" i="15"/>
  <c r="X60" i="15"/>
  <c r="W60" i="15"/>
  <c r="V60" i="15"/>
  <c r="AC59" i="15"/>
  <c r="AB59" i="15"/>
  <c r="AA59" i="15"/>
  <c r="Z59" i="15"/>
  <c r="Y59" i="15"/>
  <c r="X59" i="15"/>
  <c r="W59" i="15"/>
  <c r="V59" i="15"/>
  <c r="AC58" i="15"/>
  <c r="AB58" i="15"/>
  <c r="AA58" i="15"/>
  <c r="Z58" i="15"/>
  <c r="Y58" i="15"/>
  <c r="X58" i="15"/>
  <c r="W58" i="15"/>
  <c r="V58" i="15"/>
  <c r="AC57" i="15"/>
  <c r="AB57" i="15"/>
  <c r="AA57" i="15"/>
  <c r="Z57" i="15"/>
  <c r="Y57" i="15"/>
  <c r="X57" i="15"/>
  <c r="W57" i="15"/>
  <c r="V57" i="15"/>
  <c r="AC56" i="15"/>
  <c r="AB56" i="15"/>
  <c r="AA56" i="15"/>
  <c r="Z56" i="15"/>
  <c r="Y56" i="15"/>
  <c r="X56" i="15"/>
  <c r="W56" i="15"/>
  <c r="V56" i="15"/>
  <c r="AC55" i="15"/>
  <c r="AB55" i="15"/>
  <c r="AA55" i="15"/>
  <c r="Z55" i="15"/>
  <c r="Y55" i="15"/>
  <c r="X55" i="15"/>
  <c r="W55" i="15"/>
  <c r="V55" i="15"/>
  <c r="AC54" i="15"/>
  <c r="AB54" i="15"/>
  <c r="AA54" i="15"/>
  <c r="Z54" i="15"/>
  <c r="Y54" i="15"/>
  <c r="X54" i="15"/>
  <c r="W54" i="15"/>
  <c r="V54" i="15"/>
  <c r="AC53" i="15"/>
  <c r="AB53" i="15"/>
  <c r="AA53" i="15"/>
  <c r="Z53" i="15"/>
  <c r="Y53" i="15"/>
  <c r="X53" i="15"/>
  <c r="W53" i="15"/>
  <c r="V53" i="15"/>
  <c r="AC52" i="15"/>
  <c r="AB52" i="15"/>
  <c r="AA52" i="15"/>
  <c r="Z52" i="15"/>
  <c r="Y52" i="15"/>
  <c r="X52" i="15"/>
  <c r="W52" i="15"/>
  <c r="V52" i="15"/>
  <c r="AC51" i="15"/>
  <c r="AB51" i="15"/>
  <c r="AA51" i="15"/>
  <c r="Z51" i="15"/>
  <c r="Y51" i="15"/>
  <c r="X51" i="15"/>
  <c r="W51" i="15"/>
  <c r="V51" i="15"/>
  <c r="AC50" i="15"/>
  <c r="AB50" i="15"/>
  <c r="AA50" i="15"/>
  <c r="Z50" i="15"/>
  <c r="Y50" i="15"/>
  <c r="X50" i="15"/>
  <c r="W50" i="15"/>
  <c r="V50" i="15"/>
  <c r="AC49" i="15"/>
  <c r="AB49" i="15"/>
  <c r="AA49" i="15"/>
  <c r="Z49" i="15"/>
  <c r="Y49" i="15"/>
  <c r="X49" i="15"/>
  <c r="W49" i="15"/>
  <c r="V49" i="15"/>
  <c r="AC48" i="15"/>
  <c r="AB48" i="15"/>
  <c r="AA48" i="15"/>
  <c r="Z48" i="15"/>
  <c r="Y48" i="15"/>
  <c r="X48" i="15"/>
  <c r="W48" i="15"/>
  <c r="V48" i="15"/>
  <c r="AC47" i="15"/>
  <c r="AB47" i="15"/>
  <c r="AA47" i="15"/>
  <c r="Z47" i="15"/>
  <c r="Y47" i="15"/>
  <c r="X47" i="15"/>
  <c r="W47" i="15"/>
  <c r="V47" i="15"/>
  <c r="AC46" i="15"/>
  <c r="AB46" i="15"/>
  <c r="AA46" i="15"/>
  <c r="Z46" i="15"/>
  <c r="Y46" i="15"/>
  <c r="X46" i="15"/>
  <c r="W46" i="15"/>
  <c r="V46" i="15"/>
  <c r="AC45" i="15"/>
  <c r="AB45" i="15"/>
  <c r="AA45" i="15"/>
  <c r="Z45" i="15"/>
  <c r="Y45" i="15"/>
  <c r="X45" i="15"/>
  <c r="W45" i="15"/>
  <c r="V45" i="15"/>
  <c r="AC44" i="15"/>
  <c r="AB44" i="15"/>
  <c r="AA44" i="15"/>
  <c r="Z44" i="15"/>
  <c r="Y44" i="15"/>
  <c r="X44" i="15"/>
  <c r="W44" i="15"/>
  <c r="V44" i="15"/>
  <c r="AC43" i="15"/>
  <c r="AB43" i="15"/>
  <c r="AA43" i="15"/>
  <c r="Z43" i="15"/>
  <c r="Y43" i="15"/>
  <c r="X43" i="15"/>
  <c r="W43" i="15"/>
  <c r="V43" i="15"/>
  <c r="AC42" i="15"/>
  <c r="AB42" i="15"/>
  <c r="AA42" i="15"/>
  <c r="Z42" i="15"/>
  <c r="Y42" i="15"/>
  <c r="X42" i="15"/>
  <c r="W42" i="15"/>
  <c r="V42" i="15"/>
  <c r="AC41" i="15"/>
  <c r="AB41" i="15"/>
  <c r="AA41" i="15"/>
  <c r="Z41" i="15"/>
  <c r="Y41" i="15"/>
  <c r="X41" i="15"/>
  <c r="W41" i="15"/>
  <c r="V41" i="15"/>
  <c r="AC40" i="15"/>
  <c r="AB40" i="15"/>
  <c r="AA40" i="15"/>
  <c r="Z40" i="15"/>
  <c r="Y40" i="15"/>
  <c r="X40" i="15"/>
  <c r="W40" i="15"/>
  <c r="V40" i="15"/>
  <c r="AC39" i="15"/>
  <c r="AB39" i="15"/>
  <c r="AA39" i="15"/>
  <c r="Z39" i="15"/>
  <c r="Y39" i="15"/>
  <c r="X39" i="15"/>
  <c r="W39" i="15"/>
  <c r="V39" i="15"/>
  <c r="AC38" i="15"/>
  <c r="AB38" i="15"/>
  <c r="AA38" i="15"/>
  <c r="Z38" i="15"/>
  <c r="Y38" i="15"/>
  <c r="X38" i="15"/>
  <c r="W38" i="15"/>
  <c r="V38" i="15"/>
  <c r="AC37" i="15"/>
  <c r="AB37" i="15"/>
  <c r="AA37" i="15"/>
  <c r="Z37" i="15"/>
  <c r="Y37" i="15"/>
  <c r="X37" i="15"/>
  <c r="W37" i="15"/>
  <c r="V37" i="15"/>
  <c r="AC36" i="15"/>
  <c r="AB36" i="15"/>
  <c r="AA36" i="15"/>
  <c r="Z36" i="15"/>
  <c r="Y36" i="15"/>
  <c r="X36" i="15"/>
  <c r="W36" i="15"/>
  <c r="V36" i="15"/>
  <c r="AC35" i="15"/>
  <c r="AB35" i="15"/>
  <c r="AA35" i="15"/>
  <c r="Z35" i="15"/>
  <c r="Y35" i="15"/>
  <c r="X35" i="15"/>
  <c r="W35" i="15"/>
  <c r="V35" i="15"/>
  <c r="AC34" i="15"/>
  <c r="AB34" i="15"/>
  <c r="AA34" i="15"/>
  <c r="Z34" i="15"/>
  <c r="Y34" i="15"/>
  <c r="X34" i="15"/>
  <c r="W34" i="15"/>
  <c r="V34" i="15"/>
  <c r="AC33" i="15"/>
  <c r="AB33" i="15"/>
  <c r="AA33" i="15"/>
  <c r="Z33" i="15"/>
  <c r="Y33" i="15"/>
  <c r="X33" i="15"/>
  <c r="W33" i="15"/>
  <c r="V33" i="15"/>
  <c r="AC32" i="15"/>
  <c r="AB32" i="15"/>
  <c r="AA32" i="15"/>
  <c r="Z32" i="15"/>
  <c r="Y32" i="15"/>
  <c r="X32" i="15"/>
  <c r="W32" i="15"/>
  <c r="V32" i="15"/>
  <c r="AC31" i="15"/>
  <c r="AB31" i="15"/>
  <c r="AA31" i="15"/>
  <c r="Z31" i="15"/>
  <c r="Y31" i="15"/>
  <c r="X31" i="15"/>
  <c r="W31" i="15"/>
  <c r="V31" i="15"/>
  <c r="AC30" i="15"/>
  <c r="AB30" i="15"/>
  <c r="AA30" i="15"/>
  <c r="Z30" i="15"/>
  <c r="Y30" i="15"/>
  <c r="X30" i="15"/>
  <c r="W30" i="15"/>
  <c r="V30" i="15"/>
  <c r="AC29" i="15"/>
  <c r="AB29" i="15"/>
  <c r="AA29" i="15"/>
  <c r="Z29" i="15"/>
  <c r="Y29" i="15"/>
  <c r="X29" i="15"/>
  <c r="W29" i="15"/>
  <c r="V29" i="15"/>
  <c r="AC28" i="15"/>
  <c r="AB28" i="15"/>
  <c r="AA28" i="15"/>
  <c r="Z28" i="15"/>
  <c r="Y28" i="15"/>
  <c r="X28" i="15"/>
  <c r="W28" i="15"/>
  <c r="V28" i="15"/>
  <c r="AC27" i="15"/>
  <c r="AB27" i="15"/>
  <c r="AA27" i="15"/>
  <c r="Z27" i="15"/>
  <c r="Y27" i="15"/>
  <c r="X27" i="15"/>
  <c r="W27" i="15"/>
  <c r="V27" i="15"/>
  <c r="AC26" i="15"/>
  <c r="AB26" i="15"/>
  <c r="AA26" i="15"/>
  <c r="Z26" i="15"/>
  <c r="Y26" i="15"/>
  <c r="X26" i="15"/>
  <c r="W26" i="15"/>
  <c r="V26" i="15"/>
  <c r="AC25" i="15"/>
  <c r="AB25" i="15"/>
  <c r="AA25" i="15"/>
  <c r="Z25" i="15"/>
  <c r="Y25" i="15"/>
  <c r="X25" i="15"/>
  <c r="W25" i="15"/>
  <c r="V25" i="15"/>
  <c r="AC24" i="15"/>
  <c r="AB24" i="15"/>
  <c r="AA24" i="15"/>
  <c r="Z24" i="15"/>
  <c r="Y24" i="15"/>
  <c r="X24" i="15"/>
  <c r="W24" i="15"/>
  <c r="V24" i="15"/>
  <c r="AC23" i="15"/>
  <c r="AB23" i="15"/>
  <c r="AA23" i="15"/>
  <c r="Z23" i="15"/>
  <c r="Y23" i="15"/>
  <c r="X23" i="15"/>
  <c r="W23" i="15"/>
  <c r="V23" i="15"/>
  <c r="AC22" i="15"/>
  <c r="AB22" i="15"/>
  <c r="AA22" i="15"/>
  <c r="Z22" i="15"/>
  <c r="Y22" i="15"/>
  <c r="X22" i="15"/>
  <c r="W22" i="15"/>
  <c r="V22" i="15"/>
  <c r="AC21" i="15"/>
  <c r="AB21" i="15"/>
  <c r="AA21" i="15"/>
  <c r="Z21" i="15"/>
  <c r="Y21" i="15"/>
  <c r="X21" i="15"/>
  <c r="W21" i="15"/>
  <c r="V21" i="15"/>
  <c r="AC20" i="15"/>
  <c r="AB20" i="15"/>
  <c r="AA20" i="15"/>
  <c r="Z20" i="15"/>
  <c r="Y20" i="15"/>
  <c r="X20" i="15"/>
  <c r="W20" i="15"/>
  <c r="V20" i="15"/>
  <c r="AC19" i="15"/>
  <c r="AB19" i="15"/>
  <c r="AA19" i="15"/>
  <c r="Z19" i="15"/>
  <c r="Y19" i="15"/>
  <c r="X19" i="15"/>
  <c r="W19" i="15"/>
  <c r="V19" i="15"/>
  <c r="AC18" i="15"/>
  <c r="AB18" i="15"/>
  <c r="AA18" i="15"/>
  <c r="Z18" i="15"/>
  <c r="Y18" i="15"/>
  <c r="X18" i="15"/>
  <c r="W18" i="15"/>
  <c r="V18" i="15"/>
  <c r="AC17" i="15"/>
  <c r="AB17" i="15"/>
  <c r="AA17" i="15"/>
  <c r="Z17" i="15"/>
  <c r="Y17" i="15"/>
  <c r="X17" i="15"/>
  <c r="W17" i="15"/>
  <c r="V17" i="15"/>
  <c r="AC16" i="15"/>
  <c r="AB16" i="15"/>
  <c r="AA16" i="15"/>
  <c r="Z16" i="15"/>
  <c r="Y16" i="15"/>
  <c r="X16" i="15"/>
  <c r="W16" i="15"/>
  <c r="V16" i="15"/>
  <c r="AC15" i="15"/>
  <c r="AB15" i="15"/>
  <c r="AA15" i="15"/>
  <c r="Z15" i="15"/>
  <c r="Y15" i="15"/>
  <c r="X15" i="15"/>
  <c r="W15" i="15"/>
  <c r="V15" i="15"/>
  <c r="AC14" i="15"/>
  <c r="AB14" i="15"/>
  <c r="AA14" i="15"/>
  <c r="Z14" i="15"/>
  <c r="Y14" i="15"/>
  <c r="X14" i="15"/>
  <c r="W14" i="15"/>
  <c r="V14" i="15"/>
  <c r="AC13" i="15"/>
  <c r="AB13" i="15"/>
  <c r="AA13" i="15"/>
  <c r="Z13" i="15"/>
  <c r="Y13" i="15"/>
  <c r="X13" i="15"/>
  <c r="W13" i="15"/>
  <c r="V13" i="15"/>
  <c r="AC12" i="15"/>
  <c r="AB12" i="15"/>
  <c r="AA12" i="15"/>
  <c r="Z12" i="15"/>
  <c r="Y12" i="15"/>
  <c r="X12" i="15"/>
  <c r="W12" i="15"/>
  <c r="V12" i="15"/>
  <c r="AC11" i="15"/>
  <c r="AB11" i="15"/>
  <c r="AA11" i="15"/>
  <c r="Z11" i="15"/>
  <c r="Y11" i="15"/>
  <c r="X11" i="15"/>
  <c r="W11" i="15"/>
  <c r="V11" i="15"/>
  <c r="AC10" i="15"/>
  <c r="AB10" i="15"/>
  <c r="AA10" i="15"/>
  <c r="Z10" i="15"/>
  <c r="Y10" i="15"/>
  <c r="X10" i="15"/>
  <c r="W10" i="15"/>
  <c r="V10" i="15"/>
  <c r="AC9" i="15"/>
  <c r="AB9" i="15"/>
  <c r="AA9" i="15"/>
  <c r="Z9" i="15"/>
  <c r="Y9" i="15"/>
  <c r="X9" i="15"/>
  <c r="W9" i="15"/>
  <c r="V9" i="15"/>
  <c r="AC8" i="15"/>
  <c r="AB8" i="15"/>
  <c r="AA8" i="15"/>
  <c r="Z8" i="15"/>
  <c r="Y8" i="15"/>
  <c r="X8" i="15"/>
  <c r="W8" i="15"/>
  <c r="V8" i="15"/>
  <c r="AC7" i="15"/>
  <c r="AB7" i="15"/>
  <c r="AA7" i="15"/>
  <c r="Z7" i="15"/>
  <c r="Y7" i="15"/>
  <c r="X7" i="15"/>
  <c r="W7" i="15"/>
  <c r="V7" i="15"/>
  <c r="AC6" i="15"/>
  <c r="AB6" i="15"/>
  <c r="AA6" i="15"/>
  <c r="Z6" i="15"/>
  <c r="Y6" i="15"/>
  <c r="X6" i="15"/>
  <c r="W6" i="15"/>
  <c r="V6" i="15"/>
  <c r="AC5" i="15"/>
  <c r="AB5" i="15"/>
  <c r="AA5" i="15"/>
  <c r="Z5" i="15"/>
  <c r="Y5" i="15"/>
  <c r="X5" i="15"/>
  <c r="W5" i="15"/>
  <c r="V5" i="15"/>
  <c r="AC4" i="15"/>
  <c r="AB4" i="15"/>
  <c r="AA4" i="15"/>
  <c r="Z4" i="15"/>
  <c r="Y4" i="15"/>
  <c r="X4" i="15"/>
  <c r="W4" i="15"/>
  <c r="V4" i="15"/>
  <c r="AC3" i="15"/>
  <c r="AB3" i="15"/>
  <c r="AA3" i="15"/>
  <c r="Z3" i="15"/>
  <c r="Y3" i="15"/>
  <c r="X3" i="15"/>
  <c r="W3" i="15"/>
  <c r="V3" i="15"/>
  <c r="AC2" i="15"/>
  <c r="AB2" i="15"/>
  <c r="AA2" i="15"/>
  <c r="Z2" i="15"/>
  <c r="Y2" i="15"/>
  <c r="X2" i="15"/>
  <c r="W2" i="15"/>
  <c r="V2" i="15"/>
  <c r="AC2" i="12" l="1"/>
  <c r="AN2" i="17"/>
  <c r="AA2" i="12" s="1"/>
  <c r="AB2" i="12" s="1"/>
</calcChain>
</file>

<file path=xl/sharedStrings.xml><?xml version="1.0" encoding="utf-8"?>
<sst xmlns="http://schemas.openxmlformats.org/spreadsheetml/2006/main" count="482" uniqueCount="297">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</sst>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  <font>
      <b/>
      <sz val="11"/>
      <color rgb="FF1F3864"/>
      <name val="Arial"/>
      <family val="2"/>
    </font>
    <font>
      <b/>
      <sz val="11"/>
      <color rgb="FF1B5FA6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  <fill>
      <patternFill patternType="solid">
        <fgColor rgb="FFFFF2CC"/>
        <bgColor indexed="64"/>
      </patternFill>
    </fill>
  </fills>
  <borders count="1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0" fontId="47" fillId="28" borderId="15" xfId="0" applyFont="1" applyFill="1" applyBorder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7" sqref="C7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REV_CA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21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1">
      <c r="B11" s="134" t="inlineStr">
        <is>
          <t xml:space="preserve">Exercice restitué (2026 réel / 2027 budget)</t>
        </is>
      </c>
      <c r="C11" s="135" t="inlineStr">
        <is>
          <t xml:space="preserve">2026</t>
        </is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SUMIFS(Allocation!$I$1:$I$175,Allocation!$C$1:$C$175,$C$11,Allocation!$E$1:$E$175,"MBWAY")</f>
        <v>0</v>
      </c>
      <c r="D18" s="123">
        <f>SUMIFS(Allocation!$K$1:$K$175,Allocation!$C$1:$C$175,$C$11,Allocation!$E$1:$E$175,"MBWAY")</f>
        <v>0</v>
      </c>
      <c r="E18" s="123">
        <f>SUMIFS(Allocation!$V$1:$V$175,Allocation!$C$1:$C$175,$C$11,Allocation!$E$1:$E$175,"MBWAY")</f>
        <v>0</v>
      </c>
      <c r="F18" s="123">
        <f>SUMIFS(Allocation!$W$1:$W$175,Allocation!$C$1:$C$175,$C$11,Allocation!$E$1:$E$175,"MBWAY")</f>
        <v>0</v>
      </c>
      <c r="G18" s="123">
        <f>SUMIFS(Allocation!$X$1:$X$175,Allocation!$C$1:$C$175,$C$11,Allocation!$E$1:$E$175,"MBWAY")</f>
        <v>0</v>
      </c>
      <c r="H18" s="123">
        <f>SUMIFS(Allocation!$Y$1:$Y$175,Allocation!$C$1:$C$175,$C$11,Allocation!$E$1:$E$175,"MBWAY")</f>
        <v>0</v>
      </c>
      <c r="I18" s="123">
        <f>SUMIFS(Allocation!$AC$1:$AC$175,Allocation!$C$1:$C$175,$C$11,Allocation!$E$1:$E$175,"MBWAY")</f>
        <v>0</v>
      </c>
      <c r="J18" s="123">
        <f>SUMIFS(Allocation!$Z$1:$Z$175,Allocation!$C$1:$C$175,$C$11,Allocation!$E$1:$E$175,"MBWAY")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SUMIFS(Allocation!$AA$1:$AA$175,Allocation!$C$1:$C$175,$C$11,Allocation!$E$1:$E$175,"MBWAY")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SUMIFS(Allocation!$I$1:$I$175,Allocation!$C$1:$C$175,$C$11,Allocation!$D$1:$D$175,"MBWAY_PAR")</f>
        <v>0</v>
      </c>
      <c r="D19" s="123">
        <f>SUMIFS(Allocation!$K$1:$K$175,Allocation!$C$1:$C$175,$C$11,Allocation!$D$1:$D$175,"MBWAY_PAR")</f>
        <v>0</v>
      </c>
      <c r="E19" s="123">
        <f>SUMIFS(Allocation!$V$1:$V$175,Allocation!$C$1:$C$175,$C$11,Allocation!$D$1:$D$175,"MBWAY_PAR")</f>
        <v>0</v>
      </c>
      <c r="F19" s="123">
        <f>SUMIFS(Allocation!$W$1:$W$175,Allocation!$C$1:$C$175,$C$11,Allocation!$D$1:$D$175,"MBWAY_PAR")</f>
        <v>0</v>
      </c>
      <c r="G19" s="123">
        <f>SUMIFS(Allocation!$X$1:$X$175,Allocation!$C$1:$C$175,$C$11,Allocation!$D$1:$D$175,"MBWAY_PAR")</f>
        <v>0</v>
      </c>
      <c r="H19" s="123">
        <f>SUMIFS(Allocation!$Y$1:$Y$175,Allocation!$C$1:$C$175,$C$11,Allocation!$D$1:$D$175,"MBWAY_PAR")</f>
        <v>0</v>
      </c>
      <c r="I19" s="123">
        <f>SUMIFS(Allocation!$AC$1:$AC$175,Allocation!$C$1:$C$175,$C$11,Allocation!$D$1:$D$175,"MBWAY_PAR")</f>
        <v>0</v>
      </c>
      <c r="J19" s="123">
        <f>SUMIFS(Allocation!$Z$1:$Z$175,Allocation!$C$1:$C$175,$C$11,Allocation!$D$1:$D$175,"MBWAY_PAR")</f>
        <v>0</v>
      </c>
      <c r="K19" s="123">
        <f t="shared" si="0"/>
        <v>0</v>
      </c>
      <c r="L19" s="130">
        <f>SUMIFS(Allocation!$AA$1:$AA$175,Allocation!$C$1:$C$175,$C$11,Allocation!$D$1:$D$175,"MBWAY_PAR")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SUMIFS(Allocation!$I$1:$I$175,Allocation!$C$1:$C$175,$C$11,Allocation!$D$1:$D$175,"MBWAY_PAR",Allocation!$F$1:$F$175,"BAC_MGT",Allocation!$G$1:$G$175,"B1",Allocation!$H$1:$H$175,"INIT")</f>
        <v>0</v>
      </c>
      <c r="D20" s="84">
        <f>SUMIFS(Allocation!$K$1:$K$175,Allocation!$C$1:$C$175,$C$11,Allocation!$D$1:$D$175,"MBWAY_PAR",Allocation!$F$1:$F$175,"BAC_MGT",Allocation!$G$1:$G$175,"B1",Allocation!$H$1:$H$175,"INIT")</f>
        <v>0</v>
      </c>
      <c r="E20" s="84">
        <f>SUMIFS(Allocation!$V$1:$V$175,Allocation!$C$1:$C$175,$C$11,Allocation!$D$1:$D$175,"MBWAY_PAR",Allocation!$F$1:$F$175,"BAC_MGT",Allocation!$G$1:$G$175,"B1",Allocation!$H$1:$H$175,"INIT")</f>
        <v>0</v>
      </c>
      <c r="F20" s="84">
        <f>SUMIFS(Allocation!$W$1:$W$175,Allocation!$C$1:$C$175,$C$11,Allocation!$D$1:$D$175,"MBWAY_PAR",Allocation!$F$1:$F$175,"BAC_MGT",Allocation!$G$1:$G$175,"B1",Allocation!$H$1:$H$175,"INIT")</f>
        <v>0</v>
      </c>
      <c r="G20" s="84">
        <f>SUMIFS(Allocation!$X$1:$X$175,Allocation!$C$1:$C$175,$C$11,Allocation!$D$1:$D$175,"MBWAY_PAR",Allocation!$F$1:$F$175,"BAC_MGT",Allocation!$G$1:$G$175,"B1",Allocation!$H$1:$H$175,"INIT")</f>
        <v>0</v>
      </c>
      <c r="H20" s="84">
        <f>SUMIFS(Allocation!$Y$1:$Y$175,Allocation!$C$1:$C$175,$C$11,Allocation!$D$1:$D$175,"MBWAY_PAR",Allocation!$F$1:$F$175,"BAC_MGT",Allocation!$G$1:$G$175,"B1",Allocation!$H$1:$H$175,"INIT")</f>
        <v>0</v>
      </c>
      <c r="I20" s="84">
        <f>SUMIFS(Allocation!$AC$1:$AC$175,Allocation!$C$1:$C$175,$C$11,Allocation!$D$1:$D$175,"MBWAY_PAR",Allocation!$F$1:$F$175,"BAC_MGT",Allocation!$G$1:$G$175,"B1",Allocation!$H$1:$H$175,"INIT")</f>
        <v>0</v>
      </c>
      <c r="J20" s="84">
        <f>SUMIFS(Allocation!$Z$1:$Z$175,Allocation!$C$1:$C$175,$C$11,Allocation!$D$1:$D$175,"MBWAY_PAR",Allocation!$F$1:$F$175,"BAC_MGT",Allocation!$G$1:$G$175,"B1",Allocation!$H$1:$H$175,"INIT")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SUMIFS(Allocation!$AA$1:$AA$175,Allocation!$C$1:$C$175,$C$11,Allocation!$D$1:$D$175,"MBWAY_PAR",Allocation!$F$1:$F$175,"BAC_MGT",Allocation!$G$1:$G$175,"B1",Allocation!$H$1:$H$175,"INIT")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SUMIFS(Allocation!$I$1:$I$175,Allocation!$C$1:$C$175,$C$11,Allocation!$D$1:$D$175,"MBWAY_PAR",Allocation!$F$1:$F$175,"BAC_MGT",Allocation!$G$1:$G$175,"B2",Allocation!$H$1:$H$175,"ALT")</f>
        <v>0</v>
      </c>
      <c r="D21" s="84">
        <f>SUMIFS(Allocation!$K$1:$K$175,Allocation!$C$1:$C$175,$C$11,Allocation!$D$1:$D$175,"MBWAY_PAR",Allocation!$F$1:$F$175,"BAC_MGT",Allocation!$G$1:$G$175,"B2",Allocation!$H$1:$H$175,"ALT")</f>
        <v>0</v>
      </c>
      <c r="E21" s="84">
        <f>SUMIFS(Allocation!$V$1:$V$175,Allocation!$C$1:$C$175,$C$11,Allocation!$D$1:$D$175,"MBWAY_PAR",Allocation!$F$1:$F$175,"BAC_MGT",Allocation!$G$1:$G$175,"B2",Allocation!$H$1:$H$175,"ALT")</f>
        <v>0</v>
      </c>
      <c r="F21" s="84">
        <f>SUMIFS(Allocation!$W$1:$W$175,Allocation!$C$1:$C$175,$C$11,Allocation!$D$1:$D$175,"MBWAY_PAR",Allocation!$F$1:$F$175,"BAC_MGT",Allocation!$G$1:$G$175,"B2",Allocation!$H$1:$H$175,"ALT")</f>
        <v>0</v>
      </c>
      <c r="G21" s="84">
        <f>SUMIFS(Allocation!$X$1:$X$175,Allocation!$C$1:$C$175,$C$11,Allocation!$D$1:$D$175,"MBWAY_PAR",Allocation!$F$1:$F$175,"BAC_MGT",Allocation!$G$1:$G$175,"B2",Allocation!$H$1:$H$175,"ALT")</f>
        <v>0</v>
      </c>
      <c r="H21" s="84">
        <f>SUMIFS(Allocation!$Y$1:$Y$175,Allocation!$C$1:$C$175,$C$11,Allocation!$D$1:$D$175,"MBWAY_PAR",Allocation!$F$1:$F$175,"BAC_MGT",Allocation!$G$1:$G$175,"B2",Allocation!$H$1:$H$175,"ALT")</f>
        <v>0</v>
      </c>
      <c r="I21" s="84">
        <f>SUMIFS(Allocation!$AC$1:$AC$175,Allocation!$C$1:$C$175,$C$11,Allocation!$D$1:$D$175,"MBWAY_PAR",Allocation!$F$1:$F$175,"BAC_MGT",Allocation!$G$1:$G$175,"B2",Allocation!$H$1:$H$175,"ALT")</f>
        <v>0</v>
      </c>
      <c r="J21" s="84">
        <f>SUMIFS(Allocation!$Z$1:$Z$175,Allocation!$C$1:$C$175,$C$11,Allocation!$D$1:$D$175,"MBWAY_PAR",Allocation!$F$1:$F$175,"BAC_MGT",Allocation!$G$1:$G$175,"B2",Allocation!$H$1:$H$175,"ALT")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SUMIFS(Allocation!$AA$1:$AA$175,Allocation!$C$1:$C$175,$C$11,Allocation!$D$1:$D$175,"MBWAY_PAR",Allocation!$F$1:$F$175,"BAC_MGT",Allocation!$G$1:$G$175,"B2",Allocation!$H$1:$H$175,"ALT")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SUMIFS(Allocation!$I$1:$I$175,Allocation!$C$1:$C$175,$C$11,Allocation!$D$1:$D$175,"MBWAY_PAR",Allocation!$F$1:$F$175,"BAC_MGT",Allocation!$G$1:$G$175,"B3",Allocation!$H$1:$H$175,"ALT")</f>
        <v>0</v>
      </c>
      <c r="D22" s="84">
        <f>SUMIFS(Allocation!$K$1:$K$175,Allocation!$C$1:$C$175,$C$11,Allocation!$D$1:$D$175,"MBWAY_PAR",Allocation!$F$1:$F$175,"BAC_MGT",Allocation!$G$1:$G$175,"B3",Allocation!$H$1:$H$175,"ALT")</f>
        <v>0</v>
      </c>
      <c r="E22" s="84">
        <f>SUMIFS(Allocation!$V$1:$V$175,Allocation!$C$1:$C$175,$C$11,Allocation!$D$1:$D$175,"MBWAY_PAR",Allocation!$F$1:$F$175,"BAC_MGT",Allocation!$G$1:$G$175,"B3",Allocation!$H$1:$H$175,"ALT")</f>
        <v>0</v>
      </c>
      <c r="F22" s="84">
        <f>SUMIFS(Allocation!$W$1:$W$175,Allocation!$C$1:$C$175,$C$11,Allocation!$D$1:$D$175,"MBWAY_PAR",Allocation!$F$1:$F$175,"BAC_MGT",Allocation!$G$1:$G$175,"B3",Allocation!$H$1:$H$175,"ALT")</f>
        <v>0</v>
      </c>
      <c r="G22" s="84">
        <f>SUMIFS(Allocation!$X$1:$X$175,Allocation!$C$1:$C$175,$C$11,Allocation!$D$1:$D$175,"MBWAY_PAR",Allocation!$F$1:$F$175,"BAC_MGT",Allocation!$G$1:$G$175,"B3",Allocation!$H$1:$H$175,"ALT")</f>
        <v>0</v>
      </c>
      <c r="H22" s="84">
        <f>SUMIFS(Allocation!$Y$1:$Y$175,Allocation!$C$1:$C$175,$C$11,Allocation!$D$1:$D$175,"MBWAY_PAR",Allocation!$F$1:$F$175,"BAC_MGT",Allocation!$G$1:$G$175,"B3",Allocation!$H$1:$H$175,"ALT")</f>
        <v>0</v>
      </c>
      <c r="I22" s="84">
        <f>SUMIFS(Allocation!$AC$1:$AC$175,Allocation!$C$1:$C$175,$C$11,Allocation!$D$1:$D$175,"MBWAY_PAR",Allocation!$F$1:$F$175,"BAC_MGT",Allocation!$G$1:$G$175,"B3",Allocation!$H$1:$H$175,"ALT")</f>
        <v>0</v>
      </c>
      <c r="J22" s="84">
        <f>SUMIFS(Allocation!$Z$1:$Z$175,Allocation!$C$1:$C$175,$C$11,Allocation!$D$1:$D$175,"MBWAY_PAR",Allocation!$F$1:$F$175,"BAC_MGT",Allocation!$G$1:$G$175,"B3",Allocation!$H$1:$H$175,"ALT")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SUMIFS(Allocation!$AA$1:$AA$175,Allocation!$C$1:$C$175,$C$11,Allocation!$D$1:$D$175,"MBWAY_PAR",Allocation!$F$1:$F$175,"BAC_MGT",Allocation!$G$1:$G$175,"B3",Allocation!$H$1:$H$175,"ALT")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SUMIFS(Allocation!$I$1:$I$175,Allocation!$C$1:$C$175,$C$11,Allocation!$D$1:$D$175,"MBWAY_PAR",Allocation!$F$1:$F$175,"MAS_MGT",Allocation!$G$1:$G$175,"M1",Allocation!$H$1:$H$175,"ALT")</f>
        <v>0</v>
      </c>
      <c r="D23" s="84">
        <f>SUMIFS(Allocation!$K$1:$K$175,Allocation!$C$1:$C$175,$C$11,Allocation!$D$1:$D$175,"MBWAY_PAR",Allocation!$F$1:$F$175,"MAS_MGT",Allocation!$G$1:$G$175,"M1",Allocation!$H$1:$H$175,"ALT")</f>
        <v>0</v>
      </c>
      <c r="E23" s="84">
        <f>SUMIFS(Allocation!$V$1:$V$175,Allocation!$C$1:$C$175,$C$11,Allocation!$D$1:$D$175,"MBWAY_PAR",Allocation!$F$1:$F$175,"MAS_MGT",Allocation!$G$1:$G$175,"M1",Allocation!$H$1:$H$175,"ALT")</f>
        <v>0</v>
      </c>
      <c r="F23" s="84">
        <f>SUMIFS(Allocation!$W$1:$W$175,Allocation!$C$1:$C$175,$C$11,Allocation!$D$1:$D$175,"MBWAY_PAR",Allocation!$F$1:$F$175,"MAS_MGT",Allocation!$G$1:$G$175,"M1",Allocation!$H$1:$H$175,"ALT")</f>
        <v>0</v>
      </c>
      <c r="G23" s="84">
        <f>SUMIFS(Allocation!$X$1:$X$175,Allocation!$C$1:$C$175,$C$11,Allocation!$D$1:$D$175,"MBWAY_PAR",Allocation!$F$1:$F$175,"MAS_MGT",Allocation!$G$1:$G$175,"M1",Allocation!$H$1:$H$175,"ALT")</f>
        <v>0</v>
      </c>
      <c r="H23" s="84">
        <f>SUMIFS(Allocation!$Y$1:$Y$175,Allocation!$C$1:$C$175,$C$11,Allocation!$D$1:$D$175,"MBWAY_PAR",Allocation!$F$1:$F$175,"MAS_MGT",Allocation!$G$1:$G$175,"M1",Allocation!$H$1:$H$175,"ALT")</f>
        <v>0</v>
      </c>
      <c r="I23" s="84">
        <f>SUMIFS(Allocation!$AC$1:$AC$175,Allocation!$C$1:$C$175,$C$11,Allocation!$D$1:$D$175,"MBWAY_PAR",Allocation!$F$1:$F$175,"MAS_MGT",Allocation!$G$1:$G$175,"M1",Allocation!$H$1:$H$175,"ALT")</f>
        <v>0</v>
      </c>
      <c r="J23" s="84">
        <f>SUMIFS(Allocation!$Z$1:$Z$175,Allocation!$C$1:$C$175,$C$11,Allocation!$D$1:$D$175,"MBWAY_PAR",Allocation!$F$1:$F$175,"MAS_MGT",Allocation!$G$1:$G$175,"M1",Allocation!$H$1:$H$175,"ALT")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SUMIFS(Allocation!$AA$1:$AA$175,Allocation!$C$1:$C$175,$C$11,Allocation!$D$1:$D$175,"MBWAY_PAR",Allocation!$F$1:$F$175,"MAS_MGT",Allocation!$G$1:$G$175,"M1",Allocation!$H$1:$H$175,"ALT")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SUMIFS(Allocation!$I$1:$I$175,Allocation!$C$1:$C$175,$C$11,Allocation!$D$1:$D$175,"MBWAY_PAR",Allocation!$F$1:$F$175,"MAS_MGT",Allocation!$G$1:$G$175,"M2",Allocation!$H$1:$H$175,"ALT")</f>
        <v>0</v>
      </c>
      <c r="D24" s="84">
        <f>SUMIFS(Allocation!$K$1:$K$175,Allocation!$C$1:$C$175,$C$11,Allocation!$D$1:$D$175,"MBWAY_PAR",Allocation!$F$1:$F$175,"MAS_MGT",Allocation!$G$1:$G$175,"M2",Allocation!$H$1:$H$175,"ALT")</f>
        <v>0</v>
      </c>
      <c r="E24" s="84">
        <f>SUMIFS(Allocation!$V$1:$V$175,Allocation!$C$1:$C$175,$C$11,Allocation!$D$1:$D$175,"MBWAY_PAR",Allocation!$F$1:$F$175,"MAS_MGT",Allocation!$G$1:$G$175,"M2",Allocation!$H$1:$H$175,"ALT")</f>
        <v>0</v>
      </c>
      <c r="F24" s="84">
        <f>SUMIFS(Allocation!$W$1:$W$175,Allocation!$C$1:$C$175,$C$11,Allocation!$D$1:$D$175,"MBWAY_PAR",Allocation!$F$1:$F$175,"MAS_MGT",Allocation!$G$1:$G$175,"M2",Allocation!$H$1:$H$175,"ALT")</f>
        <v>0</v>
      </c>
      <c r="G24" s="84">
        <f>SUMIFS(Allocation!$X$1:$X$175,Allocation!$C$1:$C$175,$C$11,Allocation!$D$1:$D$175,"MBWAY_PAR",Allocation!$F$1:$F$175,"MAS_MGT",Allocation!$G$1:$G$175,"M2",Allocation!$H$1:$H$175,"ALT")</f>
        <v>0</v>
      </c>
      <c r="H24" s="84">
        <f>SUMIFS(Allocation!$Y$1:$Y$175,Allocation!$C$1:$C$175,$C$11,Allocation!$D$1:$D$175,"MBWAY_PAR",Allocation!$F$1:$F$175,"MAS_MGT",Allocation!$G$1:$G$175,"M2",Allocation!$H$1:$H$175,"ALT")</f>
        <v>0</v>
      </c>
      <c r="I24" s="84">
        <f>SUMIFS(Allocation!$AC$1:$AC$175,Allocation!$C$1:$C$175,$C$11,Allocation!$D$1:$D$175,"MBWAY_PAR",Allocation!$F$1:$F$175,"MAS_MGT",Allocation!$G$1:$G$175,"M2",Allocation!$H$1:$H$175,"ALT")</f>
        <v>0</v>
      </c>
      <c r="J24" s="84">
        <f>SUMIFS(Allocation!$Z$1:$Z$175,Allocation!$C$1:$C$175,$C$11,Allocation!$D$1:$D$175,"MBWAY_PAR",Allocation!$F$1:$F$175,"MAS_MGT",Allocation!$G$1:$G$175,"M2",Allocation!$H$1:$H$175,"ALT")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SUMIFS(Allocation!$AA$1:$AA$175,Allocation!$C$1:$C$175,$C$11,Allocation!$D$1:$D$175,"MBWAY_PAR",Allocation!$F$1:$F$175,"MAS_MGT",Allocation!$G$1:$G$175,"M2",Allocation!$H$1:$H$175,"ALT")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SUMIFS(Allocation!$I$1:$I$175,Allocation!$C$1:$C$175,$C$11,Allocation!$D$1:$D$175,"MBWAY_LYO")</f>
        <v>0</v>
      </c>
      <c r="D25" s="123">
        <f>SUMIFS(Allocation!$K$1:$K$175,Allocation!$C$1:$C$175,$C$11,Allocation!$D$1:$D$175,"MBWAY_LYO")</f>
        <v>0</v>
      </c>
      <c r="E25" s="123">
        <f>SUMIFS(Allocation!$V$1:$V$175,Allocation!$C$1:$C$175,$C$11,Allocation!$D$1:$D$175,"MBWAY_LYO")</f>
        <v>0</v>
      </c>
      <c r="F25" s="123">
        <f>SUMIFS(Allocation!$W$1:$W$175,Allocation!$C$1:$C$175,$C$11,Allocation!$D$1:$D$175,"MBWAY_LYO")</f>
        <v>0</v>
      </c>
      <c r="G25" s="123">
        <f>SUMIFS(Allocation!$X$1:$X$175,Allocation!$C$1:$C$175,$C$11,Allocation!$D$1:$D$175,"MBWAY_LYO")</f>
        <v>0</v>
      </c>
      <c r="H25" s="123">
        <f>SUMIFS(Allocation!$Y$1:$Y$175,Allocation!$C$1:$C$175,$C$11,Allocation!$D$1:$D$175,"MBWAY_LYO")</f>
        <v>0</v>
      </c>
      <c r="I25" s="123">
        <f>SUMIFS(Allocation!$AC$1:$AC$175,Allocation!$C$1:$C$175,$C$11,Allocation!$D$1:$D$175,"MBWAY_LYO")</f>
        <v>0</v>
      </c>
      <c r="J25" s="123">
        <f>SUMIFS(Allocation!$Z$1:$Z$175,Allocation!$C$1:$C$175,$C$11,Allocation!$D$1:$D$175,"MBWAY_LYO")</f>
        <v>0</v>
      </c>
      <c r="K25" s="123">
        <f t="shared" si="0"/>
        <v>0</v>
      </c>
      <c r="L25" s="130">
        <f>SUMIFS(Allocation!$AA$1:$AA$175,Allocation!$C$1:$C$175,$C$11,Allocation!$D$1:$D$175,"MBWAY_LYO")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SUMIFS(Allocation!$I$1:$I$175,Allocation!$C$1:$C$175,$C$11,Allocation!$D$1:$D$175,"MBWAY_LYO",Allocation!$F$1:$F$175,"BAC_MGT",Allocation!$G$1:$G$175,"B1",Allocation!$H$1:$H$175,"INIT")</f>
        <v>0</v>
      </c>
      <c r="D26" s="84">
        <f>SUMIFS(Allocation!$K$1:$K$175,Allocation!$C$1:$C$175,$C$11,Allocation!$D$1:$D$175,"MBWAY_LYO",Allocation!$F$1:$F$175,"BAC_MGT",Allocation!$G$1:$G$175,"B1",Allocation!$H$1:$H$175,"INIT")</f>
        <v>0</v>
      </c>
      <c r="E26" s="84">
        <f>SUMIFS(Allocation!$V$1:$V$175,Allocation!$C$1:$C$175,$C$11,Allocation!$D$1:$D$175,"MBWAY_LYO",Allocation!$F$1:$F$175,"BAC_MGT",Allocation!$G$1:$G$175,"B1",Allocation!$H$1:$H$175,"INIT")</f>
        <v>0</v>
      </c>
      <c r="F26" s="84">
        <f>SUMIFS(Allocation!$W$1:$W$175,Allocation!$C$1:$C$175,$C$11,Allocation!$D$1:$D$175,"MBWAY_LYO",Allocation!$F$1:$F$175,"BAC_MGT",Allocation!$G$1:$G$175,"B1",Allocation!$H$1:$H$175,"INIT")</f>
        <v>0</v>
      </c>
      <c r="G26" s="84">
        <f>SUMIFS(Allocation!$X$1:$X$175,Allocation!$C$1:$C$175,$C$11,Allocation!$D$1:$D$175,"MBWAY_LYO",Allocation!$F$1:$F$175,"BAC_MGT",Allocation!$G$1:$G$175,"B1",Allocation!$H$1:$H$175,"INIT")</f>
        <v>0</v>
      </c>
      <c r="H26" s="84">
        <f>SUMIFS(Allocation!$Y$1:$Y$175,Allocation!$C$1:$C$175,$C$11,Allocation!$D$1:$D$175,"MBWAY_LYO",Allocation!$F$1:$F$175,"BAC_MGT",Allocation!$G$1:$G$175,"B1",Allocation!$H$1:$H$175,"INIT")</f>
        <v>0</v>
      </c>
      <c r="I26" s="84">
        <f>SUMIFS(Allocation!$AC$1:$AC$175,Allocation!$C$1:$C$175,$C$11,Allocation!$D$1:$D$175,"MBWAY_LYO",Allocation!$F$1:$F$175,"BAC_MGT",Allocation!$G$1:$G$175,"B1",Allocation!$H$1:$H$175,"INIT")</f>
        <v>0</v>
      </c>
      <c r="J26" s="84">
        <f>SUMIFS(Allocation!$Z$1:$Z$175,Allocation!$C$1:$C$175,$C$11,Allocation!$D$1:$D$175,"MBWAY_LYO",Allocation!$F$1:$F$175,"BAC_MGT",Allocation!$G$1:$G$175,"B1",Allocation!$H$1:$H$175,"INIT")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SUMIFS(Allocation!$AA$1:$AA$175,Allocation!$C$1:$C$175,$C$11,Allocation!$D$1:$D$175,"MBWAY_LYO",Allocation!$F$1:$F$175,"BAC_MGT",Allocation!$G$1:$G$175,"B1",Allocation!$H$1:$H$175,"INIT")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SUMIFS(Allocation!$I$1:$I$175,Allocation!$C$1:$C$175,$C$11,Allocation!$D$1:$D$175,"MBWAY_LYO",Allocation!$F$1:$F$175,"BAC_MGT",Allocation!$G$1:$G$175,"B2",Allocation!$H$1:$H$175,"ALT")</f>
        <v>0</v>
      </c>
      <c r="D27" s="84">
        <f>SUMIFS(Allocation!$K$1:$K$175,Allocation!$C$1:$C$175,$C$11,Allocation!$D$1:$D$175,"MBWAY_LYO",Allocation!$F$1:$F$175,"BAC_MGT",Allocation!$G$1:$G$175,"B2",Allocation!$H$1:$H$175,"ALT")</f>
        <v>0</v>
      </c>
      <c r="E27" s="84">
        <f>SUMIFS(Allocation!$V$1:$V$175,Allocation!$C$1:$C$175,$C$11,Allocation!$D$1:$D$175,"MBWAY_LYO",Allocation!$F$1:$F$175,"BAC_MGT",Allocation!$G$1:$G$175,"B2",Allocation!$H$1:$H$175,"ALT")</f>
        <v>0</v>
      </c>
      <c r="F27" s="84">
        <f>SUMIFS(Allocation!$W$1:$W$175,Allocation!$C$1:$C$175,$C$11,Allocation!$D$1:$D$175,"MBWAY_LYO",Allocation!$F$1:$F$175,"BAC_MGT",Allocation!$G$1:$G$175,"B2",Allocation!$H$1:$H$175,"ALT")</f>
        <v>0</v>
      </c>
      <c r="G27" s="84">
        <f>SUMIFS(Allocation!$X$1:$X$175,Allocation!$C$1:$C$175,$C$11,Allocation!$D$1:$D$175,"MBWAY_LYO",Allocation!$F$1:$F$175,"BAC_MGT",Allocation!$G$1:$G$175,"B2",Allocation!$H$1:$H$175,"ALT")</f>
        <v>0</v>
      </c>
      <c r="H27" s="84">
        <f>SUMIFS(Allocation!$Y$1:$Y$175,Allocation!$C$1:$C$175,$C$11,Allocation!$D$1:$D$175,"MBWAY_LYO",Allocation!$F$1:$F$175,"BAC_MGT",Allocation!$G$1:$G$175,"B2",Allocation!$H$1:$H$175,"ALT")</f>
        <v>0</v>
      </c>
      <c r="I27" s="84">
        <f>SUMIFS(Allocation!$AC$1:$AC$175,Allocation!$C$1:$C$175,$C$11,Allocation!$D$1:$D$175,"MBWAY_LYO",Allocation!$F$1:$F$175,"BAC_MGT",Allocation!$G$1:$G$175,"B2",Allocation!$H$1:$H$175,"ALT")</f>
        <v>0</v>
      </c>
      <c r="J27" s="84">
        <f>SUMIFS(Allocation!$Z$1:$Z$175,Allocation!$C$1:$C$175,$C$11,Allocation!$D$1:$D$175,"MBWAY_LYO",Allocation!$F$1:$F$175,"BAC_MGT",Allocation!$G$1:$G$175,"B2",Allocation!$H$1:$H$175,"ALT")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SUMIFS(Allocation!$AA$1:$AA$175,Allocation!$C$1:$C$175,$C$11,Allocation!$D$1:$D$175,"MBWAY_LYO",Allocation!$F$1:$F$175,"BAC_MGT",Allocation!$G$1:$G$175,"B2",Allocation!$H$1:$H$175,"ALT")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SUMIFS(Allocation!$I$1:$I$175,Allocation!$C$1:$C$175,$C$11,Allocation!$D$1:$D$175,"MBWAY_LYO",Allocation!$F$1:$F$175,"BAC_MGT",Allocation!$G$1:$G$175,"B3",Allocation!$H$1:$H$175,"ALT")</f>
        <v>0</v>
      </c>
      <c r="D28" s="84">
        <f>SUMIFS(Allocation!$K$1:$K$175,Allocation!$C$1:$C$175,$C$11,Allocation!$D$1:$D$175,"MBWAY_LYO",Allocation!$F$1:$F$175,"BAC_MGT",Allocation!$G$1:$G$175,"B3",Allocation!$H$1:$H$175,"ALT")</f>
        <v>0</v>
      </c>
      <c r="E28" s="84">
        <f>SUMIFS(Allocation!$V$1:$V$175,Allocation!$C$1:$C$175,$C$11,Allocation!$D$1:$D$175,"MBWAY_LYO",Allocation!$F$1:$F$175,"BAC_MGT",Allocation!$G$1:$G$175,"B3",Allocation!$H$1:$H$175,"ALT")</f>
        <v>0</v>
      </c>
      <c r="F28" s="84">
        <f>SUMIFS(Allocation!$W$1:$W$175,Allocation!$C$1:$C$175,$C$11,Allocation!$D$1:$D$175,"MBWAY_LYO",Allocation!$F$1:$F$175,"BAC_MGT",Allocation!$G$1:$G$175,"B3",Allocation!$H$1:$H$175,"ALT")</f>
        <v>0</v>
      </c>
      <c r="G28" s="84">
        <f>SUMIFS(Allocation!$X$1:$X$175,Allocation!$C$1:$C$175,$C$11,Allocation!$D$1:$D$175,"MBWAY_LYO",Allocation!$F$1:$F$175,"BAC_MGT",Allocation!$G$1:$G$175,"B3",Allocation!$H$1:$H$175,"ALT")</f>
        <v>0</v>
      </c>
      <c r="H28" s="84">
        <f>SUMIFS(Allocation!$Y$1:$Y$175,Allocation!$C$1:$C$175,$C$11,Allocation!$D$1:$D$175,"MBWAY_LYO",Allocation!$F$1:$F$175,"BAC_MGT",Allocation!$G$1:$G$175,"B3",Allocation!$H$1:$H$175,"ALT")</f>
        <v>0</v>
      </c>
      <c r="I28" s="84">
        <f>SUMIFS(Allocation!$AC$1:$AC$175,Allocation!$C$1:$C$175,$C$11,Allocation!$D$1:$D$175,"MBWAY_LYO",Allocation!$F$1:$F$175,"BAC_MGT",Allocation!$G$1:$G$175,"B3",Allocation!$H$1:$H$175,"ALT")</f>
        <v>0</v>
      </c>
      <c r="J28" s="84">
        <f>SUMIFS(Allocation!$Z$1:$Z$175,Allocation!$C$1:$C$175,$C$11,Allocation!$D$1:$D$175,"MBWAY_LYO",Allocation!$F$1:$F$175,"BAC_MGT",Allocation!$G$1:$G$175,"B3",Allocation!$H$1:$H$175,"ALT")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SUMIFS(Allocation!$AA$1:$AA$175,Allocation!$C$1:$C$175,$C$11,Allocation!$D$1:$D$175,"MBWAY_LYO",Allocation!$F$1:$F$175,"BAC_MGT",Allocation!$G$1:$G$175,"B3",Allocation!$H$1:$H$175,"ALT")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SUMIFS(Allocation!$I$1:$I$175,Allocation!$C$1:$C$175,$C$11,Allocation!$D$1:$D$175,"MBWAY_LYO",Allocation!$F$1:$F$175,"MAS_MGT",Allocation!$G$1:$G$175,"M1",Allocation!$H$1:$H$175,"ALT")</f>
        <v>0</v>
      </c>
      <c r="D29" s="84">
        <f>SUMIFS(Allocation!$K$1:$K$175,Allocation!$C$1:$C$175,$C$11,Allocation!$D$1:$D$175,"MBWAY_LYO",Allocation!$F$1:$F$175,"MAS_MGT",Allocation!$G$1:$G$175,"M1",Allocation!$H$1:$H$175,"ALT")</f>
        <v>0</v>
      </c>
      <c r="E29" s="84">
        <f>SUMIFS(Allocation!$V$1:$V$175,Allocation!$C$1:$C$175,$C$11,Allocation!$D$1:$D$175,"MBWAY_LYO",Allocation!$F$1:$F$175,"MAS_MGT",Allocation!$G$1:$G$175,"M1",Allocation!$H$1:$H$175,"ALT")</f>
        <v>0</v>
      </c>
      <c r="F29" s="84">
        <f>SUMIFS(Allocation!$W$1:$W$175,Allocation!$C$1:$C$175,$C$11,Allocation!$D$1:$D$175,"MBWAY_LYO",Allocation!$F$1:$F$175,"MAS_MGT",Allocation!$G$1:$G$175,"M1",Allocation!$H$1:$H$175,"ALT")</f>
        <v>0</v>
      </c>
      <c r="G29" s="84">
        <f>SUMIFS(Allocation!$X$1:$X$175,Allocation!$C$1:$C$175,$C$11,Allocation!$D$1:$D$175,"MBWAY_LYO",Allocation!$F$1:$F$175,"MAS_MGT",Allocation!$G$1:$G$175,"M1",Allocation!$H$1:$H$175,"ALT")</f>
        <v>0</v>
      </c>
      <c r="H29" s="84">
        <f>SUMIFS(Allocation!$Y$1:$Y$175,Allocation!$C$1:$C$175,$C$11,Allocation!$D$1:$D$175,"MBWAY_LYO",Allocation!$F$1:$F$175,"MAS_MGT",Allocation!$G$1:$G$175,"M1",Allocation!$H$1:$H$175,"ALT")</f>
        <v>0</v>
      </c>
      <c r="I29" s="84">
        <f>SUMIFS(Allocation!$AC$1:$AC$175,Allocation!$C$1:$C$175,$C$11,Allocation!$D$1:$D$175,"MBWAY_LYO",Allocation!$F$1:$F$175,"MAS_MGT",Allocation!$G$1:$G$175,"M1",Allocation!$H$1:$H$175,"ALT")</f>
        <v>0</v>
      </c>
      <c r="J29" s="84">
        <f>SUMIFS(Allocation!$Z$1:$Z$175,Allocation!$C$1:$C$175,$C$11,Allocation!$D$1:$D$175,"MBWAY_LYO",Allocation!$F$1:$F$175,"MAS_MGT",Allocation!$G$1:$G$175,"M1",Allocation!$H$1:$H$175,"ALT")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SUMIFS(Allocation!$AA$1:$AA$175,Allocation!$C$1:$C$175,$C$11,Allocation!$D$1:$D$175,"MBWAY_LYO",Allocation!$F$1:$F$175,"MAS_MGT",Allocation!$G$1:$G$175,"M1",Allocation!$H$1:$H$175,"ALT")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SUMIFS(Allocation!$I$1:$I$175,Allocation!$C$1:$C$175,$C$11,Allocation!$D$1:$D$175,"MBWAY_LYO",Allocation!$F$1:$F$175,"MAS_MGT",Allocation!$G$1:$G$175,"M2",Allocation!$H$1:$H$175,"ALT")</f>
        <v>0</v>
      </c>
      <c r="D30" s="84">
        <f>SUMIFS(Allocation!$K$1:$K$175,Allocation!$C$1:$C$175,$C$11,Allocation!$D$1:$D$175,"MBWAY_LYO",Allocation!$F$1:$F$175,"MAS_MGT",Allocation!$G$1:$G$175,"M2",Allocation!$H$1:$H$175,"ALT")</f>
        <v>0</v>
      </c>
      <c r="E30" s="84">
        <f>SUMIFS(Allocation!$V$1:$V$175,Allocation!$C$1:$C$175,$C$11,Allocation!$D$1:$D$175,"MBWAY_LYO",Allocation!$F$1:$F$175,"MAS_MGT",Allocation!$G$1:$G$175,"M2",Allocation!$H$1:$H$175,"ALT")</f>
        <v>0</v>
      </c>
      <c r="F30" s="84">
        <f>SUMIFS(Allocation!$W$1:$W$175,Allocation!$C$1:$C$175,$C$11,Allocation!$D$1:$D$175,"MBWAY_LYO",Allocation!$F$1:$F$175,"MAS_MGT",Allocation!$G$1:$G$175,"M2",Allocation!$H$1:$H$175,"ALT")</f>
        <v>0</v>
      </c>
      <c r="G30" s="84">
        <f>SUMIFS(Allocation!$X$1:$X$175,Allocation!$C$1:$C$175,$C$11,Allocation!$D$1:$D$175,"MBWAY_LYO",Allocation!$F$1:$F$175,"MAS_MGT",Allocation!$G$1:$G$175,"M2",Allocation!$H$1:$H$175,"ALT")</f>
        <v>0</v>
      </c>
      <c r="H30" s="84">
        <f>SUMIFS(Allocation!$Y$1:$Y$175,Allocation!$C$1:$C$175,$C$11,Allocation!$D$1:$D$175,"MBWAY_LYO",Allocation!$F$1:$F$175,"MAS_MGT",Allocation!$G$1:$G$175,"M2",Allocation!$H$1:$H$175,"ALT")</f>
        <v>0</v>
      </c>
      <c r="I30" s="84">
        <f>SUMIFS(Allocation!$AC$1:$AC$175,Allocation!$C$1:$C$175,$C$11,Allocation!$D$1:$D$175,"MBWAY_LYO",Allocation!$F$1:$F$175,"MAS_MGT",Allocation!$G$1:$G$175,"M2",Allocation!$H$1:$H$175,"ALT")</f>
        <v>0</v>
      </c>
      <c r="J30" s="84">
        <f>SUMIFS(Allocation!$Z$1:$Z$175,Allocation!$C$1:$C$175,$C$11,Allocation!$D$1:$D$175,"MBWAY_LYO",Allocation!$F$1:$F$175,"MAS_MGT",Allocation!$G$1:$G$175,"M2",Allocation!$H$1:$H$175,"ALT")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SUMIFS(Allocation!$AA$1:$AA$175,Allocation!$C$1:$C$175,$C$11,Allocation!$D$1:$D$175,"MBWAY_LYO",Allocation!$F$1:$F$175,"MAS_MGT",Allocation!$G$1:$G$175,"M2",Allocation!$H$1:$H$175,"ALT")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SUMIFS(Allocation!$I$1:$I$175,Allocation!$C$1:$C$175,$C$11,Allocation!$D$1:$D$175,"MBWAY_NAN")</f>
        <v>0</v>
      </c>
      <c r="D31" s="123">
        <f>SUMIFS(Allocation!$K$1:$K$175,Allocation!$C$1:$C$175,$C$11,Allocation!$D$1:$D$175,"MBWAY_NAN")</f>
        <v>0</v>
      </c>
      <c r="E31" s="123">
        <f>SUMIFS(Allocation!$V$1:$V$175,Allocation!$C$1:$C$175,$C$11,Allocation!$D$1:$D$175,"MBWAY_NAN")</f>
        <v>0</v>
      </c>
      <c r="F31" s="123">
        <f>SUMIFS(Allocation!$W$1:$W$175,Allocation!$C$1:$C$175,$C$11,Allocation!$D$1:$D$175,"MBWAY_NAN")</f>
        <v>0</v>
      </c>
      <c r="G31" s="123">
        <f>SUMIFS(Allocation!$X$1:$X$175,Allocation!$C$1:$C$175,$C$11,Allocation!$D$1:$D$175,"MBWAY_NAN")</f>
        <v>0</v>
      </c>
      <c r="H31" s="123">
        <f>SUMIFS(Allocation!$Y$1:$Y$175,Allocation!$C$1:$C$175,$C$11,Allocation!$D$1:$D$175,"MBWAY_NAN")</f>
        <v>0</v>
      </c>
      <c r="I31" s="123">
        <f>SUMIFS(Allocation!$AC$1:$AC$175,Allocation!$C$1:$C$175,$C$11,Allocation!$D$1:$D$175,"MBWAY_NAN")</f>
        <v>0</v>
      </c>
      <c r="J31" s="123">
        <f>SUMIFS(Allocation!$Z$1:$Z$175,Allocation!$C$1:$C$175,$C$11,Allocation!$D$1:$D$175,"MBWAY_NAN")</f>
        <v>0</v>
      </c>
      <c r="K31" s="123">
        <f t="shared" si="0"/>
        <v>0</v>
      </c>
      <c r="L31" s="130">
        <f>SUMIFS(Allocation!$AA$1:$AA$175,Allocation!$C$1:$C$175,$C$11,Allocation!$D$1:$D$175,"MBWAY_NAN")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SUMIFS(Allocation!$I$1:$I$175,Allocation!$C$1:$C$175,$C$11,Allocation!$D$1:$D$175,"MBWAY_NAN",Allocation!$F$1:$F$175,"BAC_MGT",Allocation!$G$1:$G$175,"B1",Allocation!$H$1:$H$175,"INIT")</f>
        <v>0</v>
      </c>
      <c r="D32" s="84">
        <f>SUMIFS(Allocation!$K$1:$K$175,Allocation!$C$1:$C$175,$C$11,Allocation!$D$1:$D$175,"MBWAY_NAN",Allocation!$F$1:$F$175,"BAC_MGT",Allocation!$G$1:$G$175,"B1",Allocation!$H$1:$H$175,"INIT")</f>
        <v>0</v>
      </c>
      <c r="E32" s="84">
        <f>SUMIFS(Allocation!$V$1:$V$175,Allocation!$C$1:$C$175,$C$11,Allocation!$D$1:$D$175,"MBWAY_NAN",Allocation!$F$1:$F$175,"BAC_MGT",Allocation!$G$1:$G$175,"B1",Allocation!$H$1:$H$175,"INIT")</f>
        <v>0</v>
      </c>
      <c r="F32" s="84">
        <f>SUMIFS(Allocation!$W$1:$W$175,Allocation!$C$1:$C$175,$C$11,Allocation!$D$1:$D$175,"MBWAY_NAN",Allocation!$F$1:$F$175,"BAC_MGT",Allocation!$G$1:$G$175,"B1",Allocation!$H$1:$H$175,"INIT")</f>
        <v>0</v>
      </c>
      <c r="G32" s="84">
        <f>SUMIFS(Allocation!$X$1:$X$175,Allocation!$C$1:$C$175,$C$11,Allocation!$D$1:$D$175,"MBWAY_NAN",Allocation!$F$1:$F$175,"BAC_MGT",Allocation!$G$1:$G$175,"B1",Allocation!$H$1:$H$175,"INIT")</f>
        <v>0</v>
      </c>
      <c r="H32" s="84">
        <f>SUMIFS(Allocation!$Y$1:$Y$175,Allocation!$C$1:$C$175,$C$11,Allocation!$D$1:$D$175,"MBWAY_NAN",Allocation!$F$1:$F$175,"BAC_MGT",Allocation!$G$1:$G$175,"B1",Allocation!$H$1:$H$175,"INIT")</f>
        <v>0</v>
      </c>
      <c r="I32" s="84">
        <f>SUMIFS(Allocation!$AC$1:$AC$175,Allocation!$C$1:$C$175,$C$11,Allocation!$D$1:$D$175,"MBWAY_NAN",Allocation!$F$1:$F$175,"BAC_MGT",Allocation!$G$1:$G$175,"B1",Allocation!$H$1:$H$175,"INIT")</f>
        <v>0</v>
      </c>
      <c r="J32" s="84">
        <f>SUMIFS(Allocation!$Z$1:$Z$175,Allocation!$C$1:$C$175,$C$11,Allocation!$D$1:$D$175,"MBWAY_NAN",Allocation!$F$1:$F$175,"BAC_MGT",Allocation!$G$1:$G$175,"B1",Allocation!$H$1:$H$175,"INIT")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SUMIFS(Allocation!$AA$1:$AA$175,Allocation!$C$1:$C$175,$C$11,Allocation!$D$1:$D$175,"MBWAY_NAN",Allocation!$F$1:$F$175,"BAC_MGT",Allocation!$G$1:$G$175,"B1",Allocation!$H$1:$H$175,"INIT")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SUMIFS(Allocation!$I$1:$I$175,Allocation!$C$1:$C$175,$C$11,Allocation!$D$1:$D$175,"MBWAY_NAN",Allocation!$F$1:$F$175,"BAC_MGT",Allocation!$G$1:$G$175,"B2",Allocation!$H$1:$H$175,"ALT")</f>
        <v>0</v>
      </c>
      <c r="D33" s="84">
        <f>SUMIFS(Allocation!$K$1:$K$175,Allocation!$C$1:$C$175,$C$11,Allocation!$D$1:$D$175,"MBWAY_NAN",Allocation!$F$1:$F$175,"BAC_MGT",Allocation!$G$1:$G$175,"B2",Allocation!$H$1:$H$175,"ALT")</f>
        <v>0</v>
      </c>
      <c r="E33" s="84">
        <f>SUMIFS(Allocation!$V$1:$V$175,Allocation!$C$1:$C$175,$C$11,Allocation!$D$1:$D$175,"MBWAY_NAN",Allocation!$F$1:$F$175,"BAC_MGT",Allocation!$G$1:$G$175,"B2",Allocation!$H$1:$H$175,"ALT")</f>
        <v>0</v>
      </c>
      <c r="F33" s="84">
        <f>SUMIFS(Allocation!$W$1:$W$175,Allocation!$C$1:$C$175,$C$11,Allocation!$D$1:$D$175,"MBWAY_NAN",Allocation!$F$1:$F$175,"BAC_MGT",Allocation!$G$1:$G$175,"B2",Allocation!$H$1:$H$175,"ALT")</f>
        <v>0</v>
      </c>
      <c r="G33" s="84">
        <f>SUMIFS(Allocation!$X$1:$X$175,Allocation!$C$1:$C$175,$C$11,Allocation!$D$1:$D$175,"MBWAY_NAN",Allocation!$F$1:$F$175,"BAC_MGT",Allocation!$G$1:$G$175,"B2",Allocation!$H$1:$H$175,"ALT")</f>
        <v>0</v>
      </c>
      <c r="H33" s="84">
        <f>SUMIFS(Allocation!$Y$1:$Y$175,Allocation!$C$1:$C$175,$C$11,Allocation!$D$1:$D$175,"MBWAY_NAN",Allocation!$F$1:$F$175,"BAC_MGT",Allocation!$G$1:$G$175,"B2",Allocation!$H$1:$H$175,"ALT")</f>
        <v>0</v>
      </c>
      <c r="I33" s="84">
        <f>SUMIFS(Allocation!$AC$1:$AC$175,Allocation!$C$1:$C$175,$C$11,Allocation!$D$1:$D$175,"MBWAY_NAN",Allocation!$F$1:$F$175,"BAC_MGT",Allocation!$G$1:$G$175,"B2",Allocation!$H$1:$H$175,"ALT")</f>
        <v>0</v>
      </c>
      <c r="J33" s="84">
        <f>SUMIFS(Allocation!$Z$1:$Z$175,Allocation!$C$1:$C$175,$C$11,Allocation!$D$1:$D$175,"MBWAY_NAN",Allocation!$F$1:$F$175,"BAC_MGT",Allocation!$G$1:$G$175,"B2",Allocation!$H$1:$H$175,"ALT")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SUMIFS(Allocation!$AA$1:$AA$175,Allocation!$C$1:$C$175,$C$11,Allocation!$D$1:$D$175,"MBWAY_NAN",Allocation!$F$1:$F$175,"BAC_MGT",Allocation!$G$1:$G$175,"B2",Allocation!$H$1:$H$175,"ALT")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SUMIFS(Allocation!$I$1:$I$175,Allocation!$C$1:$C$175,$C$11,Allocation!$D$1:$D$175,"MBWAY_NAN",Allocation!$F$1:$F$175,"BAC_MGT",Allocation!$G$1:$G$175,"B3",Allocation!$H$1:$H$175,"ALT")</f>
        <v>0</v>
      </c>
      <c r="D34" s="84">
        <f>SUMIFS(Allocation!$K$1:$K$175,Allocation!$C$1:$C$175,$C$11,Allocation!$D$1:$D$175,"MBWAY_NAN",Allocation!$F$1:$F$175,"BAC_MGT",Allocation!$G$1:$G$175,"B3",Allocation!$H$1:$H$175,"ALT")</f>
        <v>0</v>
      </c>
      <c r="E34" s="84">
        <f>SUMIFS(Allocation!$V$1:$V$175,Allocation!$C$1:$C$175,$C$11,Allocation!$D$1:$D$175,"MBWAY_NAN",Allocation!$F$1:$F$175,"BAC_MGT",Allocation!$G$1:$G$175,"B3",Allocation!$H$1:$H$175,"ALT")</f>
        <v>0</v>
      </c>
      <c r="F34" s="84">
        <f>SUMIFS(Allocation!$W$1:$W$175,Allocation!$C$1:$C$175,$C$11,Allocation!$D$1:$D$175,"MBWAY_NAN",Allocation!$F$1:$F$175,"BAC_MGT",Allocation!$G$1:$G$175,"B3",Allocation!$H$1:$H$175,"ALT")</f>
        <v>0</v>
      </c>
      <c r="G34" s="84">
        <f>SUMIFS(Allocation!$X$1:$X$175,Allocation!$C$1:$C$175,$C$11,Allocation!$D$1:$D$175,"MBWAY_NAN",Allocation!$F$1:$F$175,"BAC_MGT",Allocation!$G$1:$G$175,"B3",Allocation!$H$1:$H$175,"ALT")</f>
        <v>0</v>
      </c>
      <c r="H34" s="84">
        <f>SUMIFS(Allocation!$Y$1:$Y$175,Allocation!$C$1:$C$175,$C$11,Allocation!$D$1:$D$175,"MBWAY_NAN",Allocation!$F$1:$F$175,"BAC_MGT",Allocation!$G$1:$G$175,"B3",Allocation!$H$1:$H$175,"ALT")</f>
        <v>0</v>
      </c>
      <c r="I34" s="84">
        <f>SUMIFS(Allocation!$AC$1:$AC$175,Allocation!$C$1:$C$175,$C$11,Allocation!$D$1:$D$175,"MBWAY_NAN",Allocation!$F$1:$F$175,"BAC_MGT",Allocation!$G$1:$G$175,"B3",Allocation!$H$1:$H$175,"ALT")</f>
        <v>0</v>
      </c>
      <c r="J34" s="84">
        <f>SUMIFS(Allocation!$Z$1:$Z$175,Allocation!$C$1:$C$175,$C$11,Allocation!$D$1:$D$175,"MBWAY_NAN",Allocation!$F$1:$F$175,"BAC_MGT",Allocation!$G$1:$G$175,"B3",Allocation!$H$1:$H$175,"ALT")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SUMIFS(Allocation!$AA$1:$AA$175,Allocation!$C$1:$C$175,$C$11,Allocation!$D$1:$D$175,"MBWAY_NAN",Allocation!$F$1:$F$175,"BAC_MGT",Allocation!$G$1:$G$175,"B3",Allocation!$H$1:$H$175,"ALT")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SUMIFS(Allocation!$I$1:$I$175,Allocation!$C$1:$C$175,$C$11,Allocation!$D$1:$D$175,"MBWAY_NAN",Allocation!$F$1:$F$175,"MAS_MGT",Allocation!$G$1:$G$175,"M1",Allocation!$H$1:$H$175,"ALT")</f>
        <v>0</v>
      </c>
      <c r="D35" s="84">
        <f>SUMIFS(Allocation!$K$1:$K$175,Allocation!$C$1:$C$175,$C$11,Allocation!$D$1:$D$175,"MBWAY_NAN",Allocation!$F$1:$F$175,"MAS_MGT",Allocation!$G$1:$G$175,"M1",Allocation!$H$1:$H$175,"ALT")</f>
        <v>0</v>
      </c>
      <c r="E35" s="84">
        <f>SUMIFS(Allocation!$V$1:$V$175,Allocation!$C$1:$C$175,$C$11,Allocation!$D$1:$D$175,"MBWAY_NAN",Allocation!$F$1:$F$175,"MAS_MGT",Allocation!$G$1:$G$175,"M1",Allocation!$H$1:$H$175,"ALT")</f>
        <v>0</v>
      </c>
      <c r="F35" s="84">
        <f>SUMIFS(Allocation!$W$1:$W$175,Allocation!$C$1:$C$175,$C$11,Allocation!$D$1:$D$175,"MBWAY_NAN",Allocation!$F$1:$F$175,"MAS_MGT",Allocation!$G$1:$G$175,"M1",Allocation!$H$1:$H$175,"ALT")</f>
        <v>0</v>
      </c>
      <c r="G35" s="84">
        <f>SUMIFS(Allocation!$X$1:$X$175,Allocation!$C$1:$C$175,$C$11,Allocation!$D$1:$D$175,"MBWAY_NAN",Allocation!$F$1:$F$175,"MAS_MGT",Allocation!$G$1:$G$175,"M1",Allocation!$H$1:$H$175,"ALT")</f>
        <v>0</v>
      </c>
      <c r="H35" s="84">
        <f>SUMIFS(Allocation!$Y$1:$Y$175,Allocation!$C$1:$C$175,$C$11,Allocation!$D$1:$D$175,"MBWAY_NAN",Allocation!$F$1:$F$175,"MAS_MGT",Allocation!$G$1:$G$175,"M1",Allocation!$H$1:$H$175,"ALT")</f>
        <v>0</v>
      </c>
      <c r="I35" s="84">
        <f>SUMIFS(Allocation!$AC$1:$AC$175,Allocation!$C$1:$C$175,$C$11,Allocation!$D$1:$D$175,"MBWAY_NAN",Allocation!$F$1:$F$175,"MAS_MGT",Allocation!$G$1:$G$175,"M1",Allocation!$H$1:$H$175,"ALT")</f>
        <v>0</v>
      </c>
      <c r="J35" s="84">
        <f>SUMIFS(Allocation!$Z$1:$Z$175,Allocation!$C$1:$C$175,$C$11,Allocation!$D$1:$D$175,"MBWAY_NAN",Allocation!$F$1:$F$175,"MAS_MGT",Allocation!$G$1:$G$175,"M1",Allocation!$H$1:$H$175,"ALT")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SUMIFS(Allocation!$AA$1:$AA$175,Allocation!$C$1:$C$175,$C$11,Allocation!$D$1:$D$175,"MBWAY_NAN",Allocation!$F$1:$F$175,"MAS_MGT",Allocation!$G$1:$G$175,"M1",Allocation!$H$1:$H$175,"ALT")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SUMIFS(Allocation!$I$1:$I$175,Allocation!$C$1:$C$175,$C$11,Allocation!$D$1:$D$175,"MBWAY_NAN",Allocation!$F$1:$F$175,"MAS_MGT",Allocation!$G$1:$G$175,"M2",Allocation!$H$1:$H$175,"ALT")</f>
        <v>0</v>
      </c>
      <c r="D36" s="84">
        <f>SUMIFS(Allocation!$K$1:$K$175,Allocation!$C$1:$C$175,$C$11,Allocation!$D$1:$D$175,"MBWAY_NAN",Allocation!$F$1:$F$175,"MAS_MGT",Allocation!$G$1:$G$175,"M2",Allocation!$H$1:$H$175,"ALT")</f>
        <v>0</v>
      </c>
      <c r="E36" s="84">
        <f>SUMIFS(Allocation!$V$1:$V$175,Allocation!$C$1:$C$175,$C$11,Allocation!$D$1:$D$175,"MBWAY_NAN",Allocation!$F$1:$F$175,"MAS_MGT",Allocation!$G$1:$G$175,"M2",Allocation!$H$1:$H$175,"ALT")</f>
        <v>0</v>
      </c>
      <c r="F36" s="84">
        <f>SUMIFS(Allocation!$W$1:$W$175,Allocation!$C$1:$C$175,$C$11,Allocation!$D$1:$D$175,"MBWAY_NAN",Allocation!$F$1:$F$175,"MAS_MGT",Allocation!$G$1:$G$175,"M2",Allocation!$H$1:$H$175,"ALT")</f>
        <v>0</v>
      </c>
      <c r="G36" s="84">
        <f>SUMIFS(Allocation!$X$1:$X$175,Allocation!$C$1:$C$175,$C$11,Allocation!$D$1:$D$175,"MBWAY_NAN",Allocation!$F$1:$F$175,"MAS_MGT",Allocation!$G$1:$G$175,"M2",Allocation!$H$1:$H$175,"ALT")</f>
        <v>0</v>
      </c>
      <c r="H36" s="84">
        <f>SUMIFS(Allocation!$Y$1:$Y$175,Allocation!$C$1:$C$175,$C$11,Allocation!$D$1:$D$175,"MBWAY_NAN",Allocation!$F$1:$F$175,"MAS_MGT",Allocation!$G$1:$G$175,"M2",Allocation!$H$1:$H$175,"ALT")</f>
        <v>0</v>
      </c>
      <c r="I36" s="84">
        <f>SUMIFS(Allocation!$AC$1:$AC$175,Allocation!$C$1:$C$175,$C$11,Allocation!$D$1:$D$175,"MBWAY_NAN",Allocation!$F$1:$F$175,"MAS_MGT",Allocation!$G$1:$G$175,"M2",Allocation!$H$1:$H$175,"ALT")</f>
        <v>0</v>
      </c>
      <c r="J36" s="84">
        <f>SUMIFS(Allocation!$Z$1:$Z$175,Allocation!$C$1:$C$175,$C$11,Allocation!$D$1:$D$175,"MBWAY_NAN",Allocation!$F$1:$F$175,"MAS_MGT",Allocation!$G$1:$G$175,"M2",Allocation!$H$1:$H$175,"ALT")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SUMIFS(Allocation!$AA$1:$AA$175,Allocation!$C$1:$C$175,$C$11,Allocation!$D$1:$D$175,"MBWAY_NAN",Allocation!$F$1:$F$175,"MAS_MGT",Allocation!$G$1:$G$175,"M2",Allocation!$H$1:$H$175,"ALT")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SUMIFS(Allocation!$I$1:$I$175,Allocation!$C$1:$C$175,$C$11,Allocation!$D$1:$D$175,"MBWAY_BOR")</f>
        <v>0</v>
      </c>
      <c r="D37" s="123">
        <f>SUMIFS(Allocation!$K$1:$K$175,Allocation!$C$1:$C$175,$C$11,Allocation!$D$1:$D$175,"MBWAY_BOR")</f>
        <v>0</v>
      </c>
      <c r="E37" s="123">
        <f>SUMIFS(Allocation!$V$1:$V$175,Allocation!$C$1:$C$175,$C$11,Allocation!$D$1:$D$175,"MBWAY_BOR")</f>
        <v>0</v>
      </c>
      <c r="F37" s="123">
        <f>SUMIFS(Allocation!$W$1:$W$175,Allocation!$C$1:$C$175,$C$11,Allocation!$D$1:$D$175,"MBWAY_BOR")</f>
        <v>0</v>
      </c>
      <c r="G37" s="123">
        <f>SUMIFS(Allocation!$X$1:$X$175,Allocation!$C$1:$C$175,$C$11,Allocation!$D$1:$D$175,"MBWAY_BOR")</f>
        <v>0</v>
      </c>
      <c r="H37" s="123">
        <f>SUMIFS(Allocation!$Y$1:$Y$175,Allocation!$C$1:$C$175,$C$11,Allocation!$D$1:$D$175,"MBWAY_BOR")</f>
        <v>0</v>
      </c>
      <c r="I37" s="123">
        <f>SUMIFS(Allocation!$AC$1:$AC$175,Allocation!$C$1:$C$175,$C$11,Allocation!$D$1:$D$175,"MBWAY_BOR")</f>
        <v>0</v>
      </c>
      <c r="J37" s="123">
        <f>SUMIFS(Allocation!$Z$1:$Z$175,Allocation!$C$1:$C$175,$C$11,Allocation!$D$1:$D$175,"MBWAY_BOR")</f>
        <v>0</v>
      </c>
      <c r="K37" s="123">
        <f t="shared" si="0"/>
        <v>0</v>
      </c>
      <c r="L37" s="130">
        <f>SUMIFS(Allocation!$AA$1:$AA$175,Allocation!$C$1:$C$175,$C$11,Allocation!$D$1:$D$175,"MBWAY_BOR")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SUMIFS(Allocation!$I$1:$I$175,Allocation!$C$1:$C$175,$C$11,Allocation!$D$1:$D$175,"MBWAY_BOR",Allocation!$F$1:$F$175,"BAC_MGT",Allocation!$G$1:$G$175,"B1",Allocation!$H$1:$H$175,"INIT")</f>
        <v>0</v>
      </c>
      <c r="D38" s="84">
        <f>SUMIFS(Allocation!$K$1:$K$175,Allocation!$C$1:$C$175,$C$11,Allocation!$D$1:$D$175,"MBWAY_BOR",Allocation!$F$1:$F$175,"BAC_MGT",Allocation!$G$1:$G$175,"B1",Allocation!$H$1:$H$175,"INIT")</f>
        <v>0</v>
      </c>
      <c r="E38" s="84">
        <f>SUMIFS(Allocation!$V$1:$V$175,Allocation!$C$1:$C$175,$C$11,Allocation!$D$1:$D$175,"MBWAY_BOR",Allocation!$F$1:$F$175,"BAC_MGT",Allocation!$G$1:$G$175,"B1",Allocation!$H$1:$H$175,"INIT")</f>
        <v>0</v>
      </c>
      <c r="F38" s="84">
        <f>SUMIFS(Allocation!$W$1:$W$175,Allocation!$C$1:$C$175,$C$11,Allocation!$D$1:$D$175,"MBWAY_BOR",Allocation!$F$1:$F$175,"BAC_MGT",Allocation!$G$1:$G$175,"B1",Allocation!$H$1:$H$175,"INIT")</f>
        <v>0</v>
      </c>
      <c r="G38" s="84">
        <f>SUMIFS(Allocation!$X$1:$X$175,Allocation!$C$1:$C$175,$C$11,Allocation!$D$1:$D$175,"MBWAY_BOR",Allocation!$F$1:$F$175,"BAC_MGT",Allocation!$G$1:$G$175,"B1",Allocation!$H$1:$H$175,"INIT")</f>
        <v>0</v>
      </c>
      <c r="H38" s="84">
        <f>SUMIFS(Allocation!$Y$1:$Y$175,Allocation!$C$1:$C$175,$C$11,Allocation!$D$1:$D$175,"MBWAY_BOR",Allocation!$F$1:$F$175,"BAC_MGT",Allocation!$G$1:$G$175,"B1",Allocation!$H$1:$H$175,"INIT")</f>
        <v>0</v>
      </c>
      <c r="I38" s="84">
        <f>SUMIFS(Allocation!$AC$1:$AC$175,Allocation!$C$1:$C$175,$C$11,Allocation!$D$1:$D$175,"MBWAY_BOR",Allocation!$F$1:$F$175,"BAC_MGT",Allocation!$G$1:$G$175,"B1",Allocation!$H$1:$H$175,"INIT")</f>
        <v>0</v>
      </c>
      <c r="J38" s="84">
        <f>SUMIFS(Allocation!$Z$1:$Z$175,Allocation!$C$1:$C$175,$C$11,Allocation!$D$1:$D$175,"MBWAY_BOR",Allocation!$F$1:$F$175,"BAC_MGT",Allocation!$G$1:$G$175,"B1",Allocation!$H$1:$H$175,"INIT")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SUMIFS(Allocation!$AA$1:$AA$175,Allocation!$C$1:$C$175,$C$11,Allocation!$D$1:$D$175,"MBWAY_BOR",Allocation!$F$1:$F$175,"BAC_MGT",Allocation!$G$1:$G$175,"B1",Allocation!$H$1:$H$175,"INIT")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SUMIFS(Allocation!$I$1:$I$175,Allocation!$C$1:$C$175,$C$11,Allocation!$D$1:$D$175,"MBWAY_BOR",Allocation!$F$1:$F$175,"BAC_MGT",Allocation!$G$1:$G$175,"B2",Allocation!$H$1:$H$175,"ALT")</f>
        <v>0</v>
      </c>
      <c r="D39" s="84">
        <f>SUMIFS(Allocation!$K$1:$K$175,Allocation!$C$1:$C$175,$C$11,Allocation!$D$1:$D$175,"MBWAY_BOR",Allocation!$F$1:$F$175,"BAC_MGT",Allocation!$G$1:$G$175,"B2",Allocation!$H$1:$H$175,"ALT")</f>
        <v>0</v>
      </c>
      <c r="E39" s="84">
        <f>SUMIFS(Allocation!$V$1:$V$175,Allocation!$C$1:$C$175,$C$11,Allocation!$D$1:$D$175,"MBWAY_BOR",Allocation!$F$1:$F$175,"BAC_MGT",Allocation!$G$1:$G$175,"B2",Allocation!$H$1:$H$175,"ALT")</f>
        <v>0</v>
      </c>
      <c r="F39" s="84">
        <f>SUMIFS(Allocation!$W$1:$W$175,Allocation!$C$1:$C$175,$C$11,Allocation!$D$1:$D$175,"MBWAY_BOR",Allocation!$F$1:$F$175,"BAC_MGT",Allocation!$G$1:$G$175,"B2",Allocation!$H$1:$H$175,"ALT")</f>
        <v>0</v>
      </c>
      <c r="G39" s="84">
        <f>SUMIFS(Allocation!$X$1:$X$175,Allocation!$C$1:$C$175,$C$11,Allocation!$D$1:$D$175,"MBWAY_BOR",Allocation!$F$1:$F$175,"BAC_MGT",Allocation!$G$1:$G$175,"B2",Allocation!$H$1:$H$175,"ALT")</f>
        <v>0</v>
      </c>
      <c r="H39" s="84">
        <f>SUMIFS(Allocation!$Y$1:$Y$175,Allocation!$C$1:$C$175,$C$11,Allocation!$D$1:$D$175,"MBWAY_BOR",Allocation!$F$1:$F$175,"BAC_MGT",Allocation!$G$1:$G$175,"B2",Allocation!$H$1:$H$175,"ALT")</f>
        <v>0</v>
      </c>
      <c r="I39" s="84">
        <f>SUMIFS(Allocation!$AC$1:$AC$175,Allocation!$C$1:$C$175,$C$11,Allocation!$D$1:$D$175,"MBWAY_BOR",Allocation!$F$1:$F$175,"BAC_MGT",Allocation!$G$1:$G$175,"B2",Allocation!$H$1:$H$175,"ALT")</f>
        <v>0</v>
      </c>
      <c r="J39" s="84">
        <f>SUMIFS(Allocation!$Z$1:$Z$175,Allocation!$C$1:$C$175,$C$11,Allocation!$D$1:$D$175,"MBWAY_BOR",Allocation!$F$1:$F$175,"BAC_MGT",Allocation!$G$1:$G$175,"B2",Allocation!$H$1:$H$175,"ALT")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SUMIFS(Allocation!$AA$1:$AA$175,Allocation!$C$1:$C$175,$C$11,Allocation!$D$1:$D$175,"MBWAY_BOR",Allocation!$F$1:$F$175,"BAC_MGT",Allocation!$G$1:$G$175,"B2",Allocation!$H$1:$H$175,"ALT")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SUMIFS(Allocation!$I$1:$I$175,Allocation!$C$1:$C$175,$C$11,Allocation!$D$1:$D$175,"MBWAY_BOR",Allocation!$F$1:$F$175,"BAC_MGT",Allocation!$G$1:$G$175,"B3",Allocation!$H$1:$H$175,"ALT")</f>
        <v>0</v>
      </c>
      <c r="D40" s="84">
        <f>SUMIFS(Allocation!$K$1:$K$175,Allocation!$C$1:$C$175,$C$11,Allocation!$D$1:$D$175,"MBWAY_BOR",Allocation!$F$1:$F$175,"BAC_MGT",Allocation!$G$1:$G$175,"B3",Allocation!$H$1:$H$175,"ALT")</f>
        <v>0</v>
      </c>
      <c r="E40" s="84">
        <f>SUMIFS(Allocation!$V$1:$V$175,Allocation!$C$1:$C$175,$C$11,Allocation!$D$1:$D$175,"MBWAY_BOR",Allocation!$F$1:$F$175,"BAC_MGT",Allocation!$G$1:$G$175,"B3",Allocation!$H$1:$H$175,"ALT")</f>
        <v>0</v>
      </c>
      <c r="F40" s="84">
        <f>SUMIFS(Allocation!$W$1:$W$175,Allocation!$C$1:$C$175,$C$11,Allocation!$D$1:$D$175,"MBWAY_BOR",Allocation!$F$1:$F$175,"BAC_MGT",Allocation!$G$1:$G$175,"B3",Allocation!$H$1:$H$175,"ALT")</f>
        <v>0</v>
      </c>
      <c r="G40" s="84">
        <f>SUMIFS(Allocation!$X$1:$X$175,Allocation!$C$1:$C$175,$C$11,Allocation!$D$1:$D$175,"MBWAY_BOR",Allocation!$F$1:$F$175,"BAC_MGT",Allocation!$G$1:$G$175,"B3",Allocation!$H$1:$H$175,"ALT")</f>
        <v>0</v>
      </c>
      <c r="H40" s="84">
        <f>SUMIFS(Allocation!$Y$1:$Y$175,Allocation!$C$1:$C$175,$C$11,Allocation!$D$1:$D$175,"MBWAY_BOR",Allocation!$F$1:$F$175,"BAC_MGT",Allocation!$G$1:$G$175,"B3",Allocation!$H$1:$H$175,"ALT")</f>
        <v>0</v>
      </c>
      <c r="I40" s="84">
        <f>SUMIFS(Allocation!$AC$1:$AC$175,Allocation!$C$1:$C$175,$C$11,Allocation!$D$1:$D$175,"MBWAY_BOR",Allocation!$F$1:$F$175,"BAC_MGT",Allocation!$G$1:$G$175,"B3",Allocation!$H$1:$H$175,"ALT")</f>
        <v>0</v>
      </c>
      <c r="J40" s="84">
        <f>SUMIFS(Allocation!$Z$1:$Z$175,Allocation!$C$1:$C$175,$C$11,Allocation!$D$1:$D$175,"MBWAY_BOR",Allocation!$F$1:$F$175,"BAC_MGT",Allocation!$G$1:$G$175,"B3",Allocation!$H$1:$H$175,"ALT")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SUMIFS(Allocation!$AA$1:$AA$175,Allocation!$C$1:$C$175,$C$11,Allocation!$D$1:$D$175,"MBWAY_BOR",Allocation!$F$1:$F$175,"BAC_MGT",Allocation!$G$1:$G$175,"B3",Allocation!$H$1:$H$175,"ALT")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SUMIFS(Allocation!$I$1:$I$175,Allocation!$C$1:$C$175,$C$11,Allocation!$D$1:$D$175,"MBWAY_BOR",Allocation!$F$1:$F$175,"MAS_MGT",Allocation!$G$1:$G$175,"M1",Allocation!$H$1:$H$175,"ALT")</f>
        <v>0</v>
      </c>
      <c r="D41" s="84">
        <f>SUMIFS(Allocation!$K$1:$K$175,Allocation!$C$1:$C$175,$C$11,Allocation!$D$1:$D$175,"MBWAY_BOR",Allocation!$F$1:$F$175,"MAS_MGT",Allocation!$G$1:$G$175,"M1",Allocation!$H$1:$H$175,"ALT")</f>
        <v>0</v>
      </c>
      <c r="E41" s="84">
        <f>SUMIFS(Allocation!$V$1:$V$175,Allocation!$C$1:$C$175,$C$11,Allocation!$D$1:$D$175,"MBWAY_BOR",Allocation!$F$1:$F$175,"MAS_MGT",Allocation!$G$1:$G$175,"M1",Allocation!$H$1:$H$175,"ALT")</f>
        <v>0</v>
      </c>
      <c r="F41" s="84">
        <f>SUMIFS(Allocation!$W$1:$W$175,Allocation!$C$1:$C$175,$C$11,Allocation!$D$1:$D$175,"MBWAY_BOR",Allocation!$F$1:$F$175,"MAS_MGT",Allocation!$G$1:$G$175,"M1",Allocation!$H$1:$H$175,"ALT")</f>
        <v>0</v>
      </c>
      <c r="G41" s="84">
        <f>SUMIFS(Allocation!$X$1:$X$175,Allocation!$C$1:$C$175,$C$11,Allocation!$D$1:$D$175,"MBWAY_BOR",Allocation!$F$1:$F$175,"MAS_MGT",Allocation!$G$1:$G$175,"M1",Allocation!$H$1:$H$175,"ALT")</f>
        <v>0</v>
      </c>
      <c r="H41" s="84">
        <f>SUMIFS(Allocation!$Y$1:$Y$175,Allocation!$C$1:$C$175,$C$11,Allocation!$D$1:$D$175,"MBWAY_BOR",Allocation!$F$1:$F$175,"MAS_MGT",Allocation!$G$1:$G$175,"M1",Allocation!$H$1:$H$175,"ALT")</f>
        <v>0</v>
      </c>
      <c r="I41" s="84">
        <f>SUMIFS(Allocation!$AC$1:$AC$175,Allocation!$C$1:$C$175,$C$11,Allocation!$D$1:$D$175,"MBWAY_BOR",Allocation!$F$1:$F$175,"MAS_MGT",Allocation!$G$1:$G$175,"M1",Allocation!$H$1:$H$175,"ALT")</f>
        <v>0</v>
      </c>
      <c r="J41" s="84">
        <f>SUMIFS(Allocation!$Z$1:$Z$175,Allocation!$C$1:$C$175,$C$11,Allocation!$D$1:$D$175,"MBWAY_BOR",Allocation!$F$1:$F$175,"MAS_MGT",Allocation!$G$1:$G$175,"M1",Allocation!$H$1:$H$175,"ALT")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SUMIFS(Allocation!$AA$1:$AA$175,Allocation!$C$1:$C$175,$C$11,Allocation!$D$1:$D$175,"MBWAY_BOR",Allocation!$F$1:$F$175,"MAS_MGT",Allocation!$G$1:$G$175,"M1",Allocation!$H$1:$H$175,"ALT")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SUMIFS(Allocation!$I$1:$I$175,Allocation!$C$1:$C$175,$C$11,Allocation!$D$1:$D$175,"MBWAY_BOR",Allocation!$F$1:$F$175,"MAS_MGT",Allocation!$G$1:$G$175,"M2",Allocation!$H$1:$H$175,"ALT")</f>
        <v>0</v>
      </c>
      <c r="D42" s="84">
        <f>SUMIFS(Allocation!$K$1:$K$175,Allocation!$C$1:$C$175,$C$11,Allocation!$D$1:$D$175,"MBWAY_BOR",Allocation!$F$1:$F$175,"MAS_MGT",Allocation!$G$1:$G$175,"M2",Allocation!$H$1:$H$175,"ALT")</f>
        <v>0</v>
      </c>
      <c r="E42" s="84">
        <f>SUMIFS(Allocation!$V$1:$V$175,Allocation!$C$1:$C$175,$C$11,Allocation!$D$1:$D$175,"MBWAY_BOR",Allocation!$F$1:$F$175,"MAS_MGT",Allocation!$G$1:$G$175,"M2",Allocation!$H$1:$H$175,"ALT")</f>
        <v>0</v>
      </c>
      <c r="F42" s="84">
        <f>SUMIFS(Allocation!$W$1:$W$175,Allocation!$C$1:$C$175,$C$11,Allocation!$D$1:$D$175,"MBWAY_BOR",Allocation!$F$1:$F$175,"MAS_MGT",Allocation!$G$1:$G$175,"M2",Allocation!$H$1:$H$175,"ALT")</f>
        <v>0</v>
      </c>
      <c r="G42" s="84">
        <f>SUMIFS(Allocation!$X$1:$X$175,Allocation!$C$1:$C$175,$C$11,Allocation!$D$1:$D$175,"MBWAY_BOR",Allocation!$F$1:$F$175,"MAS_MGT",Allocation!$G$1:$G$175,"M2",Allocation!$H$1:$H$175,"ALT")</f>
        <v>0</v>
      </c>
      <c r="H42" s="84">
        <f>SUMIFS(Allocation!$Y$1:$Y$175,Allocation!$C$1:$C$175,$C$11,Allocation!$D$1:$D$175,"MBWAY_BOR",Allocation!$F$1:$F$175,"MAS_MGT",Allocation!$G$1:$G$175,"M2",Allocation!$H$1:$H$175,"ALT")</f>
        <v>0</v>
      </c>
      <c r="I42" s="84">
        <f>SUMIFS(Allocation!$AC$1:$AC$175,Allocation!$C$1:$C$175,$C$11,Allocation!$D$1:$D$175,"MBWAY_BOR",Allocation!$F$1:$F$175,"MAS_MGT",Allocation!$G$1:$G$175,"M2",Allocation!$H$1:$H$175,"ALT")</f>
        <v>0</v>
      </c>
      <c r="J42" s="84">
        <f>SUMIFS(Allocation!$Z$1:$Z$175,Allocation!$C$1:$C$175,$C$11,Allocation!$D$1:$D$175,"MBWAY_BOR",Allocation!$F$1:$F$175,"MAS_MGT",Allocation!$G$1:$G$175,"M2",Allocation!$H$1:$H$175,"ALT")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SUMIFS(Allocation!$AA$1:$AA$175,Allocation!$C$1:$C$175,$C$11,Allocation!$D$1:$D$175,"MBWAY_BOR",Allocation!$F$1:$F$175,"MAS_MGT",Allocation!$G$1:$G$175,"M2",Allocation!$H$1:$H$175,"ALT")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SUMIFS(Allocation!$I$1:$I$175,Allocation!$C$1:$C$175,$C$11,Allocation!$E$1:$E$175,"ISCOM")</f>
        <v>0</v>
      </c>
      <c r="D43" s="123">
        <f>SUMIFS(Allocation!$K$1:$K$175,Allocation!$C$1:$C$175,$C$11,Allocation!$E$1:$E$175,"ISCOM")</f>
        <v>0</v>
      </c>
      <c r="E43" s="123">
        <f>SUMIFS(Allocation!$V$1:$V$175,Allocation!$C$1:$C$175,$C$11,Allocation!$E$1:$E$175,"ISCOM")</f>
        <v>0</v>
      </c>
      <c r="F43" s="123">
        <f>SUMIFS(Allocation!$W$1:$W$175,Allocation!$C$1:$C$175,$C$11,Allocation!$E$1:$E$175,"ISCOM")</f>
        <v>0</v>
      </c>
      <c r="G43" s="123">
        <f>SUMIFS(Allocation!$X$1:$X$175,Allocation!$C$1:$C$175,$C$11,Allocation!$E$1:$E$175,"ISCOM")</f>
        <v>0</v>
      </c>
      <c r="H43" s="123">
        <f>SUMIFS(Allocation!$Y$1:$Y$175,Allocation!$C$1:$C$175,$C$11,Allocation!$E$1:$E$175,"ISCOM")</f>
        <v>0</v>
      </c>
      <c r="I43" s="123">
        <f>SUMIFS(Allocation!$AC$1:$AC$175,Allocation!$C$1:$C$175,$C$11,Allocation!$E$1:$E$175,"ISCOM")</f>
        <v>0</v>
      </c>
      <c r="J43" s="123">
        <f>SUMIFS(Allocation!$Z$1:$Z$175,Allocation!$C$1:$C$175,$C$11,Allocation!$E$1:$E$175,"ISCOM")</f>
        <v>0</v>
      </c>
      <c r="K43" s="123">
        <f t="shared" si="0"/>
        <v>0</v>
      </c>
      <c r="L43" s="130">
        <f>SUMIFS(Allocation!$AA$1:$AA$175,Allocation!$C$1:$C$175,$C$11,Allocation!$E$1:$E$175,"ISCOM")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SUMIFS(Allocation!$I$1:$I$175,Allocation!$C$1:$C$175,$C$11,Allocation!$D$1:$D$175,"ISCOM_PAR")</f>
        <v>0</v>
      </c>
      <c r="D44" s="123">
        <f>SUMIFS(Allocation!$K$1:$K$175,Allocation!$C$1:$C$175,$C$11,Allocation!$D$1:$D$175,"ISCOM_PAR")</f>
        <v>0</v>
      </c>
      <c r="E44" s="123">
        <f>SUMIFS(Allocation!$V$1:$V$175,Allocation!$C$1:$C$175,$C$11,Allocation!$D$1:$D$175,"ISCOM_PAR")</f>
        <v>0</v>
      </c>
      <c r="F44" s="123">
        <f>SUMIFS(Allocation!$W$1:$W$175,Allocation!$C$1:$C$175,$C$11,Allocation!$D$1:$D$175,"ISCOM_PAR")</f>
        <v>0</v>
      </c>
      <c r="G44" s="123">
        <f>SUMIFS(Allocation!$X$1:$X$175,Allocation!$C$1:$C$175,$C$11,Allocation!$D$1:$D$175,"ISCOM_PAR")</f>
        <v>0</v>
      </c>
      <c r="H44" s="123">
        <f>SUMIFS(Allocation!$Y$1:$Y$175,Allocation!$C$1:$C$175,$C$11,Allocation!$D$1:$D$175,"ISCOM_PAR")</f>
        <v>0</v>
      </c>
      <c r="I44" s="123">
        <f>SUMIFS(Allocation!$AC$1:$AC$175,Allocation!$C$1:$C$175,$C$11,Allocation!$D$1:$D$175,"ISCOM_PAR")</f>
        <v>0</v>
      </c>
      <c r="J44" s="123">
        <f>SUMIFS(Allocation!$Z$1:$Z$175,Allocation!$C$1:$C$175,$C$11,Allocation!$D$1:$D$175,"ISCOM_PAR")</f>
        <v>0</v>
      </c>
      <c r="K44" s="123">
        <f t="shared" si="0"/>
        <v>0</v>
      </c>
      <c r="L44" s="130">
        <f>SUMIFS(Allocation!$AA$1:$AA$175,Allocation!$C$1:$C$175,$C$11,Allocation!$D$1:$D$175,"ISCOM_PAR")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SUMIFS(Allocation!$I$1:$I$175,Allocation!$C$1:$C$175,$C$11,Allocation!$D$1:$D$175,"ISCOM_PAR",Allocation!$F$1:$F$175,"BAC_COM",Allocation!$G$1:$G$175,"B1",Allocation!$H$1:$H$175,"INIT")</f>
        <v>0</v>
      </c>
      <c r="D45" s="84">
        <f>SUMIFS(Allocation!$K$1:$K$175,Allocation!$C$1:$C$175,$C$11,Allocation!$D$1:$D$175,"ISCOM_PAR",Allocation!$F$1:$F$175,"BAC_COM",Allocation!$G$1:$G$175,"B1",Allocation!$H$1:$H$175,"INIT")</f>
        <v>0</v>
      </c>
      <c r="E45" s="84">
        <f>SUMIFS(Allocation!$V$1:$V$175,Allocation!$C$1:$C$175,$C$11,Allocation!$D$1:$D$175,"ISCOM_PAR",Allocation!$F$1:$F$175,"BAC_COM",Allocation!$G$1:$G$175,"B1",Allocation!$H$1:$H$175,"INIT")</f>
        <v>0</v>
      </c>
      <c r="F45" s="84">
        <f>SUMIFS(Allocation!$W$1:$W$175,Allocation!$C$1:$C$175,$C$11,Allocation!$D$1:$D$175,"ISCOM_PAR",Allocation!$F$1:$F$175,"BAC_COM",Allocation!$G$1:$G$175,"B1",Allocation!$H$1:$H$175,"INIT")</f>
        <v>0</v>
      </c>
      <c r="G45" s="84">
        <f>SUMIFS(Allocation!$X$1:$X$175,Allocation!$C$1:$C$175,$C$11,Allocation!$D$1:$D$175,"ISCOM_PAR",Allocation!$F$1:$F$175,"BAC_COM",Allocation!$G$1:$G$175,"B1",Allocation!$H$1:$H$175,"INIT")</f>
        <v>0</v>
      </c>
      <c r="H45" s="84">
        <f>SUMIFS(Allocation!$Y$1:$Y$175,Allocation!$C$1:$C$175,$C$11,Allocation!$D$1:$D$175,"ISCOM_PAR",Allocation!$F$1:$F$175,"BAC_COM",Allocation!$G$1:$G$175,"B1",Allocation!$H$1:$H$175,"INIT")</f>
        <v>0</v>
      </c>
      <c r="I45" s="84">
        <f>SUMIFS(Allocation!$AC$1:$AC$175,Allocation!$C$1:$C$175,$C$11,Allocation!$D$1:$D$175,"ISCOM_PAR",Allocation!$F$1:$F$175,"BAC_COM",Allocation!$G$1:$G$175,"B1",Allocation!$H$1:$H$175,"INIT")</f>
        <v>0</v>
      </c>
      <c r="J45" s="84">
        <f>SUMIFS(Allocation!$Z$1:$Z$175,Allocation!$C$1:$C$175,$C$11,Allocation!$D$1:$D$175,"ISCOM_PAR",Allocation!$F$1:$F$175,"BAC_COM",Allocation!$G$1:$G$175,"B1",Allocation!$H$1:$H$175,"INIT")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SUMIFS(Allocation!$AA$1:$AA$175,Allocation!$C$1:$C$175,$C$11,Allocation!$D$1:$D$175,"ISCOM_PAR",Allocation!$F$1:$F$175,"BAC_COM",Allocation!$G$1:$G$175,"B1",Allocation!$H$1:$H$175,"INIT")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SUMIFS(Allocation!$I$1:$I$175,Allocation!$C$1:$C$175,$C$11,Allocation!$D$1:$D$175,"ISCOM_PAR",Allocation!$F$1:$F$175,"BAC_COM",Allocation!$G$1:$G$175,"B2",Allocation!$H$1:$H$175,"ALT")</f>
        <v>0</v>
      </c>
      <c r="D46" s="84">
        <f>SUMIFS(Allocation!$K$1:$K$175,Allocation!$C$1:$C$175,$C$11,Allocation!$D$1:$D$175,"ISCOM_PAR",Allocation!$F$1:$F$175,"BAC_COM",Allocation!$G$1:$G$175,"B2",Allocation!$H$1:$H$175,"ALT")</f>
        <v>0</v>
      </c>
      <c r="E46" s="84">
        <f>SUMIFS(Allocation!$V$1:$V$175,Allocation!$C$1:$C$175,$C$11,Allocation!$D$1:$D$175,"ISCOM_PAR",Allocation!$F$1:$F$175,"BAC_COM",Allocation!$G$1:$G$175,"B2",Allocation!$H$1:$H$175,"ALT")</f>
        <v>0</v>
      </c>
      <c r="F46" s="84">
        <f>SUMIFS(Allocation!$W$1:$W$175,Allocation!$C$1:$C$175,$C$11,Allocation!$D$1:$D$175,"ISCOM_PAR",Allocation!$F$1:$F$175,"BAC_COM",Allocation!$G$1:$G$175,"B2",Allocation!$H$1:$H$175,"ALT")</f>
        <v>0</v>
      </c>
      <c r="G46" s="84">
        <f>SUMIFS(Allocation!$X$1:$X$175,Allocation!$C$1:$C$175,$C$11,Allocation!$D$1:$D$175,"ISCOM_PAR",Allocation!$F$1:$F$175,"BAC_COM",Allocation!$G$1:$G$175,"B2",Allocation!$H$1:$H$175,"ALT")</f>
        <v>0</v>
      </c>
      <c r="H46" s="84">
        <f>SUMIFS(Allocation!$Y$1:$Y$175,Allocation!$C$1:$C$175,$C$11,Allocation!$D$1:$D$175,"ISCOM_PAR",Allocation!$F$1:$F$175,"BAC_COM",Allocation!$G$1:$G$175,"B2",Allocation!$H$1:$H$175,"ALT")</f>
        <v>0</v>
      </c>
      <c r="I46" s="84">
        <f>SUMIFS(Allocation!$AC$1:$AC$175,Allocation!$C$1:$C$175,$C$11,Allocation!$D$1:$D$175,"ISCOM_PAR",Allocation!$F$1:$F$175,"BAC_COM",Allocation!$G$1:$G$175,"B2",Allocation!$H$1:$H$175,"ALT")</f>
        <v>0</v>
      </c>
      <c r="J46" s="84">
        <f>SUMIFS(Allocation!$Z$1:$Z$175,Allocation!$C$1:$C$175,$C$11,Allocation!$D$1:$D$175,"ISCOM_PAR",Allocation!$F$1:$F$175,"BAC_COM",Allocation!$G$1:$G$175,"B2",Allocation!$H$1:$H$175,"ALT")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SUMIFS(Allocation!$AA$1:$AA$175,Allocation!$C$1:$C$175,$C$11,Allocation!$D$1:$D$175,"ISCOM_PAR",Allocation!$F$1:$F$175,"BAC_COM",Allocation!$G$1:$G$175,"B2",Allocation!$H$1:$H$175,"ALT")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SUMIFS(Allocation!$I$1:$I$175,Allocation!$C$1:$C$175,$C$11,Allocation!$D$1:$D$175,"ISCOM_PAR",Allocation!$F$1:$F$175,"BAC_COM",Allocation!$G$1:$G$175,"B3",Allocation!$H$1:$H$175,"ALT")</f>
        <v>0</v>
      </c>
      <c r="D47" s="84">
        <f>SUMIFS(Allocation!$K$1:$K$175,Allocation!$C$1:$C$175,$C$11,Allocation!$D$1:$D$175,"ISCOM_PAR",Allocation!$F$1:$F$175,"BAC_COM",Allocation!$G$1:$G$175,"B3",Allocation!$H$1:$H$175,"ALT")</f>
        <v>0</v>
      </c>
      <c r="E47" s="84">
        <f>SUMIFS(Allocation!$V$1:$V$175,Allocation!$C$1:$C$175,$C$11,Allocation!$D$1:$D$175,"ISCOM_PAR",Allocation!$F$1:$F$175,"BAC_COM",Allocation!$G$1:$G$175,"B3",Allocation!$H$1:$H$175,"ALT")</f>
        <v>0</v>
      </c>
      <c r="F47" s="84">
        <f>SUMIFS(Allocation!$W$1:$W$175,Allocation!$C$1:$C$175,$C$11,Allocation!$D$1:$D$175,"ISCOM_PAR",Allocation!$F$1:$F$175,"BAC_COM",Allocation!$G$1:$G$175,"B3",Allocation!$H$1:$H$175,"ALT")</f>
        <v>0</v>
      </c>
      <c r="G47" s="84">
        <f>SUMIFS(Allocation!$X$1:$X$175,Allocation!$C$1:$C$175,$C$11,Allocation!$D$1:$D$175,"ISCOM_PAR",Allocation!$F$1:$F$175,"BAC_COM",Allocation!$G$1:$G$175,"B3",Allocation!$H$1:$H$175,"ALT")</f>
        <v>0</v>
      </c>
      <c r="H47" s="84">
        <f>SUMIFS(Allocation!$Y$1:$Y$175,Allocation!$C$1:$C$175,$C$11,Allocation!$D$1:$D$175,"ISCOM_PAR",Allocation!$F$1:$F$175,"BAC_COM",Allocation!$G$1:$G$175,"B3",Allocation!$H$1:$H$175,"ALT")</f>
        <v>0</v>
      </c>
      <c r="I47" s="84">
        <f>SUMIFS(Allocation!$AC$1:$AC$175,Allocation!$C$1:$C$175,$C$11,Allocation!$D$1:$D$175,"ISCOM_PAR",Allocation!$F$1:$F$175,"BAC_COM",Allocation!$G$1:$G$175,"B3",Allocation!$H$1:$H$175,"ALT")</f>
        <v>0</v>
      </c>
      <c r="J47" s="84">
        <f>SUMIFS(Allocation!$Z$1:$Z$175,Allocation!$C$1:$C$175,$C$11,Allocation!$D$1:$D$175,"ISCOM_PAR",Allocation!$F$1:$F$175,"BAC_COM",Allocation!$G$1:$G$175,"B3",Allocation!$H$1:$H$175,"ALT")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SUMIFS(Allocation!$AA$1:$AA$175,Allocation!$C$1:$C$175,$C$11,Allocation!$D$1:$D$175,"ISCOM_PAR",Allocation!$F$1:$F$175,"BAC_COM",Allocation!$G$1:$G$175,"B3",Allocation!$H$1:$H$175,"ALT")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SUMIFS(Allocation!$I$1:$I$175,Allocation!$C$1:$C$175,$C$11,Allocation!$D$1:$D$175,"ISCOM_PAR",Allocation!$F$1:$F$175,"MAS_COM",Allocation!$G$1:$G$175,"M1",Allocation!$H$1:$H$175,"ALT")</f>
        <v>0</v>
      </c>
      <c r="D48" s="84">
        <f>SUMIFS(Allocation!$K$1:$K$175,Allocation!$C$1:$C$175,$C$11,Allocation!$D$1:$D$175,"ISCOM_PAR",Allocation!$F$1:$F$175,"MAS_COM",Allocation!$G$1:$G$175,"M1",Allocation!$H$1:$H$175,"ALT")</f>
        <v>0</v>
      </c>
      <c r="E48" s="84">
        <f>SUMIFS(Allocation!$V$1:$V$175,Allocation!$C$1:$C$175,$C$11,Allocation!$D$1:$D$175,"ISCOM_PAR",Allocation!$F$1:$F$175,"MAS_COM",Allocation!$G$1:$G$175,"M1",Allocation!$H$1:$H$175,"ALT")</f>
        <v>0</v>
      </c>
      <c r="F48" s="84">
        <f>SUMIFS(Allocation!$W$1:$W$175,Allocation!$C$1:$C$175,$C$11,Allocation!$D$1:$D$175,"ISCOM_PAR",Allocation!$F$1:$F$175,"MAS_COM",Allocation!$G$1:$G$175,"M1",Allocation!$H$1:$H$175,"ALT")</f>
        <v>0</v>
      </c>
      <c r="G48" s="84">
        <f>SUMIFS(Allocation!$X$1:$X$175,Allocation!$C$1:$C$175,$C$11,Allocation!$D$1:$D$175,"ISCOM_PAR",Allocation!$F$1:$F$175,"MAS_COM",Allocation!$G$1:$G$175,"M1",Allocation!$H$1:$H$175,"ALT")</f>
        <v>0</v>
      </c>
      <c r="H48" s="84">
        <f>SUMIFS(Allocation!$Y$1:$Y$175,Allocation!$C$1:$C$175,$C$11,Allocation!$D$1:$D$175,"ISCOM_PAR",Allocation!$F$1:$F$175,"MAS_COM",Allocation!$G$1:$G$175,"M1",Allocation!$H$1:$H$175,"ALT")</f>
        <v>0</v>
      </c>
      <c r="I48" s="84">
        <f>SUMIFS(Allocation!$AC$1:$AC$175,Allocation!$C$1:$C$175,$C$11,Allocation!$D$1:$D$175,"ISCOM_PAR",Allocation!$F$1:$F$175,"MAS_COM",Allocation!$G$1:$G$175,"M1",Allocation!$H$1:$H$175,"ALT")</f>
        <v>0</v>
      </c>
      <c r="J48" s="84">
        <f>SUMIFS(Allocation!$Z$1:$Z$175,Allocation!$C$1:$C$175,$C$11,Allocation!$D$1:$D$175,"ISCOM_PAR",Allocation!$F$1:$F$175,"MAS_COM",Allocation!$G$1:$G$175,"M1",Allocation!$H$1:$H$175,"ALT")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SUMIFS(Allocation!$AA$1:$AA$175,Allocation!$C$1:$C$175,$C$11,Allocation!$D$1:$D$175,"ISCOM_PAR",Allocation!$F$1:$F$175,"MAS_COM",Allocation!$G$1:$G$175,"M1",Allocation!$H$1:$H$175,"ALT")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SUMIFS(Allocation!$I$1:$I$175,Allocation!$C$1:$C$175,$C$11,Allocation!$D$1:$D$175,"ISCOM_PAR",Allocation!$F$1:$F$175,"MAS_COM",Allocation!$G$1:$G$175,"M2",Allocation!$H$1:$H$175,"ALT")</f>
        <v>0</v>
      </c>
      <c r="D49" s="84">
        <f>SUMIFS(Allocation!$K$1:$K$175,Allocation!$C$1:$C$175,$C$11,Allocation!$D$1:$D$175,"ISCOM_PAR",Allocation!$F$1:$F$175,"MAS_COM",Allocation!$G$1:$G$175,"M2",Allocation!$H$1:$H$175,"ALT")</f>
        <v>0</v>
      </c>
      <c r="E49" s="84">
        <f>SUMIFS(Allocation!$V$1:$V$175,Allocation!$C$1:$C$175,$C$11,Allocation!$D$1:$D$175,"ISCOM_PAR",Allocation!$F$1:$F$175,"MAS_COM",Allocation!$G$1:$G$175,"M2",Allocation!$H$1:$H$175,"ALT")</f>
        <v>0</v>
      </c>
      <c r="F49" s="84">
        <f>SUMIFS(Allocation!$W$1:$W$175,Allocation!$C$1:$C$175,$C$11,Allocation!$D$1:$D$175,"ISCOM_PAR",Allocation!$F$1:$F$175,"MAS_COM",Allocation!$G$1:$G$175,"M2",Allocation!$H$1:$H$175,"ALT")</f>
        <v>0</v>
      </c>
      <c r="G49" s="84">
        <f>SUMIFS(Allocation!$X$1:$X$175,Allocation!$C$1:$C$175,$C$11,Allocation!$D$1:$D$175,"ISCOM_PAR",Allocation!$F$1:$F$175,"MAS_COM",Allocation!$G$1:$G$175,"M2",Allocation!$H$1:$H$175,"ALT")</f>
        <v>0</v>
      </c>
      <c r="H49" s="84">
        <f>SUMIFS(Allocation!$Y$1:$Y$175,Allocation!$C$1:$C$175,$C$11,Allocation!$D$1:$D$175,"ISCOM_PAR",Allocation!$F$1:$F$175,"MAS_COM",Allocation!$G$1:$G$175,"M2",Allocation!$H$1:$H$175,"ALT")</f>
        <v>0</v>
      </c>
      <c r="I49" s="84">
        <f>SUMIFS(Allocation!$AC$1:$AC$175,Allocation!$C$1:$C$175,$C$11,Allocation!$D$1:$D$175,"ISCOM_PAR",Allocation!$F$1:$F$175,"MAS_COM",Allocation!$G$1:$G$175,"M2",Allocation!$H$1:$H$175,"ALT")</f>
        <v>0</v>
      </c>
      <c r="J49" s="84">
        <f>SUMIFS(Allocation!$Z$1:$Z$175,Allocation!$C$1:$C$175,$C$11,Allocation!$D$1:$D$175,"ISCOM_PAR",Allocation!$F$1:$F$175,"MAS_COM",Allocation!$G$1:$G$175,"M2",Allocation!$H$1:$H$175,"ALT")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SUMIFS(Allocation!$AA$1:$AA$175,Allocation!$C$1:$C$175,$C$11,Allocation!$D$1:$D$175,"ISCOM_PAR",Allocation!$F$1:$F$175,"MAS_COM",Allocation!$G$1:$G$175,"M2",Allocation!$H$1:$H$175,"ALT")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SUMIFS(Allocation!$I$1:$I$175,Allocation!$C$1:$C$175,$C$11,Allocation!$D$1:$D$175,"ISCOM_LIL")</f>
        <v>0</v>
      </c>
      <c r="D50" s="123">
        <f>SUMIFS(Allocation!$K$1:$K$175,Allocation!$C$1:$C$175,$C$11,Allocation!$D$1:$D$175,"ISCOM_LIL")</f>
        <v>0</v>
      </c>
      <c r="E50" s="123">
        <f>SUMIFS(Allocation!$V$1:$V$175,Allocation!$C$1:$C$175,$C$11,Allocation!$D$1:$D$175,"ISCOM_LIL")</f>
        <v>0</v>
      </c>
      <c r="F50" s="123">
        <f>SUMIFS(Allocation!$W$1:$W$175,Allocation!$C$1:$C$175,$C$11,Allocation!$D$1:$D$175,"ISCOM_LIL")</f>
        <v>0</v>
      </c>
      <c r="G50" s="123">
        <f>SUMIFS(Allocation!$X$1:$X$175,Allocation!$C$1:$C$175,$C$11,Allocation!$D$1:$D$175,"ISCOM_LIL")</f>
        <v>0</v>
      </c>
      <c r="H50" s="123">
        <f>SUMIFS(Allocation!$Y$1:$Y$175,Allocation!$C$1:$C$175,$C$11,Allocation!$D$1:$D$175,"ISCOM_LIL")</f>
        <v>0</v>
      </c>
      <c r="I50" s="123">
        <f>SUMIFS(Allocation!$AC$1:$AC$175,Allocation!$C$1:$C$175,$C$11,Allocation!$D$1:$D$175,"ISCOM_LIL")</f>
        <v>0</v>
      </c>
      <c r="J50" s="123">
        <f>SUMIFS(Allocation!$Z$1:$Z$175,Allocation!$C$1:$C$175,$C$11,Allocation!$D$1:$D$175,"ISCOM_LIL")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SUMIFS(Allocation!$AA$1:$AA$175,Allocation!$C$1:$C$175,$C$11,Allocation!$D$1:$D$175,"ISCOM_LIL")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SUMIFS(Allocation!$I$1:$I$175,Allocation!$C$1:$C$175,$C$11,Allocation!$D$1:$D$175,"ISCOM_LIL",Allocation!$F$1:$F$175,"BAC_COM",Allocation!$G$1:$G$175,"B1",Allocation!$H$1:$H$175,"INIT")</f>
        <v>0</v>
      </c>
      <c r="D51" s="84">
        <f>SUMIFS(Allocation!$K$1:$K$175,Allocation!$C$1:$C$175,$C$11,Allocation!$D$1:$D$175,"ISCOM_LIL",Allocation!$F$1:$F$175,"BAC_COM",Allocation!$G$1:$G$175,"B1",Allocation!$H$1:$H$175,"INIT")</f>
        <v>0</v>
      </c>
      <c r="E51" s="84">
        <f>SUMIFS(Allocation!$V$1:$V$175,Allocation!$C$1:$C$175,$C$11,Allocation!$D$1:$D$175,"ISCOM_LIL",Allocation!$F$1:$F$175,"BAC_COM",Allocation!$G$1:$G$175,"B1",Allocation!$H$1:$H$175,"INIT")</f>
        <v>0</v>
      </c>
      <c r="F51" s="84">
        <f>SUMIFS(Allocation!$W$1:$W$175,Allocation!$C$1:$C$175,$C$11,Allocation!$D$1:$D$175,"ISCOM_LIL",Allocation!$F$1:$F$175,"BAC_COM",Allocation!$G$1:$G$175,"B1",Allocation!$H$1:$H$175,"INIT")</f>
        <v>0</v>
      </c>
      <c r="G51" s="84">
        <f>SUMIFS(Allocation!$X$1:$X$175,Allocation!$C$1:$C$175,$C$11,Allocation!$D$1:$D$175,"ISCOM_LIL",Allocation!$F$1:$F$175,"BAC_COM",Allocation!$G$1:$G$175,"B1",Allocation!$H$1:$H$175,"INIT")</f>
        <v>0</v>
      </c>
      <c r="H51" s="84">
        <f>SUMIFS(Allocation!$Y$1:$Y$175,Allocation!$C$1:$C$175,$C$11,Allocation!$D$1:$D$175,"ISCOM_LIL",Allocation!$F$1:$F$175,"BAC_COM",Allocation!$G$1:$G$175,"B1",Allocation!$H$1:$H$175,"INIT")</f>
        <v>0</v>
      </c>
      <c r="I51" s="84">
        <f>SUMIFS(Allocation!$AC$1:$AC$175,Allocation!$C$1:$C$175,$C$11,Allocation!$D$1:$D$175,"ISCOM_LIL",Allocation!$F$1:$F$175,"BAC_COM",Allocation!$G$1:$G$175,"B1",Allocation!$H$1:$H$175,"INIT")</f>
        <v>0</v>
      </c>
      <c r="J51" s="84">
        <f>SUMIFS(Allocation!$Z$1:$Z$175,Allocation!$C$1:$C$175,$C$11,Allocation!$D$1:$D$175,"ISCOM_LIL",Allocation!$F$1:$F$175,"BAC_COM",Allocation!$G$1:$G$175,"B1",Allocation!$H$1:$H$175,"INIT")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SUMIFS(Allocation!$AA$1:$AA$175,Allocation!$C$1:$C$175,$C$11,Allocation!$D$1:$D$175,"ISCOM_LIL",Allocation!$F$1:$F$175,"BAC_COM",Allocation!$G$1:$G$175,"B1",Allocation!$H$1:$H$175,"INIT")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SUMIFS(Allocation!$I$1:$I$175,Allocation!$C$1:$C$175,$C$11,Allocation!$D$1:$D$175,"ISCOM_LIL",Allocation!$F$1:$F$175,"BAC_COM",Allocation!$G$1:$G$175,"B2",Allocation!$H$1:$H$175,"ALT")</f>
        <v>0</v>
      </c>
      <c r="D52" s="84">
        <f>SUMIFS(Allocation!$K$1:$K$175,Allocation!$C$1:$C$175,$C$11,Allocation!$D$1:$D$175,"ISCOM_LIL",Allocation!$F$1:$F$175,"BAC_COM",Allocation!$G$1:$G$175,"B2",Allocation!$H$1:$H$175,"ALT")</f>
        <v>0</v>
      </c>
      <c r="E52" s="84">
        <f>SUMIFS(Allocation!$V$1:$V$175,Allocation!$C$1:$C$175,$C$11,Allocation!$D$1:$D$175,"ISCOM_LIL",Allocation!$F$1:$F$175,"BAC_COM",Allocation!$G$1:$G$175,"B2",Allocation!$H$1:$H$175,"ALT")</f>
        <v>0</v>
      </c>
      <c r="F52" s="84">
        <f>SUMIFS(Allocation!$W$1:$W$175,Allocation!$C$1:$C$175,$C$11,Allocation!$D$1:$D$175,"ISCOM_LIL",Allocation!$F$1:$F$175,"BAC_COM",Allocation!$G$1:$G$175,"B2",Allocation!$H$1:$H$175,"ALT")</f>
        <v>0</v>
      </c>
      <c r="G52" s="84">
        <f>SUMIFS(Allocation!$X$1:$X$175,Allocation!$C$1:$C$175,$C$11,Allocation!$D$1:$D$175,"ISCOM_LIL",Allocation!$F$1:$F$175,"BAC_COM",Allocation!$G$1:$G$175,"B2",Allocation!$H$1:$H$175,"ALT")</f>
        <v>0</v>
      </c>
      <c r="H52" s="84">
        <f>SUMIFS(Allocation!$Y$1:$Y$175,Allocation!$C$1:$C$175,$C$11,Allocation!$D$1:$D$175,"ISCOM_LIL",Allocation!$F$1:$F$175,"BAC_COM",Allocation!$G$1:$G$175,"B2",Allocation!$H$1:$H$175,"ALT")</f>
        <v>0</v>
      </c>
      <c r="I52" s="84">
        <f>SUMIFS(Allocation!$AC$1:$AC$175,Allocation!$C$1:$C$175,$C$11,Allocation!$D$1:$D$175,"ISCOM_LIL",Allocation!$F$1:$F$175,"BAC_COM",Allocation!$G$1:$G$175,"B2",Allocation!$H$1:$H$175,"ALT")</f>
        <v>0</v>
      </c>
      <c r="J52" s="84">
        <f>SUMIFS(Allocation!$Z$1:$Z$175,Allocation!$C$1:$C$175,$C$11,Allocation!$D$1:$D$175,"ISCOM_LIL",Allocation!$F$1:$F$175,"BAC_COM",Allocation!$G$1:$G$175,"B2",Allocation!$H$1:$H$175,"ALT")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SUMIFS(Allocation!$AA$1:$AA$175,Allocation!$C$1:$C$175,$C$11,Allocation!$D$1:$D$175,"ISCOM_LIL",Allocation!$F$1:$F$175,"BAC_COM",Allocation!$G$1:$G$175,"B2",Allocation!$H$1:$H$175,"ALT")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SUMIFS(Allocation!$I$1:$I$175,Allocation!$C$1:$C$175,$C$11,Allocation!$D$1:$D$175,"ISCOM_LIL",Allocation!$F$1:$F$175,"BAC_COM",Allocation!$G$1:$G$175,"B3",Allocation!$H$1:$H$175,"ALT")</f>
        <v>0</v>
      </c>
      <c r="D53" s="84">
        <f>SUMIFS(Allocation!$K$1:$K$175,Allocation!$C$1:$C$175,$C$11,Allocation!$D$1:$D$175,"ISCOM_LIL",Allocation!$F$1:$F$175,"BAC_COM",Allocation!$G$1:$G$175,"B3",Allocation!$H$1:$H$175,"ALT")</f>
        <v>0</v>
      </c>
      <c r="E53" s="84">
        <f>SUMIFS(Allocation!$V$1:$V$175,Allocation!$C$1:$C$175,$C$11,Allocation!$D$1:$D$175,"ISCOM_LIL",Allocation!$F$1:$F$175,"BAC_COM",Allocation!$G$1:$G$175,"B3",Allocation!$H$1:$H$175,"ALT")</f>
        <v>0</v>
      </c>
      <c r="F53" s="84">
        <f>SUMIFS(Allocation!$W$1:$W$175,Allocation!$C$1:$C$175,$C$11,Allocation!$D$1:$D$175,"ISCOM_LIL",Allocation!$F$1:$F$175,"BAC_COM",Allocation!$G$1:$G$175,"B3",Allocation!$H$1:$H$175,"ALT")</f>
        <v>0</v>
      </c>
      <c r="G53" s="84">
        <f>SUMIFS(Allocation!$X$1:$X$175,Allocation!$C$1:$C$175,$C$11,Allocation!$D$1:$D$175,"ISCOM_LIL",Allocation!$F$1:$F$175,"BAC_COM",Allocation!$G$1:$G$175,"B3",Allocation!$H$1:$H$175,"ALT")</f>
        <v>0</v>
      </c>
      <c r="H53" s="84">
        <f>SUMIFS(Allocation!$Y$1:$Y$175,Allocation!$C$1:$C$175,$C$11,Allocation!$D$1:$D$175,"ISCOM_LIL",Allocation!$F$1:$F$175,"BAC_COM",Allocation!$G$1:$G$175,"B3",Allocation!$H$1:$H$175,"ALT")</f>
        <v>0</v>
      </c>
      <c r="I53" s="84">
        <f>SUMIFS(Allocation!$AC$1:$AC$175,Allocation!$C$1:$C$175,$C$11,Allocation!$D$1:$D$175,"ISCOM_LIL",Allocation!$F$1:$F$175,"BAC_COM",Allocation!$G$1:$G$175,"B3",Allocation!$H$1:$H$175,"ALT")</f>
        <v>0</v>
      </c>
      <c r="J53" s="84">
        <f>SUMIFS(Allocation!$Z$1:$Z$175,Allocation!$C$1:$C$175,$C$11,Allocation!$D$1:$D$175,"ISCOM_LIL",Allocation!$F$1:$F$175,"BAC_COM",Allocation!$G$1:$G$175,"B3",Allocation!$H$1:$H$175,"ALT")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SUMIFS(Allocation!$AA$1:$AA$175,Allocation!$C$1:$C$175,$C$11,Allocation!$D$1:$D$175,"ISCOM_LIL",Allocation!$F$1:$F$175,"BAC_COM",Allocation!$G$1:$G$175,"B3",Allocation!$H$1:$H$175,"ALT")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SUMIFS(Allocation!$I$1:$I$175,Allocation!$C$1:$C$175,$C$11,Allocation!$D$1:$D$175,"ISCOM_LIL",Allocation!$F$1:$F$175,"MAS_COM",Allocation!$G$1:$G$175,"M1",Allocation!$H$1:$H$175,"ALT")</f>
        <v>0</v>
      </c>
      <c r="D54" s="84">
        <f>SUMIFS(Allocation!$K$1:$K$175,Allocation!$C$1:$C$175,$C$11,Allocation!$D$1:$D$175,"ISCOM_LIL",Allocation!$F$1:$F$175,"MAS_COM",Allocation!$G$1:$G$175,"M1",Allocation!$H$1:$H$175,"ALT")</f>
        <v>0</v>
      </c>
      <c r="E54" s="84">
        <f>SUMIFS(Allocation!$V$1:$V$175,Allocation!$C$1:$C$175,$C$11,Allocation!$D$1:$D$175,"ISCOM_LIL",Allocation!$F$1:$F$175,"MAS_COM",Allocation!$G$1:$G$175,"M1",Allocation!$H$1:$H$175,"ALT")</f>
        <v>0</v>
      </c>
      <c r="F54" s="84">
        <f>SUMIFS(Allocation!$W$1:$W$175,Allocation!$C$1:$C$175,$C$11,Allocation!$D$1:$D$175,"ISCOM_LIL",Allocation!$F$1:$F$175,"MAS_COM",Allocation!$G$1:$G$175,"M1",Allocation!$H$1:$H$175,"ALT")</f>
        <v>0</v>
      </c>
      <c r="G54" s="84">
        <f>SUMIFS(Allocation!$X$1:$X$175,Allocation!$C$1:$C$175,$C$11,Allocation!$D$1:$D$175,"ISCOM_LIL",Allocation!$F$1:$F$175,"MAS_COM",Allocation!$G$1:$G$175,"M1",Allocation!$H$1:$H$175,"ALT")</f>
        <v>0</v>
      </c>
      <c r="H54" s="84">
        <f>SUMIFS(Allocation!$Y$1:$Y$175,Allocation!$C$1:$C$175,$C$11,Allocation!$D$1:$D$175,"ISCOM_LIL",Allocation!$F$1:$F$175,"MAS_COM",Allocation!$G$1:$G$175,"M1",Allocation!$H$1:$H$175,"ALT")</f>
        <v>0</v>
      </c>
      <c r="I54" s="84">
        <f>SUMIFS(Allocation!$AC$1:$AC$175,Allocation!$C$1:$C$175,$C$11,Allocation!$D$1:$D$175,"ISCOM_LIL",Allocation!$F$1:$F$175,"MAS_COM",Allocation!$G$1:$G$175,"M1",Allocation!$H$1:$H$175,"ALT")</f>
        <v>0</v>
      </c>
      <c r="J54" s="84">
        <f>SUMIFS(Allocation!$Z$1:$Z$175,Allocation!$C$1:$C$175,$C$11,Allocation!$D$1:$D$175,"ISCOM_LIL",Allocation!$F$1:$F$175,"MAS_COM",Allocation!$G$1:$G$175,"M1",Allocation!$H$1:$H$175,"ALT")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SUMIFS(Allocation!$AA$1:$AA$175,Allocation!$C$1:$C$175,$C$11,Allocation!$D$1:$D$175,"ISCOM_LIL",Allocation!$F$1:$F$175,"MAS_COM",Allocation!$G$1:$G$175,"M1",Allocation!$H$1:$H$175,"ALT")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SUMIFS(Allocation!$I$1:$I$175,Allocation!$C$1:$C$175,$C$11,Allocation!$D$1:$D$175,"ISCOM_LIL",Allocation!$F$1:$F$175,"MAS_COM",Allocation!$G$1:$G$175,"M2",Allocation!$H$1:$H$175,"ALT")</f>
        <v>0</v>
      </c>
      <c r="D55" s="84">
        <f>SUMIFS(Allocation!$K$1:$K$175,Allocation!$C$1:$C$175,$C$11,Allocation!$D$1:$D$175,"ISCOM_LIL",Allocation!$F$1:$F$175,"MAS_COM",Allocation!$G$1:$G$175,"M2",Allocation!$H$1:$H$175,"ALT")</f>
        <v>0</v>
      </c>
      <c r="E55" s="84">
        <f>SUMIFS(Allocation!$V$1:$V$175,Allocation!$C$1:$C$175,$C$11,Allocation!$D$1:$D$175,"ISCOM_LIL",Allocation!$F$1:$F$175,"MAS_COM",Allocation!$G$1:$G$175,"M2",Allocation!$H$1:$H$175,"ALT")</f>
        <v>0</v>
      </c>
      <c r="F55" s="84">
        <f>SUMIFS(Allocation!$W$1:$W$175,Allocation!$C$1:$C$175,$C$11,Allocation!$D$1:$D$175,"ISCOM_LIL",Allocation!$F$1:$F$175,"MAS_COM",Allocation!$G$1:$G$175,"M2",Allocation!$H$1:$H$175,"ALT")</f>
        <v>0</v>
      </c>
      <c r="G55" s="84">
        <f>SUMIFS(Allocation!$X$1:$X$175,Allocation!$C$1:$C$175,$C$11,Allocation!$D$1:$D$175,"ISCOM_LIL",Allocation!$F$1:$F$175,"MAS_COM",Allocation!$G$1:$G$175,"M2",Allocation!$H$1:$H$175,"ALT")</f>
        <v>0</v>
      </c>
      <c r="H55" s="84">
        <f>SUMIFS(Allocation!$Y$1:$Y$175,Allocation!$C$1:$C$175,$C$11,Allocation!$D$1:$D$175,"ISCOM_LIL",Allocation!$F$1:$F$175,"MAS_COM",Allocation!$G$1:$G$175,"M2",Allocation!$H$1:$H$175,"ALT")</f>
        <v>0</v>
      </c>
      <c r="I55" s="84">
        <f>SUMIFS(Allocation!$AC$1:$AC$175,Allocation!$C$1:$C$175,$C$11,Allocation!$D$1:$D$175,"ISCOM_LIL",Allocation!$F$1:$F$175,"MAS_COM",Allocation!$G$1:$G$175,"M2",Allocation!$H$1:$H$175,"ALT")</f>
        <v>0</v>
      </c>
      <c r="J55" s="84">
        <f>SUMIFS(Allocation!$Z$1:$Z$175,Allocation!$C$1:$C$175,$C$11,Allocation!$D$1:$D$175,"ISCOM_LIL",Allocation!$F$1:$F$175,"MAS_COM",Allocation!$G$1:$G$175,"M2",Allocation!$H$1:$H$175,"ALT")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SUMIFS(Allocation!$AA$1:$AA$175,Allocation!$C$1:$C$175,$C$11,Allocation!$D$1:$D$175,"ISCOM_LIL",Allocation!$F$1:$F$175,"MAS_COM",Allocation!$G$1:$G$175,"M2",Allocation!$H$1:$H$175,"ALT")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SUMIFS(Allocation!$I$1:$I$175,Allocation!$C$1:$C$175,$C$11,Allocation!$D$1:$D$175,"ISCOM_TLS")</f>
        <v>0</v>
      </c>
      <c r="D56" s="123">
        <f>SUMIFS(Allocation!$K$1:$K$175,Allocation!$C$1:$C$175,$C$11,Allocation!$D$1:$D$175,"ISCOM_TLS")</f>
        <v>0</v>
      </c>
      <c r="E56" s="123">
        <f>SUMIFS(Allocation!$V$1:$V$175,Allocation!$C$1:$C$175,$C$11,Allocation!$D$1:$D$175,"ISCOM_TLS")</f>
        <v>0</v>
      </c>
      <c r="F56" s="123">
        <f>SUMIFS(Allocation!$W$1:$W$175,Allocation!$C$1:$C$175,$C$11,Allocation!$D$1:$D$175,"ISCOM_TLS")</f>
        <v>0</v>
      </c>
      <c r="G56" s="123">
        <f>SUMIFS(Allocation!$X$1:$X$175,Allocation!$C$1:$C$175,$C$11,Allocation!$D$1:$D$175,"ISCOM_TLS")</f>
        <v>0</v>
      </c>
      <c r="H56" s="123">
        <f>SUMIFS(Allocation!$Y$1:$Y$175,Allocation!$C$1:$C$175,$C$11,Allocation!$D$1:$D$175,"ISCOM_TLS")</f>
        <v>0</v>
      </c>
      <c r="I56" s="123">
        <f>SUMIFS(Allocation!$AC$1:$AC$175,Allocation!$C$1:$C$175,$C$11,Allocation!$D$1:$D$175,"ISCOM_TLS")</f>
        <v>0</v>
      </c>
      <c r="J56" s="123">
        <f>SUMIFS(Allocation!$Z$1:$Z$175,Allocation!$C$1:$C$175,$C$11,Allocation!$D$1:$D$175,"ISCOM_TLS")</f>
        <v>0</v>
      </c>
      <c r="K56" s="123">
        <f t="shared" si="2"/>
        <v>0</v>
      </c>
      <c r="L56" s="130">
        <f>SUMIFS(Allocation!$AA$1:$AA$175,Allocation!$C$1:$C$175,$C$11,Allocation!$D$1:$D$175,"ISCOM_TLS")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SUMIFS(Allocation!$I$1:$I$175,Allocation!$C$1:$C$175,$C$11,Allocation!$D$1:$D$175,"ISCOM_TLS",Allocation!$F$1:$F$175,"BAC_COM",Allocation!$G$1:$G$175,"B1",Allocation!$H$1:$H$175,"INIT")</f>
        <v>0</v>
      </c>
      <c r="D57" s="84">
        <f>SUMIFS(Allocation!$K$1:$K$175,Allocation!$C$1:$C$175,$C$11,Allocation!$D$1:$D$175,"ISCOM_TLS",Allocation!$F$1:$F$175,"BAC_COM",Allocation!$G$1:$G$175,"B1",Allocation!$H$1:$H$175,"INIT")</f>
        <v>0</v>
      </c>
      <c r="E57" s="84">
        <f>SUMIFS(Allocation!$V$1:$V$175,Allocation!$C$1:$C$175,$C$11,Allocation!$D$1:$D$175,"ISCOM_TLS",Allocation!$F$1:$F$175,"BAC_COM",Allocation!$G$1:$G$175,"B1",Allocation!$H$1:$H$175,"INIT")</f>
        <v>0</v>
      </c>
      <c r="F57" s="84">
        <f>SUMIFS(Allocation!$W$1:$W$175,Allocation!$C$1:$C$175,$C$11,Allocation!$D$1:$D$175,"ISCOM_TLS",Allocation!$F$1:$F$175,"BAC_COM",Allocation!$G$1:$G$175,"B1",Allocation!$H$1:$H$175,"INIT")</f>
        <v>0</v>
      </c>
      <c r="G57" s="84">
        <f>SUMIFS(Allocation!$X$1:$X$175,Allocation!$C$1:$C$175,$C$11,Allocation!$D$1:$D$175,"ISCOM_TLS",Allocation!$F$1:$F$175,"BAC_COM",Allocation!$G$1:$G$175,"B1",Allocation!$H$1:$H$175,"INIT")</f>
        <v>0</v>
      </c>
      <c r="H57" s="84">
        <f>SUMIFS(Allocation!$Y$1:$Y$175,Allocation!$C$1:$C$175,$C$11,Allocation!$D$1:$D$175,"ISCOM_TLS",Allocation!$F$1:$F$175,"BAC_COM",Allocation!$G$1:$G$175,"B1",Allocation!$H$1:$H$175,"INIT")</f>
        <v>0</v>
      </c>
      <c r="I57" s="84">
        <f>SUMIFS(Allocation!$AC$1:$AC$175,Allocation!$C$1:$C$175,$C$11,Allocation!$D$1:$D$175,"ISCOM_TLS",Allocation!$F$1:$F$175,"BAC_COM",Allocation!$G$1:$G$175,"B1",Allocation!$H$1:$H$175,"INIT")</f>
        <v>0</v>
      </c>
      <c r="J57" s="84">
        <f>SUMIFS(Allocation!$Z$1:$Z$175,Allocation!$C$1:$C$175,$C$11,Allocation!$D$1:$D$175,"ISCOM_TLS",Allocation!$F$1:$F$175,"BAC_COM",Allocation!$G$1:$G$175,"B1",Allocation!$H$1:$H$175,"INIT")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SUMIFS(Allocation!$AA$1:$AA$175,Allocation!$C$1:$C$175,$C$11,Allocation!$D$1:$D$175,"ISCOM_TLS",Allocation!$F$1:$F$175,"BAC_COM",Allocation!$G$1:$G$175,"B1",Allocation!$H$1:$H$175,"INIT")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SUMIFS(Allocation!$I$1:$I$175,Allocation!$C$1:$C$175,$C$11,Allocation!$D$1:$D$175,"ISCOM_TLS",Allocation!$F$1:$F$175,"BAC_COM",Allocation!$G$1:$G$175,"B2",Allocation!$H$1:$H$175,"ALT")</f>
        <v>0</v>
      </c>
      <c r="D58" s="84">
        <f>SUMIFS(Allocation!$K$1:$K$175,Allocation!$C$1:$C$175,$C$11,Allocation!$D$1:$D$175,"ISCOM_TLS",Allocation!$F$1:$F$175,"BAC_COM",Allocation!$G$1:$G$175,"B2",Allocation!$H$1:$H$175,"ALT")</f>
        <v>0</v>
      </c>
      <c r="E58" s="84">
        <f>SUMIFS(Allocation!$V$1:$V$175,Allocation!$C$1:$C$175,$C$11,Allocation!$D$1:$D$175,"ISCOM_TLS",Allocation!$F$1:$F$175,"BAC_COM",Allocation!$G$1:$G$175,"B2",Allocation!$H$1:$H$175,"ALT")</f>
        <v>0</v>
      </c>
      <c r="F58" s="84">
        <f>SUMIFS(Allocation!$W$1:$W$175,Allocation!$C$1:$C$175,$C$11,Allocation!$D$1:$D$175,"ISCOM_TLS",Allocation!$F$1:$F$175,"BAC_COM",Allocation!$G$1:$G$175,"B2",Allocation!$H$1:$H$175,"ALT")</f>
        <v>0</v>
      </c>
      <c r="G58" s="84">
        <f>SUMIFS(Allocation!$X$1:$X$175,Allocation!$C$1:$C$175,$C$11,Allocation!$D$1:$D$175,"ISCOM_TLS",Allocation!$F$1:$F$175,"BAC_COM",Allocation!$G$1:$G$175,"B2",Allocation!$H$1:$H$175,"ALT")</f>
        <v>0</v>
      </c>
      <c r="H58" s="84">
        <f>SUMIFS(Allocation!$Y$1:$Y$175,Allocation!$C$1:$C$175,$C$11,Allocation!$D$1:$D$175,"ISCOM_TLS",Allocation!$F$1:$F$175,"BAC_COM",Allocation!$G$1:$G$175,"B2",Allocation!$H$1:$H$175,"ALT")</f>
        <v>0</v>
      </c>
      <c r="I58" s="84">
        <f>SUMIFS(Allocation!$AC$1:$AC$175,Allocation!$C$1:$C$175,$C$11,Allocation!$D$1:$D$175,"ISCOM_TLS",Allocation!$F$1:$F$175,"BAC_COM",Allocation!$G$1:$G$175,"B2",Allocation!$H$1:$H$175,"ALT")</f>
        <v>0</v>
      </c>
      <c r="J58" s="84">
        <f>SUMIFS(Allocation!$Z$1:$Z$175,Allocation!$C$1:$C$175,$C$11,Allocation!$D$1:$D$175,"ISCOM_TLS",Allocation!$F$1:$F$175,"BAC_COM",Allocation!$G$1:$G$175,"B2",Allocation!$H$1:$H$175,"ALT")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SUMIFS(Allocation!$AA$1:$AA$175,Allocation!$C$1:$C$175,$C$11,Allocation!$D$1:$D$175,"ISCOM_TLS",Allocation!$F$1:$F$175,"BAC_COM",Allocation!$G$1:$G$175,"B2",Allocation!$H$1:$H$175,"ALT")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SUMIFS(Allocation!$I$1:$I$175,Allocation!$C$1:$C$175,$C$11,Allocation!$D$1:$D$175,"ISCOM_TLS",Allocation!$F$1:$F$175,"BAC_COM",Allocation!$G$1:$G$175,"B3",Allocation!$H$1:$H$175,"ALT")</f>
        <v>0</v>
      </c>
      <c r="D59" s="84">
        <f>SUMIFS(Allocation!$K$1:$K$175,Allocation!$C$1:$C$175,$C$11,Allocation!$D$1:$D$175,"ISCOM_TLS",Allocation!$F$1:$F$175,"BAC_COM",Allocation!$G$1:$G$175,"B3",Allocation!$H$1:$H$175,"ALT")</f>
        <v>0</v>
      </c>
      <c r="E59" s="84">
        <f>SUMIFS(Allocation!$V$1:$V$175,Allocation!$C$1:$C$175,$C$11,Allocation!$D$1:$D$175,"ISCOM_TLS",Allocation!$F$1:$F$175,"BAC_COM",Allocation!$G$1:$G$175,"B3",Allocation!$H$1:$H$175,"ALT")</f>
        <v>0</v>
      </c>
      <c r="F59" s="84">
        <f>SUMIFS(Allocation!$W$1:$W$175,Allocation!$C$1:$C$175,$C$11,Allocation!$D$1:$D$175,"ISCOM_TLS",Allocation!$F$1:$F$175,"BAC_COM",Allocation!$G$1:$G$175,"B3",Allocation!$H$1:$H$175,"ALT")</f>
        <v>0</v>
      </c>
      <c r="G59" s="84">
        <f>SUMIFS(Allocation!$X$1:$X$175,Allocation!$C$1:$C$175,$C$11,Allocation!$D$1:$D$175,"ISCOM_TLS",Allocation!$F$1:$F$175,"BAC_COM",Allocation!$G$1:$G$175,"B3",Allocation!$H$1:$H$175,"ALT")</f>
        <v>0</v>
      </c>
      <c r="H59" s="84">
        <f>SUMIFS(Allocation!$Y$1:$Y$175,Allocation!$C$1:$C$175,$C$11,Allocation!$D$1:$D$175,"ISCOM_TLS",Allocation!$F$1:$F$175,"BAC_COM",Allocation!$G$1:$G$175,"B3",Allocation!$H$1:$H$175,"ALT")</f>
        <v>0</v>
      </c>
      <c r="I59" s="84">
        <f>SUMIFS(Allocation!$AC$1:$AC$175,Allocation!$C$1:$C$175,$C$11,Allocation!$D$1:$D$175,"ISCOM_TLS",Allocation!$F$1:$F$175,"BAC_COM",Allocation!$G$1:$G$175,"B3",Allocation!$H$1:$H$175,"ALT")</f>
        <v>0</v>
      </c>
      <c r="J59" s="84">
        <f>SUMIFS(Allocation!$Z$1:$Z$175,Allocation!$C$1:$C$175,$C$11,Allocation!$D$1:$D$175,"ISCOM_TLS",Allocation!$F$1:$F$175,"BAC_COM",Allocation!$G$1:$G$175,"B3",Allocation!$H$1:$H$175,"ALT")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SUMIFS(Allocation!$AA$1:$AA$175,Allocation!$C$1:$C$175,$C$11,Allocation!$D$1:$D$175,"ISCOM_TLS",Allocation!$F$1:$F$175,"BAC_COM",Allocation!$G$1:$G$175,"B3",Allocation!$H$1:$H$175,"ALT")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SUMIFS(Allocation!$I$1:$I$175,Allocation!$C$1:$C$175,$C$11,Allocation!$D$1:$D$175,"ISCOM_TLS",Allocation!$F$1:$F$175,"MAS_COM",Allocation!$G$1:$G$175,"M1",Allocation!$H$1:$H$175,"ALT")</f>
        <v>0</v>
      </c>
      <c r="D60" s="84">
        <f>SUMIFS(Allocation!$K$1:$K$175,Allocation!$C$1:$C$175,$C$11,Allocation!$D$1:$D$175,"ISCOM_TLS",Allocation!$F$1:$F$175,"MAS_COM",Allocation!$G$1:$G$175,"M1",Allocation!$H$1:$H$175,"ALT")</f>
        <v>0</v>
      </c>
      <c r="E60" s="84">
        <f>SUMIFS(Allocation!$V$1:$V$175,Allocation!$C$1:$C$175,$C$11,Allocation!$D$1:$D$175,"ISCOM_TLS",Allocation!$F$1:$F$175,"MAS_COM",Allocation!$G$1:$G$175,"M1",Allocation!$H$1:$H$175,"ALT")</f>
        <v>0</v>
      </c>
      <c r="F60" s="84">
        <f>SUMIFS(Allocation!$W$1:$W$175,Allocation!$C$1:$C$175,$C$11,Allocation!$D$1:$D$175,"ISCOM_TLS",Allocation!$F$1:$F$175,"MAS_COM",Allocation!$G$1:$G$175,"M1",Allocation!$H$1:$H$175,"ALT")</f>
        <v>0</v>
      </c>
      <c r="G60" s="84">
        <f>SUMIFS(Allocation!$X$1:$X$175,Allocation!$C$1:$C$175,$C$11,Allocation!$D$1:$D$175,"ISCOM_TLS",Allocation!$F$1:$F$175,"MAS_COM",Allocation!$G$1:$G$175,"M1",Allocation!$H$1:$H$175,"ALT")</f>
        <v>0</v>
      </c>
      <c r="H60" s="84">
        <f>SUMIFS(Allocation!$Y$1:$Y$175,Allocation!$C$1:$C$175,$C$11,Allocation!$D$1:$D$175,"ISCOM_TLS",Allocation!$F$1:$F$175,"MAS_COM",Allocation!$G$1:$G$175,"M1",Allocation!$H$1:$H$175,"ALT")</f>
        <v>0</v>
      </c>
      <c r="I60" s="84">
        <f>SUMIFS(Allocation!$AC$1:$AC$175,Allocation!$C$1:$C$175,$C$11,Allocation!$D$1:$D$175,"ISCOM_TLS",Allocation!$F$1:$F$175,"MAS_COM",Allocation!$G$1:$G$175,"M1",Allocation!$H$1:$H$175,"ALT")</f>
        <v>0</v>
      </c>
      <c r="J60" s="84">
        <f>SUMIFS(Allocation!$Z$1:$Z$175,Allocation!$C$1:$C$175,$C$11,Allocation!$D$1:$D$175,"ISCOM_TLS",Allocation!$F$1:$F$175,"MAS_COM",Allocation!$G$1:$G$175,"M1",Allocation!$H$1:$H$175,"ALT")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SUMIFS(Allocation!$AA$1:$AA$175,Allocation!$C$1:$C$175,$C$11,Allocation!$D$1:$D$175,"ISCOM_TLS",Allocation!$F$1:$F$175,"MAS_COM",Allocation!$G$1:$G$175,"M1",Allocation!$H$1:$H$175,"ALT")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SUMIFS(Allocation!$I$1:$I$175,Allocation!$C$1:$C$175,$C$11,Allocation!$D$1:$D$175,"ISCOM_TLS",Allocation!$F$1:$F$175,"MAS_COM",Allocation!$G$1:$G$175,"M2",Allocation!$H$1:$H$175,"ALT")</f>
        <v>0</v>
      </c>
      <c r="D61" s="84">
        <f>SUMIFS(Allocation!$K$1:$K$175,Allocation!$C$1:$C$175,$C$11,Allocation!$D$1:$D$175,"ISCOM_TLS",Allocation!$F$1:$F$175,"MAS_COM",Allocation!$G$1:$G$175,"M2",Allocation!$H$1:$H$175,"ALT")</f>
        <v>0</v>
      </c>
      <c r="E61" s="84">
        <f>SUMIFS(Allocation!$V$1:$V$175,Allocation!$C$1:$C$175,$C$11,Allocation!$D$1:$D$175,"ISCOM_TLS",Allocation!$F$1:$F$175,"MAS_COM",Allocation!$G$1:$G$175,"M2",Allocation!$H$1:$H$175,"ALT")</f>
        <v>0</v>
      </c>
      <c r="F61" s="84">
        <f>SUMIFS(Allocation!$W$1:$W$175,Allocation!$C$1:$C$175,$C$11,Allocation!$D$1:$D$175,"ISCOM_TLS",Allocation!$F$1:$F$175,"MAS_COM",Allocation!$G$1:$G$175,"M2",Allocation!$H$1:$H$175,"ALT")</f>
        <v>0</v>
      </c>
      <c r="G61" s="84">
        <f>SUMIFS(Allocation!$X$1:$X$175,Allocation!$C$1:$C$175,$C$11,Allocation!$D$1:$D$175,"ISCOM_TLS",Allocation!$F$1:$F$175,"MAS_COM",Allocation!$G$1:$G$175,"M2",Allocation!$H$1:$H$175,"ALT")</f>
        <v>0</v>
      </c>
      <c r="H61" s="84">
        <f>SUMIFS(Allocation!$Y$1:$Y$175,Allocation!$C$1:$C$175,$C$11,Allocation!$D$1:$D$175,"ISCOM_TLS",Allocation!$F$1:$F$175,"MAS_COM",Allocation!$G$1:$G$175,"M2",Allocation!$H$1:$H$175,"ALT")</f>
        <v>0</v>
      </c>
      <c r="I61" s="84">
        <f>SUMIFS(Allocation!$AC$1:$AC$175,Allocation!$C$1:$C$175,$C$11,Allocation!$D$1:$D$175,"ISCOM_TLS",Allocation!$F$1:$F$175,"MAS_COM",Allocation!$G$1:$G$175,"M2",Allocation!$H$1:$H$175,"ALT")</f>
        <v>0</v>
      </c>
      <c r="J61" s="84">
        <f>SUMIFS(Allocation!$Z$1:$Z$175,Allocation!$C$1:$C$175,$C$11,Allocation!$D$1:$D$175,"ISCOM_TLS",Allocation!$F$1:$F$175,"MAS_COM",Allocation!$G$1:$G$175,"M2",Allocation!$H$1:$H$175,"ALT")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SUMIFS(Allocation!$AA$1:$AA$175,Allocation!$C$1:$C$175,$C$11,Allocation!$D$1:$D$175,"ISCOM_TLS",Allocation!$F$1:$F$175,"MAS_COM",Allocation!$G$1:$G$175,"M2",Allocation!$H$1:$H$175,"ALT")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SUMIFS(Allocation!$I$1:$I$175,Allocation!$C$1:$C$175,$C$11,Allocation!$E$1:$E$175,"IPAC")</f>
        <v>0</v>
      </c>
      <c r="D62" s="123">
        <f>SUMIFS(Allocation!$K$1:$K$175,Allocation!$C$1:$C$175,$C$11,Allocation!$E$1:$E$175,"IPAC")</f>
        <v>0</v>
      </c>
      <c r="E62" s="123">
        <f>SUMIFS(Allocation!$V$1:$V$175,Allocation!$C$1:$C$175,$C$11,Allocation!$E$1:$E$175,"IPAC")</f>
        <v>0</v>
      </c>
      <c r="F62" s="123">
        <f>SUMIFS(Allocation!$W$1:$W$175,Allocation!$C$1:$C$175,$C$11,Allocation!$E$1:$E$175,"IPAC")</f>
        <v>0</v>
      </c>
      <c r="G62" s="123">
        <f>SUMIFS(Allocation!$X$1:$X$175,Allocation!$C$1:$C$175,$C$11,Allocation!$E$1:$E$175,"IPAC")</f>
        <v>0</v>
      </c>
      <c r="H62" s="123">
        <f>SUMIFS(Allocation!$Y$1:$Y$175,Allocation!$C$1:$C$175,$C$11,Allocation!$E$1:$E$175,"IPAC")</f>
        <v>0</v>
      </c>
      <c r="I62" s="123">
        <f>SUMIFS(Allocation!$AC$1:$AC$175,Allocation!$C$1:$C$175,$C$11,Allocation!$E$1:$E$175,"IPAC")</f>
        <v>0</v>
      </c>
      <c r="J62" s="123">
        <f>SUMIFS(Allocation!$Z$1:$Z$175,Allocation!$C$1:$C$175,$C$11,Allocation!$E$1:$E$175,"IPAC")</f>
        <v>0</v>
      </c>
      <c r="K62" s="123">
        <f t="shared" si="2"/>
        <v>0</v>
      </c>
      <c r="L62" s="130">
        <f>SUMIFS(Allocation!$AA$1:$AA$175,Allocation!$C$1:$C$175,$C$11,Allocation!$E$1:$E$175,"IPAC")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SUMIFS(Allocation!$I$1:$I$175,Allocation!$C$1:$C$175,$C$11,Allocation!$D$1:$D$175,"IPAC_NAN")</f>
        <v>0</v>
      </c>
      <c r="D63" s="123">
        <f>SUMIFS(Allocation!$K$1:$K$175,Allocation!$C$1:$C$175,$C$11,Allocation!$D$1:$D$175,"IPAC_NAN")</f>
        <v>0</v>
      </c>
      <c r="E63" s="123">
        <f>SUMIFS(Allocation!$V$1:$V$175,Allocation!$C$1:$C$175,$C$11,Allocation!$D$1:$D$175,"IPAC_NAN")</f>
        <v>0</v>
      </c>
      <c r="F63" s="123">
        <f>SUMIFS(Allocation!$W$1:$W$175,Allocation!$C$1:$C$175,$C$11,Allocation!$D$1:$D$175,"IPAC_NAN")</f>
        <v>0</v>
      </c>
      <c r="G63" s="123">
        <f>SUMIFS(Allocation!$X$1:$X$175,Allocation!$C$1:$C$175,$C$11,Allocation!$D$1:$D$175,"IPAC_NAN")</f>
        <v>0</v>
      </c>
      <c r="H63" s="123">
        <f>SUMIFS(Allocation!$Y$1:$Y$175,Allocation!$C$1:$C$175,$C$11,Allocation!$D$1:$D$175,"IPAC_NAN")</f>
        <v>0</v>
      </c>
      <c r="I63" s="123">
        <f>SUMIFS(Allocation!$AC$1:$AC$175,Allocation!$C$1:$C$175,$C$11,Allocation!$D$1:$D$175,"IPAC_NAN")</f>
        <v>0</v>
      </c>
      <c r="J63" s="123">
        <f>SUMIFS(Allocation!$Z$1:$Z$175,Allocation!$C$1:$C$175,$C$11,Allocation!$D$1:$D$175,"IPAC_NAN")</f>
        <v>0</v>
      </c>
      <c r="K63" s="123">
        <f t="shared" si="2"/>
        <v>0</v>
      </c>
      <c r="L63" s="130">
        <f>SUMIFS(Allocation!$AA$1:$AA$175,Allocation!$C$1:$C$175,$C$11,Allocation!$D$1:$D$175,"IPAC_NAN")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SUMIFS(Allocation!$I$1:$I$175,Allocation!$C$1:$C$175,$C$11,Allocation!$D$1:$D$175,"IPAC_NAN",Allocation!$F$1:$F$175,"BAC_CCE",Allocation!$G$1:$G$175,"B1",Allocation!$H$1:$H$175,"ALT")</f>
        <v>0</v>
      </c>
      <c r="D64" s="84">
        <f>SUMIFS(Allocation!$K$1:$K$175,Allocation!$C$1:$C$175,$C$11,Allocation!$D$1:$D$175,"IPAC_NAN",Allocation!$F$1:$F$175,"BAC_CCE",Allocation!$G$1:$G$175,"B1",Allocation!$H$1:$H$175,"ALT")</f>
        <v>0</v>
      </c>
      <c r="E64" s="84">
        <f>SUMIFS(Allocation!$V$1:$V$175,Allocation!$C$1:$C$175,$C$11,Allocation!$D$1:$D$175,"IPAC_NAN",Allocation!$F$1:$F$175,"BAC_CCE",Allocation!$G$1:$G$175,"B1",Allocation!$H$1:$H$175,"ALT")</f>
        <v>0</v>
      </c>
      <c r="F64" s="84">
        <f>SUMIFS(Allocation!$W$1:$W$175,Allocation!$C$1:$C$175,$C$11,Allocation!$D$1:$D$175,"IPAC_NAN",Allocation!$F$1:$F$175,"BAC_CCE",Allocation!$G$1:$G$175,"B1",Allocation!$H$1:$H$175,"ALT")</f>
        <v>0</v>
      </c>
      <c r="G64" s="84">
        <f>SUMIFS(Allocation!$X$1:$X$175,Allocation!$C$1:$C$175,$C$11,Allocation!$D$1:$D$175,"IPAC_NAN",Allocation!$F$1:$F$175,"BAC_CCE",Allocation!$G$1:$G$175,"B1",Allocation!$H$1:$H$175,"ALT")</f>
        <v>0</v>
      </c>
      <c r="H64" s="84">
        <f>SUMIFS(Allocation!$Y$1:$Y$175,Allocation!$C$1:$C$175,$C$11,Allocation!$D$1:$D$175,"IPAC_NAN",Allocation!$F$1:$F$175,"BAC_CCE",Allocation!$G$1:$G$175,"B1",Allocation!$H$1:$H$175,"ALT")</f>
        <v>0</v>
      </c>
      <c r="I64" s="84">
        <f>SUMIFS(Allocation!$AC$1:$AC$175,Allocation!$C$1:$C$175,$C$11,Allocation!$D$1:$D$175,"IPAC_NAN",Allocation!$F$1:$F$175,"BAC_CCE",Allocation!$G$1:$G$175,"B1",Allocation!$H$1:$H$175,"ALT")</f>
        <v>0</v>
      </c>
      <c r="J64" s="84">
        <f>SUMIFS(Allocation!$Z$1:$Z$175,Allocation!$C$1:$C$175,$C$11,Allocation!$D$1:$D$175,"IPAC_NAN",Allocation!$F$1:$F$175,"BAC_CCE",Allocation!$G$1:$G$175,"B1",Allocation!$H$1:$H$175,"ALT")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SUMIFS(Allocation!$AA$1:$AA$175,Allocation!$C$1:$C$175,$C$11,Allocation!$D$1:$D$175,"IPAC_NAN",Allocation!$F$1:$F$175,"BAC_CCE",Allocation!$G$1:$G$175,"B1",Allocation!$H$1:$H$175,"ALT")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SUMIFS(Allocation!$I$1:$I$175,Allocation!$C$1:$C$175,$C$11,Allocation!$D$1:$D$175,"IPAC_NAN",Allocation!$F$1:$F$175,"BAC_CCE",Allocation!$G$1:$G$175,"B2",Allocation!$H$1:$H$175,"ALT")</f>
        <v>0</v>
      </c>
      <c r="D65" s="84">
        <f>SUMIFS(Allocation!$K$1:$K$175,Allocation!$C$1:$C$175,$C$11,Allocation!$D$1:$D$175,"IPAC_NAN",Allocation!$F$1:$F$175,"BAC_CCE",Allocation!$G$1:$G$175,"B2",Allocation!$H$1:$H$175,"ALT")</f>
        <v>0</v>
      </c>
      <c r="E65" s="84">
        <f>SUMIFS(Allocation!$V$1:$V$175,Allocation!$C$1:$C$175,$C$11,Allocation!$D$1:$D$175,"IPAC_NAN",Allocation!$F$1:$F$175,"BAC_CCE",Allocation!$G$1:$G$175,"B2",Allocation!$H$1:$H$175,"ALT")</f>
        <v>0</v>
      </c>
      <c r="F65" s="84">
        <f>SUMIFS(Allocation!$W$1:$W$175,Allocation!$C$1:$C$175,$C$11,Allocation!$D$1:$D$175,"IPAC_NAN",Allocation!$F$1:$F$175,"BAC_CCE",Allocation!$G$1:$G$175,"B2",Allocation!$H$1:$H$175,"ALT")</f>
        <v>0</v>
      </c>
      <c r="G65" s="84">
        <f>SUMIFS(Allocation!$X$1:$X$175,Allocation!$C$1:$C$175,$C$11,Allocation!$D$1:$D$175,"IPAC_NAN",Allocation!$F$1:$F$175,"BAC_CCE",Allocation!$G$1:$G$175,"B2",Allocation!$H$1:$H$175,"ALT")</f>
        <v>0</v>
      </c>
      <c r="H65" s="84">
        <f>SUMIFS(Allocation!$Y$1:$Y$175,Allocation!$C$1:$C$175,$C$11,Allocation!$D$1:$D$175,"IPAC_NAN",Allocation!$F$1:$F$175,"BAC_CCE",Allocation!$G$1:$G$175,"B2",Allocation!$H$1:$H$175,"ALT")</f>
        <v>0</v>
      </c>
      <c r="I65" s="84">
        <f>SUMIFS(Allocation!$AC$1:$AC$175,Allocation!$C$1:$C$175,$C$11,Allocation!$D$1:$D$175,"IPAC_NAN",Allocation!$F$1:$F$175,"BAC_CCE",Allocation!$G$1:$G$175,"B2",Allocation!$H$1:$H$175,"ALT")</f>
        <v>0</v>
      </c>
      <c r="J65" s="84">
        <f>SUMIFS(Allocation!$Z$1:$Z$175,Allocation!$C$1:$C$175,$C$11,Allocation!$D$1:$D$175,"IPAC_NAN",Allocation!$F$1:$F$175,"BAC_CCE",Allocation!$G$1:$G$175,"B2",Allocation!$H$1:$H$175,"ALT")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SUMIFS(Allocation!$AA$1:$AA$175,Allocation!$C$1:$C$175,$C$11,Allocation!$D$1:$D$175,"IPAC_NAN",Allocation!$F$1:$F$175,"BAC_CCE",Allocation!$G$1:$G$175,"B2",Allocation!$H$1:$H$175,"ALT")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SUMIFS(Allocation!$I$1:$I$175,Allocation!$C$1:$C$175,$C$11,Allocation!$D$1:$D$175,"IPAC_NAN",Allocation!$F$1:$F$175,"BAC_CCE",Allocation!$G$1:$G$175,"B3",Allocation!$H$1:$H$175,"ALT")</f>
        <v>0</v>
      </c>
      <c r="D66" s="84">
        <f>SUMIFS(Allocation!$K$1:$K$175,Allocation!$C$1:$C$175,$C$11,Allocation!$D$1:$D$175,"IPAC_NAN",Allocation!$F$1:$F$175,"BAC_CCE",Allocation!$G$1:$G$175,"B3",Allocation!$H$1:$H$175,"ALT")</f>
        <v>0</v>
      </c>
      <c r="E66" s="84">
        <f>SUMIFS(Allocation!$V$1:$V$175,Allocation!$C$1:$C$175,$C$11,Allocation!$D$1:$D$175,"IPAC_NAN",Allocation!$F$1:$F$175,"BAC_CCE",Allocation!$G$1:$G$175,"B3",Allocation!$H$1:$H$175,"ALT")</f>
        <v>0</v>
      </c>
      <c r="F66" s="84">
        <f>SUMIFS(Allocation!$W$1:$W$175,Allocation!$C$1:$C$175,$C$11,Allocation!$D$1:$D$175,"IPAC_NAN",Allocation!$F$1:$F$175,"BAC_CCE",Allocation!$G$1:$G$175,"B3",Allocation!$H$1:$H$175,"ALT")</f>
        <v>0</v>
      </c>
      <c r="G66" s="84">
        <f>SUMIFS(Allocation!$X$1:$X$175,Allocation!$C$1:$C$175,$C$11,Allocation!$D$1:$D$175,"IPAC_NAN",Allocation!$F$1:$F$175,"BAC_CCE",Allocation!$G$1:$G$175,"B3",Allocation!$H$1:$H$175,"ALT")</f>
        <v>0</v>
      </c>
      <c r="H66" s="84">
        <f>SUMIFS(Allocation!$Y$1:$Y$175,Allocation!$C$1:$C$175,$C$11,Allocation!$D$1:$D$175,"IPAC_NAN",Allocation!$F$1:$F$175,"BAC_CCE",Allocation!$G$1:$G$175,"B3",Allocation!$H$1:$H$175,"ALT")</f>
        <v>0</v>
      </c>
      <c r="I66" s="84">
        <f>SUMIFS(Allocation!$AC$1:$AC$175,Allocation!$C$1:$C$175,$C$11,Allocation!$D$1:$D$175,"IPAC_NAN",Allocation!$F$1:$F$175,"BAC_CCE",Allocation!$G$1:$G$175,"B3",Allocation!$H$1:$H$175,"ALT")</f>
        <v>0</v>
      </c>
      <c r="J66" s="84">
        <f>SUMIFS(Allocation!$Z$1:$Z$175,Allocation!$C$1:$C$175,$C$11,Allocation!$D$1:$D$175,"IPAC_NAN",Allocation!$F$1:$F$175,"BAC_CCE",Allocation!$G$1:$G$175,"B3",Allocation!$H$1:$H$175,"ALT")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SUMIFS(Allocation!$AA$1:$AA$175,Allocation!$C$1:$C$175,$C$11,Allocation!$D$1:$D$175,"IPAC_NAN",Allocation!$F$1:$F$175,"BAC_CCE",Allocation!$G$1:$G$175,"B3",Allocation!$H$1:$H$175,"ALT")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x14ac:dyDescent="0.45">
      <c r="B67" s="36" t="s">
        <v>170</v>
      </c>
      <c r="C67" s="122">
        <f>SUMIFS(Allocation!$I$1:$I$175,Allocation!$C$1:$C$175,$C$11,Allocation!$D$1:$D$175,"IPAC_REN")</f>
        <v>0</v>
      </c>
      <c r="D67" s="123">
        <f>SUMIFS(Allocation!$K$1:$K$175,Allocation!$C$1:$C$175,$C$11,Allocation!$D$1:$D$175,"IPAC_REN")</f>
        <v>0</v>
      </c>
      <c r="E67" s="123">
        <f>SUMIFS(Allocation!$V$1:$V$175,Allocation!$C$1:$C$175,$C$11,Allocation!$D$1:$D$175,"IPAC_REN")</f>
        <v>0</v>
      </c>
      <c r="F67" s="123">
        <f>SUMIFS(Allocation!$W$1:$W$175,Allocation!$C$1:$C$175,$C$11,Allocation!$D$1:$D$175,"IPAC_REN")</f>
        <v>0</v>
      </c>
      <c r="G67" s="123">
        <f>SUMIFS(Allocation!$X$1:$X$175,Allocation!$C$1:$C$175,$C$11,Allocation!$D$1:$D$175,"IPAC_REN")</f>
        <v>0</v>
      </c>
      <c r="H67" s="123">
        <f>SUMIFS(Allocation!$Y$1:$Y$175,Allocation!$C$1:$C$175,$C$11,Allocation!$D$1:$D$175,"IPAC_REN")</f>
        <v>0</v>
      </c>
      <c r="I67" s="123">
        <f>SUMIFS(Allocation!$AC$1:$AC$175,Allocation!$C$1:$C$175,$C$11,Allocation!$D$1:$D$175,"IPAC_REN")</f>
        <v>0</v>
      </c>
      <c r="J67" s="123">
        <f>SUMIFS(Allocation!$Z$1:$Z$175,Allocation!$C$1:$C$175,$C$11,Allocation!$D$1:$D$175,"IPAC_REN")</f>
        <v>0</v>
      </c>
      <c r="K67" s="123">
        <f t="shared" si="2"/>
        <v>0</v>
      </c>
      <c r="L67" s="130">
        <f>SUMIFS(Allocation!$AA$1:$AA$175,Allocation!$C$1:$C$175,$C$11,Allocation!$D$1:$D$175,"IPAC_REN")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SUMIFS(Allocation!$I$1:$I$175,Allocation!$C$1:$C$175,$C$11,Allocation!$D$1:$D$175,"IPAC_REN",Allocation!$F$1:$F$175,"BAC_CCE",Allocation!$G$1:$G$175,"B1",Allocation!$H$1:$H$175,"ALT")</f>
        <v>0</v>
      </c>
      <c r="D68" s="84">
        <f>SUMIFS(Allocation!$K$1:$K$175,Allocation!$C$1:$C$175,$C$11,Allocation!$D$1:$D$175,"IPAC_REN",Allocation!$F$1:$F$175,"BAC_CCE",Allocation!$G$1:$G$175,"B1",Allocation!$H$1:$H$175,"ALT")</f>
        <v>0</v>
      </c>
      <c r="E68" s="84">
        <f>SUMIFS(Allocation!$V$1:$V$175,Allocation!$C$1:$C$175,$C$11,Allocation!$D$1:$D$175,"IPAC_REN",Allocation!$F$1:$F$175,"BAC_CCE",Allocation!$G$1:$G$175,"B1",Allocation!$H$1:$H$175,"ALT")</f>
        <v>0</v>
      </c>
      <c r="F68" s="84">
        <f>SUMIFS(Allocation!$W$1:$W$175,Allocation!$C$1:$C$175,$C$11,Allocation!$D$1:$D$175,"IPAC_REN",Allocation!$F$1:$F$175,"BAC_CCE",Allocation!$G$1:$G$175,"B1",Allocation!$H$1:$H$175,"ALT")</f>
        <v>0</v>
      </c>
      <c r="G68" s="84">
        <f>SUMIFS(Allocation!$X$1:$X$175,Allocation!$C$1:$C$175,$C$11,Allocation!$D$1:$D$175,"IPAC_REN",Allocation!$F$1:$F$175,"BAC_CCE",Allocation!$G$1:$G$175,"B1",Allocation!$H$1:$H$175,"ALT")</f>
        <v>0</v>
      </c>
      <c r="H68" s="84">
        <f>SUMIFS(Allocation!$Y$1:$Y$175,Allocation!$C$1:$C$175,$C$11,Allocation!$D$1:$D$175,"IPAC_REN",Allocation!$F$1:$F$175,"BAC_CCE",Allocation!$G$1:$G$175,"B1",Allocation!$H$1:$H$175,"ALT")</f>
        <v>0</v>
      </c>
      <c r="I68" s="84">
        <f>SUMIFS(Allocation!$AC$1:$AC$175,Allocation!$C$1:$C$175,$C$11,Allocation!$D$1:$D$175,"IPAC_REN",Allocation!$F$1:$F$175,"BAC_CCE",Allocation!$G$1:$G$175,"B1",Allocation!$H$1:$H$175,"ALT")</f>
        <v>0</v>
      </c>
      <c r="J68" s="84">
        <f>SUMIFS(Allocation!$Z$1:$Z$175,Allocation!$C$1:$C$175,$C$11,Allocation!$D$1:$D$175,"IPAC_REN",Allocation!$F$1:$F$175,"BAC_CCE",Allocation!$G$1:$G$175,"B1",Allocation!$H$1:$H$175,"ALT")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SUMIFS(Allocation!$AA$1:$AA$175,Allocation!$C$1:$C$175,$C$11,Allocation!$D$1:$D$175,"IPAC_REN",Allocation!$F$1:$F$175,"BAC_CCE",Allocation!$G$1:$G$175,"B1",Allocation!$H$1:$H$175,"ALT")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SUMIFS(Allocation!$I$1:$I$175,Allocation!$C$1:$C$175,$C$11,Allocation!$D$1:$D$175,"IPAC_REN",Allocation!$F$1:$F$175,"BAC_CCE",Allocation!$G$1:$G$175,"B2",Allocation!$H$1:$H$175,"ALT")</f>
        <v>0</v>
      </c>
      <c r="D69" s="84">
        <f>SUMIFS(Allocation!$K$1:$K$175,Allocation!$C$1:$C$175,$C$11,Allocation!$D$1:$D$175,"IPAC_REN",Allocation!$F$1:$F$175,"BAC_CCE",Allocation!$G$1:$G$175,"B2",Allocation!$H$1:$H$175,"ALT")</f>
        <v>0</v>
      </c>
      <c r="E69" s="84">
        <f>SUMIFS(Allocation!$V$1:$V$175,Allocation!$C$1:$C$175,$C$11,Allocation!$D$1:$D$175,"IPAC_REN",Allocation!$F$1:$F$175,"BAC_CCE",Allocation!$G$1:$G$175,"B2",Allocation!$H$1:$H$175,"ALT")</f>
        <v>0</v>
      </c>
      <c r="F69" s="84">
        <f>SUMIFS(Allocation!$W$1:$W$175,Allocation!$C$1:$C$175,$C$11,Allocation!$D$1:$D$175,"IPAC_REN",Allocation!$F$1:$F$175,"BAC_CCE",Allocation!$G$1:$G$175,"B2",Allocation!$H$1:$H$175,"ALT")</f>
        <v>0</v>
      </c>
      <c r="G69" s="84">
        <f>SUMIFS(Allocation!$X$1:$X$175,Allocation!$C$1:$C$175,$C$11,Allocation!$D$1:$D$175,"IPAC_REN",Allocation!$F$1:$F$175,"BAC_CCE",Allocation!$G$1:$G$175,"B2",Allocation!$H$1:$H$175,"ALT")</f>
        <v>0</v>
      </c>
      <c r="H69" s="84">
        <f>SUMIFS(Allocation!$Y$1:$Y$175,Allocation!$C$1:$C$175,$C$11,Allocation!$D$1:$D$175,"IPAC_REN",Allocation!$F$1:$F$175,"BAC_CCE",Allocation!$G$1:$G$175,"B2",Allocation!$H$1:$H$175,"ALT")</f>
        <v>0</v>
      </c>
      <c r="I69" s="84">
        <f>SUMIFS(Allocation!$AC$1:$AC$175,Allocation!$C$1:$C$175,$C$11,Allocation!$D$1:$D$175,"IPAC_REN",Allocation!$F$1:$F$175,"BAC_CCE",Allocation!$G$1:$G$175,"B2",Allocation!$H$1:$H$175,"ALT")</f>
        <v>0</v>
      </c>
      <c r="J69" s="84">
        <f>SUMIFS(Allocation!$Z$1:$Z$175,Allocation!$C$1:$C$175,$C$11,Allocation!$D$1:$D$175,"IPAC_REN",Allocation!$F$1:$F$175,"BAC_CCE",Allocation!$G$1:$G$175,"B2",Allocation!$H$1:$H$175,"ALT")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SUMIFS(Allocation!$AA$1:$AA$175,Allocation!$C$1:$C$175,$C$11,Allocation!$D$1:$D$175,"IPAC_REN",Allocation!$F$1:$F$175,"BAC_CCE",Allocation!$G$1:$G$175,"B2",Allocation!$H$1:$H$175,"ALT")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SUMIFS(Allocation!$I$1:$I$175,Allocation!$C$1:$C$175,$C$11,Allocation!$D$1:$D$175,"IPAC_REN",Allocation!$F$1:$F$175,"BAC_CCE",Allocation!$G$1:$G$175,"B3",Allocation!$H$1:$H$175,"ALT")</f>
        <v>0</v>
      </c>
      <c r="D70" s="84">
        <f>SUMIFS(Allocation!$K$1:$K$175,Allocation!$C$1:$C$175,$C$11,Allocation!$D$1:$D$175,"IPAC_REN",Allocation!$F$1:$F$175,"BAC_CCE",Allocation!$G$1:$G$175,"B3",Allocation!$H$1:$H$175,"ALT")</f>
        <v>0</v>
      </c>
      <c r="E70" s="84">
        <f>SUMIFS(Allocation!$V$1:$V$175,Allocation!$C$1:$C$175,$C$11,Allocation!$D$1:$D$175,"IPAC_REN",Allocation!$F$1:$F$175,"BAC_CCE",Allocation!$G$1:$G$175,"B3",Allocation!$H$1:$H$175,"ALT")</f>
        <v>0</v>
      </c>
      <c r="F70" s="84">
        <f>SUMIFS(Allocation!$W$1:$W$175,Allocation!$C$1:$C$175,$C$11,Allocation!$D$1:$D$175,"IPAC_REN",Allocation!$F$1:$F$175,"BAC_CCE",Allocation!$G$1:$G$175,"B3",Allocation!$H$1:$H$175,"ALT")</f>
        <v>0</v>
      </c>
      <c r="G70" s="84">
        <f>SUMIFS(Allocation!$X$1:$X$175,Allocation!$C$1:$C$175,$C$11,Allocation!$D$1:$D$175,"IPAC_REN",Allocation!$F$1:$F$175,"BAC_CCE",Allocation!$G$1:$G$175,"B3",Allocation!$H$1:$H$175,"ALT")</f>
        <v>0</v>
      </c>
      <c r="H70" s="84">
        <f>SUMIFS(Allocation!$Y$1:$Y$175,Allocation!$C$1:$C$175,$C$11,Allocation!$D$1:$D$175,"IPAC_REN",Allocation!$F$1:$F$175,"BAC_CCE",Allocation!$G$1:$G$175,"B3",Allocation!$H$1:$H$175,"ALT")</f>
        <v>0</v>
      </c>
      <c r="I70" s="84">
        <f>SUMIFS(Allocation!$AC$1:$AC$175,Allocation!$C$1:$C$175,$C$11,Allocation!$D$1:$D$175,"IPAC_REN",Allocation!$F$1:$F$175,"BAC_CCE",Allocation!$G$1:$G$175,"B3",Allocation!$H$1:$H$175,"ALT")</f>
        <v>0</v>
      </c>
      <c r="J70" s="84">
        <f>SUMIFS(Allocation!$Z$1:$Z$175,Allocation!$C$1:$C$175,$C$11,Allocation!$D$1:$D$175,"IPAC_REN",Allocation!$F$1:$F$175,"BAC_CCE",Allocation!$G$1:$G$175,"B3",Allocation!$H$1:$H$175,"ALT")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SUMIFS(Allocation!$AA$1:$AA$175,Allocation!$C$1:$C$175,$C$11,Allocation!$D$1:$D$175,"IPAC_REN",Allocation!$F$1:$F$175,"BAC_CCE",Allocation!$G$1:$G$175,"B3",Allocation!$H$1:$H$175,"ALT")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x14ac:dyDescent="0.45">
      <c r="B71" s="36" t="s">
        <v>171</v>
      </c>
      <c r="C71" s="122">
        <f>SUMIFS(Allocation!$I$1:$I$175,Allocation!$C$1:$C$175,$C$11,Allocation!$D$1:$D$175,"IPAC_MTP")</f>
        <v>0</v>
      </c>
      <c r="D71" s="123">
        <f>SUMIFS(Allocation!$K$1:$K$175,Allocation!$C$1:$C$175,$C$11,Allocation!$D$1:$D$175,"IPAC_MTP")</f>
        <v>0</v>
      </c>
      <c r="E71" s="123">
        <f>SUMIFS(Allocation!$V$1:$V$175,Allocation!$C$1:$C$175,$C$11,Allocation!$D$1:$D$175,"IPAC_MTP")</f>
        <v>0</v>
      </c>
      <c r="F71" s="123">
        <f>SUMIFS(Allocation!$W$1:$W$175,Allocation!$C$1:$C$175,$C$11,Allocation!$D$1:$D$175,"IPAC_MTP")</f>
        <v>0</v>
      </c>
      <c r="G71" s="123">
        <f>SUMIFS(Allocation!$X$1:$X$175,Allocation!$C$1:$C$175,$C$11,Allocation!$D$1:$D$175,"IPAC_MTP")</f>
        <v>0</v>
      </c>
      <c r="H71" s="123">
        <f>SUMIFS(Allocation!$Y$1:$Y$175,Allocation!$C$1:$C$175,$C$11,Allocation!$D$1:$D$175,"IPAC_MTP")</f>
        <v>0</v>
      </c>
      <c r="I71" s="123">
        <f>SUMIFS(Allocation!$AC$1:$AC$175,Allocation!$C$1:$C$175,$C$11,Allocation!$D$1:$D$175,"IPAC_MTP")</f>
        <v>0</v>
      </c>
      <c r="J71" s="123">
        <f>SUMIFS(Allocation!$Z$1:$Z$175,Allocation!$C$1:$C$175,$C$11,Allocation!$D$1:$D$175,"IPAC_MTP")</f>
        <v>0</v>
      </c>
      <c r="K71" s="123">
        <f t="shared" si="2"/>
        <v>0</v>
      </c>
      <c r="L71" s="130">
        <f>SUMIFS(Allocation!$AA$1:$AA$175,Allocation!$C$1:$C$175,$C$11,Allocation!$D$1:$D$175,"IPAC_MTP")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SUMIFS(Allocation!$I$1:$I$175,Allocation!$C$1:$C$175,$C$11,Allocation!$D$1:$D$175,"IPAC_MTP",Allocation!$F$1:$F$175,"BAC_CCE",Allocation!$G$1:$G$175,"B1",Allocation!$H$1:$H$175,"ALT")</f>
        <v>0</v>
      </c>
      <c r="D72" s="84">
        <f>SUMIFS(Allocation!$K$1:$K$175,Allocation!$C$1:$C$175,$C$11,Allocation!$D$1:$D$175,"IPAC_MTP",Allocation!$F$1:$F$175,"BAC_CCE",Allocation!$G$1:$G$175,"B1",Allocation!$H$1:$H$175,"ALT")</f>
        <v>0</v>
      </c>
      <c r="E72" s="84">
        <f>SUMIFS(Allocation!$V$1:$V$175,Allocation!$C$1:$C$175,$C$11,Allocation!$D$1:$D$175,"IPAC_MTP",Allocation!$F$1:$F$175,"BAC_CCE",Allocation!$G$1:$G$175,"B1",Allocation!$H$1:$H$175,"ALT")</f>
        <v>0</v>
      </c>
      <c r="F72" s="84">
        <f>SUMIFS(Allocation!$W$1:$W$175,Allocation!$C$1:$C$175,$C$11,Allocation!$D$1:$D$175,"IPAC_MTP",Allocation!$F$1:$F$175,"BAC_CCE",Allocation!$G$1:$G$175,"B1",Allocation!$H$1:$H$175,"ALT")</f>
        <v>0</v>
      </c>
      <c r="G72" s="84">
        <f>SUMIFS(Allocation!$X$1:$X$175,Allocation!$C$1:$C$175,$C$11,Allocation!$D$1:$D$175,"IPAC_MTP",Allocation!$F$1:$F$175,"BAC_CCE",Allocation!$G$1:$G$175,"B1",Allocation!$H$1:$H$175,"ALT")</f>
        <v>0</v>
      </c>
      <c r="H72" s="84">
        <f>SUMIFS(Allocation!$Y$1:$Y$175,Allocation!$C$1:$C$175,$C$11,Allocation!$D$1:$D$175,"IPAC_MTP",Allocation!$F$1:$F$175,"BAC_CCE",Allocation!$G$1:$G$175,"B1",Allocation!$H$1:$H$175,"ALT")</f>
        <v>0</v>
      </c>
      <c r="I72" s="84">
        <f>SUMIFS(Allocation!$AC$1:$AC$175,Allocation!$C$1:$C$175,$C$11,Allocation!$D$1:$D$175,"IPAC_MTP",Allocation!$F$1:$F$175,"BAC_CCE",Allocation!$G$1:$G$175,"B1",Allocation!$H$1:$H$175,"ALT")</f>
        <v>0</v>
      </c>
      <c r="J72" s="84">
        <f>SUMIFS(Allocation!$Z$1:$Z$175,Allocation!$C$1:$C$175,$C$11,Allocation!$D$1:$D$175,"IPAC_MTP",Allocation!$F$1:$F$175,"BAC_CCE",Allocation!$G$1:$G$175,"B1",Allocation!$H$1:$H$175,"ALT")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SUMIFS(Allocation!$AA$1:$AA$175,Allocation!$C$1:$C$175,$C$11,Allocation!$D$1:$D$175,"IPAC_MTP",Allocation!$F$1:$F$175,"BAC_CCE",Allocation!$G$1:$G$175,"B1",Allocation!$H$1:$H$175,"ALT")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SUMIFS(Allocation!$I$1:$I$175,Allocation!$C$1:$C$175,$C$11,Allocation!$D$1:$D$175,"IPAC_MTP",Allocation!$F$1:$F$175,"BAC_CCE",Allocation!$G$1:$G$175,"B2",Allocation!$H$1:$H$175,"ALT")</f>
        <v>0</v>
      </c>
      <c r="D73" s="84">
        <f>SUMIFS(Allocation!$K$1:$K$175,Allocation!$C$1:$C$175,$C$11,Allocation!$D$1:$D$175,"IPAC_MTP",Allocation!$F$1:$F$175,"BAC_CCE",Allocation!$G$1:$G$175,"B2",Allocation!$H$1:$H$175,"ALT")</f>
        <v>0</v>
      </c>
      <c r="E73" s="84">
        <f>SUMIFS(Allocation!$V$1:$V$175,Allocation!$C$1:$C$175,$C$11,Allocation!$D$1:$D$175,"IPAC_MTP",Allocation!$F$1:$F$175,"BAC_CCE",Allocation!$G$1:$G$175,"B2",Allocation!$H$1:$H$175,"ALT")</f>
        <v>0</v>
      </c>
      <c r="F73" s="84">
        <f>SUMIFS(Allocation!$W$1:$W$175,Allocation!$C$1:$C$175,$C$11,Allocation!$D$1:$D$175,"IPAC_MTP",Allocation!$F$1:$F$175,"BAC_CCE",Allocation!$G$1:$G$175,"B2",Allocation!$H$1:$H$175,"ALT")</f>
        <v>0</v>
      </c>
      <c r="G73" s="84">
        <f>SUMIFS(Allocation!$X$1:$X$175,Allocation!$C$1:$C$175,$C$11,Allocation!$D$1:$D$175,"IPAC_MTP",Allocation!$F$1:$F$175,"BAC_CCE",Allocation!$G$1:$G$175,"B2",Allocation!$H$1:$H$175,"ALT")</f>
        <v>0</v>
      </c>
      <c r="H73" s="84">
        <f>SUMIFS(Allocation!$Y$1:$Y$175,Allocation!$C$1:$C$175,$C$11,Allocation!$D$1:$D$175,"IPAC_MTP",Allocation!$F$1:$F$175,"BAC_CCE",Allocation!$G$1:$G$175,"B2",Allocation!$H$1:$H$175,"ALT")</f>
        <v>0</v>
      </c>
      <c r="I73" s="84">
        <f>SUMIFS(Allocation!$AC$1:$AC$175,Allocation!$C$1:$C$175,$C$11,Allocation!$D$1:$D$175,"IPAC_MTP",Allocation!$F$1:$F$175,"BAC_CCE",Allocation!$G$1:$G$175,"B2",Allocation!$H$1:$H$175,"ALT")</f>
        <v>0</v>
      </c>
      <c r="J73" s="84">
        <f>SUMIFS(Allocation!$Z$1:$Z$175,Allocation!$C$1:$C$175,$C$11,Allocation!$D$1:$D$175,"IPAC_MTP",Allocation!$F$1:$F$175,"BAC_CCE",Allocation!$G$1:$G$175,"B2",Allocation!$H$1:$H$175,"ALT")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SUMIFS(Allocation!$AA$1:$AA$175,Allocation!$C$1:$C$175,$C$11,Allocation!$D$1:$D$175,"IPAC_MTP",Allocation!$F$1:$F$175,"BAC_CCE",Allocation!$G$1:$G$175,"B2",Allocation!$H$1:$H$175,"ALT")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SUMIFS(Allocation!$I$1:$I$175,Allocation!$C$1:$C$175,$C$11,Allocation!$D$1:$D$175,"IPAC_MTP",Allocation!$F$1:$F$175,"BAC_CCE",Allocation!$G$1:$G$175,"B3",Allocation!$H$1:$H$175,"ALT")</f>
        <v>0</v>
      </c>
      <c r="D74" s="84">
        <f>SUMIFS(Allocation!$K$1:$K$175,Allocation!$C$1:$C$175,$C$11,Allocation!$D$1:$D$175,"IPAC_MTP",Allocation!$F$1:$F$175,"BAC_CCE",Allocation!$G$1:$G$175,"B3",Allocation!$H$1:$H$175,"ALT")</f>
        <v>0</v>
      </c>
      <c r="E74" s="84">
        <f>SUMIFS(Allocation!$V$1:$V$175,Allocation!$C$1:$C$175,$C$11,Allocation!$D$1:$D$175,"IPAC_MTP",Allocation!$F$1:$F$175,"BAC_CCE",Allocation!$G$1:$G$175,"B3",Allocation!$H$1:$H$175,"ALT")</f>
        <v>0</v>
      </c>
      <c r="F74" s="84">
        <f>SUMIFS(Allocation!$W$1:$W$175,Allocation!$C$1:$C$175,$C$11,Allocation!$D$1:$D$175,"IPAC_MTP",Allocation!$F$1:$F$175,"BAC_CCE",Allocation!$G$1:$G$175,"B3",Allocation!$H$1:$H$175,"ALT")</f>
        <v>0</v>
      </c>
      <c r="G74" s="84">
        <f>SUMIFS(Allocation!$X$1:$X$175,Allocation!$C$1:$C$175,$C$11,Allocation!$D$1:$D$175,"IPAC_MTP",Allocation!$F$1:$F$175,"BAC_CCE",Allocation!$G$1:$G$175,"B3",Allocation!$H$1:$H$175,"ALT")</f>
        <v>0</v>
      </c>
      <c r="H74" s="84">
        <f>SUMIFS(Allocation!$Y$1:$Y$175,Allocation!$C$1:$C$175,$C$11,Allocation!$D$1:$D$175,"IPAC_MTP",Allocation!$F$1:$F$175,"BAC_CCE",Allocation!$G$1:$G$175,"B3",Allocation!$H$1:$H$175,"ALT")</f>
        <v>0</v>
      </c>
      <c r="I74" s="84">
        <f>SUMIFS(Allocation!$AC$1:$AC$175,Allocation!$C$1:$C$175,$C$11,Allocation!$D$1:$D$175,"IPAC_MTP",Allocation!$F$1:$F$175,"BAC_CCE",Allocation!$G$1:$G$175,"B3",Allocation!$H$1:$H$175,"ALT")</f>
        <v>0</v>
      </c>
      <c r="J74" s="84">
        <f>SUMIFS(Allocation!$Z$1:$Z$175,Allocation!$C$1:$C$175,$C$11,Allocation!$D$1:$D$175,"IPAC_MTP",Allocation!$F$1:$F$175,"BAC_CCE",Allocation!$G$1:$G$175,"B3",Allocation!$H$1:$H$175,"ALT")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SUMIFS(Allocation!$AA$1:$AA$175,Allocation!$C$1:$C$175,$C$11,Allocation!$D$1:$D$175,"IPAC_MTP",Allocation!$F$1:$F$175,"BAC_CCE",Allocation!$G$1:$G$175,"B3",Allocation!$H$1:$H$175,"ALT")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SUMIFS(Allocation!$I$1:$I$175,Allocation!$C$1:$C$175,$C$11,Allocation!$E$1:$E$175,"PIGIER")</f>
        <v>0</v>
      </c>
      <c r="D75" s="123">
        <f>SUMIFS(Allocation!$K$1:$K$175,Allocation!$C$1:$C$175,$C$11,Allocation!$E$1:$E$175,"PIGIER")</f>
        <v>0</v>
      </c>
      <c r="E75" s="123">
        <f>SUMIFS(Allocation!$V$1:$V$175,Allocation!$C$1:$C$175,$C$11,Allocation!$E$1:$E$175,"PIGIER")</f>
        <v>0</v>
      </c>
      <c r="F75" s="123">
        <f>SUMIFS(Allocation!$W$1:$W$175,Allocation!$C$1:$C$175,$C$11,Allocation!$E$1:$E$175,"PIGIER")</f>
        <v>0</v>
      </c>
      <c r="G75" s="123">
        <f>SUMIFS(Allocation!$X$1:$X$175,Allocation!$C$1:$C$175,$C$11,Allocation!$E$1:$E$175,"PIGIER")</f>
        <v>0</v>
      </c>
      <c r="H75" s="123">
        <f>SUMIFS(Allocation!$Y$1:$Y$175,Allocation!$C$1:$C$175,$C$11,Allocation!$E$1:$E$175,"PIGIER")</f>
        <v>0</v>
      </c>
      <c r="I75" s="123">
        <f>SUMIFS(Allocation!$AC$1:$AC$175,Allocation!$C$1:$C$175,$C$11,Allocation!$E$1:$E$175,"PIGIER")</f>
        <v>0</v>
      </c>
      <c r="J75" s="123">
        <f>SUMIFS(Allocation!$Z$1:$Z$175,Allocation!$C$1:$C$175,$C$11,Allocation!$E$1:$E$175,"PIGIER")</f>
        <v>0</v>
      </c>
      <c r="K75" s="123">
        <f t="shared" si="2"/>
        <v>0</v>
      </c>
      <c r="L75" s="130">
        <f>SUMIFS(Allocation!$AA$1:$AA$175,Allocation!$C$1:$C$175,$C$11,Allocation!$E$1:$E$175,"PIGIER")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SUMIFS(Allocation!$I$1:$I$175,Allocation!$C$1:$C$175,$C$11,Allocation!$D$1:$D$175,"PIGIER_LYO")</f>
        <v>0</v>
      </c>
      <c r="D76" s="123">
        <f>SUMIFS(Allocation!$K$1:$K$175,Allocation!$C$1:$C$175,$C$11,Allocation!$D$1:$D$175,"PIGIER_LYO")</f>
        <v>0</v>
      </c>
      <c r="E76" s="123">
        <f>SUMIFS(Allocation!$V$1:$V$175,Allocation!$C$1:$C$175,$C$11,Allocation!$D$1:$D$175,"PIGIER_LYO")</f>
        <v>0</v>
      </c>
      <c r="F76" s="123">
        <f>SUMIFS(Allocation!$W$1:$W$175,Allocation!$C$1:$C$175,$C$11,Allocation!$D$1:$D$175,"PIGIER_LYO")</f>
        <v>0</v>
      </c>
      <c r="G76" s="123">
        <f>SUMIFS(Allocation!$X$1:$X$175,Allocation!$C$1:$C$175,$C$11,Allocation!$D$1:$D$175,"PIGIER_LYO")</f>
        <v>0</v>
      </c>
      <c r="H76" s="123">
        <f>SUMIFS(Allocation!$Y$1:$Y$175,Allocation!$C$1:$C$175,$C$11,Allocation!$D$1:$D$175,"PIGIER_LYO")</f>
        <v>0</v>
      </c>
      <c r="I76" s="123">
        <f>SUMIFS(Allocation!$AC$1:$AC$175,Allocation!$C$1:$C$175,$C$11,Allocation!$D$1:$D$175,"PIGIER_LYO")</f>
        <v>0</v>
      </c>
      <c r="J76" s="123">
        <f>SUMIFS(Allocation!$Z$1:$Z$175,Allocation!$C$1:$C$175,$C$11,Allocation!$D$1:$D$175,"PIGIER_LYO")</f>
        <v>0</v>
      </c>
      <c r="K76" s="123">
        <f t="shared" si="2"/>
        <v>0</v>
      </c>
      <c r="L76" s="130">
        <f>SUMIFS(Allocation!$AA$1:$AA$175,Allocation!$C$1:$C$175,$C$11,Allocation!$D$1:$D$175,"PIGIER_LYO")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SUMIFS(Allocation!$I$1:$I$175,Allocation!$C$1:$C$175,$C$11,Allocation!$D$1:$D$175,"PIGIER_LYO",Allocation!$F$1:$F$175,"BTS_GES",Allocation!$G$1:$G$175,"BTS1",Allocation!$H$1:$H$175,"ALT")</f>
        <v>0</v>
      </c>
      <c r="D77" s="84">
        <f>SUMIFS(Allocation!$K$1:$K$175,Allocation!$C$1:$C$175,$C$11,Allocation!$D$1:$D$175,"PIGIER_LYO",Allocation!$F$1:$F$175,"BTS_GES",Allocation!$G$1:$G$175,"BTS1",Allocation!$H$1:$H$175,"ALT")</f>
        <v>0</v>
      </c>
      <c r="E77" s="84">
        <f>SUMIFS(Allocation!$V$1:$V$175,Allocation!$C$1:$C$175,$C$11,Allocation!$D$1:$D$175,"PIGIER_LYO",Allocation!$F$1:$F$175,"BTS_GES",Allocation!$G$1:$G$175,"BTS1",Allocation!$H$1:$H$175,"ALT")</f>
        <v>0</v>
      </c>
      <c r="F77" s="84">
        <f>SUMIFS(Allocation!$W$1:$W$175,Allocation!$C$1:$C$175,$C$11,Allocation!$D$1:$D$175,"PIGIER_LYO",Allocation!$F$1:$F$175,"BTS_GES",Allocation!$G$1:$G$175,"BTS1",Allocation!$H$1:$H$175,"ALT")</f>
        <v>0</v>
      </c>
      <c r="G77" s="84">
        <f>SUMIFS(Allocation!$X$1:$X$175,Allocation!$C$1:$C$175,$C$11,Allocation!$D$1:$D$175,"PIGIER_LYO",Allocation!$F$1:$F$175,"BTS_GES",Allocation!$G$1:$G$175,"BTS1",Allocation!$H$1:$H$175,"ALT")</f>
        <v>0</v>
      </c>
      <c r="H77" s="84">
        <f>SUMIFS(Allocation!$Y$1:$Y$175,Allocation!$C$1:$C$175,$C$11,Allocation!$D$1:$D$175,"PIGIER_LYO",Allocation!$F$1:$F$175,"BTS_GES",Allocation!$G$1:$G$175,"BTS1",Allocation!$H$1:$H$175,"ALT")</f>
        <v>0</v>
      </c>
      <c r="I77" s="84">
        <f>SUMIFS(Allocation!$AC$1:$AC$175,Allocation!$C$1:$C$175,$C$11,Allocation!$D$1:$D$175,"PIGIER_LYO",Allocation!$F$1:$F$175,"BTS_GES",Allocation!$G$1:$G$175,"BTS1",Allocation!$H$1:$H$175,"ALT")</f>
        <v>0</v>
      </c>
      <c r="J77" s="84">
        <f>SUMIFS(Allocation!$Z$1:$Z$175,Allocation!$C$1:$C$175,$C$11,Allocation!$D$1:$D$175,"PIGIER_LYO",Allocation!$F$1:$F$175,"BTS_GES",Allocation!$G$1:$G$175,"BTS1",Allocation!$H$1:$H$175,"ALT")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SUMIFS(Allocation!$AA$1:$AA$175,Allocation!$C$1:$C$175,$C$11,Allocation!$D$1:$D$175,"PIGIER_LYO",Allocation!$F$1:$F$175,"BTS_GES",Allocation!$G$1:$G$175,"BTS1",Allocation!$H$1:$H$175,"ALT")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SUMIFS(Allocation!$I$1:$I$175,Allocation!$C$1:$C$175,$C$11,Allocation!$D$1:$D$175,"PIGIER_LYO",Allocation!$F$1:$F$175,"BTS_GES",Allocation!$G$1:$G$175,"BTS2",Allocation!$H$1:$H$175,"ALT")</f>
        <v>0</v>
      </c>
      <c r="D78" s="84">
        <f>SUMIFS(Allocation!$K$1:$K$175,Allocation!$C$1:$C$175,$C$11,Allocation!$D$1:$D$175,"PIGIER_LYO",Allocation!$F$1:$F$175,"BTS_GES",Allocation!$G$1:$G$175,"BTS2",Allocation!$H$1:$H$175,"ALT")</f>
        <v>0</v>
      </c>
      <c r="E78" s="84">
        <f>SUMIFS(Allocation!$V$1:$V$175,Allocation!$C$1:$C$175,$C$11,Allocation!$D$1:$D$175,"PIGIER_LYO",Allocation!$F$1:$F$175,"BTS_GES",Allocation!$G$1:$G$175,"BTS2",Allocation!$H$1:$H$175,"ALT")</f>
        <v>0</v>
      </c>
      <c r="F78" s="84">
        <f>SUMIFS(Allocation!$W$1:$W$175,Allocation!$C$1:$C$175,$C$11,Allocation!$D$1:$D$175,"PIGIER_LYO",Allocation!$F$1:$F$175,"BTS_GES",Allocation!$G$1:$G$175,"BTS2",Allocation!$H$1:$H$175,"ALT")</f>
        <v>0</v>
      </c>
      <c r="G78" s="84">
        <f>SUMIFS(Allocation!$X$1:$X$175,Allocation!$C$1:$C$175,$C$11,Allocation!$D$1:$D$175,"PIGIER_LYO",Allocation!$F$1:$F$175,"BTS_GES",Allocation!$G$1:$G$175,"BTS2",Allocation!$H$1:$H$175,"ALT")</f>
        <v>0</v>
      </c>
      <c r="H78" s="84">
        <f>SUMIFS(Allocation!$Y$1:$Y$175,Allocation!$C$1:$C$175,$C$11,Allocation!$D$1:$D$175,"PIGIER_LYO",Allocation!$F$1:$F$175,"BTS_GES",Allocation!$G$1:$G$175,"BTS2",Allocation!$H$1:$H$175,"ALT")</f>
        <v>0</v>
      </c>
      <c r="I78" s="84">
        <f>SUMIFS(Allocation!$AC$1:$AC$175,Allocation!$C$1:$C$175,$C$11,Allocation!$D$1:$D$175,"PIGIER_LYO",Allocation!$F$1:$F$175,"BTS_GES",Allocation!$G$1:$G$175,"BTS2",Allocation!$H$1:$H$175,"ALT")</f>
        <v>0</v>
      </c>
      <c r="J78" s="84">
        <f>SUMIFS(Allocation!$Z$1:$Z$175,Allocation!$C$1:$C$175,$C$11,Allocation!$D$1:$D$175,"PIGIER_LYO",Allocation!$F$1:$F$175,"BTS_GES",Allocation!$G$1:$G$175,"BTS2",Allocation!$H$1:$H$175,"ALT")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SUMIFS(Allocation!$AA$1:$AA$175,Allocation!$C$1:$C$175,$C$11,Allocation!$D$1:$D$175,"PIGIER_LYO",Allocation!$F$1:$F$175,"BTS_GES",Allocation!$G$1:$G$175,"BTS2",Allocation!$H$1:$H$175,"ALT")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SUMIFS(Allocation!$I$1:$I$175,Allocation!$C$1:$C$175,$C$11,Allocation!$D$1:$D$175,"PIGIER_LYO",Allocation!$F$1:$F$175,"BAC_RH",Allocation!$G$1:$G$175,"B1",Allocation!$H$1:$H$175,"ALT")</f>
        <v>0</v>
      </c>
      <c r="D79" s="84">
        <f>SUMIFS(Allocation!$K$1:$K$175,Allocation!$C$1:$C$175,$C$11,Allocation!$D$1:$D$175,"PIGIER_LYO",Allocation!$F$1:$F$175,"BAC_RH",Allocation!$G$1:$G$175,"B1",Allocation!$H$1:$H$175,"ALT")</f>
        <v>0</v>
      </c>
      <c r="E79" s="84">
        <f>SUMIFS(Allocation!$V$1:$V$175,Allocation!$C$1:$C$175,$C$11,Allocation!$D$1:$D$175,"PIGIER_LYO",Allocation!$F$1:$F$175,"BAC_RH",Allocation!$G$1:$G$175,"B1",Allocation!$H$1:$H$175,"ALT")</f>
        <v>0</v>
      </c>
      <c r="F79" s="84">
        <f>SUMIFS(Allocation!$W$1:$W$175,Allocation!$C$1:$C$175,$C$11,Allocation!$D$1:$D$175,"PIGIER_LYO",Allocation!$F$1:$F$175,"BAC_RH",Allocation!$G$1:$G$175,"B1",Allocation!$H$1:$H$175,"ALT")</f>
        <v>0</v>
      </c>
      <c r="G79" s="84">
        <f>SUMIFS(Allocation!$X$1:$X$175,Allocation!$C$1:$C$175,$C$11,Allocation!$D$1:$D$175,"PIGIER_LYO",Allocation!$F$1:$F$175,"BAC_RH",Allocation!$G$1:$G$175,"B1",Allocation!$H$1:$H$175,"ALT")</f>
        <v>0</v>
      </c>
      <c r="H79" s="84">
        <f>SUMIFS(Allocation!$Y$1:$Y$175,Allocation!$C$1:$C$175,$C$11,Allocation!$D$1:$D$175,"PIGIER_LYO",Allocation!$F$1:$F$175,"BAC_RH",Allocation!$G$1:$G$175,"B1",Allocation!$H$1:$H$175,"ALT")</f>
        <v>0</v>
      </c>
      <c r="I79" s="84">
        <f>SUMIFS(Allocation!$AC$1:$AC$175,Allocation!$C$1:$C$175,$C$11,Allocation!$D$1:$D$175,"PIGIER_LYO",Allocation!$F$1:$F$175,"BAC_RH",Allocation!$G$1:$G$175,"B1",Allocation!$H$1:$H$175,"ALT")</f>
        <v>0</v>
      </c>
      <c r="J79" s="84">
        <f>SUMIFS(Allocation!$Z$1:$Z$175,Allocation!$C$1:$C$175,$C$11,Allocation!$D$1:$D$175,"PIGIER_LYO",Allocation!$F$1:$F$175,"BAC_RH",Allocation!$G$1:$G$175,"B1",Allocation!$H$1:$H$175,"ALT")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SUMIFS(Allocation!$AA$1:$AA$175,Allocation!$C$1:$C$175,$C$11,Allocation!$D$1:$D$175,"PIGIER_LYO",Allocation!$F$1:$F$175,"BAC_RH",Allocation!$G$1:$G$175,"B1",Allocation!$H$1:$H$175,"ALT")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SUMIFS(Allocation!$I$1:$I$175,Allocation!$C$1:$C$175,$C$11,Allocation!$D$1:$D$175,"PIGIER_LYO",Allocation!$F$1:$F$175,"BAC_RH",Allocation!$G$1:$G$175,"B3",Allocation!$H$1:$H$175,"ALT")</f>
        <v>0</v>
      </c>
      <c r="D80" s="84">
        <f>SUMIFS(Allocation!$K$1:$K$175,Allocation!$C$1:$C$175,$C$11,Allocation!$D$1:$D$175,"PIGIER_LYO",Allocation!$F$1:$F$175,"BAC_RH",Allocation!$G$1:$G$175,"B3",Allocation!$H$1:$H$175,"ALT")</f>
        <v>0</v>
      </c>
      <c r="E80" s="84">
        <f>SUMIFS(Allocation!$V$1:$V$175,Allocation!$C$1:$C$175,$C$11,Allocation!$D$1:$D$175,"PIGIER_LYO",Allocation!$F$1:$F$175,"BAC_RH",Allocation!$G$1:$G$175,"B3",Allocation!$H$1:$H$175,"ALT")</f>
        <v>0</v>
      </c>
      <c r="F80" s="84">
        <f>SUMIFS(Allocation!$W$1:$W$175,Allocation!$C$1:$C$175,$C$11,Allocation!$D$1:$D$175,"PIGIER_LYO",Allocation!$F$1:$F$175,"BAC_RH",Allocation!$G$1:$G$175,"B3",Allocation!$H$1:$H$175,"ALT")</f>
        <v>0</v>
      </c>
      <c r="G80" s="84">
        <f>SUMIFS(Allocation!$X$1:$X$175,Allocation!$C$1:$C$175,$C$11,Allocation!$D$1:$D$175,"PIGIER_LYO",Allocation!$F$1:$F$175,"BAC_RH",Allocation!$G$1:$G$175,"B3",Allocation!$H$1:$H$175,"ALT")</f>
        <v>0</v>
      </c>
      <c r="H80" s="84">
        <f>SUMIFS(Allocation!$Y$1:$Y$175,Allocation!$C$1:$C$175,$C$11,Allocation!$D$1:$D$175,"PIGIER_LYO",Allocation!$F$1:$F$175,"BAC_RH",Allocation!$G$1:$G$175,"B3",Allocation!$H$1:$H$175,"ALT")</f>
        <v>0</v>
      </c>
      <c r="I80" s="84">
        <f>SUMIFS(Allocation!$AC$1:$AC$175,Allocation!$C$1:$C$175,$C$11,Allocation!$D$1:$D$175,"PIGIER_LYO",Allocation!$F$1:$F$175,"BAC_RH",Allocation!$G$1:$G$175,"B3",Allocation!$H$1:$H$175,"ALT")</f>
        <v>0</v>
      </c>
      <c r="J80" s="84">
        <f>SUMIFS(Allocation!$Z$1:$Z$175,Allocation!$C$1:$C$175,$C$11,Allocation!$D$1:$D$175,"PIGIER_LYO",Allocation!$F$1:$F$175,"BAC_RH",Allocation!$G$1:$G$175,"B3",Allocation!$H$1:$H$175,"ALT")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SUMIFS(Allocation!$AA$1:$AA$175,Allocation!$C$1:$C$175,$C$11,Allocation!$D$1:$D$175,"PIGIER_LYO",Allocation!$F$1:$F$175,"BAC_RH",Allocation!$G$1:$G$175,"B3",Allocation!$H$1:$H$175,"ALT")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x14ac:dyDescent="0.45">
      <c r="B81" s="36" t="s">
        <v>177</v>
      </c>
      <c r="C81" s="122">
        <f>SUMIFS(Allocation!$I$1:$I$175,Allocation!$C$1:$C$175,$C$11,Allocation!$D$1:$D$175,"PIGIER_BOR")</f>
        <v>0</v>
      </c>
      <c r="D81" s="123">
        <f>SUMIFS(Allocation!$K$1:$K$175,Allocation!$C$1:$C$175,$C$11,Allocation!$D$1:$D$175,"PIGIER_BOR")</f>
        <v>0</v>
      </c>
      <c r="E81" s="123">
        <f>SUMIFS(Allocation!$V$1:$V$175,Allocation!$C$1:$C$175,$C$11,Allocation!$D$1:$D$175,"PIGIER_BOR")</f>
        <v>0</v>
      </c>
      <c r="F81" s="123">
        <f>SUMIFS(Allocation!$W$1:$W$175,Allocation!$C$1:$C$175,$C$11,Allocation!$D$1:$D$175,"PIGIER_BOR")</f>
        <v>0</v>
      </c>
      <c r="G81" s="123">
        <f>SUMIFS(Allocation!$X$1:$X$175,Allocation!$C$1:$C$175,$C$11,Allocation!$D$1:$D$175,"PIGIER_BOR")</f>
        <v>0</v>
      </c>
      <c r="H81" s="123">
        <f>SUMIFS(Allocation!$Y$1:$Y$175,Allocation!$C$1:$C$175,$C$11,Allocation!$D$1:$D$175,"PIGIER_BOR")</f>
        <v>0</v>
      </c>
      <c r="I81" s="123">
        <f>SUMIFS(Allocation!$AC$1:$AC$175,Allocation!$C$1:$C$175,$C$11,Allocation!$D$1:$D$175,"PIGIER_BOR")</f>
        <v>0</v>
      </c>
      <c r="J81" s="123">
        <f>SUMIFS(Allocation!$Z$1:$Z$175,Allocation!$C$1:$C$175,$C$11,Allocation!$D$1:$D$175,"PIGIER_BOR")</f>
        <v>0</v>
      </c>
      <c r="K81" s="123">
        <f t="shared" si="2"/>
        <v>0</v>
      </c>
      <c r="L81" s="130">
        <f>SUMIFS(Allocation!$AA$1:$AA$175,Allocation!$C$1:$C$175,$C$11,Allocation!$D$1:$D$175,"PIGIER_BOR")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SUMIFS(Allocation!$I$1:$I$175,Allocation!$C$1:$C$175,$C$11,Allocation!$D$1:$D$175,"PIGIER_BOR",Allocation!$F$1:$F$175,"BTS_GES",Allocation!$G$1:$G$175,"BTS1",Allocation!$H$1:$H$175,"ALT")</f>
        <v>0</v>
      </c>
      <c r="D82" s="84">
        <f>SUMIFS(Allocation!$K$1:$K$175,Allocation!$C$1:$C$175,$C$11,Allocation!$D$1:$D$175,"PIGIER_BOR",Allocation!$F$1:$F$175,"BTS_GES",Allocation!$G$1:$G$175,"BTS1",Allocation!$H$1:$H$175,"ALT")</f>
        <v>0</v>
      </c>
      <c r="E82" s="84">
        <f>SUMIFS(Allocation!$V$1:$V$175,Allocation!$C$1:$C$175,$C$11,Allocation!$D$1:$D$175,"PIGIER_BOR",Allocation!$F$1:$F$175,"BTS_GES",Allocation!$G$1:$G$175,"BTS1",Allocation!$H$1:$H$175,"ALT")</f>
        <v>0</v>
      </c>
      <c r="F82" s="84">
        <f>SUMIFS(Allocation!$W$1:$W$175,Allocation!$C$1:$C$175,$C$11,Allocation!$D$1:$D$175,"PIGIER_BOR",Allocation!$F$1:$F$175,"BTS_GES",Allocation!$G$1:$G$175,"BTS1",Allocation!$H$1:$H$175,"ALT")</f>
        <v>0</v>
      </c>
      <c r="G82" s="84">
        <f>SUMIFS(Allocation!$X$1:$X$175,Allocation!$C$1:$C$175,$C$11,Allocation!$D$1:$D$175,"PIGIER_BOR",Allocation!$F$1:$F$175,"BTS_GES",Allocation!$G$1:$G$175,"BTS1",Allocation!$H$1:$H$175,"ALT")</f>
        <v>0</v>
      </c>
      <c r="H82" s="84">
        <f>SUMIFS(Allocation!$Y$1:$Y$175,Allocation!$C$1:$C$175,$C$11,Allocation!$D$1:$D$175,"PIGIER_BOR",Allocation!$F$1:$F$175,"BTS_GES",Allocation!$G$1:$G$175,"BTS1",Allocation!$H$1:$H$175,"ALT")</f>
        <v>0</v>
      </c>
      <c r="I82" s="84">
        <f>SUMIFS(Allocation!$AC$1:$AC$175,Allocation!$C$1:$C$175,$C$11,Allocation!$D$1:$D$175,"PIGIER_BOR",Allocation!$F$1:$F$175,"BTS_GES",Allocation!$G$1:$G$175,"BTS1",Allocation!$H$1:$H$175,"ALT")</f>
        <v>0</v>
      </c>
      <c r="J82" s="84">
        <f>SUMIFS(Allocation!$Z$1:$Z$175,Allocation!$C$1:$C$175,$C$11,Allocation!$D$1:$D$175,"PIGIER_BOR",Allocation!$F$1:$F$175,"BTS_GES",Allocation!$G$1:$G$175,"BTS1",Allocation!$H$1:$H$175,"ALT")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SUMIFS(Allocation!$AA$1:$AA$175,Allocation!$C$1:$C$175,$C$11,Allocation!$D$1:$D$175,"PIGIER_BOR",Allocation!$F$1:$F$175,"BTS_GES",Allocation!$G$1:$G$175,"BTS1",Allocation!$H$1:$H$175,"ALT")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SUMIFS(Allocation!$I$1:$I$175,Allocation!$C$1:$C$175,$C$11,Allocation!$D$1:$D$175,"PIGIER_BOR",Allocation!$F$1:$F$175,"BTS_GES",Allocation!$G$1:$G$175,"BTS2",Allocation!$H$1:$H$175,"ALT")</f>
        <v>0</v>
      </c>
      <c r="D83" s="84">
        <f>SUMIFS(Allocation!$K$1:$K$175,Allocation!$C$1:$C$175,$C$11,Allocation!$D$1:$D$175,"PIGIER_BOR",Allocation!$F$1:$F$175,"BTS_GES",Allocation!$G$1:$G$175,"BTS2",Allocation!$H$1:$H$175,"ALT")</f>
        <v>0</v>
      </c>
      <c r="E83" s="84">
        <f>SUMIFS(Allocation!$V$1:$V$175,Allocation!$C$1:$C$175,$C$11,Allocation!$D$1:$D$175,"PIGIER_BOR",Allocation!$F$1:$F$175,"BTS_GES",Allocation!$G$1:$G$175,"BTS2",Allocation!$H$1:$H$175,"ALT")</f>
        <v>0</v>
      </c>
      <c r="F83" s="84">
        <f>SUMIFS(Allocation!$W$1:$W$175,Allocation!$C$1:$C$175,$C$11,Allocation!$D$1:$D$175,"PIGIER_BOR",Allocation!$F$1:$F$175,"BTS_GES",Allocation!$G$1:$G$175,"BTS2",Allocation!$H$1:$H$175,"ALT")</f>
        <v>0</v>
      </c>
      <c r="G83" s="84">
        <f>SUMIFS(Allocation!$X$1:$X$175,Allocation!$C$1:$C$175,$C$11,Allocation!$D$1:$D$175,"PIGIER_BOR",Allocation!$F$1:$F$175,"BTS_GES",Allocation!$G$1:$G$175,"BTS2",Allocation!$H$1:$H$175,"ALT")</f>
        <v>0</v>
      </c>
      <c r="H83" s="84">
        <f>SUMIFS(Allocation!$Y$1:$Y$175,Allocation!$C$1:$C$175,$C$11,Allocation!$D$1:$D$175,"PIGIER_BOR",Allocation!$F$1:$F$175,"BTS_GES",Allocation!$G$1:$G$175,"BTS2",Allocation!$H$1:$H$175,"ALT")</f>
        <v>0</v>
      </c>
      <c r="I83" s="84">
        <f>SUMIFS(Allocation!$AC$1:$AC$175,Allocation!$C$1:$C$175,$C$11,Allocation!$D$1:$D$175,"PIGIER_BOR",Allocation!$F$1:$F$175,"BTS_GES",Allocation!$G$1:$G$175,"BTS2",Allocation!$H$1:$H$175,"ALT")</f>
        <v>0</v>
      </c>
      <c r="J83" s="84">
        <f>SUMIFS(Allocation!$Z$1:$Z$175,Allocation!$C$1:$C$175,$C$11,Allocation!$D$1:$D$175,"PIGIER_BOR",Allocation!$F$1:$F$175,"BTS_GES",Allocation!$G$1:$G$175,"BTS2",Allocation!$H$1:$H$175,"ALT")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SUMIFS(Allocation!$AA$1:$AA$175,Allocation!$C$1:$C$175,$C$11,Allocation!$D$1:$D$175,"PIGIER_BOR",Allocation!$F$1:$F$175,"BTS_GES",Allocation!$G$1:$G$175,"BTS2",Allocation!$H$1:$H$175,"ALT")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SUMIFS(Allocation!$I$1:$I$175,Allocation!$C$1:$C$175,$C$11,Allocation!$D$1:$D$175,"PIGIER_BOR",Allocation!$F$1:$F$175,"BAC_RH",Allocation!$G$1:$G$175,"B1",Allocation!$H$1:$H$175,"ALT")</f>
        <v>0</v>
      </c>
      <c r="D84" s="84">
        <f>SUMIFS(Allocation!$K$1:$K$175,Allocation!$C$1:$C$175,$C$11,Allocation!$D$1:$D$175,"PIGIER_BOR",Allocation!$F$1:$F$175,"BAC_RH",Allocation!$G$1:$G$175,"B1",Allocation!$H$1:$H$175,"ALT")</f>
        <v>0</v>
      </c>
      <c r="E84" s="84">
        <f>SUMIFS(Allocation!$V$1:$V$175,Allocation!$C$1:$C$175,$C$11,Allocation!$D$1:$D$175,"PIGIER_BOR",Allocation!$F$1:$F$175,"BAC_RH",Allocation!$G$1:$G$175,"B1",Allocation!$H$1:$H$175,"ALT")</f>
        <v>0</v>
      </c>
      <c r="F84" s="84">
        <f>SUMIFS(Allocation!$W$1:$W$175,Allocation!$C$1:$C$175,$C$11,Allocation!$D$1:$D$175,"PIGIER_BOR",Allocation!$F$1:$F$175,"BAC_RH",Allocation!$G$1:$G$175,"B1",Allocation!$H$1:$H$175,"ALT")</f>
        <v>0</v>
      </c>
      <c r="G84" s="84">
        <f>SUMIFS(Allocation!$X$1:$X$175,Allocation!$C$1:$C$175,$C$11,Allocation!$D$1:$D$175,"PIGIER_BOR",Allocation!$F$1:$F$175,"BAC_RH",Allocation!$G$1:$G$175,"B1",Allocation!$H$1:$H$175,"ALT")</f>
        <v>0</v>
      </c>
      <c r="H84" s="84">
        <f>SUMIFS(Allocation!$Y$1:$Y$175,Allocation!$C$1:$C$175,$C$11,Allocation!$D$1:$D$175,"PIGIER_BOR",Allocation!$F$1:$F$175,"BAC_RH",Allocation!$G$1:$G$175,"B1",Allocation!$H$1:$H$175,"ALT")</f>
        <v>0</v>
      </c>
      <c r="I84" s="84">
        <f>SUMIFS(Allocation!$AC$1:$AC$175,Allocation!$C$1:$C$175,$C$11,Allocation!$D$1:$D$175,"PIGIER_BOR",Allocation!$F$1:$F$175,"BAC_RH",Allocation!$G$1:$G$175,"B1",Allocation!$H$1:$H$175,"ALT")</f>
        <v>0</v>
      </c>
      <c r="J84" s="84">
        <f>SUMIFS(Allocation!$Z$1:$Z$175,Allocation!$C$1:$C$175,$C$11,Allocation!$D$1:$D$175,"PIGIER_BOR",Allocation!$F$1:$F$175,"BAC_RH",Allocation!$G$1:$G$175,"B1",Allocation!$H$1:$H$175,"ALT")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SUMIFS(Allocation!$AA$1:$AA$175,Allocation!$C$1:$C$175,$C$11,Allocation!$D$1:$D$175,"PIGIER_BOR",Allocation!$F$1:$F$175,"BAC_RH",Allocation!$G$1:$G$175,"B1",Allocation!$H$1:$H$175,"ALT")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SUMIFS(Allocation!$I$1:$I$175,Allocation!$C$1:$C$175,$C$11,Allocation!$D$1:$D$175,"PIGIER_BOR",Allocation!$F$1:$F$175,"BAC_RH",Allocation!$G$1:$G$175,"B3",Allocation!$H$1:$H$175,"ALT")</f>
        <v>0</v>
      </c>
      <c r="D85" s="84">
        <f>SUMIFS(Allocation!$K$1:$K$175,Allocation!$C$1:$C$175,$C$11,Allocation!$D$1:$D$175,"PIGIER_BOR",Allocation!$F$1:$F$175,"BAC_RH",Allocation!$G$1:$G$175,"B3",Allocation!$H$1:$H$175,"ALT")</f>
        <v>0</v>
      </c>
      <c r="E85" s="84">
        <f>SUMIFS(Allocation!$V$1:$V$175,Allocation!$C$1:$C$175,$C$11,Allocation!$D$1:$D$175,"PIGIER_BOR",Allocation!$F$1:$F$175,"BAC_RH",Allocation!$G$1:$G$175,"B3",Allocation!$H$1:$H$175,"ALT")</f>
        <v>0</v>
      </c>
      <c r="F85" s="84">
        <f>SUMIFS(Allocation!$W$1:$W$175,Allocation!$C$1:$C$175,$C$11,Allocation!$D$1:$D$175,"PIGIER_BOR",Allocation!$F$1:$F$175,"BAC_RH",Allocation!$G$1:$G$175,"B3",Allocation!$H$1:$H$175,"ALT")</f>
        <v>0</v>
      </c>
      <c r="G85" s="84">
        <f>SUMIFS(Allocation!$X$1:$X$175,Allocation!$C$1:$C$175,$C$11,Allocation!$D$1:$D$175,"PIGIER_BOR",Allocation!$F$1:$F$175,"BAC_RH",Allocation!$G$1:$G$175,"B3",Allocation!$H$1:$H$175,"ALT")</f>
        <v>0</v>
      </c>
      <c r="H85" s="84">
        <f>SUMIFS(Allocation!$Y$1:$Y$175,Allocation!$C$1:$C$175,$C$11,Allocation!$D$1:$D$175,"PIGIER_BOR",Allocation!$F$1:$F$175,"BAC_RH",Allocation!$G$1:$G$175,"B3",Allocation!$H$1:$H$175,"ALT")</f>
        <v>0</v>
      </c>
      <c r="I85" s="84">
        <f>SUMIFS(Allocation!$AC$1:$AC$175,Allocation!$C$1:$C$175,$C$11,Allocation!$D$1:$D$175,"PIGIER_BOR",Allocation!$F$1:$F$175,"BAC_RH",Allocation!$G$1:$G$175,"B3",Allocation!$H$1:$H$175,"ALT")</f>
        <v>0</v>
      </c>
      <c r="J85" s="84">
        <f>SUMIFS(Allocation!$Z$1:$Z$175,Allocation!$C$1:$C$175,$C$11,Allocation!$D$1:$D$175,"PIGIER_BOR",Allocation!$F$1:$F$175,"BAC_RH",Allocation!$G$1:$G$175,"B3",Allocation!$H$1:$H$175,"ALT")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SUMIFS(Allocation!$AA$1:$AA$175,Allocation!$C$1:$C$175,$C$11,Allocation!$D$1:$D$175,"PIGIER_BOR",Allocation!$F$1:$F$175,"BAC_RH",Allocation!$G$1:$G$175,"B3",Allocation!$H$1:$H$175,"ALT")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SUMIFS(Allocation!$I$1:$I$175,Allocation!$C$1:$C$175,$C$11,Allocation!$E$1:$E$175,"TUNON")</f>
        <v>0</v>
      </c>
      <c r="D86" s="123">
        <f>SUMIFS(Allocation!$K$1:$K$175,Allocation!$C$1:$C$175,$C$11,Allocation!$E$1:$E$175,"TUNON")</f>
        <v>0</v>
      </c>
      <c r="E86" s="123">
        <f>SUMIFS(Allocation!$V$1:$V$175,Allocation!$C$1:$C$175,$C$11,Allocation!$E$1:$E$175,"TUNON")</f>
        <v>0</v>
      </c>
      <c r="F86" s="123">
        <f>SUMIFS(Allocation!$W$1:$W$175,Allocation!$C$1:$C$175,$C$11,Allocation!$E$1:$E$175,"TUNON")</f>
        <v>0</v>
      </c>
      <c r="G86" s="123">
        <f>SUMIFS(Allocation!$X$1:$X$175,Allocation!$C$1:$C$175,$C$11,Allocation!$E$1:$E$175,"TUNON")</f>
        <v>0</v>
      </c>
      <c r="H86" s="123">
        <f>SUMIFS(Allocation!$Y$1:$Y$175,Allocation!$C$1:$C$175,$C$11,Allocation!$E$1:$E$175,"TUNON")</f>
        <v>0</v>
      </c>
      <c r="I86" s="123">
        <f>SUMIFS(Allocation!$AC$1:$AC$175,Allocation!$C$1:$C$175,$C$11,Allocation!$E$1:$E$175,"TUNON")</f>
        <v>0</v>
      </c>
      <c r="J86" s="123">
        <f>SUMIFS(Allocation!$Z$1:$Z$175,Allocation!$C$1:$C$175,$C$11,Allocation!$E$1:$E$175,"TUNON")</f>
        <v>0</v>
      </c>
      <c r="K86" s="123">
        <f t="shared" si="4"/>
        <v>0</v>
      </c>
      <c r="L86" s="130">
        <f>SUMIFS(Allocation!$AA$1:$AA$175,Allocation!$C$1:$C$175,$C$11,Allocation!$E$1:$E$175,"TUNON")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SUMIFS(Allocation!$I$1:$I$175,Allocation!$C$1:$C$175,$C$11,Allocation!$D$1:$D$175,"TUNON_PAR")</f>
        <v>0</v>
      </c>
      <c r="D87" s="123">
        <f>SUMIFS(Allocation!$K$1:$K$175,Allocation!$C$1:$C$175,$C$11,Allocation!$D$1:$D$175,"TUNON_PAR")</f>
        <v>0</v>
      </c>
      <c r="E87" s="123">
        <f>SUMIFS(Allocation!$V$1:$V$175,Allocation!$C$1:$C$175,$C$11,Allocation!$D$1:$D$175,"TUNON_PAR")</f>
        <v>0</v>
      </c>
      <c r="F87" s="123">
        <f>SUMIFS(Allocation!$W$1:$W$175,Allocation!$C$1:$C$175,$C$11,Allocation!$D$1:$D$175,"TUNON_PAR")</f>
        <v>0</v>
      </c>
      <c r="G87" s="123">
        <f>SUMIFS(Allocation!$X$1:$X$175,Allocation!$C$1:$C$175,$C$11,Allocation!$D$1:$D$175,"TUNON_PAR")</f>
        <v>0</v>
      </c>
      <c r="H87" s="123">
        <f>SUMIFS(Allocation!$Y$1:$Y$175,Allocation!$C$1:$C$175,$C$11,Allocation!$D$1:$D$175,"TUNON_PAR")</f>
        <v>0</v>
      </c>
      <c r="I87" s="123">
        <f>SUMIFS(Allocation!$AC$1:$AC$175,Allocation!$C$1:$C$175,$C$11,Allocation!$D$1:$D$175,"TUNON_PAR")</f>
        <v>0</v>
      </c>
      <c r="J87" s="123">
        <f>SUMIFS(Allocation!$Z$1:$Z$175,Allocation!$C$1:$C$175,$C$11,Allocation!$D$1:$D$175,"TUNON_PAR")</f>
        <v>0</v>
      </c>
      <c r="K87" s="123">
        <f t="shared" si="4"/>
        <v>0</v>
      </c>
      <c r="L87" s="130">
        <f>SUMIFS(Allocation!$AA$1:$AA$175,Allocation!$C$1:$C$175,$C$11,Allocation!$D$1:$D$175,"TUNON_PAR")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SUMIFS(Allocation!$I$1:$I$175,Allocation!$C$1:$C$175,$C$11,Allocation!$D$1:$D$175,"TUNON_PAR",Allocation!$F$1:$F$175,"BAC_TOU",Allocation!$G$1:$G$175,"B1",Allocation!$H$1:$H$175,"ALT")</f>
        <v>0</v>
      </c>
      <c r="D88" s="84">
        <f>SUMIFS(Allocation!$K$1:$K$175,Allocation!$C$1:$C$175,$C$11,Allocation!$D$1:$D$175,"TUNON_PAR",Allocation!$F$1:$F$175,"BAC_TOU",Allocation!$G$1:$G$175,"B1",Allocation!$H$1:$H$175,"ALT")</f>
        <v>0</v>
      </c>
      <c r="E88" s="84">
        <f>SUMIFS(Allocation!$V$1:$V$175,Allocation!$C$1:$C$175,$C$11,Allocation!$D$1:$D$175,"TUNON_PAR",Allocation!$F$1:$F$175,"BAC_TOU",Allocation!$G$1:$G$175,"B1",Allocation!$H$1:$H$175,"ALT")</f>
        <v>0</v>
      </c>
      <c r="F88" s="84">
        <f>SUMIFS(Allocation!$W$1:$W$175,Allocation!$C$1:$C$175,$C$11,Allocation!$D$1:$D$175,"TUNON_PAR",Allocation!$F$1:$F$175,"BAC_TOU",Allocation!$G$1:$G$175,"B1",Allocation!$H$1:$H$175,"ALT")</f>
        <v>0</v>
      </c>
      <c r="G88" s="84">
        <f>SUMIFS(Allocation!$X$1:$X$175,Allocation!$C$1:$C$175,$C$11,Allocation!$D$1:$D$175,"TUNON_PAR",Allocation!$F$1:$F$175,"BAC_TOU",Allocation!$G$1:$G$175,"B1",Allocation!$H$1:$H$175,"ALT")</f>
        <v>0</v>
      </c>
      <c r="H88" s="84">
        <f>SUMIFS(Allocation!$Y$1:$Y$175,Allocation!$C$1:$C$175,$C$11,Allocation!$D$1:$D$175,"TUNON_PAR",Allocation!$F$1:$F$175,"BAC_TOU",Allocation!$G$1:$G$175,"B1",Allocation!$H$1:$H$175,"ALT")</f>
        <v>0</v>
      </c>
      <c r="I88" s="84">
        <f>SUMIFS(Allocation!$AC$1:$AC$175,Allocation!$C$1:$C$175,$C$11,Allocation!$D$1:$D$175,"TUNON_PAR",Allocation!$F$1:$F$175,"BAC_TOU",Allocation!$G$1:$G$175,"B1",Allocation!$H$1:$H$175,"ALT")</f>
        <v>0</v>
      </c>
      <c r="J88" s="84">
        <f>SUMIFS(Allocation!$Z$1:$Z$175,Allocation!$C$1:$C$175,$C$11,Allocation!$D$1:$D$175,"TUNON_PAR",Allocation!$F$1:$F$175,"BAC_TOU",Allocation!$G$1:$G$175,"B1",Allocation!$H$1:$H$175,"ALT")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SUMIFS(Allocation!$AA$1:$AA$175,Allocation!$C$1:$C$175,$C$11,Allocation!$D$1:$D$175,"TUNON_PAR",Allocation!$F$1:$F$175,"BAC_TOU",Allocation!$G$1:$G$175,"B1",Allocation!$H$1:$H$175,"ALT")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SUMIFS(Allocation!$I$1:$I$175,Allocation!$C$1:$C$175,$C$11,Allocation!$D$1:$D$175,"TUNON_PAR",Allocation!$F$1:$F$175,"BAC_TOU",Allocation!$G$1:$G$175,"B2",Allocation!$H$1:$H$175,"ALT")</f>
        <v>0</v>
      </c>
      <c r="D89" s="84">
        <f>SUMIFS(Allocation!$K$1:$K$175,Allocation!$C$1:$C$175,$C$11,Allocation!$D$1:$D$175,"TUNON_PAR",Allocation!$F$1:$F$175,"BAC_TOU",Allocation!$G$1:$G$175,"B2",Allocation!$H$1:$H$175,"ALT")</f>
        <v>0</v>
      </c>
      <c r="E89" s="84">
        <f>SUMIFS(Allocation!$V$1:$V$175,Allocation!$C$1:$C$175,$C$11,Allocation!$D$1:$D$175,"TUNON_PAR",Allocation!$F$1:$F$175,"BAC_TOU",Allocation!$G$1:$G$175,"B2",Allocation!$H$1:$H$175,"ALT")</f>
        <v>0</v>
      </c>
      <c r="F89" s="84">
        <f>SUMIFS(Allocation!$W$1:$W$175,Allocation!$C$1:$C$175,$C$11,Allocation!$D$1:$D$175,"TUNON_PAR",Allocation!$F$1:$F$175,"BAC_TOU",Allocation!$G$1:$G$175,"B2",Allocation!$H$1:$H$175,"ALT")</f>
        <v>0</v>
      </c>
      <c r="G89" s="84">
        <f>SUMIFS(Allocation!$X$1:$X$175,Allocation!$C$1:$C$175,$C$11,Allocation!$D$1:$D$175,"TUNON_PAR",Allocation!$F$1:$F$175,"BAC_TOU",Allocation!$G$1:$G$175,"B2",Allocation!$H$1:$H$175,"ALT")</f>
        <v>0</v>
      </c>
      <c r="H89" s="84">
        <f>SUMIFS(Allocation!$Y$1:$Y$175,Allocation!$C$1:$C$175,$C$11,Allocation!$D$1:$D$175,"TUNON_PAR",Allocation!$F$1:$F$175,"BAC_TOU",Allocation!$G$1:$G$175,"B2",Allocation!$H$1:$H$175,"ALT")</f>
        <v>0</v>
      </c>
      <c r="I89" s="84">
        <f>SUMIFS(Allocation!$AC$1:$AC$175,Allocation!$C$1:$C$175,$C$11,Allocation!$D$1:$D$175,"TUNON_PAR",Allocation!$F$1:$F$175,"BAC_TOU",Allocation!$G$1:$G$175,"B2",Allocation!$H$1:$H$175,"ALT")</f>
        <v>0</v>
      </c>
      <c r="J89" s="84">
        <f>SUMIFS(Allocation!$Z$1:$Z$175,Allocation!$C$1:$C$175,$C$11,Allocation!$D$1:$D$175,"TUNON_PAR",Allocation!$F$1:$F$175,"BAC_TOU",Allocation!$G$1:$G$175,"B2",Allocation!$H$1:$H$175,"ALT")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SUMIFS(Allocation!$AA$1:$AA$175,Allocation!$C$1:$C$175,$C$11,Allocation!$D$1:$D$175,"TUNON_PAR",Allocation!$F$1:$F$175,"BAC_TOU",Allocation!$G$1:$G$175,"B2",Allocation!$H$1:$H$175,"ALT")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SUMIFS(Allocation!$I$1:$I$175,Allocation!$C$1:$C$175,$C$11,Allocation!$D$1:$D$175,"TUNON_PAR",Allocation!$F$1:$F$175,"BAC_TOU",Allocation!$G$1:$G$175,"B3",Allocation!$H$1:$H$175,"ALT")</f>
        <v>0</v>
      </c>
      <c r="D90" s="84">
        <f>SUMIFS(Allocation!$K$1:$K$175,Allocation!$C$1:$C$175,$C$11,Allocation!$D$1:$D$175,"TUNON_PAR",Allocation!$F$1:$F$175,"BAC_TOU",Allocation!$G$1:$G$175,"B3",Allocation!$H$1:$H$175,"ALT")</f>
        <v>0</v>
      </c>
      <c r="E90" s="84">
        <f>SUMIFS(Allocation!$V$1:$V$175,Allocation!$C$1:$C$175,$C$11,Allocation!$D$1:$D$175,"TUNON_PAR",Allocation!$F$1:$F$175,"BAC_TOU",Allocation!$G$1:$G$175,"B3",Allocation!$H$1:$H$175,"ALT")</f>
        <v>0</v>
      </c>
      <c r="F90" s="84">
        <f>SUMIFS(Allocation!$W$1:$W$175,Allocation!$C$1:$C$175,$C$11,Allocation!$D$1:$D$175,"TUNON_PAR",Allocation!$F$1:$F$175,"BAC_TOU",Allocation!$G$1:$G$175,"B3",Allocation!$H$1:$H$175,"ALT")</f>
        <v>0</v>
      </c>
      <c r="G90" s="84">
        <f>SUMIFS(Allocation!$X$1:$X$175,Allocation!$C$1:$C$175,$C$11,Allocation!$D$1:$D$175,"TUNON_PAR",Allocation!$F$1:$F$175,"BAC_TOU",Allocation!$G$1:$G$175,"B3",Allocation!$H$1:$H$175,"ALT")</f>
        <v>0</v>
      </c>
      <c r="H90" s="84">
        <f>SUMIFS(Allocation!$Y$1:$Y$175,Allocation!$C$1:$C$175,$C$11,Allocation!$D$1:$D$175,"TUNON_PAR",Allocation!$F$1:$F$175,"BAC_TOU",Allocation!$G$1:$G$175,"B3",Allocation!$H$1:$H$175,"ALT")</f>
        <v>0</v>
      </c>
      <c r="I90" s="84">
        <f>SUMIFS(Allocation!$AC$1:$AC$175,Allocation!$C$1:$C$175,$C$11,Allocation!$D$1:$D$175,"TUNON_PAR",Allocation!$F$1:$F$175,"BAC_TOU",Allocation!$G$1:$G$175,"B3",Allocation!$H$1:$H$175,"ALT")</f>
        <v>0</v>
      </c>
      <c r="J90" s="84">
        <f>SUMIFS(Allocation!$Z$1:$Z$175,Allocation!$C$1:$C$175,$C$11,Allocation!$D$1:$D$175,"TUNON_PAR",Allocation!$F$1:$F$175,"BAC_TOU",Allocation!$G$1:$G$175,"B3",Allocation!$H$1:$H$175,"ALT")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SUMIFS(Allocation!$AA$1:$AA$175,Allocation!$C$1:$C$175,$C$11,Allocation!$D$1:$D$175,"TUNON_PAR",Allocation!$F$1:$F$175,"BAC_TOU",Allocation!$G$1:$G$175,"B3",Allocation!$H$1:$H$175,"ALT")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x14ac:dyDescent="0.45">
      <c r="B91" s="36" t="s">
        <v>182</v>
      </c>
      <c r="C91" s="122">
        <f>SUMIFS(Allocation!$I$1:$I$175,Allocation!$C$1:$C$175,$C$11,Allocation!$D$1:$D$175,"TUNON_LYO")</f>
        <v>0</v>
      </c>
      <c r="D91" s="123">
        <f>SUMIFS(Allocation!$K$1:$K$175,Allocation!$C$1:$C$175,$C$11,Allocation!$D$1:$D$175,"TUNON_LYO")</f>
        <v>0</v>
      </c>
      <c r="E91" s="123">
        <f>SUMIFS(Allocation!$V$1:$V$175,Allocation!$C$1:$C$175,$C$11,Allocation!$D$1:$D$175,"TUNON_LYO")</f>
        <v>0</v>
      </c>
      <c r="F91" s="123">
        <f>SUMIFS(Allocation!$W$1:$W$175,Allocation!$C$1:$C$175,$C$11,Allocation!$D$1:$D$175,"TUNON_LYO")</f>
        <v>0</v>
      </c>
      <c r="G91" s="123">
        <f>SUMIFS(Allocation!$X$1:$X$175,Allocation!$C$1:$C$175,$C$11,Allocation!$D$1:$D$175,"TUNON_LYO")</f>
        <v>0</v>
      </c>
      <c r="H91" s="123">
        <f>SUMIFS(Allocation!$Y$1:$Y$175,Allocation!$C$1:$C$175,$C$11,Allocation!$D$1:$D$175,"TUNON_LYO")</f>
        <v>0</v>
      </c>
      <c r="I91" s="123">
        <f>SUMIFS(Allocation!$AC$1:$AC$175,Allocation!$C$1:$C$175,$C$11,Allocation!$D$1:$D$175,"TUNON_LYO")</f>
        <v>0</v>
      </c>
      <c r="J91" s="123">
        <f>SUMIFS(Allocation!$Z$1:$Z$175,Allocation!$C$1:$C$175,$C$11,Allocation!$D$1:$D$175,"TUNON_LYO")</f>
        <v>0</v>
      </c>
      <c r="K91" s="123">
        <f t="shared" si="4"/>
        <v>0</v>
      </c>
      <c r="L91" s="130">
        <f>SUMIFS(Allocation!$AA$1:$AA$175,Allocation!$C$1:$C$175,$C$11,Allocation!$D$1:$D$175,"TUNON_LYO")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SUMIFS(Allocation!$I$1:$I$175,Allocation!$C$1:$C$175,$C$11,Allocation!$D$1:$D$175,"TUNON_LYO",Allocation!$F$1:$F$175,"BAC_TOU",Allocation!$G$1:$G$175,"B1",Allocation!$H$1:$H$175,"ALT")</f>
        <v>0</v>
      </c>
      <c r="D92" s="84">
        <f>SUMIFS(Allocation!$K$1:$K$175,Allocation!$C$1:$C$175,$C$11,Allocation!$D$1:$D$175,"TUNON_LYO",Allocation!$F$1:$F$175,"BAC_TOU",Allocation!$G$1:$G$175,"B1",Allocation!$H$1:$H$175,"ALT")</f>
        <v>0</v>
      </c>
      <c r="E92" s="84">
        <f>SUMIFS(Allocation!$V$1:$V$175,Allocation!$C$1:$C$175,$C$11,Allocation!$D$1:$D$175,"TUNON_LYO",Allocation!$F$1:$F$175,"BAC_TOU",Allocation!$G$1:$G$175,"B1",Allocation!$H$1:$H$175,"ALT")</f>
        <v>0</v>
      </c>
      <c r="F92" s="84">
        <f>SUMIFS(Allocation!$W$1:$W$175,Allocation!$C$1:$C$175,$C$11,Allocation!$D$1:$D$175,"TUNON_LYO",Allocation!$F$1:$F$175,"BAC_TOU",Allocation!$G$1:$G$175,"B1",Allocation!$H$1:$H$175,"ALT")</f>
        <v>0</v>
      </c>
      <c r="G92" s="84">
        <f>SUMIFS(Allocation!$X$1:$X$175,Allocation!$C$1:$C$175,$C$11,Allocation!$D$1:$D$175,"TUNON_LYO",Allocation!$F$1:$F$175,"BAC_TOU",Allocation!$G$1:$G$175,"B1",Allocation!$H$1:$H$175,"ALT")</f>
        <v>0</v>
      </c>
      <c r="H92" s="84">
        <f>SUMIFS(Allocation!$Y$1:$Y$175,Allocation!$C$1:$C$175,$C$11,Allocation!$D$1:$D$175,"TUNON_LYO",Allocation!$F$1:$F$175,"BAC_TOU",Allocation!$G$1:$G$175,"B1",Allocation!$H$1:$H$175,"ALT")</f>
        <v>0</v>
      </c>
      <c r="I92" s="84">
        <f>SUMIFS(Allocation!$AC$1:$AC$175,Allocation!$C$1:$C$175,$C$11,Allocation!$D$1:$D$175,"TUNON_LYO",Allocation!$F$1:$F$175,"BAC_TOU",Allocation!$G$1:$G$175,"B1",Allocation!$H$1:$H$175,"ALT")</f>
        <v>0</v>
      </c>
      <c r="J92" s="84">
        <f>SUMIFS(Allocation!$Z$1:$Z$175,Allocation!$C$1:$C$175,$C$11,Allocation!$D$1:$D$175,"TUNON_LYO",Allocation!$F$1:$F$175,"BAC_TOU",Allocation!$G$1:$G$175,"B1",Allocation!$H$1:$H$175,"ALT")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SUMIFS(Allocation!$AA$1:$AA$175,Allocation!$C$1:$C$175,$C$11,Allocation!$D$1:$D$175,"TUNON_LYO",Allocation!$F$1:$F$175,"BAC_TOU",Allocation!$G$1:$G$175,"B1",Allocation!$H$1:$H$175,"ALT")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SUMIFS(Allocation!$I$1:$I$175,Allocation!$C$1:$C$175,$C$11,Allocation!$D$1:$D$175,"TUNON_LYO",Allocation!$F$1:$F$175,"BAC_TOU",Allocation!$G$1:$G$175,"B2",Allocation!$H$1:$H$175,"ALT")</f>
        <v>0</v>
      </c>
      <c r="D93" s="84">
        <f>SUMIFS(Allocation!$K$1:$K$175,Allocation!$C$1:$C$175,$C$11,Allocation!$D$1:$D$175,"TUNON_LYO",Allocation!$F$1:$F$175,"BAC_TOU",Allocation!$G$1:$G$175,"B2",Allocation!$H$1:$H$175,"ALT")</f>
        <v>0</v>
      </c>
      <c r="E93" s="84">
        <f>SUMIFS(Allocation!$V$1:$V$175,Allocation!$C$1:$C$175,$C$11,Allocation!$D$1:$D$175,"TUNON_LYO",Allocation!$F$1:$F$175,"BAC_TOU",Allocation!$G$1:$G$175,"B2",Allocation!$H$1:$H$175,"ALT")</f>
        <v>0</v>
      </c>
      <c r="F93" s="84">
        <f>SUMIFS(Allocation!$W$1:$W$175,Allocation!$C$1:$C$175,$C$11,Allocation!$D$1:$D$175,"TUNON_LYO",Allocation!$F$1:$F$175,"BAC_TOU",Allocation!$G$1:$G$175,"B2",Allocation!$H$1:$H$175,"ALT")</f>
        <v>0</v>
      </c>
      <c r="G93" s="84">
        <f>SUMIFS(Allocation!$X$1:$X$175,Allocation!$C$1:$C$175,$C$11,Allocation!$D$1:$D$175,"TUNON_LYO",Allocation!$F$1:$F$175,"BAC_TOU",Allocation!$G$1:$G$175,"B2",Allocation!$H$1:$H$175,"ALT")</f>
        <v>0</v>
      </c>
      <c r="H93" s="84">
        <f>SUMIFS(Allocation!$Y$1:$Y$175,Allocation!$C$1:$C$175,$C$11,Allocation!$D$1:$D$175,"TUNON_LYO",Allocation!$F$1:$F$175,"BAC_TOU",Allocation!$G$1:$G$175,"B2",Allocation!$H$1:$H$175,"ALT")</f>
        <v>0</v>
      </c>
      <c r="I93" s="84">
        <f>SUMIFS(Allocation!$AC$1:$AC$175,Allocation!$C$1:$C$175,$C$11,Allocation!$D$1:$D$175,"TUNON_LYO",Allocation!$F$1:$F$175,"BAC_TOU",Allocation!$G$1:$G$175,"B2",Allocation!$H$1:$H$175,"ALT")</f>
        <v>0</v>
      </c>
      <c r="J93" s="84">
        <f>SUMIFS(Allocation!$Z$1:$Z$175,Allocation!$C$1:$C$175,$C$11,Allocation!$D$1:$D$175,"TUNON_LYO",Allocation!$F$1:$F$175,"BAC_TOU",Allocation!$G$1:$G$175,"B2",Allocation!$H$1:$H$175,"ALT")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SUMIFS(Allocation!$AA$1:$AA$175,Allocation!$C$1:$C$175,$C$11,Allocation!$D$1:$D$175,"TUNON_LYO",Allocation!$F$1:$F$175,"BAC_TOU",Allocation!$G$1:$G$175,"B2",Allocation!$H$1:$H$175,"ALT")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SUMIFS(Allocation!$I$1:$I$175,Allocation!$C$1:$C$175,$C$11,Allocation!$D$1:$D$175,"TUNON_LYO",Allocation!$F$1:$F$175,"BAC_TOU",Allocation!$G$1:$G$175,"B3",Allocation!$H$1:$H$175,"ALT")</f>
        <v>0</v>
      </c>
      <c r="D94" s="84">
        <f>SUMIFS(Allocation!$K$1:$K$175,Allocation!$C$1:$C$175,$C$11,Allocation!$D$1:$D$175,"TUNON_LYO",Allocation!$F$1:$F$175,"BAC_TOU",Allocation!$G$1:$G$175,"B3",Allocation!$H$1:$H$175,"ALT")</f>
        <v>0</v>
      </c>
      <c r="E94" s="84">
        <f>SUMIFS(Allocation!$V$1:$V$175,Allocation!$C$1:$C$175,$C$11,Allocation!$D$1:$D$175,"TUNON_LYO",Allocation!$F$1:$F$175,"BAC_TOU",Allocation!$G$1:$G$175,"B3",Allocation!$H$1:$H$175,"ALT")</f>
        <v>0</v>
      </c>
      <c r="F94" s="84">
        <f>SUMIFS(Allocation!$W$1:$W$175,Allocation!$C$1:$C$175,$C$11,Allocation!$D$1:$D$175,"TUNON_LYO",Allocation!$F$1:$F$175,"BAC_TOU",Allocation!$G$1:$G$175,"B3",Allocation!$H$1:$H$175,"ALT")</f>
        <v>0</v>
      </c>
      <c r="G94" s="84">
        <f>SUMIFS(Allocation!$X$1:$X$175,Allocation!$C$1:$C$175,$C$11,Allocation!$D$1:$D$175,"TUNON_LYO",Allocation!$F$1:$F$175,"BAC_TOU",Allocation!$G$1:$G$175,"B3",Allocation!$H$1:$H$175,"ALT")</f>
        <v>0</v>
      </c>
      <c r="H94" s="84">
        <f>SUMIFS(Allocation!$Y$1:$Y$175,Allocation!$C$1:$C$175,$C$11,Allocation!$D$1:$D$175,"TUNON_LYO",Allocation!$F$1:$F$175,"BAC_TOU",Allocation!$G$1:$G$175,"B3",Allocation!$H$1:$H$175,"ALT")</f>
        <v>0</v>
      </c>
      <c r="I94" s="84">
        <f>SUMIFS(Allocation!$AC$1:$AC$175,Allocation!$C$1:$C$175,$C$11,Allocation!$D$1:$D$175,"TUNON_LYO",Allocation!$F$1:$F$175,"BAC_TOU",Allocation!$G$1:$G$175,"B3",Allocation!$H$1:$H$175,"ALT")</f>
        <v>0</v>
      </c>
      <c r="J94" s="84">
        <f>SUMIFS(Allocation!$Z$1:$Z$175,Allocation!$C$1:$C$175,$C$11,Allocation!$D$1:$D$175,"TUNON_LYO",Allocation!$F$1:$F$175,"BAC_TOU",Allocation!$G$1:$G$175,"B3",Allocation!$H$1:$H$175,"ALT")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SUMIFS(Allocation!$AA$1:$AA$175,Allocation!$C$1:$C$175,$C$11,Allocation!$D$1:$D$175,"TUNON_LYO",Allocation!$F$1:$F$175,"BAC_TOU",Allocation!$G$1:$G$175,"B3",Allocation!$H$1:$H$175,"ALT")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SUMIFS(Allocation!$I$1:$I$175,Allocation!$C$1:$C$175,$C$11)</f>
        <v>0</v>
      </c>
      <c r="D95" s="123">
        <f>SUMIFS(Allocation!$K$1:$K$175,Allocation!$C$1:$C$175,$C$11)</f>
        <v>0</v>
      </c>
      <c r="E95" s="123">
        <f>SUMIFS(Allocation!$V$1:$V$175,Allocation!$C$1:$C$175,$C$11)</f>
        <v>0</v>
      </c>
      <c r="F95" s="123">
        <f>SUMIFS(Allocation!$W$1:$W$175,Allocation!$C$1:$C$175,$C$11)</f>
        <v>0</v>
      </c>
      <c r="G95" s="123">
        <f>SUMIFS(Allocation!$X$1:$X$175,Allocation!$C$1:$C$175,$C$11)</f>
        <v>0</v>
      </c>
      <c r="H95" s="123">
        <f>SUMIFS(Allocation!$Y$1:$Y$175,Allocation!$C$1:$C$175,$C$11)</f>
        <v>0</v>
      </c>
      <c r="I95" s="123">
        <f>SUMIFS(Allocation!$AC$1:$AC$175,Allocation!$C$1:$C$175,$C$11)</f>
        <v>0</v>
      </c>
      <c r="J95" s="123">
        <f>SUMIFS(Allocation!$Z$1:$Z$175,Allocation!$C$1:$C$175,$C$11)</f>
        <v>0</v>
      </c>
      <c r="K95" s="123">
        <f t="shared" si="4"/>
        <v>0</v>
      </c>
      <c r="L95" s="123">
        <f>SUMIFS(Allocation!$AA$1:$AA$175,Allocation!$C$1:$C$175,$C$11)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>
      <selection activeCell="T2" sqref="T2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  <v>-0.05</v>
      </c>
      <c r="W2">
        <f>IF($A2="","",IF($B2="V01",cad!$C$24,IF($B2="V02",cad!$D$24,cad!$E$24)))</f>
        <v>-0.05</v>
      </c>
      <c r="X2">
        <f>IF($A2="","",IF($B2="V01",cad!$C$25,IF($B2="V02",cad!$D$25,cad!$E$25)))</f>
        <v>0.02</v>
      </c>
      <c r="Y2">
        <f>IF($A2="","",IF($B2="V01",cad!$C$26,IF($B2="V02",cad!$D$26,cad!$E$26)))</f>
        <v>0</v>
      </c>
      <c r="Z2">
        <f>IF($A2="","",IF($B2="V01",cad!$C$27,IF($B2="V02",cad!$D$27,cad!$E$27)))</f>
        <v>0</v>
      </c>
      <c r="AA2">
        <f>IF($A2="","",IF($B2="V01",cad!$C$28,IF($B2="V02",cad!$D$28,cad!$E$28)))</f>
        <v>-0.01</v>
      </c>
      <c r="AB2">
        <f>IF($A2="","",IF($B2="V01",cad!$C$39,IF($B2="V02",cad!$D$39,cad!$E$39)))</f>
        <v>90</v>
      </c>
      <c r="AC2">
        <f>IF($A2="","",IF($F2="MBWAY",cad!$J$12,IF($F2="ISCOM",cad!$J$13,IF($F2="IPAC",cad!$J$14,IF($F2="PIGIER",cad!$J$15,cad!$J$16)))))</f>
        <v>1.05</v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 t="str">
        <f>IF($A3="","",IF($B3="V01",cad!$C$23,IF($B3="V02",cad!$D$23,cad!$E$23)))</f>
        <v/>
      </c>
      <c r="W3" t="str">
        <f>IF($A3="","",IF($B3="V01",cad!$C$24,IF($B3="V02",cad!$D$24,cad!$E$24)))</f>
        <v/>
      </c>
      <c r="X3" t="str">
        <f>IF($A3="","",IF($B3="V01",cad!$C$25,IF($B3="V02",cad!$D$25,cad!$E$25)))</f>
        <v/>
      </c>
      <c r="Y3" t="str">
        <f>IF($A3="","",IF($B3="V01",cad!$C$26,IF($B3="V02",cad!$D$26,cad!$E$26)))</f>
        <v/>
      </c>
      <c r="Z3" t="str">
        <f>IF($A3="","",IF($B3="V01",cad!$C$27,IF($B3="V02",cad!$D$27,cad!$E$27)))</f>
        <v/>
      </c>
      <c r="AA3" t="str">
        <f>IF($A3="","",IF($B3="V01",cad!$C$28,IF($B3="V02",cad!$D$28,cad!$E$28)))</f>
        <v/>
      </c>
      <c r="AB3" t="str">
        <f>IF($A3="","",IF($B3="V01",cad!$C$39,IF($B3="V02",cad!$D$39,cad!$E$39)))</f>
        <v/>
      </c>
      <c r="AC3" t="str">
        <f>IF($A3="","",IF($F3="MBWAY",cad!$J$12,IF($F3="ISCOM",cad!$J$13,IF($F3="IPAC",cad!$J$14,IF($F3="PIGIER",cad!$J$15,cad!$J$16)))))</f>
        <v/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 t="str">
        <f>IF($A4="","",IF($B4="V01",cad!$C$23,IF($B4="V02",cad!$D$23,cad!$E$23)))</f>
        <v/>
      </c>
      <c r="W4" t="str">
        <f>IF($A4="","",IF($B4="V01",cad!$C$24,IF($B4="V02",cad!$D$24,cad!$E$24)))</f>
        <v/>
      </c>
      <c r="X4" t="str">
        <f>IF($A4="","",IF($B4="V01",cad!$C$25,IF($B4="V02",cad!$D$25,cad!$E$25)))</f>
        <v/>
      </c>
      <c r="Y4" t="str">
        <f>IF($A4="","",IF($B4="V01",cad!$C$26,IF($B4="V02",cad!$D$26,cad!$E$26)))</f>
        <v/>
      </c>
      <c r="Z4" t="str">
        <f>IF($A4="","",IF($B4="V01",cad!$C$27,IF($B4="V02",cad!$D$27,cad!$E$27)))</f>
        <v/>
      </c>
      <c r="AA4" t="str">
        <f>IF($A4="","",IF($B4="V01",cad!$C$28,IF($B4="V02",cad!$D$28,cad!$E$28)))</f>
        <v/>
      </c>
      <c r="AB4" t="str">
        <f>IF($A4="","",IF($B4="V01",cad!$C$39,IF($B4="V02",cad!$D$39,cad!$E$39)))</f>
        <v/>
      </c>
      <c r="AC4" t="str">
        <f>IF($A4="","",IF($F4="MBWAY",cad!$J$12,IF($F4="ISCOM",cad!$J$13,IF($F4="IPAC",cad!$J$14,IF($F4="PIGIER",cad!$J$15,cad!$J$16)))))</f>
        <v/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 t="str">
        <f>IF($A5="","",IF($B5="V01",cad!$C$23,IF($B5="V02",cad!$D$23,cad!$E$23)))</f>
        <v/>
      </c>
      <c r="W5" t="str">
        <f>IF($A5="","",IF($B5="V01",cad!$C$24,IF($B5="V02",cad!$D$24,cad!$E$24)))</f>
        <v/>
      </c>
      <c r="X5" t="str">
        <f>IF($A5="","",IF($B5="V01",cad!$C$25,IF($B5="V02",cad!$D$25,cad!$E$25)))</f>
        <v/>
      </c>
      <c r="Y5" t="str">
        <f>IF($A5="","",IF($B5="V01",cad!$C$26,IF($B5="V02",cad!$D$26,cad!$E$26)))</f>
        <v/>
      </c>
      <c r="Z5" t="str">
        <f>IF($A5="","",IF($B5="V01",cad!$C$27,IF($B5="V02",cad!$D$27,cad!$E$27)))</f>
        <v/>
      </c>
      <c r="AA5" t="str">
        <f>IF($A5="","",IF($B5="V01",cad!$C$28,IF($B5="V02",cad!$D$28,cad!$E$28)))</f>
        <v/>
      </c>
      <c r="AB5" t="str">
        <f>IF($A5="","",IF($B5="V01",cad!$C$39,IF($B5="V02",cad!$D$39,cad!$E$39)))</f>
        <v/>
      </c>
      <c r="AC5" t="str">
        <f>IF($A5="","",IF($F5="MBWAY",cad!$J$12,IF($F5="ISCOM",cad!$J$13,IF($F5="IPAC",cad!$J$14,IF($F5="PIGIER",cad!$J$15,cad!$J$16)))))</f>
        <v/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 t="str">
        <f>IF($A6="","",IF($B6="V01",cad!$C$23,IF($B6="V02",cad!$D$23,cad!$E$23)))</f>
        <v/>
      </c>
      <c r="W6" t="str">
        <f>IF($A6="","",IF($B6="V01",cad!$C$24,IF($B6="V02",cad!$D$24,cad!$E$24)))</f>
        <v/>
      </c>
      <c r="X6" t="str">
        <f>IF($A6="","",IF($B6="V01",cad!$C$25,IF($B6="V02",cad!$D$25,cad!$E$25)))</f>
        <v/>
      </c>
      <c r="Y6" t="str">
        <f>IF($A6="","",IF($B6="V01",cad!$C$26,IF($B6="V02",cad!$D$26,cad!$E$26)))</f>
        <v/>
      </c>
      <c r="Z6" t="str">
        <f>IF($A6="","",IF($B6="V01",cad!$C$27,IF($B6="V02",cad!$D$27,cad!$E$27)))</f>
        <v/>
      </c>
      <c r="AA6" t="str">
        <f>IF($A6="","",IF($B6="V01",cad!$C$28,IF($B6="V02",cad!$D$28,cad!$E$28)))</f>
        <v/>
      </c>
      <c r="AB6" t="str">
        <f>IF($A6="","",IF($B6="V01",cad!$C$39,IF($B6="V02",cad!$D$39,cad!$E$39)))</f>
        <v/>
      </c>
      <c r="AC6" t="str">
        <f>IF($A6="","",IF($F6="MBWAY",cad!$J$12,IF($F6="ISCOM",cad!$J$13,IF($F6="IPAC",cad!$J$14,IF($F6="PIGIER",cad!$J$15,cad!$J$16)))))</f>
        <v/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 t="str">
        <f>IF($A7="","",IF($B7="V01",cad!$C$23,IF($B7="V02",cad!$D$23,cad!$E$23)))</f>
        <v/>
      </c>
      <c r="W7" t="str">
        <f>IF($A7="","",IF($B7="V01",cad!$C$24,IF($B7="V02",cad!$D$24,cad!$E$24)))</f>
        <v/>
      </c>
      <c r="X7" t="str">
        <f>IF($A7="","",IF($B7="V01",cad!$C$25,IF($B7="V02",cad!$D$25,cad!$E$25)))</f>
        <v/>
      </c>
      <c r="Y7" t="str">
        <f>IF($A7="","",IF($B7="V01",cad!$C$26,IF($B7="V02",cad!$D$26,cad!$E$26)))</f>
        <v/>
      </c>
      <c r="Z7" t="str">
        <f>IF($A7="","",IF($B7="V01",cad!$C$27,IF($B7="V02",cad!$D$27,cad!$E$27)))</f>
        <v/>
      </c>
      <c r="AA7" t="str">
        <f>IF($A7="","",IF($B7="V01",cad!$C$28,IF($B7="V02",cad!$D$28,cad!$E$28)))</f>
        <v/>
      </c>
      <c r="AB7" t="str">
        <f>IF($A7="","",IF($B7="V01",cad!$C$39,IF($B7="V02",cad!$D$39,cad!$E$39)))</f>
        <v/>
      </c>
      <c r="AC7" t="str">
        <f>IF($A7="","",IF($F7="MBWAY",cad!$J$12,IF($F7="ISCOM",cad!$J$13,IF($F7="IPAC",cad!$J$14,IF($F7="PIGIER",cad!$J$15,cad!$J$16)))))</f>
        <v/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 t="str">
        <f>IF($A8="","",IF($B8="V01",cad!$C$23,IF($B8="V02",cad!$D$23,cad!$E$23)))</f>
        <v/>
      </c>
      <c r="W8" t="str">
        <f>IF($A8="","",IF($B8="V01",cad!$C$24,IF($B8="V02",cad!$D$24,cad!$E$24)))</f>
        <v/>
      </c>
      <c r="X8" t="str">
        <f>IF($A8="","",IF($B8="V01",cad!$C$25,IF($B8="V02",cad!$D$25,cad!$E$25)))</f>
        <v/>
      </c>
      <c r="Y8" t="str">
        <f>IF($A8="","",IF($B8="V01",cad!$C$26,IF($B8="V02",cad!$D$26,cad!$E$26)))</f>
        <v/>
      </c>
      <c r="Z8" t="str">
        <f>IF($A8="","",IF($B8="V01",cad!$C$27,IF($B8="V02",cad!$D$27,cad!$E$27)))</f>
        <v/>
      </c>
      <c r="AA8" t="str">
        <f>IF($A8="","",IF($B8="V01",cad!$C$28,IF($B8="V02",cad!$D$28,cad!$E$28)))</f>
        <v/>
      </c>
      <c r="AB8" t="str">
        <f>IF($A8="","",IF($B8="V01",cad!$C$39,IF($B8="V02",cad!$D$39,cad!$E$39)))</f>
        <v/>
      </c>
      <c r="AC8" t="str">
        <f>IF($A8="","",IF($F8="MBWAY",cad!$J$12,IF($F8="ISCOM",cad!$J$13,IF($F8="IPAC",cad!$J$14,IF($F8="PIGIER",cad!$J$15,cad!$J$16)))))</f>
        <v/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 t="str">
        <f>IF($A9="","",IF($B9="V01",cad!$C$23,IF($B9="V02",cad!$D$23,cad!$E$23)))</f>
        <v/>
      </c>
      <c r="W9" t="str">
        <f>IF($A9="","",IF($B9="V01",cad!$C$24,IF($B9="V02",cad!$D$24,cad!$E$24)))</f>
        <v/>
      </c>
      <c r="X9" t="str">
        <f>IF($A9="","",IF($B9="V01",cad!$C$25,IF($B9="V02",cad!$D$25,cad!$E$25)))</f>
        <v/>
      </c>
      <c r="Y9" t="str">
        <f>IF($A9="","",IF($B9="V01",cad!$C$26,IF($B9="V02",cad!$D$26,cad!$E$26)))</f>
        <v/>
      </c>
      <c r="Z9" t="str">
        <f>IF($A9="","",IF($B9="V01",cad!$C$27,IF($B9="V02",cad!$D$27,cad!$E$27)))</f>
        <v/>
      </c>
      <c r="AA9" t="str">
        <f>IF($A9="","",IF($B9="V01",cad!$C$28,IF($B9="V02",cad!$D$28,cad!$E$28)))</f>
        <v/>
      </c>
      <c r="AB9" t="str">
        <f>IF($A9="","",IF($B9="V01",cad!$C$39,IF($B9="V02",cad!$D$39,cad!$E$39)))</f>
        <v/>
      </c>
      <c r="AC9" t="str">
        <f>IF($A9="","",IF($F9="MBWAY",cad!$J$12,IF($F9="ISCOM",cad!$J$13,IF($F9="IPAC",cad!$J$14,IF($F9="PIGIER",cad!$J$15,cad!$J$16)))))</f>
        <v/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 t="str">
        <f>IF($A10="","",IF($B10="V01",cad!$C$23,IF($B10="V02",cad!$D$23,cad!$E$23)))</f>
        <v/>
      </c>
      <c r="W10" t="str">
        <f>IF($A10="","",IF($B10="V01",cad!$C$24,IF($B10="V02",cad!$D$24,cad!$E$24)))</f>
        <v/>
      </c>
      <c r="X10" t="str">
        <f>IF($A10="","",IF($B10="V01",cad!$C$25,IF($B10="V02",cad!$D$25,cad!$E$25)))</f>
        <v/>
      </c>
      <c r="Y10" t="str">
        <f>IF($A10="","",IF($B10="V01",cad!$C$26,IF($B10="V02",cad!$D$26,cad!$E$26)))</f>
        <v/>
      </c>
      <c r="Z10" t="str">
        <f>IF($A10="","",IF($B10="V01",cad!$C$27,IF($B10="V02",cad!$D$27,cad!$E$27)))</f>
        <v/>
      </c>
      <c r="AA10" t="str">
        <f>IF($A10="","",IF($B10="V01",cad!$C$28,IF($B10="V02",cad!$D$28,cad!$E$28)))</f>
        <v/>
      </c>
      <c r="AB10" t="str">
        <f>IF($A10="","",IF($B10="V01",cad!$C$39,IF($B10="V02",cad!$D$39,cad!$E$39)))</f>
        <v/>
      </c>
      <c r="AC10" t="str">
        <f>IF($A10="","",IF($F10="MBWAY",cad!$J$12,IF($F10="ISCOM",cad!$J$13,IF($F10="IPAC",cad!$J$14,IF($F10="PIGIER",cad!$J$15,cad!$J$16)))))</f>
        <v/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 t="str">
        <f>IF($A11="","",IF($B11="V01",cad!$C$23,IF($B11="V02",cad!$D$23,cad!$E$23)))</f>
        <v/>
      </c>
      <c r="W11" t="str">
        <f>IF($A11="","",IF($B11="V01",cad!$C$24,IF($B11="V02",cad!$D$24,cad!$E$24)))</f>
        <v/>
      </c>
      <c r="X11" t="str">
        <f>IF($A11="","",IF($B11="V01",cad!$C$25,IF($B11="V02",cad!$D$25,cad!$E$25)))</f>
        <v/>
      </c>
      <c r="Y11" t="str">
        <f>IF($A11="","",IF($B11="V01",cad!$C$26,IF($B11="V02",cad!$D$26,cad!$E$26)))</f>
        <v/>
      </c>
      <c r="Z11" t="str">
        <f>IF($A11="","",IF($B11="V01",cad!$C$27,IF($B11="V02",cad!$D$27,cad!$E$27)))</f>
        <v/>
      </c>
      <c r="AA11" t="str">
        <f>IF($A11="","",IF($B11="V01",cad!$C$28,IF($B11="V02",cad!$D$28,cad!$E$28)))</f>
        <v/>
      </c>
      <c r="AB11" t="str">
        <f>IF($A11="","",IF($B11="V01",cad!$C$39,IF($B11="V02",cad!$D$39,cad!$E$39)))</f>
        <v/>
      </c>
      <c r="AC11" t="str">
        <f>IF($A11="","",IF($F11="MBWAY",cad!$J$12,IF($F11="ISCOM",cad!$J$13,IF($F11="IPAC",cad!$J$14,IF($F11="PIGIER",cad!$J$15,cad!$J$16)))))</f>
        <v/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 t="str">
        <f>IF($A12="","",IF($B12="V01",cad!$C$23,IF($B12="V02",cad!$D$23,cad!$E$23)))</f>
        <v/>
      </c>
      <c r="W12" t="str">
        <f>IF($A12="","",IF($B12="V01",cad!$C$24,IF($B12="V02",cad!$D$24,cad!$E$24)))</f>
        <v/>
      </c>
      <c r="X12" t="str">
        <f>IF($A12="","",IF($B12="V01",cad!$C$25,IF($B12="V02",cad!$D$25,cad!$E$25)))</f>
        <v/>
      </c>
      <c r="Y12" t="str">
        <f>IF($A12="","",IF($B12="V01",cad!$C$26,IF($B12="V02",cad!$D$26,cad!$E$26)))</f>
        <v/>
      </c>
      <c r="Z12" t="str">
        <f>IF($A12="","",IF($B12="V01",cad!$C$27,IF($B12="V02",cad!$D$27,cad!$E$27)))</f>
        <v/>
      </c>
      <c r="AA12" t="str">
        <f>IF($A12="","",IF($B12="V01",cad!$C$28,IF($B12="V02",cad!$D$28,cad!$E$28)))</f>
        <v/>
      </c>
      <c r="AB12" t="str">
        <f>IF($A12="","",IF($B12="V01",cad!$C$39,IF($B12="V02",cad!$D$39,cad!$E$39)))</f>
        <v/>
      </c>
      <c r="AC12" t="str">
        <f>IF($A12="","",IF($F12="MBWAY",cad!$J$12,IF($F12="ISCOM",cad!$J$13,IF($F12="IPAC",cad!$J$14,IF($F12="PIGIER",cad!$J$15,cad!$J$16)))))</f>
        <v/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 t="str">
        <f>IF($A13="","",IF($B13="V01",cad!$C$23,IF($B13="V02",cad!$D$23,cad!$E$23)))</f>
        <v/>
      </c>
      <c r="W13" t="str">
        <f>IF($A13="","",IF($B13="V01",cad!$C$24,IF($B13="V02",cad!$D$24,cad!$E$24)))</f>
        <v/>
      </c>
      <c r="X13" t="str">
        <f>IF($A13="","",IF($B13="V01",cad!$C$25,IF($B13="V02",cad!$D$25,cad!$E$25)))</f>
        <v/>
      </c>
      <c r="Y13" t="str">
        <f>IF($A13="","",IF($B13="V01",cad!$C$26,IF($B13="V02",cad!$D$26,cad!$E$26)))</f>
        <v/>
      </c>
      <c r="Z13" t="str">
        <f>IF($A13="","",IF($B13="V01",cad!$C$27,IF($B13="V02",cad!$D$27,cad!$E$27)))</f>
        <v/>
      </c>
      <c r="AA13" t="str">
        <f>IF($A13="","",IF($B13="V01",cad!$C$28,IF($B13="V02",cad!$D$28,cad!$E$28)))</f>
        <v/>
      </c>
      <c r="AB13" t="str">
        <f>IF($A13="","",IF($B13="V01",cad!$C$39,IF($B13="V02",cad!$D$39,cad!$E$39)))</f>
        <v/>
      </c>
      <c r="AC13" t="str">
        <f>IF($A13="","",IF($F13="MBWAY",cad!$J$12,IF($F13="ISCOM",cad!$J$13,IF($F13="IPAC",cad!$J$14,IF($F13="PIGIER",cad!$J$15,cad!$J$16)))))</f>
        <v/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 t="str">
        <f>IF($A14="","",IF($B14="V01",cad!$C$23,IF($B14="V02",cad!$D$23,cad!$E$23)))</f>
        <v/>
      </c>
      <c r="W14" t="str">
        <f>IF($A14="","",IF($B14="V01",cad!$C$24,IF($B14="V02",cad!$D$24,cad!$E$24)))</f>
        <v/>
      </c>
      <c r="X14" t="str">
        <f>IF($A14="","",IF($B14="V01",cad!$C$25,IF($B14="V02",cad!$D$25,cad!$E$25)))</f>
        <v/>
      </c>
      <c r="Y14" t="str">
        <f>IF($A14="","",IF($B14="V01",cad!$C$26,IF($B14="V02",cad!$D$26,cad!$E$26)))</f>
        <v/>
      </c>
      <c r="Z14" t="str">
        <f>IF($A14="","",IF($B14="V01",cad!$C$27,IF($B14="V02",cad!$D$27,cad!$E$27)))</f>
        <v/>
      </c>
      <c r="AA14" t="str">
        <f>IF($A14="","",IF($B14="V01",cad!$C$28,IF($B14="V02",cad!$D$28,cad!$E$28)))</f>
        <v/>
      </c>
      <c r="AB14" t="str">
        <f>IF($A14="","",IF($B14="V01",cad!$C$39,IF($B14="V02",cad!$D$39,cad!$E$39)))</f>
        <v/>
      </c>
      <c r="AC14" t="str">
        <f>IF($A14="","",IF($F14="MBWAY",cad!$J$12,IF($F14="ISCOM",cad!$J$13,IF($F14="IPAC",cad!$J$14,IF($F14="PIGIER",cad!$J$15,cad!$J$16)))))</f>
        <v/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 t="str">
        <f>IF($A15="","",IF($B15="V01",cad!$C$23,IF($B15="V02",cad!$D$23,cad!$E$23)))</f>
        <v/>
      </c>
      <c r="W15" t="str">
        <f>IF($A15="","",IF($B15="V01",cad!$C$24,IF($B15="V02",cad!$D$24,cad!$E$24)))</f>
        <v/>
      </c>
      <c r="X15" t="str">
        <f>IF($A15="","",IF($B15="V01",cad!$C$25,IF($B15="V02",cad!$D$25,cad!$E$25)))</f>
        <v/>
      </c>
      <c r="Y15" t="str">
        <f>IF($A15="","",IF($B15="V01",cad!$C$26,IF($B15="V02",cad!$D$26,cad!$E$26)))</f>
        <v/>
      </c>
      <c r="Z15" t="str">
        <f>IF($A15="","",IF($B15="V01",cad!$C$27,IF($B15="V02",cad!$D$27,cad!$E$27)))</f>
        <v/>
      </c>
      <c r="AA15" t="str">
        <f>IF($A15="","",IF($B15="V01",cad!$C$28,IF($B15="V02",cad!$D$28,cad!$E$28)))</f>
        <v/>
      </c>
      <c r="AB15" t="str">
        <f>IF($A15="","",IF($B15="V01",cad!$C$39,IF($B15="V02",cad!$D$39,cad!$E$39)))</f>
        <v/>
      </c>
      <c r="AC15" t="str">
        <f>IF($A15="","",IF($F15="MBWAY",cad!$J$12,IF($F15="ISCOM",cad!$J$13,IF($F15="IPAC",cad!$J$14,IF($F15="PIGIER",cad!$J$15,cad!$J$16)))))</f>
        <v/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 t="str">
        <f>IF($A16="","",IF($B16="V01",cad!$C$23,IF($B16="V02",cad!$D$23,cad!$E$23)))</f>
        <v/>
      </c>
      <c r="W16" t="str">
        <f>IF($A16="","",IF($B16="V01",cad!$C$24,IF($B16="V02",cad!$D$24,cad!$E$24)))</f>
        <v/>
      </c>
      <c r="X16" t="str">
        <f>IF($A16="","",IF($B16="V01",cad!$C$25,IF($B16="V02",cad!$D$25,cad!$E$25)))</f>
        <v/>
      </c>
      <c r="Y16" t="str">
        <f>IF($A16="","",IF($B16="V01",cad!$C$26,IF($B16="V02",cad!$D$26,cad!$E$26)))</f>
        <v/>
      </c>
      <c r="Z16" t="str">
        <f>IF($A16="","",IF($B16="V01",cad!$C$27,IF($B16="V02",cad!$D$27,cad!$E$27)))</f>
        <v/>
      </c>
      <c r="AA16" t="str">
        <f>IF($A16="","",IF($B16="V01",cad!$C$28,IF($B16="V02",cad!$D$28,cad!$E$28)))</f>
        <v/>
      </c>
      <c r="AB16" t="str">
        <f>IF($A16="","",IF($B16="V01",cad!$C$39,IF($B16="V02",cad!$D$39,cad!$E$39)))</f>
        <v/>
      </c>
      <c r="AC16" t="str">
        <f>IF($A16="","",IF($F16="MBWAY",cad!$J$12,IF($F16="ISCOM",cad!$J$13,IF($F16="IPAC",cad!$J$14,IF($F16="PIGIER",cad!$J$15,cad!$J$16)))))</f>
        <v/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 t="str">
        <f>IF($A17="","",IF($B17="V01",cad!$C$23,IF($B17="V02",cad!$D$23,cad!$E$23)))</f>
        <v/>
      </c>
      <c r="W17" t="str">
        <f>IF($A17="","",IF($B17="V01",cad!$C$24,IF($B17="V02",cad!$D$24,cad!$E$24)))</f>
        <v/>
      </c>
      <c r="X17" t="str">
        <f>IF($A17="","",IF($B17="V01",cad!$C$25,IF($B17="V02",cad!$D$25,cad!$E$25)))</f>
        <v/>
      </c>
      <c r="Y17" t="str">
        <f>IF($A17="","",IF($B17="V01",cad!$C$26,IF($B17="V02",cad!$D$26,cad!$E$26)))</f>
        <v/>
      </c>
      <c r="Z17" t="str">
        <f>IF($A17="","",IF($B17="V01",cad!$C$27,IF($B17="V02",cad!$D$27,cad!$E$27)))</f>
        <v/>
      </c>
      <c r="AA17" t="str">
        <f>IF($A17="","",IF($B17="V01",cad!$C$28,IF($B17="V02",cad!$D$28,cad!$E$28)))</f>
        <v/>
      </c>
      <c r="AB17" t="str">
        <f>IF($A17="","",IF($B17="V01",cad!$C$39,IF($B17="V02",cad!$D$39,cad!$E$39)))</f>
        <v/>
      </c>
      <c r="AC17" t="str">
        <f>IF($A17="","",IF($F17="MBWAY",cad!$J$12,IF($F17="ISCOM",cad!$J$13,IF($F17="IPAC",cad!$J$14,IF($F17="PIGIER",cad!$J$15,cad!$J$16)))))</f>
        <v/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 t="str">
        <f>IF($A18="","",IF($B18="V01",cad!$C$23,IF($B18="V02",cad!$D$23,cad!$E$23)))</f>
        <v/>
      </c>
      <c r="W18" t="str">
        <f>IF($A18="","",IF($B18="V01",cad!$C$24,IF($B18="V02",cad!$D$24,cad!$E$24)))</f>
        <v/>
      </c>
      <c r="X18" t="str">
        <f>IF($A18="","",IF($B18="V01",cad!$C$25,IF($B18="V02",cad!$D$25,cad!$E$25)))</f>
        <v/>
      </c>
      <c r="Y18" t="str">
        <f>IF($A18="","",IF($B18="V01",cad!$C$26,IF($B18="V02",cad!$D$26,cad!$E$26)))</f>
        <v/>
      </c>
      <c r="Z18" t="str">
        <f>IF($A18="","",IF($B18="V01",cad!$C$27,IF($B18="V02",cad!$D$27,cad!$E$27)))</f>
        <v/>
      </c>
      <c r="AA18" t="str">
        <f>IF($A18="","",IF($B18="V01",cad!$C$28,IF($B18="V02",cad!$D$28,cad!$E$28)))</f>
        <v/>
      </c>
      <c r="AB18" t="str">
        <f>IF($A18="","",IF($B18="V01",cad!$C$39,IF($B18="V02",cad!$D$39,cad!$E$39)))</f>
        <v/>
      </c>
      <c r="AC18" t="str">
        <f>IF($A18="","",IF($F18="MBWAY",cad!$J$12,IF($F18="ISCOM",cad!$J$13,IF($F18="IPAC",cad!$J$14,IF($F18="PIGIER",cad!$J$15,cad!$J$16)))))</f>
        <v/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 t="str">
        <f>IF($A19="","",IF($B19="V01",cad!$C$23,IF($B19="V02",cad!$D$23,cad!$E$23)))</f>
        <v/>
      </c>
      <c r="W19" t="str">
        <f>IF($A19="","",IF($B19="V01",cad!$C$24,IF($B19="V02",cad!$D$24,cad!$E$24)))</f>
        <v/>
      </c>
      <c r="X19" t="str">
        <f>IF($A19="","",IF($B19="V01",cad!$C$25,IF($B19="V02",cad!$D$25,cad!$E$25)))</f>
        <v/>
      </c>
      <c r="Y19" t="str">
        <f>IF($A19="","",IF($B19="V01",cad!$C$26,IF($B19="V02",cad!$D$26,cad!$E$26)))</f>
        <v/>
      </c>
      <c r="Z19" t="str">
        <f>IF($A19="","",IF($B19="V01",cad!$C$27,IF($B19="V02",cad!$D$27,cad!$E$27)))</f>
        <v/>
      </c>
      <c r="AA19" t="str">
        <f>IF($A19="","",IF($B19="V01",cad!$C$28,IF($B19="V02",cad!$D$28,cad!$E$28)))</f>
        <v/>
      </c>
      <c r="AB19" t="str">
        <f>IF($A19="","",IF($B19="V01",cad!$C$39,IF($B19="V02",cad!$D$39,cad!$E$39)))</f>
        <v/>
      </c>
      <c r="AC19" t="str">
        <f>IF($A19="","",IF($F19="MBWAY",cad!$J$12,IF($F19="ISCOM",cad!$J$13,IF($F19="IPAC",cad!$J$14,IF($F19="PIGIER",cad!$J$15,cad!$J$16)))))</f>
        <v/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 t="str">
        <f>IF($A20="","",IF($B20="V01",cad!$C$23,IF($B20="V02",cad!$D$23,cad!$E$23)))</f>
        <v/>
      </c>
      <c r="W20" t="str">
        <f>IF($A20="","",IF($B20="V01",cad!$C$24,IF($B20="V02",cad!$D$24,cad!$E$24)))</f>
        <v/>
      </c>
      <c r="X20" t="str">
        <f>IF($A20="","",IF($B20="V01",cad!$C$25,IF($B20="V02",cad!$D$25,cad!$E$25)))</f>
        <v/>
      </c>
      <c r="Y20" t="str">
        <f>IF($A20="","",IF($B20="V01",cad!$C$26,IF($B20="V02",cad!$D$26,cad!$E$26)))</f>
        <v/>
      </c>
      <c r="Z20" t="str">
        <f>IF($A20="","",IF($B20="V01",cad!$C$27,IF($B20="V02",cad!$D$27,cad!$E$27)))</f>
        <v/>
      </c>
      <c r="AA20" t="str">
        <f>IF($A20="","",IF($B20="V01",cad!$C$28,IF($B20="V02",cad!$D$28,cad!$E$28)))</f>
        <v/>
      </c>
      <c r="AB20" t="str">
        <f>IF($A20="","",IF($B20="V01",cad!$C$39,IF($B20="V02",cad!$D$39,cad!$E$39)))</f>
        <v/>
      </c>
      <c r="AC20" t="str">
        <f>IF($A20="","",IF($F20="MBWAY",cad!$J$12,IF($F20="ISCOM",cad!$J$13,IF($F20="IPAC",cad!$J$14,IF($F20="PIGIER",cad!$J$15,cad!$J$16)))))</f>
        <v/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 t="str">
        <f>IF($A21="","",IF($B21="V01",cad!$C$23,IF($B21="V02",cad!$D$23,cad!$E$23)))</f>
        <v/>
      </c>
      <c r="W21" t="str">
        <f>IF($A21="","",IF($B21="V01",cad!$C$24,IF($B21="V02",cad!$D$24,cad!$E$24)))</f>
        <v/>
      </c>
      <c r="X21" t="str">
        <f>IF($A21="","",IF($B21="V01",cad!$C$25,IF($B21="V02",cad!$D$25,cad!$E$25)))</f>
        <v/>
      </c>
      <c r="Y21" t="str">
        <f>IF($A21="","",IF($B21="V01",cad!$C$26,IF($B21="V02",cad!$D$26,cad!$E$26)))</f>
        <v/>
      </c>
      <c r="Z21" t="str">
        <f>IF($A21="","",IF($B21="V01",cad!$C$27,IF($B21="V02",cad!$D$27,cad!$E$27)))</f>
        <v/>
      </c>
      <c r="AA21" t="str">
        <f>IF($A21="","",IF($B21="V01",cad!$C$28,IF($B21="V02",cad!$D$28,cad!$E$28)))</f>
        <v/>
      </c>
      <c r="AB21" t="str">
        <f>IF($A21="","",IF($B21="V01",cad!$C$39,IF($B21="V02",cad!$D$39,cad!$E$39)))</f>
        <v/>
      </c>
      <c r="AC21" t="str">
        <f>IF($A21="","",IF($F21="MBWAY",cad!$J$12,IF($F21="ISCOM",cad!$J$13,IF($F21="IPAC",cad!$J$14,IF($F21="PIGIER",cad!$J$15,cad!$J$16)))))</f>
        <v/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 t="str">
        <f>IF($A22="","",IF($B22="V01",cad!$C$23,IF($B22="V02",cad!$D$23,cad!$E$23)))</f>
        <v/>
      </c>
      <c r="W22" t="str">
        <f>IF($A22="","",IF($B22="V01",cad!$C$24,IF($B22="V02",cad!$D$24,cad!$E$24)))</f>
        <v/>
      </c>
      <c r="X22" t="str">
        <f>IF($A22="","",IF($B22="V01",cad!$C$25,IF($B22="V02",cad!$D$25,cad!$E$25)))</f>
        <v/>
      </c>
      <c r="Y22" t="str">
        <f>IF($A22="","",IF($B22="V01",cad!$C$26,IF($B22="V02",cad!$D$26,cad!$E$26)))</f>
        <v/>
      </c>
      <c r="Z22" t="str">
        <f>IF($A22="","",IF($B22="V01",cad!$C$27,IF($B22="V02",cad!$D$27,cad!$E$27)))</f>
        <v/>
      </c>
      <c r="AA22" t="str">
        <f>IF($A22="","",IF($B22="V01",cad!$C$28,IF($B22="V02",cad!$D$28,cad!$E$28)))</f>
        <v/>
      </c>
      <c r="AB22" t="str">
        <f>IF($A22="","",IF($B22="V01",cad!$C$39,IF($B22="V02",cad!$D$39,cad!$E$39)))</f>
        <v/>
      </c>
      <c r="AC22" t="str">
        <f>IF($A22="","",IF($F22="MBWAY",cad!$J$12,IF($F22="ISCOM",cad!$J$13,IF($F22="IPAC",cad!$J$14,IF($F22="PIGIER",cad!$J$15,cad!$J$16)))))</f>
        <v/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 t="str">
        <f>IF($A23="","",IF($B23="V01",cad!$C$23,IF($B23="V02",cad!$D$23,cad!$E$23)))</f>
        <v/>
      </c>
      <c r="W23" t="str">
        <f>IF($A23="","",IF($B23="V01",cad!$C$24,IF($B23="V02",cad!$D$24,cad!$E$24)))</f>
        <v/>
      </c>
      <c r="X23" t="str">
        <f>IF($A23="","",IF($B23="V01",cad!$C$25,IF($B23="V02",cad!$D$25,cad!$E$25)))</f>
        <v/>
      </c>
      <c r="Y23" t="str">
        <f>IF($A23="","",IF($B23="V01",cad!$C$26,IF($B23="V02",cad!$D$26,cad!$E$26)))</f>
        <v/>
      </c>
      <c r="Z23" t="str">
        <f>IF($A23="","",IF($B23="V01",cad!$C$27,IF($B23="V02",cad!$D$27,cad!$E$27)))</f>
        <v/>
      </c>
      <c r="AA23" t="str">
        <f>IF($A23="","",IF($B23="V01",cad!$C$28,IF($B23="V02",cad!$D$28,cad!$E$28)))</f>
        <v/>
      </c>
      <c r="AB23" t="str">
        <f>IF($A23="","",IF($B23="V01",cad!$C$39,IF($B23="V02",cad!$D$39,cad!$E$39)))</f>
        <v/>
      </c>
      <c r="AC23" t="str">
        <f>IF($A23="","",IF($F23="MBWAY",cad!$J$12,IF($F23="ISCOM",cad!$J$13,IF($F23="IPAC",cad!$J$14,IF($F23="PIGIER",cad!$J$15,cad!$J$16)))))</f>
        <v/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 t="str">
        <f>IF($A24="","",IF($B24="V01",cad!$C$23,IF($B24="V02",cad!$D$23,cad!$E$23)))</f>
        <v/>
      </c>
      <c r="W24" t="str">
        <f>IF($A24="","",IF($B24="V01",cad!$C$24,IF($B24="V02",cad!$D$24,cad!$E$24)))</f>
        <v/>
      </c>
      <c r="X24" t="str">
        <f>IF($A24="","",IF($B24="V01",cad!$C$25,IF($B24="V02",cad!$D$25,cad!$E$25)))</f>
        <v/>
      </c>
      <c r="Y24" t="str">
        <f>IF($A24="","",IF($B24="V01",cad!$C$26,IF($B24="V02",cad!$D$26,cad!$E$26)))</f>
        <v/>
      </c>
      <c r="Z24" t="str">
        <f>IF($A24="","",IF($B24="V01",cad!$C$27,IF($B24="V02",cad!$D$27,cad!$E$27)))</f>
        <v/>
      </c>
      <c r="AA24" t="str">
        <f>IF($A24="","",IF($B24="V01",cad!$C$28,IF($B24="V02",cad!$D$28,cad!$E$28)))</f>
        <v/>
      </c>
      <c r="AB24" t="str">
        <f>IF($A24="","",IF($B24="V01",cad!$C$39,IF($B24="V02",cad!$D$39,cad!$E$39)))</f>
        <v/>
      </c>
      <c r="AC24" t="str">
        <f>IF($A24="","",IF($F24="MBWAY",cad!$J$12,IF($F24="ISCOM",cad!$J$13,IF($F24="IPAC",cad!$J$14,IF($F24="PIGIER",cad!$J$15,cad!$J$16)))))</f>
        <v/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 t="str">
        <f>IF($A25="","",IF($B25="V01",cad!$C$23,IF($B25="V02",cad!$D$23,cad!$E$23)))</f>
        <v/>
      </c>
      <c r="W25" t="str">
        <f>IF($A25="","",IF($B25="V01",cad!$C$24,IF($B25="V02",cad!$D$24,cad!$E$24)))</f>
        <v/>
      </c>
      <c r="X25" t="str">
        <f>IF($A25="","",IF($B25="V01",cad!$C$25,IF($B25="V02",cad!$D$25,cad!$E$25)))</f>
        <v/>
      </c>
      <c r="Y25" t="str">
        <f>IF($A25="","",IF($B25="V01",cad!$C$26,IF($B25="V02",cad!$D$26,cad!$E$26)))</f>
        <v/>
      </c>
      <c r="Z25" t="str">
        <f>IF($A25="","",IF($B25="V01",cad!$C$27,IF($B25="V02",cad!$D$27,cad!$E$27)))</f>
        <v/>
      </c>
      <c r="AA25" t="str">
        <f>IF($A25="","",IF($B25="V01",cad!$C$28,IF($B25="V02",cad!$D$28,cad!$E$28)))</f>
        <v/>
      </c>
      <c r="AB25" t="str">
        <f>IF($A25="","",IF($B25="V01",cad!$C$39,IF($B25="V02",cad!$D$39,cad!$E$39)))</f>
        <v/>
      </c>
      <c r="AC25" t="str">
        <f>IF($A25="","",IF($F25="MBWAY",cad!$J$12,IF($F25="ISCOM",cad!$J$13,IF($F25="IPAC",cad!$J$14,IF($F25="PIGIER",cad!$J$15,cad!$J$16)))))</f>
        <v/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 t="str">
        <f>IF($A26="","",IF($B26="V01",cad!$C$23,IF($B26="V02",cad!$D$23,cad!$E$23)))</f>
        <v/>
      </c>
      <c r="W26" t="str">
        <f>IF($A26="","",IF($B26="V01",cad!$C$24,IF($B26="V02",cad!$D$24,cad!$E$24)))</f>
        <v/>
      </c>
      <c r="X26" t="str">
        <f>IF($A26="","",IF($B26="V01",cad!$C$25,IF($B26="V02",cad!$D$25,cad!$E$25)))</f>
        <v/>
      </c>
      <c r="Y26" t="str">
        <f>IF($A26="","",IF($B26="V01",cad!$C$26,IF($B26="V02",cad!$D$26,cad!$E$26)))</f>
        <v/>
      </c>
      <c r="Z26" t="str">
        <f>IF($A26="","",IF($B26="V01",cad!$C$27,IF($B26="V02",cad!$D$27,cad!$E$27)))</f>
        <v/>
      </c>
      <c r="AA26" t="str">
        <f>IF($A26="","",IF($B26="V01",cad!$C$28,IF($B26="V02",cad!$D$28,cad!$E$28)))</f>
        <v/>
      </c>
      <c r="AB26" t="str">
        <f>IF($A26="","",IF($B26="V01",cad!$C$39,IF($B26="V02",cad!$D$39,cad!$E$39)))</f>
        <v/>
      </c>
      <c r="AC26" t="str">
        <f>IF($A26="","",IF($F26="MBWAY",cad!$J$12,IF($F26="ISCOM",cad!$J$13,IF($F26="IPAC",cad!$J$14,IF($F26="PIGIER",cad!$J$15,cad!$J$16)))))</f>
        <v/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 t="str">
        <f>IF($A27="","",IF($B27="V01",cad!$C$23,IF($B27="V02",cad!$D$23,cad!$E$23)))</f>
        <v/>
      </c>
      <c r="W27" t="str">
        <f>IF($A27="","",IF($B27="V01",cad!$C$24,IF($B27="V02",cad!$D$24,cad!$E$24)))</f>
        <v/>
      </c>
      <c r="X27" t="str">
        <f>IF($A27="","",IF($B27="V01",cad!$C$25,IF($B27="V02",cad!$D$25,cad!$E$25)))</f>
        <v/>
      </c>
      <c r="Y27" t="str">
        <f>IF($A27="","",IF($B27="V01",cad!$C$26,IF($B27="V02",cad!$D$26,cad!$E$26)))</f>
        <v/>
      </c>
      <c r="Z27" t="str">
        <f>IF($A27="","",IF($B27="V01",cad!$C$27,IF($B27="V02",cad!$D$27,cad!$E$27)))</f>
        <v/>
      </c>
      <c r="AA27" t="str">
        <f>IF($A27="","",IF($B27="V01",cad!$C$28,IF($B27="V02",cad!$D$28,cad!$E$28)))</f>
        <v/>
      </c>
      <c r="AB27" t="str">
        <f>IF($A27="","",IF($B27="V01",cad!$C$39,IF($B27="V02",cad!$D$39,cad!$E$39)))</f>
        <v/>
      </c>
      <c r="AC27" t="str">
        <f>IF($A27="","",IF($F27="MBWAY",cad!$J$12,IF($F27="ISCOM",cad!$J$13,IF($F27="IPAC",cad!$J$14,IF($F27="PIGIER",cad!$J$15,cad!$J$16)))))</f>
        <v/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 t="str">
        <f>IF($A28="","",IF($B28="V01",cad!$C$23,IF($B28="V02",cad!$D$23,cad!$E$23)))</f>
        <v/>
      </c>
      <c r="W28" t="str">
        <f>IF($A28="","",IF($B28="V01",cad!$C$24,IF($B28="V02",cad!$D$24,cad!$E$24)))</f>
        <v/>
      </c>
      <c r="X28" t="str">
        <f>IF($A28="","",IF($B28="V01",cad!$C$25,IF($B28="V02",cad!$D$25,cad!$E$25)))</f>
        <v/>
      </c>
      <c r="Y28" t="str">
        <f>IF($A28="","",IF($B28="V01",cad!$C$26,IF($B28="V02",cad!$D$26,cad!$E$26)))</f>
        <v/>
      </c>
      <c r="Z28" t="str">
        <f>IF($A28="","",IF($B28="V01",cad!$C$27,IF($B28="V02",cad!$D$27,cad!$E$27)))</f>
        <v/>
      </c>
      <c r="AA28" t="str">
        <f>IF($A28="","",IF($B28="V01",cad!$C$28,IF($B28="V02",cad!$D$28,cad!$E$28)))</f>
        <v/>
      </c>
      <c r="AB28" t="str">
        <f>IF($A28="","",IF($B28="V01",cad!$C$39,IF($B28="V02",cad!$D$39,cad!$E$39)))</f>
        <v/>
      </c>
      <c r="AC28" t="str">
        <f>IF($A28="","",IF($F28="MBWAY",cad!$J$12,IF($F28="ISCOM",cad!$J$13,IF($F28="IPAC",cad!$J$14,IF($F28="PIGIER",cad!$J$15,cad!$J$16)))))</f>
        <v/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 t="str">
        <f>IF($A29="","",IF($B29="V01",cad!$C$23,IF($B29="V02",cad!$D$23,cad!$E$23)))</f>
        <v/>
      </c>
      <c r="W29" t="str">
        <f>IF($A29="","",IF($B29="V01",cad!$C$24,IF($B29="V02",cad!$D$24,cad!$E$24)))</f>
        <v/>
      </c>
      <c r="X29" t="str">
        <f>IF($A29="","",IF($B29="V01",cad!$C$25,IF($B29="V02",cad!$D$25,cad!$E$25)))</f>
        <v/>
      </c>
      <c r="Y29" t="str">
        <f>IF($A29="","",IF($B29="V01",cad!$C$26,IF($B29="V02",cad!$D$26,cad!$E$26)))</f>
        <v/>
      </c>
      <c r="Z29" t="str">
        <f>IF($A29="","",IF($B29="V01",cad!$C$27,IF($B29="V02",cad!$D$27,cad!$E$27)))</f>
        <v/>
      </c>
      <c r="AA29" t="str">
        <f>IF($A29="","",IF($B29="V01",cad!$C$28,IF($B29="V02",cad!$D$28,cad!$E$28)))</f>
        <v/>
      </c>
      <c r="AB29" t="str">
        <f>IF($A29="","",IF($B29="V01",cad!$C$39,IF($B29="V02",cad!$D$39,cad!$E$39)))</f>
        <v/>
      </c>
      <c r="AC29" t="str">
        <f>IF($A29="","",IF($F29="MBWAY",cad!$J$12,IF($F29="ISCOM",cad!$J$13,IF($F29="IPAC",cad!$J$14,IF($F29="PIGIER",cad!$J$15,cad!$J$16)))))</f>
        <v/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 t="str">
        <f>IF($A30="","",IF($B30="V01",cad!$C$23,IF($B30="V02",cad!$D$23,cad!$E$23)))</f>
        <v/>
      </c>
      <c r="W30" t="str">
        <f>IF($A30="","",IF($B30="V01",cad!$C$24,IF($B30="V02",cad!$D$24,cad!$E$24)))</f>
        <v/>
      </c>
      <c r="X30" t="str">
        <f>IF($A30="","",IF($B30="V01",cad!$C$25,IF($B30="V02",cad!$D$25,cad!$E$25)))</f>
        <v/>
      </c>
      <c r="Y30" t="str">
        <f>IF($A30="","",IF($B30="V01",cad!$C$26,IF($B30="V02",cad!$D$26,cad!$E$26)))</f>
        <v/>
      </c>
      <c r="Z30" t="str">
        <f>IF($A30="","",IF($B30="V01",cad!$C$27,IF($B30="V02",cad!$D$27,cad!$E$27)))</f>
        <v/>
      </c>
      <c r="AA30" t="str">
        <f>IF($A30="","",IF($B30="V01",cad!$C$28,IF($B30="V02",cad!$D$28,cad!$E$28)))</f>
        <v/>
      </c>
      <c r="AB30" t="str">
        <f>IF($A30="","",IF($B30="V01",cad!$C$39,IF($B30="V02",cad!$D$39,cad!$E$39)))</f>
        <v/>
      </c>
      <c r="AC30" t="str">
        <f>IF($A30="","",IF($F30="MBWAY",cad!$J$12,IF($F30="ISCOM",cad!$J$13,IF($F30="IPAC",cad!$J$14,IF($F30="PIGIER",cad!$J$15,cad!$J$16)))))</f>
        <v/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 t="str">
        <f>IF($A31="","",IF($B31="V01",cad!$C$23,IF($B31="V02",cad!$D$23,cad!$E$23)))</f>
        <v/>
      </c>
      <c r="W31" t="str">
        <f>IF($A31="","",IF($B31="V01",cad!$C$24,IF($B31="V02",cad!$D$24,cad!$E$24)))</f>
        <v/>
      </c>
      <c r="X31" t="str">
        <f>IF($A31="","",IF($B31="V01",cad!$C$25,IF($B31="V02",cad!$D$25,cad!$E$25)))</f>
        <v/>
      </c>
      <c r="Y31" t="str">
        <f>IF($A31="","",IF($B31="V01",cad!$C$26,IF($B31="V02",cad!$D$26,cad!$E$26)))</f>
        <v/>
      </c>
      <c r="Z31" t="str">
        <f>IF($A31="","",IF($B31="V01",cad!$C$27,IF($B31="V02",cad!$D$27,cad!$E$27)))</f>
        <v/>
      </c>
      <c r="AA31" t="str">
        <f>IF($A31="","",IF($B31="V01",cad!$C$28,IF($B31="V02",cad!$D$28,cad!$E$28)))</f>
        <v/>
      </c>
      <c r="AB31" t="str">
        <f>IF($A31="","",IF($B31="V01",cad!$C$39,IF($B31="V02",cad!$D$39,cad!$E$39)))</f>
        <v/>
      </c>
      <c r="AC31" t="str">
        <f>IF($A31="","",IF($F31="MBWAY",cad!$J$12,IF($F31="ISCOM",cad!$J$13,IF($F31="IPAC",cad!$J$14,IF($F31="PIGIER",cad!$J$15,cad!$J$16)))))</f>
        <v/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 t="str">
        <f>IF($A32="","",IF($B32="V01",cad!$C$23,IF($B32="V02",cad!$D$23,cad!$E$23)))</f>
        <v/>
      </c>
      <c r="W32" t="str">
        <f>IF($A32="","",IF($B32="V01",cad!$C$24,IF($B32="V02",cad!$D$24,cad!$E$24)))</f>
        <v/>
      </c>
      <c r="X32" t="str">
        <f>IF($A32="","",IF($B32="V01",cad!$C$25,IF($B32="V02",cad!$D$25,cad!$E$25)))</f>
        <v/>
      </c>
      <c r="Y32" t="str">
        <f>IF($A32="","",IF($B32="V01",cad!$C$26,IF($B32="V02",cad!$D$26,cad!$E$26)))</f>
        <v/>
      </c>
      <c r="Z32" t="str">
        <f>IF($A32="","",IF($B32="V01",cad!$C$27,IF($B32="V02",cad!$D$27,cad!$E$27)))</f>
        <v/>
      </c>
      <c r="AA32" t="str">
        <f>IF($A32="","",IF($B32="V01",cad!$C$28,IF($B32="V02",cad!$D$28,cad!$E$28)))</f>
        <v/>
      </c>
      <c r="AB32" t="str">
        <f>IF($A32="","",IF($B32="V01",cad!$C$39,IF($B32="V02",cad!$D$39,cad!$E$39)))</f>
        <v/>
      </c>
      <c r="AC32" t="str">
        <f>IF($A32="","",IF($F32="MBWAY",cad!$J$12,IF($F32="ISCOM",cad!$J$13,IF($F32="IPAC",cad!$J$14,IF($F32="PIGIER",cad!$J$15,cad!$J$16)))))</f>
        <v/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 t="str">
        <f>IF($A33="","",IF($B33="V01",cad!$C$23,IF($B33="V02",cad!$D$23,cad!$E$23)))</f>
        <v/>
      </c>
      <c r="W33" t="str">
        <f>IF($A33="","",IF($B33="V01",cad!$C$24,IF($B33="V02",cad!$D$24,cad!$E$24)))</f>
        <v/>
      </c>
      <c r="X33" t="str">
        <f>IF($A33="","",IF($B33="V01",cad!$C$25,IF($B33="V02",cad!$D$25,cad!$E$25)))</f>
        <v/>
      </c>
      <c r="Y33" t="str">
        <f>IF($A33="","",IF($B33="V01",cad!$C$26,IF($B33="V02",cad!$D$26,cad!$E$26)))</f>
        <v/>
      </c>
      <c r="Z33" t="str">
        <f>IF($A33="","",IF($B33="V01",cad!$C$27,IF($B33="V02",cad!$D$27,cad!$E$27)))</f>
        <v/>
      </c>
      <c r="AA33" t="str">
        <f>IF($A33="","",IF($B33="V01",cad!$C$28,IF($B33="V02",cad!$D$28,cad!$E$28)))</f>
        <v/>
      </c>
      <c r="AB33" t="str">
        <f>IF($A33="","",IF($B33="V01",cad!$C$39,IF($B33="V02",cad!$D$39,cad!$E$39)))</f>
        <v/>
      </c>
      <c r="AC33" t="str">
        <f>IF($A33="","",IF($F33="MBWAY",cad!$J$12,IF($F33="ISCOM",cad!$J$13,IF($F33="IPAC",cad!$J$14,IF($F33="PIGIER",cad!$J$15,cad!$J$16)))))</f>
        <v/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 t="str">
        <f>IF($A34="","",IF($B34="V01",cad!$C$23,IF($B34="V02",cad!$D$23,cad!$E$23)))</f>
        <v/>
      </c>
      <c r="W34" t="str">
        <f>IF($A34="","",IF($B34="V01",cad!$C$24,IF($B34="V02",cad!$D$24,cad!$E$24)))</f>
        <v/>
      </c>
      <c r="X34" t="str">
        <f>IF($A34="","",IF($B34="V01",cad!$C$25,IF($B34="V02",cad!$D$25,cad!$E$25)))</f>
        <v/>
      </c>
      <c r="Y34" t="str">
        <f>IF($A34="","",IF($B34="V01",cad!$C$26,IF($B34="V02",cad!$D$26,cad!$E$26)))</f>
        <v/>
      </c>
      <c r="Z34" t="str">
        <f>IF($A34="","",IF($B34="V01",cad!$C$27,IF($B34="V02",cad!$D$27,cad!$E$27)))</f>
        <v/>
      </c>
      <c r="AA34" t="str">
        <f>IF($A34="","",IF($B34="V01",cad!$C$28,IF($B34="V02",cad!$D$28,cad!$E$28)))</f>
        <v/>
      </c>
      <c r="AB34" t="str">
        <f>IF($A34="","",IF($B34="V01",cad!$C$39,IF($B34="V02",cad!$D$39,cad!$E$39)))</f>
        <v/>
      </c>
      <c r="AC34" t="str">
        <f>IF($A34="","",IF($F34="MBWAY",cad!$J$12,IF($F34="ISCOM",cad!$J$13,IF($F34="IPAC",cad!$J$14,IF($F34="PIGIER",cad!$J$15,cad!$J$16)))))</f>
        <v/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 t="str">
        <f>IF($A35="","",IF($B35="V01",cad!$C$23,IF($B35="V02",cad!$D$23,cad!$E$23)))</f>
        <v/>
      </c>
      <c r="W35" t="str">
        <f>IF($A35="","",IF($B35="V01",cad!$C$24,IF($B35="V02",cad!$D$24,cad!$E$24)))</f>
        <v/>
      </c>
      <c r="X35" t="str">
        <f>IF($A35="","",IF($B35="V01",cad!$C$25,IF($B35="V02",cad!$D$25,cad!$E$25)))</f>
        <v/>
      </c>
      <c r="Y35" t="str">
        <f>IF($A35="","",IF($B35="V01",cad!$C$26,IF($B35="V02",cad!$D$26,cad!$E$26)))</f>
        <v/>
      </c>
      <c r="Z35" t="str">
        <f>IF($A35="","",IF($B35="V01",cad!$C$27,IF($B35="V02",cad!$D$27,cad!$E$27)))</f>
        <v/>
      </c>
      <c r="AA35" t="str">
        <f>IF($A35="","",IF($B35="V01",cad!$C$28,IF($B35="V02",cad!$D$28,cad!$E$28)))</f>
        <v/>
      </c>
      <c r="AB35" t="str">
        <f>IF($A35="","",IF($B35="V01",cad!$C$39,IF($B35="V02",cad!$D$39,cad!$E$39)))</f>
        <v/>
      </c>
      <c r="AC35" t="str">
        <f>IF($A35="","",IF($F35="MBWAY",cad!$J$12,IF($F35="ISCOM",cad!$J$13,IF($F35="IPAC",cad!$J$14,IF($F35="PIGIER",cad!$J$15,cad!$J$16)))))</f>
        <v/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 t="str">
        <f>IF($A36="","",IF($B36="V01",cad!$C$23,IF($B36="V02",cad!$D$23,cad!$E$23)))</f>
        <v/>
      </c>
      <c r="W36" t="str">
        <f>IF($A36="","",IF($B36="V01",cad!$C$24,IF($B36="V02",cad!$D$24,cad!$E$24)))</f>
        <v/>
      </c>
      <c r="X36" t="str">
        <f>IF($A36="","",IF($B36="V01",cad!$C$25,IF($B36="V02",cad!$D$25,cad!$E$25)))</f>
        <v/>
      </c>
      <c r="Y36" t="str">
        <f>IF($A36="","",IF($B36="V01",cad!$C$26,IF($B36="V02",cad!$D$26,cad!$E$26)))</f>
        <v/>
      </c>
      <c r="Z36" t="str">
        <f>IF($A36="","",IF($B36="V01",cad!$C$27,IF($B36="V02",cad!$D$27,cad!$E$27)))</f>
        <v/>
      </c>
      <c r="AA36" t="str">
        <f>IF($A36="","",IF($B36="V01",cad!$C$28,IF($B36="V02",cad!$D$28,cad!$E$28)))</f>
        <v/>
      </c>
      <c r="AB36" t="str">
        <f>IF($A36="","",IF($B36="V01",cad!$C$39,IF($B36="V02",cad!$D$39,cad!$E$39)))</f>
        <v/>
      </c>
      <c r="AC36" t="str">
        <f>IF($A36="","",IF($F36="MBWAY",cad!$J$12,IF($F36="ISCOM",cad!$J$13,IF($F36="IPAC",cad!$J$14,IF($F36="PIGIER",cad!$J$15,cad!$J$16)))))</f>
        <v/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 t="str">
        <f>IF($A37="","",IF($B37="V01",cad!$C$23,IF($B37="V02",cad!$D$23,cad!$E$23)))</f>
        <v/>
      </c>
      <c r="W37" t="str">
        <f>IF($A37="","",IF($B37="V01",cad!$C$24,IF($B37="V02",cad!$D$24,cad!$E$24)))</f>
        <v/>
      </c>
      <c r="X37" t="str">
        <f>IF($A37="","",IF($B37="V01",cad!$C$25,IF($B37="V02",cad!$D$25,cad!$E$25)))</f>
        <v/>
      </c>
      <c r="Y37" t="str">
        <f>IF($A37="","",IF($B37="V01",cad!$C$26,IF($B37="V02",cad!$D$26,cad!$E$26)))</f>
        <v/>
      </c>
      <c r="Z37" t="str">
        <f>IF($A37="","",IF($B37="V01",cad!$C$27,IF($B37="V02",cad!$D$27,cad!$E$27)))</f>
        <v/>
      </c>
      <c r="AA37" t="str">
        <f>IF($A37="","",IF($B37="V01",cad!$C$28,IF($B37="V02",cad!$D$28,cad!$E$28)))</f>
        <v/>
      </c>
      <c r="AB37" t="str">
        <f>IF($A37="","",IF($B37="V01",cad!$C$39,IF($B37="V02",cad!$D$39,cad!$E$39)))</f>
        <v/>
      </c>
      <c r="AC37" t="str">
        <f>IF($A37="","",IF($F37="MBWAY",cad!$J$12,IF($F37="ISCOM",cad!$J$13,IF($F37="IPAC",cad!$J$14,IF($F37="PIGIER",cad!$J$15,cad!$J$16)))))</f>
        <v/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 t="str">
        <f>IF($A38="","",IF($B38="V01",cad!$C$23,IF($B38="V02",cad!$D$23,cad!$E$23)))</f>
        <v/>
      </c>
      <c r="W38" t="str">
        <f>IF($A38="","",IF($B38="V01",cad!$C$24,IF($B38="V02",cad!$D$24,cad!$E$24)))</f>
        <v/>
      </c>
      <c r="X38" t="str">
        <f>IF($A38="","",IF($B38="V01",cad!$C$25,IF($B38="V02",cad!$D$25,cad!$E$25)))</f>
        <v/>
      </c>
      <c r="Y38" t="str">
        <f>IF($A38="","",IF($B38="V01",cad!$C$26,IF($B38="V02",cad!$D$26,cad!$E$26)))</f>
        <v/>
      </c>
      <c r="Z38" t="str">
        <f>IF($A38="","",IF($B38="V01",cad!$C$27,IF($B38="V02",cad!$D$27,cad!$E$27)))</f>
        <v/>
      </c>
      <c r="AA38" t="str">
        <f>IF($A38="","",IF($B38="V01",cad!$C$28,IF($B38="V02",cad!$D$28,cad!$E$28)))</f>
        <v/>
      </c>
      <c r="AB38" t="str">
        <f>IF($A38="","",IF($B38="V01",cad!$C$39,IF($B38="V02",cad!$D$39,cad!$E$39)))</f>
        <v/>
      </c>
      <c r="AC38" t="str">
        <f>IF($A38="","",IF($F38="MBWAY",cad!$J$12,IF($F38="ISCOM",cad!$J$13,IF($F38="IPAC",cad!$J$14,IF($F38="PIGIER",cad!$J$15,cad!$J$16)))))</f>
        <v/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 t="str">
        <f>IF($A39="","",IF($B39="V01",cad!$C$23,IF($B39="V02",cad!$D$23,cad!$E$23)))</f>
        <v/>
      </c>
      <c r="W39" t="str">
        <f>IF($A39="","",IF($B39="V01",cad!$C$24,IF($B39="V02",cad!$D$24,cad!$E$24)))</f>
        <v/>
      </c>
      <c r="X39" t="str">
        <f>IF($A39="","",IF($B39="V01",cad!$C$25,IF($B39="V02",cad!$D$25,cad!$E$25)))</f>
        <v/>
      </c>
      <c r="Y39" t="str">
        <f>IF($A39="","",IF($B39="V01",cad!$C$26,IF($B39="V02",cad!$D$26,cad!$E$26)))</f>
        <v/>
      </c>
      <c r="Z39" t="str">
        <f>IF($A39="","",IF($B39="V01",cad!$C$27,IF($B39="V02",cad!$D$27,cad!$E$27)))</f>
        <v/>
      </c>
      <c r="AA39" t="str">
        <f>IF($A39="","",IF($B39="V01",cad!$C$28,IF($B39="V02",cad!$D$28,cad!$E$28)))</f>
        <v/>
      </c>
      <c r="AB39" t="str">
        <f>IF($A39="","",IF($B39="V01",cad!$C$39,IF($B39="V02",cad!$D$39,cad!$E$39)))</f>
        <v/>
      </c>
      <c r="AC39" t="str">
        <f>IF($A39="","",IF($F39="MBWAY",cad!$J$12,IF($F39="ISCOM",cad!$J$13,IF($F39="IPAC",cad!$J$14,IF($F39="PIGIER",cad!$J$15,cad!$J$16)))))</f>
        <v/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 t="str">
        <f>IF($A40="","",IF($B40="V01",cad!$C$23,IF($B40="V02",cad!$D$23,cad!$E$23)))</f>
        <v/>
      </c>
      <c r="W40" t="str">
        <f>IF($A40="","",IF($B40="V01",cad!$C$24,IF($B40="V02",cad!$D$24,cad!$E$24)))</f>
        <v/>
      </c>
      <c r="X40" t="str">
        <f>IF($A40="","",IF($B40="V01",cad!$C$25,IF($B40="V02",cad!$D$25,cad!$E$25)))</f>
        <v/>
      </c>
      <c r="Y40" t="str">
        <f>IF($A40="","",IF($B40="V01",cad!$C$26,IF($B40="V02",cad!$D$26,cad!$E$26)))</f>
        <v/>
      </c>
      <c r="Z40" t="str">
        <f>IF($A40="","",IF($B40="V01",cad!$C$27,IF($B40="V02",cad!$D$27,cad!$E$27)))</f>
        <v/>
      </c>
      <c r="AA40" t="str">
        <f>IF($A40="","",IF($B40="V01",cad!$C$28,IF($B40="V02",cad!$D$28,cad!$E$28)))</f>
        <v/>
      </c>
      <c r="AB40" t="str">
        <f>IF($A40="","",IF($B40="V01",cad!$C$39,IF($B40="V02",cad!$D$39,cad!$E$39)))</f>
        <v/>
      </c>
      <c r="AC40" t="str">
        <f>IF($A40="","",IF($F40="MBWAY",cad!$J$12,IF($F40="ISCOM",cad!$J$13,IF($F40="IPAC",cad!$J$14,IF($F40="PIGIER",cad!$J$15,cad!$J$16)))))</f>
        <v/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 t="str">
        <f>IF($A41="","",IF($B41="V01",cad!$C$23,IF($B41="V02",cad!$D$23,cad!$E$23)))</f>
        <v/>
      </c>
      <c r="W41" t="str">
        <f>IF($A41="","",IF($B41="V01",cad!$C$24,IF($B41="V02",cad!$D$24,cad!$E$24)))</f>
        <v/>
      </c>
      <c r="X41" t="str">
        <f>IF($A41="","",IF($B41="V01",cad!$C$25,IF($B41="V02",cad!$D$25,cad!$E$25)))</f>
        <v/>
      </c>
      <c r="Y41" t="str">
        <f>IF($A41="","",IF($B41="V01",cad!$C$26,IF($B41="V02",cad!$D$26,cad!$E$26)))</f>
        <v/>
      </c>
      <c r="Z41" t="str">
        <f>IF($A41="","",IF($B41="V01",cad!$C$27,IF($B41="V02",cad!$D$27,cad!$E$27)))</f>
        <v/>
      </c>
      <c r="AA41" t="str">
        <f>IF($A41="","",IF($B41="V01",cad!$C$28,IF($B41="V02",cad!$D$28,cad!$E$28)))</f>
        <v/>
      </c>
      <c r="AB41" t="str">
        <f>IF($A41="","",IF($B41="V01",cad!$C$39,IF($B41="V02",cad!$D$39,cad!$E$39)))</f>
        <v/>
      </c>
      <c r="AC41" t="str">
        <f>IF($A41="","",IF($F41="MBWAY",cad!$J$12,IF($F41="ISCOM",cad!$J$13,IF($F41="IPAC",cad!$J$14,IF($F41="PIGIER",cad!$J$15,cad!$J$16)))))</f>
        <v/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 t="str">
        <f>IF($A42="","",IF($B42="V01",cad!$C$23,IF($B42="V02",cad!$D$23,cad!$E$23)))</f>
        <v/>
      </c>
      <c r="W42" t="str">
        <f>IF($A42="","",IF($B42="V01",cad!$C$24,IF($B42="V02",cad!$D$24,cad!$E$24)))</f>
        <v/>
      </c>
      <c r="X42" t="str">
        <f>IF($A42="","",IF($B42="V01",cad!$C$25,IF($B42="V02",cad!$D$25,cad!$E$25)))</f>
        <v/>
      </c>
      <c r="Y42" t="str">
        <f>IF($A42="","",IF($B42="V01",cad!$C$26,IF($B42="V02",cad!$D$26,cad!$E$26)))</f>
        <v/>
      </c>
      <c r="Z42" t="str">
        <f>IF($A42="","",IF($B42="V01",cad!$C$27,IF($B42="V02",cad!$D$27,cad!$E$27)))</f>
        <v/>
      </c>
      <c r="AA42" t="str">
        <f>IF($A42="","",IF($B42="V01",cad!$C$28,IF($B42="V02",cad!$D$28,cad!$E$28)))</f>
        <v/>
      </c>
      <c r="AB42" t="str">
        <f>IF($A42="","",IF($B42="V01",cad!$C$39,IF($B42="V02",cad!$D$39,cad!$E$39)))</f>
        <v/>
      </c>
      <c r="AC42" t="str">
        <f>IF($A42="","",IF($F42="MBWAY",cad!$J$12,IF($F42="ISCOM",cad!$J$13,IF($F42="IPAC",cad!$J$14,IF($F42="PIGIER",cad!$J$15,cad!$J$16)))))</f>
        <v/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 t="str">
        <f>IF($A43="","",IF($B43="V01",cad!$C$23,IF($B43="V02",cad!$D$23,cad!$E$23)))</f>
        <v/>
      </c>
      <c r="W43" t="str">
        <f>IF($A43="","",IF($B43="V01",cad!$C$24,IF($B43="V02",cad!$D$24,cad!$E$24)))</f>
        <v/>
      </c>
      <c r="X43" t="str">
        <f>IF($A43="","",IF($B43="V01",cad!$C$25,IF($B43="V02",cad!$D$25,cad!$E$25)))</f>
        <v/>
      </c>
      <c r="Y43" t="str">
        <f>IF($A43="","",IF($B43="V01",cad!$C$26,IF($B43="V02",cad!$D$26,cad!$E$26)))</f>
        <v/>
      </c>
      <c r="Z43" t="str">
        <f>IF($A43="","",IF($B43="V01",cad!$C$27,IF($B43="V02",cad!$D$27,cad!$E$27)))</f>
        <v/>
      </c>
      <c r="AA43" t="str">
        <f>IF($A43="","",IF($B43="V01",cad!$C$28,IF($B43="V02",cad!$D$28,cad!$E$28)))</f>
        <v/>
      </c>
      <c r="AB43" t="str">
        <f>IF($A43="","",IF($B43="V01",cad!$C$39,IF($B43="V02",cad!$D$39,cad!$E$39)))</f>
        <v/>
      </c>
      <c r="AC43" t="str">
        <f>IF($A43="","",IF($F43="MBWAY",cad!$J$12,IF($F43="ISCOM",cad!$J$13,IF($F43="IPAC",cad!$J$14,IF($F43="PIGIER",cad!$J$15,cad!$J$16)))))</f>
        <v/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 t="str">
        <f>IF($A44="","",IF($B44="V01",cad!$C$23,IF($B44="V02",cad!$D$23,cad!$E$23)))</f>
        <v/>
      </c>
      <c r="W44" t="str">
        <f>IF($A44="","",IF($B44="V01",cad!$C$24,IF($B44="V02",cad!$D$24,cad!$E$24)))</f>
        <v/>
      </c>
      <c r="X44" t="str">
        <f>IF($A44="","",IF($B44="V01",cad!$C$25,IF($B44="V02",cad!$D$25,cad!$E$25)))</f>
        <v/>
      </c>
      <c r="Y44" t="str">
        <f>IF($A44="","",IF($B44="V01",cad!$C$26,IF($B44="V02",cad!$D$26,cad!$E$26)))</f>
        <v/>
      </c>
      <c r="Z44" t="str">
        <f>IF($A44="","",IF($B44="V01",cad!$C$27,IF($B44="V02",cad!$D$27,cad!$E$27)))</f>
        <v/>
      </c>
      <c r="AA44" t="str">
        <f>IF($A44="","",IF($B44="V01",cad!$C$28,IF($B44="V02",cad!$D$28,cad!$E$28)))</f>
        <v/>
      </c>
      <c r="AB44" t="str">
        <f>IF($A44="","",IF($B44="V01",cad!$C$39,IF($B44="V02",cad!$D$39,cad!$E$39)))</f>
        <v/>
      </c>
      <c r="AC44" t="str">
        <f>IF($A44="","",IF($F44="MBWAY",cad!$J$12,IF($F44="ISCOM",cad!$J$13,IF($F44="IPAC",cad!$J$14,IF($F44="PIGIER",cad!$J$15,cad!$J$16)))))</f>
        <v/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 t="str">
        <f>IF($A45="","",IF($B45="V01",cad!$C$23,IF($B45="V02",cad!$D$23,cad!$E$23)))</f>
        <v/>
      </c>
      <c r="W45" t="str">
        <f>IF($A45="","",IF($B45="V01",cad!$C$24,IF($B45="V02",cad!$D$24,cad!$E$24)))</f>
        <v/>
      </c>
      <c r="X45" t="str">
        <f>IF($A45="","",IF($B45="V01",cad!$C$25,IF($B45="V02",cad!$D$25,cad!$E$25)))</f>
        <v/>
      </c>
      <c r="Y45" t="str">
        <f>IF($A45="","",IF($B45="V01",cad!$C$26,IF($B45="V02",cad!$D$26,cad!$E$26)))</f>
        <v/>
      </c>
      <c r="Z45" t="str">
        <f>IF($A45="","",IF($B45="V01",cad!$C$27,IF($B45="V02",cad!$D$27,cad!$E$27)))</f>
        <v/>
      </c>
      <c r="AA45" t="str">
        <f>IF($A45="","",IF($B45="V01",cad!$C$28,IF($B45="V02",cad!$D$28,cad!$E$28)))</f>
        <v/>
      </c>
      <c r="AB45" t="str">
        <f>IF($A45="","",IF($B45="V01",cad!$C$39,IF($B45="V02",cad!$D$39,cad!$E$39)))</f>
        <v/>
      </c>
      <c r="AC45" t="str">
        <f>IF($A45="","",IF($F45="MBWAY",cad!$J$12,IF($F45="ISCOM",cad!$J$13,IF($F45="IPAC",cad!$J$14,IF($F45="PIGIER",cad!$J$15,cad!$J$16)))))</f>
        <v/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 t="str">
        <f>IF($A46="","",IF($B46="V01",cad!$C$23,IF($B46="V02",cad!$D$23,cad!$E$23)))</f>
        <v/>
      </c>
      <c r="W46" t="str">
        <f>IF($A46="","",IF($B46="V01",cad!$C$24,IF($B46="V02",cad!$D$24,cad!$E$24)))</f>
        <v/>
      </c>
      <c r="X46" t="str">
        <f>IF($A46="","",IF($B46="V01",cad!$C$25,IF($B46="V02",cad!$D$25,cad!$E$25)))</f>
        <v/>
      </c>
      <c r="Y46" t="str">
        <f>IF($A46="","",IF($B46="V01",cad!$C$26,IF($B46="V02",cad!$D$26,cad!$E$26)))</f>
        <v/>
      </c>
      <c r="Z46" t="str">
        <f>IF($A46="","",IF($B46="V01",cad!$C$27,IF($B46="V02",cad!$D$27,cad!$E$27)))</f>
        <v/>
      </c>
      <c r="AA46" t="str">
        <f>IF($A46="","",IF($B46="V01",cad!$C$28,IF($B46="V02",cad!$D$28,cad!$E$28)))</f>
        <v/>
      </c>
      <c r="AB46" t="str">
        <f>IF($A46="","",IF($B46="V01",cad!$C$39,IF($B46="V02",cad!$D$39,cad!$E$39)))</f>
        <v/>
      </c>
      <c r="AC46" t="str">
        <f>IF($A46="","",IF($F46="MBWAY",cad!$J$12,IF($F46="ISCOM",cad!$J$13,IF($F46="IPAC",cad!$J$14,IF($F46="PIGIER",cad!$J$15,cad!$J$16)))))</f>
        <v/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 t="str">
        <f>IF($A47="","",IF($B47="V01",cad!$C$23,IF($B47="V02",cad!$D$23,cad!$E$23)))</f>
        <v/>
      </c>
      <c r="W47" t="str">
        <f>IF($A47="","",IF($B47="V01",cad!$C$24,IF($B47="V02",cad!$D$24,cad!$E$24)))</f>
        <v/>
      </c>
      <c r="X47" t="str">
        <f>IF($A47="","",IF($B47="V01",cad!$C$25,IF($B47="V02",cad!$D$25,cad!$E$25)))</f>
        <v/>
      </c>
      <c r="Y47" t="str">
        <f>IF($A47="","",IF($B47="V01",cad!$C$26,IF($B47="V02",cad!$D$26,cad!$E$26)))</f>
        <v/>
      </c>
      <c r="Z47" t="str">
        <f>IF($A47="","",IF($B47="V01",cad!$C$27,IF($B47="V02",cad!$D$27,cad!$E$27)))</f>
        <v/>
      </c>
      <c r="AA47" t="str">
        <f>IF($A47="","",IF($B47="V01",cad!$C$28,IF($B47="V02",cad!$D$28,cad!$E$28)))</f>
        <v/>
      </c>
      <c r="AB47" t="str">
        <f>IF($A47="","",IF($B47="V01",cad!$C$39,IF($B47="V02",cad!$D$39,cad!$E$39)))</f>
        <v/>
      </c>
      <c r="AC47" t="str">
        <f>IF($A47="","",IF($F47="MBWAY",cad!$J$12,IF($F47="ISCOM",cad!$J$13,IF($F47="IPAC",cad!$J$14,IF($F47="PIGIER",cad!$J$15,cad!$J$16)))))</f>
        <v/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 t="str">
        <f>IF($A48="","",IF($B48="V01",cad!$C$23,IF($B48="V02",cad!$D$23,cad!$E$23)))</f>
        <v/>
      </c>
      <c r="W48" t="str">
        <f>IF($A48="","",IF($B48="V01",cad!$C$24,IF($B48="V02",cad!$D$24,cad!$E$24)))</f>
        <v/>
      </c>
      <c r="X48" t="str">
        <f>IF($A48="","",IF($B48="V01",cad!$C$25,IF($B48="V02",cad!$D$25,cad!$E$25)))</f>
        <v/>
      </c>
      <c r="Y48" t="str">
        <f>IF($A48="","",IF($B48="V01",cad!$C$26,IF($B48="V02",cad!$D$26,cad!$E$26)))</f>
        <v/>
      </c>
      <c r="Z48" t="str">
        <f>IF($A48="","",IF($B48="V01",cad!$C$27,IF($B48="V02",cad!$D$27,cad!$E$27)))</f>
        <v/>
      </c>
      <c r="AA48" t="str">
        <f>IF($A48="","",IF($B48="V01",cad!$C$28,IF($B48="V02",cad!$D$28,cad!$E$28)))</f>
        <v/>
      </c>
      <c r="AB48" t="str">
        <f>IF($A48="","",IF($B48="V01",cad!$C$39,IF($B48="V02",cad!$D$39,cad!$E$39)))</f>
        <v/>
      </c>
      <c r="AC48" t="str">
        <f>IF($A48="","",IF($F48="MBWAY",cad!$J$12,IF($F48="ISCOM",cad!$J$13,IF($F48="IPAC",cad!$J$14,IF($F48="PIGIER",cad!$J$15,cad!$J$16)))))</f>
        <v/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 t="str">
        <f>IF($A49="","",IF($B49="V01",cad!$C$23,IF($B49="V02",cad!$D$23,cad!$E$23)))</f>
        <v/>
      </c>
      <c r="W49" t="str">
        <f>IF($A49="","",IF($B49="V01",cad!$C$24,IF($B49="V02",cad!$D$24,cad!$E$24)))</f>
        <v/>
      </c>
      <c r="X49" t="str">
        <f>IF($A49="","",IF($B49="V01",cad!$C$25,IF($B49="V02",cad!$D$25,cad!$E$25)))</f>
        <v/>
      </c>
      <c r="Y49" t="str">
        <f>IF($A49="","",IF($B49="V01",cad!$C$26,IF($B49="V02",cad!$D$26,cad!$E$26)))</f>
        <v/>
      </c>
      <c r="Z49" t="str">
        <f>IF($A49="","",IF($B49="V01",cad!$C$27,IF($B49="V02",cad!$D$27,cad!$E$27)))</f>
        <v/>
      </c>
      <c r="AA49" t="str">
        <f>IF($A49="","",IF($B49="V01",cad!$C$28,IF($B49="V02",cad!$D$28,cad!$E$28)))</f>
        <v/>
      </c>
      <c r="AB49" t="str">
        <f>IF($A49="","",IF($B49="V01",cad!$C$39,IF($B49="V02",cad!$D$39,cad!$E$39)))</f>
        <v/>
      </c>
      <c r="AC49" t="str">
        <f>IF($A49="","",IF($F49="MBWAY",cad!$J$12,IF($F49="ISCOM",cad!$J$13,IF($F49="IPAC",cad!$J$14,IF($F49="PIGIER",cad!$J$15,cad!$J$16)))))</f>
        <v/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 t="str">
        <f>IF($A50="","",IF($B50="V01",cad!$C$23,IF($B50="V02",cad!$D$23,cad!$E$23)))</f>
        <v/>
      </c>
      <c r="W50" t="str">
        <f>IF($A50="","",IF($B50="V01",cad!$C$24,IF($B50="V02",cad!$D$24,cad!$E$24)))</f>
        <v/>
      </c>
      <c r="X50" t="str">
        <f>IF($A50="","",IF($B50="V01",cad!$C$25,IF($B50="V02",cad!$D$25,cad!$E$25)))</f>
        <v/>
      </c>
      <c r="Y50" t="str">
        <f>IF($A50="","",IF($B50="V01",cad!$C$26,IF($B50="V02",cad!$D$26,cad!$E$26)))</f>
        <v/>
      </c>
      <c r="Z50" t="str">
        <f>IF($A50="","",IF($B50="V01",cad!$C$27,IF($B50="V02",cad!$D$27,cad!$E$27)))</f>
        <v/>
      </c>
      <c r="AA50" t="str">
        <f>IF($A50="","",IF($B50="V01",cad!$C$28,IF($B50="V02",cad!$D$28,cad!$E$28)))</f>
        <v/>
      </c>
      <c r="AB50" t="str">
        <f>IF($A50="","",IF($B50="V01",cad!$C$39,IF($B50="V02",cad!$D$39,cad!$E$39)))</f>
        <v/>
      </c>
      <c r="AC50" t="str">
        <f>IF($A50="","",IF($F50="MBWAY",cad!$J$12,IF($F50="ISCOM",cad!$J$13,IF($F50="IPAC",cad!$J$14,IF($F50="PIGIER",cad!$J$15,cad!$J$16)))))</f>
        <v/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 t="str">
        <f>IF($A51="","",IF($B51="V01",cad!$C$23,IF($B51="V02",cad!$D$23,cad!$E$23)))</f>
        <v/>
      </c>
      <c r="W51" t="str">
        <f>IF($A51="","",IF($B51="V01",cad!$C$24,IF($B51="V02",cad!$D$24,cad!$E$24)))</f>
        <v/>
      </c>
      <c r="X51" t="str">
        <f>IF($A51="","",IF($B51="V01",cad!$C$25,IF($B51="V02",cad!$D$25,cad!$E$25)))</f>
        <v/>
      </c>
      <c r="Y51" t="str">
        <f>IF($A51="","",IF($B51="V01",cad!$C$26,IF($B51="V02",cad!$D$26,cad!$E$26)))</f>
        <v/>
      </c>
      <c r="Z51" t="str">
        <f>IF($A51="","",IF($B51="V01",cad!$C$27,IF($B51="V02",cad!$D$27,cad!$E$27)))</f>
        <v/>
      </c>
      <c r="AA51" t="str">
        <f>IF($A51="","",IF($B51="V01",cad!$C$28,IF($B51="V02",cad!$D$28,cad!$E$28)))</f>
        <v/>
      </c>
      <c r="AB51" t="str">
        <f>IF($A51="","",IF($B51="V01",cad!$C$39,IF($B51="V02",cad!$D$39,cad!$E$39)))</f>
        <v/>
      </c>
      <c r="AC51" t="str">
        <f>IF($A51="","",IF($F51="MBWAY",cad!$J$12,IF($F51="ISCOM",cad!$J$13,IF($F51="IPAC",cad!$J$14,IF($F51="PIGIER",cad!$J$15,cad!$J$16)))))</f>
        <v/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 t="str">
        <f>IF($A52="","",IF($B52="V01",cad!$C$23,IF($B52="V02",cad!$D$23,cad!$E$23)))</f>
        <v/>
      </c>
      <c r="W52" t="str">
        <f>IF($A52="","",IF($B52="V01",cad!$C$24,IF($B52="V02",cad!$D$24,cad!$E$24)))</f>
        <v/>
      </c>
      <c r="X52" t="str">
        <f>IF($A52="","",IF($B52="V01",cad!$C$25,IF($B52="V02",cad!$D$25,cad!$E$25)))</f>
        <v/>
      </c>
      <c r="Y52" t="str">
        <f>IF($A52="","",IF($B52="V01",cad!$C$26,IF($B52="V02",cad!$D$26,cad!$E$26)))</f>
        <v/>
      </c>
      <c r="Z52" t="str">
        <f>IF($A52="","",IF($B52="V01",cad!$C$27,IF($B52="V02",cad!$D$27,cad!$E$27)))</f>
        <v/>
      </c>
      <c r="AA52" t="str">
        <f>IF($A52="","",IF($B52="V01",cad!$C$28,IF($B52="V02",cad!$D$28,cad!$E$28)))</f>
        <v/>
      </c>
      <c r="AB52" t="str">
        <f>IF($A52="","",IF($B52="V01",cad!$C$39,IF($B52="V02",cad!$D$39,cad!$E$39)))</f>
        <v/>
      </c>
      <c r="AC52" t="str">
        <f>IF($A52="","",IF($F52="MBWAY",cad!$J$12,IF($F52="ISCOM",cad!$J$13,IF($F52="IPAC",cad!$J$14,IF($F52="PIGIER",cad!$J$15,cad!$J$16)))))</f>
        <v/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 t="str">
        <f>IF($A53="","",IF($B53="V01",cad!$C$23,IF($B53="V02",cad!$D$23,cad!$E$23)))</f>
        <v/>
      </c>
      <c r="W53" t="str">
        <f>IF($A53="","",IF($B53="V01",cad!$C$24,IF($B53="V02",cad!$D$24,cad!$E$24)))</f>
        <v/>
      </c>
      <c r="X53" t="str">
        <f>IF($A53="","",IF($B53="V01",cad!$C$25,IF($B53="V02",cad!$D$25,cad!$E$25)))</f>
        <v/>
      </c>
      <c r="Y53" t="str">
        <f>IF($A53="","",IF($B53="V01",cad!$C$26,IF($B53="V02",cad!$D$26,cad!$E$26)))</f>
        <v/>
      </c>
      <c r="Z53" t="str">
        <f>IF($A53="","",IF($B53="V01",cad!$C$27,IF($B53="V02",cad!$D$27,cad!$E$27)))</f>
        <v/>
      </c>
      <c r="AA53" t="str">
        <f>IF($A53="","",IF($B53="V01",cad!$C$28,IF($B53="V02",cad!$D$28,cad!$E$28)))</f>
        <v/>
      </c>
      <c r="AB53" t="str">
        <f>IF($A53="","",IF($B53="V01",cad!$C$39,IF($B53="V02",cad!$D$39,cad!$E$39)))</f>
        <v/>
      </c>
      <c r="AC53" t="str">
        <f>IF($A53="","",IF($F53="MBWAY",cad!$J$12,IF($F53="ISCOM",cad!$J$13,IF($F53="IPAC",cad!$J$14,IF($F53="PIGIER",cad!$J$15,cad!$J$16)))))</f>
        <v/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 t="str">
        <f>IF($A54="","",IF($B54="V01",cad!$C$23,IF($B54="V02",cad!$D$23,cad!$E$23)))</f>
        <v/>
      </c>
      <c r="W54" t="str">
        <f>IF($A54="","",IF($B54="V01",cad!$C$24,IF($B54="V02",cad!$D$24,cad!$E$24)))</f>
        <v/>
      </c>
      <c r="X54" t="str">
        <f>IF($A54="","",IF($B54="V01",cad!$C$25,IF($B54="V02",cad!$D$25,cad!$E$25)))</f>
        <v/>
      </c>
      <c r="Y54" t="str">
        <f>IF($A54="","",IF($B54="V01",cad!$C$26,IF($B54="V02",cad!$D$26,cad!$E$26)))</f>
        <v/>
      </c>
      <c r="Z54" t="str">
        <f>IF($A54="","",IF($B54="V01",cad!$C$27,IF($B54="V02",cad!$D$27,cad!$E$27)))</f>
        <v/>
      </c>
      <c r="AA54" t="str">
        <f>IF($A54="","",IF($B54="V01",cad!$C$28,IF($B54="V02",cad!$D$28,cad!$E$28)))</f>
        <v/>
      </c>
      <c r="AB54" t="str">
        <f>IF($A54="","",IF($B54="V01",cad!$C$39,IF($B54="V02",cad!$D$39,cad!$E$39)))</f>
        <v/>
      </c>
      <c r="AC54" t="str">
        <f>IF($A54="","",IF($F54="MBWAY",cad!$J$12,IF($F54="ISCOM",cad!$J$13,IF($F54="IPAC",cad!$J$14,IF($F54="PIGIER",cad!$J$15,cad!$J$16)))))</f>
        <v/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 t="str">
        <f>IF($A55="","",IF($B55="V01",cad!$C$23,IF($B55="V02",cad!$D$23,cad!$E$23)))</f>
        <v/>
      </c>
      <c r="W55" t="str">
        <f>IF($A55="","",IF($B55="V01",cad!$C$24,IF($B55="V02",cad!$D$24,cad!$E$24)))</f>
        <v/>
      </c>
      <c r="X55" t="str">
        <f>IF($A55="","",IF($B55="V01",cad!$C$25,IF($B55="V02",cad!$D$25,cad!$E$25)))</f>
        <v/>
      </c>
      <c r="Y55" t="str">
        <f>IF($A55="","",IF($B55="V01",cad!$C$26,IF($B55="V02",cad!$D$26,cad!$E$26)))</f>
        <v/>
      </c>
      <c r="Z55" t="str">
        <f>IF($A55="","",IF($B55="V01",cad!$C$27,IF($B55="V02",cad!$D$27,cad!$E$27)))</f>
        <v/>
      </c>
      <c r="AA55" t="str">
        <f>IF($A55="","",IF($B55="V01",cad!$C$28,IF($B55="V02",cad!$D$28,cad!$E$28)))</f>
        <v/>
      </c>
      <c r="AB55" t="str">
        <f>IF($A55="","",IF($B55="V01",cad!$C$39,IF($B55="V02",cad!$D$39,cad!$E$39)))</f>
        <v/>
      </c>
      <c r="AC55" t="str">
        <f>IF($A55="","",IF($F55="MBWAY",cad!$J$12,IF($F55="ISCOM",cad!$J$13,IF($F55="IPAC",cad!$J$14,IF($F55="PIGIER",cad!$J$15,cad!$J$16)))))</f>
        <v/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 t="str">
        <f>IF($A56="","",IF($B56="V01",cad!$C$23,IF($B56="V02",cad!$D$23,cad!$E$23)))</f>
        <v/>
      </c>
      <c r="W56" t="str">
        <f>IF($A56="","",IF($B56="V01",cad!$C$24,IF($B56="V02",cad!$D$24,cad!$E$24)))</f>
        <v/>
      </c>
      <c r="X56" t="str">
        <f>IF($A56="","",IF($B56="V01",cad!$C$25,IF($B56="V02",cad!$D$25,cad!$E$25)))</f>
        <v/>
      </c>
      <c r="Y56" t="str">
        <f>IF($A56="","",IF($B56="V01",cad!$C$26,IF($B56="V02",cad!$D$26,cad!$E$26)))</f>
        <v/>
      </c>
      <c r="Z56" t="str">
        <f>IF($A56="","",IF($B56="V01",cad!$C$27,IF($B56="V02",cad!$D$27,cad!$E$27)))</f>
        <v/>
      </c>
      <c r="AA56" t="str">
        <f>IF($A56="","",IF($B56="V01",cad!$C$28,IF($B56="V02",cad!$D$28,cad!$E$28)))</f>
        <v/>
      </c>
      <c r="AB56" t="str">
        <f>IF($A56="","",IF($B56="V01",cad!$C$39,IF($B56="V02",cad!$D$39,cad!$E$39)))</f>
        <v/>
      </c>
      <c r="AC56" t="str">
        <f>IF($A56="","",IF($F56="MBWAY",cad!$J$12,IF($F56="ISCOM",cad!$J$13,IF($F56="IPAC",cad!$J$14,IF($F56="PIGIER",cad!$J$15,cad!$J$16)))))</f>
        <v/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 t="str">
        <f>IF($A57="","",IF($B57="V01",cad!$C$23,IF($B57="V02",cad!$D$23,cad!$E$23)))</f>
        <v/>
      </c>
      <c r="W57" t="str">
        <f>IF($A57="","",IF($B57="V01",cad!$C$24,IF($B57="V02",cad!$D$24,cad!$E$24)))</f>
        <v/>
      </c>
      <c r="X57" t="str">
        <f>IF($A57="","",IF($B57="V01",cad!$C$25,IF($B57="V02",cad!$D$25,cad!$E$25)))</f>
        <v/>
      </c>
      <c r="Y57" t="str">
        <f>IF($A57="","",IF($B57="V01",cad!$C$26,IF($B57="V02",cad!$D$26,cad!$E$26)))</f>
        <v/>
      </c>
      <c r="Z57" t="str">
        <f>IF($A57="","",IF($B57="V01",cad!$C$27,IF($B57="V02",cad!$D$27,cad!$E$27)))</f>
        <v/>
      </c>
      <c r="AA57" t="str">
        <f>IF($A57="","",IF($B57="V01",cad!$C$28,IF($B57="V02",cad!$D$28,cad!$E$28)))</f>
        <v/>
      </c>
      <c r="AB57" t="str">
        <f>IF($A57="","",IF($B57="V01",cad!$C$39,IF($B57="V02",cad!$D$39,cad!$E$39)))</f>
        <v/>
      </c>
      <c r="AC57" t="str">
        <f>IF($A57="","",IF($F57="MBWAY",cad!$J$12,IF($F57="ISCOM",cad!$J$13,IF($F57="IPAC",cad!$J$14,IF($F57="PIGIER",cad!$J$15,cad!$J$16)))))</f>
        <v/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 t="str">
        <f>IF($A58="","",IF($B58="V01",cad!$C$23,IF($B58="V02",cad!$D$23,cad!$E$23)))</f>
        <v/>
      </c>
      <c r="W58" t="str">
        <f>IF($A58="","",IF($B58="V01",cad!$C$24,IF($B58="V02",cad!$D$24,cad!$E$24)))</f>
        <v/>
      </c>
      <c r="X58" t="str">
        <f>IF($A58="","",IF($B58="V01",cad!$C$25,IF($B58="V02",cad!$D$25,cad!$E$25)))</f>
        <v/>
      </c>
      <c r="Y58" t="str">
        <f>IF($A58="","",IF($B58="V01",cad!$C$26,IF($B58="V02",cad!$D$26,cad!$E$26)))</f>
        <v/>
      </c>
      <c r="Z58" t="str">
        <f>IF($A58="","",IF($B58="V01",cad!$C$27,IF($B58="V02",cad!$D$27,cad!$E$27)))</f>
        <v/>
      </c>
      <c r="AA58" t="str">
        <f>IF($A58="","",IF($B58="V01",cad!$C$28,IF($B58="V02",cad!$D$28,cad!$E$28)))</f>
        <v/>
      </c>
      <c r="AB58" t="str">
        <f>IF($A58="","",IF($B58="V01",cad!$C$39,IF($B58="V02",cad!$D$39,cad!$E$39)))</f>
        <v/>
      </c>
      <c r="AC58" t="str">
        <f>IF($A58="","",IF($F58="MBWAY",cad!$J$12,IF($F58="ISCOM",cad!$J$13,IF($F58="IPAC",cad!$J$14,IF($F58="PIGIER",cad!$J$15,cad!$J$16)))))</f>
        <v/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 t="str">
        <f>IF($A59="","",IF($B59="V01",cad!$C$23,IF($B59="V02",cad!$D$23,cad!$E$23)))</f>
        <v/>
      </c>
      <c r="W59" t="str">
        <f>IF($A59="","",IF($B59="V01",cad!$C$24,IF($B59="V02",cad!$D$24,cad!$E$24)))</f>
        <v/>
      </c>
      <c r="X59" t="str">
        <f>IF($A59="","",IF($B59="V01",cad!$C$25,IF($B59="V02",cad!$D$25,cad!$E$25)))</f>
        <v/>
      </c>
      <c r="Y59" t="str">
        <f>IF($A59="","",IF($B59="V01",cad!$C$26,IF($B59="V02",cad!$D$26,cad!$E$26)))</f>
        <v/>
      </c>
      <c r="Z59" t="str">
        <f>IF($A59="","",IF($B59="V01",cad!$C$27,IF($B59="V02",cad!$D$27,cad!$E$27)))</f>
        <v/>
      </c>
      <c r="AA59" t="str">
        <f>IF($A59="","",IF($B59="V01",cad!$C$28,IF($B59="V02",cad!$D$28,cad!$E$28)))</f>
        <v/>
      </c>
      <c r="AB59" t="str">
        <f>IF($A59="","",IF($B59="V01",cad!$C$39,IF($B59="V02",cad!$D$39,cad!$E$39)))</f>
        <v/>
      </c>
      <c r="AC59" t="str">
        <f>IF($A59="","",IF($F59="MBWAY",cad!$J$12,IF($F59="ISCOM",cad!$J$13,IF($F59="IPAC",cad!$J$14,IF($F59="PIGIER",cad!$J$15,cad!$J$16)))))</f>
        <v/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 t="str">
        <f>IF($A60="","",IF($B60="V01",cad!$C$23,IF($B60="V02",cad!$D$23,cad!$E$23)))</f>
        <v/>
      </c>
      <c r="W60" t="str">
        <f>IF($A60="","",IF($B60="V01",cad!$C$24,IF($B60="V02",cad!$D$24,cad!$E$24)))</f>
        <v/>
      </c>
      <c r="X60" t="str">
        <f>IF($A60="","",IF($B60="V01",cad!$C$25,IF($B60="V02",cad!$D$25,cad!$E$25)))</f>
        <v/>
      </c>
      <c r="Y60" t="str">
        <f>IF($A60="","",IF($B60="V01",cad!$C$26,IF($B60="V02",cad!$D$26,cad!$E$26)))</f>
        <v/>
      </c>
      <c r="Z60" t="str">
        <f>IF($A60="","",IF($B60="V01",cad!$C$27,IF($B60="V02",cad!$D$27,cad!$E$27)))</f>
        <v/>
      </c>
      <c r="AA60" t="str">
        <f>IF($A60="","",IF($B60="V01",cad!$C$28,IF($B60="V02",cad!$D$28,cad!$E$28)))</f>
        <v/>
      </c>
      <c r="AB60" t="str">
        <f>IF($A60="","",IF($B60="V01",cad!$C$39,IF($B60="V02",cad!$D$39,cad!$E$39)))</f>
        <v/>
      </c>
      <c r="AC60" t="str">
        <f>IF($A60="","",IF($F60="MBWAY",cad!$J$12,IF($F60="ISCOM",cad!$J$13,IF($F60="IPAC",cad!$J$14,IF($F60="PIGIER",cad!$J$15,cad!$J$16)))))</f>
        <v/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 t="str">
        <f>IF($A61="","",IF($B61="V01",cad!$C$23,IF($B61="V02",cad!$D$23,cad!$E$23)))</f>
        <v/>
      </c>
      <c r="W61" t="str">
        <f>IF($A61="","",IF($B61="V01",cad!$C$24,IF($B61="V02",cad!$D$24,cad!$E$24)))</f>
        <v/>
      </c>
      <c r="X61" t="str">
        <f>IF($A61="","",IF($B61="V01",cad!$C$25,IF($B61="V02",cad!$D$25,cad!$E$25)))</f>
        <v/>
      </c>
      <c r="Y61" t="str">
        <f>IF($A61="","",IF($B61="V01",cad!$C$26,IF($B61="V02",cad!$D$26,cad!$E$26)))</f>
        <v/>
      </c>
      <c r="Z61" t="str">
        <f>IF($A61="","",IF($B61="V01",cad!$C$27,IF($B61="V02",cad!$D$27,cad!$E$27)))</f>
        <v/>
      </c>
      <c r="AA61" t="str">
        <f>IF($A61="","",IF($B61="V01",cad!$C$28,IF($B61="V02",cad!$D$28,cad!$E$28)))</f>
        <v/>
      </c>
      <c r="AB61" t="str">
        <f>IF($A61="","",IF($B61="V01",cad!$C$39,IF($B61="V02",cad!$D$39,cad!$E$39)))</f>
        <v/>
      </c>
      <c r="AC61" t="str">
        <f>IF($A61="","",IF($F61="MBWAY",cad!$J$12,IF($F61="ISCOM",cad!$J$13,IF($F61="IPAC",cad!$J$14,IF($F61="PIGIER",cad!$J$15,cad!$J$16)))))</f>
        <v/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 t="str">
        <f>IF($A62="","",IF($B62="V01",cad!$C$23,IF($B62="V02",cad!$D$23,cad!$E$23)))</f>
        <v/>
      </c>
      <c r="W62" t="str">
        <f>IF($A62="","",IF($B62="V01",cad!$C$24,IF($B62="V02",cad!$D$24,cad!$E$24)))</f>
        <v/>
      </c>
      <c r="X62" t="str">
        <f>IF($A62="","",IF($B62="V01",cad!$C$25,IF($B62="V02",cad!$D$25,cad!$E$25)))</f>
        <v/>
      </c>
      <c r="Y62" t="str">
        <f>IF($A62="","",IF($B62="V01",cad!$C$26,IF($B62="V02",cad!$D$26,cad!$E$26)))</f>
        <v/>
      </c>
      <c r="Z62" t="str">
        <f>IF($A62="","",IF($B62="V01",cad!$C$27,IF($B62="V02",cad!$D$27,cad!$E$27)))</f>
        <v/>
      </c>
      <c r="AA62" t="str">
        <f>IF($A62="","",IF($B62="V01",cad!$C$28,IF($B62="V02",cad!$D$28,cad!$E$28)))</f>
        <v/>
      </c>
      <c r="AB62" t="str">
        <f>IF($A62="","",IF($B62="V01",cad!$C$39,IF($B62="V02",cad!$D$39,cad!$E$39)))</f>
        <v/>
      </c>
      <c r="AC62" t="str">
        <f>IF($A62="","",IF($F62="MBWAY",cad!$J$12,IF($F62="ISCOM",cad!$J$13,IF($F62="IPAC",cad!$J$14,IF($F62="PIGIER",cad!$J$15,cad!$J$16)))))</f>
        <v/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 t="str">
        <f>IF($A63="","",IF($B63="V01",cad!$C$23,IF($B63="V02",cad!$D$23,cad!$E$23)))</f>
        <v/>
      </c>
      <c r="W63" t="str">
        <f>IF($A63="","",IF($B63="V01",cad!$C$24,IF($B63="V02",cad!$D$24,cad!$E$24)))</f>
        <v/>
      </c>
      <c r="X63" t="str">
        <f>IF($A63="","",IF($B63="V01",cad!$C$25,IF($B63="V02",cad!$D$25,cad!$E$25)))</f>
        <v/>
      </c>
      <c r="Y63" t="str">
        <f>IF($A63="","",IF($B63="V01",cad!$C$26,IF($B63="V02",cad!$D$26,cad!$E$26)))</f>
        <v/>
      </c>
      <c r="Z63" t="str">
        <f>IF($A63="","",IF($B63="V01",cad!$C$27,IF($B63="V02",cad!$D$27,cad!$E$27)))</f>
        <v/>
      </c>
      <c r="AA63" t="str">
        <f>IF($A63="","",IF($B63="V01",cad!$C$28,IF($B63="V02",cad!$D$28,cad!$E$28)))</f>
        <v/>
      </c>
      <c r="AB63" t="str">
        <f>IF($A63="","",IF($B63="V01",cad!$C$39,IF($B63="V02",cad!$D$39,cad!$E$39)))</f>
        <v/>
      </c>
      <c r="AC63" t="str">
        <f>IF($A63="","",IF($F63="MBWAY",cad!$J$12,IF($F63="ISCOM",cad!$J$13,IF($F63="IPAC",cad!$J$14,IF($F63="PIGIER",cad!$J$15,cad!$J$16)))))</f>
        <v/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 t="str">
        <f>IF($A64="","",IF($B64="V01",cad!$C$23,IF($B64="V02",cad!$D$23,cad!$E$23)))</f>
        <v/>
      </c>
      <c r="W64" t="str">
        <f>IF($A64="","",IF($B64="V01",cad!$C$24,IF($B64="V02",cad!$D$24,cad!$E$24)))</f>
        <v/>
      </c>
      <c r="X64" t="str">
        <f>IF($A64="","",IF($B64="V01",cad!$C$25,IF($B64="V02",cad!$D$25,cad!$E$25)))</f>
        <v/>
      </c>
      <c r="Y64" t="str">
        <f>IF($A64="","",IF($B64="V01",cad!$C$26,IF($B64="V02",cad!$D$26,cad!$E$26)))</f>
        <v/>
      </c>
      <c r="Z64" t="str">
        <f>IF($A64="","",IF($B64="V01",cad!$C$27,IF($B64="V02",cad!$D$27,cad!$E$27)))</f>
        <v/>
      </c>
      <c r="AA64" t="str">
        <f>IF($A64="","",IF($B64="V01",cad!$C$28,IF($B64="V02",cad!$D$28,cad!$E$28)))</f>
        <v/>
      </c>
      <c r="AB64" t="str">
        <f>IF($A64="","",IF($B64="V01",cad!$C$39,IF($B64="V02",cad!$D$39,cad!$E$39)))</f>
        <v/>
      </c>
      <c r="AC64" t="str">
        <f>IF($A64="","",IF($F64="MBWAY",cad!$J$12,IF($F64="ISCOM",cad!$J$13,IF($F64="IPAC",cad!$J$14,IF($F64="PIGIER",cad!$J$15,cad!$J$16)))))</f>
        <v/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 t="str">
        <f>IF($A65="","",IF($B65="V01",cad!$C$23,IF($B65="V02",cad!$D$23,cad!$E$23)))</f>
        <v/>
      </c>
      <c r="W65" t="str">
        <f>IF($A65="","",IF($B65="V01",cad!$C$24,IF($B65="V02",cad!$D$24,cad!$E$24)))</f>
        <v/>
      </c>
      <c r="X65" t="str">
        <f>IF($A65="","",IF($B65="V01",cad!$C$25,IF($B65="V02",cad!$D$25,cad!$E$25)))</f>
        <v/>
      </c>
      <c r="Y65" t="str">
        <f>IF($A65="","",IF($B65="V01",cad!$C$26,IF($B65="V02",cad!$D$26,cad!$E$26)))</f>
        <v/>
      </c>
      <c r="Z65" t="str">
        <f>IF($A65="","",IF($B65="V01",cad!$C$27,IF($B65="V02",cad!$D$27,cad!$E$27)))</f>
        <v/>
      </c>
      <c r="AA65" t="str">
        <f>IF($A65="","",IF($B65="V01",cad!$C$28,IF($B65="V02",cad!$D$28,cad!$E$28)))</f>
        <v/>
      </c>
      <c r="AB65" t="str">
        <f>IF($A65="","",IF($B65="V01",cad!$C$39,IF($B65="V02",cad!$D$39,cad!$E$39)))</f>
        <v/>
      </c>
      <c r="AC65" t="str">
        <f>IF($A65="","",IF($F65="MBWAY",cad!$J$12,IF($F65="ISCOM",cad!$J$13,IF($F65="IPAC",cad!$J$14,IF($F65="PIGIER",cad!$J$15,cad!$J$16)))))</f>
        <v/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 t="str">
        <f>IF($A66="","",IF($B66="V01",cad!$C$23,IF($B66="V02",cad!$D$23,cad!$E$23)))</f>
        <v/>
      </c>
      <c r="W66" t="str">
        <f>IF($A66="","",IF($B66="V01",cad!$C$24,IF($B66="V02",cad!$D$24,cad!$E$24)))</f>
        <v/>
      </c>
      <c r="X66" t="str">
        <f>IF($A66="","",IF($B66="V01",cad!$C$25,IF($B66="V02",cad!$D$25,cad!$E$25)))</f>
        <v/>
      </c>
      <c r="Y66" t="str">
        <f>IF($A66="","",IF($B66="V01",cad!$C$26,IF($B66="V02",cad!$D$26,cad!$E$26)))</f>
        <v/>
      </c>
      <c r="Z66" t="str">
        <f>IF($A66="","",IF($B66="V01",cad!$C$27,IF($B66="V02",cad!$D$27,cad!$E$27)))</f>
        <v/>
      </c>
      <c r="AA66" t="str">
        <f>IF($A66="","",IF($B66="V01",cad!$C$28,IF($B66="V02",cad!$D$28,cad!$E$28)))</f>
        <v/>
      </c>
      <c r="AB66" t="str">
        <f>IF($A66="","",IF($B66="V01",cad!$C$39,IF($B66="V02",cad!$D$39,cad!$E$39)))</f>
        <v/>
      </c>
      <c r="AC66" t="str">
        <f>IF($A66="","",IF($F66="MBWAY",cad!$J$12,IF($F66="ISCOM",cad!$J$13,IF($F66="IPAC",cad!$J$14,IF($F66="PIGIER",cad!$J$15,cad!$J$16)))))</f>
        <v/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 t="str">
        <f>IF($A67="","",IF($B67="V01",cad!$C$23,IF($B67="V02",cad!$D$23,cad!$E$23)))</f>
        <v/>
      </c>
      <c r="W67" t="str">
        <f>IF($A67="","",IF($B67="V01",cad!$C$24,IF($B67="V02",cad!$D$24,cad!$E$24)))</f>
        <v/>
      </c>
      <c r="X67" t="str">
        <f>IF($A67="","",IF($B67="V01",cad!$C$25,IF($B67="V02",cad!$D$25,cad!$E$25)))</f>
        <v/>
      </c>
      <c r="Y67" t="str">
        <f>IF($A67="","",IF($B67="V01",cad!$C$26,IF($B67="V02",cad!$D$26,cad!$E$26)))</f>
        <v/>
      </c>
      <c r="Z67" t="str">
        <f>IF($A67="","",IF($B67="V01",cad!$C$27,IF($B67="V02",cad!$D$27,cad!$E$27)))</f>
        <v/>
      </c>
      <c r="AA67" t="str">
        <f>IF($A67="","",IF($B67="V01",cad!$C$28,IF($B67="V02",cad!$D$28,cad!$E$28)))</f>
        <v/>
      </c>
      <c r="AB67" t="str">
        <f>IF($A67="","",IF($B67="V01",cad!$C$39,IF($B67="V02",cad!$D$39,cad!$E$39)))</f>
        <v/>
      </c>
      <c r="AC67" t="str">
        <f>IF($A67="","",IF($F67="MBWAY",cad!$J$12,IF($F67="ISCOM",cad!$J$13,IF($F67="IPAC",cad!$J$14,IF($F67="PIGIER",cad!$J$15,cad!$J$16)))))</f>
        <v/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 t="str">
        <f>IF($A68="","",IF($B68="V01",cad!$C$23,IF($B68="V02",cad!$D$23,cad!$E$23)))</f>
        <v/>
      </c>
      <c r="W68" t="str">
        <f>IF($A68="","",IF($B68="V01",cad!$C$24,IF($B68="V02",cad!$D$24,cad!$E$24)))</f>
        <v/>
      </c>
      <c r="X68" t="str">
        <f>IF($A68="","",IF($B68="V01",cad!$C$25,IF($B68="V02",cad!$D$25,cad!$E$25)))</f>
        <v/>
      </c>
      <c r="Y68" t="str">
        <f>IF($A68="","",IF($B68="V01",cad!$C$26,IF($B68="V02",cad!$D$26,cad!$E$26)))</f>
        <v/>
      </c>
      <c r="Z68" t="str">
        <f>IF($A68="","",IF($B68="V01",cad!$C$27,IF($B68="V02",cad!$D$27,cad!$E$27)))</f>
        <v/>
      </c>
      <c r="AA68" t="str">
        <f>IF($A68="","",IF($B68="V01",cad!$C$28,IF($B68="V02",cad!$D$28,cad!$E$28)))</f>
        <v/>
      </c>
      <c r="AB68" t="str">
        <f>IF($A68="","",IF($B68="V01",cad!$C$39,IF($B68="V02",cad!$D$39,cad!$E$39)))</f>
        <v/>
      </c>
      <c r="AC68" t="str">
        <f>IF($A68="","",IF($F68="MBWAY",cad!$J$12,IF($F68="ISCOM",cad!$J$13,IF($F68="IPAC",cad!$J$14,IF($F68="PIGIER",cad!$J$15,cad!$J$16)))))</f>
        <v/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 t="str">
        <f>IF($A69="","",IF($B69="V01",cad!$C$23,IF($B69="V02",cad!$D$23,cad!$E$23)))</f>
        <v/>
      </c>
      <c r="W69" t="str">
        <f>IF($A69="","",IF($B69="V01",cad!$C$24,IF($B69="V02",cad!$D$24,cad!$E$24)))</f>
        <v/>
      </c>
      <c r="X69" t="str">
        <f>IF($A69="","",IF($B69="V01",cad!$C$25,IF($B69="V02",cad!$D$25,cad!$E$25)))</f>
        <v/>
      </c>
      <c r="Y69" t="str">
        <f>IF($A69="","",IF($B69="V01",cad!$C$26,IF($B69="V02",cad!$D$26,cad!$E$26)))</f>
        <v/>
      </c>
      <c r="Z69" t="str">
        <f>IF($A69="","",IF($B69="V01",cad!$C$27,IF($B69="V02",cad!$D$27,cad!$E$27)))</f>
        <v/>
      </c>
      <c r="AA69" t="str">
        <f>IF($A69="","",IF($B69="V01",cad!$C$28,IF($B69="V02",cad!$D$28,cad!$E$28)))</f>
        <v/>
      </c>
      <c r="AB69" t="str">
        <f>IF($A69="","",IF($B69="V01",cad!$C$39,IF($B69="V02",cad!$D$39,cad!$E$39)))</f>
        <v/>
      </c>
      <c r="AC69" t="str">
        <f>IF($A69="","",IF($F69="MBWAY",cad!$J$12,IF($F69="ISCOM",cad!$J$13,IF($F69="IPAC",cad!$J$14,IF($F69="PIGIER",cad!$J$15,cad!$J$16)))))</f>
        <v/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 t="str">
        <f>IF($A70="","",IF($B70="V01",cad!$C$23,IF($B70="V02",cad!$D$23,cad!$E$23)))</f>
        <v/>
      </c>
      <c r="W70" t="str">
        <f>IF($A70="","",IF($B70="V01",cad!$C$24,IF($B70="V02",cad!$D$24,cad!$E$24)))</f>
        <v/>
      </c>
      <c r="X70" t="str">
        <f>IF($A70="","",IF($B70="V01",cad!$C$25,IF($B70="V02",cad!$D$25,cad!$E$25)))</f>
        <v/>
      </c>
      <c r="Y70" t="str">
        <f>IF($A70="","",IF($B70="V01",cad!$C$26,IF($B70="V02",cad!$D$26,cad!$E$26)))</f>
        <v/>
      </c>
      <c r="Z70" t="str">
        <f>IF($A70="","",IF($B70="V01",cad!$C$27,IF($B70="V02",cad!$D$27,cad!$E$27)))</f>
        <v/>
      </c>
      <c r="AA70" t="str">
        <f>IF($A70="","",IF($B70="V01",cad!$C$28,IF($B70="V02",cad!$D$28,cad!$E$28)))</f>
        <v/>
      </c>
      <c r="AB70" t="str">
        <f>IF($A70="","",IF($B70="V01",cad!$C$39,IF($B70="V02",cad!$D$39,cad!$E$39)))</f>
        <v/>
      </c>
      <c r="AC70" t="str">
        <f>IF($A70="","",IF($F70="MBWAY",cad!$J$12,IF($F70="ISCOM",cad!$J$13,IF($F70="IPAC",cad!$J$14,IF($F70="PIGIER",cad!$J$15,cad!$J$16)))))</f>
        <v/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 t="str">
        <f>IF($A71="","",IF($B71="V01",cad!$C$23,IF($B71="V02",cad!$D$23,cad!$E$23)))</f>
        <v/>
      </c>
      <c r="W71" t="str">
        <f>IF($A71="","",IF($B71="V01",cad!$C$24,IF($B71="V02",cad!$D$24,cad!$E$24)))</f>
        <v/>
      </c>
      <c r="X71" t="str">
        <f>IF($A71="","",IF($B71="V01",cad!$C$25,IF($B71="V02",cad!$D$25,cad!$E$25)))</f>
        <v/>
      </c>
      <c r="Y71" t="str">
        <f>IF($A71="","",IF($B71="V01",cad!$C$26,IF($B71="V02",cad!$D$26,cad!$E$26)))</f>
        <v/>
      </c>
      <c r="Z71" t="str">
        <f>IF($A71="","",IF($B71="V01",cad!$C$27,IF($B71="V02",cad!$D$27,cad!$E$27)))</f>
        <v/>
      </c>
      <c r="AA71" t="str">
        <f>IF($A71="","",IF($B71="V01",cad!$C$28,IF($B71="V02",cad!$D$28,cad!$E$28)))</f>
        <v/>
      </c>
      <c r="AB71" t="str">
        <f>IF($A71="","",IF($B71="V01",cad!$C$39,IF($B71="V02",cad!$D$39,cad!$E$39)))</f>
        <v/>
      </c>
      <c r="AC71" t="str">
        <f>IF($A71="","",IF($F71="MBWAY",cad!$J$12,IF($F71="ISCOM",cad!$J$13,IF($F71="IPAC",cad!$J$14,IF($F71="PIGIER",cad!$J$15,cad!$J$16)))))</f>
        <v/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 t="str">
        <f>IF($A72="","",IF($B72="V01",cad!$C$23,IF($B72="V02",cad!$D$23,cad!$E$23)))</f>
        <v/>
      </c>
      <c r="W72" t="str">
        <f>IF($A72="","",IF($B72="V01",cad!$C$24,IF($B72="V02",cad!$D$24,cad!$E$24)))</f>
        <v/>
      </c>
      <c r="X72" t="str">
        <f>IF($A72="","",IF($B72="V01",cad!$C$25,IF($B72="V02",cad!$D$25,cad!$E$25)))</f>
        <v/>
      </c>
      <c r="Y72" t="str">
        <f>IF($A72="","",IF($B72="V01",cad!$C$26,IF($B72="V02",cad!$D$26,cad!$E$26)))</f>
        <v/>
      </c>
      <c r="Z72" t="str">
        <f>IF($A72="","",IF($B72="V01",cad!$C$27,IF($B72="V02",cad!$D$27,cad!$E$27)))</f>
        <v/>
      </c>
      <c r="AA72" t="str">
        <f>IF($A72="","",IF($B72="V01",cad!$C$28,IF($B72="V02",cad!$D$28,cad!$E$28)))</f>
        <v/>
      </c>
      <c r="AB72" t="str">
        <f>IF($A72="","",IF($B72="V01",cad!$C$39,IF($B72="V02",cad!$D$39,cad!$E$39)))</f>
        <v/>
      </c>
      <c r="AC72" t="str">
        <f>IF($A72="","",IF($F72="MBWAY",cad!$J$12,IF($F72="ISCOM",cad!$J$13,IF($F72="IPAC",cad!$J$14,IF($F72="PIGIER",cad!$J$15,cad!$J$16)))))</f>
        <v/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 t="str">
        <f>IF($A73="","",IF($B73="V01",cad!$C$23,IF($B73="V02",cad!$D$23,cad!$E$23)))</f>
        <v/>
      </c>
      <c r="W73" t="str">
        <f>IF($A73="","",IF($B73="V01",cad!$C$24,IF($B73="V02",cad!$D$24,cad!$E$24)))</f>
        <v/>
      </c>
      <c r="X73" t="str">
        <f>IF($A73="","",IF($B73="V01",cad!$C$25,IF($B73="V02",cad!$D$25,cad!$E$25)))</f>
        <v/>
      </c>
      <c r="Y73" t="str">
        <f>IF($A73="","",IF($B73="V01",cad!$C$26,IF($B73="V02",cad!$D$26,cad!$E$26)))</f>
        <v/>
      </c>
      <c r="Z73" t="str">
        <f>IF($A73="","",IF($B73="V01",cad!$C$27,IF($B73="V02",cad!$D$27,cad!$E$27)))</f>
        <v/>
      </c>
      <c r="AA73" t="str">
        <f>IF($A73="","",IF($B73="V01",cad!$C$28,IF($B73="V02",cad!$D$28,cad!$E$28)))</f>
        <v/>
      </c>
      <c r="AB73" t="str">
        <f>IF($A73="","",IF($B73="V01",cad!$C$39,IF($B73="V02",cad!$D$39,cad!$E$39)))</f>
        <v/>
      </c>
      <c r="AC73" t="str">
        <f>IF($A73="","",IF($F73="MBWAY",cad!$J$12,IF($F73="ISCOM",cad!$J$13,IF($F73="IPAC",cad!$J$14,IF($F73="PIGIER",cad!$J$15,cad!$J$16)))))</f>
        <v/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 t="str">
        <f>IF($A74="","",IF($B74="V01",cad!$C$23,IF($B74="V02",cad!$D$23,cad!$E$23)))</f>
        <v/>
      </c>
      <c r="W74" t="str">
        <f>IF($A74="","",IF($B74="V01",cad!$C$24,IF($B74="V02",cad!$D$24,cad!$E$24)))</f>
        <v/>
      </c>
      <c r="X74" t="str">
        <f>IF($A74="","",IF($B74="V01",cad!$C$25,IF($B74="V02",cad!$D$25,cad!$E$25)))</f>
        <v/>
      </c>
      <c r="Y74" t="str">
        <f>IF($A74="","",IF($B74="V01",cad!$C$26,IF($B74="V02",cad!$D$26,cad!$E$26)))</f>
        <v/>
      </c>
      <c r="Z74" t="str">
        <f>IF($A74="","",IF($B74="V01",cad!$C$27,IF($B74="V02",cad!$D$27,cad!$E$27)))</f>
        <v/>
      </c>
      <c r="AA74" t="str">
        <f>IF($A74="","",IF($B74="V01",cad!$C$28,IF($B74="V02",cad!$D$28,cad!$E$28)))</f>
        <v/>
      </c>
      <c r="AB74" t="str">
        <f>IF($A74="","",IF($B74="V01",cad!$C$39,IF($B74="V02",cad!$D$39,cad!$E$39)))</f>
        <v/>
      </c>
      <c r="AC74" t="str">
        <f>IF($A74="","",IF($F74="MBWAY",cad!$J$12,IF($F74="ISCOM",cad!$J$13,IF($F74="IPAC",cad!$J$14,IF($F74="PIGIER",cad!$J$15,cad!$J$16)))))</f>
        <v/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 t="str">
        <f>IF($A75="","",IF($B75="V01",cad!$C$23,IF($B75="V02",cad!$D$23,cad!$E$23)))</f>
        <v/>
      </c>
      <c r="W75" t="str">
        <f>IF($A75="","",IF($B75="V01",cad!$C$24,IF($B75="V02",cad!$D$24,cad!$E$24)))</f>
        <v/>
      </c>
      <c r="X75" t="str">
        <f>IF($A75="","",IF($B75="V01",cad!$C$25,IF($B75="V02",cad!$D$25,cad!$E$25)))</f>
        <v/>
      </c>
      <c r="Y75" t="str">
        <f>IF($A75="","",IF($B75="V01",cad!$C$26,IF($B75="V02",cad!$D$26,cad!$E$26)))</f>
        <v/>
      </c>
      <c r="Z75" t="str">
        <f>IF($A75="","",IF($B75="V01",cad!$C$27,IF($B75="V02",cad!$D$27,cad!$E$27)))</f>
        <v/>
      </c>
      <c r="AA75" t="str">
        <f>IF($A75="","",IF($B75="V01",cad!$C$28,IF($B75="V02",cad!$D$28,cad!$E$28)))</f>
        <v/>
      </c>
      <c r="AB75" t="str">
        <f>IF($A75="","",IF($B75="V01",cad!$C$39,IF($B75="V02",cad!$D$39,cad!$E$39)))</f>
        <v/>
      </c>
      <c r="AC75" t="str">
        <f>IF($A75="","",IF($F75="MBWAY",cad!$J$12,IF($F75="ISCOM",cad!$J$13,IF($F75="IPAC",cad!$J$14,IF($F75="PIGIER",cad!$J$15,cad!$J$16)))))</f>
        <v/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 t="str">
        <f>IF($A76="","",IF($B76="V01",cad!$C$23,IF($B76="V02",cad!$D$23,cad!$E$23)))</f>
        <v/>
      </c>
      <c r="W76" t="str">
        <f>IF($A76="","",IF($B76="V01",cad!$C$24,IF($B76="V02",cad!$D$24,cad!$E$24)))</f>
        <v/>
      </c>
      <c r="X76" t="str">
        <f>IF($A76="","",IF($B76="V01",cad!$C$25,IF($B76="V02",cad!$D$25,cad!$E$25)))</f>
        <v/>
      </c>
      <c r="Y76" t="str">
        <f>IF($A76="","",IF($B76="V01",cad!$C$26,IF($B76="V02",cad!$D$26,cad!$E$26)))</f>
        <v/>
      </c>
      <c r="Z76" t="str">
        <f>IF($A76="","",IF($B76="V01",cad!$C$27,IF($B76="V02",cad!$D$27,cad!$E$27)))</f>
        <v/>
      </c>
      <c r="AA76" t="str">
        <f>IF($A76="","",IF($B76="V01",cad!$C$28,IF($B76="V02",cad!$D$28,cad!$E$28)))</f>
        <v/>
      </c>
      <c r="AB76" t="str">
        <f>IF($A76="","",IF($B76="V01",cad!$C$39,IF($B76="V02",cad!$D$39,cad!$E$39)))</f>
        <v/>
      </c>
      <c r="AC76" t="str">
        <f>IF($A76="","",IF($F76="MBWAY",cad!$J$12,IF($F76="ISCOM",cad!$J$13,IF($F76="IPAC",cad!$J$14,IF($F76="PIGIER",cad!$J$15,cad!$J$16)))))</f>
        <v/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 t="str">
        <f>IF($A77="","",IF($B77="V01",cad!$C$23,IF($B77="V02",cad!$D$23,cad!$E$23)))</f>
        <v/>
      </c>
      <c r="W77" t="str">
        <f>IF($A77="","",IF($B77="V01",cad!$C$24,IF($B77="V02",cad!$D$24,cad!$E$24)))</f>
        <v/>
      </c>
      <c r="X77" t="str">
        <f>IF($A77="","",IF($B77="V01",cad!$C$25,IF($B77="V02",cad!$D$25,cad!$E$25)))</f>
        <v/>
      </c>
      <c r="Y77" t="str">
        <f>IF($A77="","",IF($B77="V01",cad!$C$26,IF($B77="V02",cad!$D$26,cad!$E$26)))</f>
        <v/>
      </c>
      <c r="Z77" t="str">
        <f>IF($A77="","",IF($B77="V01",cad!$C$27,IF($B77="V02",cad!$D$27,cad!$E$27)))</f>
        <v/>
      </c>
      <c r="AA77" t="str">
        <f>IF($A77="","",IF($B77="V01",cad!$C$28,IF($B77="V02",cad!$D$28,cad!$E$28)))</f>
        <v/>
      </c>
      <c r="AB77" t="str">
        <f>IF($A77="","",IF($B77="V01",cad!$C$39,IF($B77="V02",cad!$D$39,cad!$E$39)))</f>
        <v/>
      </c>
      <c r="AC77" t="str">
        <f>IF($A77="","",IF($F77="MBWAY",cad!$J$12,IF($F77="ISCOM",cad!$J$13,IF($F77="IPAC",cad!$J$14,IF($F77="PIGIER",cad!$J$15,cad!$J$16)))))</f>
        <v/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 t="str">
        <f>IF($A78="","",IF($B78="V01",cad!$C$23,IF($B78="V02",cad!$D$23,cad!$E$23)))</f>
        <v/>
      </c>
      <c r="W78" t="str">
        <f>IF($A78="","",IF($B78="V01",cad!$C$24,IF($B78="V02",cad!$D$24,cad!$E$24)))</f>
        <v/>
      </c>
      <c r="X78" t="str">
        <f>IF($A78="","",IF($B78="V01",cad!$C$25,IF($B78="V02",cad!$D$25,cad!$E$25)))</f>
        <v/>
      </c>
      <c r="Y78" t="str">
        <f>IF($A78="","",IF($B78="V01",cad!$C$26,IF($B78="V02",cad!$D$26,cad!$E$26)))</f>
        <v/>
      </c>
      <c r="Z78" t="str">
        <f>IF($A78="","",IF($B78="V01",cad!$C$27,IF($B78="V02",cad!$D$27,cad!$E$27)))</f>
        <v/>
      </c>
      <c r="AA78" t="str">
        <f>IF($A78="","",IF($B78="V01",cad!$C$28,IF($B78="V02",cad!$D$28,cad!$E$28)))</f>
        <v/>
      </c>
      <c r="AB78" t="str">
        <f>IF($A78="","",IF($B78="V01",cad!$C$39,IF($B78="V02",cad!$D$39,cad!$E$39)))</f>
        <v/>
      </c>
      <c r="AC78" t="str">
        <f>IF($A78="","",IF($F78="MBWAY",cad!$J$12,IF($F78="ISCOM",cad!$J$13,IF($F78="IPAC",cad!$J$14,IF($F78="PIGIER",cad!$J$15,cad!$J$16)))))</f>
        <v/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 t="str">
        <f>IF($A79="","",IF($B79="V01",cad!$C$23,IF($B79="V02",cad!$D$23,cad!$E$23)))</f>
        <v/>
      </c>
      <c r="W79" t="str">
        <f>IF($A79="","",IF($B79="V01",cad!$C$24,IF($B79="V02",cad!$D$24,cad!$E$24)))</f>
        <v/>
      </c>
      <c r="X79" t="str">
        <f>IF($A79="","",IF($B79="V01",cad!$C$25,IF($B79="V02",cad!$D$25,cad!$E$25)))</f>
        <v/>
      </c>
      <c r="Y79" t="str">
        <f>IF($A79="","",IF($B79="V01",cad!$C$26,IF($B79="V02",cad!$D$26,cad!$E$26)))</f>
        <v/>
      </c>
      <c r="Z79" t="str">
        <f>IF($A79="","",IF($B79="V01",cad!$C$27,IF($B79="V02",cad!$D$27,cad!$E$27)))</f>
        <v/>
      </c>
      <c r="AA79" t="str">
        <f>IF($A79="","",IF($B79="V01",cad!$C$28,IF($B79="V02",cad!$D$28,cad!$E$28)))</f>
        <v/>
      </c>
      <c r="AB79" t="str">
        <f>IF($A79="","",IF($B79="V01",cad!$C$39,IF($B79="V02",cad!$D$39,cad!$E$39)))</f>
        <v/>
      </c>
      <c r="AC79" t="str">
        <f>IF($A79="","",IF($F79="MBWAY",cad!$J$12,IF($F79="ISCOM",cad!$J$13,IF($F79="IPAC",cad!$J$14,IF($F79="PIGIER",cad!$J$15,cad!$J$16)))))</f>
        <v/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 t="str">
        <f>IF($A80="","",IF($B80="V01",cad!$C$23,IF($B80="V02",cad!$D$23,cad!$E$23)))</f>
        <v/>
      </c>
      <c r="W80" t="str">
        <f>IF($A80="","",IF($B80="V01",cad!$C$24,IF($B80="V02",cad!$D$24,cad!$E$24)))</f>
        <v/>
      </c>
      <c r="X80" t="str">
        <f>IF($A80="","",IF($B80="V01",cad!$C$25,IF($B80="V02",cad!$D$25,cad!$E$25)))</f>
        <v/>
      </c>
      <c r="Y80" t="str">
        <f>IF($A80="","",IF($B80="V01",cad!$C$26,IF($B80="V02",cad!$D$26,cad!$E$26)))</f>
        <v/>
      </c>
      <c r="Z80" t="str">
        <f>IF($A80="","",IF($B80="V01",cad!$C$27,IF($B80="V02",cad!$D$27,cad!$E$27)))</f>
        <v/>
      </c>
      <c r="AA80" t="str">
        <f>IF($A80="","",IF($B80="V01",cad!$C$28,IF($B80="V02",cad!$D$28,cad!$E$28)))</f>
        <v/>
      </c>
      <c r="AB80" t="str">
        <f>IF($A80="","",IF($B80="V01",cad!$C$39,IF($B80="V02",cad!$D$39,cad!$E$39)))</f>
        <v/>
      </c>
      <c r="AC80" t="str">
        <f>IF($A80="","",IF($F80="MBWAY",cad!$J$12,IF($F80="ISCOM",cad!$J$13,IF($F80="IPAC",cad!$J$14,IF($F80="PIGIER",cad!$J$15,cad!$J$16)))))</f>
        <v/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 t="str">
        <f>IF($A81="","",IF($B81="V01",cad!$C$23,IF($B81="V02",cad!$D$23,cad!$E$23)))</f>
        <v/>
      </c>
      <c r="W81" t="str">
        <f>IF($A81="","",IF($B81="V01",cad!$C$24,IF($B81="V02",cad!$D$24,cad!$E$24)))</f>
        <v/>
      </c>
      <c r="X81" t="str">
        <f>IF($A81="","",IF($B81="V01",cad!$C$25,IF($B81="V02",cad!$D$25,cad!$E$25)))</f>
        <v/>
      </c>
      <c r="Y81" t="str">
        <f>IF($A81="","",IF($B81="V01",cad!$C$26,IF($B81="V02",cad!$D$26,cad!$E$26)))</f>
        <v/>
      </c>
      <c r="Z81" t="str">
        <f>IF($A81="","",IF($B81="V01",cad!$C$27,IF($B81="V02",cad!$D$27,cad!$E$27)))</f>
        <v/>
      </c>
      <c r="AA81" t="str">
        <f>IF($A81="","",IF($B81="V01",cad!$C$28,IF($B81="V02",cad!$D$28,cad!$E$28)))</f>
        <v/>
      </c>
      <c r="AB81" t="str">
        <f>IF($A81="","",IF($B81="V01",cad!$C$39,IF($B81="V02",cad!$D$39,cad!$E$39)))</f>
        <v/>
      </c>
      <c r="AC81" t="str">
        <f>IF($A81="","",IF($F81="MBWAY",cad!$J$12,IF($F81="ISCOM",cad!$J$13,IF($F81="IPAC",cad!$J$14,IF($F81="PIGIER",cad!$J$15,cad!$J$16)))))</f>
        <v/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 t="str">
        <f>IF($A82="","",IF($B82="V01",cad!$C$23,IF($B82="V02",cad!$D$23,cad!$E$23)))</f>
        <v/>
      </c>
      <c r="W82" t="str">
        <f>IF($A82="","",IF($B82="V01",cad!$C$24,IF($B82="V02",cad!$D$24,cad!$E$24)))</f>
        <v/>
      </c>
      <c r="X82" t="str">
        <f>IF($A82="","",IF($B82="V01",cad!$C$25,IF($B82="V02",cad!$D$25,cad!$E$25)))</f>
        <v/>
      </c>
      <c r="Y82" t="str">
        <f>IF($A82="","",IF($B82="V01",cad!$C$26,IF($B82="V02",cad!$D$26,cad!$E$26)))</f>
        <v/>
      </c>
      <c r="Z82" t="str">
        <f>IF($A82="","",IF($B82="V01",cad!$C$27,IF($B82="V02",cad!$D$27,cad!$E$27)))</f>
        <v/>
      </c>
      <c r="AA82" t="str">
        <f>IF($A82="","",IF($B82="V01",cad!$C$28,IF($B82="V02",cad!$D$28,cad!$E$28)))</f>
        <v/>
      </c>
      <c r="AB82" t="str">
        <f>IF($A82="","",IF($B82="V01",cad!$C$39,IF($B82="V02",cad!$D$39,cad!$E$39)))</f>
        <v/>
      </c>
      <c r="AC82" t="str">
        <f>IF($A82="","",IF($F82="MBWAY",cad!$J$12,IF($F82="ISCOM",cad!$J$13,IF($F82="IPAC",cad!$J$14,IF($F82="PIGIER",cad!$J$15,cad!$J$16)))))</f>
        <v/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 t="str">
        <f>IF($A83="","",IF($B83="V01",cad!$C$23,IF($B83="V02",cad!$D$23,cad!$E$23)))</f>
        <v/>
      </c>
      <c r="W83" t="str">
        <f>IF($A83="","",IF($B83="V01",cad!$C$24,IF($B83="V02",cad!$D$24,cad!$E$24)))</f>
        <v/>
      </c>
      <c r="X83" t="str">
        <f>IF($A83="","",IF($B83="V01",cad!$C$25,IF($B83="V02",cad!$D$25,cad!$E$25)))</f>
        <v/>
      </c>
      <c r="Y83" t="str">
        <f>IF($A83="","",IF($B83="V01",cad!$C$26,IF($B83="V02",cad!$D$26,cad!$E$26)))</f>
        <v/>
      </c>
      <c r="Z83" t="str">
        <f>IF($A83="","",IF($B83="V01",cad!$C$27,IF($B83="V02",cad!$D$27,cad!$E$27)))</f>
        <v/>
      </c>
      <c r="AA83" t="str">
        <f>IF($A83="","",IF($B83="V01",cad!$C$28,IF($B83="V02",cad!$D$28,cad!$E$28)))</f>
        <v/>
      </c>
      <c r="AB83" t="str">
        <f>IF($A83="","",IF($B83="V01",cad!$C$39,IF($B83="V02",cad!$D$39,cad!$E$39)))</f>
        <v/>
      </c>
      <c r="AC83" t="str">
        <f>IF($A83="","",IF($F83="MBWAY",cad!$J$12,IF($F83="ISCOM",cad!$J$13,IF($F83="IPAC",cad!$J$14,IF($F83="PIGIER",cad!$J$15,cad!$J$16)))))</f>
        <v/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 t="str">
        <f>IF($A84="","",IF($B84="V01",cad!$C$23,IF($B84="V02",cad!$D$23,cad!$E$23)))</f>
        <v/>
      </c>
      <c r="W84" t="str">
        <f>IF($A84="","",IF($B84="V01",cad!$C$24,IF($B84="V02",cad!$D$24,cad!$E$24)))</f>
        <v/>
      </c>
      <c r="X84" t="str">
        <f>IF($A84="","",IF($B84="V01",cad!$C$25,IF($B84="V02",cad!$D$25,cad!$E$25)))</f>
        <v/>
      </c>
      <c r="Y84" t="str">
        <f>IF($A84="","",IF($B84="V01",cad!$C$26,IF($B84="V02",cad!$D$26,cad!$E$26)))</f>
        <v/>
      </c>
      <c r="Z84" t="str">
        <f>IF($A84="","",IF($B84="V01",cad!$C$27,IF($B84="V02",cad!$D$27,cad!$E$27)))</f>
        <v/>
      </c>
      <c r="AA84" t="str">
        <f>IF($A84="","",IF($B84="V01",cad!$C$28,IF($B84="V02",cad!$D$28,cad!$E$28)))</f>
        <v/>
      </c>
      <c r="AB84" t="str">
        <f>IF($A84="","",IF($B84="V01",cad!$C$39,IF($B84="V02",cad!$D$39,cad!$E$39)))</f>
        <v/>
      </c>
      <c r="AC84" t="str">
        <f>IF($A84="","",IF($F84="MBWAY",cad!$J$12,IF($F84="ISCOM",cad!$J$13,IF($F84="IPAC",cad!$J$14,IF($F84="PIGIER",cad!$J$15,cad!$J$16)))))</f>
        <v/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 t="str">
        <f>IF($A85="","",IF($B85="V01",cad!$C$23,IF($B85="V02",cad!$D$23,cad!$E$23)))</f>
        <v/>
      </c>
      <c r="W85" t="str">
        <f>IF($A85="","",IF($B85="V01",cad!$C$24,IF($B85="V02",cad!$D$24,cad!$E$24)))</f>
        <v/>
      </c>
      <c r="X85" t="str">
        <f>IF($A85="","",IF($B85="V01",cad!$C$25,IF($B85="V02",cad!$D$25,cad!$E$25)))</f>
        <v/>
      </c>
      <c r="Y85" t="str">
        <f>IF($A85="","",IF($B85="V01",cad!$C$26,IF($B85="V02",cad!$D$26,cad!$E$26)))</f>
        <v/>
      </c>
      <c r="Z85" t="str">
        <f>IF($A85="","",IF($B85="V01",cad!$C$27,IF($B85="V02",cad!$D$27,cad!$E$27)))</f>
        <v/>
      </c>
      <c r="AA85" t="str">
        <f>IF($A85="","",IF($B85="V01",cad!$C$28,IF($B85="V02",cad!$D$28,cad!$E$28)))</f>
        <v/>
      </c>
      <c r="AB85" t="str">
        <f>IF($A85="","",IF($B85="V01",cad!$C$39,IF($B85="V02",cad!$D$39,cad!$E$39)))</f>
        <v/>
      </c>
      <c r="AC85" t="str">
        <f>IF($A85="","",IF($F85="MBWAY",cad!$J$12,IF($F85="ISCOM",cad!$J$13,IF($F85="IPAC",cad!$J$14,IF($F85="PIGIER",cad!$J$15,cad!$J$16)))))</f>
        <v/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 t="str">
        <f>IF($A86="","",IF($B86="V01",cad!$C$23,IF($B86="V02",cad!$D$23,cad!$E$23)))</f>
        <v/>
      </c>
      <c r="W86" t="str">
        <f>IF($A86="","",IF($B86="V01",cad!$C$24,IF($B86="V02",cad!$D$24,cad!$E$24)))</f>
        <v/>
      </c>
      <c r="X86" t="str">
        <f>IF($A86="","",IF($B86="V01",cad!$C$25,IF($B86="V02",cad!$D$25,cad!$E$25)))</f>
        <v/>
      </c>
      <c r="Y86" t="str">
        <f>IF($A86="","",IF($B86="V01",cad!$C$26,IF($B86="V02",cad!$D$26,cad!$E$26)))</f>
        <v/>
      </c>
      <c r="Z86" t="str">
        <f>IF($A86="","",IF($B86="V01",cad!$C$27,IF($B86="V02",cad!$D$27,cad!$E$27)))</f>
        <v/>
      </c>
      <c r="AA86" t="str">
        <f>IF($A86="","",IF($B86="V01",cad!$C$28,IF($B86="V02",cad!$D$28,cad!$E$28)))</f>
        <v/>
      </c>
      <c r="AB86" t="str">
        <f>IF($A86="","",IF($B86="V01",cad!$C$39,IF($B86="V02",cad!$D$39,cad!$E$39)))</f>
        <v/>
      </c>
      <c r="AC86" t="str">
        <f>IF($A86="","",IF($F86="MBWAY",cad!$J$12,IF($F86="ISCOM",cad!$J$13,IF($F86="IPAC",cad!$J$14,IF($F86="PIGIER",cad!$J$15,cad!$J$16)))))</f>
        <v/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 t="str">
        <f>IF($A87="","",IF($B87="V01",cad!$C$23,IF($B87="V02",cad!$D$23,cad!$E$23)))</f>
        <v/>
      </c>
      <c r="W87" t="str">
        <f>IF($A87="","",IF($B87="V01",cad!$C$24,IF($B87="V02",cad!$D$24,cad!$E$24)))</f>
        <v/>
      </c>
      <c r="X87" t="str">
        <f>IF($A87="","",IF($B87="V01",cad!$C$25,IF($B87="V02",cad!$D$25,cad!$E$25)))</f>
        <v/>
      </c>
      <c r="Y87" t="str">
        <f>IF($A87="","",IF($B87="V01",cad!$C$26,IF($B87="V02",cad!$D$26,cad!$E$26)))</f>
        <v/>
      </c>
      <c r="Z87" t="str">
        <f>IF($A87="","",IF($B87="V01",cad!$C$27,IF($B87="V02",cad!$D$27,cad!$E$27)))</f>
        <v/>
      </c>
      <c r="AA87" t="str">
        <f>IF($A87="","",IF($B87="V01",cad!$C$28,IF($B87="V02",cad!$D$28,cad!$E$28)))</f>
        <v/>
      </c>
      <c r="AB87" t="str">
        <f>IF($A87="","",IF($B87="V01",cad!$C$39,IF($B87="V02",cad!$D$39,cad!$E$39)))</f>
        <v/>
      </c>
      <c r="AC87" t="str">
        <f>IF($A87="","",IF($F87="MBWAY",cad!$J$12,IF($F87="ISCOM",cad!$J$13,IF($F87="IPAC",cad!$J$14,IF($F87="PIGIER",cad!$J$15,cad!$J$16)))))</f>
        <v/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 t="str">
        <f>IF($A88="","",IF($B88="V01",cad!$C$23,IF($B88="V02",cad!$D$23,cad!$E$23)))</f>
        <v/>
      </c>
      <c r="W88" t="str">
        <f>IF($A88="","",IF($B88="V01",cad!$C$24,IF($B88="V02",cad!$D$24,cad!$E$24)))</f>
        <v/>
      </c>
      <c r="X88" t="str">
        <f>IF($A88="","",IF($B88="V01",cad!$C$25,IF($B88="V02",cad!$D$25,cad!$E$25)))</f>
        <v/>
      </c>
      <c r="Y88" t="str">
        <f>IF($A88="","",IF($B88="V01",cad!$C$26,IF($B88="V02",cad!$D$26,cad!$E$26)))</f>
        <v/>
      </c>
      <c r="Z88" t="str">
        <f>IF($A88="","",IF($B88="V01",cad!$C$27,IF($B88="V02",cad!$D$27,cad!$E$27)))</f>
        <v/>
      </c>
      <c r="AA88" t="str">
        <f>IF($A88="","",IF($B88="V01",cad!$C$28,IF($B88="V02",cad!$D$28,cad!$E$28)))</f>
        <v/>
      </c>
      <c r="AB88" t="str">
        <f>IF($A88="","",IF($B88="V01",cad!$C$39,IF($B88="V02",cad!$D$39,cad!$E$39)))</f>
        <v/>
      </c>
      <c r="AC88" t="str">
        <f>IF($A88="","",IF($F88="MBWAY",cad!$J$12,IF($F88="ISCOM",cad!$J$13,IF($F88="IPAC",cad!$J$14,IF($F88="PIGIER",cad!$J$15,cad!$J$16)))))</f>
        <v/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 t="str">
        <f>IF($A89="","",IF($B89="V01",cad!$C$23,IF($B89="V02",cad!$D$23,cad!$E$23)))</f>
        <v/>
      </c>
      <c r="W89" t="str">
        <f>IF($A89="","",IF($B89="V01",cad!$C$24,IF($B89="V02",cad!$D$24,cad!$E$24)))</f>
        <v/>
      </c>
      <c r="X89" t="str">
        <f>IF($A89="","",IF($B89="V01",cad!$C$25,IF($B89="V02",cad!$D$25,cad!$E$25)))</f>
        <v/>
      </c>
      <c r="Y89" t="str">
        <f>IF($A89="","",IF($B89="V01",cad!$C$26,IF($B89="V02",cad!$D$26,cad!$E$26)))</f>
        <v/>
      </c>
      <c r="Z89" t="str">
        <f>IF($A89="","",IF($B89="V01",cad!$C$27,IF($B89="V02",cad!$D$27,cad!$E$27)))</f>
        <v/>
      </c>
      <c r="AA89" t="str">
        <f>IF($A89="","",IF($B89="V01",cad!$C$28,IF($B89="V02",cad!$D$28,cad!$E$28)))</f>
        <v/>
      </c>
      <c r="AB89" t="str">
        <f>IF($A89="","",IF($B89="V01",cad!$C$39,IF($B89="V02",cad!$D$39,cad!$E$39)))</f>
        <v/>
      </c>
      <c r="AC89" t="str">
        <f>IF($A89="","",IF($F89="MBWAY",cad!$J$12,IF($F89="ISCOM",cad!$J$13,IF($F89="IPAC",cad!$J$14,IF($F89="PIGIER",cad!$J$15,cad!$J$16)))))</f>
        <v/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 t="str">
        <f>IF($A90="","",IF($B90="V01",cad!$C$23,IF($B90="V02",cad!$D$23,cad!$E$23)))</f>
        <v/>
      </c>
      <c r="W90" t="str">
        <f>IF($A90="","",IF($B90="V01",cad!$C$24,IF($B90="V02",cad!$D$24,cad!$E$24)))</f>
        <v/>
      </c>
      <c r="X90" t="str">
        <f>IF($A90="","",IF($B90="V01",cad!$C$25,IF($B90="V02",cad!$D$25,cad!$E$25)))</f>
        <v/>
      </c>
      <c r="Y90" t="str">
        <f>IF($A90="","",IF($B90="V01",cad!$C$26,IF($B90="V02",cad!$D$26,cad!$E$26)))</f>
        <v/>
      </c>
      <c r="Z90" t="str">
        <f>IF($A90="","",IF($B90="V01",cad!$C$27,IF($B90="V02",cad!$D$27,cad!$E$27)))</f>
        <v/>
      </c>
      <c r="AA90" t="str">
        <f>IF($A90="","",IF($B90="V01",cad!$C$28,IF($B90="V02",cad!$D$28,cad!$E$28)))</f>
        <v/>
      </c>
      <c r="AB90" t="str">
        <f>IF($A90="","",IF($B90="V01",cad!$C$39,IF($B90="V02",cad!$D$39,cad!$E$39)))</f>
        <v/>
      </c>
      <c r="AC90" t="str">
        <f>IF($A90="","",IF($F90="MBWAY",cad!$J$12,IF($F90="ISCOM",cad!$J$13,IF($F90="IPAC",cad!$J$14,IF($F90="PIGIER",cad!$J$15,cad!$J$16)))))</f>
        <v/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 t="str">
        <f>IF($A91="","",IF($B91="V01",cad!$C$23,IF($B91="V02",cad!$D$23,cad!$E$23)))</f>
        <v/>
      </c>
      <c r="W91" t="str">
        <f>IF($A91="","",IF($B91="V01",cad!$C$24,IF($B91="V02",cad!$D$24,cad!$E$24)))</f>
        <v/>
      </c>
      <c r="X91" t="str">
        <f>IF($A91="","",IF($B91="V01",cad!$C$25,IF($B91="V02",cad!$D$25,cad!$E$25)))</f>
        <v/>
      </c>
      <c r="Y91" t="str">
        <f>IF($A91="","",IF($B91="V01",cad!$C$26,IF($B91="V02",cad!$D$26,cad!$E$26)))</f>
        <v/>
      </c>
      <c r="Z91" t="str">
        <f>IF($A91="","",IF($B91="V01",cad!$C$27,IF($B91="V02",cad!$D$27,cad!$E$27)))</f>
        <v/>
      </c>
      <c r="AA91" t="str">
        <f>IF($A91="","",IF($B91="V01",cad!$C$28,IF($B91="V02",cad!$D$28,cad!$E$28)))</f>
        <v/>
      </c>
      <c r="AB91" t="str">
        <f>IF($A91="","",IF($B91="V01",cad!$C$39,IF($B91="V02",cad!$D$39,cad!$E$39)))</f>
        <v/>
      </c>
      <c r="AC91" t="str">
        <f>IF($A91="","",IF($F91="MBWAY",cad!$J$12,IF($F91="ISCOM",cad!$J$13,IF($F91="IPAC",cad!$J$14,IF($F91="PIGIER",cad!$J$15,cad!$J$16)))))</f>
        <v/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 t="str">
        <f>IF($A92="","",IF($B92="V01",cad!$C$23,IF($B92="V02",cad!$D$23,cad!$E$23)))</f>
        <v/>
      </c>
      <c r="W92" t="str">
        <f>IF($A92="","",IF($B92="V01",cad!$C$24,IF($B92="V02",cad!$D$24,cad!$E$24)))</f>
        <v/>
      </c>
      <c r="X92" t="str">
        <f>IF($A92="","",IF($B92="V01",cad!$C$25,IF($B92="V02",cad!$D$25,cad!$E$25)))</f>
        <v/>
      </c>
      <c r="Y92" t="str">
        <f>IF($A92="","",IF($B92="V01",cad!$C$26,IF($B92="V02",cad!$D$26,cad!$E$26)))</f>
        <v/>
      </c>
      <c r="Z92" t="str">
        <f>IF($A92="","",IF($B92="V01",cad!$C$27,IF($B92="V02",cad!$D$27,cad!$E$27)))</f>
        <v/>
      </c>
      <c r="AA92" t="str">
        <f>IF($A92="","",IF($B92="V01",cad!$C$28,IF($B92="V02",cad!$D$28,cad!$E$28)))</f>
        <v/>
      </c>
      <c r="AB92" t="str">
        <f>IF($A92="","",IF($B92="V01",cad!$C$39,IF($B92="V02",cad!$D$39,cad!$E$39)))</f>
        <v/>
      </c>
      <c r="AC92" t="str">
        <f>IF($A92="","",IF($F92="MBWAY",cad!$J$12,IF($F92="ISCOM",cad!$J$13,IF($F92="IPAC",cad!$J$14,IF($F92="PIGIER",cad!$J$15,cad!$J$16)))))</f>
        <v/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 t="str">
        <f>IF($A93="","",IF($B93="V01",cad!$C$23,IF($B93="V02",cad!$D$23,cad!$E$23)))</f>
        <v/>
      </c>
      <c r="W93" t="str">
        <f>IF($A93="","",IF($B93="V01",cad!$C$24,IF($B93="V02",cad!$D$24,cad!$E$24)))</f>
        <v/>
      </c>
      <c r="X93" t="str">
        <f>IF($A93="","",IF($B93="V01",cad!$C$25,IF($B93="V02",cad!$D$25,cad!$E$25)))</f>
        <v/>
      </c>
      <c r="Y93" t="str">
        <f>IF($A93="","",IF($B93="V01",cad!$C$26,IF($B93="V02",cad!$D$26,cad!$E$26)))</f>
        <v/>
      </c>
      <c r="Z93" t="str">
        <f>IF($A93="","",IF($B93="V01",cad!$C$27,IF($B93="V02",cad!$D$27,cad!$E$27)))</f>
        <v/>
      </c>
      <c r="AA93" t="str">
        <f>IF($A93="","",IF($B93="V01",cad!$C$28,IF($B93="V02",cad!$D$28,cad!$E$28)))</f>
        <v/>
      </c>
      <c r="AB93" t="str">
        <f>IF($A93="","",IF($B93="V01",cad!$C$39,IF($B93="V02",cad!$D$39,cad!$E$39)))</f>
        <v/>
      </c>
      <c r="AC93" t="str">
        <f>IF($A93="","",IF($F93="MBWAY",cad!$J$12,IF($F93="ISCOM",cad!$J$13,IF($F93="IPAC",cad!$J$14,IF($F93="PIGIER",cad!$J$15,cad!$J$16)))))</f>
        <v/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 t="str">
        <f>IF($A94="","",IF($B94="V01",cad!$C$23,IF($B94="V02",cad!$D$23,cad!$E$23)))</f>
        <v/>
      </c>
      <c r="W94" t="str">
        <f>IF($A94="","",IF($B94="V01",cad!$C$24,IF($B94="V02",cad!$D$24,cad!$E$24)))</f>
        <v/>
      </c>
      <c r="X94" t="str">
        <f>IF($A94="","",IF($B94="V01",cad!$C$25,IF($B94="V02",cad!$D$25,cad!$E$25)))</f>
        <v/>
      </c>
      <c r="Y94" t="str">
        <f>IF($A94="","",IF($B94="V01",cad!$C$26,IF($B94="V02",cad!$D$26,cad!$E$26)))</f>
        <v/>
      </c>
      <c r="Z94" t="str">
        <f>IF($A94="","",IF($B94="V01",cad!$C$27,IF($B94="V02",cad!$D$27,cad!$E$27)))</f>
        <v/>
      </c>
      <c r="AA94" t="str">
        <f>IF($A94="","",IF($B94="V01",cad!$C$28,IF($B94="V02",cad!$D$28,cad!$E$28)))</f>
        <v/>
      </c>
      <c r="AB94" t="str">
        <f>IF($A94="","",IF($B94="V01",cad!$C$39,IF($B94="V02",cad!$D$39,cad!$E$39)))</f>
        <v/>
      </c>
      <c r="AC94" t="str">
        <f>IF($A94="","",IF($F94="MBWAY",cad!$J$12,IF($F94="ISCOM",cad!$J$13,IF($F94="IPAC",cad!$J$14,IF($F94="PIGIER",cad!$J$15,cad!$J$16)))))</f>
        <v/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 t="str">
        <f>IF($A95="","",IF($B95="V01",cad!$C$23,IF($B95="V02",cad!$D$23,cad!$E$23)))</f>
        <v/>
      </c>
      <c r="W95" t="str">
        <f>IF($A95="","",IF($B95="V01",cad!$C$24,IF($B95="V02",cad!$D$24,cad!$E$24)))</f>
        <v/>
      </c>
      <c r="X95" t="str">
        <f>IF($A95="","",IF($B95="V01",cad!$C$25,IF($B95="V02",cad!$D$25,cad!$E$25)))</f>
        <v/>
      </c>
      <c r="Y95" t="str">
        <f>IF($A95="","",IF($B95="V01",cad!$C$26,IF($B95="V02",cad!$D$26,cad!$E$26)))</f>
        <v/>
      </c>
      <c r="Z95" t="str">
        <f>IF($A95="","",IF($B95="V01",cad!$C$27,IF($B95="V02",cad!$D$27,cad!$E$27)))</f>
        <v/>
      </c>
      <c r="AA95" t="str">
        <f>IF($A95="","",IF($B95="V01",cad!$C$28,IF($B95="V02",cad!$D$28,cad!$E$28)))</f>
        <v/>
      </c>
      <c r="AB95" t="str">
        <f>IF($A95="","",IF($B95="V01",cad!$C$39,IF($B95="V02",cad!$D$39,cad!$E$39)))</f>
        <v/>
      </c>
      <c r="AC95" t="str">
        <f>IF($A95="","",IF($F95="MBWAY",cad!$J$12,IF($F95="ISCOM",cad!$J$13,IF($F95="IPAC",cad!$J$14,IF($F95="PIGIER",cad!$J$15,cad!$J$16)))))</f>
        <v/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 t="str">
        <f>IF($A96="","",IF($B96="V01",cad!$C$23,IF($B96="V02",cad!$D$23,cad!$E$23)))</f>
        <v/>
      </c>
      <c r="W96" t="str">
        <f>IF($A96="","",IF($B96="V01",cad!$C$24,IF($B96="V02",cad!$D$24,cad!$E$24)))</f>
        <v/>
      </c>
      <c r="X96" t="str">
        <f>IF($A96="","",IF($B96="V01",cad!$C$25,IF($B96="V02",cad!$D$25,cad!$E$25)))</f>
        <v/>
      </c>
      <c r="Y96" t="str">
        <f>IF($A96="","",IF($B96="V01",cad!$C$26,IF($B96="V02",cad!$D$26,cad!$E$26)))</f>
        <v/>
      </c>
      <c r="Z96" t="str">
        <f>IF($A96="","",IF($B96="V01",cad!$C$27,IF($B96="V02",cad!$D$27,cad!$E$27)))</f>
        <v/>
      </c>
      <c r="AA96" t="str">
        <f>IF($A96="","",IF($B96="V01",cad!$C$28,IF($B96="V02",cad!$D$28,cad!$E$28)))</f>
        <v/>
      </c>
      <c r="AB96" t="str">
        <f>IF($A96="","",IF($B96="V01",cad!$C$39,IF($B96="V02",cad!$D$39,cad!$E$39)))</f>
        <v/>
      </c>
      <c r="AC96" t="str">
        <f>IF($A96="","",IF($F96="MBWAY",cad!$J$12,IF($F96="ISCOM",cad!$J$13,IF($F96="IPAC",cad!$J$14,IF($F96="PIGIER",cad!$J$15,cad!$J$16)))))</f>
        <v/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 t="str">
        <f>IF($A97="","",IF($B97="V01",cad!$C$23,IF($B97="V02",cad!$D$23,cad!$E$23)))</f>
        <v/>
      </c>
      <c r="W97" t="str">
        <f>IF($A97="","",IF($B97="V01",cad!$C$24,IF($B97="V02",cad!$D$24,cad!$E$24)))</f>
        <v/>
      </c>
      <c r="X97" t="str">
        <f>IF($A97="","",IF($B97="V01",cad!$C$25,IF($B97="V02",cad!$D$25,cad!$E$25)))</f>
        <v/>
      </c>
      <c r="Y97" t="str">
        <f>IF($A97="","",IF($B97="V01",cad!$C$26,IF($B97="V02",cad!$D$26,cad!$E$26)))</f>
        <v/>
      </c>
      <c r="Z97" t="str">
        <f>IF($A97="","",IF($B97="V01",cad!$C$27,IF($B97="V02",cad!$D$27,cad!$E$27)))</f>
        <v/>
      </c>
      <c r="AA97" t="str">
        <f>IF($A97="","",IF($B97="V01",cad!$C$28,IF($B97="V02",cad!$D$28,cad!$E$28)))</f>
        <v/>
      </c>
      <c r="AB97" t="str">
        <f>IF($A97="","",IF($B97="V01",cad!$C$39,IF($B97="V02",cad!$D$39,cad!$E$39)))</f>
        <v/>
      </c>
      <c r="AC97" t="str">
        <f>IF($A97="","",IF($F97="MBWAY",cad!$J$12,IF($F97="ISCOM",cad!$J$13,IF($F97="IPAC",cad!$J$14,IF($F97="PIGIER",cad!$J$15,cad!$J$16)))))</f>
        <v/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 t="str">
        <f>IF($A98="","",IF($B98="V01",cad!$C$23,IF($B98="V02",cad!$D$23,cad!$E$23)))</f>
        <v/>
      </c>
      <c r="W98" t="str">
        <f>IF($A98="","",IF($B98="V01",cad!$C$24,IF($B98="V02",cad!$D$24,cad!$E$24)))</f>
        <v/>
      </c>
      <c r="X98" t="str">
        <f>IF($A98="","",IF($B98="V01",cad!$C$25,IF($B98="V02",cad!$D$25,cad!$E$25)))</f>
        <v/>
      </c>
      <c r="Y98" t="str">
        <f>IF($A98="","",IF($B98="V01",cad!$C$26,IF($B98="V02",cad!$D$26,cad!$E$26)))</f>
        <v/>
      </c>
      <c r="Z98" t="str">
        <f>IF($A98="","",IF($B98="V01",cad!$C$27,IF($B98="V02",cad!$D$27,cad!$E$27)))</f>
        <v/>
      </c>
      <c r="AA98" t="str">
        <f>IF($A98="","",IF($B98="V01",cad!$C$28,IF($B98="V02",cad!$D$28,cad!$E$28)))</f>
        <v/>
      </c>
      <c r="AB98" t="str">
        <f>IF($A98="","",IF($B98="V01",cad!$C$39,IF($B98="V02",cad!$D$39,cad!$E$39)))</f>
        <v/>
      </c>
      <c r="AC98" t="str">
        <f>IF($A98="","",IF($F98="MBWAY",cad!$J$12,IF($F98="ISCOM",cad!$J$13,IF($F98="IPAC",cad!$J$14,IF($F98="PIGIER",cad!$J$15,cad!$J$16)))))</f>
        <v/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 t="str">
        <f>IF($A99="","",IF($B99="V01",cad!$C$23,IF($B99="V02",cad!$D$23,cad!$E$23)))</f>
        <v/>
      </c>
      <c r="W99" t="str">
        <f>IF($A99="","",IF($B99="V01",cad!$C$24,IF($B99="V02",cad!$D$24,cad!$E$24)))</f>
        <v/>
      </c>
      <c r="X99" t="str">
        <f>IF($A99="","",IF($B99="V01",cad!$C$25,IF($B99="V02",cad!$D$25,cad!$E$25)))</f>
        <v/>
      </c>
      <c r="Y99" t="str">
        <f>IF($A99="","",IF($B99="V01",cad!$C$26,IF($B99="V02",cad!$D$26,cad!$E$26)))</f>
        <v/>
      </c>
      <c r="Z99" t="str">
        <f>IF($A99="","",IF($B99="V01",cad!$C$27,IF($B99="V02",cad!$D$27,cad!$E$27)))</f>
        <v/>
      </c>
      <c r="AA99" t="str">
        <f>IF($A99="","",IF($B99="V01",cad!$C$28,IF($B99="V02",cad!$D$28,cad!$E$28)))</f>
        <v/>
      </c>
      <c r="AB99" t="str">
        <f>IF($A99="","",IF($B99="V01",cad!$C$39,IF($B99="V02",cad!$D$39,cad!$E$39)))</f>
        <v/>
      </c>
      <c r="AC99" t="str">
        <f>IF($A99="","",IF($F99="MBWAY",cad!$J$12,IF($F99="ISCOM",cad!$J$13,IF($F99="IPAC",cad!$J$14,IF($F99="PIGIER",cad!$J$15,cad!$J$16)))))</f>
        <v/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 t="str">
        <f>IF($A100="","",IF($B100="V01",cad!$C$23,IF($B100="V02",cad!$D$23,cad!$E$23)))</f>
        <v/>
      </c>
      <c r="W100" t="str">
        <f>IF($A100="","",IF($B100="V01",cad!$C$24,IF($B100="V02",cad!$D$24,cad!$E$24)))</f>
        <v/>
      </c>
      <c r="X100" t="str">
        <f>IF($A100="","",IF($B100="V01",cad!$C$25,IF($B100="V02",cad!$D$25,cad!$E$25)))</f>
        <v/>
      </c>
      <c r="Y100" t="str">
        <f>IF($A100="","",IF($B100="V01",cad!$C$26,IF($B100="V02",cad!$D$26,cad!$E$26)))</f>
        <v/>
      </c>
      <c r="Z100" t="str">
        <f>IF($A100="","",IF($B100="V01",cad!$C$27,IF($B100="V02",cad!$D$27,cad!$E$27)))</f>
        <v/>
      </c>
      <c r="AA100" t="str">
        <f>IF($A100="","",IF($B100="V01",cad!$C$28,IF($B100="V02",cad!$D$28,cad!$E$28)))</f>
        <v/>
      </c>
      <c r="AB100" t="str">
        <f>IF($A100="","",IF($B100="V01",cad!$C$39,IF($B100="V02",cad!$D$39,cad!$E$39)))</f>
        <v/>
      </c>
      <c r="AC100" t="str">
        <f>IF($A100="","",IF($F100="MBWAY",cad!$J$12,IF($F100="ISCOM",cad!$J$13,IF($F100="IPAC",cad!$J$14,IF($F100="PIGIER",cad!$J$15,cad!$J$16)))))</f>
        <v/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 t="str">
        <f>IF($A101="","",IF($B101="V01",cad!$C$23,IF($B101="V02",cad!$D$23,cad!$E$23)))</f>
        <v/>
      </c>
      <c r="W101" t="str">
        <f>IF($A101="","",IF($B101="V01",cad!$C$24,IF($B101="V02",cad!$D$24,cad!$E$24)))</f>
        <v/>
      </c>
      <c r="X101" t="str">
        <f>IF($A101="","",IF($B101="V01",cad!$C$25,IF($B101="V02",cad!$D$25,cad!$E$25)))</f>
        <v/>
      </c>
      <c r="Y101" t="str">
        <f>IF($A101="","",IF($B101="V01",cad!$C$26,IF($B101="V02",cad!$D$26,cad!$E$26)))</f>
        <v/>
      </c>
      <c r="Z101" t="str">
        <f>IF($A101="","",IF($B101="V01",cad!$C$27,IF($B101="V02",cad!$D$27,cad!$E$27)))</f>
        <v/>
      </c>
      <c r="AA101" t="str">
        <f>IF($A101="","",IF($B101="V01",cad!$C$28,IF($B101="V02",cad!$D$28,cad!$E$28)))</f>
        <v/>
      </c>
      <c r="AB101" t="str">
        <f>IF($A101="","",IF($B101="V01",cad!$C$39,IF($B101="V02",cad!$D$39,cad!$E$39)))</f>
        <v/>
      </c>
      <c r="AC101" t="str">
        <f>IF($A101="","",IF($F101="MBWAY",cad!$J$12,IF($F101="ISCOM",cad!$J$13,IF($F101="IPAC",cad!$J$14,IF($F101="PIGIER",cad!$J$15,cad!$J$16)))))</f>
        <v/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 t="str">
        <f>IF($A102="","",IF($B102="V01",cad!$C$23,IF($B102="V02",cad!$D$23,cad!$E$23)))</f>
        <v/>
      </c>
      <c r="W102" t="str">
        <f>IF($A102="","",IF($B102="V01",cad!$C$24,IF($B102="V02",cad!$D$24,cad!$E$24)))</f>
        <v/>
      </c>
      <c r="X102" t="str">
        <f>IF($A102="","",IF($B102="V01",cad!$C$25,IF($B102="V02",cad!$D$25,cad!$E$25)))</f>
        <v/>
      </c>
      <c r="Y102" t="str">
        <f>IF($A102="","",IF($B102="V01",cad!$C$26,IF($B102="V02",cad!$D$26,cad!$E$26)))</f>
        <v/>
      </c>
      <c r="Z102" t="str">
        <f>IF($A102="","",IF($B102="V01",cad!$C$27,IF($B102="V02",cad!$D$27,cad!$E$27)))</f>
        <v/>
      </c>
      <c r="AA102" t="str">
        <f>IF($A102="","",IF($B102="V01",cad!$C$28,IF($B102="V02",cad!$D$28,cad!$E$28)))</f>
        <v/>
      </c>
      <c r="AB102" t="str">
        <f>IF($A102="","",IF($B102="V01",cad!$C$39,IF($B102="V02",cad!$D$39,cad!$E$39)))</f>
        <v/>
      </c>
      <c r="AC102" t="str">
        <f>IF($A102="","",IF($F102="MBWAY",cad!$J$12,IF($F102="ISCOM",cad!$J$13,IF($F102="IPAC",cad!$J$14,IF($F102="PIGIER",cad!$J$15,cad!$J$16)))))</f>
        <v/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 t="str">
        <f>IF($A103="","",IF($B103="V01",cad!$C$23,IF($B103="V02",cad!$D$23,cad!$E$23)))</f>
        <v/>
      </c>
      <c r="W103" t="str">
        <f>IF($A103="","",IF($B103="V01",cad!$C$24,IF($B103="V02",cad!$D$24,cad!$E$24)))</f>
        <v/>
      </c>
      <c r="X103" t="str">
        <f>IF($A103="","",IF($B103="V01",cad!$C$25,IF($B103="V02",cad!$D$25,cad!$E$25)))</f>
        <v/>
      </c>
      <c r="Y103" t="str">
        <f>IF($A103="","",IF($B103="V01",cad!$C$26,IF($B103="V02",cad!$D$26,cad!$E$26)))</f>
        <v/>
      </c>
      <c r="Z103" t="str">
        <f>IF($A103="","",IF($B103="V01",cad!$C$27,IF($B103="V02",cad!$D$27,cad!$E$27)))</f>
        <v/>
      </c>
      <c r="AA103" t="str">
        <f>IF($A103="","",IF($B103="V01",cad!$C$28,IF($B103="V02",cad!$D$28,cad!$E$28)))</f>
        <v/>
      </c>
      <c r="AB103" t="str">
        <f>IF($A103="","",IF($B103="V01",cad!$C$39,IF($B103="V02",cad!$D$39,cad!$E$39)))</f>
        <v/>
      </c>
      <c r="AC103" t="str">
        <f>IF($A103="","",IF($F103="MBWAY",cad!$J$12,IF($F103="ISCOM",cad!$J$13,IF($F103="IPAC",cad!$J$14,IF($F103="PIGIER",cad!$J$15,cad!$J$16)))))</f>
        <v/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 t="str">
        <f>IF($A104="","",IF($B104="V01",cad!$C$23,IF($B104="V02",cad!$D$23,cad!$E$23)))</f>
        <v/>
      </c>
      <c r="W104" t="str">
        <f>IF($A104="","",IF($B104="V01",cad!$C$24,IF($B104="V02",cad!$D$24,cad!$E$24)))</f>
        <v/>
      </c>
      <c r="X104" t="str">
        <f>IF($A104="","",IF($B104="V01",cad!$C$25,IF($B104="V02",cad!$D$25,cad!$E$25)))</f>
        <v/>
      </c>
      <c r="Y104" t="str">
        <f>IF($A104="","",IF($B104="V01",cad!$C$26,IF($B104="V02",cad!$D$26,cad!$E$26)))</f>
        <v/>
      </c>
      <c r="Z104" t="str">
        <f>IF($A104="","",IF($B104="V01",cad!$C$27,IF($B104="V02",cad!$D$27,cad!$E$27)))</f>
        <v/>
      </c>
      <c r="AA104" t="str">
        <f>IF($A104="","",IF($B104="V01",cad!$C$28,IF($B104="V02",cad!$D$28,cad!$E$28)))</f>
        <v/>
      </c>
      <c r="AB104" t="str">
        <f>IF($A104="","",IF($B104="V01",cad!$C$39,IF($B104="V02",cad!$D$39,cad!$E$39)))</f>
        <v/>
      </c>
      <c r="AC104" t="str">
        <f>IF($A104="","",IF($F104="MBWAY",cad!$J$12,IF($F104="ISCOM",cad!$J$13,IF($F104="IPAC",cad!$J$14,IF($F104="PIGIER",cad!$J$15,cad!$J$16)))))</f>
        <v/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 t="str">
        <f>IF($A105="","",IF($B105="V01",cad!$C$23,IF($B105="V02",cad!$D$23,cad!$E$23)))</f>
        <v/>
      </c>
      <c r="W105" t="str">
        <f>IF($A105="","",IF($B105="V01",cad!$C$24,IF($B105="V02",cad!$D$24,cad!$E$24)))</f>
        <v/>
      </c>
      <c r="X105" t="str">
        <f>IF($A105="","",IF($B105="V01",cad!$C$25,IF($B105="V02",cad!$D$25,cad!$E$25)))</f>
        <v/>
      </c>
      <c r="Y105" t="str">
        <f>IF($A105="","",IF($B105="V01",cad!$C$26,IF($B105="V02",cad!$D$26,cad!$E$26)))</f>
        <v/>
      </c>
      <c r="Z105" t="str">
        <f>IF($A105="","",IF($B105="V01",cad!$C$27,IF($B105="V02",cad!$D$27,cad!$E$27)))</f>
        <v/>
      </c>
      <c r="AA105" t="str">
        <f>IF($A105="","",IF($B105="V01",cad!$C$28,IF($B105="V02",cad!$D$28,cad!$E$28)))</f>
        <v/>
      </c>
      <c r="AB105" t="str">
        <f>IF($A105="","",IF($B105="V01",cad!$C$39,IF($B105="V02",cad!$D$39,cad!$E$39)))</f>
        <v/>
      </c>
      <c r="AC105" t="str">
        <f>IF($A105="","",IF($F105="MBWAY",cad!$J$12,IF($F105="ISCOM",cad!$J$13,IF($F105="IPAC",cad!$J$14,IF($F105="PIGIER",cad!$J$15,cad!$J$16)))))</f>
        <v/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 t="str">
        <f>IF($A106="","",IF($B106="V01",cad!$C$23,IF($B106="V02",cad!$D$23,cad!$E$23)))</f>
        <v/>
      </c>
      <c r="W106" t="str">
        <f>IF($A106="","",IF($B106="V01",cad!$C$24,IF($B106="V02",cad!$D$24,cad!$E$24)))</f>
        <v/>
      </c>
      <c r="X106" t="str">
        <f>IF($A106="","",IF($B106="V01",cad!$C$25,IF($B106="V02",cad!$D$25,cad!$E$25)))</f>
        <v/>
      </c>
      <c r="Y106" t="str">
        <f>IF($A106="","",IF($B106="V01",cad!$C$26,IF($B106="V02",cad!$D$26,cad!$E$26)))</f>
        <v/>
      </c>
      <c r="Z106" t="str">
        <f>IF($A106="","",IF($B106="V01",cad!$C$27,IF($B106="V02",cad!$D$27,cad!$E$27)))</f>
        <v/>
      </c>
      <c r="AA106" t="str">
        <f>IF($A106="","",IF($B106="V01",cad!$C$28,IF($B106="V02",cad!$D$28,cad!$E$28)))</f>
        <v/>
      </c>
      <c r="AB106" t="str">
        <f>IF($A106="","",IF($B106="V01",cad!$C$39,IF($B106="V02",cad!$D$39,cad!$E$39)))</f>
        <v/>
      </c>
      <c r="AC106" t="str">
        <f>IF($A106="","",IF($F106="MBWAY",cad!$J$12,IF($F106="ISCOM",cad!$J$13,IF($F106="IPAC",cad!$J$14,IF($F106="PIGIER",cad!$J$15,cad!$J$16)))))</f>
        <v/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 t="str">
        <f>IF($A107="","",IF($B107="V01",cad!$C$23,IF($B107="V02",cad!$D$23,cad!$E$23)))</f>
        <v/>
      </c>
      <c r="W107" t="str">
        <f>IF($A107="","",IF($B107="V01",cad!$C$24,IF($B107="V02",cad!$D$24,cad!$E$24)))</f>
        <v/>
      </c>
      <c r="X107" t="str">
        <f>IF($A107="","",IF($B107="V01",cad!$C$25,IF($B107="V02",cad!$D$25,cad!$E$25)))</f>
        <v/>
      </c>
      <c r="Y107" t="str">
        <f>IF($A107="","",IF($B107="V01",cad!$C$26,IF($B107="V02",cad!$D$26,cad!$E$26)))</f>
        <v/>
      </c>
      <c r="Z107" t="str">
        <f>IF($A107="","",IF($B107="V01",cad!$C$27,IF($B107="V02",cad!$D$27,cad!$E$27)))</f>
        <v/>
      </c>
      <c r="AA107" t="str">
        <f>IF($A107="","",IF($B107="V01",cad!$C$28,IF($B107="V02",cad!$D$28,cad!$E$28)))</f>
        <v/>
      </c>
      <c r="AB107" t="str">
        <f>IF($A107="","",IF($B107="V01",cad!$C$39,IF($B107="V02",cad!$D$39,cad!$E$39)))</f>
        <v/>
      </c>
      <c r="AC107" t="str">
        <f>IF($A107="","",IF($F107="MBWAY",cad!$J$12,IF($F107="ISCOM",cad!$J$13,IF($F107="IPAC",cad!$J$14,IF($F107="PIGIER",cad!$J$15,cad!$J$16)))))</f>
        <v/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 t="str">
        <f>IF($A108="","",IF($B108="V01",cad!$C$23,IF($B108="V02",cad!$D$23,cad!$E$23)))</f>
        <v/>
      </c>
      <c r="W108" t="str">
        <f>IF($A108="","",IF($B108="V01",cad!$C$24,IF($B108="V02",cad!$D$24,cad!$E$24)))</f>
        <v/>
      </c>
      <c r="X108" t="str">
        <f>IF($A108="","",IF($B108="V01",cad!$C$25,IF($B108="V02",cad!$D$25,cad!$E$25)))</f>
        <v/>
      </c>
      <c r="Y108" t="str">
        <f>IF($A108="","",IF($B108="V01",cad!$C$26,IF($B108="V02",cad!$D$26,cad!$E$26)))</f>
        <v/>
      </c>
      <c r="Z108" t="str">
        <f>IF($A108="","",IF($B108="V01",cad!$C$27,IF($B108="V02",cad!$D$27,cad!$E$27)))</f>
        <v/>
      </c>
      <c r="AA108" t="str">
        <f>IF($A108="","",IF($B108="V01",cad!$C$28,IF($B108="V02",cad!$D$28,cad!$E$28)))</f>
        <v/>
      </c>
      <c r="AB108" t="str">
        <f>IF($A108="","",IF($B108="V01",cad!$C$39,IF($B108="V02",cad!$D$39,cad!$E$39)))</f>
        <v/>
      </c>
      <c r="AC108" t="str">
        <f>IF($A108="","",IF($F108="MBWAY",cad!$J$12,IF($F108="ISCOM",cad!$J$13,IF($F108="IPAC",cad!$J$14,IF($F108="PIGIER",cad!$J$15,cad!$J$16)))))</f>
        <v/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 t="str">
        <f>IF($A109="","",IF($B109="V01",cad!$C$23,IF($B109="V02",cad!$D$23,cad!$E$23)))</f>
        <v/>
      </c>
      <c r="W109" t="str">
        <f>IF($A109="","",IF($B109="V01",cad!$C$24,IF($B109="V02",cad!$D$24,cad!$E$24)))</f>
        <v/>
      </c>
      <c r="X109" t="str">
        <f>IF($A109="","",IF($B109="V01",cad!$C$25,IF($B109="V02",cad!$D$25,cad!$E$25)))</f>
        <v/>
      </c>
      <c r="Y109" t="str">
        <f>IF($A109="","",IF($B109="V01",cad!$C$26,IF($B109="V02",cad!$D$26,cad!$E$26)))</f>
        <v/>
      </c>
      <c r="Z109" t="str">
        <f>IF($A109="","",IF($B109="V01",cad!$C$27,IF($B109="V02",cad!$D$27,cad!$E$27)))</f>
        <v/>
      </c>
      <c r="AA109" t="str">
        <f>IF($A109="","",IF($B109="V01",cad!$C$28,IF($B109="V02",cad!$D$28,cad!$E$28)))</f>
        <v/>
      </c>
      <c r="AB109" t="str">
        <f>IF($A109="","",IF($B109="V01",cad!$C$39,IF($B109="V02",cad!$D$39,cad!$E$39)))</f>
        <v/>
      </c>
      <c r="AC109" t="str">
        <f>IF($A109="","",IF($F109="MBWAY",cad!$J$12,IF($F109="ISCOM",cad!$J$13,IF($F109="IPAC",cad!$J$14,IF($F109="PIGIER",cad!$J$15,cad!$J$16)))))</f>
        <v/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 t="str">
        <f>IF($A110="","",IF($B110="V01",cad!$C$23,IF($B110="V02",cad!$D$23,cad!$E$23)))</f>
        <v/>
      </c>
      <c r="W110" t="str">
        <f>IF($A110="","",IF($B110="V01",cad!$C$24,IF($B110="V02",cad!$D$24,cad!$E$24)))</f>
        <v/>
      </c>
      <c r="X110" t="str">
        <f>IF($A110="","",IF($B110="V01",cad!$C$25,IF($B110="V02",cad!$D$25,cad!$E$25)))</f>
        <v/>
      </c>
      <c r="Y110" t="str">
        <f>IF($A110="","",IF($B110="V01",cad!$C$26,IF($B110="V02",cad!$D$26,cad!$E$26)))</f>
        <v/>
      </c>
      <c r="Z110" t="str">
        <f>IF($A110="","",IF($B110="V01",cad!$C$27,IF($B110="V02",cad!$D$27,cad!$E$27)))</f>
        <v/>
      </c>
      <c r="AA110" t="str">
        <f>IF($A110="","",IF($B110="V01",cad!$C$28,IF($B110="V02",cad!$D$28,cad!$E$28)))</f>
        <v/>
      </c>
      <c r="AB110" t="str">
        <f>IF($A110="","",IF($B110="V01",cad!$C$39,IF($B110="V02",cad!$D$39,cad!$E$39)))</f>
        <v/>
      </c>
      <c r="AC110" t="str">
        <f>IF($A110="","",IF($F110="MBWAY",cad!$J$12,IF($F110="ISCOM",cad!$J$13,IF($F110="IPAC",cad!$J$14,IF($F110="PIGIER",cad!$J$15,cad!$J$16)))))</f>
        <v/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 t="str">
        <f>IF($A111="","",IF($B111="V01",cad!$C$23,IF($B111="V02",cad!$D$23,cad!$E$23)))</f>
        <v/>
      </c>
      <c r="W111" t="str">
        <f>IF($A111="","",IF($B111="V01",cad!$C$24,IF($B111="V02",cad!$D$24,cad!$E$24)))</f>
        <v/>
      </c>
      <c r="X111" t="str">
        <f>IF($A111="","",IF($B111="V01",cad!$C$25,IF($B111="V02",cad!$D$25,cad!$E$25)))</f>
        <v/>
      </c>
      <c r="Y111" t="str">
        <f>IF($A111="","",IF($B111="V01",cad!$C$26,IF($B111="V02",cad!$D$26,cad!$E$26)))</f>
        <v/>
      </c>
      <c r="Z111" t="str">
        <f>IF($A111="","",IF($B111="V01",cad!$C$27,IF($B111="V02",cad!$D$27,cad!$E$27)))</f>
        <v/>
      </c>
      <c r="AA111" t="str">
        <f>IF($A111="","",IF($B111="V01",cad!$C$28,IF($B111="V02",cad!$D$28,cad!$E$28)))</f>
        <v/>
      </c>
      <c r="AB111" t="str">
        <f>IF($A111="","",IF($B111="V01",cad!$C$39,IF($B111="V02",cad!$D$39,cad!$E$39)))</f>
        <v/>
      </c>
      <c r="AC111" t="str">
        <f>IF($A111="","",IF($F111="MBWAY",cad!$J$12,IF($F111="ISCOM",cad!$J$13,IF($F111="IPAC",cad!$J$14,IF($F111="PIGIER",cad!$J$15,cad!$J$16)))))</f>
        <v/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 t="str">
        <f>IF($A112="","",IF($B112="V01",cad!$C$23,IF($B112="V02",cad!$D$23,cad!$E$23)))</f>
        <v/>
      </c>
      <c r="W112" t="str">
        <f>IF($A112="","",IF($B112="V01",cad!$C$24,IF($B112="V02",cad!$D$24,cad!$E$24)))</f>
        <v/>
      </c>
      <c r="X112" t="str">
        <f>IF($A112="","",IF($B112="V01",cad!$C$25,IF($B112="V02",cad!$D$25,cad!$E$25)))</f>
        <v/>
      </c>
      <c r="Y112" t="str">
        <f>IF($A112="","",IF($B112="V01",cad!$C$26,IF($B112="V02",cad!$D$26,cad!$E$26)))</f>
        <v/>
      </c>
      <c r="Z112" t="str">
        <f>IF($A112="","",IF($B112="V01",cad!$C$27,IF($B112="V02",cad!$D$27,cad!$E$27)))</f>
        <v/>
      </c>
      <c r="AA112" t="str">
        <f>IF($A112="","",IF($B112="V01",cad!$C$28,IF($B112="V02",cad!$D$28,cad!$E$28)))</f>
        <v/>
      </c>
      <c r="AB112" t="str">
        <f>IF($A112="","",IF($B112="V01",cad!$C$39,IF($B112="V02",cad!$D$39,cad!$E$39)))</f>
        <v/>
      </c>
      <c r="AC112" t="str">
        <f>IF($A112="","",IF($F112="MBWAY",cad!$J$12,IF($F112="ISCOM",cad!$J$13,IF($F112="IPAC",cad!$J$14,IF($F112="PIGIER",cad!$J$15,cad!$J$16)))))</f>
        <v/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 t="str">
        <f>IF($A113="","",IF($B113="V01",cad!$C$23,IF($B113="V02",cad!$D$23,cad!$E$23)))</f>
        <v/>
      </c>
      <c r="W113" t="str">
        <f>IF($A113="","",IF($B113="V01",cad!$C$24,IF($B113="V02",cad!$D$24,cad!$E$24)))</f>
        <v/>
      </c>
      <c r="X113" t="str">
        <f>IF($A113="","",IF($B113="V01",cad!$C$25,IF($B113="V02",cad!$D$25,cad!$E$25)))</f>
        <v/>
      </c>
      <c r="Y113" t="str">
        <f>IF($A113="","",IF($B113="V01",cad!$C$26,IF($B113="V02",cad!$D$26,cad!$E$26)))</f>
        <v/>
      </c>
      <c r="Z113" t="str">
        <f>IF($A113="","",IF($B113="V01",cad!$C$27,IF($B113="V02",cad!$D$27,cad!$E$27)))</f>
        <v/>
      </c>
      <c r="AA113" t="str">
        <f>IF($A113="","",IF($B113="V01",cad!$C$28,IF($B113="V02",cad!$D$28,cad!$E$28)))</f>
        <v/>
      </c>
      <c r="AB113" t="str">
        <f>IF($A113="","",IF($B113="V01",cad!$C$39,IF($B113="V02",cad!$D$39,cad!$E$39)))</f>
        <v/>
      </c>
      <c r="AC113" t="str">
        <f>IF($A113="","",IF($F113="MBWAY",cad!$J$12,IF($F113="ISCOM",cad!$J$13,IF($F113="IPAC",cad!$J$14,IF($F113="PIGIER",cad!$J$15,cad!$J$16)))))</f>
        <v/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 t="str">
        <f>IF($A114="","",IF($B114="V01",cad!$C$23,IF($B114="V02",cad!$D$23,cad!$E$23)))</f>
        <v/>
      </c>
      <c r="W114" t="str">
        <f>IF($A114="","",IF($B114="V01",cad!$C$24,IF($B114="V02",cad!$D$24,cad!$E$24)))</f>
        <v/>
      </c>
      <c r="X114" t="str">
        <f>IF($A114="","",IF($B114="V01",cad!$C$25,IF($B114="V02",cad!$D$25,cad!$E$25)))</f>
        <v/>
      </c>
      <c r="Y114" t="str">
        <f>IF($A114="","",IF($B114="V01",cad!$C$26,IF($B114="V02",cad!$D$26,cad!$E$26)))</f>
        <v/>
      </c>
      <c r="Z114" t="str">
        <f>IF($A114="","",IF($B114="V01",cad!$C$27,IF($B114="V02",cad!$D$27,cad!$E$27)))</f>
        <v/>
      </c>
      <c r="AA114" t="str">
        <f>IF($A114="","",IF($B114="V01",cad!$C$28,IF($B114="V02",cad!$D$28,cad!$E$28)))</f>
        <v/>
      </c>
      <c r="AB114" t="str">
        <f>IF($A114="","",IF($B114="V01",cad!$C$39,IF($B114="V02",cad!$D$39,cad!$E$39)))</f>
        <v/>
      </c>
      <c r="AC114" t="str">
        <f>IF($A114="","",IF($F114="MBWAY",cad!$J$12,IF($F114="ISCOM",cad!$J$13,IF($F114="IPAC",cad!$J$14,IF($F114="PIGIER",cad!$J$15,cad!$J$16)))))</f>
        <v/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 t="str">
        <f>IF($A115="","",IF($B115="V01",cad!$C$23,IF($B115="V02",cad!$D$23,cad!$E$23)))</f>
        <v/>
      </c>
      <c r="W115" t="str">
        <f>IF($A115="","",IF($B115="V01",cad!$C$24,IF($B115="V02",cad!$D$24,cad!$E$24)))</f>
        <v/>
      </c>
      <c r="X115" t="str">
        <f>IF($A115="","",IF($B115="V01",cad!$C$25,IF($B115="V02",cad!$D$25,cad!$E$25)))</f>
        <v/>
      </c>
      <c r="Y115" t="str">
        <f>IF($A115="","",IF($B115="V01",cad!$C$26,IF($B115="V02",cad!$D$26,cad!$E$26)))</f>
        <v/>
      </c>
      <c r="Z115" t="str">
        <f>IF($A115="","",IF($B115="V01",cad!$C$27,IF($B115="V02",cad!$D$27,cad!$E$27)))</f>
        <v/>
      </c>
      <c r="AA115" t="str">
        <f>IF($A115="","",IF($B115="V01",cad!$C$28,IF($B115="V02",cad!$D$28,cad!$E$28)))</f>
        <v/>
      </c>
      <c r="AB115" t="str">
        <f>IF($A115="","",IF($B115="V01",cad!$C$39,IF($B115="V02",cad!$D$39,cad!$E$39)))</f>
        <v/>
      </c>
      <c r="AC115" t="str">
        <f>IF($A115="","",IF($F115="MBWAY",cad!$J$12,IF($F115="ISCOM",cad!$J$13,IF($F115="IPAC",cad!$J$14,IF($F115="PIGIER",cad!$J$15,cad!$J$16)))))</f>
        <v/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 t="str">
        <f>IF($A116="","",IF($B116="V01",cad!$C$23,IF($B116="V02",cad!$D$23,cad!$E$23)))</f>
        <v/>
      </c>
      <c r="W116" t="str">
        <f>IF($A116="","",IF($B116="V01",cad!$C$24,IF($B116="V02",cad!$D$24,cad!$E$24)))</f>
        <v/>
      </c>
      <c r="X116" t="str">
        <f>IF($A116="","",IF($B116="V01",cad!$C$25,IF($B116="V02",cad!$D$25,cad!$E$25)))</f>
        <v/>
      </c>
      <c r="Y116" t="str">
        <f>IF($A116="","",IF($B116="V01",cad!$C$26,IF($B116="V02",cad!$D$26,cad!$E$26)))</f>
        <v/>
      </c>
      <c r="Z116" t="str">
        <f>IF($A116="","",IF($B116="V01",cad!$C$27,IF($B116="V02",cad!$D$27,cad!$E$27)))</f>
        <v/>
      </c>
      <c r="AA116" t="str">
        <f>IF($A116="","",IF($B116="V01",cad!$C$28,IF($B116="V02",cad!$D$28,cad!$E$28)))</f>
        <v/>
      </c>
      <c r="AB116" t="str">
        <f>IF($A116="","",IF($B116="V01",cad!$C$39,IF($B116="V02",cad!$D$39,cad!$E$39)))</f>
        <v/>
      </c>
      <c r="AC116" t="str">
        <f>IF($A116="","",IF($F116="MBWAY",cad!$J$12,IF($F116="ISCOM",cad!$J$13,IF($F116="IPAC",cad!$J$14,IF($F116="PIGIER",cad!$J$15,cad!$J$16)))))</f>
        <v/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 t="str">
        <f>IF($A117="","",IF($B117="V01",cad!$C$23,IF($B117="V02",cad!$D$23,cad!$E$23)))</f>
        <v/>
      </c>
      <c r="W117" t="str">
        <f>IF($A117="","",IF($B117="V01",cad!$C$24,IF($B117="V02",cad!$D$24,cad!$E$24)))</f>
        <v/>
      </c>
      <c r="X117" t="str">
        <f>IF($A117="","",IF($B117="V01",cad!$C$25,IF($B117="V02",cad!$D$25,cad!$E$25)))</f>
        <v/>
      </c>
      <c r="Y117" t="str">
        <f>IF($A117="","",IF($B117="V01",cad!$C$26,IF($B117="V02",cad!$D$26,cad!$E$26)))</f>
        <v/>
      </c>
      <c r="Z117" t="str">
        <f>IF($A117="","",IF($B117="V01",cad!$C$27,IF($B117="V02",cad!$D$27,cad!$E$27)))</f>
        <v/>
      </c>
      <c r="AA117" t="str">
        <f>IF($A117="","",IF($B117="V01",cad!$C$28,IF($B117="V02",cad!$D$28,cad!$E$28)))</f>
        <v/>
      </c>
      <c r="AB117" t="str">
        <f>IF($A117="","",IF($B117="V01",cad!$C$39,IF($B117="V02",cad!$D$39,cad!$E$39)))</f>
        <v/>
      </c>
      <c r="AC117" t="str">
        <f>IF($A117="","",IF($F117="MBWAY",cad!$J$12,IF($F117="ISCOM",cad!$J$13,IF($F117="IPAC",cad!$J$14,IF($F117="PIGIER",cad!$J$15,cad!$J$16)))))</f>
        <v/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 t="str">
        <f>IF($A118="","",IF($B118="V01",cad!$C$23,IF($B118="V02",cad!$D$23,cad!$E$23)))</f>
        <v/>
      </c>
      <c r="W118" t="str">
        <f>IF($A118="","",IF($B118="V01",cad!$C$24,IF($B118="V02",cad!$D$24,cad!$E$24)))</f>
        <v/>
      </c>
      <c r="X118" t="str">
        <f>IF($A118="","",IF($B118="V01",cad!$C$25,IF($B118="V02",cad!$D$25,cad!$E$25)))</f>
        <v/>
      </c>
      <c r="Y118" t="str">
        <f>IF($A118="","",IF($B118="V01",cad!$C$26,IF($B118="V02",cad!$D$26,cad!$E$26)))</f>
        <v/>
      </c>
      <c r="Z118" t="str">
        <f>IF($A118="","",IF($B118="V01",cad!$C$27,IF($B118="V02",cad!$D$27,cad!$E$27)))</f>
        <v/>
      </c>
      <c r="AA118" t="str">
        <f>IF($A118="","",IF($B118="V01",cad!$C$28,IF($B118="V02",cad!$D$28,cad!$E$28)))</f>
        <v/>
      </c>
      <c r="AB118" t="str">
        <f>IF($A118="","",IF($B118="V01",cad!$C$39,IF($B118="V02",cad!$D$39,cad!$E$39)))</f>
        <v/>
      </c>
      <c r="AC118" t="str">
        <f>IF($A118="","",IF($F118="MBWAY",cad!$J$12,IF($F118="ISCOM",cad!$J$13,IF($F118="IPAC",cad!$J$14,IF($F118="PIGIER",cad!$J$15,cad!$J$16)))))</f>
        <v/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 t="str">
        <f>IF($A119="","",IF($B119="V01",cad!$C$23,IF($B119="V02",cad!$D$23,cad!$E$23)))</f>
        <v/>
      </c>
      <c r="W119" t="str">
        <f>IF($A119="","",IF($B119="V01",cad!$C$24,IF($B119="V02",cad!$D$24,cad!$E$24)))</f>
        <v/>
      </c>
      <c r="X119" t="str">
        <f>IF($A119="","",IF($B119="V01",cad!$C$25,IF($B119="V02",cad!$D$25,cad!$E$25)))</f>
        <v/>
      </c>
      <c r="Y119" t="str">
        <f>IF($A119="","",IF($B119="V01",cad!$C$26,IF($B119="V02",cad!$D$26,cad!$E$26)))</f>
        <v/>
      </c>
      <c r="Z119" t="str">
        <f>IF($A119="","",IF($B119="V01",cad!$C$27,IF($B119="V02",cad!$D$27,cad!$E$27)))</f>
        <v/>
      </c>
      <c r="AA119" t="str">
        <f>IF($A119="","",IF($B119="V01",cad!$C$28,IF($B119="V02",cad!$D$28,cad!$E$28)))</f>
        <v/>
      </c>
      <c r="AB119" t="str">
        <f>IF($A119="","",IF($B119="V01",cad!$C$39,IF($B119="V02",cad!$D$39,cad!$E$39)))</f>
        <v/>
      </c>
      <c r="AC119" t="str">
        <f>IF($A119="","",IF($F119="MBWAY",cad!$J$12,IF($F119="ISCOM",cad!$J$13,IF($F119="IPAC",cad!$J$14,IF($F119="PIGIER",cad!$J$15,cad!$J$16)))))</f>
        <v/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 t="str">
        <f>IF($A120="","",IF($B120="V01",cad!$C$23,IF($B120="V02",cad!$D$23,cad!$E$23)))</f>
        <v/>
      </c>
      <c r="W120" t="str">
        <f>IF($A120="","",IF($B120="V01",cad!$C$24,IF($B120="V02",cad!$D$24,cad!$E$24)))</f>
        <v/>
      </c>
      <c r="X120" t="str">
        <f>IF($A120="","",IF($B120="V01",cad!$C$25,IF($B120="V02",cad!$D$25,cad!$E$25)))</f>
        <v/>
      </c>
      <c r="Y120" t="str">
        <f>IF($A120="","",IF($B120="V01",cad!$C$26,IF($B120="V02",cad!$D$26,cad!$E$26)))</f>
        <v/>
      </c>
      <c r="Z120" t="str">
        <f>IF($A120="","",IF($B120="V01",cad!$C$27,IF($B120="V02",cad!$D$27,cad!$E$27)))</f>
        <v/>
      </c>
      <c r="AA120" t="str">
        <f>IF($A120="","",IF($B120="V01",cad!$C$28,IF($B120="V02",cad!$D$28,cad!$E$28)))</f>
        <v/>
      </c>
      <c r="AB120" t="str">
        <f>IF($A120="","",IF($B120="V01",cad!$C$39,IF($B120="V02",cad!$D$39,cad!$E$39)))</f>
        <v/>
      </c>
      <c r="AC120" t="str">
        <f>IF($A120="","",IF($F120="MBWAY",cad!$J$12,IF($F120="ISCOM",cad!$J$13,IF($F120="IPAC",cad!$J$14,IF($F120="PIGIER",cad!$J$15,cad!$J$16)))))</f>
        <v/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 t="str">
        <f>IF($A121="","",IF($B121="V01",cad!$C$23,IF($B121="V02",cad!$D$23,cad!$E$23)))</f>
        <v/>
      </c>
      <c r="W121" t="str">
        <f>IF($A121="","",IF($B121="V01",cad!$C$24,IF($B121="V02",cad!$D$24,cad!$E$24)))</f>
        <v/>
      </c>
      <c r="X121" t="str">
        <f>IF($A121="","",IF($B121="V01",cad!$C$25,IF($B121="V02",cad!$D$25,cad!$E$25)))</f>
        <v/>
      </c>
      <c r="Y121" t="str">
        <f>IF($A121="","",IF($B121="V01",cad!$C$26,IF($B121="V02",cad!$D$26,cad!$E$26)))</f>
        <v/>
      </c>
      <c r="Z121" t="str">
        <f>IF($A121="","",IF($B121="V01",cad!$C$27,IF($B121="V02",cad!$D$27,cad!$E$27)))</f>
        <v/>
      </c>
      <c r="AA121" t="str">
        <f>IF($A121="","",IF($B121="V01",cad!$C$28,IF($B121="V02",cad!$D$28,cad!$E$28)))</f>
        <v/>
      </c>
      <c r="AB121" t="str">
        <f>IF($A121="","",IF($B121="V01",cad!$C$39,IF($B121="V02",cad!$D$39,cad!$E$39)))</f>
        <v/>
      </c>
      <c r="AC121" t="str">
        <f>IF($A121="","",IF($F121="MBWAY",cad!$J$12,IF($F121="ISCOM",cad!$J$13,IF($F121="IPAC",cad!$J$14,IF($F121="PIGIER",cad!$J$15,cad!$J$16)))))</f>
        <v/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 t="str">
        <f>IF($A122="","",IF($B122="V01",cad!$C$23,IF($B122="V02",cad!$D$23,cad!$E$23)))</f>
        <v/>
      </c>
      <c r="W122" t="str">
        <f>IF($A122="","",IF($B122="V01",cad!$C$24,IF($B122="V02",cad!$D$24,cad!$E$24)))</f>
        <v/>
      </c>
      <c r="X122" t="str">
        <f>IF($A122="","",IF($B122="V01",cad!$C$25,IF($B122="V02",cad!$D$25,cad!$E$25)))</f>
        <v/>
      </c>
      <c r="Y122" t="str">
        <f>IF($A122="","",IF($B122="V01",cad!$C$26,IF($B122="V02",cad!$D$26,cad!$E$26)))</f>
        <v/>
      </c>
      <c r="Z122" t="str">
        <f>IF($A122="","",IF($B122="V01",cad!$C$27,IF($B122="V02",cad!$D$27,cad!$E$27)))</f>
        <v/>
      </c>
      <c r="AA122" t="str">
        <f>IF($A122="","",IF($B122="V01",cad!$C$28,IF($B122="V02",cad!$D$28,cad!$E$28)))</f>
        <v/>
      </c>
      <c r="AB122" t="str">
        <f>IF($A122="","",IF($B122="V01",cad!$C$39,IF($B122="V02",cad!$D$39,cad!$E$39)))</f>
        <v/>
      </c>
      <c r="AC122" t="str">
        <f>IF($A122="","",IF($F122="MBWAY",cad!$J$12,IF($F122="ISCOM",cad!$J$13,IF($F122="IPAC",cad!$J$14,IF($F122="PIGIER",cad!$J$15,cad!$J$16)))))</f>
        <v/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 t="str">
        <f>IF($A123="","",IF($B123="V01",cad!$C$23,IF($B123="V02",cad!$D$23,cad!$E$23)))</f>
        <v/>
      </c>
      <c r="W123" t="str">
        <f>IF($A123="","",IF($B123="V01",cad!$C$24,IF($B123="V02",cad!$D$24,cad!$E$24)))</f>
        <v/>
      </c>
      <c r="X123" t="str">
        <f>IF($A123="","",IF($B123="V01",cad!$C$25,IF($B123="V02",cad!$D$25,cad!$E$25)))</f>
        <v/>
      </c>
      <c r="Y123" t="str">
        <f>IF($A123="","",IF($B123="V01",cad!$C$26,IF($B123="V02",cad!$D$26,cad!$E$26)))</f>
        <v/>
      </c>
      <c r="Z123" t="str">
        <f>IF($A123="","",IF($B123="V01",cad!$C$27,IF($B123="V02",cad!$D$27,cad!$E$27)))</f>
        <v/>
      </c>
      <c r="AA123" t="str">
        <f>IF($A123="","",IF($B123="V01",cad!$C$28,IF($B123="V02",cad!$D$28,cad!$E$28)))</f>
        <v/>
      </c>
      <c r="AB123" t="str">
        <f>IF($A123="","",IF($B123="V01",cad!$C$39,IF($B123="V02",cad!$D$39,cad!$E$39)))</f>
        <v/>
      </c>
      <c r="AC123" t="str">
        <f>IF($A123="","",IF($F123="MBWAY",cad!$J$12,IF($F123="ISCOM",cad!$J$13,IF($F123="IPAC",cad!$J$14,IF($F123="PIGIER",cad!$J$15,cad!$J$16)))))</f>
        <v/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 t="str">
        <f>IF($A124="","",IF($B124="V01",cad!$C$23,IF($B124="V02",cad!$D$23,cad!$E$23)))</f>
        <v/>
      </c>
      <c r="W124" t="str">
        <f>IF($A124="","",IF($B124="V01",cad!$C$24,IF($B124="V02",cad!$D$24,cad!$E$24)))</f>
        <v/>
      </c>
      <c r="X124" t="str">
        <f>IF($A124="","",IF($B124="V01",cad!$C$25,IF($B124="V02",cad!$D$25,cad!$E$25)))</f>
        <v/>
      </c>
      <c r="Y124" t="str">
        <f>IF($A124="","",IF($B124="V01",cad!$C$26,IF($B124="V02",cad!$D$26,cad!$E$26)))</f>
        <v/>
      </c>
      <c r="Z124" t="str">
        <f>IF($A124="","",IF($B124="V01",cad!$C$27,IF($B124="V02",cad!$D$27,cad!$E$27)))</f>
        <v/>
      </c>
      <c r="AA124" t="str">
        <f>IF($A124="","",IF($B124="V01",cad!$C$28,IF($B124="V02",cad!$D$28,cad!$E$28)))</f>
        <v/>
      </c>
      <c r="AB124" t="str">
        <f>IF($A124="","",IF($B124="V01",cad!$C$39,IF($B124="V02",cad!$D$39,cad!$E$39)))</f>
        <v/>
      </c>
      <c r="AC124" t="str">
        <f>IF($A124="","",IF($F124="MBWAY",cad!$J$12,IF($F124="ISCOM",cad!$J$13,IF($F124="IPAC",cad!$J$14,IF($F124="PIGIER",cad!$J$15,cad!$J$16)))))</f>
        <v/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 t="str">
        <f>IF($A125="","",IF($B125="V01",cad!$C$23,IF($B125="V02",cad!$D$23,cad!$E$23)))</f>
        <v/>
      </c>
      <c r="W125" t="str">
        <f>IF($A125="","",IF($B125="V01",cad!$C$24,IF($B125="V02",cad!$D$24,cad!$E$24)))</f>
        <v/>
      </c>
      <c r="X125" t="str">
        <f>IF($A125="","",IF($B125="V01",cad!$C$25,IF($B125="V02",cad!$D$25,cad!$E$25)))</f>
        <v/>
      </c>
      <c r="Y125" t="str">
        <f>IF($A125="","",IF($B125="V01",cad!$C$26,IF($B125="V02",cad!$D$26,cad!$E$26)))</f>
        <v/>
      </c>
      <c r="Z125" t="str">
        <f>IF($A125="","",IF($B125="V01",cad!$C$27,IF($B125="V02",cad!$D$27,cad!$E$27)))</f>
        <v/>
      </c>
      <c r="AA125" t="str">
        <f>IF($A125="","",IF($B125="V01",cad!$C$28,IF($B125="V02",cad!$D$28,cad!$E$28)))</f>
        <v/>
      </c>
      <c r="AB125" t="str">
        <f>IF($A125="","",IF($B125="V01",cad!$C$39,IF($B125="V02",cad!$D$39,cad!$E$39)))</f>
        <v/>
      </c>
      <c r="AC125" t="str">
        <f>IF($A125="","",IF($F125="MBWAY",cad!$J$12,IF($F125="ISCOM",cad!$J$13,IF($F125="IPAC",cad!$J$14,IF($F125="PIGIER",cad!$J$15,cad!$J$16)))))</f>
        <v/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 t="str">
        <f>IF($A126="","",IF($B126="V01",cad!$C$23,IF($B126="V02",cad!$D$23,cad!$E$23)))</f>
        <v/>
      </c>
      <c r="W126" t="str">
        <f>IF($A126="","",IF($B126="V01",cad!$C$24,IF($B126="V02",cad!$D$24,cad!$E$24)))</f>
        <v/>
      </c>
      <c r="X126" t="str">
        <f>IF($A126="","",IF($B126="V01",cad!$C$25,IF($B126="V02",cad!$D$25,cad!$E$25)))</f>
        <v/>
      </c>
      <c r="Y126" t="str">
        <f>IF($A126="","",IF($B126="V01",cad!$C$26,IF($B126="V02",cad!$D$26,cad!$E$26)))</f>
        <v/>
      </c>
      <c r="Z126" t="str">
        <f>IF($A126="","",IF($B126="V01",cad!$C$27,IF($B126="V02",cad!$D$27,cad!$E$27)))</f>
        <v/>
      </c>
      <c r="AA126" t="str">
        <f>IF($A126="","",IF($B126="V01",cad!$C$28,IF($B126="V02",cad!$D$28,cad!$E$28)))</f>
        <v/>
      </c>
      <c r="AB126" t="str">
        <f>IF($A126="","",IF($B126="V01",cad!$C$39,IF($B126="V02",cad!$D$39,cad!$E$39)))</f>
        <v/>
      </c>
      <c r="AC126" t="str">
        <f>IF($A126="","",IF($F126="MBWAY",cad!$J$12,IF($F126="ISCOM",cad!$J$13,IF($F126="IPAC",cad!$J$14,IF($F126="PIGIER",cad!$J$15,cad!$J$16)))))</f>
        <v/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 t="str">
        <f>IF($A127="","",IF($B127="V01",cad!$C$23,IF($B127="V02",cad!$D$23,cad!$E$23)))</f>
        <v/>
      </c>
      <c r="W127" t="str">
        <f>IF($A127="","",IF($B127="V01",cad!$C$24,IF($B127="V02",cad!$D$24,cad!$E$24)))</f>
        <v/>
      </c>
      <c r="X127" t="str">
        <f>IF($A127="","",IF($B127="V01",cad!$C$25,IF($B127="V02",cad!$D$25,cad!$E$25)))</f>
        <v/>
      </c>
      <c r="Y127" t="str">
        <f>IF($A127="","",IF($B127="V01",cad!$C$26,IF($B127="V02",cad!$D$26,cad!$E$26)))</f>
        <v/>
      </c>
      <c r="Z127" t="str">
        <f>IF($A127="","",IF($B127="V01",cad!$C$27,IF($B127="V02",cad!$D$27,cad!$E$27)))</f>
        <v/>
      </c>
      <c r="AA127" t="str">
        <f>IF($A127="","",IF($B127="V01",cad!$C$28,IF($B127="V02",cad!$D$28,cad!$E$28)))</f>
        <v/>
      </c>
      <c r="AB127" t="str">
        <f>IF($A127="","",IF($B127="V01",cad!$C$39,IF($B127="V02",cad!$D$39,cad!$E$39)))</f>
        <v/>
      </c>
      <c r="AC127" t="str">
        <f>IF($A127="","",IF($F127="MBWAY",cad!$J$12,IF($F127="ISCOM",cad!$J$13,IF($F127="IPAC",cad!$J$14,IF($F127="PIGIER",cad!$J$15,cad!$J$16)))))</f>
        <v/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 t="str">
        <f>IF($A128="","",IF($B128="V01",cad!$C$23,IF($B128="V02",cad!$D$23,cad!$E$23)))</f>
        <v/>
      </c>
      <c r="W128" t="str">
        <f>IF($A128="","",IF($B128="V01",cad!$C$24,IF($B128="V02",cad!$D$24,cad!$E$24)))</f>
        <v/>
      </c>
      <c r="X128" t="str">
        <f>IF($A128="","",IF($B128="V01",cad!$C$25,IF($B128="V02",cad!$D$25,cad!$E$25)))</f>
        <v/>
      </c>
      <c r="Y128" t="str">
        <f>IF($A128="","",IF($B128="V01",cad!$C$26,IF($B128="V02",cad!$D$26,cad!$E$26)))</f>
        <v/>
      </c>
      <c r="Z128" t="str">
        <f>IF($A128="","",IF($B128="V01",cad!$C$27,IF($B128="V02",cad!$D$27,cad!$E$27)))</f>
        <v/>
      </c>
      <c r="AA128" t="str">
        <f>IF($A128="","",IF($B128="V01",cad!$C$28,IF($B128="V02",cad!$D$28,cad!$E$28)))</f>
        <v/>
      </c>
      <c r="AB128" t="str">
        <f>IF($A128="","",IF($B128="V01",cad!$C$39,IF($B128="V02",cad!$D$39,cad!$E$39)))</f>
        <v/>
      </c>
      <c r="AC128" t="str">
        <f>IF($A128="","",IF($F128="MBWAY",cad!$J$12,IF($F128="ISCOM",cad!$J$13,IF($F128="IPAC",cad!$J$14,IF($F128="PIGIER",cad!$J$15,cad!$J$16)))))</f>
        <v/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 t="str">
        <f>IF($A129="","",IF($B129="V01",cad!$C$23,IF($B129="V02",cad!$D$23,cad!$E$23)))</f>
        <v/>
      </c>
      <c r="W129" t="str">
        <f>IF($A129="","",IF($B129="V01",cad!$C$24,IF($B129="V02",cad!$D$24,cad!$E$24)))</f>
        <v/>
      </c>
      <c r="X129" t="str">
        <f>IF($A129="","",IF($B129="V01",cad!$C$25,IF($B129="V02",cad!$D$25,cad!$E$25)))</f>
        <v/>
      </c>
      <c r="Y129" t="str">
        <f>IF($A129="","",IF($B129="V01",cad!$C$26,IF($B129="V02",cad!$D$26,cad!$E$26)))</f>
        <v/>
      </c>
      <c r="Z129" t="str">
        <f>IF($A129="","",IF($B129="V01",cad!$C$27,IF($B129="V02",cad!$D$27,cad!$E$27)))</f>
        <v/>
      </c>
      <c r="AA129" t="str">
        <f>IF($A129="","",IF($B129="V01",cad!$C$28,IF($B129="V02",cad!$D$28,cad!$E$28)))</f>
        <v/>
      </c>
      <c r="AB129" t="str">
        <f>IF($A129="","",IF($B129="V01",cad!$C$39,IF($B129="V02",cad!$D$39,cad!$E$39)))</f>
        <v/>
      </c>
      <c r="AC129" t="str">
        <f>IF($A129="","",IF($F129="MBWAY",cad!$J$12,IF($F129="ISCOM",cad!$J$13,IF($F129="IPAC",cad!$J$14,IF($F129="PIGIER",cad!$J$15,cad!$J$16)))))</f>
        <v/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 t="str">
        <f>IF($A130="","",IF($B130="V01",cad!$C$23,IF($B130="V02",cad!$D$23,cad!$E$23)))</f>
        <v/>
      </c>
      <c r="W130" t="str">
        <f>IF($A130="","",IF($B130="V01",cad!$C$24,IF($B130="V02",cad!$D$24,cad!$E$24)))</f>
        <v/>
      </c>
      <c r="X130" t="str">
        <f>IF($A130="","",IF($B130="V01",cad!$C$25,IF($B130="V02",cad!$D$25,cad!$E$25)))</f>
        <v/>
      </c>
      <c r="Y130" t="str">
        <f>IF($A130="","",IF($B130="V01",cad!$C$26,IF($B130="V02",cad!$D$26,cad!$E$26)))</f>
        <v/>
      </c>
      <c r="Z130" t="str">
        <f>IF($A130="","",IF($B130="V01",cad!$C$27,IF($B130="V02",cad!$D$27,cad!$E$27)))</f>
        <v/>
      </c>
      <c r="AA130" t="str">
        <f>IF($A130="","",IF($B130="V01",cad!$C$28,IF($B130="V02",cad!$D$28,cad!$E$28)))</f>
        <v/>
      </c>
      <c r="AB130" t="str">
        <f>IF($A130="","",IF($B130="V01",cad!$C$39,IF($B130="V02",cad!$D$39,cad!$E$39)))</f>
        <v/>
      </c>
      <c r="AC130" t="str">
        <f>IF($A130="","",IF($F130="MBWAY",cad!$J$12,IF($F130="ISCOM",cad!$J$13,IF($F130="IPAC",cad!$J$14,IF($F130="PIGIER",cad!$J$15,cad!$J$16)))))</f>
        <v/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 t="str">
        <f>IF($A131="","",IF($B131="V01",cad!$C$23,IF($B131="V02",cad!$D$23,cad!$E$23)))</f>
        <v/>
      </c>
      <c r="W131" t="str">
        <f>IF($A131="","",IF($B131="V01",cad!$C$24,IF($B131="V02",cad!$D$24,cad!$E$24)))</f>
        <v/>
      </c>
      <c r="X131" t="str">
        <f>IF($A131="","",IF($B131="V01",cad!$C$25,IF($B131="V02",cad!$D$25,cad!$E$25)))</f>
        <v/>
      </c>
      <c r="Y131" t="str">
        <f>IF($A131="","",IF($B131="V01",cad!$C$26,IF($B131="V02",cad!$D$26,cad!$E$26)))</f>
        <v/>
      </c>
      <c r="Z131" t="str">
        <f>IF($A131="","",IF($B131="V01",cad!$C$27,IF($B131="V02",cad!$D$27,cad!$E$27)))</f>
        <v/>
      </c>
      <c r="AA131" t="str">
        <f>IF($A131="","",IF($B131="V01",cad!$C$28,IF($B131="V02",cad!$D$28,cad!$E$28)))</f>
        <v/>
      </c>
      <c r="AB131" t="str">
        <f>IF($A131="","",IF($B131="V01",cad!$C$39,IF($B131="V02",cad!$D$39,cad!$E$39)))</f>
        <v/>
      </c>
      <c r="AC131" t="str">
        <f>IF($A131="","",IF($F131="MBWAY",cad!$J$12,IF($F131="ISCOM",cad!$J$13,IF($F131="IPAC",cad!$J$14,IF($F131="PIGIER",cad!$J$15,cad!$J$16)))))</f>
        <v/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 t="str">
        <f>IF($A132="","",IF($B132="V01",cad!$C$23,IF($B132="V02",cad!$D$23,cad!$E$23)))</f>
        <v/>
      </c>
      <c r="W132" t="str">
        <f>IF($A132="","",IF($B132="V01",cad!$C$24,IF($B132="V02",cad!$D$24,cad!$E$24)))</f>
        <v/>
      </c>
      <c r="X132" t="str">
        <f>IF($A132="","",IF($B132="V01",cad!$C$25,IF($B132="V02",cad!$D$25,cad!$E$25)))</f>
        <v/>
      </c>
      <c r="Y132" t="str">
        <f>IF($A132="","",IF($B132="V01",cad!$C$26,IF($B132="V02",cad!$D$26,cad!$E$26)))</f>
        <v/>
      </c>
      <c r="Z132" t="str">
        <f>IF($A132="","",IF($B132="V01",cad!$C$27,IF($B132="V02",cad!$D$27,cad!$E$27)))</f>
        <v/>
      </c>
      <c r="AA132" t="str">
        <f>IF($A132="","",IF($B132="V01",cad!$C$28,IF($B132="V02",cad!$D$28,cad!$E$28)))</f>
        <v/>
      </c>
      <c r="AB132" t="str">
        <f>IF($A132="","",IF($B132="V01",cad!$C$39,IF($B132="V02",cad!$D$39,cad!$E$39)))</f>
        <v/>
      </c>
      <c r="AC132" t="str">
        <f>IF($A132="","",IF($F132="MBWAY",cad!$J$12,IF($F132="ISCOM",cad!$J$13,IF($F132="IPAC",cad!$J$14,IF($F132="PIGIER",cad!$J$15,cad!$J$16)))))</f>
        <v/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 t="str">
        <f>IF($A133="","",IF($B133="V01",cad!$C$23,IF($B133="V02",cad!$D$23,cad!$E$23)))</f>
        <v/>
      </c>
      <c r="W133" t="str">
        <f>IF($A133="","",IF($B133="V01",cad!$C$24,IF($B133="V02",cad!$D$24,cad!$E$24)))</f>
        <v/>
      </c>
      <c r="X133" t="str">
        <f>IF($A133="","",IF($B133="V01",cad!$C$25,IF($B133="V02",cad!$D$25,cad!$E$25)))</f>
        <v/>
      </c>
      <c r="Y133" t="str">
        <f>IF($A133="","",IF($B133="V01",cad!$C$26,IF($B133="V02",cad!$D$26,cad!$E$26)))</f>
        <v/>
      </c>
      <c r="Z133" t="str">
        <f>IF($A133="","",IF($B133="V01",cad!$C$27,IF($B133="V02",cad!$D$27,cad!$E$27)))</f>
        <v/>
      </c>
      <c r="AA133" t="str">
        <f>IF($A133="","",IF($B133="V01",cad!$C$28,IF($B133="V02",cad!$D$28,cad!$E$28)))</f>
        <v/>
      </c>
      <c r="AB133" t="str">
        <f>IF($A133="","",IF($B133="V01",cad!$C$39,IF($B133="V02",cad!$D$39,cad!$E$39)))</f>
        <v/>
      </c>
      <c r="AC133" t="str">
        <f>IF($A133="","",IF($F133="MBWAY",cad!$J$12,IF($F133="ISCOM",cad!$J$13,IF($F133="IPAC",cad!$J$14,IF($F133="PIGIER",cad!$J$15,cad!$J$16)))))</f>
        <v/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 t="str">
        <f>IF($A134="","",IF($B134="V01",cad!$C$23,IF($B134="V02",cad!$D$23,cad!$E$23)))</f>
        <v/>
      </c>
      <c r="W134" t="str">
        <f>IF($A134="","",IF($B134="V01",cad!$C$24,IF($B134="V02",cad!$D$24,cad!$E$24)))</f>
        <v/>
      </c>
      <c r="X134" t="str">
        <f>IF($A134="","",IF($B134="V01",cad!$C$25,IF($B134="V02",cad!$D$25,cad!$E$25)))</f>
        <v/>
      </c>
      <c r="Y134" t="str">
        <f>IF($A134="","",IF($B134="V01",cad!$C$26,IF($B134="V02",cad!$D$26,cad!$E$26)))</f>
        <v/>
      </c>
      <c r="Z134" t="str">
        <f>IF($A134="","",IF($B134="V01",cad!$C$27,IF($B134="V02",cad!$D$27,cad!$E$27)))</f>
        <v/>
      </c>
      <c r="AA134" t="str">
        <f>IF($A134="","",IF($B134="V01",cad!$C$28,IF($B134="V02",cad!$D$28,cad!$E$28)))</f>
        <v/>
      </c>
      <c r="AB134" t="str">
        <f>IF($A134="","",IF($B134="V01",cad!$C$39,IF($B134="V02",cad!$D$39,cad!$E$39)))</f>
        <v/>
      </c>
      <c r="AC134" t="str">
        <f>IF($A134="","",IF($F134="MBWAY",cad!$J$12,IF($F134="ISCOM",cad!$J$13,IF($F134="IPAC",cad!$J$14,IF($F134="PIGIER",cad!$J$15,cad!$J$16)))))</f>
        <v/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 t="str">
        <f>IF($A135="","",IF($B135="V01",cad!$C$23,IF($B135="V02",cad!$D$23,cad!$E$23)))</f>
        <v/>
      </c>
      <c r="W135" t="str">
        <f>IF($A135="","",IF($B135="V01",cad!$C$24,IF($B135="V02",cad!$D$24,cad!$E$24)))</f>
        <v/>
      </c>
      <c r="X135" t="str">
        <f>IF($A135="","",IF($B135="V01",cad!$C$25,IF($B135="V02",cad!$D$25,cad!$E$25)))</f>
        <v/>
      </c>
      <c r="Y135" t="str">
        <f>IF($A135="","",IF($B135="V01",cad!$C$26,IF($B135="V02",cad!$D$26,cad!$E$26)))</f>
        <v/>
      </c>
      <c r="Z135" t="str">
        <f>IF($A135="","",IF($B135="V01",cad!$C$27,IF($B135="V02",cad!$D$27,cad!$E$27)))</f>
        <v/>
      </c>
      <c r="AA135" t="str">
        <f>IF($A135="","",IF($B135="V01",cad!$C$28,IF($B135="V02",cad!$D$28,cad!$E$28)))</f>
        <v/>
      </c>
      <c r="AB135" t="str">
        <f>IF($A135="","",IF($B135="V01",cad!$C$39,IF($B135="V02",cad!$D$39,cad!$E$39)))</f>
        <v/>
      </c>
      <c r="AC135" t="str">
        <f>IF($A135="","",IF($F135="MBWAY",cad!$J$12,IF($F135="ISCOM",cad!$J$13,IF($F135="IPAC",cad!$J$14,IF($F135="PIGIER",cad!$J$15,cad!$J$16)))))</f>
        <v/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 t="str">
        <f>IF($A136="","",IF($B136="V01",cad!$C$23,IF($B136="V02",cad!$D$23,cad!$E$23)))</f>
        <v/>
      </c>
      <c r="W136" t="str">
        <f>IF($A136="","",IF($B136="V01",cad!$C$24,IF($B136="V02",cad!$D$24,cad!$E$24)))</f>
        <v/>
      </c>
      <c r="X136" t="str">
        <f>IF($A136="","",IF($B136="V01",cad!$C$25,IF($B136="V02",cad!$D$25,cad!$E$25)))</f>
        <v/>
      </c>
      <c r="Y136" t="str">
        <f>IF($A136="","",IF($B136="V01",cad!$C$26,IF($B136="V02",cad!$D$26,cad!$E$26)))</f>
        <v/>
      </c>
      <c r="Z136" t="str">
        <f>IF($A136="","",IF($B136="V01",cad!$C$27,IF($B136="V02",cad!$D$27,cad!$E$27)))</f>
        <v/>
      </c>
      <c r="AA136" t="str">
        <f>IF($A136="","",IF($B136="V01",cad!$C$28,IF($B136="V02",cad!$D$28,cad!$E$28)))</f>
        <v/>
      </c>
      <c r="AB136" t="str">
        <f>IF($A136="","",IF($B136="V01",cad!$C$39,IF($B136="V02",cad!$D$39,cad!$E$39)))</f>
        <v/>
      </c>
      <c r="AC136" t="str">
        <f>IF($A136="","",IF($F136="MBWAY",cad!$J$12,IF($F136="ISCOM",cad!$J$13,IF($F136="IPAC",cad!$J$14,IF($F136="PIGIER",cad!$J$15,cad!$J$16)))))</f>
        <v/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 t="str">
        <f>IF($A137="","",IF($B137="V01",cad!$C$23,IF($B137="V02",cad!$D$23,cad!$E$23)))</f>
        <v/>
      </c>
      <c r="W137" t="str">
        <f>IF($A137="","",IF($B137="V01",cad!$C$24,IF($B137="V02",cad!$D$24,cad!$E$24)))</f>
        <v/>
      </c>
      <c r="X137" t="str">
        <f>IF($A137="","",IF($B137="V01",cad!$C$25,IF($B137="V02",cad!$D$25,cad!$E$25)))</f>
        <v/>
      </c>
      <c r="Y137" t="str">
        <f>IF($A137="","",IF($B137="V01",cad!$C$26,IF($B137="V02",cad!$D$26,cad!$E$26)))</f>
        <v/>
      </c>
      <c r="Z137" t="str">
        <f>IF($A137="","",IF($B137="V01",cad!$C$27,IF($B137="V02",cad!$D$27,cad!$E$27)))</f>
        <v/>
      </c>
      <c r="AA137" t="str">
        <f>IF($A137="","",IF($B137="V01",cad!$C$28,IF($B137="V02",cad!$D$28,cad!$E$28)))</f>
        <v/>
      </c>
      <c r="AB137" t="str">
        <f>IF($A137="","",IF($B137="V01",cad!$C$39,IF($B137="V02",cad!$D$39,cad!$E$39)))</f>
        <v/>
      </c>
      <c r="AC137" t="str">
        <f>IF($A137="","",IF($F137="MBWAY",cad!$J$12,IF($F137="ISCOM",cad!$J$13,IF($F137="IPAC",cad!$J$14,IF($F137="PIGIER",cad!$J$15,cad!$J$16)))))</f>
        <v/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 t="str">
        <f>IF($A138="","",IF($B138="V01",cad!$C$23,IF($B138="V02",cad!$D$23,cad!$E$23)))</f>
        <v/>
      </c>
      <c r="W138" t="str">
        <f>IF($A138="","",IF($B138="V01",cad!$C$24,IF($B138="V02",cad!$D$24,cad!$E$24)))</f>
        <v/>
      </c>
      <c r="X138" t="str">
        <f>IF($A138="","",IF($B138="V01",cad!$C$25,IF($B138="V02",cad!$D$25,cad!$E$25)))</f>
        <v/>
      </c>
      <c r="Y138" t="str">
        <f>IF($A138="","",IF($B138="V01",cad!$C$26,IF($B138="V02",cad!$D$26,cad!$E$26)))</f>
        <v/>
      </c>
      <c r="Z138" t="str">
        <f>IF($A138="","",IF($B138="V01",cad!$C$27,IF($B138="V02",cad!$D$27,cad!$E$27)))</f>
        <v/>
      </c>
      <c r="AA138" t="str">
        <f>IF($A138="","",IF($B138="V01",cad!$C$28,IF($B138="V02",cad!$D$28,cad!$E$28)))</f>
        <v/>
      </c>
      <c r="AB138" t="str">
        <f>IF($A138="","",IF($B138="V01",cad!$C$39,IF($B138="V02",cad!$D$39,cad!$E$39)))</f>
        <v/>
      </c>
      <c r="AC138" t="str">
        <f>IF($A138="","",IF($F138="MBWAY",cad!$J$12,IF($F138="ISCOM",cad!$J$13,IF($F138="IPAC",cad!$J$14,IF($F138="PIGIER",cad!$J$15,cad!$J$16)))))</f>
        <v/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 t="str">
        <f>IF($A139="","",IF($B139="V01",cad!$C$23,IF($B139="V02",cad!$D$23,cad!$E$23)))</f>
        <v/>
      </c>
      <c r="W139" t="str">
        <f>IF($A139="","",IF($B139="V01",cad!$C$24,IF($B139="V02",cad!$D$24,cad!$E$24)))</f>
        <v/>
      </c>
      <c r="X139" t="str">
        <f>IF($A139="","",IF($B139="V01",cad!$C$25,IF($B139="V02",cad!$D$25,cad!$E$25)))</f>
        <v/>
      </c>
      <c r="Y139" t="str">
        <f>IF($A139="","",IF($B139="V01",cad!$C$26,IF($B139="V02",cad!$D$26,cad!$E$26)))</f>
        <v/>
      </c>
      <c r="Z139" t="str">
        <f>IF($A139="","",IF($B139="V01",cad!$C$27,IF($B139="V02",cad!$D$27,cad!$E$27)))</f>
        <v/>
      </c>
      <c r="AA139" t="str">
        <f>IF($A139="","",IF($B139="V01",cad!$C$28,IF($B139="V02",cad!$D$28,cad!$E$28)))</f>
        <v/>
      </c>
      <c r="AB139" t="str">
        <f>IF($A139="","",IF($B139="V01",cad!$C$39,IF($B139="V02",cad!$D$39,cad!$E$39)))</f>
        <v/>
      </c>
      <c r="AC139" t="str">
        <f>IF($A139="","",IF($F139="MBWAY",cad!$J$12,IF($F139="ISCOM",cad!$J$13,IF($F139="IPAC",cad!$J$14,IF($F139="PIGIER",cad!$J$15,cad!$J$16)))))</f>
        <v/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 t="str">
        <f>IF($A140="","",IF($B140="V01",cad!$C$23,IF($B140="V02",cad!$D$23,cad!$E$23)))</f>
        <v/>
      </c>
      <c r="W140" t="str">
        <f>IF($A140="","",IF($B140="V01",cad!$C$24,IF($B140="V02",cad!$D$24,cad!$E$24)))</f>
        <v/>
      </c>
      <c r="X140" t="str">
        <f>IF($A140="","",IF($B140="V01",cad!$C$25,IF($B140="V02",cad!$D$25,cad!$E$25)))</f>
        <v/>
      </c>
      <c r="Y140" t="str">
        <f>IF($A140="","",IF($B140="V01",cad!$C$26,IF($B140="V02",cad!$D$26,cad!$E$26)))</f>
        <v/>
      </c>
      <c r="Z140" t="str">
        <f>IF($A140="","",IF($B140="V01",cad!$C$27,IF($B140="V02",cad!$D$27,cad!$E$27)))</f>
        <v/>
      </c>
      <c r="AA140" t="str">
        <f>IF($A140="","",IF($B140="V01",cad!$C$28,IF($B140="V02",cad!$D$28,cad!$E$28)))</f>
        <v/>
      </c>
      <c r="AB140" t="str">
        <f>IF($A140="","",IF($B140="V01",cad!$C$39,IF($B140="V02",cad!$D$39,cad!$E$39)))</f>
        <v/>
      </c>
      <c r="AC140" t="str">
        <f>IF($A140="","",IF($F140="MBWAY",cad!$J$12,IF($F140="ISCOM",cad!$J$13,IF($F140="IPAC",cad!$J$14,IF($F140="PIGIER",cad!$J$15,cad!$J$16)))))</f>
        <v/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 t="str">
        <f>IF($A141="","",IF($B141="V01",cad!$C$23,IF($B141="V02",cad!$D$23,cad!$E$23)))</f>
        <v/>
      </c>
      <c r="W141" t="str">
        <f>IF($A141="","",IF($B141="V01",cad!$C$24,IF($B141="V02",cad!$D$24,cad!$E$24)))</f>
        <v/>
      </c>
      <c r="X141" t="str">
        <f>IF($A141="","",IF($B141="V01",cad!$C$25,IF($B141="V02",cad!$D$25,cad!$E$25)))</f>
        <v/>
      </c>
      <c r="Y141" t="str">
        <f>IF($A141="","",IF($B141="V01",cad!$C$26,IF($B141="V02",cad!$D$26,cad!$E$26)))</f>
        <v/>
      </c>
      <c r="Z141" t="str">
        <f>IF($A141="","",IF($B141="V01",cad!$C$27,IF($B141="V02",cad!$D$27,cad!$E$27)))</f>
        <v/>
      </c>
      <c r="AA141" t="str">
        <f>IF($A141="","",IF($B141="V01",cad!$C$28,IF($B141="V02",cad!$D$28,cad!$E$28)))</f>
        <v/>
      </c>
      <c r="AB141" t="str">
        <f>IF($A141="","",IF($B141="V01",cad!$C$39,IF($B141="V02",cad!$D$39,cad!$E$39)))</f>
        <v/>
      </c>
      <c r="AC141" t="str">
        <f>IF($A141="","",IF($F141="MBWAY",cad!$J$12,IF($F141="ISCOM",cad!$J$13,IF($F141="IPAC",cad!$J$14,IF($F141="PIGIER",cad!$J$15,cad!$J$16)))))</f>
        <v/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 t="str">
        <f>IF($A142="","",IF($B142="V01",cad!$C$23,IF($B142="V02",cad!$D$23,cad!$E$23)))</f>
        <v/>
      </c>
      <c r="W142" t="str">
        <f>IF($A142="","",IF($B142="V01",cad!$C$24,IF($B142="V02",cad!$D$24,cad!$E$24)))</f>
        <v/>
      </c>
      <c r="X142" t="str">
        <f>IF($A142="","",IF($B142="V01",cad!$C$25,IF($B142="V02",cad!$D$25,cad!$E$25)))</f>
        <v/>
      </c>
      <c r="Y142" t="str">
        <f>IF($A142="","",IF($B142="V01",cad!$C$26,IF($B142="V02",cad!$D$26,cad!$E$26)))</f>
        <v/>
      </c>
      <c r="Z142" t="str">
        <f>IF($A142="","",IF($B142="V01",cad!$C$27,IF($B142="V02",cad!$D$27,cad!$E$27)))</f>
        <v/>
      </c>
      <c r="AA142" t="str">
        <f>IF($A142="","",IF($B142="V01",cad!$C$28,IF($B142="V02",cad!$D$28,cad!$E$28)))</f>
        <v/>
      </c>
      <c r="AB142" t="str">
        <f>IF($A142="","",IF($B142="V01",cad!$C$39,IF($B142="V02",cad!$D$39,cad!$E$39)))</f>
        <v/>
      </c>
      <c r="AC142" t="str">
        <f>IF($A142="","",IF($F142="MBWAY",cad!$J$12,IF($F142="ISCOM",cad!$J$13,IF($F142="IPAC",cad!$J$14,IF($F142="PIGIER",cad!$J$15,cad!$J$16)))))</f>
        <v/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 t="str">
        <f>IF($A143="","",IF($B143="V01",cad!$C$23,IF($B143="V02",cad!$D$23,cad!$E$23)))</f>
        <v/>
      </c>
      <c r="W143" t="str">
        <f>IF($A143="","",IF($B143="V01",cad!$C$24,IF($B143="V02",cad!$D$24,cad!$E$24)))</f>
        <v/>
      </c>
      <c r="X143" t="str">
        <f>IF($A143="","",IF($B143="V01",cad!$C$25,IF($B143="V02",cad!$D$25,cad!$E$25)))</f>
        <v/>
      </c>
      <c r="Y143" t="str">
        <f>IF($A143="","",IF($B143="V01",cad!$C$26,IF($B143="V02",cad!$D$26,cad!$E$26)))</f>
        <v/>
      </c>
      <c r="Z143" t="str">
        <f>IF($A143="","",IF($B143="V01",cad!$C$27,IF($B143="V02",cad!$D$27,cad!$E$27)))</f>
        <v/>
      </c>
      <c r="AA143" t="str">
        <f>IF($A143="","",IF($B143="V01",cad!$C$28,IF($B143="V02",cad!$D$28,cad!$E$28)))</f>
        <v/>
      </c>
      <c r="AB143" t="str">
        <f>IF($A143="","",IF($B143="V01",cad!$C$39,IF($B143="V02",cad!$D$39,cad!$E$39)))</f>
        <v/>
      </c>
      <c r="AC143" t="str">
        <f>IF($A143="","",IF($F143="MBWAY",cad!$J$12,IF($F143="ISCOM",cad!$J$13,IF($F143="IPAC",cad!$J$14,IF($F143="PIGIER",cad!$J$15,cad!$J$16)))))</f>
        <v/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 t="str">
        <f>IF($A144="","",IF($B144="V01",cad!$C$23,IF($B144="V02",cad!$D$23,cad!$E$23)))</f>
        <v/>
      </c>
      <c r="W144" t="str">
        <f>IF($A144="","",IF($B144="V01",cad!$C$24,IF($B144="V02",cad!$D$24,cad!$E$24)))</f>
        <v/>
      </c>
      <c r="X144" t="str">
        <f>IF($A144="","",IF($B144="V01",cad!$C$25,IF($B144="V02",cad!$D$25,cad!$E$25)))</f>
        <v/>
      </c>
      <c r="Y144" t="str">
        <f>IF($A144="","",IF($B144="V01",cad!$C$26,IF($B144="V02",cad!$D$26,cad!$E$26)))</f>
        <v/>
      </c>
      <c r="Z144" t="str">
        <f>IF($A144="","",IF($B144="V01",cad!$C$27,IF($B144="V02",cad!$D$27,cad!$E$27)))</f>
        <v/>
      </c>
      <c r="AA144" t="str">
        <f>IF($A144="","",IF($B144="V01",cad!$C$28,IF($B144="V02",cad!$D$28,cad!$E$28)))</f>
        <v/>
      </c>
      <c r="AB144" t="str">
        <f>IF($A144="","",IF($B144="V01",cad!$C$39,IF($B144="V02",cad!$D$39,cad!$E$39)))</f>
        <v/>
      </c>
      <c r="AC144" t="str">
        <f>IF($A144="","",IF($F144="MBWAY",cad!$J$12,IF($F144="ISCOM",cad!$J$13,IF($F144="IPAC",cad!$J$14,IF($F144="PIGIER",cad!$J$15,cad!$J$16)))))</f>
        <v/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 t="str">
        <f>IF($A145="","",IF($B145="V01",cad!$C$23,IF($B145="V02",cad!$D$23,cad!$E$23)))</f>
        <v/>
      </c>
      <c r="W145" t="str">
        <f>IF($A145="","",IF($B145="V01",cad!$C$24,IF($B145="V02",cad!$D$24,cad!$E$24)))</f>
        <v/>
      </c>
      <c r="X145" t="str">
        <f>IF($A145="","",IF($B145="V01",cad!$C$25,IF($B145="V02",cad!$D$25,cad!$E$25)))</f>
        <v/>
      </c>
      <c r="Y145" t="str">
        <f>IF($A145="","",IF($B145="V01",cad!$C$26,IF($B145="V02",cad!$D$26,cad!$E$26)))</f>
        <v/>
      </c>
      <c r="Z145" t="str">
        <f>IF($A145="","",IF($B145="V01",cad!$C$27,IF($B145="V02",cad!$D$27,cad!$E$27)))</f>
        <v/>
      </c>
      <c r="AA145" t="str">
        <f>IF($A145="","",IF($B145="V01",cad!$C$28,IF($B145="V02",cad!$D$28,cad!$E$28)))</f>
        <v/>
      </c>
      <c r="AB145" t="str">
        <f>IF($A145="","",IF($B145="V01",cad!$C$39,IF($B145="V02",cad!$D$39,cad!$E$39)))</f>
        <v/>
      </c>
      <c r="AC145" t="str">
        <f>IF($A145="","",IF($F145="MBWAY",cad!$J$12,IF($F145="ISCOM",cad!$J$13,IF($F145="IPAC",cad!$J$14,IF($F145="PIGIER",cad!$J$15,cad!$J$16)))))</f>
        <v/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 t="str">
        <f>IF($A146="","",IF($B146="V01",cad!$C$23,IF($B146="V02",cad!$D$23,cad!$E$23)))</f>
        <v/>
      </c>
      <c r="W146" t="str">
        <f>IF($A146="","",IF($B146="V01",cad!$C$24,IF($B146="V02",cad!$D$24,cad!$E$24)))</f>
        <v/>
      </c>
      <c r="X146" t="str">
        <f>IF($A146="","",IF($B146="V01",cad!$C$25,IF($B146="V02",cad!$D$25,cad!$E$25)))</f>
        <v/>
      </c>
      <c r="Y146" t="str">
        <f>IF($A146="","",IF($B146="V01",cad!$C$26,IF($B146="V02",cad!$D$26,cad!$E$26)))</f>
        <v/>
      </c>
      <c r="Z146" t="str">
        <f>IF($A146="","",IF($B146="V01",cad!$C$27,IF($B146="V02",cad!$D$27,cad!$E$27)))</f>
        <v/>
      </c>
      <c r="AA146" t="str">
        <f>IF($A146="","",IF($B146="V01",cad!$C$28,IF($B146="V02",cad!$D$28,cad!$E$28)))</f>
        <v/>
      </c>
      <c r="AB146" t="str">
        <f>IF($A146="","",IF($B146="V01",cad!$C$39,IF($B146="V02",cad!$D$39,cad!$E$39)))</f>
        <v/>
      </c>
      <c r="AC146" t="str">
        <f>IF($A146="","",IF($F146="MBWAY",cad!$J$12,IF($F146="ISCOM",cad!$J$13,IF($F146="IPAC",cad!$J$14,IF($F146="PIGIER",cad!$J$15,cad!$J$16)))))</f>
        <v/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 t="str">
        <f>IF($A147="","",IF($B147="V01",cad!$C$23,IF($B147="V02",cad!$D$23,cad!$E$23)))</f>
        <v/>
      </c>
      <c r="W147" t="str">
        <f>IF($A147="","",IF($B147="V01",cad!$C$24,IF($B147="V02",cad!$D$24,cad!$E$24)))</f>
        <v/>
      </c>
      <c r="X147" t="str">
        <f>IF($A147="","",IF($B147="V01",cad!$C$25,IF($B147="V02",cad!$D$25,cad!$E$25)))</f>
        <v/>
      </c>
      <c r="Y147" t="str">
        <f>IF($A147="","",IF($B147="V01",cad!$C$26,IF($B147="V02",cad!$D$26,cad!$E$26)))</f>
        <v/>
      </c>
      <c r="Z147" t="str">
        <f>IF($A147="","",IF($B147="V01",cad!$C$27,IF($B147="V02",cad!$D$27,cad!$E$27)))</f>
        <v/>
      </c>
      <c r="AA147" t="str">
        <f>IF($A147="","",IF($B147="V01",cad!$C$28,IF($B147="V02",cad!$D$28,cad!$E$28)))</f>
        <v/>
      </c>
      <c r="AB147" t="str">
        <f>IF($A147="","",IF($B147="V01",cad!$C$39,IF($B147="V02",cad!$D$39,cad!$E$39)))</f>
        <v/>
      </c>
      <c r="AC147" t="str">
        <f>IF($A147="","",IF($F147="MBWAY",cad!$J$12,IF($F147="ISCOM",cad!$J$13,IF($F147="IPAC",cad!$J$14,IF($F147="PIGIER",cad!$J$15,cad!$J$16)))))</f>
        <v/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 t="str">
        <f>IF($A148="","",IF($B148="V01",cad!$C$23,IF($B148="V02",cad!$D$23,cad!$E$23)))</f>
        <v/>
      </c>
      <c r="W148" t="str">
        <f>IF($A148="","",IF($B148="V01",cad!$C$24,IF($B148="V02",cad!$D$24,cad!$E$24)))</f>
        <v/>
      </c>
      <c r="X148" t="str">
        <f>IF($A148="","",IF($B148="V01",cad!$C$25,IF($B148="V02",cad!$D$25,cad!$E$25)))</f>
        <v/>
      </c>
      <c r="Y148" t="str">
        <f>IF($A148="","",IF($B148="V01",cad!$C$26,IF($B148="V02",cad!$D$26,cad!$E$26)))</f>
        <v/>
      </c>
      <c r="Z148" t="str">
        <f>IF($A148="","",IF($B148="V01",cad!$C$27,IF($B148="V02",cad!$D$27,cad!$E$27)))</f>
        <v/>
      </c>
      <c r="AA148" t="str">
        <f>IF($A148="","",IF($B148="V01",cad!$C$28,IF($B148="V02",cad!$D$28,cad!$E$28)))</f>
        <v/>
      </c>
      <c r="AB148" t="str">
        <f>IF($A148="","",IF($B148="V01",cad!$C$39,IF($B148="V02",cad!$D$39,cad!$E$39)))</f>
        <v/>
      </c>
      <c r="AC148" t="str">
        <f>IF($A148="","",IF($F148="MBWAY",cad!$J$12,IF($F148="ISCOM",cad!$J$13,IF($F148="IPAC",cad!$J$14,IF($F148="PIGIER",cad!$J$15,cad!$J$16)))))</f>
        <v/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 t="str">
        <f>IF($A149="","",IF($B149="V01",cad!$C$23,IF($B149="V02",cad!$D$23,cad!$E$23)))</f>
        <v/>
      </c>
      <c r="W149" t="str">
        <f>IF($A149="","",IF($B149="V01",cad!$C$24,IF($B149="V02",cad!$D$24,cad!$E$24)))</f>
        <v/>
      </c>
      <c r="X149" t="str">
        <f>IF($A149="","",IF($B149="V01",cad!$C$25,IF($B149="V02",cad!$D$25,cad!$E$25)))</f>
        <v/>
      </c>
      <c r="Y149" t="str">
        <f>IF($A149="","",IF($B149="V01",cad!$C$26,IF($B149="V02",cad!$D$26,cad!$E$26)))</f>
        <v/>
      </c>
      <c r="Z149" t="str">
        <f>IF($A149="","",IF($B149="V01",cad!$C$27,IF($B149="V02",cad!$D$27,cad!$E$27)))</f>
        <v/>
      </c>
      <c r="AA149" t="str">
        <f>IF($A149="","",IF($B149="V01",cad!$C$28,IF($B149="V02",cad!$D$28,cad!$E$28)))</f>
        <v/>
      </c>
      <c r="AB149" t="str">
        <f>IF($A149="","",IF($B149="V01",cad!$C$39,IF($B149="V02",cad!$D$39,cad!$E$39)))</f>
        <v/>
      </c>
      <c r="AC149" t="str">
        <f>IF($A149="","",IF($F149="MBWAY",cad!$J$12,IF($F149="ISCOM",cad!$J$13,IF($F149="IPAC",cad!$J$14,IF($F149="PIGIER",cad!$J$15,cad!$J$16)))))</f>
        <v/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 t="str">
        <f>IF($A150="","",IF($B150="V01",cad!$C$23,IF($B150="V02",cad!$D$23,cad!$E$23)))</f>
        <v/>
      </c>
      <c r="W150" t="str">
        <f>IF($A150="","",IF($B150="V01",cad!$C$24,IF($B150="V02",cad!$D$24,cad!$E$24)))</f>
        <v/>
      </c>
      <c r="X150" t="str">
        <f>IF($A150="","",IF($B150="V01",cad!$C$25,IF($B150="V02",cad!$D$25,cad!$E$25)))</f>
        <v/>
      </c>
      <c r="Y150" t="str">
        <f>IF($A150="","",IF($B150="V01",cad!$C$26,IF($B150="V02",cad!$D$26,cad!$E$26)))</f>
        <v/>
      </c>
      <c r="Z150" t="str">
        <f>IF($A150="","",IF($B150="V01",cad!$C$27,IF($B150="V02",cad!$D$27,cad!$E$27)))</f>
        <v/>
      </c>
      <c r="AA150" t="str">
        <f>IF($A150="","",IF($B150="V01",cad!$C$28,IF($B150="V02",cad!$D$28,cad!$E$28)))</f>
        <v/>
      </c>
      <c r="AB150" t="str">
        <f>IF($A150="","",IF($B150="V01",cad!$C$39,IF($B150="V02",cad!$D$39,cad!$E$39)))</f>
        <v/>
      </c>
      <c r="AC150" t="str">
        <f>IF($A150="","",IF($F150="MBWAY",cad!$J$12,IF($F150="ISCOM",cad!$J$13,IF($F150="IPAC",cad!$J$14,IF($F150="PIGIER",cad!$J$15,cad!$J$16)))))</f>
        <v/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 t="str">
        <f>IF($A151="","",IF($B151="V01",cad!$C$23,IF($B151="V02",cad!$D$23,cad!$E$23)))</f>
        <v/>
      </c>
      <c r="W151" t="str">
        <f>IF($A151="","",IF($B151="V01",cad!$C$24,IF($B151="V02",cad!$D$24,cad!$E$24)))</f>
        <v/>
      </c>
      <c r="X151" t="str">
        <f>IF($A151="","",IF($B151="V01",cad!$C$25,IF($B151="V02",cad!$D$25,cad!$E$25)))</f>
        <v/>
      </c>
      <c r="Y151" t="str">
        <f>IF($A151="","",IF($B151="V01",cad!$C$26,IF($B151="V02",cad!$D$26,cad!$E$26)))</f>
        <v/>
      </c>
      <c r="Z151" t="str">
        <f>IF($A151="","",IF($B151="V01",cad!$C$27,IF($B151="V02",cad!$D$27,cad!$E$27)))</f>
        <v/>
      </c>
      <c r="AA151" t="str">
        <f>IF($A151="","",IF($B151="V01",cad!$C$28,IF($B151="V02",cad!$D$28,cad!$E$28)))</f>
        <v/>
      </c>
      <c r="AB151" t="str">
        <f>IF($A151="","",IF($B151="V01",cad!$C$39,IF($B151="V02",cad!$D$39,cad!$E$39)))</f>
        <v/>
      </c>
      <c r="AC151" t="str">
        <f>IF($A151="","",IF($F151="MBWAY",cad!$J$12,IF($F151="ISCOM",cad!$J$13,IF($F151="IPAC",cad!$J$14,IF($F151="PIGIER",cad!$J$15,cad!$J$16)))))</f>
        <v/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 t="str">
        <f>IF($A152="","",IF($B152="V01",cad!$C$23,IF($B152="V02",cad!$D$23,cad!$E$23)))</f>
        <v/>
      </c>
      <c r="W152" t="str">
        <f>IF($A152="","",IF($B152="V01",cad!$C$24,IF($B152="V02",cad!$D$24,cad!$E$24)))</f>
        <v/>
      </c>
      <c r="X152" t="str">
        <f>IF($A152="","",IF($B152="V01",cad!$C$25,IF($B152="V02",cad!$D$25,cad!$E$25)))</f>
        <v/>
      </c>
      <c r="Y152" t="str">
        <f>IF($A152="","",IF($B152="V01",cad!$C$26,IF($B152="V02",cad!$D$26,cad!$E$26)))</f>
        <v/>
      </c>
      <c r="Z152" t="str">
        <f>IF($A152="","",IF($B152="V01",cad!$C$27,IF($B152="V02",cad!$D$27,cad!$E$27)))</f>
        <v/>
      </c>
      <c r="AA152" t="str">
        <f>IF($A152="","",IF($B152="V01",cad!$C$28,IF($B152="V02",cad!$D$28,cad!$E$28)))</f>
        <v/>
      </c>
      <c r="AB152" t="str">
        <f>IF($A152="","",IF($B152="V01",cad!$C$39,IF($B152="V02",cad!$D$39,cad!$E$39)))</f>
        <v/>
      </c>
      <c r="AC152" t="str">
        <f>IF($A152="","",IF($F152="MBWAY",cad!$J$12,IF($F152="ISCOM",cad!$J$13,IF($F152="IPAC",cad!$J$14,IF($F152="PIGIER",cad!$J$15,cad!$J$16)))))</f>
        <v/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 t="str">
        <f>IF($A153="","",IF($B153="V01",cad!$C$23,IF($B153="V02",cad!$D$23,cad!$E$23)))</f>
        <v/>
      </c>
      <c r="W153" t="str">
        <f>IF($A153="","",IF($B153="V01",cad!$C$24,IF($B153="V02",cad!$D$24,cad!$E$24)))</f>
        <v/>
      </c>
      <c r="X153" t="str">
        <f>IF($A153="","",IF($B153="V01",cad!$C$25,IF($B153="V02",cad!$D$25,cad!$E$25)))</f>
        <v/>
      </c>
      <c r="Y153" t="str">
        <f>IF($A153="","",IF($B153="V01",cad!$C$26,IF($B153="V02",cad!$D$26,cad!$E$26)))</f>
        <v/>
      </c>
      <c r="Z153" t="str">
        <f>IF($A153="","",IF($B153="V01",cad!$C$27,IF($B153="V02",cad!$D$27,cad!$E$27)))</f>
        <v/>
      </c>
      <c r="AA153" t="str">
        <f>IF($A153="","",IF($B153="V01",cad!$C$28,IF($B153="V02",cad!$D$28,cad!$E$28)))</f>
        <v/>
      </c>
      <c r="AB153" t="str">
        <f>IF($A153="","",IF($B153="V01",cad!$C$39,IF($B153="V02",cad!$D$39,cad!$E$39)))</f>
        <v/>
      </c>
      <c r="AC153" t="str">
        <f>IF($A153="","",IF($F153="MBWAY",cad!$J$12,IF($F153="ISCOM",cad!$J$13,IF($F153="IPAC",cad!$J$14,IF($F153="PIGIER",cad!$J$15,cad!$J$16)))))</f>
        <v/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 t="str">
        <f>IF($A154="","",IF($B154="V01",cad!$C$23,IF($B154="V02",cad!$D$23,cad!$E$23)))</f>
        <v/>
      </c>
      <c r="W154" t="str">
        <f>IF($A154="","",IF($B154="V01",cad!$C$24,IF($B154="V02",cad!$D$24,cad!$E$24)))</f>
        <v/>
      </c>
      <c r="X154" t="str">
        <f>IF($A154="","",IF($B154="V01",cad!$C$25,IF($B154="V02",cad!$D$25,cad!$E$25)))</f>
        <v/>
      </c>
      <c r="Y154" t="str">
        <f>IF($A154="","",IF($B154="V01",cad!$C$26,IF($B154="V02",cad!$D$26,cad!$E$26)))</f>
        <v/>
      </c>
      <c r="Z154" t="str">
        <f>IF($A154="","",IF($B154="V01",cad!$C$27,IF($B154="V02",cad!$D$27,cad!$E$27)))</f>
        <v/>
      </c>
      <c r="AA154" t="str">
        <f>IF($A154="","",IF($B154="V01",cad!$C$28,IF($B154="V02",cad!$D$28,cad!$E$28)))</f>
        <v/>
      </c>
      <c r="AB154" t="str">
        <f>IF($A154="","",IF($B154="V01",cad!$C$39,IF($B154="V02",cad!$D$39,cad!$E$39)))</f>
        <v/>
      </c>
      <c r="AC154" t="str">
        <f>IF($A154="","",IF($F154="MBWAY",cad!$J$12,IF($F154="ISCOM",cad!$J$13,IF($F154="IPAC",cad!$J$14,IF($F154="PIGIER",cad!$J$15,cad!$J$16)))))</f>
        <v/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 t="str">
        <f>IF($A155="","",IF($B155="V01",cad!$C$23,IF($B155="V02",cad!$D$23,cad!$E$23)))</f>
        <v/>
      </c>
      <c r="W155" t="str">
        <f>IF($A155="","",IF($B155="V01",cad!$C$24,IF($B155="V02",cad!$D$24,cad!$E$24)))</f>
        <v/>
      </c>
      <c r="X155" t="str">
        <f>IF($A155="","",IF($B155="V01",cad!$C$25,IF($B155="V02",cad!$D$25,cad!$E$25)))</f>
        <v/>
      </c>
      <c r="Y155" t="str">
        <f>IF($A155="","",IF($B155="V01",cad!$C$26,IF($B155="V02",cad!$D$26,cad!$E$26)))</f>
        <v/>
      </c>
      <c r="Z155" t="str">
        <f>IF($A155="","",IF($B155="V01",cad!$C$27,IF($B155="V02",cad!$D$27,cad!$E$27)))</f>
        <v/>
      </c>
      <c r="AA155" t="str">
        <f>IF($A155="","",IF($B155="V01",cad!$C$28,IF($B155="V02",cad!$D$28,cad!$E$28)))</f>
        <v/>
      </c>
      <c r="AB155" t="str">
        <f>IF($A155="","",IF($B155="V01",cad!$C$39,IF($B155="V02",cad!$D$39,cad!$E$39)))</f>
        <v/>
      </c>
      <c r="AC155" t="str">
        <f>IF($A155="","",IF($F155="MBWAY",cad!$J$12,IF($F155="ISCOM",cad!$J$13,IF($F155="IPAC",cad!$J$14,IF($F155="PIGIER",cad!$J$15,cad!$J$16)))))</f>
        <v/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 t="str">
        <f>IF($A156="","",IF($B156="V01",cad!$C$23,IF($B156="V02",cad!$D$23,cad!$E$23)))</f>
        <v/>
      </c>
      <c r="W156" t="str">
        <f>IF($A156="","",IF($B156="V01",cad!$C$24,IF($B156="V02",cad!$D$24,cad!$E$24)))</f>
        <v/>
      </c>
      <c r="X156" t="str">
        <f>IF($A156="","",IF($B156="V01",cad!$C$25,IF($B156="V02",cad!$D$25,cad!$E$25)))</f>
        <v/>
      </c>
      <c r="Y156" t="str">
        <f>IF($A156="","",IF($B156="V01",cad!$C$26,IF($B156="V02",cad!$D$26,cad!$E$26)))</f>
        <v/>
      </c>
      <c r="Z156" t="str">
        <f>IF($A156="","",IF($B156="V01",cad!$C$27,IF($B156="V02",cad!$D$27,cad!$E$27)))</f>
        <v/>
      </c>
      <c r="AA156" t="str">
        <f>IF($A156="","",IF($B156="V01",cad!$C$28,IF($B156="V02",cad!$D$28,cad!$E$28)))</f>
        <v/>
      </c>
      <c r="AB156" t="str">
        <f>IF($A156="","",IF($B156="V01",cad!$C$39,IF($B156="V02",cad!$D$39,cad!$E$39)))</f>
        <v/>
      </c>
      <c r="AC156" t="str">
        <f>IF($A156="","",IF($F156="MBWAY",cad!$J$12,IF($F156="ISCOM",cad!$J$13,IF($F156="IPAC",cad!$J$14,IF($F156="PIGIER",cad!$J$15,cad!$J$16)))))</f>
        <v/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 t="str">
        <f>IF($A157="","",IF($B157="V01",cad!$C$23,IF($B157="V02",cad!$D$23,cad!$E$23)))</f>
        <v/>
      </c>
      <c r="W157" t="str">
        <f>IF($A157="","",IF($B157="V01",cad!$C$24,IF($B157="V02",cad!$D$24,cad!$E$24)))</f>
        <v/>
      </c>
      <c r="X157" t="str">
        <f>IF($A157="","",IF($B157="V01",cad!$C$25,IF($B157="V02",cad!$D$25,cad!$E$25)))</f>
        <v/>
      </c>
      <c r="Y157" t="str">
        <f>IF($A157="","",IF($B157="V01",cad!$C$26,IF($B157="V02",cad!$D$26,cad!$E$26)))</f>
        <v/>
      </c>
      <c r="Z157" t="str">
        <f>IF($A157="","",IF($B157="V01",cad!$C$27,IF($B157="V02",cad!$D$27,cad!$E$27)))</f>
        <v/>
      </c>
      <c r="AA157" t="str">
        <f>IF($A157="","",IF($B157="V01",cad!$C$28,IF($B157="V02",cad!$D$28,cad!$E$28)))</f>
        <v/>
      </c>
      <c r="AB157" t="str">
        <f>IF($A157="","",IF($B157="V01",cad!$C$39,IF($B157="V02",cad!$D$39,cad!$E$39)))</f>
        <v/>
      </c>
      <c r="AC157" t="str">
        <f>IF($A157="","",IF($F157="MBWAY",cad!$J$12,IF($F157="ISCOM",cad!$J$13,IF($F157="IPAC",cad!$J$14,IF($F157="PIGIER",cad!$J$15,cad!$J$16)))))</f>
        <v/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 t="str">
        <f>IF($A158="","",IF($B158="V01",cad!$C$23,IF($B158="V02",cad!$D$23,cad!$E$23)))</f>
        <v/>
      </c>
      <c r="W158" t="str">
        <f>IF($A158="","",IF($B158="V01",cad!$C$24,IF($B158="V02",cad!$D$24,cad!$E$24)))</f>
        <v/>
      </c>
      <c r="X158" t="str">
        <f>IF($A158="","",IF($B158="V01",cad!$C$25,IF($B158="V02",cad!$D$25,cad!$E$25)))</f>
        <v/>
      </c>
      <c r="Y158" t="str">
        <f>IF($A158="","",IF($B158="V01",cad!$C$26,IF($B158="V02",cad!$D$26,cad!$E$26)))</f>
        <v/>
      </c>
      <c r="Z158" t="str">
        <f>IF($A158="","",IF($B158="V01",cad!$C$27,IF($B158="V02",cad!$D$27,cad!$E$27)))</f>
        <v/>
      </c>
      <c r="AA158" t="str">
        <f>IF($A158="","",IF($B158="V01",cad!$C$28,IF($B158="V02",cad!$D$28,cad!$E$28)))</f>
        <v/>
      </c>
      <c r="AB158" t="str">
        <f>IF($A158="","",IF($B158="V01",cad!$C$39,IF($B158="V02",cad!$D$39,cad!$E$39)))</f>
        <v/>
      </c>
      <c r="AC158" t="str">
        <f>IF($A158="","",IF($F158="MBWAY",cad!$J$12,IF($F158="ISCOM",cad!$J$13,IF($F158="IPAC",cad!$J$14,IF($F158="PIGIER",cad!$J$15,cad!$J$16)))))</f>
        <v/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 t="str">
        <f>IF($A159="","",IF($B159="V01",cad!$C$23,IF($B159="V02",cad!$D$23,cad!$E$23)))</f>
        <v/>
      </c>
      <c r="W159" t="str">
        <f>IF($A159="","",IF($B159="V01",cad!$C$24,IF($B159="V02",cad!$D$24,cad!$E$24)))</f>
        <v/>
      </c>
      <c r="X159" t="str">
        <f>IF($A159="","",IF($B159="V01",cad!$C$25,IF($B159="V02",cad!$D$25,cad!$E$25)))</f>
        <v/>
      </c>
      <c r="Y159" t="str">
        <f>IF($A159="","",IF($B159="V01",cad!$C$26,IF($B159="V02",cad!$D$26,cad!$E$26)))</f>
        <v/>
      </c>
      <c r="Z159" t="str">
        <f>IF($A159="","",IF($B159="V01",cad!$C$27,IF($B159="V02",cad!$D$27,cad!$E$27)))</f>
        <v/>
      </c>
      <c r="AA159" t="str">
        <f>IF($A159="","",IF($B159="V01",cad!$C$28,IF($B159="V02",cad!$D$28,cad!$E$28)))</f>
        <v/>
      </c>
      <c r="AB159" t="str">
        <f>IF($A159="","",IF($B159="V01",cad!$C$39,IF($B159="V02",cad!$D$39,cad!$E$39)))</f>
        <v/>
      </c>
      <c r="AC159" t="str">
        <f>IF($A159="","",IF($F159="MBWAY",cad!$J$12,IF($F159="ISCOM",cad!$J$13,IF($F159="IPAC",cad!$J$14,IF($F159="PIGIER",cad!$J$15,cad!$J$16)))))</f>
        <v/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 t="str">
        <f>IF($A160="","",IF($B160="V01",cad!$C$23,IF($B160="V02",cad!$D$23,cad!$E$23)))</f>
        <v/>
      </c>
      <c r="W160" t="str">
        <f>IF($A160="","",IF($B160="V01",cad!$C$24,IF($B160="V02",cad!$D$24,cad!$E$24)))</f>
        <v/>
      </c>
      <c r="X160" t="str">
        <f>IF($A160="","",IF($B160="V01",cad!$C$25,IF($B160="V02",cad!$D$25,cad!$E$25)))</f>
        <v/>
      </c>
      <c r="Y160" t="str">
        <f>IF($A160="","",IF($B160="V01",cad!$C$26,IF($B160="V02",cad!$D$26,cad!$E$26)))</f>
        <v/>
      </c>
      <c r="Z160" t="str">
        <f>IF($A160="","",IF($B160="V01",cad!$C$27,IF($B160="V02",cad!$D$27,cad!$E$27)))</f>
        <v/>
      </c>
      <c r="AA160" t="str">
        <f>IF($A160="","",IF($B160="V01",cad!$C$28,IF($B160="V02",cad!$D$28,cad!$E$28)))</f>
        <v/>
      </c>
      <c r="AB160" t="str">
        <f>IF($A160="","",IF($B160="V01",cad!$C$39,IF($B160="V02",cad!$D$39,cad!$E$39)))</f>
        <v/>
      </c>
      <c r="AC160" t="str">
        <f>IF($A160="","",IF($F160="MBWAY",cad!$J$12,IF($F160="ISCOM",cad!$J$13,IF($F160="IPAC",cad!$J$14,IF($F160="PIGIER",cad!$J$15,cad!$J$16)))))</f>
        <v/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 t="str">
        <f>IF($A161="","",IF($B161="V01",cad!$C$23,IF($B161="V02",cad!$D$23,cad!$E$23)))</f>
        <v/>
      </c>
      <c r="W161" t="str">
        <f>IF($A161="","",IF($B161="V01",cad!$C$24,IF($B161="V02",cad!$D$24,cad!$E$24)))</f>
        <v/>
      </c>
      <c r="X161" t="str">
        <f>IF($A161="","",IF($B161="V01",cad!$C$25,IF($B161="V02",cad!$D$25,cad!$E$25)))</f>
        <v/>
      </c>
      <c r="Y161" t="str">
        <f>IF($A161="","",IF($B161="V01",cad!$C$26,IF($B161="V02",cad!$D$26,cad!$E$26)))</f>
        <v/>
      </c>
      <c r="Z161" t="str">
        <f>IF($A161="","",IF($B161="V01",cad!$C$27,IF($B161="V02",cad!$D$27,cad!$E$27)))</f>
        <v/>
      </c>
      <c r="AA161" t="str">
        <f>IF($A161="","",IF($B161="V01",cad!$C$28,IF($B161="V02",cad!$D$28,cad!$E$28)))</f>
        <v/>
      </c>
      <c r="AB161" t="str">
        <f>IF($A161="","",IF($B161="V01",cad!$C$39,IF($B161="V02",cad!$D$39,cad!$E$39)))</f>
        <v/>
      </c>
      <c r="AC161" t="str">
        <f>IF($A161="","",IF($F161="MBWAY",cad!$J$12,IF($F161="ISCOM",cad!$J$13,IF($F161="IPAC",cad!$J$14,IF($F161="PIGIER",cad!$J$15,cad!$J$16)))))</f>
        <v/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 t="str">
        <f>IF($A162="","",IF($B162="V01",cad!$C$23,IF($B162="V02",cad!$D$23,cad!$E$23)))</f>
        <v/>
      </c>
      <c r="W162" t="str">
        <f>IF($A162="","",IF($B162="V01",cad!$C$24,IF($B162="V02",cad!$D$24,cad!$E$24)))</f>
        <v/>
      </c>
      <c r="X162" t="str">
        <f>IF($A162="","",IF($B162="V01",cad!$C$25,IF($B162="V02",cad!$D$25,cad!$E$25)))</f>
        <v/>
      </c>
      <c r="Y162" t="str">
        <f>IF($A162="","",IF($B162="V01",cad!$C$26,IF($B162="V02",cad!$D$26,cad!$E$26)))</f>
        <v/>
      </c>
      <c r="Z162" t="str">
        <f>IF($A162="","",IF($B162="V01",cad!$C$27,IF($B162="V02",cad!$D$27,cad!$E$27)))</f>
        <v/>
      </c>
      <c r="AA162" t="str">
        <f>IF($A162="","",IF($B162="V01",cad!$C$28,IF($B162="V02",cad!$D$28,cad!$E$28)))</f>
        <v/>
      </c>
      <c r="AB162" t="str">
        <f>IF($A162="","",IF($B162="V01",cad!$C$39,IF($B162="V02",cad!$D$39,cad!$E$39)))</f>
        <v/>
      </c>
      <c r="AC162" t="str">
        <f>IF($A162="","",IF($F162="MBWAY",cad!$J$12,IF($F162="ISCOM",cad!$J$13,IF($F162="IPAC",cad!$J$14,IF($F162="PIGIER",cad!$J$15,cad!$J$16)))))</f>
        <v/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 t="str">
        <f>IF($A163="","",IF($B163="V01",cad!$C$23,IF($B163="V02",cad!$D$23,cad!$E$23)))</f>
        <v/>
      </c>
      <c r="W163" t="str">
        <f>IF($A163="","",IF($B163="V01",cad!$C$24,IF($B163="V02",cad!$D$24,cad!$E$24)))</f>
        <v/>
      </c>
      <c r="X163" t="str">
        <f>IF($A163="","",IF($B163="V01",cad!$C$25,IF($B163="V02",cad!$D$25,cad!$E$25)))</f>
        <v/>
      </c>
      <c r="Y163" t="str">
        <f>IF($A163="","",IF($B163="V01",cad!$C$26,IF($B163="V02",cad!$D$26,cad!$E$26)))</f>
        <v/>
      </c>
      <c r="Z163" t="str">
        <f>IF($A163="","",IF($B163="V01",cad!$C$27,IF($B163="V02",cad!$D$27,cad!$E$27)))</f>
        <v/>
      </c>
      <c r="AA163" t="str">
        <f>IF($A163="","",IF($B163="V01",cad!$C$28,IF($B163="V02",cad!$D$28,cad!$E$28)))</f>
        <v/>
      </c>
      <c r="AB163" t="str">
        <f>IF($A163="","",IF($B163="V01",cad!$C$39,IF($B163="V02",cad!$D$39,cad!$E$39)))</f>
        <v/>
      </c>
      <c r="AC163" t="str">
        <f>IF($A163="","",IF($F163="MBWAY",cad!$J$12,IF($F163="ISCOM",cad!$J$13,IF($F163="IPAC",cad!$J$14,IF($F163="PIGIER",cad!$J$15,cad!$J$16)))))</f>
        <v/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 t="str">
        <f>IF($A164="","",IF($B164="V01",cad!$C$23,IF($B164="V02",cad!$D$23,cad!$E$23)))</f>
        <v/>
      </c>
      <c r="W164" t="str">
        <f>IF($A164="","",IF($B164="V01",cad!$C$24,IF($B164="V02",cad!$D$24,cad!$E$24)))</f>
        <v/>
      </c>
      <c r="X164" t="str">
        <f>IF($A164="","",IF($B164="V01",cad!$C$25,IF($B164="V02",cad!$D$25,cad!$E$25)))</f>
        <v/>
      </c>
      <c r="Y164" t="str">
        <f>IF($A164="","",IF($B164="V01",cad!$C$26,IF($B164="V02",cad!$D$26,cad!$E$26)))</f>
        <v/>
      </c>
      <c r="Z164" t="str">
        <f>IF($A164="","",IF($B164="V01",cad!$C$27,IF($B164="V02",cad!$D$27,cad!$E$27)))</f>
        <v/>
      </c>
      <c r="AA164" t="str">
        <f>IF($A164="","",IF($B164="V01",cad!$C$28,IF($B164="V02",cad!$D$28,cad!$E$28)))</f>
        <v/>
      </c>
      <c r="AB164" t="str">
        <f>IF($A164="","",IF($B164="V01",cad!$C$39,IF($B164="V02",cad!$D$39,cad!$E$39)))</f>
        <v/>
      </c>
      <c r="AC164" t="str">
        <f>IF($A164="","",IF($F164="MBWAY",cad!$J$12,IF($F164="ISCOM",cad!$J$13,IF($F164="IPAC",cad!$J$14,IF($F164="PIGIER",cad!$J$15,cad!$J$16)))))</f>
        <v/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 t="str">
        <f>IF($A165="","",IF($B165="V01",cad!$C$23,IF($B165="V02",cad!$D$23,cad!$E$23)))</f>
        <v/>
      </c>
      <c r="W165" t="str">
        <f>IF($A165="","",IF($B165="V01",cad!$C$24,IF($B165="V02",cad!$D$24,cad!$E$24)))</f>
        <v/>
      </c>
      <c r="X165" t="str">
        <f>IF($A165="","",IF($B165="V01",cad!$C$25,IF($B165="V02",cad!$D$25,cad!$E$25)))</f>
        <v/>
      </c>
      <c r="Y165" t="str">
        <f>IF($A165="","",IF($B165="V01",cad!$C$26,IF($B165="V02",cad!$D$26,cad!$E$26)))</f>
        <v/>
      </c>
      <c r="Z165" t="str">
        <f>IF($A165="","",IF($B165="V01",cad!$C$27,IF($B165="V02",cad!$D$27,cad!$E$27)))</f>
        <v/>
      </c>
      <c r="AA165" t="str">
        <f>IF($A165="","",IF($B165="V01",cad!$C$28,IF($B165="V02",cad!$D$28,cad!$E$28)))</f>
        <v/>
      </c>
      <c r="AB165" t="str">
        <f>IF($A165="","",IF($B165="V01",cad!$C$39,IF($B165="V02",cad!$D$39,cad!$E$39)))</f>
        <v/>
      </c>
      <c r="AC165" t="str">
        <f>IF($A165="","",IF($F165="MBWAY",cad!$J$12,IF($F165="ISCOM",cad!$J$13,IF($F165="IPAC",cad!$J$14,IF($F165="PIGIER",cad!$J$15,cad!$J$16)))))</f>
        <v/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 t="str">
        <f>IF($A166="","",IF($B166="V01",cad!$C$23,IF($B166="V02",cad!$D$23,cad!$E$23)))</f>
        <v/>
      </c>
      <c r="W166" t="str">
        <f>IF($A166="","",IF($B166="V01",cad!$C$24,IF($B166="V02",cad!$D$24,cad!$E$24)))</f>
        <v/>
      </c>
      <c r="X166" t="str">
        <f>IF($A166="","",IF($B166="V01",cad!$C$25,IF($B166="V02",cad!$D$25,cad!$E$25)))</f>
        <v/>
      </c>
      <c r="Y166" t="str">
        <f>IF($A166="","",IF($B166="V01",cad!$C$26,IF($B166="V02",cad!$D$26,cad!$E$26)))</f>
        <v/>
      </c>
      <c r="Z166" t="str">
        <f>IF($A166="","",IF($B166="V01",cad!$C$27,IF($B166="V02",cad!$D$27,cad!$E$27)))</f>
        <v/>
      </c>
      <c r="AA166" t="str">
        <f>IF($A166="","",IF($B166="V01",cad!$C$28,IF($B166="V02",cad!$D$28,cad!$E$28)))</f>
        <v/>
      </c>
      <c r="AB166" t="str">
        <f>IF($A166="","",IF($B166="V01",cad!$C$39,IF($B166="V02",cad!$D$39,cad!$E$39)))</f>
        <v/>
      </c>
      <c r="AC166" t="str">
        <f>IF($A166="","",IF($F166="MBWAY",cad!$J$12,IF($F166="ISCOM",cad!$J$13,IF($F166="IPAC",cad!$J$14,IF($F166="PIGIER",cad!$J$15,cad!$J$16)))))</f>
        <v/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 t="str">
        <f>IF($A167="","",IF($B167="V01",cad!$C$23,IF($B167="V02",cad!$D$23,cad!$E$23)))</f>
        <v/>
      </c>
      <c r="W167" t="str">
        <f>IF($A167="","",IF($B167="V01",cad!$C$24,IF($B167="V02",cad!$D$24,cad!$E$24)))</f>
        <v/>
      </c>
      <c r="X167" t="str">
        <f>IF($A167="","",IF($B167="V01",cad!$C$25,IF($B167="V02",cad!$D$25,cad!$E$25)))</f>
        <v/>
      </c>
      <c r="Y167" t="str">
        <f>IF($A167="","",IF($B167="V01",cad!$C$26,IF($B167="V02",cad!$D$26,cad!$E$26)))</f>
        <v/>
      </c>
      <c r="Z167" t="str">
        <f>IF($A167="","",IF($B167="V01",cad!$C$27,IF($B167="V02",cad!$D$27,cad!$E$27)))</f>
        <v/>
      </c>
      <c r="AA167" t="str">
        <f>IF($A167="","",IF($B167="V01",cad!$C$28,IF($B167="V02",cad!$D$28,cad!$E$28)))</f>
        <v/>
      </c>
      <c r="AB167" t="str">
        <f>IF($A167="","",IF($B167="V01",cad!$C$39,IF($B167="V02",cad!$D$39,cad!$E$39)))</f>
        <v/>
      </c>
      <c r="AC167" t="str">
        <f>IF($A167="","",IF($F167="MBWAY",cad!$J$12,IF($F167="ISCOM",cad!$J$13,IF($F167="IPAC",cad!$J$14,IF($F167="PIGIER",cad!$J$15,cad!$J$16)))))</f>
        <v/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 t="str">
        <f>IF($A168="","",IF($B168="V01",cad!$C$23,IF($B168="V02",cad!$D$23,cad!$E$23)))</f>
        <v/>
      </c>
      <c r="W168" t="str">
        <f>IF($A168="","",IF($B168="V01",cad!$C$24,IF($B168="V02",cad!$D$24,cad!$E$24)))</f>
        <v/>
      </c>
      <c r="X168" t="str">
        <f>IF($A168="","",IF($B168="V01",cad!$C$25,IF($B168="V02",cad!$D$25,cad!$E$25)))</f>
        <v/>
      </c>
      <c r="Y168" t="str">
        <f>IF($A168="","",IF($B168="V01",cad!$C$26,IF($B168="V02",cad!$D$26,cad!$E$26)))</f>
        <v/>
      </c>
      <c r="Z168" t="str">
        <f>IF($A168="","",IF($B168="V01",cad!$C$27,IF($B168="V02",cad!$D$27,cad!$E$27)))</f>
        <v/>
      </c>
      <c r="AA168" t="str">
        <f>IF($A168="","",IF($B168="V01",cad!$C$28,IF($B168="V02",cad!$D$28,cad!$E$28)))</f>
        <v/>
      </c>
      <c r="AB168" t="str">
        <f>IF($A168="","",IF($B168="V01",cad!$C$39,IF($B168="V02",cad!$D$39,cad!$E$39)))</f>
        <v/>
      </c>
      <c r="AC168" t="str">
        <f>IF($A168="","",IF($F168="MBWAY",cad!$J$12,IF($F168="ISCOM",cad!$J$13,IF($F168="IPAC",cad!$J$14,IF($F168="PIGIER",cad!$J$15,cad!$J$16)))))</f>
        <v/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 t="str">
        <f>IF($A169="","",IF($B169="V01",cad!$C$23,IF($B169="V02",cad!$D$23,cad!$E$23)))</f>
        <v/>
      </c>
      <c r="W169" t="str">
        <f>IF($A169="","",IF($B169="V01",cad!$C$24,IF($B169="V02",cad!$D$24,cad!$E$24)))</f>
        <v/>
      </c>
      <c r="X169" t="str">
        <f>IF($A169="","",IF($B169="V01",cad!$C$25,IF($B169="V02",cad!$D$25,cad!$E$25)))</f>
        <v/>
      </c>
      <c r="Y169" t="str">
        <f>IF($A169="","",IF($B169="V01",cad!$C$26,IF($B169="V02",cad!$D$26,cad!$E$26)))</f>
        <v/>
      </c>
      <c r="Z169" t="str">
        <f>IF($A169="","",IF($B169="V01",cad!$C$27,IF($B169="V02",cad!$D$27,cad!$E$27)))</f>
        <v/>
      </c>
      <c r="AA169" t="str">
        <f>IF($A169="","",IF($B169="V01",cad!$C$28,IF($B169="V02",cad!$D$28,cad!$E$28)))</f>
        <v/>
      </c>
      <c r="AB169" t="str">
        <f>IF($A169="","",IF($B169="V01",cad!$C$39,IF($B169="V02",cad!$D$39,cad!$E$39)))</f>
        <v/>
      </c>
      <c r="AC169" t="str">
        <f>IF($A169="","",IF($F169="MBWAY",cad!$J$12,IF($F169="ISCOM",cad!$J$13,IF($F169="IPAC",cad!$J$14,IF($F169="PIGIER",cad!$J$15,cad!$J$16)))))</f>
        <v/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 t="str">
        <f>IF($A170="","",IF($B170="V01",cad!$C$23,IF($B170="V02",cad!$D$23,cad!$E$23)))</f>
        <v/>
      </c>
      <c r="W170" t="str">
        <f>IF($A170="","",IF($B170="V01",cad!$C$24,IF($B170="V02",cad!$D$24,cad!$E$24)))</f>
        <v/>
      </c>
      <c r="X170" t="str">
        <f>IF($A170="","",IF($B170="V01",cad!$C$25,IF($B170="V02",cad!$D$25,cad!$E$25)))</f>
        <v/>
      </c>
      <c r="Y170" t="str">
        <f>IF($A170="","",IF($B170="V01",cad!$C$26,IF($B170="V02",cad!$D$26,cad!$E$26)))</f>
        <v/>
      </c>
      <c r="Z170" t="str">
        <f>IF($A170="","",IF($B170="V01",cad!$C$27,IF($B170="V02",cad!$D$27,cad!$E$27)))</f>
        <v/>
      </c>
      <c r="AA170" t="str">
        <f>IF($A170="","",IF($B170="V01",cad!$C$28,IF($B170="V02",cad!$D$28,cad!$E$28)))</f>
        <v/>
      </c>
      <c r="AB170" t="str">
        <f>IF($A170="","",IF($B170="V01",cad!$C$39,IF($B170="V02",cad!$D$39,cad!$E$39)))</f>
        <v/>
      </c>
      <c r="AC170" t="str">
        <f>IF($A170="","",IF($F170="MBWAY",cad!$J$12,IF($F170="ISCOM",cad!$J$13,IF($F170="IPAC",cad!$J$14,IF($F170="PIGIER",cad!$J$15,cad!$J$16)))))</f>
        <v/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 t="str">
        <f>IF($A171="","",IF($B171="V01",cad!$C$23,IF($B171="V02",cad!$D$23,cad!$E$23)))</f>
        <v/>
      </c>
      <c r="W171" t="str">
        <f>IF($A171="","",IF($B171="V01",cad!$C$24,IF($B171="V02",cad!$D$24,cad!$E$24)))</f>
        <v/>
      </c>
      <c r="X171" t="str">
        <f>IF($A171="","",IF($B171="V01",cad!$C$25,IF($B171="V02",cad!$D$25,cad!$E$25)))</f>
        <v/>
      </c>
      <c r="Y171" t="str">
        <f>IF($A171="","",IF($B171="V01",cad!$C$26,IF($B171="V02",cad!$D$26,cad!$E$26)))</f>
        <v/>
      </c>
      <c r="Z171" t="str">
        <f>IF($A171="","",IF($B171="V01",cad!$C$27,IF($B171="V02",cad!$D$27,cad!$E$27)))</f>
        <v/>
      </c>
      <c r="AA171" t="str">
        <f>IF($A171="","",IF($B171="V01",cad!$C$28,IF($B171="V02",cad!$D$28,cad!$E$28)))</f>
        <v/>
      </c>
      <c r="AB171" t="str">
        <f>IF($A171="","",IF($B171="V01",cad!$C$39,IF($B171="V02",cad!$D$39,cad!$E$39)))</f>
        <v/>
      </c>
      <c r="AC171" t="str">
        <f>IF($A171="","",IF($F171="MBWAY",cad!$J$12,IF($F171="ISCOM",cad!$J$13,IF($F171="IPAC",cad!$J$14,IF($F171="PIGIER",cad!$J$15,cad!$J$16)))))</f>
        <v/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 t="str">
        <f>IF($A172="","",IF($B172="V01",cad!$C$23,IF($B172="V02",cad!$D$23,cad!$E$23)))</f>
        <v/>
      </c>
      <c r="W172" t="str">
        <f>IF($A172="","",IF($B172="V01",cad!$C$24,IF($B172="V02",cad!$D$24,cad!$E$24)))</f>
        <v/>
      </c>
      <c r="X172" t="str">
        <f>IF($A172="","",IF($B172="V01",cad!$C$25,IF($B172="V02",cad!$D$25,cad!$E$25)))</f>
        <v/>
      </c>
      <c r="Y172" t="str">
        <f>IF($A172="","",IF($B172="V01",cad!$C$26,IF($B172="V02",cad!$D$26,cad!$E$26)))</f>
        <v/>
      </c>
      <c r="Z172" t="str">
        <f>IF($A172="","",IF($B172="V01",cad!$C$27,IF($B172="V02",cad!$D$27,cad!$E$27)))</f>
        <v/>
      </c>
      <c r="AA172" t="str">
        <f>IF($A172="","",IF($B172="V01",cad!$C$28,IF($B172="V02",cad!$D$28,cad!$E$28)))</f>
        <v/>
      </c>
      <c r="AB172" t="str">
        <f>IF($A172="","",IF($B172="V01",cad!$C$39,IF($B172="V02",cad!$D$39,cad!$E$39)))</f>
        <v/>
      </c>
      <c r="AC172" t="str">
        <f>IF($A172="","",IF($F172="MBWAY",cad!$J$12,IF($F172="ISCOM",cad!$J$13,IF($F172="IPAC",cad!$J$14,IF($F172="PIGIER",cad!$J$15,cad!$J$16)))))</f>
        <v/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 t="str">
        <f>IF($A173="","",IF($B173="V01",cad!$C$23,IF($B173="V02",cad!$D$23,cad!$E$23)))</f>
        <v/>
      </c>
      <c r="W173" t="str">
        <f>IF($A173="","",IF($B173="V01",cad!$C$24,IF($B173="V02",cad!$D$24,cad!$E$24)))</f>
        <v/>
      </c>
      <c r="X173" t="str">
        <f>IF($A173="","",IF($B173="V01",cad!$C$25,IF($B173="V02",cad!$D$25,cad!$E$25)))</f>
        <v/>
      </c>
      <c r="Y173" t="str">
        <f>IF($A173="","",IF($B173="V01",cad!$C$26,IF($B173="V02",cad!$D$26,cad!$E$26)))</f>
        <v/>
      </c>
      <c r="Z173" t="str">
        <f>IF($A173="","",IF($B173="V01",cad!$C$27,IF($B173="V02",cad!$D$27,cad!$E$27)))</f>
        <v/>
      </c>
      <c r="AA173" t="str">
        <f>IF($A173="","",IF($B173="V01",cad!$C$28,IF($B173="V02",cad!$D$28,cad!$E$28)))</f>
        <v/>
      </c>
      <c r="AB173" t="str">
        <f>IF($A173="","",IF($B173="V01",cad!$C$39,IF($B173="V02",cad!$D$39,cad!$E$39)))</f>
        <v/>
      </c>
      <c r="AC173" t="str">
        <f>IF($A173="","",IF($F173="MBWAY",cad!$J$12,IF($F173="ISCOM",cad!$J$13,IF($F173="IPAC",cad!$J$14,IF($F173="PIGIER",cad!$J$15,cad!$J$16)))))</f>
        <v/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 t="str">
        <f>IF($A174="","",IF($B174="V01",cad!$C$23,IF($B174="V02",cad!$D$23,cad!$E$23)))</f>
        <v/>
      </c>
      <c r="W174" t="str">
        <f>IF($A174="","",IF($B174="V01",cad!$C$24,IF($B174="V02",cad!$D$24,cad!$E$24)))</f>
        <v/>
      </c>
      <c r="X174" t="str">
        <f>IF($A174="","",IF($B174="V01",cad!$C$25,IF($B174="V02",cad!$D$25,cad!$E$25)))</f>
        <v/>
      </c>
      <c r="Y174" t="str">
        <f>IF($A174="","",IF($B174="V01",cad!$C$26,IF($B174="V02",cad!$D$26,cad!$E$26)))</f>
        <v/>
      </c>
      <c r="Z174" t="str">
        <f>IF($A174="","",IF($B174="V01",cad!$C$27,IF($B174="V02",cad!$D$27,cad!$E$27)))</f>
        <v/>
      </c>
      <c r="AA174" t="str">
        <f>IF($A174="","",IF($B174="V01",cad!$C$28,IF($B174="V02",cad!$D$28,cad!$E$28)))</f>
        <v/>
      </c>
      <c r="AB174" t="str">
        <f>IF($A174="","",IF($B174="V01",cad!$C$39,IF($B174="V02",cad!$D$39,cad!$E$39)))</f>
        <v/>
      </c>
      <c r="AC174" t="str">
        <f>IF($A174="","",IF($F174="MBWAY",cad!$J$12,IF($F174="ISCOM",cad!$J$13,IF($F174="IPAC",cad!$J$14,IF($F174="PIGIER",cad!$J$15,cad!$J$16)))))</f>
        <v/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 t="str">
        <f>IF($A175="","",IF($B175="V01",cad!$C$23,IF($B175="V02",cad!$D$23,cad!$E$23)))</f>
        <v/>
      </c>
      <c r="W175" t="str">
        <f>IF($A175="","",IF($B175="V01",cad!$C$24,IF($B175="V02",cad!$D$24,cad!$E$24)))</f>
        <v/>
      </c>
      <c r="X175" t="str">
        <f>IF($A175="","",IF($B175="V01",cad!$C$25,IF($B175="V02",cad!$D$25,cad!$E$25)))</f>
        <v/>
      </c>
      <c r="Y175" t="str">
        <f>IF($A175="","",IF($B175="V01",cad!$C$26,IF($B175="V02",cad!$D$26,cad!$E$26)))</f>
        <v/>
      </c>
      <c r="Z175" t="str">
        <f>IF($A175="","",IF($B175="V01",cad!$C$27,IF($B175="V02",cad!$D$27,cad!$E$27)))</f>
        <v/>
      </c>
      <c r="AA175" t="str">
        <f>IF($A175="","",IF($B175="V01",cad!$C$28,IF($B175="V02",cad!$D$28,cad!$E$28)))</f>
        <v/>
      </c>
      <c r="AB175" t="str">
        <f>IF($A175="","",IF($B175="V01",cad!$C$39,IF($B175="V02",cad!$D$39,cad!$E$39)))</f>
        <v/>
      </c>
      <c r="AC175" t="str">
        <f>IF($A175="","",IF($F175="MBWAY",cad!$J$12,IF($F175="ISCOM",cad!$J$13,IF($F175="IPAC",cad!$J$14,IF($F175="PIGIER",cad!$J$15,cad!$J$16)))))</f>
        <v/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  <v>-0.05</v>
      </c>
      <c r="H2">
        <f>IF($A2="","",IF($D2="V01",cad!$C$24,IF($D2="V02",cad!$D$24,cad!$E$24)))</f>
        <v>-0.05</v>
      </c>
      <c r="I2">
        <f>IF($A2="","",IF($D2="V01",cad!$C$32,IF($D2="V02",cad!$D$32,cad!$E$32)))</f>
        <v>0.03</v>
      </c>
      <c r="J2">
        <f>IF($A2="","",IF($D2="V01",cad!$C$33,IF($D2="V02",cad!$D$33,cad!$E$33)))</f>
        <v>0.03</v>
      </c>
      <c r="K2">
        <f>IF($A2="","",IF($D2="V01",cad!$C$34,IF($D2="V02",cad!$D$34,cad!$E$34)))</f>
        <v>0.05</v>
      </c>
      <c r="L2">
        <f>IF($A2="","",IF($D2="V01",cad!$C$35,IF($D2="V02",cad!$D$35,cad!$E$35)))</f>
        <v>0</v>
      </c>
      <c r="M2">
        <f>IF($A2="","",IF($D2="V01",cad!$C$36,IF($D2="V02",cad!$D$36,cad!$E$36)))</f>
        <v>0.04</v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 t="str">
        <f>IF($A3="","",IF($D3="V01",cad!$C$23,IF($D3="V02",cad!$D$23,cad!$E$23)))</f>
        <v/>
      </c>
      <c r="H3" t="str">
        <f>IF($A3="","",IF($D3="V01",cad!$C$24,IF($D3="V02",cad!$D$24,cad!$E$24)))</f>
        <v/>
      </c>
      <c r="I3" t="str">
        <f>IF($A3="","",IF($D3="V01",cad!$C$32,IF($D3="V02",cad!$D$32,cad!$E$32)))</f>
        <v/>
      </c>
      <c r="J3" t="str">
        <f>IF($A3="","",IF($D3="V01",cad!$C$33,IF($D3="V02",cad!$D$33,cad!$E$33)))</f>
        <v/>
      </c>
      <c r="K3" t="str">
        <f>IF($A3="","",IF($D3="V01",cad!$C$34,IF($D3="V02",cad!$D$34,cad!$E$34)))</f>
        <v/>
      </c>
      <c r="L3" t="str">
        <f>IF($A3="","",IF($D3="V01",cad!$C$35,IF($D3="V02",cad!$D$35,cad!$E$35)))</f>
        <v/>
      </c>
      <c r="M3" t="str">
        <f>IF($A3="","",IF($D3="V01",cad!$C$36,IF($D3="V02",cad!$D$36,cad!$E$36)))</f>
        <v/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 t="str">
        <f>IF($A4="","",IF($D4="V01",cad!$C$23,IF($D4="V02",cad!$D$23,cad!$E$23)))</f>
        <v/>
      </c>
      <c r="H4" t="str">
        <f>IF($A4="","",IF($D4="V01",cad!$C$24,IF($D4="V02",cad!$D$24,cad!$E$24)))</f>
        <v/>
      </c>
      <c r="I4" t="str">
        <f>IF($A4="","",IF($D4="V01",cad!$C$32,IF($D4="V02",cad!$D$32,cad!$E$32)))</f>
        <v/>
      </c>
      <c r="J4" t="str">
        <f>IF($A4="","",IF($D4="V01",cad!$C$33,IF($D4="V02",cad!$D$33,cad!$E$33)))</f>
        <v/>
      </c>
      <c r="K4" t="str">
        <f>IF($A4="","",IF($D4="V01",cad!$C$34,IF($D4="V02",cad!$D$34,cad!$E$34)))</f>
        <v/>
      </c>
      <c r="L4" t="str">
        <f>IF($A4="","",IF($D4="V01",cad!$C$35,IF($D4="V02",cad!$D$35,cad!$E$35)))</f>
        <v/>
      </c>
      <c r="M4" t="str">
        <f>IF($A4="","",IF($D4="V01",cad!$C$36,IF($D4="V02",cad!$D$36,cad!$E$36)))</f>
        <v/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 t="str">
        <f>IF($A5="","",IF($D5="V01",cad!$C$23,IF($D5="V02",cad!$D$23,cad!$E$23)))</f>
        <v/>
      </c>
      <c r="H5" t="str">
        <f>IF($A5="","",IF($D5="V01",cad!$C$24,IF($D5="V02",cad!$D$24,cad!$E$24)))</f>
        <v/>
      </c>
      <c r="I5" t="str">
        <f>IF($A5="","",IF($D5="V01",cad!$C$32,IF($D5="V02",cad!$D$32,cad!$E$32)))</f>
        <v/>
      </c>
      <c r="J5" t="str">
        <f>IF($A5="","",IF($D5="V01",cad!$C$33,IF($D5="V02",cad!$D$33,cad!$E$33)))</f>
        <v/>
      </c>
      <c r="K5" t="str">
        <f>IF($A5="","",IF($D5="V01",cad!$C$34,IF($D5="V02",cad!$D$34,cad!$E$34)))</f>
        <v/>
      </c>
      <c r="L5" t="str">
        <f>IF($A5="","",IF($D5="V01",cad!$C$35,IF($D5="V02",cad!$D$35,cad!$E$35)))</f>
        <v/>
      </c>
      <c r="M5" t="str">
        <f>IF($A5="","",IF($D5="V01",cad!$C$36,IF($D5="V02",cad!$D$36,cad!$E$36)))</f>
        <v/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 t="str">
        <f>IF($A6="","",IF($D6="V01",cad!$C$23,IF($D6="V02",cad!$D$23,cad!$E$23)))</f>
        <v/>
      </c>
      <c r="H6" t="str">
        <f>IF($A6="","",IF($D6="V01",cad!$C$24,IF($D6="V02",cad!$D$24,cad!$E$24)))</f>
        <v/>
      </c>
      <c r="I6" t="str">
        <f>IF($A6="","",IF($D6="V01",cad!$C$32,IF($D6="V02",cad!$D$32,cad!$E$32)))</f>
        <v/>
      </c>
      <c r="J6" t="str">
        <f>IF($A6="","",IF($D6="V01",cad!$C$33,IF($D6="V02",cad!$D$33,cad!$E$33)))</f>
        <v/>
      </c>
      <c r="K6" t="str">
        <f>IF($A6="","",IF($D6="V01",cad!$C$34,IF($D6="V02",cad!$D$34,cad!$E$34)))</f>
        <v/>
      </c>
      <c r="L6" t="str">
        <f>IF($A6="","",IF($D6="V01",cad!$C$35,IF($D6="V02",cad!$D$35,cad!$E$35)))</f>
        <v/>
      </c>
      <c r="M6" t="str">
        <f>IF($A6="","",IF($D6="V01",cad!$C$36,IF($D6="V02",cad!$D$36,cad!$E$36)))</f>
        <v/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 t="str">
        <f>IF($A7="","",IF($D7="V01",cad!$C$23,IF($D7="V02",cad!$D$23,cad!$E$23)))</f>
        <v/>
      </c>
      <c r="H7" t="str">
        <f>IF($A7="","",IF($D7="V01",cad!$C$24,IF($D7="V02",cad!$D$24,cad!$E$24)))</f>
        <v/>
      </c>
      <c r="I7" t="str">
        <f>IF($A7="","",IF($D7="V01",cad!$C$32,IF($D7="V02",cad!$D$32,cad!$E$32)))</f>
        <v/>
      </c>
      <c r="J7" t="str">
        <f>IF($A7="","",IF($D7="V01",cad!$C$33,IF($D7="V02",cad!$D$33,cad!$E$33)))</f>
        <v/>
      </c>
      <c r="K7" t="str">
        <f>IF($A7="","",IF($D7="V01",cad!$C$34,IF($D7="V02",cad!$D$34,cad!$E$34)))</f>
        <v/>
      </c>
      <c r="L7" t="str">
        <f>IF($A7="","",IF($D7="V01",cad!$C$35,IF($D7="V02",cad!$D$35,cad!$E$35)))</f>
        <v/>
      </c>
      <c r="M7" t="str">
        <f>IF($A7="","",IF($D7="V01",cad!$C$36,IF($D7="V02",cad!$D$36,cad!$E$36)))</f>
        <v/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 t="str">
        <f>IF($A8="","",IF($D8="V01",cad!$C$23,IF($D8="V02",cad!$D$23,cad!$E$23)))</f>
        <v/>
      </c>
      <c r="H8" t="str">
        <f>IF($A8="","",IF($D8="V01",cad!$C$24,IF($D8="V02",cad!$D$24,cad!$E$24)))</f>
        <v/>
      </c>
      <c r="I8" t="str">
        <f>IF($A8="","",IF($D8="V01",cad!$C$32,IF($D8="V02",cad!$D$32,cad!$E$32)))</f>
        <v/>
      </c>
      <c r="J8" t="str">
        <f>IF($A8="","",IF($D8="V01",cad!$C$33,IF($D8="V02",cad!$D$33,cad!$E$33)))</f>
        <v/>
      </c>
      <c r="K8" t="str">
        <f>IF($A8="","",IF($D8="V01",cad!$C$34,IF($D8="V02",cad!$D$34,cad!$E$34)))</f>
        <v/>
      </c>
      <c r="L8" t="str">
        <f>IF($A8="","",IF($D8="V01",cad!$C$35,IF($D8="V02",cad!$D$35,cad!$E$35)))</f>
        <v/>
      </c>
      <c r="M8" t="str">
        <f>IF($A8="","",IF($D8="V01",cad!$C$36,IF($D8="V02",cad!$D$36,cad!$E$36)))</f>
        <v/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 t="str">
        <f>IF($A9="","",IF($D9="V01",cad!$C$23,IF($D9="V02",cad!$D$23,cad!$E$23)))</f>
        <v/>
      </c>
      <c r="H9" t="str">
        <f>IF($A9="","",IF($D9="V01",cad!$C$24,IF($D9="V02",cad!$D$24,cad!$E$24)))</f>
        <v/>
      </c>
      <c r="I9" t="str">
        <f>IF($A9="","",IF($D9="V01",cad!$C$32,IF($D9="V02",cad!$D$32,cad!$E$32)))</f>
        <v/>
      </c>
      <c r="J9" t="str">
        <f>IF($A9="","",IF($D9="V01",cad!$C$33,IF($D9="V02",cad!$D$33,cad!$E$33)))</f>
        <v/>
      </c>
      <c r="K9" t="str">
        <f>IF($A9="","",IF($D9="V01",cad!$C$34,IF($D9="V02",cad!$D$34,cad!$E$34)))</f>
        <v/>
      </c>
      <c r="L9" t="str">
        <f>IF($A9="","",IF($D9="V01",cad!$C$35,IF($D9="V02",cad!$D$35,cad!$E$35)))</f>
        <v/>
      </c>
      <c r="M9" t="str">
        <f>IF($A9="","",IF($D9="V01",cad!$C$36,IF($D9="V02",cad!$D$36,cad!$E$36)))</f>
        <v/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 t="str">
        <f>IF($A10="","",IF($D10="V01",cad!$C$23,IF($D10="V02",cad!$D$23,cad!$E$23)))</f>
        <v/>
      </c>
      <c r="H10" t="str">
        <f>IF($A10="","",IF($D10="V01",cad!$C$24,IF($D10="V02",cad!$D$24,cad!$E$24)))</f>
        <v/>
      </c>
      <c r="I10" t="str">
        <f>IF($A10="","",IF($D10="V01",cad!$C$32,IF($D10="V02",cad!$D$32,cad!$E$32)))</f>
        <v/>
      </c>
      <c r="J10" t="str">
        <f>IF($A10="","",IF($D10="V01",cad!$C$33,IF($D10="V02",cad!$D$33,cad!$E$33)))</f>
        <v/>
      </c>
      <c r="K10" t="str">
        <f>IF($A10="","",IF($D10="V01",cad!$C$34,IF($D10="V02",cad!$D$34,cad!$E$34)))</f>
        <v/>
      </c>
      <c r="L10" t="str">
        <f>IF($A10="","",IF($D10="V01",cad!$C$35,IF($D10="V02",cad!$D$35,cad!$E$35)))</f>
        <v/>
      </c>
      <c r="M10" t="str">
        <f>IF($A10="","",IF($D10="V01",cad!$C$36,IF($D10="V02",cad!$D$36,cad!$E$36)))</f>
        <v/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 t="str">
        <f>IF($A11="","",IF($D11="V01",cad!$C$23,IF($D11="V02",cad!$D$23,cad!$E$23)))</f>
        <v/>
      </c>
      <c r="H11" t="str">
        <f>IF($A11="","",IF($D11="V01",cad!$C$24,IF($D11="V02",cad!$D$24,cad!$E$24)))</f>
        <v/>
      </c>
      <c r="I11" t="str">
        <f>IF($A11="","",IF($D11="V01",cad!$C$32,IF($D11="V02",cad!$D$32,cad!$E$32)))</f>
        <v/>
      </c>
      <c r="J11" t="str">
        <f>IF($A11="","",IF($D11="V01",cad!$C$33,IF($D11="V02",cad!$D$33,cad!$E$33)))</f>
        <v/>
      </c>
      <c r="K11" t="str">
        <f>IF($A11="","",IF($D11="V01",cad!$C$34,IF($D11="V02",cad!$D$34,cad!$E$34)))</f>
        <v/>
      </c>
      <c r="L11" t="str">
        <f>IF($A11="","",IF($D11="V01",cad!$C$35,IF($D11="V02",cad!$D$35,cad!$E$35)))</f>
        <v/>
      </c>
      <c r="M11" t="str">
        <f>IF($A11="","",IF($D11="V01",cad!$C$36,IF($D11="V02",cad!$D$36,cad!$E$36)))</f>
        <v/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 t="str">
        <f>IF($A12="","",IF($D12="V01",cad!$C$23,IF($D12="V02",cad!$D$23,cad!$E$23)))</f>
        <v/>
      </c>
      <c r="H12" t="str">
        <f>IF($A12="","",IF($D12="V01",cad!$C$24,IF($D12="V02",cad!$D$24,cad!$E$24)))</f>
        <v/>
      </c>
      <c r="I12" t="str">
        <f>IF($A12="","",IF($D12="V01",cad!$C$32,IF($D12="V02",cad!$D$32,cad!$E$32)))</f>
        <v/>
      </c>
      <c r="J12" t="str">
        <f>IF($A12="","",IF($D12="V01",cad!$C$33,IF($D12="V02",cad!$D$33,cad!$E$33)))</f>
        <v/>
      </c>
      <c r="K12" t="str">
        <f>IF($A12="","",IF($D12="V01",cad!$C$34,IF($D12="V02",cad!$D$34,cad!$E$34)))</f>
        <v/>
      </c>
      <c r="L12" t="str">
        <f>IF($A12="","",IF($D12="V01",cad!$C$35,IF($D12="V02",cad!$D$35,cad!$E$35)))</f>
        <v/>
      </c>
      <c r="M12" t="str">
        <f>IF($A12="","",IF($D12="V01",cad!$C$36,IF($D12="V02",cad!$D$36,cad!$E$36)))</f>
        <v/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 t="str">
        <f>IF($A13="","",IF($D13="V01",cad!$C$23,IF($D13="V02",cad!$D$23,cad!$E$23)))</f>
        <v/>
      </c>
      <c r="H13" t="str">
        <f>IF($A13="","",IF($D13="V01",cad!$C$24,IF($D13="V02",cad!$D$24,cad!$E$24)))</f>
        <v/>
      </c>
      <c r="I13" t="str">
        <f>IF($A13="","",IF($D13="V01",cad!$C$32,IF($D13="V02",cad!$D$32,cad!$E$32)))</f>
        <v/>
      </c>
      <c r="J13" t="str">
        <f>IF($A13="","",IF($D13="V01",cad!$C$33,IF($D13="V02",cad!$D$33,cad!$E$33)))</f>
        <v/>
      </c>
      <c r="K13" t="str">
        <f>IF($A13="","",IF($D13="V01",cad!$C$34,IF($D13="V02",cad!$D$34,cad!$E$34)))</f>
        <v/>
      </c>
      <c r="L13" t="str">
        <f>IF($A13="","",IF($D13="V01",cad!$C$35,IF($D13="V02",cad!$D$35,cad!$E$35)))</f>
        <v/>
      </c>
      <c r="M13" t="str">
        <f>IF($A13="","",IF($D13="V01",cad!$C$36,IF($D13="V02",cad!$D$36,cad!$E$36)))</f>
        <v/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 t="str">
        <f>IF($A14="","",IF($D14="V01",cad!$C$23,IF($D14="V02",cad!$D$23,cad!$E$23)))</f>
        <v/>
      </c>
      <c r="H14" t="str">
        <f>IF($A14="","",IF($D14="V01",cad!$C$24,IF($D14="V02",cad!$D$24,cad!$E$24)))</f>
        <v/>
      </c>
      <c r="I14" t="str">
        <f>IF($A14="","",IF($D14="V01",cad!$C$32,IF($D14="V02",cad!$D$32,cad!$E$32)))</f>
        <v/>
      </c>
      <c r="J14" t="str">
        <f>IF($A14="","",IF($D14="V01",cad!$C$33,IF($D14="V02",cad!$D$33,cad!$E$33)))</f>
        <v/>
      </c>
      <c r="K14" t="str">
        <f>IF($A14="","",IF($D14="V01",cad!$C$34,IF($D14="V02",cad!$D$34,cad!$E$34)))</f>
        <v/>
      </c>
      <c r="L14" t="str">
        <f>IF($A14="","",IF($D14="V01",cad!$C$35,IF($D14="V02",cad!$D$35,cad!$E$35)))</f>
        <v/>
      </c>
      <c r="M14" t="str">
        <f>IF($A14="","",IF($D14="V01",cad!$C$36,IF($D14="V02",cad!$D$36,cad!$E$36)))</f>
        <v/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 t="str">
        <f>IF($A15="","",IF($D15="V01",cad!$C$23,IF($D15="V02",cad!$D$23,cad!$E$23)))</f>
        <v/>
      </c>
      <c r="H15" t="str">
        <f>IF($A15="","",IF($D15="V01",cad!$C$24,IF($D15="V02",cad!$D$24,cad!$E$24)))</f>
        <v/>
      </c>
      <c r="I15" t="str">
        <f>IF($A15="","",IF($D15="V01",cad!$C$32,IF($D15="V02",cad!$D$32,cad!$E$32)))</f>
        <v/>
      </c>
      <c r="J15" t="str">
        <f>IF($A15="","",IF($D15="V01",cad!$C$33,IF($D15="V02",cad!$D$33,cad!$E$33)))</f>
        <v/>
      </c>
      <c r="K15" t="str">
        <f>IF($A15="","",IF($D15="V01",cad!$C$34,IF($D15="V02",cad!$D$34,cad!$E$34)))</f>
        <v/>
      </c>
      <c r="L15" t="str">
        <f>IF($A15="","",IF($D15="V01",cad!$C$35,IF($D15="V02",cad!$D$35,cad!$E$35)))</f>
        <v/>
      </c>
      <c r="M15" t="str">
        <f>IF($A15="","",IF($D15="V01",cad!$C$36,IF($D15="V02",cad!$D$36,cad!$E$36)))</f>
        <v/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 t="str">
        <f>IF($A16="","",IF($D16="V01",cad!$C$23,IF($D16="V02",cad!$D$23,cad!$E$23)))</f>
        <v/>
      </c>
      <c r="H16" t="str">
        <f>IF($A16="","",IF($D16="V01",cad!$C$24,IF($D16="V02",cad!$D$24,cad!$E$24)))</f>
        <v/>
      </c>
      <c r="I16" t="str">
        <f>IF($A16="","",IF($D16="V01",cad!$C$32,IF($D16="V02",cad!$D$32,cad!$E$32)))</f>
        <v/>
      </c>
      <c r="J16" t="str">
        <f>IF($A16="","",IF($D16="V01",cad!$C$33,IF($D16="V02",cad!$D$33,cad!$E$33)))</f>
        <v/>
      </c>
      <c r="K16" t="str">
        <f>IF($A16="","",IF($D16="V01",cad!$C$34,IF($D16="V02",cad!$D$34,cad!$E$34)))</f>
        <v/>
      </c>
      <c r="L16" t="str">
        <f>IF($A16="","",IF($D16="V01",cad!$C$35,IF($D16="V02",cad!$D$35,cad!$E$35)))</f>
        <v/>
      </c>
      <c r="M16" t="str">
        <f>IF($A16="","",IF($D16="V01",cad!$C$36,IF($D16="V02",cad!$D$36,cad!$E$36)))</f>
        <v/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 t="str">
        <f>IF($A17="","",IF($D17="V01",cad!$C$23,IF($D17="V02",cad!$D$23,cad!$E$23)))</f>
        <v/>
      </c>
      <c r="H17" t="str">
        <f>IF($A17="","",IF($D17="V01",cad!$C$24,IF($D17="V02",cad!$D$24,cad!$E$24)))</f>
        <v/>
      </c>
      <c r="I17" t="str">
        <f>IF($A17="","",IF($D17="V01",cad!$C$32,IF($D17="V02",cad!$D$32,cad!$E$32)))</f>
        <v/>
      </c>
      <c r="J17" t="str">
        <f>IF($A17="","",IF($D17="V01",cad!$C$33,IF($D17="V02",cad!$D$33,cad!$E$33)))</f>
        <v/>
      </c>
      <c r="K17" t="str">
        <f>IF($A17="","",IF($D17="V01",cad!$C$34,IF($D17="V02",cad!$D$34,cad!$E$34)))</f>
        <v/>
      </c>
      <c r="L17" t="str">
        <f>IF($A17="","",IF($D17="V01",cad!$C$35,IF($D17="V02",cad!$D$35,cad!$E$35)))</f>
        <v/>
      </c>
      <c r="M17" t="str">
        <f>IF($A17="","",IF($D17="V01",cad!$C$36,IF($D17="V02",cad!$D$36,cad!$E$36)))</f>
        <v/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 t="str">
        <f>IF($A18="","",IF($D18="V01",cad!$C$23,IF($D18="V02",cad!$D$23,cad!$E$23)))</f>
        <v/>
      </c>
      <c r="H18" t="str">
        <f>IF($A18="","",IF($D18="V01",cad!$C$24,IF($D18="V02",cad!$D$24,cad!$E$24)))</f>
        <v/>
      </c>
      <c r="I18" t="str">
        <f>IF($A18="","",IF($D18="V01",cad!$C$32,IF($D18="V02",cad!$D$32,cad!$E$32)))</f>
        <v/>
      </c>
      <c r="J18" t="str">
        <f>IF($A18="","",IF($D18="V01",cad!$C$33,IF($D18="V02",cad!$D$33,cad!$E$33)))</f>
        <v/>
      </c>
      <c r="K18" t="str">
        <f>IF($A18="","",IF($D18="V01",cad!$C$34,IF($D18="V02",cad!$D$34,cad!$E$34)))</f>
        <v/>
      </c>
      <c r="L18" t="str">
        <f>IF($A18="","",IF($D18="V01",cad!$C$35,IF($D18="V02",cad!$D$35,cad!$E$35)))</f>
        <v/>
      </c>
      <c r="M18" t="str">
        <f>IF($A18="","",IF($D18="V01",cad!$C$36,IF($D18="V02",cad!$D$36,cad!$E$36)))</f>
        <v/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 t="str">
        <f>IF($A19="","",IF($D19="V01",cad!$C$23,IF($D19="V02",cad!$D$23,cad!$E$23)))</f>
        <v/>
      </c>
      <c r="H19" t="str">
        <f>IF($A19="","",IF($D19="V01",cad!$C$24,IF($D19="V02",cad!$D$24,cad!$E$24)))</f>
        <v/>
      </c>
      <c r="I19" t="str">
        <f>IF($A19="","",IF($D19="V01",cad!$C$32,IF($D19="V02",cad!$D$32,cad!$E$32)))</f>
        <v/>
      </c>
      <c r="J19" t="str">
        <f>IF($A19="","",IF($D19="V01",cad!$C$33,IF($D19="V02",cad!$D$33,cad!$E$33)))</f>
        <v/>
      </c>
      <c r="K19" t="str">
        <f>IF($A19="","",IF($D19="V01",cad!$C$34,IF($D19="V02",cad!$D$34,cad!$E$34)))</f>
        <v/>
      </c>
      <c r="L19" t="str">
        <f>IF($A19="","",IF($D19="V01",cad!$C$35,IF($D19="V02",cad!$D$35,cad!$E$35)))</f>
        <v/>
      </c>
      <c r="M19" t="str">
        <f>IF($A19="","",IF($D19="V01",cad!$C$36,IF($D19="V02",cad!$D$36,cad!$E$36)))</f>
        <v/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 t="str">
        <f>IF($A20="","",IF($D20="V01",cad!$C$23,IF($D20="V02",cad!$D$23,cad!$E$23)))</f>
        <v/>
      </c>
      <c r="H20" t="str">
        <f>IF($A20="","",IF($D20="V01",cad!$C$24,IF($D20="V02",cad!$D$24,cad!$E$24)))</f>
        <v/>
      </c>
      <c r="I20" t="str">
        <f>IF($A20="","",IF($D20="V01",cad!$C$32,IF($D20="V02",cad!$D$32,cad!$E$32)))</f>
        <v/>
      </c>
      <c r="J20" t="str">
        <f>IF($A20="","",IF($D20="V01",cad!$C$33,IF($D20="V02",cad!$D$33,cad!$E$33)))</f>
        <v/>
      </c>
      <c r="K20" t="str">
        <f>IF($A20="","",IF($D20="V01",cad!$C$34,IF($D20="V02",cad!$D$34,cad!$E$34)))</f>
        <v/>
      </c>
      <c r="L20" t="str">
        <f>IF($A20="","",IF($D20="V01",cad!$C$35,IF($D20="V02",cad!$D$35,cad!$E$35)))</f>
        <v/>
      </c>
      <c r="M20" t="str">
        <f>IF($A20="","",IF($D20="V01",cad!$C$36,IF($D20="V02",cad!$D$36,cad!$E$36)))</f>
        <v/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 t="str">
        <f>IF($A21="","",IF($D21="V01",cad!$C$23,IF($D21="V02",cad!$D$23,cad!$E$23)))</f>
        <v/>
      </c>
      <c r="H21" t="str">
        <f>IF($A21="","",IF($D21="V01",cad!$C$24,IF($D21="V02",cad!$D$24,cad!$E$24)))</f>
        <v/>
      </c>
      <c r="I21" t="str">
        <f>IF($A21="","",IF($D21="V01",cad!$C$32,IF($D21="V02",cad!$D$32,cad!$E$32)))</f>
        <v/>
      </c>
      <c r="J21" t="str">
        <f>IF($A21="","",IF($D21="V01",cad!$C$33,IF($D21="V02",cad!$D$33,cad!$E$33)))</f>
        <v/>
      </c>
      <c r="K21" t="str">
        <f>IF($A21="","",IF($D21="V01",cad!$C$34,IF($D21="V02",cad!$D$34,cad!$E$34)))</f>
        <v/>
      </c>
      <c r="L21" t="str">
        <f>IF($A21="","",IF($D21="V01",cad!$C$35,IF($D21="V02",cad!$D$35,cad!$E$35)))</f>
        <v/>
      </c>
      <c r="M21" t="str">
        <f>IF($A21="","",IF($D21="V01",cad!$C$36,IF($D21="V02",cad!$D$36,cad!$E$36)))</f>
        <v/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 t="str">
        <f>IF($A22="","",IF($D22="V01",cad!$C$23,IF($D22="V02",cad!$D$23,cad!$E$23)))</f>
        <v/>
      </c>
      <c r="H22" t="str">
        <f>IF($A22="","",IF($D22="V01",cad!$C$24,IF($D22="V02",cad!$D$24,cad!$E$24)))</f>
        <v/>
      </c>
      <c r="I22" t="str">
        <f>IF($A22="","",IF($D22="V01",cad!$C$32,IF($D22="V02",cad!$D$32,cad!$E$32)))</f>
        <v/>
      </c>
      <c r="J22" t="str">
        <f>IF($A22="","",IF($D22="V01",cad!$C$33,IF($D22="V02",cad!$D$33,cad!$E$33)))</f>
        <v/>
      </c>
      <c r="K22" t="str">
        <f>IF($A22="","",IF($D22="V01",cad!$C$34,IF($D22="V02",cad!$D$34,cad!$E$34)))</f>
        <v/>
      </c>
      <c r="L22" t="str">
        <f>IF($A22="","",IF($D22="V01",cad!$C$35,IF($D22="V02",cad!$D$35,cad!$E$35)))</f>
        <v/>
      </c>
      <c r="M22" t="str">
        <f>IF($A22="","",IF($D22="V01",cad!$C$36,IF($D22="V02",cad!$D$36,cad!$E$36)))</f>
        <v/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 t="str">
        <f>IF($A23="","",IF($D23="V01",cad!$C$23,IF($D23="V02",cad!$D$23,cad!$E$23)))</f>
        <v/>
      </c>
      <c r="H23" t="str">
        <f>IF($A23="","",IF($D23="V01",cad!$C$24,IF($D23="V02",cad!$D$24,cad!$E$24)))</f>
        <v/>
      </c>
      <c r="I23" t="str">
        <f>IF($A23="","",IF($D23="V01",cad!$C$32,IF($D23="V02",cad!$D$32,cad!$E$32)))</f>
        <v/>
      </c>
      <c r="J23" t="str">
        <f>IF($A23="","",IF($D23="V01",cad!$C$33,IF($D23="V02",cad!$D$33,cad!$E$33)))</f>
        <v/>
      </c>
      <c r="K23" t="str">
        <f>IF($A23="","",IF($D23="V01",cad!$C$34,IF($D23="V02",cad!$D$34,cad!$E$34)))</f>
        <v/>
      </c>
      <c r="L23" t="str">
        <f>IF($A23="","",IF($D23="V01",cad!$C$35,IF($D23="V02",cad!$D$35,cad!$E$35)))</f>
        <v/>
      </c>
      <c r="M23" t="str">
        <f>IF($A23="","",IF($D23="V01",cad!$C$36,IF($D23="V02",cad!$D$36,cad!$E$36)))</f>
        <v/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 t="str">
        <f>IF($A24="","",IF($D24="V01",cad!$C$23,IF($D24="V02",cad!$D$23,cad!$E$23)))</f>
        <v/>
      </c>
      <c r="H24" t="str">
        <f>IF($A24="","",IF($D24="V01",cad!$C$24,IF($D24="V02",cad!$D$24,cad!$E$24)))</f>
        <v/>
      </c>
      <c r="I24" t="str">
        <f>IF($A24="","",IF($D24="V01",cad!$C$32,IF($D24="V02",cad!$D$32,cad!$E$32)))</f>
        <v/>
      </c>
      <c r="J24" t="str">
        <f>IF($A24="","",IF($D24="V01",cad!$C$33,IF($D24="V02",cad!$D$33,cad!$E$33)))</f>
        <v/>
      </c>
      <c r="K24" t="str">
        <f>IF($A24="","",IF($D24="V01",cad!$C$34,IF($D24="V02",cad!$D$34,cad!$E$34)))</f>
        <v/>
      </c>
      <c r="L24" t="str">
        <f>IF($A24="","",IF($D24="V01",cad!$C$35,IF($D24="V02",cad!$D$35,cad!$E$35)))</f>
        <v/>
      </c>
      <c r="M24" t="str">
        <f>IF($A24="","",IF($D24="V01",cad!$C$36,IF($D24="V02",cad!$D$36,cad!$E$36)))</f>
        <v/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 t="str">
        <f>IF($A25="","",IF($D25="V01",cad!$C$23,IF($D25="V02",cad!$D$23,cad!$E$23)))</f>
        <v/>
      </c>
      <c r="H25" t="str">
        <f>IF($A25="","",IF($D25="V01",cad!$C$24,IF($D25="V02",cad!$D$24,cad!$E$24)))</f>
        <v/>
      </c>
      <c r="I25" t="str">
        <f>IF($A25="","",IF($D25="V01",cad!$C$32,IF($D25="V02",cad!$D$32,cad!$E$32)))</f>
        <v/>
      </c>
      <c r="J25" t="str">
        <f>IF($A25="","",IF($D25="V01",cad!$C$33,IF($D25="V02",cad!$D$33,cad!$E$33)))</f>
        <v/>
      </c>
      <c r="K25" t="str">
        <f>IF($A25="","",IF($D25="V01",cad!$C$34,IF($D25="V02",cad!$D$34,cad!$E$34)))</f>
        <v/>
      </c>
      <c r="L25" t="str">
        <f>IF($A25="","",IF($D25="V01",cad!$C$35,IF($D25="V02",cad!$D$35,cad!$E$35)))</f>
        <v/>
      </c>
      <c r="M25" t="str">
        <f>IF($A25="","",IF($D25="V01",cad!$C$36,IF($D25="V02",cad!$D$36,cad!$E$36)))</f>
        <v/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 t="str">
        <f>IF($A26="","",IF($D26="V01",cad!$C$23,IF($D26="V02",cad!$D$23,cad!$E$23)))</f>
        <v/>
      </c>
      <c r="H26" t="str">
        <f>IF($A26="","",IF($D26="V01",cad!$C$24,IF($D26="V02",cad!$D$24,cad!$E$24)))</f>
        <v/>
      </c>
      <c r="I26" t="str">
        <f>IF($A26="","",IF($D26="V01",cad!$C$32,IF($D26="V02",cad!$D$32,cad!$E$32)))</f>
        <v/>
      </c>
      <c r="J26" t="str">
        <f>IF($A26="","",IF($D26="V01",cad!$C$33,IF($D26="V02",cad!$D$33,cad!$E$33)))</f>
        <v/>
      </c>
      <c r="K26" t="str">
        <f>IF($A26="","",IF($D26="V01",cad!$C$34,IF($D26="V02",cad!$D$34,cad!$E$34)))</f>
        <v/>
      </c>
      <c r="L26" t="str">
        <f>IF($A26="","",IF($D26="V01",cad!$C$35,IF($D26="V02",cad!$D$35,cad!$E$35)))</f>
        <v/>
      </c>
      <c r="M26" t="str">
        <f>IF($A26="","",IF($D26="V01",cad!$C$36,IF($D26="V02",cad!$D$36,cad!$E$36)))</f>
        <v/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 t="str">
        <f>IF($A27="","",IF($D27="V01",cad!$C$23,IF($D27="V02",cad!$D$23,cad!$E$23)))</f>
        <v/>
      </c>
      <c r="H27" t="str">
        <f>IF($A27="","",IF($D27="V01",cad!$C$24,IF($D27="V02",cad!$D$24,cad!$E$24)))</f>
        <v/>
      </c>
      <c r="I27" t="str">
        <f>IF($A27="","",IF($D27="V01",cad!$C$32,IF($D27="V02",cad!$D$32,cad!$E$32)))</f>
        <v/>
      </c>
      <c r="J27" t="str">
        <f>IF($A27="","",IF($D27="V01",cad!$C$33,IF($D27="V02",cad!$D$33,cad!$E$33)))</f>
        <v/>
      </c>
      <c r="K27" t="str">
        <f>IF($A27="","",IF($D27="V01",cad!$C$34,IF($D27="V02",cad!$D$34,cad!$E$34)))</f>
        <v/>
      </c>
      <c r="L27" t="str">
        <f>IF($A27="","",IF($D27="V01",cad!$C$35,IF($D27="V02",cad!$D$35,cad!$E$35)))</f>
        <v/>
      </c>
      <c r="M27" t="str">
        <f>IF($A27="","",IF($D27="V01",cad!$C$36,IF($D27="V02",cad!$D$36,cad!$E$36)))</f>
        <v/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 t="str">
        <f>IF($A28="","",IF($D28="V01",cad!$C$23,IF($D28="V02",cad!$D$23,cad!$E$23)))</f>
        <v/>
      </c>
      <c r="H28" t="str">
        <f>IF($A28="","",IF($D28="V01",cad!$C$24,IF($D28="V02",cad!$D$24,cad!$E$24)))</f>
        <v/>
      </c>
      <c r="I28" t="str">
        <f>IF($A28="","",IF($D28="V01",cad!$C$32,IF($D28="V02",cad!$D$32,cad!$E$32)))</f>
        <v/>
      </c>
      <c r="J28" t="str">
        <f>IF($A28="","",IF($D28="V01",cad!$C$33,IF($D28="V02",cad!$D$33,cad!$E$33)))</f>
        <v/>
      </c>
      <c r="K28" t="str">
        <f>IF($A28="","",IF($D28="V01",cad!$C$34,IF($D28="V02",cad!$D$34,cad!$E$34)))</f>
        <v/>
      </c>
      <c r="L28" t="str">
        <f>IF($A28="","",IF($D28="V01",cad!$C$35,IF($D28="V02",cad!$D$35,cad!$E$35)))</f>
        <v/>
      </c>
      <c r="M28" t="str">
        <f>IF($A28="","",IF($D28="V01",cad!$C$36,IF($D28="V02",cad!$D$36,cad!$E$36)))</f>
        <v/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 t="str">
        <f>IF($A29="","",IF($D29="V01",cad!$C$23,IF($D29="V02",cad!$D$23,cad!$E$23)))</f>
        <v/>
      </c>
      <c r="H29" t="str">
        <f>IF($A29="","",IF($D29="V01",cad!$C$24,IF($D29="V02",cad!$D$24,cad!$E$24)))</f>
        <v/>
      </c>
      <c r="I29" t="str">
        <f>IF($A29="","",IF($D29="V01",cad!$C$32,IF($D29="V02",cad!$D$32,cad!$E$32)))</f>
        <v/>
      </c>
      <c r="J29" t="str">
        <f>IF($A29="","",IF($D29="V01",cad!$C$33,IF($D29="V02",cad!$D$33,cad!$E$33)))</f>
        <v/>
      </c>
      <c r="K29" t="str">
        <f>IF($A29="","",IF($D29="V01",cad!$C$34,IF($D29="V02",cad!$D$34,cad!$E$34)))</f>
        <v/>
      </c>
      <c r="L29" t="str">
        <f>IF($A29="","",IF($D29="V01",cad!$C$35,IF($D29="V02",cad!$D$35,cad!$E$35)))</f>
        <v/>
      </c>
      <c r="M29" t="str">
        <f>IF($A29="","",IF($D29="V01",cad!$C$36,IF($D29="V02",cad!$D$36,cad!$E$36)))</f>
        <v/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 t="str">
        <f>IF($A30="","",IF($D30="V01",cad!$C$23,IF($D30="V02",cad!$D$23,cad!$E$23)))</f>
        <v/>
      </c>
      <c r="H30" t="str">
        <f>IF($A30="","",IF($D30="V01",cad!$C$24,IF($D30="V02",cad!$D$24,cad!$E$24)))</f>
        <v/>
      </c>
      <c r="I30" t="str">
        <f>IF($A30="","",IF($D30="V01",cad!$C$32,IF($D30="V02",cad!$D$32,cad!$E$32)))</f>
        <v/>
      </c>
      <c r="J30" t="str">
        <f>IF($A30="","",IF($D30="V01",cad!$C$33,IF($D30="V02",cad!$D$33,cad!$E$33)))</f>
        <v/>
      </c>
      <c r="K30" t="str">
        <f>IF($A30="","",IF($D30="V01",cad!$C$34,IF($D30="V02",cad!$D$34,cad!$E$34)))</f>
        <v/>
      </c>
      <c r="L30" t="str">
        <f>IF($A30="","",IF($D30="V01",cad!$C$35,IF($D30="V02",cad!$D$35,cad!$E$35)))</f>
        <v/>
      </c>
      <c r="M30" t="str">
        <f>IF($A30="","",IF($D30="V01",cad!$C$36,IF($D30="V02",cad!$D$36,cad!$E$36)))</f>
        <v/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 t="str">
        <f>IF($A31="","",IF($D31="V01",cad!$C$23,IF($D31="V02",cad!$D$23,cad!$E$23)))</f>
        <v/>
      </c>
      <c r="H31" t="str">
        <f>IF($A31="","",IF($D31="V01",cad!$C$24,IF($D31="V02",cad!$D$24,cad!$E$24)))</f>
        <v/>
      </c>
      <c r="I31" t="str">
        <f>IF($A31="","",IF($D31="V01",cad!$C$32,IF($D31="V02",cad!$D$32,cad!$E$32)))</f>
        <v/>
      </c>
      <c r="J31" t="str">
        <f>IF($A31="","",IF($D31="V01",cad!$C$33,IF($D31="V02",cad!$D$33,cad!$E$33)))</f>
        <v/>
      </c>
      <c r="K31" t="str">
        <f>IF($A31="","",IF($D31="V01",cad!$C$34,IF($D31="V02",cad!$D$34,cad!$E$34)))</f>
        <v/>
      </c>
      <c r="L31" t="str">
        <f>IF($A31="","",IF($D31="V01",cad!$C$35,IF($D31="V02",cad!$D$35,cad!$E$35)))</f>
        <v/>
      </c>
      <c r="M31" t="str">
        <f>IF($A31="","",IF($D31="V01",cad!$C$36,IF($D31="V02",cad!$D$36,cad!$E$36)))</f>
        <v/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 t="str">
        <f>IF($A32="","",IF($D32="V01",cad!$C$23,IF($D32="V02",cad!$D$23,cad!$E$23)))</f>
        <v/>
      </c>
      <c r="H32" t="str">
        <f>IF($A32="","",IF($D32="V01",cad!$C$24,IF($D32="V02",cad!$D$24,cad!$E$24)))</f>
        <v/>
      </c>
      <c r="I32" t="str">
        <f>IF($A32="","",IF($D32="V01",cad!$C$32,IF($D32="V02",cad!$D$32,cad!$E$32)))</f>
        <v/>
      </c>
      <c r="J32" t="str">
        <f>IF($A32="","",IF($D32="V01",cad!$C$33,IF($D32="V02",cad!$D$33,cad!$E$33)))</f>
        <v/>
      </c>
      <c r="K32" t="str">
        <f>IF($A32="","",IF($D32="V01",cad!$C$34,IF($D32="V02",cad!$D$34,cad!$E$34)))</f>
        <v/>
      </c>
      <c r="L32" t="str">
        <f>IF($A32="","",IF($D32="V01",cad!$C$35,IF($D32="V02",cad!$D$35,cad!$E$35)))</f>
        <v/>
      </c>
      <c r="M32" t="str">
        <f>IF($A32="","",IF($D32="V01",cad!$C$36,IF($D32="V02",cad!$D$36,cad!$E$36)))</f>
        <v/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 t="str">
        <f>IF($A33="","",IF($D33="V01",cad!$C$23,IF($D33="V02",cad!$D$23,cad!$E$23)))</f>
        <v/>
      </c>
      <c r="H33" t="str">
        <f>IF($A33="","",IF($D33="V01",cad!$C$24,IF($D33="V02",cad!$D$24,cad!$E$24)))</f>
        <v/>
      </c>
      <c r="I33" t="str">
        <f>IF($A33="","",IF($D33="V01",cad!$C$32,IF($D33="V02",cad!$D$32,cad!$E$32)))</f>
        <v/>
      </c>
      <c r="J33" t="str">
        <f>IF($A33="","",IF($D33="V01",cad!$C$33,IF($D33="V02",cad!$D$33,cad!$E$33)))</f>
        <v/>
      </c>
      <c r="K33" t="str">
        <f>IF($A33="","",IF($D33="V01",cad!$C$34,IF($D33="V02",cad!$D$34,cad!$E$34)))</f>
        <v/>
      </c>
      <c r="L33" t="str">
        <f>IF($A33="","",IF($D33="V01",cad!$C$35,IF($D33="V02",cad!$D$35,cad!$E$35)))</f>
        <v/>
      </c>
      <c r="M33" t="str">
        <f>IF($A33="","",IF($D33="V01",cad!$C$36,IF($D33="V02",cad!$D$36,cad!$E$36)))</f>
        <v/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 t="str">
        <f>IF($A34="","",IF($D34="V01",cad!$C$23,IF($D34="V02",cad!$D$23,cad!$E$23)))</f>
        <v/>
      </c>
      <c r="H34" t="str">
        <f>IF($A34="","",IF($D34="V01",cad!$C$24,IF($D34="V02",cad!$D$24,cad!$E$24)))</f>
        <v/>
      </c>
      <c r="I34" t="str">
        <f>IF($A34="","",IF($D34="V01",cad!$C$32,IF($D34="V02",cad!$D$32,cad!$E$32)))</f>
        <v/>
      </c>
      <c r="J34" t="str">
        <f>IF($A34="","",IF($D34="V01",cad!$C$33,IF($D34="V02",cad!$D$33,cad!$E$33)))</f>
        <v/>
      </c>
      <c r="K34" t="str">
        <f>IF($A34="","",IF($D34="V01",cad!$C$34,IF($D34="V02",cad!$D$34,cad!$E$34)))</f>
        <v/>
      </c>
      <c r="L34" t="str">
        <f>IF($A34="","",IF($D34="V01",cad!$C$35,IF($D34="V02",cad!$D$35,cad!$E$35)))</f>
        <v/>
      </c>
      <c r="M34" t="str">
        <f>IF($A34="","",IF($D34="V01",cad!$C$36,IF($D34="V02",cad!$D$36,cad!$E$36)))</f>
        <v/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 t="str">
        <f>IF($A35="","",IF($D35="V01",cad!$C$23,IF($D35="V02",cad!$D$23,cad!$E$23)))</f>
        <v/>
      </c>
      <c r="H35" t="str">
        <f>IF($A35="","",IF($D35="V01",cad!$C$24,IF($D35="V02",cad!$D$24,cad!$E$24)))</f>
        <v/>
      </c>
      <c r="I35" t="str">
        <f>IF($A35="","",IF($D35="V01",cad!$C$32,IF($D35="V02",cad!$D$32,cad!$E$32)))</f>
        <v/>
      </c>
      <c r="J35" t="str">
        <f>IF($A35="","",IF($D35="V01",cad!$C$33,IF($D35="V02",cad!$D$33,cad!$E$33)))</f>
        <v/>
      </c>
      <c r="K35" t="str">
        <f>IF($A35="","",IF($D35="V01",cad!$C$34,IF($D35="V02",cad!$D$34,cad!$E$34)))</f>
        <v/>
      </c>
      <c r="L35" t="str">
        <f>IF($A35="","",IF($D35="V01",cad!$C$35,IF($D35="V02",cad!$D$35,cad!$E$35)))</f>
        <v/>
      </c>
      <c r="M35" t="str">
        <f>IF($A35="","",IF($D35="V01",cad!$C$36,IF($D35="V02",cad!$D$36,cad!$E$36)))</f>
        <v/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 t="str">
        <f>IF($A36="","",IF($D36="V01",cad!$C$23,IF($D36="V02",cad!$D$23,cad!$E$23)))</f>
        <v/>
      </c>
      <c r="H36" t="str">
        <f>IF($A36="","",IF($D36="V01",cad!$C$24,IF($D36="V02",cad!$D$24,cad!$E$24)))</f>
        <v/>
      </c>
      <c r="I36" t="str">
        <f>IF($A36="","",IF($D36="V01",cad!$C$32,IF($D36="V02",cad!$D$32,cad!$E$32)))</f>
        <v/>
      </c>
      <c r="J36" t="str">
        <f>IF($A36="","",IF($D36="V01",cad!$C$33,IF($D36="V02",cad!$D$33,cad!$E$33)))</f>
        <v/>
      </c>
      <c r="K36" t="str">
        <f>IF($A36="","",IF($D36="V01",cad!$C$34,IF($D36="V02",cad!$D$34,cad!$E$34)))</f>
        <v/>
      </c>
      <c r="L36" t="str">
        <f>IF($A36="","",IF($D36="V01",cad!$C$35,IF($D36="V02",cad!$D$35,cad!$E$35)))</f>
        <v/>
      </c>
      <c r="M36" t="str">
        <f>IF($A36="","",IF($D36="V01",cad!$C$36,IF($D36="V02",cad!$D$36,cad!$E$36)))</f>
        <v/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 t="str">
        <f>IF($A37="","",IF($D37="V01",cad!$C$23,IF($D37="V02",cad!$D$23,cad!$E$23)))</f>
        <v/>
      </c>
      <c r="H37" t="str">
        <f>IF($A37="","",IF($D37="V01",cad!$C$24,IF($D37="V02",cad!$D$24,cad!$E$24)))</f>
        <v/>
      </c>
      <c r="I37" t="str">
        <f>IF($A37="","",IF($D37="V01",cad!$C$32,IF($D37="V02",cad!$D$32,cad!$E$32)))</f>
        <v/>
      </c>
      <c r="J37" t="str">
        <f>IF($A37="","",IF($D37="V01",cad!$C$33,IF($D37="V02",cad!$D$33,cad!$E$33)))</f>
        <v/>
      </c>
      <c r="K37" t="str">
        <f>IF($A37="","",IF($D37="V01",cad!$C$34,IF($D37="V02",cad!$D$34,cad!$E$34)))</f>
        <v/>
      </c>
      <c r="L37" t="str">
        <f>IF($A37="","",IF($D37="V01",cad!$C$35,IF($D37="V02",cad!$D$35,cad!$E$35)))</f>
        <v/>
      </c>
      <c r="M37" t="str">
        <f>IF($A37="","",IF($D37="V01",cad!$C$36,IF($D37="V02",cad!$D$36,cad!$E$36)))</f>
        <v/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 t="str">
        <f>IF($A38="","",IF($D38="V01",cad!$C$23,IF($D38="V02",cad!$D$23,cad!$E$23)))</f>
        <v/>
      </c>
      <c r="H38" t="str">
        <f>IF($A38="","",IF($D38="V01",cad!$C$24,IF($D38="V02",cad!$D$24,cad!$E$24)))</f>
        <v/>
      </c>
      <c r="I38" t="str">
        <f>IF($A38="","",IF($D38="V01",cad!$C$32,IF($D38="V02",cad!$D$32,cad!$E$32)))</f>
        <v/>
      </c>
      <c r="J38" t="str">
        <f>IF($A38="","",IF($D38="V01",cad!$C$33,IF($D38="V02",cad!$D$33,cad!$E$33)))</f>
        <v/>
      </c>
      <c r="K38" t="str">
        <f>IF($A38="","",IF($D38="V01",cad!$C$34,IF($D38="V02",cad!$D$34,cad!$E$34)))</f>
        <v/>
      </c>
      <c r="L38" t="str">
        <f>IF($A38="","",IF($D38="V01",cad!$C$35,IF($D38="V02",cad!$D$35,cad!$E$35)))</f>
        <v/>
      </c>
      <c r="M38" t="str">
        <f>IF($A38="","",IF($D38="V01",cad!$C$36,IF($D38="V02",cad!$D$36,cad!$E$36)))</f>
        <v/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 t="str">
        <f>IF($A39="","",IF($D39="V01",cad!$C$23,IF($D39="V02",cad!$D$23,cad!$E$23)))</f>
        <v/>
      </c>
      <c r="H39" t="str">
        <f>IF($A39="","",IF($D39="V01",cad!$C$24,IF($D39="V02",cad!$D$24,cad!$E$24)))</f>
        <v/>
      </c>
      <c r="I39" t="str">
        <f>IF($A39="","",IF($D39="V01",cad!$C$32,IF($D39="V02",cad!$D$32,cad!$E$32)))</f>
        <v/>
      </c>
      <c r="J39" t="str">
        <f>IF($A39="","",IF($D39="V01",cad!$C$33,IF($D39="V02",cad!$D$33,cad!$E$33)))</f>
        <v/>
      </c>
      <c r="K39" t="str">
        <f>IF($A39="","",IF($D39="V01",cad!$C$34,IF($D39="V02",cad!$D$34,cad!$E$34)))</f>
        <v/>
      </c>
      <c r="L39" t="str">
        <f>IF($A39="","",IF($D39="V01",cad!$C$35,IF($D39="V02",cad!$D$35,cad!$E$35)))</f>
        <v/>
      </c>
      <c r="M39" t="str">
        <f>IF($A39="","",IF($D39="V01",cad!$C$36,IF($D39="V02",cad!$D$36,cad!$E$36)))</f>
        <v/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 t="str">
        <f>IF($A40="","",IF($D40="V01",cad!$C$23,IF($D40="V02",cad!$D$23,cad!$E$23)))</f>
        <v/>
      </c>
      <c r="H40" t="str">
        <f>IF($A40="","",IF($D40="V01",cad!$C$24,IF($D40="V02",cad!$D$24,cad!$E$24)))</f>
        <v/>
      </c>
      <c r="I40" t="str">
        <f>IF($A40="","",IF($D40="V01",cad!$C$32,IF($D40="V02",cad!$D$32,cad!$E$32)))</f>
        <v/>
      </c>
      <c r="J40" t="str">
        <f>IF($A40="","",IF($D40="V01",cad!$C$33,IF($D40="V02",cad!$D$33,cad!$E$33)))</f>
        <v/>
      </c>
      <c r="K40" t="str">
        <f>IF($A40="","",IF($D40="V01",cad!$C$34,IF($D40="V02",cad!$D$34,cad!$E$34)))</f>
        <v/>
      </c>
      <c r="L40" t="str">
        <f>IF($A40="","",IF($D40="V01",cad!$C$35,IF($D40="V02",cad!$D$35,cad!$E$35)))</f>
        <v/>
      </c>
      <c r="M40" t="str">
        <f>IF($A40="","",IF($D40="V01",cad!$C$36,IF($D40="V02",cad!$D$36,cad!$E$36)))</f>
        <v/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 t="str">
        <f>IF($A41="","",IF($D41="V01",cad!$C$23,IF($D41="V02",cad!$D$23,cad!$E$23)))</f>
        <v/>
      </c>
      <c r="H41" t="str">
        <f>IF($A41="","",IF($D41="V01",cad!$C$24,IF($D41="V02",cad!$D$24,cad!$E$24)))</f>
        <v/>
      </c>
      <c r="I41" t="str">
        <f>IF($A41="","",IF($D41="V01",cad!$C$32,IF($D41="V02",cad!$D$32,cad!$E$32)))</f>
        <v/>
      </c>
      <c r="J41" t="str">
        <f>IF($A41="","",IF($D41="V01",cad!$C$33,IF($D41="V02",cad!$D$33,cad!$E$33)))</f>
        <v/>
      </c>
      <c r="K41" t="str">
        <f>IF($A41="","",IF($D41="V01",cad!$C$34,IF($D41="V02",cad!$D$34,cad!$E$34)))</f>
        <v/>
      </c>
      <c r="L41" t="str">
        <f>IF($A41="","",IF($D41="V01",cad!$C$35,IF($D41="V02",cad!$D$35,cad!$E$35)))</f>
        <v/>
      </c>
      <c r="M41" t="str">
        <f>IF($A41="","",IF($D41="V01",cad!$C$36,IF($D41="V02",cad!$D$36,cad!$E$36)))</f>
        <v/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 t="str">
        <f>IF($A42="","",IF($D42="V01",cad!$C$23,IF($D42="V02",cad!$D$23,cad!$E$23)))</f>
        <v/>
      </c>
      <c r="H42" t="str">
        <f>IF($A42="","",IF($D42="V01",cad!$C$24,IF($D42="V02",cad!$D$24,cad!$E$24)))</f>
        <v/>
      </c>
      <c r="I42" t="str">
        <f>IF($A42="","",IF($D42="V01",cad!$C$32,IF($D42="V02",cad!$D$32,cad!$E$32)))</f>
        <v/>
      </c>
      <c r="J42" t="str">
        <f>IF($A42="","",IF($D42="V01",cad!$C$33,IF($D42="V02",cad!$D$33,cad!$E$33)))</f>
        <v/>
      </c>
      <c r="K42" t="str">
        <f>IF($A42="","",IF($D42="V01",cad!$C$34,IF($D42="V02",cad!$D$34,cad!$E$34)))</f>
        <v/>
      </c>
      <c r="L42" t="str">
        <f>IF($A42="","",IF($D42="V01",cad!$C$35,IF($D42="V02",cad!$D$35,cad!$E$35)))</f>
        <v/>
      </c>
      <c r="M42" t="str">
        <f>IF($A42="","",IF($D42="V01",cad!$C$36,IF($D42="V02",cad!$D$36,cad!$E$36)))</f>
        <v/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 t="str">
        <f>IF($A43="","",IF($D43="V01",cad!$C$23,IF($D43="V02",cad!$D$23,cad!$E$23)))</f>
        <v/>
      </c>
      <c r="H43" t="str">
        <f>IF($A43="","",IF($D43="V01",cad!$C$24,IF($D43="V02",cad!$D$24,cad!$E$24)))</f>
        <v/>
      </c>
      <c r="I43" t="str">
        <f>IF($A43="","",IF($D43="V01",cad!$C$32,IF($D43="V02",cad!$D$32,cad!$E$32)))</f>
        <v/>
      </c>
      <c r="J43" t="str">
        <f>IF($A43="","",IF($D43="V01",cad!$C$33,IF($D43="V02",cad!$D$33,cad!$E$33)))</f>
        <v/>
      </c>
      <c r="K43" t="str">
        <f>IF($A43="","",IF($D43="V01",cad!$C$34,IF($D43="V02",cad!$D$34,cad!$E$34)))</f>
        <v/>
      </c>
      <c r="L43" t="str">
        <f>IF($A43="","",IF($D43="V01",cad!$C$35,IF($D43="V02",cad!$D$35,cad!$E$35)))</f>
        <v/>
      </c>
      <c r="M43" t="str">
        <f>IF($A43="","",IF($D43="V01",cad!$C$36,IF($D43="V02",cad!$D$36,cad!$E$36)))</f>
        <v/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 t="str">
        <f>IF($A44="","",IF($D44="V01",cad!$C$23,IF($D44="V02",cad!$D$23,cad!$E$23)))</f>
        <v/>
      </c>
      <c r="H44" t="str">
        <f>IF($A44="","",IF($D44="V01",cad!$C$24,IF($D44="V02",cad!$D$24,cad!$E$24)))</f>
        <v/>
      </c>
      <c r="I44" t="str">
        <f>IF($A44="","",IF($D44="V01",cad!$C$32,IF($D44="V02",cad!$D$32,cad!$E$32)))</f>
        <v/>
      </c>
      <c r="J44" t="str">
        <f>IF($A44="","",IF($D44="V01",cad!$C$33,IF($D44="V02",cad!$D$33,cad!$E$33)))</f>
        <v/>
      </c>
      <c r="K44" t="str">
        <f>IF($A44="","",IF($D44="V01",cad!$C$34,IF($D44="V02",cad!$D$34,cad!$E$34)))</f>
        <v/>
      </c>
      <c r="L44" t="str">
        <f>IF($A44="","",IF($D44="V01",cad!$C$35,IF($D44="V02",cad!$D$35,cad!$E$35)))</f>
        <v/>
      </c>
      <c r="M44" t="str">
        <f>IF($A44="","",IF($D44="V01",cad!$C$36,IF($D44="V02",cad!$D$36,cad!$E$36)))</f>
        <v/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 t="str">
        <f>IF($A45="","",IF($D45="V01",cad!$C$23,IF($D45="V02",cad!$D$23,cad!$E$23)))</f>
        <v/>
      </c>
      <c r="H45" t="str">
        <f>IF($A45="","",IF($D45="V01",cad!$C$24,IF($D45="V02",cad!$D$24,cad!$E$24)))</f>
        <v/>
      </c>
      <c r="I45" t="str">
        <f>IF($A45="","",IF($D45="V01",cad!$C$32,IF($D45="V02",cad!$D$32,cad!$E$32)))</f>
        <v/>
      </c>
      <c r="J45" t="str">
        <f>IF($A45="","",IF($D45="V01",cad!$C$33,IF($D45="V02",cad!$D$33,cad!$E$33)))</f>
        <v/>
      </c>
      <c r="K45" t="str">
        <f>IF($A45="","",IF($D45="V01",cad!$C$34,IF($D45="V02",cad!$D$34,cad!$E$34)))</f>
        <v/>
      </c>
      <c r="L45" t="str">
        <f>IF($A45="","",IF($D45="V01",cad!$C$35,IF($D45="V02",cad!$D$35,cad!$E$35)))</f>
        <v/>
      </c>
      <c r="M45" t="str">
        <f>IF($A45="","",IF($D45="V01",cad!$C$36,IF($D45="V02",cad!$D$36,cad!$E$36)))</f>
        <v/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 t="str">
        <f>IF($A46="","",IF($D46="V01",cad!$C$23,IF($D46="V02",cad!$D$23,cad!$E$23)))</f>
        <v/>
      </c>
      <c r="H46" t="str">
        <f>IF($A46="","",IF($D46="V01",cad!$C$24,IF($D46="V02",cad!$D$24,cad!$E$24)))</f>
        <v/>
      </c>
      <c r="I46" t="str">
        <f>IF($A46="","",IF($D46="V01",cad!$C$32,IF($D46="V02",cad!$D$32,cad!$E$32)))</f>
        <v/>
      </c>
      <c r="J46" t="str">
        <f>IF($A46="","",IF($D46="V01",cad!$C$33,IF($D46="V02",cad!$D$33,cad!$E$33)))</f>
        <v/>
      </c>
      <c r="K46" t="str">
        <f>IF($A46="","",IF($D46="V01",cad!$C$34,IF($D46="V02",cad!$D$34,cad!$E$34)))</f>
        <v/>
      </c>
      <c r="L46" t="str">
        <f>IF($A46="","",IF($D46="V01",cad!$C$35,IF($D46="V02",cad!$D$35,cad!$E$35)))</f>
        <v/>
      </c>
      <c r="M46" t="str">
        <f>IF($A46="","",IF($D46="V01",cad!$C$36,IF($D46="V02",cad!$D$36,cad!$E$36)))</f>
        <v/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 t="str">
        <f>IF($A47="","",IF($D47="V01",cad!$C$23,IF($D47="V02",cad!$D$23,cad!$E$23)))</f>
        <v/>
      </c>
      <c r="H47" t="str">
        <f>IF($A47="","",IF($D47="V01",cad!$C$24,IF($D47="V02",cad!$D$24,cad!$E$24)))</f>
        <v/>
      </c>
      <c r="I47" t="str">
        <f>IF($A47="","",IF($D47="V01",cad!$C$32,IF($D47="V02",cad!$D$32,cad!$E$32)))</f>
        <v/>
      </c>
      <c r="J47" t="str">
        <f>IF($A47="","",IF($D47="V01",cad!$C$33,IF($D47="V02",cad!$D$33,cad!$E$33)))</f>
        <v/>
      </c>
      <c r="K47" t="str">
        <f>IF($A47="","",IF($D47="V01",cad!$C$34,IF($D47="V02",cad!$D$34,cad!$E$34)))</f>
        <v/>
      </c>
      <c r="L47" t="str">
        <f>IF($A47="","",IF($D47="V01",cad!$C$35,IF($D47="V02",cad!$D$35,cad!$E$35)))</f>
        <v/>
      </c>
      <c r="M47" t="str">
        <f>IF($A47="","",IF($D47="V01",cad!$C$36,IF($D47="V02",cad!$D$36,cad!$E$36)))</f>
        <v/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 t="str">
        <f>IF($A48="","",IF($D48="V01",cad!$C$23,IF($D48="V02",cad!$D$23,cad!$E$23)))</f>
        <v/>
      </c>
      <c r="H48" t="str">
        <f>IF($A48="","",IF($D48="V01",cad!$C$24,IF($D48="V02",cad!$D$24,cad!$E$24)))</f>
        <v/>
      </c>
      <c r="I48" t="str">
        <f>IF($A48="","",IF($D48="V01",cad!$C$32,IF($D48="V02",cad!$D$32,cad!$E$32)))</f>
        <v/>
      </c>
      <c r="J48" t="str">
        <f>IF($A48="","",IF($D48="V01",cad!$C$33,IF($D48="V02",cad!$D$33,cad!$E$33)))</f>
        <v/>
      </c>
      <c r="K48" t="str">
        <f>IF($A48="","",IF($D48="V01",cad!$C$34,IF($D48="V02",cad!$D$34,cad!$E$34)))</f>
        <v/>
      </c>
      <c r="L48" t="str">
        <f>IF($A48="","",IF($D48="V01",cad!$C$35,IF($D48="V02",cad!$D$35,cad!$E$35)))</f>
        <v/>
      </c>
      <c r="M48" t="str">
        <f>IF($A48="","",IF($D48="V01",cad!$C$36,IF($D48="V02",cad!$D$36,cad!$E$36)))</f>
        <v/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 t="str">
        <f>IF($A49="","",IF($D49="V01",cad!$C$23,IF($D49="V02",cad!$D$23,cad!$E$23)))</f>
        <v/>
      </c>
      <c r="H49" t="str">
        <f>IF($A49="","",IF($D49="V01",cad!$C$24,IF($D49="V02",cad!$D$24,cad!$E$24)))</f>
        <v/>
      </c>
      <c r="I49" t="str">
        <f>IF($A49="","",IF($D49="V01",cad!$C$32,IF($D49="V02",cad!$D$32,cad!$E$32)))</f>
        <v/>
      </c>
      <c r="J49" t="str">
        <f>IF($A49="","",IF($D49="V01",cad!$C$33,IF($D49="V02",cad!$D$33,cad!$E$33)))</f>
        <v/>
      </c>
      <c r="K49" t="str">
        <f>IF($A49="","",IF($D49="V01",cad!$C$34,IF($D49="V02",cad!$D$34,cad!$E$34)))</f>
        <v/>
      </c>
      <c r="L49" t="str">
        <f>IF($A49="","",IF($D49="V01",cad!$C$35,IF($D49="V02",cad!$D$35,cad!$E$35)))</f>
        <v/>
      </c>
      <c r="M49" t="str">
        <f>IF($A49="","",IF($D49="V01",cad!$C$36,IF($D49="V02",cad!$D$36,cad!$E$36)))</f>
        <v/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 t="str">
        <f>IF($A50="","",IF($D50="V01",cad!$C$23,IF($D50="V02",cad!$D$23,cad!$E$23)))</f>
        <v/>
      </c>
      <c r="H50" t="str">
        <f>IF($A50="","",IF($D50="V01",cad!$C$24,IF($D50="V02",cad!$D$24,cad!$E$24)))</f>
        <v/>
      </c>
      <c r="I50" t="str">
        <f>IF($A50="","",IF($D50="V01",cad!$C$32,IF($D50="V02",cad!$D$32,cad!$E$32)))</f>
        <v/>
      </c>
      <c r="J50" t="str">
        <f>IF($A50="","",IF($D50="V01",cad!$C$33,IF($D50="V02",cad!$D$33,cad!$E$33)))</f>
        <v/>
      </c>
      <c r="K50" t="str">
        <f>IF($A50="","",IF($D50="V01",cad!$C$34,IF($D50="V02",cad!$D$34,cad!$E$34)))</f>
        <v/>
      </c>
      <c r="L50" t="str">
        <f>IF($A50="","",IF($D50="V01",cad!$C$35,IF($D50="V02",cad!$D$35,cad!$E$35)))</f>
        <v/>
      </c>
      <c r="M50" t="str">
        <f>IF($A50="","",IF($D50="V01",cad!$C$36,IF($D50="V02",cad!$D$36,cad!$E$36)))</f>
        <v/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 t="str">
        <f>IF($A51="","",IF($D51="V01",cad!$C$23,IF($D51="V02",cad!$D$23,cad!$E$23)))</f>
        <v/>
      </c>
      <c r="H51" t="str">
        <f>IF($A51="","",IF($D51="V01",cad!$C$24,IF($D51="V02",cad!$D$24,cad!$E$24)))</f>
        <v/>
      </c>
      <c r="I51" t="str">
        <f>IF($A51="","",IF($D51="V01",cad!$C$32,IF($D51="V02",cad!$D$32,cad!$E$32)))</f>
        <v/>
      </c>
      <c r="J51" t="str">
        <f>IF($A51="","",IF($D51="V01",cad!$C$33,IF($D51="V02",cad!$D$33,cad!$E$33)))</f>
        <v/>
      </c>
      <c r="K51" t="str">
        <f>IF($A51="","",IF($D51="V01",cad!$C$34,IF($D51="V02",cad!$D$34,cad!$E$34)))</f>
        <v/>
      </c>
      <c r="L51" t="str">
        <f>IF($A51="","",IF($D51="V01",cad!$C$35,IF($D51="V02",cad!$D$35,cad!$E$35)))</f>
        <v/>
      </c>
      <c r="M51" t="str">
        <f>IF($A51="","",IF($D51="V01",cad!$C$36,IF($D51="V02",cad!$D$36,cad!$E$36)))</f>
        <v/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 t="str">
        <f>IF($A52="","",IF($D52="V01",cad!$C$23,IF($D52="V02",cad!$D$23,cad!$E$23)))</f>
        <v/>
      </c>
      <c r="H52" t="str">
        <f>IF($A52="","",IF($D52="V01",cad!$C$24,IF($D52="V02",cad!$D$24,cad!$E$24)))</f>
        <v/>
      </c>
      <c r="I52" t="str">
        <f>IF($A52="","",IF($D52="V01",cad!$C$32,IF($D52="V02",cad!$D$32,cad!$E$32)))</f>
        <v/>
      </c>
      <c r="J52" t="str">
        <f>IF($A52="","",IF($D52="V01",cad!$C$33,IF($D52="V02",cad!$D$33,cad!$E$33)))</f>
        <v/>
      </c>
      <c r="K52" t="str">
        <f>IF($A52="","",IF($D52="V01",cad!$C$34,IF($D52="V02",cad!$D$34,cad!$E$34)))</f>
        <v/>
      </c>
      <c r="L52" t="str">
        <f>IF($A52="","",IF($D52="V01",cad!$C$35,IF($D52="V02",cad!$D$35,cad!$E$35)))</f>
        <v/>
      </c>
      <c r="M52" t="str">
        <f>IF($A52="","",IF($D52="V01",cad!$C$36,IF($D52="V02",cad!$D$36,cad!$E$36)))</f>
        <v/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 t="str">
        <f>IF($A53="","",IF($D53="V01",cad!$C$23,IF($D53="V02",cad!$D$23,cad!$E$23)))</f>
        <v/>
      </c>
      <c r="H53" t="str">
        <f>IF($A53="","",IF($D53="V01",cad!$C$24,IF($D53="V02",cad!$D$24,cad!$E$24)))</f>
        <v/>
      </c>
      <c r="I53" t="str">
        <f>IF($A53="","",IF($D53="V01",cad!$C$32,IF($D53="V02",cad!$D$32,cad!$E$32)))</f>
        <v/>
      </c>
      <c r="J53" t="str">
        <f>IF($A53="","",IF($D53="V01",cad!$C$33,IF($D53="V02",cad!$D$33,cad!$E$33)))</f>
        <v/>
      </c>
      <c r="K53" t="str">
        <f>IF($A53="","",IF($D53="V01",cad!$C$34,IF($D53="V02",cad!$D$34,cad!$E$34)))</f>
        <v/>
      </c>
      <c r="L53" t="str">
        <f>IF($A53="","",IF($D53="V01",cad!$C$35,IF($D53="V02",cad!$D$35,cad!$E$35)))</f>
        <v/>
      </c>
      <c r="M53" t="str">
        <f>IF($A53="","",IF($D53="V01",cad!$C$36,IF($D53="V02",cad!$D$36,cad!$E$36)))</f>
        <v/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 t="str">
        <f>IF($A54="","",IF($D54="V01",cad!$C$23,IF($D54="V02",cad!$D$23,cad!$E$23)))</f>
        <v/>
      </c>
      <c r="H54" t="str">
        <f>IF($A54="","",IF($D54="V01",cad!$C$24,IF($D54="V02",cad!$D$24,cad!$E$24)))</f>
        <v/>
      </c>
      <c r="I54" t="str">
        <f>IF($A54="","",IF($D54="V01",cad!$C$32,IF($D54="V02",cad!$D$32,cad!$E$32)))</f>
        <v/>
      </c>
      <c r="J54" t="str">
        <f>IF($A54="","",IF($D54="V01",cad!$C$33,IF($D54="V02",cad!$D$33,cad!$E$33)))</f>
        <v/>
      </c>
      <c r="K54" t="str">
        <f>IF($A54="","",IF($D54="V01",cad!$C$34,IF($D54="V02",cad!$D$34,cad!$E$34)))</f>
        <v/>
      </c>
      <c r="L54" t="str">
        <f>IF($A54="","",IF($D54="V01",cad!$C$35,IF($D54="V02",cad!$D$35,cad!$E$35)))</f>
        <v/>
      </c>
      <c r="M54" t="str">
        <f>IF($A54="","",IF($D54="V01",cad!$C$36,IF($D54="V02",cad!$D$36,cad!$E$36)))</f>
        <v/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 t="str">
        <f>IF($A55="","",IF($D55="V01",cad!$C$23,IF($D55="V02",cad!$D$23,cad!$E$23)))</f>
        <v/>
      </c>
      <c r="H55" t="str">
        <f>IF($A55="","",IF($D55="V01",cad!$C$24,IF($D55="V02",cad!$D$24,cad!$E$24)))</f>
        <v/>
      </c>
      <c r="I55" t="str">
        <f>IF($A55="","",IF($D55="V01",cad!$C$32,IF($D55="V02",cad!$D$32,cad!$E$32)))</f>
        <v/>
      </c>
      <c r="J55" t="str">
        <f>IF($A55="","",IF($D55="V01",cad!$C$33,IF($D55="V02",cad!$D$33,cad!$E$33)))</f>
        <v/>
      </c>
      <c r="K55" t="str">
        <f>IF($A55="","",IF($D55="V01",cad!$C$34,IF($D55="V02",cad!$D$34,cad!$E$34)))</f>
        <v/>
      </c>
      <c r="L55" t="str">
        <f>IF($A55="","",IF($D55="V01",cad!$C$35,IF($D55="V02",cad!$D$35,cad!$E$35)))</f>
        <v/>
      </c>
      <c r="M55" t="str">
        <f>IF($A55="","",IF($D55="V01",cad!$C$36,IF($D55="V02",cad!$D$36,cad!$E$36)))</f>
        <v/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 t="str">
        <f>IF($A56="","",IF($D56="V01",cad!$C$23,IF($D56="V02",cad!$D$23,cad!$E$23)))</f>
        <v/>
      </c>
      <c r="H56" t="str">
        <f>IF($A56="","",IF($D56="V01",cad!$C$24,IF($D56="V02",cad!$D$24,cad!$E$24)))</f>
        <v/>
      </c>
      <c r="I56" t="str">
        <f>IF($A56="","",IF($D56="V01",cad!$C$32,IF($D56="V02",cad!$D$32,cad!$E$32)))</f>
        <v/>
      </c>
      <c r="J56" t="str">
        <f>IF($A56="","",IF($D56="V01",cad!$C$33,IF($D56="V02",cad!$D$33,cad!$E$33)))</f>
        <v/>
      </c>
      <c r="K56" t="str">
        <f>IF($A56="","",IF($D56="V01",cad!$C$34,IF($D56="V02",cad!$D$34,cad!$E$34)))</f>
        <v/>
      </c>
      <c r="L56" t="str">
        <f>IF($A56="","",IF($D56="V01",cad!$C$35,IF($D56="V02",cad!$D$35,cad!$E$35)))</f>
        <v/>
      </c>
      <c r="M56" t="str">
        <f>IF($A56="","",IF($D56="V01",cad!$C$36,IF($D56="V02",cad!$D$36,cad!$E$36)))</f>
        <v/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 t="str">
        <f>IF($A57="","",IF($D57="V01",cad!$C$23,IF($D57="V02",cad!$D$23,cad!$E$23)))</f>
        <v/>
      </c>
      <c r="H57" t="str">
        <f>IF($A57="","",IF($D57="V01",cad!$C$24,IF($D57="V02",cad!$D$24,cad!$E$24)))</f>
        <v/>
      </c>
      <c r="I57" t="str">
        <f>IF($A57="","",IF($D57="V01",cad!$C$32,IF($D57="V02",cad!$D$32,cad!$E$32)))</f>
        <v/>
      </c>
      <c r="J57" t="str">
        <f>IF($A57="","",IF($D57="V01",cad!$C$33,IF($D57="V02",cad!$D$33,cad!$E$33)))</f>
        <v/>
      </c>
      <c r="K57" t="str">
        <f>IF($A57="","",IF($D57="V01",cad!$C$34,IF($D57="V02",cad!$D$34,cad!$E$34)))</f>
        <v/>
      </c>
      <c r="L57" t="str">
        <f>IF($A57="","",IF($D57="V01",cad!$C$35,IF($D57="V02",cad!$D$35,cad!$E$35)))</f>
        <v/>
      </c>
      <c r="M57" t="str">
        <f>IF($A57="","",IF($D57="V01",cad!$C$36,IF($D57="V02",cad!$D$36,cad!$E$36)))</f>
        <v/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 t="str">
        <f>IF($A58="","",IF($D58="V01",cad!$C$23,IF($D58="V02",cad!$D$23,cad!$E$23)))</f>
        <v/>
      </c>
      <c r="H58" t="str">
        <f>IF($A58="","",IF($D58="V01",cad!$C$24,IF($D58="V02",cad!$D$24,cad!$E$24)))</f>
        <v/>
      </c>
      <c r="I58" t="str">
        <f>IF($A58="","",IF($D58="V01",cad!$C$32,IF($D58="V02",cad!$D$32,cad!$E$32)))</f>
        <v/>
      </c>
      <c r="J58" t="str">
        <f>IF($A58="","",IF($D58="V01",cad!$C$33,IF($D58="V02",cad!$D$33,cad!$E$33)))</f>
        <v/>
      </c>
      <c r="K58" t="str">
        <f>IF($A58="","",IF($D58="V01",cad!$C$34,IF($D58="V02",cad!$D$34,cad!$E$34)))</f>
        <v/>
      </c>
      <c r="L58" t="str">
        <f>IF($A58="","",IF($D58="V01",cad!$C$35,IF($D58="V02",cad!$D$35,cad!$E$35)))</f>
        <v/>
      </c>
      <c r="M58" t="str">
        <f>IF($A58="","",IF($D58="V01",cad!$C$36,IF($D58="V02",cad!$D$36,cad!$E$36)))</f>
        <v/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 t="str">
        <f>IF($A59="","",IF($D59="V01",cad!$C$23,IF($D59="V02",cad!$D$23,cad!$E$23)))</f>
        <v/>
      </c>
      <c r="H59" t="str">
        <f>IF($A59="","",IF($D59="V01",cad!$C$24,IF($D59="V02",cad!$D$24,cad!$E$24)))</f>
        <v/>
      </c>
      <c r="I59" t="str">
        <f>IF($A59="","",IF($D59="V01",cad!$C$32,IF($D59="V02",cad!$D$32,cad!$E$32)))</f>
        <v/>
      </c>
      <c r="J59" t="str">
        <f>IF($A59="","",IF($D59="V01",cad!$C$33,IF($D59="V02",cad!$D$33,cad!$E$33)))</f>
        <v/>
      </c>
      <c r="K59" t="str">
        <f>IF($A59="","",IF($D59="V01",cad!$C$34,IF($D59="V02",cad!$D$34,cad!$E$34)))</f>
        <v/>
      </c>
      <c r="L59" t="str">
        <f>IF($A59="","",IF($D59="V01",cad!$C$35,IF($D59="V02",cad!$D$35,cad!$E$35)))</f>
        <v/>
      </c>
      <c r="M59" t="str">
        <f>IF($A59="","",IF($D59="V01",cad!$C$36,IF($D59="V02",cad!$D$36,cad!$E$36)))</f>
        <v/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 t="str">
        <f>IF($A60="","",IF($D60="V01",cad!$C$23,IF($D60="V02",cad!$D$23,cad!$E$23)))</f>
        <v/>
      </c>
      <c r="H60" t="str">
        <f>IF($A60="","",IF($D60="V01",cad!$C$24,IF($D60="V02",cad!$D$24,cad!$E$24)))</f>
        <v/>
      </c>
      <c r="I60" t="str">
        <f>IF($A60="","",IF($D60="V01",cad!$C$32,IF($D60="V02",cad!$D$32,cad!$E$32)))</f>
        <v/>
      </c>
      <c r="J60" t="str">
        <f>IF($A60="","",IF($D60="V01",cad!$C$33,IF($D60="V02",cad!$D$33,cad!$E$33)))</f>
        <v/>
      </c>
      <c r="K60" t="str">
        <f>IF($A60="","",IF($D60="V01",cad!$C$34,IF($D60="V02",cad!$D$34,cad!$E$34)))</f>
        <v/>
      </c>
      <c r="L60" t="str">
        <f>IF($A60="","",IF($D60="V01",cad!$C$35,IF($D60="V02",cad!$D$35,cad!$E$35)))</f>
        <v/>
      </c>
      <c r="M60" t="str">
        <f>IF($A60="","",IF($D60="V01",cad!$C$36,IF($D60="V02",cad!$D$36,cad!$E$36)))</f>
        <v/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 t="str">
        <f>IF($A61="","",IF($D61="V01",cad!$C$23,IF($D61="V02",cad!$D$23,cad!$E$23)))</f>
        <v/>
      </c>
      <c r="H61" t="str">
        <f>IF($A61="","",IF($D61="V01",cad!$C$24,IF($D61="V02",cad!$D$24,cad!$E$24)))</f>
        <v/>
      </c>
      <c r="I61" t="str">
        <f>IF($A61="","",IF($D61="V01",cad!$C$32,IF($D61="V02",cad!$D$32,cad!$E$32)))</f>
        <v/>
      </c>
      <c r="J61" t="str">
        <f>IF($A61="","",IF($D61="V01",cad!$C$33,IF($D61="V02",cad!$D$33,cad!$E$33)))</f>
        <v/>
      </c>
      <c r="K61" t="str">
        <f>IF($A61="","",IF($D61="V01",cad!$C$34,IF($D61="V02",cad!$D$34,cad!$E$34)))</f>
        <v/>
      </c>
      <c r="L61" t="str">
        <f>IF($A61="","",IF($D61="V01",cad!$C$35,IF($D61="V02",cad!$D$35,cad!$E$35)))</f>
        <v/>
      </c>
      <c r="M61" t="str">
        <f>IF($A61="","",IF($D61="V01",cad!$C$36,IF($D61="V02",cad!$D$36,cad!$E$36)))</f>
        <v/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 t="str">
        <f>IF($A62="","",IF($D62="V01",cad!$C$23,IF($D62="V02",cad!$D$23,cad!$E$23)))</f>
        <v/>
      </c>
      <c r="H62" t="str">
        <f>IF($A62="","",IF($D62="V01",cad!$C$24,IF($D62="V02",cad!$D$24,cad!$E$24)))</f>
        <v/>
      </c>
      <c r="I62" t="str">
        <f>IF($A62="","",IF($D62="V01",cad!$C$32,IF($D62="V02",cad!$D$32,cad!$E$32)))</f>
        <v/>
      </c>
      <c r="J62" t="str">
        <f>IF($A62="","",IF($D62="V01",cad!$C$33,IF($D62="V02",cad!$D$33,cad!$E$33)))</f>
        <v/>
      </c>
      <c r="K62" t="str">
        <f>IF($A62="","",IF($D62="V01",cad!$C$34,IF($D62="V02",cad!$D$34,cad!$E$34)))</f>
        <v/>
      </c>
      <c r="L62" t="str">
        <f>IF($A62="","",IF($D62="V01",cad!$C$35,IF($D62="V02",cad!$D$35,cad!$E$35)))</f>
        <v/>
      </c>
      <c r="M62" t="str">
        <f>IF($A62="","",IF($D62="V01",cad!$C$36,IF($D62="V02",cad!$D$36,cad!$E$36)))</f>
        <v/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 t="str">
        <f>IF($A63="","",IF($D63="V01",cad!$C$23,IF($D63="V02",cad!$D$23,cad!$E$23)))</f>
        <v/>
      </c>
      <c r="H63" t="str">
        <f>IF($A63="","",IF($D63="V01",cad!$C$24,IF($D63="V02",cad!$D$24,cad!$E$24)))</f>
        <v/>
      </c>
      <c r="I63" t="str">
        <f>IF($A63="","",IF($D63="V01",cad!$C$32,IF($D63="V02",cad!$D$32,cad!$E$32)))</f>
        <v/>
      </c>
      <c r="J63" t="str">
        <f>IF($A63="","",IF($D63="V01",cad!$C$33,IF($D63="V02",cad!$D$33,cad!$E$33)))</f>
        <v/>
      </c>
      <c r="K63" t="str">
        <f>IF($A63="","",IF($D63="V01",cad!$C$34,IF($D63="V02",cad!$D$34,cad!$E$34)))</f>
        <v/>
      </c>
      <c r="L63" t="str">
        <f>IF($A63="","",IF($D63="V01",cad!$C$35,IF($D63="V02",cad!$D$35,cad!$E$35)))</f>
        <v/>
      </c>
      <c r="M63" t="str">
        <f>IF($A63="","",IF($D63="V01",cad!$C$36,IF($D63="V02",cad!$D$36,cad!$E$36)))</f>
        <v/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 t="str">
        <f>IF($A64="","",IF($D64="V01",cad!$C$23,IF($D64="V02",cad!$D$23,cad!$E$23)))</f>
        <v/>
      </c>
      <c r="H64" t="str">
        <f>IF($A64="","",IF($D64="V01",cad!$C$24,IF($D64="V02",cad!$D$24,cad!$E$24)))</f>
        <v/>
      </c>
      <c r="I64" t="str">
        <f>IF($A64="","",IF($D64="V01",cad!$C$32,IF($D64="V02",cad!$D$32,cad!$E$32)))</f>
        <v/>
      </c>
      <c r="J64" t="str">
        <f>IF($A64="","",IF($D64="V01",cad!$C$33,IF($D64="V02",cad!$D$33,cad!$E$33)))</f>
        <v/>
      </c>
      <c r="K64" t="str">
        <f>IF($A64="","",IF($D64="V01",cad!$C$34,IF($D64="V02",cad!$D$34,cad!$E$34)))</f>
        <v/>
      </c>
      <c r="L64" t="str">
        <f>IF($A64="","",IF($D64="V01",cad!$C$35,IF($D64="V02",cad!$D$35,cad!$E$35)))</f>
        <v/>
      </c>
      <c r="M64" t="str">
        <f>IF($A64="","",IF($D64="V01",cad!$C$36,IF($D64="V02",cad!$D$36,cad!$E$36)))</f>
        <v/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 t="str">
        <f>IF($A65="","",IF($D65="V01",cad!$C$23,IF($D65="V02",cad!$D$23,cad!$E$23)))</f>
        <v/>
      </c>
      <c r="H65" t="str">
        <f>IF($A65="","",IF($D65="V01",cad!$C$24,IF($D65="V02",cad!$D$24,cad!$E$24)))</f>
        <v/>
      </c>
      <c r="I65" t="str">
        <f>IF($A65="","",IF($D65="V01",cad!$C$32,IF($D65="V02",cad!$D$32,cad!$E$32)))</f>
        <v/>
      </c>
      <c r="J65" t="str">
        <f>IF($A65="","",IF($D65="V01",cad!$C$33,IF($D65="V02",cad!$D$33,cad!$E$33)))</f>
        <v/>
      </c>
      <c r="K65" t="str">
        <f>IF($A65="","",IF($D65="V01",cad!$C$34,IF($D65="V02",cad!$D$34,cad!$E$34)))</f>
        <v/>
      </c>
      <c r="L65" t="str">
        <f>IF($A65="","",IF($D65="V01",cad!$C$35,IF($D65="V02",cad!$D$35,cad!$E$35)))</f>
        <v/>
      </c>
      <c r="M65" t="str">
        <f>IF($A65="","",IF($D65="V01",cad!$C$36,IF($D65="V02",cad!$D$36,cad!$E$36)))</f>
        <v/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 t="str">
        <f>IF($A66="","",IF($D66="V01",cad!$C$23,IF($D66="V02",cad!$D$23,cad!$E$23)))</f>
        <v/>
      </c>
      <c r="H66" t="str">
        <f>IF($A66="","",IF($D66="V01",cad!$C$24,IF($D66="V02",cad!$D$24,cad!$E$24)))</f>
        <v/>
      </c>
      <c r="I66" t="str">
        <f>IF($A66="","",IF($D66="V01",cad!$C$32,IF($D66="V02",cad!$D$32,cad!$E$32)))</f>
        <v/>
      </c>
      <c r="J66" t="str">
        <f>IF($A66="","",IF($D66="V01",cad!$C$33,IF($D66="V02",cad!$D$33,cad!$E$33)))</f>
        <v/>
      </c>
      <c r="K66" t="str">
        <f>IF($A66="","",IF($D66="V01",cad!$C$34,IF($D66="V02",cad!$D$34,cad!$E$34)))</f>
        <v/>
      </c>
      <c r="L66" t="str">
        <f>IF($A66="","",IF($D66="V01",cad!$C$35,IF($D66="V02",cad!$D$35,cad!$E$35)))</f>
        <v/>
      </c>
      <c r="M66" t="str">
        <f>IF($A66="","",IF($D66="V01",cad!$C$36,IF($D66="V02",cad!$D$36,cad!$E$36)))</f>
        <v/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 t="str">
        <f>IF($A67="","",IF($D67="V01",cad!$C$23,IF($D67="V02",cad!$D$23,cad!$E$23)))</f>
        <v/>
      </c>
      <c r="H67" t="str">
        <f>IF($A67="","",IF($D67="V01",cad!$C$24,IF($D67="V02",cad!$D$24,cad!$E$24)))</f>
        <v/>
      </c>
      <c r="I67" t="str">
        <f>IF($A67="","",IF($D67="V01",cad!$C$32,IF($D67="V02",cad!$D$32,cad!$E$32)))</f>
        <v/>
      </c>
      <c r="J67" t="str">
        <f>IF($A67="","",IF($D67="V01",cad!$C$33,IF($D67="V02",cad!$D$33,cad!$E$33)))</f>
        <v/>
      </c>
      <c r="K67" t="str">
        <f>IF($A67="","",IF($D67="V01",cad!$C$34,IF($D67="V02",cad!$D$34,cad!$E$34)))</f>
        <v/>
      </c>
      <c r="L67" t="str">
        <f>IF($A67="","",IF($D67="V01",cad!$C$35,IF($D67="V02",cad!$D$35,cad!$E$35)))</f>
        <v/>
      </c>
      <c r="M67" t="str">
        <f>IF($A67="","",IF($D67="V01",cad!$C$36,IF($D67="V02",cad!$D$36,cad!$E$36)))</f>
        <v/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 t="str">
        <f>IF($A68="","",IF($D68="V01",cad!$C$23,IF($D68="V02",cad!$D$23,cad!$E$23)))</f>
        <v/>
      </c>
      <c r="H68" t="str">
        <f>IF($A68="","",IF($D68="V01",cad!$C$24,IF($D68="V02",cad!$D$24,cad!$E$24)))</f>
        <v/>
      </c>
      <c r="I68" t="str">
        <f>IF($A68="","",IF($D68="V01",cad!$C$32,IF($D68="V02",cad!$D$32,cad!$E$32)))</f>
        <v/>
      </c>
      <c r="J68" t="str">
        <f>IF($A68="","",IF($D68="V01",cad!$C$33,IF($D68="V02",cad!$D$33,cad!$E$33)))</f>
        <v/>
      </c>
      <c r="K68" t="str">
        <f>IF($A68="","",IF($D68="V01",cad!$C$34,IF($D68="V02",cad!$D$34,cad!$E$34)))</f>
        <v/>
      </c>
      <c r="L68" t="str">
        <f>IF($A68="","",IF($D68="V01",cad!$C$35,IF($D68="V02",cad!$D$35,cad!$E$35)))</f>
        <v/>
      </c>
      <c r="M68" t="str">
        <f>IF($A68="","",IF($D68="V01",cad!$C$36,IF($D68="V02",cad!$D$36,cad!$E$36)))</f>
        <v/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 t="str">
        <f>IF($A69="","",IF($D69="V01",cad!$C$23,IF($D69="V02",cad!$D$23,cad!$E$23)))</f>
        <v/>
      </c>
      <c r="H69" t="str">
        <f>IF($A69="","",IF($D69="V01",cad!$C$24,IF($D69="V02",cad!$D$24,cad!$E$24)))</f>
        <v/>
      </c>
      <c r="I69" t="str">
        <f>IF($A69="","",IF($D69="V01",cad!$C$32,IF($D69="V02",cad!$D$32,cad!$E$32)))</f>
        <v/>
      </c>
      <c r="J69" t="str">
        <f>IF($A69="","",IF($D69="V01",cad!$C$33,IF($D69="V02",cad!$D$33,cad!$E$33)))</f>
        <v/>
      </c>
      <c r="K69" t="str">
        <f>IF($A69="","",IF($D69="V01",cad!$C$34,IF($D69="V02",cad!$D$34,cad!$E$34)))</f>
        <v/>
      </c>
      <c r="L69" t="str">
        <f>IF($A69="","",IF($D69="V01",cad!$C$35,IF($D69="V02",cad!$D$35,cad!$E$35)))</f>
        <v/>
      </c>
      <c r="M69" t="str">
        <f>IF($A69="","",IF($D69="V01",cad!$C$36,IF($D69="V02",cad!$D$36,cad!$E$36)))</f>
        <v/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 t="str">
        <f>IF($A70="","",IF($D70="V01",cad!$C$23,IF($D70="V02",cad!$D$23,cad!$E$23)))</f>
        <v/>
      </c>
      <c r="H70" t="str">
        <f>IF($A70="","",IF($D70="V01",cad!$C$24,IF($D70="V02",cad!$D$24,cad!$E$24)))</f>
        <v/>
      </c>
      <c r="I70" t="str">
        <f>IF($A70="","",IF($D70="V01",cad!$C$32,IF($D70="V02",cad!$D$32,cad!$E$32)))</f>
        <v/>
      </c>
      <c r="J70" t="str">
        <f>IF($A70="","",IF($D70="V01",cad!$C$33,IF($D70="V02",cad!$D$33,cad!$E$33)))</f>
        <v/>
      </c>
      <c r="K70" t="str">
        <f>IF($A70="","",IF($D70="V01",cad!$C$34,IF($D70="V02",cad!$D$34,cad!$E$34)))</f>
        <v/>
      </c>
      <c r="L70" t="str">
        <f>IF($A70="","",IF($D70="V01",cad!$C$35,IF($D70="V02",cad!$D$35,cad!$E$35)))</f>
        <v/>
      </c>
      <c r="M70" t="str">
        <f>IF($A70="","",IF($D70="V01",cad!$C$36,IF($D70="V02",cad!$D$36,cad!$E$36)))</f>
        <v/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 t="str">
        <f>IF($A71="","",IF($D71="V01",cad!$C$23,IF($D71="V02",cad!$D$23,cad!$E$23)))</f>
        <v/>
      </c>
      <c r="H71" t="str">
        <f>IF($A71="","",IF($D71="V01",cad!$C$24,IF($D71="V02",cad!$D$24,cad!$E$24)))</f>
        <v/>
      </c>
      <c r="I71" t="str">
        <f>IF($A71="","",IF($D71="V01",cad!$C$32,IF($D71="V02",cad!$D$32,cad!$E$32)))</f>
        <v/>
      </c>
      <c r="J71" t="str">
        <f>IF($A71="","",IF($D71="V01",cad!$C$33,IF($D71="V02",cad!$D$33,cad!$E$33)))</f>
        <v/>
      </c>
      <c r="K71" t="str">
        <f>IF($A71="","",IF($D71="V01",cad!$C$34,IF($D71="V02",cad!$D$34,cad!$E$34)))</f>
        <v/>
      </c>
      <c r="L71" t="str">
        <f>IF($A71="","",IF($D71="V01",cad!$C$35,IF($D71="V02",cad!$D$35,cad!$E$35)))</f>
        <v/>
      </c>
      <c r="M71" t="str">
        <f>IF($A71="","",IF($D71="V01",cad!$C$36,IF($D71="V02",cad!$D$36,cad!$E$36)))</f>
        <v/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 t="str">
        <f>IF($A72="","",IF($D72="V01",cad!$C$23,IF($D72="V02",cad!$D$23,cad!$E$23)))</f>
        <v/>
      </c>
      <c r="H72" t="str">
        <f>IF($A72="","",IF($D72="V01",cad!$C$24,IF($D72="V02",cad!$D$24,cad!$E$24)))</f>
        <v/>
      </c>
      <c r="I72" t="str">
        <f>IF($A72="","",IF($D72="V01",cad!$C$32,IF($D72="V02",cad!$D$32,cad!$E$32)))</f>
        <v/>
      </c>
      <c r="J72" t="str">
        <f>IF($A72="","",IF($D72="V01",cad!$C$33,IF($D72="V02",cad!$D$33,cad!$E$33)))</f>
        <v/>
      </c>
      <c r="K72" t="str">
        <f>IF($A72="","",IF($D72="V01",cad!$C$34,IF($D72="V02",cad!$D$34,cad!$E$34)))</f>
        <v/>
      </c>
      <c r="L72" t="str">
        <f>IF($A72="","",IF($D72="V01",cad!$C$35,IF($D72="V02",cad!$D$35,cad!$E$35)))</f>
        <v/>
      </c>
      <c r="M72" t="str">
        <f>IF($A72="","",IF($D72="V01",cad!$C$36,IF($D72="V02",cad!$D$36,cad!$E$36)))</f>
        <v/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 t="str">
        <f>IF($A73="","",IF($D73="V01",cad!$C$23,IF($D73="V02",cad!$D$23,cad!$E$23)))</f>
        <v/>
      </c>
      <c r="H73" t="str">
        <f>IF($A73="","",IF($D73="V01",cad!$C$24,IF($D73="V02",cad!$D$24,cad!$E$24)))</f>
        <v/>
      </c>
      <c r="I73" t="str">
        <f>IF($A73="","",IF($D73="V01",cad!$C$32,IF($D73="V02",cad!$D$32,cad!$E$32)))</f>
        <v/>
      </c>
      <c r="J73" t="str">
        <f>IF($A73="","",IF($D73="V01",cad!$C$33,IF($D73="V02",cad!$D$33,cad!$E$33)))</f>
        <v/>
      </c>
      <c r="K73" t="str">
        <f>IF($A73="","",IF($D73="V01",cad!$C$34,IF($D73="V02",cad!$D$34,cad!$E$34)))</f>
        <v/>
      </c>
      <c r="L73" t="str">
        <f>IF($A73="","",IF($D73="V01",cad!$C$35,IF($D73="V02",cad!$D$35,cad!$E$35)))</f>
        <v/>
      </c>
      <c r="M73" t="str">
        <f>IF($A73="","",IF($D73="V01",cad!$C$36,IF($D73="V02",cad!$D$36,cad!$E$36)))</f>
        <v/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 t="str">
        <f>IF($A74="","",IF($D74="V01",cad!$C$23,IF($D74="V02",cad!$D$23,cad!$E$23)))</f>
        <v/>
      </c>
      <c r="H74" t="str">
        <f>IF($A74="","",IF($D74="V01",cad!$C$24,IF($D74="V02",cad!$D$24,cad!$E$24)))</f>
        <v/>
      </c>
      <c r="I74" t="str">
        <f>IF($A74="","",IF($D74="V01",cad!$C$32,IF($D74="V02",cad!$D$32,cad!$E$32)))</f>
        <v/>
      </c>
      <c r="J74" t="str">
        <f>IF($A74="","",IF($D74="V01",cad!$C$33,IF($D74="V02",cad!$D$33,cad!$E$33)))</f>
        <v/>
      </c>
      <c r="K74" t="str">
        <f>IF($A74="","",IF($D74="V01",cad!$C$34,IF($D74="V02",cad!$D$34,cad!$E$34)))</f>
        <v/>
      </c>
      <c r="L74" t="str">
        <f>IF($A74="","",IF($D74="V01",cad!$C$35,IF($D74="V02",cad!$D$35,cad!$E$35)))</f>
        <v/>
      </c>
      <c r="M74" t="str">
        <f>IF($A74="","",IF($D74="V01",cad!$C$36,IF($D74="V02",cad!$D$36,cad!$E$36)))</f>
        <v/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 t="str">
        <f>IF($A75="","",IF($D75="V01",cad!$C$23,IF($D75="V02",cad!$D$23,cad!$E$23)))</f>
        <v/>
      </c>
      <c r="H75" t="str">
        <f>IF($A75="","",IF($D75="V01",cad!$C$24,IF($D75="V02",cad!$D$24,cad!$E$24)))</f>
        <v/>
      </c>
      <c r="I75" t="str">
        <f>IF($A75="","",IF($D75="V01",cad!$C$32,IF($D75="V02",cad!$D$32,cad!$E$32)))</f>
        <v/>
      </c>
      <c r="J75" t="str">
        <f>IF($A75="","",IF($D75="V01",cad!$C$33,IF($D75="V02",cad!$D$33,cad!$E$33)))</f>
        <v/>
      </c>
      <c r="K75" t="str">
        <f>IF($A75="","",IF($D75="V01",cad!$C$34,IF($D75="V02",cad!$D$34,cad!$E$34)))</f>
        <v/>
      </c>
      <c r="L75" t="str">
        <f>IF($A75="","",IF($D75="V01",cad!$C$35,IF($D75="V02",cad!$D$35,cad!$E$35)))</f>
        <v/>
      </c>
      <c r="M75" t="str">
        <f>IF($A75="","",IF($D75="V01",cad!$C$36,IF($D75="V02",cad!$D$36,cad!$E$36)))</f>
        <v/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 t="str">
        <f>IF($A76="","",IF($D76="V01",cad!$C$23,IF($D76="V02",cad!$D$23,cad!$E$23)))</f>
        <v/>
      </c>
      <c r="H76" t="str">
        <f>IF($A76="","",IF($D76="V01",cad!$C$24,IF($D76="V02",cad!$D$24,cad!$E$24)))</f>
        <v/>
      </c>
      <c r="I76" t="str">
        <f>IF($A76="","",IF($D76="V01",cad!$C$32,IF($D76="V02",cad!$D$32,cad!$E$32)))</f>
        <v/>
      </c>
      <c r="J76" t="str">
        <f>IF($A76="","",IF($D76="V01",cad!$C$33,IF($D76="V02",cad!$D$33,cad!$E$33)))</f>
        <v/>
      </c>
      <c r="K76" t="str">
        <f>IF($A76="","",IF($D76="V01",cad!$C$34,IF($D76="V02",cad!$D$34,cad!$E$34)))</f>
        <v/>
      </c>
      <c r="L76" t="str">
        <f>IF($A76="","",IF($D76="V01",cad!$C$35,IF($D76="V02",cad!$D$35,cad!$E$35)))</f>
        <v/>
      </c>
      <c r="M76" t="str">
        <f>IF($A76="","",IF($D76="V01",cad!$C$36,IF($D76="V02",cad!$D$36,cad!$E$36)))</f>
        <v/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 t="str">
        <f>IF($A77="","",IF($D77="V01",cad!$C$23,IF($D77="V02",cad!$D$23,cad!$E$23)))</f>
        <v/>
      </c>
      <c r="H77" t="str">
        <f>IF($A77="","",IF($D77="V01",cad!$C$24,IF($D77="V02",cad!$D$24,cad!$E$24)))</f>
        <v/>
      </c>
      <c r="I77" t="str">
        <f>IF($A77="","",IF($D77="V01",cad!$C$32,IF($D77="V02",cad!$D$32,cad!$E$32)))</f>
        <v/>
      </c>
      <c r="J77" t="str">
        <f>IF($A77="","",IF($D77="V01",cad!$C$33,IF($D77="V02",cad!$D$33,cad!$E$33)))</f>
        <v/>
      </c>
      <c r="K77" t="str">
        <f>IF($A77="","",IF($D77="V01",cad!$C$34,IF($D77="V02",cad!$D$34,cad!$E$34)))</f>
        <v/>
      </c>
      <c r="L77" t="str">
        <f>IF($A77="","",IF($D77="V01",cad!$C$35,IF($D77="V02",cad!$D$35,cad!$E$35)))</f>
        <v/>
      </c>
      <c r="M77" t="str">
        <f>IF($A77="","",IF($D77="V01",cad!$C$36,IF($D77="V02",cad!$D$36,cad!$E$36)))</f>
        <v/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 t="str">
        <f>IF($A78="","",IF($D78="V01",cad!$C$23,IF($D78="V02",cad!$D$23,cad!$E$23)))</f>
        <v/>
      </c>
      <c r="H78" t="str">
        <f>IF($A78="","",IF($D78="V01",cad!$C$24,IF($D78="V02",cad!$D$24,cad!$E$24)))</f>
        <v/>
      </c>
      <c r="I78" t="str">
        <f>IF($A78="","",IF($D78="V01",cad!$C$32,IF($D78="V02",cad!$D$32,cad!$E$32)))</f>
        <v/>
      </c>
      <c r="J78" t="str">
        <f>IF($A78="","",IF($D78="V01",cad!$C$33,IF($D78="V02",cad!$D$33,cad!$E$33)))</f>
        <v/>
      </c>
      <c r="K78" t="str">
        <f>IF($A78="","",IF($D78="V01",cad!$C$34,IF($D78="V02",cad!$D$34,cad!$E$34)))</f>
        <v/>
      </c>
      <c r="L78" t="str">
        <f>IF($A78="","",IF($D78="V01",cad!$C$35,IF($D78="V02",cad!$D$35,cad!$E$35)))</f>
        <v/>
      </c>
      <c r="M78" t="str">
        <f>IF($A78="","",IF($D78="V01",cad!$C$36,IF($D78="V02",cad!$D$36,cad!$E$36)))</f>
        <v/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 t="str">
        <f>IF($A79="","",IF($D79="V01",cad!$C$23,IF($D79="V02",cad!$D$23,cad!$E$23)))</f>
        <v/>
      </c>
      <c r="H79" t="str">
        <f>IF($A79="","",IF($D79="V01",cad!$C$24,IF($D79="V02",cad!$D$24,cad!$E$24)))</f>
        <v/>
      </c>
      <c r="I79" t="str">
        <f>IF($A79="","",IF($D79="V01",cad!$C$32,IF($D79="V02",cad!$D$32,cad!$E$32)))</f>
        <v/>
      </c>
      <c r="J79" t="str">
        <f>IF($A79="","",IF($D79="V01",cad!$C$33,IF($D79="V02",cad!$D$33,cad!$E$33)))</f>
        <v/>
      </c>
      <c r="K79" t="str">
        <f>IF($A79="","",IF($D79="V01",cad!$C$34,IF($D79="V02",cad!$D$34,cad!$E$34)))</f>
        <v/>
      </c>
      <c r="L79" t="str">
        <f>IF($A79="","",IF($D79="V01",cad!$C$35,IF($D79="V02",cad!$D$35,cad!$E$35)))</f>
        <v/>
      </c>
      <c r="M79" t="str">
        <f>IF($A79="","",IF($D79="V01",cad!$C$36,IF($D79="V02",cad!$D$36,cad!$E$36)))</f>
        <v/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 t="str">
        <f>IF($A80="","",IF($D80="V01",cad!$C$23,IF($D80="V02",cad!$D$23,cad!$E$23)))</f>
        <v/>
      </c>
      <c r="H80" t="str">
        <f>IF($A80="","",IF($D80="V01",cad!$C$24,IF($D80="V02",cad!$D$24,cad!$E$24)))</f>
        <v/>
      </c>
      <c r="I80" t="str">
        <f>IF($A80="","",IF($D80="V01",cad!$C$32,IF($D80="V02",cad!$D$32,cad!$E$32)))</f>
        <v/>
      </c>
      <c r="J80" t="str">
        <f>IF($A80="","",IF($D80="V01",cad!$C$33,IF($D80="V02",cad!$D$33,cad!$E$33)))</f>
        <v/>
      </c>
      <c r="K80" t="str">
        <f>IF($A80="","",IF($D80="V01",cad!$C$34,IF($D80="V02",cad!$D$34,cad!$E$34)))</f>
        <v/>
      </c>
      <c r="L80" t="str">
        <f>IF($A80="","",IF($D80="V01",cad!$C$35,IF($D80="V02",cad!$D$35,cad!$E$35)))</f>
        <v/>
      </c>
      <c r="M80" t="str">
        <f>IF($A80="","",IF($D80="V01",cad!$C$36,IF($D80="V02",cad!$D$36,cad!$E$36)))</f>
        <v/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 t="str">
        <f>IF($A81="","",IF($D81="V01",cad!$C$23,IF($D81="V02",cad!$D$23,cad!$E$23)))</f>
        <v/>
      </c>
      <c r="H81" t="str">
        <f>IF($A81="","",IF($D81="V01",cad!$C$24,IF($D81="V02",cad!$D$24,cad!$E$24)))</f>
        <v/>
      </c>
      <c r="I81" t="str">
        <f>IF($A81="","",IF($D81="V01",cad!$C$32,IF($D81="V02",cad!$D$32,cad!$E$32)))</f>
        <v/>
      </c>
      <c r="J81" t="str">
        <f>IF($A81="","",IF($D81="V01",cad!$C$33,IF($D81="V02",cad!$D$33,cad!$E$33)))</f>
        <v/>
      </c>
      <c r="K81" t="str">
        <f>IF($A81="","",IF($D81="V01",cad!$C$34,IF($D81="V02",cad!$D$34,cad!$E$34)))</f>
        <v/>
      </c>
      <c r="L81" t="str">
        <f>IF($A81="","",IF($D81="V01",cad!$C$35,IF($D81="V02",cad!$D$35,cad!$E$35)))</f>
        <v/>
      </c>
      <c r="M81" t="str">
        <f>IF($A81="","",IF($D81="V01",cad!$C$36,IF($D81="V02",cad!$D$36,cad!$E$36)))</f>
        <v/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 t="str">
        <f>IF($A82="","",IF($D82="V01",cad!$C$23,IF($D82="V02",cad!$D$23,cad!$E$23)))</f>
        <v/>
      </c>
      <c r="H82" t="str">
        <f>IF($A82="","",IF($D82="V01",cad!$C$24,IF($D82="V02",cad!$D$24,cad!$E$24)))</f>
        <v/>
      </c>
      <c r="I82" t="str">
        <f>IF($A82="","",IF($D82="V01",cad!$C$32,IF($D82="V02",cad!$D$32,cad!$E$32)))</f>
        <v/>
      </c>
      <c r="J82" t="str">
        <f>IF($A82="","",IF($D82="V01",cad!$C$33,IF($D82="V02",cad!$D$33,cad!$E$33)))</f>
        <v/>
      </c>
      <c r="K82" t="str">
        <f>IF($A82="","",IF($D82="V01",cad!$C$34,IF($D82="V02",cad!$D$34,cad!$E$34)))</f>
        <v/>
      </c>
      <c r="L82" t="str">
        <f>IF($A82="","",IF($D82="V01",cad!$C$35,IF($D82="V02",cad!$D$35,cad!$E$35)))</f>
        <v/>
      </c>
      <c r="M82" t="str">
        <f>IF($A82="","",IF($D82="V01",cad!$C$36,IF($D82="V02",cad!$D$36,cad!$E$36)))</f>
        <v/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 t="str">
        <f>IF($A83="","",IF($D83="V01",cad!$C$23,IF($D83="V02",cad!$D$23,cad!$E$23)))</f>
        <v/>
      </c>
      <c r="H83" t="str">
        <f>IF($A83="","",IF($D83="V01",cad!$C$24,IF($D83="V02",cad!$D$24,cad!$E$24)))</f>
        <v/>
      </c>
      <c r="I83" t="str">
        <f>IF($A83="","",IF($D83="V01",cad!$C$32,IF($D83="V02",cad!$D$32,cad!$E$32)))</f>
        <v/>
      </c>
      <c r="J83" t="str">
        <f>IF($A83="","",IF($D83="V01",cad!$C$33,IF($D83="V02",cad!$D$33,cad!$E$33)))</f>
        <v/>
      </c>
      <c r="K83" t="str">
        <f>IF($A83="","",IF($D83="V01",cad!$C$34,IF($D83="V02",cad!$D$34,cad!$E$34)))</f>
        <v/>
      </c>
      <c r="L83" t="str">
        <f>IF($A83="","",IF($D83="V01",cad!$C$35,IF($D83="V02",cad!$D$35,cad!$E$35)))</f>
        <v/>
      </c>
      <c r="M83" t="str">
        <f>IF($A83="","",IF($D83="V01",cad!$C$36,IF($D83="V02",cad!$D$36,cad!$E$36)))</f>
        <v/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 t="str">
        <f>IF($A84="","",IF($D84="V01",cad!$C$23,IF($D84="V02",cad!$D$23,cad!$E$23)))</f>
        <v/>
      </c>
      <c r="H84" t="str">
        <f>IF($A84="","",IF($D84="V01",cad!$C$24,IF($D84="V02",cad!$D$24,cad!$E$24)))</f>
        <v/>
      </c>
      <c r="I84" t="str">
        <f>IF($A84="","",IF($D84="V01",cad!$C$32,IF($D84="V02",cad!$D$32,cad!$E$32)))</f>
        <v/>
      </c>
      <c r="J84" t="str">
        <f>IF($A84="","",IF($D84="V01",cad!$C$33,IF($D84="V02",cad!$D$33,cad!$E$33)))</f>
        <v/>
      </c>
      <c r="K84" t="str">
        <f>IF($A84="","",IF($D84="V01",cad!$C$34,IF($D84="V02",cad!$D$34,cad!$E$34)))</f>
        <v/>
      </c>
      <c r="L84" t="str">
        <f>IF($A84="","",IF($D84="V01",cad!$C$35,IF($D84="V02",cad!$D$35,cad!$E$35)))</f>
        <v/>
      </c>
      <c r="M84" t="str">
        <f>IF($A84="","",IF($D84="V01",cad!$C$36,IF($D84="V02",cad!$D$36,cad!$E$36)))</f>
        <v/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 t="str">
        <f>IF($A85="","",IF($D85="V01",cad!$C$23,IF($D85="V02",cad!$D$23,cad!$E$23)))</f>
        <v/>
      </c>
      <c r="H85" t="str">
        <f>IF($A85="","",IF($D85="V01",cad!$C$24,IF($D85="V02",cad!$D$24,cad!$E$24)))</f>
        <v/>
      </c>
      <c r="I85" t="str">
        <f>IF($A85="","",IF($D85="V01",cad!$C$32,IF($D85="V02",cad!$D$32,cad!$E$32)))</f>
        <v/>
      </c>
      <c r="J85" t="str">
        <f>IF($A85="","",IF($D85="V01",cad!$C$33,IF($D85="V02",cad!$D$33,cad!$E$33)))</f>
        <v/>
      </c>
      <c r="K85" t="str">
        <f>IF($A85="","",IF($D85="V01",cad!$C$34,IF($D85="V02",cad!$D$34,cad!$E$34)))</f>
        <v/>
      </c>
      <c r="L85" t="str">
        <f>IF($A85="","",IF($D85="V01",cad!$C$35,IF($D85="V02",cad!$D$35,cad!$E$35)))</f>
        <v/>
      </c>
      <c r="M85" t="str">
        <f>IF($A85="","",IF($D85="V01",cad!$C$36,IF($D85="V02",cad!$D$36,cad!$E$36)))</f>
        <v/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 t="str">
        <f>IF($A86="","",IF($D86="V01",cad!$C$23,IF($D86="V02",cad!$D$23,cad!$E$23)))</f>
        <v/>
      </c>
      <c r="H86" t="str">
        <f>IF($A86="","",IF($D86="V01",cad!$C$24,IF($D86="V02",cad!$D$24,cad!$E$24)))</f>
        <v/>
      </c>
      <c r="I86" t="str">
        <f>IF($A86="","",IF($D86="V01",cad!$C$32,IF($D86="V02",cad!$D$32,cad!$E$32)))</f>
        <v/>
      </c>
      <c r="J86" t="str">
        <f>IF($A86="","",IF($D86="V01",cad!$C$33,IF($D86="V02",cad!$D$33,cad!$E$33)))</f>
        <v/>
      </c>
      <c r="K86" t="str">
        <f>IF($A86="","",IF($D86="V01",cad!$C$34,IF($D86="V02",cad!$D$34,cad!$E$34)))</f>
        <v/>
      </c>
      <c r="L86" t="str">
        <f>IF($A86="","",IF($D86="V01",cad!$C$35,IF($D86="V02",cad!$D$35,cad!$E$35)))</f>
        <v/>
      </c>
      <c r="M86" t="str">
        <f>IF($A86="","",IF($D86="V01",cad!$C$36,IF($D86="V02",cad!$D$36,cad!$E$36)))</f>
        <v/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 t="str">
        <f>IF($A87="","",IF($D87="V01",cad!$C$23,IF($D87="V02",cad!$D$23,cad!$E$23)))</f>
        <v/>
      </c>
      <c r="H87" t="str">
        <f>IF($A87="","",IF($D87="V01",cad!$C$24,IF($D87="V02",cad!$D$24,cad!$E$24)))</f>
        <v/>
      </c>
      <c r="I87" t="str">
        <f>IF($A87="","",IF($D87="V01",cad!$C$32,IF($D87="V02",cad!$D$32,cad!$E$32)))</f>
        <v/>
      </c>
      <c r="J87" t="str">
        <f>IF($A87="","",IF($D87="V01",cad!$C$33,IF($D87="V02",cad!$D$33,cad!$E$33)))</f>
        <v/>
      </c>
      <c r="K87" t="str">
        <f>IF($A87="","",IF($D87="V01",cad!$C$34,IF($D87="V02",cad!$D$34,cad!$E$34)))</f>
        <v/>
      </c>
      <c r="L87" t="str">
        <f>IF($A87="","",IF($D87="V01",cad!$C$35,IF($D87="V02",cad!$D$35,cad!$E$35)))</f>
        <v/>
      </c>
      <c r="M87" t="str">
        <f>IF($A87="","",IF($D87="V01",cad!$C$36,IF($D87="V02",cad!$D$36,cad!$E$36)))</f>
        <v/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 t="str">
        <f>IF($A88="","",IF($D88="V01",cad!$C$23,IF($D88="V02",cad!$D$23,cad!$E$23)))</f>
        <v/>
      </c>
      <c r="H88" t="str">
        <f>IF($A88="","",IF($D88="V01",cad!$C$24,IF($D88="V02",cad!$D$24,cad!$E$24)))</f>
        <v/>
      </c>
      <c r="I88" t="str">
        <f>IF($A88="","",IF($D88="V01",cad!$C$32,IF($D88="V02",cad!$D$32,cad!$E$32)))</f>
        <v/>
      </c>
      <c r="J88" t="str">
        <f>IF($A88="","",IF($D88="V01",cad!$C$33,IF($D88="V02",cad!$D$33,cad!$E$33)))</f>
        <v/>
      </c>
      <c r="K88" t="str">
        <f>IF($A88="","",IF($D88="V01",cad!$C$34,IF($D88="V02",cad!$D$34,cad!$E$34)))</f>
        <v/>
      </c>
      <c r="L88" t="str">
        <f>IF($A88="","",IF($D88="V01",cad!$C$35,IF($D88="V02",cad!$D$35,cad!$E$35)))</f>
        <v/>
      </c>
      <c r="M88" t="str">
        <f>IF($A88="","",IF($D88="V01",cad!$C$36,IF($D88="V02",cad!$D$36,cad!$E$36)))</f>
        <v/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 t="str">
        <f>IF($A89="","",IF($D89="V01",cad!$C$23,IF($D89="V02",cad!$D$23,cad!$E$23)))</f>
        <v/>
      </c>
      <c r="H89" t="str">
        <f>IF($A89="","",IF($D89="V01",cad!$C$24,IF($D89="V02",cad!$D$24,cad!$E$24)))</f>
        <v/>
      </c>
      <c r="I89" t="str">
        <f>IF($A89="","",IF($D89="V01",cad!$C$32,IF($D89="V02",cad!$D$32,cad!$E$32)))</f>
        <v/>
      </c>
      <c r="J89" t="str">
        <f>IF($A89="","",IF($D89="V01",cad!$C$33,IF($D89="V02",cad!$D$33,cad!$E$33)))</f>
        <v/>
      </c>
      <c r="K89" t="str">
        <f>IF($A89="","",IF($D89="V01",cad!$C$34,IF($D89="V02",cad!$D$34,cad!$E$34)))</f>
        <v/>
      </c>
      <c r="L89" t="str">
        <f>IF($A89="","",IF($D89="V01",cad!$C$35,IF($D89="V02",cad!$D$35,cad!$E$35)))</f>
        <v/>
      </c>
      <c r="M89" t="str">
        <f>IF($A89="","",IF($D89="V01",cad!$C$36,IF($D89="V02",cad!$D$36,cad!$E$36)))</f>
        <v/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 t="str">
        <f>IF($A90="","",IF($D90="V01",cad!$C$23,IF($D90="V02",cad!$D$23,cad!$E$23)))</f>
        <v/>
      </c>
      <c r="H90" t="str">
        <f>IF($A90="","",IF($D90="V01",cad!$C$24,IF($D90="V02",cad!$D$24,cad!$E$24)))</f>
        <v/>
      </c>
      <c r="I90" t="str">
        <f>IF($A90="","",IF($D90="V01",cad!$C$32,IF($D90="V02",cad!$D$32,cad!$E$32)))</f>
        <v/>
      </c>
      <c r="J90" t="str">
        <f>IF($A90="","",IF($D90="V01",cad!$C$33,IF($D90="V02",cad!$D$33,cad!$E$33)))</f>
        <v/>
      </c>
      <c r="K90" t="str">
        <f>IF($A90="","",IF($D90="V01",cad!$C$34,IF($D90="V02",cad!$D$34,cad!$E$34)))</f>
        <v/>
      </c>
      <c r="L90" t="str">
        <f>IF($A90="","",IF($D90="V01",cad!$C$35,IF($D90="V02",cad!$D$35,cad!$E$35)))</f>
        <v/>
      </c>
      <c r="M90" t="str">
        <f>IF($A90="","",IF($D90="V01",cad!$C$36,IF($D90="V02",cad!$D$36,cad!$E$36)))</f>
        <v/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 t="str">
        <f>IF($A91="","",IF($D91="V01",cad!$C$23,IF($D91="V02",cad!$D$23,cad!$E$23)))</f>
        <v/>
      </c>
      <c r="H91" t="str">
        <f>IF($A91="","",IF($D91="V01",cad!$C$24,IF($D91="V02",cad!$D$24,cad!$E$24)))</f>
        <v/>
      </c>
      <c r="I91" t="str">
        <f>IF($A91="","",IF($D91="V01",cad!$C$32,IF($D91="V02",cad!$D$32,cad!$E$32)))</f>
        <v/>
      </c>
      <c r="J91" t="str">
        <f>IF($A91="","",IF($D91="V01",cad!$C$33,IF($D91="V02",cad!$D$33,cad!$E$33)))</f>
        <v/>
      </c>
      <c r="K91" t="str">
        <f>IF($A91="","",IF($D91="V01",cad!$C$34,IF($D91="V02",cad!$D$34,cad!$E$34)))</f>
        <v/>
      </c>
      <c r="L91" t="str">
        <f>IF($A91="","",IF($D91="V01",cad!$C$35,IF($D91="V02",cad!$D$35,cad!$E$35)))</f>
        <v/>
      </c>
      <c r="M91" t="str">
        <f>IF($A91="","",IF($D91="V01",cad!$C$36,IF($D91="V02",cad!$D$36,cad!$E$36)))</f>
        <v/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 t="str">
        <f>IF($A92="","",IF($D92="V01",cad!$C$23,IF($D92="V02",cad!$D$23,cad!$E$23)))</f>
        <v/>
      </c>
      <c r="H92" t="str">
        <f>IF($A92="","",IF($D92="V01",cad!$C$24,IF($D92="V02",cad!$D$24,cad!$E$24)))</f>
        <v/>
      </c>
      <c r="I92" t="str">
        <f>IF($A92="","",IF($D92="V01",cad!$C$32,IF($D92="V02",cad!$D$32,cad!$E$32)))</f>
        <v/>
      </c>
      <c r="J92" t="str">
        <f>IF($A92="","",IF($D92="V01",cad!$C$33,IF($D92="V02",cad!$D$33,cad!$E$33)))</f>
        <v/>
      </c>
      <c r="K92" t="str">
        <f>IF($A92="","",IF($D92="V01",cad!$C$34,IF($D92="V02",cad!$D$34,cad!$E$34)))</f>
        <v/>
      </c>
      <c r="L92" t="str">
        <f>IF($A92="","",IF($D92="V01",cad!$C$35,IF($D92="V02",cad!$D$35,cad!$E$35)))</f>
        <v/>
      </c>
      <c r="M92" t="str">
        <f>IF($A92="","",IF($D92="V01",cad!$C$36,IF($D92="V02",cad!$D$36,cad!$E$36)))</f>
        <v/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 t="str">
        <f>IF($A93="","",IF($D93="V01",cad!$C$23,IF($D93="V02",cad!$D$23,cad!$E$23)))</f>
        <v/>
      </c>
      <c r="H93" t="str">
        <f>IF($A93="","",IF($D93="V01",cad!$C$24,IF($D93="V02",cad!$D$24,cad!$E$24)))</f>
        <v/>
      </c>
      <c r="I93" t="str">
        <f>IF($A93="","",IF($D93="V01",cad!$C$32,IF($D93="V02",cad!$D$32,cad!$E$32)))</f>
        <v/>
      </c>
      <c r="J93" t="str">
        <f>IF($A93="","",IF($D93="V01",cad!$C$33,IF($D93="V02",cad!$D$33,cad!$E$33)))</f>
        <v/>
      </c>
      <c r="K93" t="str">
        <f>IF($A93="","",IF($D93="V01",cad!$C$34,IF($D93="V02",cad!$D$34,cad!$E$34)))</f>
        <v/>
      </c>
      <c r="L93" t="str">
        <f>IF($A93="","",IF($D93="V01",cad!$C$35,IF($D93="V02",cad!$D$35,cad!$E$35)))</f>
        <v/>
      </c>
      <c r="M93" t="str">
        <f>IF($A93="","",IF($D93="V01",cad!$C$36,IF($D93="V02",cad!$D$36,cad!$E$36)))</f>
        <v/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 t="str">
        <f>IF($A94="","",IF($D94="V01",cad!$C$23,IF($D94="V02",cad!$D$23,cad!$E$23)))</f>
        <v/>
      </c>
      <c r="H94" t="str">
        <f>IF($A94="","",IF($D94="V01",cad!$C$24,IF($D94="V02",cad!$D$24,cad!$E$24)))</f>
        <v/>
      </c>
      <c r="I94" t="str">
        <f>IF($A94="","",IF($D94="V01",cad!$C$32,IF($D94="V02",cad!$D$32,cad!$E$32)))</f>
        <v/>
      </c>
      <c r="J94" t="str">
        <f>IF($A94="","",IF($D94="V01",cad!$C$33,IF($D94="V02",cad!$D$33,cad!$E$33)))</f>
        <v/>
      </c>
      <c r="K94" t="str">
        <f>IF($A94="","",IF($D94="V01",cad!$C$34,IF($D94="V02",cad!$D$34,cad!$E$34)))</f>
        <v/>
      </c>
      <c r="L94" t="str">
        <f>IF($A94="","",IF($D94="V01",cad!$C$35,IF($D94="V02",cad!$D$35,cad!$E$35)))</f>
        <v/>
      </c>
      <c r="M94" t="str">
        <f>IF($A94="","",IF($D94="V01",cad!$C$36,IF($D94="V02",cad!$D$36,cad!$E$36)))</f>
        <v/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 t="str">
        <f>IF($A95="","",IF($D95="V01",cad!$C$23,IF($D95="V02",cad!$D$23,cad!$E$23)))</f>
        <v/>
      </c>
      <c r="H95" t="str">
        <f>IF($A95="","",IF($D95="V01",cad!$C$24,IF($D95="V02",cad!$D$24,cad!$E$24)))</f>
        <v/>
      </c>
      <c r="I95" t="str">
        <f>IF($A95="","",IF($D95="V01",cad!$C$32,IF($D95="V02",cad!$D$32,cad!$E$32)))</f>
        <v/>
      </c>
      <c r="J95" t="str">
        <f>IF($A95="","",IF($D95="V01",cad!$C$33,IF($D95="V02",cad!$D$33,cad!$E$33)))</f>
        <v/>
      </c>
      <c r="K95" t="str">
        <f>IF($A95="","",IF($D95="V01",cad!$C$34,IF($D95="V02",cad!$D$34,cad!$E$34)))</f>
        <v/>
      </c>
      <c r="L95" t="str">
        <f>IF($A95="","",IF($D95="V01",cad!$C$35,IF($D95="V02",cad!$D$35,cad!$E$35)))</f>
        <v/>
      </c>
      <c r="M95" t="str">
        <f>IF($A95="","",IF($D95="V01",cad!$C$36,IF($D95="V02",cad!$D$36,cad!$E$36)))</f>
        <v/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 t="str">
        <f>IF($A96="","",IF($D96="V01",cad!$C$23,IF($D96="V02",cad!$D$23,cad!$E$23)))</f>
        <v/>
      </c>
      <c r="H96" t="str">
        <f>IF($A96="","",IF($D96="V01",cad!$C$24,IF($D96="V02",cad!$D$24,cad!$E$24)))</f>
        <v/>
      </c>
      <c r="I96" t="str">
        <f>IF($A96="","",IF($D96="V01",cad!$C$32,IF($D96="V02",cad!$D$32,cad!$E$32)))</f>
        <v/>
      </c>
      <c r="J96" t="str">
        <f>IF($A96="","",IF($D96="V01",cad!$C$33,IF($D96="V02",cad!$D$33,cad!$E$33)))</f>
        <v/>
      </c>
      <c r="K96" t="str">
        <f>IF($A96="","",IF($D96="V01",cad!$C$34,IF($D96="V02",cad!$D$34,cad!$E$34)))</f>
        <v/>
      </c>
      <c r="L96" t="str">
        <f>IF($A96="","",IF($D96="V01",cad!$C$35,IF($D96="V02",cad!$D$35,cad!$E$35)))</f>
        <v/>
      </c>
      <c r="M96" t="str">
        <f>IF($A96="","",IF($D96="V01",cad!$C$36,IF($D96="V02",cad!$D$36,cad!$E$36)))</f>
        <v/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 t="str">
        <f>IF($A97="","",IF($D97="V01",cad!$C$23,IF($D97="V02",cad!$D$23,cad!$E$23)))</f>
        <v/>
      </c>
      <c r="H97" t="str">
        <f>IF($A97="","",IF($D97="V01",cad!$C$24,IF($D97="V02",cad!$D$24,cad!$E$24)))</f>
        <v/>
      </c>
      <c r="I97" t="str">
        <f>IF($A97="","",IF($D97="V01",cad!$C$32,IF($D97="V02",cad!$D$32,cad!$E$32)))</f>
        <v/>
      </c>
      <c r="J97" t="str">
        <f>IF($A97="","",IF($D97="V01",cad!$C$33,IF($D97="V02",cad!$D$33,cad!$E$33)))</f>
        <v/>
      </c>
      <c r="K97" t="str">
        <f>IF($A97="","",IF($D97="V01",cad!$C$34,IF($D97="V02",cad!$D$34,cad!$E$34)))</f>
        <v/>
      </c>
      <c r="L97" t="str">
        <f>IF($A97="","",IF($D97="V01",cad!$C$35,IF($D97="V02",cad!$D$35,cad!$E$35)))</f>
        <v/>
      </c>
      <c r="M97" t="str">
        <f>IF($A97="","",IF($D97="V01",cad!$C$36,IF($D97="V02",cad!$D$36,cad!$E$36)))</f>
        <v/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 t="str">
        <f>IF($A98="","",IF($D98="V01",cad!$C$23,IF($D98="V02",cad!$D$23,cad!$E$23)))</f>
        <v/>
      </c>
      <c r="H98" t="str">
        <f>IF($A98="","",IF($D98="V01",cad!$C$24,IF($D98="V02",cad!$D$24,cad!$E$24)))</f>
        <v/>
      </c>
      <c r="I98" t="str">
        <f>IF($A98="","",IF($D98="V01",cad!$C$32,IF($D98="V02",cad!$D$32,cad!$E$32)))</f>
        <v/>
      </c>
      <c r="J98" t="str">
        <f>IF($A98="","",IF($D98="V01",cad!$C$33,IF($D98="V02",cad!$D$33,cad!$E$33)))</f>
        <v/>
      </c>
      <c r="K98" t="str">
        <f>IF($A98="","",IF($D98="V01",cad!$C$34,IF($D98="V02",cad!$D$34,cad!$E$34)))</f>
        <v/>
      </c>
      <c r="L98" t="str">
        <f>IF($A98="","",IF($D98="V01",cad!$C$35,IF($D98="V02",cad!$D$35,cad!$E$35)))</f>
        <v/>
      </c>
      <c r="M98" t="str">
        <f>IF($A98="","",IF($D98="V01",cad!$C$36,IF($D98="V02",cad!$D$36,cad!$E$36)))</f>
        <v/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 t="str">
        <f>IF($A99="","",IF($D99="V01",cad!$C$23,IF($D99="V02",cad!$D$23,cad!$E$23)))</f>
        <v/>
      </c>
      <c r="H99" t="str">
        <f>IF($A99="","",IF($D99="V01",cad!$C$24,IF($D99="V02",cad!$D$24,cad!$E$24)))</f>
        <v/>
      </c>
      <c r="I99" t="str">
        <f>IF($A99="","",IF($D99="V01",cad!$C$32,IF($D99="V02",cad!$D$32,cad!$E$32)))</f>
        <v/>
      </c>
      <c r="J99" t="str">
        <f>IF($A99="","",IF($D99="V01",cad!$C$33,IF($D99="V02",cad!$D$33,cad!$E$33)))</f>
        <v/>
      </c>
      <c r="K99" t="str">
        <f>IF($A99="","",IF($D99="V01",cad!$C$34,IF($D99="V02",cad!$D$34,cad!$E$34)))</f>
        <v/>
      </c>
      <c r="L99" t="str">
        <f>IF($A99="","",IF($D99="V01",cad!$C$35,IF($D99="V02",cad!$D$35,cad!$E$35)))</f>
        <v/>
      </c>
      <c r="M99" t="str">
        <f>IF($A99="","",IF($D99="V01",cad!$C$36,IF($D99="V02",cad!$D$36,cad!$E$36)))</f>
        <v/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 t="str">
        <f>IF($A100="","",IF($D100="V01",cad!$C$23,IF($D100="V02",cad!$D$23,cad!$E$23)))</f>
        <v/>
      </c>
      <c r="H100" t="str">
        <f>IF($A100="","",IF($D100="V01",cad!$C$24,IF($D100="V02",cad!$D$24,cad!$E$24)))</f>
        <v/>
      </c>
      <c r="I100" t="str">
        <f>IF($A100="","",IF($D100="V01",cad!$C$32,IF($D100="V02",cad!$D$32,cad!$E$32)))</f>
        <v/>
      </c>
      <c r="J100" t="str">
        <f>IF($A100="","",IF($D100="V01",cad!$C$33,IF($D100="V02",cad!$D$33,cad!$E$33)))</f>
        <v/>
      </c>
      <c r="K100" t="str">
        <f>IF($A100="","",IF($D100="V01",cad!$C$34,IF($D100="V02",cad!$D$34,cad!$E$34)))</f>
        <v/>
      </c>
      <c r="L100" t="str">
        <f>IF($A100="","",IF($D100="V01",cad!$C$35,IF($D100="V02",cad!$D$35,cad!$E$35)))</f>
        <v/>
      </c>
      <c r="M100" t="str">
        <f>IF($A100="","",IF($D100="V01",cad!$C$36,IF($D100="V02",cad!$D$36,cad!$E$36)))</f>
        <v/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 t="str">
        <f>IF($A101="","",IF($D101="V01",cad!$C$23,IF($D101="V02",cad!$D$23,cad!$E$23)))</f>
        <v/>
      </c>
      <c r="H101" t="str">
        <f>IF($A101="","",IF($D101="V01",cad!$C$24,IF($D101="V02",cad!$D$24,cad!$E$24)))</f>
        <v/>
      </c>
      <c r="I101" t="str">
        <f>IF($A101="","",IF($D101="V01",cad!$C$32,IF($D101="V02",cad!$D$32,cad!$E$32)))</f>
        <v/>
      </c>
      <c r="J101" t="str">
        <f>IF($A101="","",IF($D101="V01",cad!$C$33,IF($D101="V02",cad!$D$33,cad!$E$33)))</f>
        <v/>
      </c>
      <c r="K101" t="str">
        <f>IF($A101="","",IF($D101="V01",cad!$C$34,IF($D101="V02",cad!$D$34,cad!$E$34)))</f>
        <v/>
      </c>
      <c r="L101" t="str">
        <f>IF($A101="","",IF($D101="V01",cad!$C$35,IF($D101="V02",cad!$D$35,cad!$E$35)))</f>
        <v/>
      </c>
      <c r="M101" t="str">
        <f>IF($A101="","",IF($D101="V01",cad!$C$36,IF($D101="V02",cad!$D$36,cad!$E$36)))</f>
        <v/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 t="str">
        <f>IF($A102="","",IF($D102="V01",cad!$C$23,IF($D102="V02",cad!$D$23,cad!$E$23)))</f>
        <v/>
      </c>
      <c r="H102" t="str">
        <f>IF($A102="","",IF($D102="V01",cad!$C$24,IF($D102="V02",cad!$D$24,cad!$E$24)))</f>
        <v/>
      </c>
      <c r="I102" t="str">
        <f>IF($A102="","",IF($D102="V01",cad!$C$32,IF($D102="V02",cad!$D$32,cad!$E$32)))</f>
        <v/>
      </c>
      <c r="J102" t="str">
        <f>IF($A102="","",IF($D102="V01",cad!$C$33,IF($D102="V02",cad!$D$33,cad!$E$33)))</f>
        <v/>
      </c>
      <c r="K102" t="str">
        <f>IF($A102="","",IF($D102="V01",cad!$C$34,IF($D102="V02",cad!$D$34,cad!$E$34)))</f>
        <v/>
      </c>
      <c r="L102" t="str">
        <f>IF($A102="","",IF($D102="V01",cad!$C$35,IF($D102="V02",cad!$D$35,cad!$E$35)))</f>
        <v/>
      </c>
      <c r="M102" t="str">
        <f>IF($A102="","",IF($D102="V01",cad!$C$36,IF($D102="V02",cad!$D$36,cad!$E$36)))</f>
        <v/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 t="str">
        <f>IF($A103="","",IF($D103="V01",cad!$C$23,IF($D103="V02",cad!$D$23,cad!$E$23)))</f>
        <v/>
      </c>
      <c r="H103" t="str">
        <f>IF($A103="","",IF($D103="V01",cad!$C$24,IF($D103="V02",cad!$D$24,cad!$E$24)))</f>
        <v/>
      </c>
      <c r="I103" t="str">
        <f>IF($A103="","",IF($D103="V01",cad!$C$32,IF($D103="V02",cad!$D$32,cad!$E$32)))</f>
        <v/>
      </c>
      <c r="J103" t="str">
        <f>IF($A103="","",IF($D103="V01",cad!$C$33,IF($D103="V02",cad!$D$33,cad!$E$33)))</f>
        <v/>
      </c>
      <c r="K103" t="str">
        <f>IF($A103="","",IF($D103="V01",cad!$C$34,IF($D103="V02",cad!$D$34,cad!$E$34)))</f>
        <v/>
      </c>
      <c r="L103" t="str">
        <f>IF($A103="","",IF($D103="V01",cad!$C$35,IF($D103="V02",cad!$D$35,cad!$E$35)))</f>
        <v/>
      </c>
      <c r="M103" t="str">
        <f>IF($A103="","",IF($D103="V01",cad!$C$36,IF($D103="V02",cad!$D$36,cad!$E$36)))</f>
        <v/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 t="str">
        <f>IF($A104="","",IF($D104="V01",cad!$C$23,IF($D104="V02",cad!$D$23,cad!$E$23)))</f>
        <v/>
      </c>
      <c r="H104" t="str">
        <f>IF($A104="","",IF($D104="V01",cad!$C$24,IF($D104="V02",cad!$D$24,cad!$E$24)))</f>
        <v/>
      </c>
      <c r="I104" t="str">
        <f>IF($A104="","",IF($D104="V01",cad!$C$32,IF($D104="V02",cad!$D$32,cad!$E$32)))</f>
        <v/>
      </c>
      <c r="J104" t="str">
        <f>IF($A104="","",IF($D104="V01",cad!$C$33,IF($D104="V02",cad!$D$33,cad!$E$33)))</f>
        <v/>
      </c>
      <c r="K104" t="str">
        <f>IF($A104="","",IF($D104="V01",cad!$C$34,IF($D104="V02",cad!$D$34,cad!$E$34)))</f>
        <v/>
      </c>
      <c r="L104" t="str">
        <f>IF($A104="","",IF($D104="V01",cad!$C$35,IF($D104="V02",cad!$D$35,cad!$E$35)))</f>
        <v/>
      </c>
      <c r="M104" t="str">
        <f>IF($A104="","",IF($D104="V01",cad!$C$36,IF($D104="V02",cad!$D$36,cad!$E$36)))</f>
        <v/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 t="str">
        <f>IF($A105="","",IF($D105="V01",cad!$C$23,IF($D105="V02",cad!$D$23,cad!$E$23)))</f>
        <v/>
      </c>
      <c r="H105" t="str">
        <f>IF($A105="","",IF($D105="V01",cad!$C$24,IF($D105="V02",cad!$D$24,cad!$E$24)))</f>
        <v/>
      </c>
      <c r="I105" t="str">
        <f>IF($A105="","",IF($D105="V01",cad!$C$32,IF($D105="V02",cad!$D$32,cad!$E$32)))</f>
        <v/>
      </c>
      <c r="J105" t="str">
        <f>IF($A105="","",IF($D105="V01",cad!$C$33,IF($D105="V02",cad!$D$33,cad!$E$33)))</f>
        <v/>
      </c>
      <c r="K105" t="str">
        <f>IF($A105="","",IF($D105="V01",cad!$C$34,IF($D105="V02",cad!$D$34,cad!$E$34)))</f>
        <v/>
      </c>
      <c r="L105" t="str">
        <f>IF($A105="","",IF($D105="V01",cad!$C$35,IF($D105="V02",cad!$D$35,cad!$E$35)))</f>
        <v/>
      </c>
      <c r="M105" t="str">
        <f>IF($A105="","",IF($D105="V01",cad!$C$36,IF($D105="V02",cad!$D$36,cad!$E$36)))</f>
        <v/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 t="str">
        <f>IF($A106="","",IF($D106="V01",cad!$C$23,IF($D106="V02",cad!$D$23,cad!$E$23)))</f>
        <v/>
      </c>
      <c r="H106" t="str">
        <f>IF($A106="","",IF($D106="V01",cad!$C$24,IF($D106="V02",cad!$D$24,cad!$E$24)))</f>
        <v/>
      </c>
      <c r="I106" t="str">
        <f>IF($A106="","",IF($D106="V01",cad!$C$32,IF($D106="V02",cad!$D$32,cad!$E$32)))</f>
        <v/>
      </c>
      <c r="J106" t="str">
        <f>IF($A106="","",IF($D106="V01",cad!$C$33,IF($D106="V02",cad!$D$33,cad!$E$33)))</f>
        <v/>
      </c>
      <c r="K106" t="str">
        <f>IF($A106="","",IF($D106="V01",cad!$C$34,IF($D106="V02",cad!$D$34,cad!$E$34)))</f>
        <v/>
      </c>
      <c r="L106" t="str">
        <f>IF($A106="","",IF($D106="V01",cad!$C$35,IF($D106="V02",cad!$D$35,cad!$E$35)))</f>
        <v/>
      </c>
      <c r="M106" t="str">
        <f>IF($A106="","",IF($D106="V01",cad!$C$36,IF($D106="V02",cad!$D$36,cad!$E$36)))</f>
        <v/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 t="str">
        <f>IF($A107="","",IF($D107="V01",cad!$C$23,IF($D107="V02",cad!$D$23,cad!$E$23)))</f>
        <v/>
      </c>
      <c r="H107" t="str">
        <f>IF($A107="","",IF($D107="V01",cad!$C$24,IF($D107="V02",cad!$D$24,cad!$E$24)))</f>
        <v/>
      </c>
      <c r="I107" t="str">
        <f>IF($A107="","",IF($D107="V01",cad!$C$32,IF($D107="V02",cad!$D$32,cad!$E$32)))</f>
        <v/>
      </c>
      <c r="J107" t="str">
        <f>IF($A107="","",IF($D107="V01",cad!$C$33,IF($D107="V02",cad!$D$33,cad!$E$33)))</f>
        <v/>
      </c>
      <c r="K107" t="str">
        <f>IF($A107="","",IF($D107="V01",cad!$C$34,IF($D107="V02",cad!$D$34,cad!$E$34)))</f>
        <v/>
      </c>
      <c r="L107" t="str">
        <f>IF($A107="","",IF($D107="V01",cad!$C$35,IF($D107="V02",cad!$D$35,cad!$E$35)))</f>
        <v/>
      </c>
      <c r="M107" t="str">
        <f>IF($A107="","",IF($D107="V01",cad!$C$36,IF($D107="V02",cad!$D$36,cad!$E$36)))</f>
        <v/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 t="str">
        <f>IF($A108="","",IF($D108="V01",cad!$C$23,IF($D108="V02",cad!$D$23,cad!$E$23)))</f>
        <v/>
      </c>
      <c r="H108" t="str">
        <f>IF($A108="","",IF($D108="V01",cad!$C$24,IF($D108="V02",cad!$D$24,cad!$E$24)))</f>
        <v/>
      </c>
      <c r="I108" t="str">
        <f>IF($A108="","",IF($D108="V01",cad!$C$32,IF($D108="V02",cad!$D$32,cad!$E$32)))</f>
        <v/>
      </c>
      <c r="J108" t="str">
        <f>IF($A108="","",IF($D108="V01",cad!$C$33,IF($D108="V02",cad!$D$33,cad!$E$33)))</f>
        <v/>
      </c>
      <c r="K108" t="str">
        <f>IF($A108="","",IF($D108="V01",cad!$C$34,IF($D108="V02",cad!$D$34,cad!$E$34)))</f>
        <v/>
      </c>
      <c r="L108" t="str">
        <f>IF($A108="","",IF($D108="V01",cad!$C$35,IF($D108="V02",cad!$D$35,cad!$E$35)))</f>
        <v/>
      </c>
      <c r="M108" t="str">
        <f>IF($A108="","",IF($D108="V01",cad!$C$36,IF($D108="V02",cad!$D$36,cad!$E$36)))</f>
        <v/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 t="str">
        <f>IF($A109="","",IF($D109="V01",cad!$C$23,IF($D109="V02",cad!$D$23,cad!$E$23)))</f>
        <v/>
      </c>
      <c r="H109" t="str">
        <f>IF($A109="","",IF($D109="V01",cad!$C$24,IF($D109="V02",cad!$D$24,cad!$E$24)))</f>
        <v/>
      </c>
      <c r="I109" t="str">
        <f>IF($A109="","",IF($D109="V01",cad!$C$32,IF($D109="V02",cad!$D$32,cad!$E$32)))</f>
        <v/>
      </c>
      <c r="J109" t="str">
        <f>IF($A109="","",IF($D109="V01",cad!$C$33,IF($D109="V02",cad!$D$33,cad!$E$33)))</f>
        <v/>
      </c>
      <c r="K109" t="str">
        <f>IF($A109="","",IF($D109="V01",cad!$C$34,IF($D109="V02",cad!$D$34,cad!$E$34)))</f>
        <v/>
      </c>
      <c r="L109" t="str">
        <f>IF($A109="","",IF($D109="V01",cad!$C$35,IF($D109="V02",cad!$D$35,cad!$E$35)))</f>
        <v/>
      </c>
      <c r="M109" t="str">
        <f>IF($A109="","",IF($D109="V01",cad!$C$36,IF($D109="V02",cad!$D$36,cad!$E$36)))</f>
        <v/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 t="str">
        <f>IF($A110="","",IF($D110="V01",cad!$C$23,IF($D110="V02",cad!$D$23,cad!$E$23)))</f>
        <v/>
      </c>
      <c r="H110" t="str">
        <f>IF($A110="","",IF($D110="V01",cad!$C$24,IF($D110="V02",cad!$D$24,cad!$E$24)))</f>
        <v/>
      </c>
      <c r="I110" t="str">
        <f>IF($A110="","",IF($D110="V01",cad!$C$32,IF($D110="V02",cad!$D$32,cad!$E$32)))</f>
        <v/>
      </c>
      <c r="J110" t="str">
        <f>IF($A110="","",IF($D110="V01",cad!$C$33,IF($D110="V02",cad!$D$33,cad!$E$33)))</f>
        <v/>
      </c>
      <c r="K110" t="str">
        <f>IF($A110="","",IF($D110="V01",cad!$C$34,IF($D110="V02",cad!$D$34,cad!$E$34)))</f>
        <v/>
      </c>
      <c r="L110" t="str">
        <f>IF($A110="","",IF($D110="V01",cad!$C$35,IF($D110="V02",cad!$D$35,cad!$E$35)))</f>
        <v/>
      </c>
      <c r="M110" t="str">
        <f>IF($A110="","",IF($D110="V01",cad!$C$36,IF($D110="V02",cad!$D$36,cad!$E$36)))</f>
        <v/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 t="str">
        <f>IF($A111="","",IF($D111="V01",cad!$C$23,IF($D111="V02",cad!$D$23,cad!$E$23)))</f>
        <v/>
      </c>
      <c r="H111" t="str">
        <f>IF($A111="","",IF($D111="V01",cad!$C$24,IF($D111="V02",cad!$D$24,cad!$E$24)))</f>
        <v/>
      </c>
      <c r="I111" t="str">
        <f>IF($A111="","",IF($D111="V01",cad!$C$32,IF($D111="V02",cad!$D$32,cad!$E$32)))</f>
        <v/>
      </c>
      <c r="J111" t="str">
        <f>IF($A111="","",IF($D111="V01",cad!$C$33,IF($D111="V02",cad!$D$33,cad!$E$33)))</f>
        <v/>
      </c>
      <c r="K111" t="str">
        <f>IF($A111="","",IF($D111="V01",cad!$C$34,IF($D111="V02",cad!$D$34,cad!$E$34)))</f>
        <v/>
      </c>
      <c r="L111" t="str">
        <f>IF($A111="","",IF($D111="V01",cad!$C$35,IF($D111="V02",cad!$D$35,cad!$E$35)))</f>
        <v/>
      </c>
      <c r="M111" t="str">
        <f>IF($A111="","",IF($D111="V01",cad!$C$36,IF($D111="V02",cad!$D$36,cad!$E$36)))</f>
        <v/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 t="str">
        <f>IF($A112="","",IF($D112="V01",cad!$C$23,IF($D112="V02",cad!$D$23,cad!$E$23)))</f>
        <v/>
      </c>
      <c r="H112" t="str">
        <f>IF($A112="","",IF($D112="V01",cad!$C$24,IF($D112="V02",cad!$D$24,cad!$E$24)))</f>
        <v/>
      </c>
      <c r="I112" t="str">
        <f>IF($A112="","",IF($D112="V01",cad!$C$32,IF($D112="V02",cad!$D$32,cad!$E$32)))</f>
        <v/>
      </c>
      <c r="J112" t="str">
        <f>IF($A112="","",IF($D112="V01",cad!$C$33,IF($D112="V02",cad!$D$33,cad!$E$33)))</f>
        <v/>
      </c>
      <c r="K112" t="str">
        <f>IF($A112="","",IF($D112="V01",cad!$C$34,IF($D112="V02",cad!$D$34,cad!$E$34)))</f>
        <v/>
      </c>
      <c r="L112" t="str">
        <f>IF($A112="","",IF($D112="V01",cad!$C$35,IF($D112="V02",cad!$D$35,cad!$E$35)))</f>
        <v/>
      </c>
      <c r="M112" t="str">
        <f>IF($A112="","",IF($D112="V01",cad!$C$36,IF($D112="V02",cad!$D$36,cad!$E$36)))</f>
        <v/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 t="str">
        <f>IF($A113="","",IF($D113="V01",cad!$C$23,IF($D113="V02",cad!$D$23,cad!$E$23)))</f>
        <v/>
      </c>
      <c r="H113" t="str">
        <f>IF($A113="","",IF($D113="V01",cad!$C$24,IF($D113="V02",cad!$D$24,cad!$E$24)))</f>
        <v/>
      </c>
      <c r="I113" t="str">
        <f>IF($A113="","",IF($D113="V01",cad!$C$32,IF($D113="V02",cad!$D$32,cad!$E$32)))</f>
        <v/>
      </c>
      <c r="J113" t="str">
        <f>IF($A113="","",IF($D113="V01",cad!$C$33,IF($D113="V02",cad!$D$33,cad!$E$33)))</f>
        <v/>
      </c>
      <c r="K113" t="str">
        <f>IF($A113="","",IF($D113="V01",cad!$C$34,IF($D113="V02",cad!$D$34,cad!$E$34)))</f>
        <v/>
      </c>
      <c r="L113" t="str">
        <f>IF($A113="","",IF($D113="V01",cad!$C$35,IF($D113="V02",cad!$D$35,cad!$E$35)))</f>
        <v/>
      </c>
      <c r="M113" t="str">
        <f>IF($A113="","",IF($D113="V01",cad!$C$36,IF($D113="V02",cad!$D$36,cad!$E$36)))</f>
        <v/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 t="str">
        <f>IF($A114="","",IF($D114="V01",cad!$C$23,IF($D114="V02",cad!$D$23,cad!$E$23)))</f>
        <v/>
      </c>
      <c r="H114" t="str">
        <f>IF($A114="","",IF($D114="V01",cad!$C$24,IF($D114="V02",cad!$D$24,cad!$E$24)))</f>
        <v/>
      </c>
      <c r="I114" t="str">
        <f>IF($A114="","",IF($D114="V01",cad!$C$32,IF($D114="V02",cad!$D$32,cad!$E$32)))</f>
        <v/>
      </c>
      <c r="J114" t="str">
        <f>IF($A114="","",IF($D114="V01",cad!$C$33,IF($D114="V02",cad!$D$33,cad!$E$33)))</f>
        <v/>
      </c>
      <c r="K114" t="str">
        <f>IF($A114="","",IF($D114="V01",cad!$C$34,IF($D114="V02",cad!$D$34,cad!$E$34)))</f>
        <v/>
      </c>
      <c r="L114" t="str">
        <f>IF($A114="","",IF($D114="V01",cad!$C$35,IF($D114="V02",cad!$D$35,cad!$E$35)))</f>
        <v/>
      </c>
      <c r="M114" t="str">
        <f>IF($A114="","",IF($D114="V01",cad!$C$36,IF($D114="V02",cad!$D$36,cad!$E$36)))</f>
        <v/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 t="str">
        <f>IF($A115="","",IF($D115="V01",cad!$C$23,IF($D115="V02",cad!$D$23,cad!$E$23)))</f>
        <v/>
      </c>
      <c r="H115" t="str">
        <f>IF($A115="","",IF($D115="V01",cad!$C$24,IF($D115="V02",cad!$D$24,cad!$E$24)))</f>
        <v/>
      </c>
      <c r="I115" t="str">
        <f>IF($A115="","",IF($D115="V01",cad!$C$32,IF($D115="V02",cad!$D$32,cad!$E$32)))</f>
        <v/>
      </c>
      <c r="J115" t="str">
        <f>IF($A115="","",IF($D115="V01",cad!$C$33,IF($D115="V02",cad!$D$33,cad!$E$33)))</f>
        <v/>
      </c>
      <c r="K115" t="str">
        <f>IF($A115="","",IF($D115="V01",cad!$C$34,IF($D115="V02",cad!$D$34,cad!$E$34)))</f>
        <v/>
      </c>
      <c r="L115" t="str">
        <f>IF($A115="","",IF($D115="V01",cad!$C$35,IF($D115="V02",cad!$D$35,cad!$E$35)))</f>
        <v/>
      </c>
      <c r="M115" t="str">
        <f>IF($A115="","",IF($D115="V01",cad!$C$36,IF($D115="V02",cad!$D$36,cad!$E$36)))</f>
        <v/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 t="str">
        <f>IF($A116="","",IF($D116="V01",cad!$C$23,IF($D116="V02",cad!$D$23,cad!$E$23)))</f>
        <v/>
      </c>
      <c r="H116" t="str">
        <f>IF($A116="","",IF($D116="V01",cad!$C$24,IF($D116="V02",cad!$D$24,cad!$E$24)))</f>
        <v/>
      </c>
      <c r="I116" t="str">
        <f>IF($A116="","",IF($D116="V01",cad!$C$32,IF($D116="V02",cad!$D$32,cad!$E$32)))</f>
        <v/>
      </c>
      <c r="J116" t="str">
        <f>IF($A116="","",IF($D116="V01",cad!$C$33,IF($D116="V02",cad!$D$33,cad!$E$33)))</f>
        <v/>
      </c>
      <c r="K116" t="str">
        <f>IF($A116="","",IF($D116="V01",cad!$C$34,IF($D116="V02",cad!$D$34,cad!$E$34)))</f>
        <v/>
      </c>
      <c r="L116" t="str">
        <f>IF($A116="","",IF($D116="V01",cad!$C$35,IF($D116="V02",cad!$D$35,cad!$E$35)))</f>
        <v/>
      </c>
      <c r="M116" t="str">
        <f>IF($A116="","",IF($D116="V01",cad!$C$36,IF($D116="V02",cad!$D$36,cad!$E$36)))</f>
        <v/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 t="str">
        <f>IF($A117="","",IF($D117="V01",cad!$C$23,IF($D117="V02",cad!$D$23,cad!$E$23)))</f>
        <v/>
      </c>
      <c r="H117" t="str">
        <f>IF($A117="","",IF($D117="V01",cad!$C$24,IF($D117="V02",cad!$D$24,cad!$E$24)))</f>
        <v/>
      </c>
      <c r="I117" t="str">
        <f>IF($A117="","",IF($D117="V01",cad!$C$32,IF($D117="V02",cad!$D$32,cad!$E$32)))</f>
        <v/>
      </c>
      <c r="J117" t="str">
        <f>IF($A117="","",IF($D117="V01",cad!$C$33,IF($D117="V02",cad!$D$33,cad!$E$33)))</f>
        <v/>
      </c>
      <c r="K117" t="str">
        <f>IF($A117="","",IF($D117="V01",cad!$C$34,IF($D117="V02",cad!$D$34,cad!$E$34)))</f>
        <v/>
      </c>
      <c r="L117" t="str">
        <f>IF($A117="","",IF($D117="V01",cad!$C$35,IF($D117="V02",cad!$D$35,cad!$E$35)))</f>
        <v/>
      </c>
      <c r="M117" t="str">
        <f>IF($A117="","",IF($D117="V01",cad!$C$36,IF($D117="V02",cad!$D$36,cad!$E$36)))</f>
        <v/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 t="str">
        <f>IF($A118="","",IF($D118="V01",cad!$C$23,IF($D118="V02",cad!$D$23,cad!$E$23)))</f>
        <v/>
      </c>
      <c r="H118" t="str">
        <f>IF($A118="","",IF($D118="V01",cad!$C$24,IF($D118="V02",cad!$D$24,cad!$E$24)))</f>
        <v/>
      </c>
      <c r="I118" t="str">
        <f>IF($A118="","",IF($D118="V01",cad!$C$32,IF($D118="V02",cad!$D$32,cad!$E$32)))</f>
        <v/>
      </c>
      <c r="J118" t="str">
        <f>IF($A118="","",IF($D118="V01",cad!$C$33,IF($D118="V02",cad!$D$33,cad!$E$33)))</f>
        <v/>
      </c>
      <c r="K118" t="str">
        <f>IF($A118="","",IF($D118="V01",cad!$C$34,IF($D118="V02",cad!$D$34,cad!$E$34)))</f>
        <v/>
      </c>
      <c r="L118" t="str">
        <f>IF($A118="","",IF($D118="V01",cad!$C$35,IF($D118="V02",cad!$D$35,cad!$E$35)))</f>
        <v/>
      </c>
      <c r="M118" t="str">
        <f>IF($A118="","",IF($D118="V01",cad!$C$36,IF($D118="V02",cad!$D$36,cad!$E$36)))</f>
        <v/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 t="str">
        <f>IF($A119="","",IF($D119="V01",cad!$C$23,IF($D119="V02",cad!$D$23,cad!$E$23)))</f>
        <v/>
      </c>
      <c r="H119" t="str">
        <f>IF($A119="","",IF($D119="V01",cad!$C$24,IF($D119="V02",cad!$D$24,cad!$E$24)))</f>
        <v/>
      </c>
      <c r="I119" t="str">
        <f>IF($A119="","",IF($D119="V01",cad!$C$32,IF($D119="V02",cad!$D$32,cad!$E$32)))</f>
        <v/>
      </c>
      <c r="J119" t="str">
        <f>IF($A119="","",IF($D119="V01",cad!$C$33,IF($D119="V02",cad!$D$33,cad!$E$33)))</f>
        <v/>
      </c>
      <c r="K119" t="str">
        <f>IF($A119="","",IF($D119="V01",cad!$C$34,IF($D119="V02",cad!$D$34,cad!$E$34)))</f>
        <v/>
      </c>
      <c r="L119" t="str">
        <f>IF($A119="","",IF($D119="V01",cad!$C$35,IF($D119="V02",cad!$D$35,cad!$E$35)))</f>
        <v/>
      </c>
      <c r="M119" t="str">
        <f>IF($A119="","",IF($D119="V01",cad!$C$36,IF($D119="V02",cad!$D$36,cad!$E$36)))</f>
        <v/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 t="str">
        <f>IF($A120="","",IF($D120="V01",cad!$C$23,IF($D120="V02",cad!$D$23,cad!$E$23)))</f>
        <v/>
      </c>
      <c r="H120" t="str">
        <f>IF($A120="","",IF($D120="V01",cad!$C$24,IF($D120="V02",cad!$D$24,cad!$E$24)))</f>
        <v/>
      </c>
      <c r="I120" t="str">
        <f>IF($A120="","",IF($D120="V01",cad!$C$32,IF($D120="V02",cad!$D$32,cad!$E$32)))</f>
        <v/>
      </c>
      <c r="J120" t="str">
        <f>IF($A120="","",IF($D120="V01",cad!$C$33,IF($D120="V02",cad!$D$33,cad!$E$33)))</f>
        <v/>
      </c>
      <c r="K120" t="str">
        <f>IF($A120="","",IF($D120="V01",cad!$C$34,IF($D120="V02",cad!$D$34,cad!$E$34)))</f>
        <v/>
      </c>
      <c r="L120" t="str">
        <f>IF($A120="","",IF($D120="V01",cad!$C$35,IF($D120="V02",cad!$D$35,cad!$E$35)))</f>
        <v/>
      </c>
      <c r="M120" t="str">
        <f>IF($A120="","",IF($D120="V01",cad!$C$36,IF($D120="V02",cad!$D$36,cad!$E$36)))</f>
        <v/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 t="str">
        <f>IF($A121="","",IF($D121="V01",cad!$C$23,IF($D121="V02",cad!$D$23,cad!$E$23)))</f>
        <v/>
      </c>
      <c r="H121" t="str">
        <f>IF($A121="","",IF($D121="V01",cad!$C$24,IF($D121="V02",cad!$D$24,cad!$E$24)))</f>
        <v/>
      </c>
      <c r="I121" t="str">
        <f>IF($A121="","",IF($D121="V01",cad!$C$32,IF($D121="V02",cad!$D$32,cad!$E$32)))</f>
        <v/>
      </c>
      <c r="J121" t="str">
        <f>IF($A121="","",IF($D121="V01",cad!$C$33,IF($D121="V02",cad!$D$33,cad!$E$33)))</f>
        <v/>
      </c>
      <c r="K121" t="str">
        <f>IF($A121="","",IF($D121="V01",cad!$C$34,IF($D121="V02",cad!$D$34,cad!$E$34)))</f>
        <v/>
      </c>
      <c r="L121" t="str">
        <f>IF($A121="","",IF($D121="V01",cad!$C$35,IF($D121="V02",cad!$D$35,cad!$E$35)))</f>
        <v/>
      </c>
      <c r="M121" t="str">
        <f>IF($A121="","",IF($D121="V01",cad!$C$36,IF($D121="V02",cad!$D$36,cad!$E$36)))</f>
        <v/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 t="str">
        <f>IF($A122="","",IF($D122="V01",cad!$C$23,IF($D122="V02",cad!$D$23,cad!$E$23)))</f>
        <v/>
      </c>
      <c r="H122" t="str">
        <f>IF($A122="","",IF($D122="V01",cad!$C$24,IF($D122="V02",cad!$D$24,cad!$E$24)))</f>
        <v/>
      </c>
      <c r="I122" t="str">
        <f>IF($A122="","",IF($D122="V01",cad!$C$32,IF($D122="V02",cad!$D$32,cad!$E$32)))</f>
        <v/>
      </c>
      <c r="J122" t="str">
        <f>IF($A122="","",IF($D122="V01",cad!$C$33,IF($D122="V02",cad!$D$33,cad!$E$33)))</f>
        <v/>
      </c>
      <c r="K122" t="str">
        <f>IF($A122="","",IF($D122="V01",cad!$C$34,IF($D122="V02",cad!$D$34,cad!$E$34)))</f>
        <v/>
      </c>
      <c r="L122" t="str">
        <f>IF($A122="","",IF($D122="V01",cad!$C$35,IF($D122="V02",cad!$D$35,cad!$E$35)))</f>
        <v/>
      </c>
      <c r="M122" t="str">
        <f>IF($A122="","",IF($D122="V01",cad!$C$36,IF($D122="V02",cad!$D$36,cad!$E$36)))</f>
        <v/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 t="str">
        <f>IF($A123="","",IF($D123="V01",cad!$C$23,IF($D123="V02",cad!$D$23,cad!$E$23)))</f>
        <v/>
      </c>
      <c r="H123" t="str">
        <f>IF($A123="","",IF($D123="V01",cad!$C$24,IF($D123="V02",cad!$D$24,cad!$E$24)))</f>
        <v/>
      </c>
      <c r="I123" t="str">
        <f>IF($A123="","",IF($D123="V01",cad!$C$32,IF($D123="V02",cad!$D$32,cad!$E$32)))</f>
        <v/>
      </c>
      <c r="J123" t="str">
        <f>IF($A123="","",IF($D123="V01",cad!$C$33,IF($D123="V02",cad!$D$33,cad!$E$33)))</f>
        <v/>
      </c>
      <c r="K123" t="str">
        <f>IF($A123="","",IF($D123="V01",cad!$C$34,IF($D123="V02",cad!$D$34,cad!$E$34)))</f>
        <v/>
      </c>
      <c r="L123" t="str">
        <f>IF($A123="","",IF($D123="V01",cad!$C$35,IF($D123="V02",cad!$D$35,cad!$E$35)))</f>
        <v/>
      </c>
      <c r="M123" t="str">
        <f>IF($A123="","",IF($D123="V01",cad!$C$36,IF($D123="V02",cad!$D$36,cad!$E$36)))</f>
        <v/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 t="str">
        <f>IF($A124="","",IF($D124="V01",cad!$C$23,IF($D124="V02",cad!$D$23,cad!$E$23)))</f>
        <v/>
      </c>
      <c r="H124" t="str">
        <f>IF($A124="","",IF($D124="V01",cad!$C$24,IF($D124="V02",cad!$D$24,cad!$E$24)))</f>
        <v/>
      </c>
      <c r="I124" t="str">
        <f>IF($A124="","",IF($D124="V01",cad!$C$32,IF($D124="V02",cad!$D$32,cad!$E$32)))</f>
        <v/>
      </c>
      <c r="J124" t="str">
        <f>IF($A124="","",IF($D124="V01",cad!$C$33,IF($D124="V02",cad!$D$33,cad!$E$33)))</f>
        <v/>
      </c>
      <c r="K124" t="str">
        <f>IF($A124="","",IF($D124="V01",cad!$C$34,IF($D124="V02",cad!$D$34,cad!$E$34)))</f>
        <v/>
      </c>
      <c r="L124" t="str">
        <f>IF($A124="","",IF($D124="V01",cad!$C$35,IF($D124="V02",cad!$D$35,cad!$E$35)))</f>
        <v/>
      </c>
      <c r="M124" t="str">
        <f>IF($A124="","",IF($D124="V01",cad!$C$36,IF($D124="V02",cad!$D$36,cad!$E$36)))</f>
        <v/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 t="str">
        <f>IF($A125="","",IF($D125="V01",cad!$C$23,IF($D125="V02",cad!$D$23,cad!$E$23)))</f>
        <v/>
      </c>
      <c r="H125" t="str">
        <f>IF($A125="","",IF($D125="V01",cad!$C$24,IF($D125="V02",cad!$D$24,cad!$E$24)))</f>
        <v/>
      </c>
      <c r="I125" t="str">
        <f>IF($A125="","",IF($D125="V01",cad!$C$32,IF($D125="V02",cad!$D$32,cad!$E$32)))</f>
        <v/>
      </c>
      <c r="J125" t="str">
        <f>IF($A125="","",IF($D125="V01",cad!$C$33,IF($D125="V02",cad!$D$33,cad!$E$33)))</f>
        <v/>
      </c>
      <c r="K125" t="str">
        <f>IF($A125="","",IF($D125="V01",cad!$C$34,IF($D125="V02",cad!$D$34,cad!$E$34)))</f>
        <v/>
      </c>
      <c r="L125" t="str">
        <f>IF($A125="","",IF($D125="V01",cad!$C$35,IF($D125="V02",cad!$D$35,cad!$E$35)))</f>
        <v/>
      </c>
      <c r="M125" t="str">
        <f>IF($A125="","",IF($D125="V01",cad!$C$36,IF($D125="V02",cad!$D$36,cad!$E$36)))</f>
        <v/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 t="str">
        <f>IF($A126="","",IF($D126="V01",cad!$C$23,IF($D126="V02",cad!$D$23,cad!$E$23)))</f>
        <v/>
      </c>
      <c r="H126" t="str">
        <f>IF($A126="","",IF($D126="V01",cad!$C$24,IF($D126="V02",cad!$D$24,cad!$E$24)))</f>
        <v/>
      </c>
      <c r="I126" t="str">
        <f>IF($A126="","",IF($D126="V01",cad!$C$32,IF($D126="V02",cad!$D$32,cad!$E$32)))</f>
        <v/>
      </c>
      <c r="J126" t="str">
        <f>IF($A126="","",IF($D126="V01",cad!$C$33,IF($D126="V02",cad!$D$33,cad!$E$33)))</f>
        <v/>
      </c>
      <c r="K126" t="str">
        <f>IF($A126="","",IF($D126="V01",cad!$C$34,IF($D126="V02",cad!$D$34,cad!$E$34)))</f>
        <v/>
      </c>
      <c r="L126" t="str">
        <f>IF($A126="","",IF($D126="V01",cad!$C$35,IF($D126="V02",cad!$D$35,cad!$E$35)))</f>
        <v/>
      </c>
      <c r="M126" t="str">
        <f>IF($A126="","",IF($D126="V01",cad!$C$36,IF($D126="V02",cad!$D$36,cad!$E$36)))</f>
        <v/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 t="str">
        <f>IF($A127="","",IF($D127="V01",cad!$C$23,IF($D127="V02",cad!$D$23,cad!$E$23)))</f>
        <v/>
      </c>
      <c r="H127" t="str">
        <f>IF($A127="","",IF($D127="V01",cad!$C$24,IF($D127="V02",cad!$D$24,cad!$E$24)))</f>
        <v/>
      </c>
      <c r="I127" t="str">
        <f>IF($A127="","",IF($D127="V01",cad!$C$32,IF($D127="V02",cad!$D$32,cad!$E$32)))</f>
        <v/>
      </c>
      <c r="J127" t="str">
        <f>IF($A127="","",IF($D127="V01",cad!$C$33,IF($D127="V02",cad!$D$33,cad!$E$33)))</f>
        <v/>
      </c>
      <c r="K127" t="str">
        <f>IF($A127="","",IF($D127="V01",cad!$C$34,IF($D127="V02",cad!$D$34,cad!$E$34)))</f>
        <v/>
      </c>
      <c r="L127" t="str">
        <f>IF($A127="","",IF($D127="V01",cad!$C$35,IF($D127="V02",cad!$D$35,cad!$E$35)))</f>
        <v/>
      </c>
      <c r="M127" t="str">
        <f>IF($A127="","",IF($D127="V01",cad!$C$36,IF($D127="V02",cad!$D$36,cad!$E$36)))</f>
        <v/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 t="str">
        <f>IF($A128="","",IF($D128="V01",cad!$C$23,IF($D128="V02",cad!$D$23,cad!$E$23)))</f>
        <v/>
      </c>
      <c r="H128" t="str">
        <f>IF($A128="","",IF($D128="V01",cad!$C$24,IF($D128="V02",cad!$D$24,cad!$E$24)))</f>
        <v/>
      </c>
      <c r="I128" t="str">
        <f>IF($A128="","",IF($D128="V01",cad!$C$32,IF($D128="V02",cad!$D$32,cad!$E$32)))</f>
        <v/>
      </c>
      <c r="J128" t="str">
        <f>IF($A128="","",IF($D128="V01",cad!$C$33,IF($D128="V02",cad!$D$33,cad!$E$33)))</f>
        <v/>
      </c>
      <c r="K128" t="str">
        <f>IF($A128="","",IF($D128="V01",cad!$C$34,IF($D128="V02",cad!$D$34,cad!$E$34)))</f>
        <v/>
      </c>
      <c r="L128" t="str">
        <f>IF($A128="","",IF($D128="V01",cad!$C$35,IF($D128="V02",cad!$D$35,cad!$E$35)))</f>
        <v/>
      </c>
      <c r="M128" t="str">
        <f>IF($A128="","",IF($D128="V01",cad!$C$36,IF($D128="V02",cad!$D$36,cad!$E$36)))</f>
        <v/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 t="str">
        <f>IF($A129="","",IF($D129="V01",cad!$C$23,IF($D129="V02",cad!$D$23,cad!$E$23)))</f>
        <v/>
      </c>
      <c r="H129" t="str">
        <f>IF($A129="","",IF($D129="V01",cad!$C$24,IF($D129="V02",cad!$D$24,cad!$E$24)))</f>
        <v/>
      </c>
      <c r="I129" t="str">
        <f>IF($A129="","",IF($D129="V01",cad!$C$32,IF($D129="V02",cad!$D$32,cad!$E$32)))</f>
        <v/>
      </c>
      <c r="J129" t="str">
        <f>IF($A129="","",IF($D129="V01",cad!$C$33,IF($D129="V02",cad!$D$33,cad!$E$33)))</f>
        <v/>
      </c>
      <c r="K129" t="str">
        <f>IF($A129="","",IF($D129="V01",cad!$C$34,IF($D129="V02",cad!$D$34,cad!$E$34)))</f>
        <v/>
      </c>
      <c r="L129" t="str">
        <f>IF($A129="","",IF($D129="V01",cad!$C$35,IF($D129="V02",cad!$D$35,cad!$E$35)))</f>
        <v/>
      </c>
      <c r="M129" t="str">
        <f>IF($A129="","",IF($D129="V01",cad!$C$36,IF($D129="V02",cad!$D$36,cad!$E$36)))</f>
        <v/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 t="str">
        <f>IF($A130="","",IF($D130="V01",cad!$C$23,IF($D130="V02",cad!$D$23,cad!$E$23)))</f>
        <v/>
      </c>
      <c r="H130" t="str">
        <f>IF($A130="","",IF($D130="V01",cad!$C$24,IF($D130="V02",cad!$D$24,cad!$E$24)))</f>
        <v/>
      </c>
      <c r="I130" t="str">
        <f>IF($A130="","",IF($D130="V01",cad!$C$32,IF($D130="V02",cad!$D$32,cad!$E$32)))</f>
        <v/>
      </c>
      <c r="J130" t="str">
        <f>IF($A130="","",IF($D130="V01",cad!$C$33,IF($D130="V02",cad!$D$33,cad!$E$33)))</f>
        <v/>
      </c>
      <c r="K130" t="str">
        <f>IF($A130="","",IF($D130="V01",cad!$C$34,IF($D130="V02",cad!$D$34,cad!$E$34)))</f>
        <v/>
      </c>
      <c r="L130" t="str">
        <f>IF($A130="","",IF($D130="V01",cad!$C$35,IF($D130="V02",cad!$D$35,cad!$E$35)))</f>
        <v/>
      </c>
      <c r="M130" t="str">
        <f>IF($A130="","",IF($D130="V01",cad!$C$36,IF($D130="V02",cad!$D$36,cad!$E$36)))</f>
        <v/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 t="str">
        <f>IF($A131="","",IF($D131="V01",cad!$C$23,IF($D131="V02",cad!$D$23,cad!$E$23)))</f>
        <v/>
      </c>
      <c r="H131" t="str">
        <f>IF($A131="","",IF($D131="V01",cad!$C$24,IF($D131="V02",cad!$D$24,cad!$E$24)))</f>
        <v/>
      </c>
      <c r="I131" t="str">
        <f>IF($A131="","",IF($D131="V01",cad!$C$32,IF($D131="V02",cad!$D$32,cad!$E$32)))</f>
        <v/>
      </c>
      <c r="J131" t="str">
        <f>IF($A131="","",IF($D131="V01",cad!$C$33,IF($D131="V02",cad!$D$33,cad!$E$33)))</f>
        <v/>
      </c>
      <c r="K131" t="str">
        <f>IF($A131="","",IF($D131="V01",cad!$C$34,IF($D131="V02",cad!$D$34,cad!$E$34)))</f>
        <v/>
      </c>
      <c r="L131" t="str">
        <f>IF($A131="","",IF($D131="V01",cad!$C$35,IF($D131="V02",cad!$D$35,cad!$E$35)))</f>
        <v/>
      </c>
      <c r="M131" t="str">
        <f>IF($A131="","",IF($D131="V01",cad!$C$36,IF($D131="V02",cad!$D$36,cad!$E$36)))</f>
        <v/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 t="str">
        <f>IF($A132="","",IF($D132="V01",cad!$C$23,IF($D132="V02",cad!$D$23,cad!$E$23)))</f>
        <v/>
      </c>
      <c r="H132" t="str">
        <f>IF($A132="","",IF($D132="V01",cad!$C$24,IF($D132="V02",cad!$D$24,cad!$E$24)))</f>
        <v/>
      </c>
      <c r="I132" t="str">
        <f>IF($A132="","",IF($D132="V01",cad!$C$32,IF($D132="V02",cad!$D$32,cad!$E$32)))</f>
        <v/>
      </c>
      <c r="J132" t="str">
        <f>IF($A132="","",IF($D132="V01",cad!$C$33,IF($D132="V02",cad!$D$33,cad!$E$33)))</f>
        <v/>
      </c>
      <c r="K132" t="str">
        <f>IF($A132="","",IF($D132="V01",cad!$C$34,IF($D132="V02",cad!$D$34,cad!$E$34)))</f>
        <v/>
      </c>
      <c r="L132" t="str">
        <f>IF($A132="","",IF($D132="V01",cad!$C$35,IF($D132="V02",cad!$D$35,cad!$E$35)))</f>
        <v/>
      </c>
      <c r="M132" t="str">
        <f>IF($A132="","",IF($D132="V01",cad!$C$36,IF($D132="V02",cad!$D$36,cad!$E$36)))</f>
        <v/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 t="str">
        <f>IF($A133="","",IF($D133="V01",cad!$C$23,IF($D133="V02",cad!$D$23,cad!$E$23)))</f>
        <v/>
      </c>
      <c r="H133" t="str">
        <f>IF($A133="","",IF($D133="V01",cad!$C$24,IF($D133="V02",cad!$D$24,cad!$E$24)))</f>
        <v/>
      </c>
      <c r="I133" t="str">
        <f>IF($A133="","",IF($D133="V01",cad!$C$32,IF($D133="V02",cad!$D$32,cad!$E$32)))</f>
        <v/>
      </c>
      <c r="J133" t="str">
        <f>IF($A133="","",IF($D133="V01",cad!$C$33,IF($D133="V02",cad!$D$33,cad!$E$33)))</f>
        <v/>
      </c>
      <c r="K133" t="str">
        <f>IF($A133="","",IF($D133="V01",cad!$C$34,IF($D133="V02",cad!$D$34,cad!$E$34)))</f>
        <v/>
      </c>
      <c r="L133" t="str">
        <f>IF($A133="","",IF($D133="V01",cad!$C$35,IF($D133="V02",cad!$D$35,cad!$E$35)))</f>
        <v/>
      </c>
      <c r="M133" t="str">
        <f>IF($A133="","",IF($D133="V01",cad!$C$36,IF($D133="V02",cad!$D$36,cad!$E$36)))</f>
        <v/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 t="str">
        <f>IF($A134="","",IF($D134="V01",cad!$C$23,IF($D134="V02",cad!$D$23,cad!$E$23)))</f>
        <v/>
      </c>
      <c r="H134" t="str">
        <f>IF($A134="","",IF($D134="V01",cad!$C$24,IF($D134="V02",cad!$D$24,cad!$E$24)))</f>
        <v/>
      </c>
      <c r="I134" t="str">
        <f>IF($A134="","",IF($D134="V01",cad!$C$32,IF($D134="V02",cad!$D$32,cad!$E$32)))</f>
        <v/>
      </c>
      <c r="J134" t="str">
        <f>IF($A134="","",IF($D134="V01",cad!$C$33,IF($D134="V02",cad!$D$33,cad!$E$33)))</f>
        <v/>
      </c>
      <c r="K134" t="str">
        <f>IF($A134="","",IF($D134="V01",cad!$C$34,IF($D134="V02",cad!$D$34,cad!$E$34)))</f>
        <v/>
      </c>
      <c r="L134" t="str">
        <f>IF($A134="","",IF($D134="V01",cad!$C$35,IF($D134="V02",cad!$D$35,cad!$E$35)))</f>
        <v/>
      </c>
      <c r="M134" t="str">
        <f>IF($A134="","",IF($D134="V01",cad!$C$36,IF($D134="V02",cad!$D$36,cad!$E$36)))</f>
        <v/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 t="str">
        <f>IF($A135="","",IF($D135="V01",cad!$C$23,IF($D135="V02",cad!$D$23,cad!$E$23)))</f>
        <v/>
      </c>
      <c r="H135" t="str">
        <f>IF($A135="","",IF($D135="V01",cad!$C$24,IF($D135="V02",cad!$D$24,cad!$E$24)))</f>
        <v/>
      </c>
      <c r="I135" t="str">
        <f>IF($A135="","",IF($D135="V01",cad!$C$32,IF($D135="V02",cad!$D$32,cad!$E$32)))</f>
        <v/>
      </c>
      <c r="J135" t="str">
        <f>IF($A135="","",IF($D135="V01",cad!$C$33,IF($D135="V02",cad!$D$33,cad!$E$33)))</f>
        <v/>
      </c>
      <c r="K135" t="str">
        <f>IF($A135="","",IF($D135="V01",cad!$C$34,IF($D135="V02",cad!$D$34,cad!$E$34)))</f>
        <v/>
      </c>
      <c r="L135" t="str">
        <f>IF($A135="","",IF($D135="V01",cad!$C$35,IF($D135="V02",cad!$D$35,cad!$E$35)))</f>
        <v/>
      </c>
      <c r="M135" t="str">
        <f>IF($A135="","",IF($D135="V01",cad!$C$36,IF($D135="V02",cad!$D$36,cad!$E$36)))</f>
        <v/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 t="str">
        <f>IF($A136="","",IF($D136="V01",cad!$C$23,IF($D136="V02",cad!$D$23,cad!$E$23)))</f>
        <v/>
      </c>
      <c r="H136" t="str">
        <f>IF($A136="","",IF($D136="V01",cad!$C$24,IF($D136="V02",cad!$D$24,cad!$E$24)))</f>
        <v/>
      </c>
      <c r="I136" t="str">
        <f>IF($A136="","",IF($D136="V01",cad!$C$32,IF($D136="V02",cad!$D$32,cad!$E$32)))</f>
        <v/>
      </c>
      <c r="J136" t="str">
        <f>IF($A136="","",IF($D136="V01",cad!$C$33,IF($D136="V02",cad!$D$33,cad!$E$33)))</f>
        <v/>
      </c>
      <c r="K136" t="str">
        <f>IF($A136="","",IF($D136="V01",cad!$C$34,IF($D136="V02",cad!$D$34,cad!$E$34)))</f>
        <v/>
      </c>
      <c r="L136" t="str">
        <f>IF($A136="","",IF($D136="V01",cad!$C$35,IF($D136="V02",cad!$D$35,cad!$E$35)))</f>
        <v/>
      </c>
      <c r="M136" t="str">
        <f>IF($A136="","",IF($D136="V01",cad!$C$36,IF($D136="V02",cad!$D$36,cad!$E$36)))</f>
        <v/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 t="str">
        <f>IF($A137="","",IF($D137="V01",cad!$C$23,IF($D137="V02",cad!$D$23,cad!$E$23)))</f>
        <v/>
      </c>
      <c r="H137" t="str">
        <f>IF($A137="","",IF($D137="V01",cad!$C$24,IF($D137="V02",cad!$D$24,cad!$E$24)))</f>
        <v/>
      </c>
      <c r="I137" t="str">
        <f>IF($A137="","",IF($D137="V01",cad!$C$32,IF($D137="V02",cad!$D$32,cad!$E$32)))</f>
        <v/>
      </c>
      <c r="J137" t="str">
        <f>IF($A137="","",IF($D137="V01",cad!$C$33,IF($D137="V02",cad!$D$33,cad!$E$33)))</f>
        <v/>
      </c>
      <c r="K137" t="str">
        <f>IF($A137="","",IF($D137="V01",cad!$C$34,IF($D137="V02",cad!$D$34,cad!$E$34)))</f>
        <v/>
      </c>
      <c r="L137" t="str">
        <f>IF($A137="","",IF($D137="V01",cad!$C$35,IF($D137="V02",cad!$D$35,cad!$E$35)))</f>
        <v/>
      </c>
      <c r="M137" t="str">
        <f>IF($A137="","",IF($D137="V01",cad!$C$36,IF($D137="V02",cad!$D$36,cad!$E$36)))</f>
        <v/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 t="str">
        <f>IF($A138="","",IF($D138="V01",cad!$C$23,IF($D138="V02",cad!$D$23,cad!$E$23)))</f>
        <v/>
      </c>
      <c r="H138" t="str">
        <f>IF($A138="","",IF($D138="V01",cad!$C$24,IF($D138="V02",cad!$D$24,cad!$E$24)))</f>
        <v/>
      </c>
      <c r="I138" t="str">
        <f>IF($A138="","",IF($D138="V01",cad!$C$32,IF($D138="V02",cad!$D$32,cad!$E$32)))</f>
        <v/>
      </c>
      <c r="J138" t="str">
        <f>IF($A138="","",IF($D138="V01",cad!$C$33,IF($D138="V02",cad!$D$33,cad!$E$33)))</f>
        <v/>
      </c>
      <c r="K138" t="str">
        <f>IF($A138="","",IF($D138="V01",cad!$C$34,IF($D138="V02",cad!$D$34,cad!$E$34)))</f>
        <v/>
      </c>
      <c r="L138" t="str">
        <f>IF($A138="","",IF($D138="V01",cad!$C$35,IF($D138="V02",cad!$D$35,cad!$E$35)))</f>
        <v/>
      </c>
      <c r="M138" t="str">
        <f>IF($A138="","",IF($D138="V01",cad!$C$36,IF($D138="V02",cad!$D$36,cad!$E$36)))</f>
        <v/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 t="str">
        <f>IF($A139="","",IF($D139="V01",cad!$C$23,IF($D139="V02",cad!$D$23,cad!$E$23)))</f>
        <v/>
      </c>
      <c r="H139" t="str">
        <f>IF($A139="","",IF($D139="V01",cad!$C$24,IF($D139="V02",cad!$D$24,cad!$E$24)))</f>
        <v/>
      </c>
      <c r="I139" t="str">
        <f>IF($A139="","",IF($D139="V01",cad!$C$32,IF($D139="V02",cad!$D$32,cad!$E$32)))</f>
        <v/>
      </c>
      <c r="J139" t="str">
        <f>IF($A139="","",IF($D139="V01",cad!$C$33,IF($D139="V02",cad!$D$33,cad!$E$33)))</f>
        <v/>
      </c>
      <c r="K139" t="str">
        <f>IF($A139="","",IF($D139="V01",cad!$C$34,IF($D139="V02",cad!$D$34,cad!$E$34)))</f>
        <v/>
      </c>
      <c r="L139" t="str">
        <f>IF($A139="","",IF($D139="V01",cad!$C$35,IF($D139="V02",cad!$D$35,cad!$E$35)))</f>
        <v/>
      </c>
      <c r="M139" t="str">
        <f>IF($A139="","",IF($D139="V01",cad!$C$36,IF($D139="V02",cad!$D$36,cad!$E$36)))</f>
        <v/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 t="str">
        <f>IF($A140="","",IF($D140="V01",cad!$C$23,IF($D140="V02",cad!$D$23,cad!$E$23)))</f>
        <v/>
      </c>
      <c r="H140" t="str">
        <f>IF($A140="","",IF($D140="V01",cad!$C$24,IF($D140="V02",cad!$D$24,cad!$E$24)))</f>
        <v/>
      </c>
      <c r="I140" t="str">
        <f>IF($A140="","",IF($D140="V01",cad!$C$32,IF($D140="V02",cad!$D$32,cad!$E$32)))</f>
        <v/>
      </c>
      <c r="J140" t="str">
        <f>IF($A140="","",IF($D140="V01",cad!$C$33,IF($D140="V02",cad!$D$33,cad!$E$33)))</f>
        <v/>
      </c>
      <c r="K140" t="str">
        <f>IF($A140="","",IF($D140="V01",cad!$C$34,IF($D140="V02",cad!$D$34,cad!$E$34)))</f>
        <v/>
      </c>
      <c r="L140" t="str">
        <f>IF($A140="","",IF($D140="V01",cad!$C$35,IF($D140="V02",cad!$D$35,cad!$E$35)))</f>
        <v/>
      </c>
      <c r="M140" t="str">
        <f>IF($A140="","",IF($D140="V01",cad!$C$36,IF($D140="V02",cad!$D$36,cad!$E$36)))</f>
        <v/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 t="str">
        <f>IF($A141="","",IF($D141="V01",cad!$C$23,IF($D141="V02",cad!$D$23,cad!$E$23)))</f>
        <v/>
      </c>
      <c r="H141" t="str">
        <f>IF($A141="","",IF($D141="V01",cad!$C$24,IF($D141="V02",cad!$D$24,cad!$E$24)))</f>
        <v/>
      </c>
      <c r="I141" t="str">
        <f>IF($A141="","",IF($D141="V01",cad!$C$32,IF($D141="V02",cad!$D$32,cad!$E$32)))</f>
        <v/>
      </c>
      <c r="J141" t="str">
        <f>IF($A141="","",IF($D141="V01",cad!$C$33,IF($D141="V02",cad!$D$33,cad!$E$33)))</f>
        <v/>
      </c>
      <c r="K141" t="str">
        <f>IF($A141="","",IF($D141="V01",cad!$C$34,IF($D141="V02",cad!$D$34,cad!$E$34)))</f>
        <v/>
      </c>
      <c r="L141" t="str">
        <f>IF($A141="","",IF($D141="V01",cad!$C$35,IF($D141="V02",cad!$D$35,cad!$E$35)))</f>
        <v/>
      </c>
      <c r="M141" t="str">
        <f>IF($A141="","",IF($D141="V01",cad!$C$36,IF($D141="V02",cad!$D$36,cad!$E$36)))</f>
        <v/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 t="str">
        <f>IF($A142="","",IF($D142="V01",cad!$C$23,IF($D142="V02",cad!$D$23,cad!$E$23)))</f>
        <v/>
      </c>
      <c r="H142" t="str">
        <f>IF($A142="","",IF($D142="V01",cad!$C$24,IF($D142="V02",cad!$D$24,cad!$E$24)))</f>
        <v/>
      </c>
      <c r="I142" t="str">
        <f>IF($A142="","",IF($D142="V01",cad!$C$32,IF($D142="V02",cad!$D$32,cad!$E$32)))</f>
        <v/>
      </c>
      <c r="J142" t="str">
        <f>IF($A142="","",IF($D142="V01",cad!$C$33,IF($D142="V02",cad!$D$33,cad!$E$33)))</f>
        <v/>
      </c>
      <c r="K142" t="str">
        <f>IF($A142="","",IF($D142="V01",cad!$C$34,IF($D142="V02",cad!$D$34,cad!$E$34)))</f>
        <v/>
      </c>
      <c r="L142" t="str">
        <f>IF($A142="","",IF($D142="V01",cad!$C$35,IF($D142="V02",cad!$D$35,cad!$E$35)))</f>
        <v/>
      </c>
      <c r="M142" t="str">
        <f>IF($A142="","",IF($D142="V01",cad!$C$36,IF($D142="V02",cad!$D$36,cad!$E$36)))</f>
        <v/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 t="str">
        <f>IF($A143="","",IF($D143="V01",cad!$C$23,IF($D143="V02",cad!$D$23,cad!$E$23)))</f>
        <v/>
      </c>
      <c r="H143" t="str">
        <f>IF($A143="","",IF($D143="V01",cad!$C$24,IF($D143="V02",cad!$D$24,cad!$E$24)))</f>
        <v/>
      </c>
      <c r="I143" t="str">
        <f>IF($A143="","",IF($D143="V01",cad!$C$32,IF($D143="V02",cad!$D$32,cad!$E$32)))</f>
        <v/>
      </c>
      <c r="J143" t="str">
        <f>IF($A143="","",IF($D143="V01",cad!$C$33,IF($D143="V02",cad!$D$33,cad!$E$33)))</f>
        <v/>
      </c>
      <c r="K143" t="str">
        <f>IF($A143="","",IF($D143="V01",cad!$C$34,IF($D143="V02",cad!$D$34,cad!$E$34)))</f>
        <v/>
      </c>
      <c r="L143" t="str">
        <f>IF($A143="","",IF($D143="V01",cad!$C$35,IF($D143="V02",cad!$D$35,cad!$E$35)))</f>
        <v/>
      </c>
      <c r="M143" t="str">
        <f>IF($A143="","",IF($D143="V01",cad!$C$36,IF($D143="V02",cad!$D$36,cad!$E$36)))</f>
        <v/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 t="str">
        <f>IF($A144="","",IF($D144="V01",cad!$C$23,IF($D144="V02",cad!$D$23,cad!$E$23)))</f>
        <v/>
      </c>
      <c r="H144" t="str">
        <f>IF($A144="","",IF($D144="V01",cad!$C$24,IF($D144="V02",cad!$D$24,cad!$E$24)))</f>
        <v/>
      </c>
      <c r="I144" t="str">
        <f>IF($A144="","",IF($D144="V01",cad!$C$32,IF($D144="V02",cad!$D$32,cad!$E$32)))</f>
        <v/>
      </c>
      <c r="J144" t="str">
        <f>IF($A144="","",IF($D144="V01",cad!$C$33,IF($D144="V02",cad!$D$33,cad!$E$33)))</f>
        <v/>
      </c>
      <c r="K144" t="str">
        <f>IF($A144="","",IF($D144="V01",cad!$C$34,IF($D144="V02",cad!$D$34,cad!$E$34)))</f>
        <v/>
      </c>
      <c r="L144" t="str">
        <f>IF($A144="","",IF($D144="V01",cad!$C$35,IF($D144="V02",cad!$D$35,cad!$E$35)))</f>
        <v/>
      </c>
      <c r="M144" t="str">
        <f>IF($A144="","",IF($D144="V01",cad!$C$36,IF($D144="V02",cad!$D$36,cad!$E$36)))</f>
        <v/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 t="str">
        <f>IF($A145="","",IF($D145="V01",cad!$C$23,IF($D145="V02",cad!$D$23,cad!$E$23)))</f>
        <v/>
      </c>
      <c r="H145" t="str">
        <f>IF($A145="","",IF($D145="V01",cad!$C$24,IF($D145="V02",cad!$D$24,cad!$E$24)))</f>
        <v/>
      </c>
      <c r="I145" t="str">
        <f>IF($A145="","",IF($D145="V01",cad!$C$32,IF($D145="V02",cad!$D$32,cad!$E$32)))</f>
        <v/>
      </c>
      <c r="J145" t="str">
        <f>IF($A145="","",IF($D145="V01",cad!$C$33,IF($D145="V02",cad!$D$33,cad!$E$33)))</f>
        <v/>
      </c>
      <c r="K145" t="str">
        <f>IF($A145="","",IF($D145="V01",cad!$C$34,IF($D145="V02",cad!$D$34,cad!$E$34)))</f>
        <v/>
      </c>
      <c r="L145" t="str">
        <f>IF($A145="","",IF($D145="V01",cad!$C$35,IF($D145="V02",cad!$D$35,cad!$E$35)))</f>
        <v/>
      </c>
      <c r="M145" t="str">
        <f>IF($A145="","",IF($D145="V01",cad!$C$36,IF($D145="V02",cad!$D$36,cad!$E$36)))</f>
        <v/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 t="str">
        <f>IF($A146="","",IF($D146="V01",cad!$C$23,IF($D146="V02",cad!$D$23,cad!$E$23)))</f>
        <v/>
      </c>
      <c r="H146" t="str">
        <f>IF($A146="","",IF($D146="V01",cad!$C$24,IF($D146="V02",cad!$D$24,cad!$E$24)))</f>
        <v/>
      </c>
      <c r="I146" t="str">
        <f>IF($A146="","",IF($D146="V01",cad!$C$32,IF($D146="V02",cad!$D$32,cad!$E$32)))</f>
        <v/>
      </c>
      <c r="J146" t="str">
        <f>IF($A146="","",IF($D146="V01",cad!$C$33,IF($D146="V02",cad!$D$33,cad!$E$33)))</f>
        <v/>
      </c>
      <c r="K146" t="str">
        <f>IF($A146="","",IF($D146="V01",cad!$C$34,IF($D146="V02",cad!$D$34,cad!$E$34)))</f>
        <v/>
      </c>
      <c r="L146" t="str">
        <f>IF($A146="","",IF($D146="V01",cad!$C$35,IF($D146="V02",cad!$D$35,cad!$E$35)))</f>
        <v/>
      </c>
      <c r="M146" t="str">
        <f>IF($A146="","",IF($D146="V01",cad!$C$36,IF($D146="V02",cad!$D$36,cad!$E$36)))</f>
        <v/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 t="str">
        <f>IF($A147="","",IF($D147="V01",cad!$C$23,IF($D147="V02",cad!$D$23,cad!$E$23)))</f>
        <v/>
      </c>
      <c r="H147" t="str">
        <f>IF($A147="","",IF($D147="V01",cad!$C$24,IF($D147="V02",cad!$D$24,cad!$E$24)))</f>
        <v/>
      </c>
      <c r="I147" t="str">
        <f>IF($A147="","",IF($D147="V01",cad!$C$32,IF($D147="V02",cad!$D$32,cad!$E$32)))</f>
        <v/>
      </c>
      <c r="J147" t="str">
        <f>IF($A147="","",IF($D147="V01",cad!$C$33,IF($D147="V02",cad!$D$33,cad!$E$33)))</f>
        <v/>
      </c>
      <c r="K147" t="str">
        <f>IF($A147="","",IF($D147="V01",cad!$C$34,IF($D147="V02",cad!$D$34,cad!$E$34)))</f>
        <v/>
      </c>
      <c r="L147" t="str">
        <f>IF($A147="","",IF($D147="V01",cad!$C$35,IF($D147="V02",cad!$D$35,cad!$E$35)))</f>
        <v/>
      </c>
      <c r="M147" t="str">
        <f>IF($A147="","",IF($D147="V01",cad!$C$36,IF($D147="V02",cad!$D$36,cad!$E$36)))</f>
        <v/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 t="str">
        <f>IF($A148="","",IF($D148="V01",cad!$C$23,IF($D148="V02",cad!$D$23,cad!$E$23)))</f>
        <v/>
      </c>
      <c r="H148" t="str">
        <f>IF($A148="","",IF($D148="V01",cad!$C$24,IF($D148="V02",cad!$D$24,cad!$E$24)))</f>
        <v/>
      </c>
      <c r="I148" t="str">
        <f>IF($A148="","",IF($D148="V01",cad!$C$32,IF($D148="V02",cad!$D$32,cad!$E$32)))</f>
        <v/>
      </c>
      <c r="J148" t="str">
        <f>IF($A148="","",IF($D148="V01",cad!$C$33,IF($D148="V02",cad!$D$33,cad!$E$33)))</f>
        <v/>
      </c>
      <c r="K148" t="str">
        <f>IF($A148="","",IF($D148="V01",cad!$C$34,IF($D148="V02",cad!$D$34,cad!$E$34)))</f>
        <v/>
      </c>
      <c r="L148" t="str">
        <f>IF($A148="","",IF($D148="V01",cad!$C$35,IF($D148="V02",cad!$D$35,cad!$E$35)))</f>
        <v/>
      </c>
      <c r="M148" t="str">
        <f>IF($A148="","",IF($D148="V01",cad!$C$36,IF($D148="V02",cad!$D$36,cad!$E$36)))</f>
        <v/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 t="str">
        <f>IF($A149="","",IF($D149="V01",cad!$C$23,IF($D149="V02",cad!$D$23,cad!$E$23)))</f>
        <v/>
      </c>
      <c r="H149" t="str">
        <f>IF($A149="","",IF($D149="V01",cad!$C$24,IF($D149="V02",cad!$D$24,cad!$E$24)))</f>
        <v/>
      </c>
      <c r="I149" t="str">
        <f>IF($A149="","",IF($D149="V01",cad!$C$32,IF($D149="V02",cad!$D$32,cad!$E$32)))</f>
        <v/>
      </c>
      <c r="J149" t="str">
        <f>IF($A149="","",IF($D149="V01",cad!$C$33,IF($D149="V02",cad!$D$33,cad!$E$33)))</f>
        <v/>
      </c>
      <c r="K149" t="str">
        <f>IF($A149="","",IF($D149="V01",cad!$C$34,IF($D149="V02",cad!$D$34,cad!$E$34)))</f>
        <v/>
      </c>
      <c r="L149" t="str">
        <f>IF($A149="","",IF($D149="V01",cad!$C$35,IF($D149="V02",cad!$D$35,cad!$E$35)))</f>
        <v/>
      </c>
      <c r="M149" t="str">
        <f>IF($A149="","",IF($D149="V01",cad!$C$36,IF($D149="V02",cad!$D$36,cad!$E$36)))</f>
        <v/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 t="str">
        <f>IF($A150="","",IF($D150="V01",cad!$C$23,IF($D150="V02",cad!$D$23,cad!$E$23)))</f>
        <v/>
      </c>
      <c r="H150" t="str">
        <f>IF($A150="","",IF($D150="V01",cad!$C$24,IF($D150="V02",cad!$D$24,cad!$E$24)))</f>
        <v/>
      </c>
      <c r="I150" t="str">
        <f>IF($A150="","",IF($D150="V01",cad!$C$32,IF($D150="V02",cad!$D$32,cad!$E$32)))</f>
        <v/>
      </c>
      <c r="J150" t="str">
        <f>IF($A150="","",IF($D150="V01",cad!$C$33,IF($D150="V02",cad!$D$33,cad!$E$33)))</f>
        <v/>
      </c>
      <c r="K150" t="str">
        <f>IF($A150="","",IF($D150="V01",cad!$C$34,IF($D150="V02",cad!$D$34,cad!$E$34)))</f>
        <v/>
      </c>
      <c r="L150" t="str">
        <f>IF($A150="","",IF($D150="V01",cad!$C$35,IF($D150="V02",cad!$D$35,cad!$E$35)))</f>
        <v/>
      </c>
      <c r="M150" t="str">
        <f>IF($A150="","",IF($D150="V01",cad!$C$36,IF($D150="V02",cad!$D$36,cad!$E$36)))</f>
        <v/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 t="str">
        <f>IF($A151="","",IF($D151="V01",cad!$C$23,IF($D151="V02",cad!$D$23,cad!$E$23)))</f>
        <v/>
      </c>
      <c r="H151" t="str">
        <f>IF($A151="","",IF($D151="V01",cad!$C$24,IF($D151="V02",cad!$D$24,cad!$E$24)))</f>
        <v/>
      </c>
      <c r="I151" t="str">
        <f>IF($A151="","",IF($D151="V01",cad!$C$32,IF($D151="V02",cad!$D$32,cad!$E$32)))</f>
        <v/>
      </c>
      <c r="J151" t="str">
        <f>IF($A151="","",IF($D151="V01",cad!$C$33,IF($D151="V02",cad!$D$33,cad!$E$33)))</f>
        <v/>
      </c>
      <c r="K151" t="str">
        <f>IF($A151="","",IF($D151="V01",cad!$C$34,IF($D151="V02",cad!$D$34,cad!$E$34)))</f>
        <v/>
      </c>
      <c r="L151" t="str">
        <f>IF($A151="","",IF($D151="V01",cad!$C$35,IF($D151="V02",cad!$D$35,cad!$E$35)))</f>
        <v/>
      </c>
      <c r="M151" t="str">
        <f>IF($A151="","",IF($D151="V01",cad!$C$36,IF($D151="V02",cad!$D$36,cad!$E$36)))</f>
        <v/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 t="str">
        <f>IF($A152="","",IF($D152="V01",cad!$C$23,IF($D152="V02",cad!$D$23,cad!$E$23)))</f>
        <v/>
      </c>
      <c r="H152" t="str">
        <f>IF($A152="","",IF($D152="V01",cad!$C$24,IF($D152="V02",cad!$D$24,cad!$E$24)))</f>
        <v/>
      </c>
      <c r="I152" t="str">
        <f>IF($A152="","",IF($D152="V01",cad!$C$32,IF($D152="V02",cad!$D$32,cad!$E$32)))</f>
        <v/>
      </c>
      <c r="J152" t="str">
        <f>IF($A152="","",IF($D152="V01",cad!$C$33,IF($D152="V02",cad!$D$33,cad!$E$33)))</f>
        <v/>
      </c>
      <c r="K152" t="str">
        <f>IF($A152="","",IF($D152="V01",cad!$C$34,IF($D152="V02",cad!$D$34,cad!$E$34)))</f>
        <v/>
      </c>
      <c r="L152" t="str">
        <f>IF($A152="","",IF($D152="V01",cad!$C$35,IF($D152="V02",cad!$D$35,cad!$E$35)))</f>
        <v/>
      </c>
      <c r="M152" t="str">
        <f>IF($A152="","",IF($D152="V01",cad!$C$36,IF($D152="V02",cad!$D$36,cad!$E$36)))</f>
        <v/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 t="str">
        <f>IF($A153="","",IF($D153="V01",cad!$C$23,IF($D153="V02",cad!$D$23,cad!$E$23)))</f>
        <v/>
      </c>
      <c r="H153" t="str">
        <f>IF($A153="","",IF($D153="V01",cad!$C$24,IF($D153="V02",cad!$D$24,cad!$E$24)))</f>
        <v/>
      </c>
      <c r="I153" t="str">
        <f>IF($A153="","",IF($D153="V01",cad!$C$32,IF($D153="V02",cad!$D$32,cad!$E$32)))</f>
        <v/>
      </c>
      <c r="J153" t="str">
        <f>IF($A153="","",IF($D153="V01",cad!$C$33,IF($D153="V02",cad!$D$33,cad!$E$33)))</f>
        <v/>
      </c>
      <c r="K153" t="str">
        <f>IF($A153="","",IF($D153="V01",cad!$C$34,IF($D153="V02",cad!$D$34,cad!$E$34)))</f>
        <v/>
      </c>
      <c r="L153" t="str">
        <f>IF($A153="","",IF($D153="V01",cad!$C$35,IF($D153="V02",cad!$D$35,cad!$E$35)))</f>
        <v/>
      </c>
      <c r="M153" t="str">
        <f>IF($A153="","",IF($D153="V01",cad!$C$36,IF($D153="V02",cad!$D$36,cad!$E$36)))</f>
        <v/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 t="str">
        <f>IF($A154="","",IF($D154="V01",cad!$C$23,IF($D154="V02",cad!$D$23,cad!$E$23)))</f>
        <v/>
      </c>
      <c r="H154" t="str">
        <f>IF($A154="","",IF($D154="V01",cad!$C$24,IF($D154="V02",cad!$D$24,cad!$E$24)))</f>
        <v/>
      </c>
      <c r="I154" t="str">
        <f>IF($A154="","",IF($D154="V01",cad!$C$32,IF($D154="V02",cad!$D$32,cad!$E$32)))</f>
        <v/>
      </c>
      <c r="J154" t="str">
        <f>IF($A154="","",IF($D154="V01",cad!$C$33,IF($D154="V02",cad!$D$33,cad!$E$33)))</f>
        <v/>
      </c>
      <c r="K154" t="str">
        <f>IF($A154="","",IF($D154="V01",cad!$C$34,IF($D154="V02",cad!$D$34,cad!$E$34)))</f>
        <v/>
      </c>
      <c r="L154" t="str">
        <f>IF($A154="","",IF($D154="V01",cad!$C$35,IF($D154="V02",cad!$D$35,cad!$E$35)))</f>
        <v/>
      </c>
      <c r="M154" t="str">
        <f>IF($A154="","",IF($D154="V01",cad!$C$36,IF($D154="V02",cad!$D$36,cad!$E$36)))</f>
        <v/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 t="str">
        <f>IF($A155="","",IF($D155="V01",cad!$C$23,IF($D155="V02",cad!$D$23,cad!$E$23)))</f>
        <v/>
      </c>
      <c r="H155" t="str">
        <f>IF($A155="","",IF($D155="V01",cad!$C$24,IF($D155="V02",cad!$D$24,cad!$E$24)))</f>
        <v/>
      </c>
      <c r="I155" t="str">
        <f>IF($A155="","",IF($D155="V01",cad!$C$32,IF($D155="V02",cad!$D$32,cad!$E$32)))</f>
        <v/>
      </c>
      <c r="J155" t="str">
        <f>IF($A155="","",IF($D155="V01",cad!$C$33,IF($D155="V02",cad!$D$33,cad!$E$33)))</f>
        <v/>
      </c>
      <c r="K155" t="str">
        <f>IF($A155="","",IF($D155="V01",cad!$C$34,IF($D155="V02",cad!$D$34,cad!$E$34)))</f>
        <v/>
      </c>
      <c r="L155" t="str">
        <f>IF($A155="","",IF($D155="V01",cad!$C$35,IF($D155="V02",cad!$D$35,cad!$E$35)))</f>
        <v/>
      </c>
      <c r="M155" t="str">
        <f>IF($A155="","",IF($D155="V01",cad!$C$36,IF($D155="V02",cad!$D$36,cad!$E$36)))</f>
        <v/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 t="str">
        <f>IF($A156="","",IF($D156="V01",cad!$C$23,IF($D156="V02",cad!$D$23,cad!$E$23)))</f>
        <v/>
      </c>
      <c r="H156" t="str">
        <f>IF($A156="","",IF($D156="V01",cad!$C$24,IF($D156="V02",cad!$D$24,cad!$E$24)))</f>
        <v/>
      </c>
      <c r="I156" t="str">
        <f>IF($A156="","",IF($D156="V01",cad!$C$32,IF($D156="V02",cad!$D$32,cad!$E$32)))</f>
        <v/>
      </c>
      <c r="J156" t="str">
        <f>IF($A156="","",IF($D156="V01",cad!$C$33,IF($D156="V02",cad!$D$33,cad!$E$33)))</f>
        <v/>
      </c>
      <c r="K156" t="str">
        <f>IF($A156="","",IF($D156="V01",cad!$C$34,IF($D156="V02",cad!$D$34,cad!$E$34)))</f>
        <v/>
      </c>
      <c r="L156" t="str">
        <f>IF($A156="","",IF($D156="V01",cad!$C$35,IF($D156="V02",cad!$D$35,cad!$E$35)))</f>
        <v/>
      </c>
      <c r="M156" t="str">
        <f>IF($A156="","",IF($D156="V01",cad!$C$36,IF($D156="V02",cad!$D$36,cad!$E$36)))</f>
        <v/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 t="str">
        <f>IF($A157="","",IF($D157="V01",cad!$C$23,IF($D157="V02",cad!$D$23,cad!$E$23)))</f>
        <v/>
      </c>
      <c r="H157" t="str">
        <f>IF($A157="","",IF($D157="V01",cad!$C$24,IF($D157="V02",cad!$D$24,cad!$E$24)))</f>
        <v/>
      </c>
      <c r="I157" t="str">
        <f>IF($A157="","",IF($D157="V01",cad!$C$32,IF($D157="V02",cad!$D$32,cad!$E$32)))</f>
        <v/>
      </c>
      <c r="J157" t="str">
        <f>IF($A157="","",IF($D157="V01",cad!$C$33,IF($D157="V02",cad!$D$33,cad!$E$33)))</f>
        <v/>
      </c>
      <c r="K157" t="str">
        <f>IF($A157="","",IF($D157="V01",cad!$C$34,IF($D157="V02",cad!$D$34,cad!$E$34)))</f>
        <v/>
      </c>
      <c r="L157" t="str">
        <f>IF($A157="","",IF($D157="V01",cad!$C$35,IF($D157="V02",cad!$D$35,cad!$E$35)))</f>
        <v/>
      </c>
      <c r="M157" t="str">
        <f>IF($A157="","",IF($D157="V01",cad!$C$36,IF($D157="V02",cad!$D$36,cad!$E$36)))</f>
        <v/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 t="str">
        <f>IF($A158="","",IF($D158="V01",cad!$C$23,IF($D158="V02",cad!$D$23,cad!$E$23)))</f>
        <v/>
      </c>
      <c r="H158" t="str">
        <f>IF($A158="","",IF($D158="V01",cad!$C$24,IF($D158="V02",cad!$D$24,cad!$E$24)))</f>
        <v/>
      </c>
      <c r="I158" t="str">
        <f>IF($A158="","",IF($D158="V01",cad!$C$32,IF($D158="V02",cad!$D$32,cad!$E$32)))</f>
        <v/>
      </c>
      <c r="J158" t="str">
        <f>IF($A158="","",IF($D158="V01",cad!$C$33,IF($D158="V02",cad!$D$33,cad!$E$33)))</f>
        <v/>
      </c>
      <c r="K158" t="str">
        <f>IF($A158="","",IF($D158="V01",cad!$C$34,IF($D158="V02",cad!$D$34,cad!$E$34)))</f>
        <v/>
      </c>
      <c r="L158" t="str">
        <f>IF($A158="","",IF($D158="V01",cad!$C$35,IF($D158="V02",cad!$D$35,cad!$E$35)))</f>
        <v/>
      </c>
      <c r="M158" t="str">
        <f>IF($A158="","",IF($D158="V01",cad!$C$36,IF($D158="V02",cad!$D$36,cad!$E$36)))</f>
        <v/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 t="str">
        <f>IF($A159="","",IF($D159="V01",cad!$C$23,IF($D159="V02",cad!$D$23,cad!$E$23)))</f>
        <v/>
      </c>
      <c r="H159" t="str">
        <f>IF($A159="","",IF($D159="V01",cad!$C$24,IF($D159="V02",cad!$D$24,cad!$E$24)))</f>
        <v/>
      </c>
      <c r="I159" t="str">
        <f>IF($A159="","",IF($D159="V01",cad!$C$32,IF($D159="V02",cad!$D$32,cad!$E$32)))</f>
        <v/>
      </c>
      <c r="J159" t="str">
        <f>IF($A159="","",IF($D159="V01",cad!$C$33,IF($D159="V02",cad!$D$33,cad!$E$33)))</f>
        <v/>
      </c>
      <c r="K159" t="str">
        <f>IF($A159="","",IF($D159="V01",cad!$C$34,IF($D159="V02",cad!$D$34,cad!$E$34)))</f>
        <v/>
      </c>
      <c r="L159" t="str">
        <f>IF($A159="","",IF($D159="V01",cad!$C$35,IF($D159="V02",cad!$D$35,cad!$E$35)))</f>
        <v/>
      </c>
      <c r="M159" t="str">
        <f>IF($A159="","",IF($D159="V01",cad!$C$36,IF($D159="V02",cad!$D$36,cad!$E$36)))</f>
        <v/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 t="str">
        <f>IF($A160="","",IF($D160="V01",cad!$C$23,IF($D160="V02",cad!$D$23,cad!$E$23)))</f>
        <v/>
      </c>
      <c r="H160" t="str">
        <f>IF($A160="","",IF($D160="V01",cad!$C$24,IF($D160="V02",cad!$D$24,cad!$E$24)))</f>
        <v/>
      </c>
      <c r="I160" t="str">
        <f>IF($A160="","",IF($D160="V01",cad!$C$32,IF($D160="V02",cad!$D$32,cad!$E$32)))</f>
        <v/>
      </c>
      <c r="J160" t="str">
        <f>IF($A160="","",IF($D160="V01",cad!$C$33,IF($D160="V02",cad!$D$33,cad!$E$33)))</f>
        <v/>
      </c>
      <c r="K160" t="str">
        <f>IF($A160="","",IF($D160="V01",cad!$C$34,IF($D160="V02",cad!$D$34,cad!$E$34)))</f>
        <v/>
      </c>
      <c r="L160" t="str">
        <f>IF($A160="","",IF($D160="V01",cad!$C$35,IF($D160="V02",cad!$D$35,cad!$E$35)))</f>
        <v/>
      </c>
      <c r="M160" t="str">
        <f>IF($A160="","",IF($D160="V01",cad!$C$36,IF($D160="V02",cad!$D$36,cad!$E$36)))</f>
        <v/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 t="str">
        <f>IF($A161="","",IF($D161="V01",cad!$C$23,IF($D161="V02",cad!$D$23,cad!$E$23)))</f>
        <v/>
      </c>
      <c r="H161" t="str">
        <f>IF($A161="","",IF($D161="V01",cad!$C$24,IF($D161="V02",cad!$D$24,cad!$E$24)))</f>
        <v/>
      </c>
      <c r="I161" t="str">
        <f>IF($A161="","",IF($D161="V01",cad!$C$32,IF($D161="V02",cad!$D$32,cad!$E$32)))</f>
        <v/>
      </c>
      <c r="J161" t="str">
        <f>IF($A161="","",IF($D161="V01",cad!$C$33,IF($D161="V02",cad!$D$33,cad!$E$33)))</f>
        <v/>
      </c>
      <c r="K161" t="str">
        <f>IF($A161="","",IF($D161="V01",cad!$C$34,IF($D161="V02",cad!$D$34,cad!$E$34)))</f>
        <v/>
      </c>
      <c r="L161" t="str">
        <f>IF($A161="","",IF($D161="V01",cad!$C$35,IF($D161="V02",cad!$D$35,cad!$E$35)))</f>
        <v/>
      </c>
      <c r="M161" t="str">
        <f>IF($A161="","",IF($D161="V01",cad!$C$36,IF($D161="V02",cad!$D$36,cad!$E$36)))</f>
        <v/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 t="str">
        <f>IF($A162="","",IF($D162="V01",cad!$C$23,IF($D162="V02",cad!$D$23,cad!$E$23)))</f>
        <v/>
      </c>
      <c r="H162" t="str">
        <f>IF($A162="","",IF($D162="V01",cad!$C$24,IF($D162="V02",cad!$D$24,cad!$E$24)))</f>
        <v/>
      </c>
      <c r="I162" t="str">
        <f>IF($A162="","",IF($D162="V01",cad!$C$32,IF($D162="V02",cad!$D$32,cad!$E$32)))</f>
        <v/>
      </c>
      <c r="J162" t="str">
        <f>IF($A162="","",IF($D162="V01",cad!$C$33,IF($D162="V02",cad!$D$33,cad!$E$33)))</f>
        <v/>
      </c>
      <c r="K162" t="str">
        <f>IF($A162="","",IF($D162="V01",cad!$C$34,IF($D162="V02",cad!$D$34,cad!$E$34)))</f>
        <v/>
      </c>
      <c r="L162" t="str">
        <f>IF($A162="","",IF($D162="V01",cad!$C$35,IF($D162="V02",cad!$D$35,cad!$E$35)))</f>
        <v/>
      </c>
      <c r="M162" t="str">
        <f>IF($A162="","",IF($D162="V01",cad!$C$36,IF($D162="V02",cad!$D$36,cad!$E$36)))</f>
        <v/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 t="str">
        <f>IF($A163="","",IF($D163="V01",cad!$C$23,IF($D163="V02",cad!$D$23,cad!$E$23)))</f>
        <v/>
      </c>
      <c r="H163" t="str">
        <f>IF($A163="","",IF($D163="V01",cad!$C$24,IF($D163="V02",cad!$D$24,cad!$E$24)))</f>
        <v/>
      </c>
      <c r="I163" t="str">
        <f>IF($A163="","",IF($D163="V01",cad!$C$32,IF($D163="V02",cad!$D$32,cad!$E$32)))</f>
        <v/>
      </c>
      <c r="J163" t="str">
        <f>IF($A163="","",IF($D163="V01",cad!$C$33,IF($D163="V02",cad!$D$33,cad!$E$33)))</f>
        <v/>
      </c>
      <c r="K163" t="str">
        <f>IF($A163="","",IF($D163="V01",cad!$C$34,IF($D163="V02",cad!$D$34,cad!$E$34)))</f>
        <v/>
      </c>
      <c r="L163" t="str">
        <f>IF($A163="","",IF($D163="V01",cad!$C$35,IF($D163="V02",cad!$D$35,cad!$E$35)))</f>
        <v/>
      </c>
      <c r="M163" t="str">
        <f>IF($A163="","",IF($D163="V01",cad!$C$36,IF($D163="V02",cad!$D$36,cad!$E$36)))</f>
        <v/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 t="str">
        <f>IF($A164="","",IF($D164="V01",cad!$C$23,IF($D164="V02",cad!$D$23,cad!$E$23)))</f>
        <v/>
      </c>
      <c r="H164" t="str">
        <f>IF($A164="","",IF($D164="V01",cad!$C$24,IF($D164="V02",cad!$D$24,cad!$E$24)))</f>
        <v/>
      </c>
      <c r="I164" t="str">
        <f>IF($A164="","",IF($D164="V01",cad!$C$32,IF($D164="V02",cad!$D$32,cad!$E$32)))</f>
        <v/>
      </c>
      <c r="J164" t="str">
        <f>IF($A164="","",IF($D164="V01",cad!$C$33,IF($D164="V02",cad!$D$33,cad!$E$33)))</f>
        <v/>
      </c>
      <c r="K164" t="str">
        <f>IF($A164="","",IF($D164="V01",cad!$C$34,IF($D164="V02",cad!$D$34,cad!$E$34)))</f>
        <v/>
      </c>
      <c r="L164" t="str">
        <f>IF($A164="","",IF($D164="V01",cad!$C$35,IF($D164="V02",cad!$D$35,cad!$E$35)))</f>
        <v/>
      </c>
      <c r="M164" t="str">
        <f>IF($A164="","",IF($D164="V01",cad!$C$36,IF($D164="V02",cad!$D$36,cad!$E$36)))</f>
        <v/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 t="str">
        <f>IF($A165="","",IF($D165="V01",cad!$C$23,IF($D165="V02",cad!$D$23,cad!$E$23)))</f>
        <v/>
      </c>
      <c r="H165" t="str">
        <f>IF($A165="","",IF($D165="V01",cad!$C$24,IF($D165="V02",cad!$D$24,cad!$E$24)))</f>
        <v/>
      </c>
      <c r="I165" t="str">
        <f>IF($A165="","",IF($D165="V01",cad!$C$32,IF($D165="V02",cad!$D$32,cad!$E$32)))</f>
        <v/>
      </c>
      <c r="J165" t="str">
        <f>IF($A165="","",IF($D165="V01",cad!$C$33,IF($D165="V02",cad!$D$33,cad!$E$33)))</f>
        <v/>
      </c>
      <c r="K165" t="str">
        <f>IF($A165="","",IF($D165="V01",cad!$C$34,IF($D165="V02",cad!$D$34,cad!$E$34)))</f>
        <v/>
      </c>
      <c r="L165" t="str">
        <f>IF($A165="","",IF($D165="V01",cad!$C$35,IF($D165="V02",cad!$D$35,cad!$E$35)))</f>
        <v/>
      </c>
      <c r="M165" t="str">
        <f>IF($A165="","",IF($D165="V01",cad!$C$36,IF($D165="V02",cad!$D$36,cad!$E$36)))</f>
        <v/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 t="str">
        <f>IF($A166="","",IF($D166="V01",cad!$C$23,IF($D166="V02",cad!$D$23,cad!$E$23)))</f>
        <v/>
      </c>
      <c r="H166" t="str">
        <f>IF($A166="","",IF($D166="V01",cad!$C$24,IF($D166="V02",cad!$D$24,cad!$E$24)))</f>
        <v/>
      </c>
      <c r="I166" t="str">
        <f>IF($A166="","",IF($D166="V01",cad!$C$32,IF($D166="V02",cad!$D$32,cad!$E$32)))</f>
        <v/>
      </c>
      <c r="J166" t="str">
        <f>IF($A166="","",IF($D166="V01",cad!$C$33,IF($D166="V02",cad!$D$33,cad!$E$33)))</f>
        <v/>
      </c>
      <c r="K166" t="str">
        <f>IF($A166="","",IF($D166="V01",cad!$C$34,IF($D166="V02",cad!$D$34,cad!$E$34)))</f>
        <v/>
      </c>
      <c r="L166" t="str">
        <f>IF($A166="","",IF($D166="V01",cad!$C$35,IF($D166="V02",cad!$D$35,cad!$E$35)))</f>
        <v/>
      </c>
      <c r="M166" t="str">
        <f>IF($A166="","",IF($D166="V01",cad!$C$36,IF($D166="V02",cad!$D$36,cad!$E$36)))</f>
        <v/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 t="str">
        <f>IF($A167="","",IF($D167="V01",cad!$C$23,IF($D167="V02",cad!$D$23,cad!$E$23)))</f>
        <v/>
      </c>
      <c r="H167" t="str">
        <f>IF($A167="","",IF($D167="V01",cad!$C$24,IF($D167="V02",cad!$D$24,cad!$E$24)))</f>
        <v/>
      </c>
      <c r="I167" t="str">
        <f>IF($A167="","",IF($D167="V01",cad!$C$32,IF($D167="V02",cad!$D$32,cad!$E$32)))</f>
        <v/>
      </c>
      <c r="J167" t="str">
        <f>IF($A167="","",IF($D167="V01",cad!$C$33,IF($D167="V02",cad!$D$33,cad!$E$33)))</f>
        <v/>
      </c>
      <c r="K167" t="str">
        <f>IF($A167="","",IF($D167="V01",cad!$C$34,IF($D167="V02",cad!$D$34,cad!$E$34)))</f>
        <v/>
      </c>
      <c r="L167" t="str">
        <f>IF($A167="","",IF($D167="V01",cad!$C$35,IF($D167="V02",cad!$D$35,cad!$E$35)))</f>
        <v/>
      </c>
      <c r="M167" t="str">
        <f>IF($A167="","",IF($D167="V01",cad!$C$36,IF($D167="V02",cad!$D$36,cad!$E$36)))</f>
        <v/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 t="str">
        <f>IF($A168="","",IF($D168="V01",cad!$C$23,IF($D168="V02",cad!$D$23,cad!$E$23)))</f>
        <v/>
      </c>
      <c r="H168" t="str">
        <f>IF($A168="","",IF($D168="V01",cad!$C$24,IF($D168="V02",cad!$D$24,cad!$E$24)))</f>
        <v/>
      </c>
      <c r="I168" t="str">
        <f>IF($A168="","",IF($D168="V01",cad!$C$32,IF($D168="V02",cad!$D$32,cad!$E$32)))</f>
        <v/>
      </c>
      <c r="J168" t="str">
        <f>IF($A168="","",IF($D168="V01",cad!$C$33,IF($D168="V02",cad!$D$33,cad!$E$33)))</f>
        <v/>
      </c>
      <c r="K168" t="str">
        <f>IF($A168="","",IF($D168="V01",cad!$C$34,IF($D168="V02",cad!$D$34,cad!$E$34)))</f>
        <v/>
      </c>
      <c r="L168" t="str">
        <f>IF($A168="","",IF($D168="V01",cad!$C$35,IF($D168="V02",cad!$D$35,cad!$E$35)))</f>
        <v/>
      </c>
      <c r="M168" t="str">
        <f>IF($A168="","",IF($D168="V01",cad!$C$36,IF($D168="V02",cad!$D$36,cad!$E$36)))</f>
        <v/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 t="str">
        <f>IF($A169="","",IF($D169="V01",cad!$C$23,IF($D169="V02",cad!$D$23,cad!$E$23)))</f>
        <v/>
      </c>
      <c r="H169" t="str">
        <f>IF($A169="","",IF($D169="V01",cad!$C$24,IF($D169="V02",cad!$D$24,cad!$E$24)))</f>
        <v/>
      </c>
      <c r="I169" t="str">
        <f>IF($A169="","",IF($D169="V01",cad!$C$32,IF($D169="V02",cad!$D$32,cad!$E$32)))</f>
        <v/>
      </c>
      <c r="J169" t="str">
        <f>IF($A169="","",IF($D169="V01",cad!$C$33,IF($D169="V02",cad!$D$33,cad!$E$33)))</f>
        <v/>
      </c>
      <c r="K169" t="str">
        <f>IF($A169="","",IF($D169="V01",cad!$C$34,IF($D169="V02",cad!$D$34,cad!$E$34)))</f>
        <v/>
      </c>
      <c r="L169" t="str">
        <f>IF($A169="","",IF($D169="V01",cad!$C$35,IF($D169="V02",cad!$D$35,cad!$E$35)))</f>
        <v/>
      </c>
      <c r="M169" t="str">
        <f>IF($A169="","",IF($D169="V01",cad!$C$36,IF($D169="V02",cad!$D$36,cad!$E$36)))</f>
        <v/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 t="str">
        <f>IF($A170="","",IF($D170="V01",cad!$C$23,IF($D170="V02",cad!$D$23,cad!$E$23)))</f>
        <v/>
      </c>
      <c r="H170" t="str">
        <f>IF($A170="","",IF($D170="V01",cad!$C$24,IF($D170="V02",cad!$D$24,cad!$E$24)))</f>
        <v/>
      </c>
      <c r="I170" t="str">
        <f>IF($A170="","",IF($D170="V01",cad!$C$32,IF($D170="V02",cad!$D$32,cad!$E$32)))</f>
        <v/>
      </c>
      <c r="J170" t="str">
        <f>IF($A170="","",IF($D170="V01",cad!$C$33,IF($D170="V02",cad!$D$33,cad!$E$33)))</f>
        <v/>
      </c>
      <c r="K170" t="str">
        <f>IF($A170="","",IF($D170="V01",cad!$C$34,IF($D170="V02",cad!$D$34,cad!$E$34)))</f>
        <v/>
      </c>
      <c r="L170" t="str">
        <f>IF($A170="","",IF($D170="V01",cad!$C$35,IF($D170="V02",cad!$D$35,cad!$E$35)))</f>
        <v/>
      </c>
      <c r="M170" t="str">
        <f>IF($A170="","",IF($D170="V01",cad!$C$36,IF($D170="V02",cad!$D$36,cad!$E$36)))</f>
        <v/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 t="str">
        <f>IF($A171="","",IF($D171="V01",cad!$C$23,IF($D171="V02",cad!$D$23,cad!$E$23)))</f>
        <v/>
      </c>
      <c r="H171" t="str">
        <f>IF($A171="","",IF($D171="V01",cad!$C$24,IF($D171="V02",cad!$D$24,cad!$E$24)))</f>
        <v/>
      </c>
      <c r="I171" t="str">
        <f>IF($A171="","",IF($D171="V01",cad!$C$32,IF($D171="V02",cad!$D$32,cad!$E$32)))</f>
        <v/>
      </c>
      <c r="J171" t="str">
        <f>IF($A171="","",IF($D171="V01",cad!$C$33,IF($D171="V02",cad!$D$33,cad!$E$33)))</f>
        <v/>
      </c>
      <c r="K171" t="str">
        <f>IF($A171="","",IF($D171="V01",cad!$C$34,IF($D171="V02",cad!$D$34,cad!$E$34)))</f>
        <v/>
      </c>
      <c r="L171" t="str">
        <f>IF($A171="","",IF($D171="V01",cad!$C$35,IF($D171="V02",cad!$D$35,cad!$E$35)))</f>
        <v/>
      </c>
      <c r="M171" t="str">
        <f>IF($A171="","",IF($D171="V01",cad!$C$36,IF($D171="V02",cad!$D$36,cad!$E$36)))</f>
        <v/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 t="str">
        <f>IF($A172="","",IF($D172="V01",cad!$C$23,IF($D172="V02",cad!$D$23,cad!$E$23)))</f>
        <v/>
      </c>
      <c r="H172" t="str">
        <f>IF($A172="","",IF($D172="V01",cad!$C$24,IF($D172="V02",cad!$D$24,cad!$E$24)))</f>
        <v/>
      </c>
      <c r="I172" t="str">
        <f>IF($A172="","",IF($D172="V01",cad!$C$32,IF($D172="V02",cad!$D$32,cad!$E$32)))</f>
        <v/>
      </c>
      <c r="J172" t="str">
        <f>IF($A172="","",IF($D172="V01",cad!$C$33,IF($D172="V02",cad!$D$33,cad!$E$33)))</f>
        <v/>
      </c>
      <c r="K172" t="str">
        <f>IF($A172="","",IF($D172="V01",cad!$C$34,IF($D172="V02",cad!$D$34,cad!$E$34)))</f>
        <v/>
      </c>
      <c r="L172" t="str">
        <f>IF($A172="","",IF($D172="V01",cad!$C$35,IF($D172="V02",cad!$D$35,cad!$E$35)))</f>
        <v/>
      </c>
      <c r="M172" t="str">
        <f>IF($A172="","",IF($D172="V01",cad!$C$36,IF($D172="V02",cad!$D$36,cad!$E$36)))</f>
        <v/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 t="str">
        <f>IF($A173="","",IF($D173="V01",cad!$C$23,IF($D173="V02",cad!$D$23,cad!$E$23)))</f>
        <v/>
      </c>
      <c r="H173" t="str">
        <f>IF($A173="","",IF($D173="V01",cad!$C$24,IF($D173="V02",cad!$D$24,cad!$E$24)))</f>
        <v/>
      </c>
      <c r="I173" t="str">
        <f>IF($A173="","",IF($D173="V01",cad!$C$32,IF($D173="V02",cad!$D$32,cad!$E$32)))</f>
        <v/>
      </c>
      <c r="J173" t="str">
        <f>IF($A173="","",IF($D173="V01",cad!$C$33,IF($D173="V02",cad!$D$33,cad!$E$33)))</f>
        <v/>
      </c>
      <c r="K173" t="str">
        <f>IF($A173="","",IF($D173="V01",cad!$C$34,IF($D173="V02",cad!$D$34,cad!$E$34)))</f>
        <v/>
      </c>
      <c r="L173" t="str">
        <f>IF($A173="","",IF($D173="V01",cad!$C$35,IF($D173="V02",cad!$D$35,cad!$E$35)))</f>
        <v/>
      </c>
      <c r="M173" t="str">
        <f>IF($A173="","",IF($D173="V01",cad!$C$36,IF($D173="V02",cad!$D$36,cad!$E$36)))</f>
        <v/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 t="str">
        <f>IF($A174="","",IF($D174="V01",cad!$C$23,IF($D174="V02",cad!$D$23,cad!$E$23)))</f>
        <v/>
      </c>
      <c r="H174" t="str">
        <f>IF($A174="","",IF($D174="V01",cad!$C$24,IF($D174="V02",cad!$D$24,cad!$E$24)))</f>
        <v/>
      </c>
      <c r="I174" t="str">
        <f>IF($A174="","",IF($D174="V01",cad!$C$32,IF($D174="V02",cad!$D$32,cad!$E$32)))</f>
        <v/>
      </c>
      <c r="J174" t="str">
        <f>IF($A174="","",IF($D174="V01",cad!$C$33,IF($D174="V02",cad!$D$33,cad!$E$33)))</f>
        <v/>
      </c>
      <c r="K174" t="str">
        <f>IF($A174="","",IF($D174="V01",cad!$C$34,IF($D174="V02",cad!$D$34,cad!$E$34)))</f>
        <v/>
      </c>
      <c r="L174" t="str">
        <f>IF($A174="","",IF($D174="V01",cad!$C$35,IF($D174="V02",cad!$D$35,cad!$E$35)))</f>
        <v/>
      </c>
      <c r="M174" t="str">
        <f>IF($A174="","",IF($D174="V01",cad!$C$36,IF($D174="V02",cad!$D$36,cad!$E$36)))</f>
        <v/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 t="str">
        <f>IF($A175="","",IF($D175="V01",cad!$C$23,IF($D175="V02",cad!$D$23,cad!$E$23)))</f>
        <v/>
      </c>
      <c r="H175" t="str">
        <f>IF($A175="","",IF($D175="V01",cad!$C$24,IF($D175="V02",cad!$D$24,cad!$E$24)))</f>
        <v/>
      </c>
      <c r="I175" t="str">
        <f>IF($A175="","",IF($D175="V01",cad!$C$32,IF($D175="V02",cad!$D$32,cad!$E$32)))</f>
        <v/>
      </c>
      <c r="J175" t="str">
        <f>IF($A175="","",IF($D175="V01",cad!$C$33,IF($D175="V02",cad!$D$33,cad!$E$33)))</f>
        <v/>
      </c>
      <c r="K175" t="str">
        <f>IF($A175="","",IF($D175="V01",cad!$C$34,IF($D175="V02",cad!$D$34,cad!$E$34)))</f>
        <v/>
      </c>
      <c r="L175" t="str">
        <f>IF($A175="","",IF($D175="V01",cad!$C$35,IF($D175="V02",cad!$D$35,cad!$E$35)))</f>
        <v/>
      </c>
      <c r="M175" t="str">
        <f>IF($A175="","",IF($D175="V01",cad!$C$36,IF($D175="V02",cad!$D$36,cad!$E$36)))</f>
        <v/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 t="str">
        <f>IF($A176="","",IF($D176="V01",cad!$C$23,IF($D176="V02",cad!$D$23,cad!$E$23)))</f>
        <v/>
      </c>
      <c r="H176" t="str">
        <f>IF($A176="","",IF($D176="V01",cad!$C$24,IF($D176="V02",cad!$D$24,cad!$E$24)))</f>
        <v/>
      </c>
      <c r="I176" t="str">
        <f>IF($A176="","",IF($D176="V01",cad!$C$32,IF($D176="V02",cad!$D$32,cad!$E$32)))</f>
        <v/>
      </c>
      <c r="J176" t="str">
        <f>IF($A176="","",IF($D176="V01",cad!$C$33,IF($D176="V02",cad!$D$33,cad!$E$33)))</f>
        <v/>
      </c>
      <c r="K176" t="str">
        <f>IF($A176="","",IF($D176="V01",cad!$C$34,IF($D176="V02",cad!$D$34,cad!$E$34)))</f>
        <v/>
      </c>
      <c r="L176" t="str">
        <f>IF($A176="","",IF($D176="V01",cad!$C$35,IF($D176="V02",cad!$D$35,cad!$E$35)))</f>
        <v/>
      </c>
      <c r="M176" t="str">
        <f>IF($A176="","",IF($D176="V01",cad!$C$36,IF($D176="V02",cad!$D$36,cad!$E$36)))</f>
        <v/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 t="str">
        <f>IF($A177="","",IF($D177="V01",cad!$C$23,IF($D177="V02",cad!$D$23,cad!$E$23)))</f>
        <v/>
      </c>
      <c r="H177" t="str">
        <f>IF($A177="","",IF($D177="V01",cad!$C$24,IF($D177="V02",cad!$D$24,cad!$E$24)))</f>
        <v/>
      </c>
      <c r="I177" t="str">
        <f>IF($A177="","",IF($D177="V01",cad!$C$32,IF($D177="V02",cad!$D$32,cad!$E$32)))</f>
        <v/>
      </c>
      <c r="J177" t="str">
        <f>IF($A177="","",IF($D177="V01",cad!$C$33,IF($D177="V02",cad!$D$33,cad!$E$33)))</f>
        <v/>
      </c>
      <c r="K177" t="str">
        <f>IF($A177="","",IF($D177="V01",cad!$C$34,IF($D177="V02",cad!$D$34,cad!$E$34)))</f>
        <v/>
      </c>
      <c r="L177" t="str">
        <f>IF($A177="","",IF($D177="V01",cad!$C$35,IF($D177="V02",cad!$D$35,cad!$E$35)))</f>
        <v/>
      </c>
      <c r="M177" t="str">
        <f>IF($A177="","",IF($D177="V01",cad!$C$36,IF($D177="V02",cad!$D$36,cad!$E$36)))</f>
        <v/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 t="str">
        <f>IF($A178="","",IF($D178="V01",cad!$C$23,IF($D178="V02",cad!$D$23,cad!$E$23)))</f>
        <v/>
      </c>
      <c r="H178" t="str">
        <f>IF($A178="","",IF($D178="V01",cad!$C$24,IF($D178="V02",cad!$D$24,cad!$E$24)))</f>
        <v/>
      </c>
      <c r="I178" t="str">
        <f>IF($A178="","",IF($D178="V01",cad!$C$32,IF($D178="V02",cad!$D$32,cad!$E$32)))</f>
        <v/>
      </c>
      <c r="J178" t="str">
        <f>IF($A178="","",IF($D178="V01",cad!$C$33,IF($D178="V02",cad!$D$33,cad!$E$33)))</f>
        <v/>
      </c>
      <c r="K178" t="str">
        <f>IF($A178="","",IF($D178="V01",cad!$C$34,IF($D178="V02",cad!$D$34,cad!$E$34)))</f>
        <v/>
      </c>
      <c r="L178" t="str">
        <f>IF($A178="","",IF($D178="V01",cad!$C$35,IF($D178="V02",cad!$D$35,cad!$E$35)))</f>
        <v/>
      </c>
      <c r="M178" t="str">
        <f>IF($A178="","",IF($D178="V01",cad!$C$36,IF($D178="V02",cad!$D$36,cad!$E$36)))</f>
        <v/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 t="str">
        <f>IF($A179="","",IF($D179="V01",cad!$C$23,IF($D179="V02",cad!$D$23,cad!$E$23)))</f>
        <v/>
      </c>
      <c r="H179" t="str">
        <f>IF($A179="","",IF($D179="V01",cad!$C$24,IF($D179="V02",cad!$D$24,cad!$E$24)))</f>
        <v/>
      </c>
      <c r="I179" t="str">
        <f>IF($A179="","",IF($D179="V01",cad!$C$32,IF($D179="V02",cad!$D$32,cad!$E$32)))</f>
        <v/>
      </c>
      <c r="J179" t="str">
        <f>IF($A179="","",IF($D179="V01",cad!$C$33,IF($D179="V02",cad!$D$33,cad!$E$33)))</f>
        <v/>
      </c>
      <c r="K179" t="str">
        <f>IF($A179="","",IF($D179="V01",cad!$C$34,IF($D179="V02",cad!$D$34,cad!$E$34)))</f>
        <v/>
      </c>
      <c r="L179" t="str">
        <f>IF($A179="","",IF($D179="V01",cad!$C$35,IF($D179="V02",cad!$D$35,cad!$E$35)))</f>
        <v/>
      </c>
      <c r="M179" t="str">
        <f>IF($A179="","",IF($D179="V01",cad!$C$36,IF($D179="V02",cad!$D$36,cad!$E$36)))</f>
        <v/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 t="str">
        <f>IF($A180="","",IF($D180="V01",cad!$C$23,IF($D180="V02",cad!$D$23,cad!$E$23)))</f>
        <v/>
      </c>
      <c r="H180" t="str">
        <f>IF($A180="","",IF($D180="V01",cad!$C$24,IF($D180="V02",cad!$D$24,cad!$E$24)))</f>
        <v/>
      </c>
      <c r="I180" t="str">
        <f>IF($A180="","",IF($D180="V01",cad!$C$32,IF($D180="V02",cad!$D$32,cad!$E$32)))</f>
        <v/>
      </c>
      <c r="J180" t="str">
        <f>IF($A180="","",IF($D180="V01",cad!$C$33,IF($D180="V02",cad!$D$33,cad!$E$33)))</f>
        <v/>
      </c>
      <c r="K180" t="str">
        <f>IF($A180="","",IF($D180="V01",cad!$C$34,IF($D180="V02",cad!$D$34,cad!$E$34)))</f>
        <v/>
      </c>
      <c r="L180" t="str">
        <f>IF($A180="","",IF($D180="V01",cad!$C$35,IF($D180="V02",cad!$D$35,cad!$E$35)))</f>
        <v/>
      </c>
      <c r="M180" t="str">
        <f>IF($A180="","",IF($D180="V01",cad!$C$36,IF($D180="V02",cad!$D$36,cad!$E$36)))</f>
        <v/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 t="str">
        <f>IF($A181="","",IF($D181="V01",cad!$C$23,IF($D181="V02",cad!$D$23,cad!$E$23)))</f>
        <v/>
      </c>
      <c r="H181" t="str">
        <f>IF($A181="","",IF($D181="V01",cad!$C$24,IF($D181="V02",cad!$D$24,cad!$E$24)))</f>
        <v/>
      </c>
      <c r="I181" t="str">
        <f>IF($A181="","",IF($D181="V01",cad!$C$32,IF($D181="V02",cad!$D$32,cad!$E$32)))</f>
        <v/>
      </c>
      <c r="J181" t="str">
        <f>IF($A181="","",IF($D181="V01",cad!$C$33,IF($D181="V02",cad!$D$33,cad!$E$33)))</f>
        <v/>
      </c>
      <c r="K181" t="str">
        <f>IF($A181="","",IF($D181="V01",cad!$C$34,IF($D181="V02",cad!$D$34,cad!$E$34)))</f>
        <v/>
      </c>
      <c r="L181" t="str">
        <f>IF($A181="","",IF($D181="V01",cad!$C$35,IF($D181="V02",cad!$D$35,cad!$E$35)))</f>
        <v/>
      </c>
      <c r="M181" t="str">
        <f>IF($A181="","",IF($D181="V01",cad!$C$36,IF($D181="V02",cad!$D$36,cad!$E$36)))</f>
        <v/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 t="str">
        <f>IF($A182="","",IF($D182="V01",cad!$C$23,IF($D182="V02",cad!$D$23,cad!$E$23)))</f>
        <v/>
      </c>
      <c r="H182" t="str">
        <f>IF($A182="","",IF($D182="V01",cad!$C$24,IF($D182="V02",cad!$D$24,cad!$E$24)))</f>
        <v/>
      </c>
      <c r="I182" t="str">
        <f>IF($A182="","",IF($D182="V01",cad!$C$32,IF($D182="V02",cad!$D$32,cad!$E$32)))</f>
        <v/>
      </c>
      <c r="J182" t="str">
        <f>IF($A182="","",IF($D182="V01",cad!$C$33,IF($D182="V02",cad!$D$33,cad!$E$33)))</f>
        <v/>
      </c>
      <c r="K182" t="str">
        <f>IF($A182="","",IF($D182="V01",cad!$C$34,IF($D182="V02",cad!$D$34,cad!$E$34)))</f>
        <v/>
      </c>
      <c r="L182" t="str">
        <f>IF($A182="","",IF($D182="V01",cad!$C$35,IF($D182="V02",cad!$D$35,cad!$E$35)))</f>
        <v/>
      </c>
      <c r="M182" t="str">
        <f>IF($A182="","",IF($D182="V01",cad!$C$36,IF($D182="V02",cad!$D$36,cad!$E$36)))</f>
        <v/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 t="str">
        <f>IF($A183="","",IF($D183="V01",cad!$C$23,IF($D183="V02",cad!$D$23,cad!$E$23)))</f>
        <v/>
      </c>
      <c r="H183" t="str">
        <f>IF($A183="","",IF($D183="V01",cad!$C$24,IF($D183="V02",cad!$D$24,cad!$E$24)))</f>
        <v/>
      </c>
      <c r="I183" t="str">
        <f>IF($A183="","",IF($D183="V01",cad!$C$32,IF($D183="V02",cad!$D$32,cad!$E$32)))</f>
        <v/>
      </c>
      <c r="J183" t="str">
        <f>IF($A183="","",IF($D183="V01",cad!$C$33,IF($D183="V02",cad!$D$33,cad!$E$33)))</f>
        <v/>
      </c>
      <c r="K183" t="str">
        <f>IF($A183="","",IF($D183="V01",cad!$C$34,IF($D183="V02",cad!$D$34,cad!$E$34)))</f>
        <v/>
      </c>
      <c r="L183" t="str">
        <f>IF($A183="","",IF($D183="V01",cad!$C$35,IF($D183="V02",cad!$D$35,cad!$E$35)))</f>
        <v/>
      </c>
      <c r="M183" t="str">
        <f>IF($A183="","",IF($D183="V01",cad!$C$36,IF($D183="V02",cad!$D$36,cad!$E$36)))</f>
        <v/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 t="str">
        <f>IF($A184="","",IF($D184="V01",cad!$C$23,IF($D184="V02",cad!$D$23,cad!$E$23)))</f>
        <v/>
      </c>
      <c r="H184" t="str">
        <f>IF($A184="","",IF($D184="V01",cad!$C$24,IF($D184="V02",cad!$D$24,cad!$E$24)))</f>
        <v/>
      </c>
      <c r="I184" t="str">
        <f>IF($A184="","",IF($D184="V01",cad!$C$32,IF($D184="V02",cad!$D$32,cad!$E$32)))</f>
        <v/>
      </c>
      <c r="J184" t="str">
        <f>IF($A184="","",IF($D184="V01",cad!$C$33,IF($D184="V02",cad!$D$33,cad!$E$33)))</f>
        <v/>
      </c>
      <c r="K184" t="str">
        <f>IF($A184="","",IF($D184="V01",cad!$C$34,IF($D184="V02",cad!$D$34,cad!$E$34)))</f>
        <v/>
      </c>
      <c r="L184" t="str">
        <f>IF($A184="","",IF($D184="V01",cad!$C$35,IF($D184="V02",cad!$D$35,cad!$E$35)))</f>
        <v/>
      </c>
      <c r="M184" t="str">
        <f>IF($A184="","",IF($D184="V01",cad!$C$36,IF($D184="V02",cad!$D$36,cad!$E$36)))</f>
        <v/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 t="str">
        <f>IF($A185="","",IF($D185="V01",cad!$C$23,IF($D185="V02",cad!$D$23,cad!$E$23)))</f>
        <v/>
      </c>
      <c r="H185" t="str">
        <f>IF($A185="","",IF($D185="V01",cad!$C$24,IF($D185="V02",cad!$D$24,cad!$E$24)))</f>
        <v/>
      </c>
      <c r="I185" t="str">
        <f>IF($A185="","",IF($D185="V01",cad!$C$32,IF($D185="V02",cad!$D$32,cad!$E$32)))</f>
        <v/>
      </c>
      <c r="J185" t="str">
        <f>IF($A185="","",IF($D185="V01",cad!$C$33,IF($D185="V02",cad!$D$33,cad!$E$33)))</f>
        <v/>
      </c>
      <c r="K185" t="str">
        <f>IF($A185="","",IF($D185="V01",cad!$C$34,IF($D185="V02",cad!$D$34,cad!$E$34)))</f>
        <v/>
      </c>
      <c r="L185" t="str">
        <f>IF($A185="","",IF($D185="V01",cad!$C$35,IF($D185="V02",cad!$D$35,cad!$E$35)))</f>
        <v/>
      </c>
      <c r="M185" t="str">
        <f>IF($A185="","",IF($D185="V01",cad!$C$36,IF($D185="V02",cad!$D$36,cad!$E$36)))</f>
        <v/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 t="str">
        <f>IF($A186="","",IF($D186="V01",cad!$C$23,IF($D186="V02",cad!$D$23,cad!$E$23)))</f>
        <v/>
      </c>
      <c r="H186" t="str">
        <f>IF($A186="","",IF($D186="V01",cad!$C$24,IF($D186="V02",cad!$D$24,cad!$E$24)))</f>
        <v/>
      </c>
      <c r="I186" t="str">
        <f>IF($A186="","",IF($D186="V01",cad!$C$32,IF($D186="V02",cad!$D$32,cad!$E$32)))</f>
        <v/>
      </c>
      <c r="J186" t="str">
        <f>IF($A186="","",IF($D186="V01",cad!$C$33,IF($D186="V02",cad!$D$33,cad!$E$33)))</f>
        <v/>
      </c>
      <c r="K186" t="str">
        <f>IF($A186="","",IF($D186="V01",cad!$C$34,IF($D186="V02",cad!$D$34,cad!$E$34)))</f>
        <v/>
      </c>
      <c r="L186" t="str">
        <f>IF($A186="","",IF($D186="V01",cad!$C$35,IF($D186="V02",cad!$D$35,cad!$E$35)))</f>
        <v/>
      </c>
      <c r="M186" t="str">
        <f>IF($A186="","",IF($D186="V01",cad!$C$36,IF($D186="V02",cad!$D$36,cad!$E$36)))</f>
        <v/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 t="str">
        <f>IF($A187="","",IF($D187="V01",cad!$C$23,IF($D187="V02",cad!$D$23,cad!$E$23)))</f>
        <v/>
      </c>
      <c r="H187" t="str">
        <f>IF($A187="","",IF($D187="V01",cad!$C$24,IF($D187="V02",cad!$D$24,cad!$E$24)))</f>
        <v/>
      </c>
      <c r="I187" t="str">
        <f>IF($A187="","",IF($D187="V01",cad!$C$32,IF($D187="V02",cad!$D$32,cad!$E$32)))</f>
        <v/>
      </c>
      <c r="J187" t="str">
        <f>IF($A187="","",IF($D187="V01",cad!$C$33,IF($D187="V02",cad!$D$33,cad!$E$33)))</f>
        <v/>
      </c>
      <c r="K187" t="str">
        <f>IF($A187="","",IF($D187="V01",cad!$C$34,IF($D187="V02",cad!$D$34,cad!$E$34)))</f>
        <v/>
      </c>
      <c r="L187" t="str">
        <f>IF($A187="","",IF($D187="V01",cad!$C$35,IF($D187="V02",cad!$D$35,cad!$E$35)))</f>
        <v/>
      </c>
      <c r="M187" t="str">
        <f>IF($A187="","",IF($D187="V01",cad!$C$36,IF($D187="V02",cad!$D$36,cad!$E$36)))</f>
        <v/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 t="str">
        <f>IF($A188="","",IF($D188="V01",cad!$C$23,IF($D188="V02",cad!$D$23,cad!$E$23)))</f>
        <v/>
      </c>
      <c r="H188" t="str">
        <f>IF($A188="","",IF($D188="V01",cad!$C$24,IF($D188="V02",cad!$D$24,cad!$E$24)))</f>
        <v/>
      </c>
      <c r="I188" t="str">
        <f>IF($A188="","",IF($D188="V01",cad!$C$32,IF($D188="V02",cad!$D$32,cad!$E$32)))</f>
        <v/>
      </c>
      <c r="J188" t="str">
        <f>IF($A188="","",IF($D188="V01",cad!$C$33,IF($D188="V02",cad!$D$33,cad!$E$33)))</f>
        <v/>
      </c>
      <c r="K188" t="str">
        <f>IF($A188="","",IF($D188="V01",cad!$C$34,IF($D188="V02",cad!$D$34,cad!$E$34)))</f>
        <v/>
      </c>
      <c r="L188" t="str">
        <f>IF($A188="","",IF($D188="V01",cad!$C$35,IF($D188="V02",cad!$D$35,cad!$E$35)))</f>
        <v/>
      </c>
      <c r="M188" t="str">
        <f>IF($A188="","",IF($D188="V01",cad!$C$36,IF($D188="V02",cad!$D$36,cad!$E$36)))</f>
        <v/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 t="str">
        <f>IF($A189="","",IF($D189="V01",cad!$C$23,IF($D189="V02",cad!$D$23,cad!$E$23)))</f>
        <v/>
      </c>
      <c r="H189" t="str">
        <f>IF($A189="","",IF($D189="V01",cad!$C$24,IF($D189="V02",cad!$D$24,cad!$E$24)))</f>
        <v/>
      </c>
      <c r="I189" t="str">
        <f>IF($A189="","",IF($D189="V01",cad!$C$32,IF($D189="V02",cad!$D$32,cad!$E$32)))</f>
        <v/>
      </c>
      <c r="J189" t="str">
        <f>IF($A189="","",IF($D189="V01",cad!$C$33,IF($D189="V02",cad!$D$33,cad!$E$33)))</f>
        <v/>
      </c>
      <c r="K189" t="str">
        <f>IF($A189="","",IF($D189="V01",cad!$C$34,IF($D189="V02",cad!$D$34,cad!$E$34)))</f>
        <v/>
      </c>
      <c r="L189" t="str">
        <f>IF($A189="","",IF($D189="V01",cad!$C$35,IF($D189="V02",cad!$D$35,cad!$E$35)))</f>
        <v/>
      </c>
      <c r="M189" t="str">
        <f>IF($A189="","",IF($D189="V01",cad!$C$36,IF($D189="V02",cad!$D$36,cad!$E$36)))</f>
        <v/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 t="str">
        <f>IF($A190="","",IF($D190="V01",cad!$C$23,IF($D190="V02",cad!$D$23,cad!$E$23)))</f>
        <v/>
      </c>
      <c r="H190" t="str">
        <f>IF($A190="","",IF($D190="V01",cad!$C$24,IF($D190="V02",cad!$D$24,cad!$E$24)))</f>
        <v/>
      </c>
      <c r="I190" t="str">
        <f>IF($A190="","",IF($D190="V01",cad!$C$32,IF($D190="V02",cad!$D$32,cad!$E$32)))</f>
        <v/>
      </c>
      <c r="J190" t="str">
        <f>IF($A190="","",IF($D190="V01",cad!$C$33,IF($D190="V02",cad!$D$33,cad!$E$33)))</f>
        <v/>
      </c>
      <c r="K190" t="str">
        <f>IF($A190="","",IF($D190="V01",cad!$C$34,IF($D190="V02",cad!$D$34,cad!$E$34)))</f>
        <v/>
      </c>
      <c r="L190" t="str">
        <f>IF($A190="","",IF($D190="V01",cad!$C$35,IF($D190="V02",cad!$D$35,cad!$E$35)))</f>
        <v/>
      </c>
      <c r="M190" t="str">
        <f>IF($A190="","",IF($D190="V01",cad!$C$36,IF($D190="V02",cad!$D$36,cad!$E$36)))</f>
        <v/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 t="str">
        <f>IF($A191="","",IF($D191="V01",cad!$C$23,IF($D191="V02",cad!$D$23,cad!$E$23)))</f>
        <v/>
      </c>
      <c r="H191" t="str">
        <f>IF($A191="","",IF($D191="V01",cad!$C$24,IF($D191="V02",cad!$D$24,cad!$E$24)))</f>
        <v/>
      </c>
      <c r="I191" t="str">
        <f>IF($A191="","",IF($D191="V01",cad!$C$32,IF($D191="V02",cad!$D$32,cad!$E$32)))</f>
        <v/>
      </c>
      <c r="J191" t="str">
        <f>IF($A191="","",IF($D191="V01",cad!$C$33,IF($D191="V02",cad!$D$33,cad!$E$33)))</f>
        <v/>
      </c>
      <c r="K191" t="str">
        <f>IF($A191="","",IF($D191="V01",cad!$C$34,IF($D191="V02",cad!$D$34,cad!$E$34)))</f>
        <v/>
      </c>
      <c r="L191" t="str">
        <f>IF($A191="","",IF($D191="V01",cad!$C$35,IF($D191="V02",cad!$D$35,cad!$E$35)))</f>
        <v/>
      </c>
      <c r="M191" t="str">
        <f>IF($A191="","",IF($D191="V01",cad!$C$36,IF($D191="V02",cad!$D$36,cad!$E$36)))</f>
        <v/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 t="str">
        <f>IF($A192="","",IF($D192="V01",cad!$C$23,IF($D192="V02",cad!$D$23,cad!$E$23)))</f>
        <v/>
      </c>
      <c r="H192" t="str">
        <f>IF($A192="","",IF($D192="V01",cad!$C$24,IF($D192="V02",cad!$D$24,cad!$E$24)))</f>
        <v/>
      </c>
      <c r="I192" t="str">
        <f>IF($A192="","",IF($D192="V01",cad!$C$32,IF($D192="V02",cad!$D$32,cad!$E$32)))</f>
        <v/>
      </c>
      <c r="J192" t="str">
        <f>IF($A192="","",IF($D192="V01",cad!$C$33,IF($D192="V02",cad!$D$33,cad!$E$33)))</f>
        <v/>
      </c>
      <c r="K192" t="str">
        <f>IF($A192="","",IF($D192="V01",cad!$C$34,IF($D192="V02",cad!$D$34,cad!$E$34)))</f>
        <v/>
      </c>
      <c r="L192" t="str">
        <f>IF($A192="","",IF($D192="V01",cad!$C$35,IF($D192="V02",cad!$D$35,cad!$E$35)))</f>
        <v/>
      </c>
      <c r="M192" t="str">
        <f>IF($A192="","",IF($D192="V01",cad!$C$36,IF($D192="V02",cad!$D$36,cad!$E$36)))</f>
        <v/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 t="str">
        <f>IF($A193="","",IF($D193="V01",cad!$C$23,IF($D193="V02",cad!$D$23,cad!$E$23)))</f>
        <v/>
      </c>
      <c r="H193" t="str">
        <f>IF($A193="","",IF($D193="V01",cad!$C$24,IF($D193="V02",cad!$D$24,cad!$E$24)))</f>
        <v/>
      </c>
      <c r="I193" t="str">
        <f>IF($A193="","",IF($D193="V01",cad!$C$32,IF($D193="V02",cad!$D$32,cad!$E$32)))</f>
        <v/>
      </c>
      <c r="J193" t="str">
        <f>IF($A193="","",IF($D193="V01",cad!$C$33,IF($D193="V02",cad!$D$33,cad!$E$33)))</f>
        <v/>
      </c>
      <c r="K193" t="str">
        <f>IF($A193="","",IF($D193="V01",cad!$C$34,IF($D193="V02",cad!$D$34,cad!$E$34)))</f>
        <v/>
      </c>
      <c r="L193" t="str">
        <f>IF($A193="","",IF($D193="V01",cad!$C$35,IF($D193="V02",cad!$D$35,cad!$E$35)))</f>
        <v/>
      </c>
      <c r="M193" t="str">
        <f>IF($A193="","",IF($D193="V01",cad!$C$36,IF($D193="V02",cad!$D$36,cad!$E$36)))</f>
        <v/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 t="str">
        <f>IF($A194="","",IF($D194="V01",cad!$C$23,IF($D194="V02",cad!$D$23,cad!$E$23)))</f>
        <v/>
      </c>
      <c r="H194" t="str">
        <f>IF($A194="","",IF($D194="V01",cad!$C$24,IF($D194="V02",cad!$D$24,cad!$E$24)))</f>
        <v/>
      </c>
      <c r="I194" t="str">
        <f>IF($A194="","",IF($D194="V01",cad!$C$32,IF($D194="V02",cad!$D$32,cad!$E$32)))</f>
        <v/>
      </c>
      <c r="J194" t="str">
        <f>IF($A194="","",IF($D194="V01",cad!$C$33,IF($D194="V02",cad!$D$33,cad!$E$33)))</f>
        <v/>
      </c>
      <c r="K194" t="str">
        <f>IF($A194="","",IF($D194="V01",cad!$C$34,IF($D194="V02",cad!$D$34,cad!$E$34)))</f>
        <v/>
      </c>
      <c r="L194" t="str">
        <f>IF($A194="","",IF($D194="V01",cad!$C$35,IF($D194="V02",cad!$D$35,cad!$E$35)))</f>
        <v/>
      </c>
      <c r="M194" t="str">
        <f>IF($A194="","",IF($D194="V01",cad!$C$36,IF($D194="V02",cad!$D$36,cad!$E$36)))</f>
        <v/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 t="str">
        <f>IF($A195="","",IF($D195="V01",cad!$C$23,IF($D195="V02",cad!$D$23,cad!$E$23)))</f>
        <v/>
      </c>
      <c r="H195" t="str">
        <f>IF($A195="","",IF($D195="V01",cad!$C$24,IF($D195="V02",cad!$D$24,cad!$E$24)))</f>
        <v/>
      </c>
      <c r="I195" t="str">
        <f>IF($A195="","",IF($D195="V01",cad!$C$32,IF($D195="V02",cad!$D$32,cad!$E$32)))</f>
        <v/>
      </c>
      <c r="J195" t="str">
        <f>IF($A195="","",IF($D195="V01",cad!$C$33,IF($D195="V02",cad!$D$33,cad!$E$33)))</f>
        <v/>
      </c>
      <c r="K195" t="str">
        <f>IF($A195="","",IF($D195="V01",cad!$C$34,IF($D195="V02",cad!$D$34,cad!$E$34)))</f>
        <v/>
      </c>
      <c r="L195" t="str">
        <f>IF($A195="","",IF($D195="V01",cad!$C$35,IF($D195="V02",cad!$D$35,cad!$E$35)))</f>
        <v/>
      </c>
      <c r="M195" t="str">
        <f>IF($A195="","",IF($D195="V01",cad!$C$36,IF($D195="V02",cad!$D$36,cad!$E$36)))</f>
        <v/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 t="str">
        <f>IF($A196="","",IF($D196="V01",cad!$C$23,IF($D196="V02",cad!$D$23,cad!$E$23)))</f>
        <v/>
      </c>
      <c r="H196" t="str">
        <f>IF($A196="","",IF($D196="V01",cad!$C$24,IF($D196="V02",cad!$D$24,cad!$E$24)))</f>
        <v/>
      </c>
      <c r="I196" t="str">
        <f>IF($A196="","",IF($D196="V01",cad!$C$32,IF($D196="V02",cad!$D$32,cad!$E$32)))</f>
        <v/>
      </c>
      <c r="J196" t="str">
        <f>IF($A196="","",IF($D196="V01",cad!$C$33,IF($D196="V02",cad!$D$33,cad!$E$33)))</f>
        <v/>
      </c>
      <c r="K196" t="str">
        <f>IF($A196="","",IF($D196="V01",cad!$C$34,IF($D196="V02",cad!$D$34,cad!$E$34)))</f>
        <v/>
      </c>
      <c r="L196" t="str">
        <f>IF($A196="","",IF($D196="V01",cad!$C$35,IF($D196="V02",cad!$D$35,cad!$E$35)))</f>
        <v/>
      </c>
      <c r="M196" t="str">
        <f>IF($A196="","",IF($D196="V01",cad!$C$36,IF($D196="V02",cad!$D$36,cad!$E$36)))</f>
        <v/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 t="str">
        <f>IF($A197="","",IF($D197="V01",cad!$C$23,IF($D197="V02",cad!$D$23,cad!$E$23)))</f>
        <v/>
      </c>
      <c r="H197" t="str">
        <f>IF($A197="","",IF($D197="V01",cad!$C$24,IF($D197="V02",cad!$D$24,cad!$E$24)))</f>
        <v/>
      </c>
      <c r="I197" t="str">
        <f>IF($A197="","",IF($D197="V01",cad!$C$32,IF($D197="V02",cad!$D$32,cad!$E$32)))</f>
        <v/>
      </c>
      <c r="J197" t="str">
        <f>IF($A197="","",IF($D197="V01",cad!$C$33,IF($D197="V02",cad!$D$33,cad!$E$33)))</f>
        <v/>
      </c>
      <c r="K197" t="str">
        <f>IF($A197="","",IF($D197="V01",cad!$C$34,IF($D197="V02",cad!$D$34,cad!$E$34)))</f>
        <v/>
      </c>
      <c r="L197" t="str">
        <f>IF($A197="","",IF($D197="V01",cad!$C$35,IF($D197="V02",cad!$D$35,cad!$E$35)))</f>
        <v/>
      </c>
      <c r="M197" t="str">
        <f>IF($A197="","",IF($D197="V01",cad!$C$36,IF($D197="V02",cad!$D$36,cad!$E$36)))</f>
        <v/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 t="str">
        <f>IF($A198="","",IF($D198="V01",cad!$C$23,IF($D198="V02",cad!$D$23,cad!$E$23)))</f>
        <v/>
      </c>
      <c r="H198" t="str">
        <f>IF($A198="","",IF($D198="V01",cad!$C$24,IF($D198="V02",cad!$D$24,cad!$E$24)))</f>
        <v/>
      </c>
      <c r="I198" t="str">
        <f>IF($A198="","",IF($D198="V01",cad!$C$32,IF($D198="V02",cad!$D$32,cad!$E$32)))</f>
        <v/>
      </c>
      <c r="J198" t="str">
        <f>IF($A198="","",IF($D198="V01",cad!$C$33,IF($D198="V02",cad!$D$33,cad!$E$33)))</f>
        <v/>
      </c>
      <c r="K198" t="str">
        <f>IF($A198="","",IF($D198="V01",cad!$C$34,IF($D198="V02",cad!$D$34,cad!$E$34)))</f>
        <v/>
      </c>
      <c r="L198" t="str">
        <f>IF($A198="","",IF($D198="V01",cad!$C$35,IF($D198="V02",cad!$D$35,cad!$E$35)))</f>
        <v/>
      </c>
      <c r="M198" t="str">
        <f>IF($A198="","",IF($D198="V01",cad!$C$36,IF($D198="V02",cad!$D$36,cad!$E$36)))</f>
        <v/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 t="str">
        <f>IF($A199="","",IF($D199="V01",cad!$C$23,IF($D199="V02",cad!$D$23,cad!$E$23)))</f>
        <v/>
      </c>
      <c r="H199" t="str">
        <f>IF($A199="","",IF($D199="V01",cad!$C$24,IF($D199="V02",cad!$D$24,cad!$E$24)))</f>
        <v/>
      </c>
      <c r="I199" t="str">
        <f>IF($A199="","",IF($D199="V01",cad!$C$32,IF($D199="V02",cad!$D$32,cad!$E$32)))</f>
        <v/>
      </c>
      <c r="J199" t="str">
        <f>IF($A199="","",IF($D199="V01",cad!$C$33,IF($D199="V02",cad!$D$33,cad!$E$33)))</f>
        <v/>
      </c>
      <c r="K199" t="str">
        <f>IF($A199="","",IF($D199="V01",cad!$C$34,IF($D199="V02",cad!$D$34,cad!$E$34)))</f>
        <v/>
      </c>
      <c r="L199" t="str">
        <f>IF($A199="","",IF($D199="V01",cad!$C$35,IF($D199="V02",cad!$D$35,cad!$E$35)))</f>
        <v/>
      </c>
      <c r="M199" t="str">
        <f>IF($A199="","",IF($D199="V01",cad!$C$36,IF($D199="V02",cad!$D$36,cad!$E$36)))</f>
        <v/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 t="str">
        <f>IF($A200="","",IF($D200="V01",cad!$C$23,IF($D200="V02",cad!$D$23,cad!$E$23)))</f>
        <v/>
      </c>
      <c r="H200" t="str">
        <f>IF($A200="","",IF($D200="V01",cad!$C$24,IF($D200="V02",cad!$D$24,cad!$E$24)))</f>
        <v/>
      </c>
      <c r="I200" t="str">
        <f>IF($A200="","",IF($D200="V01",cad!$C$32,IF($D200="V02",cad!$D$32,cad!$E$32)))</f>
        <v/>
      </c>
      <c r="J200" t="str">
        <f>IF($A200="","",IF($D200="V01",cad!$C$33,IF($D200="V02",cad!$D$33,cad!$E$33)))</f>
        <v/>
      </c>
      <c r="K200" t="str">
        <f>IF($A200="","",IF($D200="V01",cad!$C$34,IF($D200="V02",cad!$D$34,cad!$E$34)))</f>
        <v/>
      </c>
      <c r="L200" t="str">
        <f>IF($A200="","",IF($D200="V01",cad!$C$35,IF($D200="V02",cad!$D$35,cad!$E$35)))</f>
        <v/>
      </c>
      <c r="M200" t="str">
        <f>IF($A200="","",IF($D200="V01",cad!$C$36,IF($D200="V02",cad!$D$36,cad!$E$36)))</f>
        <v/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 t="str">
        <f>IF($A201="","",IF($D201="V01",cad!$C$23,IF($D201="V02",cad!$D$23,cad!$E$23)))</f>
        <v/>
      </c>
      <c r="H201" t="str">
        <f>IF($A201="","",IF($D201="V01",cad!$C$24,IF($D201="V02",cad!$D$24,cad!$E$24)))</f>
        <v/>
      </c>
      <c r="I201" t="str">
        <f>IF($A201="","",IF($D201="V01",cad!$C$32,IF($D201="V02",cad!$D$32,cad!$E$32)))</f>
        <v/>
      </c>
      <c r="J201" t="str">
        <f>IF($A201="","",IF($D201="V01",cad!$C$33,IF($D201="V02",cad!$D$33,cad!$E$33)))</f>
        <v/>
      </c>
      <c r="K201" t="str">
        <f>IF($A201="","",IF($D201="V01",cad!$C$34,IF($D201="V02",cad!$D$34,cad!$E$34)))</f>
        <v/>
      </c>
      <c r="L201" t="str">
        <f>IF($A201="","",IF($D201="V01",cad!$C$35,IF($D201="V02",cad!$D$35,cad!$E$35)))</f>
        <v/>
      </c>
      <c r="M201" t="str">
        <f>IF($A201="","",IF($D201="V01",cad!$C$36,IF($D201="V02",cad!$D$36,cad!$E$36)))</f>
        <v/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 t="str">
        <f>IF($A202="","",IF($D202="V01",cad!$C$23,IF($D202="V02",cad!$D$23,cad!$E$23)))</f>
        <v/>
      </c>
      <c r="H202" t="str">
        <f>IF($A202="","",IF($D202="V01",cad!$C$24,IF($D202="V02",cad!$D$24,cad!$E$24)))</f>
        <v/>
      </c>
      <c r="I202" t="str">
        <f>IF($A202="","",IF($D202="V01",cad!$C$32,IF($D202="V02",cad!$D$32,cad!$E$32)))</f>
        <v/>
      </c>
      <c r="J202" t="str">
        <f>IF($A202="","",IF($D202="V01",cad!$C$33,IF($D202="V02",cad!$D$33,cad!$E$33)))</f>
        <v/>
      </c>
      <c r="K202" t="str">
        <f>IF($A202="","",IF($D202="V01",cad!$C$34,IF($D202="V02",cad!$D$34,cad!$E$34)))</f>
        <v/>
      </c>
      <c r="L202" t="str">
        <f>IF($A202="","",IF($D202="V01",cad!$C$35,IF($D202="V02",cad!$D$35,cad!$E$35)))</f>
        <v/>
      </c>
      <c r="M202" t="str">
        <f>IF($A202="","",IF($D202="V01",cad!$C$36,IF($D202="V02",cad!$D$36,cad!$E$36)))</f>
        <v/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 t="str">
        <f>IF($A203="","",IF($D203="V01",cad!$C$23,IF($D203="V02",cad!$D$23,cad!$E$23)))</f>
        <v/>
      </c>
      <c r="H203" t="str">
        <f>IF($A203="","",IF($D203="V01",cad!$C$24,IF($D203="V02",cad!$D$24,cad!$E$24)))</f>
        <v/>
      </c>
      <c r="I203" t="str">
        <f>IF($A203="","",IF($D203="V01",cad!$C$32,IF($D203="V02",cad!$D$32,cad!$E$32)))</f>
        <v/>
      </c>
      <c r="J203" t="str">
        <f>IF($A203="","",IF($D203="V01",cad!$C$33,IF($D203="V02",cad!$D$33,cad!$E$33)))</f>
        <v/>
      </c>
      <c r="K203" t="str">
        <f>IF($A203="","",IF($D203="V01",cad!$C$34,IF($D203="V02",cad!$D$34,cad!$E$34)))</f>
        <v/>
      </c>
      <c r="L203" t="str">
        <f>IF($A203="","",IF($D203="V01",cad!$C$35,IF($D203="V02",cad!$D$35,cad!$E$35)))</f>
        <v/>
      </c>
      <c r="M203" t="str">
        <f>IF($A203="","",IF($D203="V01",cad!$C$36,IF($D203="V02",cad!$D$36,cad!$E$36)))</f>
        <v/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 t="str">
        <f>IF($A204="","",IF($D204="V01",cad!$C$23,IF($D204="V02",cad!$D$23,cad!$E$23)))</f>
        <v/>
      </c>
      <c r="H204" t="str">
        <f>IF($A204="","",IF($D204="V01",cad!$C$24,IF($D204="V02",cad!$D$24,cad!$E$24)))</f>
        <v/>
      </c>
      <c r="I204" t="str">
        <f>IF($A204="","",IF($D204="V01",cad!$C$32,IF($D204="V02",cad!$D$32,cad!$E$32)))</f>
        <v/>
      </c>
      <c r="J204" t="str">
        <f>IF($A204="","",IF($D204="V01",cad!$C$33,IF($D204="V02",cad!$D$33,cad!$E$33)))</f>
        <v/>
      </c>
      <c r="K204" t="str">
        <f>IF($A204="","",IF($D204="V01",cad!$C$34,IF($D204="V02",cad!$D$34,cad!$E$34)))</f>
        <v/>
      </c>
      <c r="L204" t="str">
        <f>IF($A204="","",IF($D204="V01",cad!$C$35,IF($D204="V02",cad!$D$35,cad!$E$35)))</f>
        <v/>
      </c>
      <c r="M204" t="str">
        <f>IF($A204="","",IF($D204="V01",cad!$C$36,IF($D204="V02",cad!$D$36,cad!$E$36)))</f>
        <v/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 t="str">
        <f>IF($A205="","",IF($D205="V01",cad!$C$23,IF($D205="V02",cad!$D$23,cad!$E$23)))</f>
        <v/>
      </c>
      <c r="H205" t="str">
        <f>IF($A205="","",IF($D205="V01",cad!$C$24,IF($D205="V02",cad!$D$24,cad!$E$24)))</f>
        <v/>
      </c>
      <c r="I205" t="str">
        <f>IF($A205="","",IF($D205="V01",cad!$C$32,IF($D205="V02",cad!$D$32,cad!$E$32)))</f>
        <v/>
      </c>
      <c r="J205" t="str">
        <f>IF($A205="","",IF($D205="V01",cad!$C$33,IF($D205="V02",cad!$D$33,cad!$E$33)))</f>
        <v/>
      </c>
      <c r="K205" t="str">
        <f>IF($A205="","",IF($D205="V01",cad!$C$34,IF($D205="V02",cad!$D$34,cad!$E$34)))</f>
        <v/>
      </c>
      <c r="L205" t="str">
        <f>IF($A205="","",IF($D205="V01",cad!$C$35,IF($D205="V02",cad!$D$35,cad!$E$35)))</f>
        <v/>
      </c>
      <c r="M205" t="str">
        <f>IF($A205="","",IF($D205="V01",cad!$C$36,IF($D205="V02",cad!$D$36,cad!$E$36)))</f>
        <v/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 t="str">
        <f>IF($A206="","",IF($D206="V01",cad!$C$23,IF($D206="V02",cad!$D$23,cad!$E$23)))</f>
        <v/>
      </c>
      <c r="H206" t="str">
        <f>IF($A206="","",IF($D206="V01",cad!$C$24,IF($D206="V02",cad!$D$24,cad!$E$24)))</f>
        <v/>
      </c>
      <c r="I206" t="str">
        <f>IF($A206="","",IF($D206="V01",cad!$C$32,IF($D206="V02",cad!$D$32,cad!$E$32)))</f>
        <v/>
      </c>
      <c r="J206" t="str">
        <f>IF($A206="","",IF($D206="V01",cad!$C$33,IF($D206="V02",cad!$D$33,cad!$E$33)))</f>
        <v/>
      </c>
      <c r="K206" t="str">
        <f>IF($A206="","",IF($D206="V01",cad!$C$34,IF($D206="V02",cad!$D$34,cad!$E$34)))</f>
        <v/>
      </c>
      <c r="L206" t="str">
        <f>IF($A206="","",IF($D206="V01",cad!$C$35,IF($D206="V02",cad!$D$35,cad!$E$35)))</f>
        <v/>
      </c>
      <c r="M206" t="str">
        <f>IF($A206="","",IF($D206="V01",cad!$C$36,IF($D206="V02",cad!$D$36,cad!$E$36)))</f>
        <v/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 t="str">
        <f>IF($A207="","",IF($D207="V01",cad!$C$23,IF($D207="V02",cad!$D$23,cad!$E$23)))</f>
        <v/>
      </c>
      <c r="H207" t="str">
        <f>IF($A207="","",IF($D207="V01",cad!$C$24,IF($D207="V02",cad!$D$24,cad!$E$24)))</f>
        <v/>
      </c>
      <c r="I207" t="str">
        <f>IF($A207="","",IF($D207="V01",cad!$C$32,IF($D207="V02",cad!$D$32,cad!$E$32)))</f>
        <v/>
      </c>
      <c r="J207" t="str">
        <f>IF($A207="","",IF($D207="V01",cad!$C$33,IF($D207="V02",cad!$D$33,cad!$E$33)))</f>
        <v/>
      </c>
      <c r="K207" t="str">
        <f>IF($A207="","",IF($D207="V01",cad!$C$34,IF($D207="V02",cad!$D$34,cad!$E$34)))</f>
        <v/>
      </c>
      <c r="L207" t="str">
        <f>IF($A207="","",IF($D207="V01",cad!$C$35,IF($D207="V02",cad!$D$35,cad!$E$35)))</f>
        <v/>
      </c>
      <c r="M207" t="str">
        <f>IF($A207="","",IF($D207="V01",cad!$C$36,IF($D207="V02",cad!$D$36,cad!$E$36)))</f>
        <v/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 t="str">
        <f>IF($A208="","",IF($D208="V01",cad!$C$23,IF($D208="V02",cad!$D$23,cad!$E$23)))</f>
        <v/>
      </c>
      <c r="H208" t="str">
        <f>IF($A208="","",IF($D208="V01",cad!$C$24,IF($D208="V02",cad!$D$24,cad!$E$24)))</f>
        <v/>
      </c>
      <c r="I208" t="str">
        <f>IF($A208="","",IF($D208="V01",cad!$C$32,IF($D208="V02",cad!$D$32,cad!$E$32)))</f>
        <v/>
      </c>
      <c r="J208" t="str">
        <f>IF($A208="","",IF($D208="V01",cad!$C$33,IF($D208="V02",cad!$D$33,cad!$E$33)))</f>
        <v/>
      </c>
      <c r="K208" t="str">
        <f>IF($A208="","",IF($D208="V01",cad!$C$34,IF($D208="V02",cad!$D$34,cad!$E$34)))</f>
        <v/>
      </c>
      <c r="L208" t="str">
        <f>IF($A208="","",IF($D208="V01",cad!$C$35,IF($D208="V02",cad!$D$35,cad!$E$35)))</f>
        <v/>
      </c>
      <c r="M208" t="str">
        <f>IF($A208="","",IF($D208="V01",cad!$C$36,IF($D208="V02",cad!$D$36,cad!$E$36)))</f>
        <v/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 t="str">
        <f>IF($A209="","",IF($D209="V01",cad!$C$23,IF($D209="V02",cad!$D$23,cad!$E$23)))</f>
        <v/>
      </c>
      <c r="H209" t="str">
        <f>IF($A209="","",IF($D209="V01",cad!$C$24,IF($D209="V02",cad!$D$24,cad!$E$24)))</f>
        <v/>
      </c>
      <c r="I209" t="str">
        <f>IF($A209="","",IF($D209="V01",cad!$C$32,IF($D209="V02",cad!$D$32,cad!$E$32)))</f>
        <v/>
      </c>
      <c r="J209" t="str">
        <f>IF($A209="","",IF($D209="V01",cad!$C$33,IF($D209="V02",cad!$D$33,cad!$E$33)))</f>
        <v/>
      </c>
      <c r="K209" t="str">
        <f>IF($A209="","",IF($D209="V01",cad!$C$34,IF($D209="V02",cad!$D$34,cad!$E$34)))</f>
        <v/>
      </c>
      <c r="L209" t="str">
        <f>IF($A209="","",IF($D209="V01",cad!$C$35,IF($D209="V02",cad!$D$35,cad!$E$35)))</f>
        <v/>
      </c>
      <c r="M209" t="str">
        <f>IF($A209="","",IF($D209="V01",cad!$C$36,IF($D209="V02",cad!$D$36,cad!$E$36)))</f>
        <v/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 t="str">
        <f>IF($A210="","",IF($D210="V01",cad!$C$23,IF($D210="V02",cad!$D$23,cad!$E$23)))</f>
        <v/>
      </c>
      <c r="H210" t="str">
        <f>IF($A210="","",IF($D210="V01",cad!$C$24,IF($D210="V02",cad!$D$24,cad!$E$24)))</f>
        <v/>
      </c>
      <c r="I210" t="str">
        <f>IF($A210="","",IF($D210="V01",cad!$C$32,IF($D210="V02",cad!$D$32,cad!$E$32)))</f>
        <v/>
      </c>
      <c r="J210" t="str">
        <f>IF($A210="","",IF($D210="V01",cad!$C$33,IF($D210="V02",cad!$D$33,cad!$E$33)))</f>
        <v/>
      </c>
      <c r="K210" t="str">
        <f>IF($A210="","",IF($D210="V01",cad!$C$34,IF($D210="V02",cad!$D$34,cad!$E$34)))</f>
        <v/>
      </c>
      <c r="L210" t="str">
        <f>IF($A210="","",IF($D210="V01",cad!$C$35,IF($D210="V02",cad!$D$35,cad!$E$35)))</f>
        <v/>
      </c>
      <c r="M210" t="str">
        <f>IF($A210="","",IF($D210="V01",cad!$C$36,IF($D210="V02",cad!$D$36,cad!$E$36)))</f>
        <v/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 t="str">
        <f>IF($A211="","",IF($D211="V01",cad!$C$23,IF($D211="V02",cad!$D$23,cad!$E$23)))</f>
        <v/>
      </c>
      <c r="H211" t="str">
        <f>IF($A211="","",IF($D211="V01",cad!$C$24,IF($D211="V02",cad!$D$24,cad!$E$24)))</f>
        <v/>
      </c>
      <c r="I211" t="str">
        <f>IF($A211="","",IF($D211="V01",cad!$C$32,IF($D211="V02",cad!$D$32,cad!$E$32)))</f>
        <v/>
      </c>
      <c r="J211" t="str">
        <f>IF($A211="","",IF($D211="V01",cad!$C$33,IF($D211="V02",cad!$D$33,cad!$E$33)))</f>
        <v/>
      </c>
      <c r="K211" t="str">
        <f>IF($A211="","",IF($D211="V01",cad!$C$34,IF($D211="V02",cad!$D$34,cad!$E$34)))</f>
        <v/>
      </c>
      <c r="L211" t="str">
        <f>IF($A211="","",IF($D211="V01",cad!$C$35,IF($D211="V02",cad!$D$35,cad!$E$35)))</f>
        <v/>
      </c>
      <c r="M211" t="str">
        <f>IF($A211="","",IF($D211="V01",cad!$C$36,IF($D211="V02",cad!$D$36,cad!$E$36)))</f>
        <v/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 t="str">
        <f>IF($A212="","",IF($D212="V01",cad!$C$23,IF($D212="V02",cad!$D$23,cad!$E$23)))</f>
        <v/>
      </c>
      <c r="H212" t="str">
        <f>IF($A212="","",IF($D212="V01",cad!$C$24,IF($D212="V02",cad!$D$24,cad!$E$24)))</f>
        <v/>
      </c>
      <c r="I212" t="str">
        <f>IF($A212="","",IF($D212="V01",cad!$C$32,IF($D212="V02",cad!$D$32,cad!$E$32)))</f>
        <v/>
      </c>
      <c r="J212" t="str">
        <f>IF($A212="","",IF($D212="V01",cad!$C$33,IF($D212="V02",cad!$D$33,cad!$E$33)))</f>
        <v/>
      </c>
      <c r="K212" t="str">
        <f>IF($A212="","",IF($D212="V01",cad!$C$34,IF($D212="V02",cad!$D$34,cad!$E$34)))</f>
        <v/>
      </c>
      <c r="L212" t="str">
        <f>IF($A212="","",IF($D212="V01",cad!$C$35,IF($D212="V02",cad!$D$35,cad!$E$35)))</f>
        <v/>
      </c>
      <c r="M212" t="str">
        <f>IF($A212="","",IF($D212="V01",cad!$C$36,IF($D212="V02",cad!$D$36,cad!$E$36)))</f>
        <v/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 t="str">
        <f>IF($A213="","",IF($D213="V01",cad!$C$23,IF($D213="V02",cad!$D$23,cad!$E$23)))</f>
        <v/>
      </c>
      <c r="H213" t="str">
        <f>IF($A213="","",IF($D213="V01",cad!$C$24,IF($D213="V02",cad!$D$24,cad!$E$24)))</f>
        <v/>
      </c>
      <c r="I213" t="str">
        <f>IF($A213="","",IF($D213="V01",cad!$C$32,IF($D213="V02",cad!$D$32,cad!$E$32)))</f>
        <v/>
      </c>
      <c r="J213" t="str">
        <f>IF($A213="","",IF($D213="V01",cad!$C$33,IF($D213="V02",cad!$D$33,cad!$E$33)))</f>
        <v/>
      </c>
      <c r="K213" t="str">
        <f>IF($A213="","",IF($D213="V01",cad!$C$34,IF($D213="V02",cad!$D$34,cad!$E$34)))</f>
        <v/>
      </c>
      <c r="L213" t="str">
        <f>IF($A213="","",IF($D213="V01",cad!$C$35,IF($D213="V02",cad!$D$35,cad!$E$35)))</f>
        <v/>
      </c>
      <c r="M213" t="str">
        <f>IF($A213="","",IF($D213="V01",cad!$C$36,IF($D213="V02",cad!$D$36,cad!$E$36)))</f>
        <v/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 t="str">
        <f>IF($A214="","",IF($D214="V01",cad!$C$23,IF($D214="V02",cad!$D$23,cad!$E$23)))</f>
        <v/>
      </c>
      <c r="H214" t="str">
        <f>IF($A214="","",IF($D214="V01",cad!$C$24,IF($D214="V02",cad!$D$24,cad!$E$24)))</f>
        <v/>
      </c>
      <c r="I214" t="str">
        <f>IF($A214="","",IF($D214="V01",cad!$C$32,IF($D214="V02",cad!$D$32,cad!$E$32)))</f>
        <v/>
      </c>
      <c r="J214" t="str">
        <f>IF($A214="","",IF($D214="V01",cad!$C$33,IF($D214="V02",cad!$D$33,cad!$E$33)))</f>
        <v/>
      </c>
      <c r="K214" t="str">
        <f>IF($A214="","",IF($D214="V01",cad!$C$34,IF($D214="V02",cad!$D$34,cad!$E$34)))</f>
        <v/>
      </c>
      <c r="L214" t="str">
        <f>IF($A214="","",IF($D214="V01",cad!$C$35,IF($D214="V02",cad!$D$35,cad!$E$35)))</f>
        <v/>
      </c>
      <c r="M214" t="str">
        <f>IF($A214="","",IF($D214="V01",cad!$C$36,IF($D214="V02",cad!$D$36,cad!$E$36)))</f>
        <v/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 t="str">
        <f>IF($A215="","",IF($D215="V01",cad!$C$23,IF($D215="V02",cad!$D$23,cad!$E$23)))</f>
        <v/>
      </c>
      <c r="H215" t="str">
        <f>IF($A215="","",IF($D215="V01",cad!$C$24,IF($D215="V02",cad!$D$24,cad!$E$24)))</f>
        <v/>
      </c>
      <c r="I215" t="str">
        <f>IF($A215="","",IF($D215="V01",cad!$C$32,IF($D215="V02",cad!$D$32,cad!$E$32)))</f>
        <v/>
      </c>
      <c r="J215" t="str">
        <f>IF($A215="","",IF($D215="V01",cad!$C$33,IF($D215="V02",cad!$D$33,cad!$E$33)))</f>
        <v/>
      </c>
      <c r="K215" t="str">
        <f>IF($A215="","",IF($D215="V01",cad!$C$34,IF($D215="V02",cad!$D$34,cad!$E$34)))</f>
        <v/>
      </c>
      <c r="L215" t="str">
        <f>IF($A215="","",IF($D215="V01",cad!$C$35,IF($D215="V02",cad!$D$35,cad!$E$35)))</f>
        <v/>
      </c>
      <c r="M215" t="str">
        <f>IF($A215="","",IF($D215="V01",cad!$C$36,IF($D215="V02",cad!$D$36,cad!$E$36)))</f>
        <v/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 t="str">
        <f>IF($A216="","",IF($D216="V01",cad!$C$23,IF($D216="V02",cad!$D$23,cad!$E$23)))</f>
        <v/>
      </c>
      <c r="H216" t="str">
        <f>IF($A216="","",IF($D216="V01",cad!$C$24,IF($D216="V02",cad!$D$24,cad!$E$24)))</f>
        <v/>
      </c>
      <c r="I216" t="str">
        <f>IF($A216="","",IF($D216="V01",cad!$C$32,IF($D216="V02",cad!$D$32,cad!$E$32)))</f>
        <v/>
      </c>
      <c r="J216" t="str">
        <f>IF($A216="","",IF($D216="V01",cad!$C$33,IF($D216="V02",cad!$D$33,cad!$E$33)))</f>
        <v/>
      </c>
      <c r="K216" t="str">
        <f>IF($A216="","",IF($D216="V01",cad!$C$34,IF($D216="V02",cad!$D$34,cad!$E$34)))</f>
        <v/>
      </c>
      <c r="L216" t="str">
        <f>IF($A216="","",IF($D216="V01",cad!$C$35,IF($D216="V02",cad!$D$35,cad!$E$35)))</f>
        <v/>
      </c>
      <c r="M216" t="str">
        <f>IF($A216="","",IF($D216="V01",cad!$C$36,IF($D216="V02",cad!$D$36,cad!$E$36)))</f>
        <v/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 t="str">
        <f>IF($A217="","",IF($D217="V01",cad!$C$23,IF($D217="V02",cad!$D$23,cad!$E$23)))</f>
        <v/>
      </c>
      <c r="H217" t="str">
        <f>IF($A217="","",IF($D217="V01",cad!$C$24,IF($D217="V02",cad!$D$24,cad!$E$24)))</f>
        <v/>
      </c>
      <c r="I217" t="str">
        <f>IF($A217="","",IF($D217="V01",cad!$C$32,IF($D217="V02",cad!$D$32,cad!$E$32)))</f>
        <v/>
      </c>
      <c r="J217" t="str">
        <f>IF($A217="","",IF($D217="V01",cad!$C$33,IF($D217="V02",cad!$D$33,cad!$E$33)))</f>
        <v/>
      </c>
      <c r="K217" t="str">
        <f>IF($A217="","",IF($D217="V01",cad!$C$34,IF($D217="V02",cad!$D$34,cad!$E$34)))</f>
        <v/>
      </c>
      <c r="L217" t="str">
        <f>IF($A217="","",IF($D217="V01",cad!$C$35,IF($D217="V02",cad!$D$35,cad!$E$35)))</f>
        <v/>
      </c>
      <c r="M217" t="str">
        <f>IF($A217="","",IF($D217="V01",cad!$C$36,IF($D217="V02",cad!$D$36,cad!$E$36)))</f>
        <v/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 t="str">
        <f>IF($A218="","",IF($D218="V01",cad!$C$23,IF($D218="V02",cad!$D$23,cad!$E$23)))</f>
        <v/>
      </c>
      <c r="H218" t="str">
        <f>IF($A218="","",IF($D218="V01",cad!$C$24,IF($D218="V02",cad!$D$24,cad!$E$24)))</f>
        <v/>
      </c>
      <c r="I218" t="str">
        <f>IF($A218="","",IF($D218="V01",cad!$C$32,IF($D218="V02",cad!$D$32,cad!$E$32)))</f>
        <v/>
      </c>
      <c r="J218" t="str">
        <f>IF($A218="","",IF($D218="V01",cad!$C$33,IF($D218="V02",cad!$D$33,cad!$E$33)))</f>
        <v/>
      </c>
      <c r="K218" t="str">
        <f>IF($A218="","",IF($D218="V01",cad!$C$34,IF($D218="V02",cad!$D$34,cad!$E$34)))</f>
        <v/>
      </c>
      <c r="L218" t="str">
        <f>IF($A218="","",IF($D218="V01",cad!$C$35,IF($D218="V02",cad!$D$35,cad!$E$35)))</f>
        <v/>
      </c>
      <c r="M218" t="str">
        <f>IF($A218="","",IF($D218="V01",cad!$C$36,IF($D218="V02",cad!$D$36,cad!$E$36)))</f>
        <v/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 t="str">
        <f>IF($A219="","",IF($D219="V01",cad!$C$23,IF($D219="V02",cad!$D$23,cad!$E$23)))</f>
        <v/>
      </c>
      <c r="H219" t="str">
        <f>IF($A219="","",IF($D219="V01",cad!$C$24,IF($D219="V02",cad!$D$24,cad!$E$24)))</f>
        <v/>
      </c>
      <c r="I219" t="str">
        <f>IF($A219="","",IF($D219="V01",cad!$C$32,IF($D219="V02",cad!$D$32,cad!$E$32)))</f>
        <v/>
      </c>
      <c r="J219" t="str">
        <f>IF($A219="","",IF($D219="V01",cad!$C$33,IF($D219="V02",cad!$D$33,cad!$E$33)))</f>
        <v/>
      </c>
      <c r="K219" t="str">
        <f>IF($A219="","",IF($D219="V01",cad!$C$34,IF($D219="V02",cad!$D$34,cad!$E$34)))</f>
        <v/>
      </c>
      <c r="L219" t="str">
        <f>IF($A219="","",IF($D219="V01",cad!$C$35,IF($D219="V02",cad!$D$35,cad!$E$35)))</f>
        <v/>
      </c>
      <c r="M219" t="str">
        <f>IF($A219="","",IF($D219="V01",cad!$C$36,IF($D219="V02",cad!$D$36,cad!$E$36)))</f>
        <v/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 t="str">
        <f>IF($A220="","",IF($D220="V01",cad!$C$23,IF($D220="V02",cad!$D$23,cad!$E$23)))</f>
        <v/>
      </c>
      <c r="H220" t="str">
        <f>IF($A220="","",IF($D220="V01",cad!$C$24,IF($D220="V02",cad!$D$24,cad!$E$24)))</f>
        <v/>
      </c>
      <c r="I220" t="str">
        <f>IF($A220="","",IF($D220="V01",cad!$C$32,IF($D220="V02",cad!$D$32,cad!$E$32)))</f>
        <v/>
      </c>
      <c r="J220" t="str">
        <f>IF($A220="","",IF($D220="V01",cad!$C$33,IF($D220="V02",cad!$D$33,cad!$E$33)))</f>
        <v/>
      </c>
      <c r="K220" t="str">
        <f>IF($A220="","",IF($D220="V01",cad!$C$34,IF($D220="V02",cad!$D$34,cad!$E$34)))</f>
        <v/>
      </c>
      <c r="L220" t="str">
        <f>IF($A220="","",IF($D220="V01",cad!$C$35,IF($D220="V02",cad!$D$35,cad!$E$35)))</f>
        <v/>
      </c>
      <c r="M220" t="str">
        <f>IF($A220="","",IF($D220="V01",cad!$C$36,IF($D220="V02",cad!$D$36,cad!$E$36)))</f>
        <v/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 t="str">
        <f>IF($A221="","",IF($D221="V01",cad!$C$23,IF($D221="V02",cad!$D$23,cad!$E$23)))</f>
        <v/>
      </c>
      <c r="H221" t="str">
        <f>IF($A221="","",IF($D221="V01",cad!$C$24,IF($D221="V02",cad!$D$24,cad!$E$24)))</f>
        <v/>
      </c>
      <c r="I221" t="str">
        <f>IF($A221="","",IF($D221="V01",cad!$C$32,IF($D221="V02",cad!$D$32,cad!$E$32)))</f>
        <v/>
      </c>
      <c r="J221" t="str">
        <f>IF($A221="","",IF($D221="V01",cad!$C$33,IF($D221="V02",cad!$D$33,cad!$E$33)))</f>
        <v/>
      </c>
      <c r="K221" t="str">
        <f>IF($A221="","",IF($D221="V01",cad!$C$34,IF($D221="V02",cad!$D$34,cad!$E$34)))</f>
        <v/>
      </c>
      <c r="L221" t="str">
        <f>IF($A221="","",IF($D221="V01",cad!$C$35,IF($D221="V02",cad!$D$35,cad!$E$35)))</f>
        <v/>
      </c>
      <c r="M221" t="str">
        <f>IF($A221="","",IF($D221="V01",cad!$C$36,IF($D221="V02",cad!$D$36,cad!$E$36)))</f>
        <v/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 t="str">
        <f>IF($A222="","",IF($D222="V01",cad!$C$23,IF($D222="V02",cad!$D$23,cad!$E$23)))</f>
        <v/>
      </c>
      <c r="H222" t="str">
        <f>IF($A222="","",IF($D222="V01",cad!$C$24,IF($D222="V02",cad!$D$24,cad!$E$24)))</f>
        <v/>
      </c>
      <c r="I222" t="str">
        <f>IF($A222="","",IF($D222="V01",cad!$C$32,IF($D222="V02",cad!$D$32,cad!$E$32)))</f>
        <v/>
      </c>
      <c r="J222" t="str">
        <f>IF($A222="","",IF($D222="V01",cad!$C$33,IF($D222="V02",cad!$D$33,cad!$E$33)))</f>
        <v/>
      </c>
      <c r="K222" t="str">
        <f>IF($A222="","",IF($D222="V01",cad!$C$34,IF($D222="V02",cad!$D$34,cad!$E$34)))</f>
        <v/>
      </c>
      <c r="L222" t="str">
        <f>IF($A222="","",IF($D222="V01",cad!$C$35,IF($D222="V02",cad!$D$35,cad!$E$35)))</f>
        <v/>
      </c>
      <c r="M222" t="str">
        <f>IF($A222="","",IF($D222="V01",cad!$C$36,IF($D222="V02",cad!$D$36,cad!$E$36)))</f>
        <v/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 t="str">
        <f>IF($A223="","",IF($D223="V01",cad!$C$23,IF($D223="V02",cad!$D$23,cad!$E$23)))</f>
        <v/>
      </c>
      <c r="H223" t="str">
        <f>IF($A223="","",IF($D223="V01",cad!$C$24,IF($D223="V02",cad!$D$24,cad!$E$24)))</f>
        <v/>
      </c>
      <c r="I223" t="str">
        <f>IF($A223="","",IF($D223="V01",cad!$C$32,IF($D223="V02",cad!$D$32,cad!$E$32)))</f>
        <v/>
      </c>
      <c r="J223" t="str">
        <f>IF($A223="","",IF($D223="V01",cad!$C$33,IF($D223="V02",cad!$D$33,cad!$E$33)))</f>
        <v/>
      </c>
      <c r="K223" t="str">
        <f>IF($A223="","",IF($D223="V01",cad!$C$34,IF($D223="V02",cad!$D$34,cad!$E$34)))</f>
        <v/>
      </c>
      <c r="L223" t="str">
        <f>IF($A223="","",IF($D223="V01",cad!$C$35,IF($D223="V02",cad!$D$35,cad!$E$35)))</f>
        <v/>
      </c>
      <c r="M223" t="str">
        <f>IF($A223="","",IF($D223="V01",cad!$C$36,IF($D223="V02",cad!$D$36,cad!$E$36)))</f>
        <v/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 t="str">
        <f>IF($A224="","",IF($D224="V01",cad!$C$23,IF($D224="V02",cad!$D$23,cad!$E$23)))</f>
        <v/>
      </c>
      <c r="H224" t="str">
        <f>IF($A224="","",IF($D224="V01",cad!$C$24,IF($D224="V02",cad!$D$24,cad!$E$24)))</f>
        <v/>
      </c>
      <c r="I224" t="str">
        <f>IF($A224="","",IF($D224="V01",cad!$C$32,IF($D224="V02",cad!$D$32,cad!$E$32)))</f>
        <v/>
      </c>
      <c r="J224" t="str">
        <f>IF($A224="","",IF($D224="V01",cad!$C$33,IF($D224="V02",cad!$D$33,cad!$E$33)))</f>
        <v/>
      </c>
      <c r="K224" t="str">
        <f>IF($A224="","",IF($D224="V01",cad!$C$34,IF($D224="V02",cad!$D$34,cad!$E$34)))</f>
        <v/>
      </c>
      <c r="L224" t="str">
        <f>IF($A224="","",IF($D224="V01",cad!$C$35,IF($D224="V02",cad!$D$35,cad!$E$35)))</f>
        <v/>
      </c>
      <c r="M224" t="str">
        <f>IF($A224="","",IF($D224="V01",cad!$C$36,IF($D224="V02",cad!$D$36,cad!$E$36)))</f>
        <v/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 t="str">
        <f>IF($A225="","",IF($D225="V01",cad!$C$23,IF($D225="V02",cad!$D$23,cad!$E$23)))</f>
        <v/>
      </c>
      <c r="H225" t="str">
        <f>IF($A225="","",IF($D225="V01",cad!$C$24,IF($D225="V02",cad!$D$24,cad!$E$24)))</f>
        <v/>
      </c>
      <c r="I225" t="str">
        <f>IF($A225="","",IF($D225="V01",cad!$C$32,IF($D225="V02",cad!$D$32,cad!$E$32)))</f>
        <v/>
      </c>
      <c r="J225" t="str">
        <f>IF($A225="","",IF($D225="V01",cad!$C$33,IF($D225="V02",cad!$D$33,cad!$E$33)))</f>
        <v/>
      </c>
      <c r="K225" t="str">
        <f>IF($A225="","",IF($D225="V01",cad!$C$34,IF($D225="V02",cad!$D$34,cad!$E$34)))</f>
        <v/>
      </c>
      <c r="L225" t="str">
        <f>IF($A225="","",IF($D225="V01",cad!$C$35,IF($D225="V02",cad!$D$35,cad!$E$35)))</f>
        <v/>
      </c>
      <c r="M225" t="str">
        <f>IF($A225="","",IF($D225="V01",cad!$C$36,IF($D225="V02",cad!$D$36,cad!$E$36)))</f>
        <v/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 t="str">
        <f>IF($A226="","",IF($D226="V01",cad!$C$23,IF($D226="V02",cad!$D$23,cad!$E$23)))</f>
        <v/>
      </c>
      <c r="H226" t="str">
        <f>IF($A226="","",IF($D226="V01",cad!$C$24,IF($D226="V02",cad!$D$24,cad!$E$24)))</f>
        <v/>
      </c>
      <c r="I226" t="str">
        <f>IF($A226="","",IF($D226="V01",cad!$C$32,IF($D226="V02",cad!$D$32,cad!$E$32)))</f>
        <v/>
      </c>
      <c r="J226" t="str">
        <f>IF($A226="","",IF($D226="V01",cad!$C$33,IF($D226="V02",cad!$D$33,cad!$E$33)))</f>
        <v/>
      </c>
      <c r="K226" t="str">
        <f>IF($A226="","",IF($D226="V01",cad!$C$34,IF($D226="V02",cad!$D$34,cad!$E$34)))</f>
        <v/>
      </c>
      <c r="L226" t="str">
        <f>IF($A226="","",IF($D226="V01",cad!$C$35,IF($D226="V02",cad!$D$35,cad!$E$35)))</f>
        <v/>
      </c>
      <c r="M226" t="str">
        <f>IF($A226="","",IF($D226="V01",cad!$C$36,IF($D226="V02",cad!$D$36,cad!$E$36)))</f>
        <v/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 t="str">
        <f>IF($A227="","",IF($D227="V01",cad!$C$23,IF($D227="V02",cad!$D$23,cad!$E$23)))</f>
        <v/>
      </c>
      <c r="H227" t="str">
        <f>IF($A227="","",IF($D227="V01",cad!$C$24,IF($D227="V02",cad!$D$24,cad!$E$24)))</f>
        <v/>
      </c>
      <c r="I227" t="str">
        <f>IF($A227="","",IF($D227="V01",cad!$C$32,IF($D227="V02",cad!$D$32,cad!$E$32)))</f>
        <v/>
      </c>
      <c r="J227" t="str">
        <f>IF($A227="","",IF($D227="V01",cad!$C$33,IF($D227="V02",cad!$D$33,cad!$E$33)))</f>
        <v/>
      </c>
      <c r="K227" t="str">
        <f>IF($A227="","",IF($D227="V01",cad!$C$34,IF($D227="V02",cad!$D$34,cad!$E$34)))</f>
        <v/>
      </c>
      <c r="L227" t="str">
        <f>IF($A227="","",IF($D227="V01",cad!$C$35,IF($D227="V02",cad!$D$35,cad!$E$35)))</f>
        <v/>
      </c>
      <c r="M227" t="str">
        <f>IF($A227="","",IF($D227="V01",cad!$C$36,IF($D227="V02",cad!$D$36,cad!$E$36)))</f>
        <v/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 t="str">
        <f>IF($A228="","",IF($D228="V01",cad!$C$23,IF($D228="V02",cad!$D$23,cad!$E$23)))</f>
        <v/>
      </c>
      <c r="H228" t="str">
        <f>IF($A228="","",IF($D228="V01",cad!$C$24,IF($D228="V02",cad!$D$24,cad!$E$24)))</f>
        <v/>
      </c>
      <c r="I228" t="str">
        <f>IF($A228="","",IF($D228="V01",cad!$C$32,IF($D228="V02",cad!$D$32,cad!$E$32)))</f>
        <v/>
      </c>
      <c r="J228" t="str">
        <f>IF($A228="","",IF($D228="V01",cad!$C$33,IF($D228="V02",cad!$D$33,cad!$E$33)))</f>
        <v/>
      </c>
      <c r="K228" t="str">
        <f>IF($A228="","",IF($D228="V01",cad!$C$34,IF($D228="V02",cad!$D$34,cad!$E$34)))</f>
        <v/>
      </c>
      <c r="L228" t="str">
        <f>IF($A228="","",IF($D228="V01",cad!$C$35,IF($D228="V02",cad!$D$35,cad!$E$35)))</f>
        <v/>
      </c>
      <c r="M228" t="str">
        <f>IF($A228="","",IF($D228="V01",cad!$C$36,IF($D228="V02",cad!$D$36,cad!$E$36)))</f>
        <v/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 t="str">
        <f>IF($A229="","",IF($D229="V01",cad!$C$23,IF($D229="V02",cad!$D$23,cad!$E$23)))</f>
        <v/>
      </c>
      <c r="H229" t="str">
        <f>IF($A229="","",IF($D229="V01",cad!$C$24,IF($D229="V02",cad!$D$24,cad!$E$24)))</f>
        <v/>
      </c>
      <c r="I229" t="str">
        <f>IF($A229="","",IF($D229="V01",cad!$C$32,IF($D229="V02",cad!$D$32,cad!$E$32)))</f>
        <v/>
      </c>
      <c r="J229" t="str">
        <f>IF($A229="","",IF($D229="V01",cad!$C$33,IF($D229="V02",cad!$D$33,cad!$E$33)))</f>
        <v/>
      </c>
      <c r="K229" t="str">
        <f>IF($A229="","",IF($D229="V01",cad!$C$34,IF($D229="V02",cad!$D$34,cad!$E$34)))</f>
        <v/>
      </c>
      <c r="L229" t="str">
        <f>IF($A229="","",IF($D229="V01",cad!$C$35,IF($D229="V02",cad!$D$35,cad!$E$35)))</f>
        <v/>
      </c>
      <c r="M229" t="str">
        <f>IF($A229="","",IF($D229="V01",cad!$C$36,IF($D229="V02",cad!$D$36,cad!$E$36)))</f>
        <v/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 t="str">
        <f>IF($A230="","",IF($D230="V01",cad!$C$23,IF($D230="V02",cad!$D$23,cad!$E$23)))</f>
        <v/>
      </c>
      <c r="H230" t="str">
        <f>IF($A230="","",IF($D230="V01",cad!$C$24,IF($D230="V02",cad!$D$24,cad!$E$24)))</f>
        <v/>
      </c>
      <c r="I230" t="str">
        <f>IF($A230="","",IF($D230="V01",cad!$C$32,IF($D230="V02",cad!$D$32,cad!$E$32)))</f>
        <v/>
      </c>
      <c r="J230" t="str">
        <f>IF($A230="","",IF($D230="V01",cad!$C$33,IF($D230="V02",cad!$D$33,cad!$E$33)))</f>
        <v/>
      </c>
      <c r="K230" t="str">
        <f>IF($A230="","",IF($D230="V01",cad!$C$34,IF($D230="V02",cad!$D$34,cad!$E$34)))</f>
        <v/>
      </c>
      <c r="L230" t="str">
        <f>IF($A230="","",IF($D230="V01",cad!$C$35,IF($D230="V02",cad!$D$35,cad!$E$35)))</f>
        <v/>
      </c>
      <c r="M230" t="str">
        <f>IF($A230="","",IF($D230="V01",cad!$C$36,IF($D230="V02",cad!$D$36,cad!$E$36)))</f>
        <v/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 t="str">
        <f>IF($A231="","",IF($D231="V01",cad!$C$23,IF($D231="V02",cad!$D$23,cad!$E$23)))</f>
        <v/>
      </c>
      <c r="H231" t="str">
        <f>IF($A231="","",IF($D231="V01",cad!$C$24,IF($D231="V02",cad!$D$24,cad!$E$24)))</f>
        <v/>
      </c>
      <c r="I231" t="str">
        <f>IF($A231="","",IF($D231="V01",cad!$C$32,IF($D231="V02",cad!$D$32,cad!$E$32)))</f>
        <v/>
      </c>
      <c r="J231" t="str">
        <f>IF($A231="","",IF($D231="V01",cad!$C$33,IF($D231="V02",cad!$D$33,cad!$E$33)))</f>
        <v/>
      </c>
      <c r="K231" t="str">
        <f>IF($A231="","",IF($D231="V01",cad!$C$34,IF($D231="V02",cad!$D$34,cad!$E$34)))</f>
        <v/>
      </c>
      <c r="L231" t="str">
        <f>IF($A231="","",IF($D231="V01",cad!$C$35,IF($D231="V02",cad!$D$35,cad!$E$35)))</f>
        <v/>
      </c>
      <c r="M231" t="str">
        <f>IF($A231="","",IF($D231="V01",cad!$C$36,IF($D231="V02",cad!$D$36,cad!$E$36)))</f>
        <v/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 t="str">
        <f>IF($A232="","",IF($D232="V01",cad!$C$23,IF($D232="V02",cad!$D$23,cad!$E$23)))</f>
        <v/>
      </c>
      <c r="H232" t="str">
        <f>IF($A232="","",IF($D232="V01",cad!$C$24,IF($D232="V02",cad!$D$24,cad!$E$24)))</f>
        <v/>
      </c>
      <c r="I232" t="str">
        <f>IF($A232="","",IF($D232="V01",cad!$C$32,IF($D232="V02",cad!$D$32,cad!$E$32)))</f>
        <v/>
      </c>
      <c r="J232" t="str">
        <f>IF($A232="","",IF($D232="V01",cad!$C$33,IF($D232="V02",cad!$D$33,cad!$E$33)))</f>
        <v/>
      </c>
      <c r="K232" t="str">
        <f>IF($A232="","",IF($D232="V01",cad!$C$34,IF($D232="V02",cad!$D$34,cad!$E$34)))</f>
        <v/>
      </c>
      <c r="L232" t="str">
        <f>IF($A232="","",IF($D232="V01",cad!$C$35,IF($D232="V02",cad!$D$35,cad!$E$35)))</f>
        <v/>
      </c>
      <c r="M232" t="str">
        <f>IF($A232="","",IF($D232="V01",cad!$C$36,IF($D232="V02",cad!$D$36,cad!$E$36)))</f>
        <v/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 t="str">
        <f>IF($A233="","",IF($D233="V01",cad!$C$23,IF($D233="V02",cad!$D$23,cad!$E$23)))</f>
        <v/>
      </c>
      <c r="H233" t="str">
        <f>IF($A233="","",IF($D233="V01",cad!$C$24,IF($D233="V02",cad!$D$24,cad!$E$24)))</f>
        <v/>
      </c>
      <c r="I233" t="str">
        <f>IF($A233="","",IF($D233="V01",cad!$C$32,IF($D233="V02",cad!$D$32,cad!$E$32)))</f>
        <v/>
      </c>
      <c r="J233" t="str">
        <f>IF($A233="","",IF($D233="V01",cad!$C$33,IF($D233="V02",cad!$D$33,cad!$E$33)))</f>
        <v/>
      </c>
      <c r="K233" t="str">
        <f>IF($A233="","",IF($D233="V01",cad!$C$34,IF($D233="V02",cad!$D$34,cad!$E$34)))</f>
        <v/>
      </c>
      <c r="L233" t="str">
        <f>IF($A233="","",IF($D233="V01",cad!$C$35,IF($D233="V02",cad!$D$35,cad!$E$35)))</f>
        <v/>
      </c>
      <c r="M233" t="str">
        <f>IF($A233="","",IF($D233="V01",cad!$C$36,IF($D233="V02",cad!$D$36,cad!$E$36)))</f>
        <v/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 t="str">
        <f>IF($A234="","",IF($D234="V01",cad!$C$23,IF($D234="V02",cad!$D$23,cad!$E$23)))</f>
        <v/>
      </c>
      <c r="H234" t="str">
        <f>IF($A234="","",IF($D234="V01",cad!$C$24,IF($D234="V02",cad!$D$24,cad!$E$24)))</f>
        <v/>
      </c>
      <c r="I234" t="str">
        <f>IF($A234="","",IF($D234="V01",cad!$C$32,IF($D234="V02",cad!$D$32,cad!$E$32)))</f>
        <v/>
      </c>
      <c r="J234" t="str">
        <f>IF($A234="","",IF($D234="V01",cad!$C$33,IF($D234="V02",cad!$D$33,cad!$E$33)))</f>
        <v/>
      </c>
      <c r="K234" t="str">
        <f>IF($A234="","",IF($D234="V01",cad!$C$34,IF($D234="V02",cad!$D$34,cad!$E$34)))</f>
        <v/>
      </c>
      <c r="L234" t="str">
        <f>IF($A234="","",IF($D234="V01",cad!$C$35,IF($D234="V02",cad!$D$35,cad!$E$35)))</f>
        <v/>
      </c>
      <c r="M234" t="str">
        <f>IF($A234="","",IF($D234="V01",cad!$C$36,IF($D234="V02",cad!$D$36,cad!$E$36)))</f>
        <v/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 t="str">
        <f>IF($A235="","",IF($D235="V01",cad!$C$23,IF($D235="V02",cad!$D$23,cad!$E$23)))</f>
        <v/>
      </c>
      <c r="H235" t="str">
        <f>IF($A235="","",IF($D235="V01",cad!$C$24,IF($D235="V02",cad!$D$24,cad!$E$24)))</f>
        <v/>
      </c>
      <c r="I235" t="str">
        <f>IF($A235="","",IF($D235="V01",cad!$C$32,IF($D235="V02",cad!$D$32,cad!$E$32)))</f>
        <v/>
      </c>
      <c r="J235" t="str">
        <f>IF($A235="","",IF($D235="V01",cad!$C$33,IF($D235="V02",cad!$D$33,cad!$E$33)))</f>
        <v/>
      </c>
      <c r="K235" t="str">
        <f>IF($A235="","",IF($D235="V01",cad!$C$34,IF($D235="V02",cad!$D$34,cad!$E$34)))</f>
        <v/>
      </c>
      <c r="L235" t="str">
        <f>IF($A235="","",IF($D235="V01",cad!$C$35,IF($D235="V02",cad!$D$35,cad!$E$35)))</f>
        <v/>
      </c>
      <c r="M235" t="str">
        <f>IF($A235="","",IF($D235="V01",cad!$C$36,IF($D235="V02",cad!$D$36,cad!$E$36)))</f>
        <v/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 t="str">
        <f>IF($A236="","",IF($D236="V01",cad!$C$23,IF($D236="V02",cad!$D$23,cad!$E$23)))</f>
        <v/>
      </c>
      <c r="H236" t="str">
        <f>IF($A236="","",IF($D236="V01",cad!$C$24,IF($D236="V02",cad!$D$24,cad!$E$24)))</f>
        <v/>
      </c>
      <c r="I236" t="str">
        <f>IF($A236="","",IF($D236="V01",cad!$C$32,IF($D236="V02",cad!$D$32,cad!$E$32)))</f>
        <v/>
      </c>
      <c r="J236" t="str">
        <f>IF($A236="","",IF($D236="V01",cad!$C$33,IF($D236="V02",cad!$D$33,cad!$E$33)))</f>
        <v/>
      </c>
      <c r="K236" t="str">
        <f>IF($A236="","",IF($D236="V01",cad!$C$34,IF($D236="V02",cad!$D$34,cad!$E$34)))</f>
        <v/>
      </c>
      <c r="L236" t="str">
        <f>IF($A236="","",IF($D236="V01",cad!$C$35,IF($D236="V02",cad!$D$35,cad!$E$35)))</f>
        <v/>
      </c>
      <c r="M236" t="str">
        <f>IF($A236="","",IF($D236="V01",cad!$C$36,IF($D236="V02",cad!$D$36,cad!$E$36)))</f>
        <v/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 t="str">
        <f>IF($A237="","",IF($D237="V01",cad!$C$23,IF($D237="V02",cad!$D$23,cad!$E$23)))</f>
        <v/>
      </c>
      <c r="H237" t="str">
        <f>IF($A237="","",IF($D237="V01",cad!$C$24,IF($D237="V02",cad!$D$24,cad!$E$24)))</f>
        <v/>
      </c>
      <c r="I237" t="str">
        <f>IF($A237="","",IF($D237="V01",cad!$C$32,IF($D237="V02",cad!$D$32,cad!$E$32)))</f>
        <v/>
      </c>
      <c r="J237" t="str">
        <f>IF($A237="","",IF($D237="V01",cad!$C$33,IF($D237="V02",cad!$D$33,cad!$E$33)))</f>
        <v/>
      </c>
      <c r="K237" t="str">
        <f>IF($A237="","",IF($D237="V01",cad!$C$34,IF($D237="V02",cad!$D$34,cad!$E$34)))</f>
        <v/>
      </c>
      <c r="L237" t="str">
        <f>IF($A237="","",IF($D237="V01",cad!$C$35,IF($D237="V02",cad!$D$35,cad!$E$35)))</f>
        <v/>
      </c>
      <c r="M237" t="str">
        <f>IF($A237="","",IF($D237="V01",cad!$C$36,IF($D237="V02",cad!$D$36,cad!$E$36)))</f>
        <v/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 t="str">
        <f>IF($A238="","",IF($D238="V01",cad!$C$23,IF($D238="V02",cad!$D$23,cad!$E$23)))</f>
        <v/>
      </c>
      <c r="H238" t="str">
        <f>IF($A238="","",IF($D238="V01",cad!$C$24,IF($D238="V02",cad!$D$24,cad!$E$24)))</f>
        <v/>
      </c>
      <c r="I238" t="str">
        <f>IF($A238="","",IF($D238="V01",cad!$C$32,IF($D238="V02",cad!$D$32,cad!$E$32)))</f>
        <v/>
      </c>
      <c r="J238" t="str">
        <f>IF($A238="","",IF($D238="V01",cad!$C$33,IF($D238="V02",cad!$D$33,cad!$E$33)))</f>
        <v/>
      </c>
      <c r="K238" t="str">
        <f>IF($A238="","",IF($D238="V01",cad!$C$34,IF($D238="V02",cad!$D$34,cad!$E$34)))</f>
        <v/>
      </c>
      <c r="L238" t="str">
        <f>IF($A238="","",IF($D238="V01",cad!$C$35,IF($D238="V02",cad!$D$35,cad!$E$35)))</f>
        <v/>
      </c>
      <c r="M238" t="str">
        <f>IF($A238="","",IF($D238="V01",cad!$C$36,IF($D238="V02",cad!$D$36,cad!$E$36)))</f>
        <v/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 t="str">
        <f>IF($A239="","",IF($D239="V01",cad!$C$23,IF($D239="V02",cad!$D$23,cad!$E$23)))</f>
        <v/>
      </c>
      <c r="H239" t="str">
        <f>IF($A239="","",IF($D239="V01",cad!$C$24,IF($D239="V02",cad!$D$24,cad!$E$24)))</f>
        <v/>
      </c>
      <c r="I239" t="str">
        <f>IF($A239="","",IF($D239="V01",cad!$C$32,IF($D239="V02",cad!$D$32,cad!$E$32)))</f>
        <v/>
      </c>
      <c r="J239" t="str">
        <f>IF($A239="","",IF($D239="V01",cad!$C$33,IF($D239="V02",cad!$D$33,cad!$E$33)))</f>
        <v/>
      </c>
      <c r="K239" t="str">
        <f>IF($A239="","",IF($D239="V01",cad!$C$34,IF($D239="V02",cad!$D$34,cad!$E$34)))</f>
        <v/>
      </c>
      <c r="L239" t="str">
        <f>IF($A239="","",IF($D239="V01",cad!$C$35,IF($D239="V02",cad!$D$35,cad!$E$35)))</f>
        <v/>
      </c>
      <c r="M239" t="str">
        <f>IF($A239="","",IF($D239="V01",cad!$C$36,IF($D239="V02",cad!$D$36,cad!$E$36)))</f>
        <v/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 t="str">
        <f>IF($A240="","",IF($D240="V01",cad!$C$23,IF($D240="V02",cad!$D$23,cad!$E$23)))</f>
        <v/>
      </c>
      <c r="H240" t="str">
        <f>IF($A240="","",IF($D240="V01",cad!$C$24,IF($D240="V02",cad!$D$24,cad!$E$24)))</f>
        <v/>
      </c>
      <c r="I240" t="str">
        <f>IF($A240="","",IF($D240="V01",cad!$C$32,IF($D240="V02",cad!$D$32,cad!$E$32)))</f>
        <v/>
      </c>
      <c r="J240" t="str">
        <f>IF($A240="","",IF($D240="V01",cad!$C$33,IF($D240="V02",cad!$D$33,cad!$E$33)))</f>
        <v/>
      </c>
      <c r="K240" t="str">
        <f>IF($A240="","",IF($D240="V01",cad!$C$34,IF($D240="V02",cad!$D$34,cad!$E$34)))</f>
        <v/>
      </c>
      <c r="L240" t="str">
        <f>IF($A240="","",IF($D240="V01",cad!$C$35,IF($D240="V02",cad!$D$35,cad!$E$35)))</f>
        <v/>
      </c>
      <c r="M240" t="str">
        <f>IF($A240="","",IF($D240="V01",cad!$C$36,IF($D240="V02",cad!$D$36,cad!$E$36)))</f>
        <v/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 t="str">
        <f>IF($A241="","",IF($D241="V01",cad!$C$23,IF($D241="V02",cad!$D$23,cad!$E$23)))</f>
        <v/>
      </c>
      <c r="H241" t="str">
        <f>IF($A241="","",IF($D241="V01",cad!$C$24,IF($D241="V02",cad!$D$24,cad!$E$24)))</f>
        <v/>
      </c>
      <c r="I241" t="str">
        <f>IF($A241="","",IF($D241="V01",cad!$C$32,IF($D241="V02",cad!$D$32,cad!$E$32)))</f>
        <v/>
      </c>
      <c r="J241" t="str">
        <f>IF($A241="","",IF($D241="V01",cad!$C$33,IF($D241="V02",cad!$D$33,cad!$E$33)))</f>
        <v/>
      </c>
      <c r="K241" t="str">
        <f>IF($A241="","",IF($D241="V01",cad!$C$34,IF($D241="V02",cad!$D$34,cad!$E$34)))</f>
        <v/>
      </c>
      <c r="L241" t="str">
        <f>IF($A241="","",IF($D241="V01",cad!$C$35,IF($D241="V02",cad!$D$35,cad!$E$35)))</f>
        <v/>
      </c>
      <c r="M241" t="str">
        <f>IF($A241="","",IF($D241="V01",cad!$C$36,IF($D241="V02",cad!$D$36,cad!$E$36)))</f>
        <v/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 t="str">
        <f>IF($A242="","",IF($D242="V01",cad!$C$23,IF($D242="V02",cad!$D$23,cad!$E$23)))</f>
        <v/>
      </c>
      <c r="H242" t="str">
        <f>IF($A242="","",IF($D242="V01",cad!$C$24,IF($D242="V02",cad!$D$24,cad!$E$24)))</f>
        <v/>
      </c>
      <c r="I242" t="str">
        <f>IF($A242="","",IF($D242="V01",cad!$C$32,IF($D242="V02",cad!$D$32,cad!$E$32)))</f>
        <v/>
      </c>
      <c r="J242" t="str">
        <f>IF($A242="","",IF($D242="V01",cad!$C$33,IF($D242="V02",cad!$D$33,cad!$E$33)))</f>
        <v/>
      </c>
      <c r="K242" t="str">
        <f>IF($A242="","",IF($D242="V01",cad!$C$34,IF($D242="V02",cad!$D$34,cad!$E$34)))</f>
        <v/>
      </c>
      <c r="L242" t="str">
        <f>IF($A242="","",IF($D242="V01",cad!$C$35,IF($D242="V02",cad!$D$35,cad!$E$35)))</f>
        <v/>
      </c>
      <c r="M242" t="str">
        <f>IF($A242="","",IF($D242="V01",cad!$C$36,IF($D242="V02",cad!$D$36,cad!$E$36)))</f>
        <v/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 t="str">
        <f>IF($A243="","",IF($D243="V01",cad!$C$23,IF($D243="V02",cad!$D$23,cad!$E$23)))</f>
        <v/>
      </c>
      <c r="H243" t="str">
        <f>IF($A243="","",IF($D243="V01",cad!$C$24,IF($D243="V02",cad!$D$24,cad!$E$24)))</f>
        <v/>
      </c>
      <c r="I243" t="str">
        <f>IF($A243="","",IF($D243="V01",cad!$C$32,IF($D243="V02",cad!$D$32,cad!$E$32)))</f>
        <v/>
      </c>
      <c r="J243" t="str">
        <f>IF($A243="","",IF($D243="V01",cad!$C$33,IF($D243="V02",cad!$D$33,cad!$E$33)))</f>
        <v/>
      </c>
      <c r="K243" t="str">
        <f>IF($A243="","",IF($D243="V01",cad!$C$34,IF($D243="V02",cad!$D$34,cad!$E$34)))</f>
        <v/>
      </c>
      <c r="L243" t="str">
        <f>IF($A243="","",IF($D243="V01",cad!$C$35,IF($D243="V02",cad!$D$35,cad!$E$35)))</f>
        <v/>
      </c>
      <c r="M243" t="str">
        <f>IF($A243="","",IF($D243="V01",cad!$C$36,IF($D243="V02",cad!$D$36,cad!$E$36)))</f>
        <v/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 t="str">
        <f>IF($A244="","",IF($D244="V01",cad!$C$23,IF($D244="V02",cad!$D$23,cad!$E$23)))</f>
        <v/>
      </c>
      <c r="H244" t="str">
        <f>IF($A244="","",IF($D244="V01",cad!$C$24,IF($D244="V02",cad!$D$24,cad!$E$24)))</f>
        <v/>
      </c>
      <c r="I244" t="str">
        <f>IF($A244="","",IF($D244="V01",cad!$C$32,IF($D244="V02",cad!$D$32,cad!$E$32)))</f>
        <v/>
      </c>
      <c r="J244" t="str">
        <f>IF($A244="","",IF($D244="V01",cad!$C$33,IF($D244="V02",cad!$D$33,cad!$E$33)))</f>
        <v/>
      </c>
      <c r="K244" t="str">
        <f>IF($A244="","",IF($D244="V01",cad!$C$34,IF($D244="V02",cad!$D$34,cad!$E$34)))</f>
        <v/>
      </c>
      <c r="L244" t="str">
        <f>IF($A244="","",IF($D244="V01",cad!$C$35,IF($D244="V02",cad!$D$35,cad!$E$35)))</f>
        <v/>
      </c>
      <c r="M244" t="str">
        <f>IF($A244="","",IF($D244="V01",cad!$C$36,IF($D244="V02",cad!$D$36,cad!$E$36)))</f>
        <v/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 t="str">
        <f>IF($A245="","",IF($D245="V01",cad!$C$23,IF($D245="V02",cad!$D$23,cad!$E$23)))</f>
        <v/>
      </c>
      <c r="H245" t="str">
        <f>IF($A245="","",IF($D245="V01",cad!$C$24,IF($D245="V02",cad!$D$24,cad!$E$24)))</f>
        <v/>
      </c>
      <c r="I245" t="str">
        <f>IF($A245="","",IF($D245="V01",cad!$C$32,IF($D245="V02",cad!$D$32,cad!$E$32)))</f>
        <v/>
      </c>
      <c r="J245" t="str">
        <f>IF($A245="","",IF($D245="V01",cad!$C$33,IF($D245="V02",cad!$D$33,cad!$E$33)))</f>
        <v/>
      </c>
      <c r="K245" t="str">
        <f>IF($A245="","",IF($D245="V01",cad!$C$34,IF($D245="V02",cad!$D$34,cad!$E$34)))</f>
        <v/>
      </c>
      <c r="L245" t="str">
        <f>IF($A245="","",IF($D245="V01",cad!$C$35,IF($D245="V02",cad!$D$35,cad!$E$35)))</f>
        <v/>
      </c>
      <c r="M245" t="str">
        <f>IF($A245="","",IF($D245="V01",cad!$C$36,IF($D245="V02",cad!$D$36,cad!$E$36)))</f>
        <v/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 t="str">
        <f>IF($A246="","",IF($D246="V01",cad!$C$23,IF($D246="V02",cad!$D$23,cad!$E$23)))</f>
        <v/>
      </c>
      <c r="H246" t="str">
        <f>IF($A246="","",IF($D246="V01",cad!$C$24,IF($D246="V02",cad!$D$24,cad!$E$24)))</f>
        <v/>
      </c>
      <c r="I246" t="str">
        <f>IF($A246="","",IF($D246="V01",cad!$C$32,IF($D246="V02",cad!$D$32,cad!$E$32)))</f>
        <v/>
      </c>
      <c r="J246" t="str">
        <f>IF($A246="","",IF($D246="V01",cad!$C$33,IF($D246="V02",cad!$D$33,cad!$E$33)))</f>
        <v/>
      </c>
      <c r="K246" t="str">
        <f>IF($A246="","",IF($D246="V01",cad!$C$34,IF($D246="V02",cad!$D$34,cad!$E$34)))</f>
        <v/>
      </c>
      <c r="L246" t="str">
        <f>IF($A246="","",IF($D246="V01",cad!$C$35,IF($D246="V02",cad!$D$35,cad!$E$35)))</f>
        <v/>
      </c>
      <c r="M246" t="str">
        <f>IF($A246="","",IF($D246="V01",cad!$C$36,IF($D246="V02",cad!$D$36,cad!$E$36)))</f>
        <v/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 t="str">
        <f>IF($A247="","",IF($D247="V01",cad!$C$23,IF($D247="V02",cad!$D$23,cad!$E$23)))</f>
        <v/>
      </c>
      <c r="H247" t="str">
        <f>IF($A247="","",IF($D247="V01",cad!$C$24,IF($D247="V02",cad!$D$24,cad!$E$24)))</f>
        <v/>
      </c>
      <c r="I247" t="str">
        <f>IF($A247="","",IF($D247="V01",cad!$C$32,IF($D247="V02",cad!$D$32,cad!$E$32)))</f>
        <v/>
      </c>
      <c r="J247" t="str">
        <f>IF($A247="","",IF($D247="V01",cad!$C$33,IF($D247="V02",cad!$D$33,cad!$E$33)))</f>
        <v/>
      </c>
      <c r="K247" t="str">
        <f>IF($A247="","",IF($D247="V01",cad!$C$34,IF($D247="V02",cad!$D$34,cad!$E$34)))</f>
        <v/>
      </c>
      <c r="L247" t="str">
        <f>IF($A247="","",IF($D247="V01",cad!$C$35,IF($D247="V02",cad!$D$35,cad!$E$35)))</f>
        <v/>
      </c>
      <c r="M247" t="str">
        <f>IF($A247="","",IF($D247="V01",cad!$C$36,IF($D247="V02",cad!$D$36,cad!$E$36)))</f>
        <v/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 t="str">
        <f>IF($A248="","",IF($D248="V01",cad!$C$23,IF($D248="V02",cad!$D$23,cad!$E$23)))</f>
        <v/>
      </c>
      <c r="H248" t="str">
        <f>IF($A248="","",IF($D248="V01",cad!$C$24,IF($D248="V02",cad!$D$24,cad!$E$24)))</f>
        <v/>
      </c>
      <c r="I248" t="str">
        <f>IF($A248="","",IF($D248="V01",cad!$C$32,IF($D248="V02",cad!$D$32,cad!$E$32)))</f>
        <v/>
      </c>
      <c r="J248" t="str">
        <f>IF($A248="","",IF($D248="V01",cad!$C$33,IF($D248="V02",cad!$D$33,cad!$E$33)))</f>
        <v/>
      </c>
      <c r="K248" t="str">
        <f>IF($A248="","",IF($D248="V01",cad!$C$34,IF($D248="V02",cad!$D$34,cad!$E$34)))</f>
        <v/>
      </c>
      <c r="L248" t="str">
        <f>IF($A248="","",IF($D248="V01",cad!$C$35,IF($D248="V02",cad!$D$35,cad!$E$35)))</f>
        <v/>
      </c>
      <c r="M248" t="str">
        <f>IF($A248="","",IF($D248="V01",cad!$C$36,IF($D248="V02",cad!$D$36,cad!$E$36)))</f>
        <v/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 t="str">
        <f>IF($A249="","",IF($D249="V01",cad!$C$23,IF($D249="V02",cad!$D$23,cad!$E$23)))</f>
        <v/>
      </c>
      <c r="H249" t="str">
        <f>IF($A249="","",IF($D249="V01",cad!$C$24,IF($D249="V02",cad!$D$24,cad!$E$24)))</f>
        <v/>
      </c>
      <c r="I249" t="str">
        <f>IF($A249="","",IF($D249="V01",cad!$C$32,IF($D249="V02",cad!$D$32,cad!$E$32)))</f>
        <v/>
      </c>
      <c r="J249" t="str">
        <f>IF($A249="","",IF($D249="V01",cad!$C$33,IF($D249="V02",cad!$D$33,cad!$E$33)))</f>
        <v/>
      </c>
      <c r="K249" t="str">
        <f>IF($A249="","",IF($D249="V01",cad!$C$34,IF($D249="V02",cad!$D$34,cad!$E$34)))</f>
        <v/>
      </c>
      <c r="L249" t="str">
        <f>IF($A249="","",IF($D249="V01",cad!$C$35,IF($D249="V02",cad!$D$35,cad!$E$35)))</f>
        <v/>
      </c>
      <c r="M249" t="str">
        <f>IF($A249="","",IF($D249="V01",cad!$C$36,IF($D249="V02",cad!$D$36,cad!$E$36)))</f>
        <v/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 t="str">
        <f>IF($A250="","",IF($D250="V01",cad!$C$23,IF($D250="V02",cad!$D$23,cad!$E$23)))</f>
        <v/>
      </c>
      <c r="H250" t="str">
        <f>IF($A250="","",IF($D250="V01",cad!$C$24,IF($D250="V02",cad!$D$24,cad!$E$24)))</f>
        <v/>
      </c>
      <c r="I250" t="str">
        <f>IF($A250="","",IF($D250="V01",cad!$C$32,IF($D250="V02",cad!$D$32,cad!$E$32)))</f>
        <v/>
      </c>
      <c r="J250" t="str">
        <f>IF($A250="","",IF($D250="V01",cad!$C$33,IF($D250="V02",cad!$D$33,cad!$E$33)))</f>
        <v/>
      </c>
      <c r="K250" t="str">
        <f>IF($A250="","",IF($D250="V01",cad!$C$34,IF($D250="V02",cad!$D$34,cad!$E$34)))</f>
        <v/>
      </c>
      <c r="L250" t="str">
        <f>IF($A250="","",IF($D250="V01",cad!$C$35,IF($D250="V02",cad!$D$35,cad!$E$35)))</f>
        <v/>
      </c>
      <c r="M250" t="str">
        <f>IF($A250="","",IF($D250="V01",cad!$C$36,IF($D250="V02",cad!$D$36,cad!$E$36)))</f>
        <v/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 t="str">
        <f>IF($A251="","",IF($D251="V01",cad!$C$23,IF($D251="V02",cad!$D$23,cad!$E$23)))</f>
        <v/>
      </c>
      <c r="H251" t="str">
        <f>IF($A251="","",IF($D251="V01",cad!$C$24,IF($D251="V02",cad!$D$24,cad!$E$24)))</f>
        <v/>
      </c>
      <c r="I251" t="str">
        <f>IF($A251="","",IF($D251="V01",cad!$C$32,IF($D251="V02",cad!$D$32,cad!$E$32)))</f>
        <v/>
      </c>
      <c r="J251" t="str">
        <f>IF($A251="","",IF($D251="V01",cad!$C$33,IF($D251="V02",cad!$D$33,cad!$E$33)))</f>
        <v/>
      </c>
      <c r="K251" t="str">
        <f>IF($A251="","",IF($D251="V01",cad!$C$34,IF($D251="V02",cad!$D$34,cad!$E$34)))</f>
        <v/>
      </c>
      <c r="L251" t="str">
        <f>IF($A251="","",IF($D251="V01",cad!$C$35,IF($D251="V02",cad!$D$35,cad!$E$35)))</f>
        <v/>
      </c>
      <c r="M251" t="str">
        <f>IF($A251="","",IF($D251="V01",cad!$C$36,IF($D251="V02",cad!$D$36,cad!$E$36)))</f>
        <v/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 t="str">
        <f>IF($A252="","",IF($D252="V01",cad!$C$23,IF($D252="V02",cad!$D$23,cad!$E$23)))</f>
        <v/>
      </c>
      <c r="H252" t="str">
        <f>IF($A252="","",IF($D252="V01",cad!$C$24,IF($D252="V02",cad!$D$24,cad!$E$24)))</f>
        <v/>
      </c>
      <c r="I252" t="str">
        <f>IF($A252="","",IF($D252="V01",cad!$C$32,IF($D252="V02",cad!$D$32,cad!$E$32)))</f>
        <v/>
      </c>
      <c r="J252" t="str">
        <f>IF($A252="","",IF($D252="V01",cad!$C$33,IF($D252="V02",cad!$D$33,cad!$E$33)))</f>
        <v/>
      </c>
      <c r="K252" t="str">
        <f>IF($A252="","",IF($D252="V01",cad!$C$34,IF($D252="V02",cad!$D$34,cad!$E$34)))</f>
        <v/>
      </c>
      <c r="L252" t="str">
        <f>IF($A252="","",IF($D252="V01",cad!$C$35,IF($D252="V02",cad!$D$35,cad!$E$35)))</f>
        <v/>
      </c>
      <c r="M252" t="str">
        <f>IF($A252="","",IF($D252="V01",cad!$C$36,IF($D252="V02",cad!$D$36,cad!$E$36)))</f>
        <v/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 t="str">
        <f>IF($A253="","",IF($D253="V01",cad!$C$23,IF($D253="V02",cad!$D$23,cad!$E$23)))</f>
        <v/>
      </c>
      <c r="H253" t="str">
        <f>IF($A253="","",IF($D253="V01",cad!$C$24,IF($D253="V02",cad!$D$24,cad!$E$24)))</f>
        <v/>
      </c>
      <c r="I253" t="str">
        <f>IF($A253="","",IF($D253="V01",cad!$C$32,IF($D253="V02",cad!$D$32,cad!$E$32)))</f>
        <v/>
      </c>
      <c r="J253" t="str">
        <f>IF($A253="","",IF($D253="V01",cad!$C$33,IF($D253="V02",cad!$D$33,cad!$E$33)))</f>
        <v/>
      </c>
      <c r="K253" t="str">
        <f>IF($A253="","",IF($D253="V01",cad!$C$34,IF($D253="V02",cad!$D$34,cad!$E$34)))</f>
        <v/>
      </c>
      <c r="L253" t="str">
        <f>IF($A253="","",IF($D253="V01",cad!$C$35,IF($D253="V02",cad!$D$35,cad!$E$35)))</f>
        <v/>
      </c>
      <c r="M253" t="str">
        <f>IF($A253="","",IF($D253="V01",cad!$C$36,IF($D253="V02",cad!$D$36,cad!$E$36)))</f>
        <v/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 t="str">
        <f>IF($A254="","",IF($D254="V01",cad!$C$23,IF($D254="V02",cad!$D$23,cad!$E$23)))</f>
        <v/>
      </c>
      <c r="H254" t="str">
        <f>IF($A254="","",IF($D254="V01",cad!$C$24,IF($D254="V02",cad!$D$24,cad!$E$24)))</f>
        <v/>
      </c>
      <c r="I254" t="str">
        <f>IF($A254="","",IF($D254="V01",cad!$C$32,IF($D254="V02",cad!$D$32,cad!$E$32)))</f>
        <v/>
      </c>
      <c r="J254" t="str">
        <f>IF($A254="","",IF($D254="V01",cad!$C$33,IF($D254="V02",cad!$D$33,cad!$E$33)))</f>
        <v/>
      </c>
      <c r="K254" t="str">
        <f>IF($A254="","",IF($D254="V01",cad!$C$34,IF($D254="V02",cad!$D$34,cad!$E$34)))</f>
        <v/>
      </c>
      <c r="L254" t="str">
        <f>IF($A254="","",IF($D254="V01",cad!$C$35,IF($D254="V02",cad!$D$35,cad!$E$35)))</f>
        <v/>
      </c>
      <c r="M254" t="str">
        <f>IF($A254="","",IF($D254="V01",cad!$C$36,IF($D254="V02",cad!$D$36,cad!$E$36)))</f>
        <v/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 t="str">
        <f>IF($A255="","",IF($D255="V01",cad!$C$23,IF($D255="V02",cad!$D$23,cad!$E$23)))</f>
        <v/>
      </c>
      <c r="H255" t="str">
        <f>IF($A255="","",IF($D255="V01",cad!$C$24,IF($D255="V02",cad!$D$24,cad!$E$24)))</f>
        <v/>
      </c>
      <c r="I255" t="str">
        <f>IF($A255="","",IF($D255="V01",cad!$C$32,IF($D255="V02",cad!$D$32,cad!$E$32)))</f>
        <v/>
      </c>
      <c r="J255" t="str">
        <f>IF($A255="","",IF($D255="V01",cad!$C$33,IF($D255="V02",cad!$D$33,cad!$E$33)))</f>
        <v/>
      </c>
      <c r="K255" t="str">
        <f>IF($A255="","",IF($D255="V01",cad!$C$34,IF($D255="V02",cad!$D$34,cad!$E$34)))</f>
        <v/>
      </c>
      <c r="L255" t="str">
        <f>IF($A255="","",IF($D255="V01",cad!$C$35,IF($D255="V02",cad!$D$35,cad!$E$35)))</f>
        <v/>
      </c>
      <c r="M255" t="str">
        <f>IF($A255="","",IF($D255="V01",cad!$C$36,IF($D255="V02",cad!$D$36,cad!$E$36)))</f>
        <v/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 t="str">
        <f>IF($A256="","",IF($D256="V01",cad!$C$23,IF($D256="V02",cad!$D$23,cad!$E$23)))</f>
        <v/>
      </c>
      <c r="H256" t="str">
        <f>IF($A256="","",IF($D256="V01",cad!$C$24,IF($D256="V02",cad!$D$24,cad!$E$24)))</f>
        <v/>
      </c>
      <c r="I256" t="str">
        <f>IF($A256="","",IF($D256="V01",cad!$C$32,IF($D256="V02",cad!$D$32,cad!$E$32)))</f>
        <v/>
      </c>
      <c r="J256" t="str">
        <f>IF($A256="","",IF($D256="V01",cad!$C$33,IF($D256="V02",cad!$D$33,cad!$E$33)))</f>
        <v/>
      </c>
      <c r="K256" t="str">
        <f>IF($A256="","",IF($D256="V01",cad!$C$34,IF($D256="V02",cad!$D$34,cad!$E$34)))</f>
        <v/>
      </c>
      <c r="L256" t="str">
        <f>IF($A256="","",IF($D256="V01",cad!$C$35,IF($D256="V02",cad!$D$35,cad!$E$35)))</f>
        <v/>
      </c>
      <c r="M256" t="str">
        <f>IF($A256="","",IF($D256="V01",cad!$C$36,IF($D256="V02",cad!$D$36,cad!$E$36)))</f>
        <v/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 t="str">
        <f>IF($A257="","",IF($D257="V01",cad!$C$23,IF($D257="V02",cad!$D$23,cad!$E$23)))</f>
        <v/>
      </c>
      <c r="H257" t="str">
        <f>IF($A257="","",IF($D257="V01",cad!$C$24,IF($D257="V02",cad!$D$24,cad!$E$24)))</f>
        <v/>
      </c>
      <c r="I257" t="str">
        <f>IF($A257="","",IF($D257="V01",cad!$C$32,IF($D257="V02",cad!$D$32,cad!$E$32)))</f>
        <v/>
      </c>
      <c r="J257" t="str">
        <f>IF($A257="","",IF($D257="V01",cad!$C$33,IF($D257="V02",cad!$D$33,cad!$E$33)))</f>
        <v/>
      </c>
      <c r="K257" t="str">
        <f>IF($A257="","",IF($D257="V01",cad!$C$34,IF($D257="V02",cad!$D$34,cad!$E$34)))</f>
        <v/>
      </c>
      <c r="L257" t="str">
        <f>IF($A257="","",IF($D257="V01",cad!$C$35,IF($D257="V02",cad!$D$35,cad!$E$35)))</f>
        <v/>
      </c>
      <c r="M257" t="str">
        <f>IF($A257="","",IF($D257="V01",cad!$C$36,IF($D257="V02",cad!$D$36,cad!$E$36)))</f>
        <v/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 t="str">
        <f>IF($A258="","",IF($D258="V01",cad!$C$23,IF($D258="V02",cad!$D$23,cad!$E$23)))</f>
        <v/>
      </c>
      <c r="H258" t="str">
        <f>IF($A258="","",IF($D258="V01",cad!$C$24,IF($D258="V02",cad!$D$24,cad!$E$24)))</f>
        <v/>
      </c>
      <c r="I258" t="str">
        <f>IF($A258="","",IF($D258="V01",cad!$C$32,IF($D258="V02",cad!$D$32,cad!$E$32)))</f>
        <v/>
      </c>
      <c r="J258" t="str">
        <f>IF($A258="","",IF($D258="V01",cad!$C$33,IF($D258="V02",cad!$D$33,cad!$E$33)))</f>
        <v/>
      </c>
      <c r="K258" t="str">
        <f>IF($A258="","",IF($D258="V01",cad!$C$34,IF($D258="V02",cad!$D$34,cad!$E$34)))</f>
        <v/>
      </c>
      <c r="L258" t="str">
        <f>IF($A258="","",IF($D258="V01",cad!$C$35,IF($D258="V02",cad!$D$35,cad!$E$35)))</f>
        <v/>
      </c>
      <c r="M258" t="str">
        <f>IF($A258="","",IF($D258="V01",cad!$C$36,IF($D258="V02",cad!$D$36,cad!$E$36)))</f>
        <v/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 t="str">
        <f>IF($A259="","",IF($D259="V01",cad!$C$23,IF($D259="V02",cad!$D$23,cad!$E$23)))</f>
        <v/>
      </c>
      <c r="H259" t="str">
        <f>IF($A259="","",IF($D259="V01",cad!$C$24,IF($D259="V02",cad!$D$24,cad!$E$24)))</f>
        <v/>
      </c>
      <c r="I259" t="str">
        <f>IF($A259="","",IF($D259="V01",cad!$C$32,IF($D259="V02",cad!$D$32,cad!$E$32)))</f>
        <v/>
      </c>
      <c r="J259" t="str">
        <f>IF($A259="","",IF($D259="V01",cad!$C$33,IF($D259="V02",cad!$D$33,cad!$E$33)))</f>
        <v/>
      </c>
      <c r="K259" t="str">
        <f>IF($A259="","",IF($D259="V01",cad!$C$34,IF($D259="V02",cad!$D$34,cad!$E$34)))</f>
        <v/>
      </c>
      <c r="L259" t="str">
        <f>IF($A259="","",IF($D259="V01",cad!$C$35,IF($D259="V02",cad!$D$35,cad!$E$35)))</f>
        <v/>
      </c>
      <c r="M259" t="str">
        <f>IF($A259="","",IF($D259="V01",cad!$C$36,IF($D259="V02",cad!$D$36,cad!$E$36)))</f>
        <v/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 t="str">
        <f>IF($A260="","",IF($D260="V01",cad!$C$23,IF($D260="V02",cad!$D$23,cad!$E$23)))</f>
        <v/>
      </c>
      <c r="H260" t="str">
        <f>IF($A260="","",IF($D260="V01",cad!$C$24,IF($D260="V02",cad!$D$24,cad!$E$24)))</f>
        <v/>
      </c>
      <c r="I260" t="str">
        <f>IF($A260="","",IF($D260="V01",cad!$C$32,IF($D260="V02",cad!$D$32,cad!$E$32)))</f>
        <v/>
      </c>
      <c r="J260" t="str">
        <f>IF($A260="","",IF($D260="V01",cad!$C$33,IF($D260="V02",cad!$D$33,cad!$E$33)))</f>
        <v/>
      </c>
      <c r="K260" t="str">
        <f>IF($A260="","",IF($D260="V01",cad!$C$34,IF($D260="V02",cad!$D$34,cad!$E$34)))</f>
        <v/>
      </c>
      <c r="L260" t="str">
        <f>IF($A260="","",IF($D260="V01",cad!$C$35,IF($D260="V02",cad!$D$35,cad!$E$35)))</f>
        <v/>
      </c>
      <c r="M260" t="str">
        <f>IF($A260="","",IF($D260="V01",cad!$C$36,IF($D260="V02",cad!$D$36,cad!$E$36)))</f>
        <v/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 t="str">
        <f>IF($A261="","",IF($D261="V01",cad!$C$23,IF($D261="V02",cad!$D$23,cad!$E$23)))</f>
        <v/>
      </c>
      <c r="H261" t="str">
        <f>IF($A261="","",IF($D261="V01",cad!$C$24,IF($D261="V02",cad!$D$24,cad!$E$24)))</f>
        <v/>
      </c>
      <c r="I261" t="str">
        <f>IF($A261="","",IF($D261="V01",cad!$C$32,IF($D261="V02",cad!$D$32,cad!$E$32)))</f>
        <v/>
      </c>
      <c r="J261" t="str">
        <f>IF($A261="","",IF($D261="V01",cad!$C$33,IF($D261="V02",cad!$D$33,cad!$E$33)))</f>
        <v/>
      </c>
      <c r="K261" t="str">
        <f>IF($A261="","",IF($D261="V01",cad!$C$34,IF($D261="V02",cad!$D$34,cad!$E$34)))</f>
        <v/>
      </c>
      <c r="L261" t="str">
        <f>IF($A261="","",IF($D261="V01",cad!$C$35,IF($D261="V02",cad!$D$35,cad!$E$35)))</f>
        <v/>
      </c>
      <c r="M261" t="str">
        <f>IF($A261="","",IF($D261="V01",cad!$C$36,IF($D261="V02",cad!$D$36,cad!$E$36)))</f>
        <v/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 t="str">
        <f>IF($A262="","",IF($D262="V01",cad!$C$23,IF($D262="V02",cad!$D$23,cad!$E$23)))</f>
        <v/>
      </c>
      <c r="H262" t="str">
        <f>IF($A262="","",IF($D262="V01",cad!$C$24,IF($D262="V02",cad!$D$24,cad!$E$24)))</f>
        <v/>
      </c>
      <c r="I262" t="str">
        <f>IF($A262="","",IF($D262="V01",cad!$C$32,IF($D262="V02",cad!$D$32,cad!$E$32)))</f>
        <v/>
      </c>
      <c r="J262" t="str">
        <f>IF($A262="","",IF($D262="V01",cad!$C$33,IF($D262="V02",cad!$D$33,cad!$E$33)))</f>
        <v/>
      </c>
      <c r="K262" t="str">
        <f>IF($A262="","",IF($D262="V01",cad!$C$34,IF($D262="V02",cad!$D$34,cad!$E$34)))</f>
        <v/>
      </c>
      <c r="L262" t="str">
        <f>IF($A262="","",IF($D262="V01",cad!$C$35,IF($D262="V02",cad!$D$35,cad!$E$35)))</f>
        <v/>
      </c>
      <c r="M262" t="str">
        <f>IF($A262="","",IF($D262="V01",cad!$C$36,IF($D262="V02",cad!$D$36,cad!$E$36)))</f>
        <v/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 t="str">
        <f>IF($A263="","",IF($D263="V01",cad!$C$23,IF($D263="V02",cad!$D$23,cad!$E$23)))</f>
        <v/>
      </c>
      <c r="H263" t="str">
        <f>IF($A263="","",IF($D263="V01",cad!$C$24,IF($D263="V02",cad!$D$24,cad!$E$24)))</f>
        <v/>
      </c>
      <c r="I263" t="str">
        <f>IF($A263="","",IF($D263="V01",cad!$C$32,IF($D263="V02",cad!$D$32,cad!$E$32)))</f>
        <v/>
      </c>
      <c r="J263" t="str">
        <f>IF($A263="","",IF($D263="V01",cad!$C$33,IF($D263="V02",cad!$D$33,cad!$E$33)))</f>
        <v/>
      </c>
      <c r="K263" t="str">
        <f>IF($A263="","",IF($D263="V01",cad!$C$34,IF($D263="V02",cad!$D$34,cad!$E$34)))</f>
        <v/>
      </c>
      <c r="L263" t="str">
        <f>IF($A263="","",IF($D263="V01",cad!$C$35,IF($D263="V02",cad!$D$35,cad!$E$35)))</f>
        <v/>
      </c>
      <c r="M263" t="str">
        <f>IF($A263="","",IF($D263="V01",cad!$C$36,IF($D263="V02",cad!$D$36,cad!$E$36)))</f>
        <v/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 t="str">
        <f>IF($A264="","",IF($D264="V01",cad!$C$23,IF($D264="V02",cad!$D$23,cad!$E$23)))</f>
        <v/>
      </c>
      <c r="H264" t="str">
        <f>IF($A264="","",IF($D264="V01",cad!$C$24,IF($D264="V02",cad!$D$24,cad!$E$24)))</f>
        <v/>
      </c>
      <c r="I264" t="str">
        <f>IF($A264="","",IF($D264="V01",cad!$C$32,IF($D264="V02",cad!$D$32,cad!$E$32)))</f>
        <v/>
      </c>
      <c r="J264" t="str">
        <f>IF($A264="","",IF($D264="V01",cad!$C$33,IF($D264="V02",cad!$D$33,cad!$E$33)))</f>
        <v/>
      </c>
      <c r="K264" t="str">
        <f>IF($A264="","",IF($D264="V01",cad!$C$34,IF($D264="V02",cad!$D$34,cad!$E$34)))</f>
        <v/>
      </c>
      <c r="L264" t="str">
        <f>IF($A264="","",IF($D264="V01",cad!$C$35,IF($D264="V02",cad!$D$35,cad!$E$35)))</f>
        <v/>
      </c>
      <c r="M264" t="str">
        <f>IF($A264="","",IF($D264="V01",cad!$C$36,IF($D264="V02",cad!$D$36,cad!$E$36)))</f>
        <v/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 t="str">
        <f>IF($A265="","",IF($D265="V01",cad!$C$23,IF($D265="V02",cad!$D$23,cad!$E$23)))</f>
        <v/>
      </c>
      <c r="H265" t="str">
        <f>IF($A265="","",IF($D265="V01",cad!$C$24,IF($D265="V02",cad!$D$24,cad!$E$24)))</f>
        <v/>
      </c>
      <c r="I265" t="str">
        <f>IF($A265="","",IF($D265="V01",cad!$C$32,IF($D265="V02",cad!$D$32,cad!$E$32)))</f>
        <v/>
      </c>
      <c r="J265" t="str">
        <f>IF($A265="","",IF($D265="V01",cad!$C$33,IF($D265="V02",cad!$D$33,cad!$E$33)))</f>
        <v/>
      </c>
      <c r="K265" t="str">
        <f>IF($A265="","",IF($D265="V01",cad!$C$34,IF($D265="V02",cad!$D$34,cad!$E$34)))</f>
        <v/>
      </c>
      <c r="L265" t="str">
        <f>IF($A265="","",IF($D265="V01",cad!$C$35,IF($D265="V02",cad!$D$35,cad!$E$35)))</f>
        <v/>
      </c>
      <c r="M265" t="str">
        <f>IF($A265="","",IF($D265="V01",cad!$C$36,IF($D265="V02",cad!$D$36,cad!$E$36)))</f>
        <v/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 t="str">
        <f>IF($A266="","",IF($D266="V01",cad!$C$23,IF($D266="V02",cad!$D$23,cad!$E$23)))</f>
        <v/>
      </c>
      <c r="H266" t="str">
        <f>IF($A266="","",IF($D266="V01",cad!$C$24,IF($D266="V02",cad!$D$24,cad!$E$24)))</f>
        <v/>
      </c>
      <c r="I266" t="str">
        <f>IF($A266="","",IF($D266="V01",cad!$C$32,IF($D266="V02",cad!$D$32,cad!$E$32)))</f>
        <v/>
      </c>
      <c r="J266" t="str">
        <f>IF($A266="","",IF($D266="V01",cad!$C$33,IF($D266="V02",cad!$D$33,cad!$E$33)))</f>
        <v/>
      </c>
      <c r="K266" t="str">
        <f>IF($A266="","",IF($D266="V01",cad!$C$34,IF($D266="V02",cad!$D$34,cad!$E$34)))</f>
        <v/>
      </c>
      <c r="L266" t="str">
        <f>IF($A266="","",IF($D266="V01",cad!$C$35,IF($D266="V02",cad!$D$35,cad!$E$35)))</f>
        <v/>
      </c>
      <c r="M266" t="str">
        <f>IF($A266="","",IF($D266="V01",cad!$C$36,IF($D266="V02",cad!$D$36,cad!$E$36)))</f>
        <v/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 t="str">
        <f>IF($A267="","",IF($D267="V01",cad!$C$23,IF($D267="V02",cad!$D$23,cad!$E$23)))</f>
        <v/>
      </c>
      <c r="H267" t="str">
        <f>IF($A267="","",IF($D267="V01",cad!$C$24,IF($D267="V02",cad!$D$24,cad!$E$24)))</f>
        <v/>
      </c>
      <c r="I267" t="str">
        <f>IF($A267="","",IF($D267="V01",cad!$C$32,IF($D267="V02",cad!$D$32,cad!$E$32)))</f>
        <v/>
      </c>
      <c r="J267" t="str">
        <f>IF($A267="","",IF($D267="V01",cad!$C$33,IF($D267="V02",cad!$D$33,cad!$E$33)))</f>
        <v/>
      </c>
      <c r="K267" t="str">
        <f>IF($A267="","",IF($D267="V01",cad!$C$34,IF($D267="V02",cad!$D$34,cad!$E$34)))</f>
        <v/>
      </c>
      <c r="L267" t="str">
        <f>IF($A267="","",IF($D267="V01",cad!$C$35,IF($D267="V02",cad!$D$35,cad!$E$35)))</f>
        <v/>
      </c>
      <c r="M267" t="str">
        <f>IF($A267="","",IF($D267="V01",cad!$C$36,IF($D267="V02",cad!$D$36,cad!$E$36)))</f>
        <v/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 t="str">
        <f>IF($A268="","",IF($D268="V01",cad!$C$23,IF($D268="V02",cad!$D$23,cad!$E$23)))</f>
        <v/>
      </c>
      <c r="H268" t="str">
        <f>IF($A268="","",IF($D268="V01",cad!$C$24,IF($D268="V02",cad!$D$24,cad!$E$24)))</f>
        <v/>
      </c>
      <c r="I268" t="str">
        <f>IF($A268="","",IF($D268="V01",cad!$C$32,IF($D268="V02",cad!$D$32,cad!$E$32)))</f>
        <v/>
      </c>
      <c r="J268" t="str">
        <f>IF($A268="","",IF($D268="V01",cad!$C$33,IF($D268="V02",cad!$D$33,cad!$E$33)))</f>
        <v/>
      </c>
      <c r="K268" t="str">
        <f>IF($A268="","",IF($D268="V01",cad!$C$34,IF($D268="V02",cad!$D$34,cad!$E$34)))</f>
        <v/>
      </c>
      <c r="L268" t="str">
        <f>IF($A268="","",IF($D268="V01",cad!$C$35,IF($D268="V02",cad!$D$35,cad!$E$35)))</f>
        <v/>
      </c>
      <c r="M268" t="str">
        <f>IF($A268="","",IF($D268="V01",cad!$C$36,IF($D268="V02",cad!$D$36,cad!$E$36)))</f>
        <v/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 t="str">
        <f>IF($A269="","",IF($D269="V01",cad!$C$23,IF($D269="V02",cad!$D$23,cad!$E$23)))</f>
        <v/>
      </c>
      <c r="H269" t="str">
        <f>IF($A269="","",IF($D269="V01",cad!$C$24,IF($D269="V02",cad!$D$24,cad!$E$24)))</f>
        <v/>
      </c>
      <c r="I269" t="str">
        <f>IF($A269="","",IF($D269="V01",cad!$C$32,IF($D269="V02",cad!$D$32,cad!$E$32)))</f>
        <v/>
      </c>
      <c r="J269" t="str">
        <f>IF($A269="","",IF($D269="V01",cad!$C$33,IF($D269="V02",cad!$D$33,cad!$E$33)))</f>
        <v/>
      </c>
      <c r="K269" t="str">
        <f>IF($A269="","",IF($D269="V01",cad!$C$34,IF($D269="V02",cad!$D$34,cad!$E$34)))</f>
        <v/>
      </c>
      <c r="L269" t="str">
        <f>IF($A269="","",IF($D269="V01",cad!$C$35,IF($D269="V02",cad!$D$35,cad!$E$35)))</f>
        <v/>
      </c>
      <c r="M269" t="str">
        <f>IF($A269="","",IF($D269="V01",cad!$C$36,IF($D269="V02",cad!$D$36,cad!$E$36)))</f>
        <v/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 t="str">
        <f>IF($A270="","",IF($D270="V01",cad!$C$23,IF($D270="V02",cad!$D$23,cad!$E$23)))</f>
        <v/>
      </c>
      <c r="H270" t="str">
        <f>IF($A270="","",IF($D270="V01",cad!$C$24,IF($D270="V02",cad!$D$24,cad!$E$24)))</f>
        <v/>
      </c>
      <c r="I270" t="str">
        <f>IF($A270="","",IF($D270="V01",cad!$C$32,IF($D270="V02",cad!$D$32,cad!$E$32)))</f>
        <v/>
      </c>
      <c r="J270" t="str">
        <f>IF($A270="","",IF($D270="V01",cad!$C$33,IF($D270="V02",cad!$D$33,cad!$E$33)))</f>
        <v/>
      </c>
      <c r="K270" t="str">
        <f>IF($A270="","",IF($D270="V01",cad!$C$34,IF($D270="V02",cad!$D$34,cad!$E$34)))</f>
        <v/>
      </c>
      <c r="L270" t="str">
        <f>IF($A270="","",IF($D270="V01",cad!$C$35,IF($D270="V02",cad!$D$35,cad!$E$35)))</f>
        <v/>
      </c>
      <c r="M270" t="str">
        <f>IF($A270="","",IF($D270="V01",cad!$C$36,IF($D270="V02",cad!$D$36,cad!$E$36)))</f>
        <v/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 t="str">
        <f>IF($A271="","",IF($D271="V01",cad!$C$23,IF($D271="V02",cad!$D$23,cad!$E$23)))</f>
        <v/>
      </c>
      <c r="H271" t="str">
        <f>IF($A271="","",IF($D271="V01",cad!$C$24,IF($D271="V02",cad!$D$24,cad!$E$24)))</f>
        <v/>
      </c>
      <c r="I271" t="str">
        <f>IF($A271="","",IF($D271="V01",cad!$C$32,IF($D271="V02",cad!$D$32,cad!$E$32)))</f>
        <v/>
      </c>
      <c r="J271" t="str">
        <f>IF($A271="","",IF($D271="V01",cad!$C$33,IF($D271="V02",cad!$D$33,cad!$E$33)))</f>
        <v/>
      </c>
      <c r="K271" t="str">
        <f>IF($A271="","",IF($D271="V01",cad!$C$34,IF($D271="V02",cad!$D$34,cad!$E$34)))</f>
        <v/>
      </c>
      <c r="L271" t="str">
        <f>IF($A271="","",IF($D271="V01",cad!$C$35,IF($D271="V02",cad!$D$35,cad!$E$35)))</f>
        <v/>
      </c>
      <c r="M271" t="str">
        <f>IF($A271="","",IF($D271="V01",cad!$C$36,IF($D271="V02",cad!$D$36,cad!$E$36)))</f>
        <v/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 t="str">
        <f>IF($A272="","",IF($D272="V01",cad!$C$23,IF($D272="V02",cad!$D$23,cad!$E$23)))</f>
        <v/>
      </c>
      <c r="H272" t="str">
        <f>IF($A272="","",IF($D272="V01",cad!$C$24,IF($D272="V02",cad!$D$24,cad!$E$24)))</f>
        <v/>
      </c>
      <c r="I272" t="str">
        <f>IF($A272="","",IF($D272="V01",cad!$C$32,IF($D272="V02",cad!$D$32,cad!$E$32)))</f>
        <v/>
      </c>
      <c r="J272" t="str">
        <f>IF($A272="","",IF($D272="V01",cad!$C$33,IF($D272="V02",cad!$D$33,cad!$E$33)))</f>
        <v/>
      </c>
      <c r="K272" t="str">
        <f>IF($A272="","",IF($D272="V01",cad!$C$34,IF($D272="V02",cad!$D$34,cad!$E$34)))</f>
        <v/>
      </c>
      <c r="L272" t="str">
        <f>IF($A272="","",IF($D272="V01",cad!$C$35,IF($D272="V02",cad!$D$35,cad!$E$35)))</f>
        <v/>
      </c>
      <c r="M272" t="str">
        <f>IF($A272="","",IF($D272="V01",cad!$C$36,IF($D272="V02",cad!$D$36,cad!$E$36)))</f>
        <v/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 t="str">
        <f>IF($A273="","",IF($D273="V01",cad!$C$23,IF($D273="V02",cad!$D$23,cad!$E$23)))</f>
        <v/>
      </c>
      <c r="H273" t="str">
        <f>IF($A273="","",IF($D273="V01",cad!$C$24,IF($D273="V02",cad!$D$24,cad!$E$24)))</f>
        <v/>
      </c>
      <c r="I273" t="str">
        <f>IF($A273="","",IF($D273="V01",cad!$C$32,IF($D273="V02",cad!$D$32,cad!$E$32)))</f>
        <v/>
      </c>
      <c r="J273" t="str">
        <f>IF($A273="","",IF($D273="V01",cad!$C$33,IF($D273="V02",cad!$D$33,cad!$E$33)))</f>
        <v/>
      </c>
      <c r="K273" t="str">
        <f>IF($A273="","",IF($D273="V01",cad!$C$34,IF($D273="V02",cad!$D$34,cad!$E$34)))</f>
        <v/>
      </c>
      <c r="L273" t="str">
        <f>IF($A273="","",IF($D273="V01",cad!$C$35,IF($D273="V02",cad!$D$35,cad!$E$35)))</f>
        <v/>
      </c>
      <c r="M273" t="str">
        <f>IF($A273="","",IF($D273="V01",cad!$C$36,IF($D273="V02",cad!$D$36,cad!$E$36)))</f>
        <v/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 t="str">
        <f>IF($A274="","",IF($D274="V01",cad!$C$23,IF($D274="V02",cad!$D$23,cad!$E$23)))</f>
        <v/>
      </c>
      <c r="H274" t="str">
        <f>IF($A274="","",IF($D274="V01",cad!$C$24,IF($D274="V02",cad!$D$24,cad!$E$24)))</f>
        <v/>
      </c>
      <c r="I274" t="str">
        <f>IF($A274="","",IF($D274="V01",cad!$C$32,IF($D274="V02",cad!$D$32,cad!$E$32)))</f>
        <v/>
      </c>
      <c r="J274" t="str">
        <f>IF($A274="","",IF($D274="V01",cad!$C$33,IF($D274="V02",cad!$D$33,cad!$E$33)))</f>
        <v/>
      </c>
      <c r="K274" t="str">
        <f>IF($A274="","",IF($D274="V01",cad!$C$34,IF($D274="V02",cad!$D$34,cad!$E$34)))</f>
        <v/>
      </c>
      <c r="L274" t="str">
        <f>IF($A274="","",IF($D274="V01",cad!$C$35,IF($D274="V02",cad!$D$35,cad!$E$35)))</f>
        <v/>
      </c>
      <c r="M274" t="str">
        <f>IF($A274="","",IF($D274="V01",cad!$C$36,IF($D274="V02",cad!$D$36,cad!$E$36)))</f>
        <v/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 t="str">
        <f>IF($A275="","",IF($D275="V01",cad!$C$23,IF($D275="V02",cad!$D$23,cad!$E$23)))</f>
        <v/>
      </c>
      <c r="H275" t="str">
        <f>IF($A275="","",IF($D275="V01",cad!$C$24,IF($D275="V02",cad!$D$24,cad!$E$24)))</f>
        <v/>
      </c>
      <c r="I275" t="str">
        <f>IF($A275="","",IF($D275="V01",cad!$C$32,IF($D275="V02",cad!$D$32,cad!$E$32)))</f>
        <v/>
      </c>
      <c r="J275" t="str">
        <f>IF($A275="","",IF($D275="V01",cad!$C$33,IF($D275="V02",cad!$D$33,cad!$E$33)))</f>
        <v/>
      </c>
      <c r="K275" t="str">
        <f>IF($A275="","",IF($D275="V01",cad!$C$34,IF($D275="V02",cad!$D$34,cad!$E$34)))</f>
        <v/>
      </c>
      <c r="L275" t="str">
        <f>IF($A275="","",IF($D275="V01",cad!$C$35,IF($D275="V02",cad!$D$35,cad!$E$35)))</f>
        <v/>
      </c>
      <c r="M275" t="str">
        <f>IF($A275="","",IF($D275="V01",cad!$C$36,IF($D275="V02",cad!$D$36,cad!$E$36)))</f>
        <v/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 t="str">
        <f>IF($A276="","",IF($D276="V01",cad!$C$23,IF($D276="V02",cad!$D$23,cad!$E$23)))</f>
        <v/>
      </c>
      <c r="H276" t="str">
        <f>IF($A276="","",IF($D276="V01",cad!$C$24,IF($D276="V02",cad!$D$24,cad!$E$24)))</f>
        <v/>
      </c>
      <c r="I276" t="str">
        <f>IF($A276="","",IF($D276="V01",cad!$C$32,IF($D276="V02",cad!$D$32,cad!$E$32)))</f>
        <v/>
      </c>
      <c r="J276" t="str">
        <f>IF($A276="","",IF($D276="V01",cad!$C$33,IF($D276="V02",cad!$D$33,cad!$E$33)))</f>
        <v/>
      </c>
      <c r="K276" t="str">
        <f>IF($A276="","",IF($D276="V01",cad!$C$34,IF($D276="V02",cad!$D$34,cad!$E$34)))</f>
        <v/>
      </c>
      <c r="L276" t="str">
        <f>IF($A276="","",IF($D276="V01",cad!$C$35,IF($D276="V02",cad!$D$35,cad!$E$35)))</f>
        <v/>
      </c>
      <c r="M276" t="str">
        <f>IF($A276="","",IF($D276="V01",cad!$C$36,IF($D276="V02",cad!$D$36,cad!$E$36)))</f>
        <v/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 t="str">
        <f>IF($A277="","",IF($D277="V01",cad!$C$23,IF($D277="V02",cad!$D$23,cad!$E$23)))</f>
        <v/>
      </c>
      <c r="H277" t="str">
        <f>IF($A277="","",IF($D277="V01",cad!$C$24,IF($D277="V02",cad!$D$24,cad!$E$24)))</f>
        <v/>
      </c>
      <c r="I277" t="str">
        <f>IF($A277="","",IF($D277="V01",cad!$C$32,IF($D277="V02",cad!$D$32,cad!$E$32)))</f>
        <v/>
      </c>
      <c r="J277" t="str">
        <f>IF($A277="","",IF($D277="V01",cad!$C$33,IF($D277="V02",cad!$D$33,cad!$E$33)))</f>
        <v/>
      </c>
      <c r="K277" t="str">
        <f>IF($A277="","",IF($D277="V01",cad!$C$34,IF($D277="V02",cad!$D$34,cad!$E$34)))</f>
        <v/>
      </c>
      <c r="L277" t="str">
        <f>IF($A277="","",IF($D277="V01",cad!$C$35,IF($D277="V02",cad!$D$35,cad!$E$35)))</f>
        <v/>
      </c>
      <c r="M277" t="str">
        <f>IF($A277="","",IF($D277="V01",cad!$C$36,IF($D277="V02",cad!$D$36,cad!$E$36)))</f>
        <v/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 t="str">
        <f>IF($A278="","",IF($D278="V01",cad!$C$23,IF($D278="V02",cad!$D$23,cad!$E$23)))</f>
        <v/>
      </c>
      <c r="H278" t="str">
        <f>IF($A278="","",IF($D278="V01",cad!$C$24,IF($D278="V02",cad!$D$24,cad!$E$24)))</f>
        <v/>
      </c>
      <c r="I278" t="str">
        <f>IF($A278="","",IF($D278="V01",cad!$C$32,IF($D278="V02",cad!$D$32,cad!$E$32)))</f>
        <v/>
      </c>
      <c r="J278" t="str">
        <f>IF($A278="","",IF($D278="V01",cad!$C$33,IF($D278="V02",cad!$D$33,cad!$E$33)))</f>
        <v/>
      </c>
      <c r="K278" t="str">
        <f>IF($A278="","",IF($D278="V01",cad!$C$34,IF($D278="V02",cad!$D$34,cad!$E$34)))</f>
        <v/>
      </c>
      <c r="L278" t="str">
        <f>IF($A278="","",IF($D278="V01",cad!$C$35,IF($D278="V02",cad!$D$35,cad!$E$35)))</f>
        <v/>
      </c>
      <c r="M278" t="str">
        <f>IF($A278="","",IF($D278="V01",cad!$C$36,IF($D278="V02",cad!$D$36,cad!$E$36)))</f>
        <v/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 t="str">
        <f>IF($A279="","",IF($D279="V01",cad!$C$23,IF($D279="V02",cad!$D$23,cad!$E$23)))</f>
        <v/>
      </c>
      <c r="H279" t="str">
        <f>IF($A279="","",IF($D279="V01",cad!$C$24,IF($D279="V02",cad!$D$24,cad!$E$24)))</f>
        <v/>
      </c>
      <c r="I279" t="str">
        <f>IF($A279="","",IF($D279="V01",cad!$C$32,IF($D279="V02",cad!$D$32,cad!$E$32)))</f>
        <v/>
      </c>
      <c r="J279" t="str">
        <f>IF($A279="","",IF($D279="V01",cad!$C$33,IF($D279="V02",cad!$D$33,cad!$E$33)))</f>
        <v/>
      </c>
      <c r="K279" t="str">
        <f>IF($A279="","",IF($D279="V01",cad!$C$34,IF($D279="V02",cad!$D$34,cad!$E$34)))</f>
        <v/>
      </c>
      <c r="L279" t="str">
        <f>IF($A279="","",IF($D279="V01",cad!$C$35,IF($D279="V02",cad!$D$35,cad!$E$35)))</f>
        <v/>
      </c>
      <c r="M279" t="str">
        <f>IF($A279="","",IF($D279="V01",cad!$C$36,IF($D279="V02",cad!$D$36,cad!$E$36)))</f>
        <v/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 t="str">
        <f>IF($A280="","",IF($D280="V01",cad!$C$23,IF($D280="V02",cad!$D$23,cad!$E$23)))</f>
        <v/>
      </c>
      <c r="H280" t="str">
        <f>IF($A280="","",IF($D280="V01",cad!$C$24,IF($D280="V02",cad!$D$24,cad!$E$24)))</f>
        <v/>
      </c>
      <c r="I280" t="str">
        <f>IF($A280="","",IF($D280="V01",cad!$C$32,IF($D280="V02",cad!$D$32,cad!$E$32)))</f>
        <v/>
      </c>
      <c r="J280" t="str">
        <f>IF($A280="","",IF($D280="V01",cad!$C$33,IF($D280="V02",cad!$D$33,cad!$E$33)))</f>
        <v/>
      </c>
      <c r="K280" t="str">
        <f>IF($A280="","",IF($D280="V01",cad!$C$34,IF($D280="V02",cad!$D$34,cad!$E$34)))</f>
        <v/>
      </c>
      <c r="L280" t="str">
        <f>IF($A280="","",IF($D280="V01",cad!$C$35,IF($D280="V02",cad!$D$35,cad!$E$35)))</f>
        <v/>
      </c>
      <c r="M280" t="str">
        <f>IF($A280="","",IF($D280="V01",cad!$C$36,IF($D280="V02",cad!$D$36,cad!$E$36)))</f>
        <v/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 t="str">
        <f>IF($A281="","",IF($D281="V01",cad!$C$23,IF($D281="V02",cad!$D$23,cad!$E$23)))</f>
        <v/>
      </c>
      <c r="H281" t="str">
        <f>IF($A281="","",IF($D281="V01",cad!$C$24,IF($D281="V02",cad!$D$24,cad!$E$24)))</f>
        <v/>
      </c>
      <c r="I281" t="str">
        <f>IF($A281="","",IF($D281="V01",cad!$C$32,IF($D281="V02",cad!$D$32,cad!$E$32)))</f>
        <v/>
      </c>
      <c r="J281" t="str">
        <f>IF($A281="","",IF($D281="V01",cad!$C$33,IF($D281="V02",cad!$D$33,cad!$E$33)))</f>
        <v/>
      </c>
      <c r="K281" t="str">
        <f>IF($A281="","",IF($D281="V01",cad!$C$34,IF($D281="V02",cad!$D$34,cad!$E$34)))</f>
        <v/>
      </c>
      <c r="L281" t="str">
        <f>IF($A281="","",IF($D281="V01",cad!$C$35,IF($D281="V02",cad!$D$35,cad!$E$35)))</f>
        <v/>
      </c>
      <c r="M281" t="str">
        <f>IF($A281="","",IF($D281="V01",cad!$C$36,IF($D281="V02",cad!$D$36,cad!$E$36)))</f>
        <v/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 t="str">
        <f>IF($A282="","",IF($D282="V01",cad!$C$23,IF($D282="V02",cad!$D$23,cad!$E$23)))</f>
        <v/>
      </c>
      <c r="H282" t="str">
        <f>IF($A282="","",IF($D282="V01",cad!$C$24,IF($D282="V02",cad!$D$24,cad!$E$24)))</f>
        <v/>
      </c>
      <c r="I282" t="str">
        <f>IF($A282="","",IF($D282="V01",cad!$C$32,IF($D282="V02",cad!$D$32,cad!$E$32)))</f>
        <v/>
      </c>
      <c r="J282" t="str">
        <f>IF($A282="","",IF($D282="V01",cad!$C$33,IF($D282="V02",cad!$D$33,cad!$E$33)))</f>
        <v/>
      </c>
      <c r="K282" t="str">
        <f>IF($A282="","",IF($D282="V01",cad!$C$34,IF($D282="V02",cad!$D$34,cad!$E$34)))</f>
        <v/>
      </c>
      <c r="L282" t="str">
        <f>IF($A282="","",IF($D282="V01",cad!$C$35,IF($D282="V02",cad!$D$35,cad!$E$35)))</f>
        <v/>
      </c>
      <c r="M282" t="str">
        <f>IF($A282="","",IF($D282="V01",cad!$C$36,IF($D282="V02",cad!$D$36,cad!$E$36)))</f>
        <v/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 t="str">
        <f>IF($A283="","",IF($D283="V01",cad!$C$23,IF($D283="V02",cad!$D$23,cad!$E$23)))</f>
        <v/>
      </c>
      <c r="H283" t="str">
        <f>IF($A283="","",IF($D283="V01",cad!$C$24,IF($D283="V02",cad!$D$24,cad!$E$24)))</f>
        <v/>
      </c>
      <c r="I283" t="str">
        <f>IF($A283="","",IF($D283="V01",cad!$C$32,IF($D283="V02",cad!$D$32,cad!$E$32)))</f>
        <v/>
      </c>
      <c r="J283" t="str">
        <f>IF($A283="","",IF($D283="V01",cad!$C$33,IF($D283="V02",cad!$D$33,cad!$E$33)))</f>
        <v/>
      </c>
      <c r="K283" t="str">
        <f>IF($A283="","",IF($D283="V01",cad!$C$34,IF($D283="V02",cad!$D$34,cad!$E$34)))</f>
        <v/>
      </c>
      <c r="L283" t="str">
        <f>IF($A283="","",IF($D283="V01",cad!$C$35,IF($D283="V02",cad!$D$35,cad!$E$35)))</f>
        <v/>
      </c>
      <c r="M283" t="str">
        <f>IF($A283="","",IF($D283="V01",cad!$C$36,IF($D283="V02",cad!$D$36,cad!$E$36)))</f>
        <v/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 t="str">
        <f>IF($A284="","",IF($D284="V01",cad!$C$23,IF($D284="V02",cad!$D$23,cad!$E$23)))</f>
        <v/>
      </c>
      <c r="H284" t="str">
        <f>IF($A284="","",IF($D284="V01",cad!$C$24,IF($D284="V02",cad!$D$24,cad!$E$24)))</f>
        <v/>
      </c>
      <c r="I284" t="str">
        <f>IF($A284="","",IF($D284="V01",cad!$C$32,IF($D284="V02",cad!$D$32,cad!$E$32)))</f>
        <v/>
      </c>
      <c r="J284" t="str">
        <f>IF($A284="","",IF($D284="V01",cad!$C$33,IF($D284="V02",cad!$D$33,cad!$E$33)))</f>
        <v/>
      </c>
      <c r="K284" t="str">
        <f>IF($A284="","",IF($D284="V01",cad!$C$34,IF($D284="V02",cad!$D$34,cad!$E$34)))</f>
        <v/>
      </c>
      <c r="L284" t="str">
        <f>IF($A284="","",IF($D284="V01",cad!$C$35,IF($D284="V02",cad!$D$35,cad!$E$35)))</f>
        <v/>
      </c>
      <c r="M284" t="str">
        <f>IF($A284="","",IF($D284="V01",cad!$C$36,IF($D284="V02",cad!$D$36,cad!$E$36)))</f>
        <v/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 t="str">
        <f>IF($A285="","",IF($D285="V01",cad!$C$23,IF($D285="V02",cad!$D$23,cad!$E$23)))</f>
        <v/>
      </c>
      <c r="H285" t="str">
        <f>IF($A285="","",IF($D285="V01",cad!$C$24,IF($D285="V02",cad!$D$24,cad!$E$24)))</f>
        <v/>
      </c>
      <c r="I285" t="str">
        <f>IF($A285="","",IF($D285="V01",cad!$C$32,IF($D285="V02",cad!$D$32,cad!$E$32)))</f>
        <v/>
      </c>
      <c r="J285" t="str">
        <f>IF($A285="","",IF($D285="V01",cad!$C$33,IF($D285="V02",cad!$D$33,cad!$E$33)))</f>
        <v/>
      </c>
      <c r="K285" t="str">
        <f>IF($A285="","",IF($D285="V01",cad!$C$34,IF($D285="V02",cad!$D$34,cad!$E$34)))</f>
        <v/>
      </c>
      <c r="L285" t="str">
        <f>IF($A285="","",IF($D285="V01",cad!$C$35,IF($D285="V02",cad!$D$35,cad!$E$35)))</f>
        <v/>
      </c>
      <c r="M285" t="str">
        <f>IF($A285="","",IF($D285="V01",cad!$C$36,IF($D285="V02",cad!$D$36,cad!$E$36)))</f>
        <v/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 t="str">
        <f>IF($A286="","",IF($D286="V01",cad!$C$23,IF($D286="V02",cad!$D$23,cad!$E$23)))</f>
        <v/>
      </c>
      <c r="H286" t="str">
        <f>IF($A286="","",IF($D286="V01",cad!$C$24,IF($D286="V02",cad!$D$24,cad!$E$24)))</f>
        <v/>
      </c>
      <c r="I286" t="str">
        <f>IF($A286="","",IF($D286="V01",cad!$C$32,IF($D286="V02",cad!$D$32,cad!$E$32)))</f>
        <v/>
      </c>
      <c r="J286" t="str">
        <f>IF($A286="","",IF($D286="V01",cad!$C$33,IF($D286="V02",cad!$D$33,cad!$E$33)))</f>
        <v/>
      </c>
      <c r="K286" t="str">
        <f>IF($A286="","",IF($D286="V01",cad!$C$34,IF($D286="V02",cad!$D$34,cad!$E$34)))</f>
        <v/>
      </c>
      <c r="L286" t="str">
        <f>IF($A286="","",IF($D286="V01",cad!$C$35,IF($D286="V02",cad!$D$35,cad!$E$35)))</f>
        <v/>
      </c>
      <c r="M286" t="str">
        <f>IF($A286="","",IF($D286="V01",cad!$C$36,IF($D286="V02",cad!$D$36,cad!$E$36)))</f>
        <v/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 t="str">
        <f>IF($A287="","",IF($D287="V01",cad!$C$23,IF($D287="V02",cad!$D$23,cad!$E$23)))</f>
        <v/>
      </c>
      <c r="H287" t="str">
        <f>IF($A287="","",IF($D287="V01",cad!$C$24,IF($D287="V02",cad!$D$24,cad!$E$24)))</f>
        <v/>
      </c>
      <c r="I287" t="str">
        <f>IF($A287="","",IF($D287="V01",cad!$C$32,IF($D287="V02",cad!$D$32,cad!$E$32)))</f>
        <v/>
      </c>
      <c r="J287" t="str">
        <f>IF($A287="","",IF($D287="V01",cad!$C$33,IF($D287="V02",cad!$D$33,cad!$E$33)))</f>
        <v/>
      </c>
      <c r="K287" t="str">
        <f>IF($A287="","",IF($D287="V01",cad!$C$34,IF($D287="V02",cad!$D$34,cad!$E$34)))</f>
        <v/>
      </c>
      <c r="L287" t="str">
        <f>IF($A287="","",IF($D287="V01",cad!$C$35,IF($D287="V02",cad!$D$35,cad!$E$35)))</f>
        <v/>
      </c>
      <c r="M287" t="str">
        <f>IF($A287="","",IF($D287="V01",cad!$C$36,IF($D287="V02",cad!$D$36,cad!$E$36)))</f>
        <v/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 t="str">
        <f>IF($A288="","",IF($D288="V01",cad!$C$23,IF($D288="V02",cad!$D$23,cad!$E$23)))</f>
        <v/>
      </c>
      <c r="H288" t="str">
        <f>IF($A288="","",IF($D288="V01",cad!$C$24,IF($D288="V02",cad!$D$24,cad!$E$24)))</f>
        <v/>
      </c>
      <c r="I288" t="str">
        <f>IF($A288="","",IF($D288="V01",cad!$C$32,IF($D288="V02",cad!$D$32,cad!$E$32)))</f>
        <v/>
      </c>
      <c r="J288" t="str">
        <f>IF($A288="","",IF($D288="V01",cad!$C$33,IF($D288="V02",cad!$D$33,cad!$E$33)))</f>
        <v/>
      </c>
      <c r="K288" t="str">
        <f>IF($A288="","",IF($D288="V01",cad!$C$34,IF($D288="V02",cad!$D$34,cad!$E$34)))</f>
        <v/>
      </c>
      <c r="L288" t="str">
        <f>IF($A288="","",IF($D288="V01",cad!$C$35,IF($D288="V02",cad!$D$35,cad!$E$35)))</f>
        <v/>
      </c>
      <c r="M288" t="str">
        <f>IF($A288="","",IF($D288="V01",cad!$C$36,IF($D288="V02",cad!$D$36,cad!$E$36)))</f>
        <v/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 t="str">
        <f>IF($A289="","",IF($D289="V01",cad!$C$23,IF($D289="V02",cad!$D$23,cad!$E$23)))</f>
        <v/>
      </c>
      <c r="H289" t="str">
        <f>IF($A289="","",IF($D289="V01",cad!$C$24,IF($D289="V02",cad!$D$24,cad!$E$24)))</f>
        <v/>
      </c>
      <c r="I289" t="str">
        <f>IF($A289="","",IF($D289="V01",cad!$C$32,IF($D289="V02",cad!$D$32,cad!$E$32)))</f>
        <v/>
      </c>
      <c r="J289" t="str">
        <f>IF($A289="","",IF($D289="V01",cad!$C$33,IF($D289="V02",cad!$D$33,cad!$E$33)))</f>
        <v/>
      </c>
      <c r="K289" t="str">
        <f>IF($A289="","",IF($D289="V01",cad!$C$34,IF($D289="V02",cad!$D$34,cad!$E$34)))</f>
        <v/>
      </c>
      <c r="L289" t="str">
        <f>IF($A289="","",IF($D289="V01",cad!$C$35,IF($D289="V02",cad!$D$35,cad!$E$35)))</f>
        <v/>
      </c>
      <c r="M289" t="str">
        <f>IF($A289="","",IF($D289="V01",cad!$C$36,IF($D289="V02",cad!$D$36,cad!$E$36)))</f>
        <v/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 t="str">
        <f>IF($A290="","",IF($D290="V01",cad!$C$23,IF($D290="V02",cad!$D$23,cad!$E$23)))</f>
        <v/>
      </c>
      <c r="H290" t="str">
        <f>IF($A290="","",IF($D290="V01",cad!$C$24,IF($D290="V02",cad!$D$24,cad!$E$24)))</f>
        <v/>
      </c>
      <c r="I290" t="str">
        <f>IF($A290="","",IF($D290="V01",cad!$C$32,IF($D290="V02",cad!$D$32,cad!$E$32)))</f>
        <v/>
      </c>
      <c r="J290" t="str">
        <f>IF($A290="","",IF($D290="V01",cad!$C$33,IF($D290="V02",cad!$D$33,cad!$E$33)))</f>
        <v/>
      </c>
      <c r="K290" t="str">
        <f>IF($A290="","",IF($D290="V01",cad!$C$34,IF($D290="V02",cad!$D$34,cad!$E$34)))</f>
        <v/>
      </c>
      <c r="L290" t="str">
        <f>IF($A290="","",IF($D290="V01",cad!$C$35,IF($D290="V02",cad!$D$35,cad!$E$35)))</f>
        <v/>
      </c>
      <c r="M290" t="str">
        <f>IF($A290="","",IF($D290="V01",cad!$C$36,IF($D290="V02",cad!$D$36,cad!$E$36)))</f>
        <v/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 t="str">
        <f>IF($A291="","",IF($D291="V01",cad!$C$23,IF($D291="V02",cad!$D$23,cad!$E$23)))</f>
        <v/>
      </c>
      <c r="H291" t="str">
        <f>IF($A291="","",IF($D291="V01",cad!$C$24,IF($D291="V02",cad!$D$24,cad!$E$24)))</f>
        <v/>
      </c>
      <c r="I291" t="str">
        <f>IF($A291="","",IF($D291="V01",cad!$C$32,IF($D291="V02",cad!$D$32,cad!$E$32)))</f>
        <v/>
      </c>
      <c r="J291" t="str">
        <f>IF($A291="","",IF($D291="V01",cad!$C$33,IF($D291="V02",cad!$D$33,cad!$E$33)))</f>
        <v/>
      </c>
      <c r="K291" t="str">
        <f>IF($A291="","",IF($D291="V01",cad!$C$34,IF($D291="V02",cad!$D$34,cad!$E$34)))</f>
        <v/>
      </c>
      <c r="L291" t="str">
        <f>IF($A291="","",IF($D291="V01",cad!$C$35,IF($D291="V02",cad!$D$35,cad!$E$35)))</f>
        <v/>
      </c>
      <c r="M291" t="str">
        <f>IF($A291="","",IF($D291="V01",cad!$C$36,IF($D291="V02",cad!$D$36,cad!$E$36)))</f>
        <v/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 t="str">
        <f>IF($A292="","",IF($D292="V01",cad!$C$23,IF($D292="V02",cad!$D$23,cad!$E$23)))</f>
        <v/>
      </c>
      <c r="H292" t="str">
        <f>IF($A292="","",IF($D292="V01",cad!$C$24,IF($D292="V02",cad!$D$24,cad!$E$24)))</f>
        <v/>
      </c>
      <c r="I292" t="str">
        <f>IF($A292="","",IF($D292="V01",cad!$C$32,IF($D292="V02",cad!$D$32,cad!$E$32)))</f>
        <v/>
      </c>
      <c r="J292" t="str">
        <f>IF($A292="","",IF($D292="V01",cad!$C$33,IF($D292="V02",cad!$D$33,cad!$E$33)))</f>
        <v/>
      </c>
      <c r="K292" t="str">
        <f>IF($A292="","",IF($D292="V01",cad!$C$34,IF($D292="V02",cad!$D$34,cad!$E$34)))</f>
        <v/>
      </c>
      <c r="L292" t="str">
        <f>IF($A292="","",IF($D292="V01",cad!$C$35,IF($D292="V02",cad!$D$35,cad!$E$35)))</f>
        <v/>
      </c>
      <c r="M292" t="str">
        <f>IF($A292="","",IF($D292="V01",cad!$C$36,IF($D292="V02",cad!$D$36,cad!$E$36)))</f>
        <v/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 t="str">
        <f>IF($A293="","",IF($D293="V01",cad!$C$23,IF($D293="V02",cad!$D$23,cad!$E$23)))</f>
        <v/>
      </c>
      <c r="H293" t="str">
        <f>IF($A293="","",IF($D293="V01",cad!$C$24,IF($D293="V02",cad!$D$24,cad!$E$24)))</f>
        <v/>
      </c>
      <c r="I293" t="str">
        <f>IF($A293="","",IF($D293="V01",cad!$C$32,IF($D293="V02",cad!$D$32,cad!$E$32)))</f>
        <v/>
      </c>
      <c r="J293" t="str">
        <f>IF($A293="","",IF($D293="V01",cad!$C$33,IF($D293="V02",cad!$D$33,cad!$E$33)))</f>
        <v/>
      </c>
      <c r="K293" t="str">
        <f>IF($A293="","",IF($D293="V01",cad!$C$34,IF($D293="V02",cad!$D$34,cad!$E$34)))</f>
        <v/>
      </c>
      <c r="L293" t="str">
        <f>IF($A293="","",IF($D293="V01",cad!$C$35,IF($D293="V02",cad!$D$35,cad!$E$35)))</f>
        <v/>
      </c>
      <c r="M293" t="str">
        <f>IF($A293="","",IF($D293="V01",cad!$C$36,IF($D293="V02",cad!$D$36,cad!$E$36)))</f>
        <v/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 t="str">
        <f>IF($A294="","",IF($D294="V01",cad!$C$23,IF($D294="V02",cad!$D$23,cad!$E$23)))</f>
        <v/>
      </c>
      <c r="H294" t="str">
        <f>IF($A294="","",IF($D294="V01",cad!$C$24,IF($D294="V02",cad!$D$24,cad!$E$24)))</f>
        <v/>
      </c>
      <c r="I294" t="str">
        <f>IF($A294="","",IF($D294="V01",cad!$C$32,IF($D294="V02",cad!$D$32,cad!$E$32)))</f>
        <v/>
      </c>
      <c r="J294" t="str">
        <f>IF($A294="","",IF($D294="V01",cad!$C$33,IF($D294="V02",cad!$D$33,cad!$E$33)))</f>
        <v/>
      </c>
      <c r="K294" t="str">
        <f>IF($A294="","",IF($D294="V01",cad!$C$34,IF($D294="V02",cad!$D$34,cad!$E$34)))</f>
        <v/>
      </c>
      <c r="L294" t="str">
        <f>IF($A294="","",IF($D294="V01",cad!$C$35,IF($D294="V02",cad!$D$35,cad!$E$35)))</f>
        <v/>
      </c>
      <c r="M294" t="str">
        <f>IF($A294="","",IF($D294="V01",cad!$C$36,IF($D294="V02",cad!$D$36,cad!$E$36)))</f>
        <v/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 t="str">
        <f>IF($A295="","",IF($D295="V01",cad!$C$23,IF($D295="V02",cad!$D$23,cad!$E$23)))</f>
        <v/>
      </c>
      <c r="H295" t="str">
        <f>IF($A295="","",IF($D295="V01",cad!$C$24,IF($D295="V02",cad!$D$24,cad!$E$24)))</f>
        <v/>
      </c>
      <c r="I295" t="str">
        <f>IF($A295="","",IF($D295="V01",cad!$C$32,IF($D295="V02",cad!$D$32,cad!$E$32)))</f>
        <v/>
      </c>
      <c r="J295" t="str">
        <f>IF($A295="","",IF($D295="V01",cad!$C$33,IF($D295="V02",cad!$D$33,cad!$E$33)))</f>
        <v/>
      </c>
      <c r="K295" t="str">
        <f>IF($A295="","",IF($D295="V01",cad!$C$34,IF($D295="V02",cad!$D$34,cad!$E$34)))</f>
        <v/>
      </c>
      <c r="L295" t="str">
        <f>IF($A295="","",IF($D295="V01",cad!$C$35,IF($D295="V02",cad!$D$35,cad!$E$35)))</f>
        <v/>
      </c>
      <c r="M295" t="str">
        <f>IF($A295="","",IF($D295="V01",cad!$C$36,IF($D295="V02",cad!$D$36,cad!$E$36)))</f>
        <v/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 t="str">
        <f>IF($A296="","",IF($D296="V01",cad!$C$23,IF($D296="V02",cad!$D$23,cad!$E$23)))</f>
        <v/>
      </c>
      <c r="H296" t="str">
        <f>IF($A296="","",IF($D296="V01",cad!$C$24,IF($D296="V02",cad!$D$24,cad!$E$24)))</f>
        <v/>
      </c>
      <c r="I296" t="str">
        <f>IF($A296="","",IF($D296="V01",cad!$C$32,IF($D296="V02",cad!$D$32,cad!$E$32)))</f>
        <v/>
      </c>
      <c r="J296" t="str">
        <f>IF($A296="","",IF($D296="V01",cad!$C$33,IF($D296="V02",cad!$D$33,cad!$E$33)))</f>
        <v/>
      </c>
      <c r="K296" t="str">
        <f>IF($A296="","",IF($D296="V01",cad!$C$34,IF($D296="V02",cad!$D$34,cad!$E$34)))</f>
        <v/>
      </c>
      <c r="L296" t="str">
        <f>IF($A296="","",IF($D296="V01",cad!$C$35,IF($D296="V02",cad!$D$35,cad!$E$35)))</f>
        <v/>
      </c>
      <c r="M296" t="str">
        <f>IF($A296="","",IF($D296="V01",cad!$C$36,IF($D296="V02",cad!$D$36,cad!$E$36)))</f>
        <v/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 t="str">
        <f>IF($A297="","",IF($D297="V01",cad!$C$23,IF($D297="V02",cad!$D$23,cad!$E$23)))</f>
        <v/>
      </c>
      <c r="H297" t="str">
        <f>IF($A297="","",IF($D297="V01",cad!$C$24,IF($D297="V02",cad!$D$24,cad!$E$24)))</f>
        <v/>
      </c>
      <c r="I297" t="str">
        <f>IF($A297="","",IF($D297="V01",cad!$C$32,IF($D297="V02",cad!$D$32,cad!$E$32)))</f>
        <v/>
      </c>
      <c r="J297" t="str">
        <f>IF($A297="","",IF($D297="V01",cad!$C$33,IF($D297="V02",cad!$D$33,cad!$E$33)))</f>
        <v/>
      </c>
      <c r="K297" t="str">
        <f>IF($A297="","",IF($D297="V01",cad!$C$34,IF($D297="V02",cad!$D$34,cad!$E$34)))</f>
        <v/>
      </c>
      <c r="L297" t="str">
        <f>IF($A297="","",IF($D297="V01",cad!$C$35,IF($D297="V02",cad!$D$35,cad!$E$35)))</f>
        <v/>
      </c>
      <c r="M297" t="str">
        <f>IF($A297="","",IF($D297="V01",cad!$C$36,IF($D297="V02",cad!$D$36,cad!$E$36)))</f>
        <v/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 t="str">
        <f>IF($A298="","",IF($D298="V01",cad!$C$23,IF($D298="V02",cad!$D$23,cad!$E$23)))</f>
        <v/>
      </c>
      <c r="H298" t="str">
        <f>IF($A298="","",IF($D298="V01",cad!$C$24,IF($D298="V02",cad!$D$24,cad!$E$24)))</f>
        <v/>
      </c>
      <c r="I298" t="str">
        <f>IF($A298="","",IF($D298="V01",cad!$C$32,IF($D298="V02",cad!$D$32,cad!$E$32)))</f>
        <v/>
      </c>
      <c r="J298" t="str">
        <f>IF($A298="","",IF($D298="V01",cad!$C$33,IF($D298="V02",cad!$D$33,cad!$E$33)))</f>
        <v/>
      </c>
      <c r="K298" t="str">
        <f>IF($A298="","",IF($D298="V01",cad!$C$34,IF($D298="V02",cad!$D$34,cad!$E$34)))</f>
        <v/>
      </c>
      <c r="L298" t="str">
        <f>IF($A298="","",IF($D298="V01",cad!$C$35,IF($D298="V02",cad!$D$35,cad!$E$35)))</f>
        <v/>
      </c>
      <c r="M298" t="str">
        <f>IF($A298="","",IF($D298="V01",cad!$C$36,IF($D298="V02",cad!$D$36,cad!$E$36)))</f>
        <v/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 t="str">
        <f>IF($A299="","",IF($D299="V01",cad!$C$23,IF($D299="V02",cad!$D$23,cad!$E$23)))</f>
        <v/>
      </c>
      <c r="H299" t="str">
        <f>IF($A299="","",IF($D299="V01",cad!$C$24,IF($D299="V02",cad!$D$24,cad!$E$24)))</f>
        <v/>
      </c>
      <c r="I299" t="str">
        <f>IF($A299="","",IF($D299="V01",cad!$C$32,IF($D299="V02",cad!$D$32,cad!$E$32)))</f>
        <v/>
      </c>
      <c r="J299" t="str">
        <f>IF($A299="","",IF($D299="V01",cad!$C$33,IF($D299="V02",cad!$D$33,cad!$E$33)))</f>
        <v/>
      </c>
      <c r="K299" t="str">
        <f>IF($A299="","",IF($D299="V01",cad!$C$34,IF($D299="V02",cad!$D$34,cad!$E$34)))</f>
        <v/>
      </c>
      <c r="L299" t="str">
        <f>IF($A299="","",IF($D299="V01",cad!$C$35,IF($D299="V02",cad!$D$35,cad!$E$35)))</f>
        <v/>
      </c>
      <c r="M299" t="str">
        <f>IF($A299="","",IF($D299="V01",cad!$C$36,IF($D299="V02",cad!$D$36,cad!$E$36)))</f>
        <v/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 t="str">
        <f>IF($A300="","",IF($D300="V01",cad!$C$23,IF($D300="V02",cad!$D$23,cad!$E$23)))</f>
        <v/>
      </c>
      <c r="H300" t="str">
        <f>IF($A300="","",IF($D300="V01",cad!$C$24,IF($D300="V02",cad!$D$24,cad!$E$24)))</f>
        <v/>
      </c>
      <c r="I300" t="str">
        <f>IF($A300="","",IF($D300="V01",cad!$C$32,IF($D300="V02",cad!$D$32,cad!$E$32)))</f>
        <v/>
      </c>
      <c r="J300" t="str">
        <f>IF($A300="","",IF($D300="V01",cad!$C$33,IF($D300="V02",cad!$D$33,cad!$E$33)))</f>
        <v/>
      </c>
      <c r="K300" t="str">
        <f>IF($A300="","",IF($D300="V01",cad!$C$34,IF($D300="V02",cad!$D$34,cad!$E$34)))</f>
        <v/>
      </c>
      <c r="L300" t="str">
        <f>IF($A300="","",IF($D300="V01",cad!$C$35,IF($D300="V02",cad!$D$35,cad!$E$35)))</f>
        <v/>
      </c>
      <c r="M300" t="str">
        <f>IF($A300="","",IF($D300="V01",cad!$C$36,IF($D300="V02",cad!$D$36,cad!$E$36)))</f>
        <v/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 t="str">
        <f>IF($A301="","",IF($D301="V01",cad!$C$23,IF($D301="V02",cad!$D$23,cad!$E$23)))</f>
        <v/>
      </c>
      <c r="H301" t="str">
        <f>IF($A301="","",IF($D301="V01",cad!$C$24,IF($D301="V02",cad!$D$24,cad!$E$24)))</f>
        <v/>
      </c>
      <c r="I301" t="str">
        <f>IF($A301="","",IF($D301="V01",cad!$C$32,IF($D301="V02",cad!$D$32,cad!$E$32)))</f>
        <v/>
      </c>
      <c r="J301" t="str">
        <f>IF($A301="","",IF($D301="V01",cad!$C$33,IF($D301="V02",cad!$D$33,cad!$E$33)))</f>
        <v/>
      </c>
      <c r="K301" t="str">
        <f>IF($A301="","",IF($D301="V01",cad!$C$34,IF($D301="V02",cad!$D$34,cad!$E$34)))</f>
        <v/>
      </c>
      <c r="L301" t="str">
        <f>IF($A301="","",IF($D301="V01",cad!$C$35,IF($D301="V02",cad!$D$35,cad!$E$35)))</f>
        <v/>
      </c>
      <c r="M301" t="str">
        <f>IF($A301="","",IF($D301="V01",cad!$C$36,IF($D301="V02",cad!$D$36,cad!$E$36)))</f>
        <v/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 t="str">
        <f>IF($A302="","",IF($D302="V01",cad!$C$23,IF($D302="V02",cad!$D$23,cad!$E$23)))</f>
        <v/>
      </c>
      <c r="H302" t="str">
        <f>IF($A302="","",IF($D302="V01",cad!$C$24,IF($D302="V02",cad!$D$24,cad!$E$24)))</f>
        <v/>
      </c>
      <c r="I302" t="str">
        <f>IF($A302="","",IF($D302="V01",cad!$C$32,IF($D302="V02",cad!$D$32,cad!$E$32)))</f>
        <v/>
      </c>
      <c r="J302" t="str">
        <f>IF($A302="","",IF($D302="V01",cad!$C$33,IF($D302="V02",cad!$D$33,cad!$E$33)))</f>
        <v/>
      </c>
      <c r="K302" t="str">
        <f>IF($A302="","",IF($D302="V01",cad!$C$34,IF($D302="V02",cad!$D$34,cad!$E$34)))</f>
        <v/>
      </c>
      <c r="L302" t="str">
        <f>IF($A302="","",IF($D302="V01",cad!$C$35,IF($D302="V02",cad!$D$35,cad!$E$35)))</f>
        <v/>
      </c>
      <c r="M302" t="str">
        <f>IF($A302="","",IF($D302="V01",cad!$C$36,IF($D302="V02",cad!$D$36,cad!$E$36)))</f>
        <v/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 t="str">
        <f>IF($A303="","",IF($D303="V01",cad!$C$23,IF($D303="V02",cad!$D$23,cad!$E$23)))</f>
        <v/>
      </c>
      <c r="H303" t="str">
        <f>IF($A303="","",IF($D303="V01",cad!$C$24,IF($D303="V02",cad!$D$24,cad!$E$24)))</f>
        <v/>
      </c>
      <c r="I303" t="str">
        <f>IF($A303="","",IF($D303="V01",cad!$C$32,IF($D303="V02",cad!$D$32,cad!$E$32)))</f>
        <v/>
      </c>
      <c r="J303" t="str">
        <f>IF($A303="","",IF($D303="V01",cad!$C$33,IF($D303="V02",cad!$D$33,cad!$E$33)))</f>
        <v/>
      </c>
      <c r="K303" t="str">
        <f>IF($A303="","",IF($D303="V01",cad!$C$34,IF($D303="V02",cad!$D$34,cad!$E$34)))</f>
        <v/>
      </c>
      <c r="L303" t="str">
        <f>IF($A303="","",IF($D303="V01",cad!$C$35,IF($D303="V02",cad!$D$35,cad!$E$35)))</f>
        <v/>
      </c>
      <c r="M303" t="str">
        <f>IF($A303="","",IF($D303="V01",cad!$C$36,IF($D303="V02",cad!$D$36,cad!$E$36)))</f>
        <v/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 t="str">
        <f>IF($A304="","",IF($D304="V01",cad!$C$23,IF($D304="V02",cad!$D$23,cad!$E$23)))</f>
        <v/>
      </c>
      <c r="H304" t="str">
        <f>IF($A304="","",IF($D304="V01",cad!$C$24,IF($D304="V02",cad!$D$24,cad!$E$24)))</f>
        <v/>
      </c>
      <c r="I304" t="str">
        <f>IF($A304="","",IF($D304="V01",cad!$C$32,IF($D304="V02",cad!$D$32,cad!$E$32)))</f>
        <v/>
      </c>
      <c r="J304" t="str">
        <f>IF($A304="","",IF($D304="V01",cad!$C$33,IF($D304="V02",cad!$D$33,cad!$E$33)))</f>
        <v/>
      </c>
      <c r="K304" t="str">
        <f>IF($A304="","",IF($D304="V01",cad!$C$34,IF($D304="V02",cad!$D$34,cad!$E$34)))</f>
        <v/>
      </c>
      <c r="L304" t="str">
        <f>IF($A304="","",IF($D304="V01",cad!$C$35,IF($D304="V02",cad!$D$35,cad!$E$35)))</f>
        <v/>
      </c>
      <c r="M304" t="str">
        <f>IF($A304="","",IF($D304="V01",cad!$C$36,IF($D304="V02",cad!$D$36,cad!$E$36)))</f>
        <v/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 t="str">
        <f>IF($A305="","",IF($D305="V01",cad!$C$23,IF($D305="V02",cad!$D$23,cad!$E$23)))</f>
        <v/>
      </c>
      <c r="H305" t="str">
        <f>IF($A305="","",IF($D305="V01",cad!$C$24,IF($D305="V02",cad!$D$24,cad!$E$24)))</f>
        <v/>
      </c>
      <c r="I305" t="str">
        <f>IF($A305="","",IF($D305="V01",cad!$C$32,IF($D305="V02",cad!$D$32,cad!$E$32)))</f>
        <v/>
      </c>
      <c r="J305" t="str">
        <f>IF($A305="","",IF($D305="V01",cad!$C$33,IF($D305="V02",cad!$D$33,cad!$E$33)))</f>
        <v/>
      </c>
      <c r="K305" t="str">
        <f>IF($A305="","",IF($D305="V01",cad!$C$34,IF($D305="V02",cad!$D$34,cad!$E$34)))</f>
        <v/>
      </c>
      <c r="L305" t="str">
        <f>IF($A305="","",IF($D305="V01",cad!$C$35,IF($D305="V02",cad!$D$35,cad!$E$35)))</f>
        <v/>
      </c>
      <c r="M305" t="str">
        <f>IF($A305="","",IF($D305="V01",cad!$C$36,IF($D305="V02",cad!$D$36,cad!$E$36)))</f>
        <v/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 t="str">
        <f>IF($A306="","",IF($D306="V01",cad!$C$23,IF($D306="V02",cad!$D$23,cad!$E$23)))</f>
        <v/>
      </c>
      <c r="H306" t="str">
        <f>IF($A306="","",IF($D306="V01",cad!$C$24,IF($D306="V02",cad!$D$24,cad!$E$24)))</f>
        <v/>
      </c>
      <c r="I306" t="str">
        <f>IF($A306="","",IF($D306="V01",cad!$C$32,IF($D306="V02",cad!$D$32,cad!$E$32)))</f>
        <v/>
      </c>
      <c r="J306" t="str">
        <f>IF($A306="","",IF($D306="V01",cad!$C$33,IF($D306="V02",cad!$D$33,cad!$E$33)))</f>
        <v/>
      </c>
      <c r="K306" t="str">
        <f>IF($A306="","",IF($D306="V01",cad!$C$34,IF($D306="V02",cad!$D$34,cad!$E$34)))</f>
        <v/>
      </c>
      <c r="L306" t="str">
        <f>IF($A306="","",IF($D306="V01",cad!$C$35,IF($D306="V02",cad!$D$35,cad!$E$35)))</f>
        <v/>
      </c>
      <c r="M306" t="str">
        <f>IF($A306="","",IF($D306="V01",cad!$C$36,IF($D306="V02",cad!$D$36,cad!$E$36)))</f>
        <v/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 t="str">
        <f>IF($A307="","",IF($D307="V01",cad!$C$23,IF($D307="V02",cad!$D$23,cad!$E$23)))</f>
        <v/>
      </c>
      <c r="H307" t="str">
        <f>IF($A307="","",IF($D307="V01",cad!$C$24,IF($D307="V02",cad!$D$24,cad!$E$24)))</f>
        <v/>
      </c>
      <c r="I307" t="str">
        <f>IF($A307="","",IF($D307="V01",cad!$C$32,IF($D307="V02",cad!$D$32,cad!$E$32)))</f>
        <v/>
      </c>
      <c r="J307" t="str">
        <f>IF($A307="","",IF($D307="V01",cad!$C$33,IF($D307="V02",cad!$D$33,cad!$E$33)))</f>
        <v/>
      </c>
      <c r="K307" t="str">
        <f>IF($A307="","",IF($D307="V01",cad!$C$34,IF($D307="V02",cad!$D$34,cad!$E$34)))</f>
        <v/>
      </c>
      <c r="L307" t="str">
        <f>IF($A307="","",IF($D307="V01",cad!$C$35,IF($D307="V02",cad!$D$35,cad!$E$35)))</f>
        <v/>
      </c>
      <c r="M307" t="str">
        <f>IF($A307="","",IF($D307="V01",cad!$C$36,IF($D307="V02",cad!$D$36,cad!$E$36)))</f>
        <v/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 t="str">
        <f>IF($A308="","",IF($D308="V01",cad!$C$23,IF($D308="V02",cad!$D$23,cad!$E$23)))</f>
        <v/>
      </c>
      <c r="H308" t="str">
        <f>IF($A308="","",IF($D308="V01",cad!$C$24,IF($D308="V02",cad!$D$24,cad!$E$24)))</f>
        <v/>
      </c>
      <c r="I308" t="str">
        <f>IF($A308="","",IF($D308="V01",cad!$C$32,IF($D308="V02",cad!$D$32,cad!$E$32)))</f>
        <v/>
      </c>
      <c r="J308" t="str">
        <f>IF($A308="","",IF($D308="V01",cad!$C$33,IF($D308="V02",cad!$D$33,cad!$E$33)))</f>
        <v/>
      </c>
      <c r="K308" t="str">
        <f>IF($A308="","",IF($D308="V01",cad!$C$34,IF($D308="V02",cad!$D$34,cad!$E$34)))</f>
        <v/>
      </c>
      <c r="L308" t="str">
        <f>IF($A308="","",IF($D308="V01",cad!$C$35,IF($D308="V02",cad!$D$35,cad!$E$35)))</f>
        <v/>
      </c>
      <c r="M308" t="str">
        <f>IF($A308="","",IF($D308="V01",cad!$C$36,IF($D308="V02",cad!$D$36,cad!$E$36)))</f>
        <v/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 t="str">
        <f>IF($A309="","",IF($D309="V01",cad!$C$23,IF($D309="V02",cad!$D$23,cad!$E$23)))</f>
        <v/>
      </c>
      <c r="H309" t="str">
        <f>IF($A309="","",IF($D309="V01",cad!$C$24,IF($D309="V02",cad!$D$24,cad!$E$24)))</f>
        <v/>
      </c>
      <c r="I309" t="str">
        <f>IF($A309="","",IF($D309="V01",cad!$C$32,IF($D309="V02",cad!$D$32,cad!$E$32)))</f>
        <v/>
      </c>
      <c r="J309" t="str">
        <f>IF($A309="","",IF($D309="V01",cad!$C$33,IF($D309="V02",cad!$D$33,cad!$E$33)))</f>
        <v/>
      </c>
      <c r="K309" t="str">
        <f>IF($A309="","",IF($D309="V01",cad!$C$34,IF($D309="V02",cad!$D$34,cad!$E$34)))</f>
        <v/>
      </c>
      <c r="L309" t="str">
        <f>IF($A309="","",IF($D309="V01",cad!$C$35,IF($D309="V02",cad!$D$35,cad!$E$35)))</f>
        <v/>
      </c>
      <c r="M309" t="str">
        <f>IF($A309="","",IF($D309="V01",cad!$C$36,IF($D309="V02",cad!$D$36,cad!$E$36)))</f>
        <v/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 t="str">
        <f>IF($A310="","",IF($D310="V01",cad!$C$23,IF($D310="V02",cad!$D$23,cad!$E$23)))</f>
        <v/>
      </c>
      <c r="H310" t="str">
        <f>IF($A310="","",IF($D310="V01",cad!$C$24,IF($D310="V02",cad!$D$24,cad!$E$24)))</f>
        <v/>
      </c>
      <c r="I310" t="str">
        <f>IF($A310="","",IF($D310="V01",cad!$C$32,IF($D310="V02",cad!$D$32,cad!$E$32)))</f>
        <v/>
      </c>
      <c r="J310" t="str">
        <f>IF($A310="","",IF($D310="V01",cad!$C$33,IF($D310="V02",cad!$D$33,cad!$E$33)))</f>
        <v/>
      </c>
      <c r="K310" t="str">
        <f>IF($A310="","",IF($D310="V01",cad!$C$34,IF($D310="V02",cad!$D$34,cad!$E$34)))</f>
        <v/>
      </c>
      <c r="L310" t="str">
        <f>IF($A310="","",IF($D310="V01",cad!$C$35,IF($D310="V02",cad!$D$35,cad!$E$35)))</f>
        <v/>
      </c>
      <c r="M310" t="str">
        <f>IF($A310="","",IF($D310="V01",cad!$C$36,IF($D310="V02",cad!$D$36,cad!$E$36)))</f>
        <v/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 t="str">
        <f>IF($A311="","",IF($D311="V01",cad!$C$23,IF($D311="V02",cad!$D$23,cad!$E$23)))</f>
        <v/>
      </c>
      <c r="H311" t="str">
        <f>IF($A311="","",IF($D311="V01",cad!$C$24,IF($D311="V02",cad!$D$24,cad!$E$24)))</f>
        <v/>
      </c>
      <c r="I311" t="str">
        <f>IF($A311="","",IF($D311="V01",cad!$C$32,IF($D311="V02",cad!$D$32,cad!$E$32)))</f>
        <v/>
      </c>
      <c r="J311" t="str">
        <f>IF($A311="","",IF($D311="V01",cad!$C$33,IF($D311="V02",cad!$D$33,cad!$E$33)))</f>
        <v/>
      </c>
      <c r="K311" t="str">
        <f>IF($A311="","",IF($D311="V01",cad!$C$34,IF($D311="V02",cad!$D$34,cad!$E$34)))</f>
        <v/>
      </c>
      <c r="L311" t="str">
        <f>IF($A311="","",IF($D311="V01",cad!$C$35,IF($D311="V02",cad!$D$35,cad!$E$35)))</f>
        <v/>
      </c>
      <c r="M311" t="str">
        <f>IF($A311="","",IF($D311="V01",cad!$C$36,IF($D311="V02",cad!$D$36,cad!$E$36)))</f>
        <v/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 t="str">
        <f>IF($A312="","",IF($D312="V01",cad!$C$23,IF($D312="V02",cad!$D$23,cad!$E$23)))</f>
        <v/>
      </c>
      <c r="H312" t="str">
        <f>IF($A312="","",IF($D312="V01",cad!$C$24,IF($D312="V02",cad!$D$24,cad!$E$24)))</f>
        <v/>
      </c>
      <c r="I312" t="str">
        <f>IF($A312="","",IF($D312="V01",cad!$C$32,IF($D312="V02",cad!$D$32,cad!$E$32)))</f>
        <v/>
      </c>
      <c r="J312" t="str">
        <f>IF($A312="","",IF($D312="V01",cad!$C$33,IF($D312="V02",cad!$D$33,cad!$E$33)))</f>
        <v/>
      </c>
      <c r="K312" t="str">
        <f>IF($A312="","",IF($D312="V01",cad!$C$34,IF($D312="V02",cad!$D$34,cad!$E$34)))</f>
        <v/>
      </c>
      <c r="L312" t="str">
        <f>IF($A312="","",IF($D312="V01",cad!$C$35,IF($D312="V02",cad!$D$35,cad!$E$35)))</f>
        <v/>
      </c>
      <c r="M312" t="str">
        <f>IF($A312="","",IF($D312="V01",cad!$C$36,IF($D312="V02",cad!$D$36,cad!$E$36)))</f>
        <v/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 t="str">
        <f>IF($A313="","",IF($D313="V01",cad!$C$23,IF($D313="V02",cad!$D$23,cad!$E$23)))</f>
        <v/>
      </c>
      <c r="H313" t="str">
        <f>IF($A313="","",IF($D313="V01",cad!$C$24,IF($D313="V02",cad!$D$24,cad!$E$24)))</f>
        <v/>
      </c>
      <c r="I313" t="str">
        <f>IF($A313="","",IF($D313="V01",cad!$C$32,IF($D313="V02",cad!$D$32,cad!$E$32)))</f>
        <v/>
      </c>
      <c r="J313" t="str">
        <f>IF($A313="","",IF($D313="V01",cad!$C$33,IF($D313="V02",cad!$D$33,cad!$E$33)))</f>
        <v/>
      </c>
      <c r="K313" t="str">
        <f>IF($A313="","",IF($D313="V01",cad!$C$34,IF($D313="V02",cad!$D$34,cad!$E$34)))</f>
        <v/>
      </c>
      <c r="L313" t="str">
        <f>IF($A313="","",IF($D313="V01",cad!$C$35,IF($D313="V02",cad!$D$35,cad!$E$35)))</f>
        <v/>
      </c>
      <c r="M313" t="str">
        <f>IF($A313="","",IF($D313="V01",cad!$C$36,IF($D313="V02",cad!$D$36,cad!$E$36)))</f>
        <v/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 t="str">
        <f>IF($A314="","",IF($D314="V01",cad!$C$23,IF($D314="V02",cad!$D$23,cad!$E$23)))</f>
        <v/>
      </c>
      <c r="H314" t="str">
        <f>IF($A314="","",IF($D314="V01",cad!$C$24,IF($D314="V02",cad!$D$24,cad!$E$24)))</f>
        <v/>
      </c>
      <c r="I314" t="str">
        <f>IF($A314="","",IF($D314="V01",cad!$C$32,IF($D314="V02",cad!$D$32,cad!$E$32)))</f>
        <v/>
      </c>
      <c r="J314" t="str">
        <f>IF($A314="","",IF($D314="V01",cad!$C$33,IF($D314="V02",cad!$D$33,cad!$E$33)))</f>
        <v/>
      </c>
      <c r="K314" t="str">
        <f>IF($A314="","",IF($D314="V01",cad!$C$34,IF($D314="V02",cad!$D$34,cad!$E$34)))</f>
        <v/>
      </c>
      <c r="L314" t="str">
        <f>IF($A314="","",IF($D314="V01",cad!$C$35,IF($D314="V02",cad!$D$35,cad!$E$35)))</f>
        <v/>
      </c>
      <c r="M314" t="str">
        <f>IF($A314="","",IF($D314="V01",cad!$C$36,IF($D314="V02",cad!$D$36,cad!$E$36)))</f>
        <v/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 t="str">
        <f>IF($A315="","",IF($D315="V01",cad!$C$23,IF($D315="V02",cad!$D$23,cad!$E$23)))</f>
        <v/>
      </c>
      <c r="H315" t="str">
        <f>IF($A315="","",IF($D315="V01",cad!$C$24,IF($D315="V02",cad!$D$24,cad!$E$24)))</f>
        <v/>
      </c>
      <c r="I315" t="str">
        <f>IF($A315="","",IF($D315="V01",cad!$C$32,IF($D315="V02",cad!$D$32,cad!$E$32)))</f>
        <v/>
      </c>
      <c r="J315" t="str">
        <f>IF($A315="","",IF($D315="V01",cad!$C$33,IF($D315="V02",cad!$D$33,cad!$E$33)))</f>
        <v/>
      </c>
      <c r="K315" t="str">
        <f>IF($A315="","",IF($D315="V01",cad!$C$34,IF($D315="V02",cad!$D$34,cad!$E$34)))</f>
        <v/>
      </c>
      <c r="L315" t="str">
        <f>IF($A315="","",IF($D315="V01",cad!$C$35,IF($D315="V02",cad!$D$35,cad!$E$35)))</f>
        <v/>
      </c>
      <c r="M315" t="str">
        <f>IF($A315="","",IF($D315="V01",cad!$C$36,IF($D315="V02",cad!$D$36,cad!$E$36)))</f>
        <v/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 t="str">
        <f>IF($A316="","",IF($D316="V01",cad!$C$23,IF($D316="V02",cad!$D$23,cad!$E$23)))</f>
        <v/>
      </c>
      <c r="H316" t="str">
        <f>IF($A316="","",IF($D316="V01",cad!$C$24,IF($D316="V02",cad!$D$24,cad!$E$24)))</f>
        <v/>
      </c>
      <c r="I316" t="str">
        <f>IF($A316="","",IF($D316="V01",cad!$C$32,IF($D316="V02",cad!$D$32,cad!$E$32)))</f>
        <v/>
      </c>
      <c r="J316" t="str">
        <f>IF($A316="","",IF($D316="V01",cad!$C$33,IF($D316="V02",cad!$D$33,cad!$E$33)))</f>
        <v/>
      </c>
      <c r="K316" t="str">
        <f>IF($A316="","",IF($D316="V01",cad!$C$34,IF($D316="V02",cad!$D$34,cad!$E$34)))</f>
        <v/>
      </c>
      <c r="L316" t="str">
        <f>IF($A316="","",IF($D316="V01",cad!$C$35,IF($D316="V02",cad!$D$35,cad!$E$35)))</f>
        <v/>
      </c>
      <c r="M316" t="str">
        <f>IF($A316="","",IF($D316="V01",cad!$C$36,IF($D316="V02",cad!$D$36,cad!$E$36)))</f>
        <v/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 t="str">
        <f>IF($A317="","",IF($D317="V01",cad!$C$23,IF($D317="V02",cad!$D$23,cad!$E$23)))</f>
        <v/>
      </c>
      <c r="H317" t="str">
        <f>IF($A317="","",IF($D317="V01",cad!$C$24,IF($D317="V02",cad!$D$24,cad!$E$24)))</f>
        <v/>
      </c>
      <c r="I317" t="str">
        <f>IF($A317="","",IF($D317="V01",cad!$C$32,IF($D317="V02",cad!$D$32,cad!$E$32)))</f>
        <v/>
      </c>
      <c r="J317" t="str">
        <f>IF($A317="","",IF($D317="V01",cad!$C$33,IF($D317="V02",cad!$D$33,cad!$E$33)))</f>
        <v/>
      </c>
      <c r="K317" t="str">
        <f>IF($A317="","",IF($D317="V01",cad!$C$34,IF($D317="V02",cad!$D$34,cad!$E$34)))</f>
        <v/>
      </c>
      <c r="L317" t="str">
        <f>IF($A317="","",IF($D317="V01",cad!$C$35,IF($D317="V02",cad!$D$35,cad!$E$35)))</f>
        <v/>
      </c>
      <c r="M317" t="str">
        <f>IF($A317="","",IF($D317="V01",cad!$C$36,IF($D317="V02",cad!$D$36,cad!$E$36)))</f>
        <v/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 t="str">
        <f>IF($A318="","",IF($D318="V01",cad!$C$23,IF($D318="V02",cad!$D$23,cad!$E$23)))</f>
        <v/>
      </c>
      <c r="H318" t="str">
        <f>IF($A318="","",IF($D318="V01",cad!$C$24,IF($D318="V02",cad!$D$24,cad!$E$24)))</f>
        <v/>
      </c>
      <c r="I318" t="str">
        <f>IF($A318="","",IF($D318="V01",cad!$C$32,IF($D318="V02",cad!$D$32,cad!$E$32)))</f>
        <v/>
      </c>
      <c r="J318" t="str">
        <f>IF($A318="","",IF($D318="V01",cad!$C$33,IF($D318="V02",cad!$D$33,cad!$E$33)))</f>
        <v/>
      </c>
      <c r="K318" t="str">
        <f>IF($A318="","",IF($D318="V01",cad!$C$34,IF($D318="V02",cad!$D$34,cad!$E$34)))</f>
        <v/>
      </c>
      <c r="L318" t="str">
        <f>IF($A318="","",IF($D318="V01",cad!$C$35,IF($D318="V02",cad!$D$35,cad!$E$35)))</f>
        <v/>
      </c>
      <c r="M318" t="str">
        <f>IF($A318="","",IF($D318="V01",cad!$C$36,IF($D318="V02",cad!$D$36,cad!$E$36)))</f>
        <v/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 t="str">
        <f>IF($A319="","",IF($D319="V01",cad!$C$23,IF($D319="V02",cad!$D$23,cad!$E$23)))</f>
        <v/>
      </c>
      <c r="H319" t="str">
        <f>IF($A319="","",IF($D319="V01",cad!$C$24,IF($D319="V02",cad!$D$24,cad!$E$24)))</f>
        <v/>
      </c>
      <c r="I319" t="str">
        <f>IF($A319="","",IF($D319="V01",cad!$C$32,IF($D319="V02",cad!$D$32,cad!$E$32)))</f>
        <v/>
      </c>
      <c r="J319" t="str">
        <f>IF($A319="","",IF($D319="V01",cad!$C$33,IF($D319="V02",cad!$D$33,cad!$E$33)))</f>
        <v/>
      </c>
      <c r="K319" t="str">
        <f>IF($A319="","",IF($D319="V01",cad!$C$34,IF($D319="V02",cad!$D$34,cad!$E$34)))</f>
        <v/>
      </c>
      <c r="L319" t="str">
        <f>IF($A319="","",IF($D319="V01",cad!$C$35,IF($D319="V02",cad!$D$35,cad!$E$35)))</f>
        <v/>
      </c>
      <c r="M319" t="str">
        <f>IF($A319="","",IF($D319="V01",cad!$C$36,IF($D319="V02",cad!$D$36,cad!$E$36)))</f>
        <v/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 t="str">
        <f>IF($A320="","",IF($D320="V01",cad!$C$23,IF($D320="V02",cad!$D$23,cad!$E$23)))</f>
        <v/>
      </c>
      <c r="H320" t="str">
        <f>IF($A320="","",IF($D320="V01",cad!$C$24,IF($D320="V02",cad!$D$24,cad!$E$24)))</f>
        <v/>
      </c>
      <c r="I320" t="str">
        <f>IF($A320="","",IF($D320="V01",cad!$C$32,IF($D320="V02",cad!$D$32,cad!$E$32)))</f>
        <v/>
      </c>
      <c r="J320" t="str">
        <f>IF($A320="","",IF($D320="V01",cad!$C$33,IF($D320="V02",cad!$D$33,cad!$E$33)))</f>
        <v/>
      </c>
      <c r="K320" t="str">
        <f>IF($A320="","",IF($D320="V01",cad!$C$34,IF($D320="V02",cad!$D$34,cad!$E$34)))</f>
        <v/>
      </c>
      <c r="L320" t="str">
        <f>IF($A320="","",IF($D320="V01",cad!$C$35,IF($D320="V02",cad!$D$35,cad!$E$35)))</f>
        <v/>
      </c>
      <c r="M320" t="str">
        <f>IF($A320="","",IF($D320="V01",cad!$C$36,IF($D320="V02",cad!$D$36,cad!$E$36)))</f>
        <v/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 t="str">
        <f>IF($A321="","",IF($D321="V01",cad!$C$23,IF($D321="V02",cad!$D$23,cad!$E$23)))</f>
        <v/>
      </c>
      <c r="H321" t="str">
        <f>IF($A321="","",IF($D321="V01",cad!$C$24,IF($D321="V02",cad!$D$24,cad!$E$24)))</f>
        <v/>
      </c>
      <c r="I321" t="str">
        <f>IF($A321="","",IF($D321="V01",cad!$C$32,IF($D321="V02",cad!$D$32,cad!$E$32)))</f>
        <v/>
      </c>
      <c r="J321" t="str">
        <f>IF($A321="","",IF($D321="V01",cad!$C$33,IF($D321="V02",cad!$D$33,cad!$E$33)))</f>
        <v/>
      </c>
      <c r="K321" t="str">
        <f>IF($A321="","",IF($D321="V01",cad!$C$34,IF($D321="V02",cad!$D$34,cad!$E$34)))</f>
        <v/>
      </c>
      <c r="L321" t="str">
        <f>IF($A321="","",IF($D321="V01",cad!$C$35,IF($D321="V02",cad!$D$35,cad!$E$35)))</f>
        <v/>
      </c>
      <c r="M321" t="str">
        <f>IF($A321="","",IF($D321="V01",cad!$C$36,IF($D321="V02",cad!$D$36,cad!$E$36)))</f>
        <v/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 t="str">
        <f>IF($A322="","",IF($D322="V01",cad!$C$23,IF($D322="V02",cad!$D$23,cad!$E$23)))</f>
        <v/>
      </c>
      <c r="H322" t="str">
        <f>IF($A322="","",IF($D322="V01",cad!$C$24,IF($D322="V02",cad!$D$24,cad!$E$24)))</f>
        <v/>
      </c>
      <c r="I322" t="str">
        <f>IF($A322="","",IF($D322="V01",cad!$C$32,IF($D322="V02",cad!$D$32,cad!$E$32)))</f>
        <v/>
      </c>
      <c r="J322" t="str">
        <f>IF($A322="","",IF($D322="V01",cad!$C$33,IF($D322="V02",cad!$D$33,cad!$E$33)))</f>
        <v/>
      </c>
      <c r="K322" t="str">
        <f>IF($A322="","",IF($D322="V01",cad!$C$34,IF($D322="V02",cad!$D$34,cad!$E$34)))</f>
        <v/>
      </c>
      <c r="L322" t="str">
        <f>IF($A322="","",IF($D322="V01",cad!$C$35,IF($D322="V02",cad!$D$35,cad!$E$35)))</f>
        <v/>
      </c>
      <c r="M322" t="str">
        <f>IF($A322="","",IF($D322="V01",cad!$C$36,IF($D322="V02",cad!$D$36,cad!$E$36)))</f>
        <v/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 t="str">
        <f>IF($A323="","",IF($D323="V01",cad!$C$23,IF($D323="V02",cad!$D$23,cad!$E$23)))</f>
        <v/>
      </c>
      <c r="H323" t="str">
        <f>IF($A323="","",IF($D323="V01",cad!$C$24,IF($D323="V02",cad!$D$24,cad!$E$24)))</f>
        <v/>
      </c>
      <c r="I323" t="str">
        <f>IF($A323="","",IF($D323="V01",cad!$C$32,IF($D323="V02",cad!$D$32,cad!$E$32)))</f>
        <v/>
      </c>
      <c r="J323" t="str">
        <f>IF($A323="","",IF($D323="V01",cad!$C$33,IF($D323="V02",cad!$D$33,cad!$E$33)))</f>
        <v/>
      </c>
      <c r="K323" t="str">
        <f>IF($A323="","",IF($D323="V01",cad!$C$34,IF($D323="V02",cad!$D$34,cad!$E$34)))</f>
        <v/>
      </c>
      <c r="L323" t="str">
        <f>IF($A323="","",IF($D323="V01",cad!$C$35,IF($D323="V02",cad!$D$35,cad!$E$35)))</f>
        <v/>
      </c>
      <c r="M323" t="str">
        <f>IF($A323="","",IF($D323="V01",cad!$C$36,IF($D323="V02",cad!$D$36,cad!$E$36)))</f>
        <v/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 t="str">
        <f>IF($A324="","",IF($D324="V01",cad!$C$23,IF($D324="V02",cad!$D$23,cad!$E$23)))</f>
        <v/>
      </c>
      <c r="H324" t="str">
        <f>IF($A324="","",IF($D324="V01",cad!$C$24,IF($D324="V02",cad!$D$24,cad!$E$24)))</f>
        <v/>
      </c>
      <c r="I324" t="str">
        <f>IF($A324="","",IF($D324="V01",cad!$C$32,IF($D324="V02",cad!$D$32,cad!$E$32)))</f>
        <v/>
      </c>
      <c r="J324" t="str">
        <f>IF($A324="","",IF($D324="V01",cad!$C$33,IF($D324="V02",cad!$D$33,cad!$E$33)))</f>
        <v/>
      </c>
      <c r="K324" t="str">
        <f>IF($A324="","",IF($D324="V01",cad!$C$34,IF($D324="V02",cad!$D$34,cad!$E$34)))</f>
        <v/>
      </c>
      <c r="L324" t="str">
        <f>IF($A324="","",IF($D324="V01",cad!$C$35,IF($D324="V02",cad!$D$35,cad!$E$35)))</f>
        <v/>
      </c>
      <c r="M324" t="str">
        <f>IF($A324="","",IF($D324="V01",cad!$C$36,IF($D324="V02",cad!$D$36,cad!$E$36)))</f>
        <v/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 t="str">
        <f>IF($A325="","",IF($D325="V01",cad!$C$23,IF($D325="V02",cad!$D$23,cad!$E$23)))</f>
        <v/>
      </c>
      <c r="H325" t="str">
        <f>IF($A325="","",IF($D325="V01",cad!$C$24,IF($D325="V02",cad!$D$24,cad!$E$24)))</f>
        <v/>
      </c>
      <c r="I325" t="str">
        <f>IF($A325="","",IF($D325="V01",cad!$C$32,IF($D325="V02",cad!$D$32,cad!$E$32)))</f>
        <v/>
      </c>
      <c r="J325" t="str">
        <f>IF($A325="","",IF($D325="V01",cad!$C$33,IF($D325="V02",cad!$D$33,cad!$E$33)))</f>
        <v/>
      </c>
      <c r="K325" t="str">
        <f>IF($A325="","",IF($D325="V01",cad!$C$34,IF($D325="V02",cad!$D$34,cad!$E$34)))</f>
        <v/>
      </c>
      <c r="L325" t="str">
        <f>IF($A325="","",IF($D325="V01",cad!$C$35,IF($D325="V02",cad!$D$35,cad!$E$35)))</f>
        <v/>
      </c>
      <c r="M325" t="str">
        <f>IF($A325="","",IF($D325="V01",cad!$C$36,IF($D325="V02",cad!$D$36,cad!$E$36)))</f>
        <v/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 t="str">
        <f>IF($A326="","",IF($D326="V01",cad!$C$23,IF($D326="V02",cad!$D$23,cad!$E$23)))</f>
        <v/>
      </c>
      <c r="H326" t="str">
        <f>IF($A326="","",IF($D326="V01",cad!$C$24,IF($D326="V02",cad!$D$24,cad!$E$24)))</f>
        <v/>
      </c>
      <c r="I326" t="str">
        <f>IF($A326="","",IF($D326="V01",cad!$C$32,IF($D326="V02",cad!$D$32,cad!$E$32)))</f>
        <v/>
      </c>
      <c r="J326" t="str">
        <f>IF($A326="","",IF($D326="V01",cad!$C$33,IF($D326="V02",cad!$D$33,cad!$E$33)))</f>
        <v/>
      </c>
      <c r="K326" t="str">
        <f>IF($A326="","",IF($D326="V01",cad!$C$34,IF($D326="V02",cad!$D$34,cad!$E$34)))</f>
        <v/>
      </c>
      <c r="L326" t="str">
        <f>IF($A326="","",IF($D326="V01",cad!$C$35,IF($D326="V02",cad!$D$35,cad!$E$35)))</f>
        <v/>
      </c>
      <c r="M326" t="str">
        <f>IF($A326="","",IF($D326="V01",cad!$C$36,IF($D326="V02",cad!$D$36,cad!$E$36)))</f>
        <v/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 t="str">
        <f>IF($A327="","",IF($D327="V01",cad!$C$23,IF($D327="V02",cad!$D$23,cad!$E$23)))</f>
        <v/>
      </c>
      <c r="H327" t="str">
        <f>IF($A327="","",IF($D327="V01",cad!$C$24,IF($D327="V02",cad!$D$24,cad!$E$24)))</f>
        <v/>
      </c>
      <c r="I327" t="str">
        <f>IF($A327="","",IF($D327="V01",cad!$C$32,IF($D327="V02",cad!$D$32,cad!$E$32)))</f>
        <v/>
      </c>
      <c r="J327" t="str">
        <f>IF($A327="","",IF($D327="V01",cad!$C$33,IF($D327="V02",cad!$D$33,cad!$E$33)))</f>
        <v/>
      </c>
      <c r="K327" t="str">
        <f>IF($A327="","",IF($D327="V01",cad!$C$34,IF($D327="V02",cad!$D$34,cad!$E$34)))</f>
        <v/>
      </c>
      <c r="L327" t="str">
        <f>IF($A327="","",IF($D327="V01",cad!$C$35,IF($D327="V02",cad!$D$35,cad!$E$35)))</f>
        <v/>
      </c>
      <c r="M327" t="str">
        <f>IF($A327="","",IF($D327="V01",cad!$C$36,IF($D327="V02",cad!$D$36,cad!$E$36)))</f>
        <v/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 t="str">
        <f>IF($A328="","",IF($D328="V01",cad!$C$23,IF($D328="V02",cad!$D$23,cad!$E$23)))</f>
        <v/>
      </c>
      <c r="H328" t="str">
        <f>IF($A328="","",IF($D328="V01",cad!$C$24,IF($D328="V02",cad!$D$24,cad!$E$24)))</f>
        <v/>
      </c>
      <c r="I328" t="str">
        <f>IF($A328="","",IF($D328="V01",cad!$C$32,IF($D328="V02",cad!$D$32,cad!$E$32)))</f>
        <v/>
      </c>
      <c r="J328" t="str">
        <f>IF($A328="","",IF($D328="V01",cad!$C$33,IF($D328="V02",cad!$D$33,cad!$E$33)))</f>
        <v/>
      </c>
      <c r="K328" t="str">
        <f>IF($A328="","",IF($D328="V01",cad!$C$34,IF($D328="V02",cad!$D$34,cad!$E$34)))</f>
        <v/>
      </c>
      <c r="L328" t="str">
        <f>IF($A328="","",IF($D328="V01",cad!$C$35,IF($D328="V02",cad!$D$35,cad!$E$35)))</f>
        <v/>
      </c>
      <c r="M328" t="str">
        <f>IF($A328="","",IF($D328="V01",cad!$C$36,IF($D328="V02",cad!$D$36,cad!$E$36)))</f>
        <v/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 t="str">
        <f>IF($A329="","",IF($D329="V01",cad!$C$23,IF($D329="V02",cad!$D$23,cad!$E$23)))</f>
        <v/>
      </c>
      <c r="H329" t="str">
        <f>IF($A329="","",IF($D329="V01",cad!$C$24,IF($D329="V02",cad!$D$24,cad!$E$24)))</f>
        <v/>
      </c>
      <c r="I329" t="str">
        <f>IF($A329="","",IF($D329="V01",cad!$C$32,IF($D329="V02",cad!$D$32,cad!$E$32)))</f>
        <v/>
      </c>
      <c r="J329" t="str">
        <f>IF($A329="","",IF($D329="V01",cad!$C$33,IF($D329="V02",cad!$D$33,cad!$E$33)))</f>
        <v/>
      </c>
      <c r="K329" t="str">
        <f>IF($A329="","",IF($D329="V01",cad!$C$34,IF($D329="V02",cad!$D$34,cad!$E$34)))</f>
        <v/>
      </c>
      <c r="L329" t="str">
        <f>IF($A329="","",IF($D329="V01",cad!$C$35,IF($D329="V02",cad!$D$35,cad!$E$35)))</f>
        <v/>
      </c>
      <c r="M329" t="str">
        <f>IF($A329="","",IF($D329="V01",cad!$C$36,IF($D329="V02",cad!$D$36,cad!$E$36)))</f>
        <v/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 t="str">
        <f>IF($A330="","",IF($D330="V01",cad!$C$23,IF($D330="V02",cad!$D$23,cad!$E$23)))</f>
        <v/>
      </c>
      <c r="H330" t="str">
        <f>IF($A330="","",IF($D330="V01",cad!$C$24,IF($D330="V02",cad!$D$24,cad!$E$24)))</f>
        <v/>
      </c>
      <c r="I330" t="str">
        <f>IF($A330="","",IF($D330="V01",cad!$C$32,IF($D330="V02",cad!$D$32,cad!$E$32)))</f>
        <v/>
      </c>
      <c r="J330" t="str">
        <f>IF($A330="","",IF($D330="V01",cad!$C$33,IF($D330="V02",cad!$D$33,cad!$E$33)))</f>
        <v/>
      </c>
      <c r="K330" t="str">
        <f>IF($A330="","",IF($D330="V01",cad!$C$34,IF($D330="V02",cad!$D$34,cad!$E$34)))</f>
        <v/>
      </c>
      <c r="L330" t="str">
        <f>IF($A330="","",IF($D330="V01",cad!$C$35,IF($D330="V02",cad!$D$35,cad!$E$35)))</f>
        <v/>
      </c>
      <c r="M330" t="str">
        <f>IF($A330="","",IF($D330="V01",cad!$C$36,IF($D330="V02",cad!$D$36,cad!$E$36)))</f>
        <v/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 t="str">
        <f>IF($A331="","",IF($D331="V01",cad!$C$23,IF($D331="V02",cad!$D$23,cad!$E$23)))</f>
        <v/>
      </c>
      <c r="H331" t="str">
        <f>IF($A331="","",IF($D331="V01",cad!$C$24,IF($D331="V02",cad!$D$24,cad!$E$24)))</f>
        <v/>
      </c>
      <c r="I331" t="str">
        <f>IF($A331="","",IF($D331="V01",cad!$C$32,IF($D331="V02",cad!$D$32,cad!$E$32)))</f>
        <v/>
      </c>
      <c r="J331" t="str">
        <f>IF($A331="","",IF($D331="V01",cad!$C$33,IF($D331="V02",cad!$D$33,cad!$E$33)))</f>
        <v/>
      </c>
      <c r="K331" t="str">
        <f>IF($A331="","",IF($D331="V01",cad!$C$34,IF($D331="V02",cad!$D$34,cad!$E$34)))</f>
        <v/>
      </c>
      <c r="L331" t="str">
        <f>IF($A331="","",IF($D331="V01",cad!$C$35,IF($D331="V02",cad!$D$35,cad!$E$35)))</f>
        <v/>
      </c>
      <c r="M331" t="str">
        <f>IF($A331="","",IF($D331="V01",cad!$C$36,IF($D331="V02",cad!$D$36,cad!$E$36)))</f>
        <v/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 t="str">
        <f>IF($A332="","",IF($D332="V01",cad!$C$23,IF($D332="V02",cad!$D$23,cad!$E$23)))</f>
        <v/>
      </c>
      <c r="H332" t="str">
        <f>IF($A332="","",IF($D332="V01",cad!$C$24,IF($D332="V02",cad!$D$24,cad!$E$24)))</f>
        <v/>
      </c>
      <c r="I332" t="str">
        <f>IF($A332="","",IF($D332="V01",cad!$C$32,IF($D332="V02",cad!$D$32,cad!$E$32)))</f>
        <v/>
      </c>
      <c r="J332" t="str">
        <f>IF($A332="","",IF($D332="V01",cad!$C$33,IF($D332="V02",cad!$D$33,cad!$E$33)))</f>
        <v/>
      </c>
      <c r="K332" t="str">
        <f>IF($A332="","",IF($D332="V01",cad!$C$34,IF($D332="V02",cad!$D$34,cad!$E$34)))</f>
        <v/>
      </c>
      <c r="L332" t="str">
        <f>IF($A332="","",IF($D332="V01",cad!$C$35,IF($D332="V02",cad!$D$35,cad!$E$35)))</f>
        <v/>
      </c>
      <c r="M332" t="str">
        <f>IF($A332="","",IF($D332="V01",cad!$C$36,IF($D332="V02",cad!$D$36,cad!$E$36)))</f>
        <v/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 t="str">
        <f>IF($A333="","",IF($D333="V01",cad!$C$23,IF($D333="V02",cad!$D$23,cad!$E$23)))</f>
        <v/>
      </c>
      <c r="H333" t="str">
        <f>IF($A333="","",IF($D333="V01",cad!$C$24,IF($D333="V02",cad!$D$24,cad!$E$24)))</f>
        <v/>
      </c>
      <c r="I333" t="str">
        <f>IF($A333="","",IF($D333="V01",cad!$C$32,IF($D333="V02",cad!$D$32,cad!$E$32)))</f>
        <v/>
      </c>
      <c r="J333" t="str">
        <f>IF($A333="","",IF($D333="V01",cad!$C$33,IF($D333="V02",cad!$D$33,cad!$E$33)))</f>
        <v/>
      </c>
      <c r="K333" t="str">
        <f>IF($A333="","",IF($D333="V01",cad!$C$34,IF($D333="V02",cad!$D$34,cad!$E$34)))</f>
        <v/>
      </c>
      <c r="L333" t="str">
        <f>IF($A333="","",IF($D333="V01",cad!$C$35,IF($D333="V02",cad!$D$35,cad!$E$35)))</f>
        <v/>
      </c>
      <c r="M333" t="str">
        <f>IF($A333="","",IF($D333="V01",cad!$C$36,IF($D333="V02",cad!$D$36,cad!$E$36)))</f>
        <v/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 t="str">
        <f>IF($A334="","",IF($D334="V01",cad!$C$23,IF($D334="V02",cad!$D$23,cad!$E$23)))</f>
        <v/>
      </c>
      <c r="H334" t="str">
        <f>IF($A334="","",IF($D334="V01",cad!$C$24,IF($D334="V02",cad!$D$24,cad!$E$24)))</f>
        <v/>
      </c>
      <c r="I334" t="str">
        <f>IF($A334="","",IF($D334="V01",cad!$C$32,IF($D334="V02",cad!$D$32,cad!$E$32)))</f>
        <v/>
      </c>
      <c r="J334" t="str">
        <f>IF($A334="","",IF($D334="V01",cad!$C$33,IF($D334="V02",cad!$D$33,cad!$E$33)))</f>
        <v/>
      </c>
      <c r="K334" t="str">
        <f>IF($A334="","",IF($D334="V01",cad!$C$34,IF($D334="V02",cad!$D$34,cad!$E$34)))</f>
        <v/>
      </c>
      <c r="L334" t="str">
        <f>IF($A334="","",IF($D334="V01",cad!$C$35,IF($D334="V02",cad!$D$35,cad!$E$35)))</f>
        <v/>
      </c>
      <c r="M334" t="str">
        <f>IF($A334="","",IF($D334="V01",cad!$C$36,IF($D334="V02",cad!$D$36,cad!$E$36)))</f>
        <v/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 t="str">
        <f>IF($A335="","",IF($D335="V01",cad!$C$23,IF($D335="V02",cad!$D$23,cad!$E$23)))</f>
        <v/>
      </c>
      <c r="H335" t="str">
        <f>IF($A335="","",IF($D335="V01",cad!$C$24,IF($D335="V02",cad!$D$24,cad!$E$24)))</f>
        <v/>
      </c>
      <c r="I335" t="str">
        <f>IF($A335="","",IF($D335="V01",cad!$C$32,IF($D335="V02",cad!$D$32,cad!$E$32)))</f>
        <v/>
      </c>
      <c r="J335" t="str">
        <f>IF($A335="","",IF($D335="V01",cad!$C$33,IF($D335="V02",cad!$D$33,cad!$E$33)))</f>
        <v/>
      </c>
      <c r="K335" t="str">
        <f>IF($A335="","",IF($D335="V01",cad!$C$34,IF($D335="V02",cad!$D$34,cad!$E$34)))</f>
        <v/>
      </c>
      <c r="L335" t="str">
        <f>IF($A335="","",IF($D335="V01",cad!$C$35,IF($D335="V02",cad!$D$35,cad!$E$35)))</f>
        <v/>
      </c>
      <c r="M335" t="str">
        <f>IF($A335="","",IF($D335="V01",cad!$C$36,IF($D335="V02",cad!$D$36,cad!$E$36)))</f>
        <v/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 t="str">
        <f>IF($A336="","",IF($D336="V01",cad!$C$23,IF($D336="V02",cad!$D$23,cad!$E$23)))</f>
        <v/>
      </c>
      <c r="H336" t="str">
        <f>IF($A336="","",IF($D336="V01",cad!$C$24,IF($D336="V02",cad!$D$24,cad!$E$24)))</f>
        <v/>
      </c>
      <c r="I336" t="str">
        <f>IF($A336="","",IF($D336="V01",cad!$C$32,IF($D336="V02",cad!$D$32,cad!$E$32)))</f>
        <v/>
      </c>
      <c r="J336" t="str">
        <f>IF($A336="","",IF($D336="V01",cad!$C$33,IF($D336="V02",cad!$D$33,cad!$E$33)))</f>
        <v/>
      </c>
      <c r="K336" t="str">
        <f>IF($A336="","",IF($D336="V01",cad!$C$34,IF($D336="V02",cad!$D$34,cad!$E$34)))</f>
        <v/>
      </c>
      <c r="L336" t="str">
        <f>IF($A336="","",IF($D336="V01",cad!$C$35,IF($D336="V02",cad!$D$35,cad!$E$35)))</f>
        <v/>
      </c>
      <c r="M336" t="str">
        <f>IF($A336="","",IF($D336="V01",cad!$C$36,IF($D336="V02",cad!$D$36,cad!$E$36)))</f>
        <v/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 t="str">
        <f>IF($A337="","",IF($D337="V01",cad!$C$23,IF($D337="V02",cad!$D$23,cad!$E$23)))</f>
        <v/>
      </c>
      <c r="H337" t="str">
        <f>IF($A337="","",IF($D337="V01",cad!$C$24,IF($D337="V02",cad!$D$24,cad!$E$24)))</f>
        <v/>
      </c>
      <c r="I337" t="str">
        <f>IF($A337="","",IF($D337="V01",cad!$C$32,IF($D337="V02",cad!$D$32,cad!$E$32)))</f>
        <v/>
      </c>
      <c r="J337" t="str">
        <f>IF($A337="","",IF($D337="V01",cad!$C$33,IF($D337="V02",cad!$D$33,cad!$E$33)))</f>
        <v/>
      </c>
      <c r="K337" t="str">
        <f>IF($A337="","",IF($D337="V01",cad!$C$34,IF($D337="V02",cad!$D$34,cad!$E$34)))</f>
        <v/>
      </c>
      <c r="L337" t="str">
        <f>IF($A337="","",IF($D337="V01",cad!$C$35,IF($D337="V02",cad!$D$35,cad!$E$35)))</f>
        <v/>
      </c>
      <c r="M337" t="str">
        <f>IF($A337="","",IF($D337="V01",cad!$C$36,IF($D337="V02",cad!$D$36,cad!$E$36)))</f>
        <v/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 t="str">
        <f>IF($A338="","",IF($D338="V01",cad!$C$23,IF($D338="V02",cad!$D$23,cad!$E$23)))</f>
        <v/>
      </c>
      <c r="H338" t="str">
        <f>IF($A338="","",IF($D338="V01",cad!$C$24,IF($D338="V02",cad!$D$24,cad!$E$24)))</f>
        <v/>
      </c>
      <c r="I338" t="str">
        <f>IF($A338="","",IF($D338="V01",cad!$C$32,IF($D338="V02",cad!$D$32,cad!$E$32)))</f>
        <v/>
      </c>
      <c r="J338" t="str">
        <f>IF($A338="","",IF($D338="V01",cad!$C$33,IF($D338="V02",cad!$D$33,cad!$E$33)))</f>
        <v/>
      </c>
      <c r="K338" t="str">
        <f>IF($A338="","",IF($D338="V01",cad!$C$34,IF($D338="V02",cad!$D$34,cad!$E$34)))</f>
        <v/>
      </c>
      <c r="L338" t="str">
        <f>IF($A338="","",IF($D338="V01",cad!$C$35,IF($D338="V02",cad!$D$35,cad!$E$35)))</f>
        <v/>
      </c>
      <c r="M338" t="str">
        <f>IF($A338="","",IF($D338="V01",cad!$C$36,IF($D338="V02",cad!$D$36,cad!$E$36)))</f>
        <v/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 t="str">
        <f>IF($A339="","",IF($D339="V01",cad!$C$23,IF($D339="V02",cad!$D$23,cad!$E$23)))</f>
        <v/>
      </c>
      <c r="H339" t="str">
        <f>IF($A339="","",IF($D339="V01",cad!$C$24,IF($D339="V02",cad!$D$24,cad!$E$24)))</f>
        <v/>
      </c>
      <c r="I339" t="str">
        <f>IF($A339="","",IF($D339="V01",cad!$C$32,IF($D339="V02",cad!$D$32,cad!$E$32)))</f>
        <v/>
      </c>
      <c r="J339" t="str">
        <f>IF($A339="","",IF($D339="V01",cad!$C$33,IF($D339="V02",cad!$D$33,cad!$E$33)))</f>
        <v/>
      </c>
      <c r="K339" t="str">
        <f>IF($A339="","",IF($D339="V01",cad!$C$34,IF($D339="V02",cad!$D$34,cad!$E$34)))</f>
        <v/>
      </c>
      <c r="L339" t="str">
        <f>IF($A339="","",IF($D339="V01",cad!$C$35,IF($D339="V02",cad!$D$35,cad!$E$35)))</f>
        <v/>
      </c>
      <c r="M339" t="str">
        <f>IF($A339="","",IF($D339="V01",cad!$C$36,IF($D339="V02",cad!$D$36,cad!$E$36)))</f>
        <v/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 t="str">
        <f>IF($A340="","",IF($D340="V01",cad!$C$23,IF($D340="V02",cad!$D$23,cad!$E$23)))</f>
        <v/>
      </c>
      <c r="H340" t="str">
        <f>IF($A340="","",IF($D340="V01",cad!$C$24,IF($D340="V02",cad!$D$24,cad!$E$24)))</f>
        <v/>
      </c>
      <c r="I340" t="str">
        <f>IF($A340="","",IF($D340="V01",cad!$C$32,IF($D340="V02",cad!$D$32,cad!$E$32)))</f>
        <v/>
      </c>
      <c r="J340" t="str">
        <f>IF($A340="","",IF($D340="V01",cad!$C$33,IF($D340="V02",cad!$D$33,cad!$E$33)))</f>
        <v/>
      </c>
      <c r="K340" t="str">
        <f>IF($A340="","",IF($D340="V01",cad!$C$34,IF($D340="V02",cad!$D$34,cad!$E$34)))</f>
        <v/>
      </c>
      <c r="L340" t="str">
        <f>IF($A340="","",IF($D340="V01",cad!$C$35,IF($D340="V02",cad!$D$35,cad!$E$35)))</f>
        <v/>
      </c>
      <c r="M340" t="str">
        <f>IF($A340="","",IF($D340="V01",cad!$C$36,IF($D340="V02",cad!$D$36,cad!$E$36)))</f>
        <v/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 t="str">
        <f>IF($A341="","",IF($D341="V01",cad!$C$23,IF($D341="V02",cad!$D$23,cad!$E$23)))</f>
        <v/>
      </c>
      <c r="H341" t="str">
        <f>IF($A341="","",IF($D341="V01",cad!$C$24,IF($D341="V02",cad!$D$24,cad!$E$24)))</f>
        <v/>
      </c>
      <c r="I341" t="str">
        <f>IF($A341="","",IF($D341="V01",cad!$C$32,IF($D341="V02",cad!$D$32,cad!$E$32)))</f>
        <v/>
      </c>
      <c r="J341" t="str">
        <f>IF($A341="","",IF($D341="V01",cad!$C$33,IF($D341="V02",cad!$D$33,cad!$E$33)))</f>
        <v/>
      </c>
      <c r="K341" t="str">
        <f>IF($A341="","",IF($D341="V01",cad!$C$34,IF($D341="V02",cad!$D$34,cad!$E$34)))</f>
        <v/>
      </c>
      <c r="L341" t="str">
        <f>IF($A341="","",IF($D341="V01",cad!$C$35,IF($D341="V02",cad!$D$35,cad!$E$35)))</f>
        <v/>
      </c>
      <c r="M341" t="str">
        <f>IF($A341="","",IF($D341="V01",cad!$C$36,IF($D341="V02",cad!$D$36,cad!$E$36)))</f>
        <v/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 t="str">
        <f>IF($A342="","",IF($D342="V01",cad!$C$23,IF($D342="V02",cad!$D$23,cad!$E$23)))</f>
        <v/>
      </c>
      <c r="H342" t="str">
        <f>IF($A342="","",IF($D342="V01",cad!$C$24,IF($D342="V02",cad!$D$24,cad!$E$24)))</f>
        <v/>
      </c>
      <c r="I342" t="str">
        <f>IF($A342="","",IF($D342="V01",cad!$C$32,IF($D342="V02",cad!$D$32,cad!$E$32)))</f>
        <v/>
      </c>
      <c r="J342" t="str">
        <f>IF($A342="","",IF($D342="V01",cad!$C$33,IF($D342="V02",cad!$D$33,cad!$E$33)))</f>
        <v/>
      </c>
      <c r="K342" t="str">
        <f>IF($A342="","",IF($D342="V01",cad!$C$34,IF($D342="V02",cad!$D$34,cad!$E$34)))</f>
        <v/>
      </c>
      <c r="L342" t="str">
        <f>IF($A342="","",IF($D342="V01",cad!$C$35,IF($D342="V02",cad!$D$35,cad!$E$35)))</f>
        <v/>
      </c>
      <c r="M342" t="str">
        <f>IF($A342="","",IF($D342="V01",cad!$C$36,IF($D342="V02",cad!$D$36,cad!$E$36)))</f>
        <v/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 t="str">
        <f>IF($A343="","",IF($D343="V01",cad!$C$23,IF($D343="V02",cad!$D$23,cad!$E$23)))</f>
        <v/>
      </c>
      <c r="H343" t="str">
        <f>IF($A343="","",IF($D343="V01",cad!$C$24,IF($D343="V02",cad!$D$24,cad!$E$24)))</f>
        <v/>
      </c>
      <c r="I343" t="str">
        <f>IF($A343="","",IF($D343="V01",cad!$C$32,IF($D343="V02",cad!$D$32,cad!$E$32)))</f>
        <v/>
      </c>
      <c r="J343" t="str">
        <f>IF($A343="","",IF($D343="V01",cad!$C$33,IF($D343="V02",cad!$D$33,cad!$E$33)))</f>
        <v/>
      </c>
      <c r="K343" t="str">
        <f>IF($A343="","",IF($D343="V01",cad!$C$34,IF($D343="V02",cad!$D$34,cad!$E$34)))</f>
        <v/>
      </c>
      <c r="L343" t="str">
        <f>IF($A343="","",IF($D343="V01",cad!$C$35,IF($D343="V02",cad!$D$35,cad!$E$35)))</f>
        <v/>
      </c>
      <c r="M343" t="str">
        <f>IF($A343="","",IF($D343="V01",cad!$C$36,IF($D343="V02",cad!$D$36,cad!$E$36)))</f>
        <v/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 t="str">
        <f>IF($A344="","",IF($D344="V01",cad!$C$23,IF($D344="V02",cad!$D$23,cad!$E$23)))</f>
        <v/>
      </c>
      <c r="H344" t="str">
        <f>IF($A344="","",IF($D344="V01",cad!$C$24,IF($D344="V02",cad!$D$24,cad!$E$24)))</f>
        <v/>
      </c>
      <c r="I344" t="str">
        <f>IF($A344="","",IF($D344="V01",cad!$C$32,IF($D344="V02",cad!$D$32,cad!$E$32)))</f>
        <v/>
      </c>
      <c r="J344" t="str">
        <f>IF($A344="","",IF($D344="V01",cad!$C$33,IF($D344="V02",cad!$D$33,cad!$E$33)))</f>
        <v/>
      </c>
      <c r="K344" t="str">
        <f>IF($A344="","",IF($D344="V01",cad!$C$34,IF($D344="V02",cad!$D$34,cad!$E$34)))</f>
        <v/>
      </c>
      <c r="L344" t="str">
        <f>IF($A344="","",IF($D344="V01",cad!$C$35,IF($D344="V02",cad!$D$35,cad!$E$35)))</f>
        <v/>
      </c>
      <c r="M344" t="str">
        <f>IF($A344="","",IF($D344="V01",cad!$C$36,IF($D344="V02",cad!$D$36,cad!$E$36)))</f>
        <v/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 t="str">
        <f>IF($A345="","",IF($D345="V01",cad!$C$23,IF($D345="V02",cad!$D$23,cad!$E$23)))</f>
        <v/>
      </c>
      <c r="H345" t="str">
        <f>IF($A345="","",IF($D345="V01",cad!$C$24,IF($D345="V02",cad!$D$24,cad!$E$24)))</f>
        <v/>
      </c>
      <c r="I345" t="str">
        <f>IF($A345="","",IF($D345="V01",cad!$C$32,IF($D345="V02",cad!$D$32,cad!$E$32)))</f>
        <v/>
      </c>
      <c r="J345" t="str">
        <f>IF($A345="","",IF($D345="V01",cad!$C$33,IF($D345="V02",cad!$D$33,cad!$E$33)))</f>
        <v/>
      </c>
      <c r="K345" t="str">
        <f>IF($A345="","",IF($D345="V01",cad!$C$34,IF($D345="V02",cad!$D$34,cad!$E$34)))</f>
        <v/>
      </c>
      <c r="L345" t="str">
        <f>IF($A345="","",IF($D345="V01",cad!$C$35,IF($D345="V02",cad!$D$35,cad!$E$35)))</f>
        <v/>
      </c>
      <c r="M345" t="str">
        <f>IF($A345="","",IF($D345="V01",cad!$C$36,IF($D345="V02",cad!$D$36,cad!$E$36)))</f>
        <v/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 t="str">
        <f>IF($A346="","",IF($D346="V01",cad!$C$23,IF($D346="V02",cad!$D$23,cad!$E$23)))</f>
        <v/>
      </c>
      <c r="H346" t="str">
        <f>IF($A346="","",IF($D346="V01",cad!$C$24,IF($D346="V02",cad!$D$24,cad!$E$24)))</f>
        <v/>
      </c>
      <c r="I346" t="str">
        <f>IF($A346="","",IF($D346="V01",cad!$C$32,IF($D346="V02",cad!$D$32,cad!$E$32)))</f>
        <v/>
      </c>
      <c r="J346" t="str">
        <f>IF($A346="","",IF($D346="V01",cad!$C$33,IF($D346="V02",cad!$D$33,cad!$E$33)))</f>
        <v/>
      </c>
      <c r="K346" t="str">
        <f>IF($A346="","",IF($D346="V01",cad!$C$34,IF($D346="V02",cad!$D$34,cad!$E$34)))</f>
        <v/>
      </c>
      <c r="L346" t="str">
        <f>IF($A346="","",IF($D346="V01",cad!$C$35,IF($D346="V02",cad!$D$35,cad!$E$35)))</f>
        <v/>
      </c>
      <c r="M346" t="str">
        <f>IF($A346="","",IF($D346="V01",cad!$C$36,IF($D346="V02",cad!$D$36,cad!$E$36)))</f>
        <v/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 t="str">
        <f>IF($A347="","",IF($D347="V01",cad!$C$23,IF($D347="V02",cad!$D$23,cad!$E$23)))</f>
        <v/>
      </c>
      <c r="H347" t="str">
        <f>IF($A347="","",IF($D347="V01",cad!$C$24,IF($D347="V02",cad!$D$24,cad!$E$24)))</f>
        <v/>
      </c>
      <c r="I347" t="str">
        <f>IF($A347="","",IF($D347="V01",cad!$C$32,IF($D347="V02",cad!$D$32,cad!$E$32)))</f>
        <v/>
      </c>
      <c r="J347" t="str">
        <f>IF($A347="","",IF($D347="V01",cad!$C$33,IF($D347="V02",cad!$D$33,cad!$E$33)))</f>
        <v/>
      </c>
      <c r="K347" t="str">
        <f>IF($A347="","",IF($D347="V01",cad!$C$34,IF($D347="V02",cad!$D$34,cad!$E$34)))</f>
        <v/>
      </c>
      <c r="L347" t="str">
        <f>IF($A347="","",IF($D347="V01",cad!$C$35,IF($D347="V02",cad!$D$35,cad!$E$35)))</f>
        <v/>
      </c>
      <c r="M347" t="str">
        <f>IF($A347="","",IF($D347="V01",cad!$C$36,IF($D347="V02",cad!$D$36,cad!$E$36)))</f>
        <v/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 t="str">
        <f>IF($A348="","",IF($D348="V01",cad!$C$23,IF($D348="V02",cad!$D$23,cad!$E$23)))</f>
        <v/>
      </c>
      <c r="H348" t="str">
        <f>IF($A348="","",IF($D348="V01",cad!$C$24,IF($D348="V02",cad!$D$24,cad!$E$24)))</f>
        <v/>
      </c>
      <c r="I348" t="str">
        <f>IF($A348="","",IF($D348="V01",cad!$C$32,IF($D348="V02",cad!$D$32,cad!$E$32)))</f>
        <v/>
      </c>
      <c r="J348" t="str">
        <f>IF($A348="","",IF($D348="V01",cad!$C$33,IF($D348="V02",cad!$D$33,cad!$E$33)))</f>
        <v/>
      </c>
      <c r="K348" t="str">
        <f>IF($A348="","",IF($D348="V01",cad!$C$34,IF($D348="V02",cad!$D$34,cad!$E$34)))</f>
        <v/>
      </c>
      <c r="L348" t="str">
        <f>IF($A348="","",IF($D348="V01",cad!$C$35,IF($D348="V02",cad!$D$35,cad!$E$35)))</f>
        <v/>
      </c>
      <c r="M348" t="str">
        <f>IF($A348="","",IF($D348="V01",cad!$C$36,IF($D348="V02",cad!$D$36,cad!$E$36)))</f>
        <v/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 t="str">
        <f>IF($A349="","",IF($D349="V01",cad!$C$23,IF($D349="V02",cad!$D$23,cad!$E$23)))</f>
        <v/>
      </c>
      <c r="H349" t="str">
        <f>IF($A349="","",IF($D349="V01",cad!$C$24,IF($D349="V02",cad!$D$24,cad!$E$24)))</f>
        <v/>
      </c>
      <c r="I349" t="str">
        <f>IF($A349="","",IF($D349="V01",cad!$C$32,IF($D349="V02",cad!$D$32,cad!$E$32)))</f>
        <v/>
      </c>
      <c r="J349" t="str">
        <f>IF($A349="","",IF($D349="V01",cad!$C$33,IF($D349="V02",cad!$D$33,cad!$E$33)))</f>
        <v/>
      </c>
      <c r="K349" t="str">
        <f>IF($A349="","",IF($D349="V01",cad!$C$34,IF($D349="V02",cad!$D$34,cad!$E$34)))</f>
        <v/>
      </c>
      <c r="L349" t="str">
        <f>IF($A349="","",IF($D349="V01",cad!$C$35,IF($D349="V02",cad!$D$35,cad!$E$35)))</f>
        <v/>
      </c>
      <c r="M349" t="str">
        <f>IF($A349="","",IF($D349="V01",cad!$C$36,IF($D349="V02",cad!$D$36,cad!$E$36)))</f>
        <v/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 t="str">
        <f>IF($A350="","",IF($D350="V01",cad!$C$23,IF($D350="V02",cad!$D$23,cad!$E$23)))</f>
        <v/>
      </c>
      <c r="H350" t="str">
        <f>IF($A350="","",IF($D350="V01",cad!$C$24,IF($D350="V02",cad!$D$24,cad!$E$24)))</f>
        <v/>
      </c>
      <c r="I350" t="str">
        <f>IF($A350="","",IF($D350="V01",cad!$C$32,IF($D350="V02",cad!$D$32,cad!$E$32)))</f>
        <v/>
      </c>
      <c r="J350" t="str">
        <f>IF($A350="","",IF($D350="V01",cad!$C$33,IF($D350="V02",cad!$D$33,cad!$E$33)))</f>
        <v/>
      </c>
      <c r="K350" t="str">
        <f>IF($A350="","",IF($D350="V01",cad!$C$34,IF($D350="V02",cad!$D$34,cad!$E$34)))</f>
        <v/>
      </c>
      <c r="L350" t="str">
        <f>IF($A350="","",IF($D350="V01",cad!$C$35,IF($D350="V02",cad!$D$35,cad!$E$35)))</f>
        <v/>
      </c>
      <c r="M350" t="str">
        <f>IF($A350="","",IF($D350="V01",cad!$C$36,IF($D350="V02",cad!$D$36,cad!$E$36)))</f>
        <v/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 t="str">
        <f>IF($A351="","",IF($D351="V01",cad!$C$23,IF($D351="V02",cad!$D$23,cad!$E$23)))</f>
        <v/>
      </c>
      <c r="H351" t="str">
        <f>IF($A351="","",IF($D351="V01",cad!$C$24,IF($D351="V02",cad!$D$24,cad!$E$24)))</f>
        <v/>
      </c>
      <c r="I351" t="str">
        <f>IF($A351="","",IF($D351="V01",cad!$C$32,IF($D351="V02",cad!$D$32,cad!$E$32)))</f>
        <v/>
      </c>
      <c r="J351" t="str">
        <f>IF($A351="","",IF($D351="V01",cad!$C$33,IF($D351="V02",cad!$D$33,cad!$E$33)))</f>
        <v/>
      </c>
      <c r="K351" t="str">
        <f>IF($A351="","",IF($D351="V01",cad!$C$34,IF($D351="V02",cad!$D$34,cad!$E$34)))</f>
        <v/>
      </c>
      <c r="L351" t="str">
        <f>IF($A351="","",IF($D351="V01",cad!$C$35,IF($D351="V02",cad!$D$35,cad!$E$35)))</f>
        <v/>
      </c>
      <c r="M351" t="str">
        <f>IF($A351="","",IF($D351="V01",cad!$C$36,IF($D351="V02",cad!$D$36,cad!$E$36)))</f>
        <v/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 t="str">
        <f>IF($A352="","",IF($D352="V01",cad!$C$23,IF($D352="V02",cad!$D$23,cad!$E$23)))</f>
        <v/>
      </c>
      <c r="H352" t="str">
        <f>IF($A352="","",IF($D352="V01",cad!$C$24,IF($D352="V02",cad!$D$24,cad!$E$24)))</f>
        <v/>
      </c>
      <c r="I352" t="str">
        <f>IF($A352="","",IF($D352="V01",cad!$C$32,IF($D352="V02",cad!$D$32,cad!$E$32)))</f>
        <v/>
      </c>
      <c r="J352" t="str">
        <f>IF($A352="","",IF($D352="V01",cad!$C$33,IF($D352="V02",cad!$D$33,cad!$E$33)))</f>
        <v/>
      </c>
      <c r="K352" t="str">
        <f>IF($A352="","",IF($D352="V01",cad!$C$34,IF($D352="V02",cad!$D$34,cad!$E$34)))</f>
        <v/>
      </c>
      <c r="L352" t="str">
        <f>IF($A352="","",IF($D352="V01",cad!$C$35,IF($D352="V02",cad!$D$35,cad!$E$35)))</f>
        <v/>
      </c>
      <c r="M352" t="str">
        <f>IF($A352="","",IF($D352="V01",cad!$C$36,IF($D352="V02",cad!$D$36,cad!$E$36)))</f>
        <v/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 t="str">
        <f>IF($A353="","",IF($D353="V01",cad!$C$23,IF($D353="V02",cad!$D$23,cad!$E$23)))</f>
        <v/>
      </c>
      <c r="H353" t="str">
        <f>IF($A353="","",IF($D353="V01",cad!$C$24,IF($D353="V02",cad!$D$24,cad!$E$24)))</f>
        <v/>
      </c>
      <c r="I353" t="str">
        <f>IF($A353="","",IF($D353="V01",cad!$C$32,IF($D353="V02",cad!$D$32,cad!$E$32)))</f>
        <v/>
      </c>
      <c r="J353" t="str">
        <f>IF($A353="","",IF($D353="V01",cad!$C$33,IF($D353="V02",cad!$D$33,cad!$E$33)))</f>
        <v/>
      </c>
      <c r="K353" t="str">
        <f>IF($A353="","",IF($D353="V01",cad!$C$34,IF($D353="V02",cad!$D$34,cad!$E$34)))</f>
        <v/>
      </c>
      <c r="L353" t="str">
        <f>IF($A353="","",IF($D353="V01",cad!$C$35,IF($D353="V02",cad!$D$35,cad!$E$35)))</f>
        <v/>
      </c>
      <c r="M353" t="str">
        <f>IF($A353="","",IF($D353="V01",cad!$C$36,IF($D353="V02",cad!$D$36,cad!$E$36)))</f>
        <v/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 t="str">
        <f>IF($A354="","",IF($D354="V01",cad!$C$23,IF($D354="V02",cad!$D$23,cad!$E$23)))</f>
        <v/>
      </c>
      <c r="H354" t="str">
        <f>IF($A354="","",IF($D354="V01",cad!$C$24,IF($D354="V02",cad!$D$24,cad!$E$24)))</f>
        <v/>
      </c>
      <c r="I354" t="str">
        <f>IF($A354="","",IF($D354="V01",cad!$C$32,IF($D354="V02",cad!$D$32,cad!$E$32)))</f>
        <v/>
      </c>
      <c r="J354" t="str">
        <f>IF($A354="","",IF($D354="V01",cad!$C$33,IF($D354="V02",cad!$D$33,cad!$E$33)))</f>
        <v/>
      </c>
      <c r="K354" t="str">
        <f>IF($A354="","",IF($D354="V01",cad!$C$34,IF($D354="V02",cad!$D$34,cad!$E$34)))</f>
        <v/>
      </c>
      <c r="L354" t="str">
        <f>IF($A354="","",IF($D354="V01",cad!$C$35,IF($D354="V02",cad!$D$35,cad!$E$35)))</f>
        <v/>
      </c>
      <c r="M354" t="str">
        <f>IF($A354="","",IF($D354="V01",cad!$C$36,IF($D354="V02",cad!$D$36,cad!$E$36)))</f>
        <v/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 t="str">
        <f>IF($A355="","",IF($D355="V01",cad!$C$23,IF($D355="V02",cad!$D$23,cad!$E$23)))</f>
        <v/>
      </c>
      <c r="H355" t="str">
        <f>IF($A355="","",IF($D355="V01",cad!$C$24,IF($D355="V02",cad!$D$24,cad!$E$24)))</f>
        <v/>
      </c>
      <c r="I355" t="str">
        <f>IF($A355="","",IF($D355="V01",cad!$C$32,IF($D355="V02",cad!$D$32,cad!$E$32)))</f>
        <v/>
      </c>
      <c r="J355" t="str">
        <f>IF($A355="","",IF($D355="V01",cad!$C$33,IF($D355="V02",cad!$D$33,cad!$E$33)))</f>
        <v/>
      </c>
      <c r="K355" t="str">
        <f>IF($A355="","",IF($D355="V01",cad!$C$34,IF($D355="V02",cad!$D$34,cad!$E$34)))</f>
        <v/>
      </c>
      <c r="L355" t="str">
        <f>IF($A355="","",IF($D355="V01",cad!$C$35,IF($D355="V02",cad!$D$35,cad!$E$35)))</f>
        <v/>
      </c>
      <c r="M355" t="str">
        <f>IF($A355="","",IF($D355="V01",cad!$C$36,IF($D355="V02",cad!$D$36,cad!$E$36)))</f>
        <v/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 t="str">
        <f>IF($A356="","",IF($D356="V01",cad!$C$23,IF($D356="V02",cad!$D$23,cad!$E$23)))</f>
        <v/>
      </c>
      <c r="H356" t="str">
        <f>IF($A356="","",IF($D356="V01",cad!$C$24,IF($D356="V02",cad!$D$24,cad!$E$24)))</f>
        <v/>
      </c>
      <c r="I356" t="str">
        <f>IF($A356="","",IF($D356="V01",cad!$C$32,IF($D356="V02",cad!$D$32,cad!$E$32)))</f>
        <v/>
      </c>
      <c r="J356" t="str">
        <f>IF($A356="","",IF($D356="V01",cad!$C$33,IF($D356="V02",cad!$D$33,cad!$E$33)))</f>
        <v/>
      </c>
      <c r="K356" t="str">
        <f>IF($A356="","",IF($D356="V01",cad!$C$34,IF($D356="V02",cad!$D$34,cad!$E$34)))</f>
        <v/>
      </c>
      <c r="L356" t="str">
        <f>IF($A356="","",IF($D356="V01",cad!$C$35,IF($D356="V02",cad!$D$35,cad!$E$35)))</f>
        <v/>
      </c>
      <c r="M356" t="str">
        <f>IF($A356="","",IF($D356="V01",cad!$C$36,IF($D356="V02",cad!$D$36,cad!$E$36)))</f>
        <v/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 t="str">
        <f>IF($A357="","",IF($D357="V01",cad!$C$23,IF($D357="V02",cad!$D$23,cad!$E$23)))</f>
        <v/>
      </c>
      <c r="H357" t="str">
        <f>IF($A357="","",IF($D357="V01",cad!$C$24,IF($D357="V02",cad!$D$24,cad!$E$24)))</f>
        <v/>
      </c>
      <c r="I357" t="str">
        <f>IF($A357="","",IF($D357="V01",cad!$C$32,IF($D357="V02",cad!$D$32,cad!$E$32)))</f>
        <v/>
      </c>
      <c r="J357" t="str">
        <f>IF($A357="","",IF($D357="V01",cad!$C$33,IF($D357="V02",cad!$D$33,cad!$E$33)))</f>
        <v/>
      </c>
      <c r="K357" t="str">
        <f>IF($A357="","",IF($D357="V01",cad!$C$34,IF($D357="V02",cad!$D$34,cad!$E$34)))</f>
        <v/>
      </c>
      <c r="L357" t="str">
        <f>IF($A357="","",IF($D357="V01",cad!$C$35,IF($D357="V02",cad!$D$35,cad!$E$35)))</f>
        <v/>
      </c>
      <c r="M357" t="str">
        <f>IF($A357="","",IF($D357="V01",cad!$C$36,IF($D357="V02",cad!$D$36,cad!$E$36)))</f>
        <v/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 t="str">
        <f>IF($A358="","",IF($D358="V01",cad!$C$23,IF($D358="V02",cad!$D$23,cad!$E$23)))</f>
        <v/>
      </c>
      <c r="H358" t="str">
        <f>IF($A358="","",IF($D358="V01",cad!$C$24,IF($D358="V02",cad!$D$24,cad!$E$24)))</f>
        <v/>
      </c>
      <c r="I358" t="str">
        <f>IF($A358="","",IF($D358="V01",cad!$C$32,IF($D358="V02",cad!$D$32,cad!$E$32)))</f>
        <v/>
      </c>
      <c r="J358" t="str">
        <f>IF($A358="","",IF($D358="V01",cad!$C$33,IF($D358="V02",cad!$D$33,cad!$E$33)))</f>
        <v/>
      </c>
      <c r="K358" t="str">
        <f>IF($A358="","",IF($D358="V01",cad!$C$34,IF($D358="V02",cad!$D$34,cad!$E$34)))</f>
        <v/>
      </c>
      <c r="L358" t="str">
        <f>IF($A358="","",IF($D358="V01",cad!$C$35,IF($D358="V02",cad!$D$35,cad!$E$35)))</f>
        <v/>
      </c>
      <c r="M358" t="str">
        <f>IF($A358="","",IF($D358="V01",cad!$C$36,IF($D358="V02",cad!$D$36,cad!$E$36)))</f>
        <v/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 t="str">
        <f>IF($A359="","",IF($D359="V01",cad!$C$23,IF($D359="V02",cad!$D$23,cad!$E$23)))</f>
        <v/>
      </c>
      <c r="H359" t="str">
        <f>IF($A359="","",IF($D359="V01",cad!$C$24,IF($D359="V02",cad!$D$24,cad!$E$24)))</f>
        <v/>
      </c>
      <c r="I359" t="str">
        <f>IF($A359="","",IF($D359="V01",cad!$C$32,IF($D359="V02",cad!$D$32,cad!$E$32)))</f>
        <v/>
      </c>
      <c r="J359" t="str">
        <f>IF($A359="","",IF($D359="V01",cad!$C$33,IF($D359="V02",cad!$D$33,cad!$E$33)))</f>
        <v/>
      </c>
      <c r="K359" t="str">
        <f>IF($A359="","",IF($D359="V01",cad!$C$34,IF($D359="V02",cad!$D$34,cad!$E$34)))</f>
        <v/>
      </c>
      <c r="L359" t="str">
        <f>IF($A359="","",IF($D359="V01",cad!$C$35,IF($D359="V02",cad!$D$35,cad!$E$35)))</f>
        <v/>
      </c>
      <c r="M359" t="str">
        <f>IF($A359="","",IF($D359="V01",cad!$C$36,IF($D359="V02",cad!$D$36,cad!$E$36)))</f>
        <v/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 t="str">
        <f>IF($A360="","",IF($D360="V01",cad!$C$23,IF($D360="V02",cad!$D$23,cad!$E$23)))</f>
        <v/>
      </c>
      <c r="H360" t="str">
        <f>IF($A360="","",IF($D360="V01",cad!$C$24,IF($D360="V02",cad!$D$24,cad!$E$24)))</f>
        <v/>
      </c>
      <c r="I360" t="str">
        <f>IF($A360="","",IF($D360="V01",cad!$C$32,IF($D360="V02",cad!$D$32,cad!$E$32)))</f>
        <v/>
      </c>
      <c r="J360" t="str">
        <f>IF($A360="","",IF($D360="V01",cad!$C$33,IF($D360="V02",cad!$D$33,cad!$E$33)))</f>
        <v/>
      </c>
      <c r="K360" t="str">
        <f>IF($A360="","",IF($D360="V01",cad!$C$34,IF($D360="V02",cad!$D$34,cad!$E$34)))</f>
        <v/>
      </c>
      <c r="L360" t="str">
        <f>IF($A360="","",IF($D360="V01",cad!$C$35,IF($D360="V02",cad!$D$35,cad!$E$35)))</f>
        <v/>
      </c>
      <c r="M360" t="str">
        <f>IF($A360="","",IF($D360="V01",cad!$C$36,IF($D360="V02",cad!$D$36,cad!$E$36)))</f>
        <v/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 t="str">
        <f>IF($A361="","",IF($D361="V01",cad!$C$23,IF($D361="V02",cad!$D$23,cad!$E$23)))</f>
        <v/>
      </c>
      <c r="H361" t="str">
        <f>IF($A361="","",IF($D361="V01",cad!$C$24,IF($D361="V02",cad!$D$24,cad!$E$24)))</f>
        <v/>
      </c>
      <c r="I361" t="str">
        <f>IF($A361="","",IF($D361="V01",cad!$C$32,IF($D361="V02",cad!$D$32,cad!$E$32)))</f>
        <v/>
      </c>
      <c r="J361" t="str">
        <f>IF($A361="","",IF($D361="V01",cad!$C$33,IF($D361="V02",cad!$D$33,cad!$E$33)))</f>
        <v/>
      </c>
      <c r="K361" t="str">
        <f>IF($A361="","",IF($D361="V01",cad!$C$34,IF($D361="V02",cad!$D$34,cad!$E$34)))</f>
        <v/>
      </c>
      <c r="L361" t="str">
        <f>IF($A361="","",IF($D361="V01",cad!$C$35,IF($D361="V02",cad!$D$35,cad!$E$35)))</f>
        <v/>
      </c>
      <c r="M361" t="str">
        <f>IF($A361="","",IF($D361="V01",cad!$C$36,IF($D361="V02",cad!$D$36,cad!$E$36)))</f>
        <v/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 t="str">
        <f>IF($A362="","",IF($D362="V01",cad!$C$23,IF($D362="V02",cad!$D$23,cad!$E$23)))</f>
        <v/>
      </c>
      <c r="H362" t="str">
        <f>IF($A362="","",IF($D362="V01",cad!$C$24,IF($D362="V02",cad!$D$24,cad!$E$24)))</f>
        <v/>
      </c>
      <c r="I362" t="str">
        <f>IF($A362="","",IF($D362="V01",cad!$C$32,IF($D362="V02",cad!$D$32,cad!$E$32)))</f>
        <v/>
      </c>
      <c r="J362" t="str">
        <f>IF($A362="","",IF($D362="V01",cad!$C$33,IF($D362="V02",cad!$D$33,cad!$E$33)))</f>
        <v/>
      </c>
      <c r="K362" t="str">
        <f>IF($A362="","",IF($D362="V01",cad!$C$34,IF($D362="V02",cad!$D$34,cad!$E$34)))</f>
        <v/>
      </c>
      <c r="L362" t="str">
        <f>IF($A362="","",IF($D362="V01",cad!$C$35,IF($D362="V02",cad!$D$35,cad!$E$35)))</f>
        <v/>
      </c>
      <c r="M362" t="str">
        <f>IF($A362="","",IF($D362="V01",cad!$C$36,IF($D362="V02",cad!$D$36,cad!$E$36)))</f>
        <v/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 t="str">
        <f>IF($A363="","",IF($D363="V01",cad!$C$23,IF($D363="V02",cad!$D$23,cad!$E$23)))</f>
        <v/>
      </c>
      <c r="H363" t="str">
        <f>IF($A363="","",IF($D363="V01",cad!$C$24,IF($D363="V02",cad!$D$24,cad!$E$24)))</f>
        <v/>
      </c>
      <c r="I363" t="str">
        <f>IF($A363="","",IF($D363="V01",cad!$C$32,IF($D363="V02",cad!$D$32,cad!$E$32)))</f>
        <v/>
      </c>
      <c r="J363" t="str">
        <f>IF($A363="","",IF($D363="V01",cad!$C$33,IF($D363="V02",cad!$D$33,cad!$E$33)))</f>
        <v/>
      </c>
      <c r="K363" t="str">
        <f>IF($A363="","",IF($D363="V01",cad!$C$34,IF($D363="V02",cad!$D$34,cad!$E$34)))</f>
        <v/>
      </c>
      <c r="L363" t="str">
        <f>IF($A363="","",IF($D363="V01",cad!$C$35,IF($D363="V02",cad!$D$35,cad!$E$35)))</f>
        <v/>
      </c>
      <c r="M363" t="str">
        <f>IF($A363="","",IF($D363="V01",cad!$C$36,IF($D363="V02",cad!$D$36,cad!$E$36)))</f>
        <v/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 t="str">
        <f>IF($A364="","",IF($D364="V01",cad!$C$23,IF($D364="V02",cad!$D$23,cad!$E$23)))</f>
        <v/>
      </c>
      <c r="H364" t="str">
        <f>IF($A364="","",IF($D364="V01",cad!$C$24,IF($D364="V02",cad!$D$24,cad!$E$24)))</f>
        <v/>
      </c>
      <c r="I364" t="str">
        <f>IF($A364="","",IF($D364="V01",cad!$C$32,IF($D364="V02",cad!$D$32,cad!$E$32)))</f>
        <v/>
      </c>
      <c r="J364" t="str">
        <f>IF($A364="","",IF($D364="V01",cad!$C$33,IF($D364="V02",cad!$D$33,cad!$E$33)))</f>
        <v/>
      </c>
      <c r="K364" t="str">
        <f>IF($A364="","",IF($D364="V01",cad!$C$34,IF($D364="V02",cad!$D$34,cad!$E$34)))</f>
        <v/>
      </c>
      <c r="L364" t="str">
        <f>IF($A364="","",IF($D364="V01",cad!$C$35,IF($D364="V02",cad!$D$35,cad!$E$35)))</f>
        <v/>
      </c>
      <c r="M364" t="str">
        <f>IF($A364="","",IF($D364="V01",cad!$C$36,IF($D364="V02",cad!$D$36,cad!$E$36)))</f>
        <v/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 t="str">
        <f>IF($A365="","",IF($D365="V01",cad!$C$23,IF($D365="V02",cad!$D$23,cad!$E$23)))</f>
        <v/>
      </c>
      <c r="H365" t="str">
        <f>IF($A365="","",IF($D365="V01",cad!$C$24,IF($D365="V02",cad!$D$24,cad!$E$24)))</f>
        <v/>
      </c>
      <c r="I365" t="str">
        <f>IF($A365="","",IF($D365="V01",cad!$C$32,IF($D365="V02",cad!$D$32,cad!$E$32)))</f>
        <v/>
      </c>
      <c r="J365" t="str">
        <f>IF($A365="","",IF($D365="V01",cad!$C$33,IF($D365="V02",cad!$D$33,cad!$E$33)))</f>
        <v/>
      </c>
      <c r="K365" t="str">
        <f>IF($A365="","",IF($D365="V01",cad!$C$34,IF($D365="V02",cad!$D$34,cad!$E$34)))</f>
        <v/>
      </c>
      <c r="L365" t="str">
        <f>IF($A365="","",IF($D365="V01",cad!$C$35,IF($D365="V02",cad!$D$35,cad!$E$35)))</f>
        <v/>
      </c>
      <c r="M365" t="str">
        <f>IF($A365="","",IF($D365="V01",cad!$C$36,IF($D365="V02",cad!$D$36,cad!$E$36)))</f>
        <v/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 t="str">
        <f>IF($A366="","",IF($D366="V01",cad!$C$23,IF($D366="V02",cad!$D$23,cad!$E$23)))</f>
        <v/>
      </c>
      <c r="H366" t="str">
        <f>IF($A366="","",IF($D366="V01",cad!$C$24,IF($D366="V02",cad!$D$24,cad!$E$24)))</f>
        <v/>
      </c>
      <c r="I366" t="str">
        <f>IF($A366="","",IF($D366="V01",cad!$C$32,IF($D366="V02",cad!$D$32,cad!$E$32)))</f>
        <v/>
      </c>
      <c r="J366" t="str">
        <f>IF($A366="","",IF($D366="V01",cad!$C$33,IF($D366="V02",cad!$D$33,cad!$E$33)))</f>
        <v/>
      </c>
      <c r="K366" t="str">
        <f>IF($A366="","",IF($D366="V01",cad!$C$34,IF($D366="V02",cad!$D$34,cad!$E$34)))</f>
        <v/>
      </c>
      <c r="L366" t="str">
        <f>IF($A366="","",IF($D366="V01",cad!$C$35,IF($D366="V02",cad!$D$35,cad!$E$35)))</f>
        <v/>
      </c>
      <c r="M366" t="str">
        <f>IF($A366="","",IF($D366="V01",cad!$C$36,IF($D366="V02",cad!$D$36,cad!$E$36)))</f>
        <v/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 t="str">
        <f>IF($A367="","",IF($D367="V01",cad!$C$23,IF($D367="V02",cad!$D$23,cad!$E$23)))</f>
        <v/>
      </c>
      <c r="H367" t="str">
        <f>IF($A367="","",IF($D367="V01",cad!$C$24,IF($D367="V02",cad!$D$24,cad!$E$24)))</f>
        <v/>
      </c>
      <c r="I367" t="str">
        <f>IF($A367="","",IF($D367="V01",cad!$C$32,IF($D367="V02",cad!$D$32,cad!$E$32)))</f>
        <v/>
      </c>
      <c r="J367" t="str">
        <f>IF($A367="","",IF($D367="V01",cad!$C$33,IF($D367="V02",cad!$D$33,cad!$E$33)))</f>
        <v/>
      </c>
      <c r="K367" t="str">
        <f>IF($A367="","",IF($D367="V01",cad!$C$34,IF($D367="V02",cad!$D$34,cad!$E$34)))</f>
        <v/>
      </c>
      <c r="L367" t="str">
        <f>IF($A367="","",IF($D367="V01",cad!$C$35,IF($D367="V02",cad!$D$35,cad!$E$35)))</f>
        <v/>
      </c>
      <c r="M367" t="str">
        <f>IF($A367="","",IF($D367="V01",cad!$C$36,IF($D367="V02",cad!$D$36,cad!$E$36)))</f>
        <v/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 t="str">
        <f>IF($A368="","",IF($D368="V01",cad!$C$23,IF($D368="V02",cad!$D$23,cad!$E$23)))</f>
        <v/>
      </c>
      <c r="H368" t="str">
        <f>IF($A368="","",IF($D368="V01",cad!$C$24,IF($D368="V02",cad!$D$24,cad!$E$24)))</f>
        <v/>
      </c>
      <c r="I368" t="str">
        <f>IF($A368="","",IF($D368="V01",cad!$C$32,IF($D368="V02",cad!$D$32,cad!$E$32)))</f>
        <v/>
      </c>
      <c r="J368" t="str">
        <f>IF($A368="","",IF($D368="V01",cad!$C$33,IF($D368="V02",cad!$D$33,cad!$E$33)))</f>
        <v/>
      </c>
      <c r="K368" t="str">
        <f>IF($A368="","",IF($D368="V01",cad!$C$34,IF($D368="V02",cad!$D$34,cad!$E$34)))</f>
        <v/>
      </c>
      <c r="L368" t="str">
        <f>IF($A368="","",IF($D368="V01",cad!$C$35,IF($D368="V02",cad!$D$35,cad!$E$35)))</f>
        <v/>
      </c>
      <c r="M368" t="str">
        <f>IF($A368="","",IF($D368="V01",cad!$C$36,IF($D368="V02",cad!$D$36,cad!$E$36)))</f>
        <v/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 t="str">
        <f>IF($A369="","",IF($D369="V01",cad!$C$23,IF($D369="V02",cad!$D$23,cad!$E$23)))</f>
        <v/>
      </c>
      <c r="H369" t="str">
        <f>IF($A369="","",IF($D369="V01",cad!$C$24,IF($D369="V02",cad!$D$24,cad!$E$24)))</f>
        <v/>
      </c>
      <c r="I369" t="str">
        <f>IF($A369="","",IF($D369="V01",cad!$C$32,IF($D369="V02",cad!$D$32,cad!$E$32)))</f>
        <v/>
      </c>
      <c r="J369" t="str">
        <f>IF($A369="","",IF($D369="V01",cad!$C$33,IF($D369="V02",cad!$D$33,cad!$E$33)))</f>
        <v/>
      </c>
      <c r="K369" t="str">
        <f>IF($A369="","",IF($D369="V01",cad!$C$34,IF($D369="V02",cad!$D$34,cad!$E$34)))</f>
        <v/>
      </c>
      <c r="L369" t="str">
        <f>IF($A369="","",IF($D369="V01",cad!$C$35,IF($D369="V02",cad!$D$35,cad!$E$35)))</f>
        <v/>
      </c>
      <c r="M369" t="str">
        <f>IF($A369="","",IF($D369="V01",cad!$C$36,IF($D369="V02",cad!$D$36,cad!$E$36)))</f>
        <v/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 t="str">
        <f>IF($A370="","",IF($D370="V01",cad!$C$23,IF($D370="V02",cad!$D$23,cad!$E$23)))</f>
        <v/>
      </c>
      <c r="H370" t="str">
        <f>IF($A370="","",IF($D370="V01",cad!$C$24,IF($D370="V02",cad!$D$24,cad!$E$24)))</f>
        <v/>
      </c>
      <c r="I370" t="str">
        <f>IF($A370="","",IF($D370="V01",cad!$C$32,IF($D370="V02",cad!$D$32,cad!$E$32)))</f>
        <v/>
      </c>
      <c r="J370" t="str">
        <f>IF($A370="","",IF($D370="V01",cad!$C$33,IF($D370="V02",cad!$D$33,cad!$E$33)))</f>
        <v/>
      </c>
      <c r="K370" t="str">
        <f>IF($A370="","",IF($D370="V01",cad!$C$34,IF($D370="V02",cad!$D$34,cad!$E$34)))</f>
        <v/>
      </c>
      <c r="L370" t="str">
        <f>IF($A370="","",IF($D370="V01",cad!$C$35,IF($D370="V02",cad!$D$35,cad!$E$35)))</f>
        <v/>
      </c>
      <c r="M370" t="str">
        <f>IF($A370="","",IF($D370="V01",cad!$C$36,IF($D370="V02",cad!$D$36,cad!$E$36)))</f>
        <v/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 t="str">
        <f>IF($A371="","",IF($D371="V01",cad!$C$23,IF($D371="V02",cad!$D$23,cad!$E$23)))</f>
        <v/>
      </c>
      <c r="H371" t="str">
        <f>IF($A371="","",IF($D371="V01",cad!$C$24,IF($D371="V02",cad!$D$24,cad!$E$24)))</f>
        <v/>
      </c>
      <c r="I371" t="str">
        <f>IF($A371="","",IF($D371="V01",cad!$C$32,IF($D371="V02",cad!$D$32,cad!$E$32)))</f>
        <v/>
      </c>
      <c r="J371" t="str">
        <f>IF($A371="","",IF($D371="V01",cad!$C$33,IF($D371="V02",cad!$D$33,cad!$E$33)))</f>
        <v/>
      </c>
      <c r="K371" t="str">
        <f>IF($A371="","",IF($D371="V01",cad!$C$34,IF($D371="V02",cad!$D$34,cad!$E$34)))</f>
        <v/>
      </c>
      <c r="L371" t="str">
        <f>IF($A371="","",IF($D371="V01",cad!$C$35,IF($D371="V02",cad!$D$35,cad!$E$35)))</f>
        <v/>
      </c>
      <c r="M371" t="str">
        <f>IF($A371="","",IF($D371="V01",cad!$C$36,IF($D371="V02",cad!$D$36,cad!$E$36)))</f>
        <v/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 t="str">
        <f>IF($A372="","",IF($D372="V01",cad!$C$23,IF($D372="V02",cad!$D$23,cad!$E$23)))</f>
        <v/>
      </c>
      <c r="H372" t="str">
        <f>IF($A372="","",IF($D372="V01",cad!$C$24,IF($D372="V02",cad!$D$24,cad!$E$24)))</f>
        <v/>
      </c>
      <c r="I372" t="str">
        <f>IF($A372="","",IF($D372="V01",cad!$C$32,IF($D372="V02",cad!$D$32,cad!$E$32)))</f>
        <v/>
      </c>
      <c r="J372" t="str">
        <f>IF($A372="","",IF($D372="V01",cad!$C$33,IF($D372="V02",cad!$D$33,cad!$E$33)))</f>
        <v/>
      </c>
      <c r="K372" t="str">
        <f>IF($A372="","",IF($D372="V01",cad!$C$34,IF($D372="V02",cad!$D$34,cad!$E$34)))</f>
        <v/>
      </c>
      <c r="L372" t="str">
        <f>IF($A372="","",IF($D372="V01",cad!$C$35,IF($D372="V02",cad!$D$35,cad!$E$35)))</f>
        <v/>
      </c>
      <c r="M372" t="str">
        <f>IF($A372="","",IF($D372="V01",cad!$C$36,IF($D372="V02",cad!$D$36,cad!$E$36)))</f>
        <v/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 t="str">
        <f>IF($A373="","",IF($D373="V01",cad!$C$23,IF($D373="V02",cad!$D$23,cad!$E$23)))</f>
        <v/>
      </c>
      <c r="H373" t="str">
        <f>IF($A373="","",IF($D373="V01",cad!$C$24,IF($D373="V02",cad!$D$24,cad!$E$24)))</f>
        <v/>
      </c>
      <c r="I373" t="str">
        <f>IF($A373="","",IF($D373="V01",cad!$C$32,IF($D373="V02",cad!$D$32,cad!$E$32)))</f>
        <v/>
      </c>
      <c r="J373" t="str">
        <f>IF($A373="","",IF($D373="V01",cad!$C$33,IF($D373="V02",cad!$D$33,cad!$E$33)))</f>
        <v/>
      </c>
      <c r="K373" t="str">
        <f>IF($A373="","",IF($D373="V01",cad!$C$34,IF($D373="V02",cad!$D$34,cad!$E$34)))</f>
        <v/>
      </c>
      <c r="L373" t="str">
        <f>IF($A373="","",IF($D373="V01",cad!$C$35,IF($D373="V02",cad!$D$35,cad!$E$35)))</f>
        <v/>
      </c>
      <c r="M373" t="str">
        <f>IF($A373="","",IF($D373="V01",cad!$C$36,IF($D373="V02",cad!$D$36,cad!$E$36)))</f>
        <v/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 t="str">
        <f>IF($A374="","",IF($D374="V01",cad!$C$23,IF($D374="V02",cad!$D$23,cad!$E$23)))</f>
        <v/>
      </c>
      <c r="H374" t="str">
        <f>IF($A374="","",IF($D374="V01",cad!$C$24,IF($D374="V02",cad!$D$24,cad!$E$24)))</f>
        <v/>
      </c>
      <c r="I374" t="str">
        <f>IF($A374="","",IF($D374="V01",cad!$C$32,IF($D374="V02",cad!$D$32,cad!$E$32)))</f>
        <v/>
      </c>
      <c r="J374" t="str">
        <f>IF($A374="","",IF($D374="V01",cad!$C$33,IF($D374="V02",cad!$D$33,cad!$E$33)))</f>
        <v/>
      </c>
      <c r="K374" t="str">
        <f>IF($A374="","",IF($D374="V01",cad!$C$34,IF($D374="V02",cad!$D$34,cad!$E$34)))</f>
        <v/>
      </c>
      <c r="L374" t="str">
        <f>IF($A374="","",IF($D374="V01",cad!$C$35,IF($D374="V02",cad!$D$35,cad!$E$35)))</f>
        <v/>
      </c>
      <c r="M374" t="str">
        <f>IF($A374="","",IF($D374="V01",cad!$C$36,IF($D374="V02",cad!$D$36,cad!$E$36)))</f>
        <v/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 t="str">
        <f>IF($A375="","",IF($D375="V01",cad!$C$23,IF($D375="V02",cad!$D$23,cad!$E$23)))</f>
        <v/>
      </c>
      <c r="H375" t="str">
        <f>IF($A375="","",IF($D375="V01",cad!$C$24,IF($D375="V02",cad!$D$24,cad!$E$24)))</f>
        <v/>
      </c>
      <c r="I375" t="str">
        <f>IF($A375="","",IF($D375="V01",cad!$C$32,IF($D375="V02",cad!$D$32,cad!$E$32)))</f>
        <v/>
      </c>
      <c r="J375" t="str">
        <f>IF($A375="","",IF($D375="V01",cad!$C$33,IF($D375="V02",cad!$D$33,cad!$E$33)))</f>
        <v/>
      </c>
      <c r="K375" t="str">
        <f>IF($A375="","",IF($D375="V01",cad!$C$34,IF($D375="V02",cad!$D$34,cad!$E$34)))</f>
        <v/>
      </c>
      <c r="L375" t="str">
        <f>IF($A375="","",IF($D375="V01",cad!$C$35,IF($D375="V02",cad!$D$35,cad!$E$35)))</f>
        <v/>
      </c>
      <c r="M375" t="str">
        <f>IF($A375="","",IF($D375="V01",cad!$C$36,IF($D375="V02",cad!$D$36,cad!$E$36)))</f>
        <v/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 t="str">
        <f>IF($A376="","",IF($D376="V01",cad!$C$23,IF($D376="V02",cad!$D$23,cad!$E$23)))</f>
        <v/>
      </c>
      <c r="H376" t="str">
        <f>IF($A376="","",IF($D376="V01",cad!$C$24,IF($D376="V02",cad!$D$24,cad!$E$24)))</f>
        <v/>
      </c>
      <c r="I376" t="str">
        <f>IF($A376="","",IF($D376="V01",cad!$C$32,IF($D376="V02",cad!$D$32,cad!$E$32)))</f>
        <v/>
      </c>
      <c r="J376" t="str">
        <f>IF($A376="","",IF($D376="V01",cad!$C$33,IF($D376="V02",cad!$D$33,cad!$E$33)))</f>
        <v/>
      </c>
      <c r="K376" t="str">
        <f>IF($A376="","",IF($D376="V01",cad!$C$34,IF($D376="V02",cad!$D$34,cad!$E$34)))</f>
        <v/>
      </c>
      <c r="L376" t="str">
        <f>IF($A376="","",IF($D376="V01",cad!$C$35,IF($D376="V02",cad!$D$35,cad!$E$35)))</f>
        <v/>
      </c>
      <c r="M376" t="str">
        <f>IF($A376="","",IF($D376="V01",cad!$C$36,IF($D376="V02",cad!$D$36,cad!$E$36)))</f>
        <v/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 t="str">
        <f>IF($A377="","",IF($D377="V01",cad!$C$23,IF($D377="V02",cad!$D$23,cad!$E$23)))</f>
        <v/>
      </c>
      <c r="H377" t="str">
        <f>IF($A377="","",IF($D377="V01",cad!$C$24,IF($D377="V02",cad!$D$24,cad!$E$24)))</f>
        <v/>
      </c>
      <c r="I377" t="str">
        <f>IF($A377="","",IF($D377="V01",cad!$C$32,IF($D377="V02",cad!$D$32,cad!$E$32)))</f>
        <v/>
      </c>
      <c r="J377" t="str">
        <f>IF($A377="","",IF($D377="V01",cad!$C$33,IF($D377="V02",cad!$D$33,cad!$E$33)))</f>
        <v/>
      </c>
      <c r="K377" t="str">
        <f>IF($A377="","",IF($D377="V01",cad!$C$34,IF($D377="V02",cad!$D$34,cad!$E$34)))</f>
        <v/>
      </c>
      <c r="L377" t="str">
        <f>IF($A377="","",IF($D377="V01",cad!$C$35,IF($D377="V02",cad!$D$35,cad!$E$35)))</f>
        <v/>
      </c>
      <c r="M377" t="str">
        <f>IF($A377="","",IF($D377="V01",cad!$C$36,IF($D377="V02",cad!$D$36,cad!$E$36)))</f>
        <v/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 t="str">
        <f>IF($A378="","",IF($D378="V01",cad!$C$23,IF($D378="V02",cad!$D$23,cad!$E$23)))</f>
        <v/>
      </c>
      <c r="H378" t="str">
        <f>IF($A378="","",IF($D378="V01",cad!$C$24,IF($D378="V02",cad!$D$24,cad!$E$24)))</f>
        <v/>
      </c>
      <c r="I378" t="str">
        <f>IF($A378="","",IF($D378="V01",cad!$C$32,IF($D378="V02",cad!$D$32,cad!$E$32)))</f>
        <v/>
      </c>
      <c r="J378" t="str">
        <f>IF($A378="","",IF($D378="V01",cad!$C$33,IF($D378="V02",cad!$D$33,cad!$E$33)))</f>
        <v/>
      </c>
      <c r="K378" t="str">
        <f>IF($A378="","",IF($D378="V01",cad!$C$34,IF($D378="V02",cad!$D$34,cad!$E$34)))</f>
        <v/>
      </c>
      <c r="L378" t="str">
        <f>IF($A378="","",IF($D378="V01",cad!$C$35,IF($D378="V02",cad!$D$35,cad!$E$35)))</f>
        <v/>
      </c>
      <c r="M378" t="str">
        <f>IF($A378="","",IF($D378="V01",cad!$C$36,IF($D378="V02",cad!$D$36,cad!$E$36)))</f>
        <v/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 t="str">
        <f>IF($A379="","",IF($D379="V01",cad!$C$23,IF($D379="V02",cad!$D$23,cad!$E$23)))</f>
        <v/>
      </c>
      <c r="H379" t="str">
        <f>IF($A379="","",IF($D379="V01",cad!$C$24,IF($D379="V02",cad!$D$24,cad!$E$24)))</f>
        <v/>
      </c>
      <c r="I379" t="str">
        <f>IF($A379="","",IF($D379="V01",cad!$C$32,IF($D379="V02",cad!$D$32,cad!$E$32)))</f>
        <v/>
      </c>
      <c r="J379" t="str">
        <f>IF($A379="","",IF($D379="V01",cad!$C$33,IF($D379="V02",cad!$D$33,cad!$E$33)))</f>
        <v/>
      </c>
      <c r="K379" t="str">
        <f>IF($A379="","",IF($D379="V01",cad!$C$34,IF($D379="V02",cad!$D$34,cad!$E$34)))</f>
        <v/>
      </c>
      <c r="L379" t="str">
        <f>IF($A379="","",IF($D379="V01",cad!$C$35,IF($D379="V02",cad!$D$35,cad!$E$35)))</f>
        <v/>
      </c>
      <c r="M379" t="str">
        <f>IF($A379="","",IF($D379="V01",cad!$C$36,IF($D379="V02",cad!$D$36,cad!$E$36)))</f>
        <v/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 t="str">
        <f>IF($A380="","",IF($D380="V01",cad!$C$23,IF($D380="V02",cad!$D$23,cad!$E$23)))</f>
        <v/>
      </c>
      <c r="H380" t="str">
        <f>IF($A380="","",IF($D380="V01",cad!$C$24,IF($D380="V02",cad!$D$24,cad!$E$24)))</f>
        <v/>
      </c>
      <c r="I380" t="str">
        <f>IF($A380="","",IF($D380="V01",cad!$C$32,IF($D380="V02",cad!$D$32,cad!$E$32)))</f>
        <v/>
      </c>
      <c r="J380" t="str">
        <f>IF($A380="","",IF($D380="V01",cad!$C$33,IF($D380="V02",cad!$D$33,cad!$E$33)))</f>
        <v/>
      </c>
      <c r="K380" t="str">
        <f>IF($A380="","",IF($D380="V01",cad!$C$34,IF($D380="V02",cad!$D$34,cad!$E$34)))</f>
        <v/>
      </c>
      <c r="L380" t="str">
        <f>IF($A380="","",IF($D380="V01",cad!$C$35,IF($D380="V02",cad!$D$35,cad!$E$35)))</f>
        <v/>
      </c>
      <c r="M380" t="str">
        <f>IF($A380="","",IF($D380="V01",cad!$C$36,IF($D380="V02",cad!$D$36,cad!$E$36)))</f>
        <v/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 t="str">
        <f>IF($A381="","",IF($D381="V01",cad!$C$23,IF($D381="V02",cad!$D$23,cad!$E$23)))</f>
        <v/>
      </c>
      <c r="H381" t="str">
        <f>IF($A381="","",IF($D381="V01",cad!$C$24,IF($D381="V02",cad!$D$24,cad!$E$24)))</f>
        <v/>
      </c>
      <c r="I381" t="str">
        <f>IF($A381="","",IF($D381="V01",cad!$C$32,IF($D381="V02",cad!$D$32,cad!$E$32)))</f>
        <v/>
      </c>
      <c r="J381" t="str">
        <f>IF($A381="","",IF($D381="V01",cad!$C$33,IF($D381="V02",cad!$D$33,cad!$E$33)))</f>
        <v/>
      </c>
      <c r="K381" t="str">
        <f>IF($A381="","",IF($D381="V01",cad!$C$34,IF($D381="V02",cad!$D$34,cad!$E$34)))</f>
        <v/>
      </c>
      <c r="L381" t="str">
        <f>IF($A381="","",IF($D381="V01",cad!$C$35,IF($D381="V02",cad!$D$35,cad!$E$35)))</f>
        <v/>
      </c>
      <c r="M381" t="str">
        <f>IF($A381="","",IF($D381="V01",cad!$C$36,IF($D381="V02",cad!$D$36,cad!$E$36)))</f>
        <v/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 t="str">
        <f>IF($A382="","",IF($D382="V01",cad!$C$23,IF($D382="V02",cad!$D$23,cad!$E$23)))</f>
        <v/>
      </c>
      <c r="H382" t="str">
        <f>IF($A382="","",IF($D382="V01",cad!$C$24,IF($D382="V02",cad!$D$24,cad!$E$24)))</f>
        <v/>
      </c>
      <c r="I382" t="str">
        <f>IF($A382="","",IF($D382="V01",cad!$C$32,IF($D382="V02",cad!$D$32,cad!$E$32)))</f>
        <v/>
      </c>
      <c r="J382" t="str">
        <f>IF($A382="","",IF($D382="V01",cad!$C$33,IF($D382="V02",cad!$D$33,cad!$E$33)))</f>
        <v/>
      </c>
      <c r="K382" t="str">
        <f>IF($A382="","",IF($D382="V01",cad!$C$34,IF($D382="V02",cad!$D$34,cad!$E$34)))</f>
        <v/>
      </c>
      <c r="L382" t="str">
        <f>IF($A382="","",IF($D382="V01",cad!$C$35,IF($D382="V02",cad!$D$35,cad!$E$35)))</f>
        <v/>
      </c>
      <c r="M382" t="str">
        <f>IF($A382="","",IF($D382="V01",cad!$C$36,IF($D382="V02",cad!$D$36,cad!$E$36)))</f>
        <v/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 t="str">
        <f>IF($A383="","",IF($D383="V01",cad!$C$23,IF($D383="V02",cad!$D$23,cad!$E$23)))</f>
        <v/>
      </c>
      <c r="H383" t="str">
        <f>IF($A383="","",IF($D383="V01",cad!$C$24,IF($D383="V02",cad!$D$24,cad!$E$24)))</f>
        <v/>
      </c>
      <c r="I383" t="str">
        <f>IF($A383="","",IF($D383="V01",cad!$C$32,IF($D383="V02",cad!$D$32,cad!$E$32)))</f>
        <v/>
      </c>
      <c r="J383" t="str">
        <f>IF($A383="","",IF($D383="V01",cad!$C$33,IF($D383="V02",cad!$D$33,cad!$E$33)))</f>
        <v/>
      </c>
      <c r="K383" t="str">
        <f>IF($A383="","",IF($D383="V01",cad!$C$34,IF($D383="V02",cad!$D$34,cad!$E$34)))</f>
        <v/>
      </c>
      <c r="L383" t="str">
        <f>IF($A383="","",IF($D383="V01",cad!$C$35,IF($D383="V02",cad!$D$35,cad!$E$35)))</f>
        <v/>
      </c>
      <c r="M383" t="str">
        <f>IF($A383="","",IF($D383="V01",cad!$C$36,IF($D383="V02",cad!$D$36,cad!$E$36)))</f>
        <v/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 t="str">
        <f>IF($A384="","",IF($D384="V01",cad!$C$23,IF($D384="V02",cad!$D$23,cad!$E$23)))</f>
        <v/>
      </c>
      <c r="H384" t="str">
        <f>IF($A384="","",IF($D384="V01",cad!$C$24,IF($D384="V02",cad!$D$24,cad!$E$24)))</f>
        <v/>
      </c>
      <c r="I384" t="str">
        <f>IF($A384="","",IF($D384="V01",cad!$C$32,IF($D384="V02",cad!$D$32,cad!$E$32)))</f>
        <v/>
      </c>
      <c r="J384" t="str">
        <f>IF($A384="","",IF($D384="V01",cad!$C$33,IF($D384="V02",cad!$D$33,cad!$E$33)))</f>
        <v/>
      </c>
      <c r="K384" t="str">
        <f>IF($A384="","",IF($D384="V01",cad!$C$34,IF($D384="V02",cad!$D$34,cad!$E$34)))</f>
        <v/>
      </c>
      <c r="L384" t="str">
        <f>IF($A384="","",IF($D384="V01",cad!$C$35,IF($D384="V02",cad!$D$35,cad!$E$35)))</f>
        <v/>
      </c>
      <c r="M384" t="str">
        <f>IF($A384="","",IF($D384="V01",cad!$C$36,IF($D384="V02",cad!$D$36,cad!$E$36)))</f>
        <v/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 t="str">
        <f>IF($A385="","",IF($D385="V01",cad!$C$23,IF($D385="V02",cad!$D$23,cad!$E$23)))</f>
        <v/>
      </c>
      <c r="H385" t="str">
        <f>IF($A385="","",IF($D385="V01",cad!$C$24,IF($D385="V02",cad!$D$24,cad!$E$24)))</f>
        <v/>
      </c>
      <c r="I385" t="str">
        <f>IF($A385="","",IF($D385="V01",cad!$C$32,IF($D385="V02",cad!$D$32,cad!$E$32)))</f>
        <v/>
      </c>
      <c r="J385" t="str">
        <f>IF($A385="","",IF($D385="V01",cad!$C$33,IF($D385="V02",cad!$D$33,cad!$E$33)))</f>
        <v/>
      </c>
      <c r="K385" t="str">
        <f>IF($A385="","",IF($D385="V01",cad!$C$34,IF($D385="V02",cad!$D$34,cad!$E$34)))</f>
        <v/>
      </c>
      <c r="L385" t="str">
        <f>IF($A385="","",IF($D385="V01",cad!$C$35,IF($D385="V02",cad!$D$35,cad!$E$35)))</f>
        <v/>
      </c>
      <c r="M385" t="str">
        <f>IF($A385="","",IF($D385="V01",cad!$C$36,IF($D385="V02",cad!$D$36,cad!$E$36)))</f>
        <v/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 t="str">
        <f>IF($A386="","",IF($D386="V01",cad!$C$23,IF($D386="V02",cad!$D$23,cad!$E$23)))</f>
        <v/>
      </c>
      <c r="H386" t="str">
        <f>IF($A386="","",IF($D386="V01",cad!$C$24,IF($D386="V02",cad!$D$24,cad!$E$24)))</f>
        <v/>
      </c>
      <c r="I386" t="str">
        <f>IF($A386="","",IF($D386="V01",cad!$C$32,IF($D386="V02",cad!$D$32,cad!$E$32)))</f>
        <v/>
      </c>
      <c r="J386" t="str">
        <f>IF($A386="","",IF($D386="V01",cad!$C$33,IF($D386="V02",cad!$D$33,cad!$E$33)))</f>
        <v/>
      </c>
      <c r="K386" t="str">
        <f>IF($A386="","",IF($D386="V01",cad!$C$34,IF($D386="V02",cad!$D$34,cad!$E$34)))</f>
        <v/>
      </c>
      <c r="L386" t="str">
        <f>IF($A386="","",IF($D386="V01",cad!$C$35,IF($D386="V02",cad!$D$35,cad!$E$35)))</f>
        <v/>
      </c>
      <c r="M386" t="str">
        <f>IF($A386="","",IF($D386="V01",cad!$C$36,IF($D386="V02",cad!$D$36,cad!$E$36)))</f>
        <v/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 t="str">
        <f>IF($A387="","",IF($D387="V01",cad!$C$23,IF($D387="V02",cad!$D$23,cad!$E$23)))</f>
        <v/>
      </c>
      <c r="H387" t="str">
        <f>IF($A387="","",IF($D387="V01",cad!$C$24,IF($D387="V02",cad!$D$24,cad!$E$24)))</f>
        <v/>
      </c>
      <c r="I387" t="str">
        <f>IF($A387="","",IF($D387="V01",cad!$C$32,IF($D387="V02",cad!$D$32,cad!$E$32)))</f>
        <v/>
      </c>
      <c r="J387" t="str">
        <f>IF($A387="","",IF($D387="V01",cad!$C$33,IF($D387="V02",cad!$D$33,cad!$E$33)))</f>
        <v/>
      </c>
      <c r="K387" t="str">
        <f>IF($A387="","",IF($D387="V01",cad!$C$34,IF($D387="V02",cad!$D$34,cad!$E$34)))</f>
        <v/>
      </c>
      <c r="L387" t="str">
        <f>IF($A387="","",IF($D387="V01",cad!$C$35,IF($D387="V02",cad!$D$35,cad!$E$35)))</f>
        <v/>
      </c>
      <c r="M387" t="str">
        <f>IF($A387="","",IF($D387="V01",cad!$C$36,IF($D387="V02",cad!$D$36,cad!$E$36)))</f>
        <v/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 t="str">
        <f>IF($A388="","",IF($D388="V01",cad!$C$23,IF($D388="V02",cad!$D$23,cad!$E$23)))</f>
        <v/>
      </c>
      <c r="H388" t="str">
        <f>IF($A388="","",IF($D388="V01",cad!$C$24,IF($D388="V02",cad!$D$24,cad!$E$24)))</f>
        <v/>
      </c>
      <c r="I388" t="str">
        <f>IF($A388="","",IF($D388="V01",cad!$C$32,IF($D388="V02",cad!$D$32,cad!$E$32)))</f>
        <v/>
      </c>
      <c r="J388" t="str">
        <f>IF($A388="","",IF($D388="V01",cad!$C$33,IF($D388="V02",cad!$D$33,cad!$E$33)))</f>
        <v/>
      </c>
      <c r="K388" t="str">
        <f>IF($A388="","",IF($D388="V01",cad!$C$34,IF($D388="V02",cad!$D$34,cad!$E$34)))</f>
        <v/>
      </c>
      <c r="L388" t="str">
        <f>IF($A388="","",IF($D388="V01",cad!$C$35,IF($D388="V02",cad!$D$35,cad!$E$35)))</f>
        <v/>
      </c>
      <c r="M388" t="str">
        <f>IF($A388="","",IF($D388="V01",cad!$C$36,IF($D388="V02",cad!$D$36,cad!$E$36)))</f>
        <v/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 t="str">
        <f>IF($A389="","",IF($D389="V01",cad!$C$23,IF($D389="V02",cad!$D$23,cad!$E$23)))</f>
        <v/>
      </c>
      <c r="H389" t="str">
        <f>IF($A389="","",IF($D389="V01",cad!$C$24,IF($D389="V02",cad!$D$24,cad!$E$24)))</f>
        <v/>
      </c>
      <c r="I389" t="str">
        <f>IF($A389="","",IF($D389="V01",cad!$C$32,IF($D389="V02",cad!$D$32,cad!$E$32)))</f>
        <v/>
      </c>
      <c r="J389" t="str">
        <f>IF($A389="","",IF($D389="V01",cad!$C$33,IF($D389="V02",cad!$D$33,cad!$E$33)))</f>
        <v/>
      </c>
      <c r="K389" t="str">
        <f>IF($A389="","",IF($D389="V01",cad!$C$34,IF($D389="V02",cad!$D$34,cad!$E$34)))</f>
        <v/>
      </c>
      <c r="L389" t="str">
        <f>IF($A389="","",IF($D389="V01",cad!$C$35,IF($D389="V02",cad!$D$35,cad!$E$35)))</f>
        <v/>
      </c>
      <c r="M389" t="str">
        <f>IF($A389="","",IF($D389="V01",cad!$C$36,IF($D389="V02",cad!$D$36,cad!$E$36)))</f>
        <v/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 t="str">
        <f>IF($A390="","",IF($D390="V01",cad!$C$23,IF($D390="V02",cad!$D$23,cad!$E$23)))</f>
        <v/>
      </c>
      <c r="H390" t="str">
        <f>IF($A390="","",IF($D390="V01",cad!$C$24,IF($D390="V02",cad!$D$24,cad!$E$24)))</f>
        <v/>
      </c>
      <c r="I390" t="str">
        <f>IF($A390="","",IF($D390="V01",cad!$C$32,IF($D390="V02",cad!$D$32,cad!$E$32)))</f>
        <v/>
      </c>
      <c r="J390" t="str">
        <f>IF($A390="","",IF($D390="V01",cad!$C$33,IF($D390="V02",cad!$D$33,cad!$E$33)))</f>
        <v/>
      </c>
      <c r="K390" t="str">
        <f>IF($A390="","",IF($D390="V01",cad!$C$34,IF($D390="V02",cad!$D$34,cad!$E$34)))</f>
        <v/>
      </c>
      <c r="L390" t="str">
        <f>IF($A390="","",IF($D390="V01",cad!$C$35,IF($D390="V02",cad!$D$35,cad!$E$35)))</f>
        <v/>
      </c>
      <c r="M390" t="str">
        <f>IF($A390="","",IF($D390="V01",cad!$C$36,IF($D390="V02",cad!$D$36,cad!$E$36)))</f>
        <v/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 t="str">
        <f>IF($A391="","",IF($D391="V01",cad!$C$23,IF($D391="V02",cad!$D$23,cad!$E$23)))</f>
        <v/>
      </c>
      <c r="H391" t="str">
        <f>IF($A391="","",IF($D391="V01",cad!$C$24,IF($D391="V02",cad!$D$24,cad!$E$24)))</f>
        <v/>
      </c>
      <c r="I391" t="str">
        <f>IF($A391="","",IF($D391="V01",cad!$C$32,IF($D391="V02",cad!$D$32,cad!$E$32)))</f>
        <v/>
      </c>
      <c r="J391" t="str">
        <f>IF($A391="","",IF($D391="V01",cad!$C$33,IF($D391="V02",cad!$D$33,cad!$E$33)))</f>
        <v/>
      </c>
      <c r="K391" t="str">
        <f>IF($A391="","",IF($D391="V01",cad!$C$34,IF($D391="V02",cad!$D$34,cad!$E$34)))</f>
        <v/>
      </c>
      <c r="L391" t="str">
        <f>IF($A391="","",IF($D391="V01",cad!$C$35,IF($D391="V02",cad!$D$35,cad!$E$35)))</f>
        <v/>
      </c>
      <c r="M391" t="str">
        <f>IF($A391="","",IF($D391="V01",cad!$C$36,IF($D391="V02",cad!$D$36,cad!$E$36)))</f>
        <v/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 t="str">
        <f>IF($A392="","",IF($D392="V01",cad!$C$23,IF($D392="V02",cad!$D$23,cad!$E$23)))</f>
        <v/>
      </c>
      <c r="H392" t="str">
        <f>IF($A392="","",IF($D392="V01",cad!$C$24,IF($D392="V02",cad!$D$24,cad!$E$24)))</f>
        <v/>
      </c>
      <c r="I392" t="str">
        <f>IF($A392="","",IF($D392="V01",cad!$C$32,IF($D392="V02",cad!$D$32,cad!$E$32)))</f>
        <v/>
      </c>
      <c r="J392" t="str">
        <f>IF($A392="","",IF($D392="V01",cad!$C$33,IF($D392="V02",cad!$D$33,cad!$E$33)))</f>
        <v/>
      </c>
      <c r="K392" t="str">
        <f>IF($A392="","",IF($D392="V01",cad!$C$34,IF($D392="V02",cad!$D$34,cad!$E$34)))</f>
        <v/>
      </c>
      <c r="L392" t="str">
        <f>IF($A392="","",IF($D392="V01",cad!$C$35,IF($D392="V02",cad!$D$35,cad!$E$35)))</f>
        <v/>
      </c>
      <c r="M392" t="str">
        <f>IF($A392="","",IF($D392="V01",cad!$C$36,IF($D392="V02",cad!$D$36,cad!$E$36)))</f>
        <v/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 t="str">
        <f>IF($A393="","",IF($D393="V01",cad!$C$23,IF($D393="V02",cad!$D$23,cad!$E$23)))</f>
        <v/>
      </c>
      <c r="H393" t="str">
        <f>IF($A393="","",IF($D393="V01",cad!$C$24,IF($D393="V02",cad!$D$24,cad!$E$24)))</f>
        <v/>
      </c>
      <c r="I393" t="str">
        <f>IF($A393="","",IF($D393="V01",cad!$C$32,IF($D393="V02",cad!$D$32,cad!$E$32)))</f>
        <v/>
      </c>
      <c r="J393" t="str">
        <f>IF($A393="","",IF($D393="V01",cad!$C$33,IF($D393="V02",cad!$D$33,cad!$E$33)))</f>
        <v/>
      </c>
      <c r="K393" t="str">
        <f>IF($A393="","",IF($D393="V01",cad!$C$34,IF($D393="V02",cad!$D$34,cad!$E$34)))</f>
        <v/>
      </c>
      <c r="L393" t="str">
        <f>IF($A393="","",IF($D393="V01",cad!$C$35,IF($D393="V02",cad!$D$35,cad!$E$35)))</f>
        <v/>
      </c>
      <c r="M393" t="str">
        <f>IF($A393="","",IF($D393="V01",cad!$C$36,IF($D393="V02",cad!$D$36,cad!$E$36)))</f>
        <v/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 t="str">
        <f>IF($A394="","",IF($D394="V01",cad!$C$23,IF($D394="V02",cad!$D$23,cad!$E$23)))</f>
        <v/>
      </c>
      <c r="H394" t="str">
        <f>IF($A394="","",IF($D394="V01",cad!$C$24,IF($D394="V02",cad!$D$24,cad!$E$24)))</f>
        <v/>
      </c>
      <c r="I394" t="str">
        <f>IF($A394="","",IF($D394="V01",cad!$C$32,IF($D394="V02",cad!$D$32,cad!$E$32)))</f>
        <v/>
      </c>
      <c r="J394" t="str">
        <f>IF($A394="","",IF($D394="V01",cad!$C$33,IF($D394="V02",cad!$D$33,cad!$E$33)))</f>
        <v/>
      </c>
      <c r="K394" t="str">
        <f>IF($A394="","",IF($D394="V01",cad!$C$34,IF($D394="V02",cad!$D$34,cad!$E$34)))</f>
        <v/>
      </c>
      <c r="L394" t="str">
        <f>IF($A394="","",IF($D394="V01",cad!$C$35,IF($D394="V02",cad!$D$35,cad!$E$35)))</f>
        <v/>
      </c>
      <c r="M394" t="str">
        <f>IF($A394="","",IF($D394="V01",cad!$C$36,IF($D394="V02",cad!$D$36,cad!$E$36)))</f>
        <v/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 t="str">
        <f>IF($A395="","",IF($D395="V01",cad!$C$23,IF($D395="V02",cad!$D$23,cad!$E$23)))</f>
        <v/>
      </c>
      <c r="H395" t="str">
        <f>IF($A395="","",IF($D395="V01",cad!$C$24,IF($D395="V02",cad!$D$24,cad!$E$24)))</f>
        <v/>
      </c>
      <c r="I395" t="str">
        <f>IF($A395="","",IF($D395="V01",cad!$C$32,IF($D395="V02",cad!$D$32,cad!$E$32)))</f>
        <v/>
      </c>
      <c r="J395" t="str">
        <f>IF($A395="","",IF($D395="V01",cad!$C$33,IF($D395="V02",cad!$D$33,cad!$E$33)))</f>
        <v/>
      </c>
      <c r="K395" t="str">
        <f>IF($A395="","",IF($D395="V01",cad!$C$34,IF($D395="V02",cad!$D$34,cad!$E$34)))</f>
        <v/>
      </c>
      <c r="L395" t="str">
        <f>IF($A395="","",IF($D395="V01",cad!$C$35,IF($D395="V02",cad!$D$35,cad!$E$35)))</f>
        <v/>
      </c>
      <c r="M395" t="str">
        <f>IF($A395="","",IF($D395="V01",cad!$C$36,IF($D395="V02",cad!$D$36,cad!$E$36)))</f>
        <v/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 t="str">
        <f>IF($A396="","",IF($D396="V01",cad!$C$23,IF($D396="V02",cad!$D$23,cad!$E$23)))</f>
        <v/>
      </c>
      <c r="H396" t="str">
        <f>IF($A396="","",IF($D396="V01",cad!$C$24,IF($D396="V02",cad!$D$24,cad!$E$24)))</f>
        <v/>
      </c>
      <c r="I396" t="str">
        <f>IF($A396="","",IF($D396="V01",cad!$C$32,IF($D396="V02",cad!$D$32,cad!$E$32)))</f>
        <v/>
      </c>
      <c r="J396" t="str">
        <f>IF($A396="","",IF($D396="V01",cad!$C$33,IF($D396="V02",cad!$D$33,cad!$E$33)))</f>
        <v/>
      </c>
      <c r="K396" t="str">
        <f>IF($A396="","",IF($D396="V01",cad!$C$34,IF($D396="V02",cad!$D$34,cad!$E$34)))</f>
        <v/>
      </c>
      <c r="L396" t="str">
        <f>IF($A396="","",IF($D396="V01",cad!$C$35,IF($D396="V02",cad!$D$35,cad!$E$35)))</f>
        <v/>
      </c>
      <c r="M396" t="str">
        <f>IF($A396="","",IF($D396="V01",cad!$C$36,IF($D396="V02",cad!$D$36,cad!$E$36)))</f>
        <v/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 t="str">
        <f>IF($A397="","",IF($D397="V01",cad!$C$23,IF($D397="V02",cad!$D$23,cad!$E$23)))</f>
        <v/>
      </c>
      <c r="H397" t="str">
        <f>IF($A397="","",IF($D397="V01",cad!$C$24,IF($D397="V02",cad!$D$24,cad!$E$24)))</f>
        <v/>
      </c>
      <c r="I397" t="str">
        <f>IF($A397="","",IF($D397="V01",cad!$C$32,IF($D397="V02",cad!$D$32,cad!$E$32)))</f>
        <v/>
      </c>
      <c r="J397" t="str">
        <f>IF($A397="","",IF($D397="V01",cad!$C$33,IF($D397="V02",cad!$D$33,cad!$E$33)))</f>
        <v/>
      </c>
      <c r="K397" t="str">
        <f>IF($A397="","",IF($D397="V01",cad!$C$34,IF($D397="V02",cad!$D$34,cad!$E$34)))</f>
        <v/>
      </c>
      <c r="L397" t="str">
        <f>IF($A397="","",IF($D397="V01",cad!$C$35,IF($D397="V02",cad!$D$35,cad!$E$35)))</f>
        <v/>
      </c>
      <c r="M397" t="str">
        <f>IF($A397="","",IF($D397="V01",cad!$C$36,IF($D397="V02",cad!$D$36,cad!$E$36)))</f>
        <v/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 t="str">
        <f>IF($A398="","",IF($D398="V01",cad!$C$23,IF($D398="V02",cad!$D$23,cad!$E$23)))</f>
        <v/>
      </c>
      <c r="H398" t="str">
        <f>IF($A398="","",IF($D398="V01",cad!$C$24,IF($D398="V02",cad!$D$24,cad!$E$24)))</f>
        <v/>
      </c>
      <c r="I398" t="str">
        <f>IF($A398="","",IF($D398="V01",cad!$C$32,IF($D398="V02",cad!$D$32,cad!$E$32)))</f>
        <v/>
      </c>
      <c r="J398" t="str">
        <f>IF($A398="","",IF($D398="V01",cad!$C$33,IF($D398="V02",cad!$D$33,cad!$E$33)))</f>
        <v/>
      </c>
      <c r="K398" t="str">
        <f>IF($A398="","",IF($D398="V01",cad!$C$34,IF($D398="V02",cad!$D$34,cad!$E$34)))</f>
        <v/>
      </c>
      <c r="L398" t="str">
        <f>IF($A398="","",IF($D398="V01",cad!$C$35,IF($D398="V02",cad!$D$35,cad!$E$35)))</f>
        <v/>
      </c>
      <c r="M398" t="str">
        <f>IF($A398="","",IF($D398="V01",cad!$C$36,IF($D398="V02",cad!$D$36,cad!$E$36)))</f>
        <v/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 t="str">
        <f>IF($A399="","",IF($D399="V01",cad!$C$23,IF($D399="V02",cad!$D$23,cad!$E$23)))</f>
        <v/>
      </c>
      <c r="H399" t="str">
        <f>IF($A399="","",IF($D399="V01",cad!$C$24,IF($D399="V02",cad!$D$24,cad!$E$24)))</f>
        <v/>
      </c>
      <c r="I399" t="str">
        <f>IF($A399="","",IF($D399="V01",cad!$C$32,IF($D399="V02",cad!$D$32,cad!$E$32)))</f>
        <v/>
      </c>
      <c r="J399" t="str">
        <f>IF($A399="","",IF($D399="V01",cad!$C$33,IF($D399="V02",cad!$D$33,cad!$E$33)))</f>
        <v/>
      </c>
      <c r="K399" t="str">
        <f>IF($A399="","",IF($D399="V01",cad!$C$34,IF($D399="V02",cad!$D$34,cad!$E$34)))</f>
        <v/>
      </c>
      <c r="L399" t="str">
        <f>IF($A399="","",IF($D399="V01",cad!$C$35,IF($D399="V02",cad!$D$35,cad!$E$35)))</f>
        <v/>
      </c>
      <c r="M399" t="str">
        <f>IF($A399="","",IF($D399="V01",cad!$C$36,IF($D399="V02",cad!$D$36,cad!$E$36)))</f>
        <v/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 t="str">
        <f>IF($A400="","",IF($D400="V01",cad!$C$23,IF($D400="V02",cad!$D$23,cad!$E$23)))</f>
        <v/>
      </c>
      <c r="H400" t="str">
        <f>IF($A400="","",IF($D400="V01",cad!$C$24,IF($D400="V02",cad!$D$24,cad!$E$24)))</f>
        <v/>
      </c>
      <c r="I400" t="str">
        <f>IF($A400="","",IF($D400="V01",cad!$C$32,IF($D400="V02",cad!$D$32,cad!$E$32)))</f>
        <v/>
      </c>
      <c r="J400" t="str">
        <f>IF($A400="","",IF($D400="V01",cad!$C$33,IF($D400="V02",cad!$D$33,cad!$E$33)))</f>
        <v/>
      </c>
      <c r="K400" t="str">
        <f>IF($A400="","",IF($D400="V01",cad!$C$34,IF($D400="V02",cad!$D$34,cad!$E$34)))</f>
        <v/>
      </c>
      <c r="L400" t="str">
        <f>IF($A400="","",IF($D400="V01",cad!$C$35,IF($D400="V02",cad!$D$35,cad!$E$35)))</f>
        <v/>
      </c>
      <c r="M400" t="str">
        <f>IF($A400="","",IF($D400="V01",cad!$C$36,IF($D400="V02",cad!$D$36,cad!$E$36)))</f>
        <v/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 t="str">
        <f>IF($A401="","",IF($D401="V01",cad!$C$23,IF($D401="V02",cad!$D$23,cad!$E$23)))</f>
        <v/>
      </c>
      <c r="H401" t="str">
        <f>IF($A401="","",IF($D401="V01",cad!$C$24,IF($D401="V02",cad!$D$24,cad!$E$24)))</f>
        <v/>
      </c>
      <c r="I401" t="str">
        <f>IF($A401="","",IF($D401="V01",cad!$C$32,IF($D401="V02",cad!$D$32,cad!$E$32)))</f>
        <v/>
      </c>
      <c r="J401" t="str">
        <f>IF($A401="","",IF($D401="V01",cad!$C$33,IF($D401="V02",cad!$D$33,cad!$E$33)))</f>
        <v/>
      </c>
      <c r="K401" t="str">
        <f>IF($A401="","",IF($D401="V01",cad!$C$34,IF($D401="V02",cad!$D$34,cad!$E$34)))</f>
        <v/>
      </c>
      <c r="L401" t="str">
        <f>IF($A401="","",IF($D401="V01",cad!$C$35,IF($D401="V02",cad!$D$35,cad!$E$35)))</f>
        <v/>
      </c>
      <c r="M401" t="str">
        <f>IF($A401="","",IF($D401="V01",cad!$C$36,IF($D401="V02",cad!$D$36,cad!$E$36)))</f>
        <v/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 t="str">
        <f>IF($A402="","",IF($D402="V01",cad!$C$23,IF($D402="V02",cad!$D$23,cad!$E$23)))</f>
        <v/>
      </c>
      <c r="H402" t="str">
        <f>IF($A402="","",IF($D402="V01",cad!$C$24,IF($D402="V02",cad!$D$24,cad!$E$24)))</f>
        <v/>
      </c>
      <c r="I402" t="str">
        <f>IF($A402="","",IF($D402="V01",cad!$C$32,IF($D402="V02",cad!$D$32,cad!$E$32)))</f>
        <v/>
      </c>
      <c r="J402" t="str">
        <f>IF($A402="","",IF($D402="V01",cad!$C$33,IF($D402="V02",cad!$D$33,cad!$E$33)))</f>
        <v/>
      </c>
      <c r="K402" t="str">
        <f>IF($A402="","",IF($D402="V01",cad!$C$34,IF($D402="V02",cad!$D$34,cad!$E$34)))</f>
        <v/>
      </c>
      <c r="L402" t="str">
        <f>IF($A402="","",IF($D402="V01",cad!$C$35,IF($D402="V02",cad!$D$35,cad!$E$35)))</f>
        <v/>
      </c>
      <c r="M402" t="str">
        <f>IF($A402="","",IF($D402="V01",cad!$C$36,IF($D402="V02",cad!$D$36,cad!$E$36)))</f>
        <v/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 t="str">
        <f>IF($A403="","",IF($D403="V01",cad!$C$23,IF($D403="V02",cad!$D$23,cad!$E$23)))</f>
        <v/>
      </c>
      <c r="H403" t="str">
        <f>IF($A403="","",IF($D403="V01",cad!$C$24,IF($D403="V02",cad!$D$24,cad!$E$24)))</f>
        <v/>
      </c>
      <c r="I403" t="str">
        <f>IF($A403="","",IF($D403="V01",cad!$C$32,IF($D403="V02",cad!$D$32,cad!$E$32)))</f>
        <v/>
      </c>
      <c r="J403" t="str">
        <f>IF($A403="","",IF($D403="V01",cad!$C$33,IF($D403="V02",cad!$D$33,cad!$E$33)))</f>
        <v/>
      </c>
      <c r="K403" t="str">
        <f>IF($A403="","",IF($D403="V01",cad!$C$34,IF($D403="V02",cad!$D$34,cad!$E$34)))</f>
        <v/>
      </c>
      <c r="L403" t="str">
        <f>IF($A403="","",IF($D403="V01",cad!$C$35,IF($D403="V02",cad!$D$35,cad!$E$35)))</f>
        <v/>
      </c>
      <c r="M403" t="str">
        <f>IF($A403="","",IF($D403="V01",cad!$C$36,IF($D403="V02",cad!$D$36,cad!$E$36)))</f>
        <v/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 t="str">
        <f>IF($A404="","",IF($D404="V01",cad!$C$23,IF($D404="V02",cad!$D$23,cad!$E$23)))</f>
        <v/>
      </c>
      <c r="H404" t="str">
        <f>IF($A404="","",IF($D404="V01",cad!$C$24,IF($D404="V02",cad!$D$24,cad!$E$24)))</f>
        <v/>
      </c>
      <c r="I404" t="str">
        <f>IF($A404="","",IF($D404="V01",cad!$C$32,IF($D404="V02",cad!$D$32,cad!$E$32)))</f>
        <v/>
      </c>
      <c r="J404" t="str">
        <f>IF($A404="","",IF($D404="V01",cad!$C$33,IF($D404="V02",cad!$D$33,cad!$E$33)))</f>
        <v/>
      </c>
      <c r="K404" t="str">
        <f>IF($A404="","",IF($D404="V01",cad!$C$34,IF($D404="V02",cad!$D$34,cad!$E$34)))</f>
        <v/>
      </c>
      <c r="L404" t="str">
        <f>IF($A404="","",IF($D404="V01",cad!$C$35,IF($D404="V02",cad!$D$35,cad!$E$35)))</f>
        <v/>
      </c>
      <c r="M404" t="str">
        <f>IF($A404="","",IF($D404="V01",cad!$C$36,IF($D404="V02",cad!$D$36,cad!$E$36)))</f>
        <v/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 t="str">
        <f>IF($A405="","",IF($D405="V01",cad!$C$23,IF($D405="V02",cad!$D$23,cad!$E$23)))</f>
        <v/>
      </c>
      <c r="H405" t="str">
        <f>IF($A405="","",IF($D405="V01",cad!$C$24,IF($D405="V02",cad!$D$24,cad!$E$24)))</f>
        <v/>
      </c>
      <c r="I405" t="str">
        <f>IF($A405="","",IF($D405="V01",cad!$C$32,IF($D405="V02",cad!$D$32,cad!$E$32)))</f>
        <v/>
      </c>
      <c r="J405" t="str">
        <f>IF($A405="","",IF($D405="V01",cad!$C$33,IF($D405="V02",cad!$D$33,cad!$E$33)))</f>
        <v/>
      </c>
      <c r="K405" t="str">
        <f>IF($A405="","",IF($D405="V01",cad!$C$34,IF($D405="V02",cad!$D$34,cad!$E$34)))</f>
        <v/>
      </c>
      <c r="L405" t="str">
        <f>IF($A405="","",IF($D405="V01",cad!$C$35,IF($D405="V02",cad!$D$35,cad!$E$35)))</f>
        <v/>
      </c>
      <c r="M405" t="str">
        <f>IF($A405="","",IF($D405="V01",cad!$C$36,IF($D405="V02",cad!$D$36,cad!$E$36)))</f>
        <v/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 t="str">
        <f>IF($A406="","",IF($D406="V01",cad!$C$23,IF($D406="V02",cad!$D$23,cad!$E$23)))</f>
        <v/>
      </c>
      <c r="H406" t="str">
        <f>IF($A406="","",IF($D406="V01",cad!$C$24,IF($D406="V02",cad!$D$24,cad!$E$24)))</f>
        <v/>
      </c>
      <c r="I406" t="str">
        <f>IF($A406="","",IF($D406="V01",cad!$C$32,IF($D406="V02",cad!$D$32,cad!$E$32)))</f>
        <v/>
      </c>
      <c r="J406" t="str">
        <f>IF($A406="","",IF($D406="V01",cad!$C$33,IF($D406="V02",cad!$D$33,cad!$E$33)))</f>
        <v/>
      </c>
      <c r="K406" t="str">
        <f>IF($A406="","",IF($D406="V01",cad!$C$34,IF($D406="V02",cad!$D$34,cad!$E$34)))</f>
        <v/>
      </c>
      <c r="L406" t="str">
        <f>IF($A406="","",IF($D406="V01",cad!$C$35,IF($D406="V02",cad!$D$35,cad!$E$35)))</f>
        <v/>
      </c>
      <c r="M406" t="str">
        <f>IF($A406="","",IF($D406="V01",cad!$C$36,IF($D406="V02",cad!$D$36,cad!$E$36)))</f>
        <v/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 t="str">
        <f>IF($A407="","",IF($D407="V01",cad!$C$23,IF($D407="V02",cad!$D$23,cad!$E$23)))</f>
        <v/>
      </c>
      <c r="H407" t="str">
        <f>IF($A407="","",IF($D407="V01",cad!$C$24,IF($D407="V02",cad!$D$24,cad!$E$24)))</f>
        <v/>
      </c>
      <c r="I407" t="str">
        <f>IF($A407="","",IF($D407="V01",cad!$C$32,IF($D407="V02",cad!$D$32,cad!$E$32)))</f>
        <v/>
      </c>
      <c r="J407" t="str">
        <f>IF($A407="","",IF($D407="V01",cad!$C$33,IF($D407="V02",cad!$D$33,cad!$E$33)))</f>
        <v/>
      </c>
      <c r="K407" t="str">
        <f>IF($A407="","",IF($D407="V01",cad!$C$34,IF($D407="V02",cad!$D$34,cad!$E$34)))</f>
        <v/>
      </c>
      <c r="L407" t="str">
        <f>IF($A407="","",IF($D407="V01",cad!$C$35,IF($D407="V02",cad!$D$35,cad!$E$35)))</f>
        <v/>
      </c>
      <c r="M407" t="str">
        <f>IF($A407="","",IF($D407="V01",cad!$C$36,IF($D407="V02",cad!$D$36,cad!$E$36)))</f>
        <v/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 t="str">
        <f>IF($A408="","",IF($D408="V01",cad!$C$23,IF($D408="V02",cad!$D$23,cad!$E$23)))</f>
        <v/>
      </c>
      <c r="H408" t="str">
        <f>IF($A408="","",IF($D408="V01",cad!$C$24,IF($D408="V02",cad!$D$24,cad!$E$24)))</f>
        <v/>
      </c>
      <c r="I408" t="str">
        <f>IF($A408="","",IF($D408="V01",cad!$C$32,IF($D408="V02",cad!$D$32,cad!$E$32)))</f>
        <v/>
      </c>
      <c r="J408" t="str">
        <f>IF($A408="","",IF($D408="V01",cad!$C$33,IF($D408="V02",cad!$D$33,cad!$E$33)))</f>
        <v/>
      </c>
      <c r="K408" t="str">
        <f>IF($A408="","",IF($D408="V01",cad!$C$34,IF($D408="V02",cad!$D$34,cad!$E$34)))</f>
        <v/>
      </c>
      <c r="L408" t="str">
        <f>IF($A408="","",IF($D408="V01",cad!$C$35,IF($D408="V02",cad!$D$35,cad!$E$35)))</f>
        <v/>
      </c>
      <c r="M408" t="str">
        <f>IF($A408="","",IF($D408="V01",cad!$C$36,IF($D408="V02",cad!$D$36,cad!$E$36)))</f>
        <v/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 t="str">
        <f>IF($A409="","",IF($D409="V01",cad!$C$23,IF($D409="V02",cad!$D$23,cad!$E$23)))</f>
        <v/>
      </c>
      <c r="H409" t="str">
        <f>IF($A409="","",IF($D409="V01",cad!$C$24,IF($D409="V02",cad!$D$24,cad!$E$24)))</f>
        <v/>
      </c>
      <c r="I409" t="str">
        <f>IF($A409="","",IF($D409="V01",cad!$C$32,IF($D409="V02",cad!$D$32,cad!$E$32)))</f>
        <v/>
      </c>
      <c r="J409" t="str">
        <f>IF($A409="","",IF($D409="V01",cad!$C$33,IF($D409="V02",cad!$D$33,cad!$E$33)))</f>
        <v/>
      </c>
      <c r="K409" t="str">
        <f>IF($A409="","",IF($D409="V01",cad!$C$34,IF($D409="V02",cad!$D$34,cad!$E$34)))</f>
        <v/>
      </c>
      <c r="L409" t="str">
        <f>IF($A409="","",IF($D409="V01",cad!$C$35,IF($D409="V02",cad!$D$35,cad!$E$35)))</f>
        <v/>
      </c>
      <c r="M409" t="str">
        <f>IF($A409="","",IF($D409="V01",cad!$C$36,IF($D409="V02",cad!$D$36,cad!$E$36)))</f>
        <v/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 t="str">
        <f>IF($A410="","",IF($D410="V01",cad!$C$23,IF($D410="V02",cad!$D$23,cad!$E$23)))</f>
        <v/>
      </c>
      <c r="H410" t="str">
        <f>IF($A410="","",IF($D410="V01",cad!$C$24,IF($D410="V02",cad!$D$24,cad!$E$24)))</f>
        <v/>
      </c>
      <c r="I410" t="str">
        <f>IF($A410="","",IF($D410="V01",cad!$C$32,IF($D410="V02",cad!$D$32,cad!$E$32)))</f>
        <v/>
      </c>
      <c r="J410" t="str">
        <f>IF($A410="","",IF($D410="V01",cad!$C$33,IF($D410="V02",cad!$D$33,cad!$E$33)))</f>
        <v/>
      </c>
      <c r="K410" t="str">
        <f>IF($A410="","",IF($D410="V01",cad!$C$34,IF($D410="V02",cad!$D$34,cad!$E$34)))</f>
        <v/>
      </c>
      <c r="L410" t="str">
        <f>IF($A410="","",IF($D410="V01",cad!$C$35,IF($D410="V02",cad!$D$35,cad!$E$35)))</f>
        <v/>
      </c>
      <c r="M410" t="str">
        <f>IF($A410="","",IF($D410="V01",cad!$C$36,IF($D410="V02",cad!$D$36,cad!$E$36)))</f>
        <v/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 t="str">
        <f>IF($A411="","",IF($D411="V01",cad!$C$23,IF($D411="V02",cad!$D$23,cad!$E$23)))</f>
        <v/>
      </c>
      <c r="H411" t="str">
        <f>IF($A411="","",IF($D411="V01",cad!$C$24,IF($D411="V02",cad!$D$24,cad!$E$24)))</f>
        <v/>
      </c>
      <c r="I411" t="str">
        <f>IF($A411="","",IF($D411="V01",cad!$C$32,IF($D411="V02",cad!$D$32,cad!$E$32)))</f>
        <v/>
      </c>
      <c r="J411" t="str">
        <f>IF($A411="","",IF($D411="V01",cad!$C$33,IF($D411="V02",cad!$D$33,cad!$E$33)))</f>
        <v/>
      </c>
      <c r="K411" t="str">
        <f>IF($A411="","",IF($D411="V01",cad!$C$34,IF($D411="V02",cad!$D$34,cad!$E$34)))</f>
        <v/>
      </c>
      <c r="L411" t="str">
        <f>IF($A411="","",IF($D411="V01",cad!$C$35,IF($D411="V02",cad!$D$35,cad!$E$35)))</f>
        <v/>
      </c>
      <c r="M411" t="str">
        <f>IF($A411="","",IF($D411="V01",cad!$C$36,IF($D411="V02",cad!$D$36,cad!$E$36)))</f>
        <v/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 t="str">
        <f>IF($A412="","",IF($D412="V01",cad!$C$23,IF($D412="V02",cad!$D$23,cad!$E$23)))</f>
        <v/>
      </c>
      <c r="H412" t="str">
        <f>IF($A412="","",IF($D412="V01",cad!$C$24,IF($D412="V02",cad!$D$24,cad!$E$24)))</f>
        <v/>
      </c>
      <c r="I412" t="str">
        <f>IF($A412="","",IF($D412="V01",cad!$C$32,IF($D412="V02",cad!$D$32,cad!$E$32)))</f>
        <v/>
      </c>
      <c r="J412" t="str">
        <f>IF($A412="","",IF($D412="V01",cad!$C$33,IF($D412="V02",cad!$D$33,cad!$E$33)))</f>
        <v/>
      </c>
      <c r="K412" t="str">
        <f>IF($A412="","",IF($D412="V01",cad!$C$34,IF($D412="V02",cad!$D$34,cad!$E$34)))</f>
        <v/>
      </c>
      <c r="L412" t="str">
        <f>IF($A412="","",IF($D412="V01",cad!$C$35,IF($D412="V02",cad!$D$35,cad!$E$35)))</f>
        <v/>
      </c>
      <c r="M412" t="str">
        <f>IF($A412="","",IF($D412="V01",cad!$C$36,IF($D412="V02",cad!$D$36,cad!$E$36)))</f>
        <v/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 t="str">
        <f>IF($A413="","",IF($D413="V01",cad!$C$23,IF($D413="V02",cad!$D$23,cad!$E$23)))</f>
        <v/>
      </c>
      <c r="H413" t="str">
        <f>IF($A413="","",IF($D413="V01",cad!$C$24,IF($D413="V02",cad!$D$24,cad!$E$24)))</f>
        <v/>
      </c>
      <c r="I413" t="str">
        <f>IF($A413="","",IF($D413="V01",cad!$C$32,IF($D413="V02",cad!$D$32,cad!$E$32)))</f>
        <v/>
      </c>
      <c r="J413" t="str">
        <f>IF($A413="","",IF($D413="V01",cad!$C$33,IF($D413="V02",cad!$D$33,cad!$E$33)))</f>
        <v/>
      </c>
      <c r="K413" t="str">
        <f>IF($A413="","",IF($D413="V01",cad!$C$34,IF($D413="V02",cad!$D$34,cad!$E$34)))</f>
        <v/>
      </c>
      <c r="L413" t="str">
        <f>IF($A413="","",IF($D413="V01",cad!$C$35,IF($D413="V02",cad!$D$35,cad!$E$35)))</f>
        <v/>
      </c>
      <c r="M413" t="str">
        <f>IF($A413="","",IF($D413="V01",cad!$C$36,IF($D413="V02",cad!$D$36,cad!$E$36)))</f>
        <v/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 t="str">
        <f>IF($A414="","",IF($D414="V01",cad!$C$23,IF($D414="V02",cad!$D$23,cad!$E$23)))</f>
        <v/>
      </c>
      <c r="H414" t="str">
        <f>IF($A414="","",IF($D414="V01",cad!$C$24,IF($D414="V02",cad!$D$24,cad!$E$24)))</f>
        <v/>
      </c>
      <c r="I414" t="str">
        <f>IF($A414="","",IF($D414="V01",cad!$C$32,IF($D414="V02",cad!$D$32,cad!$E$32)))</f>
        <v/>
      </c>
      <c r="J414" t="str">
        <f>IF($A414="","",IF($D414="V01",cad!$C$33,IF($D414="V02",cad!$D$33,cad!$E$33)))</f>
        <v/>
      </c>
      <c r="K414" t="str">
        <f>IF($A414="","",IF($D414="V01",cad!$C$34,IF($D414="V02",cad!$D$34,cad!$E$34)))</f>
        <v/>
      </c>
      <c r="L414" t="str">
        <f>IF($A414="","",IF($D414="V01",cad!$C$35,IF($D414="V02",cad!$D$35,cad!$E$35)))</f>
        <v/>
      </c>
      <c r="M414" t="str">
        <f>IF($A414="","",IF($D414="V01",cad!$C$36,IF($D414="V02",cad!$D$36,cad!$E$36)))</f>
        <v/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 t="str">
        <f>IF($A415="","",IF($D415="V01",cad!$C$23,IF($D415="V02",cad!$D$23,cad!$E$23)))</f>
        <v/>
      </c>
      <c r="H415" t="str">
        <f>IF($A415="","",IF($D415="V01",cad!$C$24,IF($D415="V02",cad!$D$24,cad!$E$24)))</f>
        <v/>
      </c>
      <c r="I415" t="str">
        <f>IF($A415="","",IF($D415="V01",cad!$C$32,IF($D415="V02",cad!$D$32,cad!$E$32)))</f>
        <v/>
      </c>
      <c r="J415" t="str">
        <f>IF($A415="","",IF($D415="V01",cad!$C$33,IF($D415="V02",cad!$D$33,cad!$E$33)))</f>
        <v/>
      </c>
      <c r="K415" t="str">
        <f>IF($A415="","",IF($D415="V01",cad!$C$34,IF($D415="V02",cad!$D$34,cad!$E$34)))</f>
        <v/>
      </c>
      <c r="L415" t="str">
        <f>IF($A415="","",IF($D415="V01",cad!$C$35,IF($D415="V02",cad!$D$35,cad!$E$35)))</f>
        <v/>
      </c>
      <c r="M415" t="str">
        <f>IF($A415="","",IF($D415="V01",cad!$C$36,IF($D415="V02",cad!$D$36,cad!$E$36)))</f>
        <v/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 t="str">
        <f>IF($A416="","",IF($D416="V01",cad!$C$23,IF($D416="V02",cad!$D$23,cad!$E$23)))</f>
        <v/>
      </c>
      <c r="H416" t="str">
        <f>IF($A416="","",IF($D416="V01",cad!$C$24,IF($D416="V02",cad!$D$24,cad!$E$24)))</f>
        <v/>
      </c>
      <c r="I416" t="str">
        <f>IF($A416="","",IF($D416="V01",cad!$C$32,IF($D416="V02",cad!$D$32,cad!$E$32)))</f>
        <v/>
      </c>
      <c r="J416" t="str">
        <f>IF($A416="","",IF($D416="V01",cad!$C$33,IF($D416="V02",cad!$D$33,cad!$E$33)))</f>
        <v/>
      </c>
      <c r="K416" t="str">
        <f>IF($A416="","",IF($D416="V01",cad!$C$34,IF($D416="V02",cad!$D$34,cad!$E$34)))</f>
        <v/>
      </c>
      <c r="L416" t="str">
        <f>IF($A416="","",IF($D416="V01",cad!$C$35,IF($D416="V02",cad!$D$35,cad!$E$35)))</f>
        <v/>
      </c>
      <c r="M416" t="str">
        <f>IF($A416="","",IF($D416="V01",cad!$C$36,IF($D416="V02",cad!$D$36,cad!$E$36)))</f>
        <v/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 t="str">
        <f>IF($A417="","",IF($D417="V01",cad!$C$23,IF($D417="V02",cad!$D$23,cad!$E$23)))</f>
        <v/>
      </c>
      <c r="H417" t="str">
        <f>IF($A417="","",IF($D417="V01",cad!$C$24,IF($D417="V02",cad!$D$24,cad!$E$24)))</f>
        <v/>
      </c>
      <c r="I417" t="str">
        <f>IF($A417="","",IF($D417="V01",cad!$C$32,IF($D417="V02",cad!$D$32,cad!$E$32)))</f>
        <v/>
      </c>
      <c r="J417" t="str">
        <f>IF($A417="","",IF($D417="V01",cad!$C$33,IF($D417="V02",cad!$D$33,cad!$E$33)))</f>
        <v/>
      </c>
      <c r="K417" t="str">
        <f>IF($A417="","",IF($D417="V01",cad!$C$34,IF($D417="V02",cad!$D$34,cad!$E$34)))</f>
        <v/>
      </c>
      <c r="L417" t="str">
        <f>IF($A417="","",IF($D417="V01",cad!$C$35,IF($D417="V02",cad!$D$35,cad!$E$35)))</f>
        <v/>
      </c>
      <c r="M417" t="str">
        <f>IF($A417="","",IF($D417="V01",cad!$C$36,IF($D417="V02",cad!$D$36,cad!$E$36)))</f>
        <v/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 t="str">
        <f>IF($A418="","",IF($D418="V01",cad!$C$23,IF($D418="V02",cad!$D$23,cad!$E$23)))</f>
        <v/>
      </c>
      <c r="H418" t="str">
        <f>IF($A418="","",IF($D418="V01",cad!$C$24,IF($D418="V02",cad!$D$24,cad!$E$24)))</f>
        <v/>
      </c>
      <c r="I418" t="str">
        <f>IF($A418="","",IF($D418="V01",cad!$C$32,IF($D418="V02",cad!$D$32,cad!$E$32)))</f>
        <v/>
      </c>
      <c r="J418" t="str">
        <f>IF($A418="","",IF($D418="V01",cad!$C$33,IF($D418="V02",cad!$D$33,cad!$E$33)))</f>
        <v/>
      </c>
      <c r="K418" t="str">
        <f>IF($A418="","",IF($D418="V01",cad!$C$34,IF($D418="V02",cad!$D$34,cad!$E$34)))</f>
        <v/>
      </c>
      <c r="L418" t="str">
        <f>IF($A418="","",IF($D418="V01",cad!$C$35,IF($D418="V02",cad!$D$35,cad!$E$35)))</f>
        <v/>
      </c>
      <c r="M418" t="str">
        <f>IF($A418="","",IF($D418="V01",cad!$C$36,IF($D418="V02",cad!$D$36,cad!$E$36)))</f>
        <v/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 t="str">
        <f>IF($A419="","",IF($D419="V01",cad!$C$23,IF($D419="V02",cad!$D$23,cad!$E$23)))</f>
        <v/>
      </c>
      <c r="H419" t="str">
        <f>IF($A419="","",IF($D419="V01",cad!$C$24,IF($D419="V02",cad!$D$24,cad!$E$24)))</f>
        <v/>
      </c>
      <c r="I419" t="str">
        <f>IF($A419="","",IF($D419="V01",cad!$C$32,IF($D419="V02",cad!$D$32,cad!$E$32)))</f>
        <v/>
      </c>
      <c r="J419" t="str">
        <f>IF($A419="","",IF($D419="V01",cad!$C$33,IF($D419="V02",cad!$D$33,cad!$E$33)))</f>
        <v/>
      </c>
      <c r="K419" t="str">
        <f>IF($A419="","",IF($D419="V01",cad!$C$34,IF($D419="V02",cad!$D$34,cad!$E$34)))</f>
        <v/>
      </c>
      <c r="L419" t="str">
        <f>IF($A419="","",IF($D419="V01",cad!$C$35,IF($D419="V02",cad!$D$35,cad!$E$35)))</f>
        <v/>
      </c>
      <c r="M419" t="str">
        <f>IF($A419="","",IF($D419="V01",cad!$C$36,IF($D419="V02",cad!$D$36,cad!$E$36)))</f>
        <v/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 t="str">
        <f>IF($A420="","",IF($D420="V01",cad!$C$23,IF($D420="V02",cad!$D$23,cad!$E$23)))</f>
        <v/>
      </c>
      <c r="H420" t="str">
        <f>IF($A420="","",IF($D420="V01",cad!$C$24,IF($D420="V02",cad!$D$24,cad!$E$24)))</f>
        <v/>
      </c>
      <c r="I420" t="str">
        <f>IF($A420="","",IF($D420="V01",cad!$C$32,IF($D420="V02",cad!$D$32,cad!$E$32)))</f>
        <v/>
      </c>
      <c r="J420" t="str">
        <f>IF($A420="","",IF($D420="V01",cad!$C$33,IF($D420="V02",cad!$D$33,cad!$E$33)))</f>
        <v/>
      </c>
      <c r="K420" t="str">
        <f>IF($A420="","",IF($D420="V01",cad!$C$34,IF($D420="V02",cad!$D$34,cad!$E$34)))</f>
        <v/>
      </c>
      <c r="L420" t="str">
        <f>IF($A420="","",IF($D420="V01",cad!$C$35,IF($D420="V02",cad!$D$35,cad!$E$35)))</f>
        <v/>
      </c>
      <c r="M420" t="str">
        <f>IF($A420="","",IF($D420="V01",cad!$C$36,IF($D420="V02",cad!$D$36,cad!$E$36)))</f>
        <v/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 t="str">
        <f>IF($A421="","",IF($D421="V01",cad!$C$23,IF($D421="V02",cad!$D$23,cad!$E$23)))</f>
        <v/>
      </c>
      <c r="H421" t="str">
        <f>IF($A421="","",IF($D421="V01",cad!$C$24,IF($D421="V02",cad!$D$24,cad!$E$24)))</f>
        <v/>
      </c>
      <c r="I421" t="str">
        <f>IF($A421="","",IF($D421="V01",cad!$C$32,IF($D421="V02",cad!$D$32,cad!$E$32)))</f>
        <v/>
      </c>
      <c r="J421" t="str">
        <f>IF($A421="","",IF($D421="V01",cad!$C$33,IF($D421="V02",cad!$D$33,cad!$E$33)))</f>
        <v/>
      </c>
      <c r="K421" t="str">
        <f>IF($A421="","",IF($D421="V01",cad!$C$34,IF($D421="V02",cad!$D$34,cad!$E$34)))</f>
        <v/>
      </c>
      <c r="L421" t="str">
        <f>IF($A421="","",IF($D421="V01",cad!$C$35,IF($D421="V02",cad!$D$35,cad!$E$35)))</f>
        <v/>
      </c>
      <c r="M421" t="str">
        <f>IF($A421="","",IF($D421="V01",cad!$C$36,IF($D421="V02",cad!$D$36,cad!$E$36)))</f>
        <v/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 t="str">
        <f>IF($A422="","",IF($D422="V01",cad!$C$23,IF($D422="V02",cad!$D$23,cad!$E$23)))</f>
        <v/>
      </c>
      <c r="H422" t="str">
        <f>IF($A422="","",IF($D422="V01",cad!$C$24,IF($D422="V02",cad!$D$24,cad!$E$24)))</f>
        <v/>
      </c>
      <c r="I422" t="str">
        <f>IF($A422="","",IF($D422="V01",cad!$C$32,IF($D422="V02",cad!$D$32,cad!$E$32)))</f>
        <v/>
      </c>
      <c r="J422" t="str">
        <f>IF($A422="","",IF($D422="V01",cad!$C$33,IF($D422="V02",cad!$D$33,cad!$E$33)))</f>
        <v/>
      </c>
      <c r="K422" t="str">
        <f>IF($A422="","",IF($D422="V01",cad!$C$34,IF($D422="V02",cad!$D$34,cad!$E$34)))</f>
        <v/>
      </c>
      <c r="L422" t="str">
        <f>IF($A422="","",IF($D422="V01",cad!$C$35,IF($D422="V02",cad!$D$35,cad!$E$35)))</f>
        <v/>
      </c>
      <c r="M422" t="str">
        <f>IF($A422="","",IF($D422="V01",cad!$C$36,IF($D422="V02",cad!$D$36,cad!$E$36)))</f>
        <v/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 t="str">
        <f>IF($A423="","",IF($D423="V01",cad!$C$23,IF($D423="V02",cad!$D$23,cad!$E$23)))</f>
        <v/>
      </c>
      <c r="H423" t="str">
        <f>IF($A423="","",IF($D423="V01",cad!$C$24,IF($D423="V02",cad!$D$24,cad!$E$24)))</f>
        <v/>
      </c>
      <c r="I423" t="str">
        <f>IF($A423="","",IF($D423="V01",cad!$C$32,IF($D423="V02",cad!$D$32,cad!$E$32)))</f>
        <v/>
      </c>
      <c r="J423" t="str">
        <f>IF($A423="","",IF($D423="V01",cad!$C$33,IF($D423="V02",cad!$D$33,cad!$E$33)))</f>
        <v/>
      </c>
      <c r="K423" t="str">
        <f>IF($A423="","",IF($D423="V01",cad!$C$34,IF($D423="V02",cad!$D$34,cad!$E$34)))</f>
        <v/>
      </c>
      <c r="L423" t="str">
        <f>IF($A423="","",IF($D423="V01",cad!$C$35,IF($D423="V02",cad!$D$35,cad!$E$35)))</f>
        <v/>
      </c>
      <c r="M423" t="str">
        <f>IF($A423="","",IF($D423="V01",cad!$C$36,IF($D423="V02",cad!$D$36,cad!$E$36)))</f>
        <v/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 t="str">
        <f>IF($A424="","",IF($D424="V01",cad!$C$23,IF($D424="V02",cad!$D$23,cad!$E$23)))</f>
        <v/>
      </c>
      <c r="H424" t="str">
        <f>IF($A424="","",IF($D424="V01",cad!$C$24,IF($D424="V02",cad!$D$24,cad!$E$24)))</f>
        <v/>
      </c>
      <c r="I424" t="str">
        <f>IF($A424="","",IF($D424="V01",cad!$C$32,IF($D424="V02",cad!$D$32,cad!$E$32)))</f>
        <v/>
      </c>
      <c r="J424" t="str">
        <f>IF($A424="","",IF($D424="V01",cad!$C$33,IF($D424="V02",cad!$D$33,cad!$E$33)))</f>
        <v/>
      </c>
      <c r="K424" t="str">
        <f>IF($A424="","",IF($D424="V01",cad!$C$34,IF($D424="V02",cad!$D$34,cad!$E$34)))</f>
        <v/>
      </c>
      <c r="L424" t="str">
        <f>IF($A424="","",IF($D424="V01",cad!$C$35,IF($D424="V02",cad!$D$35,cad!$E$35)))</f>
        <v/>
      </c>
      <c r="M424" t="str">
        <f>IF($A424="","",IF($D424="V01",cad!$C$36,IF($D424="V02",cad!$D$36,cad!$E$36)))</f>
        <v/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 t="str">
        <f>IF($A425="","",IF($D425="V01",cad!$C$23,IF($D425="V02",cad!$D$23,cad!$E$23)))</f>
        <v/>
      </c>
      <c r="H425" t="str">
        <f>IF($A425="","",IF($D425="V01",cad!$C$24,IF($D425="V02",cad!$D$24,cad!$E$24)))</f>
        <v/>
      </c>
      <c r="I425" t="str">
        <f>IF($A425="","",IF($D425="V01",cad!$C$32,IF($D425="V02",cad!$D$32,cad!$E$32)))</f>
        <v/>
      </c>
      <c r="J425" t="str">
        <f>IF($A425="","",IF($D425="V01",cad!$C$33,IF($D425="V02",cad!$D$33,cad!$E$33)))</f>
        <v/>
      </c>
      <c r="K425" t="str">
        <f>IF($A425="","",IF($D425="V01",cad!$C$34,IF($D425="V02",cad!$D$34,cad!$E$34)))</f>
        <v/>
      </c>
      <c r="L425" t="str">
        <f>IF($A425="","",IF($D425="V01",cad!$C$35,IF($D425="V02",cad!$D$35,cad!$E$35)))</f>
        <v/>
      </c>
      <c r="M425" t="str">
        <f>IF($A425="","",IF($D425="V01",cad!$C$36,IF($D425="V02",cad!$D$36,cad!$E$36)))</f>
        <v/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 t="str">
        <f>IF($A426="","",IF($D426="V01",cad!$C$23,IF($D426="V02",cad!$D$23,cad!$E$23)))</f>
        <v/>
      </c>
      <c r="H426" t="str">
        <f>IF($A426="","",IF($D426="V01",cad!$C$24,IF($D426="V02",cad!$D$24,cad!$E$24)))</f>
        <v/>
      </c>
      <c r="I426" t="str">
        <f>IF($A426="","",IF($D426="V01",cad!$C$32,IF($D426="V02",cad!$D$32,cad!$E$32)))</f>
        <v/>
      </c>
      <c r="J426" t="str">
        <f>IF($A426="","",IF($D426="V01",cad!$C$33,IF($D426="V02",cad!$D$33,cad!$E$33)))</f>
        <v/>
      </c>
      <c r="K426" t="str">
        <f>IF($A426="","",IF($D426="V01",cad!$C$34,IF($D426="V02",cad!$D$34,cad!$E$34)))</f>
        <v/>
      </c>
      <c r="L426" t="str">
        <f>IF($A426="","",IF($D426="V01",cad!$C$35,IF($D426="V02",cad!$D$35,cad!$E$35)))</f>
        <v/>
      </c>
      <c r="M426" t="str">
        <f>IF($A426="","",IF($D426="V01",cad!$C$36,IF($D426="V02",cad!$D$36,cad!$E$36)))</f>
        <v/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 t="str">
        <f>IF($A427="","",IF($D427="V01",cad!$C$23,IF($D427="V02",cad!$D$23,cad!$E$23)))</f>
        <v/>
      </c>
      <c r="H427" t="str">
        <f>IF($A427="","",IF($D427="V01",cad!$C$24,IF($D427="V02",cad!$D$24,cad!$E$24)))</f>
        <v/>
      </c>
      <c r="I427" t="str">
        <f>IF($A427="","",IF($D427="V01",cad!$C$32,IF($D427="V02",cad!$D$32,cad!$E$32)))</f>
        <v/>
      </c>
      <c r="J427" t="str">
        <f>IF($A427="","",IF($D427="V01",cad!$C$33,IF($D427="V02",cad!$D$33,cad!$E$33)))</f>
        <v/>
      </c>
      <c r="K427" t="str">
        <f>IF($A427="","",IF($D427="V01",cad!$C$34,IF($D427="V02",cad!$D$34,cad!$E$34)))</f>
        <v/>
      </c>
      <c r="L427" t="str">
        <f>IF($A427="","",IF($D427="V01",cad!$C$35,IF($D427="V02",cad!$D$35,cad!$E$35)))</f>
        <v/>
      </c>
      <c r="M427" t="str">
        <f>IF($A427="","",IF($D427="V01",cad!$C$36,IF($D427="V02",cad!$D$36,cad!$E$36)))</f>
        <v/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 t="str">
        <f>IF($A428="","",IF($D428="V01",cad!$C$23,IF($D428="V02",cad!$D$23,cad!$E$23)))</f>
        <v/>
      </c>
      <c r="H428" t="str">
        <f>IF($A428="","",IF($D428="V01",cad!$C$24,IF($D428="V02",cad!$D$24,cad!$E$24)))</f>
        <v/>
      </c>
      <c r="I428" t="str">
        <f>IF($A428="","",IF($D428="V01",cad!$C$32,IF($D428="V02",cad!$D$32,cad!$E$32)))</f>
        <v/>
      </c>
      <c r="J428" t="str">
        <f>IF($A428="","",IF($D428="V01",cad!$C$33,IF($D428="V02",cad!$D$33,cad!$E$33)))</f>
        <v/>
      </c>
      <c r="K428" t="str">
        <f>IF($A428="","",IF($D428="V01",cad!$C$34,IF($D428="V02",cad!$D$34,cad!$E$34)))</f>
        <v/>
      </c>
      <c r="L428" t="str">
        <f>IF($A428="","",IF($D428="V01",cad!$C$35,IF($D428="V02",cad!$D$35,cad!$E$35)))</f>
        <v/>
      </c>
      <c r="M428" t="str">
        <f>IF($A428="","",IF($D428="V01",cad!$C$36,IF($D428="V02",cad!$D$36,cad!$E$36)))</f>
        <v/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 t="str">
        <f>IF($A429="","",IF($D429="V01",cad!$C$23,IF($D429="V02",cad!$D$23,cad!$E$23)))</f>
        <v/>
      </c>
      <c r="H429" t="str">
        <f>IF($A429="","",IF($D429="V01",cad!$C$24,IF($D429="V02",cad!$D$24,cad!$E$24)))</f>
        <v/>
      </c>
      <c r="I429" t="str">
        <f>IF($A429="","",IF($D429="V01",cad!$C$32,IF($D429="V02",cad!$D$32,cad!$E$32)))</f>
        <v/>
      </c>
      <c r="J429" t="str">
        <f>IF($A429="","",IF($D429="V01",cad!$C$33,IF($D429="V02",cad!$D$33,cad!$E$33)))</f>
        <v/>
      </c>
      <c r="K429" t="str">
        <f>IF($A429="","",IF($D429="V01",cad!$C$34,IF($D429="V02",cad!$D$34,cad!$E$34)))</f>
        <v/>
      </c>
      <c r="L429" t="str">
        <f>IF($A429="","",IF($D429="V01",cad!$C$35,IF($D429="V02",cad!$D$35,cad!$E$35)))</f>
        <v/>
      </c>
      <c r="M429" t="str">
        <f>IF($A429="","",IF($D429="V01",cad!$C$36,IF($D429="V02",cad!$D$36,cad!$E$36)))</f>
        <v/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 t="str">
        <f>IF($A430="","",IF($D430="V01",cad!$C$23,IF($D430="V02",cad!$D$23,cad!$E$23)))</f>
        <v/>
      </c>
      <c r="H430" t="str">
        <f>IF($A430="","",IF($D430="V01",cad!$C$24,IF($D430="V02",cad!$D$24,cad!$E$24)))</f>
        <v/>
      </c>
      <c r="I430" t="str">
        <f>IF($A430="","",IF($D430="V01",cad!$C$32,IF($D430="V02",cad!$D$32,cad!$E$32)))</f>
        <v/>
      </c>
      <c r="J430" t="str">
        <f>IF($A430="","",IF($D430="V01",cad!$C$33,IF($D430="V02",cad!$D$33,cad!$E$33)))</f>
        <v/>
      </c>
      <c r="K430" t="str">
        <f>IF($A430="","",IF($D430="V01",cad!$C$34,IF($D430="V02",cad!$D$34,cad!$E$34)))</f>
        <v/>
      </c>
      <c r="L430" t="str">
        <f>IF($A430="","",IF($D430="V01",cad!$C$35,IF($D430="V02",cad!$D$35,cad!$E$35)))</f>
        <v/>
      </c>
      <c r="M430" t="str">
        <f>IF($A430="","",IF($D430="V01",cad!$C$36,IF($D430="V02",cad!$D$36,cad!$E$36)))</f>
        <v/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 t="str">
        <f>IF($A431="","",IF($D431="V01",cad!$C$23,IF($D431="V02",cad!$D$23,cad!$E$23)))</f>
        <v/>
      </c>
      <c r="H431" t="str">
        <f>IF($A431="","",IF($D431="V01",cad!$C$24,IF($D431="V02",cad!$D$24,cad!$E$24)))</f>
        <v/>
      </c>
      <c r="I431" t="str">
        <f>IF($A431="","",IF($D431="V01",cad!$C$32,IF($D431="V02",cad!$D$32,cad!$E$32)))</f>
        <v/>
      </c>
      <c r="J431" t="str">
        <f>IF($A431="","",IF($D431="V01",cad!$C$33,IF($D431="V02",cad!$D$33,cad!$E$33)))</f>
        <v/>
      </c>
      <c r="K431" t="str">
        <f>IF($A431="","",IF($D431="V01",cad!$C$34,IF($D431="V02",cad!$D$34,cad!$E$34)))</f>
        <v/>
      </c>
      <c r="L431" t="str">
        <f>IF($A431="","",IF($D431="V01",cad!$C$35,IF($D431="V02",cad!$D$35,cad!$E$35)))</f>
        <v/>
      </c>
      <c r="M431" t="str">
        <f>IF($A431="","",IF($D431="V01",cad!$C$36,IF($D431="V02",cad!$D$36,cad!$E$36)))</f>
        <v/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 t="str">
        <f>IF($A432="","",IF($D432="V01",cad!$C$23,IF($D432="V02",cad!$D$23,cad!$E$23)))</f>
        <v/>
      </c>
      <c r="H432" t="str">
        <f>IF($A432="","",IF($D432="V01",cad!$C$24,IF($D432="V02",cad!$D$24,cad!$E$24)))</f>
        <v/>
      </c>
      <c r="I432" t="str">
        <f>IF($A432="","",IF($D432="V01",cad!$C$32,IF($D432="V02",cad!$D$32,cad!$E$32)))</f>
        <v/>
      </c>
      <c r="J432" t="str">
        <f>IF($A432="","",IF($D432="V01",cad!$C$33,IF($D432="V02",cad!$D$33,cad!$E$33)))</f>
        <v/>
      </c>
      <c r="K432" t="str">
        <f>IF($A432="","",IF($D432="V01",cad!$C$34,IF($D432="V02",cad!$D$34,cad!$E$34)))</f>
        <v/>
      </c>
      <c r="L432" t="str">
        <f>IF($A432="","",IF($D432="V01",cad!$C$35,IF($D432="V02",cad!$D$35,cad!$E$35)))</f>
        <v/>
      </c>
      <c r="M432" t="str">
        <f>IF($A432="","",IF($D432="V01",cad!$C$36,IF($D432="V02",cad!$D$36,cad!$E$36)))</f>
        <v/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 t="str">
        <f>IF($A433="","",IF($D433="V01",cad!$C$23,IF($D433="V02",cad!$D$23,cad!$E$23)))</f>
        <v/>
      </c>
      <c r="H433" t="str">
        <f>IF($A433="","",IF($D433="V01",cad!$C$24,IF($D433="V02",cad!$D$24,cad!$E$24)))</f>
        <v/>
      </c>
      <c r="I433" t="str">
        <f>IF($A433="","",IF($D433="V01",cad!$C$32,IF($D433="V02",cad!$D$32,cad!$E$32)))</f>
        <v/>
      </c>
      <c r="J433" t="str">
        <f>IF($A433="","",IF($D433="V01",cad!$C$33,IF($D433="V02",cad!$D$33,cad!$E$33)))</f>
        <v/>
      </c>
      <c r="K433" t="str">
        <f>IF($A433="","",IF($D433="V01",cad!$C$34,IF($D433="V02",cad!$D$34,cad!$E$34)))</f>
        <v/>
      </c>
      <c r="L433" t="str">
        <f>IF($A433="","",IF($D433="V01",cad!$C$35,IF($D433="V02",cad!$D$35,cad!$E$35)))</f>
        <v/>
      </c>
      <c r="M433" t="str">
        <f>IF($A433="","",IF($D433="V01",cad!$C$36,IF($D433="V02",cad!$D$36,cad!$E$36)))</f>
        <v/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 t="str">
        <f>IF($A434="","",IF($D434="V01",cad!$C$23,IF($D434="V02",cad!$D$23,cad!$E$23)))</f>
        <v/>
      </c>
      <c r="H434" t="str">
        <f>IF($A434="","",IF($D434="V01",cad!$C$24,IF($D434="V02",cad!$D$24,cad!$E$24)))</f>
        <v/>
      </c>
      <c r="I434" t="str">
        <f>IF($A434="","",IF($D434="V01",cad!$C$32,IF($D434="V02",cad!$D$32,cad!$E$32)))</f>
        <v/>
      </c>
      <c r="J434" t="str">
        <f>IF($A434="","",IF($D434="V01",cad!$C$33,IF($D434="V02",cad!$D$33,cad!$E$33)))</f>
        <v/>
      </c>
      <c r="K434" t="str">
        <f>IF($A434="","",IF($D434="V01",cad!$C$34,IF($D434="V02",cad!$D$34,cad!$E$34)))</f>
        <v/>
      </c>
      <c r="L434" t="str">
        <f>IF($A434="","",IF($D434="V01",cad!$C$35,IF($D434="V02",cad!$D$35,cad!$E$35)))</f>
        <v/>
      </c>
      <c r="M434" t="str">
        <f>IF($A434="","",IF($D434="V01",cad!$C$36,IF($D434="V02",cad!$D$36,cad!$E$36)))</f>
        <v/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 t="str">
        <f>IF($A435="","",IF($D435="V01",cad!$C$23,IF($D435="V02",cad!$D$23,cad!$E$23)))</f>
        <v/>
      </c>
      <c r="H435" t="str">
        <f>IF($A435="","",IF($D435="V01",cad!$C$24,IF($D435="V02",cad!$D$24,cad!$E$24)))</f>
        <v/>
      </c>
      <c r="I435" t="str">
        <f>IF($A435="","",IF($D435="V01",cad!$C$32,IF($D435="V02",cad!$D$32,cad!$E$32)))</f>
        <v/>
      </c>
      <c r="J435" t="str">
        <f>IF($A435="","",IF($D435="V01",cad!$C$33,IF($D435="V02",cad!$D$33,cad!$E$33)))</f>
        <v/>
      </c>
      <c r="K435" t="str">
        <f>IF($A435="","",IF($D435="V01",cad!$C$34,IF($D435="V02",cad!$D$34,cad!$E$34)))</f>
        <v/>
      </c>
      <c r="L435" t="str">
        <f>IF($A435="","",IF($D435="V01",cad!$C$35,IF($D435="V02",cad!$D$35,cad!$E$35)))</f>
        <v/>
      </c>
      <c r="M435" t="str">
        <f>IF($A435="","",IF($D435="V01",cad!$C$36,IF($D435="V02",cad!$D$36,cad!$E$36)))</f>
        <v/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 t="str">
        <f>IF($A436="","",IF($D436="V01",cad!$C$23,IF($D436="V02",cad!$D$23,cad!$E$23)))</f>
        <v/>
      </c>
      <c r="H436" t="str">
        <f>IF($A436="","",IF($D436="V01",cad!$C$24,IF($D436="V02",cad!$D$24,cad!$E$24)))</f>
        <v/>
      </c>
      <c r="I436" t="str">
        <f>IF($A436="","",IF($D436="V01",cad!$C$32,IF($D436="V02",cad!$D$32,cad!$E$32)))</f>
        <v/>
      </c>
      <c r="J436" t="str">
        <f>IF($A436="","",IF($D436="V01",cad!$C$33,IF($D436="V02",cad!$D$33,cad!$E$33)))</f>
        <v/>
      </c>
      <c r="K436" t="str">
        <f>IF($A436="","",IF($D436="V01",cad!$C$34,IF($D436="V02",cad!$D$34,cad!$E$34)))</f>
        <v/>
      </c>
      <c r="L436" t="str">
        <f>IF($A436="","",IF($D436="V01",cad!$C$35,IF($D436="V02",cad!$D$35,cad!$E$35)))</f>
        <v/>
      </c>
      <c r="M436" t="str">
        <f>IF($A436="","",IF($D436="V01",cad!$C$36,IF($D436="V02",cad!$D$36,cad!$E$36)))</f>
        <v/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 t="str">
        <f>IF($A437="","",IF($D437="V01",cad!$C$23,IF($D437="V02",cad!$D$23,cad!$E$23)))</f>
        <v/>
      </c>
      <c r="H437" t="str">
        <f>IF($A437="","",IF($D437="V01",cad!$C$24,IF($D437="V02",cad!$D$24,cad!$E$24)))</f>
        <v/>
      </c>
      <c r="I437" t="str">
        <f>IF($A437="","",IF($D437="V01",cad!$C$32,IF($D437="V02",cad!$D$32,cad!$E$32)))</f>
        <v/>
      </c>
      <c r="J437" t="str">
        <f>IF($A437="","",IF($D437="V01",cad!$C$33,IF($D437="V02",cad!$D$33,cad!$E$33)))</f>
        <v/>
      </c>
      <c r="K437" t="str">
        <f>IF($A437="","",IF($D437="V01",cad!$C$34,IF($D437="V02",cad!$D$34,cad!$E$34)))</f>
        <v/>
      </c>
      <c r="L437" t="str">
        <f>IF($A437="","",IF($D437="V01",cad!$C$35,IF($D437="V02",cad!$D$35,cad!$E$35)))</f>
        <v/>
      </c>
      <c r="M437" t="str">
        <f>IF($A437="","",IF($D437="V01",cad!$C$36,IF($D437="V02",cad!$D$36,cad!$E$36)))</f>
        <v/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 t="str">
        <f>IF($A438="","",IF($D438="V01",cad!$C$23,IF($D438="V02",cad!$D$23,cad!$E$23)))</f>
        <v/>
      </c>
      <c r="H438" t="str">
        <f>IF($A438="","",IF($D438="V01",cad!$C$24,IF($D438="V02",cad!$D$24,cad!$E$24)))</f>
        <v/>
      </c>
      <c r="I438" t="str">
        <f>IF($A438="","",IF($D438="V01",cad!$C$32,IF($D438="V02",cad!$D$32,cad!$E$32)))</f>
        <v/>
      </c>
      <c r="J438" t="str">
        <f>IF($A438="","",IF($D438="V01",cad!$C$33,IF($D438="V02",cad!$D$33,cad!$E$33)))</f>
        <v/>
      </c>
      <c r="K438" t="str">
        <f>IF($A438="","",IF($D438="V01",cad!$C$34,IF($D438="V02",cad!$D$34,cad!$E$34)))</f>
        <v/>
      </c>
      <c r="L438" t="str">
        <f>IF($A438="","",IF($D438="V01",cad!$C$35,IF($D438="V02",cad!$D$35,cad!$E$35)))</f>
        <v/>
      </c>
      <c r="M438" t="str">
        <f>IF($A438="","",IF($D438="V01",cad!$C$36,IF($D438="V02",cad!$D$36,cad!$E$36)))</f>
        <v/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 t="str">
        <f>IF($A439="","",IF($D439="V01",cad!$C$23,IF($D439="V02",cad!$D$23,cad!$E$23)))</f>
        <v/>
      </c>
      <c r="H439" t="str">
        <f>IF($A439="","",IF($D439="V01",cad!$C$24,IF($D439="V02",cad!$D$24,cad!$E$24)))</f>
        <v/>
      </c>
      <c r="I439" t="str">
        <f>IF($A439="","",IF($D439="V01",cad!$C$32,IF($D439="V02",cad!$D$32,cad!$E$32)))</f>
        <v/>
      </c>
      <c r="J439" t="str">
        <f>IF($A439="","",IF($D439="V01",cad!$C$33,IF($D439="V02",cad!$D$33,cad!$E$33)))</f>
        <v/>
      </c>
      <c r="K439" t="str">
        <f>IF($A439="","",IF($D439="V01",cad!$C$34,IF($D439="V02",cad!$D$34,cad!$E$34)))</f>
        <v/>
      </c>
      <c r="L439" t="str">
        <f>IF($A439="","",IF($D439="V01",cad!$C$35,IF($D439="V02",cad!$D$35,cad!$E$35)))</f>
        <v/>
      </c>
      <c r="M439" t="str">
        <f>IF($A439="","",IF($D439="V01",cad!$C$36,IF($D439="V02",cad!$D$36,cad!$E$36)))</f>
        <v/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 t="str">
        <f>IF($A440="","",IF($D440="V01",cad!$C$23,IF($D440="V02",cad!$D$23,cad!$E$23)))</f>
        <v/>
      </c>
      <c r="H440" t="str">
        <f>IF($A440="","",IF($D440="V01",cad!$C$24,IF($D440="V02",cad!$D$24,cad!$E$24)))</f>
        <v/>
      </c>
      <c r="I440" t="str">
        <f>IF($A440="","",IF($D440="V01",cad!$C$32,IF($D440="V02",cad!$D$32,cad!$E$32)))</f>
        <v/>
      </c>
      <c r="J440" t="str">
        <f>IF($A440="","",IF($D440="V01",cad!$C$33,IF($D440="V02",cad!$D$33,cad!$E$33)))</f>
        <v/>
      </c>
      <c r="K440" t="str">
        <f>IF($A440="","",IF($D440="V01",cad!$C$34,IF($D440="V02",cad!$D$34,cad!$E$34)))</f>
        <v/>
      </c>
      <c r="L440" t="str">
        <f>IF($A440="","",IF($D440="V01",cad!$C$35,IF($D440="V02",cad!$D$35,cad!$E$35)))</f>
        <v/>
      </c>
      <c r="M440" t="str">
        <f>IF($A440="","",IF($D440="V01",cad!$C$36,IF($D440="V02",cad!$D$36,cad!$E$36)))</f>
        <v/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 t="str">
        <f>IF($A441="","",IF($D441="V01",cad!$C$23,IF($D441="V02",cad!$D$23,cad!$E$23)))</f>
        <v/>
      </c>
      <c r="H441" t="str">
        <f>IF($A441="","",IF($D441="V01",cad!$C$24,IF($D441="V02",cad!$D$24,cad!$E$24)))</f>
        <v/>
      </c>
      <c r="I441" t="str">
        <f>IF($A441="","",IF($D441="V01",cad!$C$32,IF($D441="V02",cad!$D$32,cad!$E$32)))</f>
        <v/>
      </c>
      <c r="J441" t="str">
        <f>IF($A441="","",IF($D441="V01",cad!$C$33,IF($D441="V02",cad!$D$33,cad!$E$33)))</f>
        <v/>
      </c>
      <c r="K441" t="str">
        <f>IF($A441="","",IF($D441="V01",cad!$C$34,IF($D441="V02",cad!$D$34,cad!$E$34)))</f>
        <v/>
      </c>
      <c r="L441" t="str">
        <f>IF($A441="","",IF($D441="V01",cad!$C$35,IF($D441="V02",cad!$D$35,cad!$E$35)))</f>
        <v/>
      </c>
      <c r="M441" t="str">
        <f>IF($A441="","",IF($D441="V01",cad!$C$36,IF($D441="V02",cad!$D$36,cad!$E$36)))</f>
        <v/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 t="str">
        <f>IF($A442="","",IF($D442="V01",cad!$C$23,IF($D442="V02",cad!$D$23,cad!$E$23)))</f>
        <v/>
      </c>
      <c r="H442" t="str">
        <f>IF($A442="","",IF($D442="V01",cad!$C$24,IF($D442="V02",cad!$D$24,cad!$E$24)))</f>
        <v/>
      </c>
      <c r="I442" t="str">
        <f>IF($A442="","",IF($D442="V01",cad!$C$32,IF($D442="V02",cad!$D$32,cad!$E$32)))</f>
        <v/>
      </c>
      <c r="J442" t="str">
        <f>IF($A442="","",IF($D442="V01",cad!$C$33,IF($D442="V02",cad!$D$33,cad!$E$33)))</f>
        <v/>
      </c>
      <c r="K442" t="str">
        <f>IF($A442="","",IF($D442="V01",cad!$C$34,IF($D442="V02",cad!$D$34,cad!$E$34)))</f>
        <v/>
      </c>
      <c r="L442" t="str">
        <f>IF($A442="","",IF($D442="V01",cad!$C$35,IF($D442="V02",cad!$D$35,cad!$E$35)))</f>
        <v/>
      </c>
      <c r="M442" t="str">
        <f>IF($A442="","",IF($D442="V01",cad!$C$36,IF($D442="V02",cad!$D$36,cad!$E$36)))</f>
        <v/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 t="str">
        <f>IF($A443="","",IF($D443="V01",cad!$C$23,IF($D443="V02",cad!$D$23,cad!$E$23)))</f>
        <v/>
      </c>
      <c r="H443" t="str">
        <f>IF($A443="","",IF($D443="V01",cad!$C$24,IF($D443="V02",cad!$D$24,cad!$E$24)))</f>
        <v/>
      </c>
      <c r="I443" t="str">
        <f>IF($A443="","",IF($D443="V01",cad!$C$32,IF($D443="V02",cad!$D$32,cad!$E$32)))</f>
        <v/>
      </c>
      <c r="J443" t="str">
        <f>IF($A443="","",IF($D443="V01",cad!$C$33,IF($D443="V02",cad!$D$33,cad!$E$33)))</f>
        <v/>
      </c>
      <c r="K443" t="str">
        <f>IF($A443="","",IF($D443="V01",cad!$C$34,IF($D443="V02",cad!$D$34,cad!$E$34)))</f>
        <v/>
      </c>
      <c r="L443" t="str">
        <f>IF($A443="","",IF($D443="V01",cad!$C$35,IF($D443="V02",cad!$D$35,cad!$E$35)))</f>
        <v/>
      </c>
      <c r="M443" t="str">
        <f>IF($A443="","",IF($D443="V01",cad!$C$36,IF($D443="V02",cad!$D$36,cad!$E$36)))</f>
        <v/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 t="str">
        <f>IF($A444="","",IF($D444="V01",cad!$C$23,IF($D444="V02",cad!$D$23,cad!$E$23)))</f>
        <v/>
      </c>
      <c r="H444" t="str">
        <f>IF($A444="","",IF($D444="V01",cad!$C$24,IF($D444="V02",cad!$D$24,cad!$E$24)))</f>
        <v/>
      </c>
      <c r="I444" t="str">
        <f>IF($A444="","",IF($D444="V01",cad!$C$32,IF($D444="V02",cad!$D$32,cad!$E$32)))</f>
        <v/>
      </c>
      <c r="J444" t="str">
        <f>IF($A444="","",IF($D444="V01",cad!$C$33,IF($D444="V02",cad!$D$33,cad!$E$33)))</f>
        <v/>
      </c>
      <c r="K444" t="str">
        <f>IF($A444="","",IF($D444="V01",cad!$C$34,IF($D444="V02",cad!$D$34,cad!$E$34)))</f>
        <v/>
      </c>
      <c r="L444" t="str">
        <f>IF($A444="","",IF($D444="V01",cad!$C$35,IF($D444="V02",cad!$D$35,cad!$E$35)))</f>
        <v/>
      </c>
      <c r="M444" t="str">
        <f>IF($A444="","",IF($D444="V01",cad!$C$36,IF($D444="V02",cad!$D$36,cad!$E$36)))</f>
        <v/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 t="str">
        <f>IF($A445="","",IF($D445="V01",cad!$C$23,IF($D445="V02",cad!$D$23,cad!$E$23)))</f>
        <v/>
      </c>
      <c r="H445" t="str">
        <f>IF($A445="","",IF($D445="V01",cad!$C$24,IF($D445="V02",cad!$D$24,cad!$E$24)))</f>
        <v/>
      </c>
      <c r="I445" t="str">
        <f>IF($A445="","",IF($D445="V01",cad!$C$32,IF($D445="V02",cad!$D$32,cad!$E$32)))</f>
        <v/>
      </c>
      <c r="J445" t="str">
        <f>IF($A445="","",IF($D445="V01",cad!$C$33,IF($D445="V02",cad!$D$33,cad!$E$33)))</f>
        <v/>
      </c>
      <c r="K445" t="str">
        <f>IF($A445="","",IF($D445="V01",cad!$C$34,IF($D445="V02",cad!$D$34,cad!$E$34)))</f>
        <v/>
      </c>
      <c r="L445" t="str">
        <f>IF($A445="","",IF($D445="V01",cad!$C$35,IF($D445="V02",cad!$D$35,cad!$E$35)))</f>
        <v/>
      </c>
      <c r="M445" t="str">
        <f>IF($A445="","",IF($D445="V01",cad!$C$36,IF($D445="V02",cad!$D$36,cad!$E$36)))</f>
        <v/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 t="str">
        <f>IF($A446="","",IF($D446="V01",cad!$C$23,IF($D446="V02",cad!$D$23,cad!$E$23)))</f>
        <v/>
      </c>
      <c r="H446" t="str">
        <f>IF($A446="","",IF($D446="V01",cad!$C$24,IF($D446="V02",cad!$D$24,cad!$E$24)))</f>
        <v/>
      </c>
      <c r="I446" t="str">
        <f>IF($A446="","",IF($D446="V01",cad!$C$32,IF($D446="V02",cad!$D$32,cad!$E$32)))</f>
        <v/>
      </c>
      <c r="J446" t="str">
        <f>IF($A446="","",IF($D446="V01",cad!$C$33,IF($D446="V02",cad!$D$33,cad!$E$33)))</f>
        <v/>
      </c>
      <c r="K446" t="str">
        <f>IF($A446="","",IF($D446="V01",cad!$C$34,IF($D446="V02",cad!$D$34,cad!$E$34)))</f>
        <v/>
      </c>
      <c r="L446" t="str">
        <f>IF($A446="","",IF($D446="V01",cad!$C$35,IF($D446="V02",cad!$D$35,cad!$E$35)))</f>
        <v/>
      </c>
      <c r="M446" t="str">
        <f>IF($A446="","",IF($D446="V01",cad!$C$36,IF($D446="V02",cad!$D$36,cad!$E$36)))</f>
        <v/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 t="str">
        <f>IF($A447="","",IF($D447="V01",cad!$C$23,IF($D447="V02",cad!$D$23,cad!$E$23)))</f>
        <v/>
      </c>
      <c r="H447" t="str">
        <f>IF($A447="","",IF($D447="V01",cad!$C$24,IF($D447="V02",cad!$D$24,cad!$E$24)))</f>
        <v/>
      </c>
      <c r="I447" t="str">
        <f>IF($A447="","",IF($D447="V01",cad!$C$32,IF($D447="V02",cad!$D$32,cad!$E$32)))</f>
        <v/>
      </c>
      <c r="J447" t="str">
        <f>IF($A447="","",IF($D447="V01",cad!$C$33,IF($D447="V02",cad!$D$33,cad!$E$33)))</f>
        <v/>
      </c>
      <c r="K447" t="str">
        <f>IF($A447="","",IF($D447="V01",cad!$C$34,IF($D447="V02",cad!$D$34,cad!$E$34)))</f>
        <v/>
      </c>
      <c r="L447" t="str">
        <f>IF($A447="","",IF($D447="V01",cad!$C$35,IF($D447="V02",cad!$D$35,cad!$E$35)))</f>
        <v/>
      </c>
      <c r="M447" t="str">
        <f>IF($A447="","",IF($D447="V01",cad!$C$36,IF($D447="V02",cad!$D$36,cad!$E$36)))</f>
        <v/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 t="str">
        <f>IF($A448="","",IF($D448="V01",cad!$C$23,IF($D448="V02",cad!$D$23,cad!$E$23)))</f>
        <v/>
      </c>
      <c r="H448" t="str">
        <f>IF($A448="","",IF($D448="V01",cad!$C$24,IF($D448="V02",cad!$D$24,cad!$E$24)))</f>
        <v/>
      </c>
      <c r="I448" t="str">
        <f>IF($A448="","",IF($D448="V01",cad!$C$32,IF($D448="V02",cad!$D$32,cad!$E$32)))</f>
        <v/>
      </c>
      <c r="J448" t="str">
        <f>IF($A448="","",IF($D448="V01",cad!$C$33,IF($D448="V02",cad!$D$33,cad!$E$33)))</f>
        <v/>
      </c>
      <c r="K448" t="str">
        <f>IF($A448="","",IF($D448="V01",cad!$C$34,IF($D448="V02",cad!$D$34,cad!$E$34)))</f>
        <v/>
      </c>
      <c r="L448" t="str">
        <f>IF($A448="","",IF($D448="V01",cad!$C$35,IF($D448="V02",cad!$D$35,cad!$E$35)))</f>
        <v/>
      </c>
      <c r="M448" t="str">
        <f>IF($A448="","",IF($D448="V01",cad!$C$36,IF($D448="V02",cad!$D$36,cad!$E$36)))</f>
        <v/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 t="str">
        <f>IF($A449="","",IF($D449="V01",cad!$C$23,IF($D449="V02",cad!$D$23,cad!$E$23)))</f>
        <v/>
      </c>
      <c r="H449" t="str">
        <f>IF($A449="","",IF($D449="V01",cad!$C$24,IF($D449="V02",cad!$D$24,cad!$E$24)))</f>
        <v/>
      </c>
      <c r="I449" t="str">
        <f>IF($A449="","",IF($D449="V01",cad!$C$32,IF($D449="V02",cad!$D$32,cad!$E$32)))</f>
        <v/>
      </c>
      <c r="J449" t="str">
        <f>IF($A449="","",IF($D449="V01",cad!$C$33,IF($D449="V02",cad!$D$33,cad!$E$33)))</f>
        <v/>
      </c>
      <c r="K449" t="str">
        <f>IF($A449="","",IF($D449="V01",cad!$C$34,IF($D449="V02",cad!$D$34,cad!$E$34)))</f>
        <v/>
      </c>
      <c r="L449" t="str">
        <f>IF($A449="","",IF($D449="V01",cad!$C$35,IF($D449="V02",cad!$D$35,cad!$E$35)))</f>
        <v/>
      </c>
      <c r="M449" t="str">
        <f>IF($A449="","",IF($D449="V01",cad!$C$36,IF($D449="V02",cad!$D$36,cad!$E$36)))</f>
        <v/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 t="str">
        <f>IF($A450="","",IF($D450="V01",cad!$C$23,IF($D450="V02",cad!$D$23,cad!$E$23)))</f>
        <v/>
      </c>
      <c r="H450" t="str">
        <f>IF($A450="","",IF($D450="V01",cad!$C$24,IF($D450="V02",cad!$D$24,cad!$E$24)))</f>
        <v/>
      </c>
      <c r="I450" t="str">
        <f>IF($A450="","",IF($D450="V01",cad!$C$32,IF($D450="V02",cad!$D$32,cad!$E$32)))</f>
        <v/>
      </c>
      <c r="J450" t="str">
        <f>IF($A450="","",IF($D450="V01",cad!$C$33,IF($D450="V02",cad!$D$33,cad!$E$33)))</f>
        <v/>
      </c>
      <c r="K450" t="str">
        <f>IF($A450="","",IF($D450="V01",cad!$C$34,IF($D450="V02",cad!$D$34,cad!$E$34)))</f>
        <v/>
      </c>
      <c r="L450" t="str">
        <f>IF($A450="","",IF($D450="V01",cad!$C$35,IF($D450="V02",cad!$D$35,cad!$E$35)))</f>
        <v/>
      </c>
      <c r="M450" t="str">
        <f>IF($A450="","",IF($D450="V01",cad!$C$36,IF($D450="V02",cad!$D$36,cad!$E$36)))</f>
        <v/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 t="str">
        <f>IF($A451="","",IF($D451="V01",cad!$C$23,IF($D451="V02",cad!$D$23,cad!$E$23)))</f>
        <v/>
      </c>
      <c r="H451" t="str">
        <f>IF($A451="","",IF($D451="V01",cad!$C$24,IF($D451="V02",cad!$D$24,cad!$E$24)))</f>
        <v/>
      </c>
      <c r="I451" t="str">
        <f>IF($A451="","",IF($D451="V01",cad!$C$32,IF($D451="V02",cad!$D$32,cad!$E$32)))</f>
        <v/>
      </c>
      <c r="J451" t="str">
        <f>IF($A451="","",IF($D451="V01",cad!$C$33,IF($D451="V02",cad!$D$33,cad!$E$33)))</f>
        <v/>
      </c>
      <c r="K451" t="str">
        <f>IF($A451="","",IF($D451="V01",cad!$C$34,IF($D451="V02",cad!$D$34,cad!$E$34)))</f>
        <v/>
      </c>
      <c r="L451" t="str">
        <f>IF($A451="","",IF($D451="V01",cad!$C$35,IF($D451="V02",cad!$D$35,cad!$E$35)))</f>
        <v/>
      </c>
      <c r="M451" t="str">
        <f>IF($A451="","",IF($D451="V01",cad!$C$36,IF($D451="V02",cad!$D$36,cad!$E$36)))</f>
        <v/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 t="str">
        <f>IF($A452="","",IF($D452="V01",cad!$C$23,IF($D452="V02",cad!$D$23,cad!$E$23)))</f>
        <v/>
      </c>
      <c r="H452" t="str">
        <f>IF($A452="","",IF($D452="V01",cad!$C$24,IF($D452="V02",cad!$D$24,cad!$E$24)))</f>
        <v/>
      </c>
      <c r="I452" t="str">
        <f>IF($A452="","",IF($D452="V01",cad!$C$32,IF($D452="V02",cad!$D$32,cad!$E$32)))</f>
        <v/>
      </c>
      <c r="J452" t="str">
        <f>IF($A452="","",IF($D452="V01",cad!$C$33,IF($D452="V02",cad!$D$33,cad!$E$33)))</f>
        <v/>
      </c>
      <c r="K452" t="str">
        <f>IF($A452="","",IF($D452="V01",cad!$C$34,IF($D452="V02",cad!$D$34,cad!$E$34)))</f>
        <v/>
      </c>
      <c r="L452" t="str">
        <f>IF($A452="","",IF($D452="V01",cad!$C$35,IF($D452="V02",cad!$D$35,cad!$E$35)))</f>
        <v/>
      </c>
      <c r="M452" t="str">
        <f>IF($A452="","",IF($D452="V01",cad!$C$36,IF($D452="V02",cad!$D$36,cad!$E$36)))</f>
        <v/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 t="str">
        <f>IF($A453="","",IF($D453="V01",cad!$C$23,IF($D453="V02",cad!$D$23,cad!$E$23)))</f>
        <v/>
      </c>
      <c r="H453" t="str">
        <f>IF($A453="","",IF($D453="V01",cad!$C$24,IF($D453="V02",cad!$D$24,cad!$E$24)))</f>
        <v/>
      </c>
      <c r="I453" t="str">
        <f>IF($A453="","",IF($D453="V01",cad!$C$32,IF($D453="V02",cad!$D$32,cad!$E$32)))</f>
        <v/>
      </c>
      <c r="J453" t="str">
        <f>IF($A453="","",IF($D453="V01",cad!$C$33,IF($D453="V02",cad!$D$33,cad!$E$33)))</f>
        <v/>
      </c>
      <c r="K453" t="str">
        <f>IF($A453="","",IF($D453="V01",cad!$C$34,IF($D453="V02",cad!$D$34,cad!$E$34)))</f>
        <v/>
      </c>
      <c r="L453" t="str">
        <f>IF($A453="","",IF($D453="V01",cad!$C$35,IF($D453="V02",cad!$D$35,cad!$E$35)))</f>
        <v/>
      </c>
      <c r="M453" t="str">
        <f>IF($A453="","",IF($D453="V01",cad!$C$36,IF($D453="V02",cad!$D$36,cad!$E$36)))</f>
        <v/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 t="str">
        <f>IF($A454="","",IF($D454="V01",cad!$C$23,IF($D454="V02",cad!$D$23,cad!$E$23)))</f>
        <v/>
      </c>
      <c r="H454" t="str">
        <f>IF($A454="","",IF($D454="V01",cad!$C$24,IF($D454="V02",cad!$D$24,cad!$E$24)))</f>
        <v/>
      </c>
      <c r="I454" t="str">
        <f>IF($A454="","",IF($D454="V01",cad!$C$32,IF($D454="V02",cad!$D$32,cad!$E$32)))</f>
        <v/>
      </c>
      <c r="J454" t="str">
        <f>IF($A454="","",IF($D454="V01",cad!$C$33,IF($D454="V02",cad!$D$33,cad!$E$33)))</f>
        <v/>
      </c>
      <c r="K454" t="str">
        <f>IF($A454="","",IF($D454="V01",cad!$C$34,IF($D454="V02",cad!$D$34,cad!$E$34)))</f>
        <v/>
      </c>
      <c r="L454" t="str">
        <f>IF($A454="","",IF($D454="V01",cad!$C$35,IF($D454="V02",cad!$D$35,cad!$E$35)))</f>
        <v/>
      </c>
      <c r="M454" t="str">
        <f>IF($A454="","",IF($D454="V01",cad!$C$36,IF($D454="V02",cad!$D$36,cad!$E$36)))</f>
        <v/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 t="str">
        <f>IF($A455="","",IF($D455="V01",cad!$C$23,IF($D455="V02",cad!$D$23,cad!$E$23)))</f>
        <v/>
      </c>
      <c r="H455" t="str">
        <f>IF($A455="","",IF($D455="V01",cad!$C$24,IF($D455="V02",cad!$D$24,cad!$E$24)))</f>
        <v/>
      </c>
      <c r="I455" t="str">
        <f>IF($A455="","",IF($D455="V01",cad!$C$32,IF($D455="V02",cad!$D$32,cad!$E$32)))</f>
        <v/>
      </c>
      <c r="J455" t="str">
        <f>IF($A455="","",IF($D455="V01",cad!$C$33,IF($D455="V02",cad!$D$33,cad!$E$33)))</f>
        <v/>
      </c>
      <c r="K455" t="str">
        <f>IF($A455="","",IF($D455="V01",cad!$C$34,IF($D455="V02",cad!$D$34,cad!$E$34)))</f>
        <v/>
      </c>
      <c r="L455" t="str">
        <f>IF($A455="","",IF($D455="V01",cad!$C$35,IF($D455="V02",cad!$D$35,cad!$E$35)))</f>
        <v/>
      </c>
      <c r="M455" t="str">
        <f>IF($A455="","",IF($D455="V01",cad!$C$36,IF($D455="V02",cad!$D$36,cad!$E$36)))</f>
        <v/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 t="str">
        <f>IF($A456="","",IF($D456="V01",cad!$C$23,IF($D456="V02",cad!$D$23,cad!$E$23)))</f>
        <v/>
      </c>
      <c r="H456" t="str">
        <f>IF($A456="","",IF($D456="V01",cad!$C$24,IF($D456="V02",cad!$D$24,cad!$E$24)))</f>
        <v/>
      </c>
      <c r="I456" t="str">
        <f>IF($A456="","",IF($D456="V01",cad!$C$32,IF($D456="V02",cad!$D$32,cad!$E$32)))</f>
        <v/>
      </c>
      <c r="J456" t="str">
        <f>IF($A456="","",IF($D456="V01",cad!$C$33,IF($D456="V02",cad!$D$33,cad!$E$33)))</f>
        <v/>
      </c>
      <c r="K456" t="str">
        <f>IF($A456="","",IF($D456="V01",cad!$C$34,IF($D456="V02",cad!$D$34,cad!$E$34)))</f>
        <v/>
      </c>
      <c r="L456" t="str">
        <f>IF($A456="","",IF($D456="V01",cad!$C$35,IF($D456="V02",cad!$D$35,cad!$E$35)))</f>
        <v/>
      </c>
      <c r="M456" t="str">
        <f>IF($A456="","",IF($D456="V01",cad!$C$36,IF($D456="V02",cad!$D$36,cad!$E$36)))</f>
        <v/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 t="str">
        <f>IF($A457="","",IF($D457="V01",cad!$C$23,IF($D457="V02",cad!$D$23,cad!$E$23)))</f>
        <v/>
      </c>
      <c r="H457" t="str">
        <f>IF($A457="","",IF($D457="V01",cad!$C$24,IF($D457="V02",cad!$D$24,cad!$E$24)))</f>
        <v/>
      </c>
      <c r="I457" t="str">
        <f>IF($A457="","",IF($D457="V01",cad!$C$32,IF($D457="V02",cad!$D$32,cad!$E$32)))</f>
        <v/>
      </c>
      <c r="J457" t="str">
        <f>IF($A457="","",IF($D457="V01",cad!$C$33,IF($D457="V02",cad!$D$33,cad!$E$33)))</f>
        <v/>
      </c>
      <c r="K457" t="str">
        <f>IF($A457="","",IF($D457="V01",cad!$C$34,IF($D457="V02",cad!$D$34,cad!$E$34)))</f>
        <v/>
      </c>
      <c r="L457" t="str">
        <f>IF($A457="","",IF($D457="V01",cad!$C$35,IF($D457="V02",cad!$D$35,cad!$E$35)))</f>
        <v/>
      </c>
      <c r="M457" t="str">
        <f>IF($A457="","",IF($D457="V01",cad!$C$36,IF($D457="V02",cad!$D$36,cad!$E$36)))</f>
        <v/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 t="str">
        <f>IF($A458="","",IF($D458="V01",cad!$C$23,IF($D458="V02",cad!$D$23,cad!$E$23)))</f>
        <v/>
      </c>
      <c r="H458" t="str">
        <f>IF($A458="","",IF($D458="V01",cad!$C$24,IF($D458="V02",cad!$D$24,cad!$E$24)))</f>
        <v/>
      </c>
      <c r="I458" t="str">
        <f>IF($A458="","",IF($D458="V01",cad!$C$32,IF($D458="V02",cad!$D$32,cad!$E$32)))</f>
        <v/>
      </c>
      <c r="J458" t="str">
        <f>IF($A458="","",IF($D458="V01",cad!$C$33,IF($D458="V02",cad!$D$33,cad!$E$33)))</f>
        <v/>
      </c>
      <c r="K458" t="str">
        <f>IF($A458="","",IF($D458="V01",cad!$C$34,IF($D458="V02",cad!$D$34,cad!$E$34)))</f>
        <v/>
      </c>
      <c r="L458" t="str">
        <f>IF($A458="","",IF($D458="V01",cad!$C$35,IF($D458="V02",cad!$D$35,cad!$E$35)))</f>
        <v/>
      </c>
      <c r="M458" t="str">
        <f>IF($A458="","",IF($D458="V01",cad!$C$36,IF($D458="V02",cad!$D$36,cad!$E$36)))</f>
        <v/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 t="str">
        <f>IF($A459="","",IF($D459="V01",cad!$C$23,IF($D459="V02",cad!$D$23,cad!$E$23)))</f>
        <v/>
      </c>
      <c r="H459" t="str">
        <f>IF($A459="","",IF($D459="V01",cad!$C$24,IF($D459="V02",cad!$D$24,cad!$E$24)))</f>
        <v/>
      </c>
      <c r="I459" t="str">
        <f>IF($A459="","",IF($D459="V01",cad!$C$32,IF($D459="V02",cad!$D$32,cad!$E$32)))</f>
        <v/>
      </c>
      <c r="J459" t="str">
        <f>IF($A459="","",IF($D459="V01",cad!$C$33,IF($D459="V02",cad!$D$33,cad!$E$33)))</f>
        <v/>
      </c>
      <c r="K459" t="str">
        <f>IF($A459="","",IF($D459="V01",cad!$C$34,IF($D459="V02",cad!$D$34,cad!$E$34)))</f>
        <v/>
      </c>
      <c r="L459" t="str">
        <f>IF($A459="","",IF($D459="V01",cad!$C$35,IF($D459="V02",cad!$D$35,cad!$E$35)))</f>
        <v/>
      </c>
      <c r="M459" t="str">
        <f>IF($A459="","",IF($D459="V01",cad!$C$36,IF($D459="V02",cad!$D$36,cad!$E$36)))</f>
        <v/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 t="str">
        <f>IF($A460="","",IF($D460="V01",cad!$C$23,IF($D460="V02",cad!$D$23,cad!$E$23)))</f>
        <v/>
      </c>
      <c r="H460" t="str">
        <f>IF($A460="","",IF($D460="V01",cad!$C$24,IF($D460="V02",cad!$D$24,cad!$E$24)))</f>
        <v/>
      </c>
      <c r="I460" t="str">
        <f>IF($A460="","",IF($D460="V01",cad!$C$32,IF($D460="V02",cad!$D$32,cad!$E$32)))</f>
        <v/>
      </c>
      <c r="J460" t="str">
        <f>IF($A460="","",IF($D460="V01",cad!$C$33,IF($D460="V02",cad!$D$33,cad!$E$33)))</f>
        <v/>
      </c>
      <c r="K460" t="str">
        <f>IF($A460="","",IF($D460="V01",cad!$C$34,IF($D460="V02",cad!$D$34,cad!$E$34)))</f>
        <v/>
      </c>
      <c r="L460" t="str">
        <f>IF($A460="","",IF($D460="V01",cad!$C$35,IF($D460="V02",cad!$D$35,cad!$E$35)))</f>
        <v/>
      </c>
      <c r="M460" t="str">
        <f>IF($A460="","",IF($D460="V01",cad!$C$36,IF($D460="V02",cad!$D$36,cad!$E$36)))</f>
        <v/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 t="str">
        <f>IF($A461="","",IF($D461="V01",cad!$C$23,IF($D461="V02",cad!$D$23,cad!$E$23)))</f>
        <v/>
      </c>
      <c r="H461" t="str">
        <f>IF($A461="","",IF($D461="V01",cad!$C$24,IF($D461="V02",cad!$D$24,cad!$E$24)))</f>
        <v/>
      </c>
      <c r="I461" t="str">
        <f>IF($A461="","",IF($D461="V01",cad!$C$32,IF($D461="V02",cad!$D$32,cad!$E$32)))</f>
        <v/>
      </c>
      <c r="J461" t="str">
        <f>IF($A461="","",IF($D461="V01",cad!$C$33,IF($D461="V02",cad!$D$33,cad!$E$33)))</f>
        <v/>
      </c>
      <c r="K461" t="str">
        <f>IF($A461="","",IF($D461="V01",cad!$C$34,IF($D461="V02",cad!$D$34,cad!$E$34)))</f>
        <v/>
      </c>
      <c r="L461" t="str">
        <f>IF($A461="","",IF($D461="V01",cad!$C$35,IF($D461="V02",cad!$D$35,cad!$E$35)))</f>
        <v/>
      </c>
      <c r="M461" t="str">
        <f>IF($A461="","",IF($D461="V01",cad!$C$36,IF($D461="V02",cad!$D$36,cad!$E$36)))</f>
        <v/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 t="str">
        <f>IF($A462="","",IF($D462="V01",cad!$C$23,IF($D462="V02",cad!$D$23,cad!$E$23)))</f>
        <v/>
      </c>
      <c r="H462" t="str">
        <f>IF($A462="","",IF($D462="V01",cad!$C$24,IF($D462="V02",cad!$D$24,cad!$E$24)))</f>
        <v/>
      </c>
      <c r="I462" t="str">
        <f>IF($A462="","",IF($D462="V01",cad!$C$32,IF($D462="V02",cad!$D$32,cad!$E$32)))</f>
        <v/>
      </c>
      <c r="J462" t="str">
        <f>IF($A462="","",IF($D462="V01",cad!$C$33,IF($D462="V02",cad!$D$33,cad!$E$33)))</f>
        <v/>
      </c>
      <c r="K462" t="str">
        <f>IF($A462="","",IF($D462="V01",cad!$C$34,IF($D462="V02",cad!$D$34,cad!$E$34)))</f>
        <v/>
      </c>
      <c r="L462" t="str">
        <f>IF($A462="","",IF($D462="V01",cad!$C$35,IF($D462="V02",cad!$D$35,cad!$E$35)))</f>
        <v/>
      </c>
      <c r="M462" t="str">
        <f>IF($A462="","",IF($D462="V01",cad!$C$36,IF($D462="V02",cad!$D$36,cad!$E$36)))</f>
        <v/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 t="str">
        <f>IF($A463="","",IF($D463="V01",cad!$C$23,IF($D463="V02",cad!$D$23,cad!$E$23)))</f>
        <v/>
      </c>
      <c r="H463" t="str">
        <f>IF($A463="","",IF($D463="V01",cad!$C$24,IF($D463="V02",cad!$D$24,cad!$E$24)))</f>
        <v/>
      </c>
      <c r="I463" t="str">
        <f>IF($A463="","",IF($D463="V01",cad!$C$32,IF($D463="V02",cad!$D$32,cad!$E$32)))</f>
        <v/>
      </c>
      <c r="J463" t="str">
        <f>IF($A463="","",IF($D463="V01",cad!$C$33,IF($D463="V02",cad!$D$33,cad!$E$33)))</f>
        <v/>
      </c>
      <c r="K463" t="str">
        <f>IF($A463="","",IF($D463="V01",cad!$C$34,IF($D463="V02",cad!$D$34,cad!$E$34)))</f>
        <v/>
      </c>
      <c r="L463" t="str">
        <f>IF($A463="","",IF($D463="V01",cad!$C$35,IF($D463="V02",cad!$D$35,cad!$E$35)))</f>
        <v/>
      </c>
      <c r="M463" t="str">
        <f>IF($A463="","",IF($D463="V01",cad!$C$36,IF($D463="V02",cad!$D$36,cad!$E$36)))</f>
        <v/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 t="str">
        <f>IF($A464="","",IF($D464="V01",cad!$C$23,IF($D464="V02",cad!$D$23,cad!$E$23)))</f>
        <v/>
      </c>
      <c r="H464" t="str">
        <f>IF($A464="","",IF($D464="V01",cad!$C$24,IF($D464="V02",cad!$D$24,cad!$E$24)))</f>
        <v/>
      </c>
      <c r="I464" t="str">
        <f>IF($A464="","",IF($D464="V01",cad!$C$32,IF($D464="V02",cad!$D$32,cad!$E$32)))</f>
        <v/>
      </c>
      <c r="J464" t="str">
        <f>IF($A464="","",IF($D464="V01",cad!$C$33,IF($D464="V02",cad!$D$33,cad!$E$33)))</f>
        <v/>
      </c>
      <c r="K464" t="str">
        <f>IF($A464="","",IF($D464="V01",cad!$C$34,IF($D464="V02",cad!$D$34,cad!$E$34)))</f>
        <v/>
      </c>
      <c r="L464" t="str">
        <f>IF($A464="","",IF($D464="V01",cad!$C$35,IF($D464="V02",cad!$D$35,cad!$E$35)))</f>
        <v/>
      </c>
      <c r="M464" t="str">
        <f>IF($A464="","",IF($D464="V01",cad!$C$36,IF($D464="V02",cad!$D$36,cad!$E$36)))</f>
        <v/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 t="str">
        <f>IF($A465="","",IF($D465="V01",cad!$C$23,IF($D465="V02",cad!$D$23,cad!$E$23)))</f>
        <v/>
      </c>
      <c r="H465" t="str">
        <f>IF($A465="","",IF($D465="V01",cad!$C$24,IF($D465="V02",cad!$D$24,cad!$E$24)))</f>
        <v/>
      </c>
      <c r="I465" t="str">
        <f>IF($A465="","",IF($D465="V01",cad!$C$32,IF($D465="V02",cad!$D$32,cad!$E$32)))</f>
        <v/>
      </c>
      <c r="J465" t="str">
        <f>IF($A465="","",IF($D465="V01",cad!$C$33,IF($D465="V02",cad!$D$33,cad!$E$33)))</f>
        <v/>
      </c>
      <c r="K465" t="str">
        <f>IF($A465="","",IF($D465="V01",cad!$C$34,IF($D465="V02",cad!$D$34,cad!$E$34)))</f>
        <v/>
      </c>
      <c r="L465" t="str">
        <f>IF($A465="","",IF($D465="V01",cad!$C$35,IF($D465="V02",cad!$D$35,cad!$E$35)))</f>
        <v/>
      </c>
      <c r="M465" t="str">
        <f>IF($A465="","",IF($D465="V01",cad!$C$36,IF($D465="V02",cad!$D$36,cad!$E$36)))</f>
        <v/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 t="str">
        <f>IF($A466="","",IF($D466="V01",cad!$C$23,IF($D466="V02",cad!$D$23,cad!$E$23)))</f>
        <v/>
      </c>
      <c r="H466" t="str">
        <f>IF($A466="","",IF($D466="V01",cad!$C$24,IF($D466="V02",cad!$D$24,cad!$E$24)))</f>
        <v/>
      </c>
      <c r="I466" t="str">
        <f>IF($A466="","",IF($D466="V01",cad!$C$32,IF($D466="V02",cad!$D$32,cad!$E$32)))</f>
        <v/>
      </c>
      <c r="J466" t="str">
        <f>IF($A466="","",IF($D466="V01",cad!$C$33,IF($D466="V02",cad!$D$33,cad!$E$33)))</f>
        <v/>
      </c>
      <c r="K466" t="str">
        <f>IF($A466="","",IF($D466="V01",cad!$C$34,IF($D466="V02",cad!$D$34,cad!$E$34)))</f>
        <v/>
      </c>
      <c r="L466" t="str">
        <f>IF($A466="","",IF($D466="V01",cad!$C$35,IF($D466="V02",cad!$D$35,cad!$E$35)))</f>
        <v/>
      </c>
      <c r="M466" t="str">
        <f>IF($A466="","",IF($D466="V01",cad!$C$36,IF($D466="V02",cad!$D$36,cad!$E$36)))</f>
        <v/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 t="str">
        <f>IF($A467="","",IF($D467="V01",cad!$C$23,IF($D467="V02",cad!$D$23,cad!$E$23)))</f>
        <v/>
      </c>
      <c r="H467" t="str">
        <f>IF($A467="","",IF($D467="V01",cad!$C$24,IF($D467="V02",cad!$D$24,cad!$E$24)))</f>
        <v/>
      </c>
      <c r="I467" t="str">
        <f>IF($A467="","",IF($D467="V01",cad!$C$32,IF($D467="V02",cad!$D$32,cad!$E$32)))</f>
        <v/>
      </c>
      <c r="J467" t="str">
        <f>IF($A467="","",IF($D467="V01",cad!$C$33,IF($D467="V02",cad!$D$33,cad!$E$33)))</f>
        <v/>
      </c>
      <c r="K467" t="str">
        <f>IF($A467="","",IF($D467="V01",cad!$C$34,IF($D467="V02",cad!$D$34,cad!$E$34)))</f>
        <v/>
      </c>
      <c r="L467" t="str">
        <f>IF($A467="","",IF($D467="V01",cad!$C$35,IF($D467="V02",cad!$D$35,cad!$E$35)))</f>
        <v/>
      </c>
      <c r="M467" t="str">
        <f>IF($A467="","",IF($D467="V01",cad!$C$36,IF($D467="V02",cad!$D$36,cad!$E$36)))</f>
        <v/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 t="str">
        <f>IF($A468="","",IF($D468="V01",cad!$C$23,IF($D468="V02",cad!$D$23,cad!$E$23)))</f>
        <v/>
      </c>
      <c r="H468" t="str">
        <f>IF($A468="","",IF($D468="V01",cad!$C$24,IF($D468="V02",cad!$D$24,cad!$E$24)))</f>
        <v/>
      </c>
      <c r="I468" t="str">
        <f>IF($A468="","",IF($D468="V01",cad!$C$32,IF($D468="V02",cad!$D$32,cad!$E$32)))</f>
        <v/>
      </c>
      <c r="J468" t="str">
        <f>IF($A468="","",IF($D468="V01",cad!$C$33,IF($D468="V02",cad!$D$33,cad!$E$33)))</f>
        <v/>
      </c>
      <c r="K468" t="str">
        <f>IF($A468="","",IF($D468="V01",cad!$C$34,IF($D468="V02",cad!$D$34,cad!$E$34)))</f>
        <v/>
      </c>
      <c r="L468" t="str">
        <f>IF($A468="","",IF($D468="V01",cad!$C$35,IF($D468="V02",cad!$D$35,cad!$E$35)))</f>
        <v/>
      </c>
      <c r="M468" t="str">
        <f>IF($A468="","",IF($D468="V01",cad!$C$36,IF($D468="V02",cad!$D$36,cad!$E$36)))</f>
        <v/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 t="str">
        <f>IF($A469="","",IF($D469="V01",cad!$C$23,IF($D469="V02",cad!$D$23,cad!$E$23)))</f>
        <v/>
      </c>
      <c r="H469" t="str">
        <f>IF($A469="","",IF($D469="V01",cad!$C$24,IF($D469="V02",cad!$D$24,cad!$E$24)))</f>
        <v/>
      </c>
      <c r="I469" t="str">
        <f>IF($A469="","",IF($D469="V01",cad!$C$32,IF($D469="V02",cad!$D$32,cad!$E$32)))</f>
        <v/>
      </c>
      <c r="J469" t="str">
        <f>IF($A469="","",IF($D469="V01",cad!$C$33,IF($D469="V02",cad!$D$33,cad!$E$33)))</f>
        <v/>
      </c>
      <c r="K469" t="str">
        <f>IF($A469="","",IF($D469="V01",cad!$C$34,IF($D469="V02",cad!$D$34,cad!$E$34)))</f>
        <v/>
      </c>
      <c r="L469" t="str">
        <f>IF($A469="","",IF($D469="V01",cad!$C$35,IF($D469="V02",cad!$D$35,cad!$E$35)))</f>
        <v/>
      </c>
      <c r="M469" t="str">
        <f>IF($A469="","",IF($D469="V01",cad!$C$36,IF($D469="V02",cad!$D$36,cad!$E$36)))</f>
        <v/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 t="str">
        <f>IF($A470="","",IF($D470="V01",cad!$C$23,IF($D470="V02",cad!$D$23,cad!$E$23)))</f>
        <v/>
      </c>
      <c r="H470" t="str">
        <f>IF($A470="","",IF($D470="V01",cad!$C$24,IF($D470="V02",cad!$D$24,cad!$E$24)))</f>
        <v/>
      </c>
      <c r="I470" t="str">
        <f>IF($A470="","",IF($D470="V01",cad!$C$32,IF($D470="V02",cad!$D$32,cad!$E$32)))</f>
        <v/>
      </c>
      <c r="J470" t="str">
        <f>IF($A470="","",IF($D470="V01",cad!$C$33,IF($D470="V02",cad!$D$33,cad!$E$33)))</f>
        <v/>
      </c>
      <c r="K470" t="str">
        <f>IF($A470="","",IF($D470="V01",cad!$C$34,IF($D470="V02",cad!$D$34,cad!$E$34)))</f>
        <v/>
      </c>
      <c r="L470" t="str">
        <f>IF($A470="","",IF($D470="V01",cad!$C$35,IF($D470="V02",cad!$D$35,cad!$E$35)))</f>
        <v/>
      </c>
      <c r="M470" t="str">
        <f>IF($A470="","",IF($D470="V01",cad!$C$36,IF($D470="V02",cad!$D$36,cad!$E$36)))</f>
        <v/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 t="str">
        <f>IF($A471="","",IF($D471="V01",cad!$C$23,IF($D471="V02",cad!$D$23,cad!$E$23)))</f>
        <v/>
      </c>
      <c r="H471" t="str">
        <f>IF($A471="","",IF($D471="V01",cad!$C$24,IF($D471="V02",cad!$D$24,cad!$E$24)))</f>
        <v/>
      </c>
      <c r="I471" t="str">
        <f>IF($A471="","",IF($D471="V01",cad!$C$32,IF($D471="V02",cad!$D$32,cad!$E$32)))</f>
        <v/>
      </c>
      <c r="J471" t="str">
        <f>IF($A471="","",IF($D471="V01",cad!$C$33,IF($D471="V02",cad!$D$33,cad!$E$33)))</f>
        <v/>
      </c>
      <c r="K471" t="str">
        <f>IF($A471="","",IF($D471="V01",cad!$C$34,IF($D471="V02",cad!$D$34,cad!$E$34)))</f>
        <v/>
      </c>
      <c r="L471" t="str">
        <f>IF($A471="","",IF($D471="V01",cad!$C$35,IF($D471="V02",cad!$D$35,cad!$E$35)))</f>
        <v/>
      </c>
      <c r="M471" t="str">
        <f>IF($A471="","",IF($D471="V01",cad!$C$36,IF($D471="V02",cad!$D$36,cad!$E$36)))</f>
        <v/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 t="str">
        <f>IF($A472="","",IF($D472="V01",cad!$C$23,IF($D472="V02",cad!$D$23,cad!$E$23)))</f>
        <v/>
      </c>
      <c r="H472" t="str">
        <f>IF($A472="","",IF($D472="V01",cad!$C$24,IF($D472="V02",cad!$D$24,cad!$E$24)))</f>
        <v/>
      </c>
      <c r="I472" t="str">
        <f>IF($A472="","",IF($D472="V01",cad!$C$32,IF($D472="V02",cad!$D$32,cad!$E$32)))</f>
        <v/>
      </c>
      <c r="J472" t="str">
        <f>IF($A472="","",IF($D472="V01",cad!$C$33,IF($D472="V02",cad!$D$33,cad!$E$33)))</f>
        <v/>
      </c>
      <c r="K472" t="str">
        <f>IF($A472="","",IF($D472="V01",cad!$C$34,IF($D472="V02",cad!$D$34,cad!$E$34)))</f>
        <v/>
      </c>
      <c r="L472" t="str">
        <f>IF($A472="","",IF($D472="V01",cad!$C$35,IF($D472="V02",cad!$D$35,cad!$E$35)))</f>
        <v/>
      </c>
      <c r="M472" t="str">
        <f>IF($A472="","",IF($D472="V01",cad!$C$36,IF($D472="V02",cad!$D$36,cad!$E$36)))</f>
        <v/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 t="str">
        <f>IF($A473="","",IF($D473="V01",cad!$C$23,IF($D473="V02",cad!$D$23,cad!$E$23)))</f>
        <v/>
      </c>
      <c r="H473" t="str">
        <f>IF($A473="","",IF($D473="V01",cad!$C$24,IF($D473="V02",cad!$D$24,cad!$E$24)))</f>
        <v/>
      </c>
      <c r="I473" t="str">
        <f>IF($A473="","",IF($D473="V01",cad!$C$32,IF($D473="V02",cad!$D$32,cad!$E$32)))</f>
        <v/>
      </c>
      <c r="J473" t="str">
        <f>IF($A473="","",IF($D473="V01",cad!$C$33,IF($D473="V02",cad!$D$33,cad!$E$33)))</f>
        <v/>
      </c>
      <c r="K473" t="str">
        <f>IF($A473="","",IF($D473="V01",cad!$C$34,IF($D473="V02",cad!$D$34,cad!$E$34)))</f>
        <v/>
      </c>
      <c r="L473" t="str">
        <f>IF($A473="","",IF($D473="V01",cad!$C$35,IF($D473="V02",cad!$D$35,cad!$E$35)))</f>
        <v/>
      </c>
      <c r="M473" t="str">
        <f>IF($A473="","",IF($D473="V01",cad!$C$36,IF($D473="V02",cad!$D$36,cad!$E$36)))</f>
        <v/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 t="str">
        <f>IF($A474="","",IF($D474="V01",cad!$C$23,IF($D474="V02",cad!$D$23,cad!$E$23)))</f>
        <v/>
      </c>
      <c r="H474" t="str">
        <f>IF($A474="","",IF($D474="V01",cad!$C$24,IF($D474="V02",cad!$D$24,cad!$E$24)))</f>
        <v/>
      </c>
      <c r="I474" t="str">
        <f>IF($A474="","",IF($D474="V01",cad!$C$32,IF($D474="V02",cad!$D$32,cad!$E$32)))</f>
        <v/>
      </c>
      <c r="J474" t="str">
        <f>IF($A474="","",IF($D474="V01",cad!$C$33,IF($D474="V02",cad!$D$33,cad!$E$33)))</f>
        <v/>
      </c>
      <c r="K474" t="str">
        <f>IF($A474="","",IF($D474="V01",cad!$C$34,IF($D474="V02",cad!$D$34,cad!$E$34)))</f>
        <v/>
      </c>
      <c r="L474" t="str">
        <f>IF($A474="","",IF($D474="V01",cad!$C$35,IF($D474="V02",cad!$D$35,cad!$E$35)))</f>
        <v/>
      </c>
      <c r="M474" t="str">
        <f>IF($A474="","",IF($D474="V01",cad!$C$36,IF($D474="V02",cad!$D$36,cad!$E$36)))</f>
        <v/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 t="str">
        <f>IF($A475="","",IF($D475="V01",cad!$C$23,IF($D475="V02",cad!$D$23,cad!$E$23)))</f>
        <v/>
      </c>
      <c r="H475" t="str">
        <f>IF($A475="","",IF($D475="V01",cad!$C$24,IF($D475="V02",cad!$D$24,cad!$E$24)))</f>
        <v/>
      </c>
      <c r="I475" t="str">
        <f>IF($A475="","",IF($D475="V01",cad!$C$32,IF($D475="V02",cad!$D$32,cad!$E$32)))</f>
        <v/>
      </c>
      <c r="J475" t="str">
        <f>IF($A475="","",IF($D475="V01",cad!$C$33,IF($D475="V02",cad!$D$33,cad!$E$33)))</f>
        <v/>
      </c>
      <c r="K475" t="str">
        <f>IF($A475="","",IF($D475="V01",cad!$C$34,IF($D475="V02",cad!$D$34,cad!$E$34)))</f>
        <v/>
      </c>
      <c r="L475" t="str">
        <f>IF($A475="","",IF($D475="V01",cad!$C$35,IF($D475="V02",cad!$D$35,cad!$E$35)))</f>
        <v/>
      </c>
      <c r="M475" t="str">
        <f>IF($A475="","",IF($D475="V01",cad!$C$36,IF($D475="V02",cad!$D$36,cad!$E$36)))</f>
        <v/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 t="str">
        <f>IF($A476="","",IF($D476="V01",cad!$C$23,IF($D476="V02",cad!$D$23,cad!$E$23)))</f>
        <v/>
      </c>
      <c r="H476" t="str">
        <f>IF($A476="","",IF($D476="V01",cad!$C$24,IF($D476="V02",cad!$D$24,cad!$E$24)))</f>
        <v/>
      </c>
      <c r="I476" t="str">
        <f>IF($A476="","",IF($D476="V01",cad!$C$32,IF($D476="V02",cad!$D$32,cad!$E$32)))</f>
        <v/>
      </c>
      <c r="J476" t="str">
        <f>IF($A476="","",IF($D476="V01",cad!$C$33,IF($D476="V02",cad!$D$33,cad!$E$33)))</f>
        <v/>
      </c>
      <c r="K476" t="str">
        <f>IF($A476="","",IF($D476="V01",cad!$C$34,IF($D476="V02",cad!$D$34,cad!$E$34)))</f>
        <v/>
      </c>
      <c r="L476" t="str">
        <f>IF($A476="","",IF($D476="V01",cad!$C$35,IF($D476="V02",cad!$D$35,cad!$E$35)))</f>
        <v/>
      </c>
      <c r="M476" t="str">
        <f>IF($A476="","",IF($D476="V01",cad!$C$36,IF($D476="V02",cad!$D$36,cad!$E$36)))</f>
        <v/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 t="str">
        <f>IF($A477="","",IF($D477="V01",cad!$C$23,IF($D477="V02",cad!$D$23,cad!$E$23)))</f>
        <v/>
      </c>
      <c r="H477" t="str">
        <f>IF($A477="","",IF($D477="V01",cad!$C$24,IF($D477="V02",cad!$D$24,cad!$E$24)))</f>
        <v/>
      </c>
      <c r="I477" t="str">
        <f>IF($A477="","",IF($D477="V01",cad!$C$32,IF($D477="V02",cad!$D$32,cad!$E$32)))</f>
        <v/>
      </c>
      <c r="J477" t="str">
        <f>IF($A477="","",IF($D477="V01",cad!$C$33,IF($D477="V02",cad!$D$33,cad!$E$33)))</f>
        <v/>
      </c>
      <c r="K477" t="str">
        <f>IF($A477="","",IF($D477="V01",cad!$C$34,IF($D477="V02",cad!$D$34,cad!$E$34)))</f>
        <v/>
      </c>
      <c r="L477" t="str">
        <f>IF($A477="","",IF($D477="V01",cad!$C$35,IF($D477="V02",cad!$D$35,cad!$E$35)))</f>
        <v/>
      </c>
      <c r="M477" t="str">
        <f>IF($A477="","",IF($D477="V01",cad!$C$36,IF($D477="V02",cad!$D$36,cad!$E$36)))</f>
        <v/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 t="str">
        <f>IF($A478="","",IF($D478="V01",cad!$C$23,IF($D478="V02",cad!$D$23,cad!$E$23)))</f>
        <v/>
      </c>
      <c r="H478" t="str">
        <f>IF($A478="","",IF($D478="V01",cad!$C$24,IF($D478="V02",cad!$D$24,cad!$E$24)))</f>
        <v/>
      </c>
      <c r="I478" t="str">
        <f>IF($A478="","",IF($D478="V01",cad!$C$32,IF($D478="V02",cad!$D$32,cad!$E$32)))</f>
        <v/>
      </c>
      <c r="J478" t="str">
        <f>IF($A478="","",IF($D478="V01",cad!$C$33,IF($D478="V02",cad!$D$33,cad!$E$33)))</f>
        <v/>
      </c>
      <c r="K478" t="str">
        <f>IF($A478="","",IF($D478="V01",cad!$C$34,IF($D478="V02",cad!$D$34,cad!$E$34)))</f>
        <v/>
      </c>
      <c r="L478" t="str">
        <f>IF($A478="","",IF($D478="V01",cad!$C$35,IF($D478="V02",cad!$D$35,cad!$E$35)))</f>
        <v/>
      </c>
      <c r="M478" t="str">
        <f>IF($A478="","",IF($D478="V01",cad!$C$36,IF($D478="V02",cad!$D$36,cad!$E$36)))</f>
        <v/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 t="str">
        <f>IF($A479="","",IF($D479="V01",cad!$C$23,IF($D479="V02",cad!$D$23,cad!$E$23)))</f>
        <v/>
      </c>
      <c r="H479" t="str">
        <f>IF($A479="","",IF($D479="V01",cad!$C$24,IF($D479="V02",cad!$D$24,cad!$E$24)))</f>
        <v/>
      </c>
      <c r="I479" t="str">
        <f>IF($A479="","",IF($D479="V01",cad!$C$32,IF($D479="V02",cad!$D$32,cad!$E$32)))</f>
        <v/>
      </c>
      <c r="J479" t="str">
        <f>IF($A479="","",IF($D479="V01",cad!$C$33,IF($D479="V02",cad!$D$33,cad!$E$33)))</f>
        <v/>
      </c>
      <c r="K479" t="str">
        <f>IF($A479="","",IF($D479="V01",cad!$C$34,IF($D479="V02",cad!$D$34,cad!$E$34)))</f>
        <v/>
      </c>
      <c r="L479" t="str">
        <f>IF($A479="","",IF($D479="V01",cad!$C$35,IF($D479="V02",cad!$D$35,cad!$E$35)))</f>
        <v/>
      </c>
      <c r="M479" t="str">
        <f>IF($A479="","",IF($D479="V01",cad!$C$36,IF($D479="V02",cad!$D$36,cad!$E$36)))</f>
        <v/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 t="str">
        <f>IF($A480="","",IF($D480="V01",cad!$C$23,IF($D480="V02",cad!$D$23,cad!$E$23)))</f>
        <v/>
      </c>
      <c r="H480" t="str">
        <f>IF($A480="","",IF($D480="V01",cad!$C$24,IF($D480="V02",cad!$D$24,cad!$E$24)))</f>
        <v/>
      </c>
      <c r="I480" t="str">
        <f>IF($A480="","",IF($D480="V01",cad!$C$32,IF($D480="V02",cad!$D$32,cad!$E$32)))</f>
        <v/>
      </c>
      <c r="J480" t="str">
        <f>IF($A480="","",IF($D480="V01",cad!$C$33,IF($D480="V02",cad!$D$33,cad!$E$33)))</f>
        <v/>
      </c>
      <c r="K480" t="str">
        <f>IF($A480="","",IF($D480="V01",cad!$C$34,IF($D480="V02",cad!$D$34,cad!$E$34)))</f>
        <v/>
      </c>
      <c r="L480" t="str">
        <f>IF($A480="","",IF($D480="V01",cad!$C$35,IF($D480="V02",cad!$D$35,cad!$E$35)))</f>
        <v/>
      </c>
      <c r="M480" t="str">
        <f>IF($A480="","",IF($D480="V01",cad!$C$36,IF($D480="V02",cad!$D$36,cad!$E$36)))</f>
        <v/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 t="str">
        <f>IF($A481="","",IF($D481="V01",cad!$C$23,IF($D481="V02",cad!$D$23,cad!$E$23)))</f>
        <v/>
      </c>
      <c r="H481" t="str">
        <f>IF($A481="","",IF($D481="V01",cad!$C$24,IF($D481="V02",cad!$D$24,cad!$E$24)))</f>
        <v/>
      </c>
      <c r="I481" t="str">
        <f>IF($A481="","",IF($D481="V01",cad!$C$32,IF($D481="V02",cad!$D$32,cad!$E$32)))</f>
        <v/>
      </c>
      <c r="J481" t="str">
        <f>IF($A481="","",IF($D481="V01",cad!$C$33,IF($D481="V02",cad!$D$33,cad!$E$33)))</f>
        <v/>
      </c>
      <c r="K481" t="str">
        <f>IF($A481="","",IF($D481="V01",cad!$C$34,IF($D481="V02",cad!$D$34,cad!$E$34)))</f>
        <v/>
      </c>
      <c r="L481" t="str">
        <f>IF($A481="","",IF($D481="V01",cad!$C$35,IF($D481="V02",cad!$D$35,cad!$E$35)))</f>
        <v/>
      </c>
      <c r="M481" t="str">
        <f>IF($A481="","",IF($D481="V01",cad!$C$36,IF($D481="V02",cad!$D$36,cad!$E$36)))</f>
        <v/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 t="str">
        <f>IF($A482="","",IF($D482="V01",cad!$C$23,IF($D482="V02",cad!$D$23,cad!$E$23)))</f>
        <v/>
      </c>
      <c r="H482" t="str">
        <f>IF($A482="","",IF($D482="V01",cad!$C$24,IF($D482="V02",cad!$D$24,cad!$E$24)))</f>
        <v/>
      </c>
      <c r="I482" t="str">
        <f>IF($A482="","",IF($D482="V01",cad!$C$32,IF($D482="V02",cad!$D$32,cad!$E$32)))</f>
        <v/>
      </c>
      <c r="J482" t="str">
        <f>IF($A482="","",IF($D482="V01",cad!$C$33,IF($D482="V02",cad!$D$33,cad!$E$33)))</f>
        <v/>
      </c>
      <c r="K482" t="str">
        <f>IF($A482="","",IF($D482="V01",cad!$C$34,IF($D482="V02",cad!$D$34,cad!$E$34)))</f>
        <v/>
      </c>
      <c r="L482" t="str">
        <f>IF($A482="","",IF($D482="V01",cad!$C$35,IF($D482="V02",cad!$D$35,cad!$E$35)))</f>
        <v/>
      </c>
      <c r="M482" t="str">
        <f>IF($A482="","",IF($D482="V01",cad!$C$36,IF($D482="V02",cad!$D$36,cad!$E$36)))</f>
        <v/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 t="str">
        <f>IF($A483="","",IF($D483="V01",cad!$C$23,IF($D483="V02",cad!$D$23,cad!$E$23)))</f>
        <v/>
      </c>
      <c r="H483" t="str">
        <f>IF($A483="","",IF($D483="V01",cad!$C$24,IF($D483="V02",cad!$D$24,cad!$E$24)))</f>
        <v/>
      </c>
      <c r="I483" t="str">
        <f>IF($A483="","",IF($D483="V01",cad!$C$32,IF($D483="V02",cad!$D$32,cad!$E$32)))</f>
        <v/>
      </c>
      <c r="J483" t="str">
        <f>IF($A483="","",IF($D483="V01",cad!$C$33,IF($D483="V02",cad!$D$33,cad!$E$33)))</f>
        <v/>
      </c>
      <c r="K483" t="str">
        <f>IF($A483="","",IF($D483="V01",cad!$C$34,IF($D483="V02",cad!$D$34,cad!$E$34)))</f>
        <v/>
      </c>
      <c r="L483" t="str">
        <f>IF($A483="","",IF($D483="V01",cad!$C$35,IF($D483="V02",cad!$D$35,cad!$E$35)))</f>
        <v/>
      </c>
      <c r="M483" t="str">
        <f>IF($A483="","",IF($D483="V01",cad!$C$36,IF($D483="V02",cad!$D$36,cad!$E$36)))</f>
        <v/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 t="str">
        <f>IF($A484="","",IF($D484="V01",cad!$C$23,IF($D484="V02",cad!$D$23,cad!$E$23)))</f>
        <v/>
      </c>
      <c r="H484" t="str">
        <f>IF($A484="","",IF($D484="V01",cad!$C$24,IF($D484="V02",cad!$D$24,cad!$E$24)))</f>
        <v/>
      </c>
      <c r="I484" t="str">
        <f>IF($A484="","",IF($D484="V01",cad!$C$32,IF($D484="V02",cad!$D$32,cad!$E$32)))</f>
        <v/>
      </c>
      <c r="J484" t="str">
        <f>IF($A484="","",IF($D484="V01",cad!$C$33,IF($D484="V02",cad!$D$33,cad!$E$33)))</f>
        <v/>
      </c>
      <c r="K484" t="str">
        <f>IF($A484="","",IF($D484="V01",cad!$C$34,IF($D484="V02",cad!$D$34,cad!$E$34)))</f>
        <v/>
      </c>
      <c r="L484" t="str">
        <f>IF($A484="","",IF($D484="V01",cad!$C$35,IF($D484="V02",cad!$D$35,cad!$E$35)))</f>
        <v/>
      </c>
      <c r="M484" t="str">
        <f>IF($A484="","",IF($D484="V01",cad!$C$36,IF($D484="V02",cad!$D$36,cad!$E$36)))</f>
        <v/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 t="str">
        <f>IF($A485="","",IF($D485="V01",cad!$C$23,IF($D485="V02",cad!$D$23,cad!$E$23)))</f>
        <v/>
      </c>
      <c r="H485" t="str">
        <f>IF($A485="","",IF($D485="V01",cad!$C$24,IF($D485="V02",cad!$D$24,cad!$E$24)))</f>
        <v/>
      </c>
      <c r="I485" t="str">
        <f>IF($A485="","",IF($D485="V01",cad!$C$32,IF($D485="V02",cad!$D$32,cad!$E$32)))</f>
        <v/>
      </c>
      <c r="J485" t="str">
        <f>IF($A485="","",IF($D485="V01",cad!$C$33,IF($D485="V02",cad!$D$33,cad!$E$33)))</f>
        <v/>
      </c>
      <c r="K485" t="str">
        <f>IF($A485="","",IF($D485="V01",cad!$C$34,IF($D485="V02",cad!$D$34,cad!$E$34)))</f>
        <v/>
      </c>
      <c r="L485" t="str">
        <f>IF($A485="","",IF($D485="V01",cad!$C$35,IF($D485="V02",cad!$D$35,cad!$E$35)))</f>
        <v/>
      </c>
      <c r="M485" t="str">
        <f>IF($A485="","",IF($D485="V01",cad!$C$36,IF($D485="V02",cad!$D$36,cad!$E$36)))</f>
        <v/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 t="str">
        <f>IF($A486="","",IF($D486="V01",cad!$C$23,IF($D486="V02",cad!$D$23,cad!$E$23)))</f>
        <v/>
      </c>
      <c r="H486" t="str">
        <f>IF($A486="","",IF($D486="V01",cad!$C$24,IF($D486="V02",cad!$D$24,cad!$E$24)))</f>
        <v/>
      </c>
      <c r="I486" t="str">
        <f>IF($A486="","",IF($D486="V01",cad!$C$32,IF($D486="V02",cad!$D$32,cad!$E$32)))</f>
        <v/>
      </c>
      <c r="J486" t="str">
        <f>IF($A486="","",IF($D486="V01",cad!$C$33,IF($D486="V02",cad!$D$33,cad!$E$33)))</f>
        <v/>
      </c>
      <c r="K486" t="str">
        <f>IF($A486="","",IF($D486="V01",cad!$C$34,IF($D486="V02",cad!$D$34,cad!$E$34)))</f>
        <v/>
      </c>
      <c r="L486" t="str">
        <f>IF($A486="","",IF($D486="V01",cad!$C$35,IF($D486="V02",cad!$D$35,cad!$E$35)))</f>
        <v/>
      </c>
      <c r="M486" t="str">
        <f>IF($A486="","",IF($D486="V01",cad!$C$36,IF($D486="V02",cad!$D$36,cad!$E$36)))</f>
        <v/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 t="str">
        <f>IF($A487="","",IF($D487="V01",cad!$C$23,IF($D487="V02",cad!$D$23,cad!$E$23)))</f>
        <v/>
      </c>
      <c r="H487" t="str">
        <f>IF($A487="","",IF($D487="V01",cad!$C$24,IF($D487="V02",cad!$D$24,cad!$E$24)))</f>
        <v/>
      </c>
      <c r="I487" t="str">
        <f>IF($A487="","",IF($D487="V01",cad!$C$32,IF($D487="V02",cad!$D$32,cad!$E$32)))</f>
        <v/>
      </c>
      <c r="J487" t="str">
        <f>IF($A487="","",IF($D487="V01",cad!$C$33,IF($D487="V02",cad!$D$33,cad!$E$33)))</f>
        <v/>
      </c>
      <c r="K487" t="str">
        <f>IF($A487="","",IF($D487="V01",cad!$C$34,IF($D487="V02",cad!$D$34,cad!$E$34)))</f>
        <v/>
      </c>
      <c r="L487" t="str">
        <f>IF($A487="","",IF($D487="V01",cad!$C$35,IF($D487="V02",cad!$D$35,cad!$E$35)))</f>
        <v/>
      </c>
      <c r="M487" t="str">
        <f>IF($A487="","",IF($D487="V01",cad!$C$36,IF($D487="V02",cad!$D$36,cad!$E$36)))</f>
        <v/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 t="str">
        <f>IF($A488="","",IF($D488="V01",cad!$C$23,IF($D488="V02",cad!$D$23,cad!$E$23)))</f>
        <v/>
      </c>
      <c r="H488" t="str">
        <f>IF($A488="","",IF($D488="V01",cad!$C$24,IF($D488="V02",cad!$D$24,cad!$E$24)))</f>
        <v/>
      </c>
      <c r="I488" t="str">
        <f>IF($A488="","",IF($D488="V01",cad!$C$32,IF($D488="V02",cad!$D$32,cad!$E$32)))</f>
        <v/>
      </c>
      <c r="J488" t="str">
        <f>IF($A488="","",IF($D488="V01",cad!$C$33,IF($D488="V02",cad!$D$33,cad!$E$33)))</f>
        <v/>
      </c>
      <c r="K488" t="str">
        <f>IF($A488="","",IF($D488="V01",cad!$C$34,IF($D488="V02",cad!$D$34,cad!$E$34)))</f>
        <v/>
      </c>
      <c r="L488" t="str">
        <f>IF($A488="","",IF($D488="V01",cad!$C$35,IF($D488="V02",cad!$D$35,cad!$E$35)))</f>
        <v/>
      </c>
      <c r="M488" t="str">
        <f>IF($A488="","",IF($D488="V01",cad!$C$36,IF($D488="V02",cad!$D$36,cad!$E$36)))</f>
        <v/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 t="str">
        <f>IF($A489="","",IF($D489="V01",cad!$C$23,IF($D489="V02",cad!$D$23,cad!$E$23)))</f>
        <v/>
      </c>
      <c r="H489" t="str">
        <f>IF($A489="","",IF($D489="V01",cad!$C$24,IF($D489="V02",cad!$D$24,cad!$E$24)))</f>
        <v/>
      </c>
      <c r="I489" t="str">
        <f>IF($A489="","",IF($D489="V01",cad!$C$32,IF($D489="V02",cad!$D$32,cad!$E$32)))</f>
        <v/>
      </c>
      <c r="J489" t="str">
        <f>IF($A489="","",IF($D489="V01",cad!$C$33,IF($D489="V02",cad!$D$33,cad!$E$33)))</f>
        <v/>
      </c>
      <c r="K489" t="str">
        <f>IF($A489="","",IF($D489="V01",cad!$C$34,IF($D489="V02",cad!$D$34,cad!$E$34)))</f>
        <v/>
      </c>
      <c r="L489" t="str">
        <f>IF($A489="","",IF($D489="V01",cad!$C$35,IF($D489="V02",cad!$D$35,cad!$E$35)))</f>
        <v/>
      </c>
      <c r="M489" t="str">
        <f>IF($A489="","",IF($D489="V01",cad!$C$36,IF($D489="V02",cad!$D$36,cad!$E$36)))</f>
        <v/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 t="str">
        <f>IF($A490="","",IF($D490="V01",cad!$C$23,IF($D490="V02",cad!$D$23,cad!$E$23)))</f>
        <v/>
      </c>
      <c r="H490" t="str">
        <f>IF($A490="","",IF($D490="V01",cad!$C$24,IF($D490="V02",cad!$D$24,cad!$E$24)))</f>
        <v/>
      </c>
      <c r="I490" t="str">
        <f>IF($A490="","",IF($D490="V01",cad!$C$32,IF($D490="V02",cad!$D$32,cad!$E$32)))</f>
        <v/>
      </c>
      <c r="J490" t="str">
        <f>IF($A490="","",IF($D490="V01",cad!$C$33,IF($D490="V02",cad!$D$33,cad!$E$33)))</f>
        <v/>
      </c>
      <c r="K490" t="str">
        <f>IF($A490="","",IF($D490="V01",cad!$C$34,IF($D490="V02",cad!$D$34,cad!$E$34)))</f>
        <v/>
      </c>
      <c r="L490" t="str">
        <f>IF($A490="","",IF($D490="V01",cad!$C$35,IF($D490="V02",cad!$D$35,cad!$E$35)))</f>
        <v/>
      </c>
      <c r="M490" t="str">
        <f>IF($A490="","",IF($D490="V01",cad!$C$36,IF($D490="V02",cad!$D$36,cad!$E$36)))</f>
        <v/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 t="str">
        <f>IF($A491="","",IF($D491="V01",cad!$C$23,IF($D491="V02",cad!$D$23,cad!$E$23)))</f>
        <v/>
      </c>
      <c r="H491" t="str">
        <f>IF($A491="","",IF($D491="V01",cad!$C$24,IF($D491="V02",cad!$D$24,cad!$E$24)))</f>
        <v/>
      </c>
      <c r="I491" t="str">
        <f>IF($A491="","",IF($D491="V01",cad!$C$32,IF($D491="V02",cad!$D$32,cad!$E$32)))</f>
        <v/>
      </c>
      <c r="J491" t="str">
        <f>IF($A491="","",IF($D491="V01",cad!$C$33,IF($D491="V02",cad!$D$33,cad!$E$33)))</f>
        <v/>
      </c>
      <c r="K491" t="str">
        <f>IF($A491="","",IF($D491="V01",cad!$C$34,IF($D491="V02",cad!$D$34,cad!$E$34)))</f>
        <v/>
      </c>
      <c r="L491" t="str">
        <f>IF($A491="","",IF($D491="V01",cad!$C$35,IF($D491="V02",cad!$D$35,cad!$E$35)))</f>
        <v/>
      </c>
      <c r="M491" t="str">
        <f>IF($A491="","",IF($D491="V01",cad!$C$36,IF($D491="V02",cad!$D$36,cad!$E$36)))</f>
        <v/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 t="str">
        <f>IF($A492="","",IF($D492="V01",cad!$C$23,IF($D492="V02",cad!$D$23,cad!$E$23)))</f>
        <v/>
      </c>
      <c r="H492" t="str">
        <f>IF($A492="","",IF($D492="V01",cad!$C$24,IF($D492="V02",cad!$D$24,cad!$E$24)))</f>
        <v/>
      </c>
      <c r="I492" t="str">
        <f>IF($A492="","",IF($D492="V01",cad!$C$32,IF($D492="V02",cad!$D$32,cad!$E$32)))</f>
        <v/>
      </c>
      <c r="J492" t="str">
        <f>IF($A492="","",IF($D492="V01",cad!$C$33,IF($D492="V02",cad!$D$33,cad!$E$33)))</f>
        <v/>
      </c>
      <c r="K492" t="str">
        <f>IF($A492="","",IF($D492="V01",cad!$C$34,IF($D492="V02",cad!$D$34,cad!$E$34)))</f>
        <v/>
      </c>
      <c r="L492" t="str">
        <f>IF($A492="","",IF($D492="V01",cad!$C$35,IF($D492="V02",cad!$D$35,cad!$E$35)))</f>
        <v/>
      </c>
      <c r="M492" t="str">
        <f>IF($A492="","",IF($D492="V01",cad!$C$36,IF($D492="V02",cad!$D$36,cad!$E$36)))</f>
        <v/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 t="str">
        <f>IF($A493="","",IF($D493="V01",cad!$C$23,IF($D493="V02",cad!$D$23,cad!$E$23)))</f>
        <v/>
      </c>
      <c r="H493" t="str">
        <f>IF($A493="","",IF($D493="V01",cad!$C$24,IF($D493="V02",cad!$D$24,cad!$E$24)))</f>
        <v/>
      </c>
      <c r="I493" t="str">
        <f>IF($A493="","",IF($D493="V01",cad!$C$32,IF($D493="V02",cad!$D$32,cad!$E$32)))</f>
        <v/>
      </c>
      <c r="J493" t="str">
        <f>IF($A493="","",IF($D493="V01",cad!$C$33,IF($D493="V02",cad!$D$33,cad!$E$33)))</f>
        <v/>
      </c>
      <c r="K493" t="str">
        <f>IF($A493="","",IF($D493="V01",cad!$C$34,IF($D493="V02",cad!$D$34,cad!$E$34)))</f>
        <v/>
      </c>
      <c r="L493" t="str">
        <f>IF($A493="","",IF($D493="V01",cad!$C$35,IF($D493="V02",cad!$D$35,cad!$E$35)))</f>
        <v/>
      </c>
      <c r="M493" t="str">
        <f>IF($A493="","",IF($D493="V01",cad!$C$36,IF($D493="V02",cad!$D$36,cad!$E$36)))</f>
        <v/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 t="str">
        <f>IF($A494="","",IF($D494="V01",cad!$C$23,IF($D494="V02",cad!$D$23,cad!$E$23)))</f>
        <v/>
      </c>
      <c r="H494" t="str">
        <f>IF($A494="","",IF($D494="V01",cad!$C$24,IF($D494="V02",cad!$D$24,cad!$E$24)))</f>
        <v/>
      </c>
      <c r="I494" t="str">
        <f>IF($A494="","",IF($D494="V01",cad!$C$32,IF($D494="V02",cad!$D$32,cad!$E$32)))</f>
        <v/>
      </c>
      <c r="J494" t="str">
        <f>IF($A494="","",IF($D494="V01",cad!$C$33,IF($D494="V02",cad!$D$33,cad!$E$33)))</f>
        <v/>
      </c>
      <c r="K494" t="str">
        <f>IF($A494="","",IF($D494="V01",cad!$C$34,IF($D494="V02",cad!$D$34,cad!$E$34)))</f>
        <v/>
      </c>
      <c r="L494" t="str">
        <f>IF($A494="","",IF($D494="V01",cad!$C$35,IF($D494="V02",cad!$D$35,cad!$E$35)))</f>
        <v/>
      </c>
      <c r="M494" t="str">
        <f>IF($A494="","",IF($D494="V01",cad!$C$36,IF($D494="V02",cad!$D$36,cad!$E$36)))</f>
        <v/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 t="str">
        <f>IF($A495="","",IF($D495="V01",cad!$C$23,IF($D495="V02",cad!$D$23,cad!$E$23)))</f>
        <v/>
      </c>
      <c r="H495" t="str">
        <f>IF($A495="","",IF($D495="V01",cad!$C$24,IF($D495="V02",cad!$D$24,cad!$E$24)))</f>
        <v/>
      </c>
      <c r="I495" t="str">
        <f>IF($A495="","",IF($D495="V01",cad!$C$32,IF($D495="V02",cad!$D$32,cad!$E$32)))</f>
        <v/>
      </c>
      <c r="J495" t="str">
        <f>IF($A495="","",IF($D495="V01",cad!$C$33,IF($D495="V02",cad!$D$33,cad!$E$33)))</f>
        <v/>
      </c>
      <c r="K495" t="str">
        <f>IF($A495="","",IF($D495="V01",cad!$C$34,IF($D495="V02",cad!$D$34,cad!$E$34)))</f>
        <v/>
      </c>
      <c r="L495" t="str">
        <f>IF($A495="","",IF($D495="V01",cad!$C$35,IF($D495="V02",cad!$D$35,cad!$E$35)))</f>
        <v/>
      </c>
      <c r="M495" t="str">
        <f>IF($A495="","",IF($D495="V01",cad!$C$36,IF($D495="V02",cad!$D$36,cad!$E$36)))</f>
        <v/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 t="str">
        <f>IF($A496="","",IF($D496="V01",cad!$C$23,IF($D496="V02",cad!$D$23,cad!$E$23)))</f>
        <v/>
      </c>
      <c r="H496" t="str">
        <f>IF($A496="","",IF($D496="V01",cad!$C$24,IF($D496="V02",cad!$D$24,cad!$E$24)))</f>
        <v/>
      </c>
      <c r="I496" t="str">
        <f>IF($A496="","",IF($D496="V01",cad!$C$32,IF($D496="V02",cad!$D$32,cad!$E$32)))</f>
        <v/>
      </c>
      <c r="J496" t="str">
        <f>IF($A496="","",IF($D496="V01",cad!$C$33,IF($D496="V02",cad!$D$33,cad!$E$33)))</f>
        <v/>
      </c>
      <c r="K496" t="str">
        <f>IF($A496="","",IF($D496="V01",cad!$C$34,IF($D496="V02",cad!$D$34,cad!$E$34)))</f>
        <v/>
      </c>
      <c r="L496" t="str">
        <f>IF($A496="","",IF($D496="V01",cad!$C$35,IF($D496="V02",cad!$D$35,cad!$E$35)))</f>
        <v/>
      </c>
      <c r="M496" t="str">
        <f>IF($A496="","",IF($D496="V01",cad!$C$36,IF($D496="V02",cad!$D$36,cad!$E$36)))</f>
        <v/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 t="str">
        <f>IF($A497="","",IF($D497="V01",cad!$C$23,IF($D497="V02",cad!$D$23,cad!$E$23)))</f>
        <v/>
      </c>
      <c r="H497" t="str">
        <f>IF($A497="","",IF($D497="V01",cad!$C$24,IF($D497="V02",cad!$D$24,cad!$E$24)))</f>
        <v/>
      </c>
      <c r="I497" t="str">
        <f>IF($A497="","",IF($D497="V01",cad!$C$32,IF($D497="V02",cad!$D$32,cad!$E$32)))</f>
        <v/>
      </c>
      <c r="J497" t="str">
        <f>IF($A497="","",IF($D497="V01",cad!$C$33,IF($D497="V02",cad!$D$33,cad!$E$33)))</f>
        <v/>
      </c>
      <c r="K497" t="str">
        <f>IF($A497="","",IF($D497="V01",cad!$C$34,IF($D497="V02",cad!$D$34,cad!$E$34)))</f>
        <v/>
      </c>
      <c r="L497" t="str">
        <f>IF($A497="","",IF($D497="V01",cad!$C$35,IF($D497="V02",cad!$D$35,cad!$E$35)))</f>
        <v/>
      </c>
      <c r="M497" t="str">
        <f>IF($A497="","",IF($D497="V01",cad!$C$36,IF($D497="V02",cad!$D$36,cad!$E$36)))</f>
        <v/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 t="str">
        <f>IF($A498="","",IF($D498="V01",cad!$C$23,IF($D498="V02",cad!$D$23,cad!$E$23)))</f>
        <v/>
      </c>
      <c r="H498" t="str">
        <f>IF($A498="","",IF($D498="V01",cad!$C$24,IF($D498="V02",cad!$D$24,cad!$E$24)))</f>
        <v/>
      </c>
      <c r="I498" t="str">
        <f>IF($A498="","",IF($D498="V01",cad!$C$32,IF($D498="V02",cad!$D$32,cad!$E$32)))</f>
        <v/>
      </c>
      <c r="J498" t="str">
        <f>IF($A498="","",IF($D498="V01",cad!$C$33,IF($D498="V02",cad!$D$33,cad!$E$33)))</f>
        <v/>
      </c>
      <c r="K498" t="str">
        <f>IF($A498="","",IF($D498="V01",cad!$C$34,IF($D498="V02",cad!$D$34,cad!$E$34)))</f>
        <v/>
      </c>
      <c r="L498" t="str">
        <f>IF($A498="","",IF($D498="V01",cad!$C$35,IF($D498="V02",cad!$D$35,cad!$E$35)))</f>
        <v/>
      </c>
      <c r="M498" t="str">
        <f>IF($A498="","",IF($D498="V01",cad!$C$36,IF($D498="V02",cad!$D$36,cad!$E$36)))</f>
        <v/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 t="str">
        <f>IF($A499="","",IF($D499="V01",cad!$C$23,IF($D499="V02",cad!$D$23,cad!$E$23)))</f>
        <v/>
      </c>
      <c r="H499" t="str">
        <f>IF($A499="","",IF($D499="V01",cad!$C$24,IF($D499="V02",cad!$D$24,cad!$E$24)))</f>
        <v/>
      </c>
      <c r="I499" t="str">
        <f>IF($A499="","",IF($D499="V01",cad!$C$32,IF($D499="V02",cad!$D$32,cad!$E$32)))</f>
        <v/>
      </c>
      <c r="J499" t="str">
        <f>IF($A499="","",IF($D499="V01",cad!$C$33,IF($D499="V02",cad!$D$33,cad!$E$33)))</f>
        <v/>
      </c>
      <c r="K499" t="str">
        <f>IF($A499="","",IF($D499="V01",cad!$C$34,IF($D499="V02",cad!$D$34,cad!$E$34)))</f>
        <v/>
      </c>
      <c r="L499" t="str">
        <f>IF($A499="","",IF($D499="V01",cad!$C$35,IF($D499="V02",cad!$D$35,cad!$E$35)))</f>
        <v/>
      </c>
      <c r="M499" t="str">
        <f>IF($A499="","",IF($D499="V01",cad!$C$36,IF($D499="V02",cad!$D$36,cad!$E$36)))</f>
        <v/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 t="str">
        <f>IF($A500="","",IF($D500="V01",cad!$C$23,IF($D500="V02",cad!$D$23,cad!$E$23)))</f>
        <v/>
      </c>
      <c r="H500" t="str">
        <f>IF($A500="","",IF($D500="V01",cad!$C$24,IF($D500="V02",cad!$D$24,cad!$E$24)))</f>
        <v/>
      </c>
      <c r="I500" t="str">
        <f>IF($A500="","",IF($D500="V01",cad!$C$32,IF($D500="V02",cad!$D$32,cad!$E$32)))</f>
        <v/>
      </c>
      <c r="J500" t="str">
        <f>IF($A500="","",IF($D500="V01",cad!$C$33,IF($D500="V02",cad!$D$33,cad!$E$33)))</f>
        <v/>
      </c>
      <c r="K500" t="str">
        <f>IF($A500="","",IF($D500="V01",cad!$C$34,IF($D500="V02",cad!$D$34,cad!$E$34)))</f>
        <v/>
      </c>
      <c r="L500" t="str">
        <f>IF($A500="","",IF($D500="V01",cad!$C$35,IF($D500="V02",cad!$D$35,cad!$E$35)))</f>
        <v/>
      </c>
      <c r="M500" t="str">
        <f>IF($A500="","",IF($D500="V01",cad!$C$36,IF($D500="V02",cad!$D$36,cad!$E$36)))</f>
        <v/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 t="str">
        <f>IF($A501="","",IF($D501="V01",cad!$C$23,IF($D501="V02",cad!$D$23,cad!$E$23)))</f>
        <v/>
      </c>
      <c r="H501" t="str">
        <f>IF($A501="","",IF($D501="V01",cad!$C$24,IF($D501="V02",cad!$D$24,cad!$E$24)))</f>
        <v/>
      </c>
      <c r="I501" t="str">
        <f>IF($A501="","",IF($D501="V01",cad!$C$32,IF($D501="V02",cad!$D$32,cad!$E$32)))</f>
        <v/>
      </c>
      <c r="J501" t="str">
        <f>IF($A501="","",IF($D501="V01",cad!$C$33,IF($D501="V02",cad!$D$33,cad!$E$33)))</f>
        <v/>
      </c>
      <c r="K501" t="str">
        <f>IF($A501="","",IF($D501="V01",cad!$C$34,IF($D501="V02",cad!$D$34,cad!$E$34)))</f>
        <v/>
      </c>
      <c r="L501" t="str">
        <f>IF($A501="","",IF($D501="V01",cad!$C$35,IF($D501="V02",cad!$D$35,cad!$E$35)))</f>
        <v/>
      </c>
      <c r="M501" t="str">
        <f>IF($A501="","",IF($D501="V01",cad!$C$36,IF($D501="V02",cad!$D$36,cad!$E$36)))</f>
        <v/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 t="str">
        <f>IF($A502="","",IF($D502="V01",cad!$C$23,IF($D502="V02",cad!$D$23,cad!$E$23)))</f>
        <v/>
      </c>
      <c r="H502" t="str">
        <f>IF($A502="","",IF($D502="V01",cad!$C$24,IF($D502="V02",cad!$D$24,cad!$E$24)))</f>
        <v/>
      </c>
      <c r="I502" t="str">
        <f>IF($A502="","",IF($D502="V01",cad!$C$32,IF($D502="V02",cad!$D$32,cad!$E$32)))</f>
        <v/>
      </c>
      <c r="J502" t="str">
        <f>IF($A502="","",IF($D502="V01",cad!$C$33,IF($D502="V02",cad!$D$33,cad!$E$33)))</f>
        <v/>
      </c>
      <c r="K502" t="str">
        <f>IF($A502="","",IF($D502="V01",cad!$C$34,IF($D502="V02",cad!$D$34,cad!$E$34)))</f>
        <v/>
      </c>
      <c r="L502" t="str">
        <f>IF($A502="","",IF($D502="V01",cad!$C$35,IF($D502="V02",cad!$D$35,cad!$E$35)))</f>
        <v/>
      </c>
      <c r="M502" t="str">
        <f>IF($A502="","",IF($D502="V01",cad!$C$36,IF($D502="V02",cad!$D$36,cad!$E$36)))</f>
        <v/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 t="str">
        <f>IF($A503="","",IF($D503="V01",cad!$C$23,IF($D503="V02",cad!$D$23,cad!$E$23)))</f>
        <v/>
      </c>
      <c r="H503" t="str">
        <f>IF($A503="","",IF($D503="V01",cad!$C$24,IF($D503="V02",cad!$D$24,cad!$E$24)))</f>
        <v/>
      </c>
      <c r="I503" t="str">
        <f>IF($A503="","",IF($D503="V01",cad!$C$32,IF($D503="V02",cad!$D$32,cad!$E$32)))</f>
        <v/>
      </c>
      <c r="J503" t="str">
        <f>IF($A503="","",IF($D503="V01",cad!$C$33,IF($D503="V02",cad!$D$33,cad!$E$33)))</f>
        <v/>
      </c>
      <c r="K503" t="str">
        <f>IF($A503="","",IF($D503="V01",cad!$C$34,IF($D503="V02",cad!$D$34,cad!$E$34)))</f>
        <v/>
      </c>
      <c r="L503" t="str">
        <f>IF($A503="","",IF($D503="V01",cad!$C$35,IF($D503="V02",cad!$D$35,cad!$E$35)))</f>
        <v/>
      </c>
      <c r="M503" t="str">
        <f>IF($A503="","",IF($D503="V01",cad!$C$36,IF($D503="V02",cad!$D$36,cad!$E$36)))</f>
        <v/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 t="str">
        <f>IF($A504="","",IF($D504="V01",cad!$C$23,IF($D504="V02",cad!$D$23,cad!$E$23)))</f>
        <v/>
      </c>
      <c r="H504" t="str">
        <f>IF($A504="","",IF($D504="V01",cad!$C$24,IF($D504="V02",cad!$D$24,cad!$E$24)))</f>
        <v/>
      </c>
      <c r="I504" t="str">
        <f>IF($A504="","",IF($D504="V01",cad!$C$32,IF($D504="V02",cad!$D$32,cad!$E$32)))</f>
        <v/>
      </c>
      <c r="J504" t="str">
        <f>IF($A504="","",IF($D504="V01",cad!$C$33,IF($D504="V02",cad!$D$33,cad!$E$33)))</f>
        <v/>
      </c>
      <c r="K504" t="str">
        <f>IF($A504="","",IF($D504="V01",cad!$C$34,IF($D504="V02",cad!$D$34,cad!$E$34)))</f>
        <v/>
      </c>
      <c r="L504" t="str">
        <f>IF($A504="","",IF($D504="V01",cad!$C$35,IF($D504="V02",cad!$D$35,cad!$E$35)))</f>
        <v/>
      </c>
      <c r="M504" t="str">
        <f>IF($A504="","",IF($D504="V01",cad!$C$36,IF($D504="V02",cad!$D$36,cad!$E$36)))</f>
        <v/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 t="str">
        <f>IF($A505="","",IF($D505="V01",cad!$C$23,IF($D505="V02",cad!$D$23,cad!$E$23)))</f>
        <v/>
      </c>
      <c r="H505" t="str">
        <f>IF($A505="","",IF($D505="V01",cad!$C$24,IF($D505="V02",cad!$D$24,cad!$E$24)))</f>
        <v/>
      </c>
      <c r="I505" t="str">
        <f>IF($A505="","",IF($D505="V01",cad!$C$32,IF($D505="V02",cad!$D$32,cad!$E$32)))</f>
        <v/>
      </c>
      <c r="J505" t="str">
        <f>IF($A505="","",IF($D505="V01",cad!$C$33,IF($D505="V02",cad!$D$33,cad!$E$33)))</f>
        <v/>
      </c>
      <c r="K505" t="str">
        <f>IF($A505="","",IF($D505="V01",cad!$C$34,IF($D505="V02",cad!$D$34,cad!$E$34)))</f>
        <v/>
      </c>
      <c r="L505" t="str">
        <f>IF($A505="","",IF($D505="V01",cad!$C$35,IF($D505="V02",cad!$D$35,cad!$E$35)))</f>
        <v/>
      </c>
      <c r="M505" t="str">
        <f>IF($A505="","",IF($D505="V01",cad!$C$36,IF($D505="V02",cad!$D$36,cad!$E$36)))</f>
        <v/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 t="str">
        <f>IF($A506="","",IF($D506="V01",cad!$C$23,IF($D506="V02",cad!$D$23,cad!$E$23)))</f>
        <v/>
      </c>
      <c r="H506" t="str">
        <f>IF($A506="","",IF($D506="V01",cad!$C$24,IF($D506="V02",cad!$D$24,cad!$E$24)))</f>
        <v/>
      </c>
      <c r="I506" t="str">
        <f>IF($A506="","",IF($D506="V01",cad!$C$32,IF($D506="V02",cad!$D$32,cad!$E$32)))</f>
        <v/>
      </c>
      <c r="J506" t="str">
        <f>IF($A506="","",IF($D506="V01",cad!$C$33,IF($D506="V02",cad!$D$33,cad!$E$33)))</f>
        <v/>
      </c>
      <c r="K506" t="str">
        <f>IF($A506="","",IF($D506="V01",cad!$C$34,IF($D506="V02",cad!$D$34,cad!$E$34)))</f>
        <v/>
      </c>
      <c r="L506" t="str">
        <f>IF($A506="","",IF($D506="V01",cad!$C$35,IF($D506="V02",cad!$D$35,cad!$E$35)))</f>
        <v/>
      </c>
      <c r="M506" t="str">
        <f>IF($A506="","",IF($D506="V01",cad!$C$36,IF($D506="V02",cad!$D$36,cad!$E$36)))</f>
        <v/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 t="str">
        <f>IF($A507="","",IF($D507="V01",cad!$C$23,IF($D507="V02",cad!$D$23,cad!$E$23)))</f>
        <v/>
      </c>
      <c r="H507" t="str">
        <f>IF($A507="","",IF($D507="V01",cad!$C$24,IF($D507="V02",cad!$D$24,cad!$E$24)))</f>
        <v/>
      </c>
      <c r="I507" t="str">
        <f>IF($A507="","",IF($D507="V01",cad!$C$32,IF($D507="V02",cad!$D$32,cad!$E$32)))</f>
        <v/>
      </c>
      <c r="J507" t="str">
        <f>IF($A507="","",IF($D507="V01",cad!$C$33,IF($D507="V02",cad!$D$33,cad!$E$33)))</f>
        <v/>
      </c>
      <c r="K507" t="str">
        <f>IF($A507="","",IF($D507="V01",cad!$C$34,IF($D507="V02",cad!$D$34,cad!$E$34)))</f>
        <v/>
      </c>
      <c r="L507" t="str">
        <f>IF($A507="","",IF($D507="V01",cad!$C$35,IF($D507="V02",cad!$D$35,cad!$E$35)))</f>
        <v/>
      </c>
      <c r="M507" t="str">
        <f>IF($A507="","",IF($D507="V01",cad!$C$36,IF($D507="V02",cad!$D$36,cad!$E$36)))</f>
        <v/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 t="str">
        <f>IF($A508="","",IF($D508="V01",cad!$C$23,IF($D508="V02",cad!$D$23,cad!$E$23)))</f>
        <v/>
      </c>
      <c r="H508" t="str">
        <f>IF($A508="","",IF($D508="V01",cad!$C$24,IF($D508="V02",cad!$D$24,cad!$E$24)))</f>
        <v/>
      </c>
      <c r="I508" t="str">
        <f>IF($A508="","",IF($D508="V01",cad!$C$32,IF($D508="V02",cad!$D$32,cad!$E$32)))</f>
        <v/>
      </c>
      <c r="J508" t="str">
        <f>IF($A508="","",IF($D508="V01",cad!$C$33,IF($D508="V02",cad!$D$33,cad!$E$33)))</f>
        <v/>
      </c>
      <c r="K508" t="str">
        <f>IF($A508="","",IF($D508="V01",cad!$C$34,IF($D508="V02",cad!$D$34,cad!$E$34)))</f>
        <v/>
      </c>
      <c r="L508" t="str">
        <f>IF($A508="","",IF($D508="V01",cad!$C$35,IF($D508="V02",cad!$D$35,cad!$E$35)))</f>
        <v/>
      </c>
      <c r="M508" t="str">
        <f>IF($A508="","",IF($D508="V01",cad!$C$36,IF($D508="V02",cad!$D$36,cad!$E$36)))</f>
        <v/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 t="str">
        <f>IF($A509="","",IF($D509="V01",cad!$C$23,IF($D509="V02",cad!$D$23,cad!$E$23)))</f>
        <v/>
      </c>
      <c r="H509" t="str">
        <f>IF($A509="","",IF($D509="V01",cad!$C$24,IF($D509="V02",cad!$D$24,cad!$E$24)))</f>
        <v/>
      </c>
      <c r="I509" t="str">
        <f>IF($A509="","",IF($D509="V01",cad!$C$32,IF($D509="V02",cad!$D$32,cad!$E$32)))</f>
        <v/>
      </c>
      <c r="J509" t="str">
        <f>IF($A509="","",IF($D509="V01",cad!$C$33,IF($D509="V02",cad!$D$33,cad!$E$33)))</f>
        <v/>
      </c>
      <c r="K509" t="str">
        <f>IF($A509="","",IF($D509="V01",cad!$C$34,IF($D509="V02",cad!$D$34,cad!$E$34)))</f>
        <v/>
      </c>
      <c r="L509" t="str">
        <f>IF($A509="","",IF($D509="V01",cad!$C$35,IF($D509="V02",cad!$D$35,cad!$E$35)))</f>
        <v/>
      </c>
      <c r="M509" t="str">
        <f>IF($A509="","",IF($D509="V01",cad!$C$36,IF($D509="V02",cad!$D$36,cad!$E$36)))</f>
        <v/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 t="str">
        <f>IF($A510="","",IF($D510="V01",cad!$C$23,IF($D510="V02",cad!$D$23,cad!$E$23)))</f>
        <v/>
      </c>
      <c r="H510" t="str">
        <f>IF($A510="","",IF($D510="V01",cad!$C$24,IF($D510="V02",cad!$D$24,cad!$E$24)))</f>
        <v/>
      </c>
      <c r="I510" t="str">
        <f>IF($A510="","",IF($D510="V01",cad!$C$32,IF($D510="V02",cad!$D$32,cad!$E$32)))</f>
        <v/>
      </c>
      <c r="J510" t="str">
        <f>IF($A510="","",IF($D510="V01",cad!$C$33,IF($D510="V02",cad!$D$33,cad!$E$33)))</f>
        <v/>
      </c>
      <c r="K510" t="str">
        <f>IF($A510="","",IF($D510="V01",cad!$C$34,IF($D510="V02",cad!$D$34,cad!$E$34)))</f>
        <v/>
      </c>
      <c r="L510" t="str">
        <f>IF($A510="","",IF($D510="V01",cad!$C$35,IF($D510="V02",cad!$D$35,cad!$E$35)))</f>
        <v/>
      </c>
      <c r="M510" t="str">
        <f>IF($A510="","",IF($D510="V01",cad!$C$36,IF($D510="V02",cad!$D$36,cad!$E$36)))</f>
        <v/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 t="str">
        <f>IF($A511="","",IF($D511="V01",cad!$C$23,IF($D511="V02",cad!$D$23,cad!$E$23)))</f>
        <v/>
      </c>
      <c r="H511" t="str">
        <f>IF($A511="","",IF($D511="V01",cad!$C$24,IF($D511="V02",cad!$D$24,cad!$E$24)))</f>
        <v/>
      </c>
      <c r="I511" t="str">
        <f>IF($A511="","",IF($D511="V01",cad!$C$32,IF($D511="V02",cad!$D$32,cad!$E$32)))</f>
        <v/>
      </c>
      <c r="J511" t="str">
        <f>IF($A511="","",IF($D511="V01",cad!$C$33,IF($D511="V02",cad!$D$33,cad!$E$33)))</f>
        <v/>
      </c>
      <c r="K511" t="str">
        <f>IF($A511="","",IF($D511="V01",cad!$C$34,IF($D511="V02",cad!$D$34,cad!$E$34)))</f>
        <v/>
      </c>
      <c r="L511" t="str">
        <f>IF($A511="","",IF($D511="V01",cad!$C$35,IF($D511="V02",cad!$D$35,cad!$E$35)))</f>
        <v/>
      </c>
      <c r="M511" t="str">
        <f>IF($A511="","",IF($D511="V01",cad!$C$36,IF($D511="V02",cad!$D$36,cad!$E$36)))</f>
        <v/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 t="str">
        <f>IF($A512="","",IF($D512="V01",cad!$C$23,IF($D512="V02",cad!$D$23,cad!$E$23)))</f>
        <v/>
      </c>
      <c r="H512" t="str">
        <f>IF($A512="","",IF($D512="V01",cad!$C$24,IF($D512="V02",cad!$D$24,cad!$E$24)))</f>
        <v/>
      </c>
      <c r="I512" t="str">
        <f>IF($A512="","",IF($D512="V01",cad!$C$32,IF($D512="V02",cad!$D$32,cad!$E$32)))</f>
        <v/>
      </c>
      <c r="J512" t="str">
        <f>IF($A512="","",IF($D512="V01",cad!$C$33,IF($D512="V02",cad!$D$33,cad!$E$33)))</f>
        <v/>
      </c>
      <c r="K512" t="str">
        <f>IF($A512="","",IF($D512="V01",cad!$C$34,IF($D512="V02",cad!$D$34,cad!$E$34)))</f>
        <v/>
      </c>
      <c r="L512" t="str">
        <f>IF($A512="","",IF($D512="V01",cad!$C$35,IF($D512="V02",cad!$D$35,cad!$E$35)))</f>
        <v/>
      </c>
      <c r="M512" t="str">
        <f>IF($A512="","",IF($D512="V01",cad!$C$36,IF($D512="V02",cad!$D$36,cad!$E$36)))</f>
        <v/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 t="str">
        <f>IF($A513="","",IF($D513="V01",cad!$C$23,IF($D513="V02",cad!$D$23,cad!$E$23)))</f>
        <v/>
      </c>
      <c r="H513" t="str">
        <f>IF($A513="","",IF($D513="V01",cad!$C$24,IF($D513="V02",cad!$D$24,cad!$E$24)))</f>
        <v/>
      </c>
      <c r="I513" t="str">
        <f>IF($A513="","",IF($D513="V01",cad!$C$32,IF($D513="V02",cad!$D$32,cad!$E$32)))</f>
        <v/>
      </c>
      <c r="J513" t="str">
        <f>IF($A513="","",IF($D513="V01",cad!$C$33,IF($D513="V02",cad!$D$33,cad!$E$33)))</f>
        <v/>
      </c>
      <c r="K513" t="str">
        <f>IF($A513="","",IF($D513="V01",cad!$C$34,IF($D513="V02",cad!$D$34,cad!$E$34)))</f>
        <v/>
      </c>
      <c r="L513" t="str">
        <f>IF($A513="","",IF($D513="V01",cad!$C$35,IF($D513="V02",cad!$D$35,cad!$E$35)))</f>
        <v/>
      </c>
      <c r="M513" t="str">
        <f>IF($A513="","",IF($D513="V01",cad!$C$36,IF($D513="V02",cad!$D$36,cad!$E$36)))</f>
        <v/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 t="str">
        <f>IF($A514="","",IF($D514="V01",cad!$C$23,IF($D514="V02",cad!$D$23,cad!$E$23)))</f>
        <v/>
      </c>
      <c r="H514" t="str">
        <f>IF($A514="","",IF($D514="V01",cad!$C$24,IF($D514="V02",cad!$D$24,cad!$E$24)))</f>
        <v/>
      </c>
      <c r="I514" t="str">
        <f>IF($A514="","",IF($D514="V01",cad!$C$32,IF($D514="V02",cad!$D$32,cad!$E$32)))</f>
        <v/>
      </c>
      <c r="J514" t="str">
        <f>IF($A514="","",IF($D514="V01",cad!$C$33,IF($D514="V02",cad!$D$33,cad!$E$33)))</f>
        <v/>
      </c>
      <c r="K514" t="str">
        <f>IF($A514="","",IF($D514="V01",cad!$C$34,IF($D514="V02",cad!$D$34,cad!$E$34)))</f>
        <v/>
      </c>
      <c r="L514" t="str">
        <f>IF($A514="","",IF($D514="V01",cad!$C$35,IF($D514="V02",cad!$D$35,cad!$E$35)))</f>
        <v/>
      </c>
      <c r="M514" t="str">
        <f>IF($A514="","",IF($D514="V01",cad!$C$36,IF($D514="V02",cad!$D$36,cad!$E$36)))</f>
        <v/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 t="str">
        <f>IF($A515="","",IF($D515="V01",cad!$C$23,IF($D515="V02",cad!$D$23,cad!$E$23)))</f>
        <v/>
      </c>
      <c r="H515" t="str">
        <f>IF($A515="","",IF($D515="V01",cad!$C$24,IF($D515="V02",cad!$D$24,cad!$E$24)))</f>
        <v/>
      </c>
      <c r="I515" t="str">
        <f>IF($A515="","",IF($D515="V01",cad!$C$32,IF($D515="V02",cad!$D$32,cad!$E$32)))</f>
        <v/>
      </c>
      <c r="J515" t="str">
        <f>IF($A515="","",IF($D515="V01",cad!$C$33,IF($D515="V02",cad!$D$33,cad!$E$33)))</f>
        <v/>
      </c>
      <c r="K515" t="str">
        <f>IF($A515="","",IF($D515="V01",cad!$C$34,IF($D515="V02",cad!$D$34,cad!$E$34)))</f>
        <v/>
      </c>
      <c r="L515" t="str">
        <f>IF($A515="","",IF($D515="V01",cad!$C$35,IF($D515="V02",cad!$D$35,cad!$E$35)))</f>
        <v/>
      </c>
      <c r="M515" t="str">
        <f>IF($A515="","",IF($D515="V01",cad!$C$36,IF($D515="V02",cad!$D$36,cad!$E$36)))</f>
        <v/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 t="str">
        <f>IF($A516="","",IF($D516="V01",cad!$C$23,IF($D516="V02",cad!$D$23,cad!$E$23)))</f>
        <v/>
      </c>
      <c r="H516" t="str">
        <f>IF($A516="","",IF($D516="V01",cad!$C$24,IF($D516="V02",cad!$D$24,cad!$E$24)))</f>
        <v/>
      </c>
      <c r="I516" t="str">
        <f>IF($A516="","",IF($D516="V01",cad!$C$32,IF($D516="V02",cad!$D$32,cad!$E$32)))</f>
        <v/>
      </c>
      <c r="J516" t="str">
        <f>IF($A516="","",IF($D516="V01",cad!$C$33,IF($D516="V02",cad!$D$33,cad!$E$33)))</f>
        <v/>
      </c>
      <c r="K516" t="str">
        <f>IF($A516="","",IF($D516="V01",cad!$C$34,IF($D516="V02",cad!$D$34,cad!$E$34)))</f>
        <v/>
      </c>
      <c r="L516" t="str">
        <f>IF($A516="","",IF($D516="V01",cad!$C$35,IF($D516="V02",cad!$D$35,cad!$E$35)))</f>
        <v/>
      </c>
      <c r="M516" t="str">
        <f>IF($A516="","",IF($D516="V01",cad!$C$36,IF($D516="V02",cad!$D$36,cad!$E$36)))</f>
        <v/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 t="str">
        <f>IF($A517="","",IF($D517="V01",cad!$C$23,IF($D517="V02",cad!$D$23,cad!$E$23)))</f>
        <v/>
      </c>
      <c r="H517" t="str">
        <f>IF($A517="","",IF($D517="V01",cad!$C$24,IF($D517="V02",cad!$D$24,cad!$E$24)))</f>
        <v/>
      </c>
      <c r="I517" t="str">
        <f>IF($A517="","",IF($D517="V01",cad!$C$32,IF($D517="V02",cad!$D$32,cad!$E$32)))</f>
        <v/>
      </c>
      <c r="J517" t="str">
        <f>IF($A517="","",IF($D517="V01",cad!$C$33,IF($D517="V02",cad!$D$33,cad!$E$33)))</f>
        <v/>
      </c>
      <c r="K517" t="str">
        <f>IF($A517="","",IF($D517="V01",cad!$C$34,IF($D517="V02",cad!$D$34,cad!$E$34)))</f>
        <v/>
      </c>
      <c r="L517" t="str">
        <f>IF($A517="","",IF($D517="V01",cad!$C$35,IF($D517="V02",cad!$D$35,cad!$E$35)))</f>
        <v/>
      </c>
      <c r="M517" t="str">
        <f>IF($A517="","",IF($D517="V01",cad!$C$36,IF($D517="V02",cad!$D$36,cad!$E$36)))</f>
        <v/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 t="str">
        <f>IF($A518="","",IF($D518="V01",cad!$C$23,IF($D518="V02",cad!$D$23,cad!$E$23)))</f>
        <v/>
      </c>
      <c r="H518" t="str">
        <f>IF($A518="","",IF($D518="V01",cad!$C$24,IF($D518="V02",cad!$D$24,cad!$E$24)))</f>
        <v/>
      </c>
      <c r="I518" t="str">
        <f>IF($A518="","",IF($D518="V01",cad!$C$32,IF($D518="V02",cad!$D$32,cad!$E$32)))</f>
        <v/>
      </c>
      <c r="J518" t="str">
        <f>IF($A518="","",IF($D518="V01",cad!$C$33,IF($D518="V02",cad!$D$33,cad!$E$33)))</f>
        <v/>
      </c>
      <c r="K518" t="str">
        <f>IF($A518="","",IF($D518="V01",cad!$C$34,IF($D518="V02",cad!$D$34,cad!$E$34)))</f>
        <v/>
      </c>
      <c r="L518" t="str">
        <f>IF($A518="","",IF($D518="V01",cad!$C$35,IF($D518="V02",cad!$D$35,cad!$E$35)))</f>
        <v/>
      </c>
      <c r="M518" t="str">
        <f>IF($A518="","",IF($D518="V01",cad!$C$36,IF($D518="V02",cad!$D$36,cad!$E$36)))</f>
        <v/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 t="str">
        <f>IF($A519="","",IF($D519="V01",cad!$C$23,IF($D519="V02",cad!$D$23,cad!$E$23)))</f>
        <v/>
      </c>
      <c r="H519" t="str">
        <f>IF($A519="","",IF($D519="V01",cad!$C$24,IF($D519="V02",cad!$D$24,cad!$E$24)))</f>
        <v/>
      </c>
      <c r="I519" t="str">
        <f>IF($A519="","",IF($D519="V01",cad!$C$32,IF($D519="V02",cad!$D$32,cad!$E$32)))</f>
        <v/>
      </c>
      <c r="J519" t="str">
        <f>IF($A519="","",IF($D519="V01",cad!$C$33,IF($D519="V02",cad!$D$33,cad!$E$33)))</f>
        <v/>
      </c>
      <c r="K519" t="str">
        <f>IF($A519="","",IF($D519="V01",cad!$C$34,IF($D519="V02",cad!$D$34,cad!$E$34)))</f>
        <v/>
      </c>
      <c r="L519" t="str">
        <f>IF($A519="","",IF($D519="V01",cad!$C$35,IF($D519="V02",cad!$D$35,cad!$E$35)))</f>
        <v/>
      </c>
      <c r="M519" t="str">
        <f>IF($A519="","",IF($D519="V01",cad!$C$36,IF($D519="V02",cad!$D$36,cad!$E$36)))</f>
        <v/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 t="str">
        <f>IF($A520="","",IF($D520="V01",cad!$C$23,IF($D520="V02",cad!$D$23,cad!$E$23)))</f>
        <v/>
      </c>
      <c r="H520" t="str">
        <f>IF($A520="","",IF($D520="V01",cad!$C$24,IF($D520="V02",cad!$D$24,cad!$E$24)))</f>
        <v/>
      </c>
      <c r="I520" t="str">
        <f>IF($A520="","",IF($D520="V01",cad!$C$32,IF($D520="V02",cad!$D$32,cad!$E$32)))</f>
        <v/>
      </c>
      <c r="J520" t="str">
        <f>IF($A520="","",IF($D520="V01",cad!$C$33,IF($D520="V02",cad!$D$33,cad!$E$33)))</f>
        <v/>
      </c>
      <c r="K520" t="str">
        <f>IF($A520="","",IF($D520="V01",cad!$C$34,IF($D520="V02",cad!$D$34,cad!$E$34)))</f>
        <v/>
      </c>
      <c r="L520" t="str">
        <f>IF($A520="","",IF($D520="V01",cad!$C$35,IF($D520="V02",cad!$D$35,cad!$E$35)))</f>
        <v/>
      </c>
      <c r="M520" t="str">
        <f>IF($A520="","",IF($D520="V01",cad!$C$36,IF($D520="V02",cad!$D$36,cad!$E$36)))</f>
        <v/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 t="str">
        <f>IF($A521="","",IF($D521="V01",cad!$C$23,IF($D521="V02",cad!$D$23,cad!$E$23)))</f>
        <v/>
      </c>
      <c r="H521" t="str">
        <f>IF($A521="","",IF($D521="V01",cad!$C$24,IF($D521="V02",cad!$D$24,cad!$E$24)))</f>
        <v/>
      </c>
      <c r="I521" t="str">
        <f>IF($A521="","",IF($D521="V01",cad!$C$32,IF($D521="V02",cad!$D$32,cad!$E$32)))</f>
        <v/>
      </c>
      <c r="J521" t="str">
        <f>IF($A521="","",IF($D521="V01",cad!$C$33,IF($D521="V02",cad!$D$33,cad!$E$33)))</f>
        <v/>
      </c>
      <c r="K521" t="str">
        <f>IF($A521="","",IF($D521="V01",cad!$C$34,IF($D521="V02",cad!$D$34,cad!$E$34)))</f>
        <v/>
      </c>
      <c r="L521" t="str">
        <f>IF($A521="","",IF($D521="V01",cad!$C$35,IF($D521="V02",cad!$D$35,cad!$E$35)))</f>
        <v/>
      </c>
      <c r="M521" t="str">
        <f>IF($A521="","",IF($D521="V01",cad!$C$36,IF($D521="V02",cad!$D$36,cad!$E$36)))</f>
        <v/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 t="str">
        <f>IF($A522="","",IF($D522="V01",cad!$C$23,IF($D522="V02",cad!$D$23,cad!$E$23)))</f>
        <v/>
      </c>
      <c r="H522" t="str">
        <f>IF($A522="","",IF($D522="V01",cad!$C$24,IF($D522="V02",cad!$D$24,cad!$E$24)))</f>
        <v/>
      </c>
      <c r="I522" t="str">
        <f>IF($A522="","",IF($D522="V01",cad!$C$32,IF($D522="V02",cad!$D$32,cad!$E$32)))</f>
        <v/>
      </c>
      <c r="J522" t="str">
        <f>IF($A522="","",IF($D522="V01",cad!$C$33,IF($D522="V02",cad!$D$33,cad!$E$33)))</f>
        <v/>
      </c>
      <c r="K522" t="str">
        <f>IF($A522="","",IF($D522="V01",cad!$C$34,IF($D522="V02",cad!$D$34,cad!$E$34)))</f>
        <v/>
      </c>
      <c r="L522" t="str">
        <f>IF($A522="","",IF($D522="V01",cad!$C$35,IF($D522="V02",cad!$D$35,cad!$E$35)))</f>
        <v/>
      </c>
      <c r="M522" t="str">
        <f>IF($A522="","",IF($D522="V01",cad!$C$36,IF($D522="V02",cad!$D$36,cad!$E$36)))</f>
        <v/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 t="str">
        <f>IF($A523="","",IF($D523="V01",cad!$C$23,IF($D523="V02",cad!$D$23,cad!$E$23)))</f>
        <v/>
      </c>
      <c r="H523" t="str">
        <f>IF($A523="","",IF($D523="V01",cad!$C$24,IF($D523="V02",cad!$D$24,cad!$E$24)))</f>
        <v/>
      </c>
      <c r="I523" t="str">
        <f>IF($A523="","",IF($D523="V01",cad!$C$32,IF($D523="V02",cad!$D$32,cad!$E$32)))</f>
        <v/>
      </c>
      <c r="J523" t="str">
        <f>IF($A523="","",IF($D523="V01",cad!$C$33,IF($D523="V02",cad!$D$33,cad!$E$33)))</f>
        <v/>
      </c>
      <c r="K523" t="str">
        <f>IF($A523="","",IF($D523="V01",cad!$C$34,IF($D523="V02",cad!$D$34,cad!$E$34)))</f>
        <v/>
      </c>
      <c r="L523" t="str">
        <f>IF($A523="","",IF($D523="V01",cad!$C$35,IF($D523="V02",cad!$D$35,cad!$E$35)))</f>
        <v/>
      </c>
      <c r="M523" t="str">
        <f>IF($A523="","",IF($D523="V01",cad!$C$36,IF($D523="V02",cad!$D$36,cad!$E$36)))</f>
        <v/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 t="str">
        <f>IF($A524="","",IF($D524="V01",cad!$C$23,IF($D524="V02",cad!$D$23,cad!$E$23)))</f>
        <v/>
      </c>
      <c r="H524" t="str">
        <f>IF($A524="","",IF($D524="V01",cad!$C$24,IF($D524="V02",cad!$D$24,cad!$E$24)))</f>
        <v/>
      </c>
      <c r="I524" t="str">
        <f>IF($A524="","",IF($D524="V01",cad!$C$32,IF($D524="V02",cad!$D$32,cad!$E$32)))</f>
        <v/>
      </c>
      <c r="J524" t="str">
        <f>IF($A524="","",IF($D524="V01",cad!$C$33,IF($D524="V02",cad!$D$33,cad!$E$33)))</f>
        <v/>
      </c>
      <c r="K524" t="str">
        <f>IF($A524="","",IF($D524="V01",cad!$C$34,IF($D524="V02",cad!$D$34,cad!$E$34)))</f>
        <v/>
      </c>
      <c r="L524" t="str">
        <f>IF($A524="","",IF($D524="V01",cad!$C$35,IF($D524="V02",cad!$D$35,cad!$E$35)))</f>
        <v/>
      </c>
      <c r="M524" t="str">
        <f>IF($A524="","",IF($D524="V01",cad!$C$36,IF($D524="V02",cad!$D$36,cad!$E$36)))</f>
        <v/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 t="str">
        <f>IF($A525="","",IF($D525="V01",cad!$C$23,IF($D525="V02",cad!$D$23,cad!$E$23)))</f>
        <v/>
      </c>
      <c r="H525" t="str">
        <f>IF($A525="","",IF($D525="V01",cad!$C$24,IF($D525="V02",cad!$D$24,cad!$E$24)))</f>
        <v/>
      </c>
      <c r="I525" t="str">
        <f>IF($A525="","",IF($D525="V01",cad!$C$32,IF($D525="V02",cad!$D$32,cad!$E$32)))</f>
        <v/>
      </c>
      <c r="J525" t="str">
        <f>IF($A525="","",IF($D525="V01",cad!$C$33,IF($D525="V02",cad!$D$33,cad!$E$33)))</f>
        <v/>
      </c>
      <c r="K525" t="str">
        <f>IF($A525="","",IF($D525="V01",cad!$C$34,IF($D525="V02",cad!$D$34,cad!$E$34)))</f>
        <v/>
      </c>
      <c r="L525" t="str">
        <f>IF($A525="","",IF($D525="V01",cad!$C$35,IF($D525="V02",cad!$D$35,cad!$E$35)))</f>
        <v/>
      </c>
      <c r="M525" t="str">
        <f>IF($A525="","",IF($D525="V01",cad!$C$36,IF($D525="V02",cad!$D$36,cad!$E$36)))</f>
        <v/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 t="str">
        <f>IF($A526="","",IF($D526="V01",cad!$C$23,IF($D526="V02",cad!$D$23,cad!$E$23)))</f>
        <v/>
      </c>
      <c r="H526" t="str">
        <f>IF($A526="","",IF($D526="V01",cad!$C$24,IF($D526="V02",cad!$D$24,cad!$E$24)))</f>
        <v/>
      </c>
      <c r="I526" t="str">
        <f>IF($A526="","",IF($D526="V01",cad!$C$32,IF($D526="V02",cad!$D$32,cad!$E$32)))</f>
        <v/>
      </c>
      <c r="J526" t="str">
        <f>IF($A526="","",IF($D526="V01",cad!$C$33,IF($D526="V02",cad!$D$33,cad!$E$33)))</f>
        <v/>
      </c>
      <c r="K526" t="str">
        <f>IF($A526="","",IF($D526="V01",cad!$C$34,IF($D526="V02",cad!$D$34,cad!$E$34)))</f>
        <v/>
      </c>
      <c r="L526" t="str">
        <f>IF($A526="","",IF($D526="V01",cad!$C$35,IF($D526="V02",cad!$D$35,cad!$E$35)))</f>
        <v/>
      </c>
      <c r="M526" t="str">
        <f>IF($A526="","",IF($D526="V01",cad!$C$36,IF($D526="V02",cad!$D$36,cad!$E$36)))</f>
        <v/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 t="str">
        <f>IF($A527="","",IF($D527="V01",cad!$C$23,IF($D527="V02",cad!$D$23,cad!$E$23)))</f>
        <v/>
      </c>
      <c r="H527" t="str">
        <f>IF($A527="","",IF($D527="V01",cad!$C$24,IF($D527="V02",cad!$D$24,cad!$E$24)))</f>
        <v/>
      </c>
      <c r="I527" t="str">
        <f>IF($A527="","",IF($D527="V01",cad!$C$32,IF($D527="V02",cad!$D$32,cad!$E$32)))</f>
        <v/>
      </c>
      <c r="J527" t="str">
        <f>IF($A527="","",IF($D527="V01",cad!$C$33,IF($D527="V02",cad!$D$33,cad!$E$33)))</f>
        <v/>
      </c>
      <c r="K527" t="str">
        <f>IF($A527="","",IF($D527="V01",cad!$C$34,IF($D527="V02",cad!$D$34,cad!$E$34)))</f>
        <v/>
      </c>
      <c r="L527" t="str">
        <f>IF($A527="","",IF($D527="V01",cad!$C$35,IF($D527="V02",cad!$D$35,cad!$E$35)))</f>
        <v/>
      </c>
      <c r="M527" t="str">
        <f>IF($A527="","",IF($D527="V01",cad!$C$36,IF($D527="V02",cad!$D$36,cad!$E$36)))</f>
        <v/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 t="str">
        <f>IF($A528="","",IF($D528="V01",cad!$C$23,IF($D528="V02",cad!$D$23,cad!$E$23)))</f>
        <v/>
      </c>
      <c r="H528" t="str">
        <f>IF($A528="","",IF($D528="V01",cad!$C$24,IF($D528="V02",cad!$D$24,cad!$E$24)))</f>
        <v/>
      </c>
      <c r="I528" t="str">
        <f>IF($A528="","",IF($D528="V01",cad!$C$32,IF($D528="V02",cad!$D$32,cad!$E$32)))</f>
        <v/>
      </c>
      <c r="J528" t="str">
        <f>IF($A528="","",IF($D528="V01",cad!$C$33,IF($D528="V02",cad!$D$33,cad!$E$33)))</f>
        <v/>
      </c>
      <c r="K528" t="str">
        <f>IF($A528="","",IF($D528="V01",cad!$C$34,IF($D528="V02",cad!$D$34,cad!$E$34)))</f>
        <v/>
      </c>
      <c r="L528" t="str">
        <f>IF($A528="","",IF($D528="V01",cad!$C$35,IF($D528="V02",cad!$D$35,cad!$E$35)))</f>
        <v/>
      </c>
      <c r="M528" t="str">
        <f>IF($A528="","",IF($D528="V01",cad!$C$36,IF($D528="V02",cad!$D$36,cad!$E$36)))</f>
        <v/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 t="str">
        <f>IF($A529="","",IF($D529="V01",cad!$C$23,IF($D529="V02",cad!$D$23,cad!$E$23)))</f>
        <v/>
      </c>
      <c r="H529" t="str">
        <f>IF($A529="","",IF($D529="V01",cad!$C$24,IF($D529="V02",cad!$D$24,cad!$E$24)))</f>
        <v/>
      </c>
      <c r="I529" t="str">
        <f>IF($A529="","",IF($D529="V01",cad!$C$32,IF($D529="V02",cad!$D$32,cad!$E$32)))</f>
        <v/>
      </c>
      <c r="J529" t="str">
        <f>IF($A529="","",IF($D529="V01",cad!$C$33,IF($D529="V02",cad!$D$33,cad!$E$33)))</f>
        <v/>
      </c>
      <c r="K529" t="str">
        <f>IF($A529="","",IF($D529="V01",cad!$C$34,IF($D529="V02",cad!$D$34,cad!$E$34)))</f>
        <v/>
      </c>
      <c r="L529" t="str">
        <f>IF($A529="","",IF($D529="V01",cad!$C$35,IF($D529="V02",cad!$D$35,cad!$E$35)))</f>
        <v/>
      </c>
      <c r="M529" t="str">
        <f>IF($A529="","",IF($D529="V01",cad!$C$36,IF($D529="V02",cad!$D$36,cad!$E$36)))</f>
        <v/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 t="str">
        <f>IF($A530="","",IF($D530="V01",cad!$C$23,IF($D530="V02",cad!$D$23,cad!$E$23)))</f>
        <v/>
      </c>
      <c r="H530" t="str">
        <f>IF($A530="","",IF($D530="V01",cad!$C$24,IF($D530="V02",cad!$D$24,cad!$E$24)))</f>
        <v/>
      </c>
      <c r="I530" t="str">
        <f>IF($A530="","",IF($D530="V01",cad!$C$32,IF($D530="V02",cad!$D$32,cad!$E$32)))</f>
        <v/>
      </c>
      <c r="J530" t="str">
        <f>IF($A530="","",IF($D530="V01",cad!$C$33,IF($D530="V02",cad!$D$33,cad!$E$33)))</f>
        <v/>
      </c>
      <c r="K530" t="str">
        <f>IF($A530="","",IF($D530="V01",cad!$C$34,IF($D530="V02",cad!$D$34,cad!$E$34)))</f>
        <v/>
      </c>
      <c r="L530" t="str">
        <f>IF($A530="","",IF($D530="V01",cad!$C$35,IF($D530="V02",cad!$D$35,cad!$E$35)))</f>
        <v/>
      </c>
      <c r="M530" t="str">
        <f>IF($A530="","",IF($D530="V01",cad!$C$36,IF($D530="V02",cad!$D$36,cad!$E$36)))</f>
        <v/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 t="str">
        <f>IF($A531="","",IF($D531="V01",cad!$C$23,IF($D531="V02",cad!$D$23,cad!$E$23)))</f>
        <v/>
      </c>
      <c r="H531" t="str">
        <f>IF($A531="","",IF($D531="V01",cad!$C$24,IF($D531="V02",cad!$D$24,cad!$E$24)))</f>
        <v/>
      </c>
      <c r="I531" t="str">
        <f>IF($A531="","",IF($D531="V01",cad!$C$32,IF($D531="V02",cad!$D$32,cad!$E$32)))</f>
        <v/>
      </c>
      <c r="J531" t="str">
        <f>IF($A531="","",IF($D531="V01",cad!$C$33,IF($D531="V02",cad!$D$33,cad!$E$33)))</f>
        <v/>
      </c>
      <c r="K531" t="str">
        <f>IF($A531="","",IF($D531="V01",cad!$C$34,IF($D531="V02",cad!$D$34,cad!$E$34)))</f>
        <v/>
      </c>
      <c r="L531" t="str">
        <f>IF($A531="","",IF($D531="V01",cad!$C$35,IF($D531="V02",cad!$D$35,cad!$E$35)))</f>
        <v/>
      </c>
      <c r="M531" t="str">
        <f>IF($A531="","",IF($D531="V01",cad!$C$36,IF($D531="V02",cad!$D$36,cad!$E$36)))</f>
        <v/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 t="str">
        <f>IF($A532="","",IF($D532="V01",cad!$C$23,IF($D532="V02",cad!$D$23,cad!$E$23)))</f>
        <v/>
      </c>
      <c r="H532" t="str">
        <f>IF($A532="","",IF($D532="V01",cad!$C$24,IF($D532="V02",cad!$D$24,cad!$E$24)))</f>
        <v/>
      </c>
      <c r="I532" t="str">
        <f>IF($A532="","",IF($D532="V01",cad!$C$32,IF($D532="V02",cad!$D$32,cad!$E$32)))</f>
        <v/>
      </c>
      <c r="J532" t="str">
        <f>IF($A532="","",IF($D532="V01",cad!$C$33,IF($D532="V02",cad!$D$33,cad!$E$33)))</f>
        <v/>
      </c>
      <c r="K532" t="str">
        <f>IF($A532="","",IF($D532="V01",cad!$C$34,IF($D532="V02",cad!$D$34,cad!$E$34)))</f>
        <v/>
      </c>
      <c r="L532" t="str">
        <f>IF($A532="","",IF($D532="V01",cad!$C$35,IF($D532="V02",cad!$D$35,cad!$E$35)))</f>
        <v/>
      </c>
      <c r="M532" t="str">
        <f>IF($A532="","",IF($D532="V01",cad!$C$36,IF($D532="V02",cad!$D$36,cad!$E$36)))</f>
        <v/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 t="str">
        <f>IF($A533="","",IF($D533="V01",cad!$C$23,IF($D533="V02",cad!$D$23,cad!$E$23)))</f>
        <v/>
      </c>
      <c r="H533" t="str">
        <f>IF($A533="","",IF($D533="V01",cad!$C$24,IF($D533="V02",cad!$D$24,cad!$E$24)))</f>
        <v/>
      </c>
      <c r="I533" t="str">
        <f>IF($A533="","",IF($D533="V01",cad!$C$32,IF($D533="V02",cad!$D$32,cad!$E$32)))</f>
        <v/>
      </c>
      <c r="J533" t="str">
        <f>IF($A533="","",IF($D533="V01",cad!$C$33,IF($D533="V02",cad!$D$33,cad!$E$33)))</f>
        <v/>
      </c>
      <c r="K533" t="str">
        <f>IF($A533="","",IF($D533="V01",cad!$C$34,IF($D533="V02",cad!$D$34,cad!$E$34)))</f>
        <v/>
      </c>
      <c r="L533" t="str">
        <f>IF($A533="","",IF($D533="V01",cad!$C$35,IF($D533="V02",cad!$D$35,cad!$E$35)))</f>
        <v/>
      </c>
      <c r="M533" t="str">
        <f>IF($A533="","",IF($D533="V01",cad!$C$36,IF($D533="V02",cad!$D$36,cad!$E$36)))</f>
        <v/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 t="str">
        <f>IF($A534="","",IF($D534="V01",cad!$C$23,IF($D534="V02",cad!$D$23,cad!$E$23)))</f>
        <v/>
      </c>
      <c r="H534" t="str">
        <f>IF($A534="","",IF($D534="V01",cad!$C$24,IF($D534="V02",cad!$D$24,cad!$E$24)))</f>
        <v/>
      </c>
      <c r="I534" t="str">
        <f>IF($A534="","",IF($D534="V01",cad!$C$32,IF($D534="V02",cad!$D$32,cad!$E$32)))</f>
        <v/>
      </c>
      <c r="J534" t="str">
        <f>IF($A534="","",IF($D534="V01",cad!$C$33,IF($D534="V02",cad!$D$33,cad!$E$33)))</f>
        <v/>
      </c>
      <c r="K534" t="str">
        <f>IF($A534="","",IF($D534="V01",cad!$C$34,IF($D534="V02",cad!$D$34,cad!$E$34)))</f>
        <v/>
      </c>
      <c r="L534" t="str">
        <f>IF($A534="","",IF($D534="V01",cad!$C$35,IF($D534="V02",cad!$D$35,cad!$E$35)))</f>
        <v/>
      </c>
      <c r="M534" t="str">
        <f>IF($A534="","",IF($D534="V01",cad!$C$36,IF($D534="V02",cad!$D$36,cad!$E$36)))</f>
        <v/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 t="str">
        <f>IF($A535="","",IF($D535="V01",cad!$C$23,IF($D535="V02",cad!$D$23,cad!$E$23)))</f>
        <v/>
      </c>
      <c r="H535" t="str">
        <f>IF($A535="","",IF($D535="V01",cad!$C$24,IF($D535="V02",cad!$D$24,cad!$E$24)))</f>
        <v/>
      </c>
      <c r="I535" t="str">
        <f>IF($A535="","",IF($D535="V01",cad!$C$32,IF($D535="V02",cad!$D$32,cad!$E$32)))</f>
        <v/>
      </c>
      <c r="J535" t="str">
        <f>IF($A535="","",IF($D535="V01",cad!$C$33,IF($D535="V02",cad!$D$33,cad!$E$33)))</f>
        <v/>
      </c>
      <c r="K535" t="str">
        <f>IF($A535="","",IF($D535="V01",cad!$C$34,IF($D535="V02",cad!$D$34,cad!$E$34)))</f>
        <v/>
      </c>
      <c r="L535" t="str">
        <f>IF($A535="","",IF($D535="V01",cad!$C$35,IF($D535="V02",cad!$D$35,cad!$E$35)))</f>
        <v/>
      </c>
      <c r="M535" t="str">
        <f>IF($A535="","",IF($D535="V01",cad!$C$36,IF($D535="V02",cad!$D$36,cad!$E$36)))</f>
        <v/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 t="str">
        <f>IF($A536="","",IF($D536="V01",cad!$C$23,IF($D536="V02",cad!$D$23,cad!$E$23)))</f>
        <v/>
      </c>
      <c r="H536" t="str">
        <f>IF($A536="","",IF($D536="V01",cad!$C$24,IF($D536="V02",cad!$D$24,cad!$E$24)))</f>
        <v/>
      </c>
      <c r="I536" t="str">
        <f>IF($A536="","",IF($D536="V01",cad!$C$32,IF($D536="V02",cad!$D$32,cad!$E$32)))</f>
        <v/>
      </c>
      <c r="J536" t="str">
        <f>IF($A536="","",IF($D536="V01",cad!$C$33,IF($D536="V02",cad!$D$33,cad!$E$33)))</f>
        <v/>
      </c>
      <c r="K536" t="str">
        <f>IF($A536="","",IF($D536="V01",cad!$C$34,IF($D536="V02",cad!$D$34,cad!$E$34)))</f>
        <v/>
      </c>
      <c r="L536" t="str">
        <f>IF($A536="","",IF($D536="V01",cad!$C$35,IF($D536="V02",cad!$D$35,cad!$E$35)))</f>
        <v/>
      </c>
      <c r="M536" t="str">
        <f>IF($A536="","",IF($D536="V01",cad!$C$36,IF($D536="V02",cad!$D$36,cad!$E$36)))</f>
        <v/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 t="str">
        <f>IF($A537="","",IF($D537="V01",cad!$C$23,IF($D537="V02",cad!$D$23,cad!$E$23)))</f>
        <v/>
      </c>
      <c r="H537" t="str">
        <f>IF($A537="","",IF($D537="V01",cad!$C$24,IF($D537="V02",cad!$D$24,cad!$E$24)))</f>
        <v/>
      </c>
      <c r="I537" t="str">
        <f>IF($A537="","",IF($D537="V01",cad!$C$32,IF($D537="V02",cad!$D$32,cad!$E$32)))</f>
        <v/>
      </c>
      <c r="J537" t="str">
        <f>IF($A537="","",IF($D537="V01",cad!$C$33,IF($D537="V02",cad!$D$33,cad!$E$33)))</f>
        <v/>
      </c>
      <c r="K537" t="str">
        <f>IF($A537="","",IF($D537="V01",cad!$C$34,IF($D537="V02",cad!$D$34,cad!$E$34)))</f>
        <v/>
      </c>
      <c r="L537" t="str">
        <f>IF($A537="","",IF($D537="V01",cad!$C$35,IF($D537="V02",cad!$D$35,cad!$E$35)))</f>
        <v/>
      </c>
      <c r="M537" t="str">
        <f>IF($A537="","",IF($D537="V01",cad!$C$36,IF($D537="V02",cad!$D$36,cad!$E$36)))</f>
        <v/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 t="str">
        <f>IF($A538="","",IF($D538="V01",cad!$C$23,IF($D538="V02",cad!$D$23,cad!$E$23)))</f>
        <v/>
      </c>
      <c r="H538" t="str">
        <f>IF($A538="","",IF($D538="V01",cad!$C$24,IF($D538="V02",cad!$D$24,cad!$E$24)))</f>
        <v/>
      </c>
      <c r="I538" t="str">
        <f>IF($A538="","",IF($D538="V01",cad!$C$32,IF($D538="V02",cad!$D$32,cad!$E$32)))</f>
        <v/>
      </c>
      <c r="J538" t="str">
        <f>IF($A538="","",IF($D538="V01",cad!$C$33,IF($D538="V02",cad!$D$33,cad!$E$33)))</f>
        <v/>
      </c>
      <c r="K538" t="str">
        <f>IF($A538="","",IF($D538="V01",cad!$C$34,IF($D538="V02",cad!$D$34,cad!$E$34)))</f>
        <v/>
      </c>
      <c r="L538" t="str">
        <f>IF($A538="","",IF($D538="V01",cad!$C$35,IF($D538="V02",cad!$D$35,cad!$E$35)))</f>
        <v/>
      </c>
      <c r="M538" t="str">
        <f>IF($A538="","",IF($D538="V01",cad!$C$36,IF($D538="V02",cad!$D$36,cad!$E$36)))</f>
        <v/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 t="str">
        <f>IF($A539="","",IF($D539="V01",cad!$C$23,IF($D539="V02",cad!$D$23,cad!$E$23)))</f>
        <v/>
      </c>
      <c r="H539" t="str">
        <f>IF($A539="","",IF($D539="V01",cad!$C$24,IF($D539="V02",cad!$D$24,cad!$E$24)))</f>
        <v/>
      </c>
      <c r="I539" t="str">
        <f>IF($A539="","",IF($D539="V01",cad!$C$32,IF($D539="V02",cad!$D$32,cad!$E$32)))</f>
        <v/>
      </c>
      <c r="J539" t="str">
        <f>IF($A539="","",IF($D539="V01",cad!$C$33,IF($D539="V02",cad!$D$33,cad!$E$33)))</f>
        <v/>
      </c>
      <c r="K539" t="str">
        <f>IF($A539="","",IF($D539="V01",cad!$C$34,IF($D539="V02",cad!$D$34,cad!$E$34)))</f>
        <v/>
      </c>
      <c r="L539" t="str">
        <f>IF($A539="","",IF($D539="V01",cad!$C$35,IF($D539="V02",cad!$D$35,cad!$E$35)))</f>
        <v/>
      </c>
      <c r="M539" t="str">
        <f>IF($A539="","",IF($D539="V01",cad!$C$36,IF($D539="V02",cad!$D$36,cad!$E$36)))</f>
        <v/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 t="str">
        <f>IF($A540="","",IF($D540="V01",cad!$C$23,IF($D540="V02",cad!$D$23,cad!$E$23)))</f>
        <v/>
      </c>
      <c r="H540" t="str">
        <f>IF($A540="","",IF($D540="V01",cad!$C$24,IF($D540="V02",cad!$D$24,cad!$E$24)))</f>
        <v/>
      </c>
      <c r="I540" t="str">
        <f>IF($A540="","",IF($D540="V01",cad!$C$32,IF($D540="V02",cad!$D$32,cad!$E$32)))</f>
        <v/>
      </c>
      <c r="J540" t="str">
        <f>IF($A540="","",IF($D540="V01",cad!$C$33,IF($D540="V02",cad!$D$33,cad!$E$33)))</f>
        <v/>
      </c>
      <c r="K540" t="str">
        <f>IF($A540="","",IF($D540="V01",cad!$C$34,IF($D540="V02",cad!$D$34,cad!$E$34)))</f>
        <v/>
      </c>
      <c r="L540" t="str">
        <f>IF($A540="","",IF($D540="V01",cad!$C$35,IF($D540="V02",cad!$D$35,cad!$E$35)))</f>
        <v/>
      </c>
      <c r="M540" t="str">
        <f>IF($A540="","",IF($D540="V01",cad!$C$36,IF($D540="V02",cad!$D$36,cad!$E$36)))</f>
        <v/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 t="str">
        <f>IF($A541="","",IF($D541="V01",cad!$C$23,IF($D541="V02",cad!$D$23,cad!$E$23)))</f>
        <v/>
      </c>
      <c r="H541" t="str">
        <f>IF($A541="","",IF($D541="V01",cad!$C$24,IF($D541="V02",cad!$D$24,cad!$E$24)))</f>
        <v/>
      </c>
      <c r="I541" t="str">
        <f>IF($A541="","",IF($D541="V01",cad!$C$32,IF($D541="V02",cad!$D$32,cad!$E$32)))</f>
        <v/>
      </c>
      <c r="J541" t="str">
        <f>IF($A541="","",IF($D541="V01",cad!$C$33,IF($D541="V02",cad!$D$33,cad!$E$33)))</f>
        <v/>
      </c>
      <c r="K541" t="str">
        <f>IF($A541="","",IF($D541="V01",cad!$C$34,IF($D541="V02",cad!$D$34,cad!$E$34)))</f>
        <v/>
      </c>
      <c r="L541" t="str">
        <f>IF($A541="","",IF($D541="V01",cad!$C$35,IF($D541="V02",cad!$D$35,cad!$E$35)))</f>
        <v/>
      </c>
      <c r="M541" t="str">
        <f>IF($A541="","",IF($D541="V01",cad!$C$36,IF($D541="V02",cad!$D$36,cad!$E$36)))</f>
        <v/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 t="str">
        <f>IF($A542="","",IF($D542="V01",cad!$C$23,IF($D542="V02",cad!$D$23,cad!$E$23)))</f>
        <v/>
      </c>
      <c r="H542" t="str">
        <f>IF($A542="","",IF($D542="V01",cad!$C$24,IF($D542="V02",cad!$D$24,cad!$E$24)))</f>
        <v/>
      </c>
      <c r="I542" t="str">
        <f>IF($A542="","",IF($D542="V01",cad!$C$32,IF($D542="V02",cad!$D$32,cad!$E$32)))</f>
        <v/>
      </c>
      <c r="J542" t="str">
        <f>IF($A542="","",IF($D542="V01",cad!$C$33,IF($D542="V02",cad!$D$33,cad!$E$33)))</f>
        <v/>
      </c>
      <c r="K542" t="str">
        <f>IF($A542="","",IF($D542="V01",cad!$C$34,IF($D542="V02",cad!$D$34,cad!$E$34)))</f>
        <v/>
      </c>
      <c r="L542" t="str">
        <f>IF($A542="","",IF($D542="V01",cad!$C$35,IF($D542="V02",cad!$D$35,cad!$E$35)))</f>
        <v/>
      </c>
      <c r="M542" t="str">
        <f>IF($A542="","",IF($D542="V01",cad!$C$36,IF($D542="V02",cad!$D$36,cad!$E$36)))</f>
        <v/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 t="str">
        <f>IF($A543="","",IF($D543="V01",cad!$C$23,IF($D543="V02",cad!$D$23,cad!$E$23)))</f>
        <v/>
      </c>
      <c r="H543" t="str">
        <f>IF($A543="","",IF($D543="V01",cad!$C$24,IF($D543="V02",cad!$D$24,cad!$E$24)))</f>
        <v/>
      </c>
      <c r="I543" t="str">
        <f>IF($A543="","",IF($D543="V01",cad!$C$32,IF($D543="V02",cad!$D$32,cad!$E$32)))</f>
        <v/>
      </c>
      <c r="J543" t="str">
        <f>IF($A543="","",IF($D543="V01",cad!$C$33,IF($D543="V02",cad!$D$33,cad!$E$33)))</f>
        <v/>
      </c>
      <c r="K543" t="str">
        <f>IF($A543="","",IF($D543="V01",cad!$C$34,IF($D543="V02",cad!$D$34,cad!$E$34)))</f>
        <v/>
      </c>
      <c r="L543" t="str">
        <f>IF($A543="","",IF($D543="V01",cad!$C$35,IF($D543="V02",cad!$D$35,cad!$E$35)))</f>
        <v/>
      </c>
      <c r="M543" t="str">
        <f>IF($A543="","",IF($D543="V01",cad!$C$36,IF($D543="V02",cad!$D$36,cad!$E$36)))</f>
        <v/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 t="str">
        <f>IF($A544="","",IF($D544="V01",cad!$C$23,IF($D544="V02",cad!$D$23,cad!$E$23)))</f>
        <v/>
      </c>
      <c r="H544" t="str">
        <f>IF($A544="","",IF($D544="V01",cad!$C$24,IF($D544="V02",cad!$D$24,cad!$E$24)))</f>
        <v/>
      </c>
      <c r="I544" t="str">
        <f>IF($A544="","",IF($D544="V01",cad!$C$32,IF($D544="V02",cad!$D$32,cad!$E$32)))</f>
        <v/>
      </c>
      <c r="J544" t="str">
        <f>IF($A544="","",IF($D544="V01",cad!$C$33,IF($D544="V02",cad!$D$33,cad!$E$33)))</f>
        <v/>
      </c>
      <c r="K544" t="str">
        <f>IF($A544="","",IF($D544="V01",cad!$C$34,IF($D544="V02",cad!$D$34,cad!$E$34)))</f>
        <v/>
      </c>
      <c r="L544" t="str">
        <f>IF($A544="","",IF($D544="V01",cad!$C$35,IF($D544="V02",cad!$D$35,cad!$E$35)))</f>
        <v/>
      </c>
      <c r="M544" t="str">
        <f>IF($A544="","",IF($D544="V01",cad!$C$36,IF($D544="V02",cad!$D$36,cad!$E$36)))</f>
        <v/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 t="str">
        <f>IF($A545="","",IF($D545="V01",cad!$C$23,IF($D545="V02",cad!$D$23,cad!$E$23)))</f>
        <v/>
      </c>
      <c r="H545" t="str">
        <f>IF($A545="","",IF($D545="V01",cad!$C$24,IF($D545="V02",cad!$D$24,cad!$E$24)))</f>
        <v/>
      </c>
      <c r="I545" t="str">
        <f>IF($A545="","",IF($D545="V01",cad!$C$32,IF($D545="V02",cad!$D$32,cad!$E$32)))</f>
        <v/>
      </c>
      <c r="J545" t="str">
        <f>IF($A545="","",IF($D545="V01",cad!$C$33,IF($D545="V02",cad!$D$33,cad!$E$33)))</f>
        <v/>
      </c>
      <c r="K545" t="str">
        <f>IF($A545="","",IF($D545="V01",cad!$C$34,IF($D545="V02",cad!$D$34,cad!$E$34)))</f>
        <v/>
      </c>
      <c r="L545" t="str">
        <f>IF($A545="","",IF($D545="V01",cad!$C$35,IF($D545="V02",cad!$D$35,cad!$E$35)))</f>
        <v/>
      </c>
      <c r="M545" t="str">
        <f>IF($A545="","",IF($D545="V01",cad!$C$36,IF($D545="V02",cad!$D$36,cad!$E$36)))</f>
        <v/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 t="str">
        <f>IF($A546="","",IF($D546="V01",cad!$C$23,IF($D546="V02",cad!$D$23,cad!$E$23)))</f>
        <v/>
      </c>
      <c r="H546" t="str">
        <f>IF($A546="","",IF($D546="V01",cad!$C$24,IF($D546="V02",cad!$D$24,cad!$E$24)))</f>
        <v/>
      </c>
      <c r="I546" t="str">
        <f>IF($A546="","",IF($D546="V01",cad!$C$32,IF($D546="V02",cad!$D$32,cad!$E$32)))</f>
        <v/>
      </c>
      <c r="J546" t="str">
        <f>IF($A546="","",IF($D546="V01",cad!$C$33,IF($D546="V02",cad!$D$33,cad!$E$33)))</f>
        <v/>
      </c>
      <c r="K546" t="str">
        <f>IF($A546="","",IF($D546="V01",cad!$C$34,IF($D546="V02",cad!$D$34,cad!$E$34)))</f>
        <v/>
      </c>
      <c r="L546" t="str">
        <f>IF($A546="","",IF($D546="V01",cad!$C$35,IF($D546="V02",cad!$D$35,cad!$E$35)))</f>
        <v/>
      </c>
      <c r="M546" t="str">
        <f>IF($A546="","",IF($D546="V01",cad!$C$36,IF($D546="V02",cad!$D$36,cad!$E$36)))</f>
        <v/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 t="str">
        <f>IF($A547="","",IF($D547="V01",cad!$C$23,IF($D547="V02",cad!$D$23,cad!$E$23)))</f>
        <v/>
      </c>
      <c r="H547" t="str">
        <f>IF($A547="","",IF($D547="V01",cad!$C$24,IF($D547="V02",cad!$D$24,cad!$E$24)))</f>
        <v/>
      </c>
      <c r="I547" t="str">
        <f>IF($A547="","",IF($D547="V01",cad!$C$32,IF($D547="V02",cad!$D$32,cad!$E$32)))</f>
        <v/>
      </c>
      <c r="J547" t="str">
        <f>IF($A547="","",IF($D547="V01",cad!$C$33,IF($D547="V02",cad!$D$33,cad!$E$33)))</f>
        <v/>
      </c>
      <c r="K547" t="str">
        <f>IF($A547="","",IF($D547="V01",cad!$C$34,IF($D547="V02",cad!$D$34,cad!$E$34)))</f>
        <v/>
      </c>
      <c r="L547" t="str">
        <f>IF($A547="","",IF($D547="V01",cad!$C$35,IF($D547="V02",cad!$D$35,cad!$E$35)))</f>
        <v/>
      </c>
      <c r="M547" t="str">
        <f>IF($A547="","",IF($D547="V01",cad!$C$36,IF($D547="V02",cad!$D$36,cad!$E$36)))</f>
        <v/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 t="str">
        <f>IF($A548="","",IF($D548="V01",cad!$C$23,IF($D548="V02",cad!$D$23,cad!$E$23)))</f>
        <v/>
      </c>
      <c r="H548" t="str">
        <f>IF($A548="","",IF($D548="V01",cad!$C$24,IF($D548="V02",cad!$D$24,cad!$E$24)))</f>
        <v/>
      </c>
      <c r="I548" t="str">
        <f>IF($A548="","",IF($D548="V01",cad!$C$32,IF($D548="V02",cad!$D$32,cad!$E$32)))</f>
        <v/>
      </c>
      <c r="J548" t="str">
        <f>IF($A548="","",IF($D548="V01",cad!$C$33,IF($D548="V02",cad!$D$33,cad!$E$33)))</f>
        <v/>
      </c>
      <c r="K548" t="str">
        <f>IF($A548="","",IF($D548="V01",cad!$C$34,IF($D548="V02",cad!$D$34,cad!$E$34)))</f>
        <v/>
      </c>
      <c r="L548" t="str">
        <f>IF($A548="","",IF($D548="V01",cad!$C$35,IF($D548="V02",cad!$D$35,cad!$E$35)))</f>
        <v/>
      </c>
      <c r="M548" t="str">
        <f>IF($A548="","",IF($D548="V01",cad!$C$36,IF($D548="V02",cad!$D$36,cad!$E$36)))</f>
        <v/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 t="str">
        <f>IF($A549="","",IF($D549="V01",cad!$C$23,IF($D549="V02",cad!$D$23,cad!$E$23)))</f>
        <v/>
      </c>
      <c r="H549" t="str">
        <f>IF($A549="","",IF($D549="V01",cad!$C$24,IF($D549="V02",cad!$D$24,cad!$E$24)))</f>
        <v/>
      </c>
      <c r="I549" t="str">
        <f>IF($A549="","",IF($D549="V01",cad!$C$32,IF($D549="V02",cad!$D$32,cad!$E$32)))</f>
        <v/>
      </c>
      <c r="J549" t="str">
        <f>IF($A549="","",IF($D549="V01",cad!$C$33,IF($D549="V02",cad!$D$33,cad!$E$33)))</f>
        <v/>
      </c>
      <c r="K549" t="str">
        <f>IF($A549="","",IF($D549="V01",cad!$C$34,IF($D549="V02",cad!$D$34,cad!$E$34)))</f>
        <v/>
      </c>
      <c r="L549" t="str">
        <f>IF($A549="","",IF($D549="V01",cad!$C$35,IF($D549="V02",cad!$D$35,cad!$E$35)))</f>
        <v/>
      </c>
      <c r="M549" t="str">
        <f>IF($A549="","",IF($D549="V01",cad!$C$36,IF($D549="V02",cad!$D$36,cad!$E$36)))</f>
        <v/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 t="str">
        <f>IF($A550="","",IF($D550="V01",cad!$C$23,IF($D550="V02",cad!$D$23,cad!$E$23)))</f>
        <v/>
      </c>
      <c r="H550" t="str">
        <f>IF($A550="","",IF($D550="V01",cad!$C$24,IF($D550="V02",cad!$D$24,cad!$E$24)))</f>
        <v/>
      </c>
      <c r="I550" t="str">
        <f>IF($A550="","",IF($D550="V01",cad!$C$32,IF($D550="V02",cad!$D$32,cad!$E$32)))</f>
        <v/>
      </c>
      <c r="J550" t="str">
        <f>IF($A550="","",IF($D550="V01",cad!$C$33,IF($D550="V02",cad!$D$33,cad!$E$33)))</f>
        <v/>
      </c>
      <c r="K550" t="str">
        <f>IF($A550="","",IF($D550="V01",cad!$C$34,IF($D550="V02",cad!$D$34,cad!$E$34)))</f>
        <v/>
      </c>
      <c r="L550" t="str">
        <f>IF($A550="","",IF($D550="V01",cad!$C$35,IF($D550="V02",cad!$D$35,cad!$E$35)))</f>
        <v/>
      </c>
      <c r="M550" t="str">
        <f>IF($A550="","",IF($D550="V01",cad!$C$36,IF($D550="V02",cad!$D$36,cad!$E$36)))</f>
        <v/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 t="str">
        <f>IF($A551="","",IF($D551="V01",cad!$C$23,IF($D551="V02",cad!$D$23,cad!$E$23)))</f>
        <v/>
      </c>
      <c r="H551" t="str">
        <f>IF($A551="","",IF($D551="V01",cad!$C$24,IF($D551="V02",cad!$D$24,cad!$E$24)))</f>
        <v/>
      </c>
      <c r="I551" t="str">
        <f>IF($A551="","",IF($D551="V01",cad!$C$32,IF($D551="V02",cad!$D$32,cad!$E$32)))</f>
        <v/>
      </c>
      <c r="J551" t="str">
        <f>IF($A551="","",IF($D551="V01",cad!$C$33,IF($D551="V02",cad!$D$33,cad!$E$33)))</f>
        <v/>
      </c>
      <c r="K551" t="str">
        <f>IF($A551="","",IF($D551="V01",cad!$C$34,IF($D551="V02",cad!$D$34,cad!$E$34)))</f>
        <v/>
      </c>
      <c r="L551" t="str">
        <f>IF($A551="","",IF($D551="V01",cad!$C$35,IF($D551="V02",cad!$D$35,cad!$E$35)))</f>
        <v/>
      </c>
      <c r="M551" t="str">
        <f>IF($A551="","",IF($D551="V01",cad!$C$36,IF($D551="V02",cad!$D$36,cad!$E$36)))</f>
        <v/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 t="str">
        <f>IF($A552="","",IF($D552="V01",cad!$C$23,IF($D552="V02",cad!$D$23,cad!$E$23)))</f>
        <v/>
      </c>
      <c r="H552" t="str">
        <f>IF($A552="","",IF($D552="V01",cad!$C$24,IF($D552="V02",cad!$D$24,cad!$E$24)))</f>
        <v/>
      </c>
      <c r="I552" t="str">
        <f>IF($A552="","",IF($D552="V01",cad!$C$32,IF($D552="V02",cad!$D$32,cad!$E$32)))</f>
        <v/>
      </c>
      <c r="J552" t="str">
        <f>IF($A552="","",IF($D552="V01",cad!$C$33,IF($D552="V02",cad!$D$33,cad!$E$33)))</f>
        <v/>
      </c>
      <c r="K552" t="str">
        <f>IF($A552="","",IF($D552="V01",cad!$C$34,IF($D552="V02",cad!$D$34,cad!$E$34)))</f>
        <v/>
      </c>
      <c r="L552" t="str">
        <f>IF($A552="","",IF($D552="V01",cad!$C$35,IF($D552="V02",cad!$D$35,cad!$E$35)))</f>
        <v/>
      </c>
      <c r="M552" t="str">
        <f>IF($A552="","",IF($D552="V01",cad!$C$36,IF($D552="V02",cad!$D$36,cad!$E$36)))</f>
        <v/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 t="str">
        <f>IF($A553="","",IF($D553="V01",cad!$C$23,IF($D553="V02",cad!$D$23,cad!$E$23)))</f>
        <v/>
      </c>
      <c r="H553" t="str">
        <f>IF($A553="","",IF($D553="V01",cad!$C$24,IF($D553="V02",cad!$D$24,cad!$E$24)))</f>
        <v/>
      </c>
      <c r="I553" t="str">
        <f>IF($A553="","",IF($D553="V01",cad!$C$32,IF($D553="V02",cad!$D$32,cad!$E$32)))</f>
        <v/>
      </c>
      <c r="J553" t="str">
        <f>IF($A553="","",IF($D553="V01",cad!$C$33,IF($D553="V02",cad!$D$33,cad!$E$33)))</f>
        <v/>
      </c>
      <c r="K553" t="str">
        <f>IF($A553="","",IF($D553="V01",cad!$C$34,IF($D553="V02",cad!$D$34,cad!$E$34)))</f>
        <v/>
      </c>
      <c r="L553" t="str">
        <f>IF($A553="","",IF($D553="V01",cad!$C$35,IF($D553="V02",cad!$D$35,cad!$E$35)))</f>
        <v/>
      </c>
      <c r="M553" t="str">
        <f>IF($A553="","",IF($D553="V01",cad!$C$36,IF($D553="V02",cad!$D$36,cad!$E$36)))</f>
        <v/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 t="str">
        <f>IF($A554="","",IF($D554="V01",cad!$C$23,IF($D554="V02",cad!$D$23,cad!$E$23)))</f>
        <v/>
      </c>
      <c r="H554" t="str">
        <f>IF($A554="","",IF($D554="V01",cad!$C$24,IF($D554="V02",cad!$D$24,cad!$E$24)))</f>
        <v/>
      </c>
      <c r="I554" t="str">
        <f>IF($A554="","",IF($D554="V01",cad!$C$32,IF($D554="V02",cad!$D$32,cad!$E$32)))</f>
        <v/>
      </c>
      <c r="J554" t="str">
        <f>IF($A554="","",IF($D554="V01",cad!$C$33,IF($D554="V02",cad!$D$33,cad!$E$33)))</f>
        <v/>
      </c>
      <c r="K554" t="str">
        <f>IF($A554="","",IF($D554="V01",cad!$C$34,IF($D554="V02",cad!$D$34,cad!$E$34)))</f>
        <v/>
      </c>
      <c r="L554" t="str">
        <f>IF($A554="","",IF($D554="V01",cad!$C$35,IF($D554="V02",cad!$D$35,cad!$E$35)))</f>
        <v/>
      </c>
      <c r="M554" t="str">
        <f>IF($A554="","",IF($D554="V01",cad!$C$36,IF($D554="V02",cad!$D$36,cad!$E$36)))</f>
        <v/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 t="str">
        <f>IF($A555="","",IF($D555="V01",cad!$C$23,IF($D555="V02",cad!$D$23,cad!$E$23)))</f>
        <v/>
      </c>
      <c r="H555" t="str">
        <f>IF($A555="","",IF($D555="V01",cad!$C$24,IF($D555="V02",cad!$D$24,cad!$E$24)))</f>
        <v/>
      </c>
      <c r="I555" t="str">
        <f>IF($A555="","",IF($D555="V01",cad!$C$32,IF($D555="V02",cad!$D$32,cad!$E$32)))</f>
        <v/>
      </c>
      <c r="J555" t="str">
        <f>IF($A555="","",IF($D555="V01",cad!$C$33,IF($D555="V02",cad!$D$33,cad!$E$33)))</f>
        <v/>
      </c>
      <c r="K555" t="str">
        <f>IF($A555="","",IF($D555="V01",cad!$C$34,IF($D555="V02",cad!$D$34,cad!$E$34)))</f>
        <v/>
      </c>
      <c r="L555" t="str">
        <f>IF($A555="","",IF($D555="V01",cad!$C$35,IF($D555="V02",cad!$D$35,cad!$E$35)))</f>
        <v/>
      </c>
      <c r="M555" t="str">
        <f>IF($A555="","",IF($D555="V01",cad!$C$36,IF($D555="V02",cad!$D$36,cad!$E$36)))</f>
        <v/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 t="str">
        <f>IF($A556="","",IF($D556="V01",cad!$C$23,IF($D556="V02",cad!$D$23,cad!$E$23)))</f>
        <v/>
      </c>
      <c r="H556" t="str">
        <f>IF($A556="","",IF($D556="V01",cad!$C$24,IF($D556="V02",cad!$D$24,cad!$E$24)))</f>
        <v/>
      </c>
      <c r="I556" t="str">
        <f>IF($A556="","",IF($D556="V01",cad!$C$32,IF($D556="V02",cad!$D$32,cad!$E$32)))</f>
        <v/>
      </c>
      <c r="J556" t="str">
        <f>IF($A556="","",IF($D556="V01",cad!$C$33,IF($D556="V02",cad!$D$33,cad!$E$33)))</f>
        <v/>
      </c>
      <c r="K556" t="str">
        <f>IF($A556="","",IF($D556="V01",cad!$C$34,IF($D556="V02",cad!$D$34,cad!$E$34)))</f>
        <v/>
      </c>
      <c r="L556" t="str">
        <f>IF($A556="","",IF($D556="V01",cad!$C$35,IF($D556="V02",cad!$D$35,cad!$E$35)))</f>
        <v/>
      </c>
      <c r="M556" t="str">
        <f>IF($A556="","",IF($D556="V01",cad!$C$36,IF($D556="V02",cad!$D$36,cad!$E$36)))</f>
        <v/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 t="str">
        <f>IF($A557="","",IF($D557="V01",cad!$C$23,IF($D557="V02",cad!$D$23,cad!$E$23)))</f>
        <v/>
      </c>
      <c r="H557" t="str">
        <f>IF($A557="","",IF($D557="V01",cad!$C$24,IF($D557="V02",cad!$D$24,cad!$E$24)))</f>
        <v/>
      </c>
      <c r="I557" t="str">
        <f>IF($A557="","",IF($D557="V01",cad!$C$32,IF($D557="V02",cad!$D$32,cad!$E$32)))</f>
        <v/>
      </c>
      <c r="J557" t="str">
        <f>IF($A557="","",IF($D557="V01",cad!$C$33,IF($D557="V02",cad!$D$33,cad!$E$33)))</f>
        <v/>
      </c>
      <c r="K557" t="str">
        <f>IF($A557="","",IF($D557="V01",cad!$C$34,IF($D557="V02",cad!$D$34,cad!$E$34)))</f>
        <v/>
      </c>
      <c r="L557" t="str">
        <f>IF($A557="","",IF($D557="V01",cad!$C$35,IF($D557="V02",cad!$D$35,cad!$E$35)))</f>
        <v/>
      </c>
      <c r="M557" t="str">
        <f>IF($A557="","",IF($D557="V01",cad!$C$36,IF($D557="V02",cad!$D$36,cad!$E$36)))</f>
        <v/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 t="str">
        <f>IF($A558="","",IF($D558="V01",cad!$C$23,IF($D558="V02",cad!$D$23,cad!$E$23)))</f>
        <v/>
      </c>
      <c r="H558" t="str">
        <f>IF($A558="","",IF($D558="V01",cad!$C$24,IF($D558="V02",cad!$D$24,cad!$E$24)))</f>
        <v/>
      </c>
      <c r="I558" t="str">
        <f>IF($A558="","",IF($D558="V01",cad!$C$32,IF($D558="V02",cad!$D$32,cad!$E$32)))</f>
        <v/>
      </c>
      <c r="J558" t="str">
        <f>IF($A558="","",IF($D558="V01",cad!$C$33,IF($D558="V02",cad!$D$33,cad!$E$33)))</f>
        <v/>
      </c>
      <c r="K558" t="str">
        <f>IF($A558="","",IF($D558="V01",cad!$C$34,IF($D558="V02",cad!$D$34,cad!$E$34)))</f>
        <v/>
      </c>
      <c r="L558" t="str">
        <f>IF($A558="","",IF($D558="V01",cad!$C$35,IF($D558="V02",cad!$D$35,cad!$E$35)))</f>
        <v/>
      </c>
      <c r="M558" t="str">
        <f>IF($A558="","",IF($D558="V01",cad!$C$36,IF($D558="V02",cad!$D$36,cad!$E$36)))</f>
        <v/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 t="str">
        <f>IF($A559="","",IF($D559="V01",cad!$C$23,IF($D559="V02",cad!$D$23,cad!$E$23)))</f>
        <v/>
      </c>
      <c r="H559" t="str">
        <f>IF($A559="","",IF($D559="V01",cad!$C$24,IF($D559="V02",cad!$D$24,cad!$E$24)))</f>
        <v/>
      </c>
      <c r="I559" t="str">
        <f>IF($A559="","",IF($D559="V01",cad!$C$32,IF($D559="V02",cad!$D$32,cad!$E$32)))</f>
        <v/>
      </c>
      <c r="J559" t="str">
        <f>IF($A559="","",IF($D559="V01",cad!$C$33,IF($D559="V02",cad!$D$33,cad!$E$33)))</f>
        <v/>
      </c>
      <c r="K559" t="str">
        <f>IF($A559="","",IF($D559="V01",cad!$C$34,IF($D559="V02",cad!$D$34,cad!$E$34)))</f>
        <v/>
      </c>
      <c r="L559" t="str">
        <f>IF($A559="","",IF($D559="V01",cad!$C$35,IF($D559="V02",cad!$D$35,cad!$E$35)))</f>
        <v/>
      </c>
      <c r="M559" t="str">
        <f>IF($A559="","",IF($D559="V01",cad!$C$36,IF($D559="V02",cad!$D$36,cad!$E$36)))</f>
        <v/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 t="str">
        <f>IF($A560="","",IF($D560="V01",cad!$C$23,IF($D560="V02",cad!$D$23,cad!$E$23)))</f>
        <v/>
      </c>
      <c r="H560" t="str">
        <f>IF($A560="","",IF($D560="V01",cad!$C$24,IF($D560="V02",cad!$D$24,cad!$E$24)))</f>
        <v/>
      </c>
      <c r="I560" t="str">
        <f>IF($A560="","",IF($D560="V01",cad!$C$32,IF($D560="V02",cad!$D$32,cad!$E$32)))</f>
        <v/>
      </c>
      <c r="J560" t="str">
        <f>IF($A560="","",IF($D560="V01",cad!$C$33,IF($D560="V02",cad!$D$33,cad!$E$33)))</f>
        <v/>
      </c>
      <c r="K560" t="str">
        <f>IF($A560="","",IF($D560="V01",cad!$C$34,IF($D560="V02",cad!$D$34,cad!$E$34)))</f>
        <v/>
      </c>
      <c r="L560" t="str">
        <f>IF($A560="","",IF($D560="V01",cad!$C$35,IF($D560="V02",cad!$D$35,cad!$E$35)))</f>
        <v/>
      </c>
      <c r="M560" t="str">
        <f>IF($A560="","",IF($D560="V01",cad!$C$36,IF($D560="V02",cad!$D$36,cad!$E$36)))</f>
        <v/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 t="str">
        <f>IF($A561="","",IF($D561="V01",cad!$C$23,IF($D561="V02",cad!$D$23,cad!$E$23)))</f>
        <v/>
      </c>
      <c r="H561" t="str">
        <f>IF($A561="","",IF($D561="V01",cad!$C$24,IF($D561="V02",cad!$D$24,cad!$E$24)))</f>
        <v/>
      </c>
      <c r="I561" t="str">
        <f>IF($A561="","",IF($D561="V01",cad!$C$32,IF($D561="V02",cad!$D$32,cad!$E$32)))</f>
        <v/>
      </c>
      <c r="J561" t="str">
        <f>IF($A561="","",IF($D561="V01",cad!$C$33,IF($D561="V02",cad!$D$33,cad!$E$33)))</f>
        <v/>
      </c>
      <c r="K561" t="str">
        <f>IF($A561="","",IF($D561="V01",cad!$C$34,IF($D561="V02",cad!$D$34,cad!$E$34)))</f>
        <v/>
      </c>
      <c r="L561" t="str">
        <f>IF($A561="","",IF($D561="V01",cad!$C$35,IF($D561="V02",cad!$D$35,cad!$E$35)))</f>
        <v/>
      </c>
      <c r="M561" t="str">
        <f>IF($A561="","",IF($D561="V01",cad!$C$36,IF($D561="V02",cad!$D$36,cad!$E$36)))</f>
        <v/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 t="str">
        <f>IF($A562="","",IF($D562="V01",cad!$C$23,IF($D562="V02",cad!$D$23,cad!$E$23)))</f>
        <v/>
      </c>
      <c r="H562" t="str">
        <f>IF($A562="","",IF($D562="V01",cad!$C$24,IF($D562="V02",cad!$D$24,cad!$E$24)))</f>
        <v/>
      </c>
      <c r="I562" t="str">
        <f>IF($A562="","",IF($D562="V01",cad!$C$32,IF($D562="V02",cad!$D$32,cad!$E$32)))</f>
        <v/>
      </c>
      <c r="J562" t="str">
        <f>IF($A562="","",IF($D562="V01",cad!$C$33,IF($D562="V02",cad!$D$33,cad!$E$33)))</f>
        <v/>
      </c>
      <c r="K562" t="str">
        <f>IF($A562="","",IF($D562="V01",cad!$C$34,IF($D562="V02",cad!$D$34,cad!$E$34)))</f>
        <v/>
      </c>
      <c r="L562" t="str">
        <f>IF($A562="","",IF($D562="V01",cad!$C$35,IF($D562="V02",cad!$D$35,cad!$E$35)))</f>
        <v/>
      </c>
      <c r="M562" t="str">
        <f>IF($A562="","",IF($D562="V01",cad!$C$36,IF($D562="V02",cad!$D$36,cad!$E$36)))</f>
        <v/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 t="str">
        <f>IF($A563="","",IF($D563="V01",cad!$C$23,IF($D563="V02",cad!$D$23,cad!$E$23)))</f>
        <v/>
      </c>
      <c r="H563" t="str">
        <f>IF($A563="","",IF($D563="V01",cad!$C$24,IF($D563="V02",cad!$D$24,cad!$E$24)))</f>
        <v/>
      </c>
      <c r="I563" t="str">
        <f>IF($A563="","",IF($D563="V01",cad!$C$32,IF($D563="V02",cad!$D$32,cad!$E$32)))</f>
        <v/>
      </c>
      <c r="J563" t="str">
        <f>IF($A563="","",IF($D563="V01",cad!$C$33,IF($D563="V02",cad!$D$33,cad!$E$33)))</f>
        <v/>
      </c>
      <c r="K563" t="str">
        <f>IF($A563="","",IF($D563="V01",cad!$C$34,IF($D563="V02",cad!$D$34,cad!$E$34)))</f>
        <v/>
      </c>
      <c r="L563" t="str">
        <f>IF($A563="","",IF($D563="V01",cad!$C$35,IF($D563="V02",cad!$D$35,cad!$E$35)))</f>
        <v/>
      </c>
      <c r="M563" t="str">
        <f>IF($A563="","",IF($D563="V01",cad!$C$36,IF($D563="V02",cad!$D$36,cad!$E$36)))</f>
        <v/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 t="str">
        <f>IF($A564="","",IF($D564="V01",cad!$C$23,IF($D564="V02",cad!$D$23,cad!$E$23)))</f>
        <v/>
      </c>
      <c r="H564" t="str">
        <f>IF($A564="","",IF($D564="V01",cad!$C$24,IF($D564="V02",cad!$D$24,cad!$E$24)))</f>
        <v/>
      </c>
      <c r="I564" t="str">
        <f>IF($A564="","",IF($D564="V01",cad!$C$32,IF($D564="V02",cad!$D$32,cad!$E$32)))</f>
        <v/>
      </c>
      <c r="J564" t="str">
        <f>IF($A564="","",IF($D564="V01",cad!$C$33,IF($D564="V02",cad!$D$33,cad!$E$33)))</f>
        <v/>
      </c>
      <c r="K564" t="str">
        <f>IF($A564="","",IF($D564="V01",cad!$C$34,IF($D564="V02",cad!$D$34,cad!$E$34)))</f>
        <v/>
      </c>
      <c r="L564" t="str">
        <f>IF($A564="","",IF($D564="V01",cad!$C$35,IF($D564="V02",cad!$D$35,cad!$E$35)))</f>
        <v/>
      </c>
      <c r="M564" t="str">
        <f>IF($A564="","",IF($D564="V01",cad!$C$36,IF($D564="V02",cad!$D$36,cad!$E$36)))</f>
        <v/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 t="str">
        <f>IF($A565="","",IF($D565="V01",cad!$C$23,IF($D565="V02",cad!$D$23,cad!$E$23)))</f>
        <v/>
      </c>
      <c r="H565" t="str">
        <f>IF($A565="","",IF($D565="V01",cad!$C$24,IF($D565="V02",cad!$D$24,cad!$E$24)))</f>
        <v/>
      </c>
      <c r="I565" t="str">
        <f>IF($A565="","",IF($D565="V01",cad!$C$32,IF($D565="V02",cad!$D$32,cad!$E$32)))</f>
        <v/>
      </c>
      <c r="J565" t="str">
        <f>IF($A565="","",IF($D565="V01",cad!$C$33,IF($D565="V02",cad!$D$33,cad!$E$33)))</f>
        <v/>
      </c>
      <c r="K565" t="str">
        <f>IF($A565="","",IF($D565="V01",cad!$C$34,IF($D565="V02",cad!$D$34,cad!$E$34)))</f>
        <v/>
      </c>
      <c r="L565" t="str">
        <f>IF($A565="","",IF($D565="V01",cad!$C$35,IF($D565="V02",cad!$D$35,cad!$E$35)))</f>
        <v/>
      </c>
      <c r="M565" t="str">
        <f>IF($A565="","",IF($D565="V01",cad!$C$36,IF($D565="V02",cad!$D$36,cad!$E$36)))</f>
        <v/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 t="str">
        <f>IF($A566="","",IF($D566="V01",cad!$C$23,IF($D566="V02",cad!$D$23,cad!$E$23)))</f>
        <v/>
      </c>
      <c r="H566" t="str">
        <f>IF($A566="","",IF($D566="V01",cad!$C$24,IF($D566="V02",cad!$D$24,cad!$E$24)))</f>
        <v/>
      </c>
      <c r="I566" t="str">
        <f>IF($A566="","",IF($D566="V01",cad!$C$32,IF($D566="V02",cad!$D$32,cad!$E$32)))</f>
        <v/>
      </c>
      <c r="J566" t="str">
        <f>IF($A566="","",IF($D566="V01",cad!$C$33,IF($D566="V02",cad!$D$33,cad!$E$33)))</f>
        <v/>
      </c>
      <c r="K566" t="str">
        <f>IF($A566="","",IF($D566="V01",cad!$C$34,IF($D566="V02",cad!$D$34,cad!$E$34)))</f>
        <v/>
      </c>
      <c r="L566" t="str">
        <f>IF($A566="","",IF($D566="V01",cad!$C$35,IF($D566="V02",cad!$D$35,cad!$E$35)))</f>
        <v/>
      </c>
      <c r="M566" t="str">
        <f>IF($A566="","",IF($D566="V01",cad!$C$36,IF($D566="V02",cad!$D$36,cad!$E$36)))</f>
        <v/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 t="str">
        <f>IF($A567="","",IF($D567="V01",cad!$C$23,IF($D567="V02",cad!$D$23,cad!$E$23)))</f>
        <v/>
      </c>
      <c r="H567" t="str">
        <f>IF($A567="","",IF($D567="V01",cad!$C$24,IF($D567="V02",cad!$D$24,cad!$E$24)))</f>
        <v/>
      </c>
      <c r="I567" t="str">
        <f>IF($A567="","",IF($D567="V01",cad!$C$32,IF($D567="V02",cad!$D$32,cad!$E$32)))</f>
        <v/>
      </c>
      <c r="J567" t="str">
        <f>IF($A567="","",IF($D567="V01",cad!$C$33,IF($D567="V02",cad!$D$33,cad!$E$33)))</f>
        <v/>
      </c>
      <c r="K567" t="str">
        <f>IF($A567="","",IF($D567="V01",cad!$C$34,IF($D567="V02",cad!$D$34,cad!$E$34)))</f>
        <v/>
      </c>
      <c r="L567" t="str">
        <f>IF($A567="","",IF($D567="V01",cad!$C$35,IF($D567="V02",cad!$D$35,cad!$E$35)))</f>
        <v/>
      </c>
      <c r="M567" t="str">
        <f>IF($A567="","",IF($D567="V01",cad!$C$36,IF($D567="V02",cad!$D$36,cad!$E$36)))</f>
        <v/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 t="str">
        <f>IF($A568="","",IF($D568="V01",cad!$C$23,IF($D568="V02",cad!$D$23,cad!$E$23)))</f>
        <v/>
      </c>
      <c r="H568" t="str">
        <f>IF($A568="","",IF($D568="V01",cad!$C$24,IF($D568="V02",cad!$D$24,cad!$E$24)))</f>
        <v/>
      </c>
      <c r="I568" t="str">
        <f>IF($A568="","",IF($D568="V01",cad!$C$32,IF($D568="V02",cad!$D$32,cad!$E$32)))</f>
        <v/>
      </c>
      <c r="J568" t="str">
        <f>IF($A568="","",IF($D568="V01",cad!$C$33,IF($D568="V02",cad!$D$33,cad!$E$33)))</f>
        <v/>
      </c>
      <c r="K568" t="str">
        <f>IF($A568="","",IF($D568="V01",cad!$C$34,IF($D568="V02",cad!$D$34,cad!$E$34)))</f>
        <v/>
      </c>
      <c r="L568" t="str">
        <f>IF($A568="","",IF($D568="V01",cad!$C$35,IF($D568="V02",cad!$D$35,cad!$E$35)))</f>
        <v/>
      </c>
      <c r="M568" t="str">
        <f>IF($A568="","",IF($D568="V01",cad!$C$36,IF($D568="V02",cad!$D$36,cad!$E$36)))</f>
        <v/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 t="str">
        <f>IF($A569="","",IF($D569="V01",cad!$C$23,IF($D569="V02",cad!$D$23,cad!$E$23)))</f>
        <v/>
      </c>
      <c r="H569" t="str">
        <f>IF($A569="","",IF($D569="V01",cad!$C$24,IF($D569="V02",cad!$D$24,cad!$E$24)))</f>
        <v/>
      </c>
      <c r="I569" t="str">
        <f>IF($A569="","",IF($D569="V01",cad!$C$32,IF($D569="V02",cad!$D$32,cad!$E$32)))</f>
        <v/>
      </c>
      <c r="J569" t="str">
        <f>IF($A569="","",IF($D569="V01",cad!$C$33,IF($D569="V02",cad!$D$33,cad!$E$33)))</f>
        <v/>
      </c>
      <c r="K569" t="str">
        <f>IF($A569="","",IF($D569="V01",cad!$C$34,IF($D569="V02",cad!$D$34,cad!$E$34)))</f>
        <v/>
      </c>
      <c r="L569" t="str">
        <f>IF($A569="","",IF($D569="V01",cad!$C$35,IF($D569="V02",cad!$D$35,cad!$E$35)))</f>
        <v/>
      </c>
      <c r="M569" t="str">
        <f>IF($A569="","",IF($D569="V01",cad!$C$36,IF($D569="V02",cad!$D$36,cad!$E$36)))</f>
        <v/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 t="str">
        <f>IF($A570="","",IF($D570="V01",cad!$C$23,IF($D570="V02",cad!$D$23,cad!$E$23)))</f>
        <v/>
      </c>
      <c r="H570" t="str">
        <f>IF($A570="","",IF($D570="V01",cad!$C$24,IF($D570="V02",cad!$D$24,cad!$E$24)))</f>
        <v/>
      </c>
      <c r="I570" t="str">
        <f>IF($A570="","",IF($D570="V01",cad!$C$32,IF($D570="V02",cad!$D$32,cad!$E$32)))</f>
        <v/>
      </c>
      <c r="J570" t="str">
        <f>IF($A570="","",IF($D570="V01",cad!$C$33,IF($D570="V02",cad!$D$33,cad!$E$33)))</f>
        <v/>
      </c>
      <c r="K570" t="str">
        <f>IF($A570="","",IF($D570="V01",cad!$C$34,IF($D570="V02",cad!$D$34,cad!$E$34)))</f>
        <v/>
      </c>
      <c r="L570" t="str">
        <f>IF($A570="","",IF($D570="V01",cad!$C$35,IF($D570="V02",cad!$D$35,cad!$E$35)))</f>
        <v/>
      </c>
      <c r="M570" t="str">
        <f>IF($A570="","",IF($D570="V01",cad!$C$36,IF($D570="V02",cad!$D$36,cad!$E$36)))</f>
        <v/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 t="str">
        <f>IF($A571="","",IF($D571="V01",cad!$C$23,IF($D571="V02",cad!$D$23,cad!$E$23)))</f>
        <v/>
      </c>
      <c r="H571" t="str">
        <f>IF($A571="","",IF($D571="V01",cad!$C$24,IF($D571="V02",cad!$D$24,cad!$E$24)))</f>
        <v/>
      </c>
      <c r="I571" t="str">
        <f>IF($A571="","",IF($D571="V01",cad!$C$32,IF($D571="V02",cad!$D$32,cad!$E$32)))</f>
        <v/>
      </c>
      <c r="J571" t="str">
        <f>IF($A571="","",IF($D571="V01",cad!$C$33,IF($D571="V02",cad!$D$33,cad!$E$33)))</f>
        <v/>
      </c>
      <c r="K571" t="str">
        <f>IF($A571="","",IF($D571="V01",cad!$C$34,IF($D571="V02",cad!$D$34,cad!$E$34)))</f>
        <v/>
      </c>
      <c r="L571" t="str">
        <f>IF($A571="","",IF($D571="V01",cad!$C$35,IF($D571="V02",cad!$D$35,cad!$E$35)))</f>
        <v/>
      </c>
      <c r="M571" t="str">
        <f>IF($A571="","",IF($D571="V01",cad!$C$36,IF($D571="V02",cad!$D$36,cad!$E$36)))</f>
        <v/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 t="str">
        <f>IF($A572="","",IF($D572="V01",cad!$C$23,IF($D572="V02",cad!$D$23,cad!$E$23)))</f>
        <v/>
      </c>
      <c r="H572" t="str">
        <f>IF($A572="","",IF($D572="V01",cad!$C$24,IF($D572="V02",cad!$D$24,cad!$E$24)))</f>
        <v/>
      </c>
      <c r="I572" t="str">
        <f>IF($A572="","",IF($D572="V01",cad!$C$32,IF($D572="V02",cad!$D$32,cad!$E$32)))</f>
        <v/>
      </c>
      <c r="J572" t="str">
        <f>IF($A572="","",IF($D572="V01",cad!$C$33,IF($D572="V02",cad!$D$33,cad!$E$33)))</f>
        <v/>
      </c>
      <c r="K572" t="str">
        <f>IF($A572="","",IF($D572="V01",cad!$C$34,IF($D572="V02",cad!$D$34,cad!$E$34)))</f>
        <v/>
      </c>
      <c r="L572" t="str">
        <f>IF($A572="","",IF($D572="V01",cad!$C$35,IF($D572="V02",cad!$D$35,cad!$E$35)))</f>
        <v/>
      </c>
      <c r="M572" t="str">
        <f>IF($A572="","",IF($D572="V01",cad!$C$36,IF($D572="V02",cad!$D$36,cad!$E$36)))</f>
        <v/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 t="str">
        <f>IF($A573="","",IF($D573="V01",cad!$C$23,IF($D573="V02",cad!$D$23,cad!$E$23)))</f>
        <v/>
      </c>
      <c r="H573" t="str">
        <f>IF($A573="","",IF($D573="V01",cad!$C$24,IF($D573="V02",cad!$D$24,cad!$E$24)))</f>
        <v/>
      </c>
      <c r="I573" t="str">
        <f>IF($A573="","",IF($D573="V01",cad!$C$32,IF($D573="V02",cad!$D$32,cad!$E$32)))</f>
        <v/>
      </c>
      <c r="J573" t="str">
        <f>IF($A573="","",IF($D573="V01",cad!$C$33,IF($D573="V02",cad!$D$33,cad!$E$33)))</f>
        <v/>
      </c>
      <c r="K573" t="str">
        <f>IF($A573="","",IF($D573="V01",cad!$C$34,IF($D573="V02",cad!$D$34,cad!$E$34)))</f>
        <v/>
      </c>
      <c r="L573" t="str">
        <f>IF($A573="","",IF($D573="V01",cad!$C$35,IF($D573="V02",cad!$D$35,cad!$E$35)))</f>
        <v/>
      </c>
      <c r="M573" t="str">
        <f>IF($A573="","",IF($D573="V01",cad!$C$36,IF($D573="V02",cad!$D$36,cad!$E$36)))</f>
        <v/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 t="str">
        <f>IF($A574="","",IF($D574="V01",cad!$C$23,IF($D574="V02",cad!$D$23,cad!$E$23)))</f>
        <v/>
      </c>
      <c r="H574" t="str">
        <f>IF($A574="","",IF($D574="V01",cad!$C$24,IF($D574="V02",cad!$D$24,cad!$E$24)))</f>
        <v/>
      </c>
      <c r="I574" t="str">
        <f>IF($A574="","",IF($D574="V01",cad!$C$32,IF($D574="V02",cad!$D$32,cad!$E$32)))</f>
        <v/>
      </c>
      <c r="J574" t="str">
        <f>IF($A574="","",IF($D574="V01",cad!$C$33,IF($D574="V02",cad!$D$33,cad!$E$33)))</f>
        <v/>
      </c>
      <c r="K574" t="str">
        <f>IF($A574="","",IF($D574="V01",cad!$C$34,IF($D574="V02",cad!$D$34,cad!$E$34)))</f>
        <v/>
      </c>
      <c r="L574" t="str">
        <f>IF($A574="","",IF($D574="V01",cad!$C$35,IF($D574="V02",cad!$D$35,cad!$E$35)))</f>
        <v/>
      </c>
      <c r="M574" t="str">
        <f>IF($A574="","",IF($D574="V01",cad!$C$36,IF($D574="V02",cad!$D$36,cad!$E$36)))</f>
        <v/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 t="str">
        <f>IF($A575="","",IF($D575="V01",cad!$C$23,IF($D575="V02",cad!$D$23,cad!$E$23)))</f>
        <v/>
      </c>
      <c r="H575" t="str">
        <f>IF($A575="","",IF($D575="V01",cad!$C$24,IF($D575="V02",cad!$D$24,cad!$E$24)))</f>
        <v/>
      </c>
      <c r="I575" t="str">
        <f>IF($A575="","",IF($D575="V01",cad!$C$32,IF($D575="V02",cad!$D$32,cad!$E$32)))</f>
        <v/>
      </c>
      <c r="J575" t="str">
        <f>IF($A575="","",IF($D575="V01",cad!$C$33,IF($D575="V02",cad!$D$33,cad!$E$33)))</f>
        <v/>
      </c>
      <c r="K575" t="str">
        <f>IF($A575="","",IF($D575="V01",cad!$C$34,IF($D575="V02",cad!$D$34,cad!$E$34)))</f>
        <v/>
      </c>
      <c r="L575" t="str">
        <f>IF($A575="","",IF($D575="V01",cad!$C$35,IF($D575="V02",cad!$D$35,cad!$E$35)))</f>
        <v/>
      </c>
      <c r="M575" t="str">
        <f>IF($A575="","",IF($D575="V01",cad!$C$36,IF($D575="V02",cad!$D$36,cad!$E$36)))</f>
        <v/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 t="str">
        <f>IF($A576="","",IF($D576="V01",cad!$C$23,IF($D576="V02",cad!$D$23,cad!$E$23)))</f>
        <v/>
      </c>
      <c r="H576" t="str">
        <f>IF($A576="","",IF($D576="V01",cad!$C$24,IF($D576="V02",cad!$D$24,cad!$E$24)))</f>
        <v/>
      </c>
      <c r="I576" t="str">
        <f>IF($A576="","",IF($D576="V01",cad!$C$32,IF($D576="V02",cad!$D$32,cad!$E$32)))</f>
        <v/>
      </c>
      <c r="J576" t="str">
        <f>IF($A576="","",IF($D576="V01",cad!$C$33,IF($D576="V02",cad!$D$33,cad!$E$33)))</f>
        <v/>
      </c>
      <c r="K576" t="str">
        <f>IF($A576="","",IF($D576="V01",cad!$C$34,IF($D576="V02",cad!$D$34,cad!$E$34)))</f>
        <v/>
      </c>
      <c r="L576" t="str">
        <f>IF($A576="","",IF($D576="V01",cad!$C$35,IF($D576="V02",cad!$D$35,cad!$E$35)))</f>
        <v/>
      </c>
      <c r="M576" t="str">
        <f>IF($A576="","",IF($D576="V01",cad!$C$36,IF($D576="V02",cad!$D$36,cad!$E$36)))</f>
        <v/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 t="str">
        <f>IF($A577="","",IF($D577="V01",cad!$C$23,IF($D577="V02",cad!$D$23,cad!$E$23)))</f>
        <v/>
      </c>
      <c r="H577" t="str">
        <f>IF($A577="","",IF($D577="V01",cad!$C$24,IF($D577="V02",cad!$D$24,cad!$E$24)))</f>
        <v/>
      </c>
      <c r="I577" t="str">
        <f>IF($A577="","",IF($D577="V01",cad!$C$32,IF($D577="V02",cad!$D$32,cad!$E$32)))</f>
        <v/>
      </c>
      <c r="J577" t="str">
        <f>IF($A577="","",IF($D577="V01",cad!$C$33,IF($D577="V02",cad!$D$33,cad!$E$33)))</f>
        <v/>
      </c>
      <c r="K577" t="str">
        <f>IF($A577="","",IF($D577="V01",cad!$C$34,IF($D577="V02",cad!$D$34,cad!$E$34)))</f>
        <v/>
      </c>
      <c r="L577" t="str">
        <f>IF($A577="","",IF($D577="V01",cad!$C$35,IF($D577="V02",cad!$D$35,cad!$E$35)))</f>
        <v/>
      </c>
      <c r="M577" t="str">
        <f>IF($A577="","",IF($D577="V01",cad!$C$36,IF($D577="V02",cad!$D$36,cad!$E$36)))</f>
        <v/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 t="str">
        <f>IF($A578="","",IF($D578="V01",cad!$C$23,IF($D578="V02",cad!$D$23,cad!$E$23)))</f>
        <v/>
      </c>
      <c r="H578" t="str">
        <f>IF($A578="","",IF($D578="V01",cad!$C$24,IF($D578="V02",cad!$D$24,cad!$E$24)))</f>
        <v/>
      </c>
      <c r="I578" t="str">
        <f>IF($A578="","",IF($D578="V01",cad!$C$32,IF($D578="V02",cad!$D$32,cad!$E$32)))</f>
        <v/>
      </c>
      <c r="J578" t="str">
        <f>IF($A578="","",IF($D578="V01",cad!$C$33,IF($D578="V02",cad!$D$33,cad!$E$33)))</f>
        <v/>
      </c>
      <c r="K578" t="str">
        <f>IF($A578="","",IF($D578="V01",cad!$C$34,IF($D578="V02",cad!$D$34,cad!$E$34)))</f>
        <v/>
      </c>
      <c r="L578" t="str">
        <f>IF($A578="","",IF($D578="V01",cad!$C$35,IF($D578="V02",cad!$D$35,cad!$E$35)))</f>
        <v/>
      </c>
      <c r="M578" t="str">
        <f>IF($A578="","",IF($D578="V01",cad!$C$36,IF($D578="V02",cad!$D$36,cad!$E$36)))</f>
        <v/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 t="str">
        <f>IF($A579="","",IF($D579="V01",cad!$C$23,IF($D579="V02",cad!$D$23,cad!$E$23)))</f>
        <v/>
      </c>
      <c r="H579" t="str">
        <f>IF($A579="","",IF($D579="V01",cad!$C$24,IF($D579="V02",cad!$D$24,cad!$E$24)))</f>
        <v/>
      </c>
      <c r="I579" t="str">
        <f>IF($A579="","",IF($D579="V01",cad!$C$32,IF($D579="V02",cad!$D$32,cad!$E$32)))</f>
        <v/>
      </c>
      <c r="J579" t="str">
        <f>IF($A579="","",IF($D579="V01",cad!$C$33,IF($D579="V02",cad!$D$33,cad!$E$33)))</f>
        <v/>
      </c>
      <c r="K579" t="str">
        <f>IF($A579="","",IF($D579="V01",cad!$C$34,IF($D579="V02",cad!$D$34,cad!$E$34)))</f>
        <v/>
      </c>
      <c r="L579" t="str">
        <f>IF($A579="","",IF($D579="V01",cad!$C$35,IF($D579="V02",cad!$D$35,cad!$E$35)))</f>
        <v/>
      </c>
      <c r="M579" t="str">
        <f>IF($A579="","",IF($D579="V01",cad!$C$36,IF($D579="V02",cad!$D$36,cad!$E$36)))</f>
        <v/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 t="str">
        <f>IF($A580="","",IF($D580="V01",cad!$C$23,IF($D580="V02",cad!$D$23,cad!$E$23)))</f>
        <v/>
      </c>
      <c r="H580" t="str">
        <f>IF($A580="","",IF($D580="V01",cad!$C$24,IF($D580="V02",cad!$D$24,cad!$E$24)))</f>
        <v/>
      </c>
      <c r="I580" t="str">
        <f>IF($A580="","",IF($D580="V01",cad!$C$32,IF($D580="V02",cad!$D$32,cad!$E$32)))</f>
        <v/>
      </c>
      <c r="J580" t="str">
        <f>IF($A580="","",IF($D580="V01",cad!$C$33,IF($D580="V02",cad!$D$33,cad!$E$33)))</f>
        <v/>
      </c>
      <c r="K580" t="str">
        <f>IF($A580="","",IF($D580="V01",cad!$C$34,IF($D580="V02",cad!$D$34,cad!$E$34)))</f>
        <v/>
      </c>
      <c r="L580" t="str">
        <f>IF($A580="","",IF($D580="V01",cad!$C$35,IF($D580="V02",cad!$D$35,cad!$E$35)))</f>
        <v/>
      </c>
      <c r="M580" t="str">
        <f>IF($A580="","",IF($D580="V01",cad!$C$36,IF($D580="V02",cad!$D$36,cad!$E$36)))</f>
        <v/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 t="str">
        <f>IF($A581="","",IF($D581="V01",cad!$C$23,IF($D581="V02",cad!$D$23,cad!$E$23)))</f>
        <v/>
      </c>
      <c r="H581" t="str">
        <f>IF($A581="","",IF($D581="V01",cad!$C$24,IF($D581="V02",cad!$D$24,cad!$E$24)))</f>
        <v/>
      </c>
      <c r="I581" t="str">
        <f>IF($A581="","",IF($D581="V01",cad!$C$32,IF($D581="V02",cad!$D$32,cad!$E$32)))</f>
        <v/>
      </c>
      <c r="J581" t="str">
        <f>IF($A581="","",IF($D581="V01",cad!$C$33,IF($D581="V02",cad!$D$33,cad!$E$33)))</f>
        <v/>
      </c>
      <c r="K581" t="str">
        <f>IF($A581="","",IF($D581="V01",cad!$C$34,IF($D581="V02",cad!$D$34,cad!$E$34)))</f>
        <v/>
      </c>
      <c r="L581" t="str">
        <f>IF($A581="","",IF($D581="V01",cad!$C$35,IF($D581="V02",cad!$D$35,cad!$E$35)))</f>
        <v/>
      </c>
      <c r="M581" t="str">
        <f>IF($A581="","",IF($D581="V01",cad!$C$36,IF($D581="V02",cad!$D$36,cad!$E$36)))</f>
        <v/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 t="str">
        <f>IF($A582="","",IF($D582="V01",cad!$C$23,IF($D582="V02",cad!$D$23,cad!$E$23)))</f>
        <v/>
      </c>
      <c r="H582" t="str">
        <f>IF($A582="","",IF($D582="V01",cad!$C$24,IF($D582="V02",cad!$D$24,cad!$E$24)))</f>
        <v/>
      </c>
      <c r="I582" t="str">
        <f>IF($A582="","",IF($D582="V01",cad!$C$32,IF($D582="V02",cad!$D$32,cad!$E$32)))</f>
        <v/>
      </c>
      <c r="J582" t="str">
        <f>IF($A582="","",IF($D582="V01",cad!$C$33,IF($D582="V02",cad!$D$33,cad!$E$33)))</f>
        <v/>
      </c>
      <c r="K582" t="str">
        <f>IF($A582="","",IF($D582="V01",cad!$C$34,IF($D582="V02",cad!$D$34,cad!$E$34)))</f>
        <v/>
      </c>
      <c r="L582" t="str">
        <f>IF($A582="","",IF($D582="V01",cad!$C$35,IF($D582="V02",cad!$D$35,cad!$E$35)))</f>
        <v/>
      </c>
      <c r="M582" t="str">
        <f>IF($A582="","",IF($D582="V01",cad!$C$36,IF($D582="V02",cad!$D$36,cad!$E$36)))</f>
        <v/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 t="str">
        <f>IF($A583="","",IF($D583="V01",cad!$C$23,IF($D583="V02",cad!$D$23,cad!$E$23)))</f>
        <v/>
      </c>
      <c r="H583" t="str">
        <f>IF($A583="","",IF($D583="V01",cad!$C$24,IF($D583="V02",cad!$D$24,cad!$E$24)))</f>
        <v/>
      </c>
      <c r="I583" t="str">
        <f>IF($A583="","",IF($D583="V01",cad!$C$32,IF($D583="V02",cad!$D$32,cad!$E$32)))</f>
        <v/>
      </c>
      <c r="J583" t="str">
        <f>IF($A583="","",IF($D583="V01",cad!$C$33,IF($D583="V02",cad!$D$33,cad!$E$33)))</f>
        <v/>
      </c>
      <c r="K583" t="str">
        <f>IF($A583="","",IF($D583="V01",cad!$C$34,IF($D583="V02",cad!$D$34,cad!$E$34)))</f>
        <v/>
      </c>
      <c r="L583" t="str">
        <f>IF($A583="","",IF($D583="V01",cad!$C$35,IF($D583="V02",cad!$D$35,cad!$E$35)))</f>
        <v/>
      </c>
      <c r="M583" t="str">
        <f>IF($A583="","",IF($D583="V01",cad!$C$36,IF($D583="V02",cad!$D$36,cad!$E$36)))</f>
        <v/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 t="str">
        <f>IF($A584="","",IF($D584="V01",cad!$C$23,IF($D584="V02",cad!$D$23,cad!$E$23)))</f>
        <v/>
      </c>
      <c r="H584" t="str">
        <f>IF($A584="","",IF($D584="V01",cad!$C$24,IF($D584="V02",cad!$D$24,cad!$E$24)))</f>
        <v/>
      </c>
      <c r="I584" t="str">
        <f>IF($A584="","",IF($D584="V01",cad!$C$32,IF($D584="V02",cad!$D$32,cad!$E$32)))</f>
        <v/>
      </c>
      <c r="J584" t="str">
        <f>IF($A584="","",IF($D584="V01",cad!$C$33,IF($D584="V02",cad!$D$33,cad!$E$33)))</f>
        <v/>
      </c>
      <c r="K584" t="str">
        <f>IF($A584="","",IF($D584="V01",cad!$C$34,IF($D584="V02",cad!$D$34,cad!$E$34)))</f>
        <v/>
      </c>
      <c r="L584" t="str">
        <f>IF($A584="","",IF($D584="V01",cad!$C$35,IF($D584="V02",cad!$D$35,cad!$E$35)))</f>
        <v/>
      </c>
      <c r="M584" t="str">
        <f>IF($A584="","",IF($D584="V01",cad!$C$36,IF($D584="V02",cad!$D$36,cad!$E$36)))</f>
        <v/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 t="str">
        <f>IF($A585="","",IF($D585="V01",cad!$C$23,IF($D585="V02",cad!$D$23,cad!$E$23)))</f>
        <v/>
      </c>
      <c r="H585" t="str">
        <f>IF($A585="","",IF($D585="V01",cad!$C$24,IF($D585="V02",cad!$D$24,cad!$E$24)))</f>
        <v/>
      </c>
      <c r="I585" t="str">
        <f>IF($A585="","",IF($D585="V01",cad!$C$32,IF($D585="V02",cad!$D$32,cad!$E$32)))</f>
        <v/>
      </c>
      <c r="J585" t="str">
        <f>IF($A585="","",IF($D585="V01",cad!$C$33,IF($D585="V02",cad!$D$33,cad!$E$33)))</f>
        <v/>
      </c>
      <c r="K585" t="str">
        <f>IF($A585="","",IF($D585="V01",cad!$C$34,IF($D585="V02",cad!$D$34,cad!$E$34)))</f>
        <v/>
      </c>
      <c r="L585" t="str">
        <f>IF($A585="","",IF($D585="V01",cad!$C$35,IF($D585="V02",cad!$D$35,cad!$E$35)))</f>
        <v/>
      </c>
      <c r="M585" t="str">
        <f>IF($A585="","",IF($D585="V01",cad!$C$36,IF($D585="V02",cad!$D$36,cad!$E$36)))</f>
        <v/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 t="str">
        <f>IF($A586="","",IF($D586="V01",cad!$C$23,IF($D586="V02",cad!$D$23,cad!$E$23)))</f>
        <v/>
      </c>
      <c r="H586" t="str">
        <f>IF($A586="","",IF($D586="V01",cad!$C$24,IF($D586="V02",cad!$D$24,cad!$E$24)))</f>
        <v/>
      </c>
      <c r="I586" t="str">
        <f>IF($A586="","",IF($D586="V01",cad!$C$32,IF($D586="V02",cad!$D$32,cad!$E$32)))</f>
        <v/>
      </c>
      <c r="J586" t="str">
        <f>IF($A586="","",IF($D586="V01",cad!$C$33,IF($D586="V02",cad!$D$33,cad!$E$33)))</f>
        <v/>
      </c>
      <c r="K586" t="str">
        <f>IF($A586="","",IF($D586="V01",cad!$C$34,IF($D586="V02",cad!$D$34,cad!$E$34)))</f>
        <v/>
      </c>
      <c r="L586" t="str">
        <f>IF($A586="","",IF($D586="V01",cad!$C$35,IF($D586="V02",cad!$D$35,cad!$E$35)))</f>
        <v/>
      </c>
      <c r="M586" t="str">
        <f>IF($A586="","",IF($D586="V01",cad!$C$36,IF($D586="V02",cad!$D$36,cad!$E$36)))</f>
        <v/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 t="str">
        <f>IF($A587="","",IF($D587="V01",cad!$C$23,IF($D587="V02",cad!$D$23,cad!$E$23)))</f>
        <v/>
      </c>
      <c r="H587" t="str">
        <f>IF($A587="","",IF($D587="V01",cad!$C$24,IF($D587="V02",cad!$D$24,cad!$E$24)))</f>
        <v/>
      </c>
      <c r="I587" t="str">
        <f>IF($A587="","",IF($D587="V01",cad!$C$32,IF($D587="V02",cad!$D$32,cad!$E$32)))</f>
        <v/>
      </c>
      <c r="J587" t="str">
        <f>IF($A587="","",IF($D587="V01",cad!$C$33,IF($D587="V02",cad!$D$33,cad!$E$33)))</f>
        <v/>
      </c>
      <c r="K587" t="str">
        <f>IF($A587="","",IF($D587="V01",cad!$C$34,IF($D587="V02",cad!$D$34,cad!$E$34)))</f>
        <v/>
      </c>
      <c r="L587" t="str">
        <f>IF($A587="","",IF($D587="V01",cad!$C$35,IF($D587="V02",cad!$D$35,cad!$E$35)))</f>
        <v/>
      </c>
      <c r="M587" t="str">
        <f>IF($A587="","",IF($D587="V01",cad!$C$36,IF($D587="V02",cad!$D$36,cad!$E$36)))</f>
        <v/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 t="str">
        <f>IF($A588="","",IF($D588="V01",cad!$C$23,IF($D588="V02",cad!$D$23,cad!$E$23)))</f>
        <v/>
      </c>
      <c r="H588" t="str">
        <f>IF($A588="","",IF($D588="V01",cad!$C$24,IF($D588="V02",cad!$D$24,cad!$E$24)))</f>
        <v/>
      </c>
      <c r="I588" t="str">
        <f>IF($A588="","",IF($D588="V01",cad!$C$32,IF($D588="V02",cad!$D$32,cad!$E$32)))</f>
        <v/>
      </c>
      <c r="J588" t="str">
        <f>IF($A588="","",IF($D588="V01",cad!$C$33,IF($D588="V02",cad!$D$33,cad!$E$33)))</f>
        <v/>
      </c>
      <c r="K588" t="str">
        <f>IF($A588="","",IF($D588="V01",cad!$C$34,IF($D588="V02",cad!$D$34,cad!$E$34)))</f>
        <v/>
      </c>
      <c r="L588" t="str">
        <f>IF($A588="","",IF($D588="V01",cad!$C$35,IF($D588="V02",cad!$D$35,cad!$E$35)))</f>
        <v/>
      </c>
      <c r="M588" t="str">
        <f>IF($A588="","",IF($D588="V01",cad!$C$36,IF($D588="V02",cad!$D$36,cad!$E$36)))</f>
        <v/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 t="str">
        <f>IF($A589="","",IF($D589="V01",cad!$C$23,IF($D589="V02",cad!$D$23,cad!$E$23)))</f>
        <v/>
      </c>
      <c r="H589" t="str">
        <f>IF($A589="","",IF($D589="V01",cad!$C$24,IF($D589="V02",cad!$D$24,cad!$E$24)))</f>
        <v/>
      </c>
      <c r="I589" t="str">
        <f>IF($A589="","",IF($D589="V01",cad!$C$32,IF($D589="V02",cad!$D$32,cad!$E$32)))</f>
        <v/>
      </c>
      <c r="J589" t="str">
        <f>IF($A589="","",IF($D589="V01",cad!$C$33,IF($D589="V02",cad!$D$33,cad!$E$33)))</f>
        <v/>
      </c>
      <c r="K589" t="str">
        <f>IF($A589="","",IF($D589="V01",cad!$C$34,IF($D589="V02",cad!$D$34,cad!$E$34)))</f>
        <v/>
      </c>
      <c r="L589" t="str">
        <f>IF($A589="","",IF($D589="V01",cad!$C$35,IF($D589="V02",cad!$D$35,cad!$E$35)))</f>
        <v/>
      </c>
      <c r="M589" t="str">
        <f>IF($A589="","",IF($D589="V01",cad!$C$36,IF($D589="V02",cad!$D$36,cad!$E$36)))</f>
        <v/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 t="str">
        <f>IF($A590="","",IF($D590="V01",cad!$C$23,IF($D590="V02",cad!$D$23,cad!$E$23)))</f>
        <v/>
      </c>
      <c r="H590" t="str">
        <f>IF($A590="","",IF($D590="V01",cad!$C$24,IF($D590="V02",cad!$D$24,cad!$E$24)))</f>
        <v/>
      </c>
      <c r="I590" t="str">
        <f>IF($A590="","",IF($D590="V01",cad!$C$32,IF($D590="V02",cad!$D$32,cad!$E$32)))</f>
        <v/>
      </c>
      <c r="J590" t="str">
        <f>IF($A590="","",IF($D590="V01",cad!$C$33,IF($D590="V02",cad!$D$33,cad!$E$33)))</f>
        <v/>
      </c>
      <c r="K590" t="str">
        <f>IF($A590="","",IF($D590="V01",cad!$C$34,IF($D590="V02",cad!$D$34,cad!$E$34)))</f>
        <v/>
      </c>
      <c r="L590" t="str">
        <f>IF($A590="","",IF($D590="V01",cad!$C$35,IF($D590="V02",cad!$D$35,cad!$E$35)))</f>
        <v/>
      </c>
      <c r="M590" t="str">
        <f>IF($A590="","",IF($D590="V01",cad!$C$36,IF($D590="V02",cad!$D$36,cad!$E$36)))</f>
        <v/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 t="str">
        <f>IF($A591="","",IF($D591="V01",cad!$C$23,IF($D591="V02",cad!$D$23,cad!$E$23)))</f>
        <v/>
      </c>
      <c r="H591" t="str">
        <f>IF($A591="","",IF($D591="V01",cad!$C$24,IF($D591="V02",cad!$D$24,cad!$E$24)))</f>
        <v/>
      </c>
      <c r="I591" t="str">
        <f>IF($A591="","",IF($D591="V01",cad!$C$32,IF($D591="V02",cad!$D$32,cad!$E$32)))</f>
        <v/>
      </c>
      <c r="J591" t="str">
        <f>IF($A591="","",IF($D591="V01",cad!$C$33,IF($D591="V02",cad!$D$33,cad!$E$33)))</f>
        <v/>
      </c>
      <c r="K591" t="str">
        <f>IF($A591="","",IF($D591="V01",cad!$C$34,IF($D591="V02",cad!$D$34,cad!$E$34)))</f>
        <v/>
      </c>
      <c r="L591" t="str">
        <f>IF($A591="","",IF($D591="V01",cad!$C$35,IF($D591="V02",cad!$D$35,cad!$E$35)))</f>
        <v/>
      </c>
      <c r="M591" t="str">
        <f>IF($A591="","",IF($D591="V01",cad!$C$36,IF($D591="V02",cad!$D$36,cad!$E$36)))</f>
        <v/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 t="str">
        <f>IF($A592="","",IF($D592="V01",cad!$C$23,IF($D592="V02",cad!$D$23,cad!$E$23)))</f>
        <v/>
      </c>
      <c r="H592" t="str">
        <f>IF($A592="","",IF($D592="V01",cad!$C$24,IF($D592="V02",cad!$D$24,cad!$E$24)))</f>
        <v/>
      </c>
      <c r="I592" t="str">
        <f>IF($A592="","",IF($D592="V01",cad!$C$32,IF($D592="V02",cad!$D$32,cad!$E$32)))</f>
        <v/>
      </c>
      <c r="J592" t="str">
        <f>IF($A592="","",IF($D592="V01",cad!$C$33,IF($D592="V02",cad!$D$33,cad!$E$33)))</f>
        <v/>
      </c>
      <c r="K592" t="str">
        <f>IF($A592="","",IF($D592="V01",cad!$C$34,IF($D592="V02",cad!$D$34,cad!$E$34)))</f>
        <v/>
      </c>
      <c r="L592" t="str">
        <f>IF($A592="","",IF($D592="V01",cad!$C$35,IF($D592="V02",cad!$D$35,cad!$E$35)))</f>
        <v/>
      </c>
      <c r="M592" t="str">
        <f>IF($A592="","",IF($D592="V01",cad!$C$36,IF($D592="V02",cad!$D$36,cad!$E$36)))</f>
        <v/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 t="str">
        <f>IF($A593="","",IF($D593="V01",cad!$C$23,IF($D593="V02",cad!$D$23,cad!$E$23)))</f>
        <v/>
      </c>
      <c r="H593" t="str">
        <f>IF($A593="","",IF($D593="V01",cad!$C$24,IF($D593="V02",cad!$D$24,cad!$E$24)))</f>
        <v/>
      </c>
      <c r="I593" t="str">
        <f>IF($A593="","",IF($D593="V01",cad!$C$32,IF($D593="V02",cad!$D$32,cad!$E$32)))</f>
        <v/>
      </c>
      <c r="J593" t="str">
        <f>IF($A593="","",IF($D593="V01",cad!$C$33,IF($D593="V02",cad!$D$33,cad!$E$33)))</f>
        <v/>
      </c>
      <c r="K593" t="str">
        <f>IF($A593="","",IF($D593="V01",cad!$C$34,IF($D593="V02",cad!$D$34,cad!$E$34)))</f>
        <v/>
      </c>
      <c r="L593" t="str">
        <f>IF($A593="","",IF($D593="V01",cad!$C$35,IF($D593="V02",cad!$D$35,cad!$E$35)))</f>
        <v/>
      </c>
      <c r="M593" t="str">
        <f>IF($A593="","",IF($D593="V01",cad!$C$36,IF($D593="V02",cad!$D$36,cad!$E$36)))</f>
        <v/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 t="str">
        <f>IF($A594="","",IF($D594="V01",cad!$C$23,IF($D594="V02",cad!$D$23,cad!$E$23)))</f>
        <v/>
      </c>
      <c r="H594" t="str">
        <f>IF($A594="","",IF($D594="V01",cad!$C$24,IF($D594="V02",cad!$D$24,cad!$E$24)))</f>
        <v/>
      </c>
      <c r="I594" t="str">
        <f>IF($A594="","",IF($D594="V01",cad!$C$32,IF($D594="V02",cad!$D$32,cad!$E$32)))</f>
        <v/>
      </c>
      <c r="J594" t="str">
        <f>IF($A594="","",IF($D594="V01",cad!$C$33,IF($D594="V02",cad!$D$33,cad!$E$33)))</f>
        <v/>
      </c>
      <c r="K594" t="str">
        <f>IF($A594="","",IF($D594="V01",cad!$C$34,IF($D594="V02",cad!$D$34,cad!$E$34)))</f>
        <v/>
      </c>
      <c r="L594" t="str">
        <f>IF($A594="","",IF($D594="V01",cad!$C$35,IF($D594="V02",cad!$D$35,cad!$E$35)))</f>
        <v/>
      </c>
      <c r="M594" t="str">
        <f>IF($A594="","",IF($D594="V01",cad!$C$36,IF($D594="V02",cad!$D$36,cad!$E$36)))</f>
        <v/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 t="str">
        <f>IF($A595="","",IF($D595="V01",cad!$C$23,IF($D595="V02",cad!$D$23,cad!$E$23)))</f>
        <v/>
      </c>
      <c r="H595" t="str">
        <f>IF($A595="","",IF($D595="V01",cad!$C$24,IF($D595="V02",cad!$D$24,cad!$E$24)))</f>
        <v/>
      </c>
      <c r="I595" t="str">
        <f>IF($A595="","",IF($D595="V01",cad!$C$32,IF($D595="V02",cad!$D$32,cad!$E$32)))</f>
        <v/>
      </c>
      <c r="J595" t="str">
        <f>IF($A595="","",IF($D595="V01",cad!$C$33,IF($D595="V02",cad!$D$33,cad!$E$33)))</f>
        <v/>
      </c>
      <c r="K595" t="str">
        <f>IF($A595="","",IF($D595="V01",cad!$C$34,IF($D595="V02",cad!$D$34,cad!$E$34)))</f>
        <v/>
      </c>
      <c r="L595" t="str">
        <f>IF($A595="","",IF($D595="V01",cad!$C$35,IF($D595="V02",cad!$D$35,cad!$E$35)))</f>
        <v/>
      </c>
      <c r="M595" t="str">
        <f>IF($A595="","",IF($D595="V01",cad!$C$36,IF($D595="V02",cad!$D$36,cad!$E$36)))</f>
        <v/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 t="str">
        <f>IF($A596="","",IF($D596="V01",cad!$C$23,IF($D596="V02",cad!$D$23,cad!$E$23)))</f>
        <v/>
      </c>
      <c r="H596" t="str">
        <f>IF($A596="","",IF($D596="V01",cad!$C$24,IF($D596="V02",cad!$D$24,cad!$E$24)))</f>
        <v/>
      </c>
      <c r="I596" t="str">
        <f>IF($A596="","",IF($D596="V01",cad!$C$32,IF($D596="V02",cad!$D$32,cad!$E$32)))</f>
        <v/>
      </c>
      <c r="J596" t="str">
        <f>IF($A596="","",IF($D596="V01",cad!$C$33,IF($D596="V02",cad!$D$33,cad!$E$33)))</f>
        <v/>
      </c>
      <c r="K596" t="str">
        <f>IF($A596="","",IF($D596="V01",cad!$C$34,IF($D596="V02",cad!$D$34,cad!$E$34)))</f>
        <v/>
      </c>
      <c r="L596" t="str">
        <f>IF($A596="","",IF($D596="V01",cad!$C$35,IF($D596="V02",cad!$D$35,cad!$E$35)))</f>
        <v/>
      </c>
      <c r="M596" t="str">
        <f>IF($A596="","",IF($D596="V01",cad!$C$36,IF($D596="V02",cad!$D$36,cad!$E$36)))</f>
        <v/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 t="str">
        <f>IF($A597="","",IF($D597="V01",cad!$C$23,IF($D597="V02",cad!$D$23,cad!$E$23)))</f>
        <v/>
      </c>
      <c r="H597" t="str">
        <f>IF($A597="","",IF($D597="V01",cad!$C$24,IF($D597="V02",cad!$D$24,cad!$E$24)))</f>
        <v/>
      </c>
      <c r="I597" t="str">
        <f>IF($A597="","",IF($D597="V01",cad!$C$32,IF($D597="V02",cad!$D$32,cad!$E$32)))</f>
        <v/>
      </c>
      <c r="J597" t="str">
        <f>IF($A597="","",IF($D597="V01",cad!$C$33,IF($D597="V02",cad!$D$33,cad!$E$33)))</f>
        <v/>
      </c>
      <c r="K597" t="str">
        <f>IF($A597="","",IF($D597="V01",cad!$C$34,IF($D597="V02",cad!$D$34,cad!$E$34)))</f>
        <v/>
      </c>
      <c r="L597" t="str">
        <f>IF($A597="","",IF($D597="V01",cad!$C$35,IF($D597="V02",cad!$D$35,cad!$E$35)))</f>
        <v/>
      </c>
      <c r="M597" t="str">
        <f>IF($A597="","",IF($D597="V01",cad!$C$36,IF($D597="V02",cad!$D$36,cad!$E$36)))</f>
        <v/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 t="str">
        <f>IF($A598="","",IF($D598="V01",cad!$C$23,IF($D598="V02",cad!$D$23,cad!$E$23)))</f>
        <v/>
      </c>
      <c r="H598" t="str">
        <f>IF($A598="","",IF($D598="V01",cad!$C$24,IF($D598="V02",cad!$D$24,cad!$E$24)))</f>
        <v/>
      </c>
      <c r="I598" t="str">
        <f>IF($A598="","",IF($D598="V01",cad!$C$32,IF($D598="V02",cad!$D$32,cad!$E$32)))</f>
        <v/>
      </c>
      <c r="J598" t="str">
        <f>IF($A598="","",IF($D598="V01",cad!$C$33,IF($D598="V02",cad!$D$33,cad!$E$33)))</f>
        <v/>
      </c>
      <c r="K598" t="str">
        <f>IF($A598="","",IF($D598="V01",cad!$C$34,IF($D598="V02",cad!$D$34,cad!$E$34)))</f>
        <v/>
      </c>
      <c r="L598" t="str">
        <f>IF($A598="","",IF($D598="V01",cad!$C$35,IF($D598="V02",cad!$D$35,cad!$E$35)))</f>
        <v/>
      </c>
      <c r="M598" t="str">
        <f>IF($A598="","",IF($D598="V01",cad!$C$36,IF($D598="V02",cad!$D$36,cad!$E$36)))</f>
        <v/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 t="str">
        <f>IF($A599="","",IF($D599="V01",cad!$C$23,IF($D599="V02",cad!$D$23,cad!$E$23)))</f>
        <v/>
      </c>
      <c r="H599" t="str">
        <f>IF($A599="","",IF($D599="V01",cad!$C$24,IF($D599="V02",cad!$D$24,cad!$E$24)))</f>
        <v/>
      </c>
      <c r="I599" t="str">
        <f>IF($A599="","",IF($D599="V01",cad!$C$32,IF($D599="V02",cad!$D$32,cad!$E$32)))</f>
        <v/>
      </c>
      <c r="J599" t="str">
        <f>IF($A599="","",IF($D599="V01",cad!$C$33,IF($D599="V02",cad!$D$33,cad!$E$33)))</f>
        <v/>
      </c>
      <c r="K599" t="str">
        <f>IF($A599="","",IF($D599="V01",cad!$C$34,IF($D599="V02",cad!$D$34,cad!$E$34)))</f>
        <v/>
      </c>
      <c r="L599" t="str">
        <f>IF($A599="","",IF($D599="V01",cad!$C$35,IF($D599="V02",cad!$D$35,cad!$E$35)))</f>
        <v/>
      </c>
      <c r="M599" t="str">
        <f>IF($A599="","",IF($D599="V01",cad!$C$36,IF($D599="V02",cad!$D$36,cad!$E$36)))</f>
        <v/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 t="str">
        <f>IF($A600="","",IF($D600="V01",cad!$C$23,IF($D600="V02",cad!$D$23,cad!$E$23)))</f>
        <v/>
      </c>
      <c r="H600" t="str">
        <f>IF($A600="","",IF($D600="V01",cad!$C$24,IF($D600="V02",cad!$D$24,cad!$E$24)))</f>
        <v/>
      </c>
      <c r="I600" t="str">
        <f>IF($A600="","",IF($D600="V01",cad!$C$32,IF($D600="V02",cad!$D$32,cad!$E$32)))</f>
        <v/>
      </c>
      <c r="J600" t="str">
        <f>IF($A600="","",IF($D600="V01",cad!$C$33,IF($D600="V02",cad!$D$33,cad!$E$33)))</f>
        <v/>
      </c>
      <c r="K600" t="str">
        <f>IF($A600="","",IF($D600="V01",cad!$C$34,IF($D600="V02",cad!$D$34,cad!$E$34)))</f>
        <v/>
      </c>
      <c r="L600" t="str">
        <f>IF($A600="","",IF($D600="V01",cad!$C$35,IF($D600="V02",cad!$D$35,cad!$E$35)))</f>
        <v/>
      </c>
      <c r="M600" t="str">
        <f>IF($A600="","",IF($D600="V01",cad!$C$36,IF($D600="V02",cad!$D$36,cad!$E$36)))</f>
        <v/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 t="str">
        <f>IF($A601="","",IF($D601="V01",cad!$C$23,IF($D601="V02",cad!$D$23,cad!$E$23)))</f>
        <v/>
      </c>
      <c r="H601" t="str">
        <f>IF($A601="","",IF($D601="V01",cad!$C$24,IF($D601="V02",cad!$D$24,cad!$E$24)))</f>
        <v/>
      </c>
      <c r="I601" t="str">
        <f>IF($A601="","",IF($D601="V01",cad!$C$32,IF($D601="V02",cad!$D$32,cad!$E$32)))</f>
        <v/>
      </c>
      <c r="J601" t="str">
        <f>IF($A601="","",IF($D601="V01",cad!$C$33,IF($D601="V02",cad!$D$33,cad!$E$33)))</f>
        <v/>
      </c>
      <c r="K601" t="str">
        <f>IF($A601="","",IF($D601="V01",cad!$C$34,IF($D601="V02",cad!$D$34,cad!$E$34)))</f>
        <v/>
      </c>
      <c r="L601" t="str">
        <f>IF($A601="","",IF($D601="V01",cad!$C$35,IF($D601="V02",cad!$D$35,cad!$E$35)))</f>
        <v/>
      </c>
      <c r="M601" t="str">
        <f>IF($A601="","",IF($D601="V01",cad!$C$36,IF($D601="V02",cad!$D$36,cad!$E$36)))</f>
        <v/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 t="str">
        <f>IF($A602="","",IF($D602="V01",cad!$C$23,IF($D602="V02",cad!$D$23,cad!$E$23)))</f>
        <v/>
      </c>
      <c r="H602" t="str">
        <f>IF($A602="","",IF($D602="V01",cad!$C$24,IF($D602="V02",cad!$D$24,cad!$E$24)))</f>
        <v/>
      </c>
      <c r="I602" t="str">
        <f>IF($A602="","",IF($D602="V01",cad!$C$32,IF($D602="V02",cad!$D$32,cad!$E$32)))</f>
        <v/>
      </c>
      <c r="J602" t="str">
        <f>IF($A602="","",IF($D602="V01",cad!$C$33,IF($D602="V02",cad!$D$33,cad!$E$33)))</f>
        <v/>
      </c>
      <c r="K602" t="str">
        <f>IF($A602="","",IF($D602="V01",cad!$C$34,IF($D602="V02",cad!$D$34,cad!$E$34)))</f>
        <v/>
      </c>
      <c r="L602" t="str">
        <f>IF($A602="","",IF($D602="V01",cad!$C$35,IF($D602="V02",cad!$D$35,cad!$E$35)))</f>
        <v/>
      </c>
      <c r="M602" t="str">
        <f>IF($A602="","",IF($D602="V01",cad!$C$36,IF($D602="V02",cad!$D$36,cad!$E$36)))</f>
        <v/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 t="str">
        <f>IF($A603="","",IF($D603="V01",cad!$C$23,IF($D603="V02",cad!$D$23,cad!$E$23)))</f>
        <v/>
      </c>
      <c r="H603" t="str">
        <f>IF($A603="","",IF($D603="V01",cad!$C$24,IF($D603="V02",cad!$D$24,cad!$E$24)))</f>
        <v/>
      </c>
      <c r="I603" t="str">
        <f>IF($A603="","",IF($D603="V01",cad!$C$32,IF($D603="V02",cad!$D$32,cad!$E$32)))</f>
        <v/>
      </c>
      <c r="J603" t="str">
        <f>IF($A603="","",IF($D603="V01",cad!$C$33,IF($D603="V02",cad!$D$33,cad!$E$33)))</f>
        <v/>
      </c>
      <c r="K603" t="str">
        <f>IF($A603="","",IF($D603="V01",cad!$C$34,IF($D603="V02",cad!$D$34,cad!$E$34)))</f>
        <v/>
      </c>
      <c r="L603" t="str">
        <f>IF($A603="","",IF($D603="V01",cad!$C$35,IF($D603="V02",cad!$D$35,cad!$E$35)))</f>
        <v/>
      </c>
      <c r="M603" t="str">
        <f>IF($A603="","",IF($D603="V01",cad!$C$36,IF($D603="V02",cad!$D$36,cad!$E$36)))</f>
        <v/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 t="str">
        <f>IF($A604="","",IF($D604="V01",cad!$C$23,IF($D604="V02",cad!$D$23,cad!$E$23)))</f>
        <v/>
      </c>
      <c r="H604" t="str">
        <f>IF($A604="","",IF($D604="V01",cad!$C$24,IF($D604="V02",cad!$D$24,cad!$E$24)))</f>
        <v/>
      </c>
      <c r="I604" t="str">
        <f>IF($A604="","",IF($D604="V01",cad!$C$32,IF($D604="V02",cad!$D$32,cad!$E$32)))</f>
        <v/>
      </c>
      <c r="J604" t="str">
        <f>IF($A604="","",IF($D604="V01",cad!$C$33,IF($D604="V02",cad!$D$33,cad!$E$33)))</f>
        <v/>
      </c>
      <c r="K604" t="str">
        <f>IF($A604="","",IF($D604="V01",cad!$C$34,IF($D604="V02",cad!$D$34,cad!$E$34)))</f>
        <v/>
      </c>
      <c r="L604" t="str">
        <f>IF($A604="","",IF($D604="V01",cad!$C$35,IF($D604="V02",cad!$D$35,cad!$E$35)))</f>
        <v/>
      </c>
      <c r="M604" t="str">
        <f>IF($A604="","",IF($D604="V01",cad!$C$36,IF($D604="V02",cad!$D$36,cad!$E$36)))</f>
        <v/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 t="str">
        <f>IF($A605="","",IF($D605="V01",cad!$C$23,IF($D605="V02",cad!$D$23,cad!$E$23)))</f>
        <v/>
      </c>
      <c r="H605" t="str">
        <f>IF($A605="","",IF($D605="V01",cad!$C$24,IF($D605="V02",cad!$D$24,cad!$E$24)))</f>
        <v/>
      </c>
      <c r="I605" t="str">
        <f>IF($A605="","",IF($D605="V01",cad!$C$32,IF($D605="V02",cad!$D$32,cad!$E$32)))</f>
        <v/>
      </c>
      <c r="J605" t="str">
        <f>IF($A605="","",IF($D605="V01",cad!$C$33,IF($D605="V02",cad!$D$33,cad!$E$33)))</f>
        <v/>
      </c>
      <c r="K605" t="str">
        <f>IF($A605="","",IF($D605="V01",cad!$C$34,IF($D605="V02",cad!$D$34,cad!$E$34)))</f>
        <v/>
      </c>
      <c r="L605" t="str">
        <f>IF($A605="","",IF($D605="V01",cad!$C$35,IF($D605="V02",cad!$D$35,cad!$E$35)))</f>
        <v/>
      </c>
      <c r="M605" t="str">
        <f>IF($A605="","",IF($D605="V01",cad!$C$36,IF($D605="V02",cad!$D$36,cad!$E$36)))</f>
        <v/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 t="str">
        <f>IF($A606="","",IF($D606="V01",cad!$C$23,IF($D606="V02",cad!$D$23,cad!$E$23)))</f>
        <v/>
      </c>
      <c r="H606" t="str">
        <f>IF($A606="","",IF($D606="V01",cad!$C$24,IF($D606="V02",cad!$D$24,cad!$E$24)))</f>
        <v/>
      </c>
      <c r="I606" t="str">
        <f>IF($A606="","",IF($D606="V01",cad!$C$32,IF($D606="V02",cad!$D$32,cad!$E$32)))</f>
        <v/>
      </c>
      <c r="J606" t="str">
        <f>IF($A606="","",IF($D606="V01",cad!$C$33,IF($D606="V02",cad!$D$33,cad!$E$33)))</f>
        <v/>
      </c>
      <c r="K606" t="str">
        <f>IF($A606="","",IF($D606="V01",cad!$C$34,IF($D606="V02",cad!$D$34,cad!$E$34)))</f>
        <v/>
      </c>
      <c r="L606" t="str">
        <f>IF($A606="","",IF($D606="V01",cad!$C$35,IF($D606="V02",cad!$D$35,cad!$E$35)))</f>
        <v/>
      </c>
      <c r="M606" t="str">
        <f>IF($A606="","",IF($D606="V01",cad!$C$36,IF($D606="V02",cad!$D$36,cad!$E$36)))</f>
        <v/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 t="str">
        <f>IF($A607="","",IF($D607="V01",cad!$C$23,IF($D607="V02",cad!$D$23,cad!$E$23)))</f>
        <v/>
      </c>
      <c r="H607" t="str">
        <f>IF($A607="","",IF($D607="V01",cad!$C$24,IF($D607="V02",cad!$D$24,cad!$E$24)))</f>
        <v/>
      </c>
      <c r="I607" t="str">
        <f>IF($A607="","",IF($D607="V01",cad!$C$32,IF($D607="V02",cad!$D$32,cad!$E$32)))</f>
        <v/>
      </c>
      <c r="J607" t="str">
        <f>IF($A607="","",IF($D607="V01",cad!$C$33,IF($D607="V02",cad!$D$33,cad!$E$33)))</f>
        <v/>
      </c>
      <c r="K607" t="str">
        <f>IF($A607="","",IF($D607="V01",cad!$C$34,IF($D607="V02",cad!$D$34,cad!$E$34)))</f>
        <v/>
      </c>
      <c r="L607" t="str">
        <f>IF($A607="","",IF($D607="V01",cad!$C$35,IF($D607="V02",cad!$D$35,cad!$E$35)))</f>
        <v/>
      </c>
      <c r="M607" t="str">
        <f>IF($A607="","",IF($D607="V01",cad!$C$36,IF($D607="V02",cad!$D$36,cad!$E$36)))</f>
        <v/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 t="str">
        <f>IF($A608="","",IF($D608="V01",cad!$C$23,IF($D608="V02",cad!$D$23,cad!$E$23)))</f>
        <v/>
      </c>
      <c r="H608" t="str">
        <f>IF($A608="","",IF($D608="V01",cad!$C$24,IF($D608="V02",cad!$D$24,cad!$E$24)))</f>
        <v/>
      </c>
      <c r="I608" t="str">
        <f>IF($A608="","",IF($D608="V01",cad!$C$32,IF($D608="V02",cad!$D$32,cad!$E$32)))</f>
        <v/>
      </c>
      <c r="J608" t="str">
        <f>IF($A608="","",IF($D608="V01",cad!$C$33,IF($D608="V02",cad!$D$33,cad!$E$33)))</f>
        <v/>
      </c>
      <c r="K608" t="str">
        <f>IF($A608="","",IF($D608="V01",cad!$C$34,IF($D608="V02",cad!$D$34,cad!$E$34)))</f>
        <v/>
      </c>
      <c r="L608" t="str">
        <f>IF($A608="","",IF($D608="V01",cad!$C$35,IF($D608="V02",cad!$D$35,cad!$E$35)))</f>
        <v/>
      </c>
      <c r="M608" t="str">
        <f>IF($A608="","",IF($D608="V01",cad!$C$36,IF($D608="V02",cad!$D$36,cad!$E$36)))</f>
        <v/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 t="str">
        <f>IF($A609="","",IF($D609="V01",cad!$C$23,IF($D609="V02",cad!$D$23,cad!$E$23)))</f>
        <v/>
      </c>
      <c r="H609" t="str">
        <f>IF($A609="","",IF($D609="V01",cad!$C$24,IF($D609="V02",cad!$D$24,cad!$E$24)))</f>
        <v/>
      </c>
      <c r="I609" t="str">
        <f>IF($A609="","",IF($D609="V01",cad!$C$32,IF($D609="V02",cad!$D$32,cad!$E$32)))</f>
        <v/>
      </c>
      <c r="J609" t="str">
        <f>IF($A609="","",IF($D609="V01",cad!$C$33,IF($D609="V02",cad!$D$33,cad!$E$33)))</f>
        <v/>
      </c>
      <c r="K609" t="str">
        <f>IF($A609="","",IF($D609="V01",cad!$C$34,IF($D609="V02",cad!$D$34,cad!$E$34)))</f>
        <v/>
      </c>
      <c r="L609" t="str">
        <f>IF($A609="","",IF($D609="V01",cad!$C$35,IF($D609="V02",cad!$D$35,cad!$E$35)))</f>
        <v/>
      </c>
      <c r="M609" t="str">
        <f>IF($A609="","",IF($D609="V01",cad!$C$36,IF($D609="V02",cad!$D$36,cad!$E$36)))</f>
        <v/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 t="str">
        <f>IF($A610="","",IF($D610="V01",cad!$C$23,IF($D610="V02",cad!$D$23,cad!$E$23)))</f>
        <v/>
      </c>
      <c r="H610" t="str">
        <f>IF($A610="","",IF($D610="V01",cad!$C$24,IF($D610="V02",cad!$D$24,cad!$E$24)))</f>
        <v/>
      </c>
      <c r="I610" t="str">
        <f>IF($A610="","",IF($D610="V01",cad!$C$32,IF($D610="V02",cad!$D$32,cad!$E$32)))</f>
        <v/>
      </c>
      <c r="J610" t="str">
        <f>IF($A610="","",IF($D610="V01",cad!$C$33,IF($D610="V02",cad!$D$33,cad!$E$33)))</f>
        <v/>
      </c>
      <c r="K610" t="str">
        <f>IF($A610="","",IF($D610="V01",cad!$C$34,IF($D610="V02",cad!$D$34,cad!$E$34)))</f>
        <v/>
      </c>
      <c r="L610" t="str">
        <f>IF($A610="","",IF($D610="V01",cad!$C$35,IF($D610="V02",cad!$D$35,cad!$E$35)))</f>
        <v/>
      </c>
      <c r="M610" t="str">
        <f>IF($A610="","",IF($D610="V01",cad!$C$36,IF($D610="V02",cad!$D$36,cad!$E$36)))</f>
        <v/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 t="str">
        <f>IF($A611="","",IF($D611="V01",cad!$C$23,IF($D611="V02",cad!$D$23,cad!$E$23)))</f>
        <v/>
      </c>
      <c r="H611" t="str">
        <f>IF($A611="","",IF($D611="V01",cad!$C$24,IF($D611="V02",cad!$D$24,cad!$E$24)))</f>
        <v/>
      </c>
      <c r="I611" t="str">
        <f>IF($A611="","",IF($D611="V01",cad!$C$32,IF($D611="V02",cad!$D$32,cad!$E$32)))</f>
        <v/>
      </c>
      <c r="J611" t="str">
        <f>IF($A611="","",IF($D611="V01",cad!$C$33,IF($D611="V02",cad!$D$33,cad!$E$33)))</f>
        <v/>
      </c>
      <c r="K611" t="str">
        <f>IF($A611="","",IF($D611="V01",cad!$C$34,IF($D611="V02",cad!$D$34,cad!$E$34)))</f>
        <v/>
      </c>
      <c r="L611" t="str">
        <f>IF($A611="","",IF($D611="V01",cad!$C$35,IF($D611="V02",cad!$D$35,cad!$E$35)))</f>
        <v/>
      </c>
      <c r="M611" t="str">
        <f>IF($A611="","",IF($D611="V01",cad!$C$36,IF($D611="V02",cad!$D$36,cad!$E$36)))</f>
        <v/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 t="str">
        <f>IF($A612="","",IF($D612="V01",cad!$C$23,IF($D612="V02",cad!$D$23,cad!$E$23)))</f>
        <v/>
      </c>
      <c r="H612" t="str">
        <f>IF($A612="","",IF($D612="V01",cad!$C$24,IF($D612="V02",cad!$D$24,cad!$E$24)))</f>
        <v/>
      </c>
      <c r="I612" t="str">
        <f>IF($A612="","",IF($D612="V01",cad!$C$32,IF($D612="V02",cad!$D$32,cad!$E$32)))</f>
        <v/>
      </c>
      <c r="J612" t="str">
        <f>IF($A612="","",IF($D612="V01",cad!$C$33,IF($D612="V02",cad!$D$33,cad!$E$33)))</f>
        <v/>
      </c>
      <c r="K612" t="str">
        <f>IF($A612="","",IF($D612="V01",cad!$C$34,IF($D612="V02",cad!$D$34,cad!$E$34)))</f>
        <v/>
      </c>
      <c r="L612" t="str">
        <f>IF($A612="","",IF($D612="V01",cad!$C$35,IF($D612="V02",cad!$D$35,cad!$E$35)))</f>
        <v/>
      </c>
      <c r="M612" t="str">
        <f>IF($A612="","",IF($D612="V01",cad!$C$36,IF($D612="V02",cad!$D$36,cad!$E$36)))</f>
        <v/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 t="str">
        <f>IF($A613="","",IF($D613="V01",cad!$C$23,IF($D613="V02",cad!$D$23,cad!$E$23)))</f>
        <v/>
      </c>
      <c r="H613" t="str">
        <f>IF($A613="","",IF($D613="V01",cad!$C$24,IF($D613="V02",cad!$D$24,cad!$E$24)))</f>
        <v/>
      </c>
      <c r="I613" t="str">
        <f>IF($A613="","",IF($D613="V01",cad!$C$32,IF($D613="V02",cad!$D$32,cad!$E$32)))</f>
        <v/>
      </c>
      <c r="J613" t="str">
        <f>IF($A613="","",IF($D613="V01",cad!$C$33,IF($D613="V02",cad!$D$33,cad!$E$33)))</f>
        <v/>
      </c>
      <c r="K613" t="str">
        <f>IF($A613="","",IF($D613="V01",cad!$C$34,IF($D613="V02",cad!$D$34,cad!$E$34)))</f>
        <v/>
      </c>
      <c r="L613" t="str">
        <f>IF($A613="","",IF($D613="V01",cad!$C$35,IF($D613="V02",cad!$D$35,cad!$E$35)))</f>
        <v/>
      </c>
      <c r="M613" t="str">
        <f>IF($A613="","",IF($D613="V01",cad!$C$36,IF($D613="V02",cad!$D$36,cad!$E$36)))</f>
        <v/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 t="str">
        <f>IF($A614="","",IF($D614="V01",cad!$C$23,IF($D614="V02",cad!$D$23,cad!$E$23)))</f>
        <v/>
      </c>
      <c r="H614" t="str">
        <f>IF($A614="","",IF($D614="V01",cad!$C$24,IF($D614="V02",cad!$D$24,cad!$E$24)))</f>
        <v/>
      </c>
      <c r="I614" t="str">
        <f>IF($A614="","",IF($D614="V01",cad!$C$32,IF($D614="V02",cad!$D$32,cad!$E$32)))</f>
        <v/>
      </c>
      <c r="J614" t="str">
        <f>IF($A614="","",IF($D614="V01",cad!$C$33,IF($D614="V02",cad!$D$33,cad!$E$33)))</f>
        <v/>
      </c>
      <c r="K614" t="str">
        <f>IF($A614="","",IF($D614="V01",cad!$C$34,IF($D614="V02",cad!$D$34,cad!$E$34)))</f>
        <v/>
      </c>
      <c r="L614" t="str">
        <f>IF($A614="","",IF($D614="V01",cad!$C$35,IF($D614="V02",cad!$D$35,cad!$E$35)))</f>
        <v/>
      </c>
      <c r="M614" t="str">
        <f>IF($A614="","",IF($D614="V01",cad!$C$36,IF($D614="V02",cad!$D$36,cad!$E$36)))</f>
        <v/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 t="str">
        <f>IF($A615="","",IF($D615="V01",cad!$C$23,IF($D615="V02",cad!$D$23,cad!$E$23)))</f>
        <v/>
      </c>
      <c r="H615" t="str">
        <f>IF($A615="","",IF($D615="V01",cad!$C$24,IF($D615="V02",cad!$D$24,cad!$E$24)))</f>
        <v/>
      </c>
      <c r="I615" t="str">
        <f>IF($A615="","",IF($D615="V01",cad!$C$32,IF($D615="V02",cad!$D$32,cad!$E$32)))</f>
        <v/>
      </c>
      <c r="J615" t="str">
        <f>IF($A615="","",IF($D615="V01",cad!$C$33,IF($D615="V02",cad!$D$33,cad!$E$33)))</f>
        <v/>
      </c>
      <c r="K615" t="str">
        <f>IF($A615="","",IF($D615="V01",cad!$C$34,IF($D615="V02",cad!$D$34,cad!$E$34)))</f>
        <v/>
      </c>
      <c r="L615" t="str">
        <f>IF($A615="","",IF($D615="V01",cad!$C$35,IF($D615="V02",cad!$D$35,cad!$E$35)))</f>
        <v/>
      </c>
      <c r="M615" t="str">
        <f>IF($A615="","",IF($D615="V01",cad!$C$36,IF($D615="V02",cad!$D$36,cad!$E$36)))</f>
        <v/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 t="str">
        <f>IF($A616="","",IF($D616="V01",cad!$C$23,IF($D616="V02",cad!$D$23,cad!$E$23)))</f>
        <v/>
      </c>
      <c r="H616" t="str">
        <f>IF($A616="","",IF($D616="V01",cad!$C$24,IF($D616="V02",cad!$D$24,cad!$E$24)))</f>
        <v/>
      </c>
      <c r="I616" t="str">
        <f>IF($A616="","",IF($D616="V01",cad!$C$32,IF($D616="V02",cad!$D$32,cad!$E$32)))</f>
        <v/>
      </c>
      <c r="J616" t="str">
        <f>IF($A616="","",IF($D616="V01",cad!$C$33,IF($D616="V02",cad!$D$33,cad!$E$33)))</f>
        <v/>
      </c>
      <c r="K616" t="str">
        <f>IF($A616="","",IF($D616="V01",cad!$C$34,IF($D616="V02",cad!$D$34,cad!$E$34)))</f>
        <v/>
      </c>
      <c r="L616" t="str">
        <f>IF($A616="","",IF($D616="V01",cad!$C$35,IF($D616="V02",cad!$D$35,cad!$E$35)))</f>
        <v/>
      </c>
      <c r="M616" t="str">
        <f>IF($A616="","",IF($D616="V01",cad!$C$36,IF($D616="V02",cad!$D$36,cad!$E$36)))</f>
        <v/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 t="str">
        <f>IF($A617="","",IF($D617="V01",cad!$C$23,IF($D617="V02",cad!$D$23,cad!$E$23)))</f>
        <v/>
      </c>
      <c r="H617" t="str">
        <f>IF($A617="","",IF($D617="V01",cad!$C$24,IF($D617="V02",cad!$D$24,cad!$E$24)))</f>
        <v/>
      </c>
      <c r="I617" t="str">
        <f>IF($A617="","",IF($D617="V01",cad!$C$32,IF($D617="V02",cad!$D$32,cad!$E$32)))</f>
        <v/>
      </c>
      <c r="J617" t="str">
        <f>IF($A617="","",IF($D617="V01",cad!$C$33,IF($D617="V02",cad!$D$33,cad!$E$33)))</f>
        <v/>
      </c>
      <c r="K617" t="str">
        <f>IF($A617="","",IF($D617="V01",cad!$C$34,IF($D617="V02",cad!$D$34,cad!$E$34)))</f>
        <v/>
      </c>
      <c r="L617" t="str">
        <f>IF($A617="","",IF($D617="V01",cad!$C$35,IF($D617="V02",cad!$D$35,cad!$E$35)))</f>
        <v/>
      </c>
      <c r="M617" t="str">
        <f>IF($A617="","",IF($D617="V01",cad!$C$36,IF($D617="V02",cad!$D$36,cad!$E$36)))</f>
        <v/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 t="str">
        <f>IF($A618="","",IF($D618="V01",cad!$C$23,IF($D618="V02",cad!$D$23,cad!$E$23)))</f>
        <v/>
      </c>
      <c r="H618" t="str">
        <f>IF($A618="","",IF($D618="V01",cad!$C$24,IF($D618="V02",cad!$D$24,cad!$E$24)))</f>
        <v/>
      </c>
      <c r="I618" t="str">
        <f>IF($A618="","",IF($D618="V01",cad!$C$32,IF($D618="V02",cad!$D$32,cad!$E$32)))</f>
        <v/>
      </c>
      <c r="J618" t="str">
        <f>IF($A618="","",IF($D618="V01",cad!$C$33,IF($D618="V02",cad!$D$33,cad!$E$33)))</f>
        <v/>
      </c>
      <c r="K618" t="str">
        <f>IF($A618="","",IF($D618="V01",cad!$C$34,IF($D618="V02",cad!$D$34,cad!$E$34)))</f>
        <v/>
      </c>
      <c r="L618" t="str">
        <f>IF($A618="","",IF($D618="V01",cad!$C$35,IF($D618="V02",cad!$D$35,cad!$E$35)))</f>
        <v/>
      </c>
      <c r="M618" t="str">
        <f>IF($A618="","",IF($D618="V01",cad!$C$36,IF($D618="V02",cad!$D$36,cad!$E$36)))</f>
        <v/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 t="str">
        <f>IF($A619="","",IF($D619="V01",cad!$C$23,IF($D619="V02",cad!$D$23,cad!$E$23)))</f>
        <v/>
      </c>
      <c r="H619" t="str">
        <f>IF($A619="","",IF($D619="V01",cad!$C$24,IF($D619="V02",cad!$D$24,cad!$E$24)))</f>
        <v/>
      </c>
      <c r="I619" t="str">
        <f>IF($A619="","",IF($D619="V01",cad!$C$32,IF($D619="V02",cad!$D$32,cad!$E$32)))</f>
        <v/>
      </c>
      <c r="J619" t="str">
        <f>IF($A619="","",IF($D619="V01",cad!$C$33,IF($D619="V02",cad!$D$33,cad!$E$33)))</f>
        <v/>
      </c>
      <c r="K619" t="str">
        <f>IF($A619="","",IF($D619="V01",cad!$C$34,IF($D619="V02",cad!$D$34,cad!$E$34)))</f>
        <v/>
      </c>
      <c r="L619" t="str">
        <f>IF($A619="","",IF($D619="V01",cad!$C$35,IF($D619="V02",cad!$D$35,cad!$E$35)))</f>
        <v/>
      </c>
      <c r="M619" t="str">
        <f>IF($A619="","",IF($D619="V01",cad!$C$36,IF($D619="V02",cad!$D$36,cad!$E$36)))</f>
        <v/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 t="str">
        <f>IF($A620="","",IF($D620="V01",cad!$C$23,IF($D620="V02",cad!$D$23,cad!$E$23)))</f>
        <v/>
      </c>
      <c r="H620" t="str">
        <f>IF($A620="","",IF($D620="V01",cad!$C$24,IF($D620="V02",cad!$D$24,cad!$E$24)))</f>
        <v/>
      </c>
      <c r="I620" t="str">
        <f>IF($A620="","",IF($D620="V01",cad!$C$32,IF($D620="V02",cad!$D$32,cad!$E$32)))</f>
        <v/>
      </c>
      <c r="J620" t="str">
        <f>IF($A620="","",IF($D620="V01",cad!$C$33,IF($D620="V02",cad!$D$33,cad!$E$33)))</f>
        <v/>
      </c>
      <c r="K620" t="str">
        <f>IF($A620="","",IF($D620="V01",cad!$C$34,IF($D620="V02",cad!$D$34,cad!$E$34)))</f>
        <v/>
      </c>
      <c r="L620" t="str">
        <f>IF($A620="","",IF($D620="V01",cad!$C$35,IF($D620="V02",cad!$D$35,cad!$E$35)))</f>
        <v/>
      </c>
      <c r="M620" t="str">
        <f>IF($A620="","",IF($D620="V01",cad!$C$36,IF($D620="V02",cad!$D$36,cad!$E$36)))</f>
        <v/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 t="str">
        <f>IF($A621="","",IF($D621="V01",cad!$C$23,IF($D621="V02",cad!$D$23,cad!$E$23)))</f>
        <v/>
      </c>
      <c r="H621" t="str">
        <f>IF($A621="","",IF($D621="V01",cad!$C$24,IF($D621="V02",cad!$D$24,cad!$E$24)))</f>
        <v/>
      </c>
      <c r="I621" t="str">
        <f>IF($A621="","",IF($D621="V01",cad!$C$32,IF($D621="V02",cad!$D$32,cad!$E$32)))</f>
        <v/>
      </c>
      <c r="J621" t="str">
        <f>IF($A621="","",IF($D621="V01",cad!$C$33,IF($D621="V02",cad!$D$33,cad!$E$33)))</f>
        <v/>
      </c>
      <c r="K621" t="str">
        <f>IF($A621="","",IF($D621="V01",cad!$C$34,IF($D621="V02",cad!$D$34,cad!$E$34)))</f>
        <v/>
      </c>
      <c r="L621" t="str">
        <f>IF($A621="","",IF($D621="V01",cad!$C$35,IF($D621="V02",cad!$D$35,cad!$E$35)))</f>
        <v/>
      </c>
      <c r="M621" t="str">
        <f>IF($A621="","",IF($D621="V01",cad!$C$36,IF($D621="V02",cad!$D$36,cad!$E$36)))</f>
        <v/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 t="str">
        <f>IF($A622="","",IF($D622="V01",cad!$C$23,IF($D622="V02",cad!$D$23,cad!$E$23)))</f>
        <v/>
      </c>
      <c r="H622" t="str">
        <f>IF($A622="","",IF($D622="V01",cad!$C$24,IF($D622="V02",cad!$D$24,cad!$E$24)))</f>
        <v/>
      </c>
      <c r="I622" t="str">
        <f>IF($A622="","",IF($D622="V01",cad!$C$32,IF($D622="V02",cad!$D$32,cad!$E$32)))</f>
        <v/>
      </c>
      <c r="J622" t="str">
        <f>IF($A622="","",IF($D622="V01",cad!$C$33,IF($D622="V02",cad!$D$33,cad!$E$33)))</f>
        <v/>
      </c>
      <c r="K622" t="str">
        <f>IF($A622="","",IF($D622="V01",cad!$C$34,IF($D622="V02",cad!$D$34,cad!$E$34)))</f>
        <v/>
      </c>
      <c r="L622" t="str">
        <f>IF($A622="","",IF($D622="V01",cad!$C$35,IF($D622="V02",cad!$D$35,cad!$E$35)))</f>
        <v/>
      </c>
      <c r="M622" t="str">
        <f>IF($A622="","",IF($D622="V01",cad!$C$36,IF($D622="V02",cad!$D$36,cad!$E$36)))</f>
        <v/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 t="str">
        <f>IF($A623="","",IF($D623="V01",cad!$C$23,IF($D623="V02",cad!$D$23,cad!$E$23)))</f>
        <v/>
      </c>
      <c r="H623" t="str">
        <f>IF($A623="","",IF($D623="V01",cad!$C$24,IF($D623="V02",cad!$D$24,cad!$E$24)))</f>
        <v/>
      </c>
      <c r="I623" t="str">
        <f>IF($A623="","",IF($D623="V01",cad!$C$32,IF($D623="V02",cad!$D$32,cad!$E$32)))</f>
        <v/>
      </c>
      <c r="J623" t="str">
        <f>IF($A623="","",IF($D623="V01",cad!$C$33,IF($D623="V02",cad!$D$33,cad!$E$33)))</f>
        <v/>
      </c>
      <c r="K623" t="str">
        <f>IF($A623="","",IF($D623="V01",cad!$C$34,IF($D623="V02",cad!$D$34,cad!$E$34)))</f>
        <v/>
      </c>
      <c r="L623" t="str">
        <f>IF($A623="","",IF($D623="V01",cad!$C$35,IF($D623="V02",cad!$D$35,cad!$E$35)))</f>
        <v/>
      </c>
      <c r="M623" t="str">
        <f>IF($A623="","",IF($D623="V01",cad!$C$36,IF($D623="V02",cad!$D$36,cad!$E$36)))</f>
        <v/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 t="str">
        <f>IF($A624="","",IF($D624="V01",cad!$C$23,IF($D624="V02",cad!$D$23,cad!$E$23)))</f>
        <v/>
      </c>
      <c r="H624" t="str">
        <f>IF($A624="","",IF($D624="V01",cad!$C$24,IF($D624="V02",cad!$D$24,cad!$E$24)))</f>
        <v/>
      </c>
      <c r="I624" t="str">
        <f>IF($A624="","",IF($D624="V01",cad!$C$32,IF($D624="V02",cad!$D$32,cad!$E$32)))</f>
        <v/>
      </c>
      <c r="J624" t="str">
        <f>IF($A624="","",IF($D624="V01",cad!$C$33,IF($D624="V02",cad!$D$33,cad!$E$33)))</f>
        <v/>
      </c>
      <c r="K624" t="str">
        <f>IF($A624="","",IF($D624="V01",cad!$C$34,IF($D624="V02",cad!$D$34,cad!$E$34)))</f>
        <v/>
      </c>
      <c r="L624" t="str">
        <f>IF($A624="","",IF($D624="V01",cad!$C$35,IF($D624="V02",cad!$D$35,cad!$E$35)))</f>
        <v/>
      </c>
      <c r="M624" t="str">
        <f>IF($A624="","",IF($D624="V01",cad!$C$36,IF($D624="V02",cad!$D$36,cad!$E$36)))</f>
        <v/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 t="str">
        <f>IF($A625="","",IF($D625="V01",cad!$C$23,IF($D625="V02",cad!$D$23,cad!$E$23)))</f>
        <v/>
      </c>
      <c r="H625" t="str">
        <f>IF($A625="","",IF($D625="V01",cad!$C$24,IF($D625="V02",cad!$D$24,cad!$E$24)))</f>
        <v/>
      </c>
      <c r="I625" t="str">
        <f>IF($A625="","",IF($D625="V01",cad!$C$32,IF($D625="V02",cad!$D$32,cad!$E$32)))</f>
        <v/>
      </c>
      <c r="J625" t="str">
        <f>IF($A625="","",IF($D625="V01",cad!$C$33,IF($D625="V02",cad!$D$33,cad!$E$33)))</f>
        <v/>
      </c>
      <c r="K625" t="str">
        <f>IF($A625="","",IF($D625="V01",cad!$C$34,IF($D625="V02",cad!$D$34,cad!$E$34)))</f>
        <v/>
      </c>
      <c r="L625" t="str">
        <f>IF($A625="","",IF($D625="V01",cad!$C$35,IF($D625="V02",cad!$D$35,cad!$E$35)))</f>
        <v/>
      </c>
      <c r="M625" t="str">
        <f>IF($A625="","",IF($D625="V01",cad!$C$36,IF($D625="V02",cad!$D$36,cad!$E$36)))</f>
        <v/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 t="str">
        <f>IF($A626="","",IF($D626="V01",cad!$C$23,IF($D626="V02",cad!$D$23,cad!$E$23)))</f>
        <v/>
      </c>
      <c r="H626" t="str">
        <f>IF($A626="","",IF($D626="V01",cad!$C$24,IF($D626="V02",cad!$D$24,cad!$E$24)))</f>
        <v/>
      </c>
      <c r="I626" t="str">
        <f>IF($A626="","",IF($D626="V01",cad!$C$32,IF($D626="V02",cad!$D$32,cad!$E$32)))</f>
        <v/>
      </c>
      <c r="J626" t="str">
        <f>IF($A626="","",IF($D626="V01",cad!$C$33,IF($D626="V02",cad!$D$33,cad!$E$33)))</f>
        <v/>
      </c>
      <c r="K626" t="str">
        <f>IF($A626="","",IF($D626="V01",cad!$C$34,IF($D626="V02",cad!$D$34,cad!$E$34)))</f>
        <v/>
      </c>
      <c r="L626" t="str">
        <f>IF($A626="","",IF($D626="V01",cad!$C$35,IF($D626="V02",cad!$D$35,cad!$E$35)))</f>
        <v/>
      </c>
      <c r="M626" t="str">
        <f>IF($A626="","",IF($D626="V01",cad!$C$36,IF($D626="V02",cad!$D$36,cad!$E$36)))</f>
        <v/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 t="str">
        <f>IF($A627="","",IF($D627="V01",cad!$C$23,IF($D627="V02",cad!$D$23,cad!$E$23)))</f>
        <v/>
      </c>
      <c r="H627" t="str">
        <f>IF($A627="","",IF($D627="V01",cad!$C$24,IF($D627="V02",cad!$D$24,cad!$E$24)))</f>
        <v/>
      </c>
      <c r="I627" t="str">
        <f>IF($A627="","",IF($D627="V01",cad!$C$32,IF($D627="V02",cad!$D$32,cad!$E$32)))</f>
        <v/>
      </c>
      <c r="J627" t="str">
        <f>IF($A627="","",IF($D627="V01",cad!$C$33,IF($D627="V02",cad!$D$33,cad!$E$33)))</f>
        <v/>
      </c>
      <c r="K627" t="str">
        <f>IF($A627="","",IF($D627="V01",cad!$C$34,IF($D627="V02",cad!$D$34,cad!$E$34)))</f>
        <v/>
      </c>
      <c r="L627" t="str">
        <f>IF($A627="","",IF($D627="V01",cad!$C$35,IF($D627="V02",cad!$D$35,cad!$E$35)))</f>
        <v/>
      </c>
      <c r="M627" t="str">
        <f>IF($A627="","",IF($D627="V01",cad!$C$36,IF($D627="V02",cad!$D$36,cad!$E$36)))</f>
        <v/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 t="str">
        <f>IF($A628="","",IF($D628="V01",cad!$C$23,IF($D628="V02",cad!$D$23,cad!$E$23)))</f>
        <v/>
      </c>
      <c r="H628" t="str">
        <f>IF($A628="","",IF($D628="V01",cad!$C$24,IF($D628="V02",cad!$D$24,cad!$E$24)))</f>
        <v/>
      </c>
      <c r="I628" t="str">
        <f>IF($A628="","",IF($D628="V01",cad!$C$32,IF($D628="V02",cad!$D$32,cad!$E$32)))</f>
        <v/>
      </c>
      <c r="J628" t="str">
        <f>IF($A628="","",IF($D628="V01",cad!$C$33,IF($D628="V02",cad!$D$33,cad!$E$33)))</f>
        <v/>
      </c>
      <c r="K628" t="str">
        <f>IF($A628="","",IF($D628="V01",cad!$C$34,IF($D628="V02",cad!$D$34,cad!$E$34)))</f>
        <v/>
      </c>
      <c r="L628" t="str">
        <f>IF($A628="","",IF($D628="V01",cad!$C$35,IF($D628="V02",cad!$D$35,cad!$E$35)))</f>
        <v/>
      </c>
      <c r="M628" t="str">
        <f>IF($A628="","",IF($D628="V01",cad!$C$36,IF($D628="V02",cad!$D$36,cad!$E$36)))</f>
        <v/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 t="str">
        <f>IF($A629="","",IF($D629="V01",cad!$C$23,IF($D629="V02",cad!$D$23,cad!$E$23)))</f>
        <v/>
      </c>
      <c r="H629" t="str">
        <f>IF($A629="","",IF($D629="V01",cad!$C$24,IF($D629="V02",cad!$D$24,cad!$E$24)))</f>
        <v/>
      </c>
      <c r="I629" t="str">
        <f>IF($A629="","",IF($D629="V01",cad!$C$32,IF($D629="V02",cad!$D$32,cad!$E$32)))</f>
        <v/>
      </c>
      <c r="J629" t="str">
        <f>IF($A629="","",IF($D629="V01",cad!$C$33,IF($D629="V02",cad!$D$33,cad!$E$33)))</f>
        <v/>
      </c>
      <c r="K629" t="str">
        <f>IF($A629="","",IF($D629="V01",cad!$C$34,IF($D629="V02",cad!$D$34,cad!$E$34)))</f>
        <v/>
      </c>
      <c r="L629" t="str">
        <f>IF($A629="","",IF($D629="V01",cad!$C$35,IF($D629="V02",cad!$D$35,cad!$E$35)))</f>
        <v/>
      </c>
      <c r="M629" t="str">
        <f>IF($A629="","",IF($D629="V01",cad!$C$36,IF($D629="V02",cad!$D$36,cad!$E$36)))</f>
        <v/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 t="str">
        <f>IF($A630="","",IF($D630="V01",cad!$C$23,IF($D630="V02",cad!$D$23,cad!$E$23)))</f>
        <v/>
      </c>
      <c r="H630" t="str">
        <f>IF($A630="","",IF($D630="V01",cad!$C$24,IF($D630="V02",cad!$D$24,cad!$E$24)))</f>
        <v/>
      </c>
      <c r="I630" t="str">
        <f>IF($A630="","",IF($D630="V01",cad!$C$32,IF($D630="V02",cad!$D$32,cad!$E$32)))</f>
        <v/>
      </c>
      <c r="J630" t="str">
        <f>IF($A630="","",IF($D630="V01",cad!$C$33,IF($D630="V02",cad!$D$33,cad!$E$33)))</f>
        <v/>
      </c>
      <c r="K630" t="str">
        <f>IF($A630="","",IF($D630="V01",cad!$C$34,IF($D630="V02",cad!$D$34,cad!$E$34)))</f>
        <v/>
      </c>
      <c r="L630" t="str">
        <f>IF($A630="","",IF($D630="V01",cad!$C$35,IF($D630="V02",cad!$D$35,cad!$E$35)))</f>
        <v/>
      </c>
      <c r="M630" t="str">
        <f>IF($A630="","",IF($D630="V01",cad!$C$36,IF($D630="V02",cad!$D$36,cad!$E$36)))</f>
        <v/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 t="str">
        <f>IF($A631="","",IF($D631="V01",cad!$C$23,IF($D631="V02",cad!$D$23,cad!$E$23)))</f>
        <v/>
      </c>
      <c r="H631" t="str">
        <f>IF($A631="","",IF($D631="V01",cad!$C$24,IF($D631="V02",cad!$D$24,cad!$E$24)))</f>
        <v/>
      </c>
      <c r="I631" t="str">
        <f>IF($A631="","",IF($D631="V01",cad!$C$32,IF($D631="V02",cad!$D$32,cad!$E$32)))</f>
        <v/>
      </c>
      <c r="J631" t="str">
        <f>IF($A631="","",IF($D631="V01",cad!$C$33,IF($D631="V02",cad!$D$33,cad!$E$33)))</f>
        <v/>
      </c>
      <c r="K631" t="str">
        <f>IF($A631="","",IF($D631="V01",cad!$C$34,IF($D631="V02",cad!$D$34,cad!$E$34)))</f>
        <v/>
      </c>
      <c r="L631" t="str">
        <f>IF($A631="","",IF($D631="V01",cad!$C$35,IF($D631="V02",cad!$D$35,cad!$E$35)))</f>
        <v/>
      </c>
      <c r="M631" t="str">
        <f>IF($A631="","",IF($D631="V01",cad!$C$36,IF($D631="V02",cad!$D$36,cad!$E$36)))</f>
        <v/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 t="str">
        <f>IF($A632="","",IF($D632="V01",cad!$C$23,IF($D632="V02",cad!$D$23,cad!$E$23)))</f>
        <v/>
      </c>
      <c r="H632" t="str">
        <f>IF($A632="","",IF($D632="V01",cad!$C$24,IF($D632="V02",cad!$D$24,cad!$E$24)))</f>
        <v/>
      </c>
      <c r="I632" t="str">
        <f>IF($A632="","",IF($D632="V01",cad!$C$32,IF($D632="V02",cad!$D$32,cad!$E$32)))</f>
        <v/>
      </c>
      <c r="J632" t="str">
        <f>IF($A632="","",IF($D632="V01",cad!$C$33,IF($D632="V02",cad!$D$33,cad!$E$33)))</f>
        <v/>
      </c>
      <c r="K632" t="str">
        <f>IF($A632="","",IF($D632="V01",cad!$C$34,IF($D632="V02",cad!$D$34,cad!$E$34)))</f>
        <v/>
      </c>
      <c r="L632" t="str">
        <f>IF($A632="","",IF($D632="V01",cad!$C$35,IF($D632="V02",cad!$D$35,cad!$E$35)))</f>
        <v/>
      </c>
      <c r="M632" t="str">
        <f>IF($A632="","",IF($D632="V01",cad!$C$36,IF($D632="V02",cad!$D$36,cad!$E$36)))</f>
        <v/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 t="str">
        <f>IF($A633="","",IF($D633="V01",cad!$C$23,IF($D633="V02",cad!$D$23,cad!$E$23)))</f>
        <v/>
      </c>
      <c r="H633" t="str">
        <f>IF($A633="","",IF($D633="V01",cad!$C$24,IF($D633="V02",cad!$D$24,cad!$E$24)))</f>
        <v/>
      </c>
      <c r="I633" t="str">
        <f>IF($A633="","",IF($D633="V01",cad!$C$32,IF($D633="V02",cad!$D$32,cad!$E$32)))</f>
        <v/>
      </c>
      <c r="J633" t="str">
        <f>IF($A633="","",IF($D633="V01",cad!$C$33,IF($D633="V02",cad!$D$33,cad!$E$33)))</f>
        <v/>
      </c>
      <c r="K633" t="str">
        <f>IF($A633="","",IF($D633="V01",cad!$C$34,IF($D633="V02",cad!$D$34,cad!$E$34)))</f>
        <v/>
      </c>
      <c r="L633" t="str">
        <f>IF($A633="","",IF($D633="V01",cad!$C$35,IF($D633="V02",cad!$D$35,cad!$E$35)))</f>
        <v/>
      </c>
      <c r="M633" t="str">
        <f>IF($A633="","",IF($D633="V01",cad!$C$36,IF($D633="V02",cad!$D$36,cad!$E$36)))</f>
        <v/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 t="str">
        <f>IF($A634="","",IF($D634="V01",cad!$C$23,IF($D634="V02",cad!$D$23,cad!$E$23)))</f>
        <v/>
      </c>
      <c r="H634" t="str">
        <f>IF($A634="","",IF($D634="V01",cad!$C$24,IF($D634="V02",cad!$D$24,cad!$E$24)))</f>
        <v/>
      </c>
      <c r="I634" t="str">
        <f>IF($A634="","",IF($D634="V01",cad!$C$32,IF($D634="V02",cad!$D$32,cad!$E$32)))</f>
        <v/>
      </c>
      <c r="J634" t="str">
        <f>IF($A634="","",IF($D634="V01",cad!$C$33,IF($D634="V02",cad!$D$33,cad!$E$33)))</f>
        <v/>
      </c>
      <c r="K634" t="str">
        <f>IF($A634="","",IF($D634="V01",cad!$C$34,IF($D634="V02",cad!$D$34,cad!$E$34)))</f>
        <v/>
      </c>
      <c r="L634" t="str">
        <f>IF($A634="","",IF($D634="V01",cad!$C$35,IF($D634="V02",cad!$D$35,cad!$E$35)))</f>
        <v/>
      </c>
      <c r="M634" t="str">
        <f>IF($A634="","",IF($D634="V01",cad!$C$36,IF($D634="V02",cad!$D$36,cad!$E$36)))</f>
        <v/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 t="str">
        <f>IF($A635="","",IF($D635="V01",cad!$C$23,IF($D635="V02",cad!$D$23,cad!$E$23)))</f>
        <v/>
      </c>
      <c r="H635" t="str">
        <f>IF($A635="","",IF($D635="V01",cad!$C$24,IF($D635="V02",cad!$D$24,cad!$E$24)))</f>
        <v/>
      </c>
      <c r="I635" t="str">
        <f>IF($A635="","",IF($D635="V01",cad!$C$32,IF($D635="V02",cad!$D$32,cad!$E$32)))</f>
        <v/>
      </c>
      <c r="J635" t="str">
        <f>IF($A635="","",IF($D635="V01",cad!$C$33,IF($D635="V02",cad!$D$33,cad!$E$33)))</f>
        <v/>
      </c>
      <c r="K635" t="str">
        <f>IF($A635="","",IF($D635="V01",cad!$C$34,IF($D635="V02",cad!$D$34,cad!$E$34)))</f>
        <v/>
      </c>
      <c r="L635" t="str">
        <f>IF($A635="","",IF($D635="V01",cad!$C$35,IF($D635="V02",cad!$D$35,cad!$E$35)))</f>
        <v/>
      </c>
      <c r="M635" t="str">
        <f>IF($A635="","",IF($D635="V01",cad!$C$36,IF($D635="V02",cad!$D$36,cad!$E$36)))</f>
        <v/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 t="str">
        <f>IF($A636="","",IF($D636="V01",cad!$C$23,IF($D636="V02",cad!$D$23,cad!$E$23)))</f>
        <v/>
      </c>
      <c r="H636" t="str">
        <f>IF($A636="","",IF($D636="V01",cad!$C$24,IF($D636="V02",cad!$D$24,cad!$E$24)))</f>
        <v/>
      </c>
      <c r="I636" t="str">
        <f>IF($A636="","",IF($D636="V01",cad!$C$32,IF($D636="V02",cad!$D$32,cad!$E$32)))</f>
        <v/>
      </c>
      <c r="J636" t="str">
        <f>IF($A636="","",IF($D636="V01",cad!$C$33,IF($D636="V02",cad!$D$33,cad!$E$33)))</f>
        <v/>
      </c>
      <c r="K636" t="str">
        <f>IF($A636="","",IF($D636="V01",cad!$C$34,IF($D636="V02",cad!$D$34,cad!$E$34)))</f>
        <v/>
      </c>
      <c r="L636" t="str">
        <f>IF($A636="","",IF($D636="V01",cad!$C$35,IF($D636="V02",cad!$D$35,cad!$E$35)))</f>
        <v/>
      </c>
      <c r="M636" t="str">
        <f>IF($A636="","",IF($D636="V01",cad!$C$36,IF($D636="V02",cad!$D$36,cad!$E$36)))</f>
        <v/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 t="str">
        <f>IF($A637="","",IF($D637="V01",cad!$C$23,IF($D637="V02",cad!$D$23,cad!$E$23)))</f>
        <v/>
      </c>
      <c r="H637" t="str">
        <f>IF($A637="","",IF($D637="V01",cad!$C$24,IF($D637="V02",cad!$D$24,cad!$E$24)))</f>
        <v/>
      </c>
      <c r="I637" t="str">
        <f>IF($A637="","",IF($D637="V01",cad!$C$32,IF($D637="V02",cad!$D$32,cad!$E$32)))</f>
        <v/>
      </c>
      <c r="J637" t="str">
        <f>IF($A637="","",IF($D637="V01",cad!$C$33,IF($D637="V02",cad!$D$33,cad!$E$33)))</f>
        <v/>
      </c>
      <c r="K637" t="str">
        <f>IF($A637="","",IF($D637="V01",cad!$C$34,IF($D637="V02",cad!$D$34,cad!$E$34)))</f>
        <v/>
      </c>
      <c r="L637" t="str">
        <f>IF($A637="","",IF($D637="V01",cad!$C$35,IF($D637="V02",cad!$D$35,cad!$E$35)))</f>
        <v/>
      </c>
      <c r="M637" t="str">
        <f>IF($A637="","",IF($D637="V01",cad!$C$36,IF($D637="V02",cad!$D$36,cad!$E$36)))</f>
        <v/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 t="str">
        <f>IF($A638="","",IF($D638="V01",cad!$C$23,IF($D638="V02",cad!$D$23,cad!$E$23)))</f>
        <v/>
      </c>
      <c r="H638" t="str">
        <f>IF($A638="","",IF($D638="V01",cad!$C$24,IF($D638="V02",cad!$D$24,cad!$E$24)))</f>
        <v/>
      </c>
      <c r="I638" t="str">
        <f>IF($A638="","",IF($D638="V01",cad!$C$32,IF($D638="V02",cad!$D$32,cad!$E$32)))</f>
        <v/>
      </c>
      <c r="J638" t="str">
        <f>IF($A638="","",IF($D638="V01",cad!$C$33,IF($D638="V02",cad!$D$33,cad!$E$33)))</f>
        <v/>
      </c>
      <c r="K638" t="str">
        <f>IF($A638="","",IF($D638="V01",cad!$C$34,IF($D638="V02",cad!$D$34,cad!$E$34)))</f>
        <v/>
      </c>
      <c r="L638" t="str">
        <f>IF($A638="","",IF($D638="V01",cad!$C$35,IF($D638="V02",cad!$D$35,cad!$E$35)))</f>
        <v/>
      </c>
      <c r="M638" t="str">
        <f>IF($A638="","",IF($D638="V01",cad!$C$36,IF($D638="V02",cad!$D$36,cad!$E$36)))</f>
        <v/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 t="str">
        <f>IF($A639="","",IF($D639="V01",cad!$C$23,IF($D639="V02",cad!$D$23,cad!$E$23)))</f>
        <v/>
      </c>
      <c r="H639" t="str">
        <f>IF($A639="","",IF($D639="V01",cad!$C$24,IF($D639="V02",cad!$D$24,cad!$E$24)))</f>
        <v/>
      </c>
      <c r="I639" t="str">
        <f>IF($A639="","",IF($D639="V01",cad!$C$32,IF($D639="V02",cad!$D$32,cad!$E$32)))</f>
        <v/>
      </c>
      <c r="J639" t="str">
        <f>IF($A639="","",IF($D639="V01",cad!$C$33,IF($D639="V02",cad!$D$33,cad!$E$33)))</f>
        <v/>
      </c>
      <c r="K639" t="str">
        <f>IF($A639="","",IF($D639="V01",cad!$C$34,IF($D639="V02",cad!$D$34,cad!$E$34)))</f>
        <v/>
      </c>
      <c r="L639" t="str">
        <f>IF($A639="","",IF($D639="V01",cad!$C$35,IF($D639="V02",cad!$D$35,cad!$E$35)))</f>
        <v/>
      </c>
      <c r="M639" t="str">
        <f>IF($A639="","",IF($D639="V01",cad!$C$36,IF($D639="V02",cad!$D$36,cad!$E$36)))</f>
        <v/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 t="str">
        <f>IF($A640="","",IF($D640="V01",cad!$C$23,IF($D640="V02",cad!$D$23,cad!$E$23)))</f>
        <v/>
      </c>
      <c r="H640" t="str">
        <f>IF($A640="","",IF($D640="V01",cad!$C$24,IF($D640="V02",cad!$D$24,cad!$E$24)))</f>
        <v/>
      </c>
      <c r="I640" t="str">
        <f>IF($A640="","",IF($D640="V01",cad!$C$32,IF($D640="V02",cad!$D$32,cad!$E$32)))</f>
        <v/>
      </c>
      <c r="J640" t="str">
        <f>IF($A640="","",IF($D640="V01",cad!$C$33,IF($D640="V02",cad!$D$33,cad!$E$33)))</f>
        <v/>
      </c>
      <c r="K640" t="str">
        <f>IF($A640="","",IF($D640="V01",cad!$C$34,IF($D640="V02",cad!$D$34,cad!$E$34)))</f>
        <v/>
      </c>
      <c r="L640" t="str">
        <f>IF($A640="","",IF($D640="V01",cad!$C$35,IF($D640="V02",cad!$D$35,cad!$E$35)))</f>
        <v/>
      </c>
      <c r="M640" t="str">
        <f>IF($A640="","",IF($D640="V01",cad!$C$36,IF($D640="V02",cad!$D$36,cad!$E$36)))</f>
        <v/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 t="str">
        <f>IF($A641="","",IF($D641="V01",cad!$C$23,IF($D641="V02",cad!$D$23,cad!$E$23)))</f>
        <v/>
      </c>
      <c r="H641" t="str">
        <f>IF($A641="","",IF($D641="V01",cad!$C$24,IF($D641="V02",cad!$D$24,cad!$E$24)))</f>
        <v/>
      </c>
      <c r="I641" t="str">
        <f>IF($A641="","",IF($D641="V01",cad!$C$32,IF($D641="V02",cad!$D$32,cad!$E$32)))</f>
        <v/>
      </c>
      <c r="J641" t="str">
        <f>IF($A641="","",IF($D641="V01",cad!$C$33,IF($D641="V02",cad!$D$33,cad!$E$33)))</f>
        <v/>
      </c>
      <c r="K641" t="str">
        <f>IF($A641="","",IF($D641="V01",cad!$C$34,IF($D641="V02",cad!$D$34,cad!$E$34)))</f>
        <v/>
      </c>
      <c r="L641" t="str">
        <f>IF($A641="","",IF($D641="V01",cad!$C$35,IF($D641="V02",cad!$D$35,cad!$E$35)))</f>
        <v/>
      </c>
      <c r="M641" t="str">
        <f>IF($A641="","",IF($D641="V01",cad!$C$36,IF($D641="V02",cad!$D$36,cad!$E$36)))</f>
        <v/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 t="str">
        <f>IF($A642="","",IF($D642="V01",cad!$C$23,IF($D642="V02",cad!$D$23,cad!$E$23)))</f>
        <v/>
      </c>
      <c r="H642" t="str">
        <f>IF($A642="","",IF($D642="V01",cad!$C$24,IF($D642="V02",cad!$D$24,cad!$E$24)))</f>
        <v/>
      </c>
      <c r="I642" t="str">
        <f>IF($A642="","",IF($D642="V01",cad!$C$32,IF($D642="V02",cad!$D$32,cad!$E$32)))</f>
        <v/>
      </c>
      <c r="J642" t="str">
        <f>IF($A642="","",IF($D642="V01",cad!$C$33,IF($D642="V02",cad!$D$33,cad!$E$33)))</f>
        <v/>
      </c>
      <c r="K642" t="str">
        <f>IF($A642="","",IF($D642="V01",cad!$C$34,IF($D642="V02",cad!$D$34,cad!$E$34)))</f>
        <v/>
      </c>
      <c r="L642" t="str">
        <f>IF($A642="","",IF($D642="V01",cad!$C$35,IF($D642="V02",cad!$D$35,cad!$E$35)))</f>
        <v/>
      </c>
      <c r="M642" t="str">
        <f>IF($A642="","",IF($D642="V01",cad!$C$36,IF($D642="V02",cad!$D$36,cad!$E$36)))</f>
        <v/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 t="str">
        <f>IF($A643="","",IF($D643="V01",cad!$C$23,IF($D643="V02",cad!$D$23,cad!$E$23)))</f>
        <v/>
      </c>
      <c r="H643" t="str">
        <f>IF($A643="","",IF($D643="V01",cad!$C$24,IF($D643="V02",cad!$D$24,cad!$E$24)))</f>
        <v/>
      </c>
      <c r="I643" t="str">
        <f>IF($A643="","",IF($D643="V01",cad!$C$32,IF($D643="V02",cad!$D$32,cad!$E$32)))</f>
        <v/>
      </c>
      <c r="J643" t="str">
        <f>IF($A643="","",IF($D643="V01",cad!$C$33,IF($D643="V02",cad!$D$33,cad!$E$33)))</f>
        <v/>
      </c>
      <c r="K643" t="str">
        <f>IF($A643="","",IF($D643="V01",cad!$C$34,IF($D643="V02",cad!$D$34,cad!$E$34)))</f>
        <v/>
      </c>
      <c r="L643" t="str">
        <f>IF($A643="","",IF($D643="V01",cad!$C$35,IF($D643="V02",cad!$D$35,cad!$E$35)))</f>
        <v/>
      </c>
      <c r="M643" t="str">
        <f>IF($A643="","",IF($D643="V01",cad!$C$36,IF($D643="V02",cad!$D$36,cad!$E$36)))</f>
        <v/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 t="str">
        <f>IF($A644="","",IF($D644="V01",cad!$C$23,IF($D644="V02",cad!$D$23,cad!$E$23)))</f>
        <v/>
      </c>
      <c r="H644" t="str">
        <f>IF($A644="","",IF($D644="V01",cad!$C$24,IF($D644="V02",cad!$D$24,cad!$E$24)))</f>
        <v/>
      </c>
      <c r="I644" t="str">
        <f>IF($A644="","",IF($D644="V01",cad!$C$32,IF($D644="V02",cad!$D$32,cad!$E$32)))</f>
        <v/>
      </c>
      <c r="J644" t="str">
        <f>IF($A644="","",IF($D644="V01",cad!$C$33,IF($D644="V02",cad!$D$33,cad!$E$33)))</f>
        <v/>
      </c>
      <c r="K644" t="str">
        <f>IF($A644="","",IF($D644="V01",cad!$C$34,IF($D644="V02",cad!$D$34,cad!$E$34)))</f>
        <v/>
      </c>
      <c r="L644" t="str">
        <f>IF($A644="","",IF($D644="V01",cad!$C$35,IF($D644="V02",cad!$D$35,cad!$E$35)))</f>
        <v/>
      </c>
      <c r="M644" t="str">
        <f>IF($A644="","",IF($D644="V01",cad!$C$36,IF($D644="V02",cad!$D$36,cad!$E$36)))</f>
        <v/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 t="str">
        <f>IF($A645="","",IF($D645="V01",cad!$C$23,IF($D645="V02",cad!$D$23,cad!$E$23)))</f>
        <v/>
      </c>
      <c r="H645" t="str">
        <f>IF($A645="","",IF($D645="V01",cad!$C$24,IF($D645="V02",cad!$D$24,cad!$E$24)))</f>
        <v/>
      </c>
      <c r="I645" t="str">
        <f>IF($A645="","",IF($D645="V01",cad!$C$32,IF($D645="V02",cad!$D$32,cad!$E$32)))</f>
        <v/>
      </c>
      <c r="J645" t="str">
        <f>IF($A645="","",IF($D645="V01",cad!$C$33,IF($D645="V02",cad!$D$33,cad!$E$33)))</f>
        <v/>
      </c>
      <c r="K645" t="str">
        <f>IF($A645="","",IF($D645="V01",cad!$C$34,IF($D645="V02",cad!$D$34,cad!$E$34)))</f>
        <v/>
      </c>
      <c r="L645" t="str">
        <f>IF($A645="","",IF($D645="V01",cad!$C$35,IF($D645="V02",cad!$D$35,cad!$E$35)))</f>
        <v/>
      </c>
      <c r="M645" t="str">
        <f>IF($A645="","",IF($D645="V01",cad!$C$36,IF($D645="V02",cad!$D$36,cad!$E$36)))</f>
        <v/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 t="str">
        <f>IF($A646="","",IF($D646="V01",cad!$C$23,IF($D646="V02",cad!$D$23,cad!$E$23)))</f>
        <v/>
      </c>
      <c r="H646" t="str">
        <f>IF($A646="","",IF($D646="V01",cad!$C$24,IF($D646="V02",cad!$D$24,cad!$E$24)))</f>
        <v/>
      </c>
      <c r="I646" t="str">
        <f>IF($A646="","",IF($D646="V01",cad!$C$32,IF($D646="V02",cad!$D$32,cad!$E$32)))</f>
        <v/>
      </c>
      <c r="J646" t="str">
        <f>IF($A646="","",IF($D646="V01",cad!$C$33,IF($D646="V02",cad!$D$33,cad!$E$33)))</f>
        <v/>
      </c>
      <c r="K646" t="str">
        <f>IF($A646="","",IF($D646="V01",cad!$C$34,IF($D646="V02",cad!$D$34,cad!$E$34)))</f>
        <v/>
      </c>
      <c r="L646" t="str">
        <f>IF($A646="","",IF($D646="V01",cad!$C$35,IF($D646="V02",cad!$D$35,cad!$E$35)))</f>
        <v/>
      </c>
      <c r="M646" t="str">
        <f>IF($A646="","",IF($D646="V01",cad!$C$36,IF($D646="V02",cad!$D$36,cad!$E$36)))</f>
        <v/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 t="str">
        <f>IF($A647="","",IF($D647="V01",cad!$C$23,IF($D647="V02",cad!$D$23,cad!$E$23)))</f>
        <v/>
      </c>
      <c r="H647" t="str">
        <f>IF($A647="","",IF($D647="V01",cad!$C$24,IF($D647="V02",cad!$D$24,cad!$E$24)))</f>
        <v/>
      </c>
      <c r="I647" t="str">
        <f>IF($A647="","",IF($D647="V01",cad!$C$32,IF($D647="V02",cad!$D$32,cad!$E$32)))</f>
        <v/>
      </c>
      <c r="J647" t="str">
        <f>IF($A647="","",IF($D647="V01",cad!$C$33,IF($D647="V02",cad!$D$33,cad!$E$33)))</f>
        <v/>
      </c>
      <c r="K647" t="str">
        <f>IF($A647="","",IF($D647="V01",cad!$C$34,IF($D647="V02",cad!$D$34,cad!$E$34)))</f>
        <v/>
      </c>
      <c r="L647" t="str">
        <f>IF($A647="","",IF($D647="V01",cad!$C$35,IF($D647="V02",cad!$D$35,cad!$E$35)))</f>
        <v/>
      </c>
      <c r="M647" t="str">
        <f>IF($A647="","",IF($D647="V01",cad!$C$36,IF($D647="V02",cad!$D$36,cad!$E$36)))</f>
        <v/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 t="str">
        <f>IF($A648="","",IF($D648="V01",cad!$C$23,IF($D648="V02",cad!$D$23,cad!$E$23)))</f>
        <v/>
      </c>
      <c r="H648" t="str">
        <f>IF($A648="","",IF($D648="V01",cad!$C$24,IF($D648="V02",cad!$D$24,cad!$E$24)))</f>
        <v/>
      </c>
      <c r="I648" t="str">
        <f>IF($A648="","",IF($D648="V01",cad!$C$32,IF($D648="V02",cad!$D$32,cad!$E$32)))</f>
        <v/>
      </c>
      <c r="J648" t="str">
        <f>IF($A648="","",IF($D648="V01",cad!$C$33,IF($D648="V02",cad!$D$33,cad!$E$33)))</f>
        <v/>
      </c>
      <c r="K648" t="str">
        <f>IF($A648="","",IF($D648="V01",cad!$C$34,IF($D648="V02",cad!$D$34,cad!$E$34)))</f>
        <v/>
      </c>
      <c r="L648" t="str">
        <f>IF($A648="","",IF($D648="V01",cad!$C$35,IF($D648="V02",cad!$D$35,cad!$E$35)))</f>
        <v/>
      </c>
      <c r="M648" t="str">
        <f>IF($A648="","",IF($D648="V01",cad!$C$36,IF($D648="V02",cad!$D$36,cad!$E$36)))</f>
        <v/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 t="str">
        <f>IF($A649="","",IF($D649="V01",cad!$C$23,IF($D649="V02",cad!$D$23,cad!$E$23)))</f>
        <v/>
      </c>
      <c r="H649" t="str">
        <f>IF($A649="","",IF($D649="V01",cad!$C$24,IF($D649="V02",cad!$D$24,cad!$E$24)))</f>
        <v/>
      </c>
      <c r="I649" t="str">
        <f>IF($A649="","",IF($D649="V01",cad!$C$32,IF($D649="V02",cad!$D$32,cad!$E$32)))</f>
        <v/>
      </c>
      <c r="J649" t="str">
        <f>IF($A649="","",IF($D649="V01",cad!$C$33,IF($D649="V02",cad!$D$33,cad!$E$33)))</f>
        <v/>
      </c>
      <c r="K649" t="str">
        <f>IF($A649="","",IF($D649="V01",cad!$C$34,IF($D649="V02",cad!$D$34,cad!$E$34)))</f>
        <v/>
      </c>
      <c r="L649" t="str">
        <f>IF($A649="","",IF($D649="V01",cad!$C$35,IF($D649="V02",cad!$D$35,cad!$E$35)))</f>
        <v/>
      </c>
      <c r="M649" t="str">
        <f>IF($A649="","",IF($D649="V01",cad!$C$36,IF($D649="V02",cad!$D$36,cad!$E$36)))</f>
        <v/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 t="str">
        <f>IF($A650="","",IF($D650="V01",cad!$C$23,IF($D650="V02",cad!$D$23,cad!$E$23)))</f>
        <v/>
      </c>
      <c r="H650" t="str">
        <f>IF($A650="","",IF($D650="V01",cad!$C$24,IF($D650="V02",cad!$D$24,cad!$E$24)))</f>
        <v/>
      </c>
      <c r="I650" t="str">
        <f>IF($A650="","",IF($D650="V01",cad!$C$32,IF($D650="V02",cad!$D$32,cad!$E$32)))</f>
        <v/>
      </c>
      <c r="J650" t="str">
        <f>IF($A650="","",IF($D650="V01",cad!$C$33,IF($D650="V02",cad!$D$33,cad!$E$33)))</f>
        <v/>
      </c>
      <c r="K650" t="str">
        <f>IF($A650="","",IF($D650="V01",cad!$C$34,IF($D650="V02",cad!$D$34,cad!$E$34)))</f>
        <v/>
      </c>
      <c r="L650" t="str">
        <f>IF($A650="","",IF($D650="V01",cad!$C$35,IF($D650="V02",cad!$D$35,cad!$E$35)))</f>
        <v/>
      </c>
      <c r="M650" t="str">
        <f>IF($A650="","",IF($D650="V01",cad!$C$36,IF($D650="V02",cad!$D$36,cad!$E$36)))</f>
        <v/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 t="str">
        <f>IF($A651="","",IF($D651="V01",cad!$C$23,IF($D651="V02",cad!$D$23,cad!$E$23)))</f>
        <v/>
      </c>
      <c r="H651" t="str">
        <f>IF($A651="","",IF($D651="V01",cad!$C$24,IF($D651="V02",cad!$D$24,cad!$E$24)))</f>
        <v/>
      </c>
      <c r="I651" t="str">
        <f>IF($A651="","",IF($D651="V01",cad!$C$32,IF($D651="V02",cad!$D$32,cad!$E$32)))</f>
        <v/>
      </c>
      <c r="J651" t="str">
        <f>IF($A651="","",IF($D651="V01",cad!$C$33,IF($D651="V02",cad!$D$33,cad!$E$33)))</f>
        <v/>
      </c>
      <c r="K651" t="str">
        <f>IF($A651="","",IF($D651="V01",cad!$C$34,IF($D651="V02",cad!$D$34,cad!$E$34)))</f>
        <v/>
      </c>
      <c r="L651" t="str">
        <f>IF($A651="","",IF($D651="V01",cad!$C$35,IF($D651="V02",cad!$D$35,cad!$E$35)))</f>
        <v/>
      </c>
      <c r="M651" t="str">
        <f>IF($A651="","",IF($D651="V01",cad!$C$36,IF($D651="V02",cad!$D$36,cad!$E$36)))</f>
        <v/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 t="str">
        <f>IF($A652="","",IF($D652="V01",cad!$C$23,IF($D652="V02",cad!$D$23,cad!$E$23)))</f>
        <v/>
      </c>
      <c r="H652" t="str">
        <f>IF($A652="","",IF($D652="V01",cad!$C$24,IF($D652="V02",cad!$D$24,cad!$E$24)))</f>
        <v/>
      </c>
      <c r="I652" t="str">
        <f>IF($A652="","",IF($D652="V01",cad!$C$32,IF($D652="V02",cad!$D$32,cad!$E$32)))</f>
        <v/>
      </c>
      <c r="J652" t="str">
        <f>IF($A652="","",IF($D652="V01",cad!$C$33,IF($D652="V02",cad!$D$33,cad!$E$33)))</f>
        <v/>
      </c>
      <c r="K652" t="str">
        <f>IF($A652="","",IF($D652="V01",cad!$C$34,IF($D652="V02",cad!$D$34,cad!$E$34)))</f>
        <v/>
      </c>
      <c r="L652" t="str">
        <f>IF($A652="","",IF($D652="V01",cad!$C$35,IF($D652="V02",cad!$D$35,cad!$E$35)))</f>
        <v/>
      </c>
      <c r="M652" t="str">
        <f>IF($A652="","",IF($D652="V01",cad!$C$36,IF($D652="V02",cad!$D$36,cad!$E$36)))</f>
        <v/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 t="str">
        <f>IF($A653="","",IF($D653="V01",cad!$C$23,IF($D653="V02",cad!$D$23,cad!$E$23)))</f>
        <v/>
      </c>
      <c r="H653" t="str">
        <f>IF($A653="","",IF($D653="V01",cad!$C$24,IF($D653="V02",cad!$D$24,cad!$E$24)))</f>
        <v/>
      </c>
      <c r="I653" t="str">
        <f>IF($A653="","",IF($D653="V01",cad!$C$32,IF($D653="V02",cad!$D$32,cad!$E$32)))</f>
        <v/>
      </c>
      <c r="J653" t="str">
        <f>IF($A653="","",IF($D653="V01",cad!$C$33,IF($D653="V02",cad!$D$33,cad!$E$33)))</f>
        <v/>
      </c>
      <c r="K653" t="str">
        <f>IF($A653="","",IF($D653="V01",cad!$C$34,IF($D653="V02",cad!$D$34,cad!$E$34)))</f>
        <v/>
      </c>
      <c r="L653" t="str">
        <f>IF($A653="","",IF($D653="V01",cad!$C$35,IF($D653="V02",cad!$D$35,cad!$E$35)))</f>
        <v/>
      </c>
      <c r="M653" t="str">
        <f>IF($A653="","",IF($D653="V01",cad!$C$36,IF($D653="V02",cad!$D$36,cad!$E$36)))</f>
        <v/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 t="str">
        <f>IF($A654="","",IF($D654="V01",cad!$C$23,IF($D654="V02",cad!$D$23,cad!$E$23)))</f>
        <v/>
      </c>
      <c r="H654" t="str">
        <f>IF($A654="","",IF($D654="V01",cad!$C$24,IF($D654="V02",cad!$D$24,cad!$E$24)))</f>
        <v/>
      </c>
      <c r="I654" t="str">
        <f>IF($A654="","",IF($D654="V01",cad!$C$32,IF($D654="V02",cad!$D$32,cad!$E$32)))</f>
        <v/>
      </c>
      <c r="J654" t="str">
        <f>IF($A654="","",IF($D654="V01",cad!$C$33,IF($D654="V02",cad!$D$33,cad!$E$33)))</f>
        <v/>
      </c>
      <c r="K654" t="str">
        <f>IF($A654="","",IF($D654="V01",cad!$C$34,IF($D654="V02",cad!$D$34,cad!$E$34)))</f>
        <v/>
      </c>
      <c r="L654" t="str">
        <f>IF($A654="","",IF($D654="V01",cad!$C$35,IF($D654="V02",cad!$D$35,cad!$E$35)))</f>
        <v/>
      </c>
      <c r="M654" t="str">
        <f>IF($A654="","",IF($D654="V01",cad!$C$36,IF($D654="V02",cad!$D$36,cad!$E$36)))</f>
        <v/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 t="str">
        <f>IF($A655="","",IF($D655="V01",cad!$C$23,IF($D655="V02",cad!$D$23,cad!$E$23)))</f>
        <v/>
      </c>
      <c r="H655" t="str">
        <f>IF($A655="","",IF($D655="V01",cad!$C$24,IF($D655="V02",cad!$D$24,cad!$E$24)))</f>
        <v/>
      </c>
      <c r="I655" t="str">
        <f>IF($A655="","",IF($D655="V01",cad!$C$32,IF($D655="V02",cad!$D$32,cad!$E$32)))</f>
        <v/>
      </c>
      <c r="J655" t="str">
        <f>IF($A655="","",IF($D655="V01",cad!$C$33,IF($D655="V02",cad!$D$33,cad!$E$33)))</f>
        <v/>
      </c>
      <c r="K655" t="str">
        <f>IF($A655="","",IF($D655="V01",cad!$C$34,IF($D655="V02",cad!$D$34,cad!$E$34)))</f>
        <v/>
      </c>
      <c r="L655" t="str">
        <f>IF($A655="","",IF($D655="V01",cad!$C$35,IF($D655="V02",cad!$D$35,cad!$E$35)))</f>
        <v/>
      </c>
      <c r="M655" t="str">
        <f>IF($A655="","",IF($D655="V01",cad!$C$36,IF($D655="V02",cad!$D$36,cad!$E$36)))</f>
        <v/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 t="str">
        <f>IF($A656="","",IF($D656="V01",cad!$C$23,IF($D656="V02",cad!$D$23,cad!$E$23)))</f>
        <v/>
      </c>
      <c r="H656" t="str">
        <f>IF($A656="","",IF($D656="V01",cad!$C$24,IF($D656="V02",cad!$D$24,cad!$E$24)))</f>
        <v/>
      </c>
      <c r="I656" t="str">
        <f>IF($A656="","",IF($D656="V01",cad!$C$32,IF($D656="V02",cad!$D$32,cad!$E$32)))</f>
        <v/>
      </c>
      <c r="J656" t="str">
        <f>IF($A656="","",IF($D656="V01",cad!$C$33,IF($D656="V02",cad!$D$33,cad!$E$33)))</f>
        <v/>
      </c>
      <c r="K656" t="str">
        <f>IF($A656="","",IF($D656="V01",cad!$C$34,IF($D656="V02",cad!$D$34,cad!$E$34)))</f>
        <v/>
      </c>
      <c r="L656" t="str">
        <f>IF($A656="","",IF($D656="V01",cad!$C$35,IF($D656="V02",cad!$D$35,cad!$E$35)))</f>
        <v/>
      </c>
      <c r="M656" t="str">
        <f>IF($A656="","",IF($D656="V01",cad!$C$36,IF($D656="V02",cad!$D$36,cad!$E$36)))</f>
        <v/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 t="str">
        <f>IF($A657="","",IF($D657="V01",cad!$C$23,IF($D657="V02",cad!$D$23,cad!$E$23)))</f>
        <v/>
      </c>
      <c r="H657" t="str">
        <f>IF($A657="","",IF($D657="V01",cad!$C$24,IF($D657="V02",cad!$D$24,cad!$E$24)))</f>
        <v/>
      </c>
      <c r="I657" t="str">
        <f>IF($A657="","",IF($D657="V01",cad!$C$32,IF($D657="V02",cad!$D$32,cad!$E$32)))</f>
        <v/>
      </c>
      <c r="J657" t="str">
        <f>IF($A657="","",IF($D657="V01",cad!$C$33,IF($D657="V02",cad!$D$33,cad!$E$33)))</f>
        <v/>
      </c>
      <c r="K657" t="str">
        <f>IF($A657="","",IF($D657="V01",cad!$C$34,IF($D657="V02",cad!$D$34,cad!$E$34)))</f>
        <v/>
      </c>
      <c r="L657" t="str">
        <f>IF($A657="","",IF($D657="V01",cad!$C$35,IF($D657="V02",cad!$D$35,cad!$E$35)))</f>
        <v/>
      </c>
      <c r="M657" t="str">
        <f>IF($A657="","",IF($D657="V01",cad!$C$36,IF($D657="V02",cad!$D$36,cad!$E$36)))</f>
        <v/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 t="str">
        <f>IF($A658="","",IF($D658="V01",cad!$C$23,IF($D658="V02",cad!$D$23,cad!$E$23)))</f>
        <v/>
      </c>
      <c r="H658" t="str">
        <f>IF($A658="","",IF($D658="V01",cad!$C$24,IF($D658="V02",cad!$D$24,cad!$E$24)))</f>
        <v/>
      </c>
      <c r="I658" t="str">
        <f>IF($A658="","",IF($D658="V01",cad!$C$32,IF($D658="V02",cad!$D$32,cad!$E$32)))</f>
        <v/>
      </c>
      <c r="J658" t="str">
        <f>IF($A658="","",IF($D658="V01",cad!$C$33,IF($D658="V02",cad!$D$33,cad!$E$33)))</f>
        <v/>
      </c>
      <c r="K658" t="str">
        <f>IF($A658="","",IF($D658="V01",cad!$C$34,IF($D658="V02",cad!$D$34,cad!$E$34)))</f>
        <v/>
      </c>
      <c r="L658" t="str">
        <f>IF($A658="","",IF($D658="V01",cad!$C$35,IF($D658="V02",cad!$D$35,cad!$E$35)))</f>
        <v/>
      </c>
      <c r="M658" t="str">
        <f>IF($A658="","",IF($D658="V01",cad!$C$36,IF($D658="V02",cad!$D$36,cad!$E$36)))</f>
        <v/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 t="str">
        <f>IF($A659="","",IF($D659="V01",cad!$C$23,IF($D659="V02",cad!$D$23,cad!$E$23)))</f>
        <v/>
      </c>
      <c r="H659" t="str">
        <f>IF($A659="","",IF($D659="V01",cad!$C$24,IF($D659="V02",cad!$D$24,cad!$E$24)))</f>
        <v/>
      </c>
      <c r="I659" t="str">
        <f>IF($A659="","",IF($D659="V01",cad!$C$32,IF($D659="V02",cad!$D$32,cad!$E$32)))</f>
        <v/>
      </c>
      <c r="J659" t="str">
        <f>IF($A659="","",IF($D659="V01",cad!$C$33,IF($D659="V02",cad!$D$33,cad!$E$33)))</f>
        <v/>
      </c>
      <c r="K659" t="str">
        <f>IF($A659="","",IF($D659="V01",cad!$C$34,IF($D659="V02",cad!$D$34,cad!$E$34)))</f>
        <v/>
      </c>
      <c r="L659" t="str">
        <f>IF($A659="","",IF($D659="V01",cad!$C$35,IF($D659="V02",cad!$D$35,cad!$E$35)))</f>
        <v/>
      </c>
      <c r="M659" t="str">
        <f>IF($A659="","",IF($D659="V01",cad!$C$36,IF($D659="V02",cad!$D$36,cad!$E$36)))</f>
        <v/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 t="str">
        <f>IF($A660="","",IF($D660="V01",cad!$C$23,IF($D660="V02",cad!$D$23,cad!$E$23)))</f>
        <v/>
      </c>
      <c r="H660" t="str">
        <f>IF($A660="","",IF($D660="V01",cad!$C$24,IF($D660="V02",cad!$D$24,cad!$E$24)))</f>
        <v/>
      </c>
      <c r="I660" t="str">
        <f>IF($A660="","",IF($D660="V01",cad!$C$32,IF($D660="V02",cad!$D$32,cad!$E$32)))</f>
        <v/>
      </c>
      <c r="J660" t="str">
        <f>IF($A660="","",IF($D660="V01",cad!$C$33,IF($D660="V02",cad!$D$33,cad!$E$33)))</f>
        <v/>
      </c>
      <c r="K660" t="str">
        <f>IF($A660="","",IF($D660="V01",cad!$C$34,IF($D660="V02",cad!$D$34,cad!$E$34)))</f>
        <v/>
      </c>
      <c r="L660" t="str">
        <f>IF($A660="","",IF($D660="V01",cad!$C$35,IF($D660="V02",cad!$D$35,cad!$E$35)))</f>
        <v/>
      </c>
      <c r="M660" t="str">
        <f>IF($A660="","",IF($D660="V01",cad!$C$36,IF($D660="V02",cad!$D$36,cad!$E$36)))</f>
        <v/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 t="str">
        <f>IF($A661="","",IF($D661="V01",cad!$C$23,IF($D661="V02",cad!$D$23,cad!$E$23)))</f>
        <v/>
      </c>
      <c r="H661" t="str">
        <f>IF($A661="","",IF($D661="V01",cad!$C$24,IF($D661="V02",cad!$D$24,cad!$E$24)))</f>
        <v/>
      </c>
      <c r="I661" t="str">
        <f>IF($A661="","",IF($D661="V01",cad!$C$32,IF($D661="V02",cad!$D$32,cad!$E$32)))</f>
        <v/>
      </c>
      <c r="J661" t="str">
        <f>IF($A661="","",IF($D661="V01",cad!$C$33,IF($D661="V02",cad!$D$33,cad!$E$33)))</f>
        <v/>
      </c>
      <c r="K661" t="str">
        <f>IF($A661="","",IF($D661="V01",cad!$C$34,IF($D661="V02",cad!$D$34,cad!$E$34)))</f>
        <v/>
      </c>
      <c r="L661" t="str">
        <f>IF($A661="","",IF($D661="V01",cad!$C$35,IF($D661="V02",cad!$D$35,cad!$E$35)))</f>
        <v/>
      </c>
      <c r="M661" t="str">
        <f>IF($A661="","",IF($D661="V01",cad!$C$36,IF($D661="V02",cad!$D$36,cad!$E$36)))</f>
        <v/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 t="str">
        <f>IF($A662="","",IF($D662="V01",cad!$C$23,IF($D662="V02",cad!$D$23,cad!$E$23)))</f>
        <v/>
      </c>
      <c r="H662" t="str">
        <f>IF($A662="","",IF($D662="V01",cad!$C$24,IF($D662="V02",cad!$D$24,cad!$E$24)))</f>
        <v/>
      </c>
      <c r="I662" t="str">
        <f>IF($A662="","",IF($D662="V01",cad!$C$32,IF($D662="V02",cad!$D$32,cad!$E$32)))</f>
        <v/>
      </c>
      <c r="J662" t="str">
        <f>IF($A662="","",IF($D662="V01",cad!$C$33,IF($D662="V02",cad!$D$33,cad!$E$33)))</f>
        <v/>
      </c>
      <c r="K662" t="str">
        <f>IF($A662="","",IF($D662="V01",cad!$C$34,IF($D662="V02",cad!$D$34,cad!$E$34)))</f>
        <v/>
      </c>
      <c r="L662" t="str">
        <f>IF($A662="","",IF($D662="V01",cad!$C$35,IF($D662="V02",cad!$D$35,cad!$E$35)))</f>
        <v/>
      </c>
      <c r="M662" t="str">
        <f>IF($A662="","",IF($D662="V01",cad!$C$36,IF($D662="V02",cad!$D$36,cad!$E$36)))</f>
        <v/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 t="str">
        <f>IF($A663="","",IF($D663="V01",cad!$C$23,IF($D663="V02",cad!$D$23,cad!$E$23)))</f>
        <v/>
      </c>
      <c r="H663" t="str">
        <f>IF($A663="","",IF($D663="V01",cad!$C$24,IF($D663="V02",cad!$D$24,cad!$E$24)))</f>
        <v/>
      </c>
      <c r="I663" t="str">
        <f>IF($A663="","",IF($D663="V01",cad!$C$32,IF($D663="V02",cad!$D$32,cad!$E$32)))</f>
        <v/>
      </c>
      <c r="J663" t="str">
        <f>IF($A663="","",IF($D663="V01",cad!$C$33,IF($D663="V02",cad!$D$33,cad!$E$33)))</f>
        <v/>
      </c>
      <c r="K663" t="str">
        <f>IF($A663="","",IF($D663="V01",cad!$C$34,IF($D663="V02",cad!$D$34,cad!$E$34)))</f>
        <v/>
      </c>
      <c r="L663" t="str">
        <f>IF($A663="","",IF($D663="V01",cad!$C$35,IF($D663="V02",cad!$D$35,cad!$E$35)))</f>
        <v/>
      </c>
      <c r="M663" t="str">
        <f>IF($A663="","",IF($D663="V01",cad!$C$36,IF($D663="V02",cad!$D$36,cad!$E$36)))</f>
        <v/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 t="str">
        <f>IF($A664="","",IF($D664="V01",cad!$C$23,IF($D664="V02",cad!$D$23,cad!$E$23)))</f>
        <v/>
      </c>
      <c r="H664" t="str">
        <f>IF($A664="","",IF($D664="V01",cad!$C$24,IF($D664="V02",cad!$D$24,cad!$E$24)))</f>
        <v/>
      </c>
      <c r="I664" t="str">
        <f>IF($A664="","",IF($D664="V01",cad!$C$32,IF($D664="V02",cad!$D$32,cad!$E$32)))</f>
        <v/>
      </c>
      <c r="J664" t="str">
        <f>IF($A664="","",IF($D664="V01",cad!$C$33,IF($D664="V02",cad!$D$33,cad!$E$33)))</f>
        <v/>
      </c>
      <c r="K664" t="str">
        <f>IF($A664="","",IF($D664="V01",cad!$C$34,IF($D664="V02",cad!$D$34,cad!$E$34)))</f>
        <v/>
      </c>
      <c r="L664" t="str">
        <f>IF($A664="","",IF($D664="V01",cad!$C$35,IF($D664="V02",cad!$D$35,cad!$E$35)))</f>
        <v/>
      </c>
      <c r="M664" t="str">
        <f>IF($A664="","",IF($D664="V01",cad!$C$36,IF($D664="V02",cad!$D$36,cad!$E$36)))</f>
        <v/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 t="str">
        <f>IF($A665="","",IF($D665="V01",cad!$C$23,IF($D665="V02",cad!$D$23,cad!$E$23)))</f>
        <v/>
      </c>
      <c r="H665" t="str">
        <f>IF($A665="","",IF($D665="V01",cad!$C$24,IF($D665="V02",cad!$D$24,cad!$E$24)))</f>
        <v/>
      </c>
      <c r="I665" t="str">
        <f>IF($A665="","",IF($D665="V01",cad!$C$32,IF($D665="V02",cad!$D$32,cad!$E$32)))</f>
        <v/>
      </c>
      <c r="J665" t="str">
        <f>IF($A665="","",IF($D665="V01",cad!$C$33,IF($D665="V02",cad!$D$33,cad!$E$33)))</f>
        <v/>
      </c>
      <c r="K665" t="str">
        <f>IF($A665="","",IF($D665="V01",cad!$C$34,IF($D665="V02",cad!$D$34,cad!$E$34)))</f>
        <v/>
      </c>
      <c r="L665" t="str">
        <f>IF($A665="","",IF($D665="V01",cad!$C$35,IF($D665="V02",cad!$D$35,cad!$E$35)))</f>
        <v/>
      </c>
      <c r="M665" t="str">
        <f>IF($A665="","",IF($D665="V01",cad!$C$36,IF($D665="V02",cad!$D$36,cad!$E$36)))</f>
        <v/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 t="str">
        <f>IF($A666="","",IF($D666="V01",cad!$C$23,IF($D666="V02",cad!$D$23,cad!$E$23)))</f>
        <v/>
      </c>
      <c r="H666" t="str">
        <f>IF($A666="","",IF($D666="V01",cad!$C$24,IF($D666="V02",cad!$D$24,cad!$E$24)))</f>
        <v/>
      </c>
      <c r="I666" t="str">
        <f>IF($A666="","",IF($D666="V01",cad!$C$32,IF($D666="V02",cad!$D$32,cad!$E$32)))</f>
        <v/>
      </c>
      <c r="J666" t="str">
        <f>IF($A666="","",IF($D666="V01",cad!$C$33,IF($D666="V02",cad!$D$33,cad!$E$33)))</f>
        <v/>
      </c>
      <c r="K666" t="str">
        <f>IF($A666="","",IF($D666="V01",cad!$C$34,IF($D666="V02",cad!$D$34,cad!$E$34)))</f>
        <v/>
      </c>
      <c r="L666" t="str">
        <f>IF($A666="","",IF($D666="V01",cad!$C$35,IF($D666="V02",cad!$D$35,cad!$E$35)))</f>
        <v/>
      </c>
      <c r="M666" t="str">
        <f>IF($A666="","",IF($D666="V01",cad!$C$36,IF($D666="V02",cad!$D$36,cad!$E$36)))</f>
        <v/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 t="str">
        <f>IF($A667="","",IF($D667="V01",cad!$C$23,IF($D667="V02",cad!$D$23,cad!$E$23)))</f>
        <v/>
      </c>
      <c r="H667" t="str">
        <f>IF($A667="","",IF($D667="V01",cad!$C$24,IF($D667="V02",cad!$D$24,cad!$E$24)))</f>
        <v/>
      </c>
      <c r="I667" t="str">
        <f>IF($A667="","",IF($D667="V01",cad!$C$32,IF($D667="V02",cad!$D$32,cad!$E$32)))</f>
        <v/>
      </c>
      <c r="J667" t="str">
        <f>IF($A667="","",IF($D667="V01",cad!$C$33,IF($D667="V02",cad!$D$33,cad!$E$33)))</f>
        <v/>
      </c>
      <c r="K667" t="str">
        <f>IF($A667="","",IF($D667="V01",cad!$C$34,IF($D667="V02",cad!$D$34,cad!$E$34)))</f>
        <v/>
      </c>
      <c r="L667" t="str">
        <f>IF($A667="","",IF($D667="V01",cad!$C$35,IF($D667="V02",cad!$D$35,cad!$E$35)))</f>
        <v/>
      </c>
      <c r="M667" t="str">
        <f>IF($A667="","",IF($D667="V01",cad!$C$36,IF($D667="V02",cad!$D$36,cad!$E$36)))</f>
        <v/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 t="str">
        <f>IF($A668="","",IF($D668="V01",cad!$C$23,IF($D668="V02",cad!$D$23,cad!$E$23)))</f>
        <v/>
      </c>
      <c r="H668" t="str">
        <f>IF($A668="","",IF($D668="V01",cad!$C$24,IF($D668="V02",cad!$D$24,cad!$E$24)))</f>
        <v/>
      </c>
      <c r="I668" t="str">
        <f>IF($A668="","",IF($D668="V01",cad!$C$32,IF($D668="V02",cad!$D$32,cad!$E$32)))</f>
        <v/>
      </c>
      <c r="J668" t="str">
        <f>IF($A668="","",IF($D668="V01",cad!$C$33,IF($D668="V02",cad!$D$33,cad!$E$33)))</f>
        <v/>
      </c>
      <c r="K668" t="str">
        <f>IF($A668="","",IF($D668="V01",cad!$C$34,IF($D668="V02",cad!$D$34,cad!$E$34)))</f>
        <v/>
      </c>
      <c r="L668" t="str">
        <f>IF($A668="","",IF($D668="V01",cad!$C$35,IF($D668="V02",cad!$D$35,cad!$E$35)))</f>
        <v/>
      </c>
      <c r="M668" t="str">
        <f>IF($A668="","",IF($D668="V01",cad!$C$36,IF($D668="V02",cad!$D$36,cad!$E$36)))</f>
        <v/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 t="str">
        <f>IF($A669="","",IF($D669="V01",cad!$C$23,IF($D669="V02",cad!$D$23,cad!$E$23)))</f>
        <v/>
      </c>
      <c r="H669" t="str">
        <f>IF($A669="","",IF($D669="V01",cad!$C$24,IF($D669="V02",cad!$D$24,cad!$E$24)))</f>
        <v/>
      </c>
      <c r="I669" t="str">
        <f>IF($A669="","",IF($D669="V01",cad!$C$32,IF($D669="V02",cad!$D$32,cad!$E$32)))</f>
        <v/>
      </c>
      <c r="J669" t="str">
        <f>IF($A669="","",IF($D669="V01",cad!$C$33,IF($D669="V02",cad!$D$33,cad!$E$33)))</f>
        <v/>
      </c>
      <c r="K669" t="str">
        <f>IF($A669="","",IF($D669="V01",cad!$C$34,IF($D669="V02",cad!$D$34,cad!$E$34)))</f>
        <v/>
      </c>
      <c r="L669" t="str">
        <f>IF($A669="","",IF($D669="V01",cad!$C$35,IF($D669="V02",cad!$D$35,cad!$E$35)))</f>
        <v/>
      </c>
      <c r="M669" t="str">
        <f>IF($A669="","",IF($D669="V01",cad!$C$36,IF($D669="V02",cad!$D$36,cad!$E$36)))</f>
        <v/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 t="str">
        <f>IF($A670="","",IF($D670="V01",cad!$C$23,IF($D670="V02",cad!$D$23,cad!$E$23)))</f>
        <v/>
      </c>
      <c r="H670" t="str">
        <f>IF($A670="","",IF($D670="V01",cad!$C$24,IF($D670="V02",cad!$D$24,cad!$E$24)))</f>
        <v/>
      </c>
      <c r="I670" t="str">
        <f>IF($A670="","",IF($D670="V01",cad!$C$32,IF($D670="V02",cad!$D$32,cad!$E$32)))</f>
        <v/>
      </c>
      <c r="J670" t="str">
        <f>IF($A670="","",IF($D670="V01",cad!$C$33,IF($D670="V02",cad!$D$33,cad!$E$33)))</f>
        <v/>
      </c>
      <c r="K670" t="str">
        <f>IF($A670="","",IF($D670="V01",cad!$C$34,IF($D670="V02",cad!$D$34,cad!$E$34)))</f>
        <v/>
      </c>
      <c r="L670" t="str">
        <f>IF($A670="","",IF($D670="V01",cad!$C$35,IF($D670="V02",cad!$D$35,cad!$E$35)))</f>
        <v/>
      </c>
      <c r="M670" t="str">
        <f>IF($A670="","",IF($D670="V01",cad!$C$36,IF($D670="V02",cad!$D$36,cad!$E$36)))</f>
        <v/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 t="str">
        <f>IF($A671="","",IF($D671="V01",cad!$C$23,IF($D671="V02",cad!$D$23,cad!$E$23)))</f>
        <v/>
      </c>
      <c r="H671" t="str">
        <f>IF($A671="","",IF($D671="V01",cad!$C$24,IF($D671="V02",cad!$D$24,cad!$E$24)))</f>
        <v/>
      </c>
      <c r="I671" t="str">
        <f>IF($A671="","",IF($D671="V01",cad!$C$32,IF($D671="V02",cad!$D$32,cad!$E$32)))</f>
        <v/>
      </c>
      <c r="J671" t="str">
        <f>IF($A671="","",IF($D671="V01",cad!$C$33,IF($D671="V02",cad!$D$33,cad!$E$33)))</f>
        <v/>
      </c>
      <c r="K671" t="str">
        <f>IF($A671="","",IF($D671="V01",cad!$C$34,IF($D671="V02",cad!$D$34,cad!$E$34)))</f>
        <v/>
      </c>
      <c r="L671" t="str">
        <f>IF($A671="","",IF($D671="V01",cad!$C$35,IF($D671="V02",cad!$D$35,cad!$E$35)))</f>
        <v/>
      </c>
      <c r="M671" t="str">
        <f>IF($A671="","",IF($D671="V01",cad!$C$36,IF($D671="V02",cad!$D$36,cad!$E$36)))</f>
        <v/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 t="str">
        <f>IF($A672="","",IF($D672="V01",cad!$C$23,IF($D672="V02",cad!$D$23,cad!$E$23)))</f>
        <v/>
      </c>
      <c r="H672" t="str">
        <f>IF($A672="","",IF($D672="V01",cad!$C$24,IF($D672="V02",cad!$D$24,cad!$E$24)))</f>
        <v/>
      </c>
      <c r="I672" t="str">
        <f>IF($A672="","",IF($D672="V01",cad!$C$32,IF($D672="V02",cad!$D$32,cad!$E$32)))</f>
        <v/>
      </c>
      <c r="J672" t="str">
        <f>IF($A672="","",IF($D672="V01",cad!$C$33,IF($D672="V02",cad!$D$33,cad!$E$33)))</f>
        <v/>
      </c>
      <c r="K672" t="str">
        <f>IF($A672="","",IF($D672="V01",cad!$C$34,IF($D672="V02",cad!$D$34,cad!$E$34)))</f>
        <v/>
      </c>
      <c r="L672" t="str">
        <f>IF($A672="","",IF($D672="V01",cad!$C$35,IF($D672="V02",cad!$D$35,cad!$E$35)))</f>
        <v/>
      </c>
      <c r="M672" t="str">
        <f>IF($A672="","",IF($D672="V01",cad!$C$36,IF($D672="V02",cad!$D$36,cad!$E$36)))</f>
        <v/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 t="str">
        <f>IF($A673="","",IF($D673="V01",cad!$C$23,IF($D673="V02",cad!$D$23,cad!$E$23)))</f>
        <v/>
      </c>
      <c r="H673" t="str">
        <f>IF($A673="","",IF($D673="V01",cad!$C$24,IF($D673="V02",cad!$D$24,cad!$E$24)))</f>
        <v/>
      </c>
      <c r="I673" t="str">
        <f>IF($A673="","",IF($D673="V01",cad!$C$32,IF($D673="V02",cad!$D$32,cad!$E$32)))</f>
        <v/>
      </c>
      <c r="J673" t="str">
        <f>IF($A673="","",IF($D673="V01",cad!$C$33,IF($D673="V02",cad!$D$33,cad!$E$33)))</f>
        <v/>
      </c>
      <c r="K673" t="str">
        <f>IF($A673="","",IF($D673="V01",cad!$C$34,IF($D673="V02",cad!$D$34,cad!$E$34)))</f>
        <v/>
      </c>
      <c r="L673" t="str">
        <f>IF($A673="","",IF($D673="V01",cad!$C$35,IF($D673="V02",cad!$D$35,cad!$E$35)))</f>
        <v/>
      </c>
      <c r="M673" t="str">
        <f>IF($A673="","",IF($D673="V01",cad!$C$36,IF($D673="V02",cad!$D$36,cad!$E$36)))</f>
        <v/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 t="str">
        <f>IF($A674="","",IF($D674="V01",cad!$C$23,IF($D674="V02",cad!$D$23,cad!$E$23)))</f>
        <v/>
      </c>
      <c r="H674" t="str">
        <f>IF($A674="","",IF($D674="V01",cad!$C$24,IF($D674="V02",cad!$D$24,cad!$E$24)))</f>
        <v/>
      </c>
      <c r="I674" t="str">
        <f>IF($A674="","",IF($D674="V01",cad!$C$32,IF($D674="V02",cad!$D$32,cad!$E$32)))</f>
        <v/>
      </c>
      <c r="J674" t="str">
        <f>IF($A674="","",IF($D674="V01",cad!$C$33,IF($D674="V02",cad!$D$33,cad!$E$33)))</f>
        <v/>
      </c>
      <c r="K674" t="str">
        <f>IF($A674="","",IF($D674="V01",cad!$C$34,IF($D674="V02",cad!$D$34,cad!$E$34)))</f>
        <v/>
      </c>
      <c r="L674" t="str">
        <f>IF($A674="","",IF($D674="V01",cad!$C$35,IF($D674="V02",cad!$D$35,cad!$E$35)))</f>
        <v/>
      </c>
      <c r="M674" t="str">
        <f>IF($A674="","",IF($D674="V01",cad!$C$36,IF($D674="V02",cad!$D$36,cad!$E$36)))</f>
        <v/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 t="str">
        <f>IF($A675="","",IF($D675="V01",cad!$C$23,IF($D675="V02",cad!$D$23,cad!$E$23)))</f>
        <v/>
      </c>
      <c r="H675" t="str">
        <f>IF($A675="","",IF($D675="V01",cad!$C$24,IF($D675="V02",cad!$D$24,cad!$E$24)))</f>
        <v/>
      </c>
      <c r="I675" t="str">
        <f>IF($A675="","",IF($D675="V01",cad!$C$32,IF($D675="V02",cad!$D$32,cad!$E$32)))</f>
        <v/>
      </c>
      <c r="J675" t="str">
        <f>IF($A675="","",IF($D675="V01",cad!$C$33,IF($D675="V02",cad!$D$33,cad!$E$33)))</f>
        <v/>
      </c>
      <c r="K675" t="str">
        <f>IF($A675="","",IF($D675="V01",cad!$C$34,IF($D675="V02",cad!$D$34,cad!$E$34)))</f>
        <v/>
      </c>
      <c r="L675" t="str">
        <f>IF($A675="","",IF($D675="V01",cad!$C$35,IF($D675="V02",cad!$D$35,cad!$E$35)))</f>
        <v/>
      </c>
      <c r="M675" t="str">
        <f>IF($A675="","",IF($D675="V01",cad!$C$36,IF($D675="V02",cad!$D$36,cad!$E$36)))</f>
        <v/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 t="str">
        <f>IF($A676="","",IF($D676="V01",cad!$C$23,IF($D676="V02",cad!$D$23,cad!$E$23)))</f>
        <v/>
      </c>
      <c r="H676" t="str">
        <f>IF($A676="","",IF($D676="V01",cad!$C$24,IF($D676="V02",cad!$D$24,cad!$E$24)))</f>
        <v/>
      </c>
      <c r="I676" t="str">
        <f>IF($A676="","",IF($D676="V01",cad!$C$32,IF($D676="V02",cad!$D$32,cad!$E$32)))</f>
        <v/>
      </c>
      <c r="J676" t="str">
        <f>IF($A676="","",IF($D676="V01",cad!$C$33,IF($D676="V02",cad!$D$33,cad!$E$33)))</f>
        <v/>
      </c>
      <c r="K676" t="str">
        <f>IF($A676="","",IF($D676="V01",cad!$C$34,IF($D676="V02",cad!$D$34,cad!$E$34)))</f>
        <v/>
      </c>
      <c r="L676" t="str">
        <f>IF($A676="","",IF($D676="V01",cad!$C$35,IF($D676="V02",cad!$D$35,cad!$E$35)))</f>
        <v/>
      </c>
      <c r="M676" t="str">
        <f>IF($A676="","",IF($D676="V01",cad!$C$36,IF($D676="V02",cad!$D$36,cad!$E$36)))</f>
        <v/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 t="str">
        <f>IF($A677="","",IF($D677="V01",cad!$C$23,IF($D677="V02",cad!$D$23,cad!$E$23)))</f>
        <v/>
      </c>
      <c r="H677" t="str">
        <f>IF($A677="","",IF($D677="V01",cad!$C$24,IF($D677="V02",cad!$D$24,cad!$E$24)))</f>
        <v/>
      </c>
      <c r="I677" t="str">
        <f>IF($A677="","",IF($D677="V01",cad!$C$32,IF($D677="V02",cad!$D$32,cad!$E$32)))</f>
        <v/>
      </c>
      <c r="J677" t="str">
        <f>IF($A677="","",IF($D677="V01",cad!$C$33,IF($D677="V02",cad!$D$33,cad!$E$33)))</f>
        <v/>
      </c>
      <c r="K677" t="str">
        <f>IF($A677="","",IF($D677="V01",cad!$C$34,IF($D677="V02",cad!$D$34,cad!$E$34)))</f>
        <v/>
      </c>
      <c r="L677" t="str">
        <f>IF($A677="","",IF($D677="V01",cad!$C$35,IF($D677="V02",cad!$D$35,cad!$E$35)))</f>
        <v/>
      </c>
      <c r="M677" t="str">
        <f>IF($A677="","",IF($D677="V01",cad!$C$36,IF($D677="V02",cad!$D$36,cad!$E$36)))</f>
        <v/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 t="str">
        <f>IF($A678="","",IF($D678="V01",cad!$C$23,IF($D678="V02",cad!$D$23,cad!$E$23)))</f>
        <v/>
      </c>
      <c r="H678" t="str">
        <f>IF($A678="","",IF($D678="V01",cad!$C$24,IF($D678="V02",cad!$D$24,cad!$E$24)))</f>
        <v/>
      </c>
      <c r="I678" t="str">
        <f>IF($A678="","",IF($D678="V01",cad!$C$32,IF($D678="V02",cad!$D$32,cad!$E$32)))</f>
        <v/>
      </c>
      <c r="J678" t="str">
        <f>IF($A678="","",IF($D678="V01",cad!$C$33,IF($D678="V02",cad!$D$33,cad!$E$33)))</f>
        <v/>
      </c>
      <c r="K678" t="str">
        <f>IF($A678="","",IF($D678="V01",cad!$C$34,IF($D678="V02",cad!$D$34,cad!$E$34)))</f>
        <v/>
      </c>
      <c r="L678" t="str">
        <f>IF($A678="","",IF($D678="V01",cad!$C$35,IF($D678="V02",cad!$D$35,cad!$E$35)))</f>
        <v/>
      </c>
      <c r="M678" t="str">
        <f>IF($A678="","",IF($D678="V01",cad!$C$36,IF($D678="V02",cad!$D$36,cad!$E$36)))</f>
        <v/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 t="str">
        <f>IF($A679="","",IF($D679="V01",cad!$C$23,IF($D679="V02",cad!$D$23,cad!$E$23)))</f>
        <v/>
      </c>
      <c r="H679" t="str">
        <f>IF($A679="","",IF($D679="V01",cad!$C$24,IF($D679="V02",cad!$D$24,cad!$E$24)))</f>
        <v/>
      </c>
      <c r="I679" t="str">
        <f>IF($A679="","",IF($D679="V01",cad!$C$32,IF($D679="V02",cad!$D$32,cad!$E$32)))</f>
        <v/>
      </c>
      <c r="J679" t="str">
        <f>IF($A679="","",IF($D679="V01",cad!$C$33,IF($D679="V02",cad!$D$33,cad!$E$33)))</f>
        <v/>
      </c>
      <c r="K679" t="str">
        <f>IF($A679="","",IF($D679="V01",cad!$C$34,IF($D679="V02",cad!$D$34,cad!$E$34)))</f>
        <v/>
      </c>
      <c r="L679" t="str">
        <f>IF($A679="","",IF($D679="V01",cad!$C$35,IF($D679="V02",cad!$D$35,cad!$E$35)))</f>
        <v/>
      </c>
      <c r="M679" t="str">
        <f>IF($A679="","",IF($D679="V01",cad!$C$36,IF($D679="V02",cad!$D$36,cad!$E$36)))</f>
        <v/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 t="str">
        <f>IF($A680="","",IF($D680="V01",cad!$C$23,IF($D680="V02",cad!$D$23,cad!$E$23)))</f>
        <v/>
      </c>
      <c r="H680" t="str">
        <f>IF($A680="","",IF($D680="V01",cad!$C$24,IF($D680="V02",cad!$D$24,cad!$E$24)))</f>
        <v/>
      </c>
      <c r="I680" t="str">
        <f>IF($A680="","",IF($D680="V01",cad!$C$32,IF($D680="V02",cad!$D$32,cad!$E$32)))</f>
        <v/>
      </c>
      <c r="J680" t="str">
        <f>IF($A680="","",IF($D680="V01",cad!$C$33,IF($D680="V02",cad!$D$33,cad!$E$33)))</f>
        <v/>
      </c>
      <c r="K680" t="str">
        <f>IF($A680="","",IF($D680="V01",cad!$C$34,IF($D680="V02",cad!$D$34,cad!$E$34)))</f>
        <v/>
      </c>
      <c r="L680" t="str">
        <f>IF($A680="","",IF($D680="V01",cad!$C$35,IF($D680="V02",cad!$D$35,cad!$E$35)))</f>
        <v/>
      </c>
      <c r="M680" t="str">
        <f>IF($A680="","",IF($D680="V01",cad!$C$36,IF($D680="V02",cad!$D$36,cad!$E$36)))</f>
        <v/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 t="str">
        <f>IF($A681="","",IF($D681="V01",cad!$C$23,IF($D681="V02",cad!$D$23,cad!$E$23)))</f>
        <v/>
      </c>
      <c r="H681" t="str">
        <f>IF($A681="","",IF($D681="V01",cad!$C$24,IF($D681="V02",cad!$D$24,cad!$E$24)))</f>
        <v/>
      </c>
      <c r="I681" t="str">
        <f>IF($A681="","",IF($D681="V01",cad!$C$32,IF($D681="V02",cad!$D$32,cad!$E$32)))</f>
        <v/>
      </c>
      <c r="J681" t="str">
        <f>IF($A681="","",IF($D681="V01",cad!$C$33,IF($D681="V02",cad!$D$33,cad!$E$33)))</f>
        <v/>
      </c>
      <c r="K681" t="str">
        <f>IF($A681="","",IF($D681="V01",cad!$C$34,IF($D681="V02",cad!$D$34,cad!$E$34)))</f>
        <v/>
      </c>
      <c r="L681" t="str">
        <f>IF($A681="","",IF($D681="V01",cad!$C$35,IF($D681="V02",cad!$D$35,cad!$E$35)))</f>
        <v/>
      </c>
      <c r="M681" t="str">
        <f>IF($A681="","",IF($D681="V01",cad!$C$36,IF($D681="V02",cad!$D$36,cad!$E$36)))</f>
        <v/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 t="str">
        <f>IF($A682="","",IF($D682="V01",cad!$C$23,IF($D682="V02",cad!$D$23,cad!$E$23)))</f>
        <v/>
      </c>
      <c r="H682" t="str">
        <f>IF($A682="","",IF($D682="V01",cad!$C$24,IF($D682="V02",cad!$D$24,cad!$E$24)))</f>
        <v/>
      </c>
      <c r="I682" t="str">
        <f>IF($A682="","",IF($D682="V01",cad!$C$32,IF($D682="V02",cad!$D$32,cad!$E$32)))</f>
        <v/>
      </c>
      <c r="J682" t="str">
        <f>IF($A682="","",IF($D682="V01",cad!$C$33,IF($D682="V02",cad!$D$33,cad!$E$33)))</f>
        <v/>
      </c>
      <c r="K682" t="str">
        <f>IF($A682="","",IF($D682="V01",cad!$C$34,IF($D682="V02",cad!$D$34,cad!$E$34)))</f>
        <v/>
      </c>
      <c r="L682" t="str">
        <f>IF($A682="","",IF($D682="V01",cad!$C$35,IF($D682="V02",cad!$D$35,cad!$E$35)))</f>
        <v/>
      </c>
      <c r="M682" t="str">
        <f>IF($A682="","",IF($D682="V01",cad!$C$36,IF($D682="V02",cad!$D$36,cad!$E$36)))</f>
        <v/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 t="str">
        <f>IF($A683="","",IF($D683="V01",cad!$C$23,IF($D683="V02",cad!$D$23,cad!$E$23)))</f>
        <v/>
      </c>
      <c r="H683" t="str">
        <f>IF($A683="","",IF($D683="V01",cad!$C$24,IF($D683="V02",cad!$D$24,cad!$E$24)))</f>
        <v/>
      </c>
      <c r="I683" t="str">
        <f>IF($A683="","",IF($D683="V01",cad!$C$32,IF($D683="V02",cad!$D$32,cad!$E$32)))</f>
        <v/>
      </c>
      <c r="J683" t="str">
        <f>IF($A683="","",IF($D683="V01",cad!$C$33,IF($D683="V02",cad!$D$33,cad!$E$33)))</f>
        <v/>
      </c>
      <c r="K683" t="str">
        <f>IF($A683="","",IF($D683="V01",cad!$C$34,IF($D683="V02",cad!$D$34,cad!$E$34)))</f>
        <v/>
      </c>
      <c r="L683" t="str">
        <f>IF($A683="","",IF($D683="V01",cad!$C$35,IF($D683="V02",cad!$D$35,cad!$E$35)))</f>
        <v/>
      </c>
      <c r="M683" t="str">
        <f>IF($A683="","",IF($D683="V01",cad!$C$36,IF($D683="V02",cad!$D$36,cad!$E$36)))</f>
        <v/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 t="str">
        <f>IF($A684="","",IF($D684="V01",cad!$C$23,IF($D684="V02",cad!$D$23,cad!$E$23)))</f>
        <v/>
      </c>
      <c r="H684" t="str">
        <f>IF($A684="","",IF($D684="V01",cad!$C$24,IF($D684="V02",cad!$D$24,cad!$E$24)))</f>
        <v/>
      </c>
      <c r="I684" t="str">
        <f>IF($A684="","",IF($D684="V01",cad!$C$32,IF($D684="V02",cad!$D$32,cad!$E$32)))</f>
        <v/>
      </c>
      <c r="J684" t="str">
        <f>IF($A684="","",IF($D684="V01",cad!$C$33,IF($D684="V02",cad!$D$33,cad!$E$33)))</f>
        <v/>
      </c>
      <c r="K684" t="str">
        <f>IF($A684="","",IF($D684="V01",cad!$C$34,IF($D684="V02",cad!$D$34,cad!$E$34)))</f>
        <v/>
      </c>
      <c r="L684" t="str">
        <f>IF($A684="","",IF($D684="V01",cad!$C$35,IF($D684="V02",cad!$D$35,cad!$E$35)))</f>
        <v/>
      </c>
      <c r="M684" t="str">
        <f>IF($A684="","",IF($D684="V01",cad!$C$36,IF($D684="V02",cad!$D$36,cad!$E$36)))</f>
        <v/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 t="str">
        <f>IF($A685="","",IF($D685="V01",cad!$C$23,IF($D685="V02",cad!$D$23,cad!$E$23)))</f>
        <v/>
      </c>
      <c r="H685" t="str">
        <f>IF($A685="","",IF($D685="V01",cad!$C$24,IF($D685="V02",cad!$D$24,cad!$E$24)))</f>
        <v/>
      </c>
      <c r="I685" t="str">
        <f>IF($A685="","",IF($D685="V01",cad!$C$32,IF($D685="V02",cad!$D$32,cad!$E$32)))</f>
        <v/>
      </c>
      <c r="J685" t="str">
        <f>IF($A685="","",IF($D685="V01",cad!$C$33,IF($D685="V02",cad!$D$33,cad!$E$33)))</f>
        <v/>
      </c>
      <c r="K685" t="str">
        <f>IF($A685="","",IF($D685="V01",cad!$C$34,IF($D685="V02",cad!$D$34,cad!$E$34)))</f>
        <v/>
      </c>
      <c r="L685" t="str">
        <f>IF($A685="","",IF($D685="V01",cad!$C$35,IF($D685="V02",cad!$D$35,cad!$E$35)))</f>
        <v/>
      </c>
      <c r="M685" t="str">
        <f>IF($A685="","",IF($D685="V01",cad!$C$36,IF($D685="V02",cad!$D$36,cad!$E$36)))</f>
        <v/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 t="str">
        <f>IF($A686="","",IF($D686="V01",cad!$C$23,IF($D686="V02",cad!$D$23,cad!$E$23)))</f>
        <v/>
      </c>
      <c r="H686" t="str">
        <f>IF($A686="","",IF($D686="V01",cad!$C$24,IF($D686="V02",cad!$D$24,cad!$E$24)))</f>
        <v/>
      </c>
      <c r="I686" t="str">
        <f>IF($A686="","",IF($D686="V01",cad!$C$32,IF($D686="V02",cad!$D$32,cad!$E$32)))</f>
        <v/>
      </c>
      <c r="J686" t="str">
        <f>IF($A686="","",IF($D686="V01",cad!$C$33,IF($D686="V02",cad!$D$33,cad!$E$33)))</f>
        <v/>
      </c>
      <c r="K686" t="str">
        <f>IF($A686="","",IF($D686="V01",cad!$C$34,IF($D686="V02",cad!$D$34,cad!$E$34)))</f>
        <v/>
      </c>
      <c r="L686" t="str">
        <f>IF($A686="","",IF($D686="V01",cad!$C$35,IF($D686="V02",cad!$D$35,cad!$E$35)))</f>
        <v/>
      </c>
      <c r="M686" t="str">
        <f>IF($A686="","",IF($D686="V01",cad!$C$36,IF($D686="V02",cad!$D$36,cad!$E$36)))</f>
        <v/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 t="str">
        <f>IF($A687="","",IF($D687="V01",cad!$C$23,IF($D687="V02",cad!$D$23,cad!$E$23)))</f>
        <v/>
      </c>
      <c r="H687" t="str">
        <f>IF($A687="","",IF($D687="V01",cad!$C$24,IF($D687="V02",cad!$D$24,cad!$E$24)))</f>
        <v/>
      </c>
      <c r="I687" t="str">
        <f>IF($A687="","",IF($D687="V01",cad!$C$32,IF($D687="V02",cad!$D$32,cad!$E$32)))</f>
        <v/>
      </c>
      <c r="J687" t="str">
        <f>IF($A687="","",IF($D687="V01",cad!$C$33,IF($D687="V02",cad!$D$33,cad!$E$33)))</f>
        <v/>
      </c>
      <c r="K687" t="str">
        <f>IF($A687="","",IF($D687="V01",cad!$C$34,IF($D687="V02",cad!$D$34,cad!$E$34)))</f>
        <v/>
      </c>
      <c r="L687" t="str">
        <f>IF($A687="","",IF($D687="V01",cad!$C$35,IF($D687="V02",cad!$D$35,cad!$E$35)))</f>
        <v/>
      </c>
      <c r="M687" t="str">
        <f>IF($A687="","",IF($D687="V01",cad!$C$36,IF($D687="V02",cad!$D$36,cad!$E$36)))</f>
        <v/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 t="str">
        <f>IF($A688="","",IF($D688="V01",cad!$C$23,IF($D688="V02",cad!$D$23,cad!$E$23)))</f>
        <v/>
      </c>
      <c r="H688" t="str">
        <f>IF($A688="","",IF($D688="V01",cad!$C$24,IF($D688="V02",cad!$D$24,cad!$E$24)))</f>
        <v/>
      </c>
      <c r="I688" t="str">
        <f>IF($A688="","",IF($D688="V01",cad!$C$32,IF($D688="V02",cad!$D$32,cad!$E$32)))</f>
        <v/>
      </c>
      <c r="J688" t="str">
        <f>IF($A688="","",IF($D688="V01",cad!$C$33,IF($D688="V02",cad!$D$33,cad!$E$33)))</f>
        <v/>
      </c>
      <c r="K688" t="str">
        <f>IF($A688="","",IF($D688="V01",cad!$C$34,IF($D688="V02",cad!$D$34,cad!$E$34)))</f>
        <v/>
      </c>
      <c r="L688" t="str">
        <f>IF($A688="","",IF($D688="V01",cad!$C$35,IF($D688="V02",cad!$D$35,cad!$E$35)))</f>
        <v/>
      </c>
      <c r="M688" t="str">
        <f>IF($A688="","",IF($D688="V01",cad!$C$36,IF($D688="V02",cad!$D$36,cad!$E$36)))</f>
        <v/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 t="str">
        <f>IF($A689="","",IF($D689="V01",cad!$C$23,IF($D689="V02",cad!$D$23,cad!$E$23)))</f>
        <v/>
      </c>
      <c r="H689" t="str">
        <f>IF($A689="","",IF($D689="V01",cad!$C$24,IF($D689="V02",cad!$D$24,cad!$E$24)))</f>
        <v/>
      </c>
      <c r="I689" t="str">
        <f>IF($A689="","",IF($D689="V01",cad!$C$32,IF($D689="V02",cad!$D$32,cad!$E$32)))</f>
        <v/>
      </c>
      <c r="J689" t="str">
        <f>IF($A689="","",IF($D689="V01",cad!$C$33,IF($D689="V02",cad!$D$33,cad!$E$33)))</f>
        <v/>
      </c>
      <c r="K689" t="str">
        <f>IF($A689="","",IF($D689="V01",cad!$C$34,IF($D689="V02",cad!$D$34,cad!$E$34)))</f>
        <v/>
      </c>
      <c r="L689" t="str">
        <f>IF($A689="","",IF($D689="V01",cad!$C$35,IF($D689="V02",cad!$D$35,cad!$E$35)))</f>
        <v/>
      </c>
      <c r="M689" t="str">
        <f>IF($A689="","",IF($D689="V01",cad!$C$36,IF($D689="V02",cad!$D$36,cad!$E$36)))</f>
        <v/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 t="str">
        <f>IF($A690="","",IF($D690="V01",cad!$C$23,IF($D690="V02",cad!$D$23,cad!$E$23)))</f>
        <v/>
      </c>
      <c r="H690" t="str">
        <f>IF($A690="","",IF($D690="V01",cad!$C$24,IF($D690="V02",cad!$D$24,cad!$E$24)))</f>
        <v/>
      </c>
      <c r="I690" t="str">
        <f>IF($A690="","",IF($D690="V01",cad!$C$32,IF($D690="V02",cad!$D$32,cad!$E$32)))</f>
        <v/>
      </c>
      <c r="J690" t="str">
        <f>IF($A690="","",IF($D690="V01",cad!$C$33,IF($D690="V02",cad!$D$33,cad!$E$33)))</f>
        <v/>
      </c>
      <c r="K690" t="str">
        <f>IF($A690="","",IF($D690="V01",cad!$C$34,IF($D690="V02",cad!$D$34,cad!$E$34)))</f>
        <v/>
      </c>
      <c r="L690" t="str">
        <f>IF($A690="","",IF($D690="V01",cad!$C$35,IF($D690="V02",cad!$D$35,cad!$E$35)))</f>
        <v/>
      </c>
      <c r="M690" t="str">
        <f>IF($A690="","",IF($D690="V01",cad!$C$36,IF($D690="V02",cad!$D$36,cad!$E$36)))</f>
        <v/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 t="str">
        <f>IF($A691="","",IF($D691="V01",cad!$C$23,IF($D691="V02",cad!$D$23,cad!$E$23)))</f>
        <v/>
      </c>
      <c r="H691" t="str">
        <f>IF($A691="","",IF($D691="V01",cad!$C$24,IF($D691="V02",cad!$D$24,cad!$E$24)))</f>
        <v/>
      </c>
      <c r="I691" t="str">
        <f>IF($A691="","",IF($D691="V01",cad!$C$32,IF($D691="V02",cad!$D$32,cad!$E$32)))</f>
        <v/>
      </c>
      <c r="J691" t="str">
        <f>IF($A691="","",IF($D691="V01",cad!$C$33,IF($D691="V02",cad!$D$33,cad!$E$33)))</f>
        <v/>
      </c>
      <c r="K691" t="str">
        <f>IF($A691="","",IF($D691="V01",cad!$C$34,IF($D691="V02",cad!$D$34,cad!$E$34)))</f>
        <v/>
      </c>
      <c r="L691" t="str">
        <f>IF($A691="","",IF($D691="V01",cad!$C$35,IF($D691="V02",cad!$D$35,cad!$E$35)))</f>
        <v/>
      </c>
      <c r="M691" t="str">
        <f>IF($A691="","",IF($D691="V01",cad!$C$36,IF($D691="V02",cad!$D$36,cad!$E$36)))</f>
        <v/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 t="str">
        <f>IF($A692="","",IF($D692="V01",cad!$C$23,IF($D692="V02",cad!$D$23,cad!$E$23)))</f>
        <v/>
      </c>
      <c r="H692" t="str">
        <f>IF($A692="","",IF($D692="V01",cad!$C$24,IF($D692="V02",cad!$D$24,cad!$E$24)))</f>
        <v/>
      </c>
      <c r="I692" t="str">
        <f>IF($A692="","",IF($D692="V01",cad!$C$32,IF($D692="V02",cad!$D$32,cad!$E$32)))</f>
        <v/>
      </c>
      <c r="J692" t="str">
        <f>IF($A692="","",IF($D692="V01",cad!$C$33,IF($D692="V02",cad!$D$33,cad!$E$33)))</f>
        <v/>
      </c>
      <c r="K692" t="str">
        <f>IF($A692="","",IF($D692="V01",cad!$C$34,IF($D692="V02",cad!$D$34,cad!$E$34)))</f>
        <v/>
      </c>
      <c r="L692" t="str">
        <f>IF($A692="","",IF($D692="V01",cad!$C$35,IF($D692="V02",cad!$D$35,cad!$E$35)))</f>
        <v/>
      </c>
      <c r="M692" t="str">
        <f>IF($A692="","",IF($D692="V01",cad!$C$36,IF($D692="V02",cad!$D$36,cad!$E$36)))</f>
        <v/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 t="str">
        <f>IF($A693="","",IF($D693="V01",cad!$C$23,IF($D693="V02",cad!$D$23,cad!$E$23)))</f>
        <v/>
      </c>
      <c r="H693" t="str">
        <f>IF($A693="","",IF($D693="V01",cad!$C$24,IF($D693="V02",cad!$D$24,cad!$E$24)))</f>
        <v/>
      </c>
      <c r="I693" t="str">
        <f>IF($A693="","",IF($D693="V01",cad!$C$32,IF($D693="V02",cad!$D$32,cad!$E$32)))</f>
        <v/>
      </c>
      <c r="J693" t="str">
        <f>IF($A693="","",IF($D693="V01",cad!$C$33,IF($D693="V02",cad!$D$33,cad!$E$33)))</f>
        <v/>
      </c>
      <c r="K693" t="str">
        <f>IF($A693="","",IF($D693="V01",cad!$C$34,IF($D693="V02",cad!$D$34,cad!$E$34)))</f>
        <v/>
      </c>
      <c r="L693" t="str">
        <f>IF($A693="","",IF($D693="V01",cad!$C$35,IF($D693="V02",cad!$D$35,cad!$E$35)))</f>
        <v/>
      </c>
      <c r="M693" t="str">
        <f>IF($A693="","",IF($D693="V01",cad!$C$36,IF($D693="V02",cad!$D$36,cad!$E$36)))</f>
        <v/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 t="str">
        <f>IF($A694="","",IF($D694="V01",cad!$C$23,IF($D694="V02",cad!$D$23,cad!$E$23)))</f>
        <v/>
      </c>
      <c r="H694" t="str">
        <f>IF($A694="","",IF($D694="V01",cad!$C$24,IF($D694="V02",cad!$D$24,cad!$E$24)))</f>
        <v/>
      </c>
      <c r="I694" t="str">
        <f>IF($A694="","",IF($D694="V01",cad!$C$32,IF($D694="V02",cad!$D$32,cad!$E$32)))</f>
        <v/>
      </c>
      <c r="J694" t="str">
        <f>IF($A694="","",IF($D694="V01",cad!$C$33,IF($D694="V02",cad!$D$33,cad!$E$33)))</f>
        <v/>
      </c>
      <c r="K694" t="str">
        <f>IF($A694="","",IF($D694="V01",cad!$C$34,IF($D694="V02",cad!$D$34,cad!$E$34)))</f>
        <v/>
      </c>
      <c r="L694" t="str">
        <f>IF($A694="","",IF($D694="V01",cad!$C$35,IF($D694="V02",cad!$D$35,cad!$E$35)))</f>
        <v/>
      </c>
      <c r="M694" t="str">
        <f>IF($A694="","",IF($D694="V01",cad!$C$36,IF($D694="V02",cad!$D$36,cad!$E$36)))</f>
        <v/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 t="str">
        <f>IF($A695="","",IF($D695="V01",cad!$C$23,IF($D695="V02",cad!$D$23,cad!$E$23)))</f>
        <v/>
      </c>
      <c r="H695" t="str">
        <f>IF($A695="","",IF($D695="V01",cad!$C$24,IF($D695="V02",cad!$D$24,cad!$E$24)))</f>
        <v/>
      </c>
      <c r="I695" t="str">
        <f>IF($A695="","",IF($D695="V01",cad!$C$32,IF($D695="V02",cad!$D$32,cad!$E$32)))</f>
        <v/>
      </c>
      <c r="J695" t="str">
        <f>IF($A695="","",IF($D695="V01",cad!$C$33,IF($D695="V02",cad!$D$33,cad!$E$33)))</f>
        <v/>
      </c>
      <c r="K695" t="str">
        <f>IF($A695="","",IF($D695="V01",cad!$C$34,IF($D695="V02",cad!$D$34,cad!$E$34)))</f>
        <v/>
      </c>
      <c r="L695" t="str">
        <f>IF($A695="","",IF($D695="V01",cad!$C$35,IF($D695="V02",cad!$D$35,cad!$E$35)))</f>
        <v/>
      </c>
      <c r="M695" t="str">
        <f>IF($A695="","",IF($D695="V01",cad!$C$36,IF($D695="V02",cad!$D$36,cad!$E$36)))</f>
        <v/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 t="str">
        <f>IF($A696="","",IF($D696="V01",cad!$C$23,IF($D696="V02",cad!$D$23,cad!$E$23)))</f>
        <v/>
      </c>
      <c r="H696" t="str">
        <f>IF($A696="","",IF($D696="V01",cad!$C$24,IF($D696="V02",cad!$D$24,cad!$E$24)))</f>
        <v/>
      </c>
      <c r="I696" t="str">
        <f>IF($A696="","",IF($D696="V01",cad!$C$32,IF($D696="V02",cad!$D$32,cad!$E$32)))</f>
        <v/>
      </c>
      <c r="J696" t="str">
        <f>IF($A696="","",IF($D696="V01",cad!$C$33,IF($D696="V02",cad!$D$33,cad!$E$33)))</f>
        <v/>
      </c>
      <c r="K696" t="str">
        <f>IF($A696="","",IF($D696="V01",cad!$C$34,IF($D696="V02",cad!$D$34,cad!$E$34)))</f>
        <v/>
      </c>
      <c r="L696" t="str">
        <f>IF($A696="","",IF($D696="V01",cad!$C$35,IF($D696="V02",cad!$D$35,cad!$E$35)))</f>
        <v/>
      </c>
      <c r="M696" t="str">
        <f>IF($A696="","",IF($D696="V01",cad!$C$36,IF($D696="V02",cad!$D$36,cad!$E$36)))</f>
        <v/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 t="str">
        <f>IF($A697="","",IF($D697="V01",cad!$C$23,IF($D697="V02",cad!$D$23,cad!$E$23)))</f>
        <v/>
      </c>
      <c r="H697" t="str">
        <f>IF($A697="","",IF($D697="V01",cad!$C$24,IF($D697="V02",cad!$D$24,cad!$E$24)))</f>
        <v/>
      </c>
      <c r="I697" t="str">
        <f>IF($A697="","",IF($D697="V01",cad!$C$32,IF($D697="V02",cad!$D$32,cad!$E$32)))</f>
        <v/>
      </c>
      <c r="J697" t="str">
        <f>IF($A697="","",IF($D697="V01",cad!$C$33,IF($D697="V02",cad!$D$33,cad!$E$33)))</f>
        <v/>
      </c>
      <c r="K697" t="str">
        <f>IF($A697="","",IF($D697="V01",cad!$C$34,IF($D697="V02",cad!$D$34,cad!$E$34)))</f>
        <v/>
      </c>
      <c r="L697" t="str">
        <f>IF($A697="","",IF($D697="V01",cad!$C$35,IF($D697="V02",cad!$D$35,cad!$E$35)))</f>
        <v/>
      </c>
      <c r="M697" t="str">
        <f>IF($A697="","",IF($D697="V01",cad!$C$36,IF($D697="V02",cad!$D$36,cad!$E$36)))</f>
        <v/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 t="str">
        <f>IF($A698="","",IF($D698="V01",cad!$C$23,IF($D698="V02",cad!$D$23,cad!$E$23)))</f>
        <v/>
      </c>
      <c r="H698" t="str">
        <f>IF($A698="","",IF($D698="V01",cad!$C$24,IF($D698="V02",cad!$D$24,cad!$E$24)))</f>
        <v/>
      </c>
      <c r="I698" t="str">
        <f>IF($A698="","",IF($D698="V01",cad!$C$32,IF($D698="V02",cad!$D$32,cad!$E$32)))</f>
        <v/>
      </c>
      <c r="J698" t="str">
        <f>IF($A698="","",IF($D698="V01",cad!$C$33,IF($D698="V02",cad!$D$33,cad!$E$33)))</f>
        <v/>
      </c>
      <c r="K698" t="str">
        <f>IF($A698="","",IF($D698="V01",cad!$C$34,IF($D698="V02",cad!$D$34,cad!$E$34)))</f>
        <v/>
      </c>
      <c r="L698" t="str">
        <f>IF($A698="","",IF($D698="V01",cad!$C$35,IF($D698="V02",cad!$D$35,cad!$E$35)))</f>
        <v/>
      </c>
      <c r="M698" t="str">
        <f>IF($A698="","",IF($D698="V01",cad!$C$36,IF($D698="V02",cad!$D$36,cad!$E$36)))</f>
        <v/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 t="str">
        <f>IF($A699="","",IF($D699="V01",cad!$C$23,IF($D699="V02",cad!$D$23,cad!$E$23)))</f>
        <v/>
      </c>
      <c r="H699" t="str">
        <f>IF($A699="","",IF($D699="V01",cad!$C$24,IF($D699="V02",cad!$D$24,cad!$E$24)))</f>
        <v/>
      </c>
      <c r="I699" t="str">
        <f>IF($A699="","",IF($D699="V01",cad!$C$32,IF($D699="V02",cad!$D$32,cad!$E$32)))</f>
        <v/>
      </c>
      <c r="J699" t="str">
        <f>IF($A699="","",IF($D699="V01",cad!$C$33,IF($D699="V02",cad!$D$33,cad!$E$33)))</f>
        <v/>
      </c>
      <c r="K699" t="str">
        <f>IF($A699="","",IF($D699="V01",cad!$C$34,IF($D699="V02",cad!$D$34,cad!$E$34)))</f>
        <v/>
      </c>
      <c r="L699" t="str">
        <f>IF($A699="","",IF($D699="V01",cad!$C$35,IF($D699="V02",cad!$D$35,cad!$E$35)))</f>
        <v/>
      </c>
      <c r="M699" t="str">
        <f>IF($A699="","",IF($D699="V01",cad!$C$36,IF($D699="V02",cad!$D$36,cad!$E$36)))</f>
        <v/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 t="str">
        <f>IF($A700="","",IF($D700="V01",cad!$C$23,IF($D700="V02",cad!$D$23,cad!$E$23)))</f>
        <v/>
      </c>
      <c r="H700" t="str">
        <f>IF($A700="","",IF($D700="V01",cad!$C$24,IF($D700="V02",cad!$D$24,cad!$E$24)))</f>
        <v/>
      </c>
      <c r="I700" t="str">
        <f>IF($A700="","",IF($D700="V01",cad!$C$32,IF($D700="V02",cad!$D$32,cad!$E$32)))</f>
        <v/>
      </c>
      <c r="J700" t="str">
        <f>IF($A700="","",IF($D700="V01",cad!$C$33,IF($D700="V02",cad!$D$33,cad!$E$33)))</f>
        <v/>
      </c>
      <c r="K700" t="str">
        <f>IF($A700="","",IF($D700="V01",cad!$C$34,IF($D700="V02",cad!$D$34,cad!$E$34)))</f>
        <v/>
      </c>
      <c r="L700" t="str">
        <f>IF($A700="","",IF($D700="V01",cad!$C$35,IF($D700="V02",cad!$D$35,cad!$E$35)))</f>
        <v/>
      </c>
      <c r="M700" t="str">
        <f>IF($A700="","",IF($D700="V01",cad!$C$36,IF($D700="V02",cad!$D$36,cad!$E$36)))</f>
        <v/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 t="str">
        <f>IF($A701="","",IF($D701="V01",cad!$C$23,IF($D701="V02",cad!$D$23,cad!$E$23)))</f>
        <v/>
      </c>
      <c r="H701" t="str">
        <f>IF($A701="","",IF($D701="V01",cad!$C$24,IF($D701="V02",cad!$D$24,cad!$E$24)))</f>
        <v/>
      </c>
      <c r="I701" t="str">
        <f>IF($A701="","",IF($D701="V01",cad!$C$32,IF($D701="V02",cad!$D$32,cad!$E$32)))</f>
        <v/>
      </c>
      <c r="J701" t="str">
        <f>IF($A701="","",IF($D701="V01",cad!$C$33,IF($D701="V02",cad!$D$33,cad!$E$33)))</f>
        <v/>
      </c>
      <c r="K701" t="str">
        <f>IF($A701="","",IF($D701="V01",cad!$C$34,IF($D701="V02",cad!$D$34,cad!$E$34)))</f>
        <v/>
      </c>
      <c r="L701" t="str">
        <f>IF($A701="","",IF($D701="V01",cad!$C$35,IF($D701="V02",cad!$D$35,cad!$E$35)))</f>
        <v/>
      </c>
      <c r="M701" t="str">
        <f>IF($A701="","",IF($D701="V01",cad!$C$36,IF($D701="V02",cad!$D$36,cad!$E$36)))</f>
        <v/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 t="str">
        <f>IF($A702="","",IF($D702="V01",cad!$C$23,IF($D702="V02",cad!$D$23,cad!$E$23)))</f>
        <v/>
      </c>
      <c r="H702" t="str">
        <f>IF($A702="","",IF($D702="V01",cad!$C$24,IF($D702="V02",cad!$D$24,cad!$E$24)))</f>
        <v/>
      </c>
      <c r="I702" t="str">
        <f>IF($A702="","",IF($D702="V01",cad!$C$32,IF($D702="V02",cad!$D$32,cad!$E$32)))</f>
        <v/>
      </c>
      <c r="J702" t="str">
        <f>IF($A702="","",IF($D702="V01",cad!$C$33,IF($D702="V02",cad!$D$33,cad!$E$33)))</f>
        <v/>
      </c>
      <c r="K702" t="str">
        <f>IF($A702="","",IF($D702="V01",cad!$C$34,IF($D702="V02",cad!$D$34,cad!$E$34)))</f>
        <v/>
      </c>
      <c r="L702" t="str">
        <f>IF($A702="","",IF($D702="V01",cad!$C$35,IF($D702="V02",cad!$D$35,cad!$E$35)))</f>
        <v/>
      </c>
      <c r="M702" t="str">
        <f>IF($A702="","",IF($D702="V01",cad!$C$36,IF($D702="V02",cad!$D$36,cad!$E$36)))</f>
        <v/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 t="str">
        <f>IF($A703="","",IF($D703="V01",cad!$C$23,IF($D703="V02",cad!$D$23,cad!$E$23)))</f>
        <v/>
      </c>
      <c r="H703" t="str">
        <f>IF($A703="","",IF($D703="V01",cad!$C$24,IF($D703="V02",cad!$D$24,cad!$E$24)))</f>
        <v/>
      </c>
      <c r="I703" t="str">
        <f>IF($A703="","",IF($D703="V01",cad!$C$32,IF($D703="V02",cad!$D$32,cad!$E$32)))</f>
        <v/>
      </c>
      <c r="J703" t="str">
        <f>IF($A703="","",IF($D703="V01",cad!$C$33,IF($D703="V02",cad!$D$33,cad!$E$33)))</f>
        <v/>
      </c>
      <c r="K703" t="str">
        <f>IF($A703="","",IF($D703="V01",cad!$C$34,IF($D703="V02",cad!$D$34,cad!$E$34)))</f>
        <v/>
      </c>
      <c r="L703" t="str">
        <f>IF($A703="","",IF($D703="V01",cad!$C$35,IF($D703="V02",cad!$D$35,cad!$E$35)))</f>
        <v/>
      </c>
      <c r="M703" t="str">
        <f>IF($A703="","",IF($D703="V01",cad!$C$36,IF($D703="V02",cad!$D$36,cad!$E$36)))</f>
        <v/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 t="str">
        <f>IF($A704="","",IF($D704="V01",cad!$C$23,IF($D704="V02",cad!$D$23,cad!$E$23)))</f>
        <v/>
      </c>
      <c r="H704" t="str">
        <f>IF($A704="","",IF($D704="V01",cad!$C$24,IF($D704="V02",cad!$D$24,cad!$E$24)))</f>
        <v/>
      </c>
      <c r="I704" t="str">
        <f>IF($A704="","",IF($D704="V01",cad!$C$32,IF($D704="V02",cad!$D$32,cad!$E$32)))</f>
        <v/>
      </c>
      <c r="J704" t="str">
        <f>IF($A704="","",IF($D704="V01",cad!$C$33,IF($D704="V02",cad!$D$33,cad!$E$33)))</f>
        <v/>
      </c>
      <c r="K704" t="str">
        <f>IF($A704="","",IF($D704="V01",cad!$C$34,IF($D704="V02",cad!$D$34,cad!$E$34)))</f>
        <v/>
      </c>
      <c r="L704" t="str">
        <f>IF($A704="","",IF($D704="V01",cad!$C$35,IF($D704="V02",cad!$D$35,cad!$E$35)))</f>
        <v/>
      </c>
      <c r="M704" t="str">
        <f>IF($A704="","",IF($D704="V01",cad!$C$36,IF($D704="V02",cad!$D$36,cad!$E$36)))</f>
        <v/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 t="str">
        <f>IF($A705="","",IF($D705="V01",cad!$C$23,IF($D705="V02",cad!$D$23,cad!$E$23)))</f>
        <v/>
      </c>
      <c r="H705" t="str">
        <f>IF($A705="","",IF($D705="V01",cad!$C$24,IF($D705="V02",cad!$D$24,cad!$E$24)))</f>
        <v/>
      </c>
      <c r="I705" t="str">
        <f>IF($A705="","",IF($D705="V01",cad!$C$32,IF($D705="V02",cad!$D$32,cad!$E$32)))</f>
        <v/>
      </c>
      <c r="J705" t="str">
        <f>IF($A705="","",IF($D705="V01",cad!$C$33,IF($D705="V02",cad!$D$33,cad!$E$33)))</f>
        <v/>
      </c>
      <c r="K705" t="str">
        <f>IF($A705="","",IF($D705="V01",cad!$C$34,IF($D705="V02",cad!$D$34,cad!$E$34)))</f>
        <v/>
      </c>
      <c r="L705" t="str">
        <f>IF($A705="","",IF($D705="V01",cad!$C$35,IF($D705="V02",cad!$D$35,cad!$E$35)))</f>
        <v/>
      </c>
      <c r="M705" t="str">
        <f>IF($A705="","",IF($D705="V01",cad!$C$36,IF($D705="V02",cad!$D$36,cad!$E$36)))</f>
        <v/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 t="str">
        <f>IF($A706="","",IF($D706="V01",cad!$C$23,IF($D706="V02",cad!$D$23,cad!$E$23)))</f>
        <v/>
      </c>
      <c r="H706" t="str">
        <f>IF($A706="","",IF($D706="V01",cad!$C$24,IF($D706="V02",cad!$D$24,cad!$E$24)))</f>
        <v/>
      </c>
      <c r="I706" t="str">
        <f>IF($A706="","",IF($D706="V01",cad!$C$32,IF($D706="V02",cad!$D$32,cad!$E$32)))</f>
        <v/>
      </c>
      <c r="J706" t="str">
        <f>IF($A706="","",IF($D706="V01",cad!$C$33,IF($D706="V02",cad!$D$33,cad!$E$33)))</f>
        <v/>
      </c>
      <c r="K706" t="str">
        <f>IF($A706="","",IF($D706="V01",cad!$C$34,IF($D706="V02",cad!$D$34,cad!$E$34)))</f>
        <v/>
      </c>
      <c r="L706" t="str">
        <f>IF($A706="","",IF($D706="V01",cad!$C$35,IF($D706="V02",cad!$D$35,cad!$E$35)))</f>
        <v/>
      </c>
      <c r="M706" t="str">
        <f>IF($A706="","",IF($D706="V01",cad!$C$36,IF($D706="V02",cad!$D$36,cad!$E$36)))</f>
        <v/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 t="str">
        <f>IF($A707="","",IF($D707="V01",cad!$C$23,IF($D707="V02",cad!$D$23,cad!$E$23)))</f>
        <v/>
      </c>
      <c r="H707" t="str">
        <f>IF($A707="","",IF($D707="V01",cad!$C$24,IF($D707="V02",cad!$D$24,cad!$E$24)))</f>
        <v/>
      </c>
      <c r="I707" t="str">
        <f>IF($A707="","",IF($D707="V01",cad!$C$32,IF($D707="V02",cad!$D$32,cad!$E$32)))</f>
        <v/>
      </c>
      <c r="J707" t="str">
        <f>IF($A707="","",IF($D707="V01",cad!$C$33,IF($D707="V02",cad!$D$33,cad!$E$33)))</f>
        <v/>
      </c>
      <c r="K707" t="str">
        <f>IF($A707="","",IF($D707="V01",cad!$C$34,IF($D707="V02",cad!$D$34,cad!$E$34)))</f>
        <v/>
      </c>
      <c r="L707" t="str">
        <f>IF($A707="","",IF($D707="V01",cad!$C$35,IF($D707="V02",cad!$D$35,cad!$E$35)))</f>
        <v/>
      </c>
      <c r="M707" t="str">
        <f>IF($A707="","",IF($D707="V01",cad!$C$36,IF($D707="V02",cad!$D$36,cad!$E$36)))</f>
        <v/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 t="str">
        <f>IF($A708="","",IF($D708="V01",cad!$C$23,IF($D708="V02",cad!$D$23,cad!$E$23)))</f>
        <v/>
      </c>
      <c r="H708" t="str">
        <f>IF($A708="","",IF($D708="V01",cad!$C$24,IF($D708="V02",cad!$D$24,cad!$E$24)))</f>
        <v/>
      </c>
      <c r="I708" t="str">
        <f>IF($A708="","",IF($D708="V01",cad!$C$32,IF($D708="V02",cad!$D$32,cad!$E$32)))</f>
        <v/>
      </c>
      <c r="J708" t="str">
        <f>IF($A708="","",IF($D708="V01",cad!$C$33,IF($D708="V02",cad!$D$33,cad!$E$33)))</f>
        <v/>
      </c>
      <c r="K708" t="str">
        <f>IF($A708="","",IF($D708="V01",cad!$C$34,IF($D708="V02",cad!$D$34,cad!$E$34)))</f>
        <v/>
      </c>
      <c r="L708" t="str">
        <f>IF($A708="","",IF($D708="V01",cad!$C$35,IF($D708="V02",cad!$D$35,cad!$E$35)))</f>
        <v/>
      </c>
      <c r="M708" t="str">
        <f>IF($A708="","",IF($D708="V01",cad!$C$36,IF($D708="V02",cad!$D$36,cad!$E$36)))</f>
        <v/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 t="str">
        <f>IF($A709="","",IF($D709="V01",cad!$C$23,IF($D709="V02",cad!$D$23,cad!$E$23)))</f>
        <v/>
      </c>
      <c r="H709" t="str">
        <f>IF($A709="","",IF($D709="V01",cad!$C$24,IF($D709="V02",cad!$D$24,cad!$E$24)))</f>
        <v/>
      </c>
      <c r="I709" t="str">
        <f>IF($A709="","",IF($D709="V01",cad!$C$32,IF($D709="V02",cad!$D$32,cad!$E$32)))</f>
        <v/>
      </c>
      <c r="J709" t="str">
        <f>IF($A709="","",IF($D709="V01",cad!$C$33,IF($D709="V02",cad!$D$33,cad!$E$33)))</f>
        <v/>
      </c>
      <c r="K709" t="str">
        <f>IF($A709="","",IF($D709="V01",cad!$C$34,IF($D709="V02",cad!$D$34,cad!$E$34)))</f>
        <v/>
      </c>
      <c r="L709" t="str">
        <f>IF($A709="","",IF($D709="V01",cad!$C$35,IF($D709="V02",cad!$D$35,cad!$E$35)))</f>
        <v/>
      </c>
      <c r="M709" t="str">
        <f>IF($A709="","",IF($D709="V01",cad!$C$36,IF($D709="V02",cad!$D$36,cad!$E$36)))</f>
        <v/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 t="str">
        <f>IF($A710="","",IF($D710="V01",cad!$C$23,IF($D710="V02",cad!$D$23,cad!$E$23)))</f>
        <v/>
      </c>
      <c r="H710" t="str">
        <f>IF($A710="","",IF($D710="V01",cad!$C$24,IF($D710="V02",cad!$D$24,cad!$E$24)))</f>
        <v/>
      </c>
      <c r="I710" t="str">
        <f>IF($A710="","",IF($D710="V01",cad!$C$32,IF($D710="V02",cad!$D$32,cad!$E$32)))</f>
        <v/>
      </c>
      <c r="J710" t="str">
        <f>IF($A710="","",IF($D710="V01",cad!$C$33,IF($D710="V02",cad!$D$33,cad!$E$33)))</f>
        <v/>
      </c>
      <c r="K710" t="str">
        <f>IF($A710="","",IF($D710="V01",cad!$C$34,IF($D710="V02",cad!$D$34,cad!$E$34)))</f>
        <v/>
      </c>
      <c r="L710" t="str">
        <f>IF($A710="","",IF($D710="V01",cad!$C$35,IF($D710="V02",cad!$D$35,cad!$E$35)))</f>
        <v/>
      </c>
      <c r="M710" t="str">
        <f>IF($A710="","",IF($D710="V01",cad!$C$36,IF($D710="V02",cad!$D$36,cad!$E$36)))</f>
        <v/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 t="str">
        <f>IF($A711="","",IF($D711="V01",cad!$C$23,IF($D711="V02",cad!$D$23,cad!$E$23)))</f>
        <v/>
      </c>
      <c r="H711" t="str">
        <f>IF($A711="","",IF($D711="V01",cad!$C$24,IF($D711="V02",cad!$D$24,cad!$E$24)))</f>
        <v/>
      </c>
      <c r="I711" t="str">
        <f>IF($A711="","",IF($D711="V01",cad!$C$32,IF($D711="V02",cad!$D$32,cad!$E$32)))</f>
        <v/>
      </c>
      <c r="J711" t="str">
        <f>IF($A711="","",IF($D711="V01",cad!$C$33,IF($D711="V02",cad!$D$33,cad!$E$33)))</f>
        <v/>
      </c>
      <c r="K711" t="str">
        <f>IF($A711="","",IF($D711="V01",cad!$C$34,IF($D711="V02",cad!$D$34,cad!$E$34)))</f>
        <v/>
      </c>
      <c r="L711" t="str">
        <f>IF($A711="","",IF($D711="V01",cad!$C$35,IF($D711="V02",cad!$D$35,cad!$E$35)))</f>
        <v/>
      </c>
      <c r="M711" t="str">
        <f>IF($A711="","",IF($D711="V01",cad!$C$36,IF($D711="V02",cad!$D$36,cad!$E$36)))</f>
        <v/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 t="str">
        <f>IF($A712="","",IF($D712="V01",cad!$C$23,IF($D712="V02",cad!$D$23,cad!$E$23)))</f>
        <v/>
      </c>
      <c r="H712" t="str">
        <f>IF($A712="","",IF($D712="V01",cad!$C$24,IF($D712="V02",cad!$D$24,cad!$E$24)))</f>
        <v/>
      </c>
      <c r="I712" t="str">
        <f>IF($A712="","",IF($D712="V01",cad!$C$32,IF($D712="V02",cad!$D$32,cad!$E$32)))</f>
        <v/>
      </c>
      <c r="J712" t="str">
        <f>IF($A712="","",IF($D712="V01",cad!$C$33,IF($D712="V02",cad!$D$33,cad!$E$33)))</f>
        <v/>
      </c>
      <c r="K712" t="str">
        <f>IF($A712="","",IF($D712="V01",cad!$C$34,IF($D712="V02",cad!$D$34,cad!$E$34)))</f>
        <v/>
      </c>
      <c r="L712" t="str">
        <f>IF($A712="","",IF($D712="V01",cad!$C$35,IF($D712="V02",cad!$D$35,cad!$E$35)))</f>
        <v/>
      </c>
      <c r="M712" t="str">
        <f>IF($A712="","",IF($D712="V01",cad!$C$36,IF($D712="V02",cad!$D$36,cad!$E$36)))</f>
        <v/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 t="str">
        <f>IF($A713="","",IF($D713="V01",cad!$C$23,IF($D713="V02",cad!$D$23,cad!$E$23)))</f>
        <v/>
      </c>
      <c r="H713" t="str">
        <f>IF($A713="","",IF($D713="V01",cad!$C$24,IF($D713="V02",cad!$D$24,cad!$E$24)))</f>
        <v/>
      </c>
      <c r="I713" t="str">
        <f>IF($A713="","",IF($D713="V01",cad!$C$32,IF($D713="V02",cad!$D$32,cad!$E$32)))</f>
        <v/>
      </c>
      <c r="J713" t="str">
        <f>IF($A713="","",IF($D713="V01",cad!$C$33,IF($D713="V02",cad!$D$33,cad!$E$33)))</f>
        <v/>
      </c>
      <c r="K713" t="str">
        <f>IF($A713="","",IF($D713="V01",cad!$C$34,IF($D713="V02",cad!$D$34,cad!$E$34)))</f>
        <v/>
      </c>
      <c r="L713" t="str">
        <f>IF($A713="","",IF($D713="V01",cad!$C$35,IF($D713="V02",cad!$D$35,cad!$E$35)))</f>
        <v/>
      </c>
      <c r="M713" t="str">
        <f>IF($A713="","",IF($D713="V01",cad!$C$36,IF($D713="V02",cad!$D$36,cad!$E$36)))</f>
        <v/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 t="str">
        <f>IF($A714="","",IF($D714="V01",cad!$C$23,IF($D714="V02",cad!$D$23,cad!$E$23)))</f>
        <v/>
      </c>
      <c r="H714" t="str">
        <f>IF($A714="","",IF($D714="V01",cad!$C$24,IF($D714="V02",cad!$D$24,cad!$E$24)))</f>
        <v/>
      </c>
      <c r="I714" t="str">
        <f>IF($A714="","",IF($D714="V01",cad!$C$32,IF($D714="V02",cad!$D$32,cad!$E$32)))</f>
        <v/>
      </c>
      <c r="J714" t="str">
        <f>IF($A714="","",IF($D714="V01",cad!$C$33,IF($D714="V02",cad!$D$33,cad!$E$33)))</f>
        <v/>
      </c>
      <c r="K714" t="str">
        <f>IF($A714="","",IF($D714="V01",cad!$C$34,IF($D714="V02",cad!$D$34,cad!$E$34)))</f>
        <v/>
      </c>
      <c r="L714" t="str">
        <f>IF($A714="","",IF($D714="V01",cad!$C$35,IF($D714="V02",cad!$D$35,cad!$E$35)))</f>
        <v/>
      </c>
      <c r="M714" t="str">
        <f>IF($A714="","",IF($D714="V01",cad!$C$36,IF($D714="V02",cad!$D$36,cad!$E$36)))</f>
        <v/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 t="str">
        <f>IF($A715="","",IF($D715="V01",cad!$C$23,IF($D715="V02",cad!$D$23,cad!$E$23)))</f>
        <v/>
      </c>
      <c r="H715" t="str">
        <f>IF($A715="","",IF($D715="V01",cad!$C$24,IF($D715="V02",cad!$D$24,cad!$E$24)))</f>
        <v/>
      </c>
      <c r="I715" t="str">
        <f>IF($A715="","",IF($D715="V01",cad!$C$32,IF($D715="V02",cad!$D$32,cad!$E$32)))</f>
        <v/>
      </c>
      <c r="J715" t="str">
        <f>IF($A715="","",IF($D715="V01",cad!$C$33,IF($D715="V02",cad!$D$33,cad!$E$33)))</f>
        <v/>
      </c>
      <c r="K715" t="str">
        <f>IF($A715="","",IF($D715="V01",cad!$C$34,IF($D715="V02",cad!$D$34,cad!$E$34)))</f>
        <v/>
      </c>
      <c r="L715" t="str">
        <f>IF($A715="","",IF($D715="V01",cad!$C$35,IF($D715="V02",cad!$D$35,cad!$E$35)))</f>
        <v/>
      </c>
      <c r="M715" t="str">
        <f>IF($A715="","",IF($D715="V01",cad!$C$36,IF($D715="V02",cad!$D$36,cad!$E$36)))</f>
        <v/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 t="str">
        <f>IF($A716="","",IF($D716="V01",cad!$C$23,IF($D716="V02",cad!$D$23,cad!$E$23)))</f>
        <v/>
      </c>
      <c r="H716" t="str">
        <f>IF($A716="","",IF($D716="V01",cad!$C$24,IF($D716="V02",cad!$D$24,cad!$E$24)))</f>
        <v/>
      </c>
      <c r="I716" t="str">
        <f>IF($A716="","",IF($D716="V01",cad!$C$32,IF($D716="V02",cad!$D$32,cad!$E$32)))</f>
        <v/>
      </c>
      <c r="J716" t="str">
        <f>IF($A716="","",IF($D716="V01",cad!$C$33,IF($D716="V02",cad!$D$33,cad!$E$33)))</f>
        <v/>
      </c>
      <c r="K716" t="str">
        <f>IF($A716="","",IF($D716="V01",cad!$C$34,IF($D716="V02",cad!$D$34,cad!$E$34)))</f>
        <v/>
      </c>
      <c r="L716" t="str">
        <f>IF($A716="","",IF($D716="V01",cad!$C$35,IF($D716="V02",cad!$D$35,cad!$E$35)))</f>
        <v/>
      </c>
      <c r="M716" t="str">
        <f>IF($A716="","",IF($D716="V01",cad!$C$36,IF($D716="V02",cad!$D$36,cad!$E$36)))</f>
        <v/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 t="str">
        <f>IF($A717="","",IF($D717="V01",cad!$C$23,IF($D717="V02",cad!$D$23,cad!$E$23)))</f>
        <v/>
      </c>
      <c r="H717" t="str">
        <f>IF($A717="","",IF($D717="V01",cad!$C$24,IF($D717="V02",cad!$D$24,cad!$E$24)))</f>
        <v/>
      </c>
      <c r="I717" t="str">
        <f>IF($A717="","",IF($D717="V01",cad!$C$32,IF($D717="V02",cad!$D$32,cad!$E$32)))</f>
        <v/>
      </c>
      <c r="J717" t="str">
        <f>IF($A717="","",IF($D717="V01",cad!$C$33,IF($D717="V02",cad!$D$33,cad!$E$33)))</f>
        <v/>
      </c>
      <c r="K717" t="str">
        <f>IF($A717="","",IF($D717="V01",cad!$C$34,IF($D717="V02",cad!$D$34,cad!$E$34)))</f>
        <v/>
      </c>
      <c r="L717" t="str">
        <f>IF($A717="","",IF($D717="V01",cad!$C$35,IF($D717="V02",cad!$D$35,cad!$E$35)))</f>
        <v/>
      </c>
      <c r="M717" t="str">
        <f>IF($A717="","",IF($D717="V01",cad!$C$36,IF($D717="V02",cad!$D$36,cad!$E$36)))</f>
        <v/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 t="str">
        <f>IF($A718="","",IF($D718="V01",cad!$C$23,IF($D718="V02",cad!$D$23,cad!$E$23)))</f>
        <v/>
      </c>
      <c r="H718" t="str">
        <f>IF($A718="","",IF($D718="V01",cad!$C$24,IF($D718="V02",cad!$D$24,cad!$E$24)))</f>
        <v/>
      </c>
      <c r="I718" t="str">
        <f>IF($A718="","",IF($D718="V01",cad!$C$32,IF($D718="V02",cad!$D$32,cad!$E$32)))</f>
        <v/>
      </c>
      <c r="J718" t="str">
        <f>IF($A718="","",IF($D718="V01",cad!$C$33,IF($D718="V02",cad!$D$33,cad!$E$33)))</f>
        <v/>
      </c>
      <c r="K718" t="str">
        <f>IF($A718="","",IF($D718="V01",cad!$C$34,IF($D718="V02",cad!$D$34,cad!$E$34)))</f>
        <v/>
      </c>
      <c r="L718" t="str">
        <f>IF($A718="","",IF($D718="V01",cad!$C$35,IF($D718="V02",cad!$D$35,cad!$E$35)))</f>
        <v/>
      </c>
      <c r="M718" t="str">
        <f>IF($A718="","",IF($D718="V01",cad!$C$36,IF($D718="V02",cad!$D$36,cad!$E$36)))</f>
        <v/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 t="str">
        <f>IF($A719="","",IF($D719="V01",cad!$C$23,IF($D719="V02",cad!$D$23,cad!$E$23)))</f>
        <v/>
      </c>
      <c r="H719" t="str">
        <f>IF($A719="","",IF($D719="V01",cad!$C$24,IF($D719="V02",cad!$D$24,cad!$E$24)))</f>
        <v/>
      </c>
      <c r="I719" t="str">
        <f>IF($A719="","",IF($D719="V01",cad!$C$32,IF($D719="V02",cad!$D$32,cad!$E$32)))</f>
        <v/>
      </c>
      <c r="J719" t="str">
        <f>IF($A719="","",IF($D719="V01",cad!$C$33,IF($D719="V02",cad!$D$33,cad!$E$33)))</f>
        <v/>
      </c>
      <c r="K719" t="str">
        <f>IF($A719="","",IF($D719="V01",cad!$C$34,IF($D719="V02",cad!$D$34,cad!$E$34)))</f>
        <v/>
      </c>
      <c r="L719" t="str">
        <f>IF($A719="","",IF($D719="V01",cad!$C$35,IF($D719="V02",cad!$D$35,cad!$E$35)))</f>
        <v/>
      </c>
      <c r="M719" t="str">
        <f>IF($A719="","",IF($D719="V01",cad!$C$36,IF($D719="V02",cad!$D$36,cad!$E$36)))</f>
        <v/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 t="str">
        <f>IF($A720="","",IF($D720="V01",cad!$C$23,IF($D720="V02",cad!$D$23,cad!$E$23)))</f>
        <v/>
      </c>
      <c r="H720" t="str">
        <f>IF($A720="","",IF($D720="V01",cad!$C$24,IF($D720="V02",cad!$D$24,cad!$E$24)))</f>
        <v/>
      </c>
      <c r="I720" t="str">
        <f>IF($A720="","",IF($D720="V01",cad!$C$32,IF($D720="V02",cad!$D$32,cad!$E$32)))</f>
        <v/>
      </c>
      <c r="J720" t="str">
        <f>IF($A720="","",IF($D720="V01",cad!$C$33,IF($D720="V02",cad!$D$33,cad!$E$33)))</f>
        <v/>
      </c>
      <c r="K720" t="str">
        <f>IF($A720="","",IF($D720="V01",cad!$C$34,IF($D720="V02",cad!$D$34,cad!$E$34)))</f>
        <v/>
      </c>
      <c r="L720" t="str">
        <f>IF($A720="","",IF($D720="V01",cad!$C$35,IF($D720="V02",cad!$D$35,cad!$E$35)))</f>
        <v/>
      </c>
      <c r="M720" t="str">
        <f>IF($A720="","",IF($D720="V01",cad!$C$36,IF($D720="V02",cad!$D$36,cad!$E$36)))</f>
        <v/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 t="str">
        <f>IF($A721="","",IF($D721="V01",cad!$C$23,IF($D721="V02",cad!$D$23,cad!$E$23)))</f>
        <v/>
      </c>
      <c r="H721" t="str">
        <f>IF($A721="","",IF($D721="V01",cad!$C$24,IF($D721="V02",cad!$D$24,cad!$E$24)))</f>
        <v/>
      </c>
      <c r="I721" t="str">
        <f>IF($A721="","",IF($D721="V01",cad!$C$32,IF($D721="V02",cad!$D$32,cad!$E$32)))</f>
        <v/>
      </c>
      <c r="J721" t="str">
        <f>IF($A721="","",IF($D721="V01",cad!$C$33,IF($D721="V02",cad!$D$33,cad!$E$33)))</f>
        <v/>
      </c>
      <c r="K721" t="str">
        <f>IF($A721="","",IF($D721="V01",cad!$C$34,IF($D721="V02",cad!$D$34,cad!$E$34)))</f>
        <v/>
      </c>
      <c r="L721" t="str">
        <f>IF($A721="","",IF($D721="V01",cad!$C$35,IF($D721="V02",cad!$D$35,cad!$E$35)))</f>
        <v/>
      </c>
      <c r="M721" t="str">
        <f>IF($A721="","",IF($D721="V01",cad!$C$36,IF($D721="V02",cad!$D$36,cad!$E$36)))</f>
        <v/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 t="str">
        <f>IF($A722="","",IF($D722="V01",cad!$C$23,IF($D722="V02",cad!$D$23,cad!$E$23)))</f>
        <v/>
      </c>
      <c r="H722" t="str">
        <f>IF($A722="","",IF($D722="V01",cad!$C$24,IF($D722="V02",cad!$D$24,cad!$E$24)))</f>
        <v/>
      </c>
      <c r="I722" t="str">
        <f>IF($A722="","",IF($D722="V01",cad!$C$32,IF($D722="V02",cad!$D$32,cad!$E$32)))</f>
        <v/>
      </c>
      <c r="J722" t="str">
        <f>IF($A722="","",IF($D722="V01",cad!$C$33,IF($D722="V02",cad!$D$33,cad!$E$33)))</f>
        <v/>
      </c>
      <c r="K722" t="str">
        <f>IF($A722="","",IF($D722="V01",cad!$C$34,IF($D722="V02",cad!$D$34,cad!$E$34)))</f>
        <v/>
      </c>
      <c r="L722" t="str">
        <f>IF($A722="","",IF($D722="V01",cad!$C$35,IF($D722="V02",cad!$D$35,cad!$E$35)))</f>
        <v/>
      </c>
      <c r="M722" t="str">
        <f>IF($A722="","",IF($D722="V01",cad!$C$36,IF($D722="V02",cad!$D$36,cad!$E$36)))</f>
        <v/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 t="str">
        <f>IF($A723="","",IF($D723="V01",cad!$C$23,IF($D723="V02",cad!$D$23,cad!$E$23)))</f>
        <v/>
      </c>
      <c r="H723" t="str">
        <f>IF($A723="","",IF($D723="V01",cad!$C$24,IF($D723="V02",cad!$D$24,cad!$E$24)))</f>
        <v/>
      </c>
      <c r="I723" t="str">
        <f>IF($A723="","",IF($D723="V01",cad!$C$32,IF($D723="V02",cad!$D$32,cad!$E$32)))</f>
        <v/>
      </c>
      <c r="J723" t="str">
        <f>IF($A723="","",IF($D723="V01",cad!$C$33,IF($D723="V02",cad!$D$33,cad!$E$33)))</f>
        <v/>
      </c>
      <c r="K723" t="str">
        <f>IF($A723="","",IF($D723="V01",cad!$C$34,IF($D723="V02",cad!$D$34,cad!$E$34)))</f>
        <v/>
      </c>
      <c r="L723" t="str">
        <f>IF($A723="","",IF($D723="V01",cad!$C$35,IF($D723="V02",cad!$D$35,cad!$E$35)))</f>
        <v/>
      </c>
      <c r="M723" t="str">
        <f>IF($A723="","",IF($D723="V01",cad!$C$36,IF($D723="V02",cad!$D$36,cad!$E$36)))</f>
        <v/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 t="str">
        <f>IF($A724="","",IF($D724="V01",cad!$C$23,IF($D724="V02",cad!$D$23,cad!$E$23)))</f>
        <v/>
      </c>
      <c r="H724" t="str">
        <f>IF($A724="","",IF($D724="V01",cad!$C$24,IF($D724="V02",cad!$D$24,cad!$E$24)))</f>
        <v/>
      </c>
      <c r="I724" t="str">
        <f>IF($A724="","",IF($D724="V01",cad!$C$32,IF($D724="V02",cad!$D$32,cad!$E$32)))</f>
        <v/>
      </c>
      <c r="J724" t="str">
        <f>IF($A724="","",IF($D724="V01",cad!$C$33,IF($D724="V02",cad!$D$33,cad!$E$33)))</f>
        <v/>
      </c>
      <c r="K724" t="str">
        <f>IF($A724="","",IF($D724="V01",cad!$C$34,IF($D724="V02",cad!$D$34,cad!$E$34)))</f>
        <v/>
      </c>
      <c r="L724" t="str">
        <f>IF($A724="","",IF($D724="V01",cad!$C$35,IF($D724="V02",cad!$D$35,cad!$E$35)))</f>
        <v/>
      </c>
      <c r="M724" t="str">
        <f>IF($A724="","",IF($D724="V01",cad!$C$36,IF($D724="V02",cad!$D$36,cad!$E$36)))</f>
        <v/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 t="str">
        <f>IF($A725="","",IF($D725="V01",cad!$C$23,IF($D725="V02",cad!$D$23,cad!$E$23)))</f>
        <v/>
      </c>
      <c r="H725" t="str">
        <f>IF($A725="","",IF($D725="V01",cad!$C$24,IF($D725="V02",cad!$D$24,cad!$E$24)))</f>
        <v/>
      </c>
      <c r="I725" t="str">
        <f>IF($A725="","",IF($D725="V01",cad!$C$32,IF($D725="V02",cad!$D$32,cad!$E$32)))</f>
        <v/>
      </c>
      <c r="J725" t="str">
        <f>IF($A725="","",IF($D725="V01",cad!$C$33,IF($D725="V02",cad!$D$33,cad!$E$33)))</f>
        <v/>
      </c>
      <c r="K725" t="str">
        <f>IF($A725="","",IF($D725="V01",cad!$C$34,IF($D725="V02",cad!$D$34,cad!$E$34)))</f>
        <v/>
      </c>
      <c r="L725" t="str">
        <f>IF($A725="","",IF($D725="V01",cad!$C$35,IF($D725="V02",cad!$D$35,cad!$E$35)))</f>
        <v/>
      </c>
      <c r="M725" t="str">
        <f>IF($A725="","",IF($D725="V01",cad!$C$36,IF($D725="V02",cad!$D$36,cad!$E$36)))</f>
        <v/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 t="str">
        <f>IF($A726="","",IF($D726="V01",cad!$C$23,IF($D726="V02",cad!$D$23,cad!$E$23)))</f>
        <v/>
      </c>
      <c r="H726" t="str">
        <f>IF($A726="","",IF($D726="V01",cad!$C$24,IF($D726="V02",cad!$D$24,cad!$E$24)))</f>
        <v/>
      </c>
      <c r="I726" t="str">
        <f>IF($A726="","",IF($D726="V01",cad!$C$32,IF($D726="V02",cad!$D$32,cad!$E$32)))</f>
        <v/>
      </c>
      <c r="J726" t="str">
        <f>IF($A726="","",IF($D726="V01",cad!$C$33,IF($D726="V02",cad!$D$33,cad!$E$33)))</f>
        <v/>
      </c>
      <c r="K726" t="str">
        <f>IF($A726="","",IF($D726="V01",cad!$C$34,IF($D726="V02",cad!$D$34,cad!$E$34)))</f>
        <v/>
      </c>
      <c r="L726" t="str">
        <f>IF($A726="","",IF($D726="V01",cad!$C$35,IF($D726="V02",cad!$D$35,cad!$E$35)))</f>
        <v/>
      </c>
      <c r="M726" t="str">
        <f>IF($A726="","",IF($D726="V01",cad!$C$36,IF($D726="V02",cad!$D$36,cad!$E$36)))</f>
        <v/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 t="str">
        <f>IF($A727="","",IF($D727="V01",cad!$C$23,IF($D727="V02",cad!$D$23,cad!$E$23)))</f>
        <v/>
      </c>
      <c r="H727" t="str">
        <f>IF($A727="","",IF($D727="V01",cad!$C$24,IF($D727="V02",cad!$D$24,cad!$E$24)))</f>
        <v/>
      </c>
      <c r="I727" t="str">
        <f>IF($A727="","",IF($D727="V01",cad!$C$32,IF($D727="V02",cad!$D$32,cad!$E$32)))</f>
        <v/>
      </c>
      <c r="J727" t="str">
        <f>IF($A727="","",IF($D727="V01",cad!$C$33,IF($D727="V02",cad!$D$33,cad!$E$33)))</f>
        <v/>
      </c>
      <c r="K727" t="str">
        <f>IF($A727="","",IF($D727="V01",cad!$C$34,IF($D727="V02",cad!$D$34,cad!$E$34)))</f>
        <v/>
      </c>
      <c r="L727" t="str">
        <f>IF($A727="","",IF($D727="V01",cad!$C$35,IF($D727="V02",cad!$D$35,cad!$E$35)))</f>
        <v/>
      </c>
      <c r="M727" t="str">
        <f>IF($A727="","",IF($D727="V01",cad!$C$36,IF($D727="V02",cad!$D$36,cad!$E$36)))</f>
        <v/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 t="str">
        <f>IF($A728="","",IF($D728="V01",cad!$C$23,IF($D728="V02",cad!$D$23,cad!$E$23)))</f>
        <v/>
      </c>
      <c r="H728" t="str">
        <f>IF($A728="","",IF($D728="V01",cad!$C$24,IF($D728="V02",cad!$D$24,cad!$E$24)))</f>
        <v/>
      </c>
      <c r="I728" t="str">
        <f>IF($A728="","",IF($D728="V01",cad!$C$32,IF($D728="V02",cad!$D$32,cad!$E$32)))</f>
        <v/>
      </c>
      <c r="J728" t="str">
        <f>IF($A728="","",IF($D728="V01",cad!$C$33,IF($D728="V02",cad!$D$33,cad!$E$33)))</f>
        <v/>
      </c>
      <c r="K728" t="str">
        <f>IF($A728="","",IF($D728="V01",cad!$C$34,IF($D728="V02",cad!$D$34,cad!$E$34)))</f>
        <v/>
      </c>
      <c r="L728" t="str">
        <f>IF($A728="","",IF($D728="V01",cad!$C$35,IF($D728="V02",cad!$D$35,cad!$E$35)))</f>
        <v/>
      </c>
      <c r="M728" t="str">
        <f>IF($A728="","",IF($D728="V01",cad!$C$36,IF($D728="V02",cad!$D$36,cad!$E$36)))</f>
        <v/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 t="str">
        <f>IF($A729="","",IF($D729="V01",cad!$C$23,IF($D729="V02",cad!$D$23,cad!$E$23)))</f>
        <v/>
      </c>
      <c r="H729" t="str">
        <f>IF($A729="","",IF($D729="V01",cad!$C$24,IF($D729="V02",cad!$D$24,cad!$E$24)))</f>
        <v/>
      </c>
      <c r="I729" t="str">
        <f>IF($A729="","",IF($D729="V01",cad!$C$32,IF($D729="V02",cad!$D$32,cad!$E$32)))</f>
        <v/>
      </c>
      <c r="J729" t="str">
        <f>IF($A729="","",IF($D729="V01",cad!$C$33,IF($D729="V02",cad!$D$33,cad!$E$33)))</f>
        <v/>
      </c>
      <c r="K729" t="str">
        <f>IF($A729="","",IF($D729="V01",cad!$C$34,IF($D729="V02",cad!$D$34,cad!$E$34)))</f>
        <v/>
      </c>
      <c r="L729" t="str">
        <f>IF($A729="","",IF($D729="V01",cad!$C$35,IF($D729="V02",cad!$D$35,cad!$E$35)))</f>
        <v/>
      </c>
      <c r="M729" t="str">
        <f>IF($A729="","",IF($D729="V01",cad!$C$36,IF($D729="V02",cad!$D$36,cad!$E$36)))</f>
        <v/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 t="str">
        <f>IF($A730="","",IF($D730="V01",cad!$C$23,IF($D730="V02",cad!$D$23,cad!$E$23)))</f>
        <v/>
      </c>
      <c r="H730" t="str">
        <f>IF($A730="","",IF($D730="V01",cad!$C$24,IF($D730="V02",cad!$D$24,cad!$E$24)))</f>
        <v/>
      </c>
      <c r="I730" t="str">
        <f>IF($A730="","",IF($D730="V01",cad!$C$32,IF($D730="V02",cad!$D$32,cad!$E$32)))</f>
        <v/>
      </c>
      <c r="J730" t="str">
        <f>IF($A730="","",IF($D730="V01",cad!$C$33,IF($D730="V02",cad!$D$33,cad!$E$33)))</f>
        <v/>
      </c>
      <c r="K730" t="str">
        <f>IF($A730="","",IF($D730="V01",cad!$C$34,IF($D730="V02",cad!$D$34,cad!$E$34)))</f>
        <v/>
      </c>
      <c r="L730" t="str">
        <f>IF($A730="","",IF($D730="V01",cad!$C$35,IF($D730="V02",cad!$D$35,cad!$E$35)))</f>
        <v/>
      </c>
      <c r="M730" t="str">
        <f>IF($A730="","",IF($D730="V01",cad!$C$36,IF($D730="V02",cad!$D$36,cad!$E$36)))</f>
        <v/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 t="str">
        <f>IF($A731="","",IF($D731="V01",cad!$C$23,IF($D731="V02",cad!$D$23,cad!$E$23)))</f>
        <v/>
      </c>
      <c r="H731" t="str">
        <f>IF($A731="","",IF($D731="V01",cad!$C$24,IF($D731="V02",cad!$D$24,cad!$E$24)))</f>
        <v/>
      </c>
      <c r="I731" t="str">
        <f>IF($A731="","",IF($D731="V01",cad!$C$32,IF($D731="V02",cad!$D$32,cad!$E$32)))</f>
        <v/>
      </c>
      <c r="J731" t="str">
        <f>IF($A731="","",IF($D731="V01",cad!$C$33,IF($D731="V02",cad!$D$33,cad!$E$33)))</f>
        <v/>
      </c>
      <c r="K731" t="str">
        <f>IF($A731="","",IF($D731="V01",cad!$C$34,IF($D731="V02",cad!$D$34,cad!$E$34)))</f>
        <v/>
      </c>
      <c r="L731" t="str">
        <f>IF($A731="","",IF($D731="V01",cad!$C$35,IF($D731="V02",cad!$D$35,cad!$E$35)))</f>
        <v/>
      </c>
      <c r="M731" t="str">
        <f>IF($A731="","",IF($D731="V01",cad!$C$36,IF($D731="V02",cad!$D$36,cad!$E$36)))</f>
        <v/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 t="str">
        <f>IF($A732="","",IF($D732="V01",cad!$C$23,IF($D732="V02",cad!$D$23,cad!$E$23)))</f>
        <v/>
      </c>
      <c r="H732" t="str">
        <f>IF($A732="","",IF($D732="V01",cad!$C$24,IF($D732="V02",cad!$D$24,cad!$E$24)))</f>
        <v/>
      </c>
      <c r="I732" t="str">
        <f>IF($A732="","",IF($D732="V01",cad!$C$32,IF($D732="V02",cad!$D$32,cad!$E$32)))</f>
        <v/>
      </c>
      <c r="J732" t="str">
        <f>IF($A732="","",IF($D732="V01",cad!$C$33,IF($D732="V02",cad!$D$33,cad!$E$33)))</f>
        <v/>
      </c>
      <c r="K732" t="str">
        <f>IF($A732="","",IF($D732="V01",cad!$C$34,IF($D732="V02",cad!$D$34,cad!$E$34)))</f>
        <v/>
      </c>
      <c r="L732" t="str">
        <f>IF($A732="","",IF($D732="V01",cad!$C$35,IF($D732="V02",cad!$D$35,cad!$E$35)))</f>
        <v/>
      </c>
      <c r="M732" t="str">
        <f>IF($A732="","",IF($D732="V01",cad!$C$36,IF($D732="V02",cad!$D$36,cad!$E$36)))</f>
        <v/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 t="str">
        <f>IF($A733="","",IF($D733="V01",cad!$C$23,IF($D733="V02",cad!$D$23,cad!$E$23)))</f>
        <v/>
      </c>
      <c r="H733" t="str">
        <f>IF($A733="","",IF($D733="V01",cad!$C$24,IF($D733="V02",cad!$D$24,cad!$E$24)))</f>
        <v/>
      </c>
      <c r="I733" t="str">
        <f>IF($A733="","",IF($D733="V01",cad!$C$32,IF($D733="V02",cad!$D$32,cad!$E$32)))</f>
        <v/>
      </c>
      <c r="J733" t="str">
        <f>IF($A733="","",IF($D733="V01",cad!$C$33,IF($D733="V02",cad!$D$33,cad!$E$33)))</f>
        <v/>
      </c>
      <c r="K733" t="str">
        <f>IF($A733="","",IF($D733="V01",cad!$C$34,IF($D733="V02",cad!$D$34,cad!$E$34)))</f>
        <v/>
      </c>
      <c r="L733" t="str">
        <f>IF($A733="","",IF($D733="V01",cad!$C$35,IF($D733="V02",cad!$D$35,cad!$E$35)))</f>
        <v/>
      </c>
      <c r="M733" t="str">
        <f>IF($A733="","",IF($D733="V01",cad!$C$36,IF($D733="V02",cad!$D$36,cad!$E$36)))</f>
        <v/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 t="str">
        <f>IF($A734="","",IF($D734="V01",cad!$C$23,IF($D734="V02",cad!$D$23,cad!$E$23)))</f>
        <v/>
      </c>
      <c r="H734" t="str">
        <f>IF($A734="","",IF($D734="V01",cad!$C$24,IF($D734="V02",cad!$D$24,cad!$E$24)))</f>
        <v/>
      </c>
      <c r="I734" t="str">
        <f>IF($A734="","",IF($D734="V01",cad!$C$32,IF($D734="V02",cad!$D$32,cad!$E$32)))</f>
        <v/>
      </c>
      <c r="J734" t="str">
        <f>IF($A734="","",IF($D734="V01",cad!$C$33,IF($D734="V02",cad!$D$33,cad!$E$33)))</f>
        <v/>
      </c>
      <c r="K734" t="str">
        <f>IF($A734="","",IF($D734="V01",cad!$C$34,IF($D734="V02",cad!$D$34,cad!$E$34)))</f>
        <v/>
      </c>
      <c r="L734" t="str">
        <f>IF($A734="","",IF($D734="V01",cad!$C$35,IF($D734="V02",cad!$D$35,cad!$E$35)))</f>
        <v/>
      </c>
      <c r="M734" t="str">
        <f>IF($A734="","",IF($D734="V01",cad!$C$36,IF($D734="V02",cad!$D$36,cad!$E$36)))</f>
        <v/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 t="str">
        <f>IF($A735="","",IF($D735="V01",cad!$C$23,IF($D735="V02",cad!$D$23,cad!$E$23)))</f>
        <v/>
      </c>
      <c r="H735" t="str">
        <f>IF($A735="","",IF($D735="V01",cad!$C$24,IF($D735="V02",cad!$D$24,cad!$E$24)))</f>
        <v/>
      </c>
      <c r="I735" t="str">
        <f>IF($A735="","",IF($D735="V01",cad!$C$32,IF($D735="V02",cad!$D$32,cad!$E$32)))</f>
        <v/>
      </c>
      <c r="J735" t="str">
        <f>IF($A735="","",IF($D735="V01",cad!$C$33,IF($D735="V02",cad!$D$33,cad!$E$33)))</f>
        <v/>
      </c>
      <c r="K735" t="str">
        <f>IF($A735="","",IF($D735="V01",cad!$C$34,IF($D735="V02",cad!$D$34,cad!$E$34)))</f>
        <v/>
      </c>
      <c r="L735" t="str">
        <f>IF($A735="","",IF($D735="V01",cad!$C$35,IF($D735="V02",cad!$D$35,cad!$E$35)))</f>
        <v/>
      </c>
      <c r="M735" t="str">
        <f>IF($A735="","",IF($D735="V01",cad!$C$36,IF($D735="V02",cad!$D$36,cad!$E$36)))</f>
        <v/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 t="str">
        <f>IF($A736="","",IF($D736="V01",cad!$C$23,IF($D736="V02",cad!$D$23,cad!$E$23)))</f>
        <v/>
      </c>
      <c r="H736" t="str">
        <f>IF($A736="","",IF($D736="V01",cad!$C$24,IF($D736="V02",cad!$D$24,cad!$E$24)))</f>
        <v/>
      </c>
      <c r="I736" t="str">
        <f>IF($A736="","",IF($D736="V01",cad!$C$32,IF($D736="V02",cad!$D$32,cad!$E$32)))</f>
        <v/>
      </c>
      <c r="J736" t="str">
        <f>IF($A736="","",IF($D736="V01",cad!$C$33,IF($D736="V02",cad!$D$33,cad!$E$33)))</f>
        <v/>
      </c>
      <c r="K736" t="str">
        <f>IF($A736="","",IF($D736="V01",cad!$C$34,IF($D736="V02",cad!$D$34,cad!$E$34)))</f>
        <v/>
      </c>
      <c r="L736" t="str">
        <f>IF($A736="","",IF($D736="V01",cad!$C$35,IF($D736="V02",cad!$D$35,cad!$E$35)))</f>
        <v/>
      </c>
      <c r="M736" t="str">
        <f>IF($A736="","",IF($D736="V01",cad!$C$36,IF($D736="V02",cad!$D$36,cad!$E$36)))</f>
        <v/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 t="str">
        <f>IF($A737="","",IF($D737="V01",cad!$C$23,IF($D737="V02",cad!$D$23,cad!$E$23)))</f>
        <v/>
      </c>
      <c r="H737" t="str">
        <f>IF($A737="","",IF($D737="V01",cad!$C$24,IF($D737="V02",cad!$D$24,cad!$E$24)))</f>
        <v/>
      </c>
      <c r="I737" t="str">
        <f>IF($A737="","",IF($D737="V01",cad!$C$32,IF($D737="V02",cad!$D$32,cad!$E$32)))</f>
        <v/>
      </c>
      <c r="J737" t="str">
        <f>IF($A737="","",IF($D737="V01",cad!$C$33,IF($D737="V02",cad!$D$33,cad!$E$33)))</f>
        <v/>
      </c>
      <c r="K737" t="str">
        <f>IF($A737="","",IF($D737="V01",cad!$C$34,IF($D737="V02",cad!$D$34,cad!$E$34)))</f>
        <v/>
      </c>
      <c r="L737" t="str">
        <f>IF($A737="","",IF($D737="V01",cad!$C$35,IF($D737="V02",cad!$D$35,cad!$E$35)))</f>
        <v/>
      </c>
      <c r="M737" t="str">
        <f>IF($A737="","",IF($D737="V01",cad!$C$36,IF($D737="V02",cad!$D$36,cad!$E$36)))</f>
        <v/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 t="str">
        <f>IF($A738="","",IF($D738="V01",cad!$C$23,IF($D738="V02",cad!$D$23,cad!$E$23)))</f>
        <v/>
      </c>
      <c r="H738" t="str">
        <f>IF($A738="","",IF($D738="V01",cad!$C$24,IF($D738="V02",cad!$D$24,cad!$E$24)))</f>
        <v/>
      </c>
      <c r="I738" t="str">
        <f>IF($A738="","",IF($D738="V01",cad!$C$32,IF($D738="V02",cad!$D$32,cad!$E$32)))</f>
        <v/>
      </c>
      <c r="J738" t="str">
        <f>IF($A738="","",IF($D738="V01",cad!$C$33,IF($D738="V02",cad!$D$33,cad!$E$33)))</f>
        <v/>
      </c>
      <c r="K738" t="str">
        <f>IF($A738="","",IF($D738="V01",cad!$C$34,IF($D738="V02",cad!$D$34,cad!$E$34)))</f>
        <v/>
      </c>
      <c r="L738" t="str">
        <f>IF($A738="","",IF($D738="V01",cad!$C$35,IF($D738="V02",cad!$D$35,cad!$E$35)))</f>
        <v/>
      </c>
      <c r="M738" t="str">
        <f>IF($A738="","",IF($D738="V01",cad!$C$36,IF($D738="V02",cad!$D$36,cad!$E$36)))</f>
        <v/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 t="str">
        <f>IF($A739="","",IF($D739="V01",cad!$C$23,IF($D739="V02",cad!$D$23,cad!$E$23)))</f>
        <v/>
      </c>
      <c r="H739" t="str">
        <f>IF($A739="","",IF($D739="V01",cad!$C$24,IF($D739="V02",cad!$D$24,cad!$E$24)))</f>
        <v/>
      </c>
      <c r="I739" t="str">
        <f>IF($A739="","",IF($D739="V01",cad!$C$32,IF($D739="V02",cad!$D$32,cad!$E$32)))</f>
        <v/>
      </c>
      <c r="J739" t="str">
        <f>IF($A739="","",IF($D739="V01",cad!$C$33,IF($D739="V02",cad!$D$33,cad!$E$33)))</f>
        <v/>
      </c>
      <c r="K739" t="str">
        <f>IF($A739="","",IF($D739="V01",cad!$C$34,IF($D739="V02",cad!$D$34,cad!$E$34)))</f>
        <v/>
      </c>
      <c r="L739" t="str">
        <f>IF($A739="","",IF($D739="V01",cad!$C$35,IF($D739="V02",cad!$D$35,cad!$E$35)))</f>
        <v/>
      </c>
      <c r="M739" t="str">
        <f>IF($A739="","",IF($D739="V01",cad!$C$36,IF($D739="V02",cad!$D$36,cad!$E$36)))</f>
        <v/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 t="str">
        <f>IF($A740="","",IF($D740="V01",cad!$C$23,IF($D740="V02",cad!$D$23,cad!$E$23)))</f>
        <v/>
      </c>
      <c r="H740" t="str">
        <f>IF($A740="","",IF($D740="V01",cad!$C$24,IF($D740="V02",cad!$D$24,cad!$E$24)))</f>
        <v/>
      </c>
      <c r="I740" t="str">
        <f>IF($A740="","",IF($D740="V01",cad!$C$32,IF($D740="V02",cad!$D$32,cad!$E$32)))</f>
        <v/>
      </c>
      <c r="J740" t="str">
        <f>IF($A740="","",IF($D740="V01",cad!$C$33,IF($D740="V02",cad!$D$33,cad!$E$33)))</f>
        <v/>
      </c>
      <c r="K740" t="str">
        <f>IF($A740="","",IF($D740="V01",cad!$C$34,IF($D740="V02",cad!$D$34,cad!$E$34)))</f>
        <v/>
      </c>
      <c r="L740" t="str">
        <f>IF($A740="","",IF($D740="V01",cad!$C$35,IF($D740="V02",cad!$D$35,cad!$E$35)))</f>
        <v/>
      </c>
      <c r="M740" t="str">
        <f>IF($A740="","",IF($D740="V01",cad!$C$36,IF($D740="V02",cad!$D$36,cad!$E$36)))</f>
        <v/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 t="str">
        <f>IF($A741="","",IF($D741="V01",cad!$C$23,IF($D741="V02",cad!$D$23,cad!$E$23)))</f>
        <v/>
      </c>
      <c r="H741" t="str">
        <f>IF($A741="","",IF($D741="V01",cad!$C$24,IF($D741="V02",cad!$D$24,cad!$E$24)))</f>
        <v/>
      </c>
      <c r="I741" t="str">
        <f>IF($A741="","",IF($D741="V01",cad!$C$32,IF($D741="V02",cad!$D$32,cad!$E$32)))</f>
        <v/>
      </c>
      <c r="J741" t="str">
        <f>IF($A741="","",IF($D741="V01",cad!$C$33,IF($D741="V02",cad!$D$33,cad!$E$33)))</f>
        <v/>
      </c>
      <c r="K741" t="str">
        <f>IF($A741="","",IF($D741="V01",cad!$C$34,IF($D741="V02",cad!$D$34,cad!$E$34)))</f>
        <v/>
      </c>
      <c r="L741" t="str">
        <f>IF($A741="","",IF($D741="V01",cad!$C$35,IF($D741="V02",cad!$D$35,cad!$E$35)))</f>
        <v/>
      </c>
      <c r="M741" t="str">
        <f>IF($A741="","",IF($D741="V01",cad!$C$36,IF($D741="V02",cad!$D$36,cad!$E$36)))</f>
        <v/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 t="str">
        <f>IF($A742="","",IF($D742="V01",cad!$C$23,IF($D742="V02",cad!$D$23,cad!$E$23)))</f>
        <v/>
      </c>
      <c r="H742" t="str">
        <f>IF($A742="","",IF($D742="V01",cad!$C$24,IF($D742="V02",cad!$D$24,cad!$E$24)))</f>
        <v/>
      </c>
      <c r="I742" t="str">
        <f>IF($A742="","",IF($D742="V01",cad!$C$32,IF($D742="V02",cad!$D$32,cad!$E$32)))</f>
        <v/>
      </c>
      <c r="J742" t="str">
        <f>IF($A742="","",IF($D742="V01",cad!$C$33,IF($D742="V02",cad!$D$33,cad!$E$33)))</f>
        <v/>
      </c>
      <c r="K742" t="str">
        <f>IF($A742="","",IF($D742="V01",cad!$C$34,IF($D742="V02",cad!$D$34,cad!$E$34)))</f>
        <v/>
      </c>
      <c r="L742" t="str">
        <f>IF($A742="","",IF($D742="V01",cad!$C$35,IF($D742="V02",cad!$D$35,cad!$E$35)))</f>
        <v/>
      </c>
      <c r="M742" t="str">
        <f>IF($A742="","",IF($D742="V01",cad!$C$36,IF($D742="V02",cad!$D$36,cad!$E$36)))</f>
        <v/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 t="str">
        <f>IF($A743="","",IF($D743="V01",cad!$C$23,IF($D743="V02",cad!$D$23,cad!$E$23)))</f>
        <v/>
      </c>
      <c r="H743" t="str">
        <f>IF($A743="","",IF($D743="V01",cad!$C$24,IF($D743="V02",cad!$D$24,cad!$E$24)))</f>
        <v/>
      </c>
      <c r="I743" t="str">
        <f>IF($A743="","",IF($D743="V01",cad!$C$32,IF($D743="V02",cad!$D$32,cad!$E$32)))</f>
        <v/>
      </c>
      <c r="J743" t="str">
        <f>IF($A743="","",IF($D743="V01",cad!$C$33,IF($D743="V02",cad!$D$33,cad!$E$33)))</f>
        <v/>
      </c>
      <c r="K743" t="str">
        <f>IF($A743="","",IF($D743="V01",cad!$C$34,IF($D743="V02",cad!$D$34,cad!$E$34)))</f>
        <v/>
      </c>
      <c r="L743" t="str">
        <f>IF($A743="","",IF($D743="V01",cad!$C$35,IF($D743="V02",cad!$D$35,cad!$E$35)))</f>
        <v/>
      </c>
      <c r="M743" t="str">
        <f>IF($A743="","",IF($D743="V01",cad!$C$36,IF($D743="V02",cad!$D$36,cad!$E$36)))</f>
        <v/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 t="str">
        <f>IF($A744="","",IF($D744="V01",cad!$C$23,IF($D744="V02",cad!$D$23,cad!$E$23)))</f>
        <v/>
      </c>
      <c r="H744" t="str">
        <f>IF($A744="","",IF($D744="V01",cad!$C$24,IF($D744="V02",cad!$D$24,cad!$E$24)))</f>
        <v/>
      </c>
      <c r="I744" t="str">
        <f>IF($A744="","",IF($D744="V01",cad!$C$32,IF($D744="V02",cad!$D$32,cad!$E$32)))</f>
        <v/>
      </c>
      <c r="J744" t="str">
        <f>IF($A744="","",IF($D744="V01",cad!$C$33,IF($D744="V02",cad!$D$33,cad!$E$33)))</f>
        <v/>
      </c>
      <c r="K744" t="str">
        <f>IF($A744="","",IF($D744="V01",cad!$C$34,IF($D744="V02",cad!$D$34,cad!$E$34)))</f>
        <v/>
      </c>
      <c r="L744" t="str">
        <f>IF($A744="","",IF($D744="V01",cad!$C$35,IF($D744="V02",cad!$D$35,cad!$E$35)))</f>
        <v/>
      </c>
      <c r="M744" t="str">
        <f>IF($A744="","",IF($D744="V01",cad!$C$36,IF($D744="V02",cad!$D$36,cad!$E$36)))</f>
        <v/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 t="str">
        <f>IF($A745="","",IF($D745="V01",cad!$C$23,IF($D745="V02",cad!$D$23,cad!$E$23)))</f>
        <v/>
      </c>
      <c r="H745" t="str">
        <f>IF($A745="","",IF($D745="V01",cad!$C$24,IF($D745="V02",cad!$D$24,cad!$E$24)))</f>
        <v/>
      </c>
      <c r="I745" t="str">
        <f>IF($A745="","",IF($D745="V01",cad!$C$32,IF($D745="V02",cad!$D$32,cad!$E$32)))</f>
        <v/>
      </c>
      <c r="J745" t="str">
        <f>IF($A745="","",IF($D745="V01",cad!$C$33,IF($D745="V02",cad!$D$33,cad!$E$33)))</f>
        <v/>
      </c>
      <c r="K745" t="str">
        <f>IF($A745="","",IF($D745="V01",cad!$C$34,IF($D745="V02",cad!$D$34,cad!$E$34)))</f>
        <v/>
      </c>
      <c r="L745" t="str">
        <f>IF($A745="","",IF($D745="V01",cad!$C$35,IF($D745="V02",cad!$D$35,cad!$E$35)))</f>
        <v/>
      </c>
      <c r="M745" t="str">
        <f>IF($A745="","",IF($D745="V01",cad!$C$36,IF($D745="V02",cad!$D$36,cad!$E$36)))</f>
        <v/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 t="str">
        <f>IF($A746="","",IF($D746="V01",cad!$C$23,IF($D746="V02",cad!$D$23,cad!$E$23)))</f>
        <v/>
      </c>
      <c r="H746" t="str">
        <f>IF($A746="","",IF($D746="V01",cad!$C$24,IF($D746="V02",cad!$D$24,cad!$E$24)))</f>
        <v/>
      </c>
      <c r="I746" t="str">
        <f>IF($A746="","",IF($D746="V01",cad!$C$32,IF($D746="V02",cad!$D$32,cad!$E$32)))</f>
        <v/>
      </c>
      <c r="J746" t="str">
        <f>IF($A746="","",IF($D746="V01",cad!$C$33,IF($D746="V02",cad!$D$33,cad!$E$33)))</f>
        <v/>
      </c>
      <c r="K746" t="str">
        <f>IF($A746="","",IF($D746="V01",cad!$C$34,IF($D746="V02",cad!$D$34,cad!$E$34)))</f>
        <v/>
      </c>
      <c r="L746" t="str">
        <f>IF($A746="","",IF($D746="V01",cad!$C$35,IF($D746="V02",cad!$D$35,cad!$E$35)))</f>
        <v/>
      </c>
      <c r="M746" t="str">
        <f>IF($A746="","",IF($D746="V01",cad!$C$36,IF($D746="V02",cad!$D$36,cad!$E$36)))</f>
        <v/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 t="str">
        <f>IF($A747="","",IF($D747="V01",cad!$C$23,IF($D747="V02",cad!$D$23,cad!$E$23)))</f>
        <v/>
      </c>
      <c r="H747" t="str">
        <f>IF($A747="","",IF($D747="V01",cad!$C$24,IF($D747="V02",cad!$D$24,cad!$E$24)))</f>
        <v/>
      </c>
      <c r="I747" t="str">
        <f>IF($A747="","",IF($D747="V01",cad!$C$32,IF($D747="V02",cad!$D$32,cad!$E$32)))</f>
        <v/>
      </c>
      <c r="J747" t="str">
        <f>IF($A747="","",IF($D747="V01",cad!$C$33,IF($D747="V02",cad!$D$33,cad!$E$33)))</f>
        <v/>
      </c>
      <c r="K747" t="str">
        <f>IF($A747="","",IF($D747="V01",cad!$C$34,IF($D747="V02",cad!$D$34,cad!$E$34)))</f>
        <v/>
      </c>
      <c r="L747" t="str">
        <f>IF($A747="","",IF($D747="V01",cad!$C$35,IF($D747="V02",cad!$D$35,cad!$E$35)))</f>
        <v/>
      </c>
      <c r="M747" t="str">
        <f>IF($A747="","",IF($D747="V01",cad!$C$36,IF($D747="V02",cad!$D$36,cad!$E$36)))</f>
        <v/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 t="str">
        <f>IF($A748="","",IF($D748="V01",cad!$C$23,IF($D748="V02",cad!$D$23,cad!$E$23)))</f>
        <v/>
      </c>
      <c r="H748" t="str">
        <f>IF($A748="","",IF($D748="V01",cad!$C$24,IF($D748="V02",cad!$D$24,cad!$E$24)))</f>
        <v/>
      </c>
      <c r="I748" t="str">
        <f>IF($A748="","",IF($D748="V01",cad!$C$32,IF($D748="V02",cad!$D$32,cad!$E$32)))</f>
        <v/>
      </c>
      <c r="J748" t="str">
        <f>IF($A748="","",IF($D748="V01",cad!$C$33,IF($D748="V02",cad!$D$33,cad!$E$33)))</f>
        <v/>
      </c>
      <c r="K748" t="str">
        <f>IF($A748="","",IF($D748="V01",cad!$C$34,IF($D748="V02",cad!$D$34,cad!$E$34)))</f>
        <v/>
      </c>
      <c r="L748" t="str">
        <f>IF($A748="","",IF($D748="V01",cad!$C$35,IF($D748="V02",cad!$D$35,cad!$E$35)))</f>
        <v/>
      </c>
      <c r="M748" t="str">
        <f>IF($A748="","",IF($D748="V01",cad!$C$36,IF($D748="V02",cad!$D$36,cad!$E$36)))</f>
        <v/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 t="str">
        <f>IF($A749="","",IF($D749="V01",cad!$C$23,IF($D749="V02",cad!$D$23,cad!$E$23)))</f>
        <v/>
      </c>
      <c r="H749" t="str">
        <f>IF($A749="","",IF($D749="V01",cad!$C$24,IF($D749="V02",cad!$D$24,cad!$E$24)))</f>
        <v/>
      </c>
      <c r="I749" t="str">
        <f>IF($A749="","",IF($D749="V01",cad!$C$32,IF($D749="V02",cad!$D$32,cad!$E$32)))</f>
        <v/>
      </c>
      <c r="J749" t="str">
        <f>IF($A749="","",IF($D749="V01",cad!$C$33,IF($D749="V02",cad!$D$33,cad!$E$33)))</f>
        <v/>
      </c>
      <c r="K749" t="str">
        <f>IF($A749="","",IF($D749="V01",cad!$C$34,IF($D749="V02",cad!$D$34,cad!$E$34)))</f>
        <v/>
      </c>
      <c r="L749" t="str">
        <f>IF($A749="","",IF($D749="V01",cad!$C$35,IF($D749="V02",cad!$D$35,cad!$E$35)))</f>
        <v/>
      </c>
      <c r="M749" t="str">
        <f>IF($A749="","",IF($D749="V01",cad!$C$36,IF($D749="V02",cad!$D$36,cad!$E$36)))</f>
        <v/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 t="str">
        <f>IF($A750="","",IF($D750="V01",cad!$C$23,IF($D750="V02",cad!$D$23,cad!$E$23)))</f>
        <v/>
      </c>
      <c r="H750" t="str">
        <f>IF($A750="","",IF($D750="V01",cad!$C$24,IF($D750="V02",cad!$D$24,cad!$E$24)))</f>
        <v/>
      </c>
      <c r="I750" t="str">
        <f>IF($A750="","",IF($D750="V01",cad!$C$32,IF($D750="V02",cad!$D$32,cad!$E$32)))</f>
        <v/>
      </c>
      <c r="J750" t="str">
        <f>IF($A750="","",IF($D750="V01",cad!$C$33,IF($D750="V02",cad!$D$33,cad!$E$33)))</f>
        <v/>
      </c>
      <c r="K750" t="str">
        <f>IF($A750="","",IF($D750="V01",cad!$C$34,IF($D750="V02",cad!$D$34,cad!$E$34)))</f>
        <v/>
      </c>
      <c r="L750" t="str">
        <f>IF($A750="","",IF($D750="V01",cad!$C$35,IF($D750="V02",cad!$D$35,cad!$E$35)))</f>
        <v/>
      </c>
      <c r="M750" t="str">
        <f>IF($A750="","",IF($D750="V01",cad!$C$36,IF($D750="V02",cad!$D$36,cad!$E$36)))</f>
        <v/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 t="str">
        <f>IF($A751="","",IF($D751="V01",cad!$C$23,IF($D751="V02",cad!$D$23,cad!$E$23)))</f>
        <v/>
      </c>
      <c r="H751" t="str">
        <f>IF($A751="","",IF($D751="V01",cad!$C$24,IF($D751="V02",cad!$D$24,cad!$E$24)))</f>
        <v/>
      </c>
      <c r="I751" t="str">
        <f>IF($A751="","",IF($D751="V01",cad!$C$32,IF($D751="V02",cad!$D$32,cad!$E$32)))</f>
        <v/>
      </c>
      <c r="J751" t="str">
        <f>IF($A751="","",IF($D751="V01",cad!$C$33,IF($D751="V02",cad!$D$33,cad!$E$33)))</f>
        <v/>
      </c>
      <c r="K751" t="str">
        <f>IF($A751="","",IF($D751="V01",cad!$C$34,IF($D751="V02",cad!$D$34,cad!$E$34)))</f>
        <v/>
      </c>
      <c r="L751" t="str">
        <f>IF($A751="","",IF($D751="V01",cad!$C$35,IF($D751="V02",cad!$D$35,cad!$E$35)))</f>
        <v/>
      </c>
      <c r="M751" t="str">
        <f>IF($A751="","",IF($D751="V01",cad!$C$36,IF($D751="V02",cad!$D$36,cad!$E$36)))</f>
        <v/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 t="str">
        <f>IF($A752="","",IF($D752="V01",cad!$C$23,IF($D752="V02",cad!$D$23,cad!$E$23)))</f>
        <v/>
      </c>
      <c r="H752" t="str">
        <f>IF($A752="","",IF($D752="V01",cad!$C$24,IF($D752="V02",cad!$D$24,cad!$E$24)))</f>
        <v/>
      </c>
      <c r="I752" t="str">
        <f>IF($A752="","",IF($D752="V01",cad!$C$32,IF($D752="V02",cad!$D$32,cad!$E$32)))</f>
        <v/>
      </c>
      <c r="J752" t="str">
        <f>IF($A752="","",IF($D752="V01",cad!$C$33,IF($D752="V02",cad!$D$33,cad!$E$33)))</f>
        <v/>
      </c>
      <c r="K752" t="str">
        <f>IF($A752="","",IF($D752="V01",cad!$C$34,IF($D752="V02",cad!$D$34,cad!$E$34)))</f>
        <v/>
      </c>
      <c r="L752" t="str">
        <f>IF($A752="","",IF($D752="V01",cad!$C$35,IF($D752="V02",cad!$D$35,cad!$E$35)))</f>
        <v/>
      </c>
      <c r="M752" t="str">
        <f>IF($A752="","",IF($D752="V01",cad!$C$36,IF($D752="V02",cad!$D$36,cad!$E$36)))</f>
        <v/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 t="str">
        <f>IF($A753="","",IF($D753="V01",cad!$C$23,IF($D753="V02",cad!$D$23,cad!$E$23)))</f>
        <v/>
      </c>
      <c r="H753" t="str">
        <f>IF($A753="","",IF($D753="V01",cad!$C$24,IF($D753="V02",cad!$D$24,cad!$E$24)))</f>
        <v/>
      </c>
      <c r="I753" t="str">
        <f>IF($A753="","",IF($D753="V01",cad!$C$32,IF($D753="V02",cad!$D$32,cad!$E$32)))</f>
        <v/>
      </c>
      <c r="J753" t="str">
        <f>IF($A753="","",IF($D753="V01",cad!$C$33,IF($D753="V02",cad!$D$33,cad!$E$33)))</f>
        <v/>
      </c>
      <c r="K753" t="str">
        <f>IF($A753="","",IF($D753="V01",cad!$C$34,IF($D753="V02",cad!$D$34,cad!$E$34)))</f>
        <v/>
      </c>
      <c r="L753" t="str">
        <f>IF($A753="","",IF($D753="V01",cad!$C$35,IF($D753="V02",cad!$D$35,cad!$E$35)))</f>
        <v/>
      </c>
      <c r="M753" t="str">
        <f>IF($A753="","",IF($D753="V01",cad!$C$36,IF($D753="V02",cad!$D$36,cad!$E$36)))</f>
        <v/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 t="str">
        <f>IF($A754="","",IF($D754="V01",cad!$C$23,IF($D754="V02",cad!$D$23,cad!$E$23)))</f>
        <v/>
      </c>
      <c r="H754" t="str">
        <f>IF($A754="","",IF($D754="V01",cad!$C$24,IF($D754="V02",cad!$D$24,cad!$E$24)))</f>
        <v/>
      </c>
      <c r="I754" t="str">
        <f>IF($A754="","",IF($D754="V01",cad!$C$32,IF($D754="V02",cad!$D$32,cad!$E$32)))</f>
        <v/>
      </c>
      <c r="J754" t="str">
        <f>IF($A754="","",IF($D754="V01",cad!$C$33,IF($D754="V02",cad!$D$33,cad!$E$33)))</f>
        <v/>
      </c>
      <c r="K754" t="str">
        <f>IF($A754="","",IF($D754="V01",cad!$C$34,IF($D754="V02",cad!$D$34,cad!$E$34)))</f>
        <v/>
      </c>
      <c r="L754" t="str">
        <f>IF($A754="","",IF($D754="V01",cad!$C$35,IF($D754="V02",cad!$D$35,cad!$E$35)))</f>
        <v/>
      </c>
      <c r="M754" t="str">
        <f>IF($A754="","",IF($D754="V01",cad!$C$36,IF($D754="V02",cad!$D$36,cad!$E$36)))</f>
        <v/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 t="str">
        <f>IF($A755="","",IF($D755="V01",cad!$C$23,IF($D755="V02",cad!$D$23,cad!$E$23)))</f>
        <v/>
      </c>
      <c r="H755" t="str">
        <f>IF($A755="","",IF($D755="V01",cad!$C$24,IF($D755="V02",cad!$D$24,cad!$E$24)))</f>
        <v/>
      </c>
      <c r="I755" t="str">
        <f>IF($A755="","",IF($D755="V01",cad!$C$32,IF($D755="V02",cad!$D$32,cad!$E$32)))</f>
        <v/>
      </c>
      <c r="J755" t="str">
        <f>IF($A755="","",IF($D755="V01",cad!$C$33,IF($D755="V02",cad!$D$33,cad!$E$33)))</f>
        <v/>
      </c>
      <c r="K755" t="str">
        <f>IF($A755="","",IF($D755="V01",cad!$C$34,IF($D755="V02",cad!$D$34,cad!$E$34)))</f>
        <v/>
      </c>
      <c r="L755" t="str">
        <f>IF($A755="","",IF($D755="V01",cad!$C$35,IF($D755="V02",cad!$D$35,cad!$E$35)))</f>
        <v/>
      </c>
      <c r="M755" t="str">
        <f>IF($A755="","",IF($D755="V01",cad!$C$36,IF($D755="V02",cad!$D$36,cad!$E$36)))</f>
        <v/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 t="str">
        <f>IF($A756="","",IF($D756="V01",cad!$C$23,IF($D756="V02",cad!$D$23,cad!$E$23)))</f>
        <v/>
      </c>
      <c r="H756" t="str">
        <f>IF($A756="","",IF($D756="V01",cad!$C$24,IF($D756="V02",cad!$D$24,cad!$E$24)))</f>
        <v/>
      </c>
      <c r="I756" t="str">
        <f>IF($A756="","",IF($D756="V01",cad!$C$32,IF($D756="V02",cad!$D$32,cad!$E$32)))</f>
        <v/>
      </c>
      <c r="J756" t="str">
        <f>IF($A756="","",IF($D756="V01",cad!$C$33,IF($D756="V02",cad!$D$33,cad!$E$33)))</f>
        <v/>
      </c>
      <c r="K756" t="str">
        <f>IF($A756="","",IF($D756="V01",cad!$C$34,IF($D756="V02",cad!$D$34,cad!$E$34)))</f>
        <v/>
      </c>
      <c r="L756" t="str">
        <f>IF($A756="","",IF($D756="V01",cad!$C$35,IF($D756="V02",cad!$D$35,cad!$E$35)))</f>
        <v/>
      </c>
      <c r="M756" t="str">
        <f>IF($A756="","",IF($D756="V01",cad!$C$36,IF($D756="V02",cad!$D$36,cad!$E$36)))</f>
        <v/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 t="str">
        <f>IF($A757="","",IF($D757="V01",cad!$C$23,IF($D757="V02",cad!$D$23,cad!$E$23)))</f>
        <v/>
      </c>
      <c r="H757" t="str">
        <f>IF($A757="","",IF($D757="V01",cad!$C$24,IF($D757="V02",cad!$D$24,cad!$E$24)))</f>
        <v/>
      </c>
      <c r="I757" t="str">
        <f>IF($A757="","",IF($D757="V01",cad!$C$32,IF($D757="V02",cad!$D$32,cad!$E$32)))</f>
        <v/>
      </c>
      <c r="J757" t="str">
        <f>IF($A757="","",IF($D757="V01",cad!$C$33,IF($D757="V02",cad!$D$33,cad!$E$33)))</f>
        <v/>
      </c>
      <c r="K757" t="str">
        <f>IF($A757="","",IF($D757="V01",cad!$C$34,IF($D757="V02",cad!$D$34,cad!$E$34)))</f>
        <v/>
      </c>
      <c r="L757" t="str">
        <f>IF($A757="","",IF($D757="V01",cad!$C$35,IF($D757="V02",cad!$D$35,cad!$E$35)))</f>
        <v/>
      </c>
      <c r="M757" t="str">
        <f>IF($A757="","",IF($D757="V01",cad!$C$36,IF($D757="V02",cad!$D$36,cad!$E$36)))</f>
        <v/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 t="str">
        <f>IF($A758="","",IF($D758="V01",cad!$C$23,IF($D758="V02",cad!$D$23,cad!$E$23)))</f>
        <v/>
      </c>
      <c r="H758" t="str">
        <f>IF($A758="","",IF($D758="V01",cad!$C$24,IF($D758="V02",cad!$D$24,cad!$E$24)))</f>
        <v/>
      </c>
      <c r="I758" t="str">
        <f>IF($A758="","",IF($D758="V01",cad!$C$32,IF($D758="V02",cad!$D$32,cad!$E$32)))</f>
        <v/>
      </c>
      <c r="J758" t="str">
        <f>IF($A758="","",IF($D758="V01",cad!$C$33,IF($D758="V02",cad!$D$33,cad!$E$33)))</f>
        <v/>
      </c>
      <c r="K758" t="str">
        <f>IF($A758="","",IF($D758="V01",cad!$C$34,IF($D758="V02",cad!$D$34,cad!$E$34)))</f>
        <v/>
      </c>
      <c r="L758" t="str">
        <f>IF($A758="","",IF($D758="V01",cad!$C$35,IF($D758="V02",cad!$D$35,cad!$E$35)))</f>
        <v/>
      </c>
      <c r="M758" t="str">
        <f>IF($A758="","",IF($D758="V01",cad!$C$36,IF($D758="V02",cad!$D$36,cad!$E$36)))</f>
        <v/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 t="str">
        <f>IF($A759="","",IF($D759="V01",cad!$C$23,IF($D759="V02",cad!$D$23,cad!$E$23)))</f>
        <v/>
      </c>
      <c r="H759" t="str">
        <f>IF($A759="","",IF($D759="V01",cad!$C$24,IF($D759="V02",cad!$D$24,cad!$E$24)))</f>
        <v/>
      </c>
      <c r="I759" t="str">
        <f>IF($A759="","",IF($D759="V01",cad!$C$32,IF($D759="V02",cad!$D$32,cad!$E$32)))</f>
        <v/>
      </c>
      <c r="J759" t="str">
        <f>IF($A759="","",IF($D759="V01",cad!$C$33,IF($D759="V02",cad!$D$33,cad!$E$33)))</f>
        <v/>
      </c>
      <c r="K759" t="str">
        <f>IF($A759="","",IF($D759="V01",cad!$C$34,IF($D759="V02",cad!$D$34,cad!$E$34)))</f>
        <v/>
      </c>
      <c r="L759" t="str">
        <f>IF($A759="","",IF($D759="V01",cad!$C$35,IF($D759="V02",cad!$D$35,cad!$E$35)))</f>
        <v/>
      </c>
      <c r="M759" t="str">
        <f>IF($A759="","",IF($D759="V01",cad!$C$36,IF($D759="V02",cad!$D$36,cad!$E$36)))</f>
        <v/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 t="str">
        <f>IF($A760="","",IF($D760="V01",cad!$C$23,IF($D760="V02",cad!$D$23,cad!$E$23)))</f>
        <v/>
      </c>
      <c r="H760" t="str">
        <f>IF($A760="","",IF($D760="V01",cad!$C$24,IF($D760="V02",cad!$D$24,cad!$E$24)))</f>
        <v/>
      </c>
      <c r="I760" t="str">
        <f>IF($A760="","",IF($D760="V01",cad!$C$32,IF($D760="V02",cad!$D$32,cad!$E$32)))</f>
        <v/>
      </c>
      <c r="J760" t="str">
        <f>IF($A760="","",IF($D760="V01",cad!$C$33,IF($D760="V02",cad!$D$33,cad!$E$33)))</f>
        <v/>
      </c>
      <c r="K760" t="str">
        <f>IF($A760="","",IF($D760="V01",cad!$C$34,IF($D760="V02",cad!$D$34,cad!$E$34)))</f>
        <v/>
      </c>
      <c r="L760" t="str">
        <f>IF($A760="","",IF($D760="V01",cad!$C$35,IF($D760="V02",cad!$D$35,cad!$E$35)))</f>
        <v/>
      </c>
      <c r="M760" t="str">
        <f>IF($A760="","",IF($D760="V01",cad!$C$36,IF($D760="V02",cad!$D$36,cad!$E$36)))</f>
        <v/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 t="str">
        <f>IF($A761="","",IF($D761="V01",cad!$C$23,IF($D761="V02",cad!$D$23,cad!$E$23)))</f>
        <v/>
      </c>
      <c r="H761" t="str">
        <f>IF($A761="","",IF($D761="V01",cad!$C$24,IF($D761="V02",cad!$D$24,cad!$E$24)))</f>
        <v/>
      </c>
      <c r="I761" t="str">
        <f>IF($A761="","",IF($D761="V01",cad!$C$32,IF($D761="V02",cad!$D$32,cad!$E$32)))</f>
        <v/>
      </c>
      <c r="J761" t="str">
        <f>IF($A761="","",IF($D761="V01",cad!$C$33,IF($D761="V02",cad!$D$33,cad!$E$33)))</f>
        <v/>
      </c>
      <c r="K761" t="str">
        <f>IF($A761="","",IF($D761="V01",cad!$C$34,IF($D761="V02",cad!$D$34,cad!$E$34)))</f>
        <v/>
      </c>
      <c r="L761" t="str">
        <f>IF($A761="","",IF($D761="V01",cad!$C$35,IF($D761="V02",cad!$D$35,cad!$E$35)))</f>
        <v/>
      </c>
      <c r="M761" t="str">
        <f>IF($A761="","",IF($D761="V01",cad!$C$36,IF($D761="V02",cad!$D$36,cad!$E$36)))</f>
        <v/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 t="str">
        <f>IF($A762="","",IF($D762="V01",cad!$C$23,IF($D762="V02",cad!$D$23,cad!$E$23)))</f>
        <v/>
      </c>
      <c r="H762" t="str">
        <f>IF($A762="","",IF($D762="V01",cad!$C$24,IF($D762="V02",cad!$D$24,cad!$E$24)))</f>
        <v/>
      </c>
      <c r="I762" t="str">
        <f>IF($A762="","",IF($D762="V01",cad!$C$32,IF($D762="V02",cad!$D$32,cad!$E$32)))</f>
        <v/>
      </c>
      <c r="J762" t="str">
        <f>IF($A762="","",IF($D762="V01",cad!$C$33,IF($D762="V02",cad!$D$33,cad!$E$33)))</f>
        <v/>
      </c>
      <c r="K762" t="str">
        <f>IF($A762="","",IF($D762="V01",cad!$C$34,IF($D762="V02",cad!$D$34,cad!$E$34)))</f>
        <v/>
      </c>
      <c r="L762" t="str">
        <f>IF($A762="","",IF($D762="V01",cad!$C$35,IF($D762="V02",cad!$D$35,cad!$E$35)))</f>
        <v/>
      </c>
      <c r="M762" t="str">
        <f>IF($A762="","",IF($D762="V01",cad!$C$36,IF($D762="V02",cad!$D$36,cad!$E$36)))</f>
        <v/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 t="str">
        <f>IF($A763="","",IF($D763="V01",cad!$C$23,IF($D763="V02",cad!$D$23,cad!$E$23)))</f>
        <v/>
      </c>
      <c r="H763" t="str">
        <f>IF($A763="","",IF($D763="V01",cad!$C$24,IF($D763="V02",cad!$D$24,cad!$E$24)))</f>
        <v/>
      </c>
      <c r="I763" t="str">
        <f>IF($A763="","",IF($D763="V01",cad!$C$32,IF($D763="V02",cad!$D$32,cad!$E$32)))</f>
        <v/>
      </c>
      <c r="J763" t="str">
        <f>IF($A763="","",IF($D763="V01",cad!$C$33,IF($D763="V02",cad!$D$33,cad!$E$33)))</f>
        <v/>
      </c>
      <c r="K763" t="str">
        <f>IF($A763="","",IF($D763="V01",cad!$C$34,IF($D763="V02",cad!$D$34,cad!$E$34)))</f>
        <v/>
      </c>
      <c r="L763" t="str">
        <f>IF($A763="","",IF($D763="V01",cad!$C$35,IF($D763="V02",cad!$D$35,cad!$E$35)))</f>
        <v/>
      </c>
      <c r="M763" t="str">
        <f>IF($A763="","",IF($D763="V01",cad!$C$36,IF($D763="V02",cad!$D$36,cad!$E$36)))</f>
        <v/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 t="str">
        <f>IF($A764="","",IF($D764="V01",cad!$C$23,IF($D764="V02",cad!$D$23,cad!$E$23)))</f>
        <v/>
      </c>
      <c r="H764" t="str">
        <f>IF($A764="","",IF($D764="V01",cad!$C$24,IF($D764="V02",cad!$D$24,cad!$E$24)))</f>
        <v/>
      </c>
      <c r="I764" t="str">
        <f>IF($A764="","",IF($D764="V01",cad!$C$32,IF($D764="V02",cad!$D$32,cad!$E$32)))</f>
        <v/>
      </c>
      <c r="J764" t="str">
        <f>IF($A764="","",IF($D764="V01",cad!$C$33,IF($D764="V02",cad!$D$33,cad!$E$33)))</f>
        <v/>
      </c>
      <c r="K764" t="str">
        <f>IF($A764="","",IF($D764="V01",cad!$C$34,IF($D764="V02",cad!$D$34,cad!$E$34)))</f>
        <v/>
      </c>
      <c r="L764" t="str">
        <f>IF($A764="","",IF($D764="V01",cad!$C$35,IF($D764="V02",cad!$D$35,cad!$E$35)))</f>
        <v/>
      </c>
      <c r="M764" t="str">
        <f>IF($A764="","",IF($D764="V01",cad!$C$36,IF($D764="V02",cad!$D$36,cad!$E$36)))</f>
        <v/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 t="str">
        <f>IF($A765="","",IF($D765="V01",cad!$C$23,IF($D765="V02",cad!$D$23,cad!$E$23)))</f>
        <v/>
      </c>
      <c r="H765" t="str">
        <f>IF($A765="","",IF($D765="V01",cad!$C$24,IF($D765="V02",cad!$D$24,cad!$E$24)))</f>
        <v/>
      </c>
      <c r="I765" t="str">
        <f>IF($A765="","",IF($D765="V01",cad!$C$32,IF($D765="V02",cad!$D$32,cad!$E$32)))</f>
        <v/>
      </c>
      <c r="J765" t="str">
        <f>IF($A765="","",IF($D765="V01",cad!$C$33,IF($D765="V02",cad!$D$33,cad!$E$33)))</f>
        <v/>
      </c>
      <c r="K765" t="str">
        <f>IF($A765="","",IF($D765="V01",cad!$C$34,IF($D765="V02",cad!$D$34,cad!$E$34)))</f>
        <v/>
      </c>
      <c r="L765" t="str">
        <f>IF($A765="","",IF($D765="V01",cad!$C$35,IF($D765="V02",cad!$D$35,cad!$E$35)))</f>
        <v/>
      </c>
      <c r="M765" t="str">
        <f>IF($A765="","",IF($D765="V01",cad!$C$36,IF($D765="V02",cad!$D$36,cad!$E$36)))</f>
        <v/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 t="str">
        <f>IF($A766="","",IF($D766="V01",cad!$C$23,IF($D766="V02",cad!$D$23,cad!$E$23)))</f>
        <v/>
      </c>
      <c r="H766" t="str">
        <f>IF($A766="","",IF($D766="V01",cad!$C$24,IF($D766="V02",cad!$D$24,cad!$E$24)))</f>
        <v/>
      </c>
      <c r="I766" t="str">
        <f>IF($A766="","",IF($D766="V01",cad!$C$32,IF($D766="V02",cad!$D$32,cad!$E$32)))</f>
        <v/>
      </c>
      <c r="J766" t="str">
        <f>IF($A766="","",IF($D766="V01",cad!$C$33,IF($D766="V02",cad!$D$33,cad!$E$33)))</f>
        <v/>
      </c>
      <c r="K766" t="str">
        <f>IF($A766="","",IF($D766="V01",cad!$C$34,IF($D766="V02",cad!$D$34,cad!$E$34)))</f>
        <v/>
      </c>
      <c r="L766" t="str">
        <f>IF($A766="","",IF($D766="V01",cad!$C$35,IF($D766="V02",cad!$D$35,cad!$E$35)))</f>
        <v/>
      </c>
      <c r="M766" t="str">
        <f>IF($A766="","",IF($D766="V01",cad!$C$36,IF($D766="V02",cad!$D$36,cad!$E$36)))</f>
        <v/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 t="str">
        <f>IF($A767="","",IF($D767="V01",cad!$C$23,IF($D767="V02",cad!$D$23,cad!$E$23)))</f>
        <v/>
      </c>
      <c r="H767" t="str">
        <f>IF($A767="","",IF($D767="V01",cad!$C$24,IF($D767="V02",cad!$D$24,cad!$E$24)))</f>
        <v/>
      </c>
      <c r="I767" t="str">
        <f>IF($A767="","",IF($D767="V01",cad!$C$32,IF($D767="V02",cad!$D$32,cad!$E$32)))</f>
        <v/>
      </c>
      <c r="J767" t="str">
        <f>IF($A767="","",IF($D767="V01",cad!$C$33,IF($D767="V02",cad!$D$33,cad!$E$33)))</f>
        <v/>
      </c>
      <c r="K767" t="str">
        <f>IF($A767="","",IF($D767="V01",cad!$C$34,IF($D767="V02",cad!$D$34,cad!$E$34)))</f>
        <v/>
      </c>
      <c r="L767" t="str">
        <f>IF($A767="","",IF($D767="V01",cad!$C$35,IF($D767="V02",cad!$D$35,cad!$E$35)))</f>
        <v/>
      </c>
      <c r="M767" t="str">
        <f>IF($A767="","",IF($D767="V01",cad!$C$36,IF($D767="V02",cad!$D$36,cad!$E$36)))</f>
        <v/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 t="str">
        <f>IF($A768="","",IF($D768="V01",cad!$C$23,IF($D768="V02",cad!$D$23,cad!$E$23)))</f>
        <v/>
      </c>
      <c r="H768" t="str">
        <f>IF($A768="","",IF($D768="V01",cad!$C$24,IF($D768="V02",cad!$D$24,cad!$E$24)))</f>
        <v/>
      </c>
      <c r="I768" t="str">
        <f>IF($A768="","",IF($D768="V01",cad!$C$32,IF($D768="V02",cad!$D$32,cad!$E$32)))</f>
        <v/>
      </c>
      <c r="J768" t="str">
        <f>IF($A768="","",IF($D768="V01",cad!$C$33,IF($D768="V02",cad!$D$33,cad!$E$33)))</f>
        <v/>
      </c>
      <c r="K768" t="str">
        <f>IF($A768="","",IF($D768="V01",cad!$C$34,IF($D768="V02",cad!$D$34,cad!$E$34)))</f>
        <v/>
      </c>
      <c r="L768" t="str">
        <f>IF($A768="","",IF($D768="V01",cad!$C$35,IF($D768="V02",cad!$D$35,cad!$E$35)))</f>
        <v/>
      </c>
      <c r="M768" t="str">
        <f>IF($A768="","",IF($D768="V01",cad!$C$36,IF($D768="V02",cad!$D$36,cad!$E$36)))</f>
        <v/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 t="str">
        <f>IF($A769="","",IF($D769="V01",cad!$C$23,IF($D769="V02",cad!$D$23,cad!$E$23)))</f>
        <v/>
      </c>
      <c r="H769" t="str">
        <f>IF($A769="","",IF($D769="V01",cad!$C$24,IF($D769="V02",cad!$D$24,cad!$E$24)))</f>
        <v/>
      </c>
      <c r="I769" t="str">
        <f>IF($A769="","",IF($D769="V01",cad!$C$32,IF($D769="V02",cad!$D$32,cad!$E$32)))</f>
        <v/>
      </c>
      <c r="J769" t="str">
        <f>IF($A769="","",IF($D769="V01",cad!$C$33,IF($D769="V02",cad!$D$33,cad!$E$33)))</f>
        <v/>
      </c>
      <c r="K769" t="str">
        <f>IF($A769="","",IF($D769="V01",cad!$C$34,IF($D769="V02",cad!$D$34,cad!$E$34)))</f>
        <v/>
      </c>
      <c r="L769" t="str">
        <f>IF($A769="","",IF($D769="V01",cad!$C$35,IF($D769="V02",cad!$D$35,cad!$E$35)))</f>
        <v/>
      </c>
      <c r="M769" t="str">
        <f>IF($A769="","",IF($D769="V01",cad!$C$36,IF($D769="V02",cad!$D$36,cad!$E$36)))</f>
        <v/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 t="str">
        <f>IF($A770="","",IF($D770="V01",cad!$C$23,IF($D770="V02",cad!$D$23,cad!$E$23)))</f>
        <v/>
      </c>
      <c r="H770" t="str">
        <f>IF($A770="","",IF($D770="V01",cad!$C$24,IF($D770="V02",cad!$D$24,cad!$E$24)))</f>
        <v/>
      </c>
      <c r="I770" t="str">
        <f>IF($A770="","",IF($D770="V01",cad!$C$32,IF($D770="V02",cad!$D$32,cad!$E$32)))</f>
        <v/>
      </c>
      <c r="J770" t="str">
        <f>IF($A770="","",IF($D770="V01",cad!$C$33,IF($D770="V02",cad!$D$33,cad!$E$33)))</f>
        <v/>
      </c>
      <c r="K770" t="str">
        <f>IF($A770="","",IF($D770="V01",cad!$C$34,IF($D770="V02",cad!$D$34,cad!$E$34)))</f>
        <v/>
      </c>
      <c r="L770" t="str">
        <f>IF($A770="","",IF($D770="V01",cad!$C$35,IF($D770="V02",cad!$D$35,cad!$E$35)))</f>
        <v/>
      </c>
      <c r="M770" t="str">
        <f>IF($A770="","",IF($D770="V01",cad!$C$36,IF($D770="V02",cad!$D$36,cad!$E$36)))</f>
        <v/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 t="str">
        <f>IF($A771="","",IF($D771="V01",cad!$C$23,IF($D771="V02",cad!$D$23,cad!$E$23)))</f>
        <v/>
      </c>
      <c r="H771" t="str">
        <f>IF($A771="","",IF($D771="V01",cad!$C$24,IF($D771="V02",cad!$D$24,cad!$E$24)))</f>
        <v/>
      </c>
      <c r="I771" t="str">
        <f>IF($A771="","",IF($D771="V01",cad!$C$32,IF($D771="V02",cad!$D$32,cad!$E$32)))</f>
        <v/>
      </c>
      <c r="J771" t="str">
        <f>IF($A771="","",IF($D771="V01",cad!$C$33,IF($D771="V02",cad!$D$33,cad!$E$33)))</f>
        <v/>
      </c>
      <c r="K771" t="str">
        <f>IF($A771="","",IF($D771="V01",cad!$C$34,IF($D771="V02",cad!$D$34,cad!$E$34)))</f>
        <v/>
      </c>
      <c r="L771" t="str">
        <f>IF($A771="","",IF($D771="V01",cad!$C$35,IF($D771="V02",cad!$D$35,cad!$E$35)))</f>
        <v/>
      </c>
      <c r="M771" t="str">
        <f>IF($A771="","",IF($D771="V01",cad!$C$36,IF($D771="V02",cad!$D$36,cad!$E$36)))</f>
        <v/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 t="str">
        <f>IF($A772="","",IF($D772="V01",cad!$C$23,IF($D772="V02",cad!$D$23,cad!$E$23)))</f>
        <v/>
      </c>
      <c r="H772" t="str">
        <f>IF($A772="","",IF($D772="V01",cad!$C$24,IF($D772="V02",cad!$D$24,cad!$E$24)))</f>
        <v/>
      </c>
      <c r="I772" t="str">
        <f>IF($A772="","",IF($D772="V01",cad!$C$32,IF($D772="V02",cad!$D$32,cad!$E$32)))</f>
        <v/>
      </c>
      <c r="J772" t="str">
        <f>IF($A772="","",IF($D772="V01",cad!$C$33,IF($D772="V02",cad!$D$33,cad!$E$33)))</f>
        <v/>
      </c>
      <c r="K772" t="str">
        <f>IF($A772="","",IF($D772="V01",cad!$C$34,IF($D772="V02",cad!$D$34,cad!$E$34)))</f>
        <v/>
      </c>
      <c r="L772" t="str">
        <f>IF($A772="","",IF($D772="V01",cad!$C$35,IF($D772="V02",cad!$D$35,cad!$E$35)))</f>
        <v/>
      </c>
      <c r="M772" t="str">
        <f>IF($A772="","",IF($D772="V01",cad!$C$36,IF($D772="V02",cad!$D$36,cad!$E$36)))</f>
        <v/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 t="str">
        <f>IF($A773="","",IF($D773="V01",cad!$C$23,IF($D773="V02",cad!$D$23,cad!$E$23)))</f>
        <v/>
      </c>
      <c r="H773" t="str">
        <f>IF($A773="","",IF($D773="V01",cad!$C$24,IF($D773="V02",cad!$D$24,cad!$E$24)))</f>
        <v/>
      </c>
      <c r="I773" t="str">
        <f>IF($A773="","",IF($D773="V01",cad!$C$32,IF($D773="V02",cad!$D$32,cad!$E$32)))</f>
        <v/>
      </c>
      <c r="J773" t="str">
        <f>IF($A773="","",IF($D773="V01",cad!$C$33,IF($D773="V02",cad!$D$33,cad!$E$33)))</f>
        <v/>
      </c>
      <c r="K773" t="str">
        <f>IF($A773="","",IF($D773="V01",cad!$C$34,IF($D773="V02",cad!$D$34,cad!$E$34)))</f>
        <v/>
      </c>
      <c r="L773" t="str">
        <f>IF($A773="","",IF($D773="V01",cad!$C$35,IF($D773="V02",cad!$D$35,cad!$E$35)))</f>
        <v/>
      </c>
      <c r="M773" t="str">
        <f>IF($A773="","",IF($D773="V01",cad!$C$36,IF($D773="V02",cad!$D$36,cad!$E$36)))</f>
        <v/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 t="str">
        <f>IF($A774="","",IF($D774="V01",cad!$C$23,IF($D774="V02",cad!$D$23,cad!$E$23)))</f>
        <v/>
      </c>
      <c r="H774" t="str">
        <f>IF($A774="","",IF($D774="V01",cad!$C$24,IF($D774="V02",cad!$D$24,cad!$E$24)))</f>
        <v/>
      </c>
      <c r="I774" t="str">
        <f>IF($A774="","",IF($D774="V01",cad!$C$32,IF($D774="V02",cad!$D$32,cad!$E$32)))</f>
        <v/>
      </c>
      <c r="J774" t="str">
        <f>IF($A774="","",IF($D774="V01",cad!$C$33,IF($D774="V02",cad!$D$33,cad!$E$33)))</f>
        <v/>
      </c>
      <c r="K774" t="str">
        <f>IF($A774="","",IF($D774="V01",cad!$C$34,IF($D774="V02",cad!$D$34,cad!$E$34)))</f>
        <v/>
      </c>
      <c r="L774" t="str">
        <f>IF($A774="","",IF($D774="V01",cad!$C$35,IF($D774="V02",cad!$D$35,cad!$E$35)))</f>
        <v/>
      </c>
      <c r="M774" t="str">
        <f>IF($A774="","",IF($D774="V01",cad!$C$36,IF($D774="V02",cad!$D$36,cad!$E$36)))</f>
        <v/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 t="str">
        <f>IF($A775="","",IF($D775="V01",cad!$C$23,IF($D775="V02",cad!$D$23,cad!$E$23)))</f>
        <v/>
      </c>
      <c r="H775" t="str">
        <f>IF($A775="","",IF($D775="V01",cad!$C$24,IF($D775="V02",cad!$D$24,cad!$E$24)))</f>
        <v/>
      </c>
      <c r="I775" t="str">
        <f>IF($A775="","",IF($D775="V01",cad!$C$32,IF($D775="V02",cad!$D$32,cad!$E$32)))</f>
        <v/>
      </c>
      <c r="J775" t="str">
        <f>IF($A775="","",IF($D775="V01",cad!$C$33,IF($D775="V02",cad!$D$33,cad!$E$33)))</f>
        <v/>
      </c>
      <c r="K775" t="str">
        <f>IF($A775="","",IF($D775="V01",cad!$C$34,IF($D775="V02",cad!$D$34,cad!$E$34)))</f>
        <v/>
      </c>
      <c r="L775" t="str">
        <f>IF($A775="","",IF($D775="V01",cad!$C$35,IF($D775="V02",cad!$D$35,cad!$E$35)))</f>
        <v/>
      </c>
      <c r="M775" t="str">
        <f>IF($A775="","",IF($D775="V01",cad!$C$36,IF($D775="V02",cad!$D$36,cad!$E$36)))</f>
        <v/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 t="str">
        <f>IF($A776="","",IF($D776="V01",cad!$C$23,IF($D776="V02",cad!$D$23,cad!$E$23)))</f>
        <v/>
      </c>
      <c r="H776" t="str">
        <f>IF($A776="","",IF($D776="V01",cad!$C$24,IF($D776="V02",cad!$D$24,cad!$E$24)))</f>
        <v/>
      </c>
      <c r="I776" t="str">
        <f>IF($A776="","",IF($D776="V01",cad!$C$32,IF($D776="V02",cad!$D$32,cad!$E$32)))</f>
        <v/>
      </c>
      <c r="J776" t="str">
        <f>IF($A776="","",IF($D776="V01",cad!$C$33,IF($D776="V02",cad!$D$33,cad!$E$33)))</f>
        <v/>
      </c>
      <c r="K776" t="str">
        <f>IF($A776="","",IF($D776="V01",cad!$C$34,IF($D776="V02",cad!$D$34,cad!$E$34)))</f>
        <v/>
      </c>
      <c r="L776" t="str">
        <f>IF($A776="","",IF($D776="V01",cad!$C$35,IF($D776="V02",cad!$D$35,cad!$E$35)))</f>
        <v/>
      </c>
      <c r="M776" t="str">
        <f>IF($A776="","",IF($D776="V01",cad!$C$36,IF($D776="V02",cad!$D$36,cad!$E$36)))</f>
        <v/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 t="str">
        <f>IF($A777="","",IF($D777="V01",cad!$C$23,IF($D777="V02",cad!$D$23,cad!$E$23)))</f>
        <v/>
      </c>
      <c r="H777" t="str">
        <f>IF($A777="","",IF($D777="V01",cad!$C$24,IF($D777="V02",cad!$D$24,cad!$E$24)))</f>
        <v/>
      </c>
      <c r="I777" t="str">
        <f>IF($A777="","",IF($D777="V01",cad!$C$32,IF($D777="V02",cad!$D$32,cad!$E$32)))</f>
        <v/>
      </c>
      <c r="J777" t="str">
        <f>IF($A777="","",IF($D777="V01",cad!$C$33,IF($D777="V02",cad!$D$33,cad!$E$33)))</f>
        <v/>
      </c>
      <c r="K777" t="str">
        <f>IF($A777="","",IF($D777="V01",cad!$C$34,IF($D777="V02",cad!$D$34,cad!$E$34)))</f>
        <v/>
      </c>
      <c r="L777" t="str">
        <f>IF($A777="","",IF($D777="V01",cad!$C$35,IF($D777="V02",cad!$D$35,cad!$E$35)))</f>
        <v/>
      </c>
      <c r="M777" t="str">
        <f>IF($A777="","",IF($D777="V01",cad!$C$36,IF($D777="V02",cad!$D$36,cad!$E$36)))</f>
        <v/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 t="str">
        <f>IF($A778="","",IF($D778="V01",cad!$C$23,IF($D778="V02",cad!$D$23,cad!$E$23)))</f>
        <v/>
      </c>
      <c r="H778" t="str">
        <f>IF($A778="","",IF($D778="V01",cad!$C$24,IF($D778="V02",cad!$D$24,cad!$E$24)))</f>
        <v/>
      </c>
      <c r="I778" t="str">
        <f>IF($A778="","",IF($D778="V01",cad!$C$32,IF($D778="V02",cad!$D$32,cad!$E$32)))</f>
        <v/>
      </c>
      <c r="J778" t="str">
        <f>IF($A778="","",IF($D778="V01",cad!$C$33,IF($D778="V02",cad!$D$33,cad!$E$33)))</f>
        <v/>
      </c>
      <c r="K778" t="str">
        <f>IF($A778="","",IF($D778="V01",cad!$C$34,IF($D778="V02",cad!$D$34,cad!$E$34)))</f>
        <v/>
      </c>
      <c r="L778" t="str">
        <f>IF($A778="","",IF($D778="V01",cad!$C$35,IF($D778="V02",cad!$D$35,cad!$E$35)))</f>
        <v/>
      </c>
      <c r="M778" t="str">
        <f>IF($A778="","",IF($D778="V01",cad!$C$36,IF($D778="V02",cad!$D$36,cad!$E$36)))</f>
        <v/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 t="str">
        <f>IF($A779="","",IF($D779="V01",cad!$C$23,IF($D779="V02",cad!$D$23,cad!$E$23)))</f>
        <v/>
      </c>
      <c r="H779" t="str">
        <f>IF($A779="","",IF($D779="V01",cad!$C$24,IF($D779="V02",cad!$D$24,cad!$E$24)))</f>
        <v/>
      </c>
      <c r="I779" t="str">
        <f>IF($A779="","",IF($D779="V01",cad!$C$32,IF($D779="V02",cad!$D$32,cad!$E$32)))</f>
        <v/>
      </c>
      <c r="J779" t="str">
        <f>IF($A779="","",IF($D779="V01",cad!$C$33,IF($D779="V02",cad!$D$33,cad!$E$33)))</f>
        <v/>
      </c>
      <c r="K779" t="str">
        <f>IF($A779="","",IF($D779="V01",cad!$C$34,IF($D779="V02",cad!$D$34,cad!$E$34)))</f>
        <v/>
      </c>
      <c r="L779" t="str">
        <f>IF($A779="","",IF($D779="V01",cad!$C$35,IF($D779="V02",cad!$D$35,cad!$E$35)))</f>
        <v/>
      </c>
      <c r="M779" t="str">
        <f>IF($A779="","",IF($D779="V01",cad!$C$36,IF($D779="V02",cad!$D$36,cad!$E$36)))</f>
        <v/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 t="str">
        <f>IF($A780="","",IF($D780="V01",cad!$C$23,IF($D780="V02",cad!$D$23,cad!$E$23)))</f>
        <v/>
      </c>
      <c r="H780" t="str">
        <f>IF($A780="","",IF($D780="V01",cad!$C$24,IF($D780="V02",cad!$D$24,cad!$E$24)))</f>
        <v/>
      </c>
      <c r="I780" t="str">
        <f>IF($A780="","",IF($D780="V01",cad!$C$32,IF($D780="V02",cad!$D$32,cad!$E$32)))</f>
        <v/>
      </c>
      <c r="J780" t="str">
        <f>IF($A780="","",IF($D780="V01",cad!$C$33,IF($D780="V02",cad!$D$33,cad!$E$33)))</f>
        <v/>
      </c>
      <c r="K780" t="str">
        <f>IF($A780="","",IF($D780="V01",cad!$C$34,IF($D780="V02",cad!$D$34,cad!$E$34)))</f>
        <v/>
      </c>
      <c r="L780" t="str">
        <f>IF($A780="","",IF($D780="V01",cad!$C$35,IF($D780="V02",cad!$D$35,cad!$E$35)))</f>
        <v/>
      </c>
      <c r="M780" t="str">
        <f>IF($A780="","",IF($D780="V01",cad!$C$36,IF($D780="V02",cad!$D$36,cad!$E$36)))</f>
        <v/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 t="str">
        <f>IF($A781="","",IF($D781="V01",cad!$C$23,IF($D781="V02",cad!$D$23,cad!$E$23)))</f>
        <v/>
      </c>
      <c r="H781" t="str">
        <f>IF($A781="","",IF($D781="V01",cad!$C$24,IF($D781="V02",cad!$D$24,cad!$E$24)))</f>
        <v/>
      </c>
      <c r="I781" t="str">
        <f>IF($A781="","",IF($D781="V01",cad!$C$32,IF($D781="V02",cad!$D$32,cad!$E$32)))</f>
        <v/>
      </c>
      <c r="J781" t="str">
        <f>IF($A781="","",IF($D781="V01",cad!$C$33,IF($D781="V02",cad!$D$33,cad!$E$33)))</f>
        <v/>
      </c>
      <c r="K781" t="str">
        <f>IF($A781="","",IF($D781="V01",cad!$C$34,IF($D781="V02",cad!$D$34,cad!$E$34)))</f>
        <v/>
      </c>
      <c r="L781" t="str">
        <f>IF($A781="","",IF($D781="V01",cad!$C$35,IF($D781="V02",cad!$D$35,cad!$E$35)))</f>
        <v/>
      </c>
      <c r="M781" t="str">
        <f>IF($A781="","",IF($D781="V01",cad!$C$36,IF($D781="V02",cad!$D$36,cad!$E$36)))</f>
        <v/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 t="str">
        <f>IF($A782="","",IF($D782="V01",cad!$C$23,IF($D782="V02",cad!$D$23,cad!$E$23)))</f>
        <v/>
      </c>
      <c r="H782" t="str">
        <f>IF($A782="","",IF($D782="V01",cad!$C$24,IF($D782="V02",cad!$D$24,cad!$E$24)))</f>
        <v/>
      </c>
      <c r="I782" t="str">
        <f>IF($A782="","",IF($D782="V01",cad!$C$32,IF($D782="V02",cad!$D$32,cad!$E$32)))</f>
        <v/>
      </c>
      <c r="J782" t="str">
        <f>IF($A782="","",IF($D782="V01",cad!$C$33,IF($D782="V02",cad!$D$33,cad!$E$33)))</f>
        <v/>
      </c>
      <c r="K782" t="str">
        <f>IF($A782="","",IF($D782="V01",cad!$C$34,IF($D782="V02",cad!$D$34,cad!$E$34)))</f>
        <v/>
      </c>
      <c r="L782" t="str">
        <f>IF($A782="","",IF($D782="V01",cad!$C$35,IF($D782="V02",cad!$D$35,cad!$E$35)))</f>
        <v/>
      </c>
      <c r="M782" t="str">
        <f>IF($A782="","",IF($D782="V01",cad!$C$36,IF($D782="V02",cad!$D$36,cad!$E$36)))</f>
        <v/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 t="str">
        <f>IF($A783="","",IF($D783="V01",cad!$C$23,IF($D783="V02",cad!$D$23,cad!$E$23)))</f>
        <v/>
      </c>
      <c r="H783" t="str">
        <f>IF($A783="","",IF($D783="V01",cad!$C$24,IF($D783="V02",cad!$D$24,cad!$E$24)))</f>
        <v/>
      </c>
      <c r="I783" t="str">
        <f>IF($A783="","",IF($D783="V01",cad!$C$32,IF($D783="V02",cad!$D$32,cad!$E$32)))</f>
        <v/>
      </c>
      <c r="J783" t="str">
        <f>IF($A783="","",IF($D783="V01",cad!$C$33,IF($D783="V02",cad!$D$33,cad!$E$33)))</f>
        <v/>
      </c>
      <c r="K783" t="str">
        <f>IF($A783="","",IF($D783="V01",cad!$C$34,IF($D783="V02",cad!$D$34,cad!$E$34)))</f>
        <v/>
      </c>
      <c r="L783" t="str">
        <f>IF($A783="","",IF($D783="V01",cad!$C$35,IF($D783="V02",cad!$D$35,cad!$E$35)))</f>
        <v/>
      </c>
      <c r="M783" t="str">
        <f>IF($A783="","",IF($D783="V01",cad!$C$36,IF($D783="V02",cad!$D$36,cad!$E$36)))</f>
        <v/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 t="str">
        <f>IF($A784="","",IF($D784="V01",cad!$C$23,IF($D784="V02",cad!$D$23,cad!$E$23)))</f>
        <v/>
      </c>
      <c r="H784" t="str">
        <f>IF($A784="","",IF($D784="V01",cad!$C$24,IF($D784="V02",cad!$D$24,cad!$E$24)))</f>
        <v/>
      </c>
      <c r="I784" t="str">
        <f>IF($A784="","",IF($D784="V01",cad!$C$32,IF($D784="V02",cad!$D$32,cad!$E$32)))</f>
        <v/>
      </c>
      <c r="J784" t="str">
        <f>IF($A784="","",IF($D784="V01",cad!$C$33,IF($D784="V02",cad!$D$33,cad!$E$33)))</f>
        <v/>
      </c>
      <c r="K784" t="str">
        <f>IF($A784="","",IF($D784="V01",cad!$C$34,IF($D784="V02",cad!$D$34,cad!$E$34)))</f>
        <v/>
      </c>
      <c r="L784" t="str">
        <f>IF($A784="","",IF($D784="V01",cad!$C$35,IF($D784="V02",cad!$D$35,cad!$E$35)))</f>
        <v/>
      </c>
      <c r="M784" t="str">
        <f>IF($A784="","",IF($D784="V01",cad!$C$36,IF($D784="V02",cad!$D$36,cad!$E$36)))</f>
        <v/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 t="str">
        <f>IF($A785="","",IF($D785="V01",cad!$C$23,IF($D785="V02",cad!$D$23,cad!$E$23)))</f>
        <v/>
      </c>
      <c r="H785" t="str">
        <f>IF($A785="","",IF($D785="V01",cad!$C$24,IF($D785="V02",cad!$D$24,cad!$E$24)))</f>
        <v/>
      </c>
      <c r="I785" t="str">
        <f>IF($A785="","",IF($D785="V01",cad!$C$32,IF($D785="V02",cad!$D$32,cad!$E$32)))</f>
        <v/>
      </c>
      <c r="J785" t="str">
        <f>IF($A785="","",IF($D785="V01",cad!$C$33,IF($D785="V02",cad!$D$33,cad!$E$33)))</f>
        <v/>
      </c>
      <c r="K785" t="str">
        <f>IF($A785="","",IF($D785="V01",cad!$C$34,IF($D785="V02",cad!$D$34,cad!$E$34)))</f>
        <v/>
      </c>
      <c r="L785" t="str">
        <f>IF($A785="","",IF($D785="V01",cad!$C$35,IF($D785="V02",cad!$D$35,cad!$E$35)))</f>
        <v/>
      </c>
      <c r="M785" t="str">
        <f>IF($A785="","",IF($D785="V01",cad!$C$36,IF($D785="V02",cad!$D$36,cad!$E$36)))</f>
        <v/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 t="str">
        <f>IF($A786="","",IF($D786="V01",cad!$C$23,IF($D786="V02",cad!$D$23,cad!$E$23)))</f>
        <v/>
      </c>
      <c r="H786" t="str">
        <f>IF($A786="","",IF($D786="V01",cad!$C$24,IF($D786="V02",cad!$D$24,cad!$E$24)))</f>
        <v/>
      </c>
      <c r="I786" t="str">
        <f>IF($A786="","",IF($D786="V01",cad!$C$32,IF($D786="V02",cad!$D$32,cad!$E$32)))</f>
        <v/>
      </c>
      <c r="J786" t="str">
        <f>IF($A786="","",IF($D786="V01",cad!$C$33,IF($D786="V02",cad!$D$33,cad!$E$33)))</f>
        <v/>
      </c>
      <c r="K786" t="str">
        <f>IF($A786="","",IF($D786="V01",cad!$C$34,IF($D786="V02",cad!$D$34,cad!$E$34)))</f>
        <v/>
      </c>
      <c r="L786" t="str">
        <f>IF($A786="","",IF($D786="V01",cad!$C$35,IF($D786="V02",cad!$D$35,cad!$E$35)))</f>
        <v/>
      </c>
      <c r="M786" t="str">
        <f>IF($A786="","",IF($D786="V01",cad!$C$36,IF($D786="V02",cad!$D$36,cad!$E$36)))</f>
        <v/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 t="str">
        <f>IF($A787="","",IF($D787="V01",cad!$C$23,IF($D787="V02",cad!$D$23,cad!$E$23)))</f>
        <v/>
      </c>
      <c r="H787" t="str">
        <f>IF($A787="","",IF($D787="V01",cad!$C$24,IF($D787="V02",cad!$D$24,cad!$E$24)))</f>
        <v/>
      </c>
      <c r="I787" t="str">
        <f>IF($A787="","",IF($D787="V01",cad!$C$32,IF($D787="V02",cad!$D$32,cad!$E$32)))</f>
        <v/>
      </c>
      <c r="J787" t="str">
        <f>IF($A787="","",IF($D787="V01",cad!$C$33,IF($D787="V02",cad!$D$33,cad!$E$33)))</f>
        <v/>
      </c>
      <c r="K787" t="str">
        <f>IF($A787="","",IF($D787="V01",cad!$C$34,IF($D787="V02",cad!$D$34,cad!$E$34)))</f>
        <v/>
      </c>
      <c r="L787" t="str">
        <f>IF($A787="","",IF($D787="V01",cad!$C$35,IF($D787="V02",cad!$D$35,cad!$E$35)))</f>
        <v/>
      </c>
      <c r="M787" t="str">
        <f>IF($A787="","",IF($D787="V01",cad!$C$36,IF($D787="V02",cad!$D$36,cad!$E$36)))</f>
        <v/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 t="str">
        <f>IF($A788="","",IF($D788="V01",cad!$C$23,IF($D788="V02",cad!$D$23,cad!$E$23)))</f>
        <v/>
      </c>
      <c r="H788" t="str">
        <f>IF($A788="","",IF($D788="V01",cad!$C$24,IF($D788="V02",cad!$D$24,cad!$E$24)))</f>
        <v/>
      </c>
      <c r="I788" t="str">
        <f>IF($A788="","",IF($D788="V01",cad!$C$32,IF($D788="V02",cad!$D$32,cad!$E$32)))</f>
        <v/>
      </c>
      <c r="J788" t="str">
        <f>IF($A788="","",IF($D788="V01",cad!$C$33,IF($D788="V02",cad!$D$33,cad!$E$33)))</f>
        <v/>
      </c>
      <c r="K788" t="str">
        <f>IF($A788="","",IF($D788="V01",cad!$C$34,IF($D788="V02",cad!$D$34,cad!$E$34)))</f>
        <v/>
      </c>
      <c r="L788" t="str">
        <f>IF($A788="","",IF($D788="V01",cad!$C$35,IF($D788="V02",cad!$D$35,cad!$E$35)))</f>
        <v/>
      </c>
      <c r="M788" t="str">
        <f>IF($A788="","",IF($D788="V01",cad!$C$36,IF($D788="V02",cad!$D$36,cad!$E$36)))</f>
        <v/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 t="str">
        <f>IF($A789="","",IF($D789="V01",cad!$C$23,IF($D789="V02",cad!$D$23,cad!$E$23)))</f>
        <v/>
      </c>
      <c r="H789" t="str">
        <f>IF($A789="","",IF($D789="V01",cad!$C$24,IF($D789="V02",cad!$D$24,cad!$E$24)))</f>
        <v/>
      </c>
      <c r="I789" t="str">
        <f>IF($A789="","",IF($D789="V01",cad!$C$32,IF($D789="V02",cad!$D$32,cad!$E$32)))</f>
        <v/>
      </c>
      <c r="J789" t="str">
        <f>IF($A789="","",IF($D789="V01",cad!$C$33,IF($D789="V02",cad!$D$33,cad!$E$33)))</f>
        <v/>
      </c>
      <c r="K789" t="str">
        <f>IF($A789="","",IF($D789="V01",cad!$C$34,IF($D789="V02",cad!$D$34,cad!$E$34)))</f>
        <v/>
      </c>
      <c r="L789" t="str">
        <f>IF($A789="","",IF($D789="V01",cad!$C$35,IF($D789="V02",cad!$D$35,cad!$E$35)))</f>
        <v/>
      </c>
      <c r="M789" t="str">
        <f>IF($A789="","",IF($D789="V01",cad!$C$36,IF($D789="V02",cad!$D$36,cad!$E$36)))</f>
        <v/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 t="str">
        <f>IF($A790="","",IF($D790="V01",cad!$C$23,IF($D790="V02",cad!$D$23,cad!$E$23)))</f>
        <v/>
      </c>
      <c r="H790" t="str">
        <f>IF($A790="","",IF($D790="V01",cad!$C$24,IF($D790="V02",cad!$D$24,cad!$E$24)))</f>
        <v/>
      </c>
      <c r="I790" t="str">
        <f>IF($A790="","",IF($D790="V01",cad!$C$32,IF($D790="V02",cad!$D$32,cad!$E$32)))</f>
        <v/>
      </c>
      <c r="J790" t="str">
        <f>IF($A790="","",IF($D790="V01",cad!$C$33,IF($D790="V02",cad!$D$33,cad!$E$33)))</f>
        <v/>
      </c>
      <c r="K790" t="str">
        <f>IF($A790="","",IF($D790="V01",cad!$C$34,IF($D790="V02",cad!$D$34,cad!$E$34)))</f>
        <v/>
      </c>
      <c r="L790" t="str">
        <f>IF($A790="","",IF($D790="V01",cad!$C$35,IF($D790="V02",cad!$D$35,cad!$E$35)))</f>
        <v/>
      </c>
      <c r="M790" t="str">
        <f>IF($A790="","",IF($D790="V01",cad!$C$36,IF($D790="V02",cad!$D$36,cad!$E$36)))</f>
        <v/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 t="str">
        <f>IF($A791="","",IF($D791="V01",cad!$C$23,IF($D791="V02",cad!$D$23,cad!$E$23)))</f>
        <v/>
      </c>
      <c r="H791" t="str">
        <f>IF($A791="","",IF($D791="V01",cad!$C$24,IF($D791="V02",cad!$D$24,cad!$E$24)))</f>
        <v/>
      </c>
      <c r="I791" t="str">
        <f>IF($A791="","",IF($D791="V01",cad!$C$32,IF($D791="V02",cad!$D$32,cad!$E$32)))</f>
        <v/>
      </c>
      <c r="J791" t="str">
        <f>IF($A791="","",IF($D791="V01",cad!$C$33,IF($D791="V02",cad!$D$33,cad!$E$33)))</f>
        <v/>
      </c>
      <c r="K791" t="str">
        <f>IF($A791="","",IF($D791="V01",cad!$C$34,IF($D791="V02",cad!$D$34,cad!$E$34)))</f>
        <v/>
      </c>
      <c r="L791" t="str">
        <f>IF($A791="","",IF($D791="V01",cad!$C$35,IF($D791="V02",cad!$D$35,cad!$E$35)))</f>
        <v/>
      </c>
      <c r="M791" t="str">
        <f>IF($A791="","",IF($D791="V01",cad!$C$36,IF($D791="V02",cad!$D$36,cad!$E$36)))</f>
        <v/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 t="str">
        <f>IF($A792="","",IF($D792="V01",cad!$C$23,IF($D792="V02",cad!$D$23,cad!$E$23)))</f>
        <v/>
      </c>
      <c r="H792" t="str">
        <f>IF($A792="","",IF($D792="V01",cad!$C$24,IF($D792="V02",cad!$D$24,cad!$E$24)))</f>
        <v/>
      </c>
      <c r="I792" t="str">
        <f>IF($A792="","",IF($D792="V01",cad!$C$32,IF($D792="V02",cad!$D$32,cad!$E$32)))</f>
        <v/>
      </c>
      <c r="J792" t="str">
        <f>IF($A792="","",IF($D792="V01",cad!$C$33,IF($D792="V02",cad!$D$33,cad!$E$33)))</f>
        <v/>
      </c>
      <c r="K792" t="str">
        <f>IF($A792="","",IF($D792="V01",cad!$C$34,IF($D792="V02",cad!$D$34,cad!$E$34)))</f>
        <v/>
      </c>
      <c r="L792" t="str">
        <f>IF($A792="","",IF($D792="V01",cad!$C$35,IF($D792="V02",cad!$D$35,cad!$E$35)))</f>
        <v/>
      </c>
      <c r="M792" t="str">
        <f>IF($A792="","",IF($D792="V01",cad!$C$36,IF($D792="V02",cad!$D$36,cad!$E$36)))</f>
        <v/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 t="str">
        <f>IF($A793="","",IF($D793="V01",cad!$C$23,IF($D793="V02",cad!$D$23,cad!$E$23)))</f>
        <v/>
      </c>
      <c r="H793" t="str">
        <f>IF($A793="","",IF($D793="V01",cad!$C$24,IF($D793="V02",cad!$D$24,cad!$E$24)))</f>
        <v/>
      </c>
      <c r="I793" t="str">
        <f>IF($A793="","",IF($D793="V01",cad!$C$32,IF($D793="V02",cad!$D$32,cad!$E$32)))</f>
        <v/>
      </c>
      <c r="J793" t="str">
        <f>IF($A793="","",IF($D793="V01",cad!$C$33,IF($D793="V02",cad!$D$33,cad!$E$33)))</f>
        <v/>
      </c>
      <c r="K793" t="str">
        <f>IF($A793="","",IF($D793="V01",cad!$C$34,IF($D793="V02",cad!$D$34,cad!$E$34)))</f>
        <v/>
      </c>
      <c r="L793" t="str">
        <f>IF($A793="","",IF($D793="V01",cad!$C$35,IF($D793="V02",cad!$D$35,cad!$E$35)))</f>
        <v/>
      </c>
      <c r="M793" t="str">
        <f>IF($A793="","",IF($D793="V01",cad!$C$36,IF($D793="V02",cad!$D$36,cad!$E$36)))</f>
        <v/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 t="str">
        <f>IF($A794="","",IF($D794="V01",cad!$C$23,IF($D794="V02",cad!$D$23,cad!$E$23)))</f>
        <v/>
      </c>
      <c r="H794" t="str">
        <f>IF($A794="","",IF($D794="V01",cad!$C$24,IF($D794="V02",cad!$D$24,cad!$E$24)))</f>
        <v/>
      </c>
      <c r="I794" t="str">
        <f>IF($A794="","",IF($D794="V01",cad!$C$32,IF($D794="V02",cad!$D$32,cad!$E$32)))</f>
        <v/>
      </c>
      <c r="J794" t="str">
        <f>IF($A794="","",IF($D794="V01",cad!$C$33,IF($D794="V02",cad!$D$33,cad!$E$33)))</f>
        <v/>
      </c>
      <c r="K794" t="str">
        <f>IF($A794="","",IF($D794="V01",cad!$C$34,IF($D794="V02",cad!$D$34,cad!$E$34)))</f>
        <v/>
      </c>
      <c r="L794" t="str">
        <f>IF($A794="","",IF($D794="V01",cad!$C$35,IF($D794="V02",cad!$D$35,cad!$E$35)))</f>
        <v/>
      </c>
      <c r="M794" t="str">
        <f>IF($A794="","",IF($D794="V01",cad!$C$36,IF($D794="V02",cad!$D$36,cad!$E$36)))</f>
        <v/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 t="str">
        <f>IF($A795="","",IF($D795="V01",cad!$C$23,IF($D795="V02",cad!$D$23,cad!$E$23)))</f>
        <v/>
      </c>
      <c r="H795" t="str">
        <f>IF($A795="","",IF($D795="V01",cad!$C$24,IF($D795="V02",cad!$D$24,cad!$E$24)))</f>
        <v/>
      </c>
      <c r="I795" t="str">
        <f>IF($A795="","",IF($D795="V01",cad!$C$32,IF($D795="V02",cad!$D$32,cad!$E$32)))</f>
        <v/>
      </c>
      <c r="J795" t="str">
        <f>IF($A795="","",IF($D795="V01",cad!$C$33,IF($D795="V02",cad!$D$33,cad!$E$33)))</f>
        <v/>
      </c>
      <c r="K795" t="str">
        <f>IF($A795="","",IF($D795="V01",cad!$C$34,IF($D795="V02",cad!$D$34,cad!$E$34)))</f>
        <v/>
      </c>
      <c r="L795" t="str">
        <f>IF($A795="","",IF($D795="V01",cad!$C$35,IF($D795="V02",cad!$D$35,cad!$E$35)))</f>
        <v/>
      </c>
      <c r="M795" t="str">
        <f>IF($A795="","",IF($D795="V01",cad!$C$36,IF($D795="V02",cad!$D$36,cad!$E$36)))</f>
        <v/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 t="str">
        <f>IF($A796="","",IF($D796="V01",cad!$C$23,IF($D796="V02",cad!$D$23,cad!$E$23)))</f>
        <v/>
      </c>
      <c r="H796" t="str">
        <f>IF($A796="","",IF($D796="V01",cad!$C$24,IF($D796="V02",cad!$D$24,cad!$E$24)))</f>
        <v/>
      </c>
      <c r="I796" t="str">
        <f>IF($A796="","",IF($D796="V01",cad!$C$32,IF($D796="V02",cad!$D$32,cad!$E$32)))</f>
        <v/>
      </c>
      <c r="J796" t="str">
        <f>IF($A796="","",IF($D796="V01",cad!$C$33,IF($D796="V02",cad!$D$33,cad!$E$33)))</f>
        <v/>
      </c>
      <c r="K796" t="str">
        <f>IF($A796="","",IF($D796="V01",cad!$C$34,IF($D796="V02",cad!$D$34,cad!$E$34)))</f>
        <v/>
      </c>
      <c r="L796" t="str">
        <f>IF($A796="","",IF($D796="V01",cad!$C$35,IF($D796="V02",cad!$D$35,cad!$E$35)))</f>
        <v/>
      </c>
      <c r="M796" t="str">
        <f>IF($A796="","",IF($D796="V01",cad!$C$36,IF($D796="V02",cad!$D$36,cad!$E$36)))</f>
        <v/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 t="str">
        <f>IF($A797="","",IF($D797="V01",cad!$C$23,IF($D797="V02",cad!$D$23,cad!$E$23)))</f>
        <v/>
      </c>
      <c r="H797" t="str">
        <f>IF($A797="","",IF($D797="V01",cad!$C$24,IF($D797="V02",cad!$D$24,cad!$E$24)))</f>
        <v/>
      </c>
      <c r="I797" t="str">
        <f>IF($A797="","",IF($D797="V01",cad!$C$32,IF($D797="V02",cad!$D$32,cad!$E$32)))</f>
        <v/>
      </c>
      <c r="J797" t="str">
        <f>IF($A797="","",IF($D797="V01",cad!$C$33,IF($D797="V02",cad!$D$33,cad!$E$33)))</f>
        <v/>
      </c>
      <c r="K797" t="str">
        <f>IF($A797="","",IF($D797="V01",cad!$C$34,IF($D797="V02",cad!$D$34,cad!$E$34)))</f>
        <v/>
      </c>
      <c r="L797" t="str">
        <f>IF($A797="","",IF($D797="V01",cad!$C$35,IF($D797="V02",cad!$D$35,cad!$E$35)))</f>
        <v/>
      </c>
      <c r="M797" t="str">
        <f>IF($A797="","",IF($D797="V01",cad!$C$36,IF($D797="V02",cad!$D$36,cad!$E$36)))</f>
        <v/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 t="str">
        <f>IF($A798="","",IF($D798="V01",cad!$C$23,IF($D798="V02",cad!$D$23,cad!$E$23)))</f>
        <v/>
      </c>
      <c r="H798" t="str">
        <f>IF($A798="","",IF($D798="V01",cad!$C$24,IF($D798="V02",cad!$D$24,cad!$E$24)))</f>
        <v/>
      </c>
      <c r="I798" t="str">
        <f>IF($A798="","",IF($D798="V01",cad!$C$32,IF($D798="V02",cad!$D$32,cad!$E$32)))</f>
        <v/>
      </c>
      <c r="J798" t="str">
        <f>IF($A798="","",IF($D798="V01",cad!$C$33,IF($D798="V02",cad!$D$33,cad!$E$33)))</f>
        <v/>
      </c>
      <c r="K798" t="str">
        <f>IF($A798="","",IF($D798="V01",cad!$C$34,IF($D798="V02",cad!$D$34,cad!$E$34)))</f>
        <v/>
      </c>
      <c r="L798" t="str">
        <f>IF($A798="","",IF($D798="V01",cad!$C$35,IF($D798="V02",cad!$D$35,cad!$E$35)))</f>
        <v/>
      </c>
      <c r="M798" t="str">
        <f>IF($A798="","",IF($D798="V01",cad!$C$36,IF($D798="V02",cad!$D$36,cad!$E$36)))</f>
        <v/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 t="str">
        <f>IF($A799="","",IF($D799="V01",cad!$C$23,IF($D799="V02",cad!$D$23,cad!$E$23)))</f>
        <v/>
      </c>
      <c r="H799" t="str">
        <f>IF($A799="","",IF($D799="V01",cad!$C$24,IF($D799="V02",cad!$D$24,cad!$E$24)))</f>
        <v/>
      </c>
      <c r="I799" t="str">
        <f>IF($A799="","",IF($D799="V01",cad!$C$32,IF($D799="V02",cad!$D$32,cad!$E$32)))</f>
        <v/>
      </c>
      <c r="J799" t="str">
        <f>IF($A799="","",IF($D799="V01",cad!$C$33,IF($D799="V02",cad!$D$33,cad!$E$33)))</f>
        <v/>
      </c>
      <c r="K799" t="str">
        <f>IF($A799="","",IF($D799="V01",cad!$C$34,IF($D799="V02",cad!$D$34,cad!$E$34)))</f>
        <v/>
      </c>
      <c r="L799" t="str">
        <f>IF($A799="","",IF($D799="V01",cad!$C$35,IF($D799="V02",cad!$D$35,cad!$E$35)))</f>
        <v/>
      </c>
      <c r="M799" t="str">
        <f>IF($A799="","",IF($D799="V01",cad!$C$36,IF($D799="V02",cad!$D$36,cad!$E$36)))</f>
        <v/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 t="str">
        <f>IF($A800="","",IF($D800="V01",cad!$C$23,IF($D800="V02",cad!$D$23,cad!$E$23)))</f>
        <v/>
      </c>
      <c r="H800" t="str">
        <f>IF($A800="","",IF($D800="V01",cad!$C$24,IF($D800="V02",cad!$D$24,cad!$E$24)))</f>
        <v/>
      </c>
      <c r="I800" t="str">
        <f>IF($A800="","",IF($D800="V01",cad!$C$32,IF($D800="V02",cad!$D$32,cad!$E$32)))</f>
        <v/>
      </c>
      <c r="J800" t="str">
        <f>IF($A800="","",IF($D800="V01",cad!$C$33,IF($D800="V02",cad!$D$33,cad!$E$33)))</f>
        <v/>
      </c>
      <c r="K800" t="str">
        <f>IF($A800="","",IF($D800="V01",cad!$C$34,IF($D800="V02",cad!$D$34,cad!$E$34)))</f>
        <v/>
      </c>
      <c r="L800" t="str">
        <f>IF($A800="","",IF($D800="V01",cad!$C$35,IF($D800="V02",cad!$D$35,cad!$E$35)))</f>
        <v/>
      </c>
      <c r="M800" t="str">
        <f>IF($A800="","",IF($D800="V01",cad!$C$36,IF($D800="V02",cad!$D$36,cad!$E$36)))</f>
        <v/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 t="str">
        <f>IF($A801="","",IF($D801="V01",cad!$C$23,IF($D801="V02",cad!$D$23,cad!$E$23)))</f>
        <v/>
      </c>
      <c r="H801" t="str">
        <f>IF($A801="","",IF($D801="V01",cad!$C$24,IF($D801="V02",cad!$D$24,cad!$E$24)))</f>
        <v/>
      </c>
      <c r="I801" t="str">
        <f>IF($A801="","",IF($D801="V01",cad!$C$32,IF($D801="V02",cad!$D$32,cad!$E$32)))</f>
        <v/>
      </c>
      <c r="J801" t="str">
        <f>IF($A801="","",IF($D801="V01",cad!$C$33,IF($D801="V02",cad!$D$33,cad!$E$33)))</f>
        <v/>
      </c>
      <c r="K801" t="str">
        <f>IF($A801="","",IF($D801="V01",cad!$C$34,IF($D801="V02",cad!$D$34,cad!$E$34)))</f>
        <v/>
      </c>
      <c r="L801" t="str">
        <f>IF($A801="","",IF($D801="V01",cad!$C$35,IF($D801="V02",cad!$D$35,cad!$E$35)))</f>
        <v/>
      </c>
      <c r="M801" t="str">
        <f>IF($A801="","",IF($D801="V01",cad!$C$36,IF($D801="V02",cad!$D$36,cad!$E$36)))</f>
        <v/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 t="str">
        <f>IF($A802="","",IF($D802="V01",cad!$C$23,IF($D802="V02",cad!$D$23,cad!$E$23)))</f>
        <v/>
      </c>
      <c r="H802" t="str">
        <f>IF($A802="","",IF($D802="V01",cad!$C$24,IF($D802="V02",cad!$D$24,cad!$E$24)))</f>
        <v/>
      </c>
      <c r="I802" t="str">
        <f>IF($A802="","",IF($D802="V01",cad!$C$32,IF($D802="V02",cad!$D$32,cad!$E$32)))</f>
        <v/>
      </c>
      <c r="J802" t="str">
        <f>IF($A802="","",IF($D802="V01",cad!$C$33,IF($D802="V02",cad!$D$33,cad!$E$33)))</f>
        <v/>
      </c>
      <c r="K802" t="str">
        <f>IF($A802="","",IF($D802="V01",cad!$C$34,IF($D802="V02",cad!$D$34,cad!$E$34)))</f>
        <v/>
      </c>
      <c r="L802" t="str">
        <f>IF($A802="","",IF($D802="V01",cad!$C$35,IF($D802="V02",cad!$D$35,cad!$E$35)))</f>
        <v/>
      </c>
      <c r="M802" t="str">
        <f>IF($A802="","",IF($D802="V01",cad!$C$36,IF($D802="V02",cad!$D$36,cad!$E$36)))</f>
        <v/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 t="str">
        <f>IF($A803="","",IF($D803="V01",cad!$C$23,IF($D803="V02",cad!$D$23,cad!$E$23)))</f>
        <v/>
      </c>
      <c r="H803" t="str">
        <f>IF($A803="","",IF($D803="V01",cad!$C$24,IF($D803="V02",cad!$D$24,cad!$E$24)))</f>
        <v/>
      </c>
      <c r="I803" t="str">
        <f>IF($A803="","",IF($D803="V01",cad!$C$32,IF($D803="V02",cad!$D$32,cad!$E$32)))</f>
        <v/>
      </c>
      <c r="J803" t="str">
        <f>IF($A803="","",IF($D803="V01",cad!$C$33,IF($D803="V02",cad!$D$33,cad!$E$33)))</f>
        <v/>
      </c>
      <c r="K803" t="str">
        <f>IF($A803="","",IF($D803="V01",cad!$C$34,IF($D803="V02",cad!$D$34,cad!$E$34)))</f>
        <v/>
      </c>
      <c r="L803" t="str">
        <f>IF($A803="","",IF($D803="V01",cad!$C$35,IF($D803="V02",cad!$D$35,cad!$E$35)))</f>
        <v/>
      </c>
      <c r="M803" t="str">
        <f>IF($A803="","",IF($D803="V01",cad!$C$36,IF($D803="V02",cad!$D$36,cad!$E$36)))</f>
        <v/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 t="str">
        <f>IF($A804="","",IF($D804="V01",cad!$C$23,IF($D804="V02",cad!$D$23,cad!$E$23)))</f>
        <v/>
      </c>
      <c r="H804" t="str">
        <f>IF($A804="","",IF($D804="V01",cad!$C$24,IF($D804="V02",cad!$D$24,cad!$E$24)))</f>
        <v/>
      </c>
      <c r="I804" t="str">
        <f>IF($A804="","",IF($D804="V01",cad!$C$32,IF($D804="V02",cad!$D$32,cad!$E$32)))</f>
        <v/>
      </c>
      <c r="J804" t="str">
        <f>IF($A804="","",IF($D804="V01",cad!$C$33,IF($D804="V02",cad!$D$33,cad!$E$33)))</f>
        <v/>
      </c>
      <c r="K804" t="str">
        <f>IF($A804="","",IF($D804="V01",cad!$C$34,IF($D804="V02",cad!$D$34,cad!$E$34)))</f>
        <v/>
      </c>
      <c r="L804" t="str">
        <f>IF($A804="","",IF($D804="V01",cad!$C$35,IF($D804="V02",cad!$D$35,cad!$E$35)))</f>
        <v/>
      </c>
      <c r="M804" t="str">
        <f>IF($A804="","",IF($D804="V01",cad!$C$36,IF($D804="V02",cad!$D$36,cad!$E$36)))</f>
        <v/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 t="str">
        <f>IF($A805="","",IF($D805="V01",cad!$C$23,IF($D805="V02",cad!$D$23,cad!$E$23)))</f>
        <v/>
      </c>
      <c r="H805" t="str">
        <f>IF($A805="","",IF($D805="V01",cad!$C$24,IF($D805="V02",cad!$D$24,cad!$E$24)))</f>
        <v/>
      </c>
      <c r="I805" t="str">
        <f>IF($A805="","",IF($D805="V01",cad!$C$32,IF($D805="V02",cad!$D$32,cad!$E$32)))</f>
        <v/>
      </c>
      <c r="J805" t="str">
        <f>IF($A805="","",IF($D805="V01",cad!$C$33,IF($D805="V02",cad!$D$33,cad!$E$33)))</f>
        <v/>
      </c>
      <c r="K805" t="str">
        <f>IF($A805="","",IF($D805="V01",cad!$C$34,IF($D805="V02",cad!$D$34,cad!$E$34)))</f>
        <v/>
      </c>
      <c r="L805" t="str">
        <f>IF($A805="","",IF($D805="V01",cad!$C$35,IF($D805="V02",cad!$D$35,cad!$E$35)))</f>
        <v/>
      </c>
      <c r="M805" t="str">
        <f>IF($A805="","",IF($D805="V01",cad!$C$36,IF($D805="V02",cad!$D$36,cad!$E$36)))</f>
        <v/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 t="str">
        <f>IF($A806="","",IF($D806="V01",cad!$C$23,IF($D806="V02",cad!$D$23,cad!$E$23)))</f>
        <v/>
      </c>
      <c r="H806" t="str">
        <f>IF($A806="","",IF($D806="V01",cad!$C$24,IF($D806="V02",cad!$D$24,cad!$E$24)))</f>
        <v/>
      </c>
      <c r="I806" t="str">
        <f>IF($A806="","",IF($D806="V01",cad!$C$32,IF($D806="V02",cad!$D$32,cad!$E$32)))</f>
        <v/>
      </c>
      <c r="J806" t="str">
        <f>IF($A806="","",IF($D806="V01",cad!$C$33,IF($D806="V02",cad!$D$33,cad!$E$33)))</f>
        <v/>
      </c>
      <c r="K806" t="str">
        <f>IF($A806="","",IF($D806="V01",cad!$C$34,IF($D806="V02",cad!$D$34,cad!$E$34)))</f>
        <v/>
      </c>
      <c r="L806" t="str">
        <f>IF($A806="","",IF($D806="V01",cad!$C$35,IF($D806="V02",cad!$D$35,cad!$E$35)))</f>
        <v/>
      </c>
      <c r="M806" t="str">
        <f>IF($A806="","",IF($D806="V01",cad!$C$36,IF($D806="V02",cad!$D$36,cad!$E$36)))</f>
        <v/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 t="str">
        <f>IF($A807="","",IF($D807="V01",cad!$C$23,IF($D807="V02",cad!$D$23,cad!$E$23)))</f>
        <v/>
      </c>
      <c r="H807" t="str">
        <f>IF($A807="","",IF($D807="V01",cad!$C$24,IF($D807="V02",cad!$D$24,cad!$E$24)))</f>
        <v/>
      </c>
      <c r="I807" t="str">
        <f>IF($A807="","",IF($D807="V01",cad!$C$32,IF($D807="V02",cad!$D$32,cad!$E$32)))</f>
        <v/>
      </c>
      <c r="J807" t="str">
        <f>IF($A807="","",IF($D807="V01",cad!$C$33,IF($D807="V02",cad!$D$33,cad!$E$33)))</f>
        <v/>
      </c>
      <c r="K807" t="str">
        <f>IF($A807="","",IF($D807="V01",cad!$C$34,IF($D807="V02",cad!$D$34,cad!$E$34)))</f>
        <v/>
      </c>
      <c r="L807" t="str">
        <f>IF($A807="","",IF($D807="V01",cad!$C$35,IF($D807="V02",cad!$D$35,cad!$E$35)))</f>
        <v/>
      </c>
      <c r="M807" t="str">
        <f>IF($A807="","",IF($D807="V01",cad!$C$36,IF($D807="V02",cad!$D$36,cad!$E$36)))</f>
        <v/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 t="str">
        <f>IF($A808="","",IF($D808="V01",cad!$C$23,IF($D808="V02",cad!$D$23,cad!$E$23)))</f>
        <v/>
      </c>
      <c r="H808" t="str">
        <f>IF($A808="","",IF($D808="V01",cad!$C$24,IF($D808="V02",cad!$D$24,cad!$E$24)))</f>
        <v/>
      </c>
      <c r="I808" t="str">
        <f>IF($A808="","",IF($D808="V01",cad!$C$32,IF($D808="V02",cad!$D$32,cad!$E$32)))</f>
        <v/>
      </c>
      <c r="J808" t="str">
        <f>IF($A808="","",IF($D808="V01",cad!$C$33,IF($D808="V02",cad!$D$33,cad!$E$33)))</f>
        <v/>
      </c>
      <c r="K808" t="str">
        <f>IF($A808="","",IF($D808="V01",cad!$C$34,IF($D808="V02",cad!$D$34,cad!$E$34)))</f>
        <v/>
      </c>
      <c r="L808" t="str">
        <f>IF($A808="","",IF($D808="V01",cad!$C$35,IF($D808="V02",cad!$D$35,cad!$E$35)))</f>
        <v/>
      </c>
      <c r="M808" t="str">
        <f>IF($A808="","",IF($D808="V01",cad!$C$36,IF($D808="V02",cad!$D$36,cad!$E$36)))</f>
        <v/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 t="str">
        <f>IF($A809="","",IF($D809="V01",cad!$C$23,IF($D809="V02",cad!$D$23,cad!$E$23)))</f>
        <v/>
      </c>
      <c r="H809" t="str">
        <f>IF($A809="","",IF($D809="V01",cad!$C$24,IF($D809="V02",cad!$D$24,cad!$E$24)))</f>
        <v/>
      </c>
      <c r="I809" t="str">
        <f>IF($A809="","",IF($D809="V01",cad!$C$32,IF($D809="V02",cad!$D$32,cad!$E$32)))</f>
        <v/>
      </c>
      <c r="J809" t="str">
        <f>IF($A809="","",IF($D809="V01",cad!$C$33,IF($D809="V02",cad!$D$33,cad!$E$33)))</f>
        <v/>
      </c>
      <c r="K809" t="str">
        <f>IF($A809="","",IF($D809="V01",cad!$C$34,IF($D809="V02",cad!$D$34,cad!$E$34)))</f>
        <v/>
      </c>
      <c r="L809" t="str">
        <f>IF($A809="","",IF($D809="V01",cad!$C$35,IF($D809="V02",cad!$D$35,cad!$E$35)))</f>
        <v/>
      </c>
      <c r="M809" t="str">
        <f>IF($A809="","",IF($D809="V01",cad!$C$36,IF($D809="V02",cad!$D$36,cad!$E$36)))</f>
        <v/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 t="str">
        <f>IF($A810="","",IF($D810="V01",cad!$C$23,IF($D810="V02",cad!$D$23,cad!$E$23)))</f>
        <v/>
      </c>
      <c r="H810" t="str">
        <f>IF($A810="","",IF($D810="V01",cad!$C$24,IF($D810="V02",cad!$D$24,cad!$E$24)))</f>
        <v/>
      </c>
      <c r="I810" t="str">
        <f>IF($A810="","",IF($D810="V01",cad!$C$32,IF($D810="V02",cad!$D$32,cad!$E$32)))</f>
        <v/>
      </c>
      <c r="J810" t="str">
        <f>IF($A810="","",IF($D810="V01",cad!$C$33,IF($D810="V02",cad!$D$33,cad!$E$33)))</f>
        <v/>
      </c>
      <c r="K810" t="str">
        <f>IF($A810="","",IF($D810="V01",cad!$C$34,IF($D810="V02",cad!$D$34,cad!$E$34)))</f>
        <v/>
      </c>
      <c r="L810" t="str">
        <f>IF($A810="","",IF($D810="V01",cad!$C$35,IF($D810="V02",cad!$D$35,cad!$E$35)))</f>
        <v/>
      </c>
      <c r="M810" t="str">
        <f>IF($A810="","",IF($D810="V01",cad!$C$36,IF($D810="V02",cad!$D$36,cad!$E$36)))</f>
        <v/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 t="str">
        <f>IF($A811="","",IF($D811="V01",cad!$C$23,IF($D811="V02",cad!$D$23,cad!$E$23)))</f>
        <v/>
      </c>
      <c r="H811" t="str">
        <f>IF($A811="","",IF($D811="V01",cad!$C$24,IF($D811="V02",cad!$D$24,cad!$E$24)))</f>
        <v/>
      </c>
      <c r="I811" t="str">
        <f>IF($A811="","",IF($D811="V01",cad!$C$32,IF($D811="V02",cad!$D$32,cad!$E$32)))</f>
        <v/>
      </c>
      <c r="J811" t="str">
        <f>IF($A811="","",IF($D811="V01",cad!$C$33,IF($D811="V02",cad!$D$33,cad!$E$33)))</f>
        <v/>
      </c>
      <c r="K811" t="str">
        <f>IF($A811="","",IF($D811="V01",cad!$C$34,IF($D811="V02",cad!$D$34,cad!$E$34)))</f>
        <v/>
      </c>
      <c r="L811" t="str">
        <f>IF($A811="","",IF($D811="V01",cad!$C$35,IF($D811="V02",cad!$D$35,cad!$E$35)))</f>
        <v/>
      </c>
      <c r="M811" t="str">
        <f>IF($A811="","",IF($D811="V01",cad!$C$36,IF($D811="V02",cad!$D$36,cad!$E$36)))</f>
        <v/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 t="str">
        <f>IF($A812="","",IF($D812="V01",cad!$C$23,IF($D812="V02",cad!$D$23,cad!$E$23)))</f>
        <v/>
      </c>
      <c r="H812" t="str">
        <f>IF($A812="","",IF($D812="V01",cad!$C$24,IF($D812="V02",cad!$D$24,cad!$E$24)))</f>
        <v/>
      </c>
      <c r="I812" t="str">
        <f>IF($A812="","",IF($D812="V01",cad!$C$32,IF($D812="V02",cad!$D$32,cad!$E$32)))</f>
        <v/>
      </c>
      <c r="J812" t="str">
        <f>IF($A812="","",IF($D812="V01",cad!$C$33,IF($D812="V02",cad!$D$33,cad!$E$33)))</f>
        <v/>
      </c>
      <c r="K812" t="str">
        <f>IF($A812="","",IF($D812="V01",cad!$C$34,IF($D812="V02",cad!$D$34,cad!$E$34)))</f>
        <v/>
      </c>
      <c r="L812" t="str">
        <f>IF($A812="","",IF($D812="V01",cad!$C$35,IF($D812="V02",cad!$D$35,cad!$E$35)))</f>
        <v/>
      </c>
      <c r="M812" t="str">
        <f>IF($A812="","",IF($D812="V01",cad!$C$36,IF($D812="V02",cad!$D$36,cad!$E$36)))</f>
        <v/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 t="str">
        <f>IF($A813="","",IF($D813="V01",cad!$C$23,IF($D813="V02",cad!$D$23,cad!$E$23)))</f>
        <v/>
      </c>
      <c r="H813" t="str">
        <f>IF($A813="","",IF($D813="V01",cad!$C$24,IF($D813="V02",cad!$D$24,cad!$E$24)))</f>
        <v/>
      </c>
      <c r="I813" t="str">
        <f>IF($A813="","",IF($D813="V01",cad!$C$32,IF($D813="V02",cad!$D$32,cad!$E$32)))</f>
        <v/>
      </c>
      <c r="J813" t="str">
        <f>IF($A813="","",IF($D813="V01",cad!$C$33,IF($D813="V02",cad!$D$33,cad!$E$33)))</f>
        <v/>
      </c>
      <c r="K813" t="str">
        <f>IF($A813="","",IF($D813="V01",cad!$C$34,IF($D813="V02",cad!$D$34,cad!$E$34)))</f>
        <v/>
      </c>
      <c r="L813" t="str">
        <f>IF($A813="","",IF($D813="V01",cad!$C$35,IF($D813="V02",cad!$D$35,cad!$E$35)))</f>
        <v/>
      </c>
      <c r="M813" t="str">
        <f>IF($A813="","",IF($D813="V01",cad!$C$36,IF($D813="V02",cad!$D$36,cad!$E$36)))</f>
        <v/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 t="str">
        <f>IF($A814="","",IF($D814="V01",cad!$C$23,IF($D814="V02",cad!$D$23,cad!$E$23)))</f>
        <v/>
      </c>
      <c r="H814" t="str">
        <f>IF($A814="","",IF($D814="V01",cad!$C$24,IF($D814="V02",cad!$D$24,cad!$E$24)))</f>
        <v/>
      </c>
      <c r="I814" t="str">
        <f>IF($A814="","",IF($D814="V01",cad!$C$32,IF($D814="V02",cad!$D$32,cad!$E$32)))</f>
        <v/>
      </c>
      <c r="J814" t="str">
        <f>IF($A814="","",IF($D814="V01",cad!$C$33,IF($D814="V02",cad!$D$33,cad!$E$33)))</f>
        <v/>
      </c>
      <c r="K814" t="str">
        <f>IF($A814="","",IF($D814="V01",cad!$C$34,IF($D814="V02",cad!$D$34,cad!$E$34)))</f>
        <v/>
      </c>
      <c r="L814" t="str">
        <f>IF($A814="","",IF($D814="V01",cad!$C$35,IF($D814="V02",cad!$D$35,cad!$E$35)))</f>
        <v/>
      </c>
      <c r="M814" t="str">
        <f>IF($A814="","",IF($D814="V01",cad!$C$36,IF($D814="V02",cad!$D$36,cad!$E$36)))</f>
        <v/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 t="str">
        <f>IF($A815="","",IF($D815="V01",cad!$C$23,IF($D815="V02",cad!$D$23,cad!$E$23)))</f>
        <v/>
      </c>
      <c r="H815" t="str">
        <f>IF($A815="","",IF($D815="V01",cad!$C$24,IF($D815="V02",cad!$D$24,cad!$E$24)))</f>
        <v/>
      </c>
      <c r="I815" t="str">
        <f>IF($A815="","",IF($D815="V01",cad!$C$32,IF($D815="V02",cad!$D$32,cad!$E$32)))</f>
        <v/>
      </c>
      <c r="J815" t="str">
        <f>IF($A815="","",IF($D815="V01",cad!$C$33,IF($D815="V02",cad!$D$33,cad!$E$33)))</f>
        <v/>
      </c>
      <c r="K815" t="str">
        <f>IF($A815="","",IF($D815="V01",cad!$C$34,IF($D815="V02",cad!$D$34,cad!$E$34)))</f>
        <v/>
      </c>
      <c r="L815" t="str">
        <f>IF($A815="","",IF($D815="V01",cad!$C$35,IF($D815="V02",cad!$D$35,cad!$E$35)))</f>
        <v/>
      </c>
      <c r="M815" t="str">
        <f>IF($A815="","",IF($D815="V01",cad!$C$36,IF($D815="V02",cad!$D$36,cad!$E$36)))</f>
        <v/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 t="str">
        <f>IF($A816="","",IF($D816="V01",cad!$C$23,IF($D816="V02",cad!$D$23,cad!$E$23)))</f>
        <v/>
      </c>
      <c r="H816" t="str">
        <f>IF($A816="","",IF($D816="V01",cad!$C$24,IF($D816="V02",cad!$D$24,cad!$E$24)))</f>
        <v/>
      </c>
      <c r="I816" t="str">
        <f>IF($A816="","",IF($D816="V01",cad!$C$32,IF($D816="V02",cad!$D$32,cad!$E$32)))</f>
        <v/>
      </c>
      <c r="J816" t="str">
        <f>IF($A816="","",IF($D816="V01",cad!$C$33,IF($D816="V02",cad!$D$33,cad!$E$33)))</f>
        <v/>
      </c>
      <c r="K816" t="str">
        <f>IF($A816="","",IF($D816="V01",cad!$C$34,IF($D816="V02",cad!$D$34,cad!$E$34)))</f>
        <v/>
      </c>
      <c r="L816" t="str">
        <f>IF($A816="","",IF($D816="V01",cad!$C$35,IF($D816="V02",cad!$D$35,cad!$E$35)))</f>
        <v/>
      </c>
      <c r="M816" t="str">
        <f>IF($A816="","",IF($D816="V01",cad!$C$36,IF($D816="V02",cad!$D$36,cad!$E$36)))</f>
        <v/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 t="str">
        <f>IF($A817="","",IF($D817="V01",cad!$C$23,IF($D817="V02",cad!$D$23,cad!$E$23)))</f>
        <v/>
      </c>
      <c r="H817" t="str">
        <f>IF($A817="","",IF($D817="V01",cad!$C$24,IF($D817="V02",cad!$D$24,cad!$E$24)))</f>
        <v/>
      </c>
      <c r="I817" t="str">
        <f>IF($A817="","",IF($D817="V01",cad!$C$32,IF($D817="V02",cad!$D$32,cad!$E$32)))</f>
        <v/>
      </c>
      <c r="J817" t="str">
        <f>IF($A817="","",IF($D817="V01",cad!$C$33,IF($D817="V02",cad!$D$33,cad!$E$33)))</f>
        <v/>
      </c>
      <c r="K817" t="str">
        <f>IF($A817="","",IF($D817="V01",cad!$C$34,IF($D817="V02",cad!$D$34,cad!$E$34)))</f>
        <v/>
      </c>
      <c r="L817" t="str">
        <f>IF($A817="","",IF($D817="V01",cad!$C$35,IF($D817="V02",cad!$D$35,cad!$E$35)))</f>
        <v/>
      </c>
      <c r="M817" t="str">
        <f>IF($A817="","",IF($D817="V01",cad!$C$36,IF($D817="V02",cad!$D$36,cad!$E$36)))</f>
        <v/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 t="str">
        <f>IF($A818="","",IF($D818="V01",cad!$C$23,IF($D818="V02",cad!$D$23,cad!$E$23)))</f>
        <v/>
      </c>
      <c r="H818" t="str">
        <f>IF($A818="","",IF($D818="V01",cad!$C$24,IF($D818="V02",cad!$D$24,cad!$E$24)))</f>
        <v/>
      </c>
      <c r="I818" t="str">
        <f>IF($A818="","",IF($D818="V01",cad!$C$32,IF($D818="V02",cad!$D$32,cad!$E$32)))</f>
        <v/>
      </c>
      <c r="J818" t="str">
        <f>IF($A818="","",IF($D818="V01",cad!$C$33,IF($D818="V02",cad!$D$33,cad!$E$33)))</f>
        <v/>
      </c>
      <c r="K818" t="str">
        <f>IF($A818="","",IF($D818="V01",cad!$C$34,IF($D818="V02",cad!$D$34,cad!$E$34)))</f>
        <v/>
      </c>
      <c r="L818" t="str">
        <f>IF($A818="","",IF($D818="V01",cad!$C$35,IF($D818="V02",cad!$D$35,cad!$E$35)))</f>
        <v/>
      </c>
      <c r="M818" t="str">
        <f>IF($A818="","",IF($D818="V01",cad!$C$36,IF($D818="V02",cad!$D$36,cad!$E$36)))</f>
        <v/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 t="str">
        <f>IF($A819="","",IF($D819="V01",cad!$C$23,IF($D819="V02",cad!$D$23,cad!$E$23)))</f>
        <v/>
      </c>
      <c r="H819" t="str">
        <f>IF($A819="","",IF($D819="V01",cad!$C$24,IF($D819="V02",cad!$D$24,cad!$E$24)))</f>
        <v/>
      </c>
      <c r="I819" t="str">
        <f>IF($A819="","",IF($D819="V01",cad!$C$32,IF($D819="V02",cad!$D$32,cad!$E$32)))</f>
        <v/>
      </c>
      <c r="J819" t="str">
        <f>IF($A819="","",IF($D819="V01",cad!$C$33,IF($D819="V02",cad!$D$33,cad!$E$33)))</f>
        <v/>
      </c>
      <c r="K819" t="str">
        <f>IF($A819="","",IF($D819="V01",cad!$C$34,IF($D819="V02",cad!$D$34,cad!$E$34)))</f>
        <v/>
      </c>
      <c r="L819" t="str">
        <f>IF($A819="","",IF($D819="V01",cad!$C$35,IF($D819="V02",cad!$D$35,cad!$E$35)))</f>
        <v/>
      </c>
      <c r="M819" t="str">
        <f>IF($A819="","",IF($D819="V01",cad!$C$36,IF($D819="V02",cad!$D$36,cad!$E$36)))</f>
        <v/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 t="str">
        <f>IF($A820="","",IF($D820="V01",cad!$C$23,IF($D820="V02",cad!$D$23,cad!$E$23)))</f>
        <v/>
      </c>
      <c r="H820" t="str">
        <f>IF($A820="","",IF($D820="V01",cad!$C$24,IF($D820="V02",cad!$D$24,cad!$E$24)))</f>
        <v/>
      </c>
      <c r="I820" t="str">
        <f>IF($A820="","",IF($D820="V01",cad!$C$32,IF($D820="V02",cad!$D$32,cad!$E$32)))</f>
        <v/>
      </c>
      <c r="J820" t="str">
        <f>IF($A820="","",IF($D820="V01",cad!$C$33,IF($D820="V02",cad!$D$33,cad!$E$33)))</f>
        <v/>
      </c>
      <c r="K820" t="str">
        <f>IF($A820="","",IF($D820="V01",cad!$C$34,IF($D820="V02",cad!$D$34,cad!$E$34)))</f>
        <v/>
      </c>
      <c r="L820" t="str">
        <f>IF($A820="","",IF($D820="V01",cad!$C$35,IF($D820="V02",cad!$D$35,cad!$E$35)))</f>
        <v/>
      </c>
      <c r="M820" t="str">
        <f>IF($A820="","",IF($D820="V01",cad!$C$36,IF($D820="V02",cad!$D$36,cad!$E$36)))</f>
        <v/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 t="str">
        <f>IF($A821="","",IF($D821="V01",cad!$C$23,IF($D821="V02",cad!$D$23,cad!$E$23)))</f>
        <v/>
      </c>
      <c r="H821" t="str">
        <f>IF($A821="","",IF($D821="V01",cad!$C$24,IF($D821="V02",cad!$D$24,cad!$E$24)))</f>
        <v/>
      </c>
      <c r="I821" t="str">
        <f>IF($A821="","",IF($D821="V01",cad!$C$32,IF($D821="V02",cad!$D$32,cad!$E$32)))</f>
        <v/>
      </c>
      <c r="J821" t="str">
        <f>IF($A821="","",IF($D821="V01",cad!$C$33,IF($D821="V02",cad!$D$33,cad!$E$33)))</f>
        <v/>
      </c>
      <c r="K821" t="str">
        <f>IF($A821="","",IF($D821="V01",cad!$C$34,IF($D821="V02",cad!$D$34,cad!$E$34)))</f>
        <v/>
      </c>
      <c r="L821" t="str">
        <f>IF($A821="","",IF($D821="V01",cad!$C$35,IF($D821="V02",cad!$D$35,cad!$E$35)))</f>
        <v/>
      </c>
      <c r="M821" t="str">
        <f>IF($A821="","",IF($D821="V01",cad!$C$36,IF($D821="V02",cad!$D$36,cad!$E$36)))</f>
        <v/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 t="str">
        <f>IF($A822="","",IF($D822="V01",cad!$C$23,IF($D822="V02",cad!$D$23,cad!$E$23)))</f>
        <v/>
      </c>
      <c r="H822" t="str">
        <f>IF($A822="","",IF($D822="V01",cad!$C$24,IF($D822="V02",cad!$D$24,cad!$E$24)))</f>
        <v/>
      </c>
      <c r="I822" t="str">
        <f>IF($A822="","",IF($D822="V01",cad!$C$32,IF($D822="V02",cad!$D$32,cad!$E$32)))</f>
        <v/>
      </c>
      <c r="J822" t="str">
        <f>IF($A822="","",IF($D822="V01",cad!$C$33,IF($D822="V02",cad!$D$33,cad!$E$33)))</f>
        <v/>
      </c>
      <c r="K822" t="str">
        <f>IF($A822="","",IF($D822="V01",cad!$C$34,IF($D822="V02",cad!$D$34,cad!$E$34)))</f>
        <v/>
      </c>
      <c r="L822" t="str">
        <f>IF($A822="","",IF($D822="V01",cad!$C$35,IF($D822="V02",cad!$D$35,cad!$E$35)))</f>
        <v/>
      </c>
      <c r="M822" t="str">
        <f>IF($A822="","",IF($D822="V01",cad!$C$36,IF($D822="V02",cad!$D$36,cad!$E$36)))</f>
        <v/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 t="str">
        <f>IF($A823="","",IF($D823="V01",cad!$C$23,IF($D823="V02",cad!$D$23,cad!$E$23)))</f>
        <v/>
      </c>
      <c r="H823" t="str">
        <f>IF($A823="","",IF($D823="V01",cad!$C$24,IF($D823="V02",cad!$D$24,cad!$E$24)))</f>
        <v/>
      </c>
      <c r="I823" t="str">
        <f>IF($A823="","",IF($D823="V01",cad!$C$32,IF($D823="V02",cad!$D$32,cad!$E$32)))</f>
        <v/>
      </c>
      <c r="J823" t="str">
        <f>IF($A823="","",IF($D823="V01",cad!$C$33,IF($D823="V02",cad!$D$33,cad!$E$33)))</f>
        <v/>
      </c>
      <c r="K823" t="str">
        <f>IF($A823="","",IF($D823="V01",cad!$C$34,IF($D823="V02",cad!$D$34,cad!$E$34)))</f>
        <v/>
      </c>
      <c r="L823" t="str">
        <f>IF($A823="","",IF($D823="V01",cad!$C$35,IF($D823="V02",cad!$D$35,cad!$E$35)))</f>
        <v/>
      </c>
      <c r="M823" t="str">
        <f>IF($A823="","",IF($D823="V01",cad!$C$36,IF($D823="V02",cad!$D$36,cad!$E$36)))</f>
        <v/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 t="str">
        <f>IF($A824="","",IF($D824="V01",cad!$C$23,IF($D824="V02",cad!$D$23,cad!$E$23)))</f>
        <v/>
      </c>
      <c r="H824" t="str">
        <f>IF($A824="","",IF($D824="V01",cad!$C$24,IF($D824="V02",cad!$D$24,cad!$E$24)))</f>
        <v/>
      </c>
      <c r="I824" t="str">
        <f>IF($A824="","",IF($D824="V01",cad!$C$32,IF($D824="V02",cad!$D$32,cad!$E$32)))</f>
        <v/>
      </c>
      <c r="J824" t="str">
        <f>IF($A824="","",IF($D824="V01",cad!$C$33,IF($D824="V02",cad!$D$33,cad!$E$33)))</f>
        <v/>
      </c>
      <c r="K824" t="str">
        <f>IF($A824="","",IF($D824="V01",cad!$C$34,IF($D824="V02",cad!$D$34,cad!$E$34)))</f>
        <v/>
      </c>
      <c r="L824" t="str">
        <f>IF($A824="","",IF($D824="V01",cad!$C$35,IF($D824="V02",cad!$D$35,cad!$E$35)))</f>
        <v/>
      </c>
      <c r="M824" t="str">
        <f>IF($A824="","",IF($D824="V01",cad!$C$36,IF($D824="V02",cad!$D$36,cad!$E$36)))</f>
        <v/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 t="str">
        <f>IF($A825="","",IF($D825="V01",cad!$C$23,IF($D825="V02",cad!$D$23,cad!$E$23)))</f>
        <v/>
      </c>
      <c r="H825" t="str">
        <f>IF($A825="","",IF($D825="V01",cad!$C$24,IF($D825="V02",cad!$D$24,cad!$E$24)))</f>
        <v/>
      </c>
      <c r="I825" t="str">
        <f>IF($A825="","",IF($D825="V01",cad!$C$32,IF($D825="V02",cad!$D$32,cad!$E$32)))</f>
        <v/>
      </c>
      <c r="J825" t="str">
        <f>IF($A825="","",IF($D825="V01",cad!$C$33,IF($D825="V02",cad!$D$33,cad!$E$33)))</f>
        <v/>
      </c>
      <c r="K825" t="str">
        <f>IF($A825="","",IF($D825="V01",cad!$C$34,IF($D825="V02",cad!$D$34,cad!$E$34)))</f>
        <v/>
      </c>
      <c r="L825" t="str">
        <f>IF($A825="","",IF($D825="V01",cad!$C$35,IF($D825="V02",cad!$D$35,cad!$E$35)))</f>
        <v/>
      </c>
      <c r="M825" t="str">
        <f>IF($A825="","",IF($D825="V01",cad!$C$36,IF($D825="V02",cad!$D$36,cad!$E$36)))</f>
        <v/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 t="str">
        <f>IF($A826="","",IF($D826="V01",cad!$C$23,IF($D826="V02",cad!$D$23,cad!$E$23)))</f>
        <v/>
      </c>
      <c r="H826" t="str">
        <f>IF($A826="","",IF($D826="V01",cad!$C$24,IF($D826="V02",cad!$D$24,cad!$E$24)))</f>
        <v/>
      </c>
      <c r="I826" t="str">
        <f>IF($A826="","",IF($D826="V01",cad!$C$32,IF($D826="V02",cad!$D$32,cad!$E$32)))</f>
        <v/>
      </c>
      <c r="J826" t="str">
        <f>IF($A826="","",IF($D826="V01",cad!$C$33,IF($D826="V02",cad!$D$33,cad!$E$33)))</f>
        <v/>
      </c>
      <c r="K826" t="str">
        <f>IF($A826="","",IF($D826="V01",cad!$C$34,IF($D826="V02",cad!$D$34,cad!$E$34)))</f>
        <v/>
      </c>
      <c r="L826" t="str">
        <f>IF($A826="","",IF($D826="V01",cad!$C$35,IF($D826="V02",cad!$D$35,cad!$E$35)))</f>
        <v/>
      </c>
      <c r="M826" t="str">
        <f>IF($A826="","",IF($D826="V01",cad!$C$36,IF($D826="V02",cad!$D$36,cad!$E$36)))</f>
        <v/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 t="str">
        <f>IF($A827="","",IF($D827="V01",cad!$C$23,IF($D827="V02",cad!$D$23,cad!$E$23)))</f>
        <v/>
      </c>
      <c r="H827" t="str">
        <f>IF($A827="","",IF($D827="V01",cad!$C$24,IF($D827="V02",cad!$D$24,cad!$E$24)))</f>
        <v/>
      </c>
      <c r="I827" t="str">
        <f>IF($A827="","",IF($D827="V01",cad!$C$32,IF($D827="V02",cad!$D$32,cad!$E$32)))</f>
        <v/>
      </c>
      <c r="J827" t="str">
        <f>IF($A827="","",IF($D827="V01",cad!$C$33,IF($D827="V02",cad!$D$33,cad!$E$33)))</f>
        <v/>
      </c>
      <c r="K827" t="str">
        <f>IF($A827="","",IF($D827="V01",cad!$C$34,IF($D827="V02",cad!$D$34,cad!$E$34)))</f>
        <v/>
      </c>
      <c r="L827" t="str">
        <f>IF($A827="","",IF($D827="V01",cad!$C$35,IF($D827="V02",cad!$D$35,cad!$E$35)))</f>
        <v/>
      </c>
      <c r="M827" t="str">
        <f>IF($A827="","",IF($D827="V01",cad!$C$36,IF($D827="V02",cad!$D$36,cad!$E$36)))</f>
        <v/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 t="str">
        <f>IF($A828="","",IF($D828="V01",cad!$C$23,IF($D828="V02",cad!$D$23,cad!$E$23)))</f>
        <v/>
      </c>
      <c r="H828" t="str">
        <f>IF($A828="","",IF($D828="V01",cad!$C$24,IF($D828="V02",cad!$D$24,cad!$E$24)))</f>
        <v/>
      </c>
      <c r="I828" t="str">
        <f>IF($A828="","",IF($D828="V01",cad!$C$32,IF($D828="V02",cad!$D$32,cad!$E$32)))</f>
        <v/>
      </c>
      <c r="J828" t="str">
        <f>IF($A828="","",IF($D828="V01",cad!$C$33,IF($D828="V02",cad!$D$33,cad!$E$33)))</f>
        <v/>
      </c>
      <c r="K828" t="str">
        <f>IF($A828="","",IF($D828="V01",cad!$C$34,IF($D828="V02",cad!$D$34,cad!$E$34)))</f>
        <v/>
      </c>
      <c r="L828" t="str">
        <f>IF($A828="","",IF($D828="V01",cad!$C$35,IF($D828="V02",cad!$D$35,cad!$E$35)))</f>
        <v/>
      </c>
      <c r="M828" t="str">
        <f>IF($A828="","",IF($D828="V01",cad!$C$36,IF($D828="V02",cad!$D$36,cad!$E$36)))</f>
        <v/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 t="str">
        <f>IF($A829="","",IF($D829="V01",cad!$C$23,IF($D829="V02",cad!$D$23,cad!$E$23)))</f>
        <v/>
      </c>
      <c r="H829" t="str">
        <f>IF($A829="","",IF($D829="V01",cad!$C$24,IF($D829="V02",cad!$D$24,cad!$E$24)))</f>
        <v/>
      </c>
      <c r="I829" t="str">
        <f>IF($A829="","",IF($D829="V01",cad!$C$32,IF($D829="V02",cad!$D$32,cad!$E$32)))</f>
        <v/>
      </c>
      <c r="J829" t="str">
        <f>IF($A829="","",IF($D829="V01",cad!$C$33,IF($D829="V02",cad!$D$33,cad!$E$33)))</f>
        <v/>
      </c>
      <c r="K829" t="str">
        <f>IF($A829="","",IF($D829="V01",cad!$C$34,IF($D829="V02",cad!$D$34,cad!$E$34)))</f>
        <v/>
      </c>
      <c r="L829" t="str">
        <f>IF($A829="","",IF($D829="V01",cad!$C$35,IF($D829="V02",cad!$D$35,cad!$E$35)))</f>
        <v/>
      </c>
      <c r="M829" t="str">
        <f>IF($A829="","",IF($D829="V01",cad!$C$36,IF($D829="V02",cad!$D$36,cad!$E$36)))</f>
        <v/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 t="str">
        <f>IF($A830="","",IF($D830="V01",cad!$C$23,IF($D830="V02",cad!$D$23,cad!$E$23)))</f>
        <v/>
      </c>
      <c r="H830" t="str">
        <f>IF($A830="","",IF($D830="V01",cad!$C$24,IF($D830="V02",cad!$D$24,cad!$E$24)))</f>
        <v/>
      </c>
      <c r="I830" t="str">
        <f>IF($A830="","",IF($D830="V01",cad!$C$32,IF($D830="V02",cad!$D$32,cad!$E$32)))</f>
        <v/>
      </c>
      <c r="J830" t="str">
        <f>IF($A830="","",IF($D830="V01",cad!$C$33,IF($D830="V02",cad!$D$33,cad!$E$33)))</f>
        <v/>
      </c>
      <c r="K830" t="str">
        <f>IF($A830="","",IF($D830="V01",cad!$C$34,IF($D830="V02",cad!$D$34,cad!$E$34)))</f>
        <v/>
      </c>
      <c r="L830" t="str">
        <f>IF($A830="","",IF($D830="V01",cad!$C$35,IF($D830="V02",cad!$D$35,cad!$E$35)))</f>
        <v/>
      </c>
      <c r="M830" t="str">
        <f>IF($A830="","",IF($D830="V01",cad!$C$36,IF($D830="V02",cad!$D$36,cad!$E$36)))</f>
        <v/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 t="str">
        <f>IF($A831="","",IF($D831="V01",cad!$C$23,IF($D831="V02",cad!$D$23,cad!$E$23)))</f>
        <v/>
      </c>
      <c r="H831" t="str">
        <f>IF($A831="","",IF($D831="V01",cad!$C$24,IF($D831="V02",cad!$D$24,cad!$E$24)))</f>
        <v/>
      </c>
      <c r="I831" t="str">
        <f>IF($A831="","",IF($D831="V01",cad!$C$32,IF($D831="V02",cad!$D$32,cad!$E$32)))</f>
        <v/>
      </c>
      <c r="J831" t="str">
        <f>IF($A831="","",IF($D831="V01",cad!$C$33,IF($D831="V02",cad!$D$33,cad!$E$33)))</f>
        <v/>
      </c>
      <c r="K831" t="str">
        <f>IF($A831="","",IF($D831="V01",cad!$C$34,IF($D831="V02",cad!$D$34,cad!$E$34)))</f>
        <v/>
      </c>
      <c r="L831" t="str">
        <f>IF($A831="","",IF($D831="V01",cad!$C$35,IF($D831="V02",cad!$D$35,cad!$E$35)))</f>
        <v/>
      </c>
      <c r="M831" t="str">
        <f>IF($A831="","",IF($D831="V01",cad!$C$36,IF($D831="V02",cad!$D$36,cad!$E$36)))</f>
        <v/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 t="str">
        <f>IF($A832="","",IF($D832="V01",cad!$C$23,IF($D832="V02",cad!$D$23,cad!$E$23)))</f>
        <v/>
      </c>
      <c r="H832" t="str">
        <f>IF($A832="","",IF($D832="V01",cad!$C$24,IF($D832="V02",cad!$D$24,cad!$E$24)))</f>
        <v/>
      </c>
      <c r="I832" t="str">
        <f>IF($A832="","",IF($D832="V01",cad!$C$32,IF($D832="V02",cad!$D$32,cad!$E$32)))</f>
        <v/>
      </c>
      <c r="J832" t="str">
        <f>IF($A832="","",IF($D832="V01",cad!$C$33,IF($D832="V02",cad!$D$33,cad!$E$33)))</f>
        <v/>
      </c>
      <c r="K832" t="str">
        <f>IF($A832="","",IF($D832="V01",cad!$C$34,IF($D832="V02",cad!$D$34,cad!$E$34)))</f>
        <v/>
      </c>
      <c r="L832" t="str">
        <f>IF($A832="","",IF($D832="V01",cad!$C$35,IF($D832="V02",cad!$D$35,cad!$E$35)))</f>
        <v/>
      </c>
      <c r="M832" t="str">
        <f>IF($A832="","",IF($D832="V01",cad!$C$36,IF($D832="V02",cad!$D$36,cad!$E$36)))</f>
        <v/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 t="str">
        <f>IF($A833="","",IF($D833="V01",cad!$C$23,IF($D833="V02",cad!$D$23,cad!$E$23)))</f>
        <v/>
      </c>
      <c r="H833" t="str">
        <f>IF($A833="","",IF($D833="V01",cad!$C$24,IF($D833="V02",cad!$D$24,cad!$E$24)))</f>
        <v/>
      </c>
      <c r="I833" t="str">
        <f>IF($A833="","",IF($D833="V01",cad!$C$32,IF($D833="V02",cad!$D$32,cad!$E$32)))</f>
        <v/>
      </c>
      <c r="J833" t="str">
        <f>IF($A833="","",IF($D833="V01",cad!$C$33,IF($D833="V02",cad!$D$33,cad!$E$33)))</f>
        <v/>
      </c>
      <c r="K833" t="str">
        <f>IF($A833="","",IF($D833="V01",cad!$C$34,IF($D833="V02",cad!$D$34,cad!$E$34)))</f>
        <v/>
      </c>
      <c r="L833" t="str">
        <f>IF($A833="","",IF($D833="V01",cad!$C$35,IF($D833="V02",cad!$D$35,cad!$E$35)))</f>
        <v/>
      </c>
      <c r="M833" t="str">
        <f>IF($A833="","",IF($D833="V01",cad!$C$36,IF($D833="V02",cad!$D$36,cad!$E$36)))</f>
        <v/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 t="str">
        <f>IF($A834="","",IF($D834="V01",cad!$C$23,IF($D834="V02",cad!$D$23,cad!$E$23)))</f>
        <v/>
      </c>
      <c r="H834" t="str">
        <f>IF($A834="","",IF($D834="V01",cad!$C$24,IF($D834="V02",cad!$D$24,cad!$E$24)))</f>
        <v/>
      </c>
      <c r="I834" t="str">
        <f>IF($A834="","",IF($D834="V01",cad!$C$32,IF($D834="V02",cad!$D$32,cad!$E$32)))</f>
        <v/>
      </c>
      <c r="J834" t="str">
        <f>IF($A834="","",IF($D834="V01",cad!$C$33,IF($D834="V02",cad!$D$33,cad!$E$33)))</f>
        <v/>
      </c>
      <c r="K834" t="str">
        <f>IF($A834="","",IF($D834="V01",cad!$C$34,IF($D834="V02",cad!$D$34,cad!$E$34)))</f>
        <v/>
      </c>
      <c r="L834" t="str">
        <f>IF($A834="","",IF($D834="V01",cad!$C$35,IF($D834="V02",cad!$D$35,cad!$E$35)))</f>
        <v/>
      </c>
      <c r="M834" t="str">
        <f>IF($A834="","",IF($D834="V01",cad!$C$36,IF($D834="V02",cad!$D$36,cad!$E$36)))</f>
        <v/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 t="str">
        <f>IF($A835="","",IF($D835="V01",cad!$C$23,IF($D835="V02",cad!$D$23,cad!$E$23)))</f>
        <v/>
      </c>
      <c r="H835" t="str">
        <f>IF($A835="","",IF($D835="V01",cad!$C$24,IF($D835="V02",cad!$D$24,cad!$E$24)))</f>
        <v/>
      </c>
      <c r="I835" t="str">
        <f>IF($A835="","",IF($D835="V01",cad!$C$32,IF($D835="V02",cad!$D$32,cad!$E$32)))</f>
        <v/>
      </c>
      <c r="J835" t="str">
        <f>IF($A835="","",IF($D835="V01",cad!$C$33,IF($D835="V02",cad!$D$33,cad!$E$33)))</f>
        <v/>
      </c>
      <c r="K835" t="str">
        <f>IF($A835="","",IF($D835="V01",cad!$C$34,IF($D835="V02",cad!$D$34,cad!$E$34)))</f>
        <v/>
      </c>
      <c r="L835" t="str">
        <f>IF($A835="","",IF($D835="V01",cad!$C$35,IF($D835="V02",cad!$D$35,cad!$E$35)))</f>
        <v/>
      </c>
      <c r="M835" t="str">
        <f>IF($A835="","",IF($D835="V01",cad!$C$36,IF($D835="V02",cad!$D$36,cad!$E$36)))</f>
        <v/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 t="str">
        <f>IF($A836="","",IF($D836="V01",cad!$C$23,IF($D836="V02",cad!$D$23,cad!$E$23)))</f>
        <v/>
      </c>
      <c r="H836" t="str">
        <f>IF($A836="","",IF($D836="V01",cad!$C$24,IF($D836="V02",cad!$D$24,cad!$E$24)))</f>
        <v/>
      </c>
      <c r="I836" t="str">
        <f>IF($A836="","",IF($D836="V01",cad!$C$32,IF($D836="V02",cad!$D$32,cad!$E$32)))</f>
        <v/>
      </c>
      <c r="J836" t="str">
        <f>IF($A836="","",IF($D836="V01",cad!$C$33,IF($D836="V02",cad!$D$33,cad!$E$33)))</f>
        <v/>
      </c>
      <c r="K836" t="str">
        <f>IF($A836="","",IF($D836="V01",cad!$C$34,IF($D836="V02",cad!$D$34,cad!$E$34)))</f>
        <v/>
      </c>
      <c r="L836" t="str">
        <f>IF($A836="","",IF($D836="V01",cad!$C$35,IF($D836="V02",cad!$D$35,cad!$E$35)))</f>
        <v/>
      </c>
      <c r="M836" t="str">
        <f>IF($A836="","",IF($D836="V01",cad!$C$36,IF($D836="V02",cad!$D$36,cad!$E$36)))</f>
        <v/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 t="str">
        <f>IF($A837="","",IF($D837="V01",cad!$C$23,IF($D837="V02",cad!$D$23,cad!$E$23)))</f>
        <v/>
      </c>
      <c r="H837" t="str">
        <f>IF($A837="","",IF($D837="V01",cad!$C$24,IF($D837="V02",cad!$D$24,cad!$E$24)))</f>
        <v/>
      </c>
      <c r="I837" t="str">
        <f>IF($A837="","",IF($D837="V01",cad!$C$32,IF($D837="V02",cad!$D$32,cad!$E$32)))</f>
        <v/>
      </c>
      <c r="J837" t="str">
        <f>IF($A837="","",IF($D837="V01",cad!$C$33,IF($D837="V02",cad!$D$33,cad!$E$33)))</f>
        <v/>
      </c>
      <c r="K837" t="str">
        <f>IF($A837="","",IF($D837="V01",cad!$C$34,IF($D837="V02",cad!$D$34,cad!$E$34)))</f>
        <v/>
      </c>
      <c r="L837" t="str">
        <f>IF($A837="","",IF($D837="V01",cad!$C$35,IF($D837="V02",cad!$D$35,cad!$E$35)))</f>
        <v/>
      </c>
      <c r="M837" t="str">
        <f>IF($A837="","",IF($D837="V01",cad!$C$36,IF($D837="V02",cad!$D$36,cad!$E$36)))</f>
        <v/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 t="str">
        <f>IF($A838="","",IF($D838="V01",cad!$C$23,IF($D838="V02",cad!$D$23,cad!$E$23)))</f>
        <v/>
      </c>
      <c r="H838" t="str">
        <f>IF($A838="","",IF($D838="V01",cad!$C$24,IF($D838="V02",cad!$D$24,cad!$E$24)))</f>
        <v/>
      </c>
      <c r="I838" t="str">
        <f>IF($A838="","",IF($D838="V01",cad!$C$32,IF($D838="V02",cad!$D$32,cad!$E$32)))</f>
        <v/>
      </c>
      <c r="J838" t="str">
        <f>IF($A838="","",IF($D838="V01",cad!$C$33,IF($D838="V02",cad!$D$33,cad!$E$33)))</f>
        <v/>
      </c>
      <c r="K838" t="str">
        <f>IF($A838="","",IF($D838="V01",cad!$C$34,IF($D838="V02",cad!$D$34,cad!$E$34)))</f>
        <v/>
      </c>
      <c r="L838" t="str">
        <f>IF($A838="","",IF($D838="V01",cad!$C$35,IF($D838="V02",cad!$D$35,cad!$E$35)))</f>
        <v/>
      </c>
      <c r="M838" t="str">
        <f>IF($A838="","",IF($D838="V01",cad!$C$36,IF($D838="V02",cad!$D$36,cad!$E$36)))</f>
        <v/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 t="str">
        <f>IF($A839="","",IF($D839="V01",cad!$C$23,IF($D839="V02",cad!$D$23,cad!$E$23)))</f>
        <v/>
      </c>
      <c r="H839" t="str">
        <f>IF($A839="","",IF($D839="V01",cad!$C$24,IF($D839="V02",cad!$D$24,cad!$E$24)))</f>
        <v/>
      </c>
      <c r="I839" t="str">
        <f>IF($A839="","",IF($D839="V01",cad!$C$32,IF($D839="V02",cad!$D$32,cad!$E$32)))</f>
        <v/>
      </c>
      <c r="J839" t="str">
        <f>IF($A839="","",IF($D839="V01",cad!$C$33,IF($D839="V02",cad!$D$33,cad!$E$33)))</f>
        <v/>
      </c>
      <c r="K839" t="str">
        <f>IF($A839="","",IF($D839="V01",cad!$C$34,IF($D839="V02",cad!$D$34,cad!$E$34)))</f>
        <v/>
      </c>
      <c r="L839" t="str">
        <f>IF($A839="","",IF($D839="V01",cad!$C$35,IF($D839="V02",cad!$D$35,cad!$E$35)))</f>
        <v/>
      </c>
      <c r="M839" t="str">
        <f>IF($A839="","",IF($D839="V01",cad!$C$36,IF($D839="V02",cad!$D$36,cad!$E$36)))</f>
        <v/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 t="str">
        <f>IF($A840="","",IF($D840="V01",cad!$C$23,IF($D840="V02",cad!$D$23,cad!$E$23)))</f>
        <v/>
      </c>
      <c r="H840" t="str">
        <f>IF($A840="","",IF($D840="V01",cad!$C$24,IF($D840="V02",cad!$D$24,cad!$E$24)))</f>
        <v/>
      </c>
      <c r="I840" t="str">
        <f>IF($A840="","",IF($D840="V01",cad!$C$32,IF($D840="V02",cad!$D$32,cad!$E$32)))</f>
        <v/>
      </c>
      <c r="J840" t="str">
        <f>IF($A840="","",IF($D840="V01",cad!$C$33,IF($D840="V02",cad!$D$33,cad!$E$33)))</f>
        <v/>
      </c>
      <c r="K840" t="str">
        <f>IF($A840="","",IF($D840="V01",cad!$C$34,IF($D840="V02",cad!$D$34,cad!$E$34)))</f>
        <v/>
      </c>
      <c r="L840" t="str">
        <f>IF($A840="","",IF($D840="V01",cad!$C$35,IF($D840="V02",cad!$D$35,cad!$E$35)))</f>
        <v/>
      </c>
      <c r="M840" t="str">
        <f>IF($A840="","",IF($D840="V01",cad!$C$36,IF($D840="V02",cad!$D$36,cad!$E$36)))</f>
        <v/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 t="str">
        <f>IF($A841="","",IF($D841="V01",cad!$C$23,IF($D841="V02",cad!$D$23,cad!$E$23)))</f>
        <v/>
      </c>
      <c r="H841" t="str">
        <f>IF($A841="","",IF($D841="V01",cad!$C$24,IF($D841="V02",cad!$D$24,cad!$E$24)))</f>
        <v/>
      </c>
      <c r="I841" t="str">
        <f>IF($A841="","",IF($D841="V01",cad!$C$32,IF($D841="V02",cad!$D$32,cad!$E$32)))</f>
        <v/>
      </c>
      <c r="J841" t="str">
        <f>IF($A841="","",IF($D841="V01",cad!$C$33,IF($D841="V02",cad!$D$33,cad!$E$33)))</f>
        <v/>
      </c>
      <c r="K841" t="str">
        <f>IF($A841="","",IF($D841="V01",cad!$C$34,IF($D841="V02",cad!$D$34,cad!$E$34)))</f>
        <v/>
      </c>
      <c r="L841" t="str">
        <f>IF($A841="","",IF($D841="V01",cad!$C$35,IF($D841="V02",cad!$D$35,cad!$E$35)))</f>
        <v/>
      </c>
      <c r="M841" t="str">
        <f>IF($A841="","",IF($D841="V01",cad!$C$36,IF($D841="V02",cad!$D$36,cad!$E$36)))</f>
        <v/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 t="str">
        <f>IF($A842="","",IF($D842="V01",cad!$C$23,IF($D842="V02",cad!$D$23,cad!$E$23)))</f>
        <v/>
      </c>
      <c r="H842" t="str">
        <f>IF($A842="","",IF($D842="V01",cad!$C$24,IF($D842="V02",cad!$D$24,cad!$E$24)))</f>
        <v/>
      </c>
      <c r="I842" t="str">
        <f>IF($A842="","",IF($D842="V01",cad!$C$32,IF($D842="V02",cad!$D$32,cad!$E$32)))</f>
        <v/>
      </c>
      <c r="J842" t="str">
        <f>IF($A842="","",IF($D842="V01",cad!$C$33,IF($D842="V02",cad!$D$33,cad!$E$33)))</f>
        <v/>
      </c>
      <c r="K842" t="str">
        <f>IF($A842="","",IF($D842="V01",cad!$C$34,IF($D842="V02",cad!$D$34,cad!$E$34)))</f>
        <v/>
      </c>
      <c r="L842" t="str">
        <f>IF($A842="","",IF($D842="V01",cad!$C$35,IF($D842="V02",cad!$D$35,cad!$E$35)))</f>
        <v/>
      </c>
      <c r="M842" t="str">
        <f>IF($A842="","",IF($D842="V01",cad!$C$36,IF($D842="V02",cad!$D$36,cad!$E$36)))</f>
        <v/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 t="str">
        <f>IF($A843="","",IF($D843="V01",cad!$C$23,IF($D843="V02",cad!$D$23,cad!$E$23)))</f>
        <v/>
      </c>
      <c r="H843" t="str">
        <f>IF($A843="","",IF($D843="V01",cad!$C$24,IF($D843="V02",cad!$D$24,cad!$E$24)))</f>
        <v/>
      </c>
      <c r="I843" t="str">
        <f>IF($A843="","",IF($D843="V01",cad!$C$32,IF($D843="V02",cad!$D$32,cad!$E$32)))</f>
        <v/>
      </c>
      <c r="J843" t="str">
        <f>IF($A843="","",IF($D843="V01",cad!$C$33,IF($D843="V02",cad!$D$33,cad!$E$33)))</f>
        <v/>
      </c>
      <c r="K843" t="str">
        <f>IF($A843="","",IF($D843="V01",cad!$C$34,IF($D843="V02",cad!$D$34,cad!$E$34)))</f>
        <v/>
      </c>
      <c r="L843" t="str">
        <f>IF($A843="","",IF($D843="V01",cad!$C$35,IF($D843="V02",cad!$D$35,cad!$E$35)))</f>
        <v/>
      </c>
      <c r="M843" t="str">
        <f>IF($A843="","",IF($D843="V01",cad!$C$36,IF($D843="V02",cad!$D$36,cad!$E$36)))</f>
        <v/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 t="str">
        <f>IF($A844="","",IF($D844="V01",cad!$C$23,IF($D844="V02",cad!$D$23,cad!$E$23)))</f>
        <v/>
      </c>
      <c r="H844" t="str">
        <f>IF($A844="","",IF($D844="V01",cad!$C$24,IF($D844="V02",cad!$D$24,cad!$E$24)))</f>
        <v/>
      </c>
      <c r="I844" t="str">
        <f>IF($A844="","",IF($D844="V01",cad!$C$32,IF($D844="V02",cad!$D$32,cad!$E$32)))</f>
        <v/>
      </c>
      <c r="J844" t="str">
        <f>IF($A844="","",IF($D844="V01",cad!$C$33,IF($D844="V02",cad!$D$33,cad!$E$33)))</f>
        <v/>
      </c>
      <c r="K844" t="str">
        <f>IF($A844="","",IF($D844="V01",cad!$C$34,IF($D844="V02",cad!$D$34,cad!$E$34)))</f>
        <v/>
      </c>
      <c r="L844" t="str">
        <f>IF($A844="","",IF($D844="V01",cad!$C$35,IF($D844="V02",cad!$D$35,cad!$E$35)))</f>
        <v/>
      </c>
      <c r="M844" t="str">
        <f>IF($A844="","",IF($D844="V01",cad!$C$36,IF($D844="V02",cad!$D$36,cad!$E$36)))</f>
        <v/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 t="str">
        <f>IF($A845="","",IF($D845="V01",cad!$C$23,IF($D845="V02",cad!$D$23,cad!$E$23)))</f>
        <v/>
      </c>
      <c r="H845" t="str">
        <f>IF($A845="","",IF($D845="V01",cad!$C$24,IF($D845="V02",cad!$D$24,cad!$E$24)))</f>
        <v/>
      </c>
      <c r="I845" t="str">
        <f>IF($A845="","",IF($D845="V01",cad!$C$32,IF($D845="V02",cad!$D$32,cad!$E$32)))</f>
        <v/>
      </c>
      <c r="J845" t="str">
        <f>IF($A845="","",IF($D845="V01",cad!$C$33,IF($D845="V02",cad!$D$33,cad!$E$33)))</f>
        <v/>
      </c>
      <c r="K845" t="str">
        <f>IF($A845="","",IF($D845="V01",cad!$C$34,IF($D845="V02",cad!$D$34,cad!$E$34)))</f>
        <v/>
      </c>
      <c r="L845" t="str">
        <f>IF($A845="","",IF($D845="V01",cad!$C$35,IF($D845="V02",cad!$D$35,cad!$E$35)))</f>
        <v/>
      </c>
      <c r="M845" t="str">
        <f>IF($A845="","",IF($D845="V01",cad!$C$36,IF($D845="V02",cad!$D$36,cad!$E$36)))</f>
        <v/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 t="str">
        <f>IF($A846="","",IF($D846="V01",cad!$C$23,IF($D846="V02",cad!$D$23,cad!$E$23)))</f>
        <v/>
      </c>
      <c r="H846" t="str">
        <f>IF($A846="","",IF($D846="V01",cad!$C$24,IF($D846="V02",cad!$D$24,cad!$E$24)))</f>
        <v/>
      </c>
      <c r="I846" t="str">
        <f>IF($A846="","",IF($D846="V01",cad!$C$32,IF($D846="V02",cad!$D$32,cad!$E$32)))</f>
        <v/>
      </c>
      <c r="J846" t="str">
        <f>IF($A846="","",IF($D846="V01",cad!$C$33,IF($D846="V02",cad!$D$33,cad!$E$33)))</f>
        <v/>
      </c>
      <c r="K846" t="str">
        <f>IF($A846="","",IF($D846="V01",cad!$C$34,IF($D846="V02",cad!$D$34,cad!$E$34)))</f>
        <v/>
      </c>
      <c r="L846" t="str">
        <f>IF($A846="","",IF($D846="V01",cad!$C$35,IF($D846="V02",cad!$D$35,cad!$E$35)))</f>
        <v/>
      </c>
      <c r="M846" t="str">
        <f>IF($A846="","",IF($D846="V01",cad!$C$36,IF($D846="V02",cad!$D$36,cad!$E$36)))</f>
        <v/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 t="str">
        <f>IF($A847="","",IF($D847="V01",cad!$C$23,IF($D847="V02",cad!$D$23,cad!$E$23)))</f>
        <v/>
      </c>
      <c r="H847" t="str">
        <f>IF($A847="","",IF($D847="V01",cad!$C$24,IF($D847="V02",cad!$D$24,cad!$E$24)))</f>
        <v/>
      </c>
      <c r="I847" t="str">
        <f>IF($A847="","",IF($D847="V01",cad!$C$32,IF($D847="V02",cad!$D$32,cad!$E$32)))</f>
        <v/>
      </c>
      <c r="J847" t="str">
        <f>IF($A847="","",IF($D847="V01",cad!$C$33,IF($D847="V02",cad!$D$33,cad!$E$33)))</f>
        <v/>
      </c>
      <c r="K847" t="str">
        <f>IF($A847="","",IF($D847="V01",cad!$C$34,IF($D847="V02",cad!$D$34,cad!$E$34)))</f>
        <v/>
      </c>
      <c r="L847" t="str">
        <f>IF($A847="","",IF($D847="V01",cad!$C$35,IF($D847="V02",cad!$D$35,cad!$E$35)))</f>
        <v/>
      </c>
      <c r="M847" t="str">
        <f>IF($A847="","",IF($D847="V01",cad!$C$36,IF($D847="V02",cad!$D$36,cad!$E$36)))</f>
        <v/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 t="str">
        <f>IF($A848="","",IF($D848="V01",cad!$C$23,IF($D848="V02",cad!$D$23,cad!$E$23)))</f>
        <v/>
      </c>
      <c r="H848" t="str">
        <f>IF($A848="","",IF($D848="V01",cad!$C$24,IF($D848="V02",cad!$D$24,cad!$E$24)))</f>
        <v/>
      </c>
      <c r="I848" t="str">
        <f>IF($A848="","",IF($D848="V01",cad!$C$32,IF($D848="V02",cad!$D$32,cad!$E$32)))</f>
        <v/>
      </c>
      <c r="J848" t="str">
        <f>IF($A848="","",IF($D848="V01",cad!$C$33,IF($D848="V02",cad!$D$33,cad!$E$33)))</f>
        <v/>
      </c>
      <c r="K848" t="str">
        <f>IF($A848="","",IF($D848="V01",cad!$C$34,IF($D848="V02",cad!$D$34,cad!$E$34)))</f>
        <v/>
      </c>
      <c r="L848" t="str">
        <f>IF($A848="","",IF($D848="V01",cad!$C$35,IF($D848="V02",cad!$D$35,cad!$E$35)))</f>
        <v/>
      </c>
      <c r="M848" t="str">
        <f>IF($A848="","",IF($D848="V01",cad!$C$36,IF($D848="V02",cad!$D$36,cad!$E$36)))</f>
        <v/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 t="str">
        <f>IF($A849="","",IF($D849="V01",cad!$C$23,IF($D849="V02",cad!$D$23,cad!$E$23)))</f>
        <v/>
      </c>
      <c r="H849" t="str">
        <f>IF($A849="","",IF($D849="V01",cad!$C$24,IF($D849="V02",cad!$D$24,cad!$E$24)))</f>
        <v/>
      </c>
      <c r="I849" t="str">
        <f>IF($A849="","",IF($D849="V01",cad!$C$32,IF($D849="V02",cad!$D$32,cad!$E$32)))</f>
        <v/>
      </c>
      <c r="J849" t="str">
        <f>IF($A849="","",IF($D849="V01",cad!$C$33,IF($D849="V02",cad!$D$33,cad!$E$33)))</f>
        <v/>
      </c>
      <c r="K849" t="str">
        <f>IF($A849="","",IF($D849="V01",cad!$C$34,IF($D849="V02",cad!$D$34,cad!$E$34)))</f>
        <v/>
      </c>
      <c r="L849" t="str">
        <f>IF($A849="","",IF($D849="V01",cad!$C$35,IF($D849="V02",cad!$D$35,cad!$E$35)))</f>
        <v/>
      </c>
      <c r="M849" t="str">
        <f>IF($A849="","",IF($D849="V01",cad!$C$36,IF($D849="V02",cad!$D$36,cad!$E$36)))</f>
        <v/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 t="str">
        <f>IF($A850="","",IF($D850="V01",cad!$C$23,IF($D850="V02",cad!$D$23,cad!$E$23)))</f>
        <v/>
      </c>
      <c r="H850" t="str">
        <f>IF($A850="","",IF($D850="V01",cad!$C$24,IF($D850="V02",cad!$D$24,cad!$E$24)))</f>
        <v/>
      </c>
      <c r="I850" t="str">
        <f>IF($A850="","",IF($D850="V01",cad!$C$32,IF($D850="V02",cad!$D$32,cad!$E$32)))</f>
        <v/>
      </c>
      <c r="J850" t="str">
        <f>IF($A850="","",IF($D850="V01",cad!$C$33,IF($D850="V02",cad!$D$33,cad!$E$33)))</f>
        <v/>
      </c>
      <c r="K850" t="str">
        <f>IF($A850="","",IF($D850="V01",cad!$C$34,IF($D850="V02",cad!$D$34,cad!$E$34)))</f>
        <v/>
      </c>
      <c r="L850" t="str">
        <f>IF($A850="","",IF($D850="V01",cad!$C$35,IF($D850="V02",cad!$D$35,cad!$E$35)))</f>
        <v/>
      </c>
      <c r="M850" t="str">
        <f>IF($A850="","",IF($D850="V01",cad!$C$36,IF($D850="V02",cad!$D$36,cad!$E$36)))</f>
        <v/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 t="str">
        <f>IF($A851="","",IF($D851="V01",cad!$C$23,IF($D851="V02",cad!$D$23,cad!$E$23)))</f>
        <v/>
      </c>
      <c r="H851" t="str">
        <f>IF($A851="","",IF($D851="V01",cad!$C$24,IF($D851="V02",cad!$D$24,cad!$E$24)))</f>
        <v/>
      </c>
      <c r="I851" t="str">
        <f>IF($A851="","",IF($D851="V01",cad!$C$32,IF($D851="V02",cad!$D$32,cad!$E$32)))</f>
        <v/>
      </c>
      <c r="J851" t="str">
        <f>IF($A851="","",IF($D851="V01",cad!$C$33,IF($D851="V02",cad!$D$33,cad!$E$33)))</f>
        <v/>
      </c>
      <c r="K851" t="str">
        <f>IF($A851="","",IF($D851="V01",cad!$C$34,IF($D851="V02",cad!$D$34,cad!$E$34)))</f>
        <v/>
      </c>
      <c r="L851" t="str">
        <f>IF($A851="","",IF($D851="V01",cad!$C$35,IF($D851="V02",cad!$D$35,cad!$E$35)))</f>
        <v/>
      </c>
      <c r="M851" t="str">
        <f>IF($A851="","",IF($D851="V01",cad!$C$36,IF($D851="V02",cad!$D$36,cad!$E$36)))</f>
        <v/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 t="str">
        <f>IF($A852="","",IF($D852="V01",cad!$C$23,IF($D852="V02",cad!$D$23,cad!$E$23)))</f>
        <v/>
      </c>
      <c r="H852" t="str">
        <f>IF($A852="","",IF($D852="V01",cad!$C$24,IF($D852="V02",cad!$D$24,cad!$E$24)))</f>
        <v/>
      </c>
      <c r="I852" t="str">
        <f>IF($A852="","",IF($D852="V01",cad!$C$32,IF($D852="V02",cad!$D$32,cad!$E$32)))</f>
        <v/>
      </c>
      <c r="J852" t="str">
        <f>IF($A852="","",IF($D852="V01",cad!$C$33,IF($D852="V02",cad!$D$33,cad!$E$33)))</f>
        <v/>
      </c>
      <c r="K852" t="str">
        <f>IF($A852="","",IF($D852="V01",cad!$C$34,IF($D852="V02",cad!$D$34,cad!$E$34)))</f>
        <v/>
      </c>
      <c r="L852" t="str">
        <f>IF($A852="","",IF($D852="V01",cad!$C$35,IF($D852="V02",cad!$D$35,cad!$E$35)))</f>
        <v/>
      </c>
      <c r="M852" t="str">
        <f>IF($A852="","",IF($D852="V01",cad!$C$36,IF($D852="V02",cad!$D$36,cad!$E$36)))</f>
        <v/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 t="str">
        <f>IF($A853="","",IF($D853="V01",cad!$C$23,IF($D853="V02",cad!$D$23,cad!$E$23)))</f>
        <v/>
      </c>
      <c r="H853" t="str">
        <f>IF($A853="","",IF($D853="V01",cad!$C$24,IF($D853="V02",cad!$D$24,cad!$E$24)))</f>
        <v/>
      </c>
      <c r="I853" t="str">
        <f>IF($A853="","",IF($D853="V01",cad!$C$32,IF($D853="V02",cad!$D$32,cad!$E$32)))</f>
        <v/>
      </c>
      <c r="J853" t="str">
        <f>IF($A853="","",IF($D853="V01",cad!$C$33,IF($D853="V02",cad!$D$33,cad!$E$33)))</f>
        <v/>
      </c>
      <c r="K853" t="str">
        <f>IF($A853="","",IF($D853="V01",cad!$C$34,IF($D853="V02",cad!$D$34,cad!$E$34)))</f>
        <v/>
      </c>
      <c r="L853" t="str">
        <f>IF($A853="","",IF($D853="V01",cad!$C$35,IF($D853="V02",cad!$D$35,cad!$E$35)))</f>
        <v/>
      </c>
      <c r="M853" t="str">
        <f>IF($A853="","",IF($D853="V01",cad!$C$36,IF($D853="V02",cad!$D$36,cad!$E$36)))</f>
        <v/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 t="str">
        <f>IF($A854="","",IF($D854="V01",cad!$C$23,IF($D854="V02",cad!$D$23,cad!$E$23)))</f>
        <v/>
      </c>
      <c r="H854" t="str">
        <f>IF($A854="","",IF($D854="V01",cad!$C$24,IF($D854="V02",cad!$D$24,cad!$E$24)))</f>
        <v/>
      </c>
      <c r="I854" t="str">
        <f>IF($A854="","",IF($D854="V01",cad!$C$32,IF($D854="V02",cad!$D$32,cad!$E$32)))</f>
        <v/>
      </c>
      <c r="J854" t="str">
        <f>IF($A854="","",IF($D854="V01",cad!$C$33,IF($D854="V02",cad!$D$33,cad!$E$33)))</f>
        <v/>
      </c>
      <c r="K854" t="str">
        <f>IF($A854="","",IF($D854="V01",cad!$C$34,IF($D854="V02",cad!$D$34,cad!$E$34)))</f>
        <v/>
      </c>
      <c r="L854" t="str">
        <f>IF($A854="","",IF($D854="V01",cad!$C$35,IF($D854="V02",cad!$D$35,cad!$E$35)))</f>
        <v/>
      </c>
      <c r="M854" t="str">
        <f>IF($A854="","",IF($D854="V01",cad!$C$36,IF($D854="V02",cad!$D$36,cad!$E$36)))</f>
        <v/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 t="str">
        <f>IF($A855="","",IF($D855="V01",cad!$C$23,IF($D855="V02",cad!$D$23,cad!$E$23)))</f>
        <v/>
      </c>
      <c r="H855" t="str">
        <f>IF($A855="","",IF($D855="V01",cad!$C$24,IF($D855="V02",cad!$D$24,cad!$E$24)))</f>
        <v/>
      </c>
      <c r="I855" t="str">
        <f>IF($A855="","",IF($D855="V01",cad!$C$32,IF($D855="V02",cad!$D$32,cad!$E$32)))</f>
        <v/>
      </c>
      <c r="J855" t="str">
        <f>IF($A855="","",IF($D855="V01",cad!$C$33,IF($D855="V02",cad!$D$33,cad!$E$33)))</f>
        <v/>
      </c>
      <c r="K855" t="str">
        <f>IF($A855="","",IF($D855="V01",cad!$C$34,IF($D855="V02",cad!$D$34,cad!$E$34)))</f>
        <v/>
      </c>
      <c r="L855" t="str">
        <f>IF($A855="","",IF($D855="V01",cad!$C$35,IF($D855="V02",cad!$D$35,cad!$E$35)))</f>
        <v/>
      </c>
      <c r="M855" t="str">
        <f>IF($A855="","",IF($D855="V01",cad!$C$36,IF($D855="V02",cad!$D$36,cad!$E$36)))</f>
        <v/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 t="str">
        <f>IF($A856="","",IF($D856="V01",cad!$C$23,IF($D856="V02",cad!$D$23,cad!$E$23)))</f>
        <v/>
      </c>
      <c r="H856" t="str">
        <f>IF($A856="","",IF($D856="V01",cad!$C$24,IF($D856="V02",cad!$D$24,cad!$E$24)))</f>
        <v/>
      </c>
      <c r="I856" t="str">
        <f>IF($A856="","",IF($D856="V01",cad!$C$32,IF($D856="V02",cad!$D$32,cad!$E$32)))</f>
        <v/>
      </c>
      <c r="J856" t="str">
        <f>IF($A856="","",IF($D856="V01",cad!$C$33,IF($D856="V02",cad!$D$33,cad!$E$33)))</f>
        <v/>
      </c>
      <c r="K856" t="str">
        <f>IF($A856="","",IF($D856="V01",cad!$C$34,IF($D856="V02",cad!$D$34,cad!$E$34)))</f>
        <v/>
      </c>
      <c r="L856" t="str">
        <f>IF($A856="","",IF($D856="V01",cad!$C$35,IF($D856="V02",cad!$D$35,cad!$E$35)))</f>
        <v/>
      </c>
      <c r="M856" t="str">
        <f>IF($A856="","",IF($D856="V01",cad!$C$36,IF($D856="V02",cad!$D$36,cad!$E$36)))</f>
        <v/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 t="str">
        <f>IF($A857="","",IF($D857="V01",cad!$C$23,IF($D857="V02",cad!$D$23,cad!$E$23)))</f>
        <v/>
      </c>
      <c r="H857" t="str">
        <f>IF($A857="","",IF($D857="V01",cad!$C$24,IF($D857="V02",cad!$D$24,cad!$E$24)))</f>
        <v/>
      </c>
      <c r="I857" t="str">
        <f>IF($A857="","",IF($D857="V01",cad!$C$32,IF($D857="V02",cad!$D$32,cad!$E$32)))</f>
        <v/>
      </c>
      <c r="J857" t="str">
        <f>IF($A857="","",IF($D857="V01",cad!$C$33,IF($D857="V02",cad!$D$33,cad!$E$33)))</f>
        <v/>
      </c>
      <c r="K857" t="str">
        <f>IF($A857="","",IF($D857="V01",cad!$C$34,IF($D857="V02",cad!$D$34,cad!$E$34)))</f>
        <v/>
      </c>
      <c r="L857" t="str">
        <f>IF($A857="","",IF($D857="V01",cad!$C$35,IF($D857="V02",cad!$D$35,cad!$E$35)))</f>
        <v/>
      </c>
      <c r="M857" t="str">
        <f>IF($A857="","",IF($D857="V01",cad!$C$36,IF($D857="V02",cad!$D$36,cad!$E$36)))</f>
        <v/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 t="str">
        <f>IF($A858="","",IF($D858="V01",cad!$C$23,IF($D858="V02",cad!$D$23,cad!$E$23)))</f>
        <v/>
      </c>
      <c r="H858" t="str">
        <f>IF($A858="","",IF($D858="V01",cad!$C$24,IF($D858="V02",cad!$D$24,cad!$E$24)))</f>
        <v/>
      </c>
      <c r="I858" t="str">
        <f>IF($A858="","",IF($D858="V01",cad!$C$32,IF($D858="V02",cad!$D$32,cad!$E$32)))</f>
        <v/>
      </c>
      <c r="J858" t="str">
        <f>IF($A858="","",IF($D858="V01",cad!$C$33,IF($D858="V02",cad!$D$33,cad!$E$33)))</f>
        <v/>
      </c>
      <c r="K858" t="str">
        <f>IF($A858="","",IF($D858="V01",cad!$C$34,IF($D858="V02",cad!$D$34,cad!$E$34)))</f>
        <v/>
      </c>
      <c r="L858" t="str">
        <f>IF($A858="","",IF($D858="V01",cad!$C$35,IF($D858="V02",cad!$D$35,cad!$E$35)))</f>
        <v/>
      </c>
      <c r="M858" t="str">
        <f>IF($A858="","",IF($D858="V01",cad!$C$36,IF($D858="V02",cad!$D$36,cad!$E$36)))</f>
        <v/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 t="str">
        <f>IF($A859="","",IF($D859="V01",cad!$C$23,IF($D859="V02",cad!$D$23,cad!$E$23)))</f>
        <v/>
      </c>
      <c r="H859" t="str">
        <f>IF($A859="","",IF($D859="V01",cad!$C$24,IF($D859="V02",cad!$D$24,cad!$E$24)))</f>
        <v/>
      </c>
      <c r="I859" t="str">
        <f>IF($A859="","",IF($D859="V01",cad!$C$32,IF($D859="V02",cad!$D$32,cad!$E$32)))</f>
        <v/>
      </c>
      <c r="J859" t="str">
        <f>IF($A859="","",IF($D859="V01",cad!$C$33,IF($D859="V02",cad!$D$33,cad!$E$33)))</f>
        <v/>
      </c>
      <c r="K859" t="str">
        <f>IF($A859="","",IF($D859="V01",cad!$C$34,IF($D859="V02",cad!$D$34,cad!$E$34)))</f>
        <v/>
      </c>
      <c r="L859" t="str">
        <f>IF($A859="","",IF($D859="V01",cad!$C$35,IF($D859="V02",cad!$D$35,cad!$E$35)))</f>
        <v/>
      </c>
      <c r="M859" t="str">
        <f>IF($A859="","",IF($D859="V01",cad!$C$36,IF($D859="V02",cad!$D$36,cad!$E$36)))</f>
        <v/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 t="str">
        <f>IF($A860="","",IF($D860="V01",cad!$C$23,IF($D860="V02",cad!$D$23,cad!$E$23)))</f>
        <v/>
      </c>
      <c r="H860" t="str">
        <f>IF($A860="","",IF($D860="V01",cad!$C$24,IF($D860="V02",cad!$D$24,cad!$E$24)))</f>
        <v/>
      </c>
      <c r="I860" t="str">
        <f>IF($A860="","",IF($D860="V01",cad!$C$32,IF($D860="V02",cad!$D$32,cad!$E$32)))</f>
        <v/>
      </c>
      <c r="J860" t="str">
        <f>IF($A860="","",IF($D860="V01",cad!$C$33,IF($D860="V02",cad!$D$33,cad!$E$33)))</f>
        <v/>
      </c>
      <c r="K860" t="str">
        <f>IF($A860="","",IF($D860="V01",cad!$C$34,IF($D860="V02",cad!$D$34,cad!$E$34)))</f>
        <v/>
      </c>
      <c r="L860" t="str">
        <f>IF($A860="","",IF($D860="V01",cad!$C$35,IF($D860="V02",cad!$D$35,cad!$E$35)))</f>
        <v/>
      </c>
      <c r="M860" t="str">
        <f>IF($A860="","",IF($D860="V01",cad!$C$36,IF($D860="V02",cad!$D$36,cad!$E$36)))</f>
        <v/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 t="str">
        <f>IF($A861="","",IF($D861="V01",cad!$C$23,IF($D861="V02",cad!$D$23,cad!$E$23)))</f>
        <v/>
      </c>
      <c r="H861" t="str">
        <f>IF($A861="","",IF($D861="V01",cad!$C$24,IF($D861="V02",cad!$D$24,cad!$E$24)))</f>
        <v/>
      </c>
      <c r="I861" t="str">
        <f>IF($A861="","",IF($D861="V01",cad!$C$32,IF($D861="V02",cad!$D$32,cad!$E$32)))</f>
        <v/>
      </c>
      <c r="J861" t="str">
        <f>IF($A861="","",IF($D861="V01",cad!$C$33,IF($D861="V02",cad!$D$33,cad!$E$33)))</f>
        <v/>
      </c>
      <c r="K861" t="str">
        <f>IF($A861="","",IF($D861="V01",cad!$C$34,IF($D861="V02",cad!$D$34,cad!$E$34)))</f>
        <v/>
      </c>
      <c r="L861" t="str">
        <f>IF($A861="","",IF($D861="V01",cad!$C$35,IF($D861="V02",cad!$D$35,cad!$E$35)))</f>
        <v/>
      </c>
      <c r="M861" t="str">
        <f>IF($A861="","",IF($D861="V01",cad!$C$36,IF($D861="V02",cad!$D$36,cad!$E$36)))</f>
        <v/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 t="str">
        <f>IF($A862="","",IF($D862="V01",cad!$C$23,IF($D862="V02",cad!$D$23,cad!$E$23)))</f>
        <v/>
      </c>
      <c r="H862" t="str">
        <f>IF($A862="","",IF($D862="V01",cad!$C$24,IF($D862="V02",cad!$D$24,cad!$E$24)))</f>
        <v/>
      </c>
      <c r="I862" t="str">
        <f>IF($A862="","",IF($D862="V01",cad!$C$32,IF($D862="V02",cad!$D$32,cad!$E$32)))</f>
        <v/>
      </c>
      <c r="J862" t="str">
        <f>IF($A862="","",IF($D862="V01",cad!$C$33,IF($D862="V02",cad!$D$33,cad!$E$33)))</f>
        <v/>
      </c>
      <c r="K862" t="str">
        <f>IF($A862="","",IF($D862="V01",cad!$C$34,IF($D862="V02",cad!$D$34,cad!$E$34)))</f>
        <v/>
      </c>
      <c r="L862" t="str">
        <f>IF($A862="","",IF($D862="V01",cad!$C$35,IF($D862="V02",cad!$D$35,cad!$E$35)))</f>
        <v/>
      </c>
      <c r="M862" t="str">
        <f>IF($A862="","",IF($D862="V01",cad!$C$36,IF($D862="V02",cad!$D$36,cad!$E$36)))</f>
        <v/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 t="str">
        <f>IF($A863="","",IF($D863="V01",cad!$C$23,IF($D863="V02",cad!$D$23,cad!$E$23)))</f>
        <v/>
      </c>
      <c r="H863" t="str">
        <f>IF($A863="","",IF($D863="V01",cad!$C$24,IF($D863="V02",cad!$D$24,cad!$E$24)))</f>
        <v/>
      </c>
      <c r="I863" t="str">
        <f>IF($A863="","",IF($D863="V01",cad!$C$32,IF($D863="V02",cad!$D$32,cad!$E$32)))</f>
        <v/>
      </c>
      <c r="J863" t="str">
        <f>IF($A863="","",IF($D863="V01",cad!$C$33,IF($D863="V02",cad!$D$33,cad!$E$33)))</f>
        <v/>
      </c>
      <c r="K863" t="str">
        <f>IF($A863="","",IF($D863="V01",cad!$C$34,IF($D863="V02",cad!$D$34,cad!$E$34)))</f>
        <v/>
      </c>
      <c r="L863" t="str">
        <f>IF($A863="","",IF($D863="V01",cad!$C$35,IF($D863="V02",cad!$D$35,cad!$E$35)))</f>
        <v/>
      </c>
      <c r="M863" t="str">
        <f>IF($A863="","",IF($D863="V01",cad!$C$36,IF($D863="V02",cad!$D$36,cad!$E$36)))</f>
        <v/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 t="str">
        <f>IF($A864="","",IF($D864="V01",cad!$C$23,IF($D864="V02",cad!$D$23,cad!$E$23)))</f>
        <v/>
      </c>
      <c r="H864" t="str">
        <f>IF($A864="","",IF($D864="V01",cad!$C$24,IF($D864="V02",cad!$D$24,cad!$E$24)))</f>
        <v/>
      </c>
      <c r="I864" t="str">
        <f>IF($A864="","",IF($D864="V01",cad!$C$32,IF($D864="V02",cad!$D$32,cad!$E$32)))</f>
        <v/>
      </c>
      <c r="J864" t="str">
        <f>IF($A864="","",IF($D864="V01",cad!$C$33,IF($D864="V02",cad!$D$33,cad!$E$33)))</f>
        <v/>
      </c>
      <c r="K864" t="str">
        <f>IF($A864="","",IF($D864="V01",cad!$C$34,IF($D864="V02",cad!$D$34,cad!$E$34)))</f>
        <v/>
      </c>
      <c r="L864" t="str">
        <f>IF($A864="","",IF($D864="V01",cad!$C$35,IF($D864="V02",cad!$D$35,cad!$E$35)))</f>
        <v/>
      </c>
      <c r="M864" t="str">
        <f>IF($A864="","",IF($D864="V01",cad!$C$36,IF($D864="V02",cad!$D$36,cad!$E$36)))</f>
        <v/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 t="str">
        <f>IF($A865="","",IF($D865="V01",cad!$C$23,IF($D865="V02",cad!$D$23,cad!$E$23)))</f>
        <v/>
      </c>
      <c r="H865" t="str">
        <f>IF($A865="","",IF($D865="V01",cad!$C$24,IF($D865="V02",cad!$D$24,cad!$E$24)))</f>
        <v/>
      </c>
      <c r="I865" t="str">
        <f>IF($A865="","",IF($D865="V01",cad!$C$32,IF($D865="V02",cad!$D$32,cad!$E$32)))</f>
        <v/>
      </c>
      <c r="J865" t="str">
        <f>IF($A865="","",IF($D865="V01",cad!$C$33,IF($D865="V02",cad!$D$33,cad!$E$33)))</f>
        <v/>
      </c>
      <c r="K865" t="str">
        <f>IF($A865="","",IF($D865="V01",cad!$C$34,IF($D865="V02",cad!$D$34,cad!$E$34)))</f>
        <v/>
      </c>
      <c r="L865" t="str">
        <f>IF($A865="","",IF($D865="V01",cad!$C$35,IF($D865="V02",cad!$D$35,cad!$E$35)))</f>
        <v/>
      </c>
      <c r="M865" t="str">
        <f>IF($A865="","",IF($D865="V01",cad!$C$36,IF($D865="V02",cad!$D$36,cad!$E$36)))</f>
        <v/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 t="str">
        <f>IF($A866="","",IF($D866="V01",cad!$C$23,IF($D866="V02",cad!$D$23,cad!$E$23)))</f>
        <v/>
      </c>
      <c r="H866" t="str">
        <f>IF($A866="","",IF($D866="V01",cad!$C$24,IF($D866="V02",cad!$D$24,cad!$E$24)))</f>
        <v/>
      </c>
      <c r="I866" t="str">
        <f>IF($A866="","",IF($D866="V01",cad!$C$32,IF($D866="V02",cad!$D$32,cad!$E$32)))</f>
        <v/>
      </c>
      <c r="J866" t="str">
        <f>IF($A866="","",IF($D866="V01",cad!$C$33,IF($D866="V02",cad!$D$33,cad!$E$33)))</f>
        <v/>
      </c>
      <c r="K866" t="str">
        <f>IF($A866="","",IF($D866="V01",cad!$C$34,IF($D866="V02",cad!$D$34,cad!$E$34)))</f>
        <v/>
      </c>
      <c r="L866" t="str">
        <f>IF($A866="","",IF($D866="V01",cad!$C$35,IF($D866="V02",cad!$D$35,cad!$E$35)))</f>
        <v/>
      </c>
      <c r="M866" t="str">
        <f>IF($A866="","",IF($D866="V01",cad!$C$36,IF($D866="V02",cad!$D$36,cad!$E$36)))</f>
        <v/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 t="str">
        <f>IF($A867="","",IF($D867="V01",cad!$C$23,IF($D867="V02",cad!$D$23,cad!$E$23)))</f>
        <v/>
      </c>
      <c r="H867" t="str">
        <f>IF($A867="","",IF($D867="V01",cad!$C$24,IF($D867="V02",cad!$D$24,cad!$E$24)))</f>
        <v/>
      </c>
      <c r="I867" t="str">
        <f>IF($A867="","",IF($D867="V01",cad!$C$32,IF($D867="V02",cad!$D$32,cad!$E$32)))</f>
        <v/>
      </c>
      <c r="J867" t="str">
        <f>IF($A867="","",IF($D867="V01",cad!$C$33,IF($D867="V02",cad!$D$33,cad!$E$33)))</f>
        <v/>
      </c>
      <c r="K867" t="str">
        <f>IF($A867="","",IF($D867="V01",cad!$C$34,IF($D867="V02",cad!$D$34,cad!$E$34)))</f>
        <v/>
      </c>
      <c r="L867" t="str">
        <f>IF($A867="","",IF($D867="V01",cad!$C$35,IF($D867="V02",cad!$D$35,cad!$E$35)))</f>
        <v/>
      </c>
      <c r="M867" t="str">
        <f>IF($A867="","",IF($D867="V01",cad!$C$36,IF($D867="V02",cad!$D$36,cad!$E$36)))</f>
        <v/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 t="str">
        <f>IF($A868="","",IF($D868="V01",cad!$C$23,IF($D868="V02",cad!$D$23,cad!$E$23)))</f>
        <v/>
      </c>
      <c r="H868" t="str">
        <f>IF($A868="","",IF($D868="V01",cad!$C$24,IF($D868="V02",cad!$D$24,cad!$E$24)))</f>
        <v/>
      </c>
      <c r="I868" t="str">
        <f>IF($A868="","",IF($D868="V01",cad!$C$32,IF($D868="V02",cad!$D$32,cad!$E$32)))</f>
        <v/>
      </c>
      <c r="J868" t="str">
        <f>IF($A868="","",IF($D868="V01",cad!$C$33,IF($D868="V02",cad!$D$33,cad!$E$33)))</f>
        <v/>
      </c>
      <c r="K868" t="str">
        <f>IF($A868="","",IF($D868="V01",cad!$C$34,IF($D868="V02",cad!$D$34,cad!$E$34)))</f>
        <v/>
      </c>
      <c r="L868" t="str">
        <f>IF($A868="","",IF($D868="V01",cad!$C$35,IF($D868="V02",cad!$D$35,cad!$E$35)))</f>
        <v/>
      </c>
      <c r="M868" t="str">
        <f>IF($A868="","",IF($D868="V01",cad!$C$36,IF($D868="V02",cad!$D$36,cad!$E$36)))</f>
        <v/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 t="str">
        <f>IF($A869="","",IF($D869="V01",cad!$C$23,IF($D869="V02",cad!$D$23,cad!$E$23)))</f>
        <v/>
      </c>
      <c r="H869" t="str">
        <f>IF($A869="","",IF($D869="V01",cad!$C$24,IF($D869="V02",cad!$D$24,cad!$E$24)))</f>
        <v/>
      </c>
      <c r="I869" t="str">
        <f>IF($A869="","",IF($D869="V01",cad!$C$32,IF($D869="V02",cad!$D$32,cad!$E$32)))</f>
        <v/>
      </c>
      <c r="J869" t="str">
        <f>IF($A869="","",IF($D869="V01",cad!$C$33,IF($D869="V02",cad!$D$33,cad!$E$33)))</f>
        <v/>
      </c>
      <c r="K869" t="str">
        <f>IF($A869="","",IF($D869="V01",cad!$C$34,IF($D869="V02",cad!$D$34,cad!$E$34)))</f>
        <v/>
      </c>
      <c r="L869" t="str">
        <f>IF($A869="","",IF($D869="V01",cad!$C$35,IF($D869="V02",cad!$D$35,cad!$E$35)))</f>
        <v/>
      </c>
      <c r="M869" t="str">
        <f>IF($A869="","",IF($D869="V01",cad!$C$36,IF($D869="V02",cad!$D$36,cad!$E$36)))</f>
        <v/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 t="str">
        <f>IF($A870="","",IF($D870="V01",cad!$C$23,IF($D870="V02",cad!$D$23,cad!$E$23)))</f>
        <v/>
      </c>
      <c r="H870" t="str">
        <f>IF($A870="","",IF($D870="V01",cad!$C$24,IF($D870="V02",cad!$D$24,cad!$E$24)))</f>
        <v/>
      </c>
      <c r="I870" t="str">
        <f>IF($A870="","",IF($D870="V01",cad!$C$32,IF($D870="V02",cad!$D$32,cad!$E$32)))</f>
        <v/>
      </c>
      <c r="J870" t="str">
        <f>IF($A870="","",IF($D870="V01",cad!$C$33,IF($D870="V02",cad!$D$33,cad!$E$33)))</f>
        <v/>
      </c>
      <c r="K870" t="str">
        <f>IF($A870="","",IF($D870="V01",cad!$C$34,IF($D870="V02",cad!$D$34,cad!$E$34)))</f>
        <v/>
      </c>
      <c r="L870" t="str">
        <f>IF($A870="","",IF($D870="V01",cad!$C$35,IF($D870="V02",cad!$D$35,cad!$E$35)))</f>
        <v/>
      </c>
      <c r="M870" t="str">
        <f>IF($A870="","",IF($D870="V01",cad!$C$36,IF($D870="V02",cad!$D$36,cad!$E$36)))</f>
        <v/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 t="str">
        <f>IF($A871="","",IF($D871="V01",cad!$C$23,IF($D871="V02",cad!$D$23,cad!$E$23)))</f>
        <v/>
      </c>
      <c r="H871" t="str">
        <f>IF($A871="","",IF($D871="V01",cad!$C$24,IF($D871="V02",cad!$D$24,cad!$E$24)))</f>
        <v/>
      </c>
      <c r="I871" t="str">
        <f>IF($A871="","",IF($D871="V01",cad!$C$32,IF($D871="V02",cad!$D$32,cad!$E$32)))</f>
        <v/>
      </c>
      <c r="J871" t="str">
        <f>IF($A871="","",IF($D871="V01",cad!$C$33,IF($D871="V02",cad!$D$33,cad!$E$33)))</f>
        <v/>
      </c>
      <c r="K871" t="str">
        <f>IF($A871="","",IF($D871="V01",cad!$C$34,IF($D871="V02",cad!$D$34,cad!$E$34)))</f>
        <v/>
      </c>
      <c r="L871" t="str">
        <f>IF($A871="","",IF($D871="V01",cad!$C$35,IF($D871="V02",cad!$D$35,cad!$E$35)))</f>
        <v/>
      </c>
      <c r="M871" t="str">
        <f>IF($A871="","",IF($D871="V01",cad!$C$36,IF($D871="V02",cad!$D$36,cad!$E$36)))</f>
        <v/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 t="str">
        <f>IF($A872="","",IF($D872="V01",cad!$C$23,IF($D872="V02",cad!$D$23,cad!$E$23)))</f>
        <v/>
      </c>
      <c r="H872" t="str">
        <f>IF($A872="","",IF($D872="V01",cad!$C$24,IF($D872="V02",cad!$D$24,cad!$E$24)))</f>
        <v/>
      </c>
      <c r="I872" t="str">
        <f>IF($A872="","",IF($D872="V01",cad!$C$32,IF($D872="V02",cad!$D$32,cad!$E$32)))</f>
        <v/>
      </c>
      <c r="J872" t="str">
        <f>IF($A872="","",IF($D872="V01",cad!$C$33,IF($D872="V02",cad!$D$33,cad!$E$33)))</f>
        <v/>
      </c>
      <c r="K872" t="str">
        <f>IF($A872="","",IF($D872="V01",cad!$C$34,IF($D872="V02",cad!$D$34,cad!$E$34)))</f>
        <v/>
      </c>
      <c r="L872" t="str">
        <f>IF($A872="","",IF($D872="V01",cad!$C$35,IF($D872="V02",cad!$D$35,cad!$E$35)))</f>
        <v/>
      </c>
      <c r="M872" t="str">
        <f>IF($A872="","",IF($D872="V01",cad!$C$36,IF($D872="V02",cad!$D$36,cad!$E$36)))</f>
        <v/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 t="str">
        <f>IF($A873="","",IF($D873="V01",cad!$C$23,IF($D873="V02",cad!$D$23,cad!$E$23)))</f>
        <v/>
      </c>
      <c r="H873" t="str">
        <f>IF($A873="","",IF($D873="V01",cad!$C$24,IF($D873="V02",cad!$D$24,cad!$E$24)))</f>
        <v/>
      </c>
      <c r="I873" t="str">
        <f>IF($A873="","",IF($D873="V01",cad!$C$32,IF($D873="V02",cad!$D$32,cad!$E$32)))</f>
        <v/>
      </c>
      <c r="J873" t="str">
        <f>IF($A873="","",IF($D873="V01",cad!$C$33,IF($D873="V02",cad!$D$33,cad!$E$33)))</f>
        <v/>
      </c>
      <c r="K873" t="str">
        <f>IF($A873="","",IF($D873="V01",cad!$C$34,IF($D873="V02",cad!$D$34,cad!$E$34)))</f>
        <v/>
      </c>
      <c r="L873" t="str">
        <f>IF($A873="","",IF($D873="V01",cad!$C$35,IF($D873="V02",cad!$D$35,cad!$E$35)))</f>
        <v/>
      </c>
      <c r="M873" t="str">
        <f>IF($A873="","",IF($D873="V01",cad!$C$36,IF($D873="V02",cad!$D$36,cad!$E$36)))</f>
        <v/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 t="str">
        <f>IF($A874="","",IF($D874="V01",cad!$C$23,IF($D874="V02",cad!$D$23,cad!$E$23)))</f>
        <v/>
      </c>
      <c r="H874" t="str">
        <f>IF($A874="","",IF($D874="V01",cad!$C$24,IF($D874="V02",cad!$D$24,cad!$E$24)))</f>
        <v/>
      </c>
      <c r="I874" t="str">
        <f>IF($A874="","",IF($D874="V01",cad!$C$32,IF($D874="V02",cad!$D$32,cad!$E$32)))</f>
        <v/>
      </c>
      <c r="J874" t="str">
        <f>IF($A874="","",IF($D874="V01",cad!$C$33,IF($D874="V02",cad!$D$33,cad!$E$33)))</f>
        <v/>
      </c>
      <c r="K874" t="str">
        <f>IF($A874="","",IF($D874="V01",cad!$C$34,IF($D874="V02",cad!$D$34,cad!$E$34)))</f>
        <v/>
      </c>
      <c r="L874" t="str">
        <f>IF($A874="","",IF($D874="V01",cad!$C$35,IF($D874="V02",cad!$D$35,cad!$E$35)))</f>
        <v/>
      </c>
      <c r="M874" t="str">
        <f>IF($A874="","",IF($D874="V01",cad!$C$36,IF($D874="V02",cad!$D$36,cad!$E$36)))</f>
        <v/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 t="str">
        <f>IF($A875="","",IF($D875="V01",cad!$C$23,IF($D875="V02",cad!$D$23,cad!$E$23)))</f>
        <v/>
      </c>
      <c r="H875" t="str">
        <f>IF($A875="","",IF($D875="V01",cad!$C$24,IF($D875="V02",cad!$D$24,cad!$E$24)))</f>
        <v/>
      </c>
      <c r="I875" t="str">
        <f>IF($A875="","",IF($D875="V01",cad!$C$32,IF($D875="V02",cad!$D$32,cad!$E$32)))</f>
        <v/>
      </c>
      <c r="J875" t="str">
        <f>IF($A875="","",IF($D875="V01",cad!$C$33,IF($D875="V02",cad!$D$33,cad!$E$33)))</f>
        <v/>
      </c>
      <c r="K875" t="str">
        <f>IF($A875="","",IF($D875="V01",cad!$C$34,IF($D875="V02",cad!$D$34,cad!$E$34)))</f>
        <v/>
      </c>
      <c r="L875" t="str">
        <f>IF($A875="","",IF($D875="V01",cad!$C$35,IF($D875="V02",cad!$D$35,cad!$E$35)))</f>
        <v/>
      </c>
      <c r="M875" t="str">
        <f>IF($A875="","",IF($D875="V01",cad!$C$36,IF($D875="V02",cad!$D$36,cad!$E$36)))</f>
        <v/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 t="str">
        <f>IF($A876="","",IF($D876="V01",cad!$C$23,IF($D876="V02",cad!$D$23,cad!$E$23)))</f>
        <v/>
      </c>
      <c r="H876" t="str">
        <f>IF($A876="","",IF($D876="V01",cad!$C$24,IF($D876="V02",cad!$D$24,cad!$E$24)))</f>
        <v/>
      </c>
      <c r="I876" t="str">
        <f>IF($A876="","",IF($D876="V01",cad!$C$32,IF($D876="V02",cad!$D$32,cad!$E$32)))</f>
        <v/>
      </c>
      <c r="J876" t="str">
        <f>IF($A876="","",IF($D876="V01",cad!$C$33,IF($D876="V02",cad!$D$33,cad!$E$33)))</f>
        <v/>
      </c>
      <c r="K876" t="str">
        <f>IF($A876="","",IF($D876="V01",cad!$C$34,IF($D876="V02",cad!$D$34,cad!$E$34)))</f>
        <v/>
      </c>
      <c r="L876" t="str">
        <f>IF($A876="","",IF($D876="V01",cad!$C$35,IF($D876="V02",cad!$D$35,cad!$E$35)))</f>
        <v/>
      </c>
      <c r="M876" t="str">
        <f>IF($A876="","",IF($D876="V01",cad!$C$36,IF($D876="V02",cad!$D$36,cad!$E$36)))</f>
        <v/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 t="str">
        <f>IF($A877="","",IF($D877="V01",cad!$C$23,IF($D877="V02",cad!$D$23,cad!$E$23)))</f>
        <v/>
      </c>
      <c r="H877" t="str">
        <f>IF($A877="","",IF($D877="V01",cad!$C$24,IF($D877="V02",cad!$D$24,cad!$E$24)))</f>
        <v/>
      </c>
      <c r="I877" t="str">
        <f>IF($A877="","",IF($D877="V01",cad!$C$32,IF($D877="V02",cad!$D$32,cad!$E$32)))</f>
        <v/>
      </c>
      <c r="J877" t="str">
        <f>IF($A877="","",IF($D877="V01",cad!$C$33,IF($D877="V02",cad!$D$33,cad!$E$33)))</f>
        <v/>
      </c>
      <c r="K877" t="str">
        <f>IF($A877="","",IF($D877="V01",cad!$C$34,IF($D877="V02",cad!$D$34,cad!$E$34)))</f>
        <v/>
      </c>
      <c r="L877" t="str">
        <f>IF($A877="","",IF($D877="V01",cad!$C$35,IF($D877="V02",cad!$D$35,cad!$E$35)))</f>
        <v/>
      </c>
      <c r="M877" t="str">
        <f>IF($A877="","",IF($D877="V01",cad!$C$36,IF($D877="V02",cad!$D$36,cad!$E$36)))</f>
        <v/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 t="str">
        <f>IF($A878="","",IF($D878="V01",cad!$C$23,IF($D878="V02",cad!$D$23,cad!$E$23)))</f>
        <v/>
      </c>
      <c r="H878" t="str">
        <f>IF($A878="","",IF($D878="V01",cad!$C$24,IF($D878="V02",cad!$D$24,cad!$E$24)))</f>
        <v/>
      </c>
      <c r="I878" t="str">
        <f>IF($A878="","",IF($D878="V01",cad!$C$32,IF($D878="V02",cad!$D$32,cad!$E$32)))</f>
        <v/>
      </c>
      <c r="J878" t="str">
        <f>IF($A878="","",IF($D878="V01",cad!$C$33,IF($D878="V02",cad!$D$33,cad!$E$33)))</f>
        <v/>
      </c>
      <c r="K878" t="str">
        <f>IF($A878="","",IF($D878="V01",cad!$C$34,IF($D878="V02",cad!$D$34,cad!$E$34)))</f>
        <v/>
      </c>
      <c r="L878" t="str">
        <f>IF($A878="","",IF($D878="V01",cad!$C$35,IF($D878="V02",cad!$D$35,cad!$E$35)))</f>
        <v/>
      </c>
      <c r="M878" t="str">
        <f>IF($A878="","",IF($D878="V01",cad!$C$36,IF($D878="V02",cad!$D$36,cad!$E$36)))</f>
        <v/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 t="str">
        <f>IF($A879="","",IF($D879="V01",cad!$C$23,IF($D879="V02",cad!$D$23,cad!$E$23)))</f>
        <v/>
      </c>
      <c r="H879" t="str">
        <f>IF($A879="","",IF($D879="V01",cad!$C$24,IF($D879="V02",cad!$D$24,cad!$E$24)))</f>
        <v/>
      </c>
      <c r="I879" t="str">
        <f>IF($A879="","",IF($D879="V01",cad!$C$32,IF($D879="V02",cad!$D$32,cad!$E$32)))</f>
        <v/>
      </c>
      <c r="J879" t="str">
        <f>IF($A879="","",IF($D879="V01",cad!$C$33,IF($D879="V02",cad!$D$33,cad!$E$33)))</f>
        <v/>
      </c>
      <c r="K879" t="str">
        <f>IF($A879="","",IF($D879="V01",cad!$C$34,IF($D879="V02",cad!$D$34,cad!$E$34)))</f>
        <v/>
      </c>
      <c r="L879" t="str">
        <f>IF($A879="","",IF($D879="V01",cad!$C$35,IF($D879="V02",cad!$D$35,cad!$E$35)))</f>
        <v/>
      </c>
      <c r="M879" t="str">
        <f>IF($A879="","",IF($D879="V01",cad!$C$36,IF($D879="V02",cad!$D$36,cad!$E$36)))</f>
        <v/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 t="str">
        <f>IF($A880="","",IF($D880="V01",cad!$C$23,IF($D880="V02",cad!$D$23,cad!$E$23)))</f>
        <v/>
      </c>
      <c r="H880" t="str">
        <f>IF($A880="","",IF($D880="V01",cad!$C$24,IF($D880="V02",cad!$D$24,cad!$E$24)))</f>
        <v/>
      </c>
      <c r="I880" t="str">
        <f>IF($A880="","",IF($D880="V01",cad!$C$32,IF($D880="V02",cad!$D$32,cad!$E$32)))</f>
        <v/>
      </c>
      <c r="J880" t="str">
        <f>IF($A880="","",IF($D880="V01",cad!$C$33,IF($D880="V02",cad!$D$33,cad!$E$33)))</f>
        <v/>
      </c>
      <c r="K880" t="str">
        <f>IF($A880="","",IF($D880="V01",cad!$C$34,IF($D880="V02",cad!$D$34,cad!$E$34)))</f>
        <v/>
      </c>
      <c r="L880" t="str">
        <f>IF($A880="","",IF($D880="V01",cad!$C$35,IF($D880="V02",cad!$D$35,cad!$E$35)))</f>
        <v/>
      </c>
      <c r="M880" t="str">
        <f>IF($A880="","",IF($D880="V01",cad!$C$36,IF($D880="V02",cad!$D$36,cad!$E$36)))</f>
        <v/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 t="str">
        <f>IF($A881="","",IF($D881="V01",cad!$C$23,IF($D881="V02",cad!$D$23,cad!$E$23)))</f>
        <v/>
      </c>
      <c r="H881" t="str">
        <f>IF($A881="","",IF($D881="V01",cad!$C$24,IF($D881="V02",cad!$D$24,cad!$E$24)))</f>
        <v/>
      </c>
      <c r="I881" t="str">
        <f>IF($A881="","",IF($D881="V01",cad!$C$32,IF($D881="V02",cad!$D$32,cad!$E$32)))</f>
        <v/>
      </c>
      <c r="J881" t="str">
        <f>IF($A881="","",IF($D881="V01",cad!$C$33,IF($D881="V02",cad!$D$33,cad!$E$33)))</f>
        <v/>
      </c>
      <c r="K881" t="str">
        <f>IF($A881="","",IF($D881="V01",cad!$C$34,IF($D881="V02",cad!$D$34,cad!$E$34)))</f>
        <v/>
      </c>
      <c r="L881" t="str">
        <f>IF($A881="","",IF($D881="V01",cad!$C$35,IF($D881="V02",cad!$D$35,cad!$E$35)))</f>
        <v/>
      </c>
      <c r="M881" t="str">
        <f>IF($A881="","",IF($D881="V01",cad!$C$36,IF($D881="V02",cad!$D$36,cad!$E$36)))</f>
        <v/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 t="str">
        <f>IF($A882="","",IF($D882="V01",cad!$C$23,IF($D882="V02",cad!$D$23,cad!$E$23)))</f>
        <v/>
      </c>
      <c r="H882" t="str">
        <f>IF($A882="","",IF($D882="V01",cad!$C$24,IF($D882="V02",cad!$D$24,cad!$E$24)))</f>
        <v/>
      </c>
      <c r="I882" t="str">
        <f>IF($A882="","",IF($D882="V01",cad!$C$32,IF($D882="V02",cad!$D$32,cad!$E$32)))</f>
        <v/>
      </c>
      <c r="J882" t="str">
        <f>IF($A882="","",IF($D882="V01",cad!$C$33,IF($D882="V02",cad!$D$33,cad!$E$33)))</f>
        <v/>
      </c>
      <c r="K882" t="str">
        <f>IF($A882="","",IF($D882="V01",cad!$C$34,IF($D882="V02",cad!$D$34,cad!$E$34)))</f>
        <v/>
      </c>
      <c r="L882" t="str">
        <f>IF($A882="","",IF($D882="V01",cad!$C$35,IF($D882="V02",cad!$D$35,cad!$E$35)))</f>
        <v/>
      </c>
      <c r="M882" t="str">
        <f>IF($A882="","",IF($D882="V01",cad!$C$36,IF($D882="V02",cad!$D$36,cad!$E$36)))</f>
        <v/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 t="str">
        <f>IF($A883="","",IF($D883="V01",cad!$C$23,IF($D883="V02",cad!$D$23,cad!$E$23)))</f>
        <v/>
      </c>
      <c r="H883" t="str">
        <f>IF($A883="","",IF($D883="V01",cad!$C$24,IF($D883="V02",cad!$D$24,cad!$E$24)))</f>
        <v/>
      </c>
      <c r="I883" t="str">
        <f>IF($A883="","",IF($D883="V01",cad!$C$32,IF($D883="V02",cad!$D$32,cad!$E$32)))</f>
        <v/>
      </c>
      <c r="J883" t="str">
        <f>IF($A883="","",IF($D883="V01",cad!$C$33,IF($D883="V02",cad!$D$33,cad!$E$33)))</f>
        <v/>
      </c>
      <c r="K883" t="str">
        <f>IF($A883="","",IF($D883="V01",cad!$C$34,IF($D883="V02",cad!$D$34,cad!$E$34)))</f>
        <v/>
      </c>
      <c r="L883" t="str">
        <f>IF($A883="","",IF($D883="V01",cad!$C$35,IF($D883="V02",cad!$D$35,cad!$E$35)))</f>
        <v/>
      </c>
      <c r="M883" t="str">
        <f>IF($A883="","",IF($D883="V01",cad!$C$36,IF($D883="V02",cad!$D$36,cad!$E$36)))</f>
        <v/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 t="str">
        <f>IF($A884="","",IF($D884="V01",cad!$C$23,IF($D884="V02",cad!$D$23,cad!$E$23)))</f>
        <v/>
      </c>
      <c r="H884" t="str">
        <f>IF($A884="","",IF($D884="V01",cad!$C$24,IF($D884="V02",cad!$D$24,cad!$E$24)))</f>
        <v/>
      </c>
      <c r="I884" t="str">
        <f>IF($A884="","",IF($D884="V01",cad!$C$32,IF($D884="V02",cad!$D$32,cad!$E$32)))</f>
        <v/>
      </c>
      <c r="J884" t="str">
        <f>IF($A884="","",IF($D884="V01",cad!$C$33,IF($D884="V02",cad!$D$33,cad!$E$33)))</f>
        <v/>
      </c>
      <c r="K884" t="str">
        <f>IF($A884="","",IF($D884="V01",cad!$C$34,IF($D884="V02",cad!$D$34,cad!$E$34)))</f>
        <v/>
      </c>
      <c r="L884" t="str">
        <f>IF($A884="","",IF($D884="V01",cad!$C$35,IF($D884="V02",cad!$D$35,cad!$E$35)))</f>
        <v/>
      </c>
      <c r="M884" t="str">
        <f>IF($A884="","",IF($D884="V01",cad!$C$36,IF($D884="V02",cad!$D$36,cad!$E$36)))</f>
        <v/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 t="str">
        <f>IF($A885="","",IF($D885="V01",cad!$C$23,IF($D885="V02",cad!$D$23,cad!$E$23)))</f>
        <v/>
      </c>
      <c r="H885" t="str">
        <f>IF($A885="","",IF($D885="V01",cad!$C$24,IF($D885="V02",cad!$D$24,cad!$E$24)))</f>
        <v/>
      </c>
      <c r="I885" t="str">
        <f>IF($A885="","",IF($D885="V01",cad!$C$32,IF($D885="V02",cad!$D$32,cad!$E$32)))</f>
        <v/>
      </c>
      <c r="J885" t="str">
        <f>IF($A885="","",IF($D885="V01",cad!$C$33,IF($D885="V02",cad!$D$33,cad!$E$33)))</f>
        <v/>
      </c>
      <c r="K885" t="str">
        <f>IF($A885="","",IF($D885="V01",cad!$C$34,IF($D885="V02",cad!$D$34,cad!$E$34)))</f>
        <v/>
      </c>
      <c r="L885" t="str">
        <f>IF($A885="","",IF($D885="V01",cad!$C$35,IF($D885="V02",cad!$D$35,cad!$E$35)))</f>
        <v/>
      </c>
      <c r="M885" t="str">
        <f>IF($A885="","",IF($D885="V01",cad!$C$36,IF($D885="V02",cad!$D$36,cad!$E$36)))</f>
        <v/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 t="str">
        <f>IF($A886="","",IF($D886="V01",cad!$C$23,IF($D886="V02",cad!$D$23,cad!$E$23)))</f>
        <v/>
      </c>
      <c r="H886" t="str">
        <f>IF($A886="","",IF($D886="V01",cad!$C$24,IF($D886="V02",cad!$D$24,cad!$E$24)))</f>
        <v/>
      </c>
      <c r="I886" t="str">
        <f>IF($A886="","",IF($D886="V01",cad!$C$32,IF($D886="V02",cad!$D$32,cad!$E$32)))</f>
        <v/>
      </c>
      <c r="J886" t="str">
        <f>IF($A886="","",IF($D886="V01",cad!$C$33,IF($D886="V02",cad!$D$33,cad!$E$33)))</f>
        <v/>
      </c>
      <c r="K886" t="str">
        <f>IF($A886="","",IF($D886="V01",cad!$C$34,IF($D886="V02",cad!$D$34,cad!$E$34)))</f>
        <v/>
      </c>
      <c r="L886" t="str">
        <f>IF($A886="","",IF($D886="V01",cad!$C$35,IF($D886="V02",cad!$D$35,cad!$E$35)))</f>
        <v/>
      </c>
      <c r="M886" t="str">
        <f>IF($A886="","",IF($D886="V01",cad!$C$36,IF($D886="V02",cad!$D$36,cad!$E$36)))</f>
        <v/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 t="str">
        <f>IF($A887="","",IF($D887="V01",cad!$C$23,IF($D887="V02",cad!$D$23,cad!$E$23)))</f>
        <v/>
      </c>
      <c r="H887" t="str">
        <f>IF($A887="","",IF($D887="V01",cad!$C$24,IF($D887="V02",cad!$D$24,cad!$E$24)))</f>
        <v/>
      </c>
      <c r="I887" t="str">
        <f>IF($A887="","",IF($D887="V01",cad!$C$32,IF($D887="V02",cad!$D$32,cad!$E$32)))</f>
        <v/>
      </c>
      <c r="J887" t="str">
        <f>IF($A887="","",IF($D887="V01",cad!$C$33,IF($D887="V02",cad!$D$33,cad!$E$33)))</f>
        <v/>
      </c>
      <c r="K887" t="str">
        <f>IF($A887="","",IF($D887="V01",cad!$C$34,IF($D887="V02",cad!$D$34,cad!$E$34)))</f>
        <v/>
      </c>
      <c r="L887" t="str">
        <f>IF($A887="","",IF($D887="V01",cad!$C$35,IF($D887="V02",cad!$D$35,cad!$E$35)))</f>
        <v/>
      </c>
      <c r="M887" t="str">
        <f>IF($A887="","",IF($D887="V01",cad!$C$36,IF($D887="V02",cad!$D$36,cad!$E$36)))</f>
        <v/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 t="str">
        <f>IF($A888="","",IF($D888="V01",cad!$C$23,IF($D888="V02",cad!$D$23,cad!$E$23)))</f>
        <v/>
      </c>
      <c r="H888" t="str">
        <f>IF($A888="","",IF($D888="V01",cad!$C$24,IF($D888="V02",cad!$D$24,cad!$E$24)))</f>
        <v/>
      </c>
      <c r="I888" t="str">
        <f>IF($A888="","",IF($D888="V01",cad!$C$32,IF($D888="V02",cad!$D$32,cad!$E$32)))</f>
        <v/>
      </c>
      <c r="J888" t="str">
        <f>IF($A888="","",IF($D888="V01",cad!$C$33,IF($D888="V02",cad!$D$33,cad!$E$33)))</f>
        <v/>
      </c>
      <c r="K888" t="str">
        <f>IF($A888="","",IF($D888="V01",cad!$C$34,IF($D888="V02",cad!$D$34,cad!$E$34)))</f>
        <v/>
      </c>
      <c r="L888" t="str">
        <f>IF($A888="","",IF($D888="V01",cad!$C$35,IF($D888="V02",cad!$D$35,cad!$E$35)))</f>
        <v/>
      </c>
      <c r="M888" t="str">
        <f>IF($A888="","",IF($D888="V01",cad!$C$36,IF($D888="V02",cad!$D$36,cad!$E$36)))</f>
        <v/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 t="str">
        <f>IF($A889="","",IF($D889="V01",cad!$C$23,IF($D889="V02",cad!$D$23,cad!$E$23)))</f>
        <v/>
      </c>
      <c r="H889" t="str">
        <f>IF($A889="","",IF($D889="V01",cad!$C$24,IF($D889="V02",cad!$D$24,cad!$E$24)))</f>
        <v/>
      </c>
      <c r="I889" t="str">
        <f>IF($A889="","",IF($D889="V01",cad!$C$32,IF($D889="V02",cad!$D$32,cad!$E$32)))</f>
        <v/>
      </c>
      <c r="J889" t="str">
        <f>IF($A889="","",IF($D889="V01",cad!$C$33,IF($D889="V02",cad!$D$33,cad!$E$33)))</f>
        <v/>
      </c>
      <c r="K889" t="str">
        <f>IF($A889="","",IF($D889="V01",cad!$C$34,IF($D889="V02",cad!$D$34,cad!$E$34)))</f>
        <v/>
      </c>
      <c r="L889" t="str">
        <f>IF($A889="","",IF($D889="V01",cad!$C$35,IF($D889="V02",cad!$D$35,cad!$E$35)))</f>
        <v/>
      </c>
      <c r="M889" t="str">
        <f>IF($A889="","",IF($D889="V01",cad!$C$36,IF($D889="V02",cad!$D$36,cad!$E$36)))</f>
        <v/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 t="str">
        <f>IF($A890="","",IF($D890="V01",cad!$C$23,IF($D890="V02",cad!$D$23,cad!$E$23)))</f>
        <v/>
      </c>
      <c r="H890" t="str">
        <f>IF($A890="","",IF($D890="V01",cad!$C$24,IF($D890="V02",cad!$D$24,cad!$E$24)))</f>
        <v/>
      </c>
      <c r="I890" t="str">
        <f>IF($A890="","",IF($D890="V01",cad!$C$32,IF($D890="V02",cad!$D$32,cad!$E$32)))</f>
        <v/>
      </c>
      <c r="J890" t="str">
        <f>IF($A890="","",IF($D890="V01",cad!$C$33,IF($D890="V02",cad!$D$33,cad!$E$33)))</f>
        <v/>
      </c>
      <c r="K890" t="str">
        <f>IF($A890="","",IF($D890="V01",cad!$C$34,IF($D890="V02",cad!$D$34,cad!$E$34)))</f>
        <v/>
      </c>
      <c r="L890" t="str">
        <f>IF($A890="","",IF($D890="V01",cad!$C$35,IF($D890="V02",cad!$D$35,cad!$E$35)))</f>
        <v/>
      </c>
      <c r="M890" t="str">
        <f>IF($A890="","",IF($D890="V01",cad!$C$36,IF($D890="V02",cad!$D$36,cad!$E$36)))</f>
        <v/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 t="str">
        <f>IF($A891="","",IF($D891="V01",cad!$C$23,IF($D891="V02",cad!$D$23,cad!$E$23)))</f>
        <v/>
      </c>
      <c r="H891" t="str">
        <f>IF($A891="","",IF($D891="V01",cad!$C$24,IF($D891="V02",cad!$D$24,cad!$E$24)))</f>
        <v/>
      </c>
      <c r="I891" t="str">
        <f>IF($A891="","",IF($D891="V01",cad!$C$32,IF($D891="V02",cad!$D$32,cad!$E$32)))</f>
        <v/>
      </c>
      <c r="J891" t="str">
        <f>IF($A891="","",IF($D891="V01",cad!$C$33,IF($D891="V02",cad!$D$33,cad!$E$33)))</f>
        <v/>
      </c>
      <c r="K891" t="str">
        <f>IF($A891="","",IF($D891="V01",cad!$C$34,IF($D891="V02",cad!$D$34,cad!$E$34)))</f>
        <v/>
      </c>
      <c r="L891" t="str">
        <f>IF($A891="","",IF($D891="V01",cad!$C$35,IF($D891="V02",cad!$D$35,cad!$E$35)))</f>
        <v/>
      </c>
      <c r="M891" t="str">
        <f>IF($A891="","",IF($D891="V01",cad!$C$36,IF($D891="V02",cad!$D$36,cad!$E$36)))</f>
        <v/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 t="str">
        <f>IF($A892="","",IF($D892="V01",cad!$C$23,IF($D892="V02",cad!$D$23,cad!$E$23)))</f>
        <v/>
      </c>
      <c r="H892" t="str">
        <f>IF($A892="","",IF($D892="V01",cad!$C$24,IF($D892="V02",cad!$D$24,cad!$E$24)))</f>
        <v/>
      </c>
      <c r="I892" t="str">
        <f>IF($A892="","",IF($D892="V01",cad!$C$32,IF($D892="V02",cad!$D$32,cad!$E$32)))</f>
        <v/>
      </c>
      <c r="J892" t="str">
        <f>IF($A892="","",IF($D892="V01",cad!$C$33,IF($D892="V02",cad!$D$33,cad!$E$33)))</f>
        <v/>
      </c>
      <c r="K892" t="str">
        <f>IF($A892="","",IF($D892="V01",cad!$C$34,IF($D892="V02",cad!$D$34,cad!$E$34)))</f>
        <v/>
      </c>
      <c r="L892" t="str">
        <f>IF($A892="","",IF($D892="V01",cad!$C$35,IF($D892="V02",cad!$D$35,cad!$E$35)))</f>
        <v/>
      </c>
      <c r="M892" t="str">
        <f>IF($A892="","",IF($D892="V01",cad!$C$36,IF($D892="V02",cad!$D$36,cad!$E$36)))</f>
        <v/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 t="str">
        <f>IF($A893="","",IF($D893="V01",cad!$C$23,IF($D893="V02",cad!$D$23,cad!$E$23)))</f>
        <v/>
      </c>
      <c r="H893" t="str">
        <f>IF($A893="","",IF($D893="V01",cad!$C$24,IF($D893="V02",cad!$D$24,cad!$E$24)))</f>
        <v/>
      </c>
      <c r="I893" t="str">
        <f>IF($A893="","",IF($D893="V01",cad!$C$32,IF($D893="V02",cad!$D$32,cad!$E$32)))</f>
        <v/>
      </c>
      <c r="J893" t="str">
        <f>IF($A893="","",IF($D893="V01",cad!$C$33,IF($D893="V02",cad!$D$33,cad!$E$33)))</f>
        <v/>
      </c>
      <c r="K893" t="str">
        <f>IF($A893="","",IF($D893="V01",cad!$C$34,IF($D893="V02",cad!$D$34,cad!$E$34)))</f>
        <v/>
      </c>
      <c r="L893" t="str">
        <f>IF($A893="","",IF($D893="V01",cad!$C$35,IF($D893="V02",cad!$D$35,cad!$E$35)))</f>
        <v/>
      </c>
      <c r="M893" t="str">
        <f>IF($A893="","",IF($D893="V01",cad!$C$36,IF($D893="V02",cad!$D$36,cad!$E$36)))</f>
        <v/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 t="str">
        <f>IF($A894="","",IF($D894="V01",cad!$C$23,IF($D894="V02",cad!$D$23,cad!$E$23)))</f>
        <v/>
      </c>
      <c r="H894" t="str">
        <f>IF($A894="","",IF($D894="V01",cad!$C$24,IF($D894="V02",cad!$D$24,cad!$E$24)))</f>
        <v/>
      </c>
      <c r="I894" t="str">
        <f>IF($A894="","",IF($D894="V01",cad!$C$32,IF($D894="V02",cad!$D$32,cad!$E$32)))</f>
        <v/>
      </c>
      <c r="J894" t="str">
        <f>IF($A894="","",IF($D894="V01",cad!$C$33,IF($D894="V02",cad!$D$33,cad!$E$33)))</f>
        <v/>
      </c>
      <c r="K894" t="str">
        <f>IF($A894="","",IF($D894="V01",cad!$C$34,IF($D894="V02",cad!$D$34,cad!$E$34)))</f>
        <v/>
      </c>
      <c r="L894" t="str">
        <f>IF($A894="","",IF($D894="V01",cad!$C$35,IF($D894="V02",cad!$D$35,cad!$E$35)))</f>
        <v/>
      </c>
      <c r="M894" t="str">
        <f>IF($A894="","",IF($D894="V01",cad!$C$36,IF($D894="V02",cad!$D$36,cad!$E$36)))</f>
        <v/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 t="str">
        <f>IF($A895="","",IF($D895="V01",cad!$C$23,IF($D895="V02",cad!$D$23,cad!$E$23)))</f>
        <v/>
      </c>
      <c r="H895" t="str">
        <f>IF($A895="","",IF($D895="V01",cad!$C$24,IF($D895="V02",cad!$D$24,cad!$E$24)))</f>
        <v/>
      </c>
      <c r="I895" t="str">
        <f>IF($A895="","",IF($D895="V01",cad!$C$32,IF($D895="V02",cad!$D$32,cad!$E$32)))</f>
        <v/>
      </c>
      <c r="J895" t="str">
        <f>IF($A895="","",IF($D895="V01",cad!$C$33,IF($D895="V02",cad!$D$33,cad!$E$33)))</f>
        <v/>
      </c>
      <c r="K895" t="str">
        <f>IF($A895="","",IF($D895="V01",cad!$C$34,IF($D895="V02",cad!$D$34,cad!$E$34)))</f>
        <v/>
      </c>
      <c r="L895" t="str">
        <f>IF($A895="","",IF($D895="V01",cad!$C$35,IF($D895="V02",cad!$D$35,cad!$E$35)))</f>
        <v/>
      </c>
      <c r="M895" t="str">
        <f>IF($A895="","",IF($D895="V01",cad!$C$36,IF($D895="V02",cad!$D$36,cad!$E$36)))</f>
        <v/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 t="str">
        <f>IF($A896="","",IF($D896="V01",cad!$C$23,IF($D896="V02",cad!$D$23,cad!$E$23)))</f>
        <v/>
      </c>
      <c r="H896" t="str">
        <f>IF($A896="","",IF($D896="V01",cad!$C$24,IF($D896="V02",cad!$D$24,cad!$E$24)))</f>
        <v/>
      </c>
      <c r="I896" t="str">
        <f>IF($A896="","",IF($D896="V01",cad!$C$32,IF($D896="V02",cad!$D$32,cad!$E$32)))</f>
        <v/>
      </c>
      <c r="J896" t="str">
        <f>IF($A896="","",IF($D896="V01",cad!$C$33,IF($D896="V02",cad!$D$33,cad!$E$33)))</f>
        <v/>
      </c>
      <c r="K896" t="str">
        <f>IF($A896="","",IF($D896="V01",cad!$C$34,IF($D896="V02",cad!$D$34,cad!$E$34)))</f>
        <v/>
      </c>
      <c r="L896" t="str">
        <f>IF($A896="","",IF($D896="V01",cad!$C$35,IF($D896="V02",cad!$D$35,cad!$E$35)))</f>
        <v/>
      </c>
      <c r="M896" t="str">
        <f>IF($A896="","",IF($D896="V01",cad!$C$36,IF($D896="V02",cad!$D$36,cad!$E$36)))</f>
        <v/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 t="str">
        <f>IF($A897="","",IF($D897="V01",cad!$C$23,IF($D897="V02",cad!$D$23,cad!$E$23)))</f>
        <v/>
      </c>
      <c r="H897" t="str">
        <f>IF($A897="","",IF($D897="V01",cad!$C$24,IF($D897="V02",cad!$D$24,cad!$E$24)))</f>
        <v/>
      </c>
      <c r="I897" t="str">
        <f>IF($A897="","",IF($D897="V01",cad!$C$32,IF($D897="V02",cad!$D$32,cad!$E$32)))</f>
        <v/>
      </c>
      <c r="J897" t="str">
        <f>IF($A897="","",IF($D897="V01",cad!$C$33,IF($D897="V02",cad!$D$33,cad!$E$33)))</f>
        <v/>
      </c>
      <c r="K897" t="str">
        <f>IF($A897="","",IF($D897="V01",cad!$C$34,IF($D897="V02",cad!$D$34,cad!$E$34)))</f>
        <v/>
      </c>
      <c r="L897" t="str">
        <f>IF($A897="","",IF($D897="V01",cad!$C$35,IF($D897="V02",cad!$D$35,cad!$E$35)))</f>
        <v/>
      </c>
      <c r="M897" t="str">
        <f>IF($A897="","",IF($D897="V01",cad!$C$36,IF($D897="V02",cad!$D$36,cad!$E$36)))</f>
        <v/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 t="str">
        <f>IF($A898="","",IF($D898="V01",cad!$C$23,IF($D898="V02",cad!$D$23,cad!$E$23)))</f>
        <v/>
      </c>
      <c r="H898" t="str">
        <f>IF($A898="","",IF($D898="V01",cad!$C$24,IF($D898="V02",cad!$D$24,cad!$E$24)))</f>
        <v/>
      </c>
      <c r="I898" t="str">
        <f>IF($A898="","",IF($D898="V01",cad!$C$32,IF($D898="V02",cad!$D$32,cad!$E$32)))</f>
        <v/>
      </c>
      <c r="J898" t="str">
        <f>IF($A898="","",IF($D898="V01",cad!$C$33,IF($D898="V02",cad!$D$33,cad!$E$33)))</f>
        <v/>
      </c>
      <c r="K898" t="str">
        <f>IF($A898="","",IF($D898="V01",cad!$C$34,IF($D898="V02",cad!$D$34,cad!$E$34)))</f>
        <v/>
      </c>
      <c r="L898" t="str">
        <f>IF($A898="","",IF($D898="V01",cad!$C$35,IF($D898="V02",cad!$D$35,cad!$E$35)))</f>
        <v/>
      </c>
      <c r="M898" t="str">
        <f>IF($A898="","",IF($D898="V01",cad!$C$36,IF($D898="V02",cad!$D$36,cad!$E$36)))</f>
        <v/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 t="str">
        <f>IF($A899="","",IF($D899="V01",cad!$C$23,IF($D899="V02",cad!$D$23,cad!$E$23)))</f>
        <v/>
      </c>
      <c r="H899" t="str">
        <f>IF($A899="","",IF($D899="V01",cad!$C$24,IF($D899="V02",cad!$D$24,cad!$E$24)))</f>
        <v/>
      </c>
      <c r="I899" t="str">
        <f>IF($A899="","",IF($D899="V01",cad!$C$32,IF($D899="V02",cad!$D$32,cad!$E$32)))</f>
        <v/>
      </c>
      <c r="J899" t="str">
        <f>IF($A899="","",IF($D899="V01",cad!$C$33,IF($D899="V02",cad!$D$33,cad!$E$33)))</f>
        <v/>
      </c>
      <c r="K899" t="str">
        <f>IF($A899="","",IF($D899="V01",cad!$C$34,IF($D899="V02",cad!$D$34,cad!$E$34)))</f>
        <v/>
      </c>
      <c r="L899" t="str">
        <f>IF($A899="","",IF($D899="V01",cad!$C$35,IF($D899="V02",cad!$D$35,cad!$E$35)))</f>
        <v/>
      </c>
      <c r="M899" t="str">
        <f>IF($A899="","",IF($D899="V01",cad!$C$36,IF($D899="V02",cad!$D$36,cad!$E$36)))</f>
        <v/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 t="str">
        <f>IF($A900="","",IF($D900="V01",cad!$C$23,IF($D900="V02",cad!$D$23,cad!$E$23)))</f>
        <v/>
      </c>
      <c r="H900" t="str">
        <f>IF($A900="","",IF($D900="V01",cad!$C$24,IF($D900="V02",cad!$D$24,cad!$E$24)))</f>
        <v/>
      </c>
      <c r="I900" t="str">
        <f>IF($A900="","",IF($D900="V01",cad!$C$32,IF($D900="V02",cad!$D$32,cad!$E$32)))</f>
        <v/>
      </c>
      <c r="J900" t="str">
        <f>IF($A900="","",IF($D900="V01",cad!$C$33,IF($D900="V02",cad!$D$33,cad!$E$33)))</f>
        <v/>
      </c>
      <c r="K900" t="str">
        <f>IF($A900="","",IF($D900="V01",cad!$C$34,IF($D900="V02",cad!$D$34,cad!$E$34)))</f>
        <v/>
      </c>
      <c r="L900" t="str">
        <f>IF($A900="","",IF($D900="V01",cad!$C$35,IF($D900="V02",cad!$D$35,cad!$E$35)))</f>
        <v/>
      </c>
      <c r="M900" t="str">
        <f>IF($A900="","",IF($D900="V01",cad!$C$36,IF($D900="V02",cad!$D$36,cad!$E$36)))</f>
        <v/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 t="str">
        <f>IF($A901="","",IF($D901="V01",cad!$C$23,IF($D901="V02",cad!$D$23,cad!$E$23)))</f>
        <v/>
      </c>
      <c r="H901" t="str">
        <f>IF($A901="","",IF($D901="V01",cad!$C$24,IF($D901="V02",cad!$D$24,cad!$E$24)))</f>
        <v/>
      </c>
      <c r="I901" t="str">
        <f>IF($A901="","",IF($D901="V01",cad!$C$32,IF($D901="V02",cad!$D$32,cad!$E$32)))</f>
        <v/>
      </c>
      <c r="J901" t="str">
        <f>IF($A901="","",IF($D901="V01",cad!$C$33,IF($D901="V02",cad!$D$33,cad!$E$33)))</f>
        <v/>
      </c>
      <c r="K901" t="str">
        <f>IF($A901="","",IF($D901="V01",cad!$C$34,IF($D901="V02",cad!$D$34,cad!$E$34)))</f>
        <v/>
      </c>
      <c r="L901" t="str">
        <f>IF($A901="","",IF($D901="V01",cad!$C$35,IF($D901="V02",cad!$D$35,cad!$E$35)))</f>
        <v/>
      </c>
      <c r="M901" t="str">
        <f>IF($A901="","",IF($D901="V01",cad!$C$36,IF($D901="V02",cad!$D$36,cad!$E$36)))</f>
        <v/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 t="str">
        <f>IF($A902="","",IF($D902="V01",cad!$C$23,IF($D902="V02",cad!$D$23,cad!$E$23)))</f>
        <v/>
      </c>
      <c r="H902" t="str">
        <f>IF($A902="","",IF($D902="V01",cad!$C$24,IF($D902="V02",cad!$D$24,cad!$E$24)))</f>
        <v/>
      </c>
      <c r="I902" t="str">
        <f>IF($A902="","",IF($D902="V01",cad!$C$32,IF($D902="V02",cad!$D$32,cad!$E$32)))</f>
        <v/>
      </c>
      <c r="J902" t="str">
        <f>IF($A902="","",IF($D902="V01",cad!$C$33,IF($D902="V02",cad!$D$33,cad!$E$33)))</f>
        <v/>
      </c>
      <c r="K902" t="str">
        <f>IF($A902="","",IF($D902="V01",cad!$C$34,IF($D902="V02",cad!$D$34,cad!$E$34)))</f>
        <v/>
      </c>
      <c r="L902" t="str">
        <f>IF($A902="","",IF($D902="V01",cad!$C$35,IF($D902="V02",cad!$D$35,cad!$E$35)))</f>
        <v/>
      </c>
      <c r="M902" t="str">
        <f>IF($A902="","",IF($D902="V01",cad!$C$36,IF($D902="V02",cad!$D$36,cad!$E$36)))</f>
        <v/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 t="str">
        <f>IF($A903="","",IF($D903="V01",cad!$C$23,IF($D903="V02",cad!$D$23,cad!$E$23)))</f>
        <v/>
      </c>
      <c r="H903" t="str">
        <f>IF($A903="","",IF($D903="V01",cad!$C$24,IF($D903="V02",cad!$D$24,cad!$E$24)))</f>
        <v/>
      </c>
      <c r="I903" t="str">
        <f>IF($A903="","",IF($D903="V01",cad!$C$32,IF($D903="V02",cad!$D$32,cad!$E$32)))</f>
        <v/>
      </c>
      <c r="J903" t="str">
        <f>IF($A903="","",IF($D903="V01",cad!$C$33,IF($D903="V02",cad!$D$33,cad!$E$33)))</f>
        <v/>
      </c>
      <c r="K903" t="str">
        <f>IF($A903="","",IF($D903="V01",cad!$C$34,IF($D903="V02",cad!$D$34,cad!$E$34)))</f>
        <v/>
      </c>
      <c r="L903" t="str">
        <f>IF($A903="","",IF($D903="V01",cad!$C$35,IF($D903="V02",cad!$D$35,cad!$E$35)))</f>
        <v/>
      </c>
      <c r="M903" t="str">
        <f>IF($A903="","",IF($D903="V01",cad!$C$36,IF($D903="V02",cad!$D$36,cad!$E$36)))</f>
        <v/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 t="str">
        <f>IF($A904="","",IF($D904="V01",cad!$C$23,IF($D904="V02",cad!$D$23,cad!$E$23)))</f>
        <v/>
      </c>
      <c r="H904" t="str">
        <f>IF($A904="","",IF($D904="V01",cad!$C$24,IF($D904="V02",cad!$D$24,cad!$E$24)))</f>
        <v/>
      </c>
      <c r="I904" t="str">
        <f>IF($A904="","",IF($D904="V01",cad!$C$32,IF($D904="V02",cad!$D$32,cad!$E$32)))</f>
        <v/>
      </c>
      <c r="J904" t="str">
        <f>IF($A904="","",IF($D904="V01",cad!$C$33,IF($D904="V02",cad!$D$33,cad!$E$33)))</f>
        <v/>
      </c>
      <c r="K904" t="str">
        <f>IF($A904="","",IF($D904="V01",cad!$C$34,IF($D904="V02",cad!$D$34,cad!$E$34)))</f>
        <v/>
      </c>
      <c r="L904" t="str">
        <f>IF($A904="","",IF($D904="V01",cad!$C$35,IF($D904="V02",cad!$D$35,cad!$E$35)))</f>
        <v/>
      </c>
      <c r="M904" t="str">
        <f>IF($A904="","",IF($D904="V01",cad!$C$36,IF($D904="V02",cad!$D$36,cad!$E$36)))</f>
        <v/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 t="str">
        <f>IF($A905="","",IF($D905="V01",cad!$C$23,IF($D905="V02",cad!$D$23,cad!$E$23)))</f>
        <v/>
      </c>
      <c r="H905" t="str">
        <f>IF($A905="","",IF($D905="V01",cad!$C$24,IF($D905="V02",cad!$D$24,cad!$E$24)))</f>
        <v/>
      </c>
      <c r="I905" t="str">
        <f>IF($A905="","",IF($D905="V01",cad!$C$32,IF($D905="V02",cad!$D$32,cad!$E$32)))</f>
        <v/>
      </c>
      <c r="J905" t="str">
        <f>IF($A905="","",IF($D905="V01",cad!$C$33,IF($D905="V02",cad!$D$33,cad!$E$33)))</f>
        <v/>
      </c>
      <c r="K905" t="str">
        <f>IF($A905="","",IF($D905="V01",cad!$C$34,IF($D905="V02",cad!$D$34,cad!$E$34)))</f>
        <v/>
      </c>
      <c r="L905" t="str">
        <f>IF($A905="","",IF($D905="V01",cad!$C$35,IF($D905="V02",cad!$D$35,cad!$E$35)))</f>
        <v/>
      </c>
      <c r="M905" t="str">
        <f>IF($A905="","",IF($D905="V01",cad!$C$36,IF($D905="V02",cad!$D$36,cad!$E$36)))</f>
        <v/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 t="str">
        <f>IF($A906="","",IF($D906="V01",cad!$C$23,IF($D906="V02",cad!$D$23,cad!$E$23)))</f>
        <v/>
      </c>
      <c r="H906" t="str">
        <f>IF($A906="","",IF($D906="V01",cad!$C$24,IF($D906="V02",cad!$D$24,cad!$E$24)))</f>
        <v/>
      </c>
      <c r="I906" t="str">
        <f>IF($A906="","",IF($D906="V01",cad!$C$32,IF($D906="V02",cad!$D$32,cad!$E$32)))</f>
        <v/>
      </c>
      <c r="J906" t="str">
        <f>IF($A906="","",IF($D906="V01",cad!$C$33,IF($D906="V02",cad!$D$33,cad!$E$33)))</f>
        <v/>
      </c>
      <c r="K906" t="str">
        <f>IF($A906="","",IF($D906="V01",cad!$C$34,IF($D906="V02",cad!$D$34,cad!$E$34)))</f>
        <v/>
      </c>
      <c r="L906" t="str">
        <f>IF($A906="","",IF($D906="V01",cad!$C$35,IF($D906="V02",cad!$D$35,cad!$E$35)))</f>
        <v/>
      </c>
      <c r="M906" t="str">
        <f>IF($A906="","",IF($D906="V01",cad!$C$36,IF($D906="V02",cad!$D$36,cad!$E$36)))</f>
        <v/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 t="str">
        <f>IF($A907="","",IF($D907="V01",cad!$C$23,IF($D907="V02",cad!$D$23,cad!$E$23)))</f>
        <v/>
      </c>
      <c r="H907" t="str">
        <f>IF($A907="","",IF($D907="V01",cad!$C$24,IF($D907="V02",cad!$D$24,cad!$E$24)))</f>
        <v/>
      </c>
      <c r="I907" t="str">
        <f>IF($A907="","",IF($D907="V01",cad!$C$32,IF($D907="V02",cad!$D$32,cad!$E$32)))</f>
        <v/>
      </c>
      <c r="J907" t="str">
        <f>IF($A907="","",IF($D907="V01",cad!$C$33,IF($D907="V02",cad!$D$33,cad!$E$33)))</f>
        <v/>
      </c>
      <c r="K907" t="str">
        <f>IF($A907="","",IF($D907="V01",cad!$C$34,IF($D907="V02",cad!$D$34,cad!$E$34)))</f>
        <v/>
      </c>
      <c r="L907" t="str">
        <f>IF($A907="","",IF($D907="V01",cad!$C$35,IF($D907="V02",cad!$D$35,cad!$E$35)))</f>
        <v/>
      </c>
      <c r="M907" t="str">
        <f>IF($A907="","",IF($D907="V01",cad!$C$36,IF($D907="V02",cad!$D$36,cad!$E$36)))</f>
        <v/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 t="str">
        <f>IF($A908="","",IF($D908="V01",cad!$C$23,IF($D908="V02",cad!$D$23,cad!$E$23)))</f>
        <v/>
      </c>
      <c r="H908" t="str">
        <f>IF($A908="","",IF($D908="V01",cad!$C$24,IF($D908="V02",cad!$D$24,cad!$E$24)))</f>
        <v/>
      </c>
      <c r="I908" t="str">
        <f>IF($A908="","",IF($D908="V01",cad!$C$32,IF($D908="V02",cad!$D$32,cad!$E$32)))</f>
        <v/>
      </c>
      <c r="J908" t="str">
        <f>IF($A908="","",IF($D908="V01",cad!$C$33,IF($D908="V02",cad!$D$33,cad!$E$33)))</f>
        <v/>
      </c>
      <c r="K908" t="str">
        <f>IF($A908="","",IF($D908="V01",cad!$C$34,IF($D908="V02",cad!$D$34,cad!$E$34)))</f>
        <v/>
      </c>
      <c r="L908" t="str">
        <f>IF($A908="","",IF($D908="V01",cad!$C$35,IF($D908="V02",cad!$D$35,cad!$E$35)))</f>
        <v/>
      </c>
      <c r="M908" t="str">
        <f>IF($A908="","",IF($D908="V01",cad!$C$36,IF($D908="V02",cad!$D$36,cad!$E$36)))</f>
        <v/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 t="str">
        <f>IF($A909="","",IF($D909="V01",cad!$C$23,IF($D909="V02",cad!$D$23,cad!$E$23)))</f>
        <v/>
      </c>
      <c r="H909" t="str">
        <f>IF($A909="","",IF($D909="V01",cad!$C$24,IF($D909="V02",cad!$D$24,cad!$E$24)))</f>
        <v/>
      </c>
      <c r="I909" t="str">
        <f>IF($A909="","",IF($D909="V01",cad!$C$32,IF($D909="V02",cad!$D$32,cad!$E$32)))</f>
        <v/>
      </c>
      <c r="J909" t="str">
        <f>IF($A909="","",IF($D909="V01",cad!$C$33,IF($D909="V02",cad!$D$33,cad!$E$33)))</f>
        <v/>
      </c>
      <c r="K909" t="str">
        <f>IF($A909="","",IF($D909="V01",cad!$C$34,IF($D909="V02",cad!$D$34,cad!$E$34)))</f>
        <v/>
      </c>
      <c r="L909" t="str">
        <f>IF($A909="","",IF($D909="V01",cad!$C$35,IF($D909="V02",cad!$D$35,cad!$E$35)))</f>
        <v/>
      </c>
      <c r="M909" t="str">
        <f>IF($A909="","",IF($D909="V01",cad!$C$36,IF($D909="V02",cad!$D$36,cad!$E$36)))</f>
        <v/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 t="str">
        <f>IF($A910="","",IF($D910="V01",cad!$C$23,IF($D910="V02",cad!$D$23,cad!$E$23)))</f>
        <v/>
      </c>
      <c r="H910" t="str">
        <f>IF($A910="","",IF($D910="V01",cad!$C$24,IF($D910="V02",cad!$D$24,cad!$E$24)))</f>
        <v/>
      </c>
      <c r="I910" t="str">
        <f>IF($A910="","",IF($D910="V01",cad!$C$32,IF($D910="V02",cad!$D$32,cad!$E$32)))</f>
        <v/>
      </c>
      <c r="J910" t="str">
        <f>IF($A910="","",IF($D910="V01",cad!$C$33,IF($D910="V02",cad!$D$33,cad!$E$33)))</f>
        <v/>
      </c>
      <c r="K910" t="str">
        <f>IF($A910="","",IF($D910="V01",cad!$C$34,IF($D910="V02",cad!$D$34,cad!$E$34)))</f>
        <v/>
      </c>
      <c r="L910" t="str">
        <f>IF($A910="","",IF($D910="V01",cad!$C$35,IF($D910="V02",cad!$D$35,cad!$E$35)))</f>
        <v/>
      </c>
      <c r="M910" t="str">
        <f>IF($A910="","",IF($D910="V01",cad!$C$36,IF($D910="V02",cad!$D$36,cad!$E$36)))</f>
        <v/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 t="str">
        <f>IF($A911="","",IF($D911="V01",cad!$C$23,IF($D911="V02",cad!$D$23,cad!$E$23)))</f>
        <v/>
      </c>
      <c r="H911" t="str">
        <f>IF($A911="","",IF($D911="V01",cad!$C$24,IF($D911="V02",cad!$D$24,cad!$E$24)))</f>
        <v/>
      </c>
      <c r="I911" t="str">
        <f>IF($A911="","",IF($D911="V01",cad!$C$32,IF($D911="V02",cad!$D$32,cad!$E$32)))</f>
        <v/>
      </c>
      <c r="J911" t="str">
        <f>IF($A911="","",IF($D911="V01",cad!$C$33,IF($D911="V02",cad!$D$33,cad!$E$33)))</f>
        <v/>
      </c>
      <c r="K911" t="str">
        <f>IF($A911="","",IF($D911="V01",cad!$C$34,IF($D911="V02",cad!$D$34,cad!$E$34)))</f>
        <v/>
      </c>
      <c r="L911" t="str">
        <f>IF($A911="","",IF($D911="V01",cad!$C$35,IF($D911="V02",cad!$D$35,cad!$E$35)))</f>
        <v/>
      </c>
      <c r="M911" t="str">
        <f>IF($A911="","",IF($D911="V01",cad!$C$36,IF($D911="V02",cad!$D$36,cad!$E$36)))</f>
        <v/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 t="str">
        <f>IF($A912="","",IF($D912="V01",cad!$C$23,IF($D912="V02",cad!$D$23,cad!$E$23)))</f>
        <v/>
      </c>
      <c r="H912" t="str">
        <f>IF($A912="","",IF($D912="V01",cad!$C$24,IF($D912="V02",cad!$D$24,cad!$E$24)))</f>
        <v/>
      </c>
      <c r="I912" t="str">
        <f>IF($A912="","",IF($D912="V01",cad!$C$32,IF($D912="V02",cad!$D$32,cad!$E$32)))</f>
        <v/>
      </c>
      <c r="J912" t="str">
        <f>IF($A912="","",IF($D912="V01",cad!$C$33,IF($D912="V02",cad!$D$33,cad!$E$33)))</f>
        <v/>
      </c>
      <c r="K912" t="str">
        <f>IF($A912="","",IF($D912="V01",cad!$C$34,IF($D912="V02",cad!$D$34,cad!$E$34)))</f>
        <v/>
      </c>
      <c r="L912" t="str">
        <f>IF($A912="","",IF($D912="V01",cad!$C$35,IF($D912="V02",cad!$D$35,cad!$E$35)))</f>
        <v/>
      </c>
      <c r="M912" t="str">
        <f>IF($A912="","",IF($D912="V01",cad!$C$36,IF($D912="V02",cad!$D$36,cad!$E$36)))</f>
        <v/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 t="str">
        <f>IF($A913="","",IF($D913="V01",cad!$C$23,IF($D913="V02",cad!$D$23,cad!$E$23)))</f>
        <v/>
      </c>
      <c r="H913" t="str">
        <f>IF($A913="","",IF($D913="V01",cad!$C$24,IF($D913="V02",cad!$D$24,cad!$E$24)))</f>
        <v/>
      </c>
      <c r="I913" t="str">
        <f>IF($A913="","",IF($D913="V01",cad!$C$32,IF($D913="V02",cad!$D$32,cad!$E$32)))</f>
        <v/>
      </c>
      <c r="J913" t="str">
        <f>IF($A913="","",IF($D913="V01",cad!$C$33,IF($D913="V02",cad!$D$33,cad!$E$33)))</f>
        <v/>
      </c>
      <c r="K913" t="str">
        <f>IF($A913="","",IF($D913="V01",cad!$C$34,IF($D913="V02",cad!$D$34,cad!$E$34)))</f>
        <v/>
      </c>
      <c r="L913" t="str">
        <f>IF($A913="","",IF($D913="V01",cad!$C$35,IF($D913="V02",cad!$D$35,cad!$E$35)))</f>
        <v/>
      </c>
      <c r="M913" t="str">
        <f>IF($A913="","",IF($D913="V01",cad!$C$36,IF($D913="V02",cad!$D$36,cad!$E$36)))</f>
        <v/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 t="str">
        <f>IF($A914="","",IF($D914="V01",cad!$C$23,IF($D914="V02",cad!$D$23,cad!$E$23)))</f>
        <v/>
      </c>
      <c r="H914" t="str">
        <f>IF($A914="","",IF($D914="V01",cad!$C$24,IF($D914="V02",cad!$D$24,cad!$E$24)))</f>
        <v/>
      </c>
      <c r="I914" t="str">
        <f>IF($A914="","",IF($D914="V01",cad!$C$32,IF($D914="V02",cad!$D$32,cad!$E$32)))</f>
        <v/>
      </c>
      <c r="J914" t="str">
        <f>IF($A914="","",IF($D914="V01",cad!$C$33,IF($D914="V02",cad!$D$33,cad!$E$33)))</f>
        <v/>
      </c>
      <c r="K914" t="str">
        <f>IF($A914="","",IF($D914="V01",cad!$C$34,IF($D914="V02",cad!$D$34,cad!$E$34)))</f>
        <v/>
      </c>
      <c r="L914" t="str">
        <f>IF($A914="","",IF($D914="V01",cad!$C$35,IF($D914="V02",cad!$D$35,cad!$E$35)))</f>
        <v/>
      </c>
      <c r="M914" t="str">
        <f>IF($A914="","",IF($D914="V01",cad!$C$36,IF($D914="V02",cad!$D$36,cad!$E$36)))</f>
        <v/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 t="str">
        <f>IF($A915="","",IF($D915="V01",cad!$C$23,IF($D915="V02",cad!$D$23,cad!$E$23)))</f>
        <v/>
      </c>
      <c r="H915" t="str">
        <f>IF($A915="","",IF($D915="V01",cad!$C$24,IF($D915="V02",cad!$D$24,cad!$E$24)))</f>
        <v/>
      </c>
      <c r="I915" t="str">
        <f>IF($A915="","",IF($D915="V01",cad!$C$32,IF($D915="V02",cad!$D$32,cad!$E$32)))</f>
        <v/>
      </c>
      <c r="J915" t="str">
        <f>IF($A915="","",IF($D915="V01",cad!$C$33,IF($D915="V02",cad!$D$33,cad!$E$33)))</f>
        <v/>
      </c>
      <c r="K915" t="str">
        <f>IF($A915="","",IF($D915="V01",cad!$C$34,IF($D915="V02",cad!$D$34,cad!$E$34)))</f>
        <v/>
      </c>
      <c r="L915" t="str">
        <f>IF($A915="","",IF($D915="V01",cad!$C$35,IF($D915="V02",cad!$D$35,cad!$E$35)))</f>
        <v/>
      </c>
      <c r="M915" t="str">
        <f>IF($A915="","",IF($D915="V01",cad!$C$36,IF($D915="V02",cad!$D$36,cad!$E$36)))</f>
        <v/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 t="str">
        <f>IF($A916="","",IF($D916="V01",cad!$C$23,IF($D916="V02",cad!$D$23,cad!$E$23)))</f>
        <v/>
      </c>
      <c r="H916" t="str">
        <f>IF($A916="","",IF($D916="V01",cad!$C$24,IF($D916="V02",cad!$D$24,cad!$E$24)))</f>
        <v/>
      </c>
      <c r="I916" t="str">
        <f>IF($A916="","",IF($D916="V01",cad!$C$32,IF($D916="V02",cad!$D$32,cad!$E$32)))</f>
        <v/>
      </c>
      <c r="J916" t="str">
        <f>IF($A916="","",IF($D916="V01",cad!$C$33,IF($D916="V02",cad!$D$33,cad!$E$33)))</f>
        <v/>
      </c>
      <c r="K916" t="str">
        <f>IF($A916="","",IF($D916="V01",cad!$C$34,IF($D916="V02",cad!$D$34,cad!$E$34)))</f>
        <v/>
      </c>
      <c r="L916" t="str">
        <f>IF($A916="","",IF($D916="V01",cad!$C$35,IF($D916="V02",cad!$D$35,cad!$E$35)))</f>
        <v/>
      </c>
      <c r="M916" t="str">
        <f>IF($A916="","",IF($D916="V01",cad!$C$36,IF($D916="V02",cad!$D$36,cad!$E$36)))</f>
        <v/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 t="str">
        <f>IF($A917="","",IF($D917="V01",cad!$C$23,IF($D917="V02",cad!$D$23,cad!$E$23)))</f>
        <v/>
      </c>
      <c r="H917" t="str">
        <f>IF($A917="","",IF($D917="V01",cad!$C$24,IF($D917="V02",cad!$D$24,cad!$E$24)))</f>
        <v/>
      </c>
      <c r="I917" t="str">
        <f>IF($A917="","",IF($D917="V01",cad!$C$32,IF($D917="V02",cad!$D$32,cad!$E$32)))</f>
        <v/>
      </c>
      <c r="J917" t="str">
        <f>IF($A917="","",IF($D917="V01",cad!$C$33,IF($D917="V02",cad!$D$33,cad!$E$33)))</f>
        <v/>
      </c>
      <c r="K917" t="str">
        <f>IF($A917="","",IF($D917="V01",cad!$C$34,IF($D917="V02",cad!$D$34,cad!$E$34)))</f>
        <v/>
      </c>
      <c r="L917" t="str">
        <f>IF($A917="","",IF($D917="V01",cad!$C$35,IF($D917="V02",cad!$D$35,cad!$E$35)))</f>
        <v/>
      </c>
      <c r="M917" t="str">
        <f>IF($A917="","",IF($D917="V01",cad!$C$36,IF($D917="V02",cad!$D$36,cad!$E$36)))</f>
        <v/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 t="str">
        <f>IF($A918="","",IF($D918="V01",cad!$C$23,IF($D918="V02",cad!$D$23,cad!$E$23)))</f>
        <v/>
      </c>
      <c r="H918" t="str">
        <f>IF($A918="","",IF($D918="V01",cad!$C$24,IF($D918="V02",cad!$D$24,cad!$E$24)))</f>
        <v/>
      </c>
      <c r="I918" t="str">
        <f>IF($A918="","",IF($D918="V01",cad!$C$32,IF($D918="V02",cad!$D$32,cad!$E$32)))</f>
        <v/>
      </c>
      <c r="J918" t="str">
        <f>IF($A918="","",IF($D918="V01",cad!$C$33,IF($D918="V02",cad!$D$33,cad!$E$33)))</f>
        <v/>
      </c>
      <c r="K918" t="str">
        <f>IF($A918="","",IF($D918="V01",cad!$C$34,IF($D918="V02",cad!$D$34,cad!$E$34)))</f>
        <v/>
      </c>
      <c r="L918" t="str">
        <f>IF($A918="","",IF($D918="V01",cad!$C$35,IF($D918="V02",cad!$D$35,cad!$E$35)))</f>
        <v/>
      </c>
      <c r="M918" t="str">
        <f>IF($A918="","",IF($D918="V01",cad!$C$36,IF($D918="V02",cad!$D$36,cad!$E$36)))</f>
        <v/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 t="str">
        <f>IF($A919="","",IF($D919="V01",cad!$C$23,IF($D919="V02",cad!$D$23,cad!$E$23)))</f>
        <v/>
      </c>
      <c r="H919" t="str">
        <f>IF($A919="","",IF($D919="V01",cad!$C$24,IF($D919="V02",cad!$D$24,cad!$E$24)))</f>
        <v/>
      </c>
      <c r="I919" t="str">
        <f>IF($A919="","",IF($D919="V01",cad!$C$32,IF($D919="V02",cad!$D$32,cad!$E$32)))</f>
        <v/>
      </c>
      <c r="J919" t="str">
        <f>IF($A919="","",IF($D919="V01",cad!$C$33,IF($D919="V02",cad!$D$33,cad!$E$33)))</f>
        <v/>
      </c>
      <c r="K919" t="str">
        <f>IF($A919="","",IF($D919="V01",cad!$C$34,IF($D919="V02",cad!$D$34,cad!$E$34)))</f>
        <v/>
      </c>
      <c r="L919" t="str">
        <f>IF($A919="","",IF($D919="V01",cad!$C$35,IF($D919="V02",cad!$D$35,cad!$E$35)))</f>
        <v/>
      </c>
      <c r="M919" t="str">
        <f>IF($A919="","",IF($D919="V01",cad!$C$36,IF($D919="V02",cad!$D$36,cad!$E$36)))</f>
        <v/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 t="str">
        <f>IF($A920="","",IF($D920="V01",cad!$C$23,IF($D920="V02",cad!$D$23,cad!$E$23)))</f>
        <v/>
      </c>
      <c r="H920" t="str">
        <f>IF($A920="","",IF($D920="V01",cad!$C$24,IF($D920="V02",cad!$D$24,cad!$E$24)))</f>
        <v/>
      </c>
      <c r="I920" t="str">
        <f>IF($A920="","",IF($D920="V01",cad!$C$32,IF($D920="V02",cad!$D$32,cad!$E$32)))</f>
        <v/>
      </c>
      <c r="J920" t="str">
        <f>IF($A920="","",IF($D920="V01",cad!$C$33,IF($D920="V02",cad!$D$33,cad!$E$33)))</f>
        <v/>
      </c>
      <c r="K920" t="str">
        <f>IF($A920="","",IF($D920="V01",cad!$C$34,IF($D920="V02",cad!$D$34,cad!$E$34)))</f>
        <v/>
      </c>
      <c r="L920" t="str">
        <f>IF($A920="","",IF($D920="V01",cad!$C$35,IF($D920="V02",cad!$D$35,cad!$E$35)))</f>
        <v/>
      </c>
      <c r="M920" t="str">
        <f>IF($A920="","",IF($D920="V01",cad!$C$36,IF($D920="V02",cad!$D$36,cad!$E$36)))</f>
        <v/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 t="str">
        <f>IF($A921="","",IF($D921="V01",cad!$C$23,IF($D921="V02",cad!$D$23,cad!$E$23)))</f>
        <v/>
      </c>
      <c r="H921" t="str">
        <f>IF($A921="","",IF($D921="V01",cad!$C$24,IF($D921="V02",cad!$D$24,cad!$E$24)))</f>
        <v/>
      </c>
      <c r="I921" t="str">
        <f>IF($A921="","",IF($D921="V01",cad!$C$32,IF($D921="V02",cad!$D$32,cad!$E$32)))</f>
        <v/>
      </c>
      <c r="J921" t="str">
        <f>IF($A921="","",IF($D921="V01",cad!$C$33,IF($D921="V02",cad!$D$33,cad!$E$33)))</f>
        <v/>
      </c>
      <c r="K921" t="str">
        <f>IF($A921="","",IF($D921="V01",cad!$C$34,IF($D921="V02",cad!$D$34,cad!$E$34)))</f>
        <v/>
      </c>
      <c r="L921" t="str">
        <f>IF($A921="","",IF($D921="V01",cad!$C$35,IF($D921="V02",cad!$D$35,cad!$E$35)))</f>
        <v/>
      </c>
      <c r="M921" t="str">
        <f>IF($A921="","",IF($D921="V01",cad!$C$36,IF($D921="V02",cad!$D$36,cad!$E$36)))</f>
        <v/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 t="str">
        <f>IF($A922="","",IF($D922="V01",cad!$C$23,IF($D922="V02",cad!$D$23,cad!$E$23)))</f>
        <v/>
      </c>
      <c r="H922" t="str">
        <f>IF($A922="","",IF($D922="V01",cad!$C$24,IF($D922="V02",cad!$D$24,cad!$E$24)))</f>
        <v/>
      </c>
      <c r="I922" t="str">
        <f>IF($A922="","",IF($D922="V01",cad!$C$32,IF($D922="V02",cad!$D$32,cad!$E$32)))</f>
        <v/>
      </c>
      <c r="J922" t="str">
        <f>IF($A922="","",IF($D922="V01",cad!$C$33,IF($D922="V02",cad!$D$33,cad!$E$33)))</f>
        <v/>
      </c>
      <c r="K922" t="str">
        <f>IF($A922="","",IF($D922="V01",cad!$C$34,IF($D922="V02",cad!$D$34,cad!$E$34)))</f>
        <v/>
      </c>
      <c r="L922" t="str">
        <f>IF($A922="","",IF($D922="V01",cad!$C$35,IF($D922="V02",cad!$D$35,cad!$E$35)))</f>
        <v/>
      </c>
      <c r="M922" t="str">
        <f>IF($A922="","",IF($D922="V01",cad!$C$36,IF($D922="V02",cad!$D$36,cad!$E$36)))</f>
        <v/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 t="str">
        <f>IF($A923="","",IF($D923="V01",cad!$C$23,IF($D923="V02",cad!$D$23,cad!$E$23)))</f>
        <v/>
      </c>
      <c r="H923" t="str">
        <f>IF($A923="","",IF($D923="V01",cad!$C$24,IF($D923="V02",cad!$D$24,cad!$E$24)))</f>
        <v/>
      </c>
      <c r="I923" t="str">
        <f>IF($A923="","",IF($D923="V01",cad!$C$32,IF($D923="V02",cad!$D$32,cad!$E$32)))</f>
        <v/>
      </c>
      <c r="J923" t="str">
        <f>IF($A923="","",IF($D923="V01",cad!$C$33,IF($D923="V02",cad!$D$33,cad!$E$33)))</f>
        <v/>
      </c>
      <c r="K923" t="str">
        <f>IF($A923="","",IF($D923="V01",cad!$C$34,IF($D923="V02",cad!$D$34,cad!$E$34)))</f>
        <v/>
      </c>
      <c r="L923" t="str">
        <f>IF($A923="","",IF($D923="V01",cad!$C$35,IF($D923="V02",cad!$D$35,cad!$E$35)))</f>
        <v/>
      </c>
      <c r="M923" t="str">
        <f>IF($A923="","",IF($D923="V01",cad!$C$36,IF($D923="V02",cad!$D$36,cad!$E$36)))</f>
        <v/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 t="str">
        <f>IF($A924="","",IF($D924="V01",cad!$C$23,IF($D924="V02",cad!$D$23,cad!$E$23)))</f>
        <v/>
      </c>
      <c r="H924" t="str">
        <f>IF($A924="","",IF($D924="V01",cad!$C$24,IF($D924="V02",cad!$D$24,cad!$E$24)))</f>
        <v/>
      </c>
      <c r="I924" t="str">
        <f>IF($A924="","",IF($D924="V01",cad!$C$32,IF($D924="V02",cad!$D$32,cad!$E$32)))</f>
        <v/>
      </c>
      <c r="J924" t="str">
        <f>IF($A924="","",IF($D924="V01",cad!$C$33,IF($D924="V02",cad!$D$33,cad!$E$33)))</f>
        <v/>
      </c>
      <c r="K924" t="str">
        <f>IF($A924="","",IF($D924="V01",cad!$C$34,IF($D924="V02",cad!$D$34,cad!$E$34)))</f>
        <v/>
      </c>
      <c r="L924" t="str">
        <f>IF($A924="","",IF($D924="V01",cad!$C$35,IF($D924="V02",cad!$D$35,cad!$E$35)))</f>
        <v/>
      </c>
      <c r="M924" t="str">
        <f>IF($A924="","",IF($D924="V01",cad!$C$36,IF($D924="V02",cad!$D$36,cad!$E$36)))</f>
        <v/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 t="str">
        <f>IF($A925="","",IF($D925="V01",cad!$C$23,IF($D925="V02",cad!$D$23,cad!$E$23)))</f>
        <v/>
      </c>
      <c r="H925" t="str">
        <f>IF($A925="","",IF($D925="V01",cad!$C$24,IF($D925="V02",cad!$D$24,cad!$E$24)))</f>
        <v/>
      </c>
      <c r="I925" t="str">
        <f>IF($A925="","",IF($D925="V01",cad!$C$32,IF($D925="V02",cad!$D$32,cad!$E$32)))</f>
        <v/>
      </c>
      <c r="J925" t="str">
        <f>IF($A925="","",IF($D925="V01",cad!$C$33,IF($D925="V02",cad!$D$33,cad!$E$33)))</f>
        <v/>
      </c>
      <c r="K925" t="str">
        <f>IF($A925="","",IF($D925="V01",cad!$C$34,IF($D925="V02",cad!$D$34,cad!$E$34)))</f>
        <v/>
      </c>
      <c r="L925" t="str">
        <f>IF($A925="","",IF($D925="V01",cad!$C$35,IF($D925="V02",cad!$D$35,cad!$E$35)))</f>
        <v/>
      </c>
      <c r="M925" t="str">
        <f>IF($A925="","",IF($D925="V01",cad!$C$36,IF($D925="V02",cad!$D$36,cad!$E$36)))</f>
        <v/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 t="str">
        <f>IF($A926="","",IF($D926="V01",cad!$C$23,IF($D926="V02",cad!$D$23,cad!$E$23)))</f>
        <v/>
      </c>
      <c r="H926" t="str">
        <f>IF($A926="","",IF($D926="V01",cad!$C$24,IF($D926="V02",cad!$D$24,cad!$E$24)))</f>
        <v/>
      </c>
      <c r="I926" t="str">
        <f>IF($A926="","",IF($D926="V01",cad!$C$32,IF($D926="V02",cad!$D$32,cad!$E$32)))</f>
        <v/>
      </c>
      <c r="J926" t="str">
        <f>IF($A926="","",IF($D926="V01",cad!$C$33,IF($D926="V02",cad!$D$33,cad!$E$33)))</f>
        <v/>
      </c>
      <c r="K926" t="str">
        <f>IF($A926="","",IF($D926="V01",cad!$C$34,IF($D926="V02",cad!$D$34,cad!$E$34)))</f>
        <v/>
      </c>
      <c r="L926" t="str">
        <f>IF($A926="","",IF($D926="V01",cad!$C$35,IF($D926="V02",cad!$D$35,cad!$E$35)))</f>
        <v/>
      </c>
      <c r="M926" t="str">
        <f>IF($A926="","",IF($D926="V01",cad!$C$36,IF($D926="V02",cad!$D$36,cad!$E$36)))</f>
        <v/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 t="str">
        <f>IF($A927="","",IF($D927="V01",cad!$C$23,IF($D927="V02",cad!$D$23,cad!$E$23)))</f>
        <v/>
      </c>
      <c r="H927" t="str">
        <f>IF($A927="","",IF($D927="V01",cad!$C$24,IF($D927="V02",cad!$D$24,cad!$E$24)))</f>
        <v/>
      </c>
      <c r="I927" t="str">
        <f>IF($A927="","",IF($D927="V01",cad!$C$32,IF($D927="V02",cad!$D$32,cad!$E$32)))</f>
        <v/>
      </c>
      <c r="J927" t="str">
        <f>IF($A927="","",IF($D927="V01",cad!$C$33,IF($D927="V02",cad!$D$33,cad!$E$33)))</f>
        <v/>
      </c>
      <c r="K927" t="str">
        <f>IF($A927="","",IF($D927="V01",cad!$C$34,IF($D927="V02",cad!$D$34,cad!$E$34)))</f>
        <v/>
      </c>
      <c r="L927" t="str">
        <f>IF($A927="","",IF($D927="V01",cad!$C$35,IF($D927="V02",cad!$D$35,cad!$E$35)))</f>
        <v/>
      </c>
      <c r="M927" t="str">
        <f>IF($A927="","",IF($D927="V01",cad!$C$36,IF($D927="V02",cad!$D$36,cad!$E$36)))</f>
        <v/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 t="str">
        <f>IF($A928="","",IF($D928="V01",cad!$C$23,IF($D928="V02",cad!$D$23,cad!$E$23)))</f>
        <v/>
      </c>
      <c r="H928" t="str">
        <f>IF($A928="","",IF($D928="V01",cad!$C$24,IF($D928="V02",cad!$D$24,cad!$E$24)))</f>
        <v/>
      </c>
      <c r="I928" t="str">
        <f>IF($A928="","",IF($D928="V01",cad!$C$32,IF($D928="V02",cad!$D$32,cad!$E$32)))</f>
        <v/>
      </c>
      <c r="J928" t="str">
        <f>IF($A928="","",IF($D928="V01",cad!$C$33,IF($D928="V02",cad!$D$33,cad!$E$33)))</f>
        <v/>
      </c>
      <c r="K928" t="str">
        <f>IF($A928="","",IF($D928="V01",cad!$C$34,IF($D928="V02",cad!$D$34,cad!$E$34)))</f>
        <v/>
      </c>
      <c r="L928" t="str">
        <f>IF($A928="","",IF($D928="V01",cad!$C$35,IF($D928="V02",cad!$D$35,cad!$E$35)))</f>
        <v/>
      </c>
      <c r="M928" t="str">
        <f>IF($A928="","",IF($D928="V01",cad!$C$36,IF($D928="V02",cad!$D$36,cad!$E$36)))</f>
        <v/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 t="str">
        <f>IF($A929="","",IF($D929="V01",cad!$C$23,IF($D929="V02",cad!$D$23,cad!$E$23)))</f>
        <v/>
      </c>
      <c r="H929" t="str">
        <f>IF($A929="","",IF($D929="V01",cad!$C$24,IF($D929="V02",cad!$D$24,cad!$E$24)))</f>
        <v/>
      </c>
      <c r="I929" t="str">
        <f>IF($A929="","",IF($D929="V01",cad!$C$32,IF($D929="V02",cad!$D$32,cad!$E$32)))</f>
        <v/>
      </c>
      <c r="J929" t="str">
        <f>IF($A929="","",IF($D929="V01",cad!$C$33,IF($D929="V02",cad!$D$33,cad!$E$33)))</f>
        <v/>
      </c>
      <c r="K929" t="str">
        <f>IF($A929="","",IF($D929="V01",cad!$C$34,IF($D929="V02",cad!$D$34,cad!$E$34)))</f>
        <v/>
      </c>
      <c r="L929" t="str">
        <f>IF($A929="","",IF($D929="V01",cad!$C$35,IF($D929="V02",cad!$D$35,cad!$E$35)))</f>
        <v/>
      </c>
      <c r="M929" t="str">
        <f>IF($A929="","",IF($D929="V01",cad!$C$36,IF($D929="V02",cad!$D$36,cad!$E$36)))</f>
        <v/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 t="str">
        <f>IF($A930="","",IF($D930="V01",cad!$C$23,IF($D930="V02",cad!$D$23,cad!$E$23)))</f>
        <v/>
      </c>
      <c r="H930" t="str">
        <f>IF($A930="","",IF($D930="V01",cad!$C$24,IF($D930="V02",cad!$D$24,cad!$E$24)))</f>
        <v/>
      </c>
      <c r="I930" t="str">
        <f>IF($A930="","",IF($D930="V01",cad!$C$32,IF($D930="V02",cad!$D$32,cad!$E$32)))</f>
        <v/>
      </c>
      <c r="J930" t="str">
        <f>IF($A930="","",IF($D930="V01",cad!$C$33,IF($D930="V02",cad!$D$33,cad!$E$33)))</f>
        <v/>
      </c>
      <c r="K930" t="str">
        <f>IF($A930="","",IF($D930="V01",cad!$C$34,IF($D930="V02",cad!$D$34,cad!$E$34)))</f>
        <v/>
      </c>
      <c r="L930" t="str">
        <f>IF($A930="","",IF($D930="V01",cad!$C$35,IF($D930="V02",cad!$D$35,cad!$E$35)))</f>
        <v/>
      </c>
      <c r="M930" t="str">
        <f>IF($A930="","",IF($D930="V01",cad!$C$36,IF($D930="V02",cad!$D$36,cad!$E$36)))</f>
        <v/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 t="str">
        <f>IF($A931="","",IF($D931="V01",cad!$C$23,IF($D931="V02",cad!$D$23,cad!$E$23)))</f>
        <v/>
      </c>
      <c r="H931" t="str">
        <f>IF($A931="","",IF($D931="V01",cad!$C$24,IF($D931="V02",cad!$D$24,cad!$E$24)))</f>
        <v/>
      </c>
      <c r="I931" t="str">
        <f>IF($A931="","",IF($D931="V01",cad!$C$32,IF($D931="V02",cad!$D$32,cad!$E$32)))</f>
        <v/>
      </c>
      <c r="J931" t="str">
        <f>IF($A931="","",IF($D931="V01",cad!$C$33,IF($D931="V02",cad!$D$33,cad!$E$33)))</f>
        <v/>
      </c>
      <c r="K931" t="str">
        <f>IF($A931="","",IF($D931="V01",cad!$C$34,IF($D931="V02",cad!$D$34,cad!$E$34)))</f>
        <v/>
      </c>
      <c r="L931" t="str">
        <f>IF($A931="","",IF($D931="V01",cad!$C$35,IF($D931="V02",cad!$D$35,cad!$E$35)))</f>
        <v/>
      </c>
      <c r="M931" t="str">
        <f>IF($A931="","",IF($D931="V01",cad!$C$36,IF($D931="V02",cad!$D$36,cad!$E$36)))</f>
        <v/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 t="str">
        <f>IF($A932="","",IF($D932="V01",cad!$C$23,IF($D932="V02",cad!$D$23,cad!$E$23)))</f>
        <v/>
      </c>
      <c r="H932" t="str">
        <f>IF($A932="","",IF($D932="V01",cad!$C$24,IF($D932="V02",cad!$D$24,cad!$E$24)))</f>
        <v/>
      </c>
      <c r="I932" t="str">
        <f>IF($A932="","",IF($D932="V01",cad!$C$32,IF($D932="V02",cad!$D$32,cad!$E$32)))</f>
        <v/>
      </c>
      <c r="J932" t="str">
        <f>IF($A932="","",IF($D932="V01",cad!$C$33,IF($D932="V02",cad!$D$33,cad!$E$33)))</f>
        <v/>
      </c>
      <c r="K932" t="str">
        <f>IF($A932="","",IF($D932="V01",cad!$C$34,IF($D932="V02",cad!$D$34,cad!$E$34)))</f>
        <v/>
      </c>
      <c r="L932" t="str">
        <f>IF($A932="","",IF($D932="V01",cad!$C$35,IF($D932="V02",cad!$D$35,cad!$E$35)))</f>
        <v/>
      </c>
      <c r="M932" t="str">
        <f>IF($A932="","",IF($D932="V01",cad!$C$36,IF($D932="V02",cad!$D$36,cad!$E$36)))</f>
        <v/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 t="str">
        <f>IF($A933="","",IF($D933="V01",cad!$C$23,IF($D933="V02",cad!$D$23,cad!$E$23)))</f>
        <v/>
      </c>
      <c r="H933" t="str">
        <f>IF($A933="","",IF($D933="V01",cad!$C$24,IF($D933="V02",cad!$D$24,cad!$E$24)))</f>
        <v/>
      </c>
      <c r="I933" t="str">
        <f>IF($A933="","",IF($D933="V01",cad!$C$32,IF($D933="V02",cad!$D$32,cad!$E$32)))</f>
        <v/>
      </c>
      <c r="J933" t="str">
        <f>IF($A933="","",IF($D933="V01",cad!$C$33,IF($D933="V02",cad!$D$33,cad!$E$33)))</f>
        <v/>
      </c>
      <c r="K933" t="str">
        <f>IF($A933="","",IF($D933="V01",cad!$C$34,IF($D933="V02",cad!$D$34,cad!$E$34)))</f>
        <v/>
      </c>
      <c r="L933" t="str">
        <f>IF($A933="","",IF($D933="V01",cad!$C$35,IF($D933="V02",cad!$D$35,cad!$E$35)))</f>
        <v/>
      </c>
      <c r="M933" t="str">
        <f>IF($A933="","",IF($D933="V01",cad!$C$36,IF($D933="V02",cad!$D$36,cad!$E$36)))</f>
        <v/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 t="str">
        <f>IF($A934="","",IF($D934="V01",cad!$C$23,IF($D934="V02",cad!$D$23,cad!$E$23)))</f>
        <v/>
      </c>
      <c r="H934" t="str">
        <f>IF($A934="","",IF($D934="V01",cad!$C$24,IF($D934="V02",cad!$D$24,cad!$E$24)))</f>
        <v/>
      </c>
      <c r="I934" t="str">
        <f>IF($A934="","",IF($D934="V01",cad!$C$32,IF($D934="V02",cad!$D$32,cad!$E$32)))</f>
        <v/>
      </c>
      <c r="J934" t="str">
        <f>IF($A934="","",IF($D934="V01",cad!$C$33,IF($D934="V02",cad!$D$33,cad!$E$33)))</f>
        <v/>
      </c>
      <c r="K934" t="str">
        <f>IF($A934="","",IF($D934="V01",cad!$C$34,IF($D934="V02",cad!$D$34,cad!$E$34)))</f>
        <v/>
      </c>
      <c r="L934" t="str">
        <f>IF($A934="","",IF($D934="V01",cad!$C$35,IF($D934="V02",cad!$D$35,cad!$E$35)))</f>
        <v/>
      </c>
      <c r="M934" t="str">
        <f>IF($A934="","",IF($D934="V01",cad!$C$36,IF($D934="V02",cad!$D$36,cad!$E$36)))</f>
        <v/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 t="str">
        <f>IF($A935="","",IF($D935="V01",cad!$C$23,IF($D935="V02",cad!$D$23,cad!$E$23)))</f>
        <v/>
      </c>
      <c r="H935" t="str">
        <f>IF($A935="","",IF($D935="V01",cad!$C$24,IF($D935="V02",cad!$D$24,cad!$E$24)))</f>
        <v/>
      </c>
      <c r="I935" t="str">
        <f>IF($A935="","",IF($D935="V01",cad!$C$32,IF($D935="V02",cad!$D$32,cad!$E$32)))</f>
        <v/>
      </c>
      <c r="J935" t="str">
        <f>IF($A935="","",IF($D935="V01",cad!$C$33,IF($D935="V02",cad!$D$33,cad!$E$33)))</f>
        <v/>
      </c>
      <c r="K935" t="str">
        <f>IF($A935="","",IF($D935="V01",cad!$C$34,IF($D935="V02",cad!$D$34,cad!$E$34)))</f>
        <v/>
      </c>
      <c r="L935" t="str">
        <f>IF($A935="","",IF($D935="V01",cad!$C$35,IF($D935="V02",cad!$D$35,cad!$E$35)))</f>
        <v/>
      </c>
      <c r="M935" t="str">
        <f>IF($A935="","",IF($D935="V01",cad!$C$36,IF($D935="V02",cad!$D$36,cad!$E$36)))</f>
        <v/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 t="str">
        <f>IF($A936="","",IF($D936="V01",cad!$C$23,IF($D936="V02",cad!$D$23,cad!$E$23)))</f>
        <v/>
      </c>
      <c r="H936" t="str">
        <f>IF($A936="","",IF($D936="V01",cad!$C$24,IF($D936="V02",cad!$D$24,cad!$E$24)))</f>
        <v/>
      </c>
      <c r="I936" t="str">
        <f>IF($A936="","",IF($D936="V01",cad!$C$32,IF($D936="V02",cad!$D$32,cad!$E$32)))</f>
        <v/>
      </c>
      <c r="J936" t="str">
        <f>IF($A936="","",IF($D936="V01",cad!$C$33,IF($D936="V02",cad!$D$33,cad!$E$33)))</f>
        <v/>
      </c>
      <c r="K936" t="str">
        <f>IF($A936="","",IF($D936="V01",cad!$C$34,IF($D936="V02",cad!$D$34,cad!$E$34)))</f>
        <v/>
      </c>
      <c r="L936" t="str">
        <f>IF($A936="","",IF($D936="V01",cad!$C$35,IF($D936="V02",cad!$D$35,cad!$E$35)))</f>
        <v/>
      </c>
      <c r="M936" t="str">
        <f>IF($A936="","",IF($D936="V01",cad!$C$36,IF($D936="V02",cad!$D$36,cad!$E$36)))</f>
        <v/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 t="str">
        <f>IF($A937="","",IF($D937="V01",cad!$C$23,IF($D937="V02",cad!$D$23,cad!$E$23)))</f>
        <v/>
      </c>
      <c r="H937" t="str">
        <f>IF($A937="","",IF($D937="V01",cad!$C$24,IF($D937="V02",cad!$D$24,cad!$E$24)))</f>
        <v/>
      </c>
      <c r="I937" t="str">
        <f>IF($A937="","",IF($D937="V01",cad!$C$32,IF($D937="V02",cad!$D$32,cad!$E$32)))</f>
        <v/>
      </c>
      <c r="J937" t="str">
        <f>IF($A937="","",IF($D937="V01",cad!$C$33,IF($D937="V02",cad!$D$33,cad!$E$33)))</f>
        <v/>
      </c>
      <c r="K937" t="str">
        <f>IF($A937="","",IF($D937="V01",cad!$C$34,IF($D937="V02",cad!$D$34,cad!$E$34)))</f>
        <v/>
      </c>
      <c r="L937" t="str">
        <f>IF($A937="","",IF($D937="V01",cad!$C$35,IF($D937="V02",cad!$D$35,cad!$E$35)))</f>
        <v/>
      </c>
      <c r="M937" t="str">
        <f>IF($A937="","",IF($D937="V01",cad!$C$36,IF($D937="V02",cad!$D$36,cad!$E$36)))</f>
        <v/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 t="str">
        <f>IF($A938="","",IF($D938="V01",cad!$C$23,IF($D938="V02",cad!$D$23,cad!$E$23)))</f>
        <v/>
      </c>
      <c r="H938" t="str">
        <f>IF($A938="","",IF($D938="V01",cad!$C$24,IF($D938="V02",cad!$D$24,cad!$E$24)))</f>
        <v/>
      </c>
      <c r="I938" t="str">
        <f>IF($A938="","",IF($D938="V01",cad!$C$32,IF($D938="V02",cad!$D$32,cad!$E$32)))</f>
        <v/>
      </c>
      <c r="J938" t="str">
        <f>IF($A938="","",IF($D938="V01",cad!$C$33,IF($D938="V02",cad!$D$33,cad!$E$33)))</f>
        <v/>
      </c>
      <c r="K938" t="str">
        <f>IF($A938="","",IF($D938="V01",cad!$C$34,IF($D938="V02",cad!$D$34,cad!$E$34)))</f>
        <v/>
      </c>
      <c r="L938" t="str">
        <f>IF($A938="","",IF($D938="V01",cad!$C$35,IF($D938="V02",cad!$D$35,cad!$E$35)))</f>
        <v/>
      </c>
      <c r="M938" t="str">
        <f>IF($A938="","",IF($D938="V01",cad!$C$36,IF($D938="V02",cad!$D$36,cad!$E$36)))</f>
        <v/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 t="str">
        <f>IF($A939="","",IF($D939="V01",cad!$C$23,IF($D939="V02",cad!$D$23,cad!$E$23)))</f>
        <v/>
      </c>
      <c r="H939" t="str">
        <f>IF($A939="","",IF($D939="V01",cad!$C$24,IF($D939="V02",cad!$D$24,cad!$E$24)))</f>
        <v/>
      </c>
      <c r="I939" t="str">
        <f>IF($A939="","",IF($D939="V01",cad!$C$32,IF($D939="V02",cad!$D$32,cad!$E$32)))</f>
        <v/>
      </c>
      <c r="J939" t="str">
        <f>IF($A939="","",IF($D939="V01",cad!$C$33,IF($D939="V02",cad!$D$33,cad!$E$33)))</f>
        <v/>
      </c>
      <c r="K939" t="str">
        <f>IF($A939="","",IF($D939="V01",cad!$C$34,IF($D939="V02",cad!$D$34,cad!$E$34)))</f>
        <v/>
      </c>
      <c r="L939" t="str">
        <f>IF($A939="","",IF($D939="V01",cad!$C$35,IF($D939="V02",cad!$D$35,cad!$E$35)))</f>
        <v/>
      </c>
      <c r="M939" t="str">
        <f>IF($A939="","",IF($D939="V01",cad!$C$36,IF($D939="V02",cad!$D$36,cad!$E$36)))</f>
        <v/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 t="str">
        <f>IF($A940="","",IF($D940="V01",cad!$C$23,IF($D940="V02",cad!$D$23,cad!$E$23)))</f>
        <v/>
      </c>
      <c r="H940" t="str">
        <f>IF($A940="","",IF($D940="V01",cad!$C$24,IF($D940="V02",cad!$D$24,cad!$E$24)))</f>
        <v/>
      </c>
      <c r="I940" t="str">
        <f>IF($A940="","",IF($D940="V01",cad!$C$32,IF($D940="V02",cad!$D$32,cad!$E$32)))</f>
        <v/>
      </c>
      <c r="J940" t="str">
        <f>IF($A940="","",IF($D940="V01",cad!$C$33,IF($D940="V02",cad!$D$33,cad!$E$33)))</f>
        <v/>
      </c>
      <c r="K940" t="str">
        <f>IF($A940="","",IF($D940="V01",cad!$C$34,IF($D940="V02",cad!$D$34,cad!$E$34)))</f>
        <v/>
      </c>
      <c r="L940" t="str">
        <f>IF($A940="","",IF($D940="V01",cad!$C$35,IF($D940="V02",cad!$D$35,cad!$E$35)))</f>
        <v/>
      </c>
      <c r="M940" t="str">
        <f>IF($A940="","",IF($D940="V01",cad!$C$36,IF($D940="V02",cad!$D$36,cad!$E$36)))</f>
        <v/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 t="str">
        <f>IF($A941="","",IF($D941="V01",cad!$C$23,IF($D941="V02",cad!$D$23,cad!$E$23)))</f>
        <v/>
      </c>
      <c r="H941" t="str">
        <f>IF($A941="","",IF($D941="V01",cad!$C$24,IF($D941="V02",cad!$D$24,cad!$E$24)))</f>
        <v/>
      </c>
      <c r="I941" t="str">
        <f>IF($A941="","",IF($D941="V01",cad!$C$32,IF($D941="V02",cad!$D$32,cad!$E$32)))</f>
        <v/>
      </c>
      <c r="J941" t="str">
        <f>IF($A941="","",IF($D941="V01",cad!$C$33,IF($D941="V02",cad!$D$33,cad!$E$33)))</f>
        <v/>
      </c>
      <c r="K941" t="str">
        <f>IF($A941="","",IF($D941="V01",cad!$C$34,IF($D941="V02",cad!$D$34,cad!$E$34)))</f>
        <v/>
      </c>
      <c r="L941" t="str">
        <f>IF($A941="","",IF($D941="V01",cad!$C$35,IF($D941="V02",cad!$D$35,cad!$E$35)))</f>
        <v/>
      </c>
      <c r="M941" t="str">
        <f>IF($A941="","",IF($D941="V01",cad!$C$36,IF($D941="V02",cad!$D$36,cad!$E$36)))</f>
        <v/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 t="str">
        <f>IF($A942="","",IF($D942="V01",cad!$C$23,IF($D942="V02",cad!$D$23,cad!$E$23)))</f>
        <v/>
      </c>
      <c r="H942" t="str">
        <f>IF($A942="","",IF($D942="V01",cad!$C$24,IF($D942="V02",cad!$D$24,cad!$E$24)))</f>
        <v/>
      </c>
      <c r="I942" t="str">
        <f>IF($A942="","",IF($D942="V01",cad!$C$32,IF($D942="V02",cad!$D$32,cad!$E$32)))</f>
        <v/>
      </c>
      <c r="J942" t="str">
        <f>IF($A942="","",IF($D942="V01",cad!$C$33,IF($D942="V02",cad!$D$33,cad!$E$33)))</f>
        <v/>
      </c>
      <c r="K942" t="str">
        <f>IF($A942="","",IF($D942="V01",cad!$C$34,IF($D942="V02",cad!$D$34,cad!$E$34)))</f>
        <v/>
      </c>
      <c r="L942" t="str">
        <f>IF($A942="","",IF($D942="V01",cad!$C$35,IF($D942="V02",cad!$D$35,cad!$E$35)))</f>
        <v/>
      </c>
      <c r="M942" t="str">
        <f>IF($A942="","",IF($D942="V01",cad!$C$36,IF($D942="V02",cad!$D$36,cad!$E$36)))</f>
        <v/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 t="str">
        <f>IF($A943="","",IF($D943="V01",cad!$C$23,IF($D943="V02",cad!$D$23,cad!$E$23)))</f>
        <v/>
      </c>
      <c r="H943" t="str">
        <f>IF($A943="","",IF($D943="V01",cad!$C$24,IF($D943="V02",cad!$D$24,cad!$E$24)))</f>
        <v/>
      </c>
      <c r="I943" t="str">
        <f>IF($A943="","",IF($D943="V01",cad!$C$32,IF($D943="V02",cad!$D$32,cad!$E$32)))</f>
        <v/>
      </c>
      <c r="J943" t="str">
        <f>IF($A943="","",IF($D943="V01",cad!$C$33,IF($D943="V02",cad!$D$33,cad!$E$33)))</f>
        <v/>
      </c>
      <c r="K943" t="str">
        <f>IF($A943="","",IF($D943="V01",cad!$C$34,IF($D943="V02",cad!$D$34,cad!$E$34)))</f>
        <v/>
      </c>
      <c r="L943" t="str">
        <f>IF($A943="","",IF($D943="V01",cad!$C$35,IF($D943="V02",cad!$D$35,cad!$E$35)))</f>
        <v/>
      </c>
      <c r="M943" t="str">
        <f>IF($A943="","",IF($D943="V01",cad!$C$36,IF($D943="V02",cad!$D$36,cad!$E$36)))</f>
        <v/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 t="str">
        <f>IF($A944="","",IF($D944="V01",cad!$C$23,IF($D944="V02",cad!$D$23,cad!$E$23)))</f>
        <v/>
      </c>
      <c r="H944" t="str">
        <f>IF($A944="","",IF($D944="V01",cad!$C$24,IF($D944="V02",cad!$D$24,cad!$E$24)))</f>
        <v/>
      </c>
      <c r="I944" t="str">
        <f>IF($A944="","",IF($D944="V01",cad!$C$32,IF($D944="V02",cad!$D$32,cad!$E$32)))</f>
        <v/>
      </c>
      <c r="J944" t="str">
        <f>IF($A944="","",IF($D944="V01",cad!$C$33,IF($D944="V02",cad!$D$33,cad!$E$33)))</f>
        <v/>
      </c>
      <c r="K944" t="str">
        <f>IF($A944="","",IF($D944="V01",cad!$C$34,IF($D944="V02",cad!$D$34,cad!$E$34)))</f>
        <v/>
      </c>
      <c r="L944" t="str">
        <f>IF($A944="","",IF($D944="V01",cad!$C$35,IF($D944="V02",cad!$D$35,cad!$E$35)))</f>
        <v/>
      </c>
      <c r="M944" t="str">
        <f>IF($A944="","",IF($D944="V01",cad!$C$36,IF($D944="V02",cad!$D$36,cad!$E$36)))</f>
        <v/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 t="str">
        <f>IF($A945="","",IF($D945="V01",cad!$C$23,IF($D945="V02",cad!$D$23,cad!$E$23)))</f>
        <v/>
      </c>
      <c r="H945" t="str">
        <f>IF($A945="","",IF($D945="V01",cad!$C$24,IF($D945="V02",cad!$D$24,cad!$E$24)))</f>
        <v/>
      </c>
      <c r="I945" t="str">
        <f>IF($A945="","",IF($D945="V01",cad!$C$32,IF($D945="V02",cad!$D$32,cad!$E$32)))</f>
        <v/>
      </c>
      <c r="J945" t="str">
        <f>IF($A945="","",IF($D945="V01",cad!$C$33,IF($D945="V02",cad!$D$33,cad!$E$33)))</f>
        <v/>
      </c>
      <c r="K945" t="str">
        <f>IF($A945="","",IF($D945="V01",cad!$C$34,IF($D945="V02",cad!$D$34,cad!$E$34)))</f>
        <v/>
      </c>
      <c r="L945" t="str">
        <f>IF($A945="","",IF($D945="V01",cad!$C$35,IF($D945="V02",cad!$D$35,cad!$E$35)))</f>
        <v/>
      </c>
      <c r="M945" t="str">
        <f>IF($A945="","",IF($D945="V01",cad!$C$36,IF($D945="V02",cad!$D$36,cad!$E$36)))</f>
        <v/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 t="str">
        <f>IF($A946="","",IF($D946="V01",cad!$C$23,IF($D946="V02",cad!$D$23,cad!$E$23)))</f>
        <v/>
      </c>
      <c r="H946" t="str">
        <f>IF($A946="","",IF($D946="V01",cad!$C$24,IF($D946="V02",cad!$D$24,cad!$E$24)))</f>
        <v/>
      </c>
      <c r="I946" t="str">
        <f>IF($A946="","",IF($D946="V01",cad!$C$32,IF($D946="V02",cad!$D$32,cad!$E$32)))</f>
        <v/>
      </c>
      <c r="J946" t="str">
        <f>IF($A946="","",IF($D946="V01",cad!$C$33,IF($D946="V02",cad!$D$33,cad!$E$33)))</f>
        <v/>
      </c>
      <c r="K946" t="str">
        <f>IF($A946="","",IF($D946="V01",cad!$C$34,IF($D946="V02",cad!$D$34,cad!$E$34)))</f>
        <v/>
      </c>
      <c r="L946" t="str">
        <f>IF($A946="","",IF($D946="V01",cad!$C$35,IF($D946="V02",cad!$D$35,cad!$E$35)))</f>
        <v/>
      </c>
      <c r="M946" t="str">
        <f>IF($A946="","",IF($D946="V01",cad!$C$36,IF($D946="V02",cad!$D$36,cad!$E$36)))</f>
        <v/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 t="str">
        <f>IF($A947="","",IF($D947="V01",cad!$C$23,IF($D947="V02",cad!$D$23,cad!$E$23)))</f>
        <v/>
      </c>
      <c r="H947" t="str">
        <f>IF($A947="","",IF($D947="V01",cad!$C$24,IF($D947="V02",cad!$D$24,cad!$E$24)))</f>
        <v/>
      </c>
      <c r="I947" t="str">
        <f>IF($A947="","",IF($D947="V01",cad!$C$32,IF($D947="V02",cad!$D$32,cad!$E$32)))</f>
        <v/>
      </c>
      <c r="J947" t="str">
        <f>IF($A947="","",IF($D947="V01",cad!$C$33,IF($D947="V02",cad!$D$33,cad!$E$33)))</f>
        <v/>
      </c>
      <c r="K947" t="str">
        <f>IF($A947="","",IF($D947="V01",cad!$C$34,IF($D947="V02",cad!$D$34,cad!$E$34)))</f>
        <v/>
      </c>
      <c r="L947" t="str">
        <f>IF($A947="","",IF($D947="V01",cad!$C$35,IF($D947="V02",cad!$D$35,cad!$E$35)))</f>
        <v/>
      </c>
      <c r="M947" t="str">
        <f>IF($A947="","",IF($D947="V01",cad!$C$36,IF($D947="V02",cad!$D$36,cad!$E$36)))</f>
        <v/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 t="str">
        <f>IF($A948="","",IF($D948="V01",cad!$C$23,IF($D948="V02",cad!$D$23,cad!$E$23)))</f>
        <v/>
      </c>
      <c r="H948" t="str">
        <f>IF($A948="","",IF($D948="V01",cad!$C$24,IF($D948="V02",cad!$D$24,cad!$E$24)))</f>
        <v/>
      </c>
      <c r="I948" t="str">
        <f>IF($A948="","",IF($D948="V01",cad!$C$32,IF($D948="V02",cad!$D$32,cad!$E$32)))</f>
        <v/>
      </c>
      <c r="J948" t="str">
        <f>IF($A948="","",IF($D948="V01",cad!$C$33,IF($D948="V02",cad!$D$33,cad!$E$33)))</f>
        <v/>
      </c>
      <c r="K948" t="str">
        <f>IF($A948="","",IF($D948="V01",cad!$C$34,IF($D948="V02",cad!$D$34,cad!$E$34)))</f>
        <v/>
      </c>
      <c r="L948" t="str">
        <f>IF($A948="","",IF($D948="V01",cad!$C$35,IF($D948="V02",cad!$D$35,cad!$E$35)))</f>
        <v/>
      </c>
      <c r="M948" t="str">
        <f>IF($A948="","",IF($D948="V01",cad!$C$36,IF($D948="V02",cad!$D$36,cad!$E$36)))</f>
        <v/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 t="str">
        <f>IF($A949="","",IF($D949="V01",cad!$C$23,IF($D949="V02",cad!$D$23,cad!$E$23)))</f>
        <v/>
      </c>
      <c r="H949" t="str">
        <f>IF($A949="","",IF($D949="V01",cad!$C$24,IF($D949="V02",cad!$D$24,cad!$E$24)))</f>
        <v/>
      </c>
      <c r="I949" t="str">
        <f>IF($A949="","",IF($D949="V01",cad!$C$32,IF($D949="V02",cad!$D$32,cad!$E$32)))</f>
        <v/>
      </c>
      <c r="J949" t="str">
        <f>IF($A949="","",IF($D949="V01",cad!$C$33,IF($D949="V02",cad!$D$33,cad!$E$33)))</f>
        <v/>
      </c>
      <c r="K949" t="str">
        <f>IF($A949="","",IF($D949="V01",cad!$C$34,IF($D949="V02",cad!$D$34,cad!$E$34)))</f>
        <v/>
      </c>
      <c r="L949" t="str">
        <f>IF($A949="","",IF($D949="V01",cad!$C$35,IF($D949="V02",cad!$D$35,cad!$E$35)))</f>
        <v/>
      </c>
      <c r="M949" t="str">
        <f>IF($A949="","",IF($D949="V01",cad!$C$36,IF($D949="V02",cad!$D$36,cad!$E$36)))</f>
        <v/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 t="str">
        <f>IF($A950="","",IF($D950="V01",cad!$C$23,IF($D950="V02",cad!$D$23,cad!$E$23)))</f>
        <v/>
      </c>
      <c r="H950" t="str">
        <f>IF($A950="","",IF($D950="V01",cad!$C$24,IF($D950="V02",cad!$D$24,cad!$E$24)))</f>
        <v/>
      </c>
      <c r="I950" t="str">
        <f>IF($A950="","",IF($D950="V01",cad!$C$32,IF($D950="V02",cad!$D$32,cad!$E$32)))</f>
        <v/>
      </c>
      <c r="J950" t="str">
        <f>IF($A950="","",IF($D950="V01",cad!$C$33,IF($D950="V02",cad!$D$33,cad!$E$33)))</f>
        <v/>
      </c>
      <c r="K950" t="str">
        <f>IF($A950="","",IF($D950="V01",cad!$C$34,IF($D950="V02",cad!$D$34,cad!$E$34)))</f>
        <v/>
      </c>
      <c r="L950" t="str">
        <f>IF($A950="","",IF($D950="V01",cad!$C$35,IF($D950="V02",cad!$D$35,cad!$E$35)))</f>
        <v/>
      </c>
      <c r="M950" t="str">
        <f>IF($A950="","",IF($D950="V01",cad!$C$36,IF($D950="V02",cad!$D$36,cad!$E$36)))</f>
        <v/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 t="str">
        <f>IF($A951="","",IF($D951="V01",cad!$C$23,IF($D951="V02",cad!$D$23,cad!$E$23)))</f>
        <v/>
      </c>
      <c r="H951" t="str">
        <f>IF($A951="","",IF($D951="V01",cad!$C$24,IF($D951="V02",cad!$D$24,cad!$E$24)))</f>
        <v/>
      </c>
      <c r="I951" t="str">
        <f>IF($A951="","",IF($D951="V01",cad!$C$32,IF($D951="V02",cad!$D$32,cad!$E$32)))</f>
        <v/>
      </c>
      <c r="J951" t="str">
        <f>IF($A951="","",IF($D951="V01",cad!$C$33,IF($D951="V02",cad!$D$33,cad!$E$33)))</f>
        <v/>
      </c>
      <c r="K951" t="str">
        <f>IF($A951="","",IF($D951="V01",cad!$C$34,IF($D951="V02",cad!$D$34,cad!$E$34)))</f>
        <v/>
      </c>
      <c r="L951" t="str">
        <f>IF($A951="","",IF($D951="V01",cad!$C$35,IF($D951="V02",cad!$D$35,cad!$E$35)))</f>
        <v/>
      </c>
      <c r="M951" t="str">
        <f>IF($A951="","",IF($D951="V01",cad!$C$36,IF($D951="V02",cad!$D$36,cad!$E$36)))</f>
        <v/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 t="str">
        <f>IF($A952="","",IF($D952="V01",cad!$C$23,IF($D952="V02",cad!$D$23,cad!$E$23)))</f>
        <v/>
      </c>
      <c r="H952" t="str">
        <f>IF($A952="","",IF($D952="V01",cad!$C$24,IF($D952="V02",cad!$D$24,cad!$E$24)))</f>
        <v/>
      </c>
      <c r="I952" t="str">
        <f>IF($A952="","",IF($D952="V01",cad!$C$32,IF($D952="V02",cad!$D$32,cad!$E$32)))</f>
        <v/>
      </c>
      <c r="J952" t="str">
        <f>IF($A952="","",IF($D952="V01",cad!$C$33,IF($D952="V02",cad!$D$33,cad!$E$33)))</f>
        <v/>
      </c>
      <c r="K952" t="str">
        <f>IF($A952="","",IF($D952="V01",cad!$C$34,IF($D952="V02",cad!$D$34,cad!$E$34)))</f>
        <v/>
      </c>
      <c r="L952" t="str">
        <f>IF($A952="","",IF($D952="V01",cad!$C$35,IF($D952="V02",cad!$D$35,cad!$E$35)))</f>
        <v/>
      </c>
      <c r="M952" t="str">
        <f>IF($A952="","",IF($D952="V01",cad!$C$36,IF($D952="V02",cad!$D$36,cad!$E$36)))</f>
        <v/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 t="str">
        <f>IF($A953="","",IF($D953="V01",cad!$C$23,IF($D953="V02",cad!$D$23,cad!$E$23)))</f>
        <v/>
      </c>
      <c r="H953" t="str">
        <f>IF($A953="","",IF($D953="V01",cad!$C$24,IF($D953="V02",cad!$D$24,cad!$E$24)))</f>
        <v/>
      </c>
      <c r="I953" t="str">
        <f>IF($A953="","",IF($D953="V01",cad!$C$32,IF($D953="V02",cad!$D$32,cad!$E$32)))</f>
        <v/>
      </c>
      <c r="J953" t="str">
        <f>IF($A953="","",IF($D953="V01",cad!$C$33,IF($D953="V02",cad!$D$33,cad!$E$33)))</f>
        <v/>
      </c>
      <c r="K953" t="str">
        <f>IF($A953="","",IF($D953="V01",cad!$C$34,IF($D953="V02",cad!$D$34,cad!$E$34)))</f>
        <v/>
      </c>
      <c r="L953" t="str">
        <f>IF($A953="","",IF($D953="V01",cad!$C$35,IF($D953="V02",cad!$D$35,cad!$E$35)))</f>
        <v/>
      </c>
      <c r="M953" t="str">
        <f>IF($A953="","",IF($D953="V01",cad!$C$36,IF($D953="V02",cad!$D$36,cad!$E$36)))</f>
        <v/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 t="str">
        <f>IF($A954="","",IF($D954="V01",cad!$C$23,IF($D954="V02",cad!$D$23,cad!$E$23)))</f>
        <v/>
      </c>
      <c r="H954" t="str">
        <f>IF($A954="","",IF($D954="V01",cad!$C$24,IF($D954="V02",cad!$D$24,cad!$E$24)))</f>
        <v/>
      </c>
      <c r="I954" t="str">
        <f>IF($A954="","",IF($D954="V01",cad!$C$32,IF($D954="V02",cad!$D$32,cad!$E$32)))</f>
        <v/>
      </c>
      <c r="J954" t="str">
        <f>IF($A954="","",IF($D954="V01",cad!$C$33,IF($D954="V02",cad!$D$33,cad!$E$33)))</f>
        <v/>
      </c>
      <c r="K954" t="str">
        <f>IF($A954="","",IF($D954="V01",cad!$C$34,IF($D954="V02",cad!$D$34,cad!$E$34)))</f>
        <v/>
      </c>
      <c r="L954" t="str">
        <f>IF($A954="","",IF($D954="V01",cad!$C$35,IF($D954="V02",cad!$D$35,cad!$E$35)))</f>
        <v/>
      </c>
      <c r="M954" t="str">
        <f>IF($A954="","",IF($D954="V01",cad!$C$36,IF($D954="V02",cad!$D$36,cad!$E$36)))</f>
        <v/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 t="str">
        <f>IF($A955="","",IF($D955="V01",cad!$C$23,IF($D955="V02",cad!$D$23,cad!$E$23)))</f>
        <v/>
      </c>
      <c r="H955" t="str">
        <f>IF($A955="","",IF($D955="V01",cad!$C$24,IF($D955="V02",cad!$D$24,cad!$E$24)))</f>
        <v/>
      </c>
      <c r="I955" t="str">
        <f>IF($A955="","",IF($D955="V01",cad!$C$32,IF($D955="V02",cad!$D$32,cad!$E$32)))</f>
        <v/>
      </c>
      <c r="J955" t="str">
        <f>IF($A955="","",IF($D955="V01",cad!$C$33,IF($D955="V02",cad!$D$33,cad!$E$33)))</f>
        <v/>
      </c>
      <c r="K955" t="str">
        <f>IF($A955="","",IF($D955="V01",cad!$C$34,IF($D955="V02",cad!$D$34,cad!$E$34)))</f>
        <v/>
      </c>
      <c r="L955" t="str">
        <f>IF($A955="","",IF($D955="V01",cad!$C$35,IF($D955="V02",cad!$D$35,cad!$E$35)))</f>
        <v/>
      </c>
      <c r="M955" t="str">
        <f>IF($A955="","",IF($D955="V01",cad!$C$36,IF($D955="V02",cad!$D$36,cad!$E$36)))</f>
        <v/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 t="str">
        <f>IF($A956="","",IF($D956="V01",cad!$C$23,IF($D956="V02",cad!$D$23,cad!$E$23)))</f>
        <v/>
      </c>
      <c r="H956" t="str">
        <f>IF($A956="","",IF($D956="V01",cad!$C$24,IF($D956="V02",cad!$D$24,cad!$E$24)))</f>
        <v/>
      </c>
      <c r="I956" t="str">
        <f>IF($A956="","",IF($D956="V01",cad!$C$32,IF($D956="V02",cad!$D$32,cad!$E$32)))</f>
        <v/>
      </c>
      <c r="J956" t="str">
        <f>IF($A956="","",IF($D956="V01",cad!$C$33,IF($D956="V02",cad!$D$33,cad!$E$33)))</f>
        <v/>
      </c>
      <c r="K956" t="str">
        <f>IF($A956="","",IF($D956="V01",cad!$C$34,IF($D956="V02",cad!$D$34,cad!$E$34)))</f>
        <v/>
      </c>
      <c r="L956" t="str">
        <f>IF($A956="","",IF($D956="V01",cad!$C$35,IF($D956="V02",cad!$D$35,cad!$E$35)))</f>
        <v/>
      </c>
      <c r="M956" t="str">
        <f>IF($A956="","",IF($D956="V01",cad!$C$36,IF($D956="V02",cad!$D$36,cad!$E$36)))</f>
        <v/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 t="str">
        <f>IF($A957="","",IF($D957="V01",cad!$C$23,IF($D957="V02",cad!$D$23,cad!$E$23)))</f>
        <v/>
      </c>
      <c r="H957" t="str">
        <f>IF($A957="","",IF($D957="V01",cad!$C$24,IF($D957="V02",cad!$D$24,cad!$E$24)))</f>
        <v/>
      </c>
      <c r="I957" t="str">
        <f>IF($A957="","",IF($D957="V01",cad!$C$32,IF($D957="V02",cad!$D$32,cad!$E$32)))</f>
        <v/>
      </c>
      <c r="J957" t="str">
        <f>IF($A957="","",IF($D957="V01",cad!$C$33,IF($D957="V02",cad!$D$33,cad!$E$33)))</f>
        <v/>
      </c>
      <c r="K957" t="str">
        <f>IF($A957="","",IF($D957="V01",cad!$C$34,IF($D957="V02",cad!$D$34,cad!$E$34)))</f>
        <v/>
      </c>
      <c r="L957" t="str">
        <f>IF($A957="","",IF($D957="V01",cad!$C$35,IF($D957="V02",cad!$D$35,cad!$E$35)))</f>
        <v/>
      </c>
      <c r="M957" t="str">
        <f>IF($A957="","",IF($D957="V01",cad!$C$36,IF($D957="V02",cad!$D$36,cad!$E$36)))</f>
        <v/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 t="str">
        <f>IF($A958="","",IF($D958="V01",cad!$C$23,IF($D958="V02",cad!$D$23,cad!$E$23)))</f>
        <v/>
      </c>
      <c r="H958" t="str">
        <f>IF($A958="","",IF($D958="V01",cad!$C$24,IF($D958="V02",cad!$D$24,cad!$E$24)))</f>
        <v/>
      </c>
      <c r="I958" t="str">
        <f>IF($A958="","",IF($D958="V01",cad!$C$32,IF($D958="V02",cad!$D$32,cad!$E$32)))</f>
        <v/>
      </c>
      <c r="J958" t="str">
        <f>IF($A958="","",IF($D958="V01",cad!$C$33,IF($D958="V02",cad!$D$33,cad!$E$33)))</f>
        <v/>
      </c>
      <c r="K958" t="str">
        <f>IF($A958="","",IF($D958="V01",cad!$C$34,IF($D958="V02",cad!$D$34,cad!$E$34)))</f>
        <v/>
      </c>
      <c r="L958" t="str">
        <f>IF($A958="","",IF($D958="V01",cad!$C$35,IF($D958="V02",cad!$D$35,cad!$E$35)))</f>
        <v/>
      </c>
      <c r="M958" t="str">
        <f>IF($A958="","",IF($D958="V01",cad!$C$36,IF($D958="V02",cad!$D$36,cad!$E$36)))</f>
        <v/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 t="str">
        <f>IF($A959="","",IF($D959="V01",cad!$C$23,IF($D959="V02",cad!$D$23,cad!$E$23)))</f>
        <v/>
      </c>
      <c r="H959" t="str">
        <f>IF($A959="","",IF($D959="V01",cad!$C$24,IF($D959="V02",cad!$D$24,cad!$E$24)))</f>
        <v/>
      </c>
      <c r="I959" t="str">
        <f>IF($A959="","",IF($D959="V01",cad!$C$32,IF($D959="V02",cad!$D$32,cad!$E$32)))</f>
        <v/>
      </c>
      <c r="J959" t="str">
        <f>IF($A959="","",IF($D959="V01",cad!$C$33,IF($D959="V02",cad!$D$33,cad!$E$33)))</f>
        <v/>
      </c>
      <c r="K959" t="str">
        <f>IF($A959="","",IF($D959="V01",cad!$C$34,IF($D959="V02",cad!$D$34,cad!$E$34)))</f>
        <v/>
      </c>
      <c r="L959" t="str">
        <f>IF($A959="","",IF($D959="V01",cad!$C$35,IF($D959="V02",cad!$D$35,cad!$E$35)))</f>
        <v/>
      </c>
      <c r="M959" t="str">
        <f>IF($A959="","",IF($D959="V01",cad!$C$36,IF($D959="V02",cad!$D$36,cad!$E$36)))</f>
        <v/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 t="str">
        <f>IF($A960="","",IF($D960="V01",cad!$C$23,IF($D960="V02",cad!$D$23,cad!$E$23)))</f>
        <v/>
      </c>
      <c r="H960" t="str">
        <f>IF($A960="","",IF($D960="V01",cad!$C$24,IF($D960="V02",cad!$D$24,cad!$E$24)))</f>
        <v/>
      </c>
      <c r="I960" t="str">
        <f>IF($A960="","",IF($D960="V01",cad!$C$32,IF($D960="V02",cad!$D$32,cad!$E$32)))</f>
        <v/>
      </c>
      <c r="J960" t="str">
        <f>IF($A960="","",IF($D960="V01",cad!$C$33,IF($D960="V02",cad!$D$33,cad!$E$33)))</f>
        <v/>
      </c>
      <c r="K960" t="str">
        <f>IF($A960="","",IF($D960="V01",cad!$C$34,IF($D960="V02",cad!$D$34,cad!$E$34)))</f>
        <v/>
      </c>
      <c r="L960" t="str">
        <f>IF($A960="","",IF($D960="V01",cad!$C$35,IF($D960="V02",cad!$D$35,cad!$E$35)))</f>
        <v/>
      </c>
      <c r="M960" t="str">
        <f>IF($A960="","",IF($D960="V01",cad!$C$36,IF($D960="V02",cad!$D$36,cad!$E$36)))</f>
        <v/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 t="str">
        <f>IF($A961="","",IF($D961="V01",cad!$C$23,IF($D961="V02",cad!$D$23,cad!$E$23)))</f>
        <v/>
      </c>
      <c r="H961" t="str">
        <f>IF($A961="","",IF($D961="V01",cad!$C$24,IF($D961="V02",cad!$D$24,cad!$E$24)))</f>
        <v/>
      </c>
      <c r="I961" t="str">
        <f>IF($A961="","",IF($D961="V01",cad!$C$32,IF($D961="V02",cad!$D$32,cad!$E$32)))</f>
        <v/>
      </c>
      <c r="J961" t="str">
        <f>IF($A961="","",IF($D961="V01",cad!$C$33,IF($D961="V02",cad!$D$33,cad!$E$33)))</f>
        <v/>
      </c>
      <c r="K961" t="str">
        <f>IF($A961="","",IF($D961="V01",cad!$C$34,IF($D961="V02",cad!$D$34,cad!$E$34)))</f>
        <v/>
      </c>
      <c r="L961" t="str">
        <f>IF($A961="","",IF($D961="V01",cad!$C$35,IF($D961="V02",cad!$D$35,cad!$E$35)))</f>
        <v/>
      </c>
      <c r="M961" t="str">
        <f>IF($A961="","",IF($D961="V01",cad!$C$36,IF($D961="V02",cad!$D$36,cad!$E$36)))</f>
        <v/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 t="str">
        <f>IF($A962="","",IF($D962="V01",cad!$C$23,IF($D962="V02",cad!$D$23,cad!$E$23)))</f>
        <v/>
      </c>
      <c r="H962" t="str">
        <f>IF($A962="","",IF($D962="V01",cad!$C$24,IF($D962="V02",cad!$D$24,cad!$E$24)))</f>
        <v/>
      </c>
      <c r="I962" t="str">
        <f>IF($A962="","",IF($D962="V01",cad!$C$32,IF($D962="V02",cad!$D$32,cad!$E$32)))</f>
        <v/>
      </c>
      <c r="J962" t="str">
        <f>IF($A962="","",IF($D962="V01",cad!$C$33,IF($D962="V02",cad!$D$33,cad!$E$33)))</f>
        <v/>
      </c>
      <c r="K962" t="str">
        <f>IF($A962="","",IF($D962="V01",cad!$C$34,IF($D962="V02",cad!$D$34,cad!$E$34)))</f>
        <v/>
      </c>
      <c r="L962" t="str">
        <f>IF($A962="","",IF($D962="V01",cad!$C$35,IF($D962="V02",cad!$D$35,cad!$E$35)))</f>
        <v/>
      </c>
      <c r="M962" t="str">
        <f>IF($A962="","",IF($D962="V01",cad!$C$36,IF($D962="V02",cad!$D$36,cad!$E$36)))</f>
        <v/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 t="str">
        <f>IF($A963="","",IF($D963="V01",cad!$C$23,IF($D963="V02",cad!$D$23,cad!$E$23)))</f>
        <v/>
      </c>
      <c r="H963" t="str">
        <f>IF($A963="","",IF($D963="V01",cad!$C$24,IF($D963="V02",cad!$D$24,cad!$E$24)))</f>
        <v/>
      </c>
      <c r="I963" t="str">
        <f>IF($A963="","",IF($D963="V01",cad!$C$32,IF($D963="V02",cad!$D$32,cad!$E$32)))</f>
        <v/>
      </c>
      <c r="J963" t="str">
        <f>IF($A963="","",IF($D963="V01",cad!$C$33,IF($D963="V02",cad!$D$33,cad!$E$33)))</f>
        <v/>
      </c>
      <c r="K963" t="str">
        <f>IF($A963="","",IF($D963="V01",cad!$C$34,IF($D963="V02",cad!$D$34,cad!$E$34)))</f>
        <v/>
      </c>
      <c r="L963" t="str">
        <f>IF($A963="","",IF($D963="V01",cad!$C$35,IF($D963="V02",cad!$D$35,cad!$E$35)))</f>
        <v/>
      </c>
      <c r="M963" t="str">
        <f>IF($A963="","",IF($D963="V01",cad!$C$36,IF($D963="V02",cad!$D$36,cad!$E$36)))</f>
        <v/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 t="str">
        <f>IF($A964="","",IF($D964="V01",cad!$C$23,IF($D964="V02",cad!$D$23,cad!$E$23)))</f>
        <v/>
      </c>
      <c r="H964" t="str">
        <f>IF($A964="","",IF($D964="V01",cad!$C$24,IF($D964="V02",cad!$D$24,cad!$E$24)))</f>
        <v/>
      </c>
      <c r="I964" t="str">
        <f>IF($A964="","",IF($D964="V01",cad!$C$32,IF($D964="V02",cad!$D$32,cad!$E$32)))</f>
        <v/>
      </c>
      <c r="J964" t="str">
        <f>IF($A964="","",IF($D964="V01",cad!$C$33,IF($D964="V02",cad!$D$33,cad!$E$33)))</f>
        <v/>
      </c>
      <c r="K964" t="str">
        <f>IF($A964="","",IF($D964="V01",cad!$C$34,IF($D964="V02",cad!$D$34,cad!$E$34)))</f>
        <v/>
      </c>
      <c r="L964" t="str">
        <f>IF($A964="","",IF($D964="V01",cad!$C$35,IF($D964="V02",cad!$D$35,cad!$E$35)))</f>
        <v/>
      </c>
      <c r="M964" t="str">
        <f>IF($A964="","",IF($D964="V01",cad!$C$36,IF($D964="V02",cad!$D$36,cad!$E$36)))</f>
        <v/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 t="str">
        <f>IF($A965="","",IF($D965="V01",cad!$C$23,IF($D965="V02",cad!$D$23,cad!$E$23)))</f>
        <v/>
      </c>
      <c r="H965" t="str">
        <f>IF($A965="","",IF($D965="V01",cad!$C$24,IF($D965="V02",cad!$D$24,cad!$E$24)))</f>
        <v/>
      </c>
      <c r="I965" t="str">
        <f>IF($A965="","",IF($D965="V01",cad!$C$32,IF($D965="V02",cad!$D$32,cad!$E$32)))</f>
        <v/>
      </c>
      <c r="J965" t="str">
        <f>IF($A965="","",IF($D965="V01",cad!$C$33,IF($D965="V02",cad!$D$33,cad!$E$33)))</f>
        <v/>
      </c>
      <c r="K965" t="str">
        <f>IF($A965="","",IF($D965="V01",cad!$C$34,IF($D965="V02",cad!$D$34,cad!$E$34)))</f>
        <v/>
      </c>
      <c r="L965" t="str">
        <f>IF($A965="","",IF($D965="V01",cad!$C$35,IF($D965="V02",cad!$D$35,cad!$E$35)))</f>
        <v/>
      </c>
      <c r="M965" t="str">
        <f>IF($A965="","",IF($D965="V01",cad!$C$36,IF($D965="V02",cad!$D$36,cad!$E$36)))</f>
        <v/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 t="str">
        <f>IF($A966="","",IF($D966="V01",cad!$C$23,IF($D966="V02",cad!$D$23,cad!$E$23)))</f>
        <v/>
      </c>
      <c r="H966" t="str">
        <f>IF($A966="","",IF($D966="V01",cad!$C$24,IF($D966="V02",cad!$D$24,cad!$E$24)))</f>
        <v/>
      </c>
      <c r="I966" t="str">
        <f>IF($A966="","",IF($D966="V01",cad!$C$32,IF($D966="V02",cad!$D$32,cad!$E$32)))</f>
        <v/>
      </c>
      <c r="J966" t="str">
        <f>IF($A966="","",IF($D966="V01",cad!$C$33,IF($D966="V02",cad!$D$33,cad!$E$33)))</f>
        <v/>
      </c>
      <c r="K966" t="str">
        <f>IF($A966="","",IF($D966="V01",cad!$C$34,IF($D966="V02",cad!$D$34,cad!$E$34)))</f>
        <v/>
      </c>
      <c r="L966" t="str">
        <f>IF($A966="","",IF($D966="V01",cad!$C$35,IF($D966="V02",cad!$D$35,cad!$E$35)))</f>
        <v/>
      </c>
      <c r="M966" t="str">
        <f>IF($A966="","",IF($D966="V01",cad!$C$36,IF($D966="V02",cad!$D$36,cad!$E$36)))</f>
        <v/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 t="str">
        <f>IF($A967="","",IF($D967="V01",cad!$C$23,IF($D967="V02",cad!$D$23,cad!$E$23)))</f>
        <v/>
      </c>
      <c r="H967" t="str">
        <f>IF($A967="","",IF($D967="V01",cad!$C$24,IF($D967="V02",cad!$D$24,cad!$E$24)))</f>
        <v/>
      </c>
      <c r="I967" t="str">
        <f>IF($A967="","",IF($D967="V01",cad!$C$32,IF($D967="V02",cad!$D$32,cad!$E$32)))</f>
        <v/>
      </c>
      <c r="J967" t="str">
        <f>IF($A967="","",IF($D967="V01",cad!$C$33,IF($D967="V02",cad!$D$33,cad!$E$33)))</f>
        <v/>
      </c>
      <c r="K967" t="str">
        <f>IF($A967="","",IF($D967="V01",cad!$C$34,IF($D967="V02",cad!$D$34,cad!$E$34)))</f>
        <v/>
      </c>
      <c r="L967" t="str">
        <f>IF($A967="","",IF($D967="V01",cad!$C$35,IF($D967="V02",cad!$D$35,cad!$E$35)))</f>
        <v/>
      </c>
      <c r="M967" t="str">
        <f>IF($A967="","",IF($D967="V01",cad!$C$36,IF($D967="V02",cad!$D$36,cad!$E$36)))</f>
        <v/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 t="str">
        <f>IF($A968="","",IF($D968="V01",cad!$C$23,IF($D968="V02",cad!$D$23,cad!$E$23)))</f>
        <v/>
      </c>
      <c r="H968" t="str">
        <f>IF($A968="","",IF($D968="V01",cad!$C$24,IF($D968="V02",cad!$D$24,cad!$E$24)))</f>
        <v/>
      </c>
      <c r="I968" t="str">
        <f>IF($A968="","",IF($D968="V01",cad!$C$32,IF($D968="V02",cad!$D$32,cad!$E$32)))</f>
        <v/>
      </c>
      <c r="J968" t="str">
        <f>IF($A968="","",IF($D968="V01",cad!$C$33,IF($D968="V02",cad!$D$33,cad!$E$33)))</f>
        <v/>
      </c>
      <c r="K968" t="str">
        <f>IF($A968="","",IF($D968="V01",cad!$C$34,IF($D968="V02",cad!$D$34,cad!$E$34)))</f>
        <v/>
      </c>
      <c r="L968" t="str">
        <f>IF($A968="","",IF($D968="V01",cad!$C$35,IF($D968="V02",cad!$D$35,cad!$E$35)))</f>
        <v/>
      </c>
      <c r="M968" t="str">
        <f>IF($A968="","",IF($D968="V01",cad!$C$36,IF($D968="V02",cad!$D$36,cad!$E$36)))</f>
        <v/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 t="str">
        <f>IF($A969="","",IF($D969="V01",cad!$C$23,IF($D969="V02",cad!$D$23,cad!$E$23)))</f>
        <v/>
      </c>
      <c r="H969" t="str">
        <f>IF($A969="","",IF($D969="V01",cad!$C$24,IF($D969="V02",cad!$D$24,cad!$E$24)))</f>
        <v/>
      </c>
      <c r="I969" t="str">
        <f>IF($A969="","",IF($D969="V01",cad!$C$32,IF($D969="V02",cad!$D$32,cad!$E$32)))</f>
        <v/>
      </c>
      <c r="J969" t="str">
        <f>IF($A969="","",IF($D969="V01",cad!$C$33,IF($D969="V02",cad!$D$33,cad!$E$33)))</f>
        <v/>
      </c>
      <c r="K969" t="str">
        <f>IF($A969="","",IF($D969="V01",cad!$C$34,IF($D969="V02",cad!$D$34,cad!$E$34)))</f>
        <v/>
      </c>
      <c r="L969" t="str">
        <f>IF($A969="","",IF($D969="V01",cad!$C$35,IF($D969="V02",cad!$D$35,cad!$E$35)))</f>
        <v/>
      </c>
      <c r="M969" t="str">
        <f>IF($A969="","",IF($D969="V01",cad!$C$36,IF($D969="V02",cad!$D$36,cad!$E$36)))</f>
        <v/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 t="str">
        <f>IF($A970="","",IF($D970="V01",cad!$C$23,IF($D970="V02",cad!$D$23,cad!$E$23)))</f>
        <v/>
      </c>
      <c r="H970" t="str">
        <f>IF($A970="","",IF($D970="V01",cad!$C$24,IF($D970="V02",cad!$D$24,cad!$E$24)))</f>
        <v/>
      </c>
      <c r="I970" t="str">
        <f>IF($A970="","",IF($D970="V01",cad!$C$32,IF($D970="V02",cad!$D$32,cad!$E$32)))</f>
        <v/>
      </c>
      <c r="J970" t="str">
        <f>IF($A970="","",IF($D970="V01",cad!$C$33,IF($D970="V02",cad!$D$33,cad!$E$33)))</f>
        <v/>
      </c>
      <c r="K970" t="str">
        <f>IF($A970="","",IF($D970="V01",cad!$C$34,IF($D970="V02",cad!$D$34,cad!$E$34)))</f>
        <v/>
      </c>
      <c r="L970" t="str">
        <f>IF($A970="","",IF($D970="V01",cad!$C$35,IF($D970="V02",cad!$D$35,cad!$E$35)))</f>
        <v/>
      </c>
      <c r="M970" t="str">
        <f>IF($A970="","",IF($D970="V01",cad!$C$36,IF($D970="V02",cad!$D$36,cad!$E$36)))</f>
        <v/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 t="str">
        <f>IF($A971="","",IF($D971="V01",cad!$C$23,IF($D971="V02",cad!$D$23,cad!$E$23)))</f>
        <v/>
      </c>
      <c r="H971" t="str">
        <f>IF($A971="","",IF($D971="V01",cad!$C$24,IF($D971="V02",cad!$D$24,cad!$E$24)))</f>
        <v/>
      </c>
      <c r="I971" t="str">
        <f>IF($A971="","",IF($D971="V01",cad!$C$32,IF($D971="V02",cad!$D$32,cad!$E$32)))</f>
        <v/>
      </c>
      <c r="J971" t="str">
        <f>IF($A971="","",IF($D971="V01",cad!$C$33,IF($D971="V02",cad!$D$33,cad!$E$33)))</f>
        <v/>
      </c>
      <c r="K971" t="str">
        <f>IF($A971="","",IF($D971="V01",cad!$C$34,IF($D971="V02",cad!$D$34,cad!$E$34)))</f>
        <v/>
      </c>
      <c r="L971" t="str">
        <f>IF($A971="","",IF($D971="V01",cad!$C$35,IF($D971="V02",cad!$D$35,cad!$E$35)))</f>
        <v/>
      </c>
      <c r="M971" t="str">
        <f>IF($A971="","",IF($D971="V01",cad!$C$36,IF($D971="V02",cad!$D$36,cad!$E$36)))</f>
        <v/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 t="str">
        <f>IF($A972="","",IF($D972="V01",cad!$C$23,IF($D972="V02",cad!$D$23,cad!$E$23)))</f>
        <v/>
      </c>
      <c r="H972" t="str">
        <f>IF($A972="","",IF($D972="V01",cad!$C$24,IF($D972="V02",cad!$D$24,cad!$E$24)))</f>
        <v/>
      </c>
      <c r="I972" t="str">
        <f>IF($A972="","",IF($D972="V01",cad!$C$32,IF($D972="V02",cad!$D$32,cad!$E$32)))</f>
        <v/>
      </c>
      <c r="J972" t="str">
        <f>IF($A972="","",IF($D972="V01",cad!$C$33,IF($D972="V02",cad!$D$33,cad!$E$33)))</f>
        <v/>
      </c>
      <c r="K972" t="str">
        <f>IF($A972="","",IF($D972="V01",cad!$C$34,IF($D972="V02",cad!$D$34,cad!$E$34)))</f>
        <v/>
      </c>
      <c r="L972" t="str">
        <f>IF($A972="","",IF($D972="V01",cad!$C$35,IF($D972="V02",cad!$D$35,cad!$E$35)))</f>
        <v/>
      </c>
      <c r="M972" t="str">
        <f>IF($A972="","",IF($D972="V01",cad!$C$36,IF($D972="V02",cad!$D$36,cad!$E$36)))</f>
        <v/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 t="str">
        <f>IF($A973="","",IF($D973="V01",cad!$C$23,IF($D973="V02",cad!$D$23,cad!$E$23)))</f>
        <v/>
      </c>
      <c r="H973" t="str">
        <f>IF($A973="","",IF($D973="V01",cad!$C$24,IF($D973="V02",cad!$D$24,cad!$E$24)))</f>
        <v/>
      </c>
      <c r="I973" t="str">
        <f>IF($A973="","",IF($D973="V01",cad!$C$32,IF($D973="V02",cad!$D$32,cad!$E$32)))</f>
        <v/>
      </c>
      <c r="J973" t="str">
        <f>IF($A973="","",IF($D973="V01",cad!$C$33,IF($D973="V02",cad!$D$33,cad!$E$33)))</f>
        <v/>
      </c>
      <c r="K973" t="str">
        <f>IF($A973="","",IF($D973="V01",cad!$C$34,IF($D973="V02",cad!$D$34,cad!$E$34)))</f>
        <v/>
      </c>
      <c r="L973" t="str">
        <f>IF($A973="","",IF($D973="V01",cad!$C$35,IF($D973="V02",cad!$D$35,cad!$E$35)))</f>
        <v/>
      </c>
      <c r="M973" t="str">
        <f>IF($A973="","",IF($D973="V01",cad!$C$36,IF($D973="V02",cad!$D$36,cad!$E$36)))</f>
        <v/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 t="str">
        <f>IF($A974="","",IF($D974="V01",cad!$C$23,IF($D974="V02",cad!$D$23,cad!$E$23)))</f>
        <v/>
      </c>
      <c r="H974" t="str">
        <f>IF($A974="","",IF($D974="V01",cad!$C$24,IF($D974="V02",cad!$D$24,cad!$E$24)))</f>
        <v/>
      </c>
      <c r="I974" t="str">
        <f>IF($A974="","",IF($D974="V01",cad!$C$32,IF($D974="V02",cad!$D$32,cad!$E$32)))</f>
        <v/>
      </c>
      <c r="J974" t="str">
        <f>IF($A974="","",IF($D974="V01",cad!$C$33,IF($D974="V02",cad!$D$33,cad!$E$33)))</f>
        <v/>
      </c>
      <c r="K974" t="str">
        <f>IF($A974="","",IF($D974="V01",cad!$C$34,IF($D974="V02",cad!$D$34,cad!$E$34)))</f>
        <v/>
      </c>
      <c r="L974" t="str">
        <f>IF($A974="","",IF($D974="V01",cad!$C$35,IF($D974="V02",cad!$D$35,cad!$E$35)))</f>
        <v/>
      </c>
      <c r="M974" t="str">
        <f>IF($A974="","",IF($D974="V01",cad!$C$36,IF($D974="V02",cad!$D$36,cad!$E$36)))</f>
        <v/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 t="str">
        <f>IF($A975="","",IF($D975="V01",cad!$C$23,IF($D975="V02",cad!$D$23,cad!$E$23)))</f>
        <v/>
      </c>
      <c r="H975" t="str">
        <f>IF($A975="","",IF($D975="V01",cad!$C$24,IF($D975="V02",cad!$D$24,cad!$E$24)))</f>
        <v/>
      </c>
      <c r="I975" t="str">
        <f>IF($A975="","",IF($D975="V01",cad!$C$32,IF($D975="V02",cad!$D$32,cad!$E$32)))</f>
        <v/>
      </c>
      <c r="J975" t="str">
        <f>IF($A975="","",IF($D975="V01",cad!$C$33,IF($D975="V02",cad!$D$33,cad!$E$33)))</f>
        <v/>
      </c>
      <c r="K975" t="str">
        <f>IF($A975="","",IF($D975="V01",cad!$C$34,IF($D975="V02",cad!$D$34,cad!$E$34)))</f>
        <v/>
      </c>
      <c r="L975" t="str">
        <f>IF($A975="","",IF($D975="V01",cad!$C$35,IF($D975="V02",cad!$D$35,cad!$E$35)))</f>
        <v/>
      </c>
      <c r="M975" t="str">
        <f>IF($A975="","",IF($D975="V01",cad!$C$36,IF($D975="V02",cad!$D$36,cad!$E$36)))</f>
        <v/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 t="str">
        <f>IF($A976="","",IF($D976="V01",cad!$C$23,IF($D976="V02",cad!$D$23,cad!$E$23)))</f>
        <v/>
      </c>
      <c r="H976" t="str">
        <f>IF($A976="","",IF($D976="V01",cad!$C$24,IF($D976="V02",cad!$D$24,cad!$E$24)))</f>
        <v/>
      </c>
      <c r="I976" t="str">
        <f>IF($A976="","",IF($D976="V01",cad!$C$32,IF($D976="V02",cad!$D$32,cad!$E$32)))</f>
        <v/>
      </c>
      <c r="J976" t="str">
        <f>IF($A976="","",IF($D976="V01",cad!$C$33,IF($D976="V02",cad!$D$33,cad!$E$33)))</f>
        <v/>
      </c>
      <c r="K976" t="str">
        <f>IF($A976="","",IF($D976="V01",cad!$C$34,IF($D976="V02",cad!$D$34,cad!$E$34)))</f>
        <v/>
      </c>
      <c r="L976" t="str">
        <f>IF($A976="","",IF($D976="V01",cad!$C$35,IF($D976="V02",cad!$D$35,cad!$E$35)))</f>
        <v/>
      </c>
      <c r="M976" t="str">
        <f>IF($A976="","",IF($D976="V01",cad!$C$36,IF($D976="V02",cad!$D$36,cad!$E$36)))</f>
        <v/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 t="str">
        <f>IF($A977="","",IF($D977="V01",cad!$C$23,IF($D977="V02",cad!$D$23,cad!$E$23)))</f>
        <v/>
      </c>
      <c r="H977" t="str">
        <f>IF($A977="","",IF($D977="V01",cad!$C$24,IF($D977="V02",cad!$D$24,cad!$E$24)))</f>
        <v/>
      </c>
      <c r="I977" t="str">
        <f>IF($A977="","",IF($D977="V01",cad!$C$32,IF($D977="V02",cad!$D$32,cad!$E$32)))</f>
        <v/>
      </c>
      <c r="J977" t="str">
        <f>IF($A977="","",IF($D977="V01",cad!$C$33,IF($D977="V02",cad!$D$33,cad!$E$33)))</f>
        <v/>
      </c>
      <c r="K977" t="str">
        <f>IF($A977="","",IF($D977="V01",cad!$C$34,IF($D977="V02",cad!$D$34,cad!$E$34)))</f>
        <v/>
      </c>
      <c r="L977" t="str">
        <f>IF($A977="","",IF($D977="V01",cad!$C$35,IF($D977="V02",cad!$D$35,cad!$E$35)))</f>
        <v/>
      </c>
      <c r="M977" t="str">
        <f>IF($A977="","",IF($D977="V01",cad!$C$36,IF($D977="V02",cad!$D$36,cad!$E$36)))</f>
        <v/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 t="str">
        <f>IF($A978="","",IF($D978="V01",cad!$C$23,IF($D978="V02",cad!$D$23,cad!$E$23)))</f>
        <v/>
      </c>
      <c r="H978" t="str">
        <f>IF($A978="","",IF($D978="V01",cad!$C$24,IF($D978="V02",cad!$D$24,cad!$E$24)))</f>
        <v/>
      </c>
      <c r="I978" t="str">
        <f>IF($A978="","",IF($D978="V01",cad!$C$32,IF($D978="V02",cad!$D$32,cad!$E$32)))</f>
        <v/>
      </c>
      <c r="J978" t="str">
        <f>IF($A978="","",IF($D978="V01",cad!$C$33,IF($D978="V02",cad!$D$33,cad!$E$33)))</f>
        <v/>
      </c>
      <c r="K978" t="str">
        <f>IF($A978="","",IF($D978="V01",cad!$C$34,IF($D978="V02",cad!$D$34,cad!$E$34)))</f>
        <v/>
      </c>
      <c r="L978" t="str">
        <f>IF($A978="","",IF($D978="V01",cad!$C$35,IF($D978="V02",cad!$D$35,cad!$E$35)))</f>
        <v/>
      </c>
      <c r="M978" t="str">
        <f>IF($A978="","",IF($D978="V01",cad!$C$36,IF($D978="V02",cad!$D$36,cad!$E$36)))</f>
        <v/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 t="str">
        <f>IF($A979="","",IF($D979="V01",cad!$C$23,IF($D979="V02",cad!$D$23,cad!$E$23)))</f>
        <v/>
      </c>
      <c r="H979" t="str">
        <f>IF($A979="","",IF($D979="V01",cad!$C$24,IF($D979="V02",cad!$D$24,cad!$E$24)))</f>
        <v/>
      </c>
      <c r="I979" t="str">
        <f>IF($A979="","",IF($D979="V01",cad!$C$32,IF($D979="V02",cad!$D$32,cad!$E$32)))</f>
        <v/>
      </c>
      <c r="J979" t="str">
        <f>IF($A979="","",IF($D979="V01",cad!$C$33,IF($D979="V02",cad!$D$33,cad!$E$33)))</f>
        <v/>
      </c>
      <c r="K979" t="str">
        <f>IF($A979="","",IF($D979="V01",cad!$C$34,IF($D979="V02",cad!$D$34,cad!$E$34)))</f>
        <v/>
      </c>
      <c r="L979" t="str">
        <f>IF($A979="","",IF($D979="V01",cad!$C$35,IF($D979="V02",cad!$D$35,cad!$E$35)))</f>
        <v/>
      </c>
      <c r="M979" t="str">
        <f>IF($A979="","",IF($D979="V01",cad!$C$36,IF($D979="V02",cad!$D$36,cad!$E$36)))</f>
        <v/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 t="str">
        <f>IF($A980="","",IF($D980="V01",cad!$C$23,IF($D980="V02",cad!$D$23,cad!$E$23)))</f>
        <v/>
      </c>
      <c r="H980" t="str">
        <f>IF($A980="","",IF($D980="V01",cad!$C$24,IF($D980="V02",cad!$D$24,cad!$E$24)))</f>
        <v/>
      </c>
      <c r="I980" t="str">
        <f>IF($A980="","",IF($D980="V01",cad!$C$32,IF($D980="V02",cad!$D$32,cad!$E$32)))</f>
        <v/>
      </c>
      <c r="J980" t="str">
        <f>IF($A980="","",IF($D980="V01",cad!$C$33,IF($D980="V02",cad!$D$33,cad!$E$33)))</f>
        <v/>
      </c>
      <c r="K980" t="str">
        <f>IF($A980="","",IF($D980="V01",cad!$C$34,IF($D980="V02",cad!$D$34,cad!$E$34)))</f>
        <v/>
      </c>
      <c r="L980" t="str">
        <f>IF($A980="","",IF($D980="V01",cad!$C$35,IF($D980="V02",cad!$D$35,cad!$E$35)))</f>
        <v/>
      </c>
      <c r="M980" t="str">
        <f>IF($A980="","",IF($D980="V01",cad!$C$36,IF($D980="V02",cad!$D$36,cad!$E$36)))</f>
        <v/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 t="str">
        <f>IF($A981="","",IF($D981="V01",cad!$C$23,IF($D981="V02",cad!$D$23,cad!$E$23)))</f>
        <v/>
      </c>
      <c r="H981" t="str">
        <f>IF($A981="","",IF($D981="V01",cad!$C$24,IF($D981="V02",cad!$D$24,cad!$E$24)))</f>
        <v/>
      </c>
      <c r="I981" t="str">
        <f>IF($A981="","",IF($D981="V01",cad!$C$32,IF($D981="V02",cad!$D$32,cad!$E$32)))</f>
        <v/>
      </c>
      <c r="J981" t="str">
        <f>IF($A981="","",IF($D981="V01",cad!$C$33,IF($D981="V02",cad!$D$33,cad!$E$33)))</f>
        <v/>
      </c>
      <c r="K981" t="str">
        <f>IF($A981="","",IF($D981="V01",cad!$C$34,IF($D981="V02",cad!$D$34,cad!$E$34)))</f>
        <v/>
      </c>
      <c r="L981" t="str">
        <f>IF($A981="","",IF($D981="V01",cad!$C$35,IF($D981="V02",cad!$D$35,cad!$E$35)))</f>
        <v/>
      </c>
      <c r="M981" t="str">
        <f>IF($A981="","",IF($D981="V01",cad!$C$36,IF($D981="V02",cad!$D$36,cad!$E$36)))</f>
        <v/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 t="str">
        <f>IF($A982="","",IF($D982="V01",cad!$C$23,IF($D982="V02",cad!$D$23,cad!$E$23)))</f>
        <v/>
      </c>
      <c r="H982" t="str">
        <f>IF($A982="","",IF($D982="V01",cad!$C$24,IF($D982="V02",cad!$D$24,cad!$E$24)))</f>
        <v/>
      </c>
      <c r="I982" t="str">
        <f>IF($A982="","",IF($D982="V01",cad!$C$32,IF($D982="V02",cad!$D$32,cad!$E$32)))</f>
        <v/>
      </c>
      <c r="J982" t="str">
        <f>IF($A982="","",IF($D982="V01",cad!$C$33,IF($D982="V02",cad!$D$33,cad!$E$33)))</f>
        <v/>
      </c>
      <c r="K982" t="str">
        <f>IF($A982="","",IF($D982="V01",cad!$C$34,IF($D982="V02",cad!$D$34,cad!$E$34)))</f>
        <v/>
      </c>
      <c r="L982" t="str">
        <f>IF($A982="","",IF($D982="V01",cad!$C$35,IF($D982="V02",cad!$D$35,cad!$E$35)))</f>
        <v/>
      </c>
      <c r="M982" t="str">
        <f>IF($A982="","",IF($D982="V01",cad!$C$36,IF($D982="V02",cad!$D$36,cad!$E$36)))</f>
        <v/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 t="str">
        <f>IF($A983="","",IF($D983="V01",cad!$C$23,IF($D983="V02",cad!$D$23,cad!$E$23)))</f>
        <v/>
      </c>
      <c r="H983" t="str">
        <f>IF($A983="","",IF($D983="V01",cad!$C$24,IF($D983="V02",cad!$D$24,cad!$E$24)))</f>
        <v/>
      </c>
      <c r="I983" t="str">
        <f>IF($A983="","",IF($D983="V01",cad!$C$32,IF($D983="V02",cad!$D$32,cad!$E$32)))</f>
        <v/>
      </c>
      <c r="J983" t="str">
        <f>IF($A983="","",IF($D983="V01",cad!$C$33,IF($D983="V02",cad!$D$33,cad!$E$33)))</f>
        <v/>
      </c>
      <c r="K983" t="str">
        <f>IF($A983="","",IF($D983="V01",cad!$C$34,IF($D983="V02",cad!$D$34,cad!$E$34)))</f>
        <v/>
      </c>
      <c r="L983" t="str">
        <f>IF($A983="","",IF($D983="V01",cad!$C$35,IF($D983="V02",cad!$D$35,cad!$E$35)))</f>
        <v/>
      </c>
      <c r="M983" t="str">
        <f>IF($A983="","",IF($D983="V01",cad!$C$36,IF($D983="V02",cad!$D$36,cad!$E$36)))</f>
        <v/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 t="str">
        <f>IF($A984="","",IF($D984="V01",cad!$C$23,IF($D984="V02",cad!$D$23,cad!$E$23)))</f>
        <v/>
      </c>
      <c r="H984" t="str">
        <f>IF($A984="","",IF($D984="V01",cad!$C$24,IF($D984="V02",cad!$D$24,cad!$E$24)))</f>
        <v/>
      </c>
      <c r="I984" t="str">
        <f>IF($A984="","",IF($D984="V01",cad!$C$32,IF($D984="V02",cad!$D$32,cad!$E$32)))</f>
        <v/>
      </c>
      <c r="J984" t="str">
        <f>IF($A984="","",IF($D984="V01",cad!$C$33,IF($D984="V02",cad!$D$33,cad!$E$33)))</f>
        <v/>
      </c>
      <c r="K984" t="str">
        <f>IF($A984="","",IF($D984="V01",cad!$C$34,IF($D984="V02",cad!$D$34,cad!$E$34)))</f>
        <v/>
      </c>
      <c r="L984" t="str">
        <f>IF($A984="","",IF($D984="V01",cad!$C$35,IF($D984="V02",cad!$D$35,cad!$E$35)))</f>
        <v/>
      </c>
      <c r="M984" t="str">
        <f>IF($A984="","",IF($D984="V01",cad!$C$36,IF($D984="V02",cad!$D$36,cad!$E$36)))</f>
        <v/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 t="str">
        <f>IF($A985="","",IF($D985="V01",cad!$C$23,IF($D985="V02",cad!$D$23,cad!$E$23)))</f>
        <v/>
      </c>
      <c r="H985" t="str">
        <f>IF($A985="","",IF($D985="V01",cad!$C$24,IF($D985="V02",cad!$D$24,cad!$E$24)))</f>
        <v/>
      </c>
      <c r="I985" t="str">
        <f>IF($A985="","",IF($D985="V01",cad!$C$32,IF($D985="V02",cad!$D$32,cad!$E$32)))</f>
        <v/>
      </c>
      <c r="J985" t="str">
        <f>IF($A985="","",IF($D985="V01",cad!$C$33,IF($D985="V02",cad!$D$33,cad!$E$33)))</f>
        <v/>
      </c>
      <c r="K985" t="str">
        <f>IF($A985="","",IF($D985="V01",cad!$C$34,IF($D985="V02",cad!$D$34,cad!$E$34)))</f>
        <v/>
      </c>
      <c r="L985" t="str">
        <f>IF($A985="","",IF($D985="V01",cad!$C$35,IF($D985="V02",cad!$D$35,cad!$E$35)))</f>
        <v/>
      </c>
      <c r="M985" t="str">
        <f>IF($A985="","",IF($D985="V01",cad!$C$36,IF($D985="V02",cad!$D$36,cad!$E$36)))</f>
        <v/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 t="str">
        <f>IF($A986="","",IF($D986="V01",cad!$C$23,IF($D986="V02",cad!$D$23,cad!$E$23)))</f>
        <v/>
      </c>
      <c r="H986" t="str">
        <f>IF($A986="","",IF($D986="V01",cad!$C$24,IF($D986="V02",cad!$D$24,cad!$E$24)))</f>
        <v/>
      </c>
      <c r="I986" t="str">
        <f>IF($A986="","",IF($D986="V01",cad!$C$32,IF($D986="V02",cad!$D$32,cad!$E$32)))</f>
        <v/>
      </c>
      <c r="J986" t="str">
        <f>IF($A986="","",IF($D986="V01",cad!$C$33,IF($D986="V02",cad!$D$33,cad!$E$33)))</f>
        <v/>
      </c>
      <c r="K986" t="str">
        <f>IF($A986="","",IF($D986="V01",cad!$C$34,IF($D986="V02",cad!$D$34,cad!$E$34)))</f>
        <v/>
      </c>
      <c r="L986" t="str">
        <f>IF($A986="","",IF($D986="V01",cad!$C$35,IF($D986="V02",cad!$D$35,cad!$E$35)))</f>
        <v/>
      </c>
      <c r="M986" t="str">
        <f>IF($A986="","",IF($D986="V01",cad!$C$36,IF($D986="V02",cad!$D$36,cad!$E$36)))</f>
        <v/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 t="str">
        <f>IF($A987="","",IF($D987="V01",cad!$C$23,IF($D987="V02",cad!$D$23,cad!$E$23)))</f>
        <v/>
      </c>
      <c r="H987" t="str">
        <f>IF($A987="","",IF($D987="V01",cad!$C$24,IF($D987="V02",cad!$D$24,cad!$E$24)))</f>
        <v/>
      </c>
      <c r="I987" t="str">
        <f>IF($A987="","",IF($D987="V01",cad!$C$32,IF($D987="V02",cad!$D$32,cad!$E$32)))</f>
        <v/>
      </c>
      <c r="J987" t="str">
        <f>IF($A987="","",IF($D987="V01",cad!$C$33,IF($D987="V02",cad!$D$33,cad!$E$33)))</f>
        <v/>
      </c>
      <c r="K987" t="str">
        <f>IF($A987="","",IF($D987="V01",cad!$C$34,IF($D987="V02",cad!$D$34,cad!$E$34)))</f>
        <v/>
      </c>
      <c r="L987" t="str">
        <f>IF($A987="","",IF($D987="V01",cad!$C$35,IF($D987="V02",cad!$D$35,cad!$E$35)))</f>
        <v/>
      </c>
      <c r="M987" t="str">
        <f>IF($A987="","",IF($D987="V01",cad!$C$36,IF($D987="V02",cad!$D$36,cad!$E$36)))</f>
        <v/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 t="str">
        <f>IF($A988="","",IF($D988="V01",cad!$C$23,IF($D988="V02",cad!$D$23,cad!$E$23)))</f>
        <v/>
      </c>
      <c r="H988" t="str">
        <f>IF($A988="","",IF($D988="V01",cad!$C$24,IF($D988="V02",cad!$D$24,cad!$E$24)))</f>
        <v/>
      </c>
      <c r="I988" t="str">
        <f>IF($A988="","",IF($D988="V01",cad!$C$32,IF($D988="V02",cad!$D$32,cad!$E$32)))</f>
        <v/>
      </c>
      <c r="J988" t="str">
        <f>IF($A988="","",IF($D988="V01",cad!$C$33,IF($D988="V02",cad!$D$33,cad!$E$33)))</f>
        <v/>
      </c>
      <c r="K988" t="str">
        <f>IF($A988="","",IF($D988="V01",cad!$C$34,IF($D988="V02",cad!$D$34,cad!$E$34)))</f>
        <v/>
      </c>
      <c r="L988" t="str">
        <f>IF($A988="","",IF($D988="V01",cad!$C$35,IF($D988="V02",cad!$D$35,cad!$E$35)))</f>
        <v/>
      </c>
      <c r="M988" t="str">
        <f>IF($A988="","",IF($D988="V01",cad!$C$36,IF($D988="V02",cad!$D$36,cad!$E$36)))</f>
        <v/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 t="str">
        <f>IF($A989="","",IF($D989="V01",cad!$C$23,IF($D989="V02",cad!$D$23,cad!$E$23)))</f>
        <v/>
      </c>
      <c r="H989" t="str">
        <f>IF($A989="","",IF($D989="V01",cad!$C$24,IF($D989="V02",cad!$D$24,cad!$E$24)))</f>
        <v/>
      </c>
      <c r="I989" t="str">
        <f>IF($A989="","",IF($D989="V01",cad!$C$32,IF($D989="V02",cad!$D$32,cad!$E$32)))</f>
        <v/>
      </c>
      <c r="J989" t="str">
        <f>IF($A989="","",IF($D989="V01",cad!$C$33,IF($D989="V02",cad!$D$33,cad!$E$33)))</f>
        <v/>
      </c>
      <c r="K989" t="str">
        <f>IF($A989="","",IF($D989="V01",cad!$C$34,IF($D989="V02",cad!$D$34,cad!$E$34)))</f>
        <v/>
      </c>
      <c r="L989" t="str">
        <f>IF($A989="","",IF($D989="V01",cad!$C$35,IF($D989="V02",cad!$D$35,cad!$E$35)))</f>
        <v/>
      </c>
      <c r="M989" t="str">
        <f>IF($A989="","",IF($D989="V01",cad!$C$36,IF($D989="V02",cad!$D$36,cad!$E$36)))</f>
        <v/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 t="str">
        <f>IF($A990="","",IF($D990="V01",cad!$C$23,IF($D990="V02",cad!$D$23,cad!$E$23)))</f>
        <v/>
      </c>
      <c r="H990" t="str">
        <f>IF($A990="","",IF($D990="V01",cad!$C$24,IF($D990="V02",cad!$D$24,cad!$E$24)))</f>
        <v/>
      </c>
      <c r="I990" t="str">
        <f>IF($A990="","",IF($D990="V01",cad!$C$32,IF($D990="V02",cad!$D$32,cad!$E$32)))</f>
        <v/>
      </c>
      <c r="J990" t="str">
        <f>IF($A990="","",IF($D990="V01",cad!$C$33,IF($D990="V02",cad!$D$33,cad!$E$33)))</f>
        <v/>
      </c>
      <c r="K990" t="str">
        <f>IF($A990="","",IF($D990="V01",cad!$C$34,IF($D990="V02",cad!$D$34,cad!$E$34)))</f>
        <v/>
      </c>
      <c r="L990" t="str">
        <f>IF($A990="","",IF($D990="V01",cad!$C$35,IF($D990="V02",cad!$D$35,cad!$E$35)))</f>
        <v/>
      </c>
      <c r="M990" t="str">
        <f>IF($A990="","",IF($D990="V01",cad!$C$36,IF($D990="V02",cad!$D$36,cad!$E$36)))</f>
        <v/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 t="str">
        <f>IF($A991="","",IF($D991="V01",cad!$C$23,IF($D991="V02",cad!$D$23,cad!$E$23)))</f>
        <v/>
      </c>
      <c r="H991" t="str">
        <f>IF($A991="","",IF($D991="V01",cad!$C$24,IF($D991="V02",cad!$D$24,cad!$E$24)))</f>
        <v/>
      </c>
      <c r="I991" t="str">
        <f>IF($A991="","",IF($D991="V01",cad!$C$32,IF($D991="V02",cad!$D$32,cad!$E$32)))</f>
        <v/>
      </c>
      <c r="J991" t="str">
        <f>IF($A991="","",IF($D991="V01",cad!$C$33,IF($D991="V02",cad!$D$33,cad!$E$33)))</f>
        <v/>
      </c>
      <c r="K991" t="str">
        <f>IF($A991="","",IF($D991="V01",cad!$C$34,IF($D991="V02",cad!$D$34,cad!$E$34)))</f>
        <v/>
      </c>
      <c r="L991" t="str">
        <f>IF($A991="","",IF($D991="V01",cad!$C$35,IF($D991="V02",cad!$D$35,cad!$E$35)))</f>
        <v/>
      </c>
      <c r="M991" t="str">
        <f>IF($A991="","",IF($D991="V01",cad!$C$36,IF($D991="V02",cad!$D$36,cad!$E$36)))</f>
        <v/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 t="str">
        <f>IF($A992="","",IF($D992="V01",cad!$C$23,IF($D992="V02",cad!$D$23,cad!$E$23)))</f>
        <v/>
      </c>
      <c r="H992" t="str">
        <f>IF($A992="","",IF($D992="V01",cad!$C$24,IF($D992="V02",cad!$D$24,cad!$E$24)))</f>
        <v/>
      </c>
      <c r="I992" t="str">
        <f>IF($A992="","",IF($D992="V01",cad!$C$32,IF($D992="V02",cad!$D$32,cad!$E$32)))</f>
        <v/>
      </c>
      <c r="J992" t="str">
        <f>IF($A992="","",IF($D992="V01",cad!$C$33,IF($D992="V02",cad!$D$33,cad!$E$33)))</f>
        <v/>
      </c>
      <c r="K992" t="str">
        <f>IF($A992="","",IF($D992="V01",cad!$C$34,IF($D992="V02",cad!$D$34,cad!$E$34)))</f>
        <v/>
      </c>
      <c r="L992" t="str">
        <f>IF($A992="","",IF($D992="V01",cad!$C$35,IF($D992="V02",cad!$D$35,cad!$E$35)))</f>
        <v/>
      </c>
      <c r="M992" t="str">
        <f>IF($A992="","",IF($D992="V01",cad!$C$36,IF($D992="V02",cad!$D$36,cad!$E$36)))</f>
        <v/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 t="str">
        <f>IF($A993="","",IF($D993="V01",cad!$C$23,IF($D993="V02",cad!$D$23,cad!$E$23)))</f>
        <v/>
      </c>
      <c r="H993" t="str">
        <f>IF($A993="","",IF($D993="V01",cad!$C$24,IF($D993="V02",cad!$D$24,cad!$E$24)))</f>
        <v/>
      </c>
      <c r="I993" t="str">
        <f>IF($A993="","",IF($D993="V01",cad!$C$32,IF($D993="V02",cad!$D$32,cad!$E$32)))</f>
        <v/>
      </c>
      <c r="J993" t="str">
        <f>IF($A993="","",IF($D993="V01",cad!$C$33,IF($D993="V02",cad!$D$33,cad!$E$33)))</f>
        <v/>
      </c>
      <c r="K993" t="str">
        <f>IF($A993="","",IF($D993="V01",cad!$C$34,IF($D993="V02",cad!$D$34,cad!$E$34)))</f>
        <v/>
      </c>
      <c r="L993" t="str">
        <f>IF($A993="","",IF($D993="V01",cad!$C$35,IF($D993="V02",cad!$D$35,cad!$E$35)))</f>
        <v/>
      </c>
      <c r="M993" t="str">
        <f>IF($A993="","",IF($D993="V01",cad!$C$36,IF($D993="V02",cad!$D$36,cad!$E$36)))</f>
        <v/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 t="str">
        <f>IF($A994="","",IF($D994="V01",cad!$C$23,IF($D994="V02",cad!$D$23,cad!$E$23)))</f>
        <v/>
      </c>
      <c r="H994" t="str">
        <f>IF($A994="","",IF($D994="V01",cad!$C$24,IF($D994="V02",cad!$D$24,cad!$E$24)))</f>
        <v/>
      </c>
      <c r="I994" t="str">
        <f>IF($A994="","",IF($D994="V01",cad!$C$32,IF($D994="V02",cad!$D$32,cad!$E$32)))</f>
        <v/>
      </c>
      <c r="J994" t="str">
        <f>IF($A994="","",IF($D994="V01",cad!$C$33,IF($D994="V02",cad!$D$33,cad!$E$33)))</f>
        <v/>
      </c>
      <c r="K994" t="str">
        <f>IF($A994="","",IF($D994="V01",cad!$C$34,IF($D994="V02",cad!$D$34,cad!$E$34)))</f>
        <v/>
      </c>
      <c r="L994" t="str">
        <f>IF($A994="","",IF($D994="V01",cad!$C$35,IF($D994="V02",cad!$D$35,cad!$E$35)))</f>
        <v/>
      </c>
      <c r="M994" t="str">
        <f>IF($A994="","",IF($D994="V01",cad!$C$36,IF($D994="V02",cad!$D$36,cad!$E$36)))</f>
        <v/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 t="str">
        <f>IF($A995="","",IF($D995="V01",cad!$C$23,IF($D995="V02",cad!$D$23,cad!$E$23)))</f>
        <v/>
      </c>
      <c r="H995" t="str">
        <f>IF($A995="","",IF($D995="V01",cad!$C$24,IF($D995="V02",cad!$D$24,cad!$E$24)))</f>
        <v/>
      </c>
      <c r="I995" t="str">
        <f>IF($A995="","",IF($D995="V01",cad!$C$32,IF($D995="V02",cad!$D$32,cad!$E$32)))</f>
        <v/>
      </c>
      <c r="J995" t="str">
        <f>IF($A995="","",IF($D995="V01",cad!$C$33,IF($D995="V02",cad!$D$33,cad!$E$33)))</f>
        <v/>
      </c>
      <c r="K995" t="str">
        <f>IF($A995="","",IF($D995="V01",cad!$C$34,IF($D995="V02",cad!$D$34,cad!$E$34)))</f>
        <v/>
      </c>
      <c r="L995" t="str">
        <f>IF($A995="","",IF($D995="V01",cad!$C$35,IF($D995="V02",cad!$D$35,cad!$E$35)))</f>
        <v/>
      </c>
      <c r="M995" t="str">
        <f>IF($A995="","",IF($D995="V01",cad!$C$36,IF($D995="V02",cad!$D$36,cad!$E$36)))</f>
        <v/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 t="str">
        <f>IF($A996="","",IF($D996="V01",cad!$C$23,IF($D996="V02",cad!$D$23,cad!$E$23)))</f>
        <v/>
      </c>
      <c r="H996" t="str">
        <f>IF($A996="","",IF($D996="V01",cad!$C$24,IF($D996="V02",cad!$D$24,cad!$E$24)))</f>
        <v/>
      </c>
      <c r="I996" t="str">
        <f>IF($A996="","",IF($D996="V01",cad!$C$32,IF($D996="V02",cad!$D$32,cad!$E$32)))</f>
        <v/>
      </c>
      <c r="J996" t="str">
        <f>IF($A996="","",IF($D996="V01",cad!$C$33,IF($D996="V02",cad!$D$33,cad!$E$33)))</f>
        <v/>
      </c>
      <c r="K996" t="str">
        <f>IF($A996="","",IF($D996="V01",cad!$C$34,IF($D996="V02",cad!$D$34,cad!$E$34)))</f>
        <v/>
      </c>
      <c r="L996" t="str">
        <f>IF($A996="","",IF($D996="V01",cad!$C$35,IF($D996="V02",cad!$D$35,cad!$E$35)))</f>
        <v/>
      </c>
      <c r="M996" t="str">
        <f>IF($A996="","",IF($D996="V01",cad!$C$36,IF($D996="V02",cad!$D$36,cad!$E$36)))</f>
        <v/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 t="str">
        <f>IF($A997="","",IF($D997="V01",cad!$C$23,IF($D997="V02",cad!$D$23,cad!$E$23)))</f>
        <v/>
      </c>
      <c r="H997" t="str">
        <f>IF($A997="","",IF($D997="V01",cad!$C$24,IF($D997="V02",cad!$D$24,cad!$E$24)))</f>
        <v/>
      </c>
      <c r="I997" t="str">
        <f>IF($A997="","",IF($D997="V01",cad!$C$32,IF($D997="V02",cad!$D$32,cad!$E$32)))</f>
        <v/>
      </c>
      <c r="J997" t="str">
        <f>IF($A997="","",IF($D997="V01",cad!$C$33,IF($D997="V02",cad!$D$33,cad!$E$33)))</f>
        <v/>
      </c>
      <c r="K997" t="str">
        <f>IF($A997="","",IF($D997="V01",cad!$C$34,IF($D997="V02",cad!$D$34,cad!$E$34)))</f>
        <v/>
      </c>
      <c r="L997" t="str">
        <f>IF($A997="","",IF($D997="V01",cad!$C$35,IF($D997="V02",cad!$D$35,cad!$E$35)))</f>
        <v/>
      </c>
      <c r="M997" t="str">
        <f>IF($A997="","",IF($D997="V01",cad!$C$36,IF($D997="V02",cad!$D$36,cad!$E$36)))</f>
        <v/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 t="str">
        <f>IF($A998="","",IF($D998="V01",cad!$C$23,IF($D998="V02",cad!$D$23,cad!$E$23)))</f>
        <v/>
      </c>
      <c r="H998" t="str">
        <f>IF($A998="","",IF($D998="V01",cad!$C$24,IF($D998="V02",cad!$D$24,cad!$E$24)))</f>
        <v/>
      </c>
      <c r="I998" t="str">
        <f>IF($A998="","",IF($D998="V01",cad!$C$32,IF($D998="V02",cad!$D$32,cad!$E$32)))</f>
        <v/>
      </c>
      <c r="J998" t="str">
        <f>IF($A998="","",IF($D998="V01",cad!$C$33,IF($D998="V02",cad!$D$33,cad!$E$33)))</f>
        <v/>
      </c>
      <c r="K998" t="str">
        <f>IF($A998="","",IF($D998="V01",cad!$C$34,IF($D998="V02",cad!$D$34,cad!$E$34)))</f>
        <v/>
      </c>
      <c r="L998" t="str">
        <f>IF($A998="","",IF($D998="V01",cad!$C$35,IF($D998="V02",cad!$D$35,cad!$E$35)))</f>
        <v/>
      </c>
      <c r="M998" t="str">
        <f>IF($A998="","",IF($D998="V01",cad!$C$36,IF($D998="V02",cad!$D$36,cad!$E$36)))</f>
        <v/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 t="str">
        <f>IF($A999="","",IF($D999="V01",cad!$C$23,IF($D999="V02",cad!$D$23,cad!$E$23)))</f>
        <v/>
      </c>
      <c r="H999" t="str">
        <f>IF($A999="","",IF($D999="V01",cad!$C$24,IF($D999="V02",cad!$D$24,cad!$E$24)))</f>
        <v/>
      </c>
      <c r="I999" t="str">
        <f>IF($A999="","",IF($D999="V01",cad!$C$32,IF($D999="V02",cad!$D$32,cad!$E$32)))</f>
        <v/>
      </c>
      <c r="J999" t="str">
        <f>IF($A999="","",IF($D999="V01",cad!$C$33,IF($D999="V02",cad!$D$33,cad!$E$33)))</f>
        <v/>
      </c>
      <c r="K999" t="str">
        <f>IF($A999="","",IF($D999="V01",cad!$C$34,IF($D999="V02",cad!$D$34,cad!$E$34)))</f>
        <v/>
      </c>
      <c r="L999" t="str">
        <f>IF($A999="","",IF($D999="V01",cad!$C$35,IF($D999="V02",cad!$D$35,cad!$E$35)))</f>
        <v/>
      </c>
      <c r="M999" t="str">
        <f>IF($A999="","",IF($D999="V01",cad!$C$36,IF($D999="V02",cad!$D$36,cad!$E$36)))</f>
        <v/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 t="str">
        <f>IF($A1000="","",IF($D1000="V01",cad!$C$23,IF($D1000="V02",cad!$D$23,cad!$E$23)))</f>
        <v/>
      </c>
      <c r="H1000" t="str">
        <f>IF($A1000="","",IF($D1000="V01",cad!$C$24,IF($D1000="V02",cad!$D$24,cad!$E$24)))</f>
        <v/>
      </c>
      <c r="I1000" t="str">
        <f>IF($A1000="","",IF($D1000="V01",cad!$C$32,IF($D1000="V02",cad!$D$32,cad!$E$32)))</f>
        <v/>
      </c>
      <c r="J1000" t="str">
        <f>IF($A1000="","",IF($D1000="V01",cad!$C$33,IF($D1000="V02",cad!$D$33,cad!$E$33)))</f>
        <v/>
      </c>
      <c r="K1000" t="str">
        <f>IF($A1000="","",IF($D1000="V01",cad!$C$34,IF($D1000="V02",cad!$D$34,cad!$E$34)))</f>
        <v/>
      </c>
      <c r="L1000" t="str">
        <f>IF($A1000="","",IF($D1000="V01",cad!$C$35,IF($D1000="V02",cad!$D$35,cad!$E$35)))</f>
        <v/>
      </c>
      <c r="M1000" t="str">
        <f>IF($A1000="","",IF($D1000="V01",cad!$C$36,IF($D1000="V02",cad!$D$36,cad!$E$36)))</f>
        <v/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 t="str">
        <f>IF($A1001="","",IF($D1001="V01",cad!$C$23,IF($D1001="V02",cad!$D$23,cad!$E$23)))</f>
        <v/>
      </c>
      <c r="H1001" t="str">
        <f>IF($A1001="","",IF($D1001="V01",cad!$C$24,IF($D1001="V02",cad!$D$24,cad!$E$24)))</f>
        <v/>
      </c>
      <c r="I1001" t="str">
        <f>IF($A1001="","",IF($D1001="V01",cad!$C$32,IF($D1001="V02",cad!$D$32,cad!$E$32)))</f>
        <v/>
      </c>
      <c r="J1001" t="str">
        <f>IF($A1001="","",IF($D1001="V01",cad!$C$33,IF($D1001="V02",cad!$D$33,cad!$E$33)))</f>
        <v/>
      </c>
      <c r="K1001" t="str">
        <f>IF($A1001="","",IF($D1001="V01",cad!$C$34,IF($D1001="V02",cad!$D$34,cad!$E$34)))</f>
        <v/>
      </c>
      <c r="L1001" t="str">
        <f>IF($A1001="","",IF($D1001="V01",cad!$C$35,IF($D1001="V02",cad!$D$35,cad!$E$35)))</f>
        <v/>
      </c>
      <c r="M1001" t="str">
        <f>IF($A1001="","",IF($D1001="V01",cad!$C$36,IF($D1001="V02",cad!$D$36,cad!$E$36)))</f>
        <v/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 t="str">
        <f>IF($A1002="","",IF($D1002="V01",cad!$C$23,IF($D1002="V02",cad!$D$23,cad!$E$23)))</f>
        <v/>
      </c>
      <c r="H1002" t="str">
        <f>IF($A1002="","",IF($D1002="V01",cad!$C$24,IF($D1002="V02",cad!$D$24,cad!$E$24)))</f>
        <v/>
      </c>
      <c r="I1002" t="str">
        <f>IF($A1002="","",IF($D1002="V01",cad!$C$32,IF($D1002="V02",cad!$D$32,cad!$E$32)))</f>
        <v/>
      </c>
      <c r="J1002" t="str">
        <f>IF($A1002="","",IF($D1002="V01",cad!$C$33,IF($D1002="V02",cad!$D$33,cad!$E$33)))</f>
        <v/>
      </c>
      <c r="K1002" t="str">
        <f>IF($A1002="","",IF($D1002="V01",cad!$C$34,IF($D1002="V02",cad!$D$34,cad!$E$34)))</f>
        <v/>
      </c>
      <c r="L1002" t="str">
        <f>IF($A1002="","",IF($D1002="V01",cad!$C$35,IF($D1002="V02",cad!$D$35,cad!$E$35)))</f>
        <v/>
      </c>
      <c r="M1002" t="str">
        <f>IF($A1002="","",IF($D1002="V01",cad!$C$36,IF($D1002="V02",cad!$D$36,cad!$E$36)))</f>
        <v/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 t="str">
        <f>IF($A1003="","",IF($D1003="V01",cad!$C$23,IF($D1003="V02",cad!$D$23,cad!$E$23)))</f>
        <v/>
      </c>
      <c r="H1003" t="str">
        <f>IF($A1003="","",IF($D1003="V01",cad!$C$24,IF($D1003="V02",cad!$D$24,cad!$E$24)))</f>
        <v/>
      </c>
      <c r="I1003" t="str">
        <f>IF($A1003="","",IF($D1003="V01",cad!$C$32,IF($D1003="V02",cad!$D$32,cad!$E$32)))</f>
        <v/>
      </c>
      <c r="J1003" t="str">
        <f>IF($A1003="","",IF($D1003="V01",cad!$C$33,IF($D1003="V02",cad!$D$33,cad!$E$33)))</f>
        <v/>
      </c>
      <c r="K1003" t="str">
        <f>IF($A1003="","",IF($D1003="V01",cad!$C$34,IF($D1003="V02",cad!$D$34,cad!$E$34)))</f>
        <v/>
      </c>
      <c r="L1003" t="str">
        <f>IF($A1003="","",IF($D1003="V01",cad!$C$35,IF($D1003="V02",cad!$D$35,cad!$E$35)))</f>
        <v/>
      </c>
      <c r="M1003" t="str">
        <f>IF($A1003="","",IF($D1003="V01",cad!$C$36,IF($D1003="V02",cad!$D$36,cad!$E$36)))</f>
        <v/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 t="str">
        <f>IF($A1004="","",IF($D1004="V01",cad!$C$23,IF($D1004="V02",cad!$D$23,cad!$E$23)))</f>
        <v/>
      </c>
      <c r="H1004" t="str">
        <f>IF($A1004="","",IF($D1004="V01",cad!$C$24,IF($D1004="V02",cad!$D$24,cad!$E$24)))</f>
        <v/>
      </c>
      <c r="I1004" t="str">
        <f>IF($A1004="","",IF($D1004="V01",cad!$C$32,IF($D1004="V02",cad!$D$32,cad!$E$32)))</f>
        <v/>
      </c>
      <c r="J1004" t="str">
        <f>IF($A1004="","",IF($D1004="V01",cad!$C$33,IF($D1004="V02",cad!$D$33,cad!$E$33)))</f>
        <v/>
      </c>
      <c r="K1004" t="str">
        <f>IF($A1004="","",IF($D1004="V01",cad!$C$34,IF($D1004="V02",cad!$D$34,cad!$E$34)))</f>
        <v/>
      </c>
      <c r="L1004" t="str">
        <f>IF($A1004="","",IF($D1004="V01",cad!$C$35,IF($D1004="V02",cad!$D$35,cad!$E$35)))</f>
        <v/>
      </c>
      <c r="M1004" t="str">
        <f>IF($A1004="","",IF($D1004="V01",cad!$C$36,IF($D1004="V02",cad!$D$36,cad!$E$36)))</f>
        <v/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 t="str">
        <f>IF($A1005="","",IF($D1005="V01",cad!$C$23,IF($D1005="V02",cad!$D$23,cad!$E$23)))</f>
        <v/>
      </c>
      <c r="H1005" t="str">
        <f>IF($A1005="","",IF($D1005="V01",cad!$C$24,IF($D1005="V02",cad!$D$24,cad!$E$24)))</f>
        <v/>
      </c>
      <c r="I1005" t="str">
        <f>IF($A1005="","",IF($D1005="V01",cad!$C$32,IF($D1005="V02",cad!$D$32,cad!$E$32)))</f>
        <v/>
      </c>
      <c r="J1005" t="str">
        <f>IF($A1005="","",IF($D1005="V01",cad!$C$33,IF($D1005="V02",cad!$D$33,cad!$E$33)))</f>
        <v/>
      </c>
      <c r="K1005" t="str">
        <f>IF($A1005="","",IF($D1005="V01",cad!$C$34,IF($D1005="V02",cad!$D$34,cad!$E$34)))</f>
        <v/>
      </c>
      <c r="L1005" t="str">
        <f>IF($A1005="","",IF($D1005="V01",cad!$C$35,IF($D1005="V02",cad!$D$35,cad!$E$35)))</f>
        <v/>
      </c>
      <c r="M1005" t="str">
        <f>IF($A1005="","",IF($D1005="V01",cad!$C$36,IF($D1005="V02",cad!$D$36,cad!$E$36)))</f>
        <v/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 t="str">
        <f>IF($A1006="","",IF($D1006="V01",cad!$C$23,IF($D1006="V02",cad!$D$23,cad!$E$23)))</f>
        <v/>
      </c>
      <c r="H1006" t="str">
        <f>IF($A1006="","",IF($D1006="V01",cad!$C$24,IF($D1006="V02",cad!$D$24,cad!$E$24)))</f>
        <v/>
      </c>
      <c r="I1006" t="str">
        <f>IF($A1006="","",IF($D1006="V01",cad!$C$32,IF($D1006="V02",cad!$D$32,cad!$E$32)))</f>
        <v/>
      </c>
      <c r="J1006" t="str">
        <f>IF($A1006="","",IF($D1006="V01",cad!$C$33,IF($D1006="V02",cad!$D$33,cad!$E$33)))</f>
        <v/>
      </c>
      <c r="K1006" t="str">
        <f>IF($A1006="","",IF($D1006="V01",cad!$C$34,IF($D1006="V02",cad!$D$34,cad!$E$34)))</f>
        <v/>
      </c>
      <c r="L1006" t="str">
        <f>IF($A1006="","",IF($D1006="V01",cad!$C$35,IF($D1006="V02",cad!$D$35,cad!$E$35)))</f>
        <v/>
      </c>
      <c r="M1006" t="str">
        <f>IF($A1006="","",IF($D1006="V01",cad!$C$36,IF($D1006="V02",cad!$D$36,cad!$E$36)))</f>
        <v/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 t="str">
        <f>IF($A1007="","",IF($D1007="V01",cad!$C$23,IF($D1007="V02",cad!$D$23,cad!$E$23)))</f>
        <v/>
      </c>
      <c r="H1007" t="str">
        <f>IF($A1007="","",IF($D1007="V01",cad!$C$24,IF($D1007="V02",cad!$D$24,cad!$E$24)))</f>
        <v/>
      </c>
      <c r="I1007" t="str">
        <f>IF($A1007="","",IF($D1007="V01",cad!$C$32,IF($D1007="V02",cad!$D$32,cad!$E$32)))</f>
        <v/>
      </c>
      <c r="J1007" t="str">
        <f>IF($A1007="","",IF($D1007="V01",cad!$C$33,IF($D1007="V02",cad!$D$33,cad!$E$33)))</f>
        <v/>
      </c>
      <c r="K1007" t="str">
        <f>IF($A1007="","",IF($D1007="V01",cad!$C$34,IF($D1007="V02",cad!$D$34,cad!$E$34)))</f>
        <v/>
      </c>
      <c r="L1007" t="str">
        <f>IF($A1007="","",IF($D1007="V01",cad!$C$35,IF($D1007="V02",cad!$D$35,cad!$E$35)))</f>
        <v/>
      </c>
      <c r="M1007" t="str">
        <f>IF($A1007="","",IF($D1007="V01",cad!$C$36,IF($D1007="V02",cad!$D$36,cad!$E$36)))</f>
        <v/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 t="str">
        <f>IF($A1008="","",IF($D1008="V01",cad!$C$23,IF($D1008="V02",cad!$D$23,cad!$E$23)))</f>
        <v/>
      </c>
      <c r="H1008" t="str">
        <f>IF($A1008="","",IF($D1008="V01",cad!$C$24,IF($D1008="V02",cad!$D$24,cad!$E$24)))</f>
        <v/>
      </c>
      <c r="I1008" t="str">
        <f>IF($A1008="","",IF($D1008="V01",cad!$C$32,IF($D1008="V02",cad!$D$32,cad!$E$32)))</f>
        <v/>
      </c>
      <c r="J1008" t="str">
        <f>IF($A1008="","",IF($D1008="V01",cad!$C$33,IF($D1008="V02",cad!$D$33,cad!$E$33)))</f>
        <v/>
      </c>
      <c r="K1008" t="str">
        <f>IF($A1008="","",IF($D1008="V01",cad!$C$34,IF($D1008="V02",cad!$D$34,cad!$E$34)))</f>
        <v/>
      </c>
      <c r="L1008" t="str">
        <f>IF($A1008="","",IF($D1008="V01",cad!$C$35,IF($D1008="V02",cad!$D$35,cad!$E$35)))</f>
        <v/>
      </c>
      <c r="M1008" t="str">
        <f>IF($A1008="","",IF($D1008="V01",cad!$C$36,IF($D1008="V02",cad!$D$36,cad!$E$36)))</f>
        <v/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 t="str">
        <f>IF($A1009="","",IF($D1009="V01",cad!$C$23,IF($D1009="V02",cad!$D$23,cad!$E$23)))</f>
        <v/>
      </c>
      <c r="H1009" t="str">
        <f>IF($A1009="","",IF($D1009="V01",cad!$C$24,IF($D1009="V02",cad!$D$24,cad!$E$24)))</f>
        <v/>
      </c>
      <c r="I1009" t="str">
        <f>IF($A1009="","",IF($D1009="V01",cad!$C$32,IF($D1009="V02",cad!$D$32,cad!$E$32)))</f>
        <v/>
      </c>
      <c r="J1009" t="str">
        <f>IF($A1009="","",IF($D1009="V01",cad!$C$33,IF($D1009="V02",cad!$D$33,cad!$E$33)))</f>
        <v/>
      </c>
      <c r="K1009" t="str">
        <f>IF($A1009="","",IF($D1009="V01",cad!$C$34,IF($D1009="V02",cad!$D$34,cad!$E$34)))</f>
        <v/>
      </c>
      <c r="L1009" t="str">
        <f>IF($A1009="","",IF($D1009="V01",cad!$C$35,IF($D1009="V02",cad!$D$35,cad!$E$35)))</f>
        <v/>
      </c>
      <c r="M1009" t="str">
        <f>IF($A1009="","",IF($D1009="V01",cad!$C$36,IF($D1009="V02",cad!$D$36,cad!$E$36)))</f>
        <v/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 t="str">
        <f>IF($A1010="","",IF($D1010="V01",cad!$C$23,IF($D1010="V02",cad!$D$23,cad!$E$23)))</f>
        <v/>
      </c>
      <c r="H1010" t="str">
        <f>IF($A1010="","",IF($D1010="V01",cad!$C$24,IF($D1010="V02",cad!$D$24,cad!$E$24)))</f>
        <v/>
      </c>
      <c r="I1010" t="str">
        <f>IF($A1010="","",IF($D1010="V01",cad!$C$32,IF($D1010="V02",cad!$D$32,cad!$E$32)))</f>
        <v/>
      </c>
      <c r="J1010" t="str">
        <f>IF($A1010="","",IF($D1010="V01",cad!$C$33,IF($D1010="V02",cad!$D$33,cad!$E$33)))</f>
        <v/>
      </c>
      <c r="K1010" t="str">
        <f>IF($A1010="","",IF($D1010="V01",cad!$C$34,IF($D1010="V02",cad!$D$34,cad!$E$34)))</f>
        <v/>
      </c>
      <c r="L1010" t="str">
        <f>IF($A1010="","",IF($D1010="V01",cad!$C$35,IF($D1010="V02",cad!$D$35,cad!$E$35)))</f>
        <v/>
      </c>
      <c r="M1010" t="str">
        <f>IF($A1010="","",IF($D1010="V01",cad!$C$36,IF($D1010="V02",cad!$D$36,cad!$E$36)))</f>
        <v/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 t="str">
        <f>IF($A1011="","",IF($D1011="V01",cad!$C$23,IF($D1011="V02",cad!$D$23,cad!$E$23)))</f>
        <v/>
      </c>
      <c r="H1011" t="str">
        <f>IF($A1011="","",IF($D1011="V01",cad!$C$24,IF($D1011="V02",cad!$D$24,cad!$E$24)))</f>
        <v/>
      </c>
      <c r="I1011" t="str">
        <f>IF($A1011="","",IF($D1011="V01",cad!$C$32,IF($D1011="V02",cad!$D$32,cad!$E$32)))</f>
        <v/>
      </c>
      <c r="J1011" t="str">
        <f>IF($A1011="","",IF($D1011="V01",cad!$C$33,IF($D1011="V02",cad!$D$33,cad!$E$33)))</f>
        <v/>
      </c>
      <c r="K1011" t="str">
        <f>IF($A1011="","",IF($D1011="V01",cad!$C$34,IF($D1011="V02",cad!$D$34,cad!$E$34)))</f>
        <v/>
      </c>
      <c r="L1011" t="str">
        <f>IF($A1011="","",IF($D1011="V01",cad!$C$35,IF($D1011="V02",cad!$D$35,cad!$E$35)))</f>
        <v/>
      </c>
      <c r="M1011" t="str">
        <f>IF($A1011="","",IF($D1011="V01",cad!$C$36,IF($D1011="V02",cad!$D$36,cad!$E$36)))</f>
        <v/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 t="str">
        <f>IF($A1012="","",IF($D1012="V01",cad!$C$23,IF($D1012="V02",cad!$D$23,cad!$E$23)))</f>
        <v/>
      </c>
      <c r="H1012" t="str">
        <f>IF($A1012="","",IF($D1012="V01",cad!$C$24,IF($D1012="V02",cad!$D$24,cad!$E$24)))</f>
        <v/>
      </c>
      <c r="I1012" t="str">
        <f>IF($A1012="","",IF($D1012="V01",cad!$C$32,IF($D1012="V02",cad!$D$32,cad!$E$32)))</f>
        <v/>
      </c>
      <c r="J1012" t="str">
        <f>IF($A1012="","",IF($D1012="V01",cad!$C$33,IF($D1012="V02",cad!$D$33,cad!$E$33)))</f>
        <v/>
      </c>
      <c r="K1012" t="str">
        <f>IF($A1012="","",IF($D1012="V01",cad!$C$34,IF($D1012="V02",cad!$D$34,cad!$E$34)))</f>
        <v/>
      </c>
      <c r="L1012" t="str">
        <f>IF($A1012="","",IF($D1012="V01",cad!$C$35,IF($D1012="V02",cad!$D$35,cad!$E$35)))</f>
        <v/>
      </c>
      <c r="M1012" t="str">
        <f>IF($A1012="","",IF($D1012="V01",cad!$C$36,IF($D1012="V02",cad!$D$36,cad!$E$36)))</f>
        <v/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 t="str">
        <f>IF($A1013="","",IF($D1013="V01",cad!$C$23,IF($D1013="V02",cad!$D$23,cad!$E$23)))</f>
        <v/>
      </c>
      <c r="H1013" t="str">
        <f>IF($A1013="","",IF($D1013="V01",cad!$C$24,IF($D1013="V02",cad!$D$24,cad!$E$24)))</f>
        <v/>
      </c>
      <c r="I1013" t="str">
        <f>IF($A1013="","",IF($D1013="V01",cad!$C$32,IF($D1013="V02",cad!$D$32,cad!$E$32)))</f>
        <v/>
      </c>
      <c r="J1013" t="str">
        <f>IF($A1013="","",IF($D1013="V01",cad!$C$33,IF($D1013="V02",cad!$D$33,cad!$E$33)))</f>
        <v/>
      </c>
      <c r="K1013" t="str">
        <f>IF($A1013="","",IF($D1013="V01",cad!$C$34,IF($D1013="V02",cad!$D$34,cad!$E$34)))</f>
        <v/>
      </c>
      <c r="L1013" t="str">
        <f>IF($A1013="","",IF($D1013="V01",cad!$C$35,IF($D1013="V02",cad!$D$35,cad!$E$35)))</f>
        <v/>
      </c>
      <c r="M1013" t="str">
        <f>IF($A1013="","",IF($D1013="V01",cad!$C$36,IF($D1013="V02",cad!$D$36,cad!$E$36)))</f>
        <v/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 t="str">
        <f>IF($A1014="","",IF($D1014="V01",cad!$C$23,IF($D1014="V02",cad!$D$23,cad!$E$23)))</f>
        <v/>
      </c>
      <c r="H1014" t="str">
        <f>IF($A1014="","",IF($D1014="V01",cad!$C$24,IF($D1014="V02",cad!$D$24,cad!$E$24)))</f>
        <v/>
      </c>
      <c r="I1014" t="str">
        <f>IF($A1014="","",IF($D1014="V01",cad!$C$32,IF($D1014="V02",cad!$D$32,cad!$E$32)))</f>
        <v/>
      </c>
      <c r="J1014" t="str">
        <f>IF($A1014="","",IF($D1014="V01",cad!$C$33,IF($D1014="V02",cad!$D$33,cad!$E$33)))</f>
        <v/>
      </c>
      <c r="K1014" t="str">
        <f>IF($A1014="","",IF($D1014="V01",cad!$C$34,IF($D1014="V02",cad!$D$34,cad!$E$34)))</f>
        <v/>
      </c>
      <c r="L1014" t="str">
        <f>IF($A1014="","",IF($D1014="V01",cad!$C$35,IF($D1014="V02",cad!$D$35,cad!$E$35)))</f>
        <v/>
      </c>
      <c r="M1014" t="str">
        <f>IF($A1014="","",IF($D1014="V01",cad!$C$36,IF($D1014="V02",cad!$D$36,cad!$E$36)))</f>
        <v/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 t="str">
        <f>IF($A1015="","",IF($D1015="V01",cad!$C$23,IF($D1015="V02",cad!$D$23,cad!$E$23)))</f>
        <v/>
      </c>
      <c r="H1015" t="str">
        <f>IF($A1015="","",IF($D1015="V01",cad!$C$24,IF($D1015="V02",cad!$D$24,cad!$E$24)))</f>
        <v/>
      </c>
      <c r="I1015" t="str">
        <f>IF($A1015="","",IF($D1015="V01",cad!$C$32,IF($D1015="V02",cad!$D$32,cad!$E$32)))</f>
        <v/>
      </c>
      <c r="J1015" t="str">
        <f>IF($A1015="","",IF($D1015="V01",cad!$C$33,IF($D1015="V02",cad!$D$33,cad!$E$33)))</f>
        <v/>
      </c>
      <c r="K1015" t="str">
        <f>IF($A1015="","",IF($D1015="V01",cad!$C$34,IF($D1015="V02",cad!$D$34,cad!$E$34)))</f>
        <v/>
      </c>
      <c r="L1015" t="str">
        <f>IF($A1015="","",IF($D1015="V01",cad!$C$35,IF($D1015="V02",cad!$D$35,cad!$E$35)))</f>
        <v/>
      </c>
      <c r="M1015" t="str">
        <f>IF($A1015="","",IF($D1015="V01",cad!$C$36,IF($D1015="V02",cad!$D$36,cad!$E$36)))</f>
        <v/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 t="str">
        <f>IF($A1016="","",IF($D1016="V01",cad!$C$23,IF($D1016="V02",cad!$D$23,cad!$E$23)))</f>
        <v/>
      </c>
      <c r="H1016" t="str">
        <f>IF($A1016="","",IF($D1016="V01",cad!$C$24,IF($D1016="V02",cad!$D$24,cad!$E$24)))</f>
        <v/>
      </c>
      <c r="I1016" t="str">
        <f>IF($A1016="","",IF($D1016="V01",cad!$C$32,IF($D1016="V02",cad!$D$32,cad!$E$32)))</f>
        <v/>
      </c>
      <c r="J1016" t="str">
        <f>IF($A1016="","",IF($D1016="V01",cad!$C$33,IF($D1016="V02",cad!$D$33,cad!$E$33)))</f>
        <v/>
      </c>
      <c r="K1016" t="str">
        <f>IF($A1016="","",IF($D1016="V01",cad!$C$34,IF($D1016="V02",cad!$D$34,cad!$E$34)))</f>
        <v/>
      </c>
      <c r="L1016" t="str">
        <f>IF($A1016="","",IF($D1016="V01",cad!$C$35,IF($D1016="V02",cad!$D$35,cad!$E$35)))</f>
        <v/>
      </c>
      <c r="M1016" t="str">
        <f>IF($A1016="","",IF($D1016="V01",cad!$C$36,IF($D1016="V02",cad!$D$36,cad!$E$36)))</f>
        <v/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 t="str">
        <f>IF($A1017="","",IF($D1017="V01",cad!$C$23,IF($D1017="V02",cad!$D$23,cad!$E$23)))</f>
        <v/>
      </c>
      <c r="H1017" t="str">
        <f>IF($A1017="","",IF($D1017="V01",cad!$C$24,IF($D1017="V02",cad!$D$24,cad!$E$24)))</f>
        <v/>
      </c>
      <c r="I1017" t="str">
        <f>IF($A1017="","",IF($D1017="V01",cad!$C$32,IF($D1017="V02",cad!$D$32,cad!$E$32)))</f>
        <v/>
      </c>
      <c r="J1017" t="str">
        <f>IF($A1017="","",IF($D1017="V01",cad!$C$33,IF($D1017="V02",cad!$D$33,cad!$E$33)))</f>
        <v/>
      </c>
      <c r="K1017" t="str">
        <f>IF($A1017="","",IF($D1017="V01",cad!$C$34,IF($D1017="V02",cad!$D$34,cad!$E$34)))</f>
        <v/>
      </c>
      <c r="L1017" t="str">
        <f>IF($A1017="","",IF($D1017="V01",cad!$C$35,IF($D1017="V02",cad!$D$35,cad!$E$35)))</f>
        <v/>
      </c>
      <c r="M1017" t="str">
        <f>IF($A1017="","",IF($D1017="V01",cad!$C$36,IF($D1017="V02",cad!$D$36,cad!$E$36)))</f>
        <v/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 t="str">
        <f>IF($A1018="","",IF($D1018="V01",cad!$C$23,IF($D1018="V02",cad!$D$23,cad!$E$23)))</f>
        <v/>
      </c>
      <c r="H1018" t="str">
        <f>IF($A1018="","",IF($D1018="V01",cad!$C$24,IF($D1018="V02",cad!$D$24,cad!$E$24)))</f>
        <v/>
      </c>
      <c r="I1018" t="str">
        <f>IF($A1018="","",IF($D1018="V01",cad!$C$32,IF($D1018="V02",cad!$D$32,cad!$E$32)))</f>
        <v/>
      </c>
      <c r="J1018" t="str">
        <f>IF($A1018="","",IF($D1018="V01",cad!$C$33,IF($D1018="V02",cad!$D$33,cad!$E$33)))</f>
        <v/>
      </c>
      <c r="K1018" t="str">
        <f>IF($A1018="","",IF($D1018="V01",cad!$C$34,IF($D1018="V02",cad!$D$34,cad!$E$34)))</f>
        <v/>
      </c>
      <c r="L1018" t="str">
        <f>IF($A1018="","",IF($D1018="V01",cad!$C$35,IF($D1018="V02",cad!$D$35,cad!$E$35)))</f>
        <v/>
      </c>
      <c r="M1018" t="str">
        <f>IF($A1018="","",IF($D1018="V01",cad!$C$36,IF($D1018="V02",cad!$D$36,cad!$E$36)))</f>
        <v/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 t="str">
        <f>IF($A1019="","",IF($D1019="V01",cad!$C$23,IF($D1019="V02",cad!$D$23,cad!$E$23)))</f>
        <v/>
      </c>
      <c r="H1019" t="str">
        <f>IF($A1019="","",IF($D1019="V01",cad!$C$24,IF($D1019="V02",cad!$D$24,cad!$E$24)))</f>
        <v/>
      </c>
      <c r="I1019" t="str">
        <f>IF($A1019="","",IF($D1019="V01",cad!$C$32,IF($D1019="V02",cad!$D$32,cad!$E$32)))</f>
        <v/>
      </c>
      <c r="J1019" t="str">
        <f>IF($A1019="","",IF($D1019="V01",cad!$C$33,IF($D1019="V02",cad!$D$33,cad!$E$33)))</f>
        <v/>
      </c>
      <c r="K1019" t="str">
        <f>IF($A1019="","",IF($D1019="V01",cad!$C$34,IF($D1019="V02",cad!$D$34,cad!$E$34)))</f>
        <v/>
      </c>
      <c r="L1019" t="str">
        <f>IF($A1019="","",IF($D1019="V01",cad!$C$35,IF($D1019="V02",cad!$D$35,cad!$E$35)))</f>
        <v/>
      </c>
      <c r="M1019" t="str">
        <f>IF($A1019="","",IF($D1019="V01",cad!$C$36,IF($D1019="V02",cad!$D$36,cad!$E$36)))</f>
        <v/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 t="str">
        <f>IF($A1020="","",IF($D1020="V01",cad!$C$23,IF($D1020="V02",cad!$D$23,cad!$E$23)))</f>
        <v/>
      </c>
      <c r="H1020" t="str">
        <f>IF($A1020="","",IF($D1020="V01",cad!$C$24,IF($D1020="V02",cad!$D$24,cad!$E$24)))</f>
        <v/>
      </c>
      <c r="I1020" t="str">
        <f>IF($A1020="","",IF($D1020="V01",cad!$C$32,IF($D1020="V02",cad!$D$32,cad!$E$32)))</f>
        <v/>
      </c>
      <c r="J1020" t="str">
        <f>IF($A1020="","",IF($D1020="V01",cad!$C$33,IF($D1020="V02",cad!$D$33,cad!$E$33)))</f>
        <v/>
      </c>
      <c r="K1020" t="str">
        <f>IF($A1020="","",IF($D1020="V01",cad!$C$34,IF($D1020="V02",cad!$D$34,cad!$E$34)))</f>
        <v/>
      </c>
      <c r="L1020" t="str">
        <f>IF($A1020="","",IF($D1020="V01",cad!$C$35,IF($D1020="V02",cad!$D$35,cad!$E$35)))</f>
        <v/>
      </c>
      <c r="M1020" t="str">
        <f>IF($A1020="","",IF($D1020="V01",cad!$C$36,IF($D1020="V02",cad!$D$36,cad!$E$36)))</f>
        <v/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 t="str">
        <f>IF($A1021="","",IF($D1021="V01",cad!$C$23,IF($D1021="V02",cad!$D$23,cad!$E$23)))</f>
        <v/>
      </c>
      <c r="H1021" t="str">
        <f>IF($A1021="","",IF($D1021="V01",cad!$C$24,IF($D1021="V02",cad!$D$24,cad!$E$24)))</f>
        <v/>
      </c>
      <c r="I1021" t="str">
        <f>IF($A1021="","",IF($D1021="V01",cad!$C$32,IF($D1021="V02",cad!$D$32,cad!$E$32)))</f>
        <v/>
      </c>
      <c r="J1021" t="str">
        <f>IF($A1021="","",IF($D1021="V01",cad!$C$33,IF($D1021="V02",cad!$D$33,cad!$E$33)))</f>
        <v/>
      </c>
      <c r="K1021" t="str">
        <f>IF($A1021="","",IF($D1021="V01",cad!$C$34,IF($D1021="V02",cad!$D$34,cad!$E$34)))</f>
        <v/>
      </c>
      <c r="L1021" t="str">
        <f>IF($A1021="","",IF($D1021="V01",cad!$C$35,IF($D1021="V02",cad!$D$35,cad!$E$35)))</f>
        <v/>
      </c>
      <c r="M1021" t="str">
        <f>IF($A1021="","",IF($D1021="V01",cad!$C$36,IF($D1021="V02",cad!$D$36,cad!$E$36)))</f>
        <v/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 t="str">
        <f>IF($A1022="","",IF($D1022="V01",cad!$C$23,IF($D1022="V02",cad!$D$23,cad!$E$23)))</f>
        <v/>
      </c>
      <c r="H1022" t="str">
        <f>IF($A1022="","",IF($D1022="V01",cad!$C$24,IF($D1022="V02",cad!$D$24,cad!$E$24)))</f>
        <v/>
      </c>
      <c r="I1022" t="str">
        <f>IF($A1022="","",IF($D1022="V01",cad!$C$32,IF($D1022="V02",cad!$D$32,cad!$E$32)))</f>
        <v/>
      </c>
      <c r="J1022" t="str">
        <f>IF($A1022="","",IF($D1022="V01",cad!$C$33,IF($D1022="V02",cad!$D$33,cad!$E$33)))</f>
        <v/>
      </c>
      <c r="K1022" t="str">
        <f>IF($A1022="","",IF($D1022="V01",cad!$C$34,IF($D1022="V02",cad!$D$34,cad!$E$34)))</f>
        <v/>
      </c>
      <c r="L1022" t="str">
        <f>IF($A1022="","",IF($D1022="V01",cad!$C$35,IF($D1022="V02",cad!$D$35,cad!$E$35)))</f>
        <v/>
      </c>
      <c r="M1022" t="str">
        <f>IF($A1022="","",IF($D1022="V01",cad!$C$36,IF($D1022="V02",cad!$D$36,cad!$E$36)))</f>
        <v/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 t="str">
        <f>IF($A1023="","",IF($D1023="V01",cad!$C$23,IF($D1023="V02",cad!$D$23,cad!$E$23)))</f>
        <v/>
      </c>
      <c r="H1023" t="str">
        <f>IF($A1023="","",IF($D1023="V01",cad!$C$24,IF($D1023="V02",cad!$D$24,cad!$E$24)))</f>
        <v/>
      </c>
      <c r="I1023" t="str">
        <f>IF($A1023="","",IF($D1023="V01",cad!$C$32,IF($D1023="V02",cad!$D$32,cad!$E$32)))</f>
        <v/>
      </c>
      <c r="J1023" t="str">
        <f>IF($A1023="","",IF($D1023="V01",cad!$C$33,IF($D1023="V02",cad!$D$33,cad!$E$33)))</f>
        <v/>
      </c>
      <c r="K1023" t="str">
        <f>IF($A1023="","",IF($D1023="V01",cad!$C$34,IF($D1023="V02",cad!$D$34,cad!$E$34)))</f>
        <v/>
      </c>
      <c r="L1023" t="str">
        <f>IF($A1023="","",IF($D1023="V01",cad!$C$35,IF($D1023="V02",cad!$D$35,cad!$E$35)))</f>
        <v/>
      </c>
      <c r="M1023" t="str">
        <f>IF($A1023="","",IF($D1023="V01",cad!$C$36,IF($D1023="V02",cad!$D$36,cad!$E$36)))</f>
        <v/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 t="str">
        <f>IF($A1024="","",IF($D1024="V01",cad!$C$23,IF($D1024="V02",cad!$D$23,cad!$E$23)))</f>
        <v/>
      </c>
      <c r="H1024" t="str">
        <f>IF($A1024="","",IF($D1024="V01",cad!$C$24,IF($D1024="V02",cad!$D$24,cad!$E$24)))</f>
        <v/>
      </c>
      <c r="I1024" t="str">
        <f>IF($A1024="","",IF($D1024="V01",cad!$C$32,IF($D1024="V02",cad!$D$32,cad!$E$32)))</f>
        <v/>
      </c>
      <c r="J1024" t="str">
        <f>IF($A1024="","",IF($D1024="V01",cad!$C$33,IF($D1024="V02",cad!$D$33,cad!$E$33)))</f>
        <v/>
      </c>
      <c r="K1024" t="str">
        <f>IF($A1024="","",IF($D1024="V01",cad!$C$34,IF($D1024="V02",cad!$D$34,cad!$E$34)))</f>
        <v/>
      </c>
      <c r="L1024" t="str">
        <f>IF($A1024="","",IF($D1024="V01",cad!$C$35,IF($D1024="V02",cad!$D$35,cad!$E$35)))</f>
        <v/>
      </c>
      <c r="M1024" t="str">
        <f>IF($A1024="","",IF($D1024="V01",cad!$C$36,IF($D1024="V02",cad!$D$36,cad!$E$36)))</f>
        <v/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 t="str">
        <f>IF($A1025="","",IF($D1025="V01",cad!$C$23,IF($D1025="V02",cad!$D$23,cad!$E$23)))</f>
        <v/>
      </c>
      <c r="H1025" t="str">
        <f>IF($A1025="","",IF($D1025="V01",cad!$C$24,IF($D1025="V02",cad!$D$24,cad!$E$24)))</f>
        <v/>
      </c>
      <c r="I1025" t="str">
        <f>IF($A1025="","",IF($D1025="V01",cad!$C$32,IF($D1025="V02",cad!$D$32,cad!$E$32)))</f>
        <v/>
      </c>
      <c r="J1025" t="str">
        <f>IF($A1025="","",IF($D1025="V01",cad!$C$33,IF($D1025="V02",cad!$D$33,cad!$E$33)))</f>
        <v/>
      </c>
      <c r="K1025" t="str">
        <f>IF($A1025="","",IF($D1025="V01",cad!$C$34,IF($D1025="V02",cad!$D$34,cad!$E$34)))</f>
        <v/>
      </c>
      <c r="L1025" t="str">
        <f>IF($A1025="","",IF($D1025="V01",cad!$C$35,IF($D1025="V02",cad!$D$35,cad!$E$35)))</f>
        <v/>
      </c>
      <c r="M1025" t="str">
        <f>IF($A1025="","",IF($D1025="V01",cad!$C$36,IF($D1025="V02",cad!$D$36,cad!$E$36)))</f>
        <v/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 t="str">
        <f>IF($A1026="","",IF($D1026="V01",cad!$C$23,IF($D1026="V02",cad!$D$23,cad!$E$23)))</f>
        <v/>
      </c>
      <c r="H1026" t="str">
        <f>IF($A1026="","",IF($D1026="V01",cad!$C$24,IF($D1026="V02",cad!$D$24,cad!$E$24)))</f>
        <v/>
      </c>
      <c r="I1026" t="str">
        <f>IF($A1026="","",IF($D1026="V01",cad!$C$32,IF($D1026="V02",cad!$D$32,cad!$E$32)))</f>
        <v/>
      </c>
      <c r="J1026" t="str">
        <f>IF($A1026="","",IF($D1026="V01",cad!$C$33,IF($D1026="V02",cad!$D$33,cad!$E$33)))</f>
        <v/>
      </c>
      <c r="K1026" t="str">
        <f>IF($A1026="","",IF($D1026="V01",cad!$C$34,IF($D1026="V02",cad!$D$34,cad!$E$34)))</f>
        <v/>
      </c>
      <c r="L1026" t="str">
        <f>IF($A1026="","",IF($D1026="V01",cad!$C$35,IF($D1026="V02",cad!$D$35,cad!$E$35)))</f>
        <v/>
      </c>
      <c r="M1026" t="str">
        <f>IF($A1026="","",IF($D1026="V01",cad!$C$36,IF($D1026="V02",cad!$D$36,cad!$E$36)))</f>
        <v/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 t="str">
        <f>IF($A1027="","",IF($D1027="V01",cad!$C$23,IF($D1027="V02",cad!$D$23,cad!$E$23)))</f>
        <v/>
      </c>
      <c r="H1027" t="str">
        <f>IF($A1027="","",IF($D1027="V01",cad!$C$24,IF($D1027="V02",cad!$D$24,cad!$E$24)))</f>
        <v/>
      </c>
      <c r="I1027" t="str">
        <f>IF($A1027="","",IF($D1027="V01",cad!$C$32,IF($D1027="V02",cad!$D$32,cad!$E$32)))</f>
        <v/>
      </c>
      <c r="J1027" t="str">
        <f>IF($A1027="","",IF($D1027="V01",cad!$C$33,IF($D1027="V02",cad!$D$33,cad!$E$33)))</f>
        <v/>
      </c>
      <c r="K1027" t="str">
        <f>IF($A1027="","",IF($D1027="V01",cad!$C$34,IF($D1027="V02",cad!$D$34,cad!$E$34)))</f>
        <v/>
      </c>
      <c r="L1027" t="str">
        <f>IF($A1027="","",IF($D1027="V01",cad!$C$35,IF($D1027="V02",cad!$D$35,cad!$E$35)))</f>
        <v/>
      </c>
      <c r="M1027" t="str">
        <f>IF($A1027="","",IF($D1027="V01",cad!$C$36,IF($D1027="V02",cad!$D$36,cad!$E$36)))</f>
        <v/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 t="str">
        <f>IF($A1028="","",IF($D1028="V01",cad!$C$23,IF($D1028="V02",cad!$D$23,cad!$E$23)))</f>
        <v/>
      </c>
      <c r="H1028" t="str">
        <f>IF($A1028="","",IF($D1028="V01",cad!$C$24,IF($D1028="V02",cad!$D$24,cad!$E$24)))</f>
        <v/>
      </c>
      <c r="I1028" t="str">
        <f>IF($A1028="","",IF($D1028="V01",cad!$C$32,IF($D1028="V02",cad!$D$32,cad!$E$32)))</f>
        <v/>
      </c>
      <c r="J1028" t="str">
        <f>IF($A1028="","",IF($D1028="V01",cad!$C$33,IF($D1028="V02",cad!$D$33,cad!$E$33)))</f>
        <v/>
      </c>
      <c r="K1028" t="str">
        <f>IF($A1028="","",IF($D1028="V01",cad!$C$34,IF($D1028="V02",cad!$D$34,cad!$E$34)))</f>
        <v/>
      </c>
      <c r="L1028" t="str">
        <f>IF($A1028="","",IF($D1028="V01",cad!$C$35,IF($D1028="V02",cad!$D$35,cad!$E$35)))</f>
        <v/>
      </c>
      <c r="M1028" t="str">
        <f>IF($A1028="","",IF($D1028="V01",cad!$C$36,IF($D1028="V02",cad!$D$36,cad!$E$36)))</f>
        <v/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 t="str">
        <f>IF($A1029="","",IF($D1029="V01",cad!$C$23,IF($D1029="V02",cad!$D$23,cad!$E$23)))</f>
        <v/>
      </c>
      <c r="H1029" t="str">
        <f>IF($A1029="","",IF($D1029="V01",cad!$C$24,IF($D1029="V02",cad!$D$24,cad!$E$24)))</f>
        <v/>
      </c>
      <c r="I1029" t="str">
        <f>IF($A1029="","",IF($D1029="V01",cad!$C$32,IF($D1029="V02",cad!$D$32,cad!$E$32)))</f>
        <v/>
      </c>
      <c r="J1029" t="str">
        <f>IF($A1029="","",IF($D1029="V01",cad!$C$33,IF($D1029="V02",cad!$D$33,cad!$E$33)))</f>
        <v/>
      </c>
      <c r="K1029" t="str">
        <f>IF($A1029="","",IF($D1029="V01",cad!$C$34,IF($D1029="V02",cad!$D$34,cad!$E$34)))</f>
        <v/>
      </c>
      <c r="L1029" t="str">
        <f>IF($A1029="","",IF($D1029="V01",cad!$C$35,IF($D1029="V02",cad!$D$35,cad!$E$35)))</f>
        <v/>
      </c>
      <c r="M1029" t="str">
        <f>IF($A1029="","",IF($D1029="V01",cad!$C$36,IF($D1029="V02",cad!$D$36,cad!$E$36)))</f>
        <v/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 t="str">
        <f>IF($A1030="","",IF($D1030="V01",cad!$C$23,IF($D1030="V02",cad!$D$23,cad!$E$23)))</f>
        <v/>
      </c>
      <c r="H1030" t="str">
        <f>IF($A1030="","",IF($D1030="V01",cad!$C$24,IF($D1030="V02",cad!$D$24,cad!$E$24)))</f>
        <v/>
      </c>
      <c r="I1030" t="str">
        <f>IF($A1030="","",IF($D1030="V01",cad!$C$32,IF($D1030="V02",cad!$D$32,cad!$E$32)))</f>
        <v/>
      </c>
      <c r="J1030" t="str">
        <f>IF($A1030="","",IF($D1030="V01",cad!$C$33,IF($D1030="V02",cad!$D$33,cad!$E$33)))</f>
        <v/>
      </c>
      <c r="K1030" t="str">
        <f>IF($A1030="","",IF($D1030="V01",cad!$C$34,IF($D1030="V02",cad!$D$34,cad!$E$34)))</f>
        <v/>
      </c>
      <c r="L1030" t="str">
        <f>IF($A1030="","",IF($D1030="V01",cad!$C$35,IF($D1030="V02",cad!$D$35,cad!$E$35)))</f>
        <v/>
      </c>
      <c r="M1030" t="str">
        <f>IF($A1030="","",IF($D1030="V01",cad!$C$36,IF($D1030="V02",cad!$D$36,cad!$E$36)))</f>
        <v/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 t="str">
        <f>IF($A1031="","",IF($D1031="V01",cad!$C$23,IF($D1031="V02",cad!$D$23,cad!$E$23)))</f>
        <v/>
      </c>
      <c r="H1031" t="str">
        <f>IF($A1031="","",IF($D1031="V01",cad!$C$24,IF($D1031="V02",cad!$D$24,cad!$E$24)))</f>
        <v/>
      </c>
      <c r="I1031" t="str">
        <f>IF($A1031="","",IF($D1031="V01",cad!$C$32,IF($D1031="V02",cad!$D$32,cad!$E$32)))</f>
        <v/>
      </c>
      <c r="J1031" t="str">
        <f>IF($A1031="","",IF($D1031="V01",cad!$C$33,IF($D1031="V02",cad!$D$33,cad!$E$33)))</f>
        <v/>
      </c>
      <c r="K1031" t="str">
        <f>IF($A1031="","",IF($D1031="V01",cad!$C$34,IF($D1031="V02",cad!$D$34,cad!$E$34)))</f>
        <v/>
      </c>
      <c r="L1031" t="str">
        <f>IF($A1031="","",IF($D1031="V01",cad!$C$35,IF($D1031="V02",cad!$D$35,cad!$E$35)))</f>
        <v/>
      </c>
      <c r="M1031" t="str">
        <f>IF($A1031="","",IF($D1031="V01",cad!$C$36,IF($D1031="V02",cad!$D$36,cad!$E$36)))</f>
        <v/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 t="str">
        <f>IF($A1032="","",IF($D1032="V01",cad!$C$23,IF($D1032="V02",cad!$D$23,cad!$E$23)))</f>
        <v/>
      </c>
      <c r="H1032" t="str">
        <f>IF($A1032="","",IF($D1032="V01",cad!$C$24,IF($D1032="V02",cad!$D$24,cad!$E$24)))</f>
        <v/>
      </c>
      <c r="I1032" t="str">
        <f>IF($A1032="","",IF($D1032="V01",cad!$C$32,IF($D1032="V02",cad!$D$32,cad!$E$32)))</f>
        <v/>
      </c>
      <c r="J1032" t="str">
        <f>IF($A1032="","",IF($D1032="V01",cad!$C$33,IF($D1032="V02",cad!$D$33,cad!$E$33)))</f>
        <v/>
      </c>
      <c r="K1032" t="str">
        <f>IF($A1032="","",IF($D1032="V01",cad!$C$34,IF($D1032="V02",cad!$D$34,cad!$E$34)))</f>
        <v/>
      </c>
      <c r="L1032" t="str">
        <f>IF($A1032="","",IF($D1032="V01",cad!$C$35,IF($D1032="V02",cad!$D$35,cad!$E$35)))</f>
        <v/>
      </c>
      <c r="M1032" t="str">
        <f>IF($A1032="","",IF($D1032="V01",cad!$C$36,IF($D1032="V02",cad!$D$36,cad!$E$36)))</f>
        <v/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 t="str">
        <f>IF($A1033="","",IF($D1033="V01",cad!$C$23,IF($D1033="V02",cad!$D$23,cad!$E$23)))</f>
        <v/>
      </c>
      <c r="H1033" t="str">
        <f>IF($A1033="","",IF($D1033="V01",cad!$C$24,IF($D1033="V02",cad!$D$24,cad!$E$24)))</f>
        <v/>
      </c>
      <c r="I1033" t="str">
        <f>IF($A1033="","",IF($D1033="V01",cad!$C$32,IF($D1033="V02",cad!$D$32,cad!$E$32)))</f>
        <v/>
      </c>
      <c r="J1033" t="str">
        <f>IF($A1033="","",IF($D1033="V01",cad!$C$33,IF($D1033="V02",cad!$D$33,cad!$E$33)))</f>
        <v/>
      </c>
      <c r="K1033" t="str">
        <f>IF($A1033="","",IF($D1033="V01",cad!$C$34,IF($D1033="V02",cad!$D$34,cad!$E$34)))</f>
        <v/>
      </c>
      <c r="L1033" t="str">
        <f>IF($A1033="","",IF($D1033="V01",cad!$C$35,IF($D1033="V02",cad!$D$35,cad!$E$35)))</f>
        <v/>
      </c>
      <c r="M1033" t="str">
        <f>IF($A1033="","",IF($D1033="V01",cad!$C$36,IF($D1033="V02",cad!$D$36,cad!$E$36)))</f>
        <v/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 t="str">
        <f>IF($A1034="","",IF($D1034="V01",cad!$C$23,IF($D1034="V02",cad!$D$23,cad!$E$23)))</f>
        <v/>
      </c>
      <c r="H1034" t="str">
        <f>IF($A1034="","",IF($D1034="V01",cad!$C$24,IF($D1034="V02",cad!$D$24,cad!$E$24)))</f>
        <v/>
      </c>
      <c r="I1034" t="str">
        <f>IF($A1034="","",IF($D1034="V01",cad!$C$32,IF($D1034="V02",cad!$D$32,cad!$E$32)))</f>
        <v/>
      </c>
      <c r="J1034" t="str">
        <f>IF($A1034="","",IF($D1034="V01",cad!$C$33,IF($D1034="V02",cad!$D$33,cad!$E$33)))</f>
        <v/>
      </c>
      <c r="K1034" t="str">
        <f>IF($A1034="","",IF($D1034="V01",cad!$C$34,IF($D1034="V02",cad!$D$34,cad!$E$34)))</f>
        <v/>
      </c>
      <c r="L1034" t="str">
        <f>IF($A1034="","",IF($D1034="V01",cad!$C$35,IF($D1034="V02",cad!$D$35,cad!$E$35)))</f>
        <v/>
      </c>
      <c r="M1034" t="str">
        <f>IF($A1034="","",IF($D1034="V01",cad!$C$36,IF($D1034="V02",cad!$D$36,cad!$E$36)))</f>
        <v/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 t="str">
        <f>IF($A1035="","",IF($D1035="V01",cad!$C$23,IF($D1035="V02",cad!$D$23,cad!$E$23)))</f>
        <v/>
      </c>
      <c r="H1035" t="str">
        <f>IF($A1035="","",IF($D1035="V01",cad!$C$24,IF($D1035="V02",cad!$D$24,cad!$E$24)))</f>
        <v/>
      </c>
      <c r="I1035" t="str">
        <f>IF($A1035="","",IF($D1035="V01",cad!$C$32,IF($D1035="V02",cad!$D$32,cad!$E$32)))</f>
        <v/>
      </c>
      <c r="J1035" t="str">
        <f>IF($A1035="","",IF($D1035="V01",cad!$C$33,IF($D1035="V02",cad!$D$33,cad!$E$33)))</f>
        <v/>
      </c>
      <c r="K1035" t="str">
        <f>IF($A1035="","",IF($D1035="V01",cad!$C$34,IF($D1035="V02",cad!$D$34,cad!$E$34)))</f>
        <v/>
      </c>
      <c r="L1035" t="str">
        <f>IF($A1035="","",IF($D1035="V01",cad!$C$35,IF($D1035="V02",cad!$D$35,cad!$E$35)))</f>
        <v/>
      </c>
      <c r="M1035" t="str">
        <f>IF($A1035="","",IF($D1035="V01",cad!$C$36,IF($D1035="V02",cad!$D$36,cad!$E$36)))</f>
        <v/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 t="str">
        <f>IF($A1036="","",IF($D1036="V01",cad!$C$23,IF($D1036="V02",cad!$D$23,cad!$E$23)))</f>
        <v/>
      </c>
      <c r="H1036" t="str">
        <f>IF($A1036="","",IF($D1036="V01",cad!$C$24,IF($D1036="V02",cad!$D$24,cad!$E$24)))</f>
        <v/>
      </c>
      <c r="I1036" t="str">
        <f>IF($A1036="","",IF($D1036="V01",cad!$C$32,IF($D1036="V02",cad!$D$32,cad!$E$32)))</f>
        <v/>
      </c>
      <c r="J1036" t="str">
        <f>IF($A1036="","",IF($D1036="V01",cad!$C$33,IF($D1036="V02",cad!$D$33,cad!$E$33)))</f>
        <v/>
      </c>
      <c r="K1036" t="str">
        <f>IF($A1036="","",IF($D1036="V01",cad!$C$34,IF($D1036="V02",cad!$D$34,cad!$E$34)))</f>
        <v/>
      </c>
      <c r="L1036" t="str">
        <f>IF($A1036="","",IF($D1036="V01",cad!$C$35,IF($D1036="V02",cad!$D$35,cad!$E$35)))</f>
        <v/>
      </c>
      <c r="M1036" t="str">
        <f>IF($A1036="","",IF($D1036="V01",cad!$C$36,IF($D1036="V02",cad!$D$36,cad!$E$36)))</f>
        <v/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 t="str">
        <f>IF($A1037="","",IF($D1037="V01",cad!$C$23,IF($D1037="V02",cad!$D$23,cad!$E$23)))</f>
        <v/>
      </c>
      <c r="H1037" t="str">
        <f>IF($A1037="","",IF($D1037="V01",cad!$C$24,IF($D1037="V02",cad!$D$24,cad!$E$24)))</f>
        <v/>
      </c>
      <c r="I1037" t="str">
        <f>IF($A1037="","",IF($D1037="V01",cad!$C$32,IF($D1037="V02",cad!$D$32,cad!$E$32)))</f>
        <v/>
      </c>
      <c r="J1037" t="str">
        <f>IF($A1037="","",IF($D1037="V01",cad!$C$33,IF($D1037="V02",cad!$D$33,cad!$E$33)))</f>
        <v/>
      </c>
      <c r="K1037" t="str">
        <f>IF($A1037="","",IF($D1037="V01",cad!$C$34,IF($D1037="V02",cad!$D$34,cad!$E$34)))</f>
        <v/>
      </c>
      <c r="L1037" t="str">
        <f>IF($A1037="","",IF($D1037="V01",cad!$C$35,IF($D1037="V02",cad!$D$35,cad!$E$35)))</f>
        <v/>
      </c>
      <c r="M1037" t="str">
        <f>IF($A1037="","",IF($D1037="V01",cad!$C$36,IF($D1037="V02",cad!$D$36,cad!$E$36)))</f>
        <v/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 t="str">
        <f>IF($A1038="","",IF($D1038="V01",cad!$C$23,IF($D1038="V02",cad!$D$23,cad!$E$23)))</f>
        <v/>
      </c>
      <c r="H1038" t="str">
        <f>IF($A1038="","",IF($D1038="V01",cad!$C$24,IF($D1038="V02",cad!$D$24,cad!$E$24)))</f>
        <v/>
      </c>
      <c r="I1038" t="str">
        <f>IF($A1038="","",IF($D1038="V01",cad!$C$32,IF($D1038="V02",cad!$D$32,cad!$E$32)))</f>
        <v/>
      </c>
      <c r="J1038" t="str">
        <f>IF($A1038="","",IF($D1038="V01",cad!$C$33,IF($D1038="V02",cad!$D$33,cad!$E$33)))</f>
        <v/>
      </c>
      <c r="K1038" t="str">
        <f>IF($A1038="","",IF($D1038="V01",cad!$C$34,IF($D1038="V02",cad!$D$34,cad!$E$34)))</f>
        <v/>
      </c>
      <c r="L1038" t="str">
        <f>IF($A1038="","",IF($D1038="V01",cad!$C$35,IF($D1038="V02",cad!$D$35,cad!$E$35)))</f>
        <v/>
      </c>
      <c r="M1038" t="str">
        <f>IF($A1038="","",IF($D1038="V01",cad!$C$36,IF($D1038="V02",cad!$D$36,cad!$E$36)))</f>
        <v/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 t="str">
        <f>IF($A1039="","",IF($D1039="V01",cad!$C$23,IF($D1039="V02",cad!$D$23,cad!$E$23)))</f>
        <v/>
      </c>
      <c r="H1039" t="str">
        <f>IF($A1039="","",IF($D1039="V01",cad!$C$24,IF($D1039="V02",cad!$D$24,cad!$E$24)))</f>
        <v/>
      </c>
      <c r="I1039" t="str">
        <f>IF($A1039="","",IF($D1039="V01",cad!$C$32,IF($D1039="V02",cad!$D$32,cad!$E$32)))</f>
        <v/>
      </c>
      <c r="J1039" t="str">
        <f>IF($A1039="","",IF($D1039="V01",cad!$C$33,IF($D1039="V02",cad!$D$33,cad!$E$33)))</f>
        <v/>
      </c>
      <c r="K1039" t="str">
        <f>IF($A1039="","",IF($D1039="V01",cad!$C$34,IF($D1039="V02",cad!$D$34,cad!$E$34)))</f>
        <v/>
      </c>
      <c r="L1039" t="str">
        <f>IF($A1039="","",IF($D1039="V01",cad!$C$35,IF($D1039="V02",cad!$D$35,cad!$E$35)))</f>
        <v/>
      </c>
      <c r="M1039" t="str">
        <f>IF($A1039="","",IF($D1039="V01",cad!$C$36,IF($D1039="V02",cad!$D$36,cad!$E$36)))</f>
        <v/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 t="str">
        <f>IF($A1040="","",IF($D1040="V01",cad!$C$23,IF($D1040="V02",cad!$D$23,cad!$E$23)))</f>
        <v/>
      </c>
      <c r="H1040" t="str">
        <f>IF($A1040="","",IF($D1040="V01",cad!$C$24,IF($D1040="V02",cad!$D$24,cad!$E$24)))</f>
        <v/>
      </c>
      <c r="I1040" t="str">
        <f>IF($A1040="","",IF($D1040="V01",cad!$C$32,IF($D1040="V02",cad!$D$32,cad!$E$32)))</f>
        <v/>
      </c>
      <c r="J1040" t="str">
        <f>IF($A1040="","",IF($D1040="V01",cad!$C$33,IF($D1040="V02",cad!$D$33,cad!$E$33)))</f>
        <v/>
      </c>
      <c r="K1040" t="str">
        <f>IF($A1040="","",IF($D1040="V01",cad!$C$34,IF($D1040="V02",cad!$D$34,cad!$E$34)))</f>
        <v/>
      </c>
      <c r="L1040" t="str">
        <f>IF($A1040="","",IF($D1040="V01",cad!$C$35,IF($D1040="V02",cad!$D$35,cad!$E$35)))</f>
        <v/>
      </c>
      <c r="M1040" t="str">
        <f>IF($A1040="","",IF($D1040="V01",cad!$C$36,IF($D1040="V02",cad!$D$36,cad!$E$36)))</f>
        <v/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 t="str">
        <f>IF($A1041="","",IF($D1041="V01",cad!$C$23,IF($D1041="V02",cad!$D$23,cad!$E$23)))</f>
        <v/>
      </c>
      <c r="H1041" t="str">
        <f>IF($A1041="","",IF($D1041="V01",cad!$C$24,IF($D1041="V02",cad!$D$24,cad!$E$24)))</f>
        <v/>
      </c>
      <c r="I1041" t="str">
        <f>IF($A1041="","",IF($D1041="V01",cad!$C$32,IF($D1041="V02",cad!$D$32,cad!$E$32)))</f>
        <v/>
      </c>
      <c r="J1041" t="str">
        <f>IF($A1041="","",IF($D1041="V01",cad!$C$33,IF($D1041="V02",cad!$D$33,cad!$E$33)))</f>
        <v/>
      </c>
      <c r="K1041" t="str">
        <f>IF($A1041="","",IF($D1041="V01",cad!$C$34,IF($D1041="V02",cad!$D$34,cad!$E$34)))</f>
        <v/>
      </c>
      <c r="L1041" t="str">
        <f>IF($A1041="","",IF($D1041="V01",cad!$C$35,IF($D1041="V02",cad!$D$35,cad!$E$35)))</f>
        <v/>
      </c>
      <c r="M1041" t="str">
        <f>IF($A1041="","",IF($D1041="V01",cad!$C$36,IF($D1041="V02",cad!$D$36,cad!$E$36)))</f>
        <v/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 t="str">
        <f>IF($A1042="","",IF($D1042="V01",cad!$C$23,IF($D1042="V02",cad!$D$23,cad!$E$23)))</f>
        <v/>
      </c>
      <c r="H1042" t="str">
        <f>IF($A1042="","",IF($D1042="V01",cad!$C$24,IF($D1042="V02",cad!$D$24,cad!$E$24)))</f>
        <v/>
      </c>
      <c r="I1042" t="str">
        <f>IF($A1042="","",IF($D1042="V01",cad!$C$32,IF($D1042="V02",cad!$D$32,cad!$E$32)))</f>
        <v/>
      </c>
      <c r="J1042" t="str">
        <f>IF($A1042="","",IF($D1042="V01",cad!$C$33,IF($D1042="V02",cad!$D$33,cad!$E$33)))</f>
        <v/>
      </c>
      <c r="K1042" t="str">
        <f>IF($A1042="","",IF($D1042="V01",cad!$C$34,IF($D1042="V02",cad!$D$34,cad!$E$34)))</f>
        <v/>
      </c>
      <c r="L1042" t="str">
        <f>IF($A1042="","",IF($D1042="V01",cad!$C$35,IF($D1042="V02",cad!$D$35,cad!$E$35)))</f>
        <v/>
      </c>
      <c r="M1042" t="str">
        <f>IF($A1042="","",IF($D1042="V01",cad!$C$36,IF($D1042="V02",cad!$D$36,cad!$E$36)))</f>
        <v/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 t="str">
        <f>IF($A1043="","",IF($D1043="V01",cad!$C$23,IF($D1043="V02",cad!$D$23,cad!$E$23)))</f>
        <v/>
      </c>
      <c r="H1043" t="str">
        <f>IF($A1043="","",IF($D1043="V01",cad!$C$24,IF($D1043="V02",cad!$D$24,cad!$E$24)))</f>
        <v/>
      </c>
      <c r="I1043" t="str">
        <f>IF($A1043="","",IF($D1043="V01",cad!$C$32,IF($D1043="V02",cad!$D$32,cad!$E$32)))</f>
        <v/>
      </c>
      <c r="J1043" t="str">
        <f>IF($A1043="","",IF($D1043="V01",cad!$C$33,IF($D1043="V02",cad!$D$33,cad!$E$33)))</f>
        <v/>
      </c>
      <c r="K1043" t="str">
        <f>IF($A1043="","",IF($D1043="V01",cad!$C$34,IF($D1043="V02",cad!$D$34,cad!$E$34)))</f>
        <v/>
      </c>
      <c r="L1043" t="str">
        <f>IF($A1043="","",IF($D1043="V01",cad!$C$35,IF($D1043="V02",cad!$D$35,cad!$E$35)))</f>
        <v/>
      </c>
      <c r="M1043" t="str">
        <f>IF($A1043="","",IF($D1043="V01",cad!$C$36,IF($D1043="V02",cad!$D$36,cad!$E$36)))</f>
        <v/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 t="str">
        <f>IF($A1044="","",IF($D1044="V01",cad!$C$23,IF($D1044="V02",cad!$D$23,cad!$E$23)))</f>
        <v/>
      </c>
      <c r="H1044" t="str">
        <f>IF($A1044="","",IF($D1044="V01",cad!$C$24,IF($D1044="V02",cad!$D$24,cad!$E$24)))</f>
        <v/>
      </c>
      <c r="I1044" t="str">
        <f>IF($A1044="","",IF($D1044="V01",cad!$C$32,IF($D1044="V02",cad!$D$32,cad!$E$32)))</f>
        <v/>
      </c>
      <c r="J1044" t="str">
        <f>IF($A1044="","",IF($D1044="V01",cad!$C$33,IF($D1044="V02",cad!$D$33,cad!$E$33)))</f>
        <v/>
      </c>
      <c r="K1044" t="str">
        <f>IF($A1044="","",IF($D1044="V01",cad!$C$34,IF($D1044="V02",cad!$D$34,cad!$E$34)))</f>
        <v/>
      </c>
      <c r="L1044" t="str">
        <f>IF($A1044="","",IF($D1044="V01",cad!$C$35,IF($D1044="V02",cad!$D$35,cad!$E$35)))</f>
        <v/>
      </c>
      <c r="M1044" t="str">
        <f>IF($A1044="","",IF($D1044="V01",cad!$C$36,IF($D1044="V02",cad!$D$36,cad!$E$36)))</f>
        <v/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 t="str">
        <f>IF($A1045="","",IF($D1045="V01",cad!$C$23,IF($D1045="V02",cad!$D$23,cad!$E$23)))</f>
        <v/>
      </c>
      <c r="H1045" t="str">
        <f>IF($A1045="","",IF($D1045="V01",cad!$C$24,IF($D1045="V02",cad!$D$24,cad!$E$24)))</f>
        <v/>
      </c>
      <c r="I1045" t="str">
        <f>IF($A1045="","",IF($D1045="V01",cad!$C$32,IF($D1045="V02",cad!$D$32,cad!$E$32)))</f>
        <v/>
      </c>
      <c r="J1045" t="str">
        <f>IF($A1045="","",IF($D1045="V01",cad!$C$33,IF($D1045="V02",cad!$D$33,cad!$E$33)))</f>
        <v/>
      </c>
      <c r="K1045" t="str">
        <f>IF($A1045="","",IF($D1045="V01",cad!$C$34,IF($D1045="V02",cad!$D$34,cad!$E$34)))</f>
        <v/>
      </c>
      <c r="L1045" t="str">
        <f>IF($A1045="","",IF($D1045="V01",cad!$C$35,IF($D1045="V02",cad!$D$35,cad!$E$35)))</f>
        <v/>
      </c>
      <c r="M1045" t="str">
        <f>IF($A1045="","",IF($D1045="V01",cad!$C$36,IF($D1045="V02",cad!$D$36,cad!$E$36)))</f>
        <v/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 t="str">
        <f>IF($A1046="","",IF($D1046="V01",cad!$C$23,IF($D1046="V02",cad!$D$23,cad!$E$23)))</f>
        <v/>
      </c>
      <c r="H1046" t="str">
        <f>IF($A1046="","",IF($D1046="V01",cad!$C$24,IF($D1046="V02",cad!$D$24,cad!$E$24)))</f>
        <v/>
      </c>
      <c r="I1046" t="str">
        <f>IF($A1046="","",IF($D1046="V01",cad!$C$32,IF($D1046="V02",cad!$D$32,cad!$E$32)))</f>
        <v/>
      </c>
      <c r="J1046" t="str">
        <f>IF($A1046="","",IF($D1046="V01",cad!$C$33,IF($D1046="V02",cad!$D$33,cad!$E$33)))</f>
        <v/>
      </c>
      <c r="K1046" t="str">
        <f>IF($A1046="","",IF($D1046="V01",cad!$C$34,IF($D1046="V02",cad!$D$34,cad!$E$34)))</f>
        <v/>
      </c>
      <c r="L1046" t="str">
        <f>IF($A1046="","",IF($D1046="V01",cad!$C$35,IF($D1046="V02",cad!$D$35,cad!$E$35)))</f>
        <v/>
      </c>
      <c r="M1046" t="str">
        <f>IF($A1046="","",IF($D1046="V01",cad!$C$36,IF($D1046="V02",cad!$D$36,cad!$E$36)))</f>
        <v/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 t="str">
        <f>IF($A1047="","",IF($D1047="V01",cad!$C$23,IF($D1047="V02",cad!$D$23,cad!$E$23)))</f>
        <v/>
      </c>
      <c r="H1047" t="str">
        <f>IF($A1047="","",IF($D1047="V01",cad!$C$24,IF($D1047="V02",cad!$D$24,cad!$E$24)))</f>
        <v/>
      </c>
      <c r="I1047" t="str">
        <f>IF($A1047="","",IF($D1047="V01",cad!$C$32,IF($D1047="V02",cad!$D$32,cad!$E$32)))</f>
        <v/>
      </c>
      <c r="J1047" t="str">
        <f>IF($A1047="","",IF($D1047="V01",cad!$C$33,IF($D1047="V02",cad!$D$33,cad!$E$33)))</f>
        <v/>
      </c>
      <c r="K1047" t="str">
        <f>IF($A1047="","",IF($D1047="V01",cad!$C$34,IF($D1047="V02",cad!$D$34,cad!$E$34)))</f>
        <v/>
      </c>
      <c r="L1047" t="str">
        <f>IF($A1047="","",IF($D1047="V01",cad!$C$35,IF($D1047="V02",cad!$D$35,cad!$E$35)))</f>
        <v/>
      </c>
      <c r="M1047" t="str">
        <f>IF($A1047="","",IF($D1047="V01",cad!$C$36,IF($D1047="V02",cad!$D$36,cad!$E$36)))</f>
        <v/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 t="str">
        <f>IF($A1048="","",IF($D1048="V01",cad!$C$23,IF($D1048="V02",cad!$D$23,cad!$E$23)))</f>
        <v/>
      </c>
      <c r="H1048" t="str">
        <f>IF($A1048="","",IF($D1048="V01",cad!$C$24,IF($D1048="V02",cad!$D$24,cad!$E$24)))</f>
        <v/>
      </c>
      <c r="I1048" t="str">
        <f>IF($A1048="","",IF($D1048="V01",cad!$C$32,IF($D1048="V02",cad!$D$32,cad!$E$32)))</f>
        <v/>
      </c>
      <c r="J1048" t="str">
        <f>IF($A1048="","",IF($D1048="V01",cad!$C$33,IF($D1048="V02",cad!$D$33,cad!$E$33)))</f>
        <v/>
      </c>
      <c r="K1048" t="str">
        <f>IF($A1048="","",IF($D1048="V01",cad!$C$34,IF($D1048="V02",cad!$D$34,cad!$E$34)))</f>
        <v/>
      </c>
      <c r="L1048" t="str">
        <f>IF($A1048="","",IF($D1048="V01",cad!$C$35,IF($D1048="V02",cad!$D$35,cad!$E$35)))</f>
        <v/>
      </c>
      <c r="M1048" t="str">
        <f>IF($A1048="","",IF($D1048="V01",cad!$C$36,IF($D1048="V02",cad!$D$36,cad!$E$36)))</f>
        <v/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 t="str">
        <f>IF($A1049="","",IF($D1049="V01",cad!$C$23,IF($D1049="V02",cad!$D$23,cad!$E$23)))</f>
        <v/>
      </c>
      <c r="H1049" t="str">
        <f>IF($A1049="","",IF($D1049="V01",cad!$C$24,IF($D1049="V02",cad!$D$24,cad!$E$24)))</f>
        <v/>
      </c>
      <c r="I1049" t="str">
        <f>IF($A1049="","",IF($D1049="V01",cad!$C$32,IF($D1049="V02",cad!$D$32,cad!$E$32)))</f>
        <v/>
      </c>
      <c r="J1049" t="str">
        <f>IF($A1049="","",IF($D1049="V01",cad!$C$33,IF($D1049="V02",cad!$D$33,cad!$E$33)))</f>
        <v/>
      </c>
      <c r="K1049" t="str">
        <f>IF($A1049="","",IF($D1049="V01",cad!$C$34,IF($D1049="V02",cad!$D$34,cad!$E$34)))</f>
        <v/>
      </c>
      <c r="L1049" t="str">
        <f>IF($A1049="","",IF($D1049="V01",cad!$C$35,IF($D1049="V02",cad!$D$35,cad!$E$35)))</f>
        <v/>
      </c>
      <c r="M1049" t="str">
        <f>IF($A1049="","",IF($D1049="V01",cad!$C$36,IF($D1049="V02",cad!$D$36,cad!$E$36)))</f>
        <v/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 t="str">
        <f>IF($A1050="","",IF($D1050="V01",cad!$C$23,IF($D1050="V02",cad!$D$23,cad!$E$23)))</f>
        <v/>
      </c>
      <c r="H1050" t="str">
        <f>IF($A1050="","",IF($D1050="V01",cad!$C$24,IF($D1050="V02",cad!$D$24,cad!$E$24)))</f>
        <v/>
      </c>
      <c r="I1050" t="str">
        <f>IF($A1050="","",IF($D1050="V01",cad!$C$32,IF($D1050="V02",cad!$D$32,cad!$E$32)))</f>
        <v/>
      </c>
      <c r="J1050" t="str">
        <f>IF($A1050="","",IF($D1050="V01",cad!$C$33,IF($D1050="V02",cad!$D$33,cad!$E$33)))</f>
        <v/>
      </c>
      <c r="K1050" t="str">
        <f>IF($A1050="","",IF($D1050="V01",cad!$C$34,IF($D1050="V02",cad!$D$34,cad!$E$34)))</f>
        <v/>
      </c>
      <c r="L1050" t="str">
        <f>IF($A1050="","",IF($D1050="V01",cad!$C$35,IF($D1050="V02",cad!$D$35,cad!$E$35)))</f>
        <v/>
      </c>
      <c r="M1050" t="str">
        <f>IF($A1050="","",IF($D1050="V01",cad!$C$36,IF($D1050="V02",cad!$D$36,cad!$E$36)))</f>
        <v/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 t="str">
        <f>IF($A1051="","",IF($D1051="V01",cad!$C$23,IF($D1051="V02",cad!$D$23,cad!$E$23)))</f>
        <v/>
      </c>
      <c r="H1051" t="str">
        <f>IF($A1051="","",IF($D1051="V01",cad!$C$24,IF($D1051="V02",cad!$D$24,cad!$E$24)))</f>
        <v/>
      </c>
      <c r="I1051" t="str">
        <f>IF($A1051="","",IF($D1051="V01",cad!$C$32,IF($D1051="V02",cad!$D$32,cad!$E$32)))</f>
        <v/>
      </c>
      <c r="J1051" t="str">
        <f>IF($A1051="","",IF($D1051="V01",cad!$C$33,IF($D1051="V02",cad!$D$33,cad!$E$33)))</f>
        <v/>
      </c>
      <c r="K1051" t="str">
        <f>IF($A1051="","",IF($D1051="V01",cad!$C$34,IF($D1051="V02",cad!$D$34,cad!$E$34)))</f>
        <v/>
      </c>
      <c r="L1051" t="str">
        <f>IF($A1051="","",IF($D1051="V01",cad!$C$35,IF($D1051="V02",cad!$D$35,cad!$E$35)))</f>
        <v/>
      </c>
      <c r="M1051" t="str">
        <f>IF($A1051="","",IF($D1051="V01",cad!$C$36,IF($D1051="V02",cad!$D$36,cad!$E$36)))</f>
        <v/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 t="str">
        <f>IF($A1052="","",IF($D1052="V01",cad!$C$23,IF($D1052="V02",cad!$D$23,cad!$E$23)))</f>
        <v/>
      </c>
      <c r="H1052" t="str">
        <f>IF($A1052="","",IF($D1052="V01",cad!$C$24,IF($D1052="V02",cad!$D$24,cad!$E$24)))</f>
        <v/>
      </c>
      <c r="I1052" t="str">
        <f>IF($A1052="","",IF($D1052="V01",cad!$C$32,IF($D1052="V02",cad!$D$32,cad!$E$32)))</f>
        <v/>
      </c>
      <c r="J1052" t="str">
        <f>IF($A1052="","",IF($D1052="V01",cad!$C$33,IF($D1052="V02",cad!$D$33,cad!$E$33)))</f>
        <v/>
      </c>
      <c r="K1052" t="str">
        <f>IF($A1052="","",IF($D1052="V01",cad!$C$34,IF($D1052="V02",cad!$D$34,cad!$E$34)))</f>
        <v/>
      </c>
      <c r="L1052" t="str">
        <f>IF($A1052="","",IF($D1052="V01",cad!$C$35,IF($D1052="V02",cad!$D$35,cad!$E$35)))</f>
        <v/>
      </c>
      <c r="M1052" t="str">
        <f>IF($A1052="","",IF($D1052="V01",cad!$C$36,IF($D1052="V02",cad!$D$36,cad!$E$36)))</f>
        <v/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 t="str">
        <f>IF($A1053="","",IF($D1053="V01",cad!$C$23,IF($D1053="V02",cad!$D$23,cad!$E$23)))</f>
        <v/>
      </c>
      <c r="H1053" t="str">
        <f>IF($A1053="","",IF($D1053="V01",cad!$C$24,IF($D1053="V02",cad!$D$24,cad!$E$24)))</f>
        <v/>
      </c>
      <c r="I1053" t="str">
        <f>IF($A1053="","",IF($D1053="V01",cad!$C$32,IF($D1053="V02",cad!$D$32,cad!$E$32)))</f>
        <v/>
      </c>
      <c r="J1053" t="str">
        <f>IF($A1053="","",IF($D1053="V01",cad!$C$33,IF($D1053="V02",cad!$D$33,cad!$E$33)))</f>
        <v/>
      </c>
      <c r="K1053" t="str">
        <f>IF($A1053="","",IF($D1053="V01",cad!$C$34,IF($D1053="V02",cad!$D$34,cad!$E$34)))</f>
        <v/>
      </c>
      <c r="L1053" t="str">
        <f>IF($A1053="","",IF($D1053="V01",cad!$C$35,IF($D1053="V02",cad!$D$35,cad!$E$35)))</f>
        <v/>
      </c>
      <c r="M1053" t="str">
        <f>IF($A1053="","",IF($D1053="V01",cad!$C$36,IF($D1053="V02",cad!$D$36,cad!$E$36)))</f>
        <v/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 t="str">
        <f>IF($A1054="","",IF($D1054="V01",cad!$C$23,IF($D1054="V02",cad!$D$23,cad!$E$23)))</f>
        <v/>
      </c>
      <c r="H1054" t="str">
        <f>IF($A1054="","",IF($D1054="V01",cad!$C$24,IF($D1054="V02",cad!$D$24,cad!$E$24)))</f>
        <v/>
      </c>
      <c r="I1054" t="str">
        <f>IF($A1054="","",IF($D1054="V01",cad!$C$32,IF($D1054="V02",cad!$D$32,cad!$E$32)))</f>
        <v/>
      </c>
      <c r="J1054" t="str">
        <f>IF($A1054="","",IF($D1054="V01",cad!$C$33,IF($D1054="V02",cad!$D$33,cad!$E$33)))</f>
        <v/>
      </c>
      <c r="K1054" t="str">
        <f>IF($A1054="","",IF($D1054="V01",cad!$C$34,IF($D1054="V02",cad!$D$34,cad!$E$34)))</f>
        <v/>
      </c>
      <c r="L1054" t="str">
        <f>IF($A1054="","",IF($D1054="V01",cad!$C$35,IF($D1054="V02",cad!$D$35,cad!$E$35)))</f>
        <v/>
      </c>
      <c r="M1054" t="str">
        <f>IF($A1054="","",IF($D1054="V01",cad!$C$36,IF($D1054="V02",cad!$D$36,cad!$E$36)))</f>
        <v/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 t="str">
        <f>IF($A1055="","",IF($D1055="V01",cad!$C$23,IF($D1055="V02",cad!$D$23,cad!$E$23)))</f>
        <v/>
      </c>
      <c r="H1055" t="str">
        <f>IF($A1055="","",IF($D1055="V01",cad!$C$24,IF($D1055="V02",cad!$D$24,cad!$E$24)))</f>
        <v/>
      </c>
      <c r="I1055" t="str">
        <f>IF($A1055="","",IF($D1055="V01",cad!$C$32,IF($D1055="V02",cad!$D$32,cad!$E$32)))</f>
        <v/>
      </c>
      <c r="J1055" t="str">
        <f>IF($A1055="","",IF($D1055="V01",cad!$C$33,IF($D1055="V02",cad!$D$33,cad!$E$33)))</f>
        <v/>
      </c>
      <c r="K1055" t="str">
        <f>IF($A1055="","",IF($D1055="V01",cad!$C$34,IF($D1055="V02",cad!$D$34,cad!$E$34)))</f>
        <v/>
      </c>
      <c r="L1055" t="str">
        <f>IF($A1055="","",IF($D1055="V01",cad!$C$35,IF($D1055="V02",cad!$D$35,cad!$E$35)))</f>
        <v/>
      </c>
      <c r="M1055" t="str">
        <f>IF($A1055="","",IF($D1055="V01",cad!$C$36,IF($D1055="V02",cad!$D$36,cad!$E$36)))</f>
        <v/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 t="str">
        <f>IF($A1056="","",IF($D1056="V01",cad!$C$23,IF($D1056="V02",cad!$D$23,cad!$E$23)))</f>
        <v/>
      </c>
      <c r="H1056" t="str">
        <f>IF($A1056="","",IF($D1056="V01",cad!$C$24,IF($D1056="V02",cad!$D$24,cad!$E$24)))</f>
        <v/>
      </c>
      <c r="I1056" t="str">
        <f>IF($A1056="","",IF($D1056="V01",cad!$C$32,IF($D1056="V02",cad!$D$32,cad!$E$32)))</f>
        <v/>
      </c>
      <c r="J1056" t="str">
        <f>IF($A1056="","",IF($D1056="V01",cad!$C$33,IF($D1056="V02",cad!$D$33,cad!$E$33)))</f>
        <v/>
      </c>
      <c r="K1056" t="str">
        <f>IF($A1056="","",IF($D1056="V01",cad!$C$34,IF($D1056="V02",cad!$D$34,cad!$E$34)))</f>
        <v/>
      </c>
      <c r="L1056" t="str">
        <f>IF($A1056="","",IF($D1056="V01",cad!$C$35,IF($D1056="V02",cad!$D$35,cad!$E$35)))</f>
        <v/>
      </c>
      <c r="M1056" t="str">
        <f>IF($A1056="","",IF($D1056="V01",cad!$C$36,IF($D1056="V02",cad!$D$36,cad!$E$36)))</f>
        <v/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 t="str">
        <f>IF($A1057="","",IF($D1057="V01",cad!$C$23,IF($D1057="V02",cad!$D$23,cad!$E$23)))</f>
        <v/>
      </c>
      <c r="H1057" t="str">
        <f>IF($A1057="","",IF($D1057="V01",cad!$C$24,IF($D1057="V02",cad!$D$24,cad!$E$24)))</f>
        <v/>
      </c>
      <c r="I1057" t="str">
        <f>IF($A1057="","",IF($D1057="V01",cad!$C$32,IF($D1057="V02",cad!$D$32,cad!$E$32)))</f>
        <v/>
      </c>
      <c r="J1057" t="str">
        <f>IF($A1057="","",IF($D1057="V01",cad!$C$33,IF($D1057="V02",cad!$D$33,cad!$E$33)))</f>
        <v/>
      </c>
      <c r="K1057" t="str">
        <f>IF($A1057="","",IF($D1057="V01",cad!$C$34,IF($D1057="V02",cad!$D$34,cad!$E$34)))</f>
        <v/>
      </c>
      <c r="L1057" t="str">
        <f>IF($A1057="","",IF($D1057="V01",cad!$C$35,IF($D1057="V02",cad!$D$35,cad!$E$35)))</f>
        <v/>
      </c>
      <c r="M1057" t="str">
        <f>IF($A1057="","",IF($D1057="V01",cad!$C$36,IF($D1057="V02",cad!$D$36,cad!$E$36)))</f>
        <v/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 t="str">
        <f>IF($A1058="","",IF($D1058="V01",cad!$C$23,IF($D1058="V02",cad!$D$23,cad!$E$23)))</f>
        <v/>
      </c>
      <c r="H1058" t="str">
        <f>IF($A1058="","",IF($D1058="V01",cad!$C$24,IF($D1058="V02",cad!$D$24,cad!$E$24)))</f>
        <v/>
      </c>
      <c r="I1058" t="str">
        <f>IF($A1058="","",IF($D1058="V01",cad!$C$32,IF($D1058="V02",cad!$D$32,cad!$E$32)))</f>
        <v/>
      </c>
      <c r="J1058" t="str">
        <f>IF($A1058="","",IF($D1058="V01",cad!$C$33,IF($D1058="V02",cad!$D$33,cad!$E$33)))</f>
        <v/>
      </c>
      <c r="K1058" t="str">
        <f>IF($A1058="","",IF($D1058="V01",cad!$C$34,IF($D1058="V02",cad!$D$34,cad!$E$34)))</f>
        <v/>
      </c>
      <c r="L1058" t="str">
        <f>IF($A1058="","",IF($D1058="V01",cad!$C$35,IF($D1058="V02",cad!$D$35,cad!$E$35)))</f>
        <v/>
      </c>
      <c r="M1058" t="str">
        <f>IF($A1058="","",IF($D1058="V01",cad!$C$36,IF($D1058="V02",cad!$D$36,cad!$E$36)))</f>
        <v/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 t="str">
        <f>IF($A1059="","",IF($D1059="V01",cad!$C$23,IF($D1059="V02",cad!$D$23,cad!$E$23)))</f>
        <v/>
      </c>
      <c r="H1059" t="str">
        <f>IF($A1059="","",IF($D1059="V01",cad!$C$24,IF($D1059="V02",cad!$D$24,cad!$E$24)))</f>
        <v/>
      </c>
      <c r="I1059" t="str">
        <f>IF($A1059="","",IF($D1059="V01",cad!$C$32,IF($D1059="V02",cad!$D$32,cad!$E$32)))</f>
        <v/>
      </c>
      <c r="J1059" t="str">
        <f>IF($A1059="","",IF($D1059="V01",cad!$C$33,IF($D1059="V02",cad!$D$33,cad!$E$33)))</f>
        <v/>
      </c>
      <c r="K1059" t="str">
        <f>IF($A1059="","",IF($D1059="V01",cad!$C$34,IF($D1059="V02",cad!$D$34,cad!$E$34)))</f>
        <v/>
      </c>
      <c r="L1059" t="str">
        <f>IF($A1059="","",IF($D1059="V01",cad!$C$35,IF($D1059="V02",cad!$D$35,cad!$E$35)))</f>
        <v/>
      </c>
      <c r="M1059" t="str">
        <f>IF($A1059="","",IF($D1059="V01",cad!$C$36,IF($D1059="V02",cad!$D$36,cad!$E$36)))</f>
        <v/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 t="str">
        <f>IF($A1060="","",IF($D1060="V01",cad!$C$23,IF($D1060="V02",cad!$D$23,cad!$E$23)))</f>
        <v/>
      </c>
      <c r="H1060" t="str">
        <f>IF($A1060="","",IF($D1060="V01",cad!$C$24,IF($D1060="V02",cad!$D$24,cad!$E$24)))</f>
        <v/>
      </c>
      <c r="I1060" t="str">
        <f>IF($A1060="","",IF($D1060="V01",cad!$C$32,IF($D1060="V02",cad!$D$32,cad!$E$32)))</f>
        <v/>
      </c>
      <c r="J1060" t="str">
        <f>IF($A1060="","",IF($D1060="V01",cad!$C$33,IF($D1060="V02",cad!$D$33,cad!$E$33)))</f>
        <v/>
      </c>
      <c r="K1060" t="str">
        <f>IF($A1060="","",IF($D1060="V01",cad!$C$34,IF($D1060="V02",cad!$D$34,cad!$E$34)))</f>
        <v/>
      </c>
      <c r="L1060" t="str">
        <f>IF($A1060="","",IF($D1060="V01",cad!$C$35,IF($D1060="V02",cad!$D$35,cad!$E$35)))</f>
        <v/>
      </c>
      <c r="M1060" t="str">
        <f>IF($A1060="","",IF($D1060="V01",cad!$C$36,IF($D1060="V02",cad!$D$36,cad!$E$36)))</f>
        <v/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 t="str">
        <f>IF($A1061="","",IF($D1061="V01",cad!$C$23,IF($D1061="V02",cad!$D$23,cad!$E$23)))</f>
        <v/>
      </c>
      <c r="H1061" t="str">
        <f>IF($A1061="","",IF($D1061="V01",cad!$C$24,IF($D1061="V02",cad!$D$24,cad!$E$24)))</f>
        <v/>
      </c>
      <c r="I1061" t="str">
        <f>IF($A1061="","",IF($D1061="V01",cad!$C$32,IF($D1061="V02",cad!$D$32,cad!$E$32)))</f>
        <v/>
      </c>
      <c r="J1061" t="str">
        <f>IF($A1061="","",IF($D1061="V01",cad!$C$33,IF($D1061="V02",cad!$D$33,cad!$E$33)))</f>
        <v/>
      </c>
      <c r="K1061" t="str">
        <f>IF($A1061="","",IF($D1061="V01",cad!$C$34,IF($D1061="V02",cad!$D$34,cad!$E$34)))</f>
        <v/>
      </c>
      <c r="L1061" t="str">
        <f>IF($A1061="","",IF($D1061="V01",cad!$C$35,IF($D1061="V02",cad!$D$35,cad!$E$35)))</f>
        <v/>
      </c>
      <c r="M1061" t="str">
        <f>IF($A1061="","",IF($D1061="V01",cad!$C$36,IF($D1061="V02",cad!$D$36,cad!$E$36)))</f>
        <v/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 t="str">
        <f>IF($A1062="","",IF($D1062="V01",cad!$C$23,IF($D1062="V02",cad!$D$23,cad!$E$23)))</f>
        <v/>
      </c>
      <c r="H1062" t="str">
        <f>IF($A1062="","",IF($D1062="V01",cad!$C$24,IF($D1062="V02",cad!$D$24,cad!$E$24)))</f>
        <v/>
      </c>
      <c r="I1062" t="str">
        <f>IF($A1062="","",IF($D1062="V01",cad!$C$32,IF($D1062="V02",cad!$D$32,cad!$E$32)))</f>
        <v/>
      </c>
      <c r="J1062" t="str">
        <f>IF($A1062="","",IF($D1062="V01",cad!$C$33,IF($D1062="V02",cad!$D$33,cad!$E$33)))</f>
        <v/>
      </c>
      <c r="K1062" t="str">
        <f>IF($A1062="","",IF($D1062="V01",cad!$C$34,IF($D1062="V02",cad!$D$34,cad!$E$34)))</f>
        <v/>
      </c>
      <c r="L1062" t="str">
        <f>IF($A1062="","",IF($D1062="V01",cad!$C$35,IF($D1062="V02",cad!$D$35,cad!$E$35)))</f>
        <v/>
      </c>
      <c r="M1062" t="str">
        <f>IF($A1062="","",IF($D1062="V01",cad!$C$36,IF($D1062="V02",cad!$D$36,cad!$E$36)))</f>
        <v/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 t="str">
        <f>IF($A1063="","",IF($D1063="V01",cad!$C$23,IF($D1063="V02",cad!$D$23,cad!$E$23)))</f>
        <v/>
      </c>
      <c r="H1063" t="str">
        <f>IF($A1063="","",IF($D1063="V01",cad!$C$24,IF($D1063="V02",cad!$D$24,cad!$E$24)))</f>
        <v/>
      </c>
      <c r="I1063" t="str">
        <f>IF($A1063="","",IF($D1063="V01",cad!$C$32,IF($D1063="V02",cad!$D$32,cad!$E$32)))</f>
        <v/>
      </c>
      <c r="J1063" t="str">
        <f>IF($A1063="","",IF($D1063="V01",cad!$C$33,IF($D1063="V02",cad!$D$33,cad!$E$33)))</f>
        <v/>
      </c>
      <c r="K1063" t="str">
        <f>IF($A1063="","",IF($D1063="V01",cad!$C$34,IF($D1063="V02",cad!$D$34,cad!$E$34)))</f>
        <v/>
      </c>
      <c r="L1063" t="str">
        <f>IF($A1063="","",IF($D1063="V01",cad!$C$35,IF($D1063="V02",cad!$D$35,cad!$E$35)))</f>
        <v/>
      </c>
      <c r="M1063" t="str">
        <f>IF($A1063="","",IF($D1063="V01",cad!$C$36,IF($D1063="V02",cad!$D$36,cad!$E$36)))</f>
        <v/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 t="str">
        <f>IF($A1064="","",IF($D1064="V01",cad!$C$23,IF($D1064="V02",cad!$D$23,cad!$E$23)))</f>
        <v/>
      </c>
      <c r="H1064" t="str">
        <f>IF($A1064="","",IF($D1064="V01",cad!$C$24,IF($D1064="V02",cad!$D$24,cad!$E$24)))</f>
        <v/>
      </c>
      <c r="I1064" t="str">
        <f>IF($A1064="","",IF($D1064="V01",cad!$C$32,IF($D1064="V02",cad!$D$32,cad!$E$32)))</f>
        <v/>
      </c>
      <c r="J1064" t="str">
        <f>IF($A1064="","",IF($D1064="V01",cad!$C$33,IF($D1064="V02",cad!$D$33,cad!$E$33)))</f>
        <v/>
      </c>
      <c r="K1064" t="str">
        <f>IF($A1064="","",IF($D1064="V01",cad!$C$34,IF($D1064="V02",cad!$D$34,cad!$E$34)))</f>
        <v/>
      </c>
      <c r="L1064" t="str">
        <f>IF($A1064="","",IF($D1064="V01",cad!$C$35,IF($D1064="V02",cad!$D$35,cad!$E$35)))</f>
        <v/>
      </c>
      <c r="M1064" t="str">
        <f>IF($A1064="","",IF($D1064="V01",cad!$C$36,IF($D1064="V02",cad!$D$36,cad!$E$36)))</f>
        <v/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 t="str">
        <f>IF($A1065="","",IF($D1065="V01",cad!$C$23,IF($D1065="V02",cad!$D$23,cad!$E$23)))</f>
        <v/>
      </c>
      <c r="H1065" t="str">
        <f>IF($A1065="","",IF($D1065="V01",cad!$C$24,IF($D1065="V02",cad!$D$24,cad!$E$24)))</f>
        <v/>
      </c>
      <c r="I1065" t="str">
        <f>IF($A1065="","",IF($D1065="V01",cad!$C$32,IF($D1065="V02",cad!$D$32,cad!$E$32)))</f>
        <v/>
      </c>
      <c r="J1065" t="str">
        <f>IF($A1065="","",IF($D1065="V01",cad!$C$33,IF($D1065="V02",cad!$D$33,cad!$E$33)))</f>
        <v/>
      </c>
      <c r="K1065" t="str">
        <f>IF($A1065="","",IF($D1065="V01",cad!$C$34,IF($D1065="V02",cad!$D$34,cad!$E$34)))</f>
        <v/>
      </c>
      <c r="L1065" t="str">
        <f>IF($A1065="","",IF($D1065="V01",cad!$C$35,IF($D1065="V02",cad!$D$35,cad!$E$35)))</f>
        <v/>
      </c>
      <c r="M1065" t="str">
        <f>IF($A1065="","",IF($D1065="V01",cad!$C$36,IF($D1065="V02",cad!$D$36,cad!$E$36)))</f>
        <v/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 t="str">
        <f>IF($A1066="","",IF($D1066="V01",cad!$C$23,IF($D1066="V02",cad!$D$23,cad!$E$23)))</f>
        <v/>
      </c>
      <c r="H1066" t="str">
        <f>IF($A1066="","",IF($D1066="V01",cad!$C$24,IF($D1066="V02",cad!$D$24,cad!$E$24)))</f>
        <v/>
      </c>
      <c r="I1066" t="str">
        <f>IF($A1066="","",IF($D1066="V01",cad!$C$32,IF($D1066="V02",cad!$D$32,cad!$E$32)))</f>
        <v/>
      </c>
      <c r="J1066" t="str">
        <f>IF($A1066="","",IF($D1066="V01",cad!$C$33,IF($D1066="V02",cad!$D$33,cad!$E$33)))</f>
        <v/>
      </c>
      <c r="K1066" t="str">
        <f>IF($A1066="","",IF($D1066="V01",cad!$C$34,IF($D1066="V02",cad!$D$34,cad!$E$34)))</f>
        <v/>
      </c>
      <c r="L1066" t="str">
        <f>IF($A1066="","",IF($D1066="V01",cad!$C$35,IF($D1066="V02",cad!$D$35,cad!$E$35)))</f>
        <v/>
      </c>
      <c r="M1066" t="str">
        <f>IF($A1066="","",IF($D1066="V01",cad!$C$36,IF($D1066="V02",cad!$D$36,cad!$E$36)))</f>
        <v/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 t="str">
        <f>IF($A1067="","",IF($D1067="V01",cad!$C$23,IF($D1067="V02",cad!$D$23,cad!$E$23)))</f>
        <v/>
      </c>
      <c r="H1067" t="str">
        <f>IF($A1067="","",IF($D1067="V01",cad!$C$24,IF($D1067="V02",cad!$D$24,cad!$E$24)))</f>
        <v/>
      </c>
      <c r="I1067" t="str">
        <f>IF($A1067="","",IF($D1067="V01",cad!$C$32,IF($D1067="V02",cad!$D$32,cad!$E$32)))</f>
        <v/>
      </c>
      <c r="J1067" t="str">
        <f>IF($A1067="","",IF($D1067="V01",cad!$C$33,IF($D1067="V02",cad!$D$33,cad!$E$33)))</f>
        <v/>
      </c>
      <c r="K1067" t="str">
        <f>IF($A1067="","",IF($D1067="V01",cad!$C$34,IF($D1067="V02",cad!$D$34,cad!$E$34)))</f>
        <v/>
      </c>
      <c r="L1067" t="str">
        <f>IF($A1067="","",IF($D1067="V01",cad!$C$35,IF($D1067="V02",cad!$D$35,cad!$E$35)))</f>
        <v/>
      </c>
      <c r="M1067" t="str">
        <f>IF($A1067="","",IF($D1067="V01",cad!$C$36,IF($D1067="V02",cad!$D$36,cad!$E$36)))</f>
        <v/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 t="str">
        <f>IF($A1068="","",IF($D1068="V01",cad!$C$23,IF($D1068="V02",cad!$D$23,cad!$E$23)))</f>
        <v/>
      </c>
      <c r="H1068" t="str">
        <f>IF($A1068="","",IF($D1068="V01",cad!$C$24,IF($D1068="V02",cad!$D$24,cad!$E$24)))</f>
        <v/>
      </c>
      <c r="I1068" t="str">
        <f>IF($A1068="","",IF($D1068="V01",cad!$C$32,IF($D1068="V02",cad!$D$32,cad!$E$32)))</f>
        <v/>
      </c>
      <c r="J1068" t="str">
        <f>IF($A1068="","",IF($D1068="V01",cad!$C$33,IF($D1068="V02",cad!$D$33,cad!$E$33)))</f>
        <v/>
      </c>
      <c r="K1068" t="str">
        <f>IF($A1068="","",IF($D1068="V01",cad!$C$34,IF($D1068="V02",cad!$D$34,cad!$E$34)))</f>
        <v/>
      </c>
      <c r="L1068" t="str">
        <f>IF($A1068="","",IF($D1068="V01",cad!$C$35,IF($D1068="V02",cad!$D$35,cad!$E$35)))</f>
        <v/>
      </c>
      <c r="M1068" t="str">
        <f>IF($A1068="","",IF($D1068="V01",cad!$C$36,IF($D1068="V02",cad!$D$36,cad!$E$36)))</f>
        <v/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 t="str">
        <f>IF($A1069="","",IF($D1069="V01",cad!$C$23,IF($D1069="V02",cad!$D$23,cad!$E$23)))</f>
        <v/>
      </c>
      <c r="H1069" t="str">
        <f>IF($A1069="","",IF($D1069="V01",cad!$C$24,IF($D1069="V02",cad!$D$24,cad!$E$24)))</f>
        <v/>
      </c>
      <c r="I1069" t="str">
        <f>IF($A1069="","",IF($D1069="V01",cad!$C$32,IF($D1069="V02",cad!$D$32,cad!$E$32)))</f>
        <v/>
      </c>
      <c r="J1069" t="str">
        <f>IF($A1069="","",IF($D1069="V01",cad!$C$33,IF($D1069="V02",cad!$D$33,cad!$E$33)))</f>
        <v/>
      </c>
      <c r="K1069" t="str">
        <f>IF($A1069="","",IF($D1069="V01",cad!$C$34,IF($D1069="V02",cad!$D$34,cad!$E$34)))</f>
        <v/>
      </c>
      <c r="L1069" t="str">
        <f>IF($A1069="","",IF($D1069="V01",cad!$C$35,IF($D1069="V02",cad!$D$35,cad!$E$35)))</f>
        <v/>
      </c>
      <c r="M1069" t="str">
        <f>IF($A1069="","",IF($D1069="V01",cad!$C$36,IF($D1069="V02",cad!$D$36,cad!$E$36)))</f>
        <v/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 t="str">
        <f>IF($A1070="","",IF($D1070="V01",cad!$C$23,IF($D1070="V02",cad!$D$23,cad!$E$23)))</f>
        <v/>
      </c>
      <c r="H1070" t="str">
        <f>IF($A1070="","",IF($D1070="V01",cad!$C$24,IF($D1070="V02",cad!$D$24,cad!$E$24)))</f>
        <v/>
      </c>
      <c r="I1070" t="str">
        <f>IF($A1070="","",IF($D1070="V01",cad!$C$32,IF($D1070="V02",cad!$D$32,cad!$E$32)))</f>
        <v/>
      </c>
      <c r="J1070" t="str">
        <f>IF($A1070="","",IF($D1070="V01",cad!$C$33,IF($D1070="V02",cad!$D$33,cad!$E$33)))</f>
        <v/>
      </c>
      <c r="K1070" t="str">
        <f>IF($A1070="","",IF($D1070="V01",cad!$C$34,IF($D1070="V02",cad!$D$34,cad!$E$34)))</f>
        <v/>
      </c>
      <c r="L1070" t="str">
        <f>IF($A1070="","",IF($D1070="V01",cad!$C$35,IF($D1070="V02",cad!$D$35,cad!$E$35)))</f>
        <v/>
      </c>
      <c r="M1070" t="str">
        <f>IF($A1070="","",IF($D1070="V01",cad!$C$36,IF($D1070="V02",cad!$D$36,cad!$E$36)))</f>
        <v/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 t="str">
        <f>IF($A1071="","",IF($D1071="V01",cad!$C$23,IF($D1071="V02",cad!$D$23,cad!$E$23)))</f>
        <v/>
      </c>
      <c r="H1071" t="str">
        <f>IF($A1071="","",IF($D1071="V01",cad!$C$24,IF($D1071="V02",cad!$D$24,cad!$E$24)))</f>
        <v/>
      </c>
      <c r="I1071" t="str">
        <f>IF($A1071="","",IF($D1071="V01",cad!$C$32,IF($D1071="V02",cad!$D$32,cad!$E$32)))</f>
        <v/>
      </c>
      <c r="J1071" t="str">
        <f>IF($A1071="","",IF($D1071="V01",cad!$C$33,IF($D1071="V02",cad!$D$33,cad!$E$33)))</f>
        <v/>
      </c>
      <c r="K1071" t="str">
        <f>IF($A1071="","",IF($D1071="V01",cad!$C$34,IF($D1071="V02",cad!$D$34,cad!$E$34)))</f>
        <v/>
      </c>
      <c r="L1071" t="str">
        <f>IF($A1071="","",IF($D1071="V01",cad!$C$35,IF($D1071="V02",cad!$D$35,cad!$E$35)))</f>
        <v/>
      </c>
      <c r="M1071" t="str">
        <f>IF($A1071="","",IF($D1071="V01",cad!$C$36,IF($D1071="V02",cad!$D$36,cad!$E$36)))</f>
        <v/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 t="str">
        <f>IF($A1072="","",IF($D1072="V01",cad!$C$23,IF($D1072="V02",cad!$D$23,cad!$E$23)))</f>
        <v/>
      </c>
      <c r="H1072" t="str">
        <f>IF($A1072="","",IF($D1072="V01",cad!$C$24,IF($D1072="V02",cad!$D$24,cad!$E$24)))</f>
        <v/>
      </c>
      <c r="I1072" t="str">
        <f>IF($A1072="","",IF($D1072="V01",cad!$C$32,IF($D1072="V02",cad!$D$32,cad!$E$32)))</f>
        <v/>
      </c>
      <c r="J1072" t="str">
        <f>IF($A1072="","",IF($D1072="V01",cad!$C$33,IF($D1072="V02",cad!$D$33,cad!$E$33)))</f>
        <v/>
      </c>
      <c r="K1072" t="str">
        <f>IF($A1072="","",IF($D1072="V01",cad!$C$34,IF($D1072="V02",cad!$D$34,cad!$E$34)))</f>
        <v/>
      </c>
      <c r="L1072" t="str">
        <f>IF($A1072="","",IF($D1072="V01",cad!$C$35,IF($D1072="V02",cad!$D$35,cad!$E$35)))</f>
        <v/>
      </c>
      <c r="M1072" t="str">
        <f>IF($A1072="","",IF($D1072="V01",cad!$C$36,IF($D1072="V02",cad!$D$36,cad!$E$36)))</f>
        <v/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 t="str">
        <f>IF($A1073="","",IF($D1073="V01",cad!$C$23,IF($D1073="V02",cad!$D$23,cad!$E$23)))</f>
        <v/>
      </c>
      <c r="H1073" t="str">
        <f>IF($A1073="","",IF($D1073="V01",cad!$C$24,IF($D1073="V02",cad!$D$24,cad!$E$24)))</f>
        <v/>
      </c>
      <c r="I1073" t="str">
        <f>IF($A1073="","",IF($D1073="V01",cad!$C$32,IF($D1073="V02",cad!$D$32,cad!$E$32)))</f>
        <v/>
      </c>
      <c r="J1073" t="str">
        <f>IF($A1073="","",IF($D1073="V01",cad!$C$33,IF($D1073="V02",cad!$D$33,cad!$E$33)))</f>
        <v/>
      </c>
      <c r="K1073" t="str">
        <f>IF($A1073="","",IF($D1073="V01",cad!$C$34,IF($D1073="V02",cad!$D$34,cad!$E$34)))</f>
        <v/>
      </c>
      <c r="L1073" t="str">
        <f>IF($A1073="","",IF($D1073="V01",cad!$C$35,IF($D1073="V02",cad!$D$35,cad!$E$35)))</f>
        <v/>
      </c>
      <c r="M1073" t="str">
        <f>IF($A1073="","",IF($D1073="V01",cad!$C$36,IF($D1073="V02",cad!$D$36,cad!$E$36)))</f>
        <v/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 t="str">
        <f>IF($A1074="","",IF($D1074="V01",cad!$C$23,IF($D1074="V02",cad!$D$23,cad!$E$23)))</f>
        <v/>
      </c>
      <c r="H1074" t="str">
        <f>IF($A1074="","",IF($D1074="V01",cad!$C$24,IF($D1074="V02",cad!$D$24,cad!$E$24)))</f>
        <v/>
      </c>
      <c r="I1074" t="str">
        <f>IF($A1074="","",IF($D1074="V01",cad!$C$32,IF($D1074="V02",cad!$D$32,cad!$E$32)))</f>
        <v/>
      </c>
      <c r="J1074" t="str">
        <f>IF($A1074="","",IF($D1074="V01",cad!$C$33,IF($D1074="V02",cad!$D$33,cad!$E$33)))</f>
        <v/>
      </c>
      <c r="K1074" t="str">
        <f>IF($A1074="","",IF($D1074="V01",cad!$C$34,IF($D1074="V02",cad!$D$34,cad!$E$34)))</f>
        <v/>
      </c>
      <c r="L1074" t="str">
        <f>IF($A1074="","",IF($D1074="V01",cad!$C$35,IF($D1074="V02",cad!$D$35,cad!$E$35)))</f>
        <v/>
      </c>
      <c r="M1074" t="str">
        <f>IF($A1074="","",IF($D1074="V01",cad!$C$36,IF($D1074="V02",cad!$D$36,cad!$E$36)))</f>
        <v/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 t="str">
        <f>IF($A1075="","",IF($D1075="V01",cad!$C$23,IF($D1075="V02",cad!$D$23,cad!$E$23)))</f>
        <v/>
      </c>
      <c r="H1075" t="str">
        <f>IF($A1075="","",IF($D1075="V01",cad!$C$24,IF($D1075="V02",cad!$D$24,cad!$E$24)))</f>
        <v/>
      </c>
      <c r="I1075" t="str">
        <f>IF($A1075="","",IF($D1075="V01",cad!$C$32,IF($D1075="V02",cad!$D$32,cad!$E$32)))</f>
        <v/>
      </c>
      <c r="J1075" t="str">
        <f>IF($A1075="","",IF($D1075="V01",cad!$C$33,IF($D1075="V02",cad!$D$33,cad!$E$33)))</f>
        <v/>
      </c>
      <c r="K1075" t="str">
        <f>IF($A1075="","",IF($D1075="V01",cad!$C$34,IF($D1075="V02",cad!$D$34,cad!$E$34)))</f>
        <v/>
      </c>
      <c r="L1075" t="str">
        <f>IF($A1075="","",IF($D1075="V01",cad!$C$35,IF($D1075="V02",cad!$D$35,cad!$E$35)))</f>
        <v/>
      </c>
      <c r="M1075" t="str">
        <f>IF($A1075="","",IF($D1075="V01",cad!$C$36,IF($D1075="V02",cad!$D$36,cad!$E$36)))</f>
        <v/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 t="str">
        <f>IF($A1076="","",IF($D1076="V01",cad!$C$23,IF($D1076="V02",cad!$D$23,cad!$E$23)))</f>
        <v/>
      </c>
      <c r="H1076" t="str">
        <f>IF($A1076="","",IF($D1076="V01",cad!$C$24,IF($D1076="V02",cad!$D$24,cad!$E$24)))</f>
        <v/>
      </c>
      <c r="I1076" t="str">
        <f>IF($A1076="","",IF($D1076="V01",cad!$C$32,IF($D1076="V02",cad!$D$32,cad!$E$32)))</f>
        <v/>
      </c>
      <c r="J1076" t="str">
        <f>IF($A1076="","",IF($D1076="V01",cad!$C$33,IF($D1076="V02",cad!$D$33,cad!$E$33)))</f>
        <v/>
      </c>
      <c r="K1076" t="str">
        <f>IF($A1076="","",IF($D1076="V01",cad!$C$34,IF($D1076="V02",cad!$D$34,cad!$E$34)))</f>
        <v/>
      </c>
      <c r="L1076" t="str">
        <f>IF($A1076="","",IF($D1076="V01",cad!$C$35,IF($D1076="V02",cad!$D$35,cad!$E$35)))</f>
        <v/>
      </c>
      <c r="M1076" t="str">
        <f>IF($A1076="","",IF($D1076="V01",cad!$C$36,IF($D1076="V02",cad!$D$36,cad!$E$36)))</f>
        <v/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 t="str">
        <f>IF($A1077="","",IF($D1077="V01",cad!$C$23,IF($D1077="V02",cad!$D$23,cad!$E$23)))</f>
        <v/>
      </c>
      <c r="H1077" t="str">
        <f>IF($A1077="","",IF($D1077="V01",cad!$C$24,IF($D1077="V02",cad!$D$24,cad!$E$24)))</f>
        <v/>
      </c>
      <c r="I1077" t="str">
        <f>IF($A1077="","",IF($D1077="V01",cad!$C$32,IF($D1077="V02",cad!$D$32,cad!$E$32)))</f>
        <v/>
      </c>
      <c r="J1077" t="str">
        <f>IF($A1077="","",IF($D1077="V01",cad!$C$33,IF($D1077="V02",cad!$D$33,cad!$E$33)))</f>
        <v/>
      </c>
      <c r="K1077" t="str">
        <f>IF($A1077="","",IF($D1077="V01",cad!$C$34,IF($D1077="V02",cad!$D$34,cad!$E$34)))</f>
        <v/>
      </c>
      <c r="L1077" t="str">
        <f>IF($A1077="","",IF($D1077="V01",cad!$C$35,IF($D1077="V02",cad!$D$35,cad!$E$35)))</f>
        <v/>
      </c>
      <c r="M1077" t="str">
        <f>IF($A1077="","",IF($D1077="V01",cad!$C$36,IF($D1077="V02",cad!$D$36,cad!$E$36)))</f>
        <v/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 t="str">
        <f>IF($A1078="","",IF($D1078="V01",cad!$C$23,IF($D1078="V02",cad!$D$23,cad!$E$23)))</f>
        <v/>
      </c>
      <c r="H1078" t="str">
        <f>IF($A1078="","",IF($D1078="V01",cad!$C$24,IF($D1078="V02",cad!$D$24,cad!$E$24)))</f>
        <v/>
      </c>
      <c r="I1078" t="str">
        <f>IF($A1078="","",IF($D1078="V01",cad!$C$32,IF($D1078="V02",cad!$D$32,cad!$E$32)))</f>
        <v/>
      </c>
      <c r="J1078" t="str">
        <f>IF($A1078="","",IF($D1078="V01",cad!$C$33,IF($D1078="V02",cad!$D$33,cad!$E$33)))</f>
        <v/>
      </c>
      <c r="K1078" t="str">
        <f>IF($A1078="","",IF($D1078="V01",cad!$C$34,IF($D1078="V02",cad!$D$34,cad!$E$34)))</f>
        <v/>
      </c>
      <c r="L1078" t="str">
        <f>IF($A1078="","",IF($D1078="V01",cad!$C$35,IF($D1078="V02",cad!$D$35,cad!$E$35)))</f>
        <v/>
      </c>
      <c r="M1078" t="str">
        <f>IF($A1078="","",IF($D1078="V01",cad!$C$36,IF($D1078="V02",cad!$D$36,cad!$E$36)))</f>
        <v/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 t="str">
        <f>IF($A1079="","",IF($D1079="V01",cad!$C$23,IF($D1079="V02",cad!$D$23,cad!$E$23)))</f>
        <v/>
      </c>
      <c r="H1079" t="str">
        <f>IF($A1079="","",IF($D1079="V01",cad!$C$24,IF($D1079="V02",cad!$D$24,cad!$E$24)))</f>
        <v/>
      </c>
      <c r="I1079" t="str">
        <f>IF($A1079="","",IF($D1079="V01",cad!$C$32,IF($D1079="V02",cad!$D$32,cad!$E$32)))</f>
        <v/>
      </c>
      <c r="J1079" t="str">
        <f>IF($A1079="","",IF($D1079="V01",cad!$C$33,IF($D1079="V02",cad!$D$33,cad!$E$33)))</f>
        <v/>
      </c>
      <c r="K1079" t="str">
        <f>IF($A1079="","",IF($D1079="V01",cad!$C$34,IF($D1079="V02",cad!$D$34,cad!$E$34)))</f>
        <v/>
      </c>
      <c r="L1079" t="str">
        <f>IF($A1079="","",IF($D1079="V01",cad!$C$35,IF($D1079="V02",cad!$D$35,cad!$E$35)))</f>
        <v/>
      </c>
      <c r="M1079" t="str">
        <f>IF($A1079="","",IF($D1079="V01",cad!$C$36,IF($D1079="V02",cad!$D$36,cad!$E$36)))</f>
        <v/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 t="str">
        <f>IF($A1080="","",IF($D1080="V01",cad!$C$23,IF($D1080="V02",cad!$D$23,cad!$E$23)))</f>
        <v/>
      </c>
      <c r="H1080" t="str">
        <f>IF($A1080="","",IF($D1080="V01",cad!$C$24,IF($D1080="V02",cad!$D$24,cad!$E$24)))</f>
        <v/>
      </c>
      <c r="I1080" t="str">
        <f>IF($A1080="","",IF($D1080="V01",cad!$C$32,IF($D1080="V02",cad!$D$32,cad!$E$32)))</f>
        <v/>
      </c>
      <c r="J1080" t="str">
        <f>IF($A1080="","",IF($D1080="V01",cad!$C$33,IF($D1080="V02",cad!$D$33,cad!$E$33)))</f>
        <v/>
      </c>
      <c r="K1080" t="str">
        <f>IF($A1080="","",IF($D1080="V01",cad!$C$34,IF($D1080="V02",cad!$D$34,cad!$E$34)))</f>
        <v/>
      </c>
      <c r="L1080" t="str">
        <f>IF($A1080="","",IF($D1080="V01",cad!$C$35,IF($D1080="V02",cad!$D$35,cad!$E$35)))</f>
        <v/>
      </c>
      <c r="M1080" t="str">
        <f>IF($A1080="","",IF($D1080="V01",cad!$C$36,IF($D1080="V02",cad!$D$36,cad!$E$36)))</f>
        <v/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 t="str">
        <f>IF($A1081="","",IF($D1081="V01",cad!$C$23,IF($D1081="V02",cad!$D$23,cad!$E$23)))</f>
        <v/>
      </c>
      <c r="H1081" t="str">
        <f>IF($A1081="","",IF($D1081="V01",cad!$C$24,IF($D1081="V02",cad!$D$24,cad!$E$24)))</f>
        <v/>
      </c>
      <c r="I1081" t="str">
        <f>IF($A1081="","",IF($D1081="V01",cad!$C$32,IF($D1081="V02",cad!$D$32,cad!$E$32)))</f>
        <v/>
      </c>
      <c r="J1081" t="str">
        <f>IF($A1081="","",IF($D1081="V01",cad!$C$33,IF($D1081="V02",cad!$D$33,cad!$E$33)))</f>
        <v/>
      </c>
      <c r="K1081" t="str">
        <f>IF($A1081="","",IF($D1081="V01",cad!$C$34,IF($D1081="V02",cad!$D$34,cad!$E$34)))</f>
        <v/>
      </c>
      <c r="L1081" t="str">
        <f>IF($A1081="","",IF($D1081="V01",cad!$C$35,IF($D1081="V02",cad!$D$35,cad!$E$35)))</f>
        <v/>
      </c>
      <c r="M1081" t="str">
        <f>IF($A1081="","",IF($D1081="V01",cad!$C$36,IF($D1081="V02",cad!$D$36,cad!$E$36)))</f>
        <v/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 t="str">
        <f>IF($A1082="","",IF($D1082="V01",cad!$C$23,IF($D1082="V02",cad!$D$23,cad!$E$23)))</f>
        <v/>
      </c>
      <c r="H1082" t="str">
        <f>IF($A1082="","",IF($D1082="V01",cad!$C$24,IF($D1082="V02",cad!$D$24,cad!$E$24)))</f>
        <v/>
      </c>
      <c r="I1082" t="str">
        <f>IF($A1082="","",IF($D1082="V01",cad!$C$32,IF($D1082="V02",cad!$D$32,cad!$E$32)))</f>
        <v/>
      </c>
      <c r="J1082" t="str">
        <f>IF($A1082="","",IF($D1082="V01",cad!$C$33,IF($D1082="V02",cad!$D$33,cad!$E$33)))</f>
        <v/>
      </c>
      <c r="K1082" t="str">
        <f>IF($A1082="","",IF($D1082="V01",cad!$C$34,IF($D1082="V02",cad!$D$34,cad!$E$34)))</f>
        <v/>
      </c>
      <c r="L1082" t="str">
        <f>IF($A1082="","",IF($D1082="V01",cad!$C$35,IF($D1082="V02",cad!$D$35,cad!$E$35)))</f>
        <v/>
      </c>
      <c r="M1082" t="str">
        <f>IF($A1082="","",IF($D1082="V01",cad!$C$36,IF($D1082="V02",cad!$D$36,cad!$E$36)))</f>
        <v/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 t="str">
        <f>IF($A1083="","",IF($D1083="V01",cad!$C$23,IF($D1083="V02",cad!$D$23,cad!$E$23)))</f>
        <v/>
      </c>
      <c r="H1083" t="str">
        <f>IF($A1083="","",IF($D1083="V01",cad!$C$24,IF($D1083="V02",cad!$D$24,cad!$E$24)))</f>
        <v/>
      </c>
      <c r="I1083" t="str">
        <f>IF($A1083="","",IF($D1083="V01",cad!$C$32,IF($D1083="V02",cad!$D$32,cad!$E$32)))</f>
        <v/>
      </c>
      <c r="J1083" t="str">
        <f>IF($A1083="","",IF($D1083="V01",cad!$C$33,IF($D1083="V02",cad!$D$33,cad!$E$33)))</f>
        <v/>
      </c>
      <c r="K1083" t="str">
        <f>IF($A1083="","",IF($D1083="V01",cad!$C$34,IF($D1083="V02",cad!$D$34,cad!$E$34)))</f>
        <v/>
      </c>
      <c r="L1083" t="str">
        <f>IF($A1083="","",IF($D1083="V01",cad!$C$35,IF($D1083="V02",cad!$D$35,cad!$E$35)))</f>
        <v/>
      </c>
      <c r="M1083" t="str">
        <f>IF($A1083="","",IF($D1083="V01",cad!$C$36,IF($D1083="V02",cad!$D$36,cad!$E$36)))</f>
        <v/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 t="str">
        <f>IF($A1084="","",IF($D1084="V01",cad!$C$23,IF($D1084="V02",cad!$D$23,cad!$E$23)))</f>
        <v/>
      </c>
      <c r="H1084" t="str">
        <f>IF($A1084="","",IF($D1084="V01",cad!$C$24,IF($D1084="V02",cad!$D$24,cad!$E$24)))</f>
        <v/>
      </c>
      <c r="I1084" t="str">
        <f>IF($A1084="","",IF($D1084="V01",cad!$C$32,IF($D1084="V02",cad!$D$32,cad!$E$32)))</f>
        <v/>
      </c>
      <c r="J1084" t="str">
        <f>IF($A1084="","",IF($D1084="V01",cad!$C$33,IF($D1084="V02",cad!$D$33,cad!$E$33)))</f>
        <v/>
      </c>
      <c r="K1084" t="str">
        <f>IF($A1084="","",IF($D1084="V01",cad!$C$34,IF($D1084="V02",cad!$D$34,cad!$E$34)))</f>
        <v/>
      </c>
      <c r="L1084" t="str">
        <f>IF($A1084="","",IF($D1084="V01",cad!$C$35,IF($D1084="V02",cad!$D$35,cad!$E$35)))</f>
        <v/>
      </c>
      <c r="M1084" t="str">
        <f>IF($A1084="","",IF($D1084="V01",cad!$C$36,IF($D1084="V02",cad!$D$36,cad!$E$36)))</f>
        <v/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 t="str">
        <f>IF($A1085="","",IF($D1085="V01",cad!$C$23,IF($D1085="V02",cad!$D$23,cad!$E$23)))</f>
        <v/>
      </c>
      <c r="H1085" t="str">
        <f>IF($A1085="","",IF($D1085="V01",cad!$C$24,IF($D1085="V02",cad!$D$24,cad!$E$24)))</f>
        <v/>
      </c>
      <c r="I1085" t="str">
        <f>IF($A1085="","",IF($D1085="V01",cad!$C$32,IF($D1085="V02",cad!$D$32,cad!$E$32)))</f>
        <v/>
      </c>
      <c r="J1085" t="str">
        <f>IF($A1085="","",IF($D1085="V01",cad!$C$33,IF($D1085="V02",cad!$D$33,cad!$E$33)))</f>
        <v/>
      </c>
      <c r="K1085" t="str">
        <f>IF($A1085="","",IF($D1085="V01",cad!$C$34,IF($D1085="V02",cad!$D$34,cad!$E$34)))</f>
        <v/>
      </c>
      <c r="L1085" t="str">
        <f>IF($A1085="","",IF($D1085="V01",cad!$C$35,IF($D1085="V02",cad!$D$35,cad!$E$35)))</f>
        <v/>
      </c>
      <c r="M1085" t="str">
        <f>IF($A1085="","",IF($D1085="V01",cad!$C$36,IF($D1085="V02",cad!$D$36,cad!$E$36)))</f>
        <v/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 t="str">
        <f>IF($A1086="","",IF($D1086="V01",cad!$C$23,IF($D1086="V02",cad!$D$23,cad!$E$23)))</f>
        <v/>
      </c>
      <c r="H1086" t="str">
        <f>IF($A1086="","",IF($D1086="V01",cad!$C$24,IF($D1086="V02",cad!$D$24,cad!$E$24)))</f>
        <v/>
      </c>
      <c r="I1086" t="str">
        <f>IF($A1086="","",IF($D1086="V01",cad!$C$32,IF($D1086="V02",cad!$D$32,cad!$E$32)))</f>
        <v/>
      </c>
      <c r="J1086" t="str">
        <f>IF($A1086="","",IF($D1086="V01",cad!$C$33,IF($D1086="V02",cad!$D$33,cad!$E$33)))</f>
        <v/>
      </c>
      <c r="K1086" t="str">
        <f>IF($A1086="","",IF($D1086="V01",cad!$C$34,IF($D1086="V02",cad!$D$34,cad!$E$34)))</f>
        <v/>
      </c>
      <c r="L1086" t="str">
        <f>IF($A1086="","",IF($D1086="V01",cad!$C$35,IF($D1086="V02",cad!$D$35,cad!$E$35)))</f>
        <v/>
      </c>
      <c r="M1086" t="str">
        <f>IF($A1086="","",IF($D1086="V01",cad!$C$36,IF($D1086="V02",cad!$D$36,cad!$E$36)))</f>
        <v/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 t="str">
        <f>IF($A1087="","",IF($D1087="V01",cad!$C$23,IF($D1087="V02",cad!$D$23,cad!$E$23)))</f>
        <v/>
      </c>
      <c r="H1087" t="str">
        <f>IF($A1087="","",IF($D1087="V01",cad!$C$24,IF($D1087="V02",cad!$D$24,cad!$E$24)))</f>
        <v/>
      </c>
      <c r="I1087" t="str">
        <f>IF($A1087="","",IF($D1087="V01",cad!$C$32,IF($D1087="V02",cad!$D$32,cad!$E$32)))</f>
        <v/>
      </c>
      <c r="J1087" t="str">
        <f>IF($A1087="","",IF($D1087="V01",cad!$C$33,IF($D1087="V02",cad!$D$33,cad!$E$33)))</f>
        <v/>
      </c>
      <c r="K1087" t="str">
        <f>IF($A1087="","",IF($D1087="V01",cad!$C$34,IF($D1087="V02",cad!$D$34,cad!$E$34)))</f>
        <v/>
      </c>
      <c r="L1087" t="str">
        <f>IF($A1087="","",IF($D1087="V01",cad!$C$35,IF($D1087="V02",cad!$D$35,cad!$E$35)))</f>
        <v/>
      </c>
      <c r="M1087" t="str">
        <f>IF($A1087="","",IF($D1087="V01",cad!$C$36,IF($D1087="V02",cad!$D$36,cad!$E$36)))</f>
        <v/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 t="str">
        <f>IF($A1088="","",IF($D1088="V01",cad!$C$23,IF($D1088="V02",cad!$D$23,cad!$E$23)))</f>
        <v/>
      </c>
      <c r="H1088" t="str">
        <f>IF($A1088="","",IF($D1088="V01",cad!$C$24,IF($D1088="V02",cad!$D$24,cad!$E$24)))</f>
        <v/>
      </c>
      <c r="I1088" t="str">
        <f>IF($A1088="","",IF($D1088="V01",cad!$C$32,IF($D1088="V02",cad!$D$32,cad!$E$32)))</f>
        <v/>
      </c>
      <c r="J1088" t="str">
        <f>IF($A1088="","",IF($D1088="V01",cad!$C$33,IF($D1088="V02",cad!$D$33,cad!$E$33)))</f>
        <v/>
      </c>
      <c r="K1088" t="str">
        <f>IF($A1088="","",IF($D1088="V01",cad!$C$34,IF($D1088="V02",cad!$D$34,cad!$E$34)))</f>
        <v/>
      </c>
      <c r="L1088" t="str">
        <f>IF($A1088="","",IF($D1088="V01",cad!$C$35,IF($D1088="V02",cad!$D$35,cad!$E$35)))</f>
        <v/>
      </c>
      <c r="M1088" t="str">
        <f>IF($A1088="","",IF($D1088="V01",cad!$C$36,IF($D1088="V02",cad!$D$36,cad!$E$36)))</f>
        <v/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 t="str">
        <f>IF($A1089="","",IF($D1089="V01",cad!$C$23,IF($D1089="V02",cad!$D$23,cad!$E$23)))</f>
        <v/>
      </c>
      <c r="H1089" t="str">
        <f>IF($A1089="","",IF($D1089="V01",cad!$C$24,IF($D1089="V02",cad!$D$24,cad!$E$24)))</f>
        <v/>
      </c>
      <c r="I1089" t="str">
        <f>IF($A1089="","",IF($D1089="V01",cad!$C$32,IF($D1089="V02",cad!$D$32,cad!$E$32)))</f>
        <v/>
      </c>
      <c r="J1089" t="str">
        <f>IF($A1089="","",IF($D1089="V01",cad!$C$33,IF($D1089="V02",cad!$D$33,cad!$E$33)))</f>
        <v/>
      </c>
      <c r="K1089" t="str">
        <f>IF($A1089="","",IF($D1089="V01",cad!$C$34,IF($D1089="V02",cad!$D$34,cad!$E$34)))</f>
        <v/>
      </c>
      <c r="L1089" t="str">
        <f>IF($A1089="","",IF($D1089="V01",cad!$C$35,IF($D1089="V02",cad!$D$35,cad!$E$35)))</f>
        <v/>
      </c>
      <c r="M1089" t="str">
        <f>IF($A1089="","",IF($D1089="V01",cad!$C$36,IF($D1089="V02",cad!$D$36,cad!$E$36)))</f>
        <v/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 t="str">
        <f>IF($A1090="","",IF($D1090="V01",cad!$C$23,IF($D1090="V02",cad!$D$23,cad!$E$23)))</f>
        <v/>
      </c>
      <c r="H1090" t="str">
        <f>IF($A1090="","",IF($D1090="V01",cad!$C$24,IF($D1090="V02",cad!$D$24,cad!$E$24)))</f>
        <v/>
      </c>
      <c r="I1090" t="str">
        <f>IF($A1090="","",IF($D1090="V01",cad!$C$32,IF($D1090="V02",cad!$D$32,cad!$E$32)))</f>
        <v/>
      </c>
      <c r="J1090" t="str">
        <f>IF($A1090="","",IF($D1090="V01",cad!$C$33,IF($D1090="V02",cad!$D$33,cad!$E$33)))</f>
        <v/>
      </c>
      <c r="K1090" t="str">
        <f>IF($A1090="","",IF($D1090="V01",cad!$C$34,IF($D1090="V02",cad!$D$34,cad!$E$34)))</f>
        <v/>
      </c>
      <c r="L1090" t="str">
        <f>IF($A1090="","",IF($D1090="V01",cad!$C$35,IF($D1090="V02",cad!$D$35,cad!$E$35)))</f>
        <v/>
      </c>
      <c r="M1090" t="str">
        <f>IF($A1090="","",IF($D1090="V01",cad!$C$36,IF($D1090="V02",cad!$D$36,cad!$E$36)))</f>
        <v/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 t="str">
        <f>IF($A1091="","",IF($D1091="V01",cad!$C$23,IF($D1091="V02",cad!$D$23,cad!$E$23)))</f>
        <v/>
      </c>
      <c r="H1091" t="str">
        <f>IF($A1091="","",IF($D1091="V01",cad!$C$24,IF($D1091="V02",cad!$D$24,cad!$E$24)))</f>
        <v/>
      </c>
      <c r="I1091" t="str">
        <f>IF($A1091="","",IF($D1091="V01",cad!$C$32,IF($D1091="V02",cad!$D$32,cad!$E$32)))</f>
        <v/>
      </c>
      <c r="J1091" t="str">
        <f>IF($A1091="","",IF($D1091="V01",cad!$C$33,IF($D1091="V02",cad!$D$33,cad!$E$33)))</f>
        <v/>
      </c>
      <c r="K1091" t="str">
        <f>IF($A1091="","",IF($D1091="V01",cad!$C$34,IF($D1091="V02",cad!$D$34,cad!$E$34)))</f>
        <v/>
      </c>
      <c r="L1091" t="str">
        <f>IF($A1091="","",IF($D1091="V01",cad!$C$35,IF($D1091="V02",cad!$D$35,cad!$E$35)))</f>
        <v/>
      </c>
      <c r="M1091" t="str">
        <f>IF($A1091="","",IF($D1091="V01",cad!$C$36,IF($D1091="V02",cad!$D$36,cad!$E$36)))</f>
        <v/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 t="str">
        <f>IF($A1092="","",IF($D1092="V01",cad!$C$23,IF($D1092="V02",cad!$D$23,cad!$E$23)))</f>
        <v/>
      </c>
      <c r="H1092" t="str">
        <f>IF($A1092="","",IF($D1092="V01",cad!$C$24,IF($D1092="V02",cad!$D$24,cad!$E$24)))</f>
        <v/>
      </c>
      <c r="I1092" t="str">
        <f>IF($A1092="","",IF($D1092="V01",cad!$C$32,IF($D1092="V02",cad!$D$32,cad!$E$32)))</f>
        <v/>
      </c>
      <c r="J1092" t="str">
        <f>IF($A1092="","",IF($D1092="V01",cad!$C$33,IF($D1092="V02",cad!$D$33,cad!$E$33)))</f>
        <v/>
      </c>
      <c r="K1092" t="str">
        <f>IF($A1092="","",IF($D1092="V01",cad!$C$34,IF($D1092="V02",cad!$D$34,cad!$E$34)))</f>
        <v/>
      </c>
      <c r="L1092" t="str">
        <f>IF($A1092="","",IF($D1092="V01",cad!$C$35,IF($D1092="V02",cad!$D$35,cad!$E$35)))</f>
        <v/>
      </c>
      <c r="M1092" t="str">
        <f>IF($A1092="","",IF($D1092="V01",cad!$C$36,IF($D1092="V02",cad!$D$36,cad!$E$36)))</f>
        <v/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 t="str">
        <f>IF($A1093="","",IF($D1093="V01",cad!$C$23,IF($D1093="V02",cad!$D$23,cad!$E$23)))</f>
        <v/>
      </c>
      <c r="H1093" t="str">
        <f>IF($A1093="","",IF($D1093="V01",cad!$C$24,IF($D1093="V02",cad!$D$24,cad!$E$24)))</f>
        <v/>
      </c>
      <c r="I1093" t="str">
        <f>IF($A1093="","",IF($D1093="V01",cad!$C$32,IF($D1093="V02",cad!$D$32,cad!$E$32)))</f>
        <v/>
      </c>
      <c r="J1093" t="str">
        <f>IF($A1093="","",IF($D1093="V01",cad!$C$33,IF($D1093="V02",cad!$D$33,cad!$E$33)))</f>
        <v/>
      </c>
      <c r="K1093" t="str">
        <f>IF($A1093="","",IF($D1093="V01",cad!$C$34,IF($D1093="V02",cad!$D$34,cad!$E$34)))</f>
        <v/>
      </c>
      <c r="L1093" t="str">
        <f>IF($A1093="","",IF($D1093="V01",cad!$C$35,IF($D1093="V02",cad!$D$35,cad!$E$35)))</f>
        <v/>
      </c>
      <c r="M1093" t="str">
        <f>IF($A1093="","",IF($D1093="V01",cad!$C$36,IF($D1093="V02",cad!$D$36,cad!$E$36)))</f>
        <v/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 t="str">
        <f>IF($A1094="","",IF($D1094="V01",cad!$C$23,IF($D1094="V02",cad!$D$23,cad!$E$23)))</f>
        <v/>
      </c>
      <c r="H1094" t="str">
        <f>IF($A1094="","",IF($D1094="V01",cad!$C$24,IF($D1094="V02",cad!$D$24,cad!$E$24)))</f>
        <v/>
      </c>
      <c r="I1094" t="str">
        <f>IF($A1094="","",IF($D1094="V01",cad!$C$32,IF($D1094="V02",cad!$D$32,cad!$E$32)))</f>
        <v/>
      </c>
      <c r="J1094" t="str">
        <f>IF($A1094="","",IF($D1094="V01",cad!$C$33,IF($D1094="V02",cad!$D$33,cad!$E$33)))</f>
        <v/>
      </c>
      <c r="K1094" t="str">
        <f>IF($A1094="","",IF($D1094="V01",cad!$C$34,IF($D1094="V02",cad!$D$34,cad!$E$34)))</f>
        <v/>
      </c>
      <c r="L1094" t="str">
        <f>IF($A1094="","",IF($D1094="V01",cad!$C$35,IF($D1094="V02",cad!$D$35,cad!$E$35)))</f>
        <v/>
      </c>
      <c r="M1094" t="str">
        <f>IF($A1094="","",IF($D1094="V01",cad!$C$36,IF($D1094="V02",cad!$D$36,cad!$E$36)))</f>
        <v/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 t="str">
        <f>IF($A1095="","",IF($D1095="V01",cad!$C$23,IF($D1095="V02",cad!$D$23,cad!$E$23)))</f>
        <v/>
      </c>
      <c r="H1095" t="str">
        <f>IF($A1095="","",IF($D1095="V01",cad!$C$24,IF($D1095="V02",cad!$D$24,cad!$E$24)))</f>
        <v/>
      </c>
      <c r="I1095" t="str">
        <f>IF($A1095="","",IF($D1095="V01",cad!$C$32,IF($D1095="V02",cad!$D$32,cad!$E$32)))</f>
        <v/>
      </c>
      <c r="J1095" t="str">
        <f>IF($A1095="","",IF($D1095="V01",cad!$C$33,IF($D1095="V02",cad!$D$33,cad!$E$33)))</f>
        <v/>
      </c>
      <c r="K1095" t="str">
        <f>IF($A1095="","",IF($D1095="V01",cad!$C$34,IF($D1095="V02",cad!$D$34,cad!$E$34)))</f>
        <v/>
      </c>
      <c r="L1095" t="str">
        <f>IF($A1095="","",IF($D1095="V01",cad!$C$35,IF($D1095="V02",cad!$D$35,cad!$E$35)))</f>
        <v/>
      </c>
      <c r="M1095" t="str">
        <f>IF($A1095="","",IF($D1095="V01",cad!$C$36,IF($D1095="V02",cad!$D$36,cad!$E$36)))</f>
        <v/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 t="str">
        <f>IF($A1096="","",IF($D1096="V01",cad!$C$23,IF($D1096="V02",cad!$D$23,cad!$E$23)))</f>
        <v/>
      </c>
      <c r="H1096" t="str">
        <f>IF($A1096="","",IF($D1096="V01",cad!$C$24,IF($D1096="V02",cad!$D$24,cad!$E$24)))</f>
        <v/>
      </c>
      <c r="I1096" t="str">
        <f>IF($A1096="","",IF($D1096="V01",cad!$C$32,IF($D1096="V02",cad!$D$32,cad!$E$32)))</f>
        <v/>
      </c>
      <c r="J1096" t="str">
        <f>IF($A1096="","",IF($D1096="V01",cad!$C$33,IF($D1096="V02",cad!$D$33,cad!$E$33)))</f>
        <v/>
      </c>
      <c r="K1096" t="str">
        <f>IF($A1096="","",IF($D1096="V01",cad!$C$34,IF($D1096="V02",cad!$D$34,cad!$E$34)))</f>
        <v/>
      </c>
      <c r="L1096" t="str">
        <f>IF($A1096="","",IF($D1096="V01",cad!$C$35,IF($D1096="V02",cad!$D$35,cad!$E$35)))</f>
        <v/>
      </c>
      <c r="M1096" t="str">
        <f>IF($A1096="","",IF($D1096="V01",cad!$C$36,IF($D1096="V02",cad!$D$36,cad!$E$36)))</f>
        <v/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 t="str">
        <f>IF($A1097="","",IF($D1097="V01",cad!$C$23,IF($D1097="V02",cad!$D$23,cad!$E$23)))</f>
        <v/>
      </c>
      <c r="H1097" t="str">
        <f>IF($A1097="","",IF($D1097="V01",cad!$C$24,IF($D1097="V02",cad!$D$24,cad!$E$24)))</f>
        <v/>
      </c>
      <c r="I1097" t="str">
        <f>IF($A1097="","",IF($D1097="V01",cad!$C$32,IF($D1097="V02",cad!$D$32,cad!$E$32)))</f>
        <v/>
      </c>
      <c r="J1097" t="str">
        <f>IF($A1097="","",IF($D1097="V01",cad!$C$33,IF($D1097="V02",cad!$D$33,cad!$E$33)))</f>
        <v/>
      </c>
      <c r="K1097" t="str">
        <f>IF($A1097="","",IF($D1097="V01",cad!$C$34,IF($D1097="V02",cad!$D$34,cad!$E$34)))</f>
        <v/>
      </c>
      <c r="L1097" t="str">
        <f>IF($A1097="","",IF($D1097="V01",cad!$C$35,IF($D1097="V02",cad!$D$35,cad!$E$35)))</f>
        <v/>
      </c>
      <c r="M1097" t="str">
        <f>IF($A1097="","",IF($D1097="V01",cad!$C$36,IF($D1097="V02",cad!$D$36,cad!$E$36)))</f>
        <v/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 t="str">
        <f>IF($A1098="","",IF($D1098="V01",cad!$C$23,IF($D1098="V02",cad!$D$23,cad!$E$23)))</f>
        <v/>
      </c>
      <c r="H1098" t="str">
        <f>IF($A1098="","",IF($D1098="V01",cad!$C$24,IF($D1098="V02",cad!$D$24,cad!$E$24)))</f>
        <v/>
      </c>
      <c r="I1098" t="str">
        <f>IF($A1098="","",IF($D1098="V01",cad!$C$32,IF($D1098="V02",cad!$D$32,cad!$E$32)))</f>
        <v/>
      </c>
      <c r="J1098" t="str">
        <f>IF($A1098="","",IF($D1098="V01",cad!$C$33,IF($D1098="V02",cad!$D$33,cad!$E$33)))</f>
        <v/>
      </c>
      <c r="K1098" t="str">
        <f>IF($A1098="","",IF($D1098="V01",cad!$C$34,IF($D1098="V02",cad!$D$34,cad!$E$34)))</f>
        <v/>
      </c>
      <c r="L1098" t="str">
        <f>IF($A1098="","",IF($D1098="V01",cad!$C$35,IF($D1098="V02",cad!$D$35,cad!$E$35)))</f>
        <v/>
      </c>
      <c r="M1098" t="str">
        <f>IF($A1098="","",IF($D1098="V01",cad!$C$36,IF($D1098="V02",cad!$D$36,cad!$E$36)))</f>
        <v/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 t="str">
        <f>IF($A1099="","",IF($D1099="V01",cad!$C$23,IF($D1099="V02",cad!$D$23,cad!$E$23)))</f>
        <v/>
      </c>
      <c r="H1099" t="str">
        <f>IF($A1099="","",IF($D1099="V01",cad!$C$24,IF($D1099="V02",cad!$D$24,cad!$E$24)))</f>
        <v/>
      </c>
      <c r="I1099" t="str">
        <f>IF($A1099="","",IF($D1099="V01",cad!$C$32,IF($D1099="V02",cad!$D$32,cad!$E$32)))</f>
        <v/>
      </c>
      <c r="J1099" t="str">
        <f>IF($A1099="","",IF($D1099="V01",cad!$C$33,IF($D1099="V02",cad!$D$33,cad!$E$33)))</f>
        <v/>
      </c>
      <c r="K1099" t="str">
        <f>IF($A1099="","",IF($D1099="V01",cad!$C$34,IF($D1099="V02",cad!$D$34,cad!$E$34)))</f>
        <v/>
      </c>
      <c r="L1099" t="str">
        <f>IF($A1099="","",IF($D1099="V01",cad!$C$35,IF($D1099="V02",cad!$D$35,cad!$E$35)))</f>
        <v/>
      </c>
      <c r="M1099" t="str">
        <f>IF($A1099="","",IF($D1099="V01",cad!$C$36,IF($D1099="V02",cad!$D$36,cad!$E$36)))</f>
        <v/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 t="str">
        <f>IF($A1100="","",IF($D1100="V01",cad!$C$23,IF($D1100="V02",cad!$D$23,cad!$E$23)))</f>
        <v/>
      </c>
      <c r="H1100" t="str">
        <f>IF($A1100="","",IF($D1100="V01",cad!$C$24,IF($D1100="V02",cad!$D$24,cad!$E$24)))</f>
        <v/>
      </c>
      <c r="I1100" t="str">
        <f>IF($A1100="","",IF($D1100="V01",cad!$C$32,IF($D1100="V02",cad!$D$32,cad!$E$32)))</f>
        <v/>
      </c>
      <c r="J1100" t="str">
        <f>IF($A1100="","",IF($D1100="V01",cad!$C$33,IF($D1100="V02",cad!$D$33,cad!$E$33)))</f>
        <v/>
      </c>
      <c r="K1100" t="str">
        <f>IF($A1100="","",IF($D1100="V01",cad!$C$34,IF($D1100="V02",cad!$D$34,cad!$E$34)))</f>
        <v/>
      </c>
      <c r="L1100" t="str">
        <f>IF($A1100="","",IF($D1100="V01",cad!$C$35,IF($D1100="V02",cad!$D$35,cad!$E$35)))</f>
        <v/>
      </c>
      <c r="M1100" t="str">
        <f>IF($A1100="","",IF($D1100="V01",cad!$C$36,IF($D1100="V02",cad!$D$36,cad!$E$36)))</f>
        <v/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 t="str">
        <f>IF($A1101="","",IF($D1101="V01",cad!$C$23,IF($D1101="V02",cad!$D$23,cad!$E$23)))</f>
        <v/>
      </c>
      <c r="H1101" t="str">
        <f>IF($A1101="","",IF($D1101="V01",cad!$C$24,IF($D1101="V02",cad!$D$24,cad!$E$24)))</f>
        <v/>
      </c>
      <c r="I1101" t="str">
        <f>IF($A1101="","",IF($D1101="V01",cad!$C$32,IF($D1101="V02",cad!$D$32,cad!$E$32)))</f>
        <v/>
      </c>
      <c r="J1101" t="str">
        <f>IF($A1101="","",IF($D1101="V01",cad!$C$33,IF($D1101="V02",cad!$D$33,cad!$E$33)))</f>
        <v/>
      </c>
      <c r="K1101" t="str">
        <f>IF($A1101="","",IF($D1101="V01",cad!$C$34,IF($D1101="V02",cad!$D$34,cad!$E$34)))</f>
        <v/>
      </c>
      <c r="L1101" t="str">
        <f>IF($A1101="","",IF($D1101="V01",cad!$C$35,IF($D1101="V02",cad!$D$35,cad!$E$35)))</f>
        <v/>
      </c>
      <c r="M1101" t="str">
        <f>IF($A1101="","",IF($D1101="V01",cad!$C$36,IF($D1101="V02",cad!$D$36,cad!$E$36)))</f>
        <v/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 t="str">
        <f>IF($A1102="","",IF($D1102="V01",cad!$C$23,IF($D1102="V02",cad!$D$23,cad!$E$23)))</f>
        <v/>
      </c>
      <c r="H1102" t="str">
        <f>IF($A1102="","",IF($D1102="V01",cad!$C$24,IF($D1102="V02",cad!$D$24,cad!$E$24)))</f>
        <v/>
      </c>
      <c r="I1102" t="str">
        <f>IF($A1102="","",IF($D1102="V01",cad!$C$32,IF($D1102="V02",cad!$D$32,cad!$E$32)))</f>
        <v/>
      </c>
      <c r="J1102" t="str">
        <f>IF($A1102="","",IF($D1102="V01",cad!$C$33,IF($D1102="V02",cad!$D$33,cad!$E$33)))</f>
        <v/>
      </c>
      <c r="K1102" t="str">
        <f>IF($A1102="","",IF($D1102="V01",cad!$C$34,IF($D1102="V02",cad!$D$34,cad!$E$34)))</f>
        <v/>
      </c>
      <c r="L1102" t="str">
        <f>IF($A1102="","",IF($D1102="V01",cad!$C$35,IF($D1102="V02",cad!$D$35,cad!$E$35)))</f>
        <v/>
      </c>
      <c r="M1102" t="str">
        <f>IF($A1102="","",IF($D1102="V01",cad!$C$36,IF($D1102="V02",cad!$D$36,cad!$E$36)))</f>
        <v/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 t="str">
        <f>IF($A1103="","",IF($D1103="V01",cad!$C$23,IF($D1103="V02",cad!$D$23,cad!$E$23)))</f>
        <v/>
      </c>
      <c r="H1103" t="str">
        <f>IF($A1103="","",IF($D1103="V01",cad!$C$24,IF($D1103="V02",cad!$D$24,cad!$E$24)))</f>
        <v/>
      </c>
      <c r="I1103" t="str">
        <f>IF($A1103="","",IF($D1103="V01",cad!$C$32,IF($D1103="V02",cad!$D$32,cad!$E$32)))</f>
        <v/>
      </c>
      <c r="J1103" t="str">
        <f>IF($A1103="","",IF($D1103="V01",cad!$C$33,IF($D1103="V02",cad!$D$33,cad!$E$33)))</f>
        <v/>
      </c>
      <c r="K1103" t="str">
        <f>IF($A1103="","",IF($D1103="V01",cad!$C$34,IF($D1103="V02",cad!$D$34,cad!$E$34)))</f>
        <v/>
      </c>
      <c r="L1103" t="str">
        <f>IF($A1103="","",IF($D1103="V01",cad!$C$35,IF($D1103="V02",cad!$D$35,cad!$E$35)))</f>
        <v/>
      </c>
      <c r="M1103" t="str">
        <f>IF($A1103="","",IF($D1103="V01",cad!$C$36,IF($D1103="V02",cad!$D$36,cad!$E$36)))</f>
        <v/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 t="str">
        <f>IF($A1104="","",IF($D1104="V01",cad!$C$23,IF($D1104="V02",cad!$D$23,cad!$E$23)))</f>
        <v/>
      </c>
      <c r="H1104" t="str">
        <f>IF($A1104="","",IF($D1104="V01",cad!$C$24,IF($D1104="V02",cad!$D$24,cad!$E$24)))</f>
        <v/>
      </c>
      <c r="I1104" t="str">
        <f>IF($A1104="","",IF($D1104="V01",cad!$C$32,IF($D1104="V02",cad!$D$32,cad!$E$32)))</f>
        <v/>
      </c>
      <c r="J1104" t="str">
        <f>IF($A1104="","",IF($D1104="V01",cad!$C$33,IF($D1104="V02",cad!$D$33,cad!$E$33)))</f>
        <v/>
      </c>
      <c r="K1104" t="str">
        <f>IF($A1104="","",IF($D1104="V01",cad!$C$34,IF($D1104="V02",cad!$D$34,cad!$E$34)))</f>
        <v/>
      </c>
      <c r="L1104" t="str">
        <f>IF($A1104="","",IF($D1104="V01",cad!$C$35,IF($D1104="V02",cad!$D$35,cad!$E$35)))</f>
        <v/>
      </c>
      <c r="M1104" t="str">
        <f>IF($A1104="","",IF($D1104="V01",cad!$C$36,IF($D1104="V02",cad!$D$36,cad!$E$36)))</f>
        <v/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 t="str">
        <f>IF($A1105="","",IF($D1105="V01",cad!$C$23,IF($D1105="V02",cad!$D$23,cad!$E$23)))</f>
        <v/>
      </c>
      <c r="H1105" t="str">
        <f>IF($A1105="","",IF($D1105="V01",cad!$C$24,IF($D1105="V02",cad!$D$24,cad!$E$24)))</f>
        <v/>
      </c>
      <c r="I1105" t="str">
        <f>IF($A1105="","",IF($D1105="V01",cad!$C$32,IF($D1105="V02",cad!$D$32,cad!$E$32)))</f>
        <v/>
      </c>
      <c r="J1105" t="str">
        <f>IF($A1105="","",IF($D1105="V01",cad!$C$33,IF($D1105="V02",cad!$D$33,cad!$E$33)))</f>
        <v/>
      </c>
      <c r="K1105" t="str">
        <f>IF($A1105="","",IF($D1105="V01",cad!$C$34,IF($D1105="V02",cad!$D$34,cad!$E$34)))</f>
        <v/>
      </c>
      <c r="L1105" t="str">
        <f>IF($A1105="","",IF($D1105="V01",cad!$C$35,IF($D1105="V02",cad!$D$35,cad!$E$35)))</f>
        <v/>
      </c>
      <c r="M1105" t="str">
        <f>IF($A1105="","",IF($D1105="V01",cad!$C$36,IF($D1105="V02",cad!$D$36,cad!$E$36)))</f>
        <v/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 t="str">
        <f>IF($A1106="","",IF($D1106="V01",cad!$C$23,IF($D1106="V02",cad!$D$23,cad!$E$23)))</f>
        <v/>
      </c>
      <c r="H1106" t="str">
        <f>IF($A1106="","",IF($D1106="V01",cad!$C$24,IF($D1106="V02",cad!$D$24,cad!$E$24)))</f>
        <v/>
      </c>
      <c r="I1106" t="str">
        <f>IF($A1106="","",IF($D1106="V01",cad!$C$32,IF($D1106="V02",cad!$D$32,cad!$E$32)))</f>
        <v/>
      </c>
      <c r="J1106" t="str">
        <f>IF($A1106="","",IF($D1106="V01",cad!$C$33,IF($D1106="V02",cad!$D$33,cad!$E$33)))</f>
        <v/>
      </c>
      <c r="K1106" t="str">
        <f>IF($A1106="","",IF($D1106="V01",cad!$C$34,IF($D1106="V02",cad!$D$34,cad!$E$34)))</f>
        <v/>
      </c>
      <c r="L1106" t="str">
        <f>IF($A1106="","",IF($D1106="V01",cad!$C$35,IF($D1106="V02",cad!$D$35,cad!$E$35)))</f>
        <v/>
      </c>
      <c r="M1106" t="str">
        <f>IF($A1106="","",IF($D1106="V01",cad!$C$36,IF($D1106="V02",cad!$D$36,cad!$E$36)))</f>
        <v/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 t="str">
        <f>IF($A1107="","",IF($D1107="V01",cad!$C$23,IF($D1107="V02",cad!$D$23,cad!$E$23)))</f>
        <v/>
      </c>
      <c r="H1107" t="str">
        <f>IF($A1107="","",IF($D1107="V01",cad!$C$24,IF($D1107="V02",cad!$D$24,cad!$E$24)))</f>
        <v/>
      </c>
      <c r="I1107" t="str">
        <f>IF($A1107="","",IF($D1107="V01",cad!$C$32,IF($D1107="V02",cad!$D$32,cad!$E$32)))</f>
        <v/>
      </c>
      <c r="J1107" t="str">
        <f>IF($A1107="","",IF($D1107="V01",cad!$C$33,IF($D1107="V02",cad!$D$33,cad!$E$33)))</f>
        <v/>
      </c>
      <c r="K1107" t="str">
        <f>IF($A1107="","",IF($D1107="V01",cad!$C$34,IF($D1107="V02",cad!$D$34,cad!$E$34)))</f>
        <v/>
      </c>
      <c r="L1107" t="str">
        <f>IF($A1107="","",IF($D1107="V01",cad!$C$35,IF($D1107="V02",cad!$D$35,cad!$E$35)))</f>
        <v/>
      </c>
      <c r="M1107" t="str">
        <f>IF($A1107="","",IF($D1107="V01",cad!$C$36,IF($D1107="V02",cad!$D$36,cad!$E$36)))</f>
        <v/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 t="str">
        <f>IF($A1108="","",IF($D1108="V01",cad!$C$23,IF($D1108="V02",cad!$D$23,cad!$E$23)))</f>
        <v/>
      </c>
      <c r="H1108" t="str">
        <f>IF($A1108="","",IF($D1108="V01",cad!$C$24,IF($D1108="V02",cad!$D$24,cad!$E$24)))</f>
        <v/>
      </c>
      <c r="I1108" t="str">
        <f>IF($A1108="","",IF($D1108="V01",cad!$C$32,IF($D1108="V02",cad!$D$32,cad!$E$32)))</f>
        <v/>
      </c>
      <c r="J1108" t="str">
        <f>IF($A1108="","",IF($D1108="V01",cad!$C$33,IF($D1108="V02",cad!$D$33,cad!$E$33)))</f>
        <v/>
      </c>
      <c r="K1108" t="str">
        <f>IF($A1108="","",IF($D1108="V01",cad!$C$34,IF($D1108="V02",cad!$D$34,cad!$E$34)))</f>
        <v/>
      </c>
      <c r="L1108" t="str">
        <f>IF($A1108="","",IF($D1108="V01",cad!$C$35,IF($D1108="V02",cad!$D$35,cad!$E$35)))</f>
        <v/>
      </c>
      <c r="M1108" t="str">
        <f>IF($A1108="","",IF($D1108="V01",cad!$C$36,IF($D1108="V02",cad!$D$36,cad!$E$36)))</f>
        <v/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 t="str">
        <f>IF($A1109="","",IF($D1109="V01",cad!$C$23,IF($D1109="V02",cad!$D$23,cad!$E$23)))</f>
        <v/>
      </c>
      <c r="H1109" t="str">
        <f>IF($A1109="","",IF($D1109="V01",cad!$C$24,IF($D1109="V02",cad!$D$24,cad!$E$24)))</f>
        <v/>
      </c>
      <c r="I1109" t="str">
        <f>IF($A1109="","",IF($D1109="V01",cad!$C$32,IF($D1109="V02",cad!$D$32,cad!$E$32)))</f>
        <v/>
      </c>
      <c r="J1109" t="str">
        <f>IF($A1109="","",IF($D1109="V01",cad!$C$33,IF($D1109="V02",cad!$D$33,cad!$E$33)))</f>
        <v/>
      </c>
      <c r="K1109" t="str">
        <f>IF($A1109="","",IF($D1109="V01",cad!$C$34,IF($D1109="V02",cad!$D$34,cad!$E$34)))</f>
        <v/>
      </c>
      <c r="L1109" t="str">
        <f>IF($A1109="","",IF($D1109="V01",cad!$C$35,IF($D1109="V02",cad!$D$35,cad!$E$35)))</f>
        <v/>
      </c>
      <c r="M1109" t="str">
        <f>IF($A1109="","",IF($D1109="V01",cad!$C$36,IF($D1109="V02",cad!$D$36,cad!$E$36)))</f>
        <v/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 t="str">
        <f>IF($A1110="","",IF($D1110="V01",cad!$C$23,IF($D1110="V02",cad!$D$23,cad!$E$23)))</f>
        <v/>
      </c>
      <c r="H1110" t="str">
        <f>IF($A1110="","",IF($D1110="V01",cad!$C$24,IF($D1110="V02",cad!$D$24,cad!$E$24)))</f>
        <v/>
      </c>
      <c r="I1110" t="str">
        <f>IF($A1110="","",IF($D1110="V01",cad!$C$32,IF($D1110="V02",cad!$D$32,cad!$E$32)))</f>
        <v/>
      </c>
      <c r="J1110" t="str">
        <f>IF($A1110="","",IF($D1110="V01",cad!$C$33,IF($D1110="V02",cad!$D$33,cad!$E$33)))</f>
        <v/>
      </c>
      <c r="K1110" t="str">
        <f>IF($A1110="","",IF($D1110="V01",cad!$C$34,IF($D1110="V02",cad!$D$34,cad!$E$34)))</f>
        <v/>
      </c>
      <c r="L1110" t="str">
        <f>IF($A1110="","",IF($D1110="V01",cad!$C$35,IF($D1110="V02",cad!$D$35,cad!$E$35)))</f>
        <v/>
      </c>
      <c r="M1110" t="str">
        <f>IF($A1110="","",IF($D1110="V01",cad!$C$36,IF($D1110="V02",cad!$D$36,cad!$E$36)))</f>
        <v/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 t="str">
        <f>IF($A1111="","",IF($D1111="V01",cad!$C$23,IF($D1111="V02",cad!$D$23,cad!$E$23)))</f>
        <v/>
      </c>
      <c r="H1111" t="str">
        <f>IF($A1111="","",IF($D1111="V01",cad!$C$24,IF($D1111="V02",cad!$D$24,cad!$E$24)))</f>
        <v/>
      </c>
      <c r="I1111" t="str">
        <f>IF($A1111="","",IF($D1111="V01",cad!$C$32,IF($D1111="V02",cad!$D$32,cad!$E$32)))</f>
        <v/>
      </c>
      <c r="J1111" t="str">
        <f>IF($A1111="","",IF($D1111="V01",cad!$C$33,IF($D1111="V02",cad!$D$33,cad!$E$33)))</f>
        <v/>
      </c>
      <c r="K1111" t="str">
        <f>IF($A1111="","",IF($D1111="V01",cad!$C$34,IF($D1111="V02",cad!$D$34,cad!$E$34)))</f>
        <v/>
      </c>
      <c r="L1111" t="str">
        <f>IF($A1111="","",IF($D1111="V01",cad!$C$35,IF($D1111="V02",cad!$D$35,cad!$E$35)))</f>
        <v/>
      </c>
      <c r="M1111" t="str">
        <f>IF($A1111="","",IF($D1111="V01",cad!$C$36,IF($D1111="V02",cad!$D$36,cad!$E$36)))</f>
        <v/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 t="str">
        <f>IF($A1112="","",IF($D1112="V01",cad!$C$23,IF($D1112="V02",cad!$D$23,cad!$E$23)))</f>
        <v/>
      </c>
      <c r="H1112" t="str">
        <f>IF($A1112="","",IF($D1112="V01",cad!$C$24,IF($D1112="V02",cad!$D$24,cad!$E$24)))</f>
        <v/>
      </c>
      <c r="I1112" t="str">
        <f>IF($A1112="","",IF($D1112="V01",cad!$C$32,IF($D1112="V02",cad!$D$32,cad!$E$32)))</f>
        <v/>
      </c>
      <c r="J1112" t="str">
        <f>IF($A1112="","",IF($D1112="V01",cad!$C$33,IF($D1112="V02",cad!$D$33,cad!$E$33)))</f>
        <v/>
      </c>
      <c r="K1112" t="str">
        <f>IF($A1112="","",IF($D1112="V01",cad!$C$34,IF($D1112="V02",cad!$D$34,cad!$E$34)))</f>
        <v/>
      </c>
      <c r="L1112" t="str">
        <f>IF($A1112="","",IF($D1112="V01",cad!$C$35,IF($D1112="V02",cad!$D$35,cad!$E$35)))</f>
        <v/>
      </c>
      <c r="M1112" t="str">
        <f>IF($A1112="","",IF($D1112="V01",cad!$C$36,IF($D1112="V02",cad!$D$36,cad!$E$36)))</f>
        <v/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 t="str">
        <f>IF($A1113="","",IF($D1113="V01",cad!$C$23,IF($D1113="V02",cad!$D$23,cad!$E$23)))</f>
        <v/>
      </c>
      <c r="H1113" t="str">
        <f>IF($A1113="","",IF($D1113="V01",cad!$C$24,IF($D1113="V02",cad!$D$24,cad!$E$24)))</f>
        <v/>
      </c>
      <c r="I1113" t="str">
        <f>IF($A1113="","",IF($D1113="V01",cad!$C$32,IF($D1113="V02",cad!$D$32,cad!$E$32)))</f>
        <v/>
      </c>
      <c r="J1113" t="str">
        <f>IF($A1113="","",IF($D1113="V01",cad!$C$33,IF($D1113="V02",cad!$D$33,cad!$E$33)))</f>
        <v/>
      </c>
      <c r="K1113" t="str">
        <f>IF($A1113="","",IF($D1113="V01",cad!$C$34,IF($D1113="V02",cad!$D$34,cad!$E$34)))</f>
        <v/>
      </c>
      <c r="L1113" t="str">
        <f>IF($A1113="","",IF($D1113="V01",cad!$C$35,IF($D1113="V02",cad!$D$35,cad!$E$35)))</f>
        <v/>
      </c>
      <c r="M1113" t="str">
        <f>IF($A1113="","",IF($D1113="V01",cad!$C$36,IF($D1113="V02",cad!$D$36,cad!$E$36)))</f>
        <v/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 t="str">
        <f>IF($A1114="","",IF($D1114="V01",cad!$C$23,IF($D1114="V02",cad!$D$23,cad!$E$23)))</f>
        <v/>
      </c>
      <c r="H1114" t="str">
        <f>IF($A1114="","",IF($D1114="V01",cad!$C$24,IF($D1114="V02",cad!$D$24,cad!$E$24)))</f>
        <v/>
      </c>
      <c r="I1114" t="str">
        <f>IF($A1114="","",IF($D1114="V01",cad!$C$32,IF($D1114="V02",cad!$D$32,cad!$E$32)))</f>
        <v/>
      </c>
      <c r="J1114" t="str">
        <f>IF($A1114="","",IF($D1114="V01",cad!$C$33,IF($D1114="V02",cad!$D$33,cad!$E$33)))</f>
        <v/>
      </c>
      <c r="K1114" t="str">
        <f>IF($A1114="","",IF($D1114="V01",cad!$C$34,IF($D1114="V02",cad!$D$34,cad!$E$34)))</f>
        <v/>
      </c>
      <c r="L1114" t="str">
        <f>IF($A1114="","",IF($D1114="V01",cad!$C$35,IF($D1114="V02",cad!$D$35,cad!$E$35)))</f>
        <v/>
      </c>
      <c r="M1114" t="str">
        <f>IF($A1114="","",IF($D1114="V01",cad!$C$36,IF($D1114="V02",cad!$D$36,cad!$E$36)))</f>
        <v/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 t="str">
        <f>IF($A1115="","",IF($D1115="V01",cad!$C$23,IF($D1115="V02",cad!$D$23,cad!$E$23)))</f>
        <v/>
      </c>
      <c r="H1115" t="str">
        <f>IF($A1115="","",IF($D1115="V01",cad!$C$24,IF($D1115="V02",cad!$D$24,cad!$E$24)))</f>
        <v/>
      </c>
      <c r="I1115" t="str">
        <f>IF($A1115="","",IF($D1115="V01",cad!$C$32,IF($D1115="V02",cad!$D$32,cad!$E$32)))</f>
        <v/>
      </c>
      <c r="J1115" t="str">
        <f>IF($A1115="","",IF($D1115="V01",cad!$C$33,IF($D1115="V02",cad!$D$33,cad!$E$33)))</f>
        <v/>
      </c>
      <c r="K1115" t="str">
        <f>IF($A1115="","",IF($D1115="V01",cad!$C$34,IF($D1115="V02",cad!$D$34,cad!$E$34)))</f>
        <v/>
      </c>
      <c r="L1115" t="str">
        <f>IF($A1115="","",IF($D1115="V01",cad!$C$35,IF($D1115="V02",cad!$D$35,cad!$E$35)))</f>
        <v/>
      </c>
      <c r="M1115" t="str">
        <f>IF($A1115="","",IF($D1115="V01",cad!$C$36,IF($D1115="V02",cad!$D$36,cad!$E$36)))</f>
        <v/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 t="str">
        <f>IF($A1116="","",IF($D1116="V01",cad!$C$23,IF($D1116="V02",cad!$D$23,cad!$E$23)))</f>
        <v/>
      </c>
      <c r="H1116" t="str">
        <f>IF($A1116="","",IF($D1116="V01",cad!$C$24,IF($D1116="V02",cad!$D$24,cad!$E$24)))</f>
        <v/>
      </c>
      <c r="I1116" t="str">
        <f>IF($A1116="","",IF($D1116="V01",cad!$C$32,IF($D1116="V02",cad!$D$32,cad!$E$32)))</f>
        <v/>
      </c>
      <c r="J1116" t="str">
        <f>IF($A1116="","",IF($D1116="V01",cad!$C$33,IF($D1116="V02",cad!$D$33,cad!$E$33)))</f>
        <v/>
      </c>
      <c r="K1116" t="str">
        <f>IF($A1116="","",IF($D1116="V01",cad!$C$34,IF($D1116="V02",cad!$D$34,cad!$E$34)))</f>
        <v/>
      </c>
      <c r="L1116" t="str">
        <f>IF($A1116="","",IF($D1116="V01",cad!$C$35,IF($D1116="V02",cad!$D$35,cad!$E$35)))</f>
        <v/>
      </c>
      <c r="M1116" t="str">
        <f>IF($A1116="","",IF($D1116="V01",cad!$C$36,IF($D1116="V02",cad!$D$36,cad!$E$36)))</f>
        <v/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 t="str">
        <f>IF($A1117="","",IF($D1117="V01",cad!$C$23,IF($D1117="V02",cad!$D$23,cad!$E$23)))</f>
        <v/>
      </c>
      <c r="H1117" t="str">
        <f>IF($A1117="","",IF($D1117="V01",cad!$C$24,IF($D1117="V02",cad!$D$24,cad!$E$24)))</f>
        <v/>
      </c>
      <c r="I1117" t="str">
        <f>IF($A1117="","",IF($D1117="V01",cad!$C$32,IF($D1117="V02",cad!$D$32,cad!$E$32)))</f>
        <v/>
      </c>
      <c r="J1117" t="str">
        <f>IF($A1117="","",IF($D1117="V01",cad!$C$33,IF($D1117="V02",cad!$D$33,cad!$E$33)))</f>
        <v/>
      </c>
      <c r="K1117" t="str">
        <f>IF($A1117="","",IF($D1117="V01",cad!$C$34,IF($D1117="V02",cad!$D$34,cad!$E$34)))</f>
        <v/>
      </c>
      <c r="L1117" t="str">
        <f>IF($A1117="","",IF($D1117="V01",cad!$C$35,IF($D1117="V02",cad!$D$35,cad!$E$35)))</f>
        <v/>
      </c>
      <c r="M1117" t="str">
        <f>IF($A1117="","",IF($D1117="V01",cad!$C$36,IF($D1117="V02",cad!$D$36,cad!$E$36)))</f>
        <v/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 t="str">
        <f>IF($A1118="","",IF($D1118="V01",cad!$C$23,IF($D1118="V02",cad!$D$23,cad!$E$23)))</f>
        <v/>
      </c>
      <c r="H1118" t="str">
        <f>IF($A1118="","",IF($D1118="V01",cad!$C$24,IF($D1118="V02",cad!$D$24,cad!$E$24)))</f>
        <v/>
      </c>
      <c r="I1118" t="str">
        <f>IF($A1118="","",IF($D1118="V01",cad!$C$32,IF($D1118="V02",cad!$D$32,cad!$E$32)))</f>
        <v/>
      </c>
      <c r="J1118" t="str">
        <f>IF($A1118="","",IF($D1118="V01",cad!$C$33,IF($D1118="V02",cad!$D$33,cad!$E$33)))</f>
        <v/>
      </c>
      <c r="K1118" t="str">
        <f>IF($A1118="","",IF($D1118="V01",cad!$C$34,IF($D1118="V02",cad!$D$34,cad!$E$34)))</f>
        <v/>
      </c>
      <c r="L1118" t="str">
        <f>IF($A1118="","",IF($D1118="V01",cad!$C$35,IF($D1118="V02",cad!$D$35,cad!$E$35)))</f>
        <v/>
      </c>
      <c r="M1118" t="str">
        <f>IF($A1118="","",IF($D1118="V01",cad!$C$36,IF($D1118="V02",cad!$D$36,cad!$E$36)))</f>
        <v/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 t="str">
        <f>IF($A1119="","",IF($D1119="V01",cad!$C$23,IF($D1119="V02",cad!$D$23,cad!$E$23)))</f>
        <v/>
      </c>
      <c r="H1119" t="str">
        <f>IF($A1119="","",IF($D1119="V01",cad!$C$24,IF($D1119="V02",cad!$D$24,cad!$E$24)))</f>
        <v/>
      </c>
      <c r="I1119" t="str">
        <f>IF($A1119="","",IF($D1119="V01",cad!$C$32,IF($D1119="V02",cad!$D$32,cad!$E$32)))</f>
        <v/>
      </c>
      <c r="J1119" t="str">
        <f>IF($A1119="","",IF($D1119="V01",cad!$C$33,IF($D1119="V02",cad!$D$33,cad!$E$33)))</f>
        <v/>
      </c>
      <c r="K1119" t="str">
        <f>IF($A1119="","",IF($D1119="V01",cad!$C$34,IF($D1119="V02",cad!$D$34,cad!$E$34)))</f>
        <v/>
      </c>
      <c r="L1119" t="str">
        <f>IF($A1119="","",IF($D1119="V01",cad!$C$35,IF($D1119="V02",cad!$D$35,cad!$E$35)))</f>
        <v/>
      </c>
      <c r="M1119" t="str">
        <f>IF($A1119="","",IF($D1119="V01",cad!$C$36,IF($D1119="V02",cad!$D$36,cad!$E$36)))</f>
        <v/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 t="str">
        <f>IF($A1120="","",IF($D1120="V01",cad!$C$23,IF($D1120="V02",cad!$D$23,cad!$E$23)))</f>
        <v/>
      </c>
      <c r="H1120" t="str">
        <f>IF($A1120="","",IF($D1120="V01",cad!$C$24,IF($D1120="V02",cad!$D$24,cad!$E$24)))</f>
        <v/>
      </c>
      <c r="I1120" t="str">
        <f>IF($A1120="","",IF($D1120="V01",cad!$C$32,IF($D1120="V02",cad!$D$32,cad!$E$32)))</f>
        <v/>
      </c>
      <c r="J1120" t="str">
        <f>IF($A1120="","",IF($D1120="V01",cad!$C$33,IF($D1120="V02",cad!$D$33,cad!$E$33)))</f>
        <v/>
      </c>
      <c r="K1120" t="str">
        <f>IF($A1120="","",IF($D1120="V01",cad!$C$34,IF($D1120="V02",cad!$D$34,cad!$E$34)))</f>
        <v/>
      </c>
      <c r="L1120" t="str">
        <f>IF($A1120="","",IF($D1120="V01",cad!$C$35,IF($D1120="V02",cad!$D$35,cad!$E$35)))</f>
        <v/>
      </c>
      <c r="M1120" t="str">
        <f>IF($A1120="","",IF($D1120="V01",cad!$C$36,IF($D1120="V02",cad!$D$36,cad!$E$36)))</f>
        <v/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 t="str">
        <f>IF($A1121="","",IF($D1121="V01",cad!$C$23,IF($D1121="V02",cad!$D$23,cad!$E$23)))</f>
        <v/>
      </c>
      <c r="H1121" t="str">
        <f>IF($A1121="","",IF($D1121="V01",cad!$C$24,IF($D1121="V02",cad!$D$24,cad!$E$24)))</f>
        <v/>
      </c>
      <c r="I1121" t="str">
        <f>IF($A1121="","",IF($D1121="V01",cad!$C$32,IF($D1121="V02",cad!$D$32,cad!$E$32)))</f>
        <v/>
      </c>
      <c r="J1121" t="str">
        <f>IF($A1121="","",IF($D1121="V01",cad!$C$33,IF($D1121="V02",cad!$D$33,cad!$E$33)))</f>
        <v/>
      </c>
      <c r="K1121" t="str">
        <f>IF($A1121="","",IF($D1121="V01",cad!$C$34,IF($D1121="V02",cad!$D$34,cad!$E$34)))</f>
        <v/>
      </c>
      <c r="L1121" t="str">
        <f>IF($A1121="","",IF($D1121="V01",cad!$C$35,IF($D1121="V02",cad!$D$35,cad!$E$35)))</f>
        <v/>
      </c>
      <c r="M1121" t="str">
        <f>IF($A1121="","",IF($D1121="V01",cad!$C$36,IF($D1121="V02",cad!$D$36,cad!$E$36)))</f>
        <v/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 t="str">
        <f>IF($A1122="","",IF($D1122="V01",cad!$C$23,IF($D1122="V02",cad!$D$23,cad!$E$23)))</f>
        <v/>
      </c>
      <c r="H1122" t="str">
        <f>IF($A1122="","",IF($D1122="V01",cad!$C$24,IF($D1122="V02",cad!$D$24,cad!$E$24)))</f>
        <v/>
      </c>
      <c r="I1122" t="str">
        <f>IF($A1122="","",IF($D1122="V01",cad!$C$32,IF($D1122="V02",cad!$D$32,cad!$E$32)))</f>
        <v/>
      </c>
      <c r="J1122" t="str">
        <f>IF($A1122="","",IF($D1122="V01",cad!$C$33,IF($D1122="V02",cad!$D$33,cad!$E$33)))</f>
        <v/>
      </c>
      <c r="K1122" t="str">
        <f>IF($A1122="","",IF($D1122="V01",cad!$C$34,IF($D1122="V02",cad!$D$34,cad!$E$34)))</f>
        <v/>
      </c>
      <c r="L1122" t="str">
        <f>IF($A1122="","",IF($D1122="V01",cad!$C$35,IF($D1122="V02",cad!$D$35,cad!$E$35)))</f>
        <v/>
      </c>
      <c r="M1122" t="str">
        <f>IF($A1122="","",IF($D1122="V01",cad!$C$36,IF($D1122="V02",cad!$D$36,cad!$E$36)))</f>
        <v/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 t="str">
        <f>IF($A1123="","",IF($D1123="V01",cad!$C$23,IF($D1123="V02",cad!$D$23,cad!$E$23)))</f>
        <v/>
      </c>
      <c r="H1123" t="str">
        <f>IF($A1123="","",IF($D1123="V01",cad!$C$24,IF($D1123="V02",cad!$D$24,cad!$E$24)))</f>
        <v/>
      </c>
      <c r="I1123" t="str">
        <f>IF($A1123="","",IF($D1123="V01",cad!$C$32,IF($D1123="V02",cad!$D$32,cad!$E$32)))</f>
        <v/>
      </c>
      <c r="J1123" t="str">
        <f>IF($A1123="","",IF($D1123="V01",cad!$C$33,IF($D1123="V02",cad!$D$33,cad!$E$33)))</f>
        <v/>
      </c>
      <c r="K1123" t="str">
        <f>IF($A1123="","",IF($D1123="V01",cad!$C$34,IF($D1123="V02",cad!$D$34,cad!$E$34)))</f>
        <v/>
      </c>
      <c r="L1123" t="str">
        <f>IF($A1123="","",IF($D1123="V01",cad!$C$35,IF($D1123="V02",cad!$D$35,cad!$E$35)))</f>
        <v/>
      </c>
      <c r="M1123" t="str">
        <f>IF($A1123="","",IF($D1123="V01",cad!$C$36,IF($D1123="V02",cad!$D$36,cad!$E$36)))</f>
        <v/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 t="str">
        <f>IF($A1124="","",IF($D1124="V01",cad!$C$23,IF($D1124="V02",cad!$D$23,cad!$E$23)))</f>
        <v/>
      </c>
      <c r="H1124" t="str">
        <f>IF($A1124="","",IF($D1124="V01",cad!$C$24,IF($D1124="V02",cad!$D$24,cad!$E$24)))</f>
        <v/>
      </c>
      <c r="I1124" t="str">
        <f>IF($A1124="","",IF($D1124="V01",cad!$C$32,IF($D1124="V02",cad!$D$32,cad!$E$32)))</f>
        <v/>
      </c>
      <c r="J1124" t="str">
        <f>IF($A1124="","",IF($D1124="V01",cad!$C$33,IF($D1124="V02",cad!$D$33,cad!$E$33)))</f>
        <v/>
      </c>
      <c r="K1124" t="str">
        <f>IF($A1124="","",IF($D1124="V01",cad!$C$34,IF($D1124="V02",cad!$D$34,cad!$E$34)))</f>
        <v/>
      </c>
      <c r="L1124" t="str">
        <f>IF($A1124="","",IF($D1124="V01",cad!$C$35,IF($D1124="V02",cad!$D$35,cad!$E$35)))</f>
        <v/>
      </c>
      <c r="M1124" t="str">
        <f>IF($A1124="","",IF($D1124="V01",cad!$C$36,IF($D1124="V02",cad!$D$36,cad!$E$36)))</f>
        <v/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 t="str">
        <f>IF($A1125="","",IF($D1125="V01",cad!$C$23,IF($D1125="V02",cad!$D$23,cad!$E$23)))</f>
        <v/>
      </c>
      <c r="H1125" t="str">
        <f>IF($A1125="","",IF($D1125="V01",cad!$C$24,IF($D1125="V02",cad!$D$24,cad!$E$24)))</f>
        <v/>
      </c>
      <c r="I1125" t="str">
        <f>IF($A1125="","",IF($D1125="V01",cad!$C$32,IF($D1125="V02",cad!$D$32,cad!$E$32)))</f>
        <v/>
      </c>
      <c r="J1125" t="str">
        <f>IF($A1125="","",IF($D1125="V01",cad!$C$33,IF($D1125="V02",cad!$D$33,cad!$E$33)))</f>
        <v/>
      </c>
      <c r="K1125" t="str">
        <f>IF($A1125="","",IF($D1125="V01",cad!$C$34,IF($D1125="V02",cad!$D$34,cad!$E$34)))</f>
        <v/>
      </c>
      <c r="L1125" t="str">
        <f>IF($A1125="","",IF($D1125="V01",cad!$C$35,IF($D1125="V02",cad!$D$35,cad!$E$35)))</f>
        <v/>
      </c>
      <c r="M1125" t="str">
        <f>IF($A1125="","",IF($D1125="V01",cad!$C$36,IF($D1125="V02",cad!$D$36,cad!$E$36)))</f>
        <v/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 t="str">
        <f>IF($A1126="","",IF($D1126="V01",cad!$C$23,IF($D1126="V02",cad!$D$23,cad!$E$23)))</f>
        <v/>
      </c>
      <c r="H1126" t="str">
        <f>IF($A1126="","",IF($D1126="V01",cad!$C$24,IF($D1126="V02",cad!$D$24,cad!$E$24)))</f>
        <v/>
      </c>
      <c r="I1126" t="str">
        <f>IF($A1126="","",IF($D1126="V01",cad!$C$32,IF($D1126="V02",cad!$D$32,cad!$E$32)))</f>
        <v/>
      </c>
      <c r="J1126" t="str">
        <f>IF($A1126="","",IF($D1126="V01",cad!$C$33,IF($D1126="V02",cad!$D$33,cad!$E$33)))</f>
        <v/>
      </c>
      <c r="K1126" t="str">
        <f>IF($A1126="","",IF($D1126="V01",cad!$C$34,IF($D1126="V02",cad!$D$34,cad!$E$34)))</f>
        <v/>
      </c>
      <c r="L1126" t="str">
        <f>IF($A1126="","",IF($D1126="V01",cad!$C$35,IF($D1126="V02",cad!$D$35,cad!$E$35)))</f>
        <v/>
      </c>
      <c r="M1126" t="str">
        <f>IF($A1126="","",IF($D1126="V01",cad!$C$36,IF($D1126="V02",cad!$D$36,cad!$E$36)))</f>
        <v/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 t="str">
        <f>IF($A1127="","",IF($D1127="V01",cad!$C$23,IF($D1127="V02",cad!$D$23,cad!$E$23)))</f>
        <v/>
      </c>
      <c r="H1127" t="str">
        <f>IF($A1127="","",IF($D1127="V01",cad!$C$24,IF($D1127="V02",cad!$D$24,cad!$E$24)))</f>
        <v/>
      </c>
      <c r="I1127" t="str">
        <f>IF($A1127="","",IF($D1127="V01",cad!$C$32,IF($D1127="V02",cad!$D$32,cad!$E$32)))</f>
        <v/>
      </c>
      <c r="J1127" t="str">
        <f>IF($A1127="","",IF($D1127="V01",cad!$C$33,IF($D1127="V02",cad!$D$33,cad!$E$33)))</f>
        <v/>
      </c>
      <c r="K1127" t="str">
        <f>IF($A1127="","",IF($D1127="V01",cad!$C$34,IF($D1127="V02",cad!$D$34,cad!$E$34)))</f>
        <v/>
      </c>
      <c r="L1127" t="str">
        <f>IF($A1127="","",IF($D1127="V01",cad!$C$35,IF($D1127="V02",cad!$D$35,cad!$E$35)))</f>
        <v/>
      </c>
      <c r="M1127" t="str">
        <f>IF($A1127="","",IF($D1127="V01",cad!$C$36,IF($D1127="V02",cad!$D$36,cad!$E$36)))</f>
        <v/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 t="str">
        <f>IF($A1128="","",IF($D1128="V01",cad!$C$23,IF($D1128="V02",cad!$D$23,cad!$E$23)))</f>
        <v/>
      </c>
      <c r="H1128" t="str">
        <f>IF($A1128="","",IF($D1128="V01",cad!$C$24,IF($D1128="V02",cad!$D$24,cad!$E$24)))</f>
        <v/>
      </c>
      <c r="I1128" t="str">
        <f>IF($A1128="","",IF($D1128="V01",cad!$C$32,IF($D1128="V02",cad!$D$32,cad!$E$32)))</f>
        <v/>
      </c>
      <c r="J1128" t="str">
        <f>IF($A1128="","",IF($D1128="V01",cad!$C$33,IF($D1128="V02",cad!$D$33,cad!$E$33)))</f>
        <v/>
      </c>
      <c r="K1128" t="str">
        <f>IF($A1128="","",IF($D1128="V01",cad!$C$34,IF($D1128="V02",cad!$D$34,cad!$E$34)))</f>
        <v/>
      </c>
      <c r="L1128" t="str">
        <f>IF($A1128="","",IF($D1128="V01",cad!$C$35,IF($D1128="V02",cad!$D$35,cad!$E$35)))</f>
        <v/>
      </c>
      <c r="M1128" t="str">
        <f>IF($A1128="","",IF($D1128="V01",cad!$C$36,IF($D1128="V02",cad!$D$36,cad!$E$36)))</f>
        <v/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 t="str">
        <f>IF($A1129="","",IF($D1129="V01",cad!$C$23,IF($D1129="V02",cad!$D$23,cad!$E$23)))</f>
        <v/>
      </c>
      <c r="H1129" t="str">
        <f>IF($A1129="","",IF($D1129="V01",cad!$C$24,IF($D1129="V02",cad!$D$24,cad!$E$24)))</f>
        <v/>
      </c>
      <c r="I1129" t="str">
        <f>IF($A1129="","",IF($D1129="V01",cad!$C$32,IF($D1129="V02",cad!$D$32,cad!$E$32)))</f>
        <v/>
      </c>
      <c r="J1129" t="str">
        <f>IF($A1129="","",IF($D1129="V01",cad!$C$33,IF($D1129="V02",cad!$D$33,cad!$E$33)))</f>
        <v/>
      </c>
      <c r="K1129" t="str">
        <f>IF($A1129="","",IF($D1129="V01",cad!$C$34,IF($D1129="V02",cad!$D$34,cad!$E$34)))</f>
        <v/>
      </c>
      <c r="L1129" t="str">
        <f>IF($A1129="","",IF($D1129="V01",cad!$C$35,IF($D1129="V02",cad!$D$35,cad!$E$35)))</f>
        <v/>
      </c>
      <c r="M1129" t="str">
        <f>IF($A1129="","",IF($D1129="V01",cad!$C$36,IF($D1129="V02",cad!$D$36,cad!$E$36)))</f>
        <v/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 t="str">
        <f>IF($A1130="","",IF($D1130="V01",cad!$C$23,IF($D1130="V02",cad!$D$23,cad!$E$23)))</f>
        <v/>
      </c>
      <c r="H1130" t="str">
        <f>IF($A1130="","",IF($D1130="V01",cad!$C$24,IF($D1130="V02",cad!$D$24,cad!$E$24)))</f>
        <v/>
      </c>
      <c r="I1130" t="str">
        <f>IF($A1130="","",IF($D1130="V01",cad!$C$32,IF($D1130="V02",cad!$D$32,cad!$E$32)))</f>
        <v/>
      </c>
      <c r="J1130" t="str">
        <f>IF($A1130="","",IF($D1130="V01",cad!$C$33,IF($D1130="V02",cad!$D$33,cad!$E$33)))</f>
        <v/>
      </c>
      <c r="K1130" t="str">
        <f>IF($A1130="","",IF($D1130="V01",cad!$C$34,IF($D1130="V02",cad!$D$34,cad!$E$34)))</f>
        <v/>
      </c>
      <c r="L1130" t="str">
        <f>IF($A1130="","",IF($D1130="V01",cad!$C$35,IF($D1130="V02",cad!$D$35,cad!$E$35)))</f>
        <v/>
      </c>
      <c r="M1130" t="str">
        <f>IF($A1130="","",IF($D1130="V01",cad!$C$36,IF($D1130="V02",cad!$D$36,cad!$E$36)))</f>
        <v/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 t="str">
        <f>IF($A1131="","",IF($D1131="V01",cad!$C$23,IF($D1131="V02",cad!$D$23,cad!$E$23)))</f>
        <v/>
      </c>
      <c r="H1131" t="str">
        <f>IF($A1131="","",IF($D1131="V01",cad!$C$24,IF($D1131="V02",cad!$D$24,cad!$E$24)))</f>
        <v/>
      </c>
      <c r="I1131" t="str">
        <f>IF($A1131="","",IF($D1131="V01",cad!$C$32,IF($D1131="V02",cad!$D$32,cad!$E$32)))</f>
        <v/>
      </c>
      <c r="J1131" t="str">
        <f>IF($A1131="","",IF($D1131="V01",cad!$C$33,IF($D1131="V02",cad!$D$33,cad!$E$33)))</f>
        <v/>
      </c>
      <c r="K1131" t="str">
        <f>IF($A1131="","",IF($D1131="V01",cad!$C$34,IF($D1131="V02",cad!$D$34,cad!$E$34)))</f>
        <v/>
      </c>
      <c r="L1131" t="str">
        <f>IF($A1131="","",IF($D1131="V01",cad!$C$35,IF($D1131="V02",cad!$D$35,cad!$E$35)))</f>
        <v/>
      </c>
      <c r="M1131" t="str">
        <f>IF($A1131="","",IF($D1131="V01",cad!$C$36,IF($D1131="V02",cad!$D$36,cad!$E$36)))</f>
        <v/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 t="str">
        <f>IF($A1132="","",IF($D1132="V01",cad!$C$23,IF($D1132="V02",cad!$D$23,cad!$E$23)))</f>
        <v/>
      </c>
      <c r="H1132" t="str">
        <f>IF($A1132="","",IF($D1132="V01",cad!$C$24,IF($D1132="V02",cad!$D$24,cad!$E$24)))</f>
        <v/>
      </c>
      <c r="I1132" t="str">
        <f>IF($A1132="","",IF($D1132="V01",cad!$C$32,IF($D1132="V02",cad!$D$32,cad!$E$32)))</f>
        <v/>
      </c>
      <c r="J1132" t="str">
        <f>IF($A1132="","",IF($D1132="V01",cad!$C$33,IF($D1132="V02",cad!$D$33,cad!$E$33)))</f>
        <v/>
      </c>
      <c r="K1132" t="str">
        <f>IF($A1132="","",IF($D1132="V01",cad!$C$34,IF($D1132="V02",cad!$D$34,cad!$E$34)))</f>
        <v/>
      </c>
      <c r="L1132" t="str">
        <f>IF($A1132="","",IF($D1132="V01",cad!$C$35,IF($D1132="V02",cad!$D$35,cad!$E$35)))</f>
        <v/>
      </c>
      <c r="M1132" t="str">
        <f>IF($A1132="","",IF($D1132="V01",cad!$C$36,IF($D1132="V02",cad!$D$36,cad!$E$36)))</f>
        <v/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 t="str">
        <f>IF($A1133="","",IF($D1133="V01",cad!$C$23,IF($D1133="V02",cad!$D$23,cad!$E$23)))</f>
        <v/>
      </c>
      <c r="H1133" t="str">
        <f>IF($A1133="","",IF($D1133="V01",cad!$C$24,IF($D1133="V02",cad!$D$24,cad!$E$24)))</f>
        <v/>
      </c>
      <c r="I1133" t="str">
        <f>IF($A1133="","",IF($D1133="V01",cad!$C$32,IF($D1133="V02",cad!$D$32,cad!$E$32)))</f>
        <v/>
      </c>
      <c r="J1133" t="str">
        <f>IF($A1133="","",IF($D1133="V01",cad!$C$33,IF($D1133="V02",cad!$D$33,cad!$E$33)))</f>
        <v/>
      </c>
      <c r="K1133" t="str">
        <f>IF($A1133="","",IF($D1133="V01",cad!$C$34,IF($D1133="V02",cad!$D$34,cad!$E$34)))</f>
        <v/>
      </c>
      <c r="L1133" t="str">
        <f>IF($A1133="","",IF($D1133="V01",cad!$C$35,IF($D1133="V02",cad!$D$35,cad!$E$35)))</f>
        <v/>
      </c>
      <c r="M1133" t="str">
        <f>IF($A1133="","",IF($D1133="V01",cad!$C$36,IF($D1133="V02",cad!$D$36,cad!$E$36)))</f>
        <v/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 t="str">
        <f>IF($A1134="","",IF($D1134="V01",cad!$C$23,IF($D1134="V02",cad!$D$23,cad!$E$23)))</f>
        <v/>
      </c>
      <c r="H1134" t="str">
        <f>IF($A1134="","",IF($D1134="V01",cad!$C$24,IF($D1134="V02",cad!$D$24,cad!$E$24)))</f>
        <v/>
      </c>
      <c r="I1134" t="str">
        <f>IF($A1134="","",IF($D1134="V01",cad!$C$32,IF($D1134="V02",cad!$D$32,cad!$E$32)))</f>
        <v/>
      </c>
      <c r="J1134" t="str">
        <f>IF($A1134="","",IF($D1134="V01",cad!$C$33,IF($D1134="V02",cad!$D$33,cad!$E$33)))</f>
        <v/>
      </c>
      <c r="K1134" t="str">
        <f>IF($A1134="","",IF($D1134="V01",cad!$C$34,IF($D1134="V02",cad!$D$34,cad!$E$34)))</f>
        <v/>
      </c>
      <c r="L1134" t="str">
        <f>IF($A1134="","",IF($D1134="V01",cad!$C$35,IF($D1134="V02",cad!$D$35,cad!$E$35)))</f>
        <v/>
      </c>
      <c r="M1134" t="str">
        <f>IF($A1134="","",IF($D1134="V01",cad!$C$36,IF($D1134="V02",cad!$D$36,cad!$E$36)))</f>
        <v/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 t="str">
        <f>IF($A1135="","",IF($D1135="V01",cad!$C$23,IF($D1135="V02",cad!$D$23,cad!$E$23)))</f>
        <v/>
      </c>
      <c r="H1135" t="str">
        <f>IF($A1135="","",IF($D1135="V01",cad!$C$24,IF($D1135="V02",cad!$D$24,cad!$E$24)))</f>
        <v/>
      </c>
      <c r="I1135" t="str">
        <f>IF($A1135="","",IF($D1135="V01",cad!$C$32,IF($D1135="V02",cad!$D$32,cad!$E$32)))</f>
        <v/>
      </c>
      <c r="J1135" t="str">
        <f>IF($A1135="","",IF($D1135="V01",cad!$C$33,IF($D1135="V02",cad!$D$33,cad!$E$33)))</f>
        <v/>
      </c>
      <c r="K1135" t="str">
        <f>IF($A1135="","",IF($D1135="V01",cad!$C$34,IF($D1135="V02",cad!$D$34,cad!$E$34)))</f>
        <v/>
      </c>
      <c r="L1135" t="str">
        <f>IF($A1135="","",IF($D1135="V01",cad!$C$35,IF($D1135="V02",cad!$D$35,cad!$E$35)))</f>
        <v/>
      </c>
      <c r="M1135" t="str">
        <f>IF($A1135="","",IF($D1135="V01",cad!$C$36,IF($D1135="V02",cad!$D$36,cad!$E$36)))</f>
        <v/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 t="str">
        <f>IF($A1136="","",IF($D1136="V01",cad!$C$23,IF($D1136="V02",cad!$D$23,cad!$E$23)))</f>
        <v/>
      </c>
      <c r="H1136" t="str">
        <f>IF($A1136="","",IF($D1136="V01",cad!$C$24,IF($D1136="V02",cad!$D$24,cad!$E$24)))</f>
        <v/>
      </c>
      <c r="I1136" t="str">
        <f>IF($A1136="","",IF($D1136="V01",cad!$C$32,IF($D1136="V02",cad!$D$32,cad!$E$32)))</f>
        <v/>
      </c>
      <c r="J1136" t="str">
        <f>IF($A1136="","",IF($D1136="V01",cad!$C$33,IF($D1136="V02",cad!$D$33,cad!$E$33)))</f>
        <v/>
      </c>
      <c r="K1136" t="str">
        <f>IF($A1136="","",IF($D1136="V01",cad!$C$34,IF($D1136="V02",cad!$D$34,cad!$E$34)))</f>
        <v/>
      </c>
      <c r="L1136" t="str">
        <f>IF($A1136="","",IF($D1136="V01",cad!$C$35,IF($D1136="V02",cad!$D$35,cad!$E$35)))</f>
        <v/>
      </c>
      <c r="M1136" t="str">
        <f>IF($A1136="","",IF($D1136="V01",cad!$C$36,IF($D1136="V02",cad!$D$36,cad!$E$36)))</f>
        <v/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 t="str">
        <f>IF($A1137="","",IF($D1137="V01",cad!$C$23,IF($D1137="V02",cad!$D$23,cad!$E$23)))</f>
        <v/>
      </c>
      <c r="H1137" t="str">
        <f>IF($A1137="","",IF($D1137="V01",cad!$C$24,IF($D1137="V02",cad!$D$24,cad!$E$24)))</f>
        <v/>
      </c>
      <c r="I1137" t="str">
        <f>IF($A1137="","",IF($D1137="V01",cad!$C$32,IF($D1137="V02",cad!$D$32,cad!$E$32)))</f>
        <v/>
      </c>
      <c r="J1137" t="str">
        <f>IF($A1137="","",IF($D1137="V01",cad!$C$33,IF($D1137="V02",cad!$D$33,cad!$E$33)))</f>
        <v/>
      </c>
      <c r="K1137" t="str">
        <f>IF($A1137="","",IF($D1137="V01",cad!$C$34,IF($D1137="V02",cad!$D$34,cad!$E$34)))</f>
        <v/>
      </c>
      <c r="L1137" t="str">
        <f>IF($A1137="","",IF($D1137="V01",cad!$C$35,IF($D1137="V02",cad!$D$35,cad!$E$35)))</f>
        <v/>
      </c>
      <c r="M1137" t="str">
        <f>IF($A1137="","",IF($D1137="V01",cad!$C$36,IF($D1137="V02",cad!$D$36,cad!$E$36)))</f>
        <v/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 t="str">
        <f>IF($A1138="","",IF($D1138="V01",cad!$C$23,IF($D1138="V02",cad!$D$23,cad!$E$23)))</f>
        <v/>
      </c>
      <c r="H1138" t="str">
        <f>IF($A1138="","",IF($D1138="V01",cad!$C$24,IF($D1138="V02",cad!$D$24,cad!$E$24)))</f>
        <v/>
      </c>
      <c r="I1138" t="str">
        <f>IF($A1138="","",IF($D1138="V01",cad!$C$32,IF($D1138="V02",cad!$D$32,cad!$E$32)))</f>
        <v/>
      </c>
      <c r="J1138" t="str">
        <f>IF($A1138="","",IF($D1138="V01",cad!$C$33,IF($D1138="V02",cad!$D$33,cad!$E$33)))</f>
        <v/>
      </c>
      <c r="K1138" t="str">
        <f>IF($A1138="","",IF($D1138="V01",cad!$C$34,IF($D1138="V02",cad!$D$34,cad!$E$34)))</f>
        <v/>
      </c>
      <c r="L1138" t="str">
        <f>IF($A1138="","",IF($D1138="V01",cad!$C$35,IF($D1138="V02",cad!$D$35,cad!$E$35)))</f>
        <v/>
      </c>
      <c r="M1138" t="str">
        <f>IF($A1138="","",IF($D1138="V01",cad!$C$36,IF($D1138="V02",cad!$D$36,cad!$E$36)))</f>
        <v/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 t="str">
        <f>IF($A1139="","",IF($D1139="V01",cad!$C$23,IF($D1139="V02",cad!$D$23,cad!$E$23)))</f>
        <v/>
      </c>
      <c r="H1139" t="str">
        <f>IF($A1139="","",IF($D1139="V01",cad!$C$24,IF($D1139="V02",cad!$D$24,cad!$E$24)))</f>
        <v/>
      </c>
      <c r="I1139" t="str">
        <f>IF($A1139="","",IF($D1139="V01",cad!$C$32,IF($D1139="V02",cad!$D$32,cad!$E$32)))</f>
        <v/>
      </c>
      <c r="J1139" t="str">
        <f>IF($A1139="","",IF($D1139="V01",cad!$C$33,IF($D1139="V02",cad!$D$33,cad!$E$33)))</f>
        <v/>
      </c>
      <c r="K1139" t="str">
        <f>IF($A1139="","",IF($D1139="V01",cad!$C$34,IF($D1139="V02",cad!$D$34,cad!$E$34)))</f>
        <v/>
      </c>
      <c r="L1139" t="str">
        <f>IF($A1139="","",IF($D1139="V01",cad!$C$35,IF($D1139="V02",cad!$D$35,cad!$E$35)))</f>
        <v/>
      </c>
      <c r="M1139" t="str">
        <f>IF($A1139="","",IF($D1139="V01",cad!$C$36,IF($D1139="V02",cad!$D$36,cad!$E$36)))</f>
        <v/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 t="str">
        <f>IF($A1140="","",IF($D1140="V01",cad!$C$23,IF($D1140="V02",cad!$D$23,cad!$E$23)))</f>
        <v/>
      </c>
      <c r="H1140" t="str">
        <f>IF($A1140="","",IF($D1140="V01",cad!$C$24,IF($D1140="V02",cad!$D$24,cad!$E$24)))</f>
        <v/>
      </c>
      <c r="I1140" t="str">
        <f>IF($A1140="","",IF($D1140="V01",cad!$C$32,IF($D1140="V02",cad!$D$32,cad!$E$32)))</f>
        <v/>
      </c>
      <c r="J1140" t="str">
        <f>IF($A1140="","",IF($D1140="V01",cad!$C$33,IF($D1140="V02",cad!$D$33,cad!$E$33)))</f>
        <v/>
      </c>
      <c r="K1140" t="str">
        <f>IF($A1140="","",IF($D1140="V01",cad!$C$34,IF($D1140="V02",cad!$D$34,cad!$E$34)))</f>
        <v/>
      </c>
      <c r="L1140" t="str">
        <f>IF($A1140="","",IF($D1140="V01",cad!$C$35,IF($D1140="V02",cad!$D$35,cad!$E$35)))</f>
        <v/>
      </c>
      <c r="M1140" t="str">
        <f>IF($A1140="","",IF($D1140="V01",cad!$C$36,IF($D1140="V02",cad!$D$36,cad!$E$36)))</f>
        <v/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 t="str">
        <f>IF($A1141="","",IF($D1141="V01",cad!$C$23,IF($D1141="V02",cad!$D$23,cad!$E$23)))</f>
        <v/>
      </c>
      <c r="H1141" t="str">
        <f>IF($A1141="","",IF($D1141="V01",cad!$C$24,IF($D1141="V02",cad!$D$24,cad!$E$24)))</f>
        <v/>
      </c>
      <c r="I1141" t="str">
        <f>IF($A1141="","",IF($D1141="V01",cad!$C$32,IF($D1141="V02",cad!$D$32,cad!$E$32)))</f>
        <v/>
      </c>
      <c r="J1141" t="str">
        <f>IF($A1141="","",IF($D1141="V01",cad!$C$33,IF($D1141="V02",cad!$D$33,cad!$E$33)))</f>
        <v/>
      </c>
      <c r="K1141" t="str">
        <f>IF($A1141="","",IF($D1141="V01",cad!$C$34,IF($D1141="V02",cad!$D$34,cad!$E$34)))</f>
        <v/>
      </c>
      <c r="L1141" t="str">
        <f>IF($A1141="","",IF($D1141="V01",cad!$C$35,IF($D1141="V02",cad!$D$35,cad!$E$35)))</f>
        <v/>
      </c>
      <c r="M1141" t="str">
        <f>IF($A1141="","",IF($D1141="V01",cad!$C$36,IF($D1141="V02",cad!$D$36,cad!$E$36)))</f>
        <v/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 t="str">
        <f>IF($A1142="","",IF($D1142="V01",cad!$C$23,IF($D1142="V02",cad!$D$23,cad!$E$23)))</f>
        <v/>
      </c>
      <c r="H1142" t="str">
        <f>IF($A1142="","",IF($D1142="V01",cad!$C$24,IF($D1142="V02",cad!$D$24,cad!$E$24)))</f>
        <v/>
      </c>
      <c r="I1142" t="str">
        <f>IF($A1142="","",IF($D1142="V01",cad!$C$32,IF($D1142="V02",cad!$D$32,cad!$E$32)))</f>
        <v/>
      </c>
      <c r="J1142" t="str">
        <f>IF($A1142="","",IF($D1142="V01",cad!$C$33,IF($D1142="V02",cad!$D$33,cad!$E$33)))</f>
        <v/>
      </c>
      <c r="K1142" t="str">
        <f>IF($A1142="","",IF($D1142="V01",cad!$C$34,IF($D1142="V02",cad!$D$34,cad!$E$34)))</f>
        <v/>
      </c>
      <c r="L1142" t="str">
        <f>IF($A1142="","",IF($D1142="V01",cad!$C$35,IF($D1142="V02",cad!$D$35,cad!$E$35)))</f>
        <v/>
      </c>
      <c r="M1142" t="str">
        <f>IF($A1142="","",IF($D1142="V01",cad!$C$36,IF($D1142="V02",cad!$D$36,cad!$E$36)))</f>
        <v/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 t="str">
        <f>IF($A1143="","",IF($D1143="V01",cad!$C$23,IF($D1143="V02",cad!$D$23,cad!$E$23)))</f>
        <v/>
      </c>
      <c r="H1143" t="str">
        <f>IF($A1143="","",IF($D1143="V01",cad!$C$24,IF($D1143="V02",cad!$D$24,cad!$E$24)))</f>
        <v/>
      </c>
      <c r="I1143" t="str">
        <f>IF($A1143="","",IF($D1143="V01",cad!$C$32,IF($D1143="V02",cad!$D$32,cad!$E$32)))</f>
        <v/>
      </c>
      <c r="J1143" t="str">
        <f>IF($A1143="","",IF($D1143="V01",cad!$C$33,IF($D1143="V02",cad!$D$33,cad!$E$33)))</f>
        <v/>
      </c>
      <c r="K1143" t="str">
        <f>IF($A1143="","",IF($D1143="V01",cad!$C$34,IF($D1143="V02",cad!$D$34,cad!$E$34)))</f>
        <v/>
      </c>
      <c r="L1143" t="str">
        <f>IF($A1143="","",IF($D1143="V01",cad!$C$35,IF($D1143="V02",cad!$D$35,cad!$E$35)))</f>
        <v/>
      </c>
      <c r="M1143" t="str">
        <f>IF($A1143="","",IF($D1143="V01",cad!$C$36,IF($D1143="V02",cad!$D$36,cad!$E$36)))</f>
        <v/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 t="str">
        <f>IF($A1144="","",IF($D1144="V01",cad!$C$23,IF($D1144="V02",cad!$D$23,cad!$E$23)))</f>
        <v/>
      </c>
      <c r="H1144" t="str">
        <f>IF($A1144="","",IF($D1144="V01",cad!$C$24,IF($D1144="V02",cad!$D$24,cad!$E$24)))</f>
        <v/>
      </c>
      <c r="I1144" t="str">
        <f>IF($A1144="","",IF($D1144="V01",cad!$C$32,IF($D1144="V02",cad!$D$32,cad!$E$32)))</f>
        <v/>
      </c>
      <c r="J1144" t="str">
        <f>IF($A1144="","",IF($D1144="V01",cad!$C$33,IF($D1144="V02",cad!$D$33,cad!$E$33)))</f>
        <v/>
      </c>
      <c r="K1144" t="str">
        <f>IF($A1144="","",IF($D1144="V01",cad!$C$34,IF($D1144="V02",cad!$D$34,cad!$E$34)))</f>
        <v/>
      </c>
      <c r="L1144" t="str">
        <f>IF($A1144="","",IF($D1144="V01",cad!$C$35,IF($D1144="V02",cad!$D$35,cad!$E$35)))</f>
        <v/>
      </c>
      <c r="M1144" t="str">
        <f>IF($A1144="","",IF($D1144="V01",cad!$C$36,IF($D1144="V02",cad!$D$36,cad!$E$36)))</f>
        <v/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 t="str">
        <f>IF($A1145="","",IF($D1145="V01",cad!$C$23,IF($D1145="V02",cad!$D$23,cad!$E$23)))</f>
        <v/>
      </c>
      <c r="H1145" t="str">
        <f>IF($A1145="","",IF($D1145="V01",cad!$C$24,IF($D1145="V02",cad!$D$24,cad!$E$24)))</f>
        <v/>
      </c>
      <c r="I1145" t="str">
        <f>IF($A1145="","",IF($D1145="V01",cad!$C$32,IF($D1145="V02",cad!$D$32,cad!$E$32)))</f>
        <v/>
      </c>
      <c r="J1145" t="str">
        <f>IF($A1145="","",IF($D1145="V01",cad!$C$33,IF($D1145="V02",cad!$D$33,cad!$E$33)))</f>
        <v/>
      </c>
      <c r="K1145" t="str">
        <f>IF($A1145="","",IF($D1145="V01",cad!$C$34,IF($D1145="V02",cad!$D$34,cad!$E$34)))</f>
        <v/>
      </c>
      <c r="L1145" t="str">
        <f>IF($A1145="","",IF($D1145="V01",cad!$C$35,IF($D1145="V02",cad!$D$35,cad!$E$35)))</f>
        <v/>
      </c>
      <c r="M1145" t="str">
        <f>IF($A1145="","",IF($D1145="V01",cad!$C$36,IF($D1145="V02",cad!$D$36,cad!$E$36)))</f>
        <v/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 t="str">
        <f>IF($A1146="","",IF($D1146="V01",cad!$C$23,IF($D1146="V02",cad!$D$23,cad!$E$23)))</f>
        <v/>
      </c>
      <c r="H1146" t="str">
        <f>IF($A1146="","",IF($D1146="V01",cad!$C$24,IF($D1146="V02",cad!$D$24,cad!$E$24)))</f>
        <v/>
      </c>
      <c r="I1146" t="str">
        <f>IF($A1146="","",IF($D1146="V01",cad!$C$32,IF($D1146="V02",cad!$D$32,cad!$E$32)))</f>
        <v/>
      </c>
      <c r="J1146" t="str">
        <f>IF($A1146="","",IF($D1146="V01",cad!$C$33,IF($D1146="V02",cad!$D$33,cad!$E$33)))</f>
        <v/>
      </c>
      <c r="K1146" t="str">
        <f>IF($A1146="","",IF($D1146="V01",cad!$C$34,IF($D1146="V02",cad!$D$34,cad!$E$34)))</f>
        <v/>
      </c>
      <c r="L1146" t="str">
        <f>IF($A1146="","",IF($D1146="V01",cad!$C$35,IF($D1146="V02",cad!$D$35,cad!$E$35)))</f>
        <v/>
      </c>
      <c r="M1146" t="str">
        <f>IF($A1146="","",IF($D1146="V01",cad!$C$36,IF($D1146="V02",cad!$D$36,cad!$E$36)))</f>
        <v/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 t="str">
        <f>IF($A1147="","",IF($D1147="V01",cad!$C$23,IF($D1147="V02",cad!$D$23,cad!$E$23)))</f>
        <v/>
      </c>
      <c r="H1147" t="str">
        <f>IF($A1147="","",IF($D1147="V01",cad!$C$24,IF($D1147="V02",cad!$D$24,cad!$E$24)))</f>
        <v/>
      </c>
      <c r="I1147" t="str">
        <f>IF($A1147="","",IF($D1147="V01",cad!$C$32,IF($D1147="V02",cad!$D$32,cad!$E$32)))</f>
        <v/>
      </c>
      <c r="J1147" t="str">
        <f>IF($A1147="","",IF($D1147="V01",cad!$C$33,IF($D1147="V02",cad!$D$33,cad!$E$33)))</f>
        <v/>
      </c>
      <c r="K1147" t="str">
        <f>IF($A1147="","",IF($D1147="V01",cad!$C$34,IF($D1147="V02",cad!$D$34,cad!$E$34)))</f>
        <v/>
      </c>
      <c r="L1147" t="str">
        <f>IF($A1147="","",IF($D1147="V01",cad!$C$35,IF($D1147="V02",cad!$D$35,cad!$E$35)))</f>
        <v/>
      </c>
      <c r="M1147" t="str">
        <f>IF($A1147="","",IF($D1147="V01",cad!$C$36,IF($D1147="V02",cad!$D$36,cad!$E$36)))</f>
        <v/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 t="str">
        <f>IF($A1148="","",IF($D1148="V01",cad!$C$23,IF($D1148="V02",cad!$D$23,cad!$E$23)))</f>
        <v/>
      </c>
      <c r="H1148" t="str">
        <f>IF($A1148="","",IF($D1148="V01",cad!$C$24,IF($D1148="V02",cad!$D$24,cad!$E$24)))</f>
        <v/>
      </c>
      <c r="I1148" t="str">
        <f>IF($A1148="","",IF($D1148="V01",cad!$C$32,IF($D1148="V02",cad!$D$32,cad!$E$32)))</f>
        <v/>
      </c>
      <c r="J1148" t="str">
        <f>IF($A1148="","",IF($D1148="V01",cad!$C$33,IF($D1148="V02",cad!$D$33,cad!$E$33)))</f>
        <v/>
      </c>
      <c r="K1148" t="str">
        <f>IF($A1148="","",IF($D1148="V01",cad!$C$34,IF($D1148="V02",cad!$D$34,cad!$E$34)))</f>
        <v/>
      </c>
      <c r="L1148" t="str">
        <f>IF($A1148="","",IF($D1148="V01",cad!$C$35,IF($D1148="V02",cad!$D$35,cad!$E$35)))</f>
        <v/>
      </c>
      <c r="M1148" t="str">
        <f>IF($A1148="","",IF($D1148="V01",cad!$C$36,IF($D1148="V02",cad!$D$36,cad!$E$36)))</f>
        <v/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 t="str">
        <f>IF($A1149="","",IF($D1149="V01",cad!$C$23,IF($D1149="V02",cad!$D$23,cad!$E$23)))</f>
        <v/>
      </c>
      <c r="H1149" t="str">
        <f>IF($A1149="","",IF($D1149="V01",cad!$C$24,IF($D1149="V02",cad!$D$24,cad!$E$24)))</f>
        <v/>
      </c>
      <c r="I1149" t="str">
        <f>IF($A1149="","",IF($D1149="V01",cad!$C$32,IF($D1149="V02",cad!$D$32,cad!$E$32)))</f>
        <v/>
      </c>
      <c r="J1149" t="str">
        <f>IF($A1149="","",IF($D1149="V01",cad!$C$33,IF($D1149="V02",cad!$D$33,cad!$E$33)))</f>
        <v/>
      </c>
      <c r="K1149" t="str">
        <f>IF($A1149="","",IF($D1149="V01",cad!$C$34,IF($D1149="V02",cad!$D$34,cad!$E$34)))</f>
        <v/>
      </c>
      <c r="L1149" t="str">
        <f>IF($A1149="","",IF($D1149="V01",cad!$C$35,IF($D1149="V02",cad!$D$35,cad!$E$35)))</f>
        <v/>
      </c>
      <c r="M1149" t="str">
        <f>IF($A1149="","",IF($D1149="V01",cad!$C$36,IF($D1149="V02",cad!$D$36,cad!$E$36)))</f>
        <v/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 t="str">
        <f>IF($A1150="","",IF($D1150="V01",cad!$C$23,IF($D1150="V02",cad!$D$23,cad!$E$23)))</f>
        <v/>
      </c>
      <c r="H1150" t="str">
        <f>IF($A1150="","",IF($D1150="V01",cad!$C$24,IF($D1150="V02",cad!$D$24,cad!$E$24)))</f>
        <v/>
      </c>
      <c r="I1150" t="str">
        <f>IF($A1150="","",IF($D1150="V01",cad!$C$32,IF($D1150="V02",cad!$D$32,cad!$E$32)))</f>
        <v/>
      </c>
      <c r="J1150" t="str">
        <f>IF($A1150="","",IF($D1150="V01",cad!$C$33,IF($D1150="V02",cad!$D$33,cad!$E$33)))</f>
        <v/>
      </c>
      <c r="K1150" t="str">
        <f>IF($A1150="","",IF($D1150="V01",cad!$C$34,IF($D1150="V02",cad!$D$34,cad!$E$34)))</f>
        <v/>
      </c>
      <c r="L1150" t="str">
        <f>IF($A1150="","",IF($D1150="V01",cad!$C$35,IF($D1150="V02",cad!$D$35,cad!$E$35)))</f>
        <v/>
      </c>
      <c r="M1150" t="str">
        <f>IF($A1150="","",IF($D1150="V01",cad!$C$36,IF($D1150="V02",cad!$D$36,cad!$E$36)))</f>
        <v/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 t="str">
        <f>IF($A1151="","",IF($D1151="V01",cad!$C$23,IF($D1151="V02",cad!$D$23,cad!$E$23)))</f>
        <v/>
      </c>
      <c r="H1151" t="str">
        <f>IF($A1151="","",IF($D1151="V01",cad!$C$24,IF($D1151="V02",cad!$D$24,cad!$E$24)))</f>
        <v/>
      </c>
      <c r="I1151" t="str">
        <f>IF($A1151="","",IF($D1151="V01",cad!$C$32,IF($D1151="V02",cad!$D$32,cad!$E$32)))</f>
        <v/>
      </c>
      <c r="J1151" t="str">
        <f>IF($A1151="","",IF($D1151="V01",cad!$C$33,IF($D1151="V02",cad!$D$33,cad!$E$33)))</f>
        <v/>
      </c>
      <c r="K1151" t="str">
        <f>IF($A1151="","",IF($D1151="V01",cad!$C$34,IF($D1151="V02",cad!$D$34,cad!$E$34)))</f>
        <v/>
      </c>
      <c r="L1151" t="str">
        <f>IF($A1151="","",IF($D1151="V01",cad!$C$35,IF($D1151="V02",cad!$D$35,cad!$E$35)))</f>
        <v/>
      </c>
      <c r="M1151" t="str">
        <f>IF($A1151="","",IF($D1151="V01",cad!$C$36,IF($D1151="V02",cad!$D$36,cad!$E$36)))</f>
        <v/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 t="str">
        <f>IF($A1152="","",IF($D1152="V01",cad!$C$23,IF($D1152="V02",cad!$D$23,cad!$E$23)))</f>
        <v/>
      </c>
      <c r="H1152" t="str">
        <f>IF($A1152="","",IF($D1152="V01",cad!$C$24,IF($D1152="V02",cad!$D$24,cad!$E$24)))</f>
        <v/>
      </c>
      <c r="I1152" t="str">
        <f>IF($A1152="","",IF($D1152="V01",cad!$C$32,IF($D1152="V02",cad!$D$32,cad!$E$32)))</f>
        <v/>
      </c>
      <c r="J1152" t="str">
        <f>IF($A1152="","",IF($D1152="V01",cad!$C$33,IF($D1152="V02",cad!$D$33,cad!$E$33)))</f>
        <v/>
      </c>
      <c r="K1152" t="str">
        <f>IF($A1152="","",IF($D1152="V01",cad!$C$34,IF($D1152="V02",cad!$D$34,cad!$E$34)))</f>
        <v/>
      </c>
      <c r="L1152" t="str">
        <f>IF($A1152="","",IF($D1152="V01",cad!$C$35,IF($D1152="V02",cad!$D$35,cad!$E$35)))</f>
        <v/>
      </c>
      <c r="M1152" t="str">
        <f>IF($A1152="","",IF($D1152="V01",cad!$C$36,IF($D1152="V02",cad!$D$36,cad!$E$36)))</f>
        <v/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 t="str">
        <f>IF($A1153="","",IF($D1153="V01",cad!$C$23,IF($D1153="V02",cad!$D$23,cad!$E$23)))</f>
        <v/>
      </c>
      <c r="H1153" t="str">
        <f>IF($A1153="","",IF($D1153="V01",cad!$C$24,IF($D1153="V02",cad!$D$24,cad!$E$24)))</f>
        <v/>
      </c>
      <c r="I1153" t="str">
        <f>IF($A1153="","",IF($D1153="V01",cad!$C$32,IF($D1153="V02",cad!$D$32,cad!$E$32)))</f>
        <v/>
      </c>
      <c r="J1153" t="str">
        <f>IF($A1153="","",IF($D1153="V01",cad!$C$33,IF($D1153="V02",cad!$D$33,cad!$E$33)))</f>
        <v/>
      </c>
      <c r="K1153" t="str">
        <f>IF($A1153="","",IF($D1153="V01",cad!$C$34,IF($D1153="V02",cad!$D$34,cad!$E$34)))</f>
        <v/>
      </c>
      <c r="L1153" t="str">
        <f>IF($A1153="","",IF($D1153="V01",cad!$C$35,IF($D1153="V02",cad!$D$35,cad!$E$35)))</f>
        <v/>
      </c>
      <c r="M1153" t="str">
        <f>IF($A1153="","",IF($D1153="V01",cad!$C$36,IF($D1153="V02",cad!$D$36,cad!$E$36)))</f>
        <v/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 t="str">
        <f>IF($A1154="","",IF($D1154="V01",cad!$C$23,IF($D1154="V02",cad!$D$23,cad!$E$23)))</f>
        <v/>
      </c>
      <c r="H1154" t="str">
        <f>IF($A1154="","",IF($D1154="V01",cad!$C$24,IF($D1154="V02",cad!$D$24,cad!$E$24)))</f>
        <v/>
      </c>
      <c r="I1154" t="str">
        <f>IF($A1154="","",IF($D1154="V01",cad!$C$32,IF($D1154="V02",cad!$D$32,cad!$E$32)))</f>
        <v/>
      </c>
      <c r="J1154" t="str">
        <f>IF($A1154="","",IF($D1154="V01",cad!$C$33,IF($D1154="V02",cad!$D$33,cad!$E$33)))</f>
        <v/>
      </c>
      <c r="K1154" t="str">
        <f>IF($A1154="","",IF($D1154="V01",cad!$C$34,IF($D1154="V02",cad!$D$34,cad!$E$34)))</f>
        <v/>
      </c>
      <c r="L1154" t="str">
        <f>IF($A1154="","",IF($D1154="V01",cad!$C$35,IF($D1154="V02",cad!$D$35,cad!$E$35)))</f>
        <v/>
      </c>
      <c r="M1154" t="str">
        <f>IF($A1154="","",IF($D1154="V01",cad!$C$36,IF($D1154="V02",cad!$D$36,cad!$E$36)))</f>
        <v/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 t="str">
        <f>IF($A1155="","",IF($D1155="V01",cad!$C$23,IF($D1155="V02",cad!$D$23,cad!$E$23)))</f>
        <v/>
      </c>
      <c r="H1155" t="str">
        <f>IF($A1155="","",IF($D1155="V01",cad!$C$24,IF($D1155="V02",cad!$D$24,cad!$E$24)))</f>
        <v/>
      </c>
      <c r="I1155" t="str">
        <f>IF($A1155="","",IF($D1155="V01",cad!$C$32,IF($D1155="V02",cad!$D$32,cad!$E$32)))</f>
        <v/>
      </c>
      <c r="J1155" t="str">
        <f>IF($A1155="","",IF($D1155="V01",cad!$C$33,IF($D1155="V02",cad!$D$33,cad!$E$33)))</f>
        <v/>
      </c>
      <c r="K1155" t="str">
        <f>IF($A1155="","",IF($D1155="V01",cad!$C$34,IF($D1155="V02",cad!$D$34,cad!$E$34)))</f>
        <v/>
      </c>
      <c r="L1155" t="str">
        <f>IF($A1155="","",IF($D1155="V01",cad!$C$35,IF($D1155="V02",cad!$D$35,cad!$E$35)))</f>
        <v/>
      </c>
      <c r="M1155" t="str">
        <f>IF($A1155="","",IF($D1155="V01",cad!$C$36,IF($D1155="V02",cad!$D$36,cad!$E$36)))</f>
        <v/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 t="str">
        <f>IF($A1156="","",IF($D1156="V01",cad!$C$23,IF($D1156="V02",cad!$D$23,cad!$E$23)))</f>
        <v/>
      </c>
      <c r="H1156" t="str">
        <f>IF($A1156="","",IF($D1156="V01",cad!$C$24,IF($D1156="V02",cad!$D$24,cad!$E$24)))</f>
        <v/>
      </c>
      <c r="I1156" t="str">
        <f>IF($A1156="","",IF($D1156="V01",cad!$C$32,IF($D1156="V02",cad!$D$32,cad!$E$32)))</f>
        <v/>
      </c>
      <c r="J1156" t="str">
        <f>IF($A1156="","",IF($D1156="V01",cad!$C$33,IF($D1156="V02",cad!$D$33,cad!$E$33)))</f>
        <v/>
      </c>
      <c r="K1156" t="str">
        <f>IF($A1156="","",IF($D1156="V01",cad!$C$34,IF($D1156="V02",cad!$D$34,cad!$E$34)))</f>
        <v/>
      </c>
      <c r="L1156" t="str">
        <f>IF($A1156="","",IF($D1156="V01",cad!$C$35,IF($D1156="V02",cad!$D$35,cad!$E$35)))</f>
        <v/>
      </c>
      <c r="M1156" t="str">
        <f>IF($A1156="","",IF($D1156="V01",cad!$C$36,IF($D1156="V02",cad!$D$36,cad!$E$36)))</f>
        <v/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 t="str">
        <f>IF($A1157="","",IF($D1157="V01",cad!$C$23,IF($D1157="V02",cad!$D$23,cad!$E$23)))</f>
        <v/>
      </c>
      <c r="H1157" t="str">
        <f>IF($A1157="","",IF($D1157="V01",cad!$C$24,IF($D1157="V02",cad!$D$24,cad!$E$24)))</f>
        <v/>
      </c>
      <c r="I1157" t="str">
        <f>IF($A1157="","",IF($D1157="V01",cad!$C$32,IF($D1157="V02",cad!$D$32,cad!$E$32)))</f>
        <v/>
      </c>
      <c r="J1157" t="str">
        <f>IF($A1157="","",IF($D1157="V01",cad!$C$33,IF($D1157="V02",cad!$D$33,cad!$E$33)))</f>
        <v/>
      </c>
      <c r="K1157" t="str">
        <f>IF($A1157="","",IF($D1157="V01",cad!$C$34,IF($D1157="V02",cad!$D$34,cad!$E$34)))</f>
        <v/>
      </c>
      <c r="L1157" t="str">
        <f>IF($A1157="","",IF($D1157="V01",cad!$C$35,IF($D1157="V02",cad!$D$35,cad!$E$35)))</f>
        <v/>
      </c>
      <c r="M1157" t="str">
        <f>IF($A1157="","",IF($D1157="V01",cad!$C$36,IF($D1157="V02",cad!$D$36,cad!$E$36)))</f>
        <v/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 t="str">
        <f>IF($A1158="","",IF($D1158="V01",cad!$C$23,IF($D1158="V02",cad!$D$23,cad!$E$23)))</f>
        <v/>
      </c>
      <c r="H1158" t="str">
        <f>IF($A1158="","",IF($D1158="V01",cad!$C$24,IF($D1158="V02",cad!$D$24,cad!$E$24)))</f>
        <v/>
      </c>
      <c r="I1158" t="str">
        <f>IF($A1158="","",IF($D1158="V01",cad!$C$32,IF($D1158="V02",cad!$D$32,cad!$E$32)))</f>
        <v/>
      </c>
      <c r="J1158" t="str">
        <f>IF($A1158="","",IF($D1158="V01",cad!$C$33,IF($D1158="V02",cad!$D$33,cad!$E$33)))</f>
        <v/>
      </c>
      <c r="K1158" t="str">
        <f>IF($A1158="","",IF($D1158="V01",cad!$C$34,IF($D1158="V02",cad!$D$34,cad!$E$34)))</f>
        <v/>
      </c>
      <c r="L1158" t="str">
        <f>IF($A1158="","",IF($D1158="V01",cad!$C$35,IF($D1158="V02",cad!$D$35,cad!$E$35)))</f>
        <v/>
      </c>
      <c r="M1158" t="str">
        <f>IF($A1158="","",IF($D1158="V01",cad!$C$36,IF($D1158="V02",cad!$D$36,cad!$E$36)))</f>
        <v/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 t="str">
        <f>IF($A1159="","",IF($D1159="V01",cad!$C$23,IF($D1159="V02",cad!$D$23,cad!$E$23)))</f>
        <v/>
      </c>
      <c r="H1159" t="str">
        <f>IF($A1159="","",IF($D1159="V01",cad!$C$24,IF($D1159="V02",cad!$D$24,cad!$E$24)))</f>
        <v/>
      </c>
      <c r="I1159" t="str">
        <f>IF($A1159="","",IF($D1159="V01",cad!$C$32,IF($D1159="V02",cad!$D$32,cad!$E$32)))</f>
        <v/>
      </c>
      <c r="J1159" t="str">
        <f>IF($A1159="","",IF($D1159="V01",cad!$C$33,IF($D1159="V02",cad!$D$33,cad!$E$33)))</f>
        <v/>
      </c>
      <c r="K1159" t="str">
        <f>IF($A1159="","",IF($D1159="V01",cad!$C$34,IF($D1159="V02",cad!$D$34,cad!$E$34)))</f>
        <v/>
      </c>
      <c r="L1159" t="str">
        <f>IF($A1159="","",IF($D1159="V01",cad!$C$35,IF($D1159="V02",cad!$D$35,cad!$E$35)))</f>
        <v/>
      </c>
      <c r="M1159" t="str">
        <f>IF($A1159="","",IF($D1159="V01",cad!$C$36,IF($D1159="V02",cad!$D$36,cad!$E$36)))</f>
        <v/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 t="str">
        <f>IF($A1160="","",IF($D1160="V01",cad!$C$23,IF($D1160="V02",cad!$D$23,cad!$E$23)))</f>
        <v/>
      </c>
      <c r="H1160" t="str">
        <f>IF($A1160="","",IF($D1160="V01",cad!$C$24,IF($D1160="V02",cad!$D$24,cad!$E$24)))</f>
        <v/>
      </c>
      <c r="I1160" t="str">
        <f>IF($A1160="","",IF($D1160="V01",cad!$C$32,IF($D1160="V02",cad!$D$32,cad!$E$32)))</f>
        <v/>
      </c>
      <c r="J1160" t="str">
        <f>IF($A1160="","",IF($D1160="V01",cad!$C$33,IF($D1160="V02",cad!$D$33,cad!$E$33)))</f>
        <v/>
      </c>
      <c r="K1160" t="str">
        <f>IF($A1160="","",IF($D1160="V01",cad!$C$34,IF($D1160="V02",cad!$D$34,cad!$E$34)))</f>
        <v/>
      </c>
      <c r="L1160" t="str">
        <f>IF($A1160="","",IF($D1160="V01",cad!$C$35,IF($D1160="V02",cad!$D$35,cad!$E$35)))</f>
        <v/>
      </c>
      <c r="M1160" t="str">
        <f>IF($A1160="","",IF($D1160="V01",cad!$C$36,IF($D1160="V02",cad!$D$36,cad!$E$36)))</f>
        <v/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 t="str">
        <f>IF($A1161="","",IF($D1161="V01",cad!$C$23,IF($D1161="V02",cad!$D$23,cad!$E$23)))</f>
        <v/>
      </c>
      <c r="H1161" t="str">
        <f>IF($A1161="","",IF($D1161="V01",cad!$C$24,IF($D1161="V02",cad!$D$24,cad!$E$24)))</f>
        <v/>
      </c>
      <c r="I1161" t="str">
        <f>IF($A1161="","",IF($D1161="V01",cad!$C$32,IF($D1161="V02",cad!$D$32,cad!$E$32)))</f>
        <v/>
      </c>
      <c r="J1161" t="str">
        <f>IF($A1161="","",IF($D1161="V01",cad!$C$33,IF($D1161="V02",cad!$D$33,cad!$E$33)))</f>
        <v/>
      </c>
      <c r="K1161" t="str">
        <f>IF($A1161="","",IF($D1161="V01",cad!$C$34,IF($D1161="V02",cad!$D$34,cad!$E$34)))</f>
        <v/>
      </c>
      <c r="L1161" t="str">
        <f>IF($A1161="","",IF($D1161="V01",cad!$C$35,IF($D1161="V02",cad!$D$35,cad!$E$35)))</f>
        <v/>
      </c>
      <c r="M1161" t="str">
        <f>IF($A1161="","",IF($D1161="V01",cad!$C$36,IF($D1161="V02",cad!$D$36,cad!$E$36)))</f>
        <v/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 t="str">
        <f>IF($A1162="","",IF($D1162="V01",cad!$C$23,IF($D1162="V02",cad!$D$23,cad!$E$23)))</f>
        <v/>
      </c>
      <c r="H1162" t="str">
        <f>IF($A1162="","",IF($D1162="V01",cad!$C$24,IF($D1162="V02",cad!$D$24,cad!$E$24)))</f>
        <v/>
      </c>
      <c r="I1162" t="str">
        <f>IF($A1162="","",IF($D1162="V01",cad!$C$32,IF($D1162="V02",cad!$D$32,cad!$E$32)))</f>
        <v/>
      </c>
      <c r="J1162" t="str">
        <f>IF($A1162="","",IF($D1162="V01",cad!$C$33,IF($D1162="V02",cad!$D$33,cad!$E$33)))</f>
        <v/>
      </c>
      <c r="K1162" t="str">
        <f>IF($A1162="","",IF($D1162="V01",cad!$C$34,IF($D1162="V02",cad!$D$34,cad!$E$34)))</f>
        <v/>
      </c>
      <c r="L1162" t="str">
        <f>IF($A1162="","",IF($D1162="V01",cad!$C$35,IF($D1162="V02",cad!$D$35,cad!$E$35)))</f>
        <v/>
      </c>
      <c r="M1162" t="str">
        <f>IF($A1162="","",IF($D1162="V01",cad!$C$36,IF($D1162="V02",cad!$D$36,cad!$E$36)))</f>
        <v/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 t="str">
        <f>IF($A1163="","",IF($D1163="V01",cad!$C$23,IF($D1163="V02",cad!$D$23,cad!$E$23)))</f>
        <v/>
      </c>
      <c r="H1163" t="str">
        <f>IF($A1163="","",IF($D1163="V01",cad!$C$24,IF($D1163="V02",cad!$D$24,cad!$E$24)))</f>
        <v/>
      </c>
      <c r="I1163" t="str">
        <f>IF($A1163="","",IF($D1163="V01",cad!$C$32,IF($D1163="V02",cad!$D$32,cad!$E$32)))</f>
        <v/>
      </c>
      <c r="J1163" t="str">
        <f>IF($A1163="","",IF($D1163="V01",cad!$C$33,IF($D1163="V02",cad!$D$33,cad!$E$33)))</f>
        <v/>
      </c>
      <c r="K1163" t="str">
        <f>IF($A1163="","",IF($D1163="V01",cad!$C$34,IF($D1163="V02",cad!$D$34,cad!$E$34)))</f>
        <v/>
      </c>
      <c r="L1163" t="str">
        <f>IF($A1163="","",IF($D1163="V01",cad!$C$35,IF($D1163="V02",cad!$D$35,cad!$E$35)))</f>
        <v/>
      </c>
      <c r="M1163" t="str">
        <f>IF($A1163="","",IF($D1163="V01",cad!$C$36,IF($D1163="V02",cad!$D$36,cad!$E$36)))</f>
        <v/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 t="str">
        <f>IF($A1164="","",IF($D1164="V01",cad!$C$23,IF($D1164="V02",cad!$D$23,cad!$E$23)))</f>
        <v/>
      </c>
      <c r="H1164" t="str">
        <f>IF($A1164="","",IF($D1164="V01",cad!$C$24,IF($D1164="V02",cad!$D$24,cad!$E$24)))</f>
        <v/>
      </c>
      <c r="I1164" t="str">
        <f>IF($A1164="","",IF($D1164="V01",cad!$C$32,IF($D1164="V02",cad!$D$32,cad!$E$32)))</f>
        <v/>
      </c>
      <c r="J1164" t="str">
        <f>IF($A1164="","",IF($D1164="V01",cad!$C$33,IF($D1164="V02",cad!$D$33,cad!$E$33)))</f>
        <v/>
      </c>
      <c r="K1164" t="str">
        <f>IF($A1164="","",IF($D1164="V01",cad!$C$34,IF($D1164="V02",cad!$D$34,cad!$E$34)))</f>
        <v/>
      </c>
      <c r="L1164" t="str">
        <f>IF($A1164="","",IF($D1164="V01",cad!$C$35,IF($D1164="V02",cad!$D$35,cad!$E$35)))</f>
        <v/>
      </c>
      <c r="M1164" t="str">
        <f>IF($A1164="","",IF($D1164="V01",cad!$C$36,IF($D1164="V02",cad!$D$36,cad!$E$36)))</f>
        <v/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 t="str">
        <f>IF($A1165="","",IF($D1165="V01",cad!$C$23,IF($D1165="V02",cad!$D$23,cad!$E$23)))</f>
        <v/>
      </c>
      <c r="H1165" t="str">
        <f>IF($A1165="","",IF($D1165="V01",cad!$C$24,IF($D1165="V02",cad!$D$24,cad!$E$24)))</f>
        <v/>
      </c>
      <c r="I1165" t="str">
        <f>IF($A1165="","",IF($D1165="V01",cad!$C$32,IF($D1165="V02",cad!$D$32,cad!$E$32)))</f>
        <v/>
      </c>
      <c r="J1165" t="str">
        <f>IF($A1165="","",IF($D1165="V01",cad!$C$33,IF($D1165="V02",cad!$D$33,cad!$E$33)))</f>
        <v/>
      </c>
      <c r="K1165" t="str">
        <f>IF($A1165="","",IF($D1165="V01",cad!$C$34,IF($D1165="V02",cad!$D$34,cad!$E$34)))</f>
        <v/>
      </c>
      <c r="L1165" t="str">
        <f>IF($A1165="","",IF($D1165="V01",cad!$C$35,IF($D1165="V02",cad!$D$35,cad!$E$35)))</f>
        <v/>
      </c>
      <c r="M1165" t="str">
        <f>IF($A1165="","",IF($D1165="V01",cad!$C$36,IF($D1165="V02",cad!$D$36,cad!$E$36)))</f>
        <v/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 t="str">
        <f>IF($A1166="","",IF($D1166="V01",cad!$C$23,IF($D1166="V02",cad!$D$23,cad!$E$23)))</f>
        <v/>
      </c>
      <c r="H1166" t="str">
        <f>IF($A1166="","",IF($D1166="V01",cad!$C$24,IF($D1166="V02",cad!$D$24,cad!$E$24)))</f>
        <v/>
      </c>
      <c r="I1166" t="str">
        <f>IF($A1166="","",IF($D1166="V01",cad!$C$32,IF($D1166="V02",cad!$D$32,cad!$E$32)))</f>
        <v/>
      </c>
      <c r="J1166" t="str">
        <f>IF($A1166="","",IF($D1166="V01",cad!$C$33,IF($D1166="V02",cad!$D$33,cad!$E$33)))</f>
        <v/>
      </c>
      <c r="K1166" t="str">
        <f>IF($A1166="","",IF($D1166="V01",cad!$C$34,IF($D1166="V02",cad!$D$34,cad!$E$34)))</f>
        <v/>
      </c>
      <c r="L1166" t="str">
        <f>IF($A1166="","",IF($D1166="V01",cad!$C$35,IF($D1166="V02",cad!$D$35,cad!$E$35)))</f>
        <v/>
      </c>
      <c r="M1166" t="str">
        <f>IF($A1166="","",IF($D1166="V01",cad!$C$36,IF($D1166="V02",cad!$D$36,cad!$E$36)))</f>
        <v/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 t="str">
        <f>IF($A1167="","",IF($D1167="V01",cad!$C$23,IF($D1167="V02",cad!$D$23,cad!$E$23)))</f>
        <v/>
      </c>
      <c r="H1167" t="str">
        <f>IF($A1167="","",IF($D1167="V01",cad!$C$24,IF($D1167="V02",cad!$D$24,cad!$E$24)))</f>
        <v/>
      </c>
      <c r="I1167" t="str">
        <f>IF($A1167="","",IF($D1167="V01",cad!$C$32,IF($D1167="V02",cad!$D$32,cad!$E$32)))</f>
        <v/>
      </c>
      <c r="J1167" t="str">
        <f>IF($A1167="","",IF($D1167="V01",cad!$C$33,IF($D1167="V02",cad!$D$33,cad!$E$33)))</f>
        <v/>
      </c>
      <c r="K1167" t="str">
        <f>IF($A1167="","",IF($D1167="V01",cad!$C$34,IF($D1167="V02",cad!$D$34,cad!$E$34)))</f>
        <v/>
      </c>
      <c r="L1167" t="str">
        <f>IF($A1167="","",IF($D1167="V01",cad!$C$35,IF($D1167="V02",cad!$D$35,cad!$E$35)))</f>
        <v/>
      </c>
      <c r="M1167" t="str">
        <f>IF($A1167="","",IF($D1167="V01",cad!$C$36,IF($D1167="V02",cad!$D$36,cad!$E$36)))</f>
        <v/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 t="str">
        <f>IF($A1168="","",IF($D1168="V01",cad!$C$23,IF($D1168="V02",cad!$D$23,cad!$E$23)))</f>
        <v/>
      </c>
      <c r="H1168" t="str">
        <f>IF($A1168="","",IF($D1168="V01",cad!$C$24,IF($D1168="V02",cad!$D$24,cad!$E$24)))</f>
        <v/>
      </c>
      <c r="I1168" t="str">
        <f>IF($A1168="","",IF($D1168="V01",cad!$C$32,IF($D1168="V02",cad!$D$32,cad!$E$32)))</f>
        <v/>
      </c>
      <c r="J1168" t="str">
        <f>IF($A1168="","",IF($D1168="V01",cad!$C$33,IF($D1168="V02",cad!$D$33,cad!$E$33)))</f>
        <v/>
      </c>
      <c r="K1168" t="str">
        <f>IF($A1168="","",IF($D1168="V01",cad!$C$34,IF($D1168="V02",cad!$D$34,cad!$E$34)))</f>
        <v/>
      </c>
      <c r="L1168" t="str">
        <f>IF($A1168="","",IF($D1168="V01",cad!$C$35,IF($D1168="V02",cad!$D$35,cad!$E$35)))</f>
        <v/>
      </c>
      <c r="M1168" t="str">
        <f>IF($A1168="","",IF($D1168="V01",cad!$C$36,IF($D1168="V02",cad!$D$36,cad!$E$36)))</f>
        <v/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 t="str">
        <f>IF($A1169="","",IF($D1169="V01",cad!$C$23,IF($D1169="V02",cad!$D$23,cad!$E$23)))</f>
        <v/>
      </c>
      <c r="H1169" t="str">
        <f>IF($A1169="","",IF($D1169="V01",cad!$C$24,IF($D1169="V02",cad!$D$24,cad!$E$24)))</f>
        <v/>
      </c>
      <c r="I1169" t="str">
        <f>IF($A1169="","",IF($D1169="V01",cad!$C$32,IF($D1169="V02",cad!$D$32,cad!$E$32)))</f>
        <v/>
      </c>
      <c r="J1169" t="str">
        <f>IF($A1169="","",IF($D1169="V01",cad!$C$33,IF($D1169="V02",cad!$D$33,cad!$E$33)))</f>
        <v/>
      </c>
      <c r="K1169" t="str">
        <f>IF($A1169="","",IF($D1169="V01",cad!$C$34,IF($D1169="V02",cad!$D$34,cad!$E$34)))</f>
        <v/>
      </c>
      <c r="L1169" t="str">
        <f>IF($A1169="","",IF($D1169="V01",cad!$C$35,IF($D1169="V02",cad!$D$35,cad!$E$35)))</f>
        <v/>
      </c>
      <c r="M1169" t="str">
        <f>IF($A1169="","",IF($D1169="V01",cad!$C$36,IF($D1169="V02",cad!$D$36,cad!$E$36)))</f>
        <v/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 t="str">
        <f>IF($A1170="","",IF($D1170="V01",cad!$C$23,IF($D1170="V02",cad!$D$23,cad!$E$23)))</f>
        <v/>
      </c>
      <c r="H1170" t="str">
        <f>IF($A1170="","",IF($D1170="V01",cad!$C$24,IF($D1170="V02",cad!$D$24,cad!$E$24)))</f>
        <v/>
      </c>
      <c r="I1170" t="str">
        <f>IF($A1170="","",IF($D1170="V01",cad!$C$32,IF($D1170="V02",cad!$D$32,cad!$E$32)))</f>
        <v/>
      </c>
      <c r="J1170" t="str">
        <f>IF($A1170="","",IF($D1170="V01",cad!$C$33,IF($D1170="V02",cad!$D$33,cad!$E$33)))</f>
        <v/>
      </c>
      <c r="K1170" t="str">
        <f>IF($A1170="","",IF($D1170="V01",cad!$C$34,IF($D1170="V02",cad!$D$34,cad!$E$34)))</f>
        <v/>
      </c>
      <c r="L1170" t="str">
        <f>IF($A1170="","",IF($D1170="V01",cad!$C$35,IF($D1170="V02",cad!$D$35,cad!$E$35)))</f>
        <v/>
      </c>
      <c r="M1170" t="str">
        <f>IF($A1170="","",IF($D1170="V01",cad!$C$36,IF($D1170="V02",cad!$D$36,cad!$E$36)))</f>
        <v/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 t="str">
        <f>IF($A1171="","",IF($D1171="V01",cad!$C$23,IF($D1171="V02",cad!$D$23,cad!$E$23)))</f>
        <v/>
      </c>
      <c r="H1171" t="str">
        <f>IF($A1171="","",IF($D1171="V01",cad!$C$24,IF($D1171="V02",cad!$D$24,cad!$E$24)))</f>
        <v/>
      </c>
      <c r="I1171" t="str">
        <f>IF($A1171="","",IF($D1171="V01",cad!$C$32,IF($D1171="V02",cad!$D$32,cad!$E$32)))</f>
        <v/>
      </c>
      <c r="J1171" t="str">
        <f>IF($A1171="","",IF($D1171="V01",cad!$C$33,IF($D1171="V02",cad!$D$33,cad!$E$33)))</f>
        <v/>
      </c>
      <c r="K1171" t="str">
        <f>IF($A1171="","",IF($D1171="V01",cad!$C$34,IF($D1171="V02",cad!$D$34,cad!$E$34)))</f>
        <v/>
      </c>
      <c r="L1171" t="str">
        <f>IF($A1171="","",IF($D1171="V01",cad!$C$35,IF($D1171="V02",cad!$D$35,cad!$E$35)))</f>
        <v/>
      </c>
      <c r="M1171" t="str">
        <f>IF($A1171="","",IF($D1171="V01",cad!$C$36,IF($D1171="V02",cad!$D$36,cad!$E$36)))</f>
        <v/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 t="str">
        <f>IF($A1172="","",IF($D1172="V01",cad!$C$23,IF($D1172="V02",cad!$D$23,cad!$E$23)))</f>
        <v/>
      </c>
      <c r="H1172" t="str">
        <f>IF($A1172="","",IF($D1172="V01",cad!$C$24,IF($D1172="V02",cad!$D$24,cad!$E$24)))</f>
        <v/>
      </c>
      <c r="I1172" t="str">
        <f>IF($A1172="","",IF($D1172="V01",cad!$C$32,IF($D1172="V02",cad!$D$32,cad!$E$32)))</f>
        <v/>
      </c>
      <c r="J1172" t="str">
        <f>IF($A1172="","",IF($D1172="V01",cad!$C$33,IF($D1172="V02",cad!$D$33,cad!$E$33)))</f>
        <v/>
      </c>
      <c r="K1172" t="str">
        <f>IF($A1172="","",IF($D1172="V01",cad!$C$34,IF($D1172="V02",cad!$D$34,cad!$E$34)))</f>
        <v/>
      </c>
      <c r="L1172" t="str">
        <f>IF($A1172="","",IF($D1172="V01",cad!$C$35,IF($D1172="V02",cad!$D$35,cad!$E$35)))</f>
        <v/>
      </c>
      <c r="M1172" t="str">
        <f>IF($A1172="","",IF($D1172="V01",cad!$C$36,IF($D1172="V02",cad!$D$36,cad!$E$36)))</f>
        <v/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 t="str">
        <f>IF($A1173="","",IF($D1173="V01",cad!$C$23,IF($D1173="V02",cad!$D$23,cad!$E$23)))</f>
        <v/>
      </c>
      <c r="H1173" t="str">
        <f>IF($A1173="","",IF($D1173="V01",cad!$C$24,IF($D1173="V02",cad!$D$24,cad!$E$24)))</f>
        <v/>
      </c>
      <c r="I1173" t="str">
        <f>IF($A1173="","",IF($D1173="V01",cad!$C$32,IF($D1173="V02",cad!$D$32,cad!$E$32)))</f>
        <v/>
      </c>
      <c r="J1173" t="str">
        <f>IF($A1173="","",IF($D1173="V01",cad!$C$33,IF($D1173="V02",cad!$D$33,cad!$E$33)))</f>
        <v/>
      </c>
      <c r="K1173" t="str">
        <f>IF($A1173="","",IF($D1173="V01",cad!$C$34,IF($D1173="V02",cad!$D$34,cad!$E$34)))</f>
        <v/>
      </c>
      <c r="L1173" t="str">
        <f>IF($A1173="","",IF($D1173="V01",cad!$C$35,IF($D1173="V02",cad!$D$35,cad!$E$35)))</f>
        <v/>
      </c>
      <c r="M1173" t="str">
        <f>IF($A1173="","",IF($D1173="V01",cad!$C$36,IF($D1173="V02",cad!$D$36,cad!$E$36)))</f>
        <v/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 t="str">
        <f>IF($A1174="","",IF($D1174="V01",cad!$C$23,IF($D1174="V02",cad!$D$23,cad!$E$23)))</f>
        <v/>
      </c>
      <c r="H1174" t="str">
        <f>IF($A1174="","",IF($D1174="V01",cad!$C$24,IF($D1174="V02",cad!$D$24,cad!$E$24)))</f>
        <v/>
      </c>
      <c r="I1174" t="str">
        <f>IF($A1174="","",IF($D1174="V01",cad!$C$32,IF($D1174="V02",cad!$D$32,cad!$E$32)))</f>
        <v/>
      </c>
      <c r="J1174" t="str">
        <f>IF($A1174="","",IF($D1174="V01",cad!$C$33,IF($D1174="V02",cad!$D$33,cad!$E$33)))</f>
        <v/>
      </c>
      <c r="K1174" t="str">
        <f>IF($A1174="","",IF($D1174="V01",cad!$C$34,IF($D1174="V02",cad!$D$34,cad!$E$34)))</f>
        <v/>
      </c>
      <c r="L1174" t="str">
        <f>IF($A1174="","",IF($D1174="V01",cad!$C$35,IF($D1174="V02",cad!$D$35,cad!$E$35)))</f>
        <v/>
      </c>
      <c r="M1174" t="str">
        <f>IF($A1174="","",IF($D1174="V01",cad!$C$36,IF($D1174="V02",cad!$D$36,cad!$E$36)))</f>
        <v/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 t="str">
        <f>IF($A1175="","",IF($D1175="V01",cad!$C$23,IF($D1175="V02",cad!$D$23,cad!$E$23)))</f>
        <v/>
      </c>
      <c r="H1175" t="str">
        <f>IF($A1175="","",IF($D1175="V01",cad!$C$24,IF($D1175="V02",cad!$D$24,cad!$E$24)))</f>
        <v/>
      </c>
      <c r="I1175" t="str">
        <f>IF($A1175="","",IF($D1175="V01",cad!$C$32,IF($D1175="V02",cad!$D$32,cad!$E$32)))</f>
        <v/>
      </c>
      <c r="J1175" t="str">
        <f>IF($A1175="","",IF($D1175="V01",cad!$C$33,IF($D1175="V02",cad!$D$33,cad!$E$33)))</f>
        <v/>
      </c>
      <c r="K1175" t="str">
        <f>IF($A1175="","",IF($D1175="V01",cad!$C$34,IF($D1175="V02",cad!$D$34,cad!$E$34)))</f>
        <v/>
      </c>
      <c r="L1175" t="str">
        <f>IF($A1175="","",IF($D1175="V01",cad!$C$35,IF($D1175="V02",cad!$D$35,cad!$E$35)))</f>
        <v/>
      </c>
      <c r="M1175" t="str">
        <f>IF($A1175="","",IF($D1175="V01",cad!$C$36,IF($D1175="V02",cad!$D$36,cad!$E$36)))</f>
        <v/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 t="str">
        <f>IF($A1176="","",IF($D1176="V01",cad!$C$23,IF($D1176="V02",cad!$D$23,cad!$E$23)))</f>
        <v/>
      </c>
      <c r="H1176" t="str">
        <f>IF($A1176="","",IF($D1176="V01",cad!$C$24,IF($D1176="V02",cad!$D$24,cad!$E$24)))</f>
        <v/>
      </c>
      <c r="I1176" t="str">
        <f>IF($A1176="","",IF($D1176="V01",cad!$C$32,IF($D1176="V02",cad!$D$32,cad!$E$32)))</f>
        <v/>
      </c>
      <c r="J1176" t="str">
        <f>IF($A1176="","",IF($D1176="V01",cad!$C$33,IF($D1176="V02",cad!$D$33,cad!$E$33)))</f>
        <v/>
      </c>
      <c r="K1176" t="str">
        <f>IF($A1176="","",IF($D1176="V01",cad!$C$34,IF($D1176="V02",cad!$D$34,cad!$E$34)))</f>
        <v/>
      </c>
      <c r="L1176" t="str">
        <f>IF($A1176="","",IF($D1176="V01",cad!$C$35,IF($D1176="V02",cad!$D$35,cad!$E$35)))</f>
        <v/>
      </c>
      <c r="M1176" t="str">
        <f>IF($A1176="","",IF($D1176="V01",cad!$C$36,IF($D1176="V02",cad!$D$36,cad!$E$36)))</f>
        <v/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 t="str">
        <f>IF($A1177="","",IF($D1177="V01",cad!$C$23,IF($D1177="V02",cad!$D$23,cad!$E$23)))</f>
        <v/>
      </c>
      <c r="H1177" t="str">
        <f>IF($A1177="","",IF($D1177="V01",cad!$C$24,IF($D1177="V02",cad!$D$24,cad!$E$24)))</f>
        <v/>
      </c>
      <c r="I1177" t="str">
        <f>IF($A1177="","",IF($D1177="V01",cad!$C$32,IF($D1177="V02",cad!$D$32,cad!$E$32)))</f>
        <v/>
      </c>
      <c r="J1177" t="str">
        <f>IF($A1177="","",IF($D1177="V01",cad!$C$33,IF($D1177="V02",cad!$D$33,cad!$E$33)))</f>
        <v/>
      </c>
      <c r="K1177" t="str">
        <f>IF($A1177="","",IF($D1177="V01",cad!$C$34,IF($D1177="V02",cad!$D$34,cad!$E$34)))</f>
        <v/>
      </c>
      <c r="L1177" t="str">
        <f>IF($A1177="","",IF($D1177="V01",cad!$C$35,IF($D1177="V02",cad!$D$35,cad!$E$35)))</f>
        <v/>
      </c>
      <c r="M1177" t="str">
        <f>IF($A1177="","",IF($D1177="V01",cad!$C$36,IF($D1177="V02",cad!$D$36,cad!$E$36)))</f>
        <v/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 t="str">
        <f>IF($A1178="","",IF($D1178="V01",cad!$C$23,IF($D1178="V02",cad!$D$23,cad!$E$23)))</f>
        <v/>
      </c>
      <c r="H1178" t="str">
        <f>IF($A1178="","",IF($D1178="V01",cad!$C$24,IF($D1178="V02",cad!$D$24,cad!$E$24)))</f>
        <v/>
      </c>
      <c r="I1178" t="str">
        <f>IF($A1178="","",IF($D1178="V01",cad!$C$32,IF($D1178="V02",cad!$D$32,cad!$E$32)))</f>
        <v/>
      </c>
      <c r="J1178" t="str">
        <f>IF($A1178="","",IF($D1178="V01",cad!$C$33,IF($D1178="V02",cad!$D$33,cad!$E$33)))</f>
        <v/>
      </c>
      <c r="K1178" t="str">
        <f>IF($A1178="","",IF($D1178="V01",cad!$C$34,IF($D1178="V02",cad!$D$34,cad!$E$34)))</f>
        <v/>
      </c>
      <c r="L1178" t="str">
        <f>IF($A1178="","",IF($D1178="V01",cad!$C$35,IF($D1178="V02",cad!$D$35,cad!$E$35)))</f>
        <v/>
      </c>
      <c r="M1178" t="str">
        <f>IF($A1178="","",IF($D1178="V01",cad!$C$36,IF($D1178="V02",cad!$D$36,cad!$E$36)))</f>
        <v/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 t="str">
        <f>IF($A1179="","",IF($D1179="V01",cad!$C$23,IF($D1179="V02",cad!$D$23,cad!$E$23)))</f>
        <v/>
      </c>
      <c r="H1179" t="str">
        <f>IF($A1179="","",IF($D1179="V01",cad!$C$24,IF($D1179="V02",cad!$D$24,cad!$E$24)))</f>
        <v/>
      </c>
      <c r="I1179" t="str">
        <f>IF($A1179="","",IF($D1179="V01",cad!$C$32,IF($D1179="V02",cad!$D$32,cad!$E$32)))</f>
        <v/>
      </c>
      <c r="J1179" t="str">
        <f>IF($A1179="","",IF($D1179="V01",cad!$C$33,IF($D1179="V02",cad!$D$33,cad!$E$33)))</f>
        <v/>
      </c>
      <c r="K1179" t="str">
        <f>IF($A1179="","",IF($D1179="V01",cad!$C$34,IF($D1179="V02",cad!$D$34,cad!$E$34)))</f>
        <v/>
      </c>
      <c r="L1179" t="str">
        <f>IF($A1179="","",IF($D1179="V01",cad!$C$35,IF($D1179="V02",cad!$D$35,cad!$E$35)))</f>
        <v/>
      </c>
      <c r="M1179" t="str">
        <f>IF($A1179="","",IF($D1179="V01",cad!$C$36,IF($D1179="V02",cad!$D$36,cad!$E$36)))</f>
        <v/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 t="str">
        <f>IF($A1180="","",IF($D1180="V01",cad!$C$23,IF($D1180="V02",cad!$D$23,cad!$E$23)))</f>
        <v/>
      </c>
      <c r="H1180" t="str">
        <f>IF($A1180="","",IF($D1180="V01",cad!$C$24,IF($D1180="V02",cad!$D$24,cad!$E$24)))</f>
        <v/>
      </c>
      <c r="I1180" t="str">
        <f>IF($A1180="","",IF($D1180="V01",cad!$C$32,IF($D1180="V02",cad!$D$32,cad!$E$32)))</f>
        <v/>
      </c>
      <c r="J1180" t="str">
        <f>IF($A1180="","",IF($D1180="V01",cad!$C$33,IF($D1180="V02",cad!$D$33,cad!$E$33)))</f>
        <v/>
      </c>
      <c r="K1180" t="str">
        <f>IF($A1180="","",IF($D1180="V01",cad!$C$34,IF($D1180="V02",cad!$D$34,cad!$E$34)))</f>
        <v/>
      </c>
      <c r="L1180" t="str">
        <f>IF($A1180="","",IF($D1180="V01",cad!$C$35,IF($D1180="V02",cad!$D$35,cad!$E$35)))</f>
        <v/>
      </c>
      <c r="M1180" t="str">
        <f>IF($A1180="","",IF($D1180="V01",cad!$C$36,IF($D1180="V02",cad!$D$36,cad!$E$36)))</f>
        <v/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 t="str">
        <f>IF($A1181="","",IF($D1181="V01",cad!$C$23,IF($D1181="V02",cad!$D$23,cad!$E$23)))</f>
        <v/>
      </c>
      <c r="H1181" t="str">
        <f>IF($A1181="","",IF($D1181="V01",cad!$C$24,IF($D1181="V02",cad!$D$24,cad!$E$24)))</f>
        <v/>
      </c>
      <c r="I1181" t="str">
        <f>IF($A1181="","",IF($D1181="V01",cad!$C$32,IF($D1181="V02",cad!$D$32,cad!$E$32)))</f>
        <v/>
      </c>
      <c r="J1181" t="str">
        <f>IF($A1181="","",IF($D1181="V01",cad!$C$33,IF($D1181="V02",cad!$D$33,cad!$E$33)))</f>
        <v/>
      </c>
      <c r="K1181" t="str">
        <f>IF($A1181="","",IF($D1181="V01",cad!$C$34,IF($D1181="V02",cad!$D$34,cad!$E$34)))</f>
        <v/>
      </c>
      <c r="L1181" t="str">
        <f>IF($A1181="","",IF($D1181="V01",cad!$C$35,IF($D1181="V02",cad!$D$35,cad!$E$35)))</f>
        <v/>
      </c>
      <c r="M1181" t="str">
        <f>IF($A1181="","",IF($D1181="V01",cad!$C$36,IF($D1181="V02",cad!$D$36,cad!$E$36)))</f>
        <v/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 t="str">
        <f>IF($A1182="","",IF($D1182="V01",cad!$C$23,IF($D1182="V02",cad!$D$23,cad!$E$23)))</f>
        <v/>
      </c>
      <c r="H1182" t="str">
        <f>IF($A1182="","",IF($D1182="V01",cad!$C$24,IF($D1182="V02",cad!$D$24,cad!$E$24)))</f>
        <v/>
      </c>
      <c r="I1182" t="str">
        <f>IF($A1182="","",IF($D1182="V01",cad!$C$32,IF($D1182="V02",cad!$D$32,cad!$E$32)))</f>
        <v/>
      </c>
      <c r="J1182" t="str">
        <f>IF($A1182="","",IF($D1182="V01",cad!$C$33,IF($D1182="V02",cad!$D$33,cad!$E$33)))</f>
        <v/>
      </c>
      <c r="K1182" t="str">
        <f>IF($A1182="","",IF($D1182="V01",cad!$C$34,IF($D1182="V02",cad!$D$34,cad!$E$34)))</f>
        <v/>
      </c>
      <c r="L1182" t="str">
        <f>IF($A1182="","",IF($D1182="V01",cad!$C$35,IF($D1182="V02",cad!$D$35,cad!$E$35)))</f>
        <v/>
      </c>
      <c r="M1182" t="str">
        <f>IF($A1182="","",IF($D1182="V01",cad!$C$36,IF($D1182="V02",cad!$D$36,cad!$E$36)))</f>
        <v/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 t="str">
        <f>IF($A1183="","",IF($D1183="V01",cad!$C$23,IF($D1183="V02",cad!$D$23,cad!$E$23)))</f>
        <v/>
      </c>
      <c r="H1183" t="str">
        <f>IF($A1183="","",IF($D1183="V01",cad!$C$24,IF($D1183="V02",cad!$D$24,cad!$E$24)))</f>
        <v/>
      </c>
      <c r="I1183" t="str">
        <f>IF($A1183="","",IF($D1183="V01",cad!$C$32,IF($D1183="V02",cad!$D$32,cad!$E$32)))</f>
        <v/>
      </c>
      <c r="J1183" t="str">
        <f>IF($A1183="","",IF($D1183="V01",cad!$C$33,IF($D1183="V02",cad!$D$33,cad!$E$33)))</f>
        <v/>
      </c>
      <c r="K1183" t="str">
        <f>IF($A1183="","",IF($D1183="V01",cad!$C$34,IF($D1183="V02",cad!$D$34,cad!$E$34)))</f>
        <v/>
      </c>
      <c r="L1183" t="str">
        <f>IF($A1183="","",IF($D1183="V01",cad!$C$35,IF($D1183="V02",cad!$D$35,cad!$E$35)))</f>
        <v/>
      </c>
      <c r="M1183" t="str">
        <f>IF($A1183="","",IF($D1183="V01",cad!$C$36,IF($D1183="V02",cad!$D$36,cad!$E$36)))</f>
        <v/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 t="str">
        <f>IF($A1184="","",IF($D1184="V01",cad!$C$23,IF($D1184="V02",cad!$D$23,cad!$E$23)))</f>
        <v/>
      </c>
      <c r="H1184" t="str">
        <f>IF($A1184="","",IF($D1184="V01",cad!$C$24,IF($D1184="V02",cad!$D$24,cad!$E$24)))</f>
        <v/>
      </c>
      <c r="I1184" t="str">
        <f>IF($A1184="","",IF($D1184="V01",cad!$C$32,IF($D1184="V02",cad!$D$32,cad!$E$32)))</f>
        <v/>
      </c>
      <c r="J1184" t="str">
        <f>IF($A1184="","",IF($D1184="V01",cad!$C$33,IF($D1184="V02",cad!$D$33,cad!$E$33)))</f>
        <v/>
      </c>
      <c r="K1184" t="str">
        <f>IF($A1184="","",IF($D1184="V01",cad!$C$34,IF($D1184="V02",cad!$D$34,cad!$E$34)))</f>
        <v/>
      </c>
      <c r="L1184" t="str">
        <f>IF($A1184="","",IF($D1184="V01",cad!$C$35,IF($D1184="V02",cad!$D$35,cad!$E$35)))</f>
        <v/>
      </c>
      <c r="M1184" t="str">
        <f>IF($A1184="","",IF($D1184="V01",cad!$C$36,IF($D1184="V02",cad!$D$36,cad!$E$36)))</f>
        <v/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 t="str">
        <f>IF($A1185="","",IF($D1185="V01",cad!$C$23,IF($D1185="V02",cad!$D$23,cad!$E$23)))</f>
        <v/>
      </c>
      <c r="H1185" t="str">
        <f>IF($A1185="","",IF($D1185="V01",cad!$C$24,IF($D1185="V02",cad!$D$24,cad!$E$24)))</f>
        <v/>
      </c>
      <c r="I1185" t="str">
        <f>IF($A1185="","",IF($D1185="V01",cad!$C$32,IF($D1185="V02",cad!$D$32,cad!$E$32)))</f>
        <v/>
      </c>
      <c r="J1185" t="str">
        <f>IF($A1185="","",IF($D1185="V01",cad!$C$33,IF($D1185="V02",cad!$D$33,cad!$E$33)))</f>
        <v/>
      </c>
      <c r="K1185" t="str">
        <f>IF($A1185="","",IF($D1185="V01",cad!$C$34,IF($D1185="V02",cad!$D$34,cad!$E$34)))</f>
        <v/>
      </c>
      <c r="L1185" t="str">
        <f>IF($A1185="","",IF($D1185="V01",cad!$C$35,IF($D1185="V02",cad!$D$35,cad!$E$35)))</f>
        <v/>
      </c>
      <c r="M1185" t="str">
        <f>IF($A1185="","",IF($D1185="V01",cad!$C$36,IF($D1185="V02",cad!$D$36,cad!$E$36)))</f>
        <v/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 t="str">
        <f>IF($A1186="","",IF($D1186="V01",cad!$C$23,IF($D1186="V02",cad!$D$23,cad!$E$23)))</f>
        <v/>
      </c>
      <c r="H1186" t="str">
        <f>IF($A1186="","",IF($D1186="V01",cad!$C$24,IF($D1186="V02",cad!$D$24,cad!$E$24)))</f>
        <v/>
      </c>
      <c r="I1186" t="str">
        <f>IF($A1186="","",IF($D1186="V01",cad!$C$32,IF($D1186="V02",cad!$D$32,cad!$E$32)))</f>
        <v/>
      </c>
      <c r="J1186" t="str">
        <f>IF($A1186="","",IF($D1186="V01",cad!$C$33,IF($D1186="V02",cad!$D$33,cad!$E$33)))</f>
        <v/>
      </c>
      <c r="K1186" t="str">
        <f>IF($A1186="","",IF($D1186="V01",cad!$C$34,IF($D1186="V02",cad!$D$34,cad!$E$34)))</f>
        <v/>
      </c>
      <c r="L1186" t="str">
        <f>IF($A1186="","",IF($D1186="V01",cad!$C$35,IF($D1186="V02",cad!$D$35,cad!$E$35)))</f>
        <v/>
      </c>
      <c r="M1186" t="str">
        <f>IF($A1186="","",IF($D1186="V01",cad!$C$36,IF($D1186="V02",cad!$D$36,cad!$E$36)))</f>
        <v/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 t="str">
        <f>IF($A1187="","",IF($D1187="V01",cad!$C$23,IF($D1187="V02",cad!$D$23,cad!$E$23)))</f>
        <v/>
      </c>
      <c r="H1187" t="str">
        <f>IF($A1187="","",IF($D1187="V01",cad!$C$24,IF($D1187="V02",cad!$D$24,cad!$E$24)))</f>
        <v/>
      </c>
      <c r="I1187" t="str">
        <f>IF($A1187="","",IF($D1187="V01",cad!$C$32,IF($D1187="V02",cad!$D$32,cad!$E$32)))</f>
        <v/>
      </c>
      <c r="J1187" t="str">
        <f>IF($A1187="","",IF($D1187="V01",cad!$C$33,IF($D1187="V02",cad!$D$33,cad!$E$33)))</f>
        <v/>
      </c>
      <c r="K1187" t="str">
        <f>IF($A1187="","",IF($D1187="V01",cad!$C$34,IF($D1187="V02",cad!$D$34,cad!$E$34)))</f>
        <v/>
      </c>
      <c r="L1187" t="str">
        <f>IF($A1187="","",IF($D1187="V01",cad!$C$35,IF($D1187="V02",cad!$D$35,cad!$E$35)))</f>
        <v/>
      </c>
      <c r="M1187" t="str">
        <f>IF($A1187="","",IF($D1187="V01",cad!$C$36,IF($D1187="V02",cad!$D$36,cad!$E$36)))</f>
        <v/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 t="str">
        <f>IF($A1188="","",IF($D1188="V01",cad!$C$23,IF($D1188="V02",cad!$D$23,cad!$E$23)))</f>
        <v/>
      </c>
      <c r="H1188" t="str">
        <f>IF($A1188="","",IF($D1188="V01",cad!$C$24,IF($D1188="V02",cad!$D$24,cad!$E$24)))</f>
        <v/>
      </c>
      <c r="I1188" t="str">
        <f>IF($A1188="","",IF($D1188="V01",cad!$C$32,IF($D1188="V02",cad!$D$32,cad!$E$32)))</f>
        <v/>
      </c>
      <c r="J1188" t="str">
        <f>IF($A1188="","",IF($D1188="V01",cad!$C$33,IF($D1188="V02",cad!$D$33,cad!$E$33)))</f>
        <v/>
      </c>
      <c r="K1188" t="str">
        <f>IF($A1188="","",IF($D1188="V01",cad!$C$34,IF($D1188="V02",cad!$D$34,cad!$E$34)))</f>
        <v/>
      </c>
      <c r="L1188" t="str">
        <f>IF($A1188="","",IF($D1188="V01",cad!$C$35,IF($D1188="V02",cad!$D$35,cad!$E$35)))</f>
        <v/>
      </c>
      <c r="M1188" t="str">
        <f>IF($A1188="","",IF($D1188="V01",cad!$C$36,IF($D1188="V02",cad!$D$36,cad!$E$36)))</f>
        <v/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 t="str">
        <f>IF($A1189="","",IF($D1189="V01",cad!$C$23,IF($D1189="V02",cad!$D$23,cad!$E$23)))</f>
        <v/>
      </c>
      <c r="H1189" t="str">
        <f>IF($A1189="","",IF($D1189="V01",cad!$C$24,IF($D1189="V02",cad!$D$24,cad!$E$24)))</f>
        <v/>
      </c>
      <c r="I1189" t="str">
        <f>IF($A1189="","",IF($D1189="V01",cad!$C$32,IF($D1189="V02",cad!$D$32,cad!$E$32)))</f>
        <v/>
      </c>
      <c r="J1189" t="str">
        <f>IF($A1189="","",IF($D1189="V01",cad!$C$33,IF($D1189="V02",cad!$D$33,cad!$E$33)))</f>
        <v/>
      </c>
      <c r="K1189" t="str">
        <f>IF($A1189="","",IF($D1189="V01",cad!$C$34,IF($D1189="V02",cad!$D$34,cad!$E$34)))</f>
        <v/>
      </c>
      <c r="L1189" t="str">
        <f>IF($A1189="","",IF($D1189="V01",cad!$C$35,IF($D1189="V02",cad!$D$35,cad!$E$35)))</f>
        <v/>
      </c>
      <c r="M1189" t="str">
        <f>IF($A1189="","",IF($D1189="V01",cad!$C$36,IF($D1189="V02",cad!$D$36,cad!$E$36)))</f>
        <v/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 t="str">
        <f>IF($A1190="","",IF($D1190="V01",cad!$C$23,IF($D1190="V02",cad!$D$23,cad!$E$23)))</f>
        <v/>
      </c>
      <c r="H1190" t="str">
        <f>IF($A1190="","",IF($D1190="V01",cad!$C$24,IF($D1190="V02",cad!$D$24,cad!$E$24)))</f>
        <v/>
      </c>
      <c r="I1190" t="str">
        <f>IF($A1190="","",IF($D1190="V01",cad!$C$32,IF($D1190="V02",cad!$D$32,cad!$E$32)))</f>
        <v/>
      </c>
      <c r="J1190" t="str">
        <f>IF($A1190="","",IF($D1190="V01",cad!$C$33,IF($D1190="V02",cad!$D$33,cad!$E$33)))</f>
        <v/>
      </c>
      <c r="K1190" t="str">
        <f>IF($A1190="","",IF($D1190="V01",cad!$C$34,IF($D1190="V02",cad!$D$34,cad!$E$34)))</f>
        <v/>
      </c>
      <c r="L1190" t="str">
        <f>IF($A1190="","",IF($D1190="V01",cad!$C$35,IF($D1190="V02",cad!$D$35,cad!$E$35)))</f>
        <v/>
      </c>
      <c r="M1190" t="str">
        <f>IF($A1190="","",IF($D1190="V01",cad!$C$36,IF($D1190="V02",cad!$D$36,cad!$E$36)))</f>
        <v/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 t="str">
        <f>IF($A1191="","",IF($D1191="V01",cad!$C$23,IF($D1191="V02",cad!$D$23,cad!$E$23)))</f>
        <v/>
      </c>
      <c r="H1191" t="str">
        <f>IF($A1191="","",IF($D1191="V01",cad!$C$24,IF($D1191="V02",cad!$D$24,cad!$E$24)))</f>
        <v/>
      </c>
      <c r="I1191" t="str">
        <f>IF($A1191="","",IF($D1191="V01",cad!$C$32,IF($D1191="V02",cad!$D$32,cad!$E$32)))</f>
        <v/>
      </c>
      <c r="J1191" t="str">
        <f>IF($A1191="","",IF($D1191="V01",cad!$C$33,IF($D1191="V02",cad!$D$33,cad!$E$33)))</f>
        <v/>
      </c>
      <c r="K1191" t="str">
        <f>IF($A1191="","",IF($D1191="V01",cad!$C$34,IF($D1191="V02",cad!$D$34,cad!$E$34)))</f>
        <v/>
      </c>
      <c r="L1191" t="str">
        <f>IF($A1191="","",IF($D1191="V01",cad!$C$35,IF($D1191="V02",cad!$D$35,cad!$E$35)))</f>
        <v/>
      </c>
      <c r="M1191" t="str">
        <f>IF($A1191="","",IF($D1191="V01",cad!$C$36,IF($D1191="V02",cad!$D$36,cad!$E$36)))</f>
        <v/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 t="str">
        <f>IF($A1192="","",IF($D1192="V01",cad!$C$23,IF($D1192="V02",cad!$D$23,cad!$E$23)))</f>
        <v/>
      </c>
      <c r="H1192" t="str">
        <f>IF($A1192="","",IF($D1192="V01",cad!$C$24,IF($D1192="V02",cad!$D$24,cad!$E$24)))</f>
        <v/>
      </c>
      <c r="I1192" t="str">
        <f>IF($A1192="","",IF($D1192="V01",cad!$C$32,IF($D1192="V02",cad!$D$32,cad!$E$32)))</f>
        <v/>
      </c>
      <c r="J1192" t="str">
        <f>IF($A1192="","",IF($D1192="V01",cad!$C$33,IF($D1192="V02",cad!$D$33,cad!$E$33)))</f>
        <v/>
      </c>
      <c r="K1192" t="str">
        <f>IF($A1192="","",IF($D1192="V01",cad!$C$34,IF($D1192="V02",cad!$D$34,cad!$E$34)))</f>
        <v/>
      </c>
      <c r="L1192" t="str">
        <f>IF($A1192="","",IF($D1192="V01",cad!$C$35,IF($D1192="V02",cad!$D$35,cad!$E$35)))</f>
        <v/>
      </c>
      <c r="M1192" t="str">
        <f>IF($A1192="","",IF($D1192="V01",cad!$C$36,IF($D1192="V02",cad!$D$36,cad!$E$36)))</f>
        <v/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 t="str">
        <f>IF($A1193="","",IF($D1193="V01",cad!$C$23,IF($D1193="V02",cad!$D$23,cad!$E$23)))</f>
        <v/>
      </c>
      <c r="H1193" t="str">
        <f>IF($A1193="","",IF($D1193="V01",cad!$C$24,IF($D1193="V02",cad!$D$24,cad!$E$24)))</f>
        <v/>
      </c>
      <c r="I1193" t="str">
        <f>IF($A1193="","",IF($D1193="V01",cad!$C$32,IF($D1193="V02",cad!$D$32,cad!$E$32)))</f>
        <v/>
      </c>
      <c r="J1193" t="str">
        <f>IF($A1193="","",IF($D1193="V01",cad!$C$33,IF($D1193="V02",cad!$D$33,cad!$E$33)))</f>
        <v/>
      </c>
      <c r="K1193" t="str">
        <f>IF($A1193="","",IF($D1193="V01",cad!$C$34,IF($D1193="V02",cad!$D$34,cad!$E$34)))</f>
        <v/>
      </c>
      <c r="L1193" t="str">
        <f>IF($A1193="","",IF($D1193="V01",cad!$C$35,IF($D1193="V02",cad!$D$35,cad!$E$35)))</f>
        <v/>
      </c>
      <c r="M1193" t="str">
        <f>IF($A1193="","",IF($D1193="V01",cad!$C$36,IF($D1193="V02",cad!$D$36,cad!$E$36)))</f>
        <v/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 t="str">
        <f>IF($A1194="","",IF($D1194="V01",cad!$C$23,IF($D1194="V02",cad!$D$23,cad!$E$23)))</f>
        <v/>
      </c>
      <c r="H1194" t="str">
        <f>IF($A1194="","",IF($D1194="V01",cad!$C$24,IF($D1194="V02",cad!$D$24,cad!$E$24)))</f>
        <v/>
      </c>
      <c r="I1194" t="str">
        <f>IF($A1194="","",IF($D1194="V01",cad!$C$32,IF($D1194="V02",cad!$D$32,cad!$E$32)))</f>
        <v/>
      </c>
      <c r="J1194" t="str">
        <f>IF($A1194="","",IF($D1194="V01",cad!$C$33,IF($D1194="V02",cad!$D$33,cad!$E$33)))</f>
        <v/>
      </c>
      <c r="K1194" t="str">
        <f>IF($A1194="","",IF($D1194="V01",cad!$C$34,IF($D1194="V02",cad!$D$34,cad!$E$34)))</f>
        <v/>
      </c>
      <c r="L1194" t="str">
        <f>IF($A1194="","",IF($D1194="V01",cad!$C$35,IF($D1194="V02",cad!$D$35,cad!$E$35)))</f>
        <v/>
      </c>
      <c r="M1194" t="str">
        <f>IF($A1194="","",IF($D1194="V01",cad!$C$36,IF($D1194="V02",cad!$D$36,cad!$E$36)))</f>
        <v/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 t="str">
        <f>IF($A1195="","",IF($D1195="V01",cad!$C$23,IF($D1195="V02",cad!$D$23,cad!$E$23)))</f>
        <v/>
      </c>
      <c r="H1195" t="str">
        <f>IF($A1195="","",IF($D1195="V01",cad!$C$24,IF($D1195="V02",cad!$D$24,cad!$E$24)))</f>
        <v/>
      </c>
      <c r="I1195" t="str">
        <f>IF($A1195="","",IF($D1195="V01",cad!$C$32,IF($D1195="V02",cad!$D$32,cad!$E$32)))</f>
        <v/>
      </c>
      <c r="J1195" t="str">
        <f>IF($A1195="","",IF($D1195="V01",cad!$C$33,IF($D1195="V02",cad!$D$33,cad!$E$33)))</f>
        <v/>
      </c>
      <c r="K1195" t="str">
        <f>IF($A1195="","",IF($D1195="V01",cad!$C$34,IF($D1195="V02",cad!$D$34,cad!$E$34)))</f>
        <v/>
      </c>
      <c r="L1195" t="str">
        <f>IF($A1195="","",IF($D1195="V01",cad!$C$35,IF($D1195="V02",cad!$D$35,cad!$E$35)))</f>
        <v/>
      </c>
      <c r="M1195" t="str">
        <f>IF($A1195="","",IF($D1195="V01",cad!$C$36,IF($D1195="V02",cad!$D$36,cad!$E$36)))</f>
        <v/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 t="str">
        <f>IF($A1196="","",IF($D1196="V01",cad!$C$23,IF($D1196="V02",cad!$D$23,cad!$E$23)))</f>
        <v/>
      </c>
      <c r="H1196" t="str">
        <f>IF($A1196="","",IF($D1196="V01",cad!$C$24,IF($D1196="V02",cad!$D$24,cad!$E$24)))</f>
        <v/>
      </c>
      <c r="I1196" t="str">
        <f>IF($A1196="","",IF($D1196="V01",cad!$C$32,IF($D1196="V02",cad!$D$32,cad!$E$32)))</f>
        <v/>
      </c>
      <c r="J1196" t="str">
        <f>IF($A1196="","",IF($D1196="V01",cad!$C$33,IF($D1196="V02",cad!$D$33,cad!$E$33)))</f>
        <v/>
      </c>
      <c r="K1196" t="str">
        <f>IF($A1196="","",IF($D1196="V01",cad!$C$34,IF($D1196="V02",cad!$D$34,cad!$E$34)))</f>
        <v/>
      </c>
      <c r="L1196" t="str">
        <f>IF($A1196="","",IF($D1196="V01",cad!$C$35,IF($D1196="V02",cad!$D$35,cad!$E$35)))</f>
        <v/>
      </c>
      <c r="M1196" t="str">
        <f>IF($A1196="","",IF($D1196="V01",cad!$C$36,IF($D1196="V02",cad!$D$36,cad!$E$36)))</f>
        <v/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 t="str">
        <f>IF($A1197="","",IF($D1197="V01",cad!$C$23,IF($D1197="V02",cad!$D$23,cad!$E$23)))</f>
        <v/>
      </c>
      <c r="H1197" t="str">
        <f>IF($A1197="","",IF($D1197="V01",cad!$C$24,IF($D1197="V02",cad!$D$24,cad!$E$24)))</f>
        <v/>
      </c>
      <c r="I1197" t="str">
        <f>IF($A1197="","",IF($D1197="V01",cad!$C$32,IF($D1197="V02",cad!$D$32,cad!$E$32)))</f>
        <v/>
      </c>
      <c r="J1197" t="str">
        <f>IF($A1197="","",IF($D1197="V01",cad!$C$33,IF($D1197="V02",cad!$D$33,cad!$E$33)))</f>
        <v/>
      </c>
      <c r="K1197" t="str">
        <f>IF($A1197="","",IF($D1197="V01",cad!$C$34,IF($D1197="V02",cad!$D$34,cad!$E$34)))</f>
        <v/>
      </c>
      <c r="L1197" t="str">
        <f>IF($A1197="","",IF($D1197="V01",cad!$C$35,IF($D1197="V02",cad!$D$35,cad!$E$35)))</f>
        <v/>
      </c>
      <c r="M1197" t="str">
        <f>IF($A1197="","",IF($D1197="V01",cad!$C$36,IF($D1197="V02",cad!$D$36,cad!$E$36)))</f>
        <v/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 t="str">
        <f>IF($A1198="","",IF($D1198="V01",cad!$C$23,IF($D1198="V02",cad!$D$23,cad!$E$23)))</f>
        <v/>
      </c>
      <c r="H1198" t="str">
        <f>IF($A1198="","",IF($D1198="V01",cad!$C$24,IF($D1198="V02",cad!$D$24,cad!$E$24)))</f>
        <v/>
      </c>
      <c r="I1198" t="str">
        <f>IF($A1198="","",IF($D1198="V01",cad!$C$32,IF($D1198="V02",cad!$D$32,cad!$E$32)))</f>
        <v/>
      </c>
      <c r="J1198" t="str">
        <f>IF($A1198="","",IF($D1198="V01",cad!$C$33,IF($D1198="V02",cad!$D$33,cad!$E$33)))</f>
        <v/>
      </c>
      <c r="K1198" t="str">
        <f>IF($A1198="","",IF($D1198="V01",cad!$C$34,IF($D1198="V02",cad!$D$34,cad!$E$34)))</f>
        <v/>
      </c>
      <c r="L1198" t="str">
        <f>IF($A1198="","",IF($D1198="V01",cad!$C$35,IF($D1198="V02",cad!$D$35,cad!$E$35)))</f>
        <v/>
      </c>
      <c r="M1198" t="str">
        <f>IF($A1198="","",IF($D1198="V01",cad!$C$36,IF($D1198="V02",cad!$D$36,cad!$E$36)))</f>
        <v/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 t="str">
        <f>IF($A1199="","",IF($D1199="V01",cad!$C$23,IF($D1199="V02",cad!$D$23,cad!$E$23)))</f>
        <v/>
      </c>
      <c r="H1199" t="str">
        <f>IF($A1199="","",IF($D1199="V01",cad!$C$24,IF($D1199="V02",cad!$D$24,cad!$E$24)))</f>
        <v/>
      </c>
      <c r="I1199" t="str">
        <f>IF($A1199="","",IF($D1199="V01",cad!$C$32,IF($D1199="V02",cad!$D$32,cad!$E$32)))</f>
        <v/>
      </c>
      <c r="J1199" t="str">
        <f>IF($A1199="","",IF($D1199="V01",cad!$C$33,IF($D1199="V02",cad!$D$33,cad!$E$33)))</f>
        <v/>
      </c>
      <c r="K1199" t="str">
        <f>IF($A1199="","",IF($D1199="V01",cad!$C$34,IF($D1199="V02",cad!$D$34,cad!$E$34)))</f>
        <v/>
      </c>
      <c r="L1199" t="str">
        <f>IF($A1199="","",IF($D1199="V01",cad!$C$35,IF($D1199="V02",cad!$D$35,cad!$E$35)))</f>
        <v/>
      </c>
      <c r="M1199" t="str">
        <f>IF($A1199="","",IF($D1199="V01",cad!$C$36,IF($D1199="V02",cad!$D$36,cad!$E$36)))</f>
        <v/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 t="str">
        <f>IF($A1200="","",IF($D1200="V01",cad!$C$23,IF($D1200="V02",cad!$D$23,cad!$E$23)))</f>
        <v/>
      </c>
      <c r="H1200" t="str">
        <f>IF($A1200="","",IF($D1200="V01",cad!$C$24,IF($D1200="V02",cad!$D$24,cad!$E$24)))</f>
        <v/>
      </c>
      <c r="I1200" t="str">
        <f>IF($A1200="","",IF($D1200="V01",cad!$C$32,IF($D1200="V02",cad!$D$32,cad!$E$32)))</f>
        <v/>
      </c>
      <c r="J1200" t="str">
        <f>IF($A1200="","",IF($D1200="V01",cad!$C$33,IF($D1200="V02",cad!$D$33,cad!$E$33)))</f>
        <v/>
      </c>
      <c r="K1200" t="str">
        <f>IF($A1200="","",IF($D1200="V01",cad!$C$34,IF($D1200="V02",cad!$D$34,cad!$E$34)))</f>
        <v/>
      </c>
      <c r="L1200" t="str">
        <f>IF($A1200="","",IF($D1200="V01",cad!$C$35,IF($D1200="V02",cad!$D$35,cad!$E$35)))</f>
        <v/>
      </c>
      <c r="M1200" t="str">
        <f>IF($A1200="","",IF($D1200="V01",cad!$C$36,IF($D1200="V02",cad!$D$36,cad!$E$36)))</f>
        <v/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 t="str">
        <f>IF($A1201="","",IF($D1201="V01",cad!$C$23,IF($D1201="V02",cad!$D$23,cad!$E$23)))</f>
        <v/>
      </c>
      <c r="H1201" t="str">
        <f>IF($A1201="","",IF($D1201="V01",cad!$C$24,IF($D1201="V02",cad!$D$24,cad!$E$24)))</f>
        <v/>
      </c>
      <c r="I1201" t="str">
        <f>IF($A1201="","",IF($D1201="V01",cad!$C$32,IF($D1201="V02",cad!$D$32,cad!$E$32)))</f>
        <v/>
      </c>
      <c r="J1201" t="str">
        <f>IF($A1201="","",IF($D1201="V01",cad!$C$33,IF($D1201="V02",cad!$D$33,cad!$E$33)))</f>
        <v/>
      </c>
      <c r="K1201" t="str">
        <f>IF($A1201="","",IF($D1201="V01",cad!$C$34,IF($D1201="V02",cad!$D$34,cad!$E$34)))</f>
        <v/>
      </c>
      <c r="L1201" t="str">
        <f>IF($A1201="","",IF($D1201="V01",cad!$C$35,IF($D1201="V02",cad!$D$35,cad!$E$35)))</f>
        <v/>
      </c>
      <c r="M1201" t="str">
        <f>IF($A1201="","",IF($D1201="V01",cad!$C$36,IF($D1201="V02",cad!$D$36,cad!$E$36)))</f>
        <v/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 t="str">
        <f>IF($A1202="","",IF($D1202="V01",cad!$C$23,IF($D1202="V02",cad!$D$23,cad!$E$23)))</f>
        <v/>
      </c>
      <c r="H1202" t="str">
        <f>IF($A1202="","",IF($D1202="V01",cad!$C$24,IF($D1202="V02",cad!$D$24,cad!$E$24)))</f>
        <v/>
      </c>
      <c r="I1202" t="str">
        <f>IF($A1202="","",IF($D1202="V01",cad!$C$32,IF($D1202="V02",cad!$D$32,cad!$E$32)))</f>
        <v/>
      </c>
      <c r="J1202" t="str">
        <f>IF($A1202="","",IF($D1202="V01",cad!$C$33,IF($D1202="V02",cad!$D$33,cad!$E$33)))</f>
        <v/>
      </c>
      <c r="K1202" t="str">
        <f>IF($A1202="","",IF($D1202="V01",cad!$C$34,IF($D1202="V02",cad!$D$34,cad!$E$34)))</f>
        <v/>
      </c>
      <c r="L1202" t="str">
        <f>IF($A1202="","",IF($D1202="V01",cad!$C$35,IF($D1202="V02",cad!$D$35,cad!$E$35)))</f>
        <v/>
      </c>
      <c r="M1202" t="str">
        <f>IF($A1202="","",IF($D1202="V01",cad!$C$36,IF($D1202="V02",cad!$D$36,cad!$E$36)))</f>
        <v/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 t="str">
        <f>IF($A1203="","",IF($D1203="V01",cad!$C$23,IF($D1203="V02",cad!$D$23,cad!$E$23)))</f>
        <v/>
      </c>
      <c r="H1203" t="str">
        <f>IF($A1203="","",IF($D1203="V01",cad!$C$24,IF($D1203="V02",cad!$D$24,cad!$E$24)))</f>
        <v/>
      </c>
      <c r="I1203" t="str">
        <f>IF($A1203="","",IF($D1203="V01",cad!$C$32,IF($D1203="V02",cad!$D$32,cad!$E$32)))</f>
        <v/>
      </c>
      <c r="J1203" t="str">
        <f>IF($A1203="","",IF($D1203="V01",cad!$C$33,IF($D1203="V02",cad!$D$33,cad!$E$33)))</f>
        <v/>
      </c>
      <c r="K1203" t="str">
        <f>IF($A1203="","",IF($D1203="V01",cad!$C$34,IF($D1203="V02",cad!$D$34,cad!$E$34)))</f>
        <v/>
      </c>
      <c r="L1203" t="str">
        <f>IF($A1203="","",IF($D1203="V01",cad!$C$35,IF($D1203="V02",cad!$D$35,cad!$E$35)))</f>
        <v/>
      </c>
      <c r="M1203" t="str">
        <f>IF($A1203="","",IF($D1203="V01",cad!$C$36,IF($D1203="V02",cad!$D$36,cad!$E$36)))</f>
        <v/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 t="str">
        <f>IF($A1204="","",IF($D1204="V01",cad!$C$23,IF($D1204="V02",cad!$D$23,cad!$E$23)))</f>
        <v/>
      </c>
      <c r="H1204" t="str">
        <f>IF($A1204="","",IF($D1204="V01",cad!$C$24,IF($D1204="V02",cad!$D$24,cad!$E$24)))</f>
        <v/>
      </c>
      <c r="I1204" t="str">
        <f>IF($A1204="","",IF($D1204="V01",cad!$C$32,IF($D1204="V02",cad!$D$32,cad!$E$32)))</f>
        <v/>
      </c>
      <c r="J1204" t="str">
        <f>IF($A1204="","",IF($D1204="V01",cad!$C$33,IF($D1204="V02",cad!$D$33,cad!$E$33)))</f>
        <v/>
      </c>
      <c r="K1204" t="str">
        <f>IF($A1204="","",IF($D1204="V01",cad!$C$34,IF($D1204="V02",cad!$D$34,cad!$E$34)))</f>
        <v/>
      </c>
      <c r="L1204" t="str">
        <f>IF($A1204="","",IF($D1204="V01",cad!$C$35,IF($D1204="V02",cad!$D$35,cad!$E$35)))</f>
        <v/>
      </c>
      <c r="M1204" t="str">
        <f>IF($A1204="","",IF($D1204="V01",cad!$C$36,IF($D1204="V02",cad!$D$36,cad!$E$36)))</f>
        <v/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 t="str">
        <f>IF($A1205="","",IF($D1205="V01",cad!$C$23,IF($D1205="V02",cad!$D$23,cad!$E$23)))</f>
        <v/>
      </c>
      <c r="H1205" t="str">
        <f>IF($A1205="","",IF($D1205="V01",cad!$C$24,IF($D1205="V02",cad!$D$24,cad!$E$24)))</f>
        <v/>
      </c>
      <c r="I1205" t="str">
        <f>IF($A1205="","",IF($D1205="V01",cad!$C$32,IF($D1205="V02",cad!$D$32,cad!$E$32)))</f>
        <v/>
      </c>
      <c r="J1205" t="str">
        <f>IF($A1205="","",IF($D1205="V01",cad!$C$33,IF($D1205="V02",cad!$D$33,cad!$E$33)))</f>
        <v/>
      </c>
      <c r="K1205" t="str">
        <f>IF($A1205="","",IF($D1205="V01",cad!$C$34,IF($D1205="V02",cad!$D$34,cad!$E$34)))</f>
        <v/>
      </c>
      <c r="L1205" t="str">
        <f>IF($A1205="","",IF($D1205="V01",cad!$C$35,IF($D1205="V02",cad!$D$35,cad!$E$35)))</f>
        <v/>
      </c>
      <c r="M1205" t="str">
        <f>IF($A1205="","",IF($D1205="V01",cad!$C$36,IF($D1205="V02",cad!$D$36,cad!$E$36)))</f>
        <v/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 t="str">
        <f>IF($A1206="","",IF($D1206="V01",cad!$C$23,IF($D1206="V02",cad!$D$23,cad!$E$23)))</f>
        <v/>
      </c>
      <c r="H1206" t="str">
        <f>IF($A1206="","",IF($D1206="V01",cad!$C$24,IF($D1206="V02",cad!$D$24,cad!$E$24)))</f>
        <v/>
      </c>
      <c r="I1206" t="str">
        <f>IF($A1206="","",IF($D1206="V01",cad!$C$32,IF($D1206="V02",cad!$D$32,cad!$E$32)))</f>
        <v/>
      </c>
      <c r="J1206" t="str">
        <f>IF($A1206="","",IF($D1206="V01",cad!$C$33,IF($D1206="V02",cad!$D$33,cad!$E$33)))</f>
        <v/>
      </c>
      <c r="K1206" t="str">
        <f>IF($A1206="","",IF($D1206="V01",cad!$C$34,IF($D1206="V02",cad!$D$34,cad!$E$34)))</f>
        <v/>
      </c>
      <c r="L1206" t="str">
        <f>IF($A1206="","",IF($D1206="V01",cad!$C$35,IF($D1206="V02",cad!$D$35,cad!$E$35)))</f>
        <v/>
      </c>
      <c r="M1206" t="str">
        <f>IF($A1206="","",IF($D1206="V01",cad!$C$36,IF($D1206="V02",cad!$D$36,cad!$E$36)))</f>
        <v/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 t="str">
        <f>IF($A1207="","",IF($D1207="V01",cad!$C$23,IF($D1207="V02",cad!$D$23,cad!$E$23)))</f>
        <v/>
      </c>
      <c r="H1207" t="str">
        <f>IF($A1207="","",IF($D1207="V01",cad!$C$24,IF($D1207="V02",cad!$D$24,cad!$E$24)))</f>
        <v/>
      </c>
      <c r="I1207" t="str">
        <f>IF($A1207="","",IF($D1207="V01",cad!$C$32,IF($D1207="V02",cad!$D$32,cad!$E$32)))</f>
        <v/>
      </c>
      <c r="J1207" t="str">
        <f>IF($A1207="","",IF($D1207="V01",cad!$C$33,IF($D1207="V02",cad!$D$33,cad!$E$33)))</f>
        <v/>
      </c>
      <c r="K1207" t="str">
        <f>IF($A1207="","",IF($D1207="V01",cad!$C$34,IF($D1207="V02",cad!$D$34,cad!$E$34)))</f>
        <v/>
      </c>
      <c r="L1207" t="str">
        <f>IF($A1207="","",IF($D1207="V01",cad!$C$35,IF($D1207="V02",cad!$D$35,cad!$E$35)))</f>
        <v/>
      </c>
      <c r="M1207" t="str">
        <f>IF($A1207="","",IF($D1207="V01",cad!$C$36,IF($D1207="V02",cad!$D$36,cad!$E$36)))</f>
        <v/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 t="str">
        <f>IF($A1208="","",IF($D1208="V01",cad!$C$23,IF($D1208="V02",cad!$D$23,cad!$E$23)))</f>
        <v/>
      </c>
      <c r="H1208" t="str">
        <f>IF($A1208="","",IF($D1208="V01",cad!$C$24,IF($D1208="V02",cad!$D$24,cad!$E$24)))</f>
        <v/>
      </c>
      <c r="I1208" t="str">
        <f>IF($A1208="","",IF($D1208="V01",cad!$C$32,IF($D1208="V02",cad!$D$32,cad!$E$32)))</f>
        <v/>
      </c>
      <c r="J1208" t="str">
        <f>IF($A1208="","",IF($D1208="V01",cad!$C$33,IF($D1208="V02",cad!$D$33,cad!$E$33)))</f>
        <v/>
      </c>
      <c r="K1208" t="str">
        <f>IF($A1208="","",IF($D1208="V01",cad!$C$34,IF($D1208="V02",cad!$D$34,cad!$E$34)))</f>
        <v/>
      </c>
      <c r="L1208" t="str">
        <f>IF($A1208="","",IF($D1208="V01",cad!$C$35,IF($D1208="V02",cad!$D$35,cad!$E$35)))</f>
        <v/>
      </c>
      <c r="M1208" t="str">
        <f>IF($A1208="","",IF($D1208="V01",cad!$C$36,IF($D1208="V02",cad!$D$36,cad!$E$36)))</f>
        <v/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 t="str">
        <f>IF($A1209="","",IF($D1209="V01",cad!$C$23,IF($D1209="V02",cad!$D$23,cad!$E$23)))</f>
        <v/>
      </c>
      <c r="H1209" t="str">
        <f>IF($A1209="","",IF($D1209="V01",cad!$C$24,IF($D1209="V02",cad!$D$24,cad!$E$24)))</f>
        <v/>
      </c>
      <c r="I1209" t="str">
        <f>IF($A1209="","",IF($D1209="V01",cad!$C$32,IF($D1209="V02",cad!$D$32,cad!$E$32)))</f>
        <v/>
      </c>
      <c r="J1209" t="str">
        <f>IF($A1209="","",IF($D1209="V01",cad!$C$33,IF($D1209="V02",cad!$D$33,cad!$E$33)))</f>
        <v/>
      </c>
      <c r="K1209" t="str">
        <f>IF($A1209="","",IF($D1209="V01",cad!$C$34,IF($D1209="V02",cad!$D$34,cad!$E$34)))</f>
        <v/>
      </c>
      <c r="L1209" t="str">
        <f>IF($A1209="","",IF($D1209="V01",cad!$C$35,IF($D1209="V02",cad!$D$35,cad!$E$35)))</f>
        <v/>
      </c>
      <c r="M1209" t="str">
        <f>IF($A1209="","",IF($D1209="V01",cad!$C$36,IF($D1209="V02",cad!$D$36,cad!$E$36)))</f>
        <v/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 t="str">
        <f>IF($A1210="","",IF($D1210="V01",cad!$C$23,IF($D1210="V02",cad!$D$23,cad!$E$23)))</f>
        <v/>
      </c>
      <c r="H1210" t="str">
        <f>IF($A1210="","",IF($D1210="V01",cad!$C$24,IF($D1210="V02",cad!$D$24,cad!$E$24)))</f>
        <v/>
      </c>
      <c r="I1210" t="str">
        <f>IF($A1210="","",IF($D1210="V01",cad!$C$32,IF($D1210="V02",cad!$D$32,cad!$E$32)))</f>
        <v/>
      </c>
      <c r="J1210" t="str">
        <f>IF($A1210="","",IF($D1210="V01",cad!$C$33,IF($D1210="V02",cad!$D$33,cad!$E$33)))</f>
        <v/>
      </c>
      <c r="K1210" t="str">
        <f>IF($A1210="","",IF($D1210="V01",cad!$C$34,IF($D1210="V02",cad!$D$34,cad!$E$34)))</f>
        <v/>
      </c>
      <c r="L1210" t="str">
        <f>IF($A1210="","",IF($D1210="V01",cad!$C$35,IF($D1210="V02",cad!$D$35,cad!$E$35)))</f>
        <v/>
      </c>
      <c r="M1210" t="str">
        <f>IF($A1210="","",IF($D1210="V01",cad!$C$36,IF($D1210="V02",cad!$D$36,cad!$E$36)))</f>
        <v/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 t="str">
        <f>IF($A1211="","",IF($D1211="V01",cad!$C$23,IF($D1211="V02",cad!$D$23,cad!$E$23)))</f>
        <v/>
      </c>
      <c r="H1211" t="str">
        <f>IF($A1211="","",IF($D1211="V01",cad!$C$24,IF($D1211="V02",cad!$D$24,cad!$E$24)))</f>
        <v/>
      </c>
      <c r="I1211" t="str">
        <f>IF($A1211="","",IF($D1211="V01",cad!$C$32,IF($D1211="V02",cad!$D$32,cad!$E$32)))</f>
        <v/>
      </c>
      <c r="J1211" t="str">
        <f>IF($A1211="","",IF($D1211="V01",cad!$C$33,IF($D1211="V02",cad!$D$33,cad!$E$33)))</f>
        <v/>
      </c>
      <c r="K1211" t="str">
        <f>IF($A1211="","",IF($D1211="V01",cad!$C$34,IF($D1211="V02",cad!$D$34,cad!$E$34)))</f>
        <v/>
      </c>
      <c r="L1211" t="str">
        <f>IF($A1211="","",IF($D1211="V01",cad!$C$35,IF($D1211="V02",cad!$D$35,cad!$E$35)))</f>
        <v/>
      </c>
      <c r="M1211" t="str">
        <f>IF($A1211="","",IF($D1211="V01",cad!$C$36,IF($D1211="V02",cad!$D$36,cad!$E$36)))</f>
        <v/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 t="str">
        <f>IF($A1212="","",IF($D1212="V01",cad!$C$23,IF($D1212="V02",cad!$D$23,cad!$E$23)))</f>
        <v/>
      </c>
      <c r="H1212" t="str">
        <f>IF($A1212="","",IF($D1212="V01",cad!$C$24,IF($D1212="V02",cad!$D$24,cad!$E$24)))</f>
        <v/>
      </c>
      <c r="I1212" t="str">
        <f>IF($A1212="","",IF($D1212="V01",cad!$C$32,IF($D1212="V02",cad!$D$32,cad!$E$32)))</f>
        <v/>
      </c>
      <c r="J1212" t="str">
        <f>IF($A1212="","",IF($D1212="V01",cad!$C$33,IF($D1212="V02",cad!$D$33,cad!$E$33)))</f>
        <v/>
      </c>
      <c r="K1212" t="str">
        <f>IF($A1212="","",IF($D1212="V01",cad!$C$34,IF($D1212="V02",cad!$D$34,cad!$E$34)))</f>
        <v/>
      </c>
      <c r="L1212" t="str">
        <f>IF($A1212="","",IF($D1212="V01",cad!$C$35,IF($D1212="V02",cad!$D$35,cad!$E$35)))</f>
        <v/>
      </c>
      <c r="M1212" t="str">
        <f>IF($A1212="","",IF($D1212="V01",cad!$C$36,IF($D1212="V02",cad!$D$36,cad!$E$36)))</f>
        <v/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 t="str">
        <f>IF($A1213="","",IF($D1213="V01",cad!$C$23,IF($D1213="V02",cad!$D$23,cad!$E$23)))</f>
        <v/>
      </c>
      <c r="H1213" t="str">
        <f>IF($A1213="","",IF($D1213="V01",cad!$C$24,IF($D1213="V02",cad!$D$24,cad!$E$24)))</f>
        <v/>
      </c>
      <c r="I1213" t="str">
        <f>IF($A1213="","",IF($D1213="V01",cad!$C$32,IF($D1213="V02",cad!$D$32,cad!$E$32)))</f>
        <v/>
      </c>
      <c r="J1213" t="str">
        <f>IF($A1213="","",IF($D1213="V01",cad!$C$33,IF($D1213="V02",cad!$D$33,cad!$E$33)))</f>
        <v/>
      </c>
      <c r="K1213" t="str">
        <f>IF($A1213="","",IF($D1213="V01",cad!$C$34,IF($D1213="V02",cad!$D$34,cad!$E$34)))</f>
        <v/>
      </c>
      <c r="L1213" t="str">
        <f>IF($A1213="","",IF($D1213="V01",cad!$C$35,IF($D1213="V02",cad!$D$35,cad!$E$35)))</f>
        <v/>
      </c>
      <c r="M1213" t="str">
        <f>IF($A1213="","",IF($D1213="V01",cad!$C$36,IF($D1213="V02",cad!$D$36,cad!$E$36)))</f>
        <v/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 t="str">
        <f>IF($A1214="","",IF($D1214="V01",cad!$C$23,IF($D1214="V02",cad!$D$23,cad!$E$23)))</f>
        <v/>
      </c>
      <c r="H1214" t="str">
        <f>IF($A1214="","",IF($D1214="V01",cad!$C$24,IF($D1214="V02",cad!$D$24,cad!$E$24)))</f>
        <v/>
      </c>
      <c r="I1214" t="str">
        <f>IF($A1214="","",IF($D1214="V01",cad!$C$32,IF($D1214="V02",cad!$D$32,cad!$E$32)))</f>
        <v/>
      </c>
      <c r="J1214" t="str">
        <f>IF($A1214="","",IF($D1214="V01",cad!$C$33,IF($D1214="V02",cad!$D$33,cad!$E$33)))</f>
        <v/>
      </c>
      <c r="K1214" t="str">
        <f>IF($A1214="","",IF($D1214="V01",cad!$C$34,IF($D1214="V02",cad!$D$34,cad!$E$34)))</f>
        <v/>
      </c>
      <c r="L1214" t="str">
        <f>IF($A1214="","",IF($D1214="V01",cad!$C$35,IF($D1214="V02",cad!$D$35,cad!$E$35)))</f>
        <v/>
      </c>
      <c r="M1214" t="str">
        <f>IF($A1214="","",IF($D1214="V01",cad!$C$36,IF($D1214="V02",cad!$D$36,cad!$E$36)))</f>
        <v/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 t="str">
        <f>IF($A1215="","",IF($D1215="V01",cad!$C$23,IF($D1215="V02",cad!$D$23,cad!$E$23)))</f>
        <v/>
      </c>
      <c r="H1215" t="str">
        <f>IF($A1215="","",IF($D1215="V01",cad!$C$24,IF($D1215="V02",cad!$D$24,cad!$E$24)))</f>
        <v/>
      </c>
      <c r="I1215" t="str">
        <f>IF($A1215="","",IF($D1215="V01",cad!$C$32,IF($D1215="V02",cad!$D$32,cad!$E$32)))</f>
        <v/>
      </c>
      <c r="J1215" t="str">
        <f>IF($A1215="","",IF($D1215="V01",cad!$C$33,IF($D1215="V02",cad!$D$33,cad!$E$33)))</f>
        <v/>
      </c>
      <c r="K1215" t="str">
        <f>IF($A1215="","",IF($D1215="V01",cad!$C$34,IF($D1215="V02",cad!$D$34,cad!$E$34)))</f>
        <v/>
      </c>
      <c r="L1215" t="str">
        <f>IF($A1215="","",IF($D1215="V01",cad!$C$35,IF($D1215="V02",cad!$D$35,cad!$E$35)))</f>
        <v/>
      </c>
      <c r="M1215" t="str">
        <f>IF($A1215="","",IF($D1215="V01",cad!$C$36,IF($D1215="V02",cad!$D$36,cad!$E$36)))</f>
        <v/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 t="str">
        <f>IF($A1216="","",IF($D1216="V01",cad!$C$23,IF($D1216="V02",cad!$D$23,cad!$E$23)))</f>
        <v/>
      </c>
      <c r="H1216" t="str">
        <f>IF($A1216="","",IF($D1216="V01",cad!$C$24,IF($D1216="V02",cad!$D$24,cad!$E$24)))</f>
        <v/>
      </c>
      <c r="I1216" t="str">
        <f>IF($A1216="","",IF($D1216="V01",cad!$C$32,IF($D1216="V02",cad!$D$32,cad!$E$32)))</f>
        <v/>
      </c>
      <c r="J1216" t="str">
        <f>IF($A1216="","",IF($D1216="V01",cad!$C$33,IF($D1216="V02",cad!$D$33,cad!$E$33)))</f>
        <v/>
      </c>
      <c r="K1216" t="str">
        <f>IF($A1216="","",IF($D1216="V01",cad!$C$34,IF($D1216="V02",cad!$D$34,cad!$E$34)))</f>
        <v/>
      </c>
      <c r="L1216" t="str">
        <f>IF($A1216="","",IF($D1216="V01",cad!$C$35,IF($D1216="V02",cad!$D$35,cad!$E$35)))</f>
        <v/>
      </c>
      <c r="M1216" t="str">
        <f>IF($A1216="","",IF($D1216="V01",cad!$C$36,IF($D1216="V02",cad!$D$36,cad!$E$36)))</f>
        <v/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 t="str">
        <f>IF($A1217="","",IF($D1217="V01",cad!$C$23,IF($D1217="V02",cad!$D$23,cad!$E$23)))</f>
        <v/>
      </c>
      <c r="H1217" t="str">
        <f>IF($A1217="","",IF($D1217="V01",cad!$C$24,IF($D1217="V02",cad!$D$24,cad!$E$24)))</f>
        <v/>
      </c>
      <c r="I1217" t="str">
        <f>IF($A1217="","",IF($D1217="V01",cad!$C$32,IF($D1217="V02",cad!$D$32,cad!$E$32)))</f>
        <v/>
      </c>
      <c r="J1217" t="str">
        <f>IF($A1217="","",IF($D1217="V01",cad!$C$33,IF($D1217="V02",cad!$D$33,cad!$E$33)))</f>
        <v/>
      </c>
      <c r="K1217" t="str">
        <f>IF($A1217="","",IF($D1217="V01",cad!$C$34,IF($D1217="V02",cad!$D$34,cad!$E$34)))</f>
        <v/>
      </c>
      <c r="L1217" t="str">
        <f>IF($A1217="","",IF($D1217="V01",cad!$C$35,IF($D1217="V02",cad!$D$35,cad!$E$35)))</f>
        <v/>
      </c>
      <c r="M1217" t="str">
        <f>IF($A1217="","",IF($D1217="V01",cad!$C$36,IF($D1217="V02",cad!$D$36,cad!$E$36)))</f>
        <v/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 t="str">
        <f>IF($A1218="","",IF($D1218="V01",cad!$C$23,IF($D1218="V02",cad!$D$23,cad!$E$23)))</f>
        <v/>
      </c>
      <c r="H1218" t="str">
        <f>IF($A1218="","",IF($D1218="V01",cad!$C$24,IF($D1218="V02",cad!$D$24,cad!$E$24)))</f>
        <v/>
      </c>
      <c r="I1218" t="str">
        <f>IF($A1218="","",IF($D1218="V01",cad!$C$32,IF($D1218="V02",cad!$D$32,cad!$E$32)))</f>
        <v/>
      </c>
      <c r="J1218" t="str">
        <f>IF($A1218="","",IF($D1218="V01",cad!$C$33,IF($D1218="V02",cad!$D$33,cad!$E$33)))</f>
        <v/>
      </c>
      <c r="K1218" t="str">
        <f>IF($A1218="","",IF($D1218="V01",cad!$C$34,IF($D1218="V02",cad!$D$34,cad!$E$34)))</f>
        <v/>
      </c>
      <c r="L1218" t="str">
        <f>IF($A1218="","",IF($D1218="V01",cad!$C$35,IF($D1218="V02",cad!$D$35,cad!$E$35)))</f>
        <v/>
      </c>
      <c r="M1218" t="str">
        <f>IF($A1218="","",IF($D1218="V01",cad!$C$36,IF($D1218="V02",cad!$D$36,cad!$E$36)))</f>
        <v/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 t="str">
        <f>IF($A1219="","",IF($D1219="V01",cad!$C$23,IF($D1219="V02",cad!$D$23,cad!$E$23)))</f>
        <v/>
      </c>
      <c r="H1219" t="str">
        <f>IF($A1219="","",IF($D1219="V01",cad!$C$24,IF($D1219="V02",cad!$D$24,cad!$E$24)))</f>
        <v/>
      </c>
      <c r="I1219" t="str">
        <f>IF($A1219="","",IF($D1219="V01",cad!$C$32,IF($D1219="V02",cad!$D$32,cad!$E$32)))</f>
        <v/>
      </c>
      <c r="J1219" t="str">
        <f>IF($A1219="","",IF($D1219="V01",cad!$C$33,IF($D1219="V02",cad!$D$33,cad!$E$33)))</f>
        <v/>
      </c>
      <c r="K1219" t="str">
        <f>IF($A1219="","",IF($D1219="V01",cad!$C$34,IF($D1219="V02",cad!$D$34,cad!$E$34)))</f>
        <v/>
      </c>
      <c r="L1219" t="str">
        <f>IF($A1219="","",IF($D1219="V01",cad!$C$35,IF($D1219="V02",cad!$D$35,cad!$E$35)))</f>
        <v/>
      </c>
      <c r="M1219" t="str">
        <f>IF($A1219="","",IF($D1219="V01",cad!$C$36,IF($D1219="V02",cad!$D$36,cad!$E$36)))</f>
        <v/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 t="str">
        <f>IF($A1220="","",IF($D1220="V01",cad!$C$23,IF($D1220="V02",cad!$D$23,cad!$E$23)))</f>
        <v/>
      </c>
      <c r="H1220" t="str">
        <f>IF($A1220="","",IF($D1220="V01",cad!$C$24,IF($D1220="V02",cad!$D$24,cad!$E$24)))</f>
        <v/>
      </c>
      <c r="I1220" t="str">
        <f>IF($A1220="","",IF($D1220="V01",cad!$C$32,IF($D1220="V02",cad!$D$32,cad!$E$32)))</f>
        <v/>
      </c>
      <c r="J1220" t="str">
        <f>IF($A1220="","",IF($D1220="V01",cad!$C$33,IF($D1220="V02",cad!$D$33,cad!$E$33)))</f>
        <v/>
      </c>
      <c r="K1220" t="str">
        <f>IF($A1220="","",IF($D1220="V01",cad!$C$34,IF($D1220="V02",cad!$D$34,cad!$E$34)))</f>
        <v/>
      </c>
      <c r="L1220" t="str">
        <f>IF($A1220="","",IF($D1220="V01",cad!$C$35,IF($D1220="V02",cad!$D$35,cad!$E$35)))</f>
        <v/>
      </c>
      <c r="M1220" t="str">
        <f>IF($A1220="","",IF($D1220="V01",cad!$C$36,IF($D1220="V02",cad!$D$36,cad!$E$36)))</f>
        <v/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 t="str">
        <f>IF($A1221="","",IF($D1221="V01",cad!$C$23,IF($D1221="V02",cad!$D$23,cad!$E$23)))</f>
        <v/>
      </c>
      <c r="H1221" t="str">
        <f>IF($A1221="","",IF($D1221="V01",cad!$C$24,IF($D1221="V02",cad!$D$24,cad!$E$24)))</f>
        <v/>
      </c>
      <c r="I1221" t="str">
        <f>IF($A1221="","",IF($D1221="V01",cad!$C$32,IF($D1221="V02",cad!$D$32,cad!$E$32)))</f>
        <v/>
      </c>
      <c r="J1221" t="str">
        <f>IF($A1221="","",IF($D1221="V01",cad!$C$33,IF($D1221="V02",cad!$D$33,cad!$E$33)))</f>
        <v/>
      </c>
      <c r="K1221" t="str">
        <f>IF($A1221="","",IF($D1221="V01",cad!$C$34,IF($D1221="V02",cad!$D$34,cad!$E$34)))</f>
        <v/>
      </c>
      <c r="L1221" t="str">
        <f>IF($A1221="","",IF($D1221="V01",cad!$C$35,IF($D1221="V02",cad!$D$35,cad!$E$35)))</f>
        <v/>
      </c>
      <c r="M1221" t="str">
        <f>IF($A1221="","",IF($D1221="V01",cad!$C$36,IF($D1221="V02",cad!$D$36,cad!$E$36)))</f>
        <v/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 t="str">
        <f>IF($A1222="","",IF($D1222="V01",cad!$C$23,IF($D1222="V02",cad!$D$23,cad!$E$23)))</f>
        <v/>
      </c>
      <c r="H1222" t="str">
        <f>IF($A1222="","",IF($D1222="V01",cad!$C$24,IF($D1222="V02",cad!$D$24,cad!$E$24)))</f>
        <v/>
      </c>
      <c r="I1222" t="str">
        <f>IF($A1222="","",IF($D1222="V01",cad!$C$32,IF($D1222="V02",cad!$D$32,cad!$E$32)))</f>
        <v/>
      </c>
      <c r="J1222" t="str">
        <f>IF($A1222="","",IF($D1222="V01",cad!$C$33,IF($D1222="V02",cad!$D$33,cad!$E$33)))</f>
        <v/>
      </c>
      <c r="K1222" t="str">
        <f>IF($A1222="","",IF($D1222="V01",cad!$C$34,IF($D1222="V02",cad!$D$34,cad!$E$34)))</f>
        <v/>
      </c>
      <c r="L1222" t="str">
        <f>IF($A1222="","",IF($D1222="V01",cad!$C$35,IF($D1222="V02",cad!$D$35,cad!$E$35)))</f>
        <v/>
      </c>
      <c r="M1222" t="str">
        <f>IF($A1222="","",IF($D1222="V01",cad!$C$36,IF($D1222="V02",cad!$D$36,cad!$E$36)))</f>
        <v/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 t="str">
        <f>IF($A1223="","",IF($D1223="V01",cad!$C$23,IF($D1223="V02",cad!$D$23,cad!$E$23)))</f>
        <v/>
      </c>
      <c r="H1223" t="str">
        <f>IF($A1223="","",IF($D1223="V01",cad!$C$24,IF($D1223="V02",cad!$D$24,cad!$E$24)))</f>
        <v/>
      </c>
      <c r="I1223" t="str">
        <f>IF($A1223="","",IF($D1223="V01",cad!$C$32,IF($D1223="V02",cad!$D$32,cad!$E$32)))</f>
        <v/>
      </c>
      <c r="J1223" t="str">
        <f>IF($A1223="","",IF($D1223="V01",cad!$C$33,IF($D1223="V02",cad!$D$33,cad!$E$33)))</f>
        <v/>
      </c>
      <c r="K1223" t="str">
        <f>IF($A1223="","",IF($D1223="V01",cad!$C$34,IF($D1223="V02",cad!$D$34,cad!$E$34)))</f>
        <v/>
      </c>
      <c r="L1223" t="str">
        <f>IF($A1223="","",IF($D1223="V01",cad!$C$35,IF($D1223="V02",cad!$D$35,cad!$E$35)))</f>
        <v/>
      </c>
      <c r="M1223" t="str">
        <f>IF($A1223="","",IF($D1223="V01",cad!$C$36,IF($D1223="V02",cad!$D$36,cad!$E$36)))</f>
        <v/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 t="str">
        <f>IF($A1224="","",IF($D1224="V01",cad!$C$23,IF($D1224="V02",cad!$D$23,cad!$E$23)))</f>
        <v/>
      </c>
      <c r="H1224" t="str">
        <f>IF($A1224="","",IF($D1224="V01",cad!$C$24,IF($D1224="V02",cad!$D$24,cad!$E$24)))</f>
        <v/>
      </c>
      <c r="I1224" t="str">
        <f>IF($A1224="","",IF($D1224="V01",cad!$C$32,IF($D1224="V02",cad!$D$32,cad!$E$32)))</f>
        <v/>
      </c>
      <c r="J1224" t="str">
        <f>IF($A1224="","",IF($D1224="V01",cad!$C$33,IF($D1224="V02",cad!$D$33,cad!$E$33)))</f>
        <v/>
      </c>
      <c r="K1224" t="str">
        <f>IF($A1224="","",IF($D1224="V01",cad!$C$34,IF($D1224="V02",cad!$D$34,cad!$E$34)))</f>
        <v/>
      </c>
      <c r="L1224" t="str">
        <f>IF($A1224="","",IF($D1224="V01",cad!$C$35,IF($D1224="V02",cad!$D$35,cad!$E$35)))</f>
        <v/>
      </c>
      <c r="M1224" t="str">
        <f>IF($A1224="","",IF($D1224="V01",cad!$C$36,IF($D1224="V02",cad!$D$36,cad!$E$36)))</f>
        <v/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 t="str">
        <f>IF($A1225="","",IF($D1225="V01",cad!$C$23,IF($D1225="V02",cad!$D$23,cad!$E$23)))</f>
        <v/>
      </c>
      <c r="H1225" t="str">
        <f>IF($A1225="","",IF($D1225="V01",cad!$C$24,IF($D1225="V02",cad!$D$24,cad!$E$24)))</f>
        <v/>
      </c>
      <c r="I1225" t="str">
        <f>IF($A1225="","",IF($D1225="V01",cad!$C$32,IF($D1225="V02",cad!$D$32,cad!$E$32)))</f>
        <v/>
      </c>
      <c r="J1225" t="str">
        <f>IF($A1225="","",IF($D1225="V01",cad!$C$33,IF($D1225="V02",cad!$D$33,cad!$E$33)))</f>
        <v/>
      </c>
      <c r="K1225" t="str">
        <f>IF($A1225="","",IF($D1225="V01",cad!$C$34,IF($D1225="V02",cad!$D$34,cad!$E$34)))</f>
        <v/>
      </c>
      <c r="L1225" t="str">
        <f>IF($A1225="","",IF($D1225="V01",cad!$C$35,IF($D1225="V02",cad!$D$35,cad!$E$35)))</f>
        <v/>
      </c>
      <c r="M1225" t="str">
        <f>IF($A1225="","",IF($D1225="V01",cad!$C$36,IF($D1225="V02",cad!$D$36,cad!$E$36)))</f>
        <v/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 t="str">
        <f>IF($A1226="","",IF($D1226="V01",cad!$C$23,IF($D1226="V02",cad!$D$23,cad!$E$23)))</f>
        <v/>
      </c>
      <c r="H1226" t="str">
        <f>IF($A1226="","",IF($D1226="V01",cad!$C$24,IF($D1226="V02",cad!$D$24,cad!$E$24)))</f>
        <v/>
      </c>
      <c r="I1226" t="str">
        <f>IF($A1226="","",IF($D1226="V01",cad!$C$32,IF($D1226="V02",cad!$D$32,cad!$E$32)))</f>
        <v/>
      </c>
      <c r="J1226" t="str">
        <f>IF($A1226="","",IF($D1226="V01",cad!$C$33,IF($D1226="V02",cad!$D$33,cad!$E$33)))</f>
        <v/>
      </c>
      <c r="K1226" t="str">
        <f>IF($A1226="","",IF($D1226="V01",cad!$C$34,IF($D1226="V02",cad!$D$34,cad!$E$34)))</f>
        <v/>
      </c>
      <c r="L1226" t="str">
        <f>IF($A1226="","",IF($D1226="V01",cad!$C$35,IF($D1226="V02",cad!$D$35,cad!$E$35)))</f>
        <v/>
      </c>
      <c r="M1226" t="str">
        <f>IF($A1226="","",IF($D1226="V01",cad!$C$36,IF($D1226="V02",cad!$D$36,cad!$E$36)))</f>
        <v/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 t="str">
        <f>IF($A1227="","",IF($D1227="V01",cad!$C$23,IF($D1227="V02",cad!$D$23,cad!$E$23)))</f>
        <v/>
      </c>
      <c r="H1227" t="str">
        <f>IF($A1227="","",IF($D1227="V01",cad!$C$24,IF($D1227="V02",cad!$D$24,cad!$E$24)))</f>
        <v/>
      </c>
      <c r="I1227" t="str">
        <f>IF($A1227="","",IF($D1227="V01",cad!$C$32,IF($D1227="V02",cad!$D$32,cad!$E$32)))</f>
        <v/>
      </c>
      <c r="J1227" t="str">
        <f>IF($A1227="","",IF($D1227="V01",cad!$C$33,IF($D1227="V02",cad!$D$33,cad!$E$33)))</f>
        <v/>
      </c>
      <c r="K1227" t="str">
        <f>IF($A1227="","",IF($D1227="V01",cad!$C$34,IF($D1227="V02",cad!$D$34,cad!$E$34)))</f>
        <v/>
      </c>
      <c r="L1227" t="str">
        <f>IF($A1227="","",IF($D1227="V01",cad!$C$35,IF($D1227="V02",cad!$D$35,cad!$E$35)))</f>
        <v/>
      </c>
      <c r="M1227" t="str">
        <f>IF($A1227="","",IF($D1227="V01",cad!$C$36,IF($D1227="V02",cad!$D$36,cad!$E$36)))</f>
        <v/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 t="str">
        <f>IF($A1228="","",IF($D1228="V01",cad!$C$23,IF($D1228="V02",cad!$D$23,cad!$E$23)))</f>
        <v/>
      </c>
      <c r="H1228" t="str">
        <f>IF($A1228="","",IF($D1228="V01",cad!$C$24,IF($D1228="V02",cad!$D$24,cad!$E$24)))</f>
        <v/>
      </c>
      <c r="I1228" t="str">
        <f>IF($A1228="","",IF($D1228="V01",cad!$C$32,IF($D1228="V02",cad!$D$32,cad!$E$32)))</f>
        <v/>
      </c>
      <c r="J1228" t="str">
        <f>IF($A1228="","",IF($D1228="V01",cad!$C$33,IF($D1228="V02",cad!$D$33,cad!$E$33)))</f>
        <v/>
      </c>
      <c r="K1228" t="str">
        <f>IF($A1228="","",IF($D1228="V01",cad!$C$34,IF($D1228="V02",cad!$D$34,cad!$E$34)))</f>
        <v/>
      </c>
      <c r="L1228" t="str">
        <f>IF($A1228="","",IF($D1228="V01",cad!$C$35,IF($D1228="V02",cad!$D$35,cad!$E$35)))</f>
        <v/>
      </c>
      <c r="M1228" t="str">
        <f>IF($A1228="","",IF($D1228="V01",cad!$C$36,IF($D1228="V02",cad!$D$36,cad!$E$36)))</f>
        <v/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 t="str">
        <f>IF($A1229="","",IF($D1229="V01",cad!$C$23,IF($D1229="V02",cad!$D$23,cad!$E$23)))</f>
        <v/>
      </c>
      <c r="H1229" t="str">
        <f>IF($A1229="","",IF($D1229="V01",cad!$C$24,IF($D1229="V02",cad!$D$24,cad!$E$24)))</f>
        <v/>
      </c>
      <c r="I1229" t="str">
        <f>IF($A1229="","",IF($D1229="V01",cad!$C$32,IF($D1229="V02",cad!$D$32,cad!$E$32)))</f>
        <v/>
      </c>
      <c r="J1229" t="str">
        <f>IF($A1229="","",IF($D1229="V01",cad!$C$33,IF($D1229="V02",cad!$D$33,cad!$E$33)))</f>
        <v/>
      </c>
      <c r="K1229" t="str">
        <f>IF($A1229="","",IF($D1229="V01",cad!$C$34,IF($D1229="V02",cad!$D$34,cad!$E$34)))</f>
        <v/>
      </c>
      <c r="L1229" t="str">
        <f>IF($A1229="","",IF($D1229="V01",cad!$C$35,IF($D1229="V02",cad!$D$35,cad!$E$35)))</f>
        <v/>
      </c>
      <c r="M1229" t="str">
        <f>IF($A1229="","",IF($D1229="V01",cad!$C$36,IF($D1229="V02",cad!$D$36,cad!$E$36)))</f>
        <v/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 t="str">
        <f>IF($A1230="","",IF($D1230="V01",cad!$C$23,IF($D1230="V02",cad!$D$23,cad!$E$23)))</f>
        <v/>
      </c>
      <c r="H1230" t="str">
        <f>IF($A1230="","",IF($D1230="V01",cad!$C$24,IF($D1230="V02",cad!$D$24,cad!$E$24)))</f>
        <v/>
      </c>
      <c r="I1230" t="str">
        <f>IF($A1230="","",IF($D1230="V01",cad!$C$32,IF($D1230="V02",cad!$D$32,cad!$E$32)))</f>
        <v/>
      </c>
      <c r="J1230" t="str">
        <f>IF($A1230="","",IF($D1230="V01",cad!$C$33,IF($D1230="V02",cad!$D$33,cad!$E$33)))</f>
        <v/>
      </c>
      <c r="K1230" t="str">
        <f>IF($A1230="","",IF($D1230="V01",cad!$C$34,IF($D1230="V02",cad!$D$34,cad!$E$34)))</f>
        <v/>
      </c>
      <c r="L1230" t="str">
        <f>IF($A1230="","",IF($D1230="V01",cad!$C$35,IF($D1230="V02",cad!$D$35,cad!$E$35)))</f>
        <v/>
      </c>
      <c r="M1230" t="str">
        <f>IF($A1230="","",IF($D1230="V01",cad!$C$36,IF($D1230="V02",cad!$D$36,cad!$E$36)))</f>
        <v/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 t="str">
        <f>IF($A1231="","",IF($D1231="V01",cad!$C$23,IF($D1231="V02",cad!$D$23,cad!$E$23)))</f>
        <v/>
      </c>
      <c r="H1231" t="str">
        <f>IF($A1231="","",IF($D1231="V01",cad!$C$24,IF($D1231="V02",cad!$D$24,cad!$E$24)))</f>
        <v/>
      </c>
      <c r="I1231" t="str">
        <f>IF($A1231="","",IF($D1231="V01",cad!$C$32,IF($D1231="V02",cad!$D$32,cad!$E$32)))</f>
        <v/>
      </c>
      <c r="J1231" t="str">
        <f>IF($A1231="","",IF($D1231="V01",cad!$C$33,IF($D1231="V02",cad!$D$33,cad!$E$33)))</f>
        <v/>
      </c>
      <c r="K1231" t="str">
        <f>IF($A1231="","",IF($D1231="V01",cad!$C$34,IF($D1231="V02",cad!$D$34,cad!$E$34)))</f>
        <v/>
      </c>
      <c r="L1231" t="str">
        <f>IF($A1231="","",IF($D1231="V01",cad!$C$35,IF($D1231="V02",cad!$D$35,cad!$E$35)))</f>
        <v/>
      </c>
      <c r="M1231" t="str">
        <f>IF($A1231="","",IF($D1231="V01",cad!$C$36,IF($D1231="V02",cad!$D$36,cad!$E$36)))</f>
        <v/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 t="str">
        <f>IF($A1232="","",IF($D1232="V01",cad!$C$23,IF($D1232="V02",cad!$D$23,cad!$E$23)))</f>
        <v/>
      </c>
      <c r="H1232" t="str">
        <f>IF($A1232="","",IF($D1232="V01",cad!$C$24,IF($D1232="V02",cad!$D$24,cad!$E$24)))</f>
        <v/>
      </c>
      <c r="I1232" t="str">
        <f>IF($A1232="","",IF($D1232="V01",cad!$C$32,IF($D1232="V02",cad!$D$32,cad!$E$32)))</f>
        <v/>
      </c>
      <c r="J1232" t="str">
        <f>IF($A1232="","",IF($D1232="V01",cad!$C$33,IF($D1232="V02",cad!$D$33,cad!$E$33)))</f>
        <v/>
      </c>
      <c r="K1232" t="str">
        <f>IF($A1232="","",IF($D1232="V01",cad!$C$34,IF($D1232="V02",cad!$D$34,cad!$E$34)))</f>
        <v/>
      </c>
      <c r="L1232" t="str">
        <f>IF($A1232="","",IF($D1232="V01",cad!$C$35,IF($D1232="V02",cad!$D$35,cad!$E$35)))</f>
        <v/>
      </c>
      <c r="M1232" t="str">
        <f>IF($A1232="","",IF($D1232="V01",cad!$C$36,IF($D1232="V02",cad!$D$36,cad!$E$36)))</f>
        <v/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 t="str">
        <f>IF($A1233="","",IF($D1233="V01",cad!$C$23,IF($D1233="V02",cad!$D$23,cad!$E$23)))</f>
        <v/>
      </c>
      <c r="H1233" t="str">
        <f>IF($A1233="","",IF($D1233="V01",cad!$C$24,IF($D1233="V02",cad!$D$24,cad!$E$24)))</f>
        <v/>
      </c>
      <c r="I1233" t="str">
        <f>IF($A1233="","",IF($D1233="V01",cad!$C$32,IF($D1233="V02",cad!$D$32,cad!$E$32)))</f>
        <v/>
      </c>
      <c r="J1233" t="str">
        <f>IF($A1233="","",IF($D1233="V01",cad!$C$33,IF($D1233="V02",cad!$D$33,cad!$E$33)))</f>
        <v/>
      </c>
      <c r="K1233" t="str">
        <f>IF($A1233="","",IF($D1233="V01",cad!$C$34,IF($D1233="V02",cad!$D$34,cad!$E$34)))</f>
        <v/>
      </c>
      <c r="L1233" t="str">
        <f>IF($A1233="","",IF($D1233="V01",cad!$C$35,IF($D1233="V02",cad!$D$35,cad!$E$35)))</f>
        <v/>
      </c>
      <c r="M1233" t="str">
        <f>IF($A1233="","",IF($D1233="V01",cad!$C$36,IF($D1233="V02",cad!$D$36,cad!$E$36)))</f>
        <v/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 t="str">
        <f>IF($A1234="","",IF($D1234="V01",cad!$C$23,IF($D1234="V02",cad!$D$23,cad!$E$23)))</f>
        <v/>
      </c>
      <c r="H1234" t="str">
        <f>IF($A1234="","",IF($D1234="V01",cad!$C$24,IF($D1234="V02",cad!$D$24,cad!$E$24)))</f>
        <v/>
      </c>
      <c r="I1234" t="str">
        <f>IF($A1234="","",IF($D1234="V01",cad!$C$32,IF($D1234="V02",cad!$D$32,cad!$E$32)))</f>
        <v/>
      </c>
      <c r="J1234" t="str">
        <f>IF($A1234="","",IF($D1234="V01",cad!$C$33,IF($D1234="V02",cad!$D$33,cad!$E$33)))</f>
        <v/>
      </c>
      <c r="K1234" t="str">
        <f>IF($A1234="","",IF($D1234="V01",cad!$C$34,IF($D1234="V02",cad!$D$34,cad!$E$34)))</f>
        <v/>
      </c>
      <c r="L1234" t="str">
        <f>IF($A1234="","",IF($D1234="V01",cad!$C$35,IF($D1234="V02",cad!$D$35,cad!$E$35)))</f>
        <v/>
      </c>
      <c r="M1234" t="str">
        <f>IF($A1234="","",IF($D1234="V01",cad!$C$36,IF($D1234="V02",cad!$D$36,cad!$E$36)))</f>
        <v/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 t="str">
        <f>IF($A1235="","",IF($D1235="V01",cad!$C$23,IF($D1235="V02",cad!$D$23,cad!$E$23)))</f>
        <v/>
      </c>
      <c r="H1235" t="str">
        <f>IF($A1235="","",IF($D1235="V01",cad!$C$24,IF($D1235="V02",cad!$D$24,cad!$E$24)))</f>
        <v/>
      </c>
      <c r="I1235" t="str">
        <f>IF($A1235="","",IF($D1235="V01",cad!$C$32,IF($D1235="V02",cad!$D$32,cad!$E$32)))</f>
        <v/>
      </c>
      <c r="J1235" t="str">
        <f>IF($A1235="","",IF($D1235="V01",cad!$C$33,IF($D1235="V02",cad!$D$33,cad!$E$33)))</f>
        <v/>
      </c>
      <c r="K1235" t="str">
        <f>IF($A1235="","",IF($D1235="V01",cad!$C$34,IF($D1235="V02",cad!$D$34,cad!$E$34)))</f>
        <v/>
      </c>
      <c r="L1235" t="str">
        <f>IF($A1235="","",IF($D1235="V01",cad!$C$35,IF($D1235="V02",cad!$D$35,cad!$E$35)))</f>
        <v/>
      </c>
      <c r="M1235" t="str">
        <f>IF($A1235="","",IF($D1235="V01",cad!$C$36,IF($D1235="V02",cad!$D$36,cad!$E$36)))</f>
        <v/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 t="str">
        <f>IF($A1236="","",IF($D1236="V01",cad!$C$23,IF($D1236="V02",cad!$D$23,cad!$E$23)))</f>
        <v/>
      </c>
      <c r="H1236" t="str">
        <f>IF($A1236="","",IF($D1236="V01",cad!$C$24,IF($D1236="V02",cad!$D$24,cad!$E$24)))</f>
        <v/>
      </c>
      <c r="I1236" t="str">
        <f>IF($A1236="","",IF($D1236="V01",cad!$C$32,IF($D1236="V02",cad!$D$32,cad!$E$32)))</f>
        <v/>
      </c>
      <c r="J1236" t="str">
        <f>IF($A1236="","",IF($D1236="V01",cad!$C$33,IF($D1236="V02",cad!$D$33,cad!$E$33)))</f>
        <v/>
      </c>
      <c r="K1236" t="str">
        <f>IF($A1236="","",IF($D1236="V01",cad!$C$34,IF($D1236="V02",cad!$D$34,cad!$E$34)))</f>
        <v/>
      </c>
      <c r="L1236" t="str">
        <f>IF($A1236="","",IF($D1236="V01",cad!$C$35,IF($D1236="V02",cad!$D$35,cad!$E$35)))</f>
        <v/>
      </c>
      <c r="M1236" t="str">
        <f>IF($A1236="","",IF($D1236="V01",cad!$C$36,IF($D1236="V02",cad!$D$36,cad!$E$36)))</f>
        <v/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 t="str">
        <f>IF($A1237="","",IF($D1237="V01",cad!$C$23,IF($D1237="V02",cad!$D$23,cad!$E$23)))</f>
        <v/>
      </c>
      <c r="H1237" t="str">
        <f>IF($A1237="","",IF($D1237="V01",cad!$C$24,IF($D1237="V02",cad!$D$24,cad!$E$24)))</f>
        <v/>
      </c>
      <c r="I1237" t="str">
        <f>IF($A1237="","",IF($D1237="V01",cad!$C$32,IF($D1237="V02",cad!$D$32,cad!$E$32)))</f>
        <v/>
      </c>
      <c r="J1237" t="str">
        <f>IF($A1237="","",IF($D1237="V01",cad!$C$33,IF($D1237="V02",cad!$D$33,cad!$E$33)))</f>
        <v/>
      </c>
      <c r="K1237" t="str">
        <f>IF($A1237="","",IF($D1237="V01",cad!$C$34,IF($D1237="V02",cad!$D$34,cad!$E$34)))</f>
        <v/>
      </c>
      <c r="L1237" t="str">
        <f>IF($A1237="","",IF($D1237="V01",cad!$C$35,IF($D1237="V02",cad!$D$35,cad!$E$35)))</f>
        <v/>
      </c>
      <c r="M1237" t="str">
        <f>IF($A1237="","",IF($D1237="V01",cad!$C$36,IF($D1237="V02",cad!$D$36,cad!$E$36)))</f>
        <v/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 t="str">
        <f>IF($A1238="","",IF($D1238="V01",cad!$C$23,IF($D1238="V02",cad!$D$23,cad!$E$23)))</f>
        <v/>
      </c>
      <c r="H1238" t="str">
        <f>IF($A1238="","",IF($D1238="V01",cad!$C$24,IF($D1238="V02",cad!$D$24,cad!$E$24)))</f>
        <v/>
      </c>
      <c r="I1238" t="str">
        <f>IF($A1238="","",IF($D1238="V01",cad!$C$32,IF($D1238="V02",cad!$D$32,cad!$E$32)))</f>
        <v/>
      </c>
      <c r="J1238" t="str">
        <f>IF($A1238="","",IF($D1238="V01",cad!$C$33,IF($D1238="V02",cad!$D$33,cad!$E$33)))</f>
        <v/>
      </c>
      <c r="K1238" t="str">
        <f>IF($A1238="","",IF($D1238="V01",cad!$C$34,IF($D1238="V02",cad!$D$34,cad!$E$34)))</f>
        <v/>
      </c>
      <c r="L1238" t="str">
        <f>IF($A1238="","",IF($D1238="V01",cad!$C$35,IF($D1238="V02",cad!$D$35,cad!$E$35)))</f>
        <v/>
      </c>
      <c r="M1238" t="str">
        <f>IF($A1238="","",IF($D1238="V01",cad!$C$36,IF($D1238="V02",cad!$D$36,cad!$E$36)))</f>
        <v/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 t="str">
        <f>IF($A1239="","",IF($D1239="V01",cad!$C$23,IF($D1239="V02",cad!$D$23,cad!$E$23)))</f>
        <v/>
      </c>
      <c r="H1239" t="str">
        <f>IF($A1239="","",IF($D1239="V01",cad!$C$24,IF($D1239="V02",cad!$D$24,cad!$E$24)))</f>
        <v/>
      </c>
      <c r="I1239" t="str">
        <f>IF($A1239="","",IF($D1239="V01",cad!$C$32,IF($D1239="V02",cad!$D$32,cad!$E$32)))</f>
        <v/>
      </c>
      <c r="J1239" t="str">
        <f>IF($A1239="","",IF($D1239="V01",cad!$C$33,IF($D1239="V02",cad!$D$33,cad!$E$33)))</f>
        <v/>
      </c>
      <c r="K1239" t="str">
        <f>IF($A1239="","",IF($D1239="V01",cad!$C$34,IF($D1239="V02",cad!$D$34,cad!$E$34)))</f>
        <v/>
      </c>
      <c r="L1239" t="str">
        <f>IF($A1239="","",IF($D1239="V01",cad!$C$35,IF($D1239="V02",cad!$D$35,cad!$E$35)))</f>
        <v/>
      </c>
      <c r="M1239" t="str">
        <f>IF($A1239="","",IF($D1239="V01",cad!$C$36,IF($D1239="V02",cad!$D$36,cad!$E$36)))</f>
        <v/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 t="str">
        <f>IF($A1240="","",IF($D1240="V01",cad!$C$23,IF($D1240="V02",cad!$D$23,cad!$E$23)))</f>
        <v/>
      </c>
      <c r="H1240" t="str">
        <f>IF($A1240="","",IF($D1240="V01",cad!$C$24,IF($D1240="V02",cad!$D$24,cad!$E$24)))</f>
        <v/>
      </c>
      <c r="I1240" t="str">
        <f>IF($A1240="","",IF($D1240="V01",cad!$C$32,IF($D1240="V02",cad!$D$32,cad!$E$32)))</f>
        <v/>
      </c>
      <c r="J1240" t="str">
        <f>IF($A1240="","",IF($D1240="V01",cad!$C$33,IF($D1240="V02",cad!$D$33,cad!$E$33)))</f>
        <v/>
      </c>
      <c r="K1240" t="str">
        <f>IF($A1240="","",IF($D1240="V01",cad!$C$34,IF($D1240="V02",cad!$D$34,cad!$E$34)))</f>
        <v/>
      </c>
      <c r="L1240" t="str">
        <f>IF($A1240="","",IF($D1240="V01",cad!$C$35,IF($D1240="V02",cad!$D$35,cad!$E$35)))</f>
        <v/>
      </c>
      <c r="M1240" t="str">
        <f>IF($A1240="","",IF($D1240="V01",cad!$C$36,IF($D1240="V02",cad!$D$36,cad!$E$36)))</f>
        <v/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 t="str">
        <f>IF($A1241="","",IF($D1241="V01",cad!$C$23,IF($D1241="V02",cad!$D$23,cad!$E$23)))</f>
        <v/>
      </c>
      <c r="H1241" t="str">
        <f>IF($A1241="","",IF($D1241="V01",cad!$C$24,IF($D1241="V02",cad!$D$24,cad!$E$24)))</f>
        <v/>
      </c>
      <c r="I1241" t="str">
        <f>IF($A1241="","",IF($D1241="V01",cad!$C$32,IF($D1241="V02",cad!$D$32,cad!$E$32)))</f>
        <v/>
      </c>
      <c r="J1241" t="str">
        <f>IF($A1241="","",IF($D1241="V01",cad!$C$33,IF($D1241="V02",cad!$D$33,cad!$E$33)))</f>
        <v/>
      </c>
      <c r="K1241" t="str">
        <f>IF($A1241="","",IF($D1241="V01",cad!$C$34,IF($D1241="V02",cad!$D$34,cad!$E$34)))</f>
        <v/>
      </c>
      <c r="L1241" t="str">
        <f>IF($A1241="","",IF($D1241="V01",cad!$C$35,IF($D1241="V02",cad!$D$35,cad!$E$35)))</f>
        <v/>
      </c>
      <c r="M1241" t="str">
        <f>IF($A1241="","",IF($D1241="V01",cad!$C$36,IF($D1241="V02",cad!$D$36,cad!$E$36)))</f>
        <v/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 t="str">
        <f>IF($A1242="","",IF($D1242="V01",cad!$C$23,IF($D1242="V02",cad!$D$23,cad!$E$23)))</f>
        <v/>
      </c>
      <c r="H1242" t="str">
        <f>IF($A1242="","",IF($D1242="V01",cad!$C$24,IF($D1242="V02",cad!$D$24,cad!$E$24)))</f>
        <v/>
      </c>
      <c r="I1242" t="str">
        <f>IF($A1242="","",IF($D1242="V01",cad!$C$32,IF($D1242="V02",cad!$D$32,cad!$E$32)))</f>
        <v/>
      </c>
      <c r="J1242" t="str">
        <f>IF($A1242="","",IF($D1242="V01",cad!$C$33,IF($D1242="V02",cad!$D$33,cad!$E$33)))</f>
        <v/>
      </c>
      <c r="K1242" t="str">
        <f>IF($A1242="","",IF($D1242="V01",cad!$C$34,IF($D1242="V02",cad!$D$34,cad!$E$34)))</f>
        <v/>
      </c>
      <c r="L1242" t="str">
        <f>IF($A1242="","",IF($D1242="V01",cad!$C$35,IF($D1242="V02",cad!$D$35,cad!$E$35)))</f>
        <v/>
      </c>
      <c r="M1242" t="str">
        <f>IF($A1242="","",IF($D1242="V01",cad!$C$36,IF($D1242="V02",cad!$D$36,cad!$E$36)))</f>
        <v/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 t="str">
        <f>IF($A1243="","",IF($D1243="V01",cad!$C$23,IF($D1243="V02",cad!$D$23,cad!$E$23)))</f>
        <v/>
      </c>
      <c r="H1243" t="str">
        <f>IF($A1243="","",IF($D1243="V01",cad!$C$24,IF($D1243="V02",cad!$D$24,cad!$E$24)))</f>
        <v/>
      </c>
      <c r="I1243" t="str">
        <f>IF($A1243="","",IF($D1243="V01",cad!$C$32,IF($D1243="V02",cad!$D$32,cad!$E$32)))</f>
        <v/>
      </c>
      <c r="J1243" t="str">
        <f>IF($A1243="","",IF($D1243="V01",cad!$C$33,IF($D1243="V02",cad!$D$33,cad!$E$33)))</f>
        <v/>
      </c>
      <c r="K1243" t="str">
        <f>IF($A1243="","",IF($D1243="V01",cad!$C$34,IF($D1243="V02",cad!$D$34,cad!$E$34)))</f>
        <v/>
      </c>
      <c r="L1243" t="str">
        <f>IF($A1243="","",IF($D1243="V01",cad!$C$35,IF($D1243="V02",cad!$D$35,cad!$E$35)))</f>
        <v/>
      </c>
      <c r="M1243" t="str">
        <f>IF($A1243="","",IF($D1243="V01",cad!$C$36,IF($D1243="V02",cad!$D$36,cad!$E$36)))</f>
        <v/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 t="str">
        <f>IF($A1244="","",IF($D1244="V01",cad!$C$23,IF($D1244="V02",cad!$D$23,cad!$E$23)))</f>
        <v/>
      </c>
      <c r="H1244" t="str">
        <f>IF($A1244="","",IF($D1244="V01",cad!$C$24,IF($D1244="V02",cad!$D$24,cad!$E$24)))</f>
        <v/>
      </c>
      <c r="I1244" t="str">
        <f>IF($A1244="","",IF($D1244="V01",cad!$C$32,IF($D1244="V02",cad!$D$32,cad!$E$32)))</f>
        <v/>
      </c>
      <c r="J1244" t="str">
        <f>IF($A1244="","",IF($D1244="V01",cad!$C$33,IF($D1244="V02",cad!$D$33,cad!$E$33)))</f>
        <v/>
      </c>
      <c r="K1244" t="str">
        <f>IF($A1244="","",IF($D1244="V01",cad!$C$34,IF($D1244="V02",cad!$D$34,cad!$E$34)))</f>
        <v/>
      </c>
      <c r="L1244" t="str">
        <f>IF($A1244="","",IF($D1244="V01",cad!$C$35,IF($D1244="V02",cad!$D$35,cad!$E$35)))</f>
        <v/>
      </c>
      <c r="M1244" t="str">
        <f>IF($A1244="","",IF($D1244="V01",cad!$C$36,IF($D1244="V02",cad!$D$36,cad!$E$36)))</f>
        <v/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 t="str">
        <f>IF($A1245="","",IF($D1245="V01",cad!$C$23,IF($D1245="V02",cad!$D$23,cad!$E$23)))</f>
        <v/>
      </c>
      <c r="H1245" t="str">
        <f>IF($A1245="","",IF($D1245="V01",cad!$C$24,IF($D1245="V02",cad!$D$24,cad!$E$24)))</f>
        <v/>
      </c>
      <c r="I1245" t="str">
        <f>IF($A1245="","",IF($D1245="V01",cad!$C$32,IF($D1245="V02",cad!$D$32,cad!$E$32)))</f>
        <v/>
      </c>
      <c r="J1245" t="str">
        <f>IF($A1245="","",IF($D1245="V01",cad!$C$33,IF($D1245="V02",cad!$D$33,cad!$E$33)))</f>
        <v/>
      </c>
      <c r="K1245" t="str">
        <f>IF($A1245="","",IF($D1245="V01",cad!$C$34,IF($D1245="V02",cad!$D$34,cad!$E$34)))</f>
        <v/>
      </c>
      <c r="L1245" t="str">
        <f>IF($A1245="","",IF($D1245="V01",cad!$C$35,IF($D1245="V02",cad!$D$35,cad!$E$35)))</f>
        <v/>
      </c>
      <c r="M1245" t="str">
        <f>IF($A1245="","",IF($D1245="V01",cad!$C$36,IF($D1245="V02",cad!$D$36,cad!$E$36)))</f>
        <v/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 t="str">
        <f>IF($A1246="","",IF($D1246="V01",cad!$C$23,IF($D1246="V02",cad!$D$23,cad!$E$23)))</f>
        <v/>
      </c>
      <c r="H1246" t="str">
        <f>IF($A1246="","",IF($D1246="V01",cad!$C$24,IF($D1246="V02",cad!$D$24,cad!$E$24)))</f>
        <v/>
      </c>
      <c r="I1246" t="str">
        <f>IF($A1246="","",IF($D1246="V01",cad!$C$32,IF($D1246="V02",cad!$D$32,cad!$E$32)))</f>
        <v/>
      </c>
      <c r="J1246" t="str">
        <f>IF($A1246="","",IF($D1246="V01",cad!$C$33,IF($D1246="V02",cad!$D$33,cad!$E$33)))</f>
        <v/>
      </c>
      <c r="K1246" t="str">
        <f>IF($A1246="","",IF($D1246="V01",cad!$C$34,IF($D1246="V02",cad!$D$34,cad!$E$34)))</f>
        <v/>
      </c>
      <c r="L1246" t="str">
        <f>IF($A1246="","",IF($D1246="V01",cad!$C$35,IF($D1246="V02",cad!$D$35,cad!$E$35)))</f>
        <v/>
      </c>
      <c r="M1246" t="str">
        <f>IF($A1246="","",IF($D1246="V01",cad!$C$36,IF($D1246="V02",cad!$D$36,cad!$E$36)))</f>
        <v/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 t="str">
        <f>IF($A1247="","",IF($D1247="V01",cad!$C$23,IF($D1247="V02",cad!$D$23,cad!$E$23)))</f>
        <v/>
      </c>
      <c r="H1247" t="str">
        <f>IF($A1247="","",IF($D1247="V01",cad!$C$24,IF($D1247="V02",cad!$D$24,cad!$E$24)))</f>
        <v/>
      </c>
      <c r="I1247" t="str">
        <f>IF($A1247="","",IF($D1247="V01",cad!$C$32,IF($D1247="V02",cad!$D$32,cad!$E$32)))</f>
        <v/>
      </c>
      <c r="J1247" t="str">
        <f>IF($A1247="","",IF($D1247="V01",cad!$C$33,IF($D1247="V02",cad!$D$33,cad!$E$33)))</f>
        <v/>
      </c>
      <c r="K1247" t="str">
        <f>IF($A1247="","",IF($D1247="V01",cad!$C$34,IF($D1247="V02",cad!$D$34,cad!$E$34)))</f>
        <v/>
      </c>
      <c r="L1247" t="str">
        <f>IF($A1247="","",IF($D1247="V01",cad!$C$35,IF($D1247="V02",cad!$D$35,cad!$E$35)))</f>
        <v/>
      </c>
      <c r="M1247" t="str">
        <f>IF($A1247="","",IF($D1247="V01",cad!$C$36,IF($D1247="V02",cad!$D$36,cad!$E$36)))</f>
        <v/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 t="str">
        <f>IF($A1248="","",IF($D1248="V01",cad!$C$23,IF($D1248="V02",cad!$D$23,cad!$E$23)))</f>
        <v/>
      </c>
      <c r="H1248" t="str">
        <f>IF($A1248="","",IF($D1248="V01",cad!$C$24,IF($D1248="V02",cad!$D$24,cad!$E$24)))</f>
        <v/>
      </c>
      <c r="I1248" t="str">
        <f>IF($A1248="","",IF($D1248="V01",cad!$C$32,IF($D1248="V02",cad!$D$32,cad!$E$32)))</f>
        <v/>
      </c>
      <c r="J1248" t="str">
        <f>IF($A1248="","",IF($D1248="V01",cad!$C$33,IF($D1248="V02",cad!$D$33,cad!$E$33)))</f>
        <v/>
      </c>
      <c r="K1248" t="str">
        <f>IF($A1248="","",IF($D1248="V01",cad!$C$34,IF($D1248="V02",cad!$D$34,cad!$E$34)))</f>
        <v/>
      </c>
      <c r="L1248" t="str">
        <f>IF($A1248="","",IF($D1248="V01",cad!$C$35,IF($D1248="V02",cad!$D$35,cad!$E$35)))</f>
        <v/>
      </c>
      <c r="M1248" t="str">
        <f>IF($A1248="","",IF($D1248="V01",cad!$C$36,IF($D1248="V02",cad!$D$36,cad!$E$36)))</f>
        <v/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 t="str">
        <f>IF($A1249="","",IF($D1249="V01",cad!$C$23,IF($D1249="V02",cad!$D$23,cad!$E$23)))</f>
        <v/>
      </c>
      <c r="H1249" t="str">
        <f>IF($A1249="","",IF($D1249="V01",cad!$C$24,IF($D1249="V02",cad!$D$24,cad!$E$24)))</f>
        <v/>
      </c>
      <c r="I1249" t="str">
        <f>IF($A1249="","",IF($D1249="V01",cad!$C$32,IF($D1249="V02",cad!$D$32,cad!$E$32)))</f>
        <v/>
      </c>
      <c r="J1249" t="str">
        <f>IF($A1249="","",IF($D1249="V01",cad!$C$33,IF($D1249="V02",cad!$D$33,cad!$E$33)))</f>
        <v/>
      </c>
      <c r="K1249" t="str">
        <f>IF($A1249="","",IF($D1249="V01",cad!$C$34,IF($D1249="V02",cad!$D$34,cad!$E$34)))</f>
        <v/>
      </c>
      <c r="L1249" t="str">
        <f>IF($A1249="","",IF($D1249="V01",cad!$C$35,IF($D1249="V02",cad!$D$35,cad!$E$35)))</f>
        <v/>
      </c>
      <c r="M1249" t="str">
        <f>IF($A1249="","",IF($D1249="V01",cad!$C$36,IF($D1249="V02",cad!$D$36,cad!$E$36)))</f>
        <v/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 t="str">
        <f>IF($A1250="","",IF($D1250="V01",cad!$C$23,IF($D1250="V02",cad!$D$23,cad!$E$23)))</f>
        <v/>
      </c>
      <c r="H1250" t="str">
        <f>IF($A1250="","",IF($D1250="V01",cad!$C$24,IF($D1250="V02",cad!$D$24,cad!$E$24)))</f>
        <v/>
      </c>
      <c r="I1250" t="str">
        <f>IF($A1250="","",IF($D1250="V01",cad!$C$32,IF($D1250="V02",cad!$D$32,cad!$E$32)))</f>
        <v/>
      </c>
      <c r="J1250" t="str">
        <f>IF($A1250="","",IF($D1250="V01",cad!$C$33,IF($D1250="V02",cad!$D$33,cad!$E$33)))</f>
        <v/>
      </c>
      <c r="K1250" t="str">
        <f>IF($A1250="","",IF($D1250="V01",cad!$C$34,IF($D1250="V02",cad!$D$34,cad!$E$34)))</f>
        <v/>
      </c>
      <c r="L1250" t="str">
        <f>IF($A1250="","",IF($D1250="V01",cad!$C$35,IF($D1250="V02",cad!$D$35,cad!$E$35)))</f>
        <v/>
      </c>
      <c r="M1250" t="str">
        <f>IF($A1250="","",IF($D1250="V01",cad!$C$36,IF($D1250="V02",cad!$D$36,cad!$E$36)))</f>
        <v/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 t="str">
        <f>IF($A1251="","",IF($D1251="V01",cad!$C$23,IF($D1251="V02",cad!$D$23,cad!$E$23)))</f>
        <v/>
      </c>
      <c r="H1251" t="str">
        <f>IF($A1251="","",IF($D1251="V01",cad!$C$24,IF($D1251="V02",cad!$D$24,cad!$E$24)))</f>
        <v/>
      </c>
      <c r="I1251" t="str">
        <f>IF($A1251="","",IF($D1251="V01",cad!$C$32,IF($D1251="V02",cad!$D$32,cad!$E$32)))</f>
        <v/>
      </c>
      <c r="J1251" t="str">
        <f>IF($A1251="","",IF($D1251="V01",cad!$C$33,IF($D1251="V02",cad!$D$33,cad!$E$33)))</f>
        <v/>
      </c>
      <c r="K1251" t="str">
        <f>IF($A1251="","",IF($D1251="V01",cad!$C$34,IF($D1251="V02",cad!$D$34,cad!$E$34)))</f>
        <v/>
      </c>
      <c r="L1251" t="str">
        <f>IF($A1251="","",IF($D1251="V01",cad!$C$35,IF($D1251="V02",cad!$D$35,cad!$E$35)))</f>
        <v/>
      </c>
      <c r="M1251" t="str">
        <f>IF($A1251="","",IF($D1251="V01",cad!$C$36,IF($D1251="V02",cad!$D$36,cad!$E$36)))</f>
        <v/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 t="str">
        <f>IF($A1252="","",IF($D1252="V01",cad!$C$23,IF($D1252="V02",cad!$D$23,cad!$E$23)))</f>
        <v/>
      </c>
      <c r="H1252" t="str">
        <f>IF($A1252="","",IF($D1252="V01",cad!$C$24,IF($D1252="V02",cad!$D$24,cad!$E$24)))</f>
        <v/>
      </c>
      <c r="I1252" t="str">
        <f>IF($A1252="","",IF($D1252="V01",cad!$C$32,IF($D1252="V02",cad!$D$32,cad!$E$32)))</f>
        <v/>
      </c>
      <c r="J1252" t="str">
        <f>IF($A1252="","",IF($D1252="V01",cad!$C$33,IF($D1252="V02",cad!$D$33,cad!$E$33)))</f>
        <v/>
      </c>
      <c r="K1252" t="str">
        <f>IF($A1252="","",IF($D1252="V01",cad!$C$34,IF($D1252="V02",cad!$D$34,cad!$E$34)))</f>
        <v/>
      </c>
      <c r="L1252" t="str">
        <f>IF($A1252="","",IF($D1252="V01",cad!$C$35,IF($D1252="V02",cad!$D$35,cad!$E$35)))</f>
        <v/>
      </c>
      <c r="M1252" t="str">
        <f>IF($A1252="","",IF($D1252="V01",cad!$C$36,IF($D1252="V02",cad!$D$36,cad!$E$36)))</f>
        <v/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 t="str">
        <f>IF($A1253="","",IF($D1253="V01",cad!$C$23,IF($D1253="V02",cad!$D$23,cad!$E$23)))</f>
        <v/>
      </c>
      <c r="H1253" t="str">
        <f>IF($A1253="","",IF($D1253="V01",cad!$C$24,IF($D1253="V02",cad!$D$24,cad!$E$24)))</f>
        <v/>
      </c>
      <c r="I1253" t="str">
        <f>IF($A1253="","",IF($D1253="V01",cad!$C$32,IF($D1253="V02",cad!$D$32,cad!$E$32)))</f>
        <v/>
      </c>
      <c r="J1253" t="str">
        <f>IF($A1253="","",IF($D1253="V01",cad!$C$33,IF($D1253="V02",cad!$D$33,cad!$E$33)))</f>
        <v/>
      </c>
      <c r="K1253" t="str">
        <f>IF($A1253="","",IF($D1253="V01",cad!$C$34,IF($D1253="V02",cad!$D$34,cad!$E$34)))</f>
        <v/>
      </c>
      <c r="L1253" t="str">
        <f>IF($A1253="","",IF($D1253="V01",cad!$C$35,IF($D1253="V02",cad!$D$35,cad!$E$35)))</f>
        <v/>
      </c>
      <c r="M1253" t="str">
        <f>IF($A1253="","",IF($D1253="V01",cad!$C$36,IF($D1253="V02",cad!$D$36,cad!$E$36)))</f>
        <v/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 t="str">
        <f>IF($A1254="","",IF($D1254="V01",cad!$C$23,IF($D1254="V02",cad!$D$23,cad!$E$23)))</f>
        <v/>
      </c>
      <c r="H1254" t="str">
        <f>IF($A1254="","",IF($D1254="V01",cad!$C$24,IF($D1254="V02",cad!$D$24,cad!$E$24)))</f>
        <v/>
      </c>
      <c r="I1254" t="str">
        <f>IF($A1254="","",IF($D1254="V01",cad!$C$32,IF($D1254="V02",cad!$D$32,cad!$E$32)))</f>
        <v/>
      </c>
      <c r="J1254" t="str">
        <f>IF($A1254="","",IF($D1254="V01",cad!$C$33,IF($D1254="V02",cad!$D$33,cad!$E$33)))</f>
        <v/>
      </c>
      <c r="K1254" t="str">
        <f>IF($A1254="","",IF($D1254="V01",cad!$C$34,IF($D1254="V02",cad!$D$34,cad!$E$34)))</f>
        <v/>
      </c>
      <c r="L1254" t="str">
        <f>IF($A1254="","",IF($D1254="V01",cad!$C$35,IF($D1254="V02",cad!$D$35,cad!$E$35)))</f>
        <v/>
      </c>
      <c r="M1254" t="str">
        <f>IF($A1254="","",IF($D1254="V01",cad!$C$36,IF($D1254="V02",cad!$D$36,cad!$E$36)))</f>
        <v/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 t="str">
        <f>IF($A1255="","",IF($D1255="V01",cad!$C$23,IF($D1255="V02",cad!$D$23,cad!$E$23)))</f>
        <v/>
      </c>
      <c r="H1255" t="str">
        <f>IF($A1255="","",IF($D1255="V01",cad!$C$24,IF($D1255="V02",cad!$D$24,cad!$E$24)))</f>
        <v/>
      </c>
      <c r="I1255" t="str">
        <f>IF($A1255="","",IF($D1255="V01",cad!$C$32,IF($D1255="V02",cad!$D$32,cad!$E$32)))</f>
        <v/>
      </c>
      <c r="J1255" t="str">
        <f>IF($A1255="","",IF($D1255="V01",cad!$C$33,IF($D1255="V02",cad!$D$33,cad!$E$33)))</f>
        <v/>
      </c>
      <c r="K1255" t="str">
        <f>IF($A1255="","",IF($D1255="V01",cad!$C$34,IF($D1255="V02",cad!$D$34,cad!$E$34)))</f>
        <v/>
      </c>
      <c r="L1255" t="str">
        <f>IF($A1255="","",IF($D1255="V01",cad!$C$35,IF($D1255="V02",cad!$D$35,cad!$E$35)))</f>
        <v/>
      </c>
      <c r="M1255" t="str">
        <f>IF($A1255="","",IF($D1255="V01",cad!$C$36,IF($D1255="V02",cad!$D$36,cad!$E$36)))</f>
        <v/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 t="str">
        <f>IF($A1256="","",IF($D1256="V01",cad!$C$23,IF($D1256="V02",cad!$D$23,cad!$E$23)))</f>
        <v/>
      </c>
      <c r="H1256" t="str">
        <f>IF($A1256="","",IF($D1256="V01",cad!$C$24,IF($D1256="V02",cad!$D$24,cad!$E$24)))</f>
        <v/>
      </c>
      <c r="I1256" t="str">
        <f>IF($A1256="","",IF($D1256="V01",cad!$C$32,IF($D1256="V02",cad!$D$32,cad!$E$32)))</f>
        <v/>
      </c>
      <c r="J1256" t="str">
        <f>IF($A1256="","",IF($D1256="V01",cad!$C$33,IF($D1256="V02",cad!$D$33,cad!$E$33)))</f>
        <v/>
      </c>
      <c r="K1256" t="str">
        <f>IF($A1256="","",IF($D1256="V01",cad!$C$34,IF($D1256="V02",cad!$D$34,cad!$E$34)))</f>
        <v/>
      </c>
      <c r="L1256" t="str">
        <f>IF($A1256="","",IF($D1256="V01",cad!$C$35,IF($D1256="V02",cad!$D$35,cad!$E$35)))</f>
        <v/>
      </c>
      <c r="M1256" t="str">
        <f>IF($A1256="","",IF($D1256="V01",cad!$C$36,IF($D1256="V02",cad!$D$36,cad!$E$36)))</f>
        <v/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 t="str">
        <f>IF($A1257="","",IF($D1257="V01",cad!$C$23,IF($D1257="V02",cad!$D$23,cad!$E$23)))</f>
        <v/>
      </c>
      <c r="H1257" t="str">
        <f>IF($A1257="","",IF($D1257="V01",cad!$C$24,IF($D1257="V02",cad!$D$24,cad!$E$24)))</f>
        <v/>
      </c>
      <c r="I1257" t="str">
        <f>IF($A1257="","",IF($D1257="V01",cad!$C$32,IF($D1257="V02",cad!$D$32,cad!$E$32)))</f>
        <v/>
      </c>
      <c r="J1257" t="str">
        <f>IF($A1257="","",IF($D1257="V01",cad!$C$33,IF($D1257="V02",cad!$D$33,cad!$E$33)))</f>
        <v/>
      </c>
      <c r="K1257" t="str">
        <f>IF($A1257="","",IF($D1257="V01",cad!$C$34,IF($D1257="V02",cad!$D$34,cad!$E$34)))</f>
        <v/>
      </c>
      <c r="L1257" t="str">
        <f>IF($A1257="","",IF($D1257="V01",cad!$C$35,IF($D1257="V02",cad!$D$35,cad!$E$35)))</f>
        <v/>
      </c>
      <c r="M1257" t="str">
        <f>IF($A1257="","",IF($D1257="V01",cad!$C$36,IF($D1257="V02",cad!$D$36,cad!$E$36)))</f>
        <v/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 t="str">
        <f>IF($A1258="","",IF($D1258="V01",cad!$C$23,IF($D1258="V02",cad!$D$23,cad!$E$23)))</f>
        <v/>
      </c>
      <c r="H1258" t="str">
        <f>IF($A1258="","",IF($D1258="V01",cad!$C$24,IF($D1258="V02",cad!$D$24,cad!$E$24)))</f>
        <v/>
      </c>
      <c r="I1258" t="str">
        <f>IF($A1258="","",IF($D1258="V01",cad!$C$32,IF($D1258="V02",cad!$D$32,cad!$E$32)))</f>
        <v/>
      </c>
      <c r="J1258" t="str">
        <f>IF($A1258="","",IF($D1258="V01",cad!$C$33,IF($D1258="V02",cad!$D$33,cad!$E$33)))</f>
        <v/>
      </c>
      <c r="K1258" t="str">
        <f>IF($A1258="","",IF($D1258="V01",cad!$C$34,IF($D1258="V02",cad!$D$34,cad!$E$34)))</f>
        <v/>
      </c>
      <c r="L1258" t="str">
        <f>IF($A1258="","",IF($D1258="V01",cad!$C$35,IF($D1258="V02",cad!$D$35,cad!$E$35)))</f>
        <v/>
      </c>
      <c r="M1258" t="str">
        <f>IF($A1258="","",IF($D1258="V01",cad!$C$36,IF($D1258="V02",cad!$D$36,cad!$E$36)))</f>
        <v/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 t="str">
        <f>IF($A1259="","",IF($D1259="V01",cad!$C$23,IF($D1259="V02",cad!$D$23,cad!$E$23)))</f>
        <v/>
      </c>
      <c r="H1259" t="str">
        <f>IF($A1259="","",IF($D1259="V01",cad!$C$24,IF($D1259="V02",cad!$D$24,cad!$E$24)))</f>
        <v/>
      </c>
      <c r="I1259" t="str">
        <f>IF($A1259="","",IF($D1259="V01",cad!$C$32,IF($D1259="V02",cad!$D$32,cad!$E$32)))</f>
        <v/>
      </c>
      <c r="J1259" t="str">
        <f>IF($A1259="","",IF($D1259="V01",cad!$C$33,IF($D1259="V02",cad!$D$33,cad!$E$33)))</f>
        <v/>
      </c>
      <c r="K1259" t="str">
        <f>IF($A1259="","",IF($D1259="V01",cad!$C$34,IF($D1259="V02",cad!$D$34,cad!$E$34)))</f>
        <v/>
      </c>
      <c r="L1259" t="str">
        <f>IF($A1259="","",IF($D1259="V01",cad!$C$35,IF($D1259="V02",cad!$D$35,cad!$E$35)))</f>
        <v/>
      </c>
      <c r="M1259" t="str">
        <f>IF($A1259="","",IF($D1259="V01",cad!$C$36,IF($D1259="V02",cad!$D$36,cad!$E$36)))</f>
        <v/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 t="str">
        <f>IF($A1260="","",IF($D1260="V01",cad!$C$23,IF($D1260="V02",cad!$D$23,cad!$E$23)))</f>
        <v/>
      </c>
      <c r="H1260" t="str">
        <f>IF($A1260="","",IF($D1260="V01",cad!$C$24,IF($D1260="V02",cad!$D$24,cad!$E$24)))</f>
        <v/>
      </c>
      <c r="I1260" t="str">
        <f>IF($A1260="","",IF($D1260="V01",cad!$C$32,IF($D1260="V02",cad!$D$32,cad!$E$32)))</f>
        <v/>
      </c>
      <c r="J1260" t="str">
        <f>IF($A1260="","",IF($D1260="V01",cad!$C$33,IF($D1260="V02",cad!$D$33,cad!$E$33)))</f>
        <v/>
      </c>
      <c r="K1260" t="str">
        <f>IF($A1260="","",IF($D1260="V01",cad!$C$34,IF($D1260="V02",cad!$D$34,cad!$E$34)))</f>
        <v/>
      </c>
      <c r="L1260" t="str">
        <f>IF($A1260="","",IF($D1260="V01",cad!$C$35,IF($D1260="V02",cad!$D$35,cad!$E$35)))</f>
        <v/>
      </c>
      <c r="M1260" t="str">
        <f>IF($A1260="","",IF($D1260="V01",cad!$C$36,IF($D1260="V02",cad!$D$36,cad!$E$36)))</f>
        <v/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 t="str">
        <f>IF($A1261="","",IF($D1261="V01",cad!$C$23,IF($D1261="V02",cad!$D$23,cad!$E$23)))</f>
        <v/>
      </c>
      <c r="H1261" t="str">
        <f>IF($A1261="","",IF($D1261="V01",cad!$C$24,IF($D1261="V02",cad!$D$24,cad!$E$24)))</f>
        <v/>
      </c>
      <c r="I1261" t="str">
        <f>IF($A1261="","",IF($D1261="V01",cad!$C$32,IF($D1261="V02",cad!$D$32,cad!$E$32)))</f>
        <v/>
      </c>
      <c r="J1261" t="str">
        <f>IF($A1261="","",IF($D1261="V01",cad!$C$33,IF($D1261="V02",cad!$D$33,cad!$E$33)))</f>
        <v/>
      </c>
      <c r="K1261" t="str">
        <f>IF($A1261="","",IF($D1261="V01",cad!$C$34,IF($D1261="V02",cad!$D$34,cad!$E$34)))</f>
        <v/>
      </c>
      <c r="L1261" t="str">
        <f>IF($A1261="","",IF($D1261="V01",cad!$C$35,IF($D1261="V02",cad!$D$35,cad!$E$35)))</f>
        <v/>
      </c>
      <c r="M1261" t="str">
        <f>IF($A1261="","",IF($D1261="V01",cad!$C$36,IF($D1261="V02",cad!$D$36,cad!$E$36)))</f>
        <v/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 t="str">
        <f>IF($A1262="","",IF($D1262="V01",cad!$C$23,IF($D1262="V02",cad!$D$23,cad!$E$23)))</f>
        <v/>
      </c>
      <c r="H1262" t="str">
        <f>IF($A1262="","",IF($D1262="V01",cad!$C$24,IF($D1262="V02",cad!$D$24,cad!$E$24)))</f>
        <v/>
      </c>
      <c r="I1262" t="str">
        <f>IF($A1262="","",IF($D1262="V01",cad!$C$32,IF($D1262="V02",cad!$D$32,cad!$E$32)))</f>
        <v/>
      </c>
      <c r="J1262" t="str">
        <f>IF($A1262="","",IF($D1262="V01",cad!$C$33,IF($D1262="V02",cad!$D$33,cad!$E$33)))</f>
        <v/>
      </c>
      <c r="K1262" t="str">
        <f>IF($A1262="","",IF($D1262="V01",cad!$C$34,IF($D1262="V02",cad!$D$34,cad!$E$34)))</f>
        <v/>
      </c>
      <c r="L1262" t="str">
        <f>IF($A1262="","",IF($D1262="V01",cad!$C$35,IF($D1262="V02",cad!$D$35,cad!$E$35)))</f>
        <v/>
      </c>
      <c r="M1262" t="str">
        <f>IF($A1262="","",IF($D1262="V01",cad!$C$36,IF($D1262="V02",cad!$D$36,cad!$E$36)))</f>
        <v/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 t="str">
        <f>IF($A1263="","",IF($D1263="V01",cad!$C$23,IF($D1263="V02",cad!$D$23,cad!$E$23)))</f>
        <v/>
      </c>
      <c r="H1263" t="str">
        <f>IF($A1263="","",IF($D1263="V01",cad!$C$24,IF($D1263="V02",cad!$D$24,cad!$E$24)))</f>
        <v/>
      </c>
      <c r="I1263" t="str">
        <f>IF($A1263="","",IF($D1263="V01",cad!$C$32,IF($D1263="V02",cad!$D$32,cad!$E$32)))</f>
        <v/>
      </c>
      <c r="J1263" t="str">
        <f>IF($A1263="","",IF($D1263="V01",cad!$C$33,IF($D1263="V02",cad!$D$33,cad!$E$33)))</f>
        <v/>
      </c>
      <c r="K1263" t="str">
        <f>IF($A1263="","",IF($D1263="V01",cad!$C$34,IF($D1263="V02",cad!$D$34,cad!$E$34)))</f>
        <v/>
      </c>
      <c r="L1263" t="str">
        <f>IF($A1263="","",IF($D1263="V01",cad!$C$35,IF($D1263="V02",cad!$D$35,cad!$E$35)))</f>
        <v/>
      </c>
      <c r="M1263" t="str">
        <f>IF($A1263="","",IF($D1263="V01",cad!$C$36,IF($D1263="V02",cad!$D$36,cad!$E$36)))</f>
        <v/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 t="str">
        <f>IF($A1264="","",IF($D1264="V01",cad!$C$23,IF($D1264="V02",cad!$D$23,cad!$E$23)))</f>
        <v/>
      </c>
      <c r="H1264" t="str">
        <f>IF($A1264="","",IF($D1264="V01",cad!$C$24,IF($D1264="V02",cad!$D$24,cad!$E$24)))</f>
        <v/>
      </c>
      <c r="I1264" t="str">
        <f>IF($A1264="","",IF($D1264="V01",cad!$C$32,IF($D1264="V02",cad!$D$32,cad!$E$32)))</f>
        <v/>
      </c>
      <c r="J1264" t="str">
        <f>IF($A1264="","",IF($D1264="V01",cad!$C$33,IF($D1264="V02",cad!$D$33,cad!$E$33)))</f>
        <v/>
      </c>
      <c r="K1264" t="str">
        <f>IF($A1264="","",IF($D1264="V01",cad!$C$34,IF($D1264="V02",cad!$D$34,cad!$E$34)))</f>
        <v/>
      </c>
      <c r="L1264" t="str">
        <f>IF($A1264="","",IF($D1264="V01",cad!$C$35,IF($D1264="V02",cad!$D$35,cad!$E$35)))</f>
        <v/>
      </c>
      <c r="M1264" t="str">
        <f>IF($A1264="","",IF($D1264="V01",cad!$C$36,IF($D1264="V02",cad!$D$36,cad!$E$36)))</f>
        <v/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 t="str">
        <f>IF($A1265="","",IF($D1265="V01",cad!$C$23,IF($D1265="V02",cad!$D$23,cad!$E$23)))</f>
        <v/>
      </c>
      <c r="H1265" t="str">
        <f>IF($A1265="","",IF($D1265="V01",cad!$C$24,IF($D1265="V02",cad!$D$24,cad!$E$24)))</f>
        <v/>
      </c>
      <c r="I1265" t="str">
        <f>IF($A1265="","",IF($D1265="V01",cad!$C$32,IF($D1265="V02",cad!$D$32,cad!$E$32)))</f>
        <v/>
      </c>
      <c r="J1265" t="str">
        <f>IF($A1265="","",IF($D1265="V01",cad!$C$33,IF($D1265="V02",cad!$D$33,cad!$E$33)))</f>
        <v/>
      </c>
      <c r="K1265" t="str">
        <f>IF($A1265="","",IF($D1265="V01",cad!$C$34,IF($D1265="V02",cad!$D$34,cad!$E$34)))</f>
        <v/>
      </c>
      <c r="L1265" t="str">
        <f>IF($A1265="","",IF($D1265="V01",cad!$C$35,IF($D1265="V02",cad!$D$35,cad!$E$35)))</f>
        <v/>
      </c>
      <c r="M1265" t="str">
        <f>IF($A1265="","",IF($D1265="V01",cad!$C$36,IF($D1265="V02",cad!$D$36,cad!$E$36)))</f>
        <v/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 t="str">
        <f>IF($A1266="","",IF($D1266="V01",cad!$C$23,IF($D1266="V02",cad!$D$23,cad!$E$23)))</f>
        <v/>
      </c>
      <c r="H1266" t="str">
        <f>IF($A1266="","",IF($D1266="V01",cad!$C$24,IF($D1266="V02",cad!$D$24,cad!$E$24)))</f>
        <v/>
      </c>
      <c r="I1266" t="str">
        <f>IF($A1266="","",IF($D1266="V01",cad!$C$32,IF($D1266="V02",cad!$D$32,cad!$E$32)))</f>
        <v/>
      </c>
      <c r="J1266" t="str">
        <f>IF($A1266="","",IF($D1266="V01",cad!$C$33,IF($D1266="V02",cad!$D$33,cad!$E$33)))</f>
        <v/>
      </c>
      <c r="K1266" t="str">
        <f>IF($A1266="","",IF($D1266="V01",cad!$C$34,IF($D1266="V02",cad!$D$34,cad!$E$34)))</f>
        <v/>
      </c>
      <c r="L1266" t="str">
        <f>IF($A1266="","",IF($D1266="V01",cad!$C$35,IF($D1266="V02",cad!$D$35,cad!$E$35)))</f>
        <v/>
      </c>
      <c r="M1266" t="str">
        <f>IF($A1266="","",IF($D1266="V01",cad!$C$36,IF($D1266="V02",cad!$D$36,cad!$E$36)))</f>
        <v/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 t="str">
        <f>IF($A1267="","",IF($D1267="V01",cad!$C$23,IF($D1267="V02",cad!$D$23,cad!$E$23)))</f>
        <v/>
      </c>
      <c r="H1267" t="str">
        <f>IF($A1267="","",IF($D1267="V01",cad!$C$24,IF($D1267="V02",cad!$D$24,cad!$E$24)))</f>
        <v/>
      </c>
      <c r="I1267" t="str">
        <f>IF($A1267="","",IF($D1267="V01",cad!$C$32,IF($D1267="V02",cad!$D$32,cad!$E$32)))</f>
        <v/>
      </c>
      <c r="J1267" t="str">
        <f>IF($A1267="","",IF($D1267="V01",cad!$C$33,IF($D1267="V02",cad!$D$33,cad!$E$33)))</f>
        <v/>
      </c>
      <c r="K1267" t="str">
        <f>IF($A1267="","",IF($D1267="V01",cad!$C$34,IF($D1267="V02",cad!$D$34,cad!$E$34)))</f>
        <v/>
      </c>
      <c r="L1267" t="str">
        <f>IF($A1267="","",IF($D1267="V01",cad!$C$35,IF($D1267="V02",cad!$D$35,cad!$E$35)))</f>
        <v/>
      </c>
      <c r="M1267" t="str">
        <f>IF($A1267="","",IF($D1267="V01",cad!$C$36,IF($D1267="V02",cad!$D$36,cad!$E$36)))</f>
        <v/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 t="str">
        <f>IF($A1268="","",IF($D1268="V01",cad!$C$23,IF($D1268="V02",cad!$D$23,cad!$E$23)))</f>
        <v/>
      </c>
      <c r="H1268" t="str">
        <f>IF($A1268="","",IF($D1268="V01",cad!$C$24,IF($D1268="V02",cad!$D$24,cad!$E$24)))</f>
        <v/>
      </c>
      <c r="I1268" t="str">
        <f>IF($A1268="","",IF($D1268="V01",cad!$C$32,IF($D1268="V02",cad!$D$32,cad!$E$32)))</f>
        <v/>
      </c>
      <c r="J1268" t="str">
        <f>IF($A1268="","",IF($D1268="V01",cad!$C$33,IF($D1268="V02",cad!$D$33,cad!$E$33)))</f>
        <v/>
      </c>
      <c r="K1268" t="str">
        <f>IF($A1268="","",IF($D1268="V01",cad!$C$34,IF($D1268="V02",cad!$D$34,cad!$E$34)))</f>
        <v/>
      </c>
      <c r="L1268" t="str">
        <f>IF($A1268="","",IF($D1268="V01",cad!$C$35,IF($D1268="V02",cad!$D$35,cad!$E$35)))</f>
        <v/>
      </c>
      <c r="M1268" t="str">
        <f>IF($A1268="","",IF($D1268="V01",cad!$C$36,IF($D1268="V02",cad!$D$36,cad!$E$36)))</f>
        <v/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 t="str">
        <f>IF($A1269="","",IF($D1269="V01",cad!$C$23,IF($D1269="V02",cad!$D$23,cad!$E$23)))</f>
        <v/>
      </c>
      <c r="H1269" t="str">
        <f>IF($A1269="","",IF($D1269="V01",cad!$C$24,IF($D1269="V02",cad!$D$24,cad!$E$24)))</f>
        <v/>
      </c>
      <c r="I1269" t="str">
        <f>IF($A1269="","",IF($D1269="V01",cad!$C$32,IF($D1269="V02",cad!$D$32,cad!$E$32)))</f>
        <v/>
      </c>
      <c r="J1269" t="str">
        <f>IF($A1269="","",IF($D1269="V01",cad!$C$33,IF($D1269="V02",cad!$D$33,cad!$E$33)))</f>
        <v/>
      </c>
      <c r="K1269" t="str">
        <f>IF($A1269="","",IF($D1269="V01",cad!$C$34,IF($D1269="V02",cad!$D$34,cad!$E$34)))</f>
        <v/>
      </c>
      <c r="L1269" t="str">
        <f>IF($A1269="","",IF($D1269="V01",cad!$C$35,IF($D1269="V02",cad!$D$35,cad!$E$35)))</f>
        <v/>
      </c>
      <c r="M1269" t="str">
        <f>IF($A1269="","",IF($D1269="V01",cad!$C$36,IF($D1269="V02",cad!$D$36,cad!$E$36)))</f>
        <v/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 t="str">
        <f>IF($A1270="","",IF($D1270="V01",cad!$C$23,IF($D1270="V02",cad!$D$23,cad!$E$23)))</f>
        <v/>
      </c>
      <c r="H1270" t="str">
        <f>IF($A1270="","",IF($D1270="V01",cad!$C$24,IF($D1270="V02",cad!$D$24,cad!$E$24)))</f>
        <v/>
      </c>
      <c r="I1270" t="str">
        <f>IF($A1270="","",IF($D1270="V01",cad!$C$32,IF($D1270="V02",cad!$D$32,cad!$E$32)))</f>
        <v/>
      </c>
      <c r="J1270" t="str">
        <f>IF($A1270="","",IF($D1270="V01",cad!$C$33,IF($D1270="V02",cad!$D$33,cad!$E$33)))</f>
        <v/>
      </c>
      <c r="K1270" t="str">
        <f>IF($A1270="","",IF($D1270="V01",cad!$C$34,IF($D1270="V02",cad!$D$34,cad!$E$34)))</f>
        <v/>
      </c>
      <c r="L1270" t="str">
        <f>IF($A1270="","",IF($D1270="V01",cad!$C$35,IF($D1270="V02",cad!$D$35,cad!$E$35)))</f>
        <v/>
      </c>
      <c r="M1270" t="str">
        <f>IF($A1270="","",IF($D1270="V01",cad!$C$36,IF($D1270="V02",cad!$D$36,cad!$E$36)))</f>
        <v/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 t="str">
        <f>IF($A1271="","",IF($D1271="V01",cad!$C$23,IF($D1271="V02",cad!$D$23,cad!$E$23)))</f>
        <v/>
      </c>
      <c r="H1271" t="str">
        <f>IF($A1271="","",IF($D1271="V01",cad!$C$24,IF($D1271="V02",cad!$D$24,cad!$E$24)))</f>
        <v/>
      </c>
      <c r="I1271" t="str">
        <f>IF($A1271="","",IF($D1271="V01",cad!$C$32,IF($D1271="V02",cad!$D$32,cad!$E$32)))</f>
        <v/>
      </c>
      <c r="J1271" t="str">
        <f>IF($A1271="","",IF($D1271="V01",cad!$C$33,IF($D1271="V02",cad!$D$33,cad!$E$33)))</f>
        <v/>
      </c>
      <c r="K1271" t="str">
        <f>IF($A1271="","",IF($D1271="V01",cad!$C$34,IF($D1271="V02",cad!$D$34,cad!$E$34)))</f>
        <v/>
      </c>
      <c r="L1271" t="str">
        <f>IF($A1271="","",IF($D1271="V01",cad!$C$35,IF($D1271="V02",cad!$D$35,cad!$E$35)))</f>
        <v/>
      </c>
      <c r="M1271" t="str">
        <f>IF($A1271="","",IF($D1271="V01",cad!$C$36,IF($D1271="V02",cad!$D$36,cad!$E$36)))</f>
        <v/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 t="str">
        <f>IF($A1272="","",IF($D1272="V01",cad!$C$23,IF($D1272="V02",cad!$D$23,cad!$E$23)))</f>
        <v/>
      </c>
      <c r="H1272" t="str">
        <f>IF($A1272="","",IF($D1272="V01",cad!$C$24,IF($D1272="V02",cad!$D$24,cad!$E$24)))</f>
        <v/>
      </c>
      <c r="I1272" t="str">
        <f>IF($A1272="","",IF($D1272="V01",cad!$C$32,IF($D1272="V02",cad!$D$32,cad!$E$32)))</f>
        <v/>
      </c>
      <c r="J1272" t="str">
        <f>IF($A1272="","",IF($D1272="V01",cad!$C$33,IF($D1272="V02",cad!$D$33,cad!$E$33)))</f>
        <v/>
      </c>
      <c r="K1272" t="str">
        <f>IF($A1272="","",IF($D1272="V01",cad!$C$34,IF($D1272="V02",cad!$D$34,cad!$E$34)))</f>
        <v/>
      </c>
      <c r="L1272" t="str">
        <f>IF($A1272="","",IF($D1272="V01",cad!$C$35,IF($D1272="V02",cad!$D$35,cad!$E$35)))</f>
        <v/>
      </c>
      <c r="M1272" t="str">
        <f>IF($A1272="","",IF($D1272="V01",cad!$C$36,IF($D1272="V02",cad!$D$36,cad!$E$36)))</f>
        <v/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 t="str">
        <f>IF($A1273="","",IF($D1273="V01",cad!$C$23,IF($D1273="V02",cad!$D$23,cad!$E$23)))</f>
        <v/>
      </c>
      <c r="H1273" t="str">
        <f>IF($A1273="","",IF($D1273="V01",cad!$C$24,IF($D1273="V02",cad!$D$24,cad!$E$24)))</f>
        <v/>
      </c>
      <c r="I1273" t="str">
        <f>IF($A1273="","",IF($D1273="V01",cad!$C$32,IF($D1273="V02",cad!$D$32,cad!$E$32)))</f>
        <v/>
      </c>
      <c r="J1273" t="str">
        <f>IF($A1273="","",IF($D1273="V01",cad!$C$33,IF($D1273="V02",cad!$D$33,cad!$E$33)))</f>
        <v/>
      </c>
      <c r="K1273" t="str">
        <f>IF($A1273="","",IF($D1273="V01",cad!$C$34,IF($D1273="V02",cad!$D$34,cad!$E$34)))</f>
        <v/>
      </c>
      <c r="L1273" t="str">
        <f>IF($A1273="","",IF($D1273="V01",cad!$C$35,IF($D1273="V02",cad!$D$35,cad!$E$35)))</f>
        <v/>
      </c>
      <c r="M1273" t="str">
        <f>IF($A1273="","",IF($D1273="V01",cad!$C$36,IF($D1273="V02",cad!$D$36,cad!$E$36)))</f>
        <v/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 t="str">
        <f>IF($A1274="","",IF($D1274="V01",cad!$C$23,IF($D1274="V02",cad!$D$23,cad!$E$23)))</f>
        <v/>
      </c>
      <c r="H1274" t="str">
        <f>IF($A1274="","",IF($D1274="V01",cad!$C$24,IF($D1274="V02",cad!$D$24,cad!$E$24)))</f>
        <v/>
      </c>
      <c r="I1274" t="str">
        <f>IF($A1274="","",IF($D1274="V01",cad!$C$32,IF($D1274="V02",cad!$D$32,cad!$E$32)))</f>
        <v/>
      </c>
      <c r="J1274" t="str">
        <f>IF($A1274="","",IF($D1274="V01",cad!$C$33,IF($D1274="V02",cad!$D$33,cad!$E$33)))</f>
        <v/>
      </c>
      <c r="K1274" t="str">
        <f>IF($A1274="","",IF($D1274="V01",cad!$C$34,IF($D1274="V02",cad!$D$34,cad!$E$34)))</f>
        <v/>
      </c>
      <c r="L1274" t="str">
        <f>IF($A1274="","",IF($D1274="V01",cad!$C$35,IF($D1274="V02",cad!$D$35,cad!$E$35)))</f>
        <v/>
      </c>
      <c r="M1274" t="str">
        <f>IF($A1274="","",IF($D1274="V01",cad!$C$36,IF($D1274="V02",cad!$D$36,cad!$E$36)))</f>
        <v/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 t="str">
        <f>IF($A1275="","",IF($D1275="V01",cad!$C$23,IF($D1275="V02",cad!$D$23,cad!$E$23)))</f>
        <v/>
      </c>
      <c r="H1275" t="str">
        <f>IF($A1275="","",IF($D1275="V01",cad!$C$24,IF($D1275="V02",cad!$D$24,cad!$E$24)))</f>
        <v/>
      </c>
      <c r="I1275" t="str">
        <f>IF($A1275="","",IF($D1275="V01",cad!$C$32,IF($D1275="V02",cad!$D$32,cad!$E$32)))</f>
        <v/>
      </c>
      <c r="J1275" t="str">
        <f>IF($A1275="","",IF($D1275="V01",cad!$C$33,IF($D1275="V02",cad!$D$33,cad!$E$33)))</f>
        <v/>
      </c>
      <c r="K1275" t="str">
        <f>IF($A1275="","",IF($D1275="V01",cad!$C$34,IF($D1275="V02",cad!$D$34,cad!$E$34)))</f>
        <v/>
      </c>
      <c r="L1275" t="str">
        <f>IF($A1275="","",IF($D1275="V01",cad!$C$35,IF($D1275="V02",cad!$D$35,cad!$E$35)))</f>
        <v/>
      </c>
      <c r="M1275" t="str">
        <f>IF($A1275="","",IF($D1275="V01",cad!$C$36,IF($D1275="V02",cad!$D$36,cad!$E$36)))</f>
        <v/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 t="str">
        <f>IF($A1276="","",IF($D1276="V01",cad!$C$23,IF($D1276="V02",cad!$D$23,cad!$E$23)))</f>
        <v/>
      </c>
      <c r="H1276" t="str">
        <f>IF($A1276="","",IF($D1276="V01",cad!$C$24,IF($D1276="V02",cad!$D$24,cad!$E$24)))</f>
        <v/>
      </c>
      <c r="I1276" t="str">
        <f>IF($A1276="","",IF($D1276="V01",cad!$C$32,IF($D1276="V02",cad!$D$32,cad!$E$32)))</f>
        <v/>
      </c>
      <c r="J1276" t="str">
        <f>IF($A1276="","",IF($D1276="V01",cad!$C$33,IF($D1276="V02",cad!$D$33,cad!$E$33)))</f>
        <v/>
      </c>
      <c r="K1276" t="str">
        <f>IF($A1276="","",IF($D1276="V01",cad!$C$34,IF($D1276="V02",cad!$D$34,cad!$E$34)))</f>
        <v/>
      </c>
      <c r="L1276" t="str">
        <f>IF($A1276="","",IF($D1276="V01",cad!$C$35,IF($D1276="V02",cad!$D$35,cad!$E$35)))</f>
        <v/>
      </c>
      <c r="M1276" t="str">
        <f>IF($A1276="","",IF($D1276="V01",cad!$C$36,IF($D1276="V02",cad!$D$36,cad!$E$36)))</f>
        <v/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 t="str">
        <f>IF($A1277="","",IF($D1277="V01",cad!$C$23,IF($D1277="V02",cad!$D$23,cad!$E$23)))</f>
        <v/>
      </c>
      <c r="H1277" t="str">
        <f>IF($A1277="","",IF($D1277="V01",cad!$C$24,IF($D1277="V02",cad!$D$24,cad!$E$24)))</f>
        <v/>
      </c>
      <c r="I1277" t="str">
        <f>IF($A1277="","",IF($D1277="V01",cad!$C$32,IF($D1277="V02",cad!$D$32,cad!$E$32)))</f>
        <v/>
      </c>
      <c r="J1277" t="str">
        <f>IF($A1277="","",IF($D1277="V01",cad!$C$33,IF($D1277="V02",cad!$D$33,cad!$E$33)))</f>
        <v/>
      </c>
      <c r="K1277" t="str">
        <f>IF($A1277="","",IF($D1277="V01",cad!$C$34,IF($D1277="V02",cad!$D$34,cad!$E$34)))</f>
        <v/>
      </c>
      <c r="L1277" t="str">
        <f>IF($A1277="","",IF($D1277="V01",cad!$C$35,IF($D1277="V02",cad!$D$35,cad!$E$35)))</f>
        <v/>
      </c>
      <c r="M1277" t="str">
        <f>IF($A1277="","",IF($D1277="V01",cad!$C$36,IF($D1277="V02",cad!$D$36,cad!$E$36)))</f>
        <v/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 t="str">
        <f>IF($A1278="","",IF($D1278="V01",cad!$C$23,IF($D1278="V02",cad!$D$23,cad!$E$23)))</f>
        <v/>
      </c>
      <c r="H1278" t="str">
        <f>IF($A1278="","",IF($D1278="V01",cad!$C$24,IF($D1278="V02",cad!$D$24,cad!$E$24)))</f>
        <v/>
      </c>
      <c r="I1278" t="str">
        <f>IF($A1278="","",IF($D1278="V01",cad!$C$32,IF($D1278="V02",cad!$D$32,cad!$E$32)))</f>
        <v/>
      </c>
      <c r="J1278" t="str">
        <f>IF($A1278="","",IF($D1278="V01",cad!$C$33,IF($D1278="V02",cad!$D$33,cad!$E$33)))</f>
        <v/>
      </c>
      <c r="K1278" t="str">
        <f>IF($A1278="","",IF($D1278="V01",cad!$C$34,IF($D1278="V02",cad!$D$34,cad!$E$34)))</f>
        <v/>
      </c>
      <c r="L1278" t="str">
        <f>IF($A1278="","",IF($D1278="V01",cad!$C$35,IF($D1278="V02",cad!$D$35,cad!$E$35)))</f>
        <v/>
      </c>
      <c r="M1278" t="str">
        <f>IF($A1278="","",IF($D1278="V01",cad!$C$36,IF($D1278="V02",cad!$D$36,cad!$E$36)))</f>
        <v/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 t="str">
        <f>IF($A1279="","",IF($D1279="V01",cad!$C$23,IF($D1279="V02",cad!$D$23,cad!$E$23)))</f>
        <v/>
      </c>
      <c r="H1279" t="str">
        <f>IF($A1279="","",IF($D1279="V01",cad!$C$24,IF($D1279="V02",cad!$D$24,cad!$E$24)))</f>
        <v/>
      </c>
      <c r="I1279" t="str">
        <f>IF($A1279="","",IF($D1279="V01",cad!$C$32,IF($D1279="V02",cad!$D$32,cad!$E$32)))</f>
        <v/>
      </c>
      <c r="J1279" t="str">
        <f>IF($A1279="","",IF($D1279="V01",cad!$C$33,IF($D1279="V02",cad!$D$33,cad!$E$33)))</f>
        <v/>
      </c>
      <c r="K1279" t="str">
        <f>IF($A1279="","",IF($D1279="V01",cad!$C$34,IF($D1279="V02",cad!$D$34,cad!$E$34)))</f>
        <v/>
      </c>
      <c r="L1279" t="str">
        <f>IF($A1279="","",IF($D1279="V01",cad!$C$35,IF($D1279="V02",cad!$D$35,cad!$E$35)))</f>
        <v/>
      </c>
      <c r="M1279" t="str">
        <f>IF($A1279="","",IF($D1279="V01",cad!$C$36,IF($D1279="V02",cad!$D$36,cad!$E$36)))</f>
        <v/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 t="str">
        <f>IF($A1280="","",IF($D1280="V01",cad!$C$23,IF($D1280="V02",cad!$D$23,cad!$E$23)))</f>
        <v/>
      </c>
      <c r="H1280" t="str">
        <f>IF($A1280="","",IF($D1280="V01",cad!$C$24,IF($D1280="V02",cad!$D$24,cad!$E$24)))</f>
        <v/>
      </c>
      <c r="I1280" t="str">
        <f>IF($A1280="","",IF($D1280="V01",cad!$C$32,IF($D1280="V02",cad!$D$32,cad!$E$32)))</f>
        <v/>
      </c>
      <c r="J1280" t="str">
        <f>IF($A1280="","",IF($D1280="V01",cad!$C$33,IF($D1280="V02",cad!$D$33,cad!$E$33)))</f>
        <v/>
      </c>
      <c r="K1280" t="str">
        <f>IF($A1280="","",IF($D1280="V01",cad!$C$34,IF($D1280="V02",cad!$D$34,cad!$E$34)))</f>
        <v/>
      </c>
      <c r="L1280" t="str">
        <f>IF($A1280="","",IF($D1280="V01",cad!$C$35,IF($D1280="V02",cad!$D$35,cad!$E$35)))</f>
        <v/>
      </c>
      <c r="M1280" t="str">
        <f>IF($A1280="","",IF($D1280="V01",cad!$C$36,IF($D1280="V02",cad!$D$36,cad!$E$36)))</f>
        <v/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 t="str">
        <f>IF($A1281="","",IF($D1281="V01",cad!$C$23,IF($D1281="V02",cad!$D$23,cad!$E$23)))</f>
        <v/>
      </c>
      <c r="H1281" t="str">
        <f>IF($A1281="","",IF($D1281="V01",cad!$C$24,IF($D1281="V02",cad!$D$24,cad!$E$24)))</f>
        <v/>
      </c>
      <c r="I1281" t="str">
        <f>IF($A1281="","",IF($D1281="V01",cad!$C$32,IF($D1281="V02",cad!$D$32,cad!$E$32)))</f>
        <v/>
      </c>
      <c r="J1281" t="str">
        <f>IF($A1281="","",IF($D1281="V01",cad!$C$33,IF($D1281="V02",cad!$D$33,cad!$E$33)))</f>
        <v/>
      </c>
      <c r="K1281" t="str">
        <f>IF($A1281="","",IF($D1281="V01",cad!$C$34,IF($D1281="V02",cad!$D$34,cad!$E$34)))</f>
        <v/>
      </c>
      <c r="L1281" t="str">
        <f>IF($A1281="","",IF($D1281="V01",cad!$C$35,IF($D1281="V02",cad!$D$35,cad!$E$35)))</f>
        <v/>
      </c>
      <c r="M1281" t="str">
        <f>IF($A1281="","",IF($D1281="V01",cad!$C$36,IF($D1281="V02",cad!$D$36,cad!$E$36)))</f>
        <v/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 t="str">
        <f>IF($A1282="","",IF($D1282="V01",cad!$C$23,IF($D1282="V02",cad!$D$23,cad!$E$23)))</f>
        <v/>
      </c>
      <c r="H1282" t="str">
        <f>IF($A1282="","",IF($D1282="V01",cad!$C$24,IF($D1282="V02",cad!$D$24,cad!$E$24)))</f>
        <v/>
      </c>
      <c r="I1282" t="str">
        <f>IF($A1282="","",IF($D1282="V01",cad!$C$32,IF($D1282="V02",cad!$D$32,cad!$E$32)))</f>
        <v/>
      </c>
      <c r="J1282" t="str">
        <f>IF($A1282="","",IF($D1282="V01",cad!$C$33,IF($D1282="V02",cad!$D$33,cad!$E$33)))</f>
        <v/>
      </c>
      <c r="K1282" t="str">
        <f>IF($A1282="","",IF($D1282="V01",cad!$C$34,IF($D1282="V02",cad!$D$34,cad!$E$34)))</f>
        <v/>
      </c>
      <c r="L1282" t="str">
        <f>IF($A1282="","",IF($D1282="V01",cad!$C$35,IF($D1282="V02",cad!$D$35,cad!$E$35)))</f>
        <v/>
      </c>
      <c r="M1282" t="str">
        <f>IF($A1282="","",IF($D1282="V01",cad!$C$36,IF($D1282="V02",cad!$D$36,cad!$E$36)))</f>
        <v/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 t="str">
        <f>IF($A1283="","",IF($D1283="V01",cad!$C$23,IF($D1283="V02",cad!$D$23,cad!$E$23)))</f>
        <v/>
      </c>
      <c r="H1283" t="str">
        <f>IF($A1283="","",IF($D1283="V01",cad!$C$24,IF($D1283="V02",cad!$D$24,cad!$E$24)))</f>
        <v/>
      </c>
      <c r="I1283" t="str">
        <f>IF($A1283="","",IF($D1283="V01",cad!$C$32,IF($D1283="V02",cad!$D$32,cad!$E$32)))</f>
        <v/>
      </c>
      <c r="J1283" t="str">
        <f>IF($A1283="","",IF($D1283="V01",cad!$C$33,IF($D1283="V02",cad!$D$33,cad!$E$33)))</f>
        <v/>
      </c>
      <c r="K1283" t="str">
        <f>IF($A1283="","",IF($D1283="V01",cad!$C$34,IF($D1283="V02",cad!$D$34,cad!$E$34)))</f>
        <v/>
      </c>
      <c r="L1283" t="str">
        <f>IF($A1283="","",IF($D1283="V01",cad!$C$35,IF($D1283="V02",cad!$D$35,cad!$E$35)))</f>
        <v/>
      </c>
      <c r="M1283" t="str">
        <f>IF($A1283="","",IF($D1283="V01",cad!$C$36,IF($D1283="V02",cad!$D$36,cad!$E$36)))</f>
        <v/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 t="str">
        <f>IF($A1284="","",IF($D1284="V01",cad!$C$23,IF($D1284="V02",cad!$D$23,cad!$E$23)))</f>
        <v/>
      </c>
      <c r="H1284" t="str">
        <f>IF($A1284="","",IF($D1284="V01",cad!$C$24,IF($D1284="V02",cad!$D$24,cad!$E$24)))</f>
        <v/>
      </c>
      <c r="I1284" t="str">
        <f>IF($A1284="","",IF($D1284="V01",cad!$C$32,IF($D1284="V02",cad!$D$32,cad!$E$32)))</f>
        <v/>
      </c>
      <c r="J1284" t="str">
        <f>IF($A1284="","",IF($D1284="V01",cad!$C$33,IF($D1284="V02",cad!$D$33,cad!$E$33)))</f>
        <v/>
      </c>
      <c r="K1284" t="str">
        <f>IF($A1284="","",IF($D1284="V01",cad!$C$34,IF($D1284="V02",cad!$D$34,cad!$E$34)))</f>
        <v/>
      </c>
      <c r="L1284" t="str">
        <f>IF($A1284="","",IF($D1284="V01",cad!$C$35,IF($D1284="V02",cad!$D$35,cad!$E$35)))</f>
        <v/>
      </c>
      <c r="M1284" t="str">
        <f>IF($A1284="","",IF($D1284="V01",cad!$C$36,IF($D1284="V02",cad!$D$36,cad!$E$36)))</f>
        <v/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 t="str">
        <f>IF($A1285="","",IF($D1285="V01",cad!$C$23,IF($D1285="V02",cad!$D$23,cad!$E$23)))</f>
        <v/>
      </c>
      <c r="H1285" t="str">
        <f>IF($A1285="","",IF($D1285="V01",cad!$C$24,IF($D1285="V02",cad!$D$24,cad!$E$24)))</f>
        <v/>
      </c>
      <c r="I1285" t="str">
        <f>IF($A1285="","",IF($D1285="V01",cad!$C$32,IF($D1285="V02",cad!$D$32,cad!$E$32)))</f>
        <v/>
      </c>
      <c r="J1285" t="str">
        <f>IF($A1285="","",IF($D1285="V01",cad!$C$33,IF($D1285="V02",cad!$D$33,cad!$E$33)))</f>
        <v/>
      </c>
      <c r="K1285" t="str">
        <f>IF($A1285="","",IF($D1285="V01",cad!$C$34,IF($D1285="V02",cad!$D$34,cad!$E$34)))</f>
        <v/>
      </c>
      <c r="L1285" t="str">
        <f>IF($A1285="","",IF($D1285="V01",cad!$C$35,IF($D1285="V02",cad!$D$35,cad!$E$35)))</f>
        <v/>
      </c>
      <c r="M1285" t="str">
        <f>IF($A1285="","",IF($D1285="V01",cad!$C$36,IF($D1285="V02",cad!$D$36,cad!$E$36)))</f>
        <v/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 t="str">
        <f>IF($A1286="","",IF($D1286="V01",cad!$C$23,IF($D1286="V02",cad!$D$23,cad!$E$23)))</f>
        <v/>
      </c>
      <c r="H1286" t="str">
        <f>IF($A1286="","",IF($D1286="V01",cad!$C$24,IF($D1286="V02",cad!$D$24,cad!$E$24)))</f>
        <v/>
      </c>
      <c r="I1286" t="str">
        <f>IF($A1286="","",IF($D1286="V01",cad!$C$32,IF($D1286="V02",cad!$D$32,cad!$E$32)))</f>
        <v/>
      </c>
      <c r="J1286" t="str">
        <f>IF($A1286="","",IF($D1286="V01",cad!$C$33,IF($D1286="V02",cad!$D$33,cad!$E$33)))</f>
        <v/>
      </c>
      <c r="K1286" t="str">
        <f>IF($A1286="","",IF($D1286="V01",cad!$C$34,IF($D1286="V02",cad!$D$34,cad!$E$34)))</f>
        <v/>
      </c>
      <c r="L1286" t="str">
        <f>IF($A1286="","",IF($D1286="V01",cad!$C$35,IF($D1286="V02",cad!$D$35,cad!$E$35)))</f>
        <v/>
      </c>
      <c r="M1286" t="str">
        <f>IF($A1286="","",IF($D1286="V01",cad!$C$36,IF($D1286="V02",cad!$D$36,cad!$E$36)))</f>
        <v/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 t="str">
        <f>IF($A1287="","",IF($D1287="V01",cad!$C$23,IF($D1287="V02",cad!$D$23,cad!$E$23)))</f>
        <v/>
      </c>
      <c r="H1287" t="str">
        <f>IF($A1287="","",IF($D1287="V01",cad!$C$24,IF($D1287="V02",cad!$D$24,cad!$E$24)))</f>
        <v/>
      </c>
      <c r="I1287" t="str">
        <f>IF($A1287="","",IF($D1287="V01",cad!$C$32,IF($D1287="V02",cad!$D$32,cad!$E$32)))</f>
        <v/>
      </c>
      <c r="J1287" t="str">
        <f>IF($A1287="","",IF($D1287="V01",cad!$C$33,IF($D1287="V02",cad!$D$33,cad!$E$33)))</f>
        <v/>
      </c>
      <c r="K1287" t="str">
        <f>IF($A1287="","",IF($D1287="V01",cad!$C$34,IF($D1287="V02",cad!$D$34,cad!$E$34)))</f>
        <v/>
      </c>
      <c r="L1287" t="str">
        <f>IF($A1287="","",IF($D1287="V01",cad!$C$35,IF($D1287="V02",cad!$D$35,cad!$E$35)))</f>
        <v/>
      </c>
      <c r="M1287" t="str">
        <f>IF($A1287="","",IF($D1287="V01",cad!$C$36,IF($D1287="V02",cad!$D$36,cad!$E$36)))</f>
        <v/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 t="str">
        <f>IF($A1288="","",IF($D1288="V01",cad!$C$23,IF($D1288="V02",cad!$D$23,cad!$E$23)))</f>
        <v/>
      </c>
      <c r="H1288" t="str">
        <f>IF($A1288="","",IF($D1288="V01",cad!$C$24,IF($D1288="V02",cad!$D$24,cad!$E$24)))</f>
        <v/>
      </c>
      <c r="I1288" t="str">
        <f>IF($A1288="","",IF($D1288="V01",cad!$C$32,IF($D1288="V02",cad!$D$32,cad!$E$32)))</f>
        <v/>
      </c>
      <c r="J1288" t="str">
        <f>IF($A1288="","",IF($D1288="V01",cad!$C$33,IF($D1288="V02",cad!$D$33,cad!$E$33)))</f>
        <v/>
      </c>
      <c r="K1288" t="str">
        <f>IF($A1288="","",IF($D1288="V01",cad!$C$34,IF($D1288="V02",cad!$D$34,cad!$E$34)))</f>
        <v/>
      </c>
      <c r="L1288" t="str">
        <f>IF($A1288="","",IF($D1288="V01",cad!$C$35,IF($D1288="V02",cad!$D$35,cad!$E$35)))</f>
        <v/>
      </c>
      <c r="M1288" t="str">
        <f>IF($A1288="","",IF($D1288="V01",cad!$C$36,IF($D1288="V02",cad!$D$36,cad!$E$36)))</f>
        <v/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 t="str">
        <f>IF($A1289="","",IF($D1289="V01",cad!$C$23,IF($D1289="V02",cad!$D$23,cad!$E$23)))</f>
        <v/>
      </c>
      <c r="H1289" t="str">
        <f>IF($A1289="","",IF($D1289="V01",cad!$C$24,IF($D1289="V02",cad!$D$24,cad!$E$24)))</f>
        <v/>
      </c>
      <c r="I1289" t="str">
        <f>IF($A1289="","",IF($D1289="V01",cad!$C$32,IF($D1289="V02",cad!$D$32,cad!$E$32)))</f>
        <v/>
      </c>
      <c r="J1289" t="str">
        <f>IF($A1289="","",IF($D1289="V01",cad!$C$33,IF($D1289="V02",cad!$D$33,cad!$E$33)))</f>
        <v/>
      </c>
      <c r="K1289" t="str">
        <f>IF($A1289="","",IF($D1289="V01",cad!$C$34,IF($D1289="V02",cad!$D$34,cad!$E$34)))</f>
        <v/>
      </c>
      <c r="L1289" t="str">
        <f>IF($A1289="","",IF($D1289="V01",cad!$C$35,IF($D1289="V02",cad!$D$35,cad!$E$35)))</f>
        <v/>
      </c>
      <c r="M1289" t="str">
        <f>IF($A1289="","",IF($D1289="V01",cad!$C$36,IF($D1289="V02",cad!$D$36,cad!$E$36)))</f>
        <v/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 t="str">
        <f>IF($A1290="","",IF($D1290="V01",cad!$C$23,IF($D1290="V02",cad!$D$23,cad!$E$23)))</f>
        <v/>
      </c>
      <c r="H1290" t="str">
        <f>IF($A1290="","",IF($D1290="V01",cad!$C$24,IF($D1290="V02",cad!$D$24,cad!$E$24)))</f>
        <v/>
      </c>
      <c r="I1290" t="str">
        <f>IF($A1290="","",IF($D1290="V01",cad!$C$32,IF($D1290="V02",cad!$D$32,cad!$E$32)))</f>
        <v/>
      </c>
      <c r="J1290" t="str">
        <f>IF($A1290="","",IF($D1290="V01",cad!$C$33,IF($D1290="V02",cad!$D$33,cad!$E$33)))</f>
        <v/>
      </c>
      <c r="K1290" t="str">
        <f>IF($A1290="","",IF($D1290="V01",cad!$C$34,IF($D1290="V02",cad!$D$34,cad!$E$34)))</f>
        <v/>
      </c>
      <c r="L1290" t="str">
        <f>IF($A1290="","",IF($D1290="V01",cad!$C$35,IF($D1290="V02",cad!$D$35,cad!$E$35)))</f>
        <v/>
      </c>
      <c r="M1290" t="str">
        <f>IF($A1290="","",IF($D1290="V01",cad!$C$36,IF($D1290="V02",cad!$D$36,cad!$E$36)))</f>
        <v/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 t="str">
        <f>IF($A1291="","",IF($D1291="V01",cad!$C$23,IF($D1291="V02",cad!$D$23,cad!$E$23)))</f>
        <v/>
      </c>
      <c r="H1291" t="str">
        <f>IF($A1291="","",IF($D1291="V01",cad!$C$24,IF($D1291="V02",cad!$D$24,cad!$E$24)))</f>
        <v/>
      </c>
      <c r="I1291" t="str">
        <f>IF($A1291="","",IF($D1291="V01",cad!$C$32,IF($D1291="V02",cad!$D$32,cad!$E$32)))</f>
        <v/>
      </c>
      <c r="J1291" t="str">
        <f>IF($A1291="","",IF($D1291="V01",cad!$C$33,IF($D1291="V02",cad!$D$33,cad!$E$33)))</f>
        <v/>
      </c>
      <c r="K1291" t="str">
        <f>IF($A1291="","",IF($D1291="V01",cad!$C$34,IF($D1291="V02",cad!$D$34,cad!$E$34)))</f>
        <v/>
      </c>
      <c r="L1291" t="str">
        <f>IF($A1291="","",IF($D1291="V01",cad!$C$35,IF($D1291="V02",cad!$D$35,cad!$E$35)))</f>
        <v/>
      </c>
      <c r="M1291" t="str">
        <f>IF($A1291="","",IF($D1291="V01",cad!$C$36,IF($D1291="V02",cad!$D$36,cad!$E$36)))</f>
        <v/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 t="str">
        <f>IF($A1292="","",IF($D1292="V01",cad!$C$23,IF($D1292="V02",cad!$D$23,cad!$E$23)))</f>
        <v/>
      </c>
      <c r="H1292" t="str">
        <f>IF($A1292="","",IF($D1292="V01",cad!$C$24,IF($D1292="V02",cad!$D$24,cad!$E$24)))</f>
        <v/>
      </c>
      <c r="I1292" t="str">
        <f>IF($A1292="","",IF($D1292="V01",cad!$C$32,IF($D1292="V02",cad!$D$32,cad!$E$32)))</f>
        <v/>
      </c>
      <c r="J1292" t="str">
        <f>IF($A1292="","",IF($D1292="V01",cad!$C$33,IF($D1292="V02",cad!$D$33,cad!$E$33)))</f>
        <v/>
      </c>
      <c r="K1292" t="str">
        <f>IF($A1292="","",IF($D1292="V01",cad!$C$34,IF($D1292="V02",cad!$D$34,cad!$E$34)))</f>
        <v/>
      </c>
      <c r="L1292" t="str">
        <f>IF($A1292="","",IF($D1292="V01",cad!$C$35,IF($D1292="V02",cad!$D$35,cad!$E$35)))</f>
        <v/>
      </c>
      <c r="M1292" t="str">
        <f>IF($A1292="","",IF($D1292="V01",cad!$C$36,IF($D1292="V02",cad!$D$36,cad!$E$36)))</f>
        <v/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 t="str">
        <f>IF($A1293="","",IF($D1293="V01",cad!$C$23,IF($D1293="V02",cad!$D$23,cad!$E$23)))</f>
        <v/>
      </c>
      <c r="H1293" t="str">
        <f>IF($A1293="","",IF($D1293="V01",cad!$C$24,IF($D1293="V02",cad!$D$24,cad!$E$24)))</f>
        <v/>
      </c>
      <c r="I1293" t="str">
        <f>IF($A1293="","",IF($D1293="V01",cad!$C$32,IF($D1293="V02",cad!$D$32,cad!$E$32)))</f>
        <v/>
      </c>
      <c r="J1293" t="str">
        <f>IF($A1293="","",IF($D1293="V01",cad!$C$33,IF($D1293="V02",cad!$D$33,cad!$E$33)))</f>
        <v/>
      </c>
      <c r="K1293" t="str">
        <f>IF($A1293="","",IF($D1293="V01",cad!$C$34,IF($D1293="V02",cad!$D$34,cad!$E$34)))</f>
        <v/>
      </c>
      <c r="L1293" t="str">
        <f>IF($A1293="","",IF($D1293="V01",cad!$C$35,IF($D1293="V02",cad!$D$35,cad!$E$35)))</f>
        <v/>
      </c>
      <c r="M1293" t="str">
        <f>IF($A1293="","",IF($D1293="V01",cad!$C$36,IF($D1293="V02",cad!$D$36,cad!$E$36)))</f>
        <v/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 t="str">
        <f>IF($A1294="","",IF($D1294="V01",cad!$C$23,IF($D1294="V02",cad!$D$23,cad!$E$23)))</f>
        <v/>
      </c>
      <c r="H1294" t="str">
        <f>IF($A1294="","",IF($D1294="V01",cad!$C$24,IF($D1294="V02",cad!$D$24,cad!$E$24)))</f>
        <v/>
      </c>
      <c r="I1294" t="str">
        <f>IF($A1294="","",IF($D1294="V01",cad!$C$32,IF($D1294="V02",cad!$D$32,cad!$E$32)))</f>
        <v/>
      </c>
      <c r="J1294" t="str">
        <f>IF($A1294="","",IF($D1294="V01",cad!$C$33,IF($D1294="V02",cad!$D$33,cad!$E$33)))</f>
        <v/>
      </c>
      <c r="K1294" t="str">
        <f>IF($A1294="","",IF($D1294="V01",cad!$C$34,IF($D1294="V02",cad!$D$34,cad!$E$34)))</f>
        <v/>
      </c>
      <c r="L1294" t="str">
        <f>IF($A1294="","",IF($D1294="V01",cad!$C$35,IF($D1294="V02",cad!$D$35,cad!$E$35)))</f>
        <v/>
      </c>
      <c r="M1294" t="str">
        <f>IF($A1294="","",IF($D1294="V01",cad!$C$36,IF($D1294="V02",cad!$D$36,cad!$E$36)))</f>
        <v/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 t="str">
        <f>IF($A1295="","",IF($D1295="V01",cad!$C$23,IF($D1295="V02",cad!$D$23,cad!$E$23)))</f>
        <v/>
      </c>
      <c r="H1295" t="str">
        <f>IF($A1295="","",IF($D1295="V01",cad!$C$24,IF($D1295="V02",cad!$D$24,cad!$E$24)))</f>
        <v/>
      </c>
      <c r="I1295" t="str">
        <f>IF($A1295="","",IF($D1295="V01",cad!$C$32,IF($D1295="V02",cad!$D$32,cad!$E$32)))</f>
        <v/>
      </c>
      <c r="J1295" t="str">
        <f>IF($A1295="","",IF($D1295="V01",cad!$C$33,IF($D1295="V02",cad!$D$33,cad!$E$33)))</f>
        <v/>
      </c>
      <c r="K1295" t="str">
        <f>IF($A1295="","",IF($D1295="V01",cad!$C$34,IF($D1295="V02",cad!$D$34,cad!$E$34)))</f>
        <v/>
      </c>
      <c r="L1295" t="str">
        <f>IF($A1295="","",IF($D1295="V01",cad!$C$35,IF($D1295="V02",cad!$D$35,cad!$E$35)))</f>
        <v/>
      </c>
      <c r="M1295" t="str">
        <f>IF($A1295="","",IF($D1295="V01",cad!$C$36,IF($D1295="V02",cad!$D$36,cad!$E$36)))</f>
        <v/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 t="str">
        <f>IF($A1296="","",IF($D1296="V01",cad!$C$23,IF($D1296="V02",cad!$D$23,cad!$E$23)))</f>
        <v/>
      </c>
      <c r="H1296" t="str">
        <f>IF($A1296="","",IF($D1296="V01",cad!$C$24,IF($D1296="V02",cad!$D$24,cad!$E$24)))</f>
        <v/>
      </c>
      <c r="I1296" t="str">
        <f>IF($A1296="","",IF($D1296="V01",cad!$C$32,IF($D1296="V02",cad!$D$32,cad!$E$32)))</f>
        <v/>
      </c>
      <c r="J1296" t="str">
        <f>IF($A1296="","",IF($D1296="V01",cad!$C$33,IF($D1296="V02",cad!$D$33,cad!$E$33)))</f>
        <v/>
      </c>
      <c r="K1296" t="str">
        <f>IF($A1296="","",IF($D1296="V01",cad!$C$34,IF($D1296="V02",cad!$D$34,cad!$E$34)))</f>
        <v/>
      </c>
      <c r="L1296" t="str">
        <f>IF($A1296="","",IF($D1296="V01",cad!$C$35,IF($D1296="V02",cad!$D$35,cad!$E$35)))</f>
        <v/>
      </c>
      <c r="M1296" t="str">
        <f>IF($A1296="","",IF($D1296="V01",cad!$C$36,IF($D1296="V02",cad!$D$36,cad!$E$36)))</f>
        <v/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 t="str">
        <f>IF($A1297="","",IF($D1297="V01",cad!$C$23,IF($D1297="V02",cad!$D$23,cad!$E$23)))</f>
        <v/>
      </c>
      <c r="H1297" t="str">
        <f>IF($A1297="","",IF($D1297="V01",cad!$C$24,IF($D1297="V02",cad!$D$24,cad!$E$24)))</f>
        <v/>
      </c>
      <c r="I1297" t="str">
        <f>IF($A1297="","",IF($D1297="V01",cad!$C$32,IF($D1297="V02",cad!$D$32,cad!$E$32)))</f>
        <v/>
      </c>
      <c r="J1297" t="str">
        <f>IF($A1297="","",IF($D1297="V01",cad!$C$33,IF($D1297="V02",cad!$D$33,cad!$E$33)))</f>
        <v/>
      </c>
      <c r="K1297" t="str">
        <f>IF($A1297="","",IF($D1297="V01",cad!$C$34,IF($D1297="V02",cad!$D$34,cad!$E$34)))</f>
        <v/>
      </c>
      <c r="L1297" t="str">
        <f>IF($A1297="","",IF($D1297="V01",cad!$C$35,IF($D1297="V02",cad!$D$35,cad!$E$35)))</f>
        <v/>
      </c>
      <c r="M1297" t="str">
        <f>IF($A1297="","",IF($D1297="V01",cad!$C$36,IF($D1297="V02",cad!$D$36,cad!$E$36)))</f>
        <v/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 t="str">
        <f>IF($A1298="","",IF($D1298="V01",cad!$C$23,IF($D1298="V02",cad!$D$23,cad!$E$23)))</f>
        <v/>
      </c>
      <c r="H1298" t="str">
        <f>IF($A1298="","",IF($D1298="V01",cad!$C$24,IF($D1298="V02",cad!$D$24,cad!$E$24)))</f>
        <v/>
      </c>
      <c r="I1298" t="str">
        <f>IF($A1298="","",IF($D1298="V01",cad!$C$32,IF($D1298="V02",cad!$D$32,cad!$E$32)))</f>
        <v/>
      </c>
      <c r="J1298" t="str">
        <f>IF($A1298="","",IF($D1298="V01",cad!$C$33,IF($D1298="V02",cad!$D$33,cad!$E$33)))</f>
        <v/>
      </c>
      <c r="K1298" t="str">
        <f>IF($A1298="","",IF($D1298="V01",cad!$C$34,IF($D1298="V02",cad!$D$34,cad!$E$34)))</f>
        <v/>
      </c>
      <c r="L1298" t="str">
        <f>IF($A1298="","",IF($D1298="V01",cad!$C$35,IF($D1298="V02",cad!$D$35,cad!$E$35)))</f>
        <v/>
      </c>
      <c r="M1298" t="str">
        <f>IF($A1298="","",IF($D1298="V01",cad!$C$36,IF($D1298="V02",cad!$D$36,cad!$E$36)))</f>
        <v/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 t="str">
        <f>IF($A1299="","",IF($D1299="V01",cad!$C$23,IF($D1299="V02",cad!$D$23,cad!$E$23)))</f>
        <v/>
      </c>
      <c r="H1299" t="str">
        <f>IF($A1299="","",IF($D1299="V01",cad!$C$24,IF($D1299="V02",cad!$D$24,cad!$E$24)))</f>
        <v/>
      </c>
      <c r="I1299" t="str">
        <f>IF($A1299="","",IF($D1299="V01",cad!$C$32,IF($D1299="V02",cad!$D$32,cad!$E$32)))</f>
        <v/>
      </c>
      <c r="J1299" t="str">
        <f>IF($A1299="","",IF($D1299="V01",cad!$C$33,IF($D1299="V02",cad!$D$33,cad!$E$33)))</f>
        <v/>
      </c>
      <c r="K1299" t="str">
        <f>IF($A1299="","",IF($D1299="V01",cad!$C$34,IF($D1299="V02",cad!$D$34,cad!$E$34)))</f>
        <v/>
      </c>
      <c r="L1299" t="str">
        <f>IF($A1299="","",IF($D1299="V01",cad!$C$35,IF($D1299="V02",cad!$D$35,cad!$E$35)))</f>
        <v/>
      </c>
      <c r="M1299" t="str">
        <f>IF($A1299="","",IF($D1299="V01",cad!$C$36,IF($D1299="V02",cad!$D$36,cad!$E$36)))</f>
        <v/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 t="str">
        <f>IF($A1300="","",IF($D1300="V01",cad!$C$23,IF($D1300="V02",cad!$D$23,cad!$E$23)))</f>
        <v/>
      </c>
      <c r="H1300" t="str">
        <f>IF($A1300="","",IF($D1300="V01",cad!$C$24,IF($D1300="V02",cad!$D$24,cad!$E$24)))</f>
        <v/>
      </c>
      <c r="I1300" t="str">
        <f>IF($A1300="","",IF($D1300="V01",cad!$C$32,IF($D1300="V02",cad!$D$32,cad!$E$32)))</f>
        <v/>
      </c>
      <c r="J1300" t="str">
        <f>IF($A1300="","",IF($D1300="V01",cad!$C$33,IF($D1300="V02",cad!$D$33,cad!$E$33)))</f>
        <v/>
      </c>
      <c r="K1300" t="str">
        <f>IF($A1300="","",IF($D1300="V01",cad!$C$34,IF($D1300="V02",cad!$D$34,cad!$E$34)))</f>
        <v/>
      </c>
      <c r="L1300" t="str">
        <f>IF($A1300="","",IF($D1300="V01",cad!$C$35,IF($D1300="V02",cad!$D$35,cad!$E$35)))</f>
        <v/>
      </c>
      <c r="M1300" t="str">
        <f>IF($A1300="","",IF($D1300="V01",cad!$C$36,IF($D1300="V02",cad!$D$36,cad!$E$36)))</f>
        <v/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 t="str">
        <f>IF($A1301="","",IF($D1301="V01",cad!$C$23,IF($D1301="V02",cad!$D$23,cad!$E$23)))</f>
        <v/>
      </c>
      <c r="H1301" t="str">
        <f>IF($A1301="","",IF($D1301="V01",cad!$C$24,IF($D1301="V02",cad!$D$24,cad!$E$24)))</f>
        <v/>
      </c>
      <c r="I1301" t="str">
        <f>IF($A1301="","",IF($D1301="V01",cad!$C$32,IF($D1301="V02",cad!$D$32,cad!$E$32)))</f>
        <v/>
      </c>
      <c r="J1301" t="str">
        <f>IF($A1301="","",IF($D1301="V01",cad!$C$33,IF($D1301="V02",cad!$D$33,cad!$E$33)))</f>
        <v/>
      </c>
      <c r="K1301" t="str">
        <f>IF($A1301="","",IF($D1301="V01",cad!$C$34,IF($D1301="V02",cad!$D$34,cad!$E$34)))</f>
        <v/>
      </c>
      <c r="L1301" t="str">
        <f>IF($A1301="","",IF($D1301="V01",cad!$C$35,IF($D1301="V02",cad!$D$35,cad!$E$35)))</f>
        <v/>
      </c>
      <c r="M1301" t="str">
        <f>IF($A1301="","",IF($D1301="V01",cad!$C$36,IF($D1301="V02",cad!$D$36,cad!$E$36)))</f>
        <v/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 t="str">
        <f>IF($A1302="","",IF($D1302="V01",cad!$C$23,IF($D1302="V02",cad!$D$23,cad!$E$23)))</f>
        <v/>
      </c>
      <c r="H1302" t="str">
        <f>IF($A1302="","",IF($D1302="V01",cad!$C$24,IF($D1302="V02",cad!$D$24,cad!$E$24)))</f>
        <v/>
      </c>
      <c r="I1302" t="str">
        <f>IF($A1302="","",IF($D1302="V01",cad!$C$32,IF($D1302="V02",cad!$D$32,cad!$E$32)))</f>
        <v/>
      </c>
      <c r="J1302" t="str">
        <f>IF($A1302="","",IF($D1302="V01",cad!$C$33,IF($D1302="V02",cad!$D$33,cad!$E$33)))</f>
        <v/>
      </c>
      <c r="K1302" t="str">
        <f>IF($A1302="","",IF($D1302="V01",cad!$C$34,IF($D1302="V02",cad!$D$34,cad!$E$34)))</f>
        <v/>
      </c>
      <c r="L1302" t="str">
        <f>IF($A1302="","",IF($D1302="V01",cad!$C$35,IF($D1302="V02",cad!$D$35,cad!$E$35)))</f>
        <v/>
      </c>
      <c r="M1302" t="str">
        <f>IF($A1302="","",IF($D1302="V01",cad!$C$36,IF($D1302="V02",cad!$D$36,cad!$E$36)))</f>
        <v/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 t="str">
        <f>IF($A1303="","",IF($D1303="V01",cad!$C$23,IF($D1303="V02",cad!$D$23,cad!$E$23)))</f>
        <v/>
      </c>
      <c r="H1303" t="str">
        <f>IF($A1303="","",IF($D1303="V01",cad!$C$24,IF($D1303="V02",cad!$D$24,cad!$E$24)))</f>
        <v/>
      </c>
      <c r="I1303" t="str">
        <f>IF($A1303="","",IF($D1303="V01",cad!$C$32,IF($D1303="V02",cad!$D$32,cad!$E$32)))</f>
        <v/>
      </c>
      <c r="J1303" t="str">
        <f>IF($A1303="","",IF($D1303="V01",cad!$C$33,IF($D1303="V02",cad!$D$33,cad!$E$33)))</f>
        <v/>
      </c>
      <c r="K1303" t="str">
        <f>IF($A1303="","",IF($D1303="V01",cad!$C$34,IF($D1303="V02",cad!$D$34,cad!$E$34)))</f>
        <v/>
      </c>
      <c r="L1303" t="str">
        <f>IF($A1303="","",IF($D1303="V01",cad!$C$35,IF($D1303="V02",cad!$D$35,cad!$E$35)))</f>
        <v/>
      </c>
      <c r="M1303" t="str">
        <f>IF($A1303="","",IF($D1303="V01",cad!$C$36,IF($D1303="V02",cad!$D$36,cad!$E$36)))</f>
        <v/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 t="str">
        <f>IF($A1304="","",IF($D1304="V01",cad!$C$23,IF($D1304="V02",cad!$D$23,cad!$E$23)))</f>
        <v/>
      </c>
      <c r="H1304" t="str">
        <f>IF($A1304="","",IF($D1304="V01",cad!$C$24,IF($D1304="V02",cad!$D$24,cad!$E$24)))</f>
        <v/>
      </c>
      <c r="I1304" t="str">
        <f>IF($A1304="","",IF($D1304="V01",cad!$C$32,IF($D1304="V02",cad!$D$32,cad!$E$32)))</f>
        <v/>
      </c>
      <c r="J1304" t="str">
        <f>IF($A1304="","",IF($D1304="V01",cad!$C$33,IF($D1304="V02",cad!$D$33,cad!$E$33)))</f>
        <v/>
      </c>
      <c r="K1304" t="str">
        <f>IF($A1304="","",IF($D1304="V01",cad!$C$34,IF($D1304="V02",cad!$D$34,cad!$E$34)))</f>
        <v/>
      </c>
      <c r="L1304" t="str">
        <f>IF($A1304="","",IF($D1304="V01",cad!$C$35,IF($D1304="V02",cad!$D$35,cad!$E$35)))</f>
        <v/>
      </c>
      <c r="M1304" t="str">
        <f>IF($A1304="","",IF($D1304="V01",cad!$C$36,IF($D1304="V02",cad!$D$36,cad!$E$36)))</f>
        <v/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 t="str">
        <f>IF($A1305="","",IF($D1305="V01",cad!$C$23,IF($D1305="V02",cad!$D$23,cad!$E$23)))</f>
        <v/>
      </c>
      <c r="H1305" t="str">
        <f>IF($A1305="","",IF($D1305="V01",cad!$C$24,IF($D1305="V02",cad!$D$24,cad!$E$24)))</f>
        <v/>
      </c>
      <c r="I1305" t="str">
        <f>IF($A1305="","",IF($D1305="V01",cad!$C$32,IF($D1305="V02",cad!$D$32,cad!$E$32)))</f>
        <v/>
      </c>
      <c r="J1305" t="str">
        <f>IF($A1305="","",IF($D1305="V01",cad!$C$33,IF($D1305="V02",cad!$D$33,cad!$E$33)))</f>
        <v/>
      </c>
      <c r="K1305" t="str">
        <f>IF($A1305="","",IF($D1305="V01",cad!$C$34,IF($D1305="V02",cad!$D$34,cad!$E$34)))</f>
        <v/>
      </c>
      <c r="L1305" t="str">
        <f>IF($A1305="","",IF($D1305="V01",cad!$C$35,IF($D1305="V02",cad!$D$35,cad!$E$35)))</f>
        <v/>
      </c>
      <c r="M1305" t="str">
        <f>IF($A1305="","",IF($D1305="V01",cad!$C$36,IF($D1305="V02",cad!$D$36,cad!$E$36)))</f>
        <v/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 t="str">
        <f>IF($A1306="","",IF($D1306="V01",cad!$C$23,IF($D1306="V02",cad!$D$23,cad!$E$23)))</f>
        <v/>
      </c>
      <c r="H1306" t="str">
        <f>IF($A1306="","",IF($D1306="V01",cad!$C$24,IF($D1306="V02",cad!$D$24,cad!$E$24)))</f>
        <v/>
      </c>
      <c r="I1306" t="str">
        <f>IF($A1306="","",IF($D1306="V01",cad!$C$32,IF($D1306="V02",cad!$D$32,cad!$E$32)))</f>
        <v/>
      </c>
      <c r="J1306" t="str">
        <f>IF($A1306="","",IF($D1306="V01",cad!$C$33,IF($D1306="V02",cad!$D$33,cad!$E$33)))</f>
        <v/>
      </c>
      <c r="K1306" t="str">
        <f>IF($A1306="","",IF($D1306="V01",cad!$C$34,IF($D1306="V02",cad!$D$34,cad!$E$34)))</f>
        <v/>
      </c>
      <c r="L1306" t="str">
        <f>IF($A1306="","",IF($D1306="V01",cad!$C$35,IF($D1306="V02",cad!$D$35,cad!$E$35)))</f>
        <v/>
      </c>
      <c r="M1306" t="str">
        <f>IF($A1306="","",IF($D1306="V01",cad!$C$36,IF($D1306="V02",cad!$D$36,cad!$E$36)))</f>
        <v/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 t="str">
        <f>IF($A1307="","",IF($D1307="V01",cad!$C$23,IF($D1307="V02",cad!$D$23,cad!$E$23)))</f>
        <v/>
      </c>
      <c r="H1307" t="str">
        <f>IF($A1307="","",IF($D1307="V01",cad!$C$24,IF($D1307="V02",cad!$D$24,cad!$E$24)))</f>
        <v/>
      </c>
      <c r="I1307" t="str">
        <f>IF($A1307="","",IF($D1307="V01",cad!$C$32,IF($D1307="V02",cad!$D$32,cad!$E$32)))</f>
        <v/>
      </c>
      <c r="J1307" t="str">
        <f>IF($A1307="","",IF($D1307="V01",cad!$C$33,IF($D1307="V02",cad!$D$33,cad!$E$33)))</f>
        <v/>
      </c>
      <c r="K1307" t="str">
        <f>IF($A1307="","",IF($D1307="V01",cad!$C$34,IF($D1307="V02",cad!$D$34,cad!$E$34)))</f>
        <v/>
      </c>
      <c r="L1307" t="str">
        <f>IF($A1307="","",IF($D1307="V01",cad!$C$35,IF($D1307="V02",cad!$D$35,cad!$E$35)))</f>
        <v/>
      </c>
      <c r="M1307" t="str">
        <f>IF($A1307="","",IF($D1307="V01",cad!$C$36,IF($D1307="V02",cad!$D$36,cad!$E$36)))</f>
        <v/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 t="str">
        <f>IF($A1308="","",IF($D1308="V01",cad!$C$23,IF($D1308="V02",cad!$D$23,cad!$E$23)))</f>
        <v/>
      </c>
      <c r="H1308" t="str">
        <f>IF($A1308="","",IF($D1308="V01",cad!$C$24,IF($D1308="V02",cad!$D$24,cad!$E$24)))</f>
        <v/>
      </c>
      <c r="I1308" t="str">
        <f>IF($A1308="","",IF($D1308="V01",cad!$C$32,IF($D1308="V02",cad!$D$32,cad!$E$32)))</f>
        <v/>
      </c>
      <c r="J1308" t="str">
        <f>IF($A1308="","",IF($D1308="V01",cad!$C$33,IF($D1308="V02",cad!$D$33,cad!$E$33)))</f>
        <v/>
      </c>
      <c r="K1308" t="str">
        <f>IF($A1308="","",IF($D1308="V01",cad!$C$34,IF($D1308="V02",cad!$D$34,cad!$E$34)))</f>
        <v/>
      </c>
      <c r="L1308" t="str">
        <f>IF($A1308="","",IF($D1308="V01",cad!$C$35,IF($D1308="V02",cad!$D$35,cad!$E$35)))</f>
        <v/>
      </c>
      <c r="M1308" t="str">
        <f>IF($A1308="","",IF($D1308="V01",cad!$C$36,IF($D1308="V02",cad!$D$36,cad!$E$36)))</f>
        <v/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 t="str">
        <f>IF($A1309="","",IF($D1309="V01",cad!$C$23,IF($D1309="V02",cad!$D$23,cad!$E$23)))</f>
        <v/>
      </c>
      <c r="H1309" t="str">
        <f>IF($A1309="","",IF($D1309="V01",cad!$C$24,IF($D1309="V02",cad!$D$24,cad!$E$24)))</f>
        <v/>
      </c>
      <c r="I1309" t="str">
        <f>IF($A1309="","",IF($D1309="V01",cad!$C$32,IF($D1309="V02",cad!$D$32,cad!$E$32)))</f>
        <v/>
      </c>
      <c r="J1309" t="str">
        <f>IF($A1309="","",IF($D1309="V01",cad!$C$33,IF($D1309="V02",cad!$D$33,cad!$E$33)))</f>
        <v/>
      </c>
      <c r="K1309" t="str">
        <f>IF($A1309="","",IF($D1309="V01",cad!$C$34,IF($D1309="V02",cad!$D$34,cad!$E$34)))</f>
        <v/>
      </c>
      <c r="L1309" t="str">
        <f>IF($A1309="","",IF($D1309="V01",cad!$C$35,IF($D1309="V02",cad!$D$35,cad!$E$35)))</f>
        <v/>
      </c>
      <c r="M1309" t="str">
        <f>IF($A1309="","",IF($D1309="V01",cad!$C$36,IF($D1309="V02",cad!$D$36,cad!$E$36)))</f>
        <v/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 t="str">
        <f>IF($A1310="","",IF($D1310="V01",cad!$C$23,IF($D1310="V02",cad!$D$23,cad!$E$23)))</f>
        <v/>
      </c>
      <c r="H1310" t="str">
        <f>IF($A1310="","",IF($D1310="V01",cad!$C$24,IF($D1310="V02",cad!$D$24,cad!$E$24)))</f>
        <v/>
      </c>
      <c r="I1310" t="str">
        <f>IF($A1310="","",IF($D1310="V01",cad!$C$32,IF($D1310="V02",cad!$D$32,cad!$E$32)))</f>
        <v/>
      </c>
      <c r="J1310" t="str">
        <f>IF($A1310="","",IF($D1310="V01",cad!$C$33,IF($D1310="V02",cad!$D$33,cad!$E$33)))</f>
        <v/>
      </c>
      <c r="K1310" t="str">
        <f>IF($A1310="","",IF($D1310="V01",cad!$C$34,IF($D1310="V02",cad!$D$34,cad!$E$34)))</f>
        <v/>
      </c>
      <c r="L1310" t="str">
        <f>IF($A1310="","",IF($D1310="V01",cad!$C$35,IF($D1310="V02",cad!$D$35,cad!$E$35)))</f>
        <v/>
      </c>
      <c r="M1310" t="str">
        <f>IF($A1310="","",IF($D1310="V01",cad!$C$36,IF($D1310="V02",cad!$D$36,cad!$E$36)))</f>
        <v/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 t="str">
        <f>IF($A1311="","",IF($D1311="V01",cad!$C$23,IF($D1311="V02",cad!$D$23,cad!$E$23)))</f>
        <v/>
      </c>
      <c r="H1311" t="str">
        <f>IF($A1311="","",IF($D1311="V01",cad!$C$24,IF($D1311="V02",cad!$D$24,cad!$E$24)))</f>
        <v/>
      </c>
      <c r="I1311" t="str">
        <f>IF($A1311="","",IF($D1311="V01",cad!$C$32,IF($D1311="V02",cad!$D$32,cad!$E$32)))</f>
        <v/>
      </c>
      <c r="J1311" t="str">
        <f>IF($A1311="","",IF($D1311="V01",cad!$C$33,IF($D1311="V02",cad!$D$33,cad!$E$33)))</f>
        <v/>
      </c>
      <c r="K1311" t="str">
        <f>IF($A1311="","",IF($D1311="V01",cad!$C$34,IF($D1311="V02",cad!$D$34,cad!$E$34)))</f>
        <v/>
      </c>
      <c r="L1311" t="str">
        <f>IF($A1311="","",IF($D1311="V01",cad!$C$35,IF($D1311="V02",cad!$D$35,cad!$E$35)))</f>
        <v/>
      </c>
      <c r="M1311" t="str">
        <f>IF($A1311="","",IF($D1311="V01",cad!$C$36,IF($D1311="V02",cad!$D$36,cad!$E$36)))</f>
        <v/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 t="str">
        <f>IF($A1312="","",IF($D1312="V01",cad!$C$23,IF($D1312="V02",cad!$D$23,cad!$E$23)))</f>
        <v/>
      </c>
      <c r="H1312" t="str">
        <f>IF($A1312="","",IF($D1312="V01",cad!$C$24,IF($D1312="V02",cad!$D$24,cad!$E$24)))</f>
        <v/>
      </c>
      <c r="I1312" t="str">
        <f>IF($A1312="","",IF($D1312="V01",cad!$C$32,IF($D1312="V02",cad!$D$32,cad!$E$32)))</f>
        <v/>
      </c>
      <c r="J1312" t="str">
        <f>IF($A1312="","",IF($D1312="V01",cad!$C$33,IF($D1312="V02",cad!$D$33,cad!$E$33)))</f>
        <v/>
      </c>
      <c r="K1312" t="str">
        <f>IF($A1312="","",IF($D1312="V01",cad!$C$34,IF($D1312="V02",cad!$D$34,cad!$E$34)))</f>
        <v/>
      </c>
      <c r="L1312" t="str">
        <f>IF($A1312="","",IF($D1312="V01",cad!$C$35,IF($D1312="V02",cad!$D$35,cad!$E$35)))</f>
        <v/>
      </c>
      <c r="M1312" t="str">
        <f>IF($A1312="","",IF($D1312="V01",cad!$C$36,IF($D1312="V02",cad!$D$36,cad!$E$36)))</f>
        <v/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 t="str">
        <f>IF($A1313="","",IF($D1313="V01",cad!$C$23,IF($D1313="V02",cad!$D$23,cad!$E$23)))</f>
        <v/>
      </c>
      <c r="H1313" t="str">
        <f>IF($A1313="","",IF($D1313="V01",cad!$C$24,IF($D1313="V02",cad!$D$24,cad!$E$24)))</f>
        <v/>
      </c>
      <c r="I1313" t="str">
        <f>IF($A1313="","",IF($D1313="V01",cad!$C$32,IF($D1313="V02",cad!$D$32,cad!$E$32)))</f>
        <v/>
      </c>
      <c r="J1313" t="str">
        <f>IF($A1313="","",IF($D1313="V01",cad!$C$33,IF($D1313="V02",cad!$D$33,cad!$E$33)))</f>
        <v/>
      </c>
      <c r="K1313" t="str">
        <f>IF($A1313="","",IF($D1313="V01",cad!$C$34,IF($D1313="V02",cad!$D$34,cad!$E$34)))</f>
        <v/>
      </c>
      <c r="L1313" t="str">
        <f>IF($A1313="","",IF($D1313="V01",cad!$C$35,IF($D1313="V02",cad!$D$35,cad!$E$35)))</f>
        <v/>
      </c>
      <c r="M1313" t="str">
        <f>IF($A1313="","",IF($D1313="V01",cad!$C$36,IF($D1313="V02",cad!$D$36,cad!$E$36)))</f>
        <v/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 t="str">
        <f>IF($A1314="","",IF($D1314="V01",cad!$C$23,IF($D1314="V02",cad!$D$23,cad!$E$23)))</f>
        <v/>
      </c>
      <c r="H1314" t="str">
        <f>IF($A1314="","",IF($D1314="V01",cad!$C$24,IF($D1314="V02",cad!$D$24,cad!$E$24)))</f>
        <v/>
      </c>
      <c r="I1314" t="str">
        <f>IF($A1314="","",IF($D1314="V01",cad!$C$32,IF($D1314="V02",cad!$D$32,cad!$E$32)))</f>
        <v/>
      </c>
      <c r="J1314" t="str">
        <f>IF($A1314="","",IF($D1314="V01",cad!$C$33,IF($D1314="V02",cad!$D$33,cad!$E$33)))</f>
        <v/>
      </c>
      <c r="K1314" t="str">
        <f>IF($A1314="","",IF($D1314="V01",cad!$C$34,IF($D1314="V02",cad!$D$34,cad!$E$34)))</f>
        <v/>
      </c>
      <c r="L1314" t="str">
        <f>IF($A1314="","",IF($D1314="V01",cad!$C$35,IF($D1314="V02",cad!$D$35,cad!$E$35)))</f>
        <v/>
      </c>
      <c r="M1314" t="str">
        <f>IF($A1314="","",IF($D1314="V01",cad!$C$36,IF($D1314="V02",cad!$D$36,cad!$E$36)))</f>
        <v/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 t="str">
        <f>IF($A1315="","",IF($D1315="V01",cad!$C$23,IF($D1315="V02",cad!$D$23,cad!$E$23)))</f>
        <v/>
      </c>
      <c r="H1315" t="str">
        <f>IF($A1315="","",IF($D1315="V01",cad!$C$24,IF($D1315="V02",cad!$D$24,cad!$E$24)))</f>
        <v/>
      </c>
      <c r="I1315" t="str">
        <f>IF($A1315="","",IF($D1315="V01",cad!$C$32,IF($D1315="V02",cad!$D$32,cad!$E$32)))</f>
        <v/>
      </c>
      <c r="J1315" t="str">
        <f>IF($A1315="","",IF($D1315="V01",cad!$C$33,IF($D1315="V02",cad!$D$33,cad!$E$33)))</f>
        <v/>
      </c>
      <c r="K1315" t="str">
        <f>IF($A1315="","",IF($D1315="V01",cad!$C$34,IF($D1315="V02",cad!$D$34,cad!$E$34)))</f>
        <v/>
      </c>
      <c r="L1315" t="str">
        <f>IF($A1315="","",IF($D1315="V01",cad!$C$35,IF($D1315="V02",cad!$D$35,cad!$E$35)))</f>
        <v/>
      </c>
      <c r="M1315" t="str">
        <f>IF($A1315="","",IF($D1315="V01",cad!$C$36,IF($D1315="V02",cad!$D$36,cad!$E$36)))</f>
        <v/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 t="str">
        <f>IF($A1316="","",IF($D1316="V01",cad!$C$23,IF($D1316="V02",cad!$D$23,cad!$E$23)))</f>
        <v/>
      </c>
      <c r="H1316" t="str">
        <f>IF($A1316="","",IF($D1316="V01",cad!$C$24,IF($D1316="V02",cad!$D$24,cad!$E$24)))</f>
        <v/>
      </c>
      <c r="I1316" t="str">
        <f>IF($A1316="","",IF($D1316="V01",cad!$C$32,IF($D1316="V02",cad!$D$32,cad!$E$32)))</f>
        <v/>
      </c>
      <c r="J1316" t="str">
        <f>IF($A1316="","",IF($D1316="V01",cad!$C$33,IF($D1316="V02",cad!$D$33,cad!$E$33)))</f>
        <v/>
      </c>
      <c r="K1316" t="str">
        <f>IF($A1316="","",IF($D1316="V01",cad!$C$34,IF($D1316="V02",cad!$D$34,cad!$E$34)))</f>
        <v/>
      </c>
      <c r="L1316" t="str">
        <f>IF($A1316="","",IF($D1316="V01",cad!$C$35,IF($D1316="V02",cad!$D$35,cad!$E$35)))</f>
        <v/>
      </c>
      <c r="M1316" t="str">
        <f>IF($A1316="","",IF($D1316="V01",cad!$C$36,IF($D1316="V02",cad!$D$36,cad!$E$36)))</f>
        <v/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 t="str">
        <f>IF($A1317="","",IF($D1317="V01",cad!$C$23,IF($D1317="V02",cad!$D$23,cad!$E$23)))</f>
        <v/>
      </c>
      <c r="H1317" t="str">
        <f>IF($A1317="","",IF($D1317="V01",cad!$C$24,IF($D1317="V02",cad!$D$24,cad!$E$24)))</f>
        <v/>
      </c>
      <c r="I1317" t="str">
        <f>IF($A1317="","",IF($D1317="V01",cad!$C$32,IF($D1317="V02",cad!$D$32,cad!$E$32)))</f>
        <v/>
      </c>
      <c r="J1317" t="str">
        <f>IF($A1317="","",IF($D1317="V01",cad!$C$33,IF($D1317="V02",cad!$D$33,cad!$E$33)))</f>
        <v/>
      </c>
      <c r="K1317" t="str">
        <f>IF($A1317="","",IF($D1317="V01",cad!$C$34,IF($D1317="V02",cad!$D$34,cad!$E$34)))</f>
        <v/>
      </c>
      <c r="L1317" t="str">
        <f>IF($A1317="","",IF($D1317="V01",cad!$C$35,IF($D1317="V02",cad!$D$35,cad!$E$35)))</f>
        <v/>
      </c>
      <c r="M1317" t="str">
        <f>IF($A1317="","",IF($D1317="V01",cad!$C$36,IF($D1317="V02",cad!$D$36,cad!$E$36)))</f>
        <v/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 t="str">
        <f>IF($A1318="","",IF($D1318="V01",cad!$C$23,IF($D1318="V02",cad!$D$23,cad!$E$23)))</f>
        <v/>
      </c>
      <c r="H1318" t="str">
        <f>IF($A1318="","",IF($D1318="V01",cad!$C$24,IF($D1318="V02",cad!$D$24,cad!$E$24)))</f>
        <v/>
      </c>
      <c r="I1318" t="str">
        <f>IF($A1318="","",IF($D1318="V01",cad!$C$32,IF($D1318="V02",cad!$D$32,cad!$E$32)))</f>
        <v/>
      </c>
      <c r="J1318" t="str">
        <f>IF($A1318="","",IF($D1318="V01",cad!$C$33,IF($D1318="V02",cad!$D$33,cad!$E$33)))</f>
        <v/>
      </c>
      <c r="K1318" t="str">
        <f>IF($A1318="","",IF($D1318="V01",cad!$C$34,IF($D1318="V02",cad!$D$34,cad!$E$34)))</f>
        <v/>
      </c>
      <c r="L1318" t="str">
        <f>IF($A1318="","",IF($D1318="V01",cad!$C$35,IF($D1318="V02",cad!$D$35,cad!$E$35)))</f>
        <v/>
      </c>
      <c r="M1318" t="str">
        <f>IF($A1318="","",IF($D1318="V01",cad!$C$36,IF($D1318="V02",cad!$D$36,cad!$E$36)))</f>
        <v/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 t="str">
        <f>IF($A1319="","",IF($D1319="V01",cad!$C$23,IF($D1319="V02",cad!$D$23,cad!$E$23)))</f>
        <v/>
      </c>
      <c r="H1319" t="str">
        <f>IF($A1319="","",IF($D1319="V01",cad!$C$24,IF($D1319="V02",cad!$D$24,cad!$E$24)))</f>
        <v/>
      </c>
      <c r="I1319" t="str">
        <f>IF($A1319="","",IF($D1319="V01",cad!$C$32,IF($D1319="V02",cad!$D$32,cad!$E$32)))</f>
        <v/>
      </c>
      <c r="J1319" t="str">
        <f>IF($A1319="","",IF($D1319="V01",cad!$C$33,IF($D1319="V02",cad!$D$33,cad!$E$33)))</f>
        <v/>
      </c>
      <c r="K1319" t="str">
        <f>IF($A1319="","",IF($D1319="V01",cad!$C$34,IF($D1319="V02",cad!$D$34,cad!$E$34)))</f>
        <v/>
      </c>
      <c r="L1319" t="str">
        <f>IF($A1319="","",IF($D1319="V01",cad!$C$35,IF($D1319="V02",cad!$D$35,cad!$E$35)))</f>
        <v/>
      </c>
      <c r="M1319" t="str">
        <f>IF($A1319="","",IF($D1319="V01",cad!$C$36,IF($D1319="V02",cad!$D$36,cad!$E$36)))</f>
        <v/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 t="str">
        <f>IF($A1320="","",IF($D1320="V01",cad!$C$23,IF($D1320="V02",cad!$D$23,cad!$E$23)))</f>
        <v/>
      </c>
      <c r="H1320" t="str">
        <f>IF($A1320="","",IF($D1320="V01",cad!$C$24,IF($D1320="V02",cad!$D$24,cad!$E$24)))</f>
        <v/>
      </c>
      <c r="I1320" t="str">
        <f>IF($A1320="","",IF($D1320="V01",cad!$C$32,IF($D1320="V02",cad!$D$32,cad!$E$32)))</f>
        <v/>
      </c>
      <c r="J1320" t="str">
        <f>IF($A1320="","",IF($D1320="V01",cad!$C$33,IF($D1320="V02",cad!$D$33,cad!$E$33)))</f>
        <v/>
      </c>
      <c r="K1320" t="str">
        <f>IF($A1320="","",IF($D1320="V01",cad!$C$34,IF($D1320="V02",cad!$D$34,cad!$E$34)))</f>
        <v/>
      </c>
      <c r="L1320" t="str">
        <f>IF($A1320="","",IF($D1320="V01",cad!$C$35,IF($D1320="V02",cad!$D$35,cad!$E$35)))</f>
        <v/>
      </c>
      <c r="M1320" t="str">
        <f>IF($A1320="","",IF($D1320="V01",cad!$C$36,IF($D1320="V02",cad!$D$36,cad!$E$36)))</f>
        <v/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 t="str">
        <f>IF($A1321="","",IF($D1321="V01",cad!$C$23,IF($D1321="V02",cad!$D$23,cad!$E$23)))</f>
        <v/>
      </c>
      <c r="H1321" t="str">
        <f>IF($A1321="","",IF($D1321="V01",cad!$C$24,IF($D1321="V02",cad!$D$24,cad!$E$24)))</f>
        <v/>
      </c>
      <c r="I1321" t="str">
        <f>IF($A1321="","",IF($D1321="V01",cad!$C$32,IF($D1321="V02",cad!$D$32,cad!$E$32)))</f>
        <v/>
      </c>
      <c r="J1321" t="str">
        <f>IF($A1321="","",IF($D1321="V01",cad!$C$33,IF($D1321="V02",cad!$D$33,cad!$E$33)))</f>
        <v/>
      </c>
      <c r="K1321" t="str">
        <f>IF($A1321="","",IF($D1321="V01",cad!$C$34,IF($D1321="V02",cad!$D$34,cad!$E$34)))</f>
        <v/>
      </c>
      <c r="L1321" t="str">
        <f>IF($A1321="","",IF($D1321="V01",cad!$C$35,IF($D1321="V02",cad!$D$35,cad!$E$35)))</f>
        <v/>
      </c>
      <c r="M1321" t="str">
        <f>IF($A1321="","",IF($D1321="V01",cad!$C$36,IF($D1321="V02",cad!$D$36,cad!$E$36)))</f>
        <v/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 t="str">
        <f>IF($A1322="","",IF($D1322="V01",cad!$C$23,IF($D1322="V02",cad!$D$23,cad!$E$23)))</f>
        <v/>
      </c>
      <c r="H1322" t="str">
        <f>IF($A1322="","",IF($D1322="V01",cad!$C$24,IF($D1322="V02",cad!$D$24,cad!$E$24)))</f>
        <v/>
      </c>
      <c r="I1322" t="str">
        <f>IF($A1322="","",IF($D1322="V01",cad!$C$32,IF($D1322="V02",cad!$D$32,cad!$E$32)))</f>
        <v/>
      </c>
      <c r="J1322" t="str">
        <f>IF($A1322="","",IF($D1322="V01",cad!$C$33,IF($D1322="V02",cad!$D$33,cad!$E$33)))</f>
        <v/>
      </c>
      <c r="K1322" t="str">
        <f>IF($A1322="","",IF($D1322="V01",cad!$C$34,IF($D1322="V02",cad!$D$34,cad!$E$34)))</f>
        <v/>
      </c>
      <c r="L1322" t="str">
        <f>IF($A1322="","",IF($D1322="V01",cad!$C$35,IF($D1322="V02",cad!$D$35,cad!$E$35)))</f>
        <v/>
      </c>
      <c r="M1322" t="str">
        <f>IF($A1322="","",IF($D1322="V01",cad!$C$36,IF($D1322="V02",cad!$D$36,cad!$E$36)))</f>
        <v/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 t="str">
        <f>IF($A1323="","",IF($D1323="V01",cad!$C$23,IF($D1323="V02",cad!$D$23,cad!$E$23)))</f>
        <v/>
      </c>
      <c r="H1323" t="str">
        <f>IF($A1323="","",IF($D1323="V01",cad!$C$24,IF($D1323="V02",cad!$D$24,cad!$E$24)))</f>
        <v/>
      </c>
      <c r="I1323" t="str">
        <f>IF($A1323="","",IF($D1323="V01",cad!$C$32,IF($D1323="V02",cad!$D$32,cad!$E$32)))</f>
        <v/>
      </c>
      <c r="J1323" t="str">
        <f>IF($A1323="","",IF($D1323="V01",cad!$C$33,IF($D1323="V02",cad!$D$33,cad!$E$33)))</f>
        <v/>
      </c>
      <c r="K1323" t="str">
        <f>IF($A1323="","",IF($D1323="V01",cad!$C$34,IF($D1323="V02",cad!$D$34,cad!$E$34)))</f>
        <v/>
      </c>
      <c r="L1323" t="str">
        <f>IF($A1323="","",IF($D1323="V01",cad!$C$35,IF($D1323="V02",cad!$D$35,cad!$E$35)))</f>
        <v/>
      </c>
      <c r="M1323" t="str">
        <f>IF($A1323="","",IF($D1323="V01",cad!$C$36,IF($D1323="V02",cad!$D$36,cad!$E$36)))</f>
        <v/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 t="str">
        <f>IF($A1324="","",IF($D1324="V01",cad!$C$23,IF($D1324="V02",cad!$D$23,cad!$E$23)))</f>
        <v/>
      </c>
      <c r="H1324" t="str">
        <f>IF($A1324="","",IF($D1324="V01",cad!$C$24,IF($D1324="V02",cad!$D$24,cad!$E$24)))</f>
        <v/>
      </c>
      <c r="I1324" t="str">
        <f>IF($A1324="","",IF($D1324="V01",cad!$C$32,IF($D1324="V02",cad!$D$32,cad!$E$32)))</f>
        <v/>
      </c>
      <c r="J1324" t="str">
        <f>IF($A1324="","",IF($D1324="V01",cad!$C$33,IF($D1324="V02",cad!$D$33,cad!$E$33)))</f>
        <v/>
      </c>
      <c r="K1324" t="str">
        <f>IF($A1324="","",IF($D1324="V01",cad!$C$34,IF($D1324="V02",cad!$D$34,cad!$E$34)))</f>
        <v/>
      </c>
      <c r="L1324" t="str">
        <f>IF($A1324="","",IF($D1324="V01",cad!$C$35,IF($D1324="V02",cad!$D$35,cad!$E$35)))</f>
        <v/>
      </c>
      <c r="M1324" t="str">
        <f>IF($A1324="","",IF($D1324="V01",cad!$C$36,IF($D1324="V02",cad!$D$36,cad!$E$36)))</f>
        <v/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 t="str">
        <f>IF($A1325="","",IF($D1325="V01",cad!$C$23,IF($D1325="V02",cad!$D$23,cad!$E$23)))</f>
        <v/>
      </c>
      <c r="H1325" t="str">
        <f>IF($A1325="","",IF($D1325="V01",cad!$C$24,IF($D1325="V02",cad!$D$24,cad!$E$24)))</f>
        <v/>
      </c>
      <c r="I1325" t="str">
        <f>IF($A1325="","",IF($D1325="V01",cad!$C$32,IF($D1325="V02",cad!$D$32,cad!$E$32)))</f>
        <v/>
      </c>
      <c r="J1325" t="str">
        <f>IF($A1325="","",IF($D1325="V01",cad!$C$33,IF($D1325="V02",cad!$D$33,cad!$E$33)))</f>
        <v/>
      </c>
      <c r="K1325" t="str">
        <f>IF($A1325="","",IF($D1325="V01",cad!$C$34,IF($D1325="V02",cad!$D$34,cad!$E$34)))</f>
        <v/>
      </c>
      <c r="L1325" t="str">
        <f>IF($A1325="","",IF($D1325="V01",cad!$C$35,IF($D1325="V02",cad!$D$35,cad!$E$35)))</f>
        <v/>
      </c>
      <c r="M1325" t="str">
        <f>IF($A1325="","",IF($D1325="V01",cad!$C$36,IF($D1325="V02",cad!$D$36,cad!$E$36)))</f>
        <v/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 t="str">
        <f>IF($A1326="","",IF($D1326="V01",cad!$C$23,IF($D1326="V02",cad!$D$23,cad!$E$23)))</f>
        <v/>
      </c>
      <c r="H1326" t="str">
        <f>IF($A1326="","",IF($D1326="V01",cad!$C$24,IF($D1326="V02",cad!$D$24,cad!$E$24)))</f>
        <v/>
      </c>
      <c r="I1326" t="str">
        <f>IF($A1326="","",IF($D1326="V01",cad!$C$32,IF($D1326="V02",cad!$D$32,cad!$E$32)))</f>
        <v/>
      </c>
      <c r="J1326" t="str">
        <f>IF($A1326="","",IF($D1326="V01",cad!$C$33,IF($D1326="V02",cad!$D$33,cad!$E$33)))</f>
        <v/>
      </c>
      <c r="K1326" t="str">
        <f>IF($A1326="","",IF($D1326="V01",cad!$C$34,IF($D1326="V02",cad!$D$34,cad!$E$34)))</f>
        <v/>
      </c>
      <c r="L1326" t="str">
        <f>IF($A1326="","",IF($D1326="V01",cad!$C$35,IF($D1326="V02",cad!$D$35,cad!$E$35)))</f>
        <v/>
      </c>
      <c r="M1326" t="str">
        <f>IF($A1326="","",IF($D1326="V01",cad!$C$36,IF($D1326="V02",cad!$D$36,cad!$E$36)))</f>
        <v/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 t="str">
        <f>IF($A1327="","",IF($D1327="V01",cad!$C$23,IF($D1327="V02",cad!$D$23,cad!$E$23)))</f>
        <v/>
      </c>
      <c r="H1327" t="str">
        <f>IF($A1327="","",IF($D1327="V01",cad!$C$24,IF($D1327="V02",cad!$D$24,cad!$E$24)))</f>
        <v/>
      </c>
      <c r="I1327" t="str">
        <f>IF($A1327="","",IF($D1327="V01",cad!$C$32,IF($D1327="V02",cad!$D$32,cad!$E$32)))</f>
        <v/>
      </c>
      <c r="J1327" t="str">
        <f>IF($A1327="","",IF($D1327="V01",cad!$C$33,IF($D1327="V02",cad!$D$33,cad!$E$33)))</f>
        <v/>
      </c>
      <c r="K1327" t="str">
        <f>IF($A1327="","",IF($D1327="V01",cad!$C$34,IF($D1327="V02",cad!$D$34,cad!$E$34)))</f>
        <v/>
      </c>
      <c r="L1327" t="str">
        <f>IF($A1327="","",IF($D1327="V01",cad!$C$35,IF($D1327="V02",cad!$D$35,cad!$E$35)))</f>
        <v/>
      </c>
      <c r="M1327" t="str">
        <f>IF($A1327="","",IF($D1327="V01",cad!$C$36,IF($D1327="V02",cad!$D$36,cad!$E$36)))</f>
        <v/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 t="str">
        <f>IF($A1328="","",IF($D1328="V01",cad!$C$23,IF($D1328="V02",cad!$D$23,cad!$E$23)))</f>
        <v/>
      </c>
      <c r="H1328" t="str">
        <f>IF($A1328="","",IF($D1328="V01",cad!$C$24,IF($D1328="V02",cad!$D$24,cad!$E$24)))</f>
        <v/>
      </c>
      <c r="I1328" t="str">
        <f>IF($A1328="","",IF($D1328="V01",cad!$C$32,IF($D1328="V02",cad!$D$32,cad!$E$32)))</f>
        <v/>
      </c>
      <c r="J1328" t="str">
        <f>IF($A1328="","",IF($D1328="V01",cad!$C$33,IF($D1328="V02",cad!$D$33,cad!$E$33)))</f>
        <v/>
      </c>
      <c r="K1328" t="str">
        <f>IF($A1328="","",IF($D1328="V01",cad!$C$34,IF($D1328="V02",cad!$D$34,cad!$E$34)))</f>
        <v/>
      </c>
      <c r="L1328" t="str">
        <f>IF($A1328="","",IF($D1328="V01",cad!$C$35,IF($D1328="V02",cad!$D$35,cad!$E$35)))</f>
        <v/>
      </c>
      <c r="M1328" t="str">
        <f>IF($A1328="","",IF($D1328="V01",cad!$C$36,IF($D1328="V02",cad!$D$36,cad!$E$36)))</f>
        <v/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 t="str">
        <f>IF($A1329="","",IF($D1329="V01",cad!$C$23,IF($D1329="V02",cad!$D$23,cad!$E$23)))</f>
        <v/>
      </c>
      <c r="H1329" t="str">
        <f>IF($A1329="","",IF($D1329="V01",cad!$C$24,IF($D1329="V02",cad!$D$24,cad!$E$24)))</f>
        <v/>
      </c>
      <c r="I1329" t="str">
        <f>IF($A1329="","",IF($D1329="V01",cad!$C$32,IF($D1329="V02",cad!$D$32,cad!$E$32)))</f>
        <v/>
      </c>
      <c r="J1329" t="str">
        <f>IF($A1329="","",IF($D1329="V01",cad!$C$33,IF($D1329="V02",cad!$D$33,cad!$E$33)))</f>
        <v/>
      </c>
      <c r="K1329" t="str">
        <f>IF($A1329="","",IF($D1329="V01",cad!$C$34,IF($D1329="V02",cad!$D$34,cad!$E$34)))</f>
        <v/>
      </c>
      <c r="L1329" t="str">
        <f>IF($A1329="","",IF($D1329="V01",cad!$C$35,IF($D1329="V02",cad!$D$35,cad!$E$35)))</f>
        <v/>
      </c>
      <c r="M1329" t="str">
        <f>IF($A1329="","",IF($D1329="V01",cad!$C$36,IF($D1329="V02",cad!$D$36,cad!$E$36)))</f>
        <v/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 t="str">
        <f>IF($A1330="","",IF($D1330="V01",cad!$C$23,IF($D1330="V02",cad!$D$23,cad!$E$23)))</f>
        <v/>
      </c>
      <c r="H1330" t="str">
        <f>IF($A1330="","",IF($D1330="V01",cad!$C$24,IF($D1330="V02",cad!$D$24,cad!$E$24)))</f>
        <v/>
      </c>
      <c r="I1330" t="str">
        <f>IF($A1330="","",IF($D1330="V01",cad!$C$32,IF($D1330="V02",cad!$D$32,cad!$E$32)))</f>
        <v/>
      </c>
      <c r="J1330" t="str">
        <f>IF($A1330="","",IF($D1330="V01",cad!$C$33,IF($D1330="V02",cad!$D$33,cad!$E$33)))</f>
        <v/>
      </c>
      <c r="K1330" t="str">
        <f>IF($A1330="","",IF($D1330="V01",cad!$C$34,IF($D1330="V02",cad!$D$34,cad!$E$34)))</f>
        <v/>
      </c>
      <c r="L1330" t="str">
        <f>IF($A1330="","",IF($D1330="V01",cad!$C$35,IF($D1330="V02",cad!$D$35,cad!$E$35)))</f>
        <v/>
      </c>
      <c r="M1330" t="str">
        <f>IF($A1330="","",IF($D1330="V01",cad!$C$36,IF($D1330="V02",cad!$D$36,cad!$E$36)))</f>
        <v/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 t="str">
        <f>IF($A1331="","",IF($D1331="V01",cad!$C$23,IF($D1331="V02",cad!$D$23,cad!$E$23)))</f>
        <v/>
      </c>
      <c r="H1331" t="str">
        <f>IF($A1331="","",IF($D1331="V01",cad!$C$24,IF($D1331="V02",cad!$D$24,cad!$E$24)))</f>
        <v/>
      </c>
      <c r="I1331" t="str">
        <f>IF($A1331="","",IF($D1331="V01",cad!$C$32,IF($D1331="V02",cad!$D$32,cad!$E$32)))</f>
        <v/>
      </c>
      <c r="J1331" t="str">
        <f>IF($A1331="","",IF($D1331="V01",cad!$C$33,IF($D1331="V02",cad!$D$33,cad!$E$33)))</f>
        <v/>
      </c>
      <c r="K1331" t="str">
        <f>IF($A1331="","",IF($D1331="V01",cad!$C$34,IF($D1331="V02",cad!$D$34,cad!$E$34)))</f>
        <v/>
      </c>
      <c r="L1331" t="str">
        <f>IF($A1331="","",IF($D1331="V01",cad!$C$35,IF($D1331="V02",cad!$D$35,cad!$E$35)))</f>
        <v/>
      </c>
      <c r="M1331" t="str">
        <f>IF($A1331="","",IF($D1331="V01",cad!$C$36,IF($D1331="V02",cad!$D$36,cad!$E$36)))</f>
        <v/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 t="str">
        <f>IF($A1332="","",IF($D1332="V01",cad!$C$23,IF($D1332="V02",cad!$D$23,cad!$E$23)))</f>
        <v/>
      </c>
      <c r="H1332" t="str">
        <f>IF($A1332="","",IF($D1332="V01",cad!$C$24,IF($D1332="V02",cad!$D$24,cad!$E$24)))</f>
        <v/>
      </c>
      <c r="I1332" t="str">
        <f>IF($A1332="","",IF($D1332="V01",cad!$C$32,IF($D1332="V02",cad!$D$32,cad!$E$32)))</f>
        <v/>
      </c>
      <c r="J1332" t="str">
        <f>IF($A1332="","",IF($D1332="V01",cad!$C$33,IF($D1332="V02",cad!$D$33,cad!$E$33)))</f>
        <v/>
      </c>
      <c r="K1332" t="str">
        <f>IF($A1332="","",IF($D1332="V01",cad!$C$34,IF($D1332="V02",cad!$D$34,cad!$E$34)))</f>
        <v/>
      </c>
      <c r="L1332" t="str">
        <f>IF($A1332="","",IF($D1332="V01",cad!$C$35,IF($D1332="V02",cad!$D$35,cad!$E$35)))</f>
        <v/>
      </c>
      <c r="M1332" t="str">
        <f>IF($A1332="","",IF($D1332="V01",cad!$C$36,IF($D1332="V02",cad!$D$36,cad!$E$36)))</f>
        <v/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 t="str">
        <f>IF($A1333="","",IF($D1333="V01",cad!$C$23,IF($D1333="V02",cad!$D$23,cad!$E$23)))</f>
        <v/>
      </c>
      <c r="H1333" t="str">
        <f>IF($A1333="","",IF($D1333="V01",cad!$C$24,IF($D1333="V02",cad!$D$24,cad!$E$24)))</f>
        <v/>
      </c>
      <c r="I1333" t="str">
        <f>IF($A1333="","",IF($D1333="V01",cad!$C$32,IF($D1333="V02",cad!$D$32,cad!$E$32)))</f>
        <v/>
      </c>
      <c r="J1333" t="str">
        <f>IF($A1333="","",IF($D1333="V01",cad!$C$33,IF($D1333="V02",cad!$D$33,cad!$E$33)))</f>
        <v/>
      </c>
      <c r="K1333" t="str">
        <f>IF($A1333="","",IF($D1333="V01",cad!$C$34,IF($D1333="V02",cad!$D$34,cad!$E$34)))</f>
        <v/>
      </c>
      <c r="L1333" t="str">
        <f>IF($A1333="","",IF($D1333="V01",cad!$C$35,IF($D1333="V02",cad!$D$35,cad!$E$35)))</f>
        <v/>
      </c>
      <c r="M1333" t="str">
        <f>IF($A1333="","",IF($D1333="V01",cad!$C$36,IF($D1333="V02",cad!$D$36,cad!$E$36)))</f>
        <v/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 t="str">
        <f>IF($A1334="","",IF($D1334="V01",cad!$C$23,IF($D1334="V02",cad!$D$23,cad!$E$23)))</f>
        <v/>
      </c>
      <c r="H1334" t="str">
        <f>IF($A1334="","",IF($D1334="V01",cad!$C$24,IF($D1334="V02",cad!$D$24,cad!$E$24)))</f>
        <v/>
      </c>
      <c r="I1334" t="str">
        <f>IF($A1334="","",IF($D1334="V01",cad!$C$32,IF($D1334="V02",cad!$D$32,cad!$E$32)))</f>
        <v/>
      </c>
      <c r="J1334" t="str">
        <f>IF($A1334="","",IF($D1334="V01",cad!$C$33,IF($D1334="V02",cad!$D$33,cad!$E$33)))</f>
        <v/>
      </c>
      <c r="K1334" t="str">
        <f>IF($A1334="","",IF($D1334="V01",cad!$C$34,IF($D1334="V02",cad!$D$34,cad!$E$34)))</f>
        <v/>
      </c>
      <c r="L1334" t="str">
        <f>IF($A1334="","",IF($D1334="V01",cad!$C$35,IF($D1334="V02",cad!$D$35,cad!$E$35)))</f>
        <v/>
      </c>
      <c r="M1334" t="str">
        <f>IF($A1334="","",IF($D1334="V01",cad!$C$36,IF($D1334="V02",cad!$D$36,cad!$E$36)))</f>
        <v/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 t="str">
        <f>IF($A1335="","",IF($D1335="V01",cad!$C$23,IF($D1335="V02",cad!$D$23,cad!$E$23)))</f>
        <v/>
      </c>
      <c r="H1335" t="str">
        <f>IF($A1335="","",IF($D1335="V01",cad!$C$24,IF($D1335="V02",cad!$D$24,cad!$E$24)))</f>
        <v/>
      </c>
      <c r="I1335" t="str">
        <f>IF($A1335="","",IF($D1335="V01",cad!$C$32,IF($D1335="V02",cad!$D$32,cad!$E$32)))</f>
        <v/>
      </c>
      <c r="J1335" t="str">
        <f>IF($A1335="","",IF($D1335="V01",cad!$C$33,IF($D1335="V02",cad!$D$33,cad!$E$33)))</f>
        <v/>
      </c>
      <c r="K1335" t="str">
        <f>IF($A1335="","",IF($D1335="V01",cad!$C$34,IF($D1335="V02",cad!$D$34,cad!$E$34)))</f>
        <v/>
      </c>
      <c r="L1335" t="str">
        <f>IF($A1335="","",IF($D1335="V01",cad!$C$35,IF($D1335="V02",cad!$D$35,cad!$E$35)))</f>
        <v/>
      </c>
      <c r="M1335" t="str">
        <f>IF($A1335="","",IF($D1335="V01",cad!$C$36,IF($D1335="V02",cad!$D$36,cad!$E$36)))</f>
        <v/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 t="str">
        <f>IF($A1336="","",IF($D1336="V01",cad!$C$23,IF($D1336="V02",cad!$D$23,cad!$E$23)))</f>
        <v/>
      </c>
      <c r="H1336" t="str">
        <f>IF($A1336="","",IF($D1336="V01",cad!$C$24,IF($D1336="V02",cad!$D$24,cad!$E$24)))</f>
        <v/>
      </c>
      <c r="I1336" t="str">
        <f>IF($A1336="","",IF($D1336="V01",cad!$C$32,IF($D1336="V02",cad!$D$32,cad!$E$32)))</f>
        <v/>
      </c>
      <c r="J1336" t="str">
        <f>IF($A1336="","",IF($D1336="V01",cad!$C$33,IF($D1336="V02",cad!$D$33,cad!$E$33)))</f>
        <v/>
      </c>
      <c r="K1336" t="str">
        <f>IF($A1336="","",IF($D1336="V01",cad!$C$34,IF($D1336="V02",cad!$D$34,cad!$E$34)))</f>
        <v/>
      </c>
      <c r="L1336" t="str">
        <f>IF($A1336="","",IF($D1336="V01",cad!$C$35,IF($D1336="V02",cad!$D$35,cad!$E$35)))</f>
        <v/>
      </c>
      <c r="M1336" t="str">
        <f>IF($A1336="","",IF($D1336="V01",cad!$C$36,IF($D1336="V02",cad!$D$36,cad!$E$36)))</f>
        <v/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 t="str">
        <f>IF($A1337="","",IF($D1337="V01",cad!$C$23,IF($D1337="V02",cad!$D$23,cad!$E$23)))</f>
        <v/>
      </c>
      <c r="H1337" t="str">
        <f>IF($A1337="","",IF($D1337="V01",cad!$C$24,IF($D1337="V02",cad!$D$24,cad!$E$24)))</f>
        <v/>
      </c>
      <c r="I1337" t="str">
        <f>IF($A1337="","",IF($D1337="V01",cad!$C$32,IF($D1337="V02",cad!$D$32,cad!$E$32)))</f>
        <v/>
      </c>
      <c r="J1337" t="str">
        <f>IF($A1337="","",IF($D1337="V01",cad!$C$33,IF($D1337="V02",cad!$D$33,cad!$E$33)))</f>
        <v/>
      </c>
      <c r="K1337" t="str">
        <f>IF($A1337="","",IF($D1337="V01",cad!$C$34,IF($D1337="V02",cad!$D$34,cad!$E$34)))</f>
        <v/>
      </c>
      <c r="L1337" t="str">
        <f>IF($A1337="","",IF($D1337="V01",cad!$C$35,IF($D1337="V02",cad!$D$35,cad!$E$35)))</f>
        <v/>
      </c>
      <c r="M1337" t="str">
        <f>IF($A1337="","",IF($D1337="V01",cad!$C$36,IF($D1337="V02",cad!$D$36,cad!$E$36)))</f>
        <v/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 t="str">
        <f>IF($A1338="","",IF($D1338="V01",cad!$C$23,IF($D1338="V02",cad!$D$23,cad!$E$23)))</f>
        <v/>
      </c>
      <c r="H1338" t="str">
        <f>IF($A1338="","",IF($D1338="V01",cad!$C$24,IF($D1338="V02",cad!$D$24,cad!$E$24)))</f>
        <v/>
      </c>
      <c r="I1338" t="str">
        <f>IF($A1338="","",IF($D1338="V01",cad!$C$32,IF($D1338="V02",cad!$D$32,cad!$E$32)))</f>
        <v/>
      </c>
      <c r="J1338" t="str">
        <f>IF($A1338="","",IF($D1338="V01",cad!$C$33,IF($D1338="V02",cad!$D$33,cad!$E$33)))</f>
        <v/>
      </c>
      <c r="K1338" t="str">
        <f>IF($A1338="","",IF($D1338="V01",cad!$C$34,IF($D1338="V02",cad!$D$34,cad!$E$34)))</f>
        <v/>
      </c>
      <c r="L1338" t="str">
        <f>IF($A1338="","",IF($D1338="V01",cad!$C$35,IF($D1338="V02",cad!$D$35,cad!$E$35)))</f>
        <v/>
      </c>
      <c r="M1338" t="str">
        <f>IF($A1338="","",IF($D1338="V01",cad!$C$36,IF($D1338="V02",cad!$D$36,cad!$E$36)))</f>
        <v/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 t="str">
        <f>IF($A1339="","",IF($D1339="V01",cad!$C$23,IF($D1339="V02",cad!$D$23,cad!$E$23)))</f>
        <v/>
      </c>
      <c r="H1339" t="str">
        <f>IF($A1339="","",IF($D1339="V01",cad!$C$24,IF($D1339="V02",cad!$D$24,cad!$E$24)))</f>
        <v/>
      </c>
      <c r="I1339" t="str">
        <f>IF($A1339="","",IF($D1339="V01",cad!$C$32,IF($D1339="V02",cad!$D$32,cad!$E$32)))</f>
        <v/>
      </c>
      <c r="J1339" t="str">
        <f>IF($A1339="","",IF($D1339="V01",cad!$C$33,IF($D1339="V02",cad!$D$33,cad!$E$33)))</f>
        <v/>
      </c>
      <c r="K1339" t="str">
        <f>IF($A1339="","",IF($D1339="V01",cad!$C$34,IF($D1339="V02",cad!$D$34,cad!$E$34)))</f>
        <v/>
      </c>
      <c r="L1339" t="str">
        <f>IF($A1339="","",IF($D1339="V01",cad!$C$35,IF($D1339="V02",cad!$D$35,cad!$E$35)))</f>
        <v/>
      </c>
      <c r="M1339" t="str">
        <f>IF($A1339="","",IF($D1339="V01",cad!$C$36,IF($D1339="V02",cad!$D$36,cad!$E$36)))</f>
        <v/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 t="str">
        <f>IF($A1340="","",IF($D1340="V01",cad!$C$23,IF($D1340="V02",cad!$D$23,cad!$E$23)))</f>
        <v/>
      </c>
      <c r="H1340" t="str">
        <f>IF($A1340="","",IF($D1340="V01",cad!$C$24,IF($D1340="V02",cad!$D$24,cad!$E$24)))</f>
        <v/>
      </c>
      <c r="I1340" t="str">
        <f>IF($A1340="","",IF($D1340="V01",cad!$C$32,IF($D1340="V02",cad!$D$32,cad!$E$32)))</f>
        <v/>
      </c>
      <c r="J1340" t="str">
        <f>IF($A1340="","",IF($D1340="V01",cad!$C$33,IF($D1340="V02",cad!$D$33,cad!$E$33)))</f>
        <v/>
      </c>
      <c r="K1340" t="str">
        <f>IF($A1340="","",IF($D1340="V01",cad!$C$34,IF($D1340="V02",cad!$D$34,cad!$E$34)))</f>
        <v/>
      </c>
      <c r="L1340" t="str">
        <f>IF($A1340="","",IF($D1340="V01",cad!$C$35,IF($D1340="V02",cad!$D$35,cad!$E$35)))</f>
        <v/>
      </c>
      <c r="M1340" t="str">
        <f>IF($A1340="","",IF($D1340="V01",cad!$C$36,IF($D1340="V02",cad!$D$36,cad!$E$36)))</f>
        <v/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 t="str">
        <f>IF($A1341="","",IF($D1341="V01",cad!$C$23,IF($D1341="V02",cad!$D$23,cad!$E$23)))</f>
        <v/>
      </c>
      <c r="H1341" t="str">
        <f>IF($A1341="","",IF($D1341="V01",cad!$C$24,IF($D1341="V02",cad!$D$24,cad!$E$24)))</f>
        <v/>
      </c>
      <c r="I1341" t="str">
        <f>IF($A1341="","",IF($D1341="V01",cad!$C$32,IF($D1341="V02",cad!$D$32,cad!$E$32)))</f>
        <v/>
      </c>
      <c r="J1341" t="str">
        <f>IF($A1341="","",IF($D1341="V01",cad!$C$33,IF($D1341="V02",cad!$D$33,cad!$E$33)))</f>
        <v/>
      </c>
      <c r="K1341" t="str">
        <f>IF($A1341="","",IF($D1341="V01",cad!$C$34,IF($D1341="V02",cad!$D$34,cad!$E$34)))</f>
        <v/>
      </c>
      <c r="L1341" t="str">
        <f>IF($A1341="","",IF($D1341="V01",cad!$C$35,IF($D1341="V02",cad!$D$35,cad!$E$35)))</f>
        <v/>
      </c>
      <c r="M1341" t="str">
        <f>IF($A1341="","",IF($D1341="V01",cad!$C$36,IF($D1341="V02",cad!$D$36,cad!$E$36)))</f>
        <v/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 t="str">
        <f>IF($A1342="","",IF($D1342="V01",cad!$C$23,IF($D1342="V02",cad!$D$23,cad!$E$23)))</f>
        <v/>
      </c>
      <c r="H1342" t="str">
        <f>IF($A1342="","",IF($D1342="V01",cad!$C$24,IF($D1342="V02",cad!$D$24,cad!$E$24)))</f>
        <v/>
      </c>
      <c r="I1342" t="str">
        <f>IF($A1342="","",IF($D1342="V01",cad!$C$32,IF($D1342="V02",cad!$D$32,cad!$E$32)))</f>
        <v/>
      </c>
      <c r="J1342" t="str">
        <f>IF($A1342="","",IF($D1342="V01",cad!$C$33,IF($D1342="V02",cad!$D$33,cad!$E$33)))</f>
        <v/>
      </c>
      <c r="K1342" t="str">
        <f>IF($A1342="","",IF($D1342="V01",cad!$C$34,IF($D1342="V02",cad!$D$34,cad!$E$34)))</f>
        <v/>
      </c>
      <c r="L1342" t="str">
        <f>IF($A1342="","",IF($D1342="V01",cad!$C$35,IF($D1342="V02",cad!$D$35,cad!$E$35)))</f>
        <v/>
      </c>
      <c r="M1342" t="str">
        <f>IF($A1342="","",IF($D1342="V01",cad!$C$36,IF($D1342="V02",cad!$D$36,cad!$E$36)))</f>
        <v/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 t="str">
        <f>IF($A1343="","",IF($D1343="V01",cad!$C$23,IF($D1343="V02",cad!$D$23,cad!$E$23)))</f>
        <v/>
      </c>
      <c r="H1343" t="str">
        <f>IF($A1343="","",IF($D1343="V01",cad!$C$24,IF($D1343="V02",cad!$D$24,cad!$E$24)))</f>
        <v/>
      </c>
      <c r="I1343" t="str">
        <f>IF($A1343="","",IF($D1343="V01",cad!$C$32,IF($D1343="V02",cad!$D$32,cad!$E$32)))</f>
        <v/>
      </c>
      <c r="J1343" t="str">
        <f>IF($A1343="","",IF($D1343="V01",cad!$C$33,IF($D1343="V02",cad!$D$33,cad!$E$33)))</f>
        <v/>
      </c>
      <c r="K1343" t="str">
        <f>IF($A1343="","",IF($D1343="V01",cad!$C$34,IF($D1343="V02",cad!$D$34,cad!$E$34)))</f>
        <v/>
      </c>
      <c r="L1343" t="str">
        <f>IF($A1343="","",IF($D1343="V01",cad!$C$35,IF($D1343="V02",cad!$D$35,cad!$E$35)))</f>
        <v/>
      </c>
      <c r="M1343" t="str">
        <f>IF($A1343="","",IF($D1343="V01",cad!$C$36,IF($D1343="V02",cad!$D$36,cad!$E$36)))</f>
        <v/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 t="str">
        <f>IF($A1344="","",IF($D1344="V01",cad!$C$23,IF($D1344="V02",cad!$D$23,cad!$E$23)))</f>
        <v/>
      </c>
      <c r="H1344" t="str">
        <f>IF($A1344="","",IF($D1344="V01",cad!$C$24,IF($D1344="V02",cad!$D$24,cad!$E$24)))</f>
        <v/>
      </c>
      <c r="I1344" t="str">
        <f>IF($A1344="","",IF($D1344="V01",cad!$C$32,IF($D1344="V02",cad!$D$32,cad!$E$32)))</f>
        <v/>
      </c>
      <c r="J1344" t="str">
        <f>IF($A1344="","",IF($D1344="V01",cad!$C$33,IF($D1344="V02",cad!$D$33,cad!$E$33)))</f>
        <v/>
      </c>
      <c r="K1344" t="str">
        <f>IF($A1344="","",IF($D1344="V01",cad!$C$34,IF($D1344="V02",cad!$D$34,cad!$E$34)))</f>
        <v/>
      </c>
      <c r="L1344" t="str">
        <f>IF($A1344="","",IF($D1344="V01",cad!$C$35,IF($D1344="V02",cad!$D$35,cad!$E$35)))</f>
        <v/>
      </c>
      <c r="M1344" t="str">
        <f>IF($A1344="","",IF($D1344="V01",cad!$C$36,IF($D1344="V02",cad!$D$36,cad!$E$36)))</f>
        <v/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 t="str">
        <f>IF($A1345="","",IF($D1345="V01",cad!$C$23,IF($D1345="V02",cad!$D$23,cad!$E$23)))</f>
        <v/>
      </c>
      <c r="H1345" t="str">
        <f>IF($A1345="","",IF($D1345="V01",cad!$C$24,IF($D1345="V02",cad!$D$24,cad!$E$24)))</f>
        <v/>
      </c>
      <c r="I1345" t="str">
        <f>IF($A1345="","",IF($D1345="V01",cad!$C$32,IF($D1345="V02",cad!$D$32,cad!$E$32)))</f>
        <v/>
      </c>
      <c r="J1345" t="str">
        <f>IF($A1345="","",IF($D1345="V01",cad!$C$33,IF($D1345="V02",cad!$D$33,cad!$E$33)))</f>
        <v/>
      </c>
      <c r="K1345" t="str">
        <f>IF($A1345="","",IF($D1345="V01",cad!$C$34,IF($D1345="V02",cad!$D$34,cad!$E$34)))</f>
        <v/>
      </c>
      <c r="L1345" t="str">
        <f>IF($A1345="","",IF($D1345="V01",cad!$C$35,IF($D1345="V02",cad!$D$35,cad!$E$35)))</f>
        <v/>
      </c>
      <c r="M1345" t="str">
        <f>IF($A1345="","",IF($D1345="V01",cad!$C$36,IF($D1345="V02",cad!$D$36,cad!$E$36)))</f>
        <v/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 t="str">
        <f>IF($A1346="","",IF($D1346="V01",cad!$C$23,IF($D1346="V02",cad!$D$23,cad!$E$23)))</f>
        <v/>
      </c>
      <c r="H1346" t="str">
        <f>IF($A1346="","",IF($D1346="V01",cad!$C$24,IF($D1346="V02",cad!$D$24,cad!$E$24)))</f>
        <v/>
      </c>
      <c r="I1346" t="str">
        <f>IF($A1346="","",IF($D1346="V01",cad!$C$32,IF($D1346="V02",cad!$D$32,cad!$E$32)))</f>
        <v/>
      </c>
      <c r="J1346" t="str">
        <f>IF($A1346="","",IF($D1346="V01",cad!$C$33,IF($D1346="V02",cad!$D$33,cad!$E$33)))</f>
        <v/>
      </c>
      <c r="K1346" t="str">
        <f>IF($A1346="","",IF($D1346="V01",cad!$C$34,IF($D1346="V02",cad!$D$34,cad!$E$34)))</f>
        <v/>
      </c>
      <c r="L1346" t="str">
        <f>IF($A1346="","",IF($D1346="V01",cad!$C$35,IF($D1346="V02",cad!$D$35,cad!$E$35)))</f>
        <v/>
      </c>
      <c r="M1346" t="str">
        <f>IF($A1346="","",IF($D1346="V01",cad!$C$36,IF($D1346="V02",cad!$D$36,cad!$E$36)))</f>
        <v/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 t="str">
        <f>IF($A1347="","",IF($D1347="V01",cad!$C$23,IF($D1347="V02",cad!$D$23,cad!$E$23)))</f>
        <v/>
      </c>
      <c r="H1347" t="str">
        <f>IF($A1347="","",IF($D1347="V01",cad!$C$24,IF($D1347="V02",cad!$D$24,cad!$E$24)))</f>
        <v/>
      </c>
      <c r="I1347" t="str">
        <f>IF($A1347="","",IF($D1347="V01",cad!$C$32,IF($D1347="V02",cad!$D$32,cad!$E$32)))</f>
        <v/>
      </c>
      <c r="J1347" t="str">
        <f>IF($A1347="","",IF($D1347="V01",cad!$C$33,IF($D1347="V02",cad!$D$33,cad!$E$33)))</f>
        <v/>
      </c>
      <c r="K1347" t="str">
        <f>IF($A1347="","",IF($D1347="V01",cad!$C$34,IF($D1347="V02",cad!$D$34,cad!$E$34)))</f>
        <v/>
      </c>
      <c r="L1347" t="str">
        <f>IF($A1347="","",IF($D1347="V01",cad!$C$35,IF($D1347="V02",cad!$D$35,cad!$E$35)))</f>
        <v/>
      </c>
      <c r="M1347" t="str">
        <f>IF($A1347="","",IF($D1347="V01",cad!$C$36,IF($D1347="V02",cad!$D$36,cad!$E$36)))</f>
        <v/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>
      <selection activeCell="A2" sqref="A2"/>
    </sheetView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IF($A2="","",SUMIFS(Socle!$K$1:$K$175,Socle!$C$1:$C$175,$B2,Socle!$D$1:$D$175,$D2,Socle!$E$1:$E$175,$E2,Socle!$F$1:$F$175,$F2,Socle!$G$1:$G$175,$A2))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f>IF($A2="","",IF(ALLOC!$N$4="VOL_EFF",$G2,IF(ALLOC!$N$4="VOL_CLASS",$H2,$I2)))</f>
        <v>1000</v>
      </c>
      <c r="AD2">
        <f>IF($A2="","",IF(ALLOC!$N$4="VOL_EFF",$L2,IF(ALLOC!$N$4="VOL_CLASS",$M2,$N2)))</f>
        <v>1000</v>
      </c>
      <c r="AE2">
        <f>IF($A2="","",IF(ALLOC!$N$3="VOL_EFF",$L2,IF(ALLOC!$N$3="VOL_CLASS",$M2,$N2)))</f>
        <v>1000</v>
      </c>
      <c r="AF2">
        <f>IF($A2="","",IF(ALLOC!$N$3="VOL_EFF",$Q2,IF(ALLOC!$N$3="VOL_CLASS",$R2,$S2)))</f>
        <v>1000</v>
      </c>
      <c r="AG2">
        <f>IF($A2="","",IF(ALLOC!$N$1="VOL_EFF",$Q2,IF(ALLOC!$N$1="VOL_CLASS",$R2,$S2)))</f>
        <v>1000</v>
      </c>
      <c r="AH2">
        <f>IF($A2="","",IF(ALLOC!$N$1="VOL_EFF",$T2,IF(ALLOC!$N$1="VOL_CLASS",$U2,$V2)))</f>
        <v>1000</v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f>IF($A2="","",IF(ALLOC!$N$2="VOL_EFF",$Q2,IF(ALLOC!$N$2="VOL_CLASS",$R2,$S2)))</f>
        <v>1000</v>
      </c>
      <c r="AQ2">
        <f>IF($A2="","",IF(ALLOC!$N$2="VOL_EFF",$T2,IF(ALLOC!$N$2="VOL_CLASS",$U2,$V2)))</f>
        <v>1000</v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IF($A3="","",SUMIFS(Socle!$K$1:$K$175,Socle!$C$1:$C$175,$B3,Socle!$D$1:$D$175,$D3,Socle!$E$1:$E$175,$E3,Socle!$F$1:$F$175,$F3,Socle!$G$1:$G$175,$A3))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 t="str">
        <f>IF($A3="","",IF(ALLOC!$N$4="VOL_EFF",$G3,IF(ALLOC!$N$4="VOL_CLASS",$H3,$I3)))</f>
        <v/>
      </c>
      <c r="AD3" t="str">
        <f>IF($A3="","",IF(ALLOC!$N$4="VOL_EFF",$L3,IF(ALLOC!$N$4="VOL_CLASS",$M3,$N3)))</f>
        <v/>
      </c>
      <c r="AE3" t="str">
        <f>IF($A3="","",IF(ALLOC!$N$3="VOL_EFF",$L3,IF(ALLOC!$N$3="VOL_CLASS",$M3,$N3)))</f>
        <v/>
      </c>
      <c r="AF3" t="str">
        <f>IF($A3="","",IF(ALLOC!$N$3="VOL_EFF",$Q3,IF(ALLOC!$N$3="VOL_CLASS",$R3,$S3)))</f>
        <v/>
      </c>
      <c r="AG3" t="str">
        <f>IF($A3="","",IF(ALLOC!$N$1="VOL_EFF",$Q3,IF(ALLOC!$N$1="VOL_CLASS",$R3,$S3)))</f>
        <v/>
      </c>
      <c r="AH3" t="str">
        <f>IF($A3="","",IF(ALLOC!$N$1="VOL_EFF",$T3,IF(ALLOC!$N$1="VOL_CLASS",$U3,$V3)))</f>
        <v/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IF($A3="","",SUMIFS(Compta!$F$1:$F$675,Compta!$A$1:$A$675,"GRP",Compta!$B$1:$B$675,"6236",Compta!$C$1:$C$675,$A3))</f>
        <v/>
      </c>
      <c r="AP3" t="str">
        <f>IF($A3="","",IF(ALLOC!$N$2="VOL_EFF",$Q3,IF(ALLOC!$N$2="VOL_CLASS",$R3,$S3)))</f>
        <v/>
      </c>
      <c r="AQ3" t="str">
        <f>IF($A3="","",IF(ALLOC!$N$2="VOL_EFF",$T3,IF(ALLOC!$N$2="VOL_CLASS",$U3,$V3)))</f>
        <v/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IF($A4="","",SUMIFS(Socle!$K$1:$K$175,Socle!$C$1:$C$175,$B4,Socle!$D$1:$D$175,$D4,Socle!$E$1:$E$175,$E4,Socle!$F$1:$F$175,$F4,Socle!$G$1:$G$175,$A4))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 t="str">
        <f>IF($A4="","",IF(ALLOC!$N$4="VOL_EFF",$G4,IF(ALLOC!$N$4="VOL_CLASS",$H4,$I4)))</f>
        <v/>
      </c>
      <c r="AD4" t="str">
        <f>IF($A4="","",IF(ALLOC!$N$4="VOL_EFF",$L4,IF(ALLOC!$N$4="VOL_CLASS",$M4,$N4)))</f>
        <v/>
      </c>
      <c r="AE4" t="str">
        <f>IF($A4="","",IF(ALLOC!$N$3="VOL_EFF",$L4,IF(ALLOC!$N$3="VOL_CLASS",$M4,$N4)))</f>
        <v/>
      </c>
      <c r="AF4" t="str">
        <f>IF($A4="","",IF(ALLOC!$N$3="VOL_EFF",$Q4,IF(ALLOC!$N$3="VOL_CLASS",$R4,$S4)))</f>
        <v/>
      </c>
      <c r="AG4" t="str">
        <f>IF($A4="","",IF(ALLOC!$N$1="VOL_EFF",$Q4,IF(ALLOC!$N$1="VOL_CLASS",$R4,$S4)))</f>
        <v/>
      </c>
      <c r="AH4" t="str">
        <f>IF($A4="","",IF(ALLOC!$N$1="VOL_EFF",$T4,IF(ALLOC!$N$1="VOL_CLASS",$U4,$V4)))</f>
        <v/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IF($A4="","",SUMIFS(Compta!$F$1:$F$675,Compta!$A$1:$A$675,"GRP",Compta!$B$1:$B$675,"6236",Compta!$C$1:$C$675,$A4))</f>
        <v/>
      </c>
      <c r="AP4" t="str">
        <f>IF($A4="","",IF(ALLOC!$N$2="VOL_EFF",$Q4,IF(ALLOC!$N$2="VOL_CLASS",$R4,$S4)))</f>
        <v/>
      </c>
      <c r="AQ4" t="str">
        <f>IF($A4="","",IF(ALLOC!$N$2="VOL_EFF",$T4,IF(ALLOC!$N$2="VOL_CLASS",$U4,$V4)))</f>
        <v/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IF($A5="","",SUMIFS(Socle!$K$1:$K$175,Socle!$C$1:$C$175,$B5,Socle!$D$1:$D$175,$D5,Socle!$E$1:$E$175,$E5,Socle!$F$1:$F$175,$F5,Socle!$G$1:$G$175,$A5))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 t="str">
        <f>IF($A5="","",IF(ALLOC!$N$4="VOL_EFF",$G5,IF(ALLOC!$N$4="VOL_CLASS",$H5,$I5)))</f>
        <v/>
      </c>
      <c r="AD5" t="str">
        <f>IF($A5="","",IF(ALLOC!$N$4="VOL_EFF",$L5,IF(ALLOC!$N$4="VOL_CLASS",$M5,$N5)))</f>
        <v/>
      </c>
      <c r="AE5" t="str">
        <f>IF($A5="","",IF(ALLOC!$N$3="VOL_EFF",$L5,IF(ALLOC!$N$3="VOL_CLASS",$M5,$N5)))</f>
        <v/>
      </c>
      <c r="AF5" t="str">
        <f>IF($A5="","",IF(ALLOC!$N$3="VOL_EFF",$Q5,IF(ALLOC!$N$3="VOL_CLASS",$R5,$S5)))</f>
        <v/>
      </c>
      <c r="AG5" t="str">
        <f>IF($A5="","",IF(ALLOC!$N$1="VOL_EFF",$Q5,IF(ALLOC!$N$1="VOL_CLASS",$R5,$S5)))</f>
        <v/>
      </c>
      <c r="AH5" t="str">
        <f>IF($A5="","",IF(ALLOC!$N$1="VOL_EFF",$T5,IF(ALLOC!$N$1="VOL_CLASS",$U5,$V5)))</f>
        <v/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IF($A5="","",SUMIFS(Compta!$F$1:$F$675,Compta!$A$1:$A$675,"GRP",Compta!$B$1:$B$675,"6236",Compta!$C$1:$C$675,$A5))</f>
        <v/>
      </c>
      <c r="AP5" t="str">
        <f>IF($A5="","",IF(ALLOC!$N$2="VOL_EFF",$Q5,IF(ALLOC!$N$2="VOL_CLASS",$R5,$S5)))</f>
        <v/>
      </c>
      <c r="AQ5" t="str">
        <f>IF($A5="","",IF(ALLOC!$N$2="VOL_EFF",$T5,IF(ALLOC!$N$2="VOL_CLASS",$U5,$V5)))</f>
        <v/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IF($A6="","",SUMIFS(Socle!$K$1:$K$175,Socle!$C$1:$C$175,$B6,Socle!$D$1:$D$175,$D6,Socle!$E$1:$E$175,$E6,Socle!$F$1:$F$175,$F6,Socle!$G$1:$G$175,$A6))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 t="str">
        <f>IF($A6="","",IF(ALLOC!$N$4="VOL_EFF",$G6,IF(ALLOC!$N$4="VOL_CLASS",$H6,$I6)))</f>
        <v/>
      </c>
      <c r="AD6" t="str">
        <f>IF($A6="","",IF(ALLOC!$N$4="VOL_EFF",$L6,IF(ALLOC!$N$4="VOL_CLASS",$M6,$N6)))</f>
        <v/>
      </c>
      <c r="AE6" t="str">
        <f>IF($A6="","",IF(ALLOC!$N$3="VOL_EFF",$L6,IF(ALLOC!$N$3="VOL_CLASS",$M6,$N6)))</f>
        <v/>
      </c>
      <c r="AF6" t="str">
        <f>IF($A6="","",IF(ALLOC!$N$3="VOL_EFF",$Q6,IF(ALLOC!$N$3="VOL_CLASS",$R6,$S6)))</f>
        <v/>
      </c>
      <c r="AG6" t="str">
        <f>IF($A6="","",IF(ALLOC!$N$1="VOL_EFF",$Q6,IF(ALLOC!$N$1="VOL_CLASS",$R6,$S6)))</f>
        <v/>
      </c>
      <c r="AH6" t="str">
        <f>IF($A6="","",IF(ALLOC!$N$1="VOL_EFF",$T6,IF(ALLOC!$N$1="VOL_CLASS",$U6,$V6)))</f>
        <v/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IF($A6="","",SUMIFS(Compta!$F$1:$F$675,Compta!$A$1:$A$675,"GRP",Compta!$B$1:$B$675,"6236",Compta!$C$1:$C$675,$A6))</f>
        <v/>
      </c>
      <c r="AP6" t="str">
        <f>IF($A6="","",IF(ALLOC!$N$2="VOL_EFF",$Q6,IF(ALLOC!$N$2="VOL_CLASS",$R6,$S6)))</f>
        <v/>
      </c>
      <c r="AQ6" t="str">
        <f>IF($A6="","",IF(ALLOC!$N$2="VOL_EFF",$T6,IF(ALLOC!$N$2="VOL_CLASS",$U6,$V6)))</f>
        <v/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IF($A7="","",SUMIFS(Socle!$K$1:$K$175,Socle!$C$1:$C$175,$B7,Socle!$D$1:$D$175,$D7,Socle!$E$1:$E$175,$E7,Socle!$F$1:$F$175,$F7,Socle!$G$1:$G$175,$A7))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 t="str">
        <f>IF($A7="","",IF(ALLOC!$N$4="VOL_EFF",$G7,IF(ALLOC!$N$4="VOL_CLASS",$H7,$I7)))</f>
        <v/>
      </c>
      <c r="AD7" t="str">
        <f>IF($A7="","",IF(ALLOC!$N$4="VOL_EFF",$L7,IF(ALLOC!$N$4="VOL_CLASS",$M7,$N7)))</f>
        <v/>
      </c>
      <c r="AE7" t="str">
        <f>IF($A7="","",IF(ALLOC!$N$3="VOL_EFF",$L7,IF(ALLOC!$N$3="VOL_CLASS",$M7,$N7)))</f>
        <v/>
      </c>
      <c r="AF7" t="str">
        <f>IF($A7="","",IF(ALLOC!$N$3="VOL_EFF",$Q7,IF(ALLOC!$N$3="VOL_CLASS",$R7,$S7)))</f>
        <v/>
      </c>
      <c r="AG7" t="str">
        <f>IF($A7="","",IF(ALLOC!$N$1="VOL_EFF",$Q7,IF(ALLOC!$N$1="VOL_CLASS",$R7,$S7)))</f>
        <v/>
      </c>
      <c r="AH7" t="str">
        <f>IF($A7="","",IF(ALLOC!$N$1="VOL_EFF",$T7,IF(ALLOC!$N$1="VOL_CLASS",$U7,$V7)))</f>
        <v/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IF($A7="","",SUMIFS(Compta!$F$1:$F$675,Compta!$A$1:$A$675,"GRP",Compta!$B$1:$B$675,"6236",Compta!$C$1:$C$675,$A7))</f>
        <v/>
      </c>
      <c r="AP7" t="str">
        <f>IF($A7="","",IF(ALLOC!$N$2="VOL_EFF",$Q7,IF(ALLOC!$N$2="VOL_CLASS",$R7,$S7)))</f>
        <v/>
      </c>
      <c r="AQ7" t="str">
        <f>IF($A7="","",IF(ALLOC!$N$2="VOL_EFF",$T7,IF(ALLOC!$N$2="VOL_CLASS",$U7,$V7)))</f>
        <v/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IF($A8="","",SUMIFS(Socle!$K$1:$K$175,Socle!$C$1:$C$175,$B8,Socle!$D$1:$D$175,$D8,Socle!$E$1:$E$175,$E8,Socle!$F$1:$F$175,$F8,Socle!$G$1:$G$175,$A8))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 t="str">
        <f>IF($A8="","",IF(ALLOC!$N$4="VOL_EFF",$G8,IF(ALLOC!$N$4="VOL_CLASS",$H8,$I8)))</f>
        <v/>
      </c>
      <c r="AD8" t="str">
        <f>IF($A8="","",IF(ALLOC!$N$4="VOL_EFF",$L8,IF(ALLOC!$N$4="VOL_CLASS",$M8,$N8)))</f>
        <v/>
      </c>
      <c r="AE8" t="str">
        <f>IF($A8="","",IF(ALLOC!$N$3="VOL_EFF",$L8,IF(ALLOC!$N$3="VOL_CLASS",$M8,$N8)))</f>
        <v/>
      </c>
      <c r="AF8" t="str">
        <f>IF($A8="","",IF(ALLOC!$N$3="VOL_EFF",$Q8,IF(ALLOC!$N$3="VOL_CLASS",$R8,$S8)))</f>
        <v/>
      </c>
      <c r="AG8" t="str">
        <f>IF($A8="","",IF(ALLOC!$N$1="VOL_EFF",$Q8,IF(ALLOC!$N$1="VOL_CLASS",$R8,$S8)))</f>
        <v/>
      </c>
      <c r="AH8" t="str">
        <f>IF($A8="","",IF(ALLOC!$N$1="VOL_EFF",$T8,IF(ALLOC!$N$1="VOL_CLASS",$U8,$V8)))</f>
        <v/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IF($A8="","",SUMIFS(Compta!$F$1:$F$675,Compta!$A$1:$A$675,"GRP",Compta!$B$1:$B$675,"6236",Compta!$C$1:$C$675,$A8))</f>
        <v/>
      </c>
      <c r="AP8" t="str">
        <f>IF($A8="","",IF(ALLOC!$N$2="VOL_EFF",$Q8,IF(ALLOC!$N$2="VOL_CLASS",$R8,$S8)))</f>
        <v/>
      </c>
      <c r="AQ8" t="str">
        <f>IF($A8="","",IF(ALLOC!$N$2="VOL_EFF",$T8,IF(ALLOC!$N$2="VOL_CLASS",$U8,$V8)))</f>
        <v/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IF($A9="","",SUMIFS(Socle!$K$1:$K$175,Socle!$C$1:$C$175,$B9,Socle!$D$1:$D$175,$D9,Socle!$E$1:$E$175,$E9,Socle!$F$1:$F$175,$F9,Socle!$G$1:$G$175,$A9))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 t="str">
        <f>IF($A9="","",IF(ALLOC!$N$4="VOL_EFF",$G9,IF(ALLOC!$N$4="VOL_CLASS",$H9,$I9)))</f>
        <v/>
      </c>
      <c r="AD9" t="str">
        <f>IF($A9="","",IF(ALLOC!$N$4="VOL_EFF",$L9,IF(ALLOC!$N$4="VOL_CLASS",$M9,$N9)))</f>
        <v/>
      </c>
      <c r="AE9" t="str">
        <f>IF($A9="","",IF(ALLOC!$N$3="VOL_EFF",$L9,IF(ALLOC!$N$3="VOL_CLASS",$M9,$N9)))</f>
        <v/>
      </c>
      <c r="AF9" t="str">
        <f>IF($A9="","",IF(ALLOC!$N$3="VOL_EFF",$Q9,IF(ALLOC!$N$3="VOL_CLASS",$R9,$S9)))</f>
        <v/>
      </c>
      <c r="AG9" t="str">
        <f>IF($A9="","",IF(ALLOC!$N$1="VOL_EFF",$Q9,IF(ALLOC!$N$1="VOL_CLASS",$R9,$S9)))</f>
        <v/>
      </c>
      <c r="AH9" t="str">
        <f>IF($A9="","",IF(ALLOC!$N$1="VOL_EFF",$T9,IF(ALLOC!$N$1="VOL_CLASS",$U9,$V9)))</f>
        <v/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IF($A9="","",SUMIFS(Compta!$F$1:$F$675,Compta!$A$1:$A$675,"GRP",Compta!$B$1:$B$675,"6236",Compta!$C$1:$C$675,$A9))</f>
        <v/>
      </c>
      <c r="AP9" t="str">
        <f>IF($A9="","",IF(ALLOC!$N$2="VOL_EFF",$Q9,IF(ALLOC!$N$2="VOL_CLASS",$R9,$S9)))</f>
        <v/>
      </c>
      <c r="AQ9" t="str">
        <f>IF($A9="","",IF(ALLOC!$N$2="VOL_EFF",$T9,IF(ALLOC!$N$2="VOL_CLASS",$U9,$V9)))</f>
        <v/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IF($A10="","",SUMIFS(Socle!$K$1:$K$175,Socle!$C$1:$C$175,$B10,Socle!$D$1:$D$175,$D10,Socle!$E$1:$E$175,$E10,Socle!$F$1:$F$175,$F10,Socle!$G$1:$G$175,$A10))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 t="str">
        <f>IF($A10="","",IF(ALLOC!$N$4="VOL_EFF",$G10,IF(ALLOC!$N$4="VOL_CLASS",$H10,$I10)))</f>
        <v/>
      </c>
      <c r="AD10" t="str">
        <f>IF($A10="","",IF(ALLOC!$N$4="VOL_EFF",$L10,IF(ALLOC!$N$4="VOL_CLASS",$M10,$N10)))</f>
        <v/>
      </c>
      <c r="AE10" t="str">
        <f>IF($A10="","",IF(ALLOC!$N$3="VOL_EFF",$L10,IF(ALLOC!$N$3="VOL_CLASS",$M10,$N10)))</f>
        <v/>
      </c>
      <c r="AF10" t="str">
        <f>IF($A10="","",IF(ALLOC!$N$3="VOL_EFF",$Q10,IF(ALLOC!$N$3="VOL_CLASS",$R10,$S10)))</f>
        <v/>
      </c>
      <c r="AG10" t="str">
        <f>IF($A10="","",IF(ALLOC!$N$1="VOL_EFF",$Q10,IF(ALLOC!$N$1="VOL_CLASS",$R10,$S10)))</f>
        <v/>
      </c>
      <c r="AH10" t="str">
        <f>IF($A10="","",IF(ALLOC!$N$1="VOL_EFF",$T10,IF(ALLOC!$N$1="VOL_CLASS",$U10,$V10)))</f>
        <v/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IF($A10="","",SUMIFS(Compta!$F$1:$F$675,Compta!$A$1:$A$675,"GRP",Compta!$B$1:$B$675,"6236",Compta!$C$1:$C$675,$A10))</f>
        <v/>
      </c>
      <c r="AP10" t="str">
        <f>IF($A10="","",IF(ALLOC!$N$2="VOL_EFF",$Q10,IF(ALLOC!$N$2="VOL_CLASS",$R10,$S10)))</f>
        <v/>
      </c>
      <c r="AQ10" t="str">
        <f>IF($A10="","",IF(ALLOC!$N$2="VOL_EFF",$T10,IF(ALLOC!$N$2="VOL_CLASS",$U10,$V10)))</f>
        <v/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IF($A11="","",SUMIFS(Socle!$K$1:$K$175,Socle!$C$1:$C$175,$B11,Socle!$D$1:$D$175,$D11,Socle!$E$1:$E$175,$E11,Socle!$F$1:$F$175,$F11,Socle!$G$1:$G$175,$A11))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 t="str">
        <f>IF($A11="","",IF(ALLOC!$N$4="VOL_EFF",$G11,IF(ALLOC!$N$4="VOL_CLASS",$H11,$I11)))</f>
        <v/>
      </c>
      <c r="AD11" t="str">
        <f>IF($A11="","",IF(ALLOC!$N$4="VOL_EFF",$L11,IF(ALLOC!$N$4="VOL_CLASS",$M11,$N11)))</f>
        <v/>
      </c>
      <c r="AE11" t="str">
        <f>IF($A11="","",IF(ALLOC!$N$3="VOL_EFF",$L11,IF(ALLOC!$N$3="VOL_CLASS",$M11,$N11)))</f>
        <v/>
      </c>
      <c r="AF11" t="str">
        <f>IF($A11="","",IF(ALLOC!$N$3="VOL_EFF",$Q11,IF(ALLOC!$N$3="VOL_CLASS",$R11,$S11)))</f>
        <v/>
      </c>
      <c r="AG11" t="str">
        <f>IF($A11="","",IF(ALLOC!$N$1="VOL_EFF",$Q11,IF(ALLOC!$N$1="VOL_CLASS",$R11,$S11)))</f>
        <v/>
      </c>
      <c r="AH11" t="str">
        <f>IF($A11="","",IF(ALLOC!$N$1="VOL_EFF",$T11,IF(ALLOC!$N$1="VOL_CLASS",$U11,$V11)))</f>
        <v/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IF($A11="","",SUMIFS(Compta!$F$1:$F$675,Compta!$A$1:$A$675,"GRP",Compta!$B$1:$B$675,"6236",Compta!$C$1:$C$675,$A11))</f>
        <v/>
      </c>
      <c r="AP11" t="str">
        <f>IF($A11="","",IF(ALLOC!$N$2="VOL_EFF",$Q11,IF(ALLOC!$N$2="VOL_CLASS",$R11,$S11)))</f>
        <v/>
      </c>
      <c r="AQ11" t="str">
        <f>IF($A11="","",IF(ALLOC!$N$2="VOL_EFF",$T11,IF(ALLOC!$N$2="VOL_CLASS",$U11,$V11)))</f>
        <v/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IF($A12="","",SUMIFS(Socle!$K$1:$K$175,Socle!$C$1:$C$175,$B12,Socle!$D$1:$D$175,$D12,Socle!$E$1:$E$175,$E12,Socle!$F$1:$F$175,$F12,Socle!$G$1:$G$175,$A12))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 t="str">
        <f>IF($A12="","",IF(ALLOC!$N$4="VOL_EFF",$G12,IF(ALLOC!$N$4="VOL_CLASS",$H12,$I12)))</f>
        <v/>
      </c>
      <c r="AD12" t="str">
        <f>IF($A12="","",IF(ALLOC!$N$4="VOL_EFF",$L12,IF(ALLOC!$N$4="VOL_CLASS",$M12,$N12)))</f>
        <v/>
      </c>
      <c r="AE12" t="str">
        <f>IF($A12="","",IF(ALLOC!$N$3="VOL_EFF",$L12,IF(ALLOC!$N$3="VOL_CLASS",$M12,$N12)))</f>
        <v/>
      </c>
      <c r="AF12" t="str">
        <f>IF($A12="","",IF(ALLOC!$N$3="VOL_EFF",$Q12,IF(ALLOC!$N$3="VOL_CLASS",$R12,$S12)))</f>
        <v/>
      </c>
      <c r="AG12" t="str">
        <f>IF($A12="","",IF(ALLOC!$N$1="VOL_EFF",$Q12,IF(ALLOC!$N$1="VOL_CLASS",$R12,$S12)))</f>
        <v/>
      </c>
      <c r="AH12" t="str">
        <f>IF($A12="","",IF(ALLOC!$N$1="VOL_EFF",$T12,IF(ALLOC!$N$1="VOL_CLASS",$U12,$V12)))</f>
        <v/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IF($A12="","",SUMIFS(Compta!$F$1:$F$675,Compta!$A$1:$A$675,"GRP",Compta!$B$1:$B$675,"6236",Compta!$C$1:$C$675,$A12))</f>
        <v/>
      </c>
      <c r="AP12" t="str">
        <f>IF($A12="","",IF(ALLOC!$N$2="VOL_EFF",$Q12,IF(ALLOC!$N$2="VOL_CLASS",$R12,$S12)))</f>
        <v/>
      </c>
      <c r="AQ12" t="str">
        <f>IF($A12="","",IF(ALLOC!$N$2="VOL_EFF",$T12,IF(ALLOC!$N$2="VOL_CLASS",$U12,$V12)))</f>
        <v/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IF($A13="","",SUMIFS(Socle!$K$1:$K$175,Socle!$C$1:$C$175,$B13,Socle!$D$1:$D$175,$D13,Socle!$E$1:$E$175,$E13,Socle!$F$1:$F$175,$F13,Socle!$G$1:$G$175,$A13))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 t="str">
        <f>IF($A13="","",IF(ALLOC!$N$4="VOL_EFF",$G13,IF(ALLOC!$N$4="VOL_CLASS",$H13,$I13)))</f>
        <v/>
      </c>
      <c r="AD13" t="str">
        <f>IF($A13="","",IF(ALLOC!$N$4="VOL_EFF",$L13,IF(ALLOC!$N$4="VOL_CLASS",$M13,$N13)))</f>
        <v/>
      </c>
      <c r="AE13" t="str">
        <f>IF($A13="","",IF(ALLOC!$N$3="VOL_EFF",$L13,IF(ALLOC!$N$3="VOL_CLASS",$M13,$N13)))</f>
        <v/>
      </c>
      <c r="AF13" t="str">
        <f>IF($A13="","",IF(ALLOC!$N$3="VOL_EFF",$Q13,IF(ALLOC!$N$3="VOL_CLASS",$R13,$S13)))</f>
        <v/>
      </c>
      <c r="AG13" t="str">
        <f>IF($A13="","",IF(ALLOC!$N$1="VOL_EFF",$Q13,IF(ALLOC!$N$1="VOL_CLASS",$R13,$S13)))</f>
        <v/>
      </c>
      <c r="AH13" t="str">
        <f>IF($A13="","",IF(ALLOC!$N$1="VOL_EFF",$T13,IF(ALLOC!$N$1="VOL_CLASS",$U13,$V13)))</f>
        <v/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IF($A13="","",SUMIFS(Compta!$F$1:$F$675,Compta!$A$1:$A$675,"GRP",Compta!$B$1:$B$675,"6236",Compta!$C$1:$C$675,$A13))</f>
        <v/>
      </c>
      <c r="AP13" t="str">
        <f>IF($A13="","",IF(ALLOC!$N$2="VOL_EFF",$Q13,IF(ALLOC!$N$2="VOL_CLASS",$R13,$S13)))</f>
        <v/>
      </c>
      <c r="AQ13" t="str">
        <f>IF($A13="","",IF(ALLOC!$N$2="VOL_EFF",$T13,IF(ALLOC!$N$2="VOL_CLASS",$U13,$V13)))</f>
        <v/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IF($A14="","",SUMIFS(Socle!$K$1:$K$175,Socle!$C$1:$C$175,$B14,Socle!$D$1:$D$175,$D14,Socle!$E$1:$E$175,$E14,Socle!$F$1:$F$175,$F14,Socle!$G$1:$G$175,$A14))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 t="str">
        <f>IF($A14="","",IF(ALLOC!$N$4="VOL_EFF",$G14,IF(ALLOC!$N$4="VOL_CLASS",$H14,$I14)))</f>
        <v/>
      </c>
      <c r="AD14" t="str">
        <f>IF($A14="","",IF(ALLOC!$N$4="VOL_EFF",$L14,IF(ALLOC!$N$4="VOL_CLASS",$M14,$N14)))</f>
        <v/>
      </c>
      <c r="AE14" t="str">
        <f>IF($A14="","",IF(ALLOC!$N$3="VOL_EFF",$L14,IF(ALLOC!$N$3="VOL_CLASS",$M14,$N14)))</f>
        <v/>
      </c>
      <c r="AF14" t="str">
        <f>IF($A14="","",IF(ALLOC!$N$3="VOL_EFF",$Q14,IF(ALLOC!$N$3="VOL_CLASS",$R14,$S14)))</f>
        <v/>
      </c>
      <c r="AG14" t="str">
        <f>IF($A14="","",IF(ALLOC!$N$1="VOL_EFF",$Q14,IF(ALLOC!$N$1="VOL_CLASS",$R14,$S14)))</f>
        <v/>
      </c>
      <c r="AH14" t="str">
        <f>IF($A14="","",IF(ALLOC!$N$1="VOL_EFF",$T14,IF(ALLOC!$N$1="VOL_CLASS",$U14,$V14)))</f>
        <v/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IF($A14="","",SUMIFS(Compta!$F$1:$F$675,Compta!$A$1:$A$675,"GRP",Compta!$B$1:$B$675,"6236",Compta!$C$1:$C$675,$A14))</f>
        <v/>
      </c>
      <c r="AP14" t="str">
        <f>IF($A14="","",IF(ALLOC!$N$2="VOL_EFF",$Q14,IF(ALLOC!$N$2="VOL_CLASS",$R14,$S14)))</f>
        <v/>
      </c>
      <c r="AQ14" t="str">
        <f>IF($A14="","",IF(ALLOC!$N$2="VOL_EFF",$T14,IF(ALLOC!$N$2="VOL_CLASS",$U14,$V14)))</f>
        <v/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IF($A15="","",SUMIFS(Socle!$K$1:$K$175,Socle!$C$1:$C$175,$B15,Socle!$D$1:$D$175,$D15,Socle!$E$1:$E$175,$E15,Socle!$F$1:$F$175,$F15,Socle!$G$1:$G$175,$A15))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 t="str">
        <f>IF($A15="","",IF(ALLOC!$N$4="VOL_EFF",$G15,IF(ALLOC!$N$4="VOL_CLASS",$H15,$I15)))</f>
        <v/>
      </c>
      <c r="AD15" t="str">
        <f>IF($A15="","",IF(ALLOC!$N$4="VOL_EFF",$L15,IF(ALLOC!$N$4="VOL_CLASS",$M15,$N15)))</f>
        <v/>
      </c>
      <c r="AE15" t="str">
        <f>IF($A15="","",IF(ALLOC!$N$3="VOL_EFF",$L15,IF(ALLOC!$N$3="VOL_CLASS",$M15,$N15)))</f>
        <v/>
      </c>
      <c r="AF15" t="str">
        <f>IF($A15="","",IF(ALLOC!$N$3="VOL_EFF",$Q15,IF(ALLOC!$N$3="VOL_CLASS",$R15,$S15)))</f>
        <v/>
      </c>
      <c r="AG15" t="str">
        <f>IF($A15="","",IF(ALLOC!$N$1="VOL_EFF",$Q15,IF(ALLOC!$N$1="VOL_CLASS",$R15,$S15)))</f>
        <v/>
      </c>
      <c r="AH15" t="str">
        <f>IF($A15="","",IF(ALLOC!$N$1="VOL_EFF",$T15,IF(ALLOC!$N$1="VOL_CLASS",$U15,$V15)))</f>
        <v/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IF($A15="","",SUMIFS(Compta!$F$1:$F$675,Compta!$A$1:$A$675,"GRP",Compta!$B$1:$B$675,"6236",Compta!$C$1:$C$675,$A15))</f>
        <v/>
      </c>
      <c r="AP15" t="str">
        <f>IF($A15="","",IF(ALLOC!$N$2="VOL_EFF",$Q15,IF(ALLOC!$N$2="VOL_CLASS",$R15,$S15)))</f>
        <v/>
      </c>
      <c r="AQ15" t="str">
        <f>IF($A15="","",IF(ALLOC!$N$2="VOL_EFF",$T15,IF(ALLOC!$N$2="VOL_CLASS",$U15,$V15)))</f>
        <v/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IF($A16="","",SUMIFS(Socle!$K$1:$K$175,Socle!$C$1:$C$175,$B16,Socle!$D$1:$D$175,$D16,Socle!$E$1:$E$175,$E16,Socle!$F$1:$F$175,$F16,Socle!$G$1:$G$175,$A16))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 t="str">
        <f>IF($A16="","",IF(ALLOC!$N$4="VOL_EFF",$G16,IF(ALLOC!$N$4="VOL_CLASS",$H16,$I16)))</f>
        <v/>
      </c>
      <c r="AD16" t="str">
        <f>IF($A16="","",IF(ALLOC!$N$4="VOL_EFF",$L16,IF(ALLOC!$N$4="VOL_CLASS",$M16,$N16)))</f>
        <v/>
      </c>
      <c r="AE16" t="str">
        <f>IF($A16="","",IF(ALLOC!$N$3="VOL_EFF",$L16,IF(ALLOC!$N$3="VOL_CLASS",$M16,$N16)))</f>
        <v/>
      </c>
      <c r="AF16" t="str">
        <f>IF($A16="","",IF(ALLOC!$N$3="VOL_EFF",$Q16,IF(ALLOC!$N$3="VOL_CLASS",$R16,$S16)))</f>
        <v/>
      </c>
      <c r="AG16" t="str">
        <f>IF($A16="","",IF(ALLOC!$N$1="VOL_EFF",$Q16,IF(ALLOC!$N$1="VOL_CLASS",$R16,$S16)))</f>
        <v/>
      </c>
      <c r="AH16" t="str">
        <f>IF($A16="","",IF(ALLOC!$N$1="VOL_EFF",$T16,IF(ALLOC!$N$1="VOL_CLASS",$U16,$V16)))</f>
        <v/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IF($A16="","",SUMIFS(Compta!$F$1:$F$675,Compta!$A$1:$A$675,"GRP",Compta!$B$1:$B$675,"6236",Compta!$C$1:$C$675,$A16))</f>
        <v/>
      </c>
      <c r="AP16" t="str">
        <f>IF($A16="","",IF(ALLOC!$N$2="VOL_EFF",$Q16,IF(ALLOC!$N$2="VOL_CLASS",$R16,$S16)))</f>
        <v/>
      </c>
      <c r="AQ16" t="str">
        <f>IF($A16="","",IF(ALLOC!$N$2="VOL_EFF",$T16,IF(ALLOC!$N$2="VOL_CLASS",$U16,$V16)))</f>
        <v/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IF($A17="","",SUMIFS(Socle!$K$1:$K$175,Socle!$C$1:$C$175,$B17,Socle!$D$1:$D$175,$D17,Socle!$E$1:$E$175,$E17,Socle!$F$1:$F$175,$F17,Socle!$G$1:$G$175,$A17))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 t="str">
        <f>IF($A17="","",IF(ALLOC!$N$4="VOL_EFF",$G17,IF(ALLOC!$N$4="VOL_CLASS",$H17,$I17)))</f>
        <v/>
      </c>
      <c r="AD17" t="str">
        <f>IF($A17="","",IF(ALLOC!$N$4="VOL_EFF",$L17,IF(ALLOC!$N$4="VOL_CLASS",$M17,$N17)))</f>
        <v/>
      </c>
      <c r="AE17" t="str">
        <f>IF($A17="","",IF(ALLOC!$N$3="VOL_EFF",$L17,IF(ALLOC!$N$3="VOL_CLASS",$M17,$N17)))</f>
        <v/>
      </c>
      <c r="AF17" t="str">
        <f>IF($A17="","",IF(ALLOC!$N$3="VOL_EFF",$Q17,IF(ALLOC!$N$3="VOL_CLASS",$R17,$S17)))</f>
        <v/>
      </c>
      <c r="AG17" t="str">
        <f>IF($A17="","",IF(ALLOC!$N$1="VOL_EFF",$Q17,IF(ALLOC!$N$1="VOL_CLASS",$R17,$S17)))</f>
        <v/>
      </c>
      <c r="AH17" t="str">
        <f>IF($A17="","",IF(ALLOC!$N$1="VOL_EFF",$T17,IF(ALLOC!$N$1="VOL_CLASS",$U17,$V17)))</f>
        <v/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IF($A17="","",SUMIFS(Compta!$F$1:$F$675,Compta!$A$1:$A$675,"GRP",Compta!$B$1:$B$675,"6236",Compta!$C$1:$C$675,$A17))</f>
        <v/>
      </c>
      <c r="AP17" t="str">
        <f>IF($A17="","",IF(ALLOC!$N$2="VOL_EFF",$Q17,IF(ALLOC!$N$2="VOL_CLASS",$R17,$S17)))</f>
        <v/>
      </c>
      <c r="AQ17" t="str">
        <f>IF($A17="","",IF(ALLOC!$N$2="VOL_EFF",$T17,IF(ALLOC!$N$2="VOL_CLASS",$U17,$V17)))</f>
        <v/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IF($A18="","",SUMIFS(Socle!$K$1:$K$175,Socle!$C$1:$C$175,$B18,Socle!$D$1:$D$175,$D18,Socle!$E$1:$E$175,$E18,Socle!$F$1:$F$175,$F18,Socle!$G$1:$G$175,$A18))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 t="str">
        <f>IF($A18="","",IF(ALLOC!$N$4="VOL_EFF",$G18,IF(ALLOC!$N$4="VOL_CLASS",$H18,$I18)))</f>
        <v/>
      </c>
      <c r="AD18" t="str">
        <f>IF($A18="","",IF(ALLOC!$N$4="VOL_EFF",$L18,IF(ALLOC!$N$4="VOL_CLASS",$M18,$N18)))</f>
        <v/>
      </c>
      <c r="AE18" t="str">
        <f>IF($A18="","",IF(ALLOC!$N$3="VOL_EFF",$L18,IF(ALLOC!$N$3="VOL_CLASS",$M18,$N18)))</f>
        <v/>
      </c>
      <c r="AF18" t="str">
        <f>IF($A18="","",IF(ALLOC!$N$3="VOL_EFF",$Q18,IF(ALLOC!$N$3="VOL_CLASS",$R18,$S18)))</f>
        <v/>
      </c>
      <c r="AG18" t="str">
        <f>IF($A18="","",IF(ALLOC!$N$1="VOL_EFF",$Q18,IF(ALLOC!$N$1="VOL_CLASS",$R18,$S18)))</f>
        <v/>
      </c>
      <c r="AH18" t="str">
        <f>IF($A18="","",IF(ALLOC!$N$1="VOL_EFF",$T18,IF(ALLOC!$N$1="VOL_CLASS",$U18,$V18)))</f>
        <v/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IF($A18="","",SUMIFS(Compta!$F$1:$F$675,Compta!$A$1:$A$675,"GRP",Compta!$B$1:$B$675,"6236",Compta!$C$1:$C$675,$A18))</f>
        <v/>
      </c>
      <c r="AP18" t="str">
        <f>IF($A18="","",IF(ALLOC!$N$2="VOL_EFF",$Q18,IF(ALLOC!$N$2="VOL_CLASS",$R18,$S18)))</f>
        <v/>
      </c>
      <c r="AQ18" t="str">
        <f>IF($A18="","",IF(ALLOC!$N$2="VOL_EFF",$T18,IF(ALLOC!$N$2="VOL_CLASS",$U18,$V18)))</f>
        <v/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IF($A19="","",SUMIFS(Socle!$K$1:$K$175,Socle!$C$1:$C$175,$B19,Socle!$D$1:$D$175,$D19,Socle!$E$1:$E$175,$E19,Socle!$F$1:$F$175,$F19,Socle!$G$1:$G$175,$A19))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 t="str">
        <f>IF($A19="","",IF(ALLOC!$N$4="VOL_EFF",$G19,IF(ALLOC!$N$4="VOL_CLASS",$H19,$I19)))</f>
        <v/>
      </c>
      <c r="AD19" t="str">
        <f>IF($A19="","",IF(ALLOC!$N$4="VOL_EFF",$L19,IF(ALLOC!$N$4="VOL_CLASS",$M19,$N19)))</f>
        <v/>
      </c>
      <c r="AE19" t="str">
        <f>IF($A19="","",IF(ALLOC!$N$3="VOL_EFF",$L19,IF(ALLOC!$N$3="VOL_CLASS",$M19,$N19)))</f>
        <v/>
      </c>
      <c r="AF19" t="str">
        <f>IF($A19="","",IF(ALLOC!$N$3="VOL_EFF",$Q19,IF(ALLOC!$N$3="VOL_CLASS",$R19,$S19)))</f>
        <v/>
      </c>
      <c r="AG19" t="str">
        <f>IF($A19="","",IF(ALLOC!$N$1="VOL_EFF",$Q19,IF(ALLOC!$N$1="VOL_CLASS",$R19,$S19)))</f>
        <v/>
      </c>
      <c r="AH19" t="str">
        <f>IF($A19="","",IF(ALLOC!$N$1="VOL_EFF",$T19,IF(ALLOC!$N$1="VOL_CLASS",$U19,$V19)))</f>
        <v/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IF($A19="","",SUMIFS(Compta!$F$1:$F$675,Compta!$A$1:$A$675,"GRP",Compta!$B$1:$B$675,"6236",Compta!$C$1:$C$675,$A19))</f>
        <v/>
      </c>
      <c r="AP19" t="str">
        <f>IF($A19="","",IF(ALLOC!$N$2="VOL_EFF",$Q19,IF(ALLOC!$N$2="VOL_CLASS",$R19,$S19)))</f>
        <v/>
      </c>
      <c r="AQ19" t="str">
        <f>IF($A19="","",IF(ALLOC!$N$2="VOL_EFF",$T19,IF(ALLOC!$N$2="VOL_CLASS",$U19,$V19)))</f>
        <v/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IF($A20="","",SUMIFS(Socle!$K$1:$K$175,Socle!$C$1:$C$175,$B20,Socle!$D$1:$D$175,$D20,Socle!$E$1:$E$175,$E20,Socle!$F$1:$F$175,$F20,Socle!$G$1:$G$175,$A20))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 t="str">
        <f>IF($A20="","",IF(ALLOC!$N$4="VOL_EFF",$G20,IF(ALLOC!$N$4="VOL_CLASS",$H20,$I20)))</f>
        <v/>
      </c>
      <c r="AD20" t="str">
        <f>IF($A20="","",IF(ALLOC!$N$4="VOL_EFF",$L20,IF(ALLOC!$N$4="VOL_CLASS",$M20,$N20)))</f>
        <v/>
      </c>
      <c r="AE20" t="str">
        <f>IF($A20="","",IF(ALLOC!$N$3="VOL_EFF",$L20,IF(ALLOC!$N$3="VOL_CLASS",$M20,$N20)))</f>
        <v/>
      </c>
      <c r="AF20" t="str">
        <f>IF($A20="","",IF(ALLOC!$N$3="VOL_EFF",$Q20,IF(ALLOC!$N$3="VOL_CLASS",$R20,$S20)))</f>
        <v/>
      </c>
      <c r="AG20" t="str">
        <f>IF($A20="","",IF(ALLOC!$N$1="VOL_EFF",$Q20,IF(ALLOC!$N$1="VOL_CLASS",$R20,$S20)))</f>
        <v/>
      </c>
      <c r="AH20" t="str">
        <f>IF($A20="","",IF(ALLOC!$N$1="VOL_EFF",$T20,IF(ALLOC!$N$1="VOL_CLASS",$U20,$V20)))</f>
        <v/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IF($A20="","",SUMIFS(Compta!$F$1:$F$675,Compta!$A$1:$A$675,"GRP",Compta!$B$1:$B$675,"6236",Compta!$C$1:$C$675,$A20))</f>
        <v/>
      </c>
      <c r="AP20" t="str">
        <f>IF($A20="","",IF(ALLOC!$N$2="VOL_EFF",$Q20,IF(ALLOC!$N$2="VOL_CLASS",$R20,$S20)))</f>
        <v/>
      </c>
      <c r="AQ20" t="str">
        <f>IF($A20="","",IF(ALLOC!$N$2="VOL_EFF",$T20,IF(ALLOC!$N$2="VOL_CLASS",$U20,$V20)))</f>
        <v/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IF($A21="","",SUMIFS(Socle!$K$1:$K$175,Socle!$C$1:$C$175,$B21,Socle!$D$1:$D$175,$D21,Socle!$E$1:$E$175,$E21,Socle!$F$1:$F$175,$F21,Socle!$G$1:$G$175,$A21))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 t="str">
        <f>IF($A21="","",IF(ALLOC!$N$4="VOL_EFF",$G21,IF(ALLOC!$N$4="VOL_CLASS",$H21,$I21)))</f>
        <v/>
      </c>
      <c r="AD21" t="str">
        <f>IF($A21="","",IF(ALLOC!$N$4="VOL_EFF",$L21,IF(ALLOC!$N$4="VOL_CLASS",$M21,$N21)))</f>
        <v/>
      </c>
      <c r="AE21" t="str">
        <f>IF($A21="","",IF(ALLOC!$N$3="VOL_EFF",$L21,IF(ALLOC!$N$3="VOL_CLASS",$M21,$N21)))</f>
        <v/>
      </c>
      <c r="AF21" t="str">
        <f>IF($A21="","",IF(ALLOC!$N$3="VOL_EFF",$Q21,IF(ALLOC!$N$3="VOL_CLASS",$R21,$S21)))</f>
        <v/>
      </c>
      <c r="AG21" t="str">
        <f>IF($A21="","",IF(ALLOC!$N$1="VOL_EFF",$Q21,IF(ALLOC!$N$1="VOL_CLASS",$R21,$S21)))</f>
        <v/>
      </c>
      <c r="AH21" t="str">
        <f>IF($A21="","",IF(ALLOC!$N$1="VOL_EFF",$T21,IF(ALLOC!$N$1="VOL_CLASS",$U21,$V21)))</f>
        <v/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IF($A21="","",SUMIFS(Compta!$F$1:$F$675,Compta!$A$1:$A$675,"GRP",Compta!$B$1:$B$675,"6236",Compta!$C$1:$C$675,$A21))</f>
        <v/>
      </c>
      <c r="AP21" t="str">
        <f>IF($A21="","",IF(ALLOC!$N$2="VOL_EFF",$Q21,IF(ALLOC!$N$2="VOL_CLASS",$R21,$S21)))</f>
        <v/>
      </c>
      <c r="AQ21" t="str">
        <f>IF($A21="","",IF(ALLOC!$N$2="VOL_EFF",$T21,IF(ALLOC!$N$2="VOL_CLASS",$U21,$V21)))</f>
        <v/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IF($A22="","",SUMIFS(Socle!$K$1:$K$175,Socle!$C$1:$C$175,$B22,Socle!$D$1:$D$175,$D22,Socle!$E$1:$E$175,$E22,Socle!$F$1:$F$175,$F22,Socle!$G$1:$G$175,$A22))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 t="str">
        <f>IF($A22="","",IF(ALLOC!$N$4="VOL_EFF",$G22,IF(ALLOC!$N$4="VOL_CLASS",$H22,$I22)))</f>
        <v/>
      </c>
      <c r="AD22" t="str">
        <f>IF($A22="","",IF(ALLOC!$N$4="VOL_EFF",$L22,IF(ALLOC!$N$4="VOL_CLASS",$M22,$N22)))</f>
        <v/>
      </c>
      <c r="AE22" t="str">
        <f>IF($A22="","",IF(ALLOC!$N$3="VOL_EFF",$L22,IF(ALLOC!$N$3="VOL_CLASS",$M22,$N22)))</f>
        <v/>
      </c>
      <c r="AF22" t="str">
        <f>IF($A22="","",IF(ALLOC!$N$3="VOL_EFF",$Q22,IF(ALLOC!$N$3="VOL_CLASS",$R22,$S22)))</f>
        <v/>
      </c>
      <c r="AG22" t="str">
        <f>IF($A22="","",IF(ALLOC!$N$1="VOL_EFF",$Q22,IF(ALLOC!$N$1="VOL_CLASS",$R22,$S22)))</f>
        <v/>
      </c>
      <c r="AH22" t="str">
        <f>IF($A22="","",IF(ALLOC!$N$1="VOL_EFF",$T22,IF(ALLOC!$N$1="VOL_CLASS",$U22,$V22)))</f>
        <v/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IF($A22="","",SUMIFS(Compta!$F$1:$F$675,Compta!$A$1:$A$675,"GRP",Compta!$B$1:$B$675,"6236",Compta!$C$1:$C$675,$A22))</f>
        <v/>
      </c>
      <c r="AP22" t="str">
        <f>IF($A22="","",IF(ALLOC!$N$2="VOL_EFF",$Q22,IF(ALLOC!$N$2="VOL_CLASS",$R22,$S22)))</f>
        <v/>
      </c>
      <c r="AQ22" t="str">
        <f>IF($A22="","",IF(ALLOC!$N$2="VOL_EFF",$T22,IF(ALLOC!$N$2="VOL_CLASS",$U22,$V22)))</f>
        <v/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IF($A23="","",SUMIFS(Socle!$K$1:$K$175,Socle!$C$1:$C$175,$B23,Socle!$D$1:$D$175,$D23,Socle!$E$1:$E$175,$E23,Socle!$F$1:$F$175,$F23,Socle!$G$1:$G$175,$A23))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 t="str">
        <f>IF($A23="","",IF(ALLOC!$N$4="VOL_EFF",$G23,IF(ALLOC!$N$4="VOL_CLASS",$H23,$I23)))</f>
        <v/>
      </c>
      <c r="AD23" t="str">
        <f>IF($A23="","",IF(ALLOC!$N$4="VOL_EFF",$L23,IF(ALLOC!$N$4="VOL_CLASS",$M23,$N23)))</f>
        <v/>
      </c>
      <c r="AE23" t="str">
        <f>IF($A23="","",IF(ALLOC!$N$3="VOL_EFF",$L23,IF(ALLOC!$N$3="VOL_CLASS",$M23,$N23)))</f>
        <v/>
      </c>
      <c r="AF23" t="str">
        <f>IF($A23="","",IF(ALLOC!$N$3="VOL_EFF",$Q23,IF(ALLOC!$N$3="VOL_CLASS",$R23,$S23)))</f>
        <v/>
      </c>
      <c r="AG23" t="str">
        <f>IF($A23="","",IF(ALLOC!$N$1="VOL_EFF",$Q23,IF(ALLOC!$N$1="VOL_CLASS",$R23,$S23)))</f>
        <v/>
      </c>
      <c r="AH23" t="str">
        <f>IF($A23="","",IF(ALLOC!$N$1="VOL_EFF",$T23,IF(ALLOC!$N$1="VOL_CLASS",$U23,$V23)))</f>
        <v/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IF($A23="","",SUMIFS(Compta!$F$1:$F$675,Compta!$A$1:$A$675,"GRP",Compta!$B$1:$B$675,"6236",Compta!$C$1:$C$675,$A23))</f>
        <v/>
      </c>
      <c r="AP23" t="str">
        <f>IF($A23="","",IF(ALLOC!$N$2="VOL_EFF",$Q23,IF(ALLOC!$N$2="VOL_CLASS",$R23,$S23)))</f>
        <v/>
      </c>
      <c r="AQ23" t="str">
        <f>IF($A23="","",IF(ALLOC!$N$2="VOL_EFF",$T23,IF(ALLOC!$N$2="VOL_CLASS",$U23,$V23)))</f>
        <v/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IF($A24="","",SUMIFS(Socle!$K$1:$K$175,Socle!$C$1:$C$175,$B24,Socle!$D$1:$D$175,$D24,Socle!$E$1:$E$175,$E24,Socle!$F$1:$F$175,$F24,Socle!$G$1:$G$175,$A24))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 t="str">
        <f>IF($A24="","",IF(ALLOC!$N$4="VOL_EFF",$G24,IF(ALLOC!$N$4="VOL_CLASS",$H24,$I24)))</f>
        <v/>
      </c>
      <c r="AD24" t="str">
        <f>IF($A24="","",IF(ALLOC!$N$4="VOL_EFF",$L24,IF(ALLOC!$N$4="VOL_CLASS",$M24,$N24)))</f>
        <v/>
      </c>
      <c r="AE24" t="str">
        <f>IF($A24="","",IF(ALLOC!$N$3="VOL_EFF",$L24,IF(ALLOC!$N$3="VOL_CLASS",$M24,$N24)))</f>
        <v/>
      </c>
      <c r="AF24" t="str">
        <f>IF($A24="","",IF(ALLOC!$N$3="VOL_EFF",$Q24,IF(ALLOC!$N$3="VOL_CLASS",$R24,$S24)))</f>
        <v/>
      </c>
      <c r="AG24" t="str">
        <f>IF($A24="","",IF(ALLOC!$N$1="VOL_EFF",$Q24,IF(ALLOC!$N$1="VOL_CLASS",$R24,$S24)))</f>
        <v/>
      </c>
      <c r="AH24" t="str">
        <f>IF($A24="","",IF(ALLOC!$N$1="VOL_EFF",$T24,IF(ALLOC!$N$1="VOL_CLASS",$U24,$V24)))</f>
        <v/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IF($A24="","",SUMIFS(Compta!$F$1:$F$675,Compta!$A$1:$A$675,"GRP",Compta!$B$1:$B$675,"6236",Compta!$C$1:$C$675,$A24))</f>
        <v/>
      </c>
      <c r="AP24" t="str">
        <f>IF($A24="","",IF(ALLOC!$N$2="VOL_EFF",$Q24,IF(ALLOC!$N$2="VOL_CLASS",$R24,$S24)))</f>
        <v/>
      </c>
      <c r="AQ24" t="str">
        <f>IF($A24="","",IF(ALLOC!$N$2="VOL_EFF",$T24,IF(ALLOC!$N$2="VOL_CLASS",$U24,$V24)))</f>
        <v/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IF($A25="","",SUMIFS(Socle!$K$1:$K$175,Socle!$C$1:$C$175,$B25,Socle!$D$1:$D$175,$D25,Socle!$E$1:$E$175,$E25,Socle!$F$1:$F$175,$F25,Socle!$G$1:$G$175,$A25))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 t="str">
        <f>IF($A25="","",IF(ALLOC!$N$4="VOL_EFF",$G25,IF(ALLOC!$N$4="VOL_CLASS",$H25,$I25)))</f>
        <v/>
      </c>
      <c r="AD25" t="str">
        <f>IF($A25="","",IF(ALLOC!$N$4="VOL_EFF",$L25,IF(ALLOC!$N$4="VOL_CLASS",$M25,$N25)))</f>
        <v/>
      </c>
      <c r="AE25" t="str">
        <f>IF($A25="","",IF(ALLOC!$N$3="VOL_EFF",$L25,IF(ALLOC!$N$3="VOL_CLASS",$M25,$N25)))</f>
        <v/>
      </c>
      <c r="AF25" t="str">
        <f>IF($A25="","",IF(ALLOC!$N$3="VOL_EFF",$Q25,IF(ALLOC!$N$3="VOL_CLASS",$R25,$S25)))</f>
        <v/>
      </c>
      <c r="AG25" t="str">
        <f>IF($A25="","",IF(ALLOC!$N$1="VOL_EFF",$Q25,IF(ALLOC!$N$1="VOL_CLASS",$R25,$S25)))</f>
        <v/>
      </c>
      <c r="AH25" t="str">
        <f>IF($A25="","",IF(ALLOC!$N$1="VOL_EFF",$T25,IF(ALLOC!$N$1="VOL_CLASS",$U25,$V25)))</f>
        <v/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IF($A25="","",SUMIFS(Compta!$F$1:$F$675,Compta!$A$1:$A$675,"GRP",Compta!$B$1:$B$675,"6236",Compta!$C$1:$C$675,$A25))</f>
        <v/>
      </c>
      <c r="AP25" t="str">
        <f>IF($A25="","",IF(ALLOC!$N$2="VOL_EFF",$Q25,IF(ALLOC!$N$2="VOL_CLASS",$R25,$S25)))</f>
        <v/>
      </c>
      <c r="AQ25" t="str">
        <f>IF($A25="","",IF(ALLOC!$N$2="VOL_EFF",$T25,IF(ALLOC!$N$2="VOL_CLASS",$U25,$V25)))</f>
        <v/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IF($A26="","",SUMIFS(Socle!$K$1:$K$175,Socle!$C$1:$C$175,$B26,Socle!$D$1:$D$175,$D26,Socle!$E$1:$E$175,$E26,Socle!$F$1:$F$175,$F26,Socle!$G$1:$G$175,$A26))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 t="str">
        <f>IF($A26="","",IF(ALLOC!$N$4="VOL_EFF",$G26,IF(ALLOC!$N$4="VOL_CLASS",$H26,$I26)))</f>
        <v/>
      </c>
      <c r="AD26" t="str">
        <f>IF($A26="","",IF(ALLOC!$N$4="VOL_EFF",$L26,IF(ALLOC!$N$4="VOL_CLASS",$M26,$N26)))</f>
        <v/>
      </c>
      <c r="AE26" t="str">
        <f>IF($A26="","",IF(ALLOC!$N$3="VOL_EFF",$L26,IF(ALLOC!$N$3="VOL_CLASS",$M26,$N26)))</f>
        <v/>
      </c>
      <c r="AF26" t="str">
        <f>IF($A26="","",IF(ALLOC!$N$3="VOL_EFF",$Q26,IF(ALLOC!$N$3="VOL_CLASS",$R26,$S26)))</f>
        <v/>
      </c>
      <c r="AG26" t="str">
        <f>IF($A26="","",IF(ALLOC!$N$1="VOL_EFF",$Q26,IF(ALLOC!$N$1="VOL_CLASS",$R26,$S26)))</f>
        <v/>
      </c>
      <c r="AH26" t="str">
        <f>IF($A26="","",IF(ALLOC!$N$1="VOL_EFF",$T26,IF(ALLOC!$N$1="VOL_CLASS",$U26,$V26)))</f>
        <v/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IF($A26="","",SUMIFS(Compta!$F$1:$F$675,Compta!$A$1:$A$675,"GRP",Compta!$B$1:$B$675,"6236",Compta!$C$1:$C$675,$A26))</f>
        <v/>
      </c>
      <c r="AP26" t="str">
        <f>IF($A26="","",IF(ALLOC!$N$2="VOL_EFF",$Q26,IF(ALLOC!$N$2="VOL_CLASS",$R26,$S26)))</f>
        <v/>
      </c>
      <c r="AQ26" t="str">
        <f>IF($A26="","",IF(ALLOC!$N$2="VOL_EFF",$T26,IF(ALLOC!$N$2="VOL_CLASS",$U26,$V26)))</f>
        <v/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IF($A27="","",SUMIFS(Socle!$K$1:$K$175,Socle!$C$1:$C$175,$B27,Socle!$D$1:$D$175,$D27,Socle!$E$1:$E$175,$E27,Socle!$F$1:$F$175,$F27,Socle!$G$1:$G$175,$A27))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 t="str">
        <f>IF($A27="","",IF(ALLOC!$N$4="VOL_EFF",$G27,IF(ALLOC!$N$4="VOL_CLASS",$H27,$I27)))</f>
        <v/>
      </c>
      <c r="AD27" t="str">
        <f>IF($A27="","",IF(ALLOC!$N$4="VOL_EFF",$L27,IF(ALLOC!$N$4="VOL_CLASS",$M27,$N27)))</f>
        <v/>
      </c>
      <c r="AE27" t="str">
        <f>IF($A27="","",IF(ALLOC!$N$3="VOL_EFF",$L27,IF(ALLOC!$N$3="VOL_CLASS",$M27,$N27)))</f>
        <v/>
      </c>
      <c r="AF27" t="str">
        <f>IF($A27="","",IF(ALLOC!$N$3="VOL_EFF",$Q27,IF(ALLOC!$N$3="VOL_CLASS",$R27,$S27)))</f>
        <v/>
      </c>
      <c r="AG27" t="str">
        <f>IF($A27="","",IF(ALLOC!$N$1="VOL_EFF",$Q27,IF(ALLOC!$N$1="VOL_CLASS",$R27,$S27)))</f>
        <v/>
      </c>
      <c r="AH27" t="str">
        <f>IF($A27="","",IF(ALLOC!$N$1="VOL_EFF",$T27,IF(ALLOC!$N$1="VOL_CLASS",$U27,$V27)))</f>
        <v/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IF($A27="","",SUMIFS(Compta!$F$1:$F$675,Compta!$A$1:$A$675,"GRP",Compta!$B$1:$B$675,"6236",Compta!$C$1:$C$675,$A27))</f>
        <v/>
      </c>
      <c r="AP27" t="str">
        <f>IF($A27="","",IF(ALLOC!$N$2="VOL_EFF",$Q27,IF(ALLOC!$N$2="VOL_CLASS",$R27,$S27)))</f>
        <v/>
      </c>
      <c r="AQ27" t="str">
        <f>IF($A27="","",IF(ALLOC!$N$2="VOL_EFF",$T27,IF(ALLOC!$N$2="VOL_CLASS",$U27,$V27)))</f>
        <v/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IF($A28="","",SUMIFS(Socle!$K$1:$K$175,Socle!$C$1:$C$175,$B28,Socle!$D$1:$D$175,$D28,Socle!$E$1:$E$175,$E28,Socle!$F$1:$F$175,$F28,Socle!$G$1:$G$175,$A28))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 t="str">
        <f>IF($A28="","",IF(ALLOC!$N$4="VOL_EFF",$G28,IF(ALLOC!$N$4="VOL_CLASS",$H28,$I28)))</f>
        <v/>
      </c>
      <c r="AD28" t="str">
        <f>IF($A28="","",IF(ALLOC!$N$4="VOL_EFF",$L28,IF(ALLOC!$N$4="VOL_CLASS",$M28,$N28)))</f>
        <v/>
      </c>
      <c r="AE28" t="str">
        <f>IF($A28="","",IF(ALLOC!$N$3="VOL_EFF",$L28,IF(ALLOC!$N$3="VOL_CLASS",$M28,$N28)))</f>
        <v/>
      </c>
      <c r="AF28" t="str">
        <f>IF($A28="","",IF(ALLOC!$N$3="VOL_EFF",$Q28,IF(ALLOC!$N$3="VOL_CLASS",$R28,$S28)))</f>
        <v/>
      </c>
      <c r="AG28" t="str">
        <f>IF($A28="","",IF(ALLOC!$N$1="VOL_EFF",$Q28,IF(ALLOC!$N$1="VOL_CLASS",$R28,$S28)))</f>
        <v/>
      </c>
      <c r="AH28" t="str">
        <f>IF($A28="","",IF(ALLOC!$N$1="VOL_EFF",$T28,IF(ALLOC!$N$1="VOL_CLASS",$U28,$V28)))</f>
        <v/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IF($A28="","",SUMIFS(Compta!$F$1:$F$675,Compta!$A$1:$A$675,"GRP",Compta!$B$1:$B$675,"6236",Compta!$C$1:$C$675,$A28))</f>
        <v/>
      </c>
      <c r="AP28" t="str">
        <f>IF($A28="","",IF(ALLOC!$N$2="VOL_EFF",$Q28,IF(ALLOC!$N$2="VOL_CLASS",$R28,$S28)))</f>
        <v/>
      </c>
      <c r="AQ28" t="str">
        <f>IF($A28="","",IF(ALLOC!$N$2="VOL_EFF",$T28,IF(ALLOC!$N$2="VOL_CLASS",$U28,$V28)))</f>
        <v/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IF($A29="","",SUMIFS(Socle!$K$1:$K$175,Socle!$C$1:$C$175,$B29,Socle!$D$1:$D$175,$D29,Socle!$E$1:$E$175,$E29,Socle!$F$1:$F$175,$F29,Socle!$G$1:$G$175,$A29))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 t="str">
        <f>IF($A29="","",IF(ALLOC!$N$4="VOL_EFF",$G29,IF(ALLOC!$N$4="VOL_CLASS",$H29,$I29)))</f>
        <v/>
      </c>
      <c r="AD29" t="str">
        <f>IF($A29="","",IF(ALLOC!$N$4="VOL_EFF",$L29,IF(ALLOC!$N$4="VOL_CLASS",$M29,$N29)))</f>
        <v/>
      </c>
      <c r="AE29" t="str">
        <f>IF($A29="","",IF(ALLOC!$N$3="VOL_EFF",$L29,IF(ALLOC!$N$3="VOL_CLASS",$M29,$N29)))</f>
        <v/>
      </c>
      <c r="AF29" t="str">
        <f>IF($A29="","",IF(ALLOC!$N$3="VOL_EFF",$Q29,IF(ALLOC!$N$3="VOL_CLASS",$R29,$S29)))</f>
        <v/>
      </c>
      <c r="AG29" t="str">
        <f>IF($A29="","",IF(ALLOC!$N$1="VOL_EFF",$Q29,IF(ALLOC!$N$1="VOL_CLASS",$R29,$S29)))</f>
        <v/>
      </c>
      <c r="AH29" t="str">
        <f>IF($A29="","",IF(ALLOC!$N$1="VOL_EFF",$T29,IF(ALLOC!$N$1="VOL_CLASS",$U29,$V29)))</f>
        <v/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IF($A29="","",SUMIFS(Compta!$F$1:$F$675,Compta!$A$1:$A$675,"GRP",Compta!$B$1:$B$675,"6236",Compta!$C$1:$C$675,$A29))</f>
        <v/>
      </c>
      <c r="AP29" t="str">
        <f>IF($A29="","",IF(ALLOC!$N$2="VOL_EFF",$Q29,IF(ALLOC!$N$2="VOL_CLASS",$R29,$S29)))</f>
        <v/>
      </c>
      <c r="AQ29" t="str">
        <f>IF($A29="","",IF(ALLOC!$N$2="VOL_EFF",$T29,IF(ALLOC!$N$2="VOL_CLASS",$U29,$V29)))</f>
        <v/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IF($A30="","",SUMIFS(Socle!$K$1:$K$175,Socle!$C$1:$C$175,$B30,Socle!$D$1:$D$175,$D30,Socle!$E$1:$E$175,$E30,Socle!$F$1:$F$175,$F30,Socle!$G$1:$G$175,$A30))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 t="str">
        <f>IF($A30="","",IF(ALLOC!$N$4="VOL_EFF",$G30,IF(ALLOC!$N$4="VOL_CLASS",$H30,$I30)))</f>
        <v/>
      </c>
      <c r="AD30" t="str">
        <f>IF($A30="","",IF(ALLOC!$N$4="VOL_EFF",$L30,IF(ALLOC!$N$4="VOL_CLASS",$M30,$N30)))</f>
        <v/>
      </c>
      <c r="AE30" t="str">
        <f>IF($A30="","",IF(ALLOC!$N$3="VOL_EFF",$L30,IF(ALLOC!$N$3="VOL_CLASS",$M30,$N30)))</f>
        <v/>
      </c>
      <c r="AF30" t="str">
        <f>IF($A30="","",IF(ALLOC!$N$3="VOL_EFF",$Q30,IF(ALLOC!$N$3="VOL_CLASS",$R30,$S30)))</f>
        <v/>
      </c>
      <c r="AG30" t="str">
        <f>IF($A30="","",IF(ALLOC!$N$1="VOL_EFF",$Q30,IF(ALLOC!$N$1="VOL_CLASS",$R30,$S30)))</f>
        <v/>
      </c>
      <c r="AH30" t="str">
        <f>IF($A30="","",IF(ALLOC!$N$1="VOL_EFF",$T30,IF(ALLOC!$N$1="VOL_CLASS",$U30,$V30)))</f>
        <v/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IF($A30="","",SUMIFS(Compta!$F$1:$F$675,Compta!$A$1:$A$675,"GRP",Compta!$B$1:$B$675,"6236",Compta!$C$1:$C$675,$A30))</f>
        <v/>
      </c>
      <c r="AP30" t="str">
        <f>IF($A30="","",IF(ALLOC!$N$2="VOL_EFF",$Q30,IF(ALLOC!$N$2="VOL_CLASS",$R30,$S30)))</f>
        <v/>
      </c>
      <c r="AQ30" t="str">
        <f>IF($A30="","",IF(ALLOC!$N$2="VOL_EFF",$T30,IF(ALLOC!$N$2="VOL_CLASS",$U30,$V30)))</f>
        <v/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IF($A31="","",SUMIFS(Socle!$K$1:$K$175,Socle!$C$1:$C$175,$B31,Socle!$D$1:$D$175,$D31,Socle!$E$1:$E$175,$E31,Socle!$F$1:$F$175,$F31,Socle!$G$1:$G$175,$A31))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 t="str">
        <f>IF($A31="","",IF(ALLOC!$N$4="VOL_EFF",$G31,IF(ALLOC!$N$4="VOL_CLASS",$H31,$I31)))</f>
        <v/>
      </c>
      <c r="AD31" t="str">
        <f>IF($A31="","",IF(ALLOC!$N$4="VOL_EFF",$L31,IF(ALLOC!$N$4="VOL_CLASS",$M31,$N31)))</f>
        <v/>
      </c>
      <c r="AE31" t="str">
        <f>IF($A31="","",IF(ALLOC!$N$3="VOL_EFF",$L31,IF(ALLOC!$N$3="VOL_CLASS",$M31,$N31)))</f>
        <v/>
      </c>
      <c r="AF31" t="str">
        <f>IF($A31="","",IF(ALLOC!$N$3="VOL_EFF",$Q31,IF(ALLOC!$N$3="VOL_CLASS",$R31,$S31)))</f>
        <v/>
      </c>
      <c r="AG31" t="str">
        <f>IF($A31="","",IF(ALLOC!$N$1="VOL_EFF",$Q31,IF(ALLOC!$N$1="VOL_CLASS",$R31,$S31)))</f>
        <v/>
      </c>
      <c r="AH31" t="str">
        <f>IF($A31="","",IF(ALLOC!$N$1="VOL_EFF",$T31,IF(ALLOC!$N$1="VOL_CLASS",$U31,$V31)))</f>
        <v/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IF($A31="","",SUMIFS(Compta!$F$1:$F$675,Compta!$A$1:$A$675,"GRP",Compta!$B$1:$B$675,"6236",Compta!$C$1:$C$675,$A31))</f>
        <v/>
      </c>
      <c r="AP31" t="str">
        <f>IF($A31="","",IF(ALLOC!$N$2="VOL_EFF",$Q31,IF(ALLOC!$N$2="VOL_CLASS",$R31,$S31)))</f>
        <v/>
      </c>
      <c r="AQ31" t="str">
        <f>IF($A31="","",IF(ALLOC!$N$2="VOL_EFF",$T31,IF(ALLOC!$N$2="VOL_CLASS",$U31,$V31)))</f>
        <v/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IF($A32="","",SUMIFS(Socle!$K$1:$K$175,Socle!$C$1:$C$175,$B32,Socle!$D$1:$D$175,$D32,Socle!$E$1:$E$175,$E32,Socle!$F$1:$F$175,$F32,Socle!$G$1:$G$175,$A32))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 t="str">
        <f>IF($A32="","",IF(ALLOC!$N$4="VOL_EFF",$G32,IF(ALLOC!$N$4="VOL_CLASS",$H32,$I32)))</f>
        <v/>
      </c>
      <c r="AD32" t="str">
        <f>IF($A32="","",IF(ALLOC!$N$4="VOL_EFF",$L32,IF(ALLOC!$N$4="VOL_CLASS",$M32,$N32)))</f>
        <v/>
      </c>
      <c r="AE32" t="str">
        <f>IF($A32="","",IF(ALLOC!$N$3="VOL_EFF",$L32,IF(ALLOC!$N$3="VOL_CLASS",$M32,$N32)))</f>
        <v/>
      </c>
      <c r="AF32" t="str">
        <f>IF($A32="","",IF(ALLOC!$N$3="VOL_EFF",$Q32,IF(ALLOC!$N$3="VOL_CLASS",$R32,$S32)))</f>
        <v/>
      </c>
      <c r="AG32" t="str">
        <f>IF($A32="","",IF(ALLOC!$N$1="VOL_EFF",$Q32,IF(ALLOC!$N$1="VOL_CLASS",$R32,$S32)))</f>
        <v/>
      </c>
      <c r="AH32" t="str">
        <f>IF($A32="","",IF(ALLOC!$N$1="VOL_EFF",$T32,IF(ALLOC!$N$1="VOL_CLASS",$U32,$V32)))</f>
        <v/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IF($A32="","",SUMIFS(Compta!$F$1:$F$675,Compta!$A$1:$A$675,"GRP",Compta!$B$1:$B$675,"6236",Compta!$C$1:$C$675,$A32))</f>
        <v/>
      </c>
      <c r="AP32" t="str">
        <f>IF($A32="","",IF(ALLOC!$N$2="VOL_EFF",$Q32,IF(ALLOC!$N$2="VOL_CLASS",$R32,$S32)))</f>
        <v/>
      </c>
      <c r="AQ32" t="str">
        <f>IF($A32="","",IF(ALLOC!$N$2="VOL_EFF",$T32,IF(ALLOC!$N$2="VOL_CLASS",$U32,$V32)))</f>
        <v/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IF($A33="","",SUMIFS(Socle!$K$1:$K$175,Socle!$C$1:$C$175,$B33,Socle!$D$1:$D$175,$D33,Socle!$E$1:$E$175,$E33,Socle!$F$1:$F$175,$F33,Socle!$G$1:$G$175,$A33))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 t="str">
        <f>IF($A33="","",IF(ALLOC!$N$4="VOL_EFF",$G33,IF(ALLOC!$N$4="VOL_CLASS",$H33,$I33)))</f>
        <v/>
      </c>
      <c r="AD33" t="str">
        <f>IF($A33="","",IF(ALLOC!$N$4="VOL_EFF",$L33,IF(ALLOC!$N$4="VOL_CLASS",$M33,$N33)))</f>
        <v/>
      </c>
      <c r="AE33" t="str">
        <f>IF($A33="","",IF(ALLOC!$N$3="VOL_EFF",$L33,IF(ALLOC!$N$3="VOL_CLASS",$M33,$N33)))</f>
        <v/>
      </c>
      <c r="AF33" t="str">
        <f>IF($A33="","",IF(ALLOC!$N$3="VOL_EFF",$Q33,IF(ALLOC!$N$3="VOL_CLASS",$R33,$S33)))</f>
        <v/>
      </c>
      <c r="AG33" t="str">
        <f>IF($A33="","",IF(ALLOC!$N$1="VOL_EFF",$Q33,IF(ALLOC!$N$1="VOL_CLASS",$R33,$S33)))</f>
        <v/>
      </c>
      <c r="AH33" t="str">
        <f>IF($A33="","",IF(ALLOC!$N$1="VOL_EFF",$T33,IF(ALLOC!$N$1="VOL_CLASS",$U33,$V33)))</f>
        <v/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IF($A33="","",SUMIFS(Compta!$F$1:$F$675,Compta!$A$1:$A$675,"GRP",Compta!$B$1:$B$675,"6236",Compta!$C$1:$C$675,$A33))</f>
        <v/>
      </c>
      <c r="AP33" t="str">
        <f>IF($A33="","",IF(ALLOC!$N$2="VOL_EFF",$Q33,IF(ALLOC!$N$2="VOL_CLASS",$R33,$S33)))</f>
        <v/>
      </c>
      <c r="AQ33" t="str">
        <f>IF($A33="","",IF(ALLOC!$N$2="VOL_EFF",$T33,IF(ALLOC!$N$2="VOL_CLASS",$U33,$V33)))</f>
        <v/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IF($A34="","",SUMIFS(Socle!$K$1:$K$175,Socle!$C$1:$C$175,$B34,Socle!$D$1:$D$175,$D34,Socle!$E$1:$E$175,$E34,Socle!$F$1:$F$175,$F34,Socle!$G$1:$G$175,$A34))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 t="str">
        <f>IF($A34="","",IF(ALLOC!$N$4="VOL_EFF",$G34,IF(ALLOC!$N$4="VOL_CLASS",$H34,$I34)))</f>
        <v/>
      </c>
      <c r="AD34" t="str">
        <f>IF($A34="","",IF(ALLOC!$N$4="VOL_EFF",$L34,IF(ALLOC!$N$4="VOL_CLASS",$M34,$N34)))</f>
        <v/>
      </c>
      <c r="AE34" t="str">
        <f>IF($A34="","",IF(ALLOC!$N$3="VOL_EFF",$L34,IF(ALLOC!$N$3="VOL_CLASS",$M34,$N34)))</f>
        <v/>
      </c>
      <c r="AF34" t="str">
        <f>IF($A34="","",IF(ALLOC!$N$3="VOL_EFF",$Q34,IF(ALLOC!$N$3="VOL_CLASS",$R34,$S34)))</f>
        <v/>
      </c>
      <c r="AG34" t="str">
        <f>IF($A34="","",IF(ALLOC!$N$1="VOL_EFF",$Q34,IF(ALLOC!$N$1="VOL_CLASS",$R34,$S34)))</f>
        <v/>
      </c>
      <c r="AH34" t="str">
        <f>IF($A34="","",IF(ALLOC!$N$1="VOL_EFF",$T34,IF(ALLOC!$N$1="VOL_CLASS",$U34,$V34)))</f>
        <v/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IF($A34="","",SUMIFS(Compta!$F$1:$F$675,Compta!$A$1:$A$675,"GRP",Compta!$B$1:$B$675,"6236",Compta!$C$1:$C$675,$A34))</f>
        <v/>
      </c>
      <c r="AP34" t="str">
        <f>IF($A34="","",IF(ALLOC!$N$2="VOL_EFF",$Q34,IF(ALLOC!$N$2="VOL_CLASS",$R34,$S34)))</f>
        <v/>
      </c>
      <c r="AQ34" t="str">
        <f>IF($A34="","",IF(ALLOC!$N$2="VOL_EFF",$T34,IF(ALLOC!$N$2="VOL_CLASS",$U34,$V34)))</f>
        <v/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IF($A35="","",SUMIFS(Socle!$K$1:$K$175,Socle!$C$1:$C$175,$B35,Socle!$D$1:$D$175,$D35,Socle!$E$1:$E$175,$E35,Socle!$F$1:$F$175,$F35,Socle!$G$1:$G$175,$A35))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 t="str">
        <f>IF($A35="","",IF(ALLOC!$N$4="VOL_EFF",$G35,IF(ALLOC!$N$4="VOL_CLASS",$H35,$I35)))</f>
        <v/>
      </c>
      <c r="AD35" t="str">
        <f>IF($A35="","",IF(ALLOC!$N$4="VOL_EFF",$L35,IF(ALLOC!$N$4="VOL_CLASS",$M35,$N35)))</f>
        <v/>
      </c>
      <c r="AE35" t="str">
        <f>IF($A35="","",IF(ALLOC!$N$3="VOL_EFF",$L35,IF(ALLOC!$N$3="VOL_CLASS",$M35,$N35)))</f>
        <v/>
      </c>
      <c r="AF35" t="str">
        <f>IF($A35="","",IF(ALLOC!$N$3="VOL_EFF",$Q35,IF(ALLOC!$N$3="VOL_CLASS",$R35,$S35)))</f>
        <v/>
      </c>
      <c r="AG35" t="str">
        <f>IF($A35="","",IF(ALLOC!$N$1="VOL_EFF",$Q35,IF(ALLOC!$N$1="VOL_CLASS",$R35,$S35)))</f>
        <v/>
      </c>
      <c r="AH35" t="str">
        <f>IF($A35="","",IF(ALLOC!$N$1="VOL_EFF",$T35,IF(ALLOC!$N$1="VOL_CLASS",$U35,$V35)))</f>
        <v/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IF($A35="","",SUMIFS(Compta!$F$1:$F$675,Compta!$A$1:$A$675,"GRP",Compta!$B$1:$B$675,"6236",Compta!$C$1:$C$675,$A35))</f>
        <v/>
      </c>
      <c r="AP35" t="str">
        <f>IF($A35="","",IF(ALLOC!$N$2="VOL_EFF",$Q35,IF(ALLOC!$N$2="VOL_CLASS",$R35,$S35)))</f>
        <v/>
      </c>
      <c r="AQ35" t="str">
        <f>IF($A35="","",IF(ALLOC!$N$2="VOL_EFF",$T35,IF(ALLOC!$N$2="VOL_CLASS",$U35,$V35)))</f>
        <v/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IF($A36="","",SUMIFS(Socle!$K$1:$K$175,Socle!$C$1:$C$175,$B36,Socle!$D$1:$D$175,$D36,Socle!$E$1:$E$175,$E36,Socle!$F$1:$F$175,$F36,Socle!$G$1:$G$175,$A36))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 t="str">
        <f>IF($A36="","",IF(ALLOC!$N$4="VOL_EFF",$G36,IF(ALLOC!$N$4="VOL_CLASS",$H36,$I36)))</f>
        <v/>
      </c>
      <c r="AD36" t="str">
        <f>IF($A36="","",IF(ALLOC!$N$4="VOL_EFF",$L36,IF(ALLOC!$N$4="VOL_CLASS",$M36,$N36)))</f>
        <v/>
      </c>
      <c r="AE36" t="str">
        <f>IF($A36="","",IF(ALLOC!$N$3="VOL_EFF",$L36,IF(ALLOC!$N$3="VOL_CLASS",$M36,$N36)))</f>
        <v/>
      </c>
      <c r="AF36" t="str">
        <f>IF($A36="","",IF(ALLOC!$N$3="VOL_EFF",$Q36,IF(ALLOC!$N$3="VOL_CLASS",$R36,$S36)))</f>
        <v/>
      </c>
      <c r="AG36" t="str">
        <f>IF($A36="","",IF(ALLOC!$N$1="VOL_EFF",$Q36,IF(ALLOC!$N$1="VOL_CLASS",$R36,$S36)))</f>
        <v/>
      </c>
      <c r="AH36" t="str">
        <f>IF($A36="","",IF(ALLOC!$N$1="VOL_EFF",$T36,IF(ALLOC!$N$1="VOL_CLASS",$U36,$V36)))</f>
        <v/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IF($A36="","",SUMIFS(Compta!$F$1:$F$675,Compta!$A$1:$A$675,"GRP",Compta!$B$1:$B$675,"6236",Compta!$C$1:$C$675,$A36))</f>
        <v/>
      </c>
      <c r="AP36" t="str">
        <f>IF($A36="","",IF(ALLOC!$N$2="VOL_EFF",$Q36,IF(ALLOC!$N$2="VOL_CLASS",$R36,$S36)))</f>
        <v/>
      </c>
      <c r="AQ36" t="str">
        <f>IF($A36="","",IF(ALLOC!$N$2="VOL_EFF",$T36,IF(ALLOC!$N$2="VOL_CLASS",$U36,$V36)))</f>
        <v/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IF($A37="","",SUMIFS(Socle!$K$1:$K$175,Socle!$C$1:$C$175,$B37,Socle!$D$1:$D$175,$D37,Socle!$E$1:$E$175,$E37,Socle!$F$1:$F$175,$F37,Socle!$G$1:$G$175,$A37))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 t="str">
        <f>IF($A37="","",IF(ALLOC!$N$4="VOL_EFF",$G37,IF(ALLOC!$N$4="VOL_CLASS",$H37,$I37)))</f>
        <v/>
      </c>
      <c r="AD37" t="str">
        <f>IF($A37="","",IF(ALLOC!$N$4="VOL_EFF",$L37,IF(ALLOC!$N$4="VOL_CLASS",$M37,$N37)))</f>
        <v/>
      </c>
      <c r="AE37" t="str">
        <f>IF($A37="","",IF(ALLOC!$N$3="VOL_EFF",$L37,IF(ALLOC!$N$3="VOL_CLASS",$M37,$N37)))</f>
        <v/>
      </c>
      <c r="AF37" t="str">
        <f>IF($A37="","",IF(ALLOC!$N$3="VOL_EFF",$Q37,IF(ALLOC!$N$3="VOL_CLASS",$R37,$S37)))</f>
        <v/>
      </c>
      <c r="AG37" t="str">
        <f>IF($A37="","",IF(ALLOC!$N$1="VOL_EFF",$Q37,IF(ALLOC!$N$1="VOL_CLASS",$R37,$S37)))</f>
        <v/>
      </c>
      <c r="AH37" t="str">
        <f>IF($A37="","",IF(ALLOC!$N$1="VOL_EFF",$T37,IF(ALLOC!$N$1="VOL_CLASS",$U37,$V37)))</f>
        <v/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IF($A37="","",SUMIFS(Compta!$F$1:$F$675,Compta!$A$1:$A$675,"GRP",Compta!$B$1:$B$675,"6236",Compta!$C$1:$C$675,$A37))</f>
        <v/>
      </c>
      <c r="AP37" t="str">
        <f>IF($A37="","",IF(ALLOC!$N$2="VOL_EFF",$Q37,IF(ALLOC!$N$2="VOL_CLASS",$R37,$S37)))</f>
        <v/>
      </c>
      <c r="AQ37" t="str">
        <f>IF($A37="","",IF(ALLOC!$N$2="VOL_EFF",$T37,IF(ALLOC!$N$2="VOL_CLASS",$U37,$V37)))</f>
        <v/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IF($A38="","",SUMIFS(Socle!$K$1:$K$175,Socle!$C$1:$C$175,$B38,Socle!$D$1:$D$175,$D38,Socle!$E$1:$E$175,$E38,Socle!$F$1:$F$175,$F38,Socle!$G$1:$G$175,$A38))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 t="str">
        <f>IF($A38="","",IF(ALLOC!$N$4="VOL_EFF",$G38,IF(ALLOC!$N$4="VOL_CLASS",$H38,$I38)))</f>
        <v/>
      </c>
      <c r="AD38" t="str">
        <f>IF($A38="","",IF(ALLOC!$N$4="VOL_EFF",$L38,IF(ALLOC!$N$4="VOL_CLASS",$M38,$N38)))</f>
        <v/>
      </c>
      <c r="AE38" t="str">
        <f>IF($A38="","",IF(ALLOC!$N$3="VOL_EFF",$L38,IF(ALLOC!$N$3="VOL_CLASS",$M38,$N38)))</f>
        <v/>
      </c>
      <c r="AF38" t="str">
        <f>IF($A38="","",IF(ALLOC!$N$3="VOL_EFF",$Q38,IF(ALLOC!$N$3="VOL_CLASS",$R38,$S38)))</f>
        <v/>
      </c>
      <c r="AG38" t="str">
        <f>IF($A38="","",IF(ALLOC!$N$1="VOL_EFF",$Q38,IF(ALLOC!$N$1="VOL_CLASS",$R38,$S38)))</f>
        <v/>
      </c>
      <c r="AH38" t="str">
        <f>IF($A38="","",IF(ALLOC!$N$1="VOL_EFF",$T38,IF(ALLOC!$N$1="VOL_CLASS",$U38,$V38)))</f>
        <v/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IF($A38="","",SUMIFS(Compta!$F$1:$F$675,Compta!$A$1:$A$675,"GRP",Compta!$B$1:$B$675,"6236",Compta!$C$1:$C$675,$A38))</f>
        <v/>
      </c>
      <c r="AP38" t="str">
        <f>IF($A38="","",IF(ALLOC!$N$2="VOL_EFF",$Q38,IF(ALLOC!$N$2="VOL_CLASS",$R38,$S38)))</f>
        <v/>
      </c>
      <c r="AQ38" t="str">
        <f>IF($A38="","",IF(ALLOC!$N$2="VOL_EFF",$T38,IF(ALLOC!$N$2="VOL_CLASS",$U38,$V38)))</f>
        <v/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IF($A39="","",SUMIFS(Socle!$K$1:$K$175,Socle!$C$1:$C$175,$B39,Socle!$D$1:$D$175,$D39,Socle!$E$1:$E$175,$E39,Socle!$F$1:$F$175,$F39,Socle!$G$1:$G$175,$A39))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 t="str">
        <f>IF($A39="","",IF(ALLOC!$N$4="VOL_EFF",$G39,IF(ALLOC!$N$4="VOL_CLASS",$H39,$I39)))</f>
        <v/>
      </c>
      <c r="AD39" t="str">
        <f>IF($A39="","",IF(ALLOC!$N$4="VOL_EFF",$L39,IF(ALLOC!$N$4="VOL_CLASS",$M39,$N39)))</f>
        <v/>
      </c>
      <c r="AE39" t="str">
        <f>IF($A39="","",IF(ALLOC!$N$3="VOL_EFF",$L39,IF(ALLOC!$N$3="VOL_CLASS",$M39,$N39)))</f>
        <v/>
      </c>
      <c r="AF39" t="str">
        <f>IF($A39="","",IF(ALLOC!$N$3="VOL_EFF",$Q39,IF(ALLOC!$N$3="VOL_CLASS",$R39,$S39)))</f>
        <v/>
      </c>
      <c r="AG39" t="str">
        <f>IF($A39="","",IF(ALLOC!$N$1="VOL_EFF",$Q39,IF(ALLOC!$N$1="VOL_CLASS",$R39,$S39)))</f>
        <v/>
      </c>
      <c r="AH39" t="str">
        <f>IF($A39="","",IF(ALLOC!$N$1="VOL_EFF",$T39,IF(ALLOC!$N$1="VOL_CLASS",$U39,$V39)))</f>
        <v/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IF($A39="","",SUMIFS(Compta!$F$1:$F$675,Compta!$A$1:$A$675,"GRP",Compta!$B$1:$B$675,"6236",Compta!$C$1:$C$675,$A39))</f>
        <v/>
      </c>
      <c r="AP39" t="str">
        <f>IF($A39="","",IF(ALLOC!$N$2="VOL_EFF",$Q39,IF(ALLOC!$N$2="VOL_CLASS",$R39,$S39)))</f>
        <v/>
      </c>
      <c r="AQ39" t="str">
        <f>IF($A39="","",IF(ALLOC!$N$2="VOL_EFF",$T39,IF(ALLOC!$N$2="VOL_CLASS",$U39,$V39)))</f>
        <v/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IF($A40="","",SUMIFS(Socle!$K$1:$K$175,Socle!$C$1:$C$175,$B40,Socle!$D$1:$D$175,$D40,Socle!$E$1:$E$175,$E40,Socle!$F$1:$F$175,$F40,Socle!$G$1:$G$175,$A40))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 t="str">
        <f>IF($A40="","",IF(ALLOC!$N$4="VOL_EFF",$G40,IF(ALLOC!$N$4="VOL_CLASS",$H40,$I40)))</f>
        <v/>
      </c>
      <c r="AD40" t="str">
        <f>IF($A40="","",IF(ALLOC!$N$4="VOL_EFF",$L40,IF(ALLOC!$N$4="VOL_CLASS",$M40,$N40)))</f>
        <v/>
      </c>
      <c r="AE40" t="str">
        <f>IF($A40="","",IF(ALLOC!$N$3="VOL_EFF",$L40,IF(ALLOC!$N$3="VOL_CLASS",$M40,$N40)))</f>
        <v/>
      </c>
      <c r="AF40" t="str">
        <f>IF($A40="","",IF(ALLOC!$N$3="VOL_EFF",$Q40,IF(ALLOC!$N$3="VOL_CLASS",$R40,$S40)))</f>
        <v/>
      </c>
      <c r="AG40" t="str">
        <f>IF($A40="","",IF(ALLOC!$N$1="VOL_EFF",$Q40,IF(ALLOC!$N$1="VOL_CLASS",$R40,$S40)))</f>
        <v/>
      </c>
      <c r="AH40" t="str">
        <f>IF($A40="","",IF(ALLOC!$N$1="VOL_EFF",$T40,IF(ALLOC!$N$1="VOL_CLASS",$U40,$V40)))</f>
        <v/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IF($A40="","",SUMIFS(Compta!$F$1:$F$675,Compta!$A$1:$A$675,"GRP",Compta!$B$1:$B$675,"6236",Compta!$C$1:$C$675,$A40))</f>
        <v/>
      </c>
      <c r="AP40" t="str">
        <f>IF($A40="","",IF(ALLOC!$N$2="VOL_EFF",$Q40,IF(ALLOC!$N$2="VOL_CLASS",$R40,$S40)))</f>
        <v/>
      </c>
      <c r="AQ40" t="str">
        <f>IF($A40="","",IF(ALLOC!$N$2="VOL_EFF",$T40,IF(ALLOC!$N$2="VOL_CLASS",$U40,$V40)))</f>
        <v/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IF($A41="","",SUMIFS(Socle!$K$1:$K$175,Socle!$C$1:$C$175,$B41,Socle!$D$1:$D$175,$D41,Socle!$E$1:$E$175,$E41,Socle!$F$1:$F$175,$F41,Socle!$G$1:$G$175,$A41))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 t="str">
        <f>IF($A41="","",IF(ALLOC!$N$4="VOL_EFF",$G41,IF(ALLOC!$N$4="VOL_CLASS",$H41,$I41)))</f>
        <v/>
      </c>
      <c r="AD41" t="str">
        <f>IF($A41="","",IF(ALLOC!$N$4="VOL_EFF",$L41,IF(ALLOC!$N$4="VOL_CLASS",$M41,$N41)))</f>
        <v/>
      </c>
      <c r="AE41" t="str">
        <f>IF($A41="","",IF(ALLOC!$N$3="VOL_EFF",$L41,IF(ALLOC!$N$3="VOL_CLASS",$M41,$N41)))</f>
        <v/>
      </c>
      <c r="AF41" t="str">
        <f>IF($A41="","",IF(ALLOC!$N$3="VOL_EFF",$Q41,IF(ALLOC!$N$3="VOL_CLASS",$R41,$S41)))</f>
        <v/>
      </c>
      <c r="AG41" t="str">
        <f>IF($A41="","",IF(ALLOC!$N$1="VOL_EFF",$Q41,IF(ALLOC!$N$1="VOL_CLASS",$R41,$S41)))</f>
        <v/>
      </c>
      <c r="AH41" t="str">
        <f>IF($A41="","",IF(ALLOC!$N$1="VOL_EFF",$T41,IF(ALLOC!$N$1="VOL_CLASS",$U41,$V41)))</f>
        <v/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IF($A41="","",SUMIFS(Compta!$F$1:$F$675,Compta!$A$1:$A$675,"GRP",Compta!$B$1:$B$675,"6236",Compta!$C$1:$C$675,$A41))</f>
        <v/>
      </c>
      <c r="AP41" t="str">
        <f>IF($A41="","",IF(ALLOC!$N$2="VOL_EFF",$Q41,IF(ALLOC!$N$2="VOL_CLASS",$R41,$S41)))</f>
        <v/>
      </c>
      <c r="AQ41" t="str">
        <f>IF($A41="","",IF(ALLOC!$N$2="VOL_EFF",$T41,IF(ALLOC!$N$2="VOL_CLASS",$U41,$V41)))</f>
        <v/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IF($A42="","",SUMIFS(Socle!$K$1:$K$175,Socle!$C$1:$C$175,$B42,Socle!$D$1:$D$175,$D42,Socle!$E$1:$E$175,$E42,Socle!$F$1:$F$175,$F42,Socle!$G$1:$G$175,$A42))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 t="str">
        <f>IF($A42="","",IF(ALLOC!$N$4="VOL_EFF",$G42,IF(ALLOC!$N$4="VOL_CLASS",$H42,$I42)))</f>
        <v/>
      </c>
      <c r="AD42" t="str">
        <f>IF($A42="","",IF(ALLOC!$N$4="VOL_EFF",$L42,IF(ALLOC!$N$4="VOL_CLASS",$M42,$N42)))</f>
        <v/>
      </c>
      <c r="AE42" t="str">
        <f>IF($A42="","",IF(ALLOC!$N$3="VOL_EFF",$L42,IF(ALLOC!$N$3="VOL_CLASS",$M42,$N42)))</f>
        <v/>
      </c>
      <c r="AF42" t="str">
        <f>IF($A42="","",IF(ALLOC!$N$3="VOL_EFF",$Q42,IF(ALLOC!$N$3="VOL_CLASS",$R42,$S42)))</f>
        <v/>
      </c>
      <c r="AG42" t="str">
        <f>IF($A42="","",IF(ALLOC!$N$1="VOL_EFF",$Q42,IF(ALLOC!$N$1="VOL_CLASS",$R42,$S42)))</f>
        <v/>
      </c>
      <c r="AH42" t="str">
        <f>IF($A42="","",IF(ALLOC!$N$1="VOL_EFF",$T42,IF(ALLOC!$N$1="VOL_CLASS",$U42,$V42)))</f>
        <v/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IF($A42="","",SUMIFS(Compta!$F$1:$F$675,Compta!$A$1:$A$675,"GRP",Compta!$B$1:$B$675,"6236",Compta!$C$1:$C$675,$A42))</f>
        <v/>
      </c>
      <c r="AP42" t="str">
        <f>IF($A42="","",IF(ALLOC!$N$2="VOL_EFF",$Q42,IF(ALLOC!$N$2="VOL_CLASS",$R42,$S42)))</f>
        <v/>
      </c>
      <c r="AQ42" t="str">
        <f>IF($A42="","",IF(ALLOC!$N$2="VOL_EFF",$T42,IF(ALLOC!$N$2="VOL_CLASS",$U42,$V42)))</f>
        <v/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IF($A43="","",SUMIFS(Socle!$K$1:$K$175,Socle!$C$1:$C$175,$B43,Socle!$D$1:$D$175,$D43,Socle!$E$1:$E$175,$E43,Socle!$F$1:$F$175,$F43,Socle!$G$1:$G$175,$A43))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 t="str">
        <f>IF($A43="","",IF(ALLOC!$N$4="VOL_EFF",$G43,IF(ALLOC!$N$4="VOL_CLASS",$H43,$I43)))</f>
        <v/>
      </c>
      <c r="AD43" t="str">
        <f>IF($A43="","",IF(ALLOC!$N$4="VOL_EFF",$L43,IF(ALLOC!$N$4="VOL_CLASS",$M43,$N43)))</f>
        <v/>
      </c>
      <c r="AE43" t="str">
        <f>IF($A43="","",IF(ALLOC!$N$3="VOL_EFF",$L43,IF(ALLOC!$N$3="VOL_CLASS",$M43,$N43)))</f>
        <v/>
      </c>
      <c r="AF43" t="str">
        <f>IF($A43="","",IF(ALLOC!$N$3="VOL_EFF",$Q43,IF(ALLOC!$N$3="VOL_CLASS",$R43,$S43)))</f>
        <v/>
      </c>
      <c r="AG43" t="str">
        <f>IF($A43="","",IF(ALLOC!$N$1="VOL_EFF",$Q43,IF(ALLOC!$N$1="VOL_CLASS",$R43,$S43)))</f>
        <v/>
      </c>
      <c r="AH43" t="str">
        <f>IF($A43="","",IF(ALLOC!$N$1="VOL_EFF",$T43,IF(ALLOC!$N$1="VOL_CLASS",$U43,$V43)))</f>
        <v/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IF($A43="","",SUMIFS(Compta!$F$1:$F$675,Compta!$A$1:$A$675,"GRP",Compta!$B$1:$B$675,"6236",Compta!$C$1:$C$675,$A43))</f>
        <v/>
      </c>
      <c r="AP43" t="str">
        <f>IF($A43="","",IF(ALLOC!$N$2="VOL_EFF",$Q43,IF(ALLOC!$N$2="VOL_CLASS",$R43,$S43)))</f>
        <v/>
      </c>
      <c r="AQ43" t="str">
        <f>IF($A43="","",IF(ALLOC!$N$2="VOL_EFF",$T43,IF(ALLOC!$N$2="VOL_CLASS",$U43,$V43)))</f>
        <v/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IF($A44="","",SUMIFS(Socle!$K$1:$K$175,Socle!$C$1:$C$175,$B44,Socle!$D$1:$D$175,$D44,Socle!$E$1:$E$175,$E44,Socle!$F$1:$F$175,$F44,Socle!$G$1:$G$175,$A44))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 t="str">
        <f>IF($A44="","",IF(ALLOC!$N$4="VOL_EFF",$G44,IF(ALLOC!$N$4="VOL_CLASS",$H44,$I44)))</f>
        <v/>
      </c>
      <c r="AD44" t="str">
        <f>IF($A44="","",IF(ALLOC!$N$4="VOL_EFF",$L44,IF(ALLOC!$N$4="VOL_CLASS",$M44,$N44)))</f>
        <v/>
      </c>
      <c r="AE44" t="str">
        <f>IF($A44="","",IF(ALLOC!$N$3="VOL_EFF",$L44,IF(ALLOC!$N$3="VOL_CLASS",$M44,$N44)))</f>
        <v/>
      </c>
      <c r="AF44" t="str">
        <f>IF($A44="","",IF(ALLOC!$N$3="VOL_EFF",$Q44,IF(ALLOC!$N$3="VOL_CLASS",$R44,$S44)))</f>
        <v/>
      </c>
      <c r="AG44" t="str">
        <f>IF($A44="","",IF(ALLOC!$N$1="VOL_EFF",$Q44,IF(ALLOC!$N$1="VOL_CLASS",$R44,$S44)))</f>
        <v/>
      </c>
      <c r="AH44" t="str">
        <f>IF($A44="","",IF(ALLOC!$N$1="VOL_EFF",$T44,IF(ALLOC!$N$1="VOL_CLASS",$U44,$V44)))</f>
        <v/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IF($A44="","",SUMIFS(Compta!$F$1:$F$675,Compta!$A$1:$A$675,"GRP",Compta!$B$1:$B$675,"6236",Compta!$C$1:$C$675,$A44))</f>
        <v/>
      </c>
      <c r="AP44" t="str">
        <f>IF($A44="","",IF(ALLOC!$N$2="VOL_EFF",$Q44,IF(ALLOC!$N$2="VOL_CLASS",$R44,$S44)))</f>
        <v/>
      </c>
      <c r="AQ44" t="str">
        <f>IF($A44="","",IF(ALLOC!$N$2="VOL_EFF",$T44,IF(ALLOC!$N$2="VOL_CLASS",$U44,$V44)))</f>
        <v/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IF($A45="","",SUMIFS(Socle!$K$1:$K$175,Socle!$C$1:$C$175,$B45,Socle!$D$1:$D$175,$D45,Socle!$E$1:$E$175,$E45,Socle!$F$1:$F$175,$F45,Socle!$G$1:$G$175,$A45))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 t="str">
        <f>IF($A45="","",IF(ALLOC!$N$4="VOL_EFF",$G45,IF(ALLOC!$N$4="VOL_CLASS",$H45,$I45)))</f>
        <v/>
      </c>
      <c r="AD45" t="str">
        <f>IF($A45="","",IF(ALLOC!$N$4="VOL_EFF",$L45,IF(ALLOC!$N$4="VOL_CLASS",$M45,$N45)))</f>
        <v/>
      </c>
      <c r="AE45" t="str">
        <f>IF($A45="","",IF(ALLOC!$N$3="VOL_EFF",$L45,IF(ALLOC!$N$3="VOL_CLASS",$M45,$N45)))</f>
        <v/>
      </c>
      <c r="AF45" t="str">
        <f>IF($A45="","",IF(ALLOC!$N$3="VOL_EFF",$Q45,IF(ALLOC!$N$3="VOL_CLASS",$R45,$S45)))</f>
        <v/>
      </c>
      <c r="AG45" t="str">
        <f>IF($A45="","",IF(ALLOC!$N$1="VOL_EFF",$Q45,IF(ALLOC!$N$1="VOL_CLASS",$R45,$S45)))</f>
        <v/>
      </c>
      <c r="AH45" t="str">
        <f>IF($A45="","",IF(ALLOC!$N$1="VOL_EFF",$T45,IF(ALLOC!$N$1="VOL_CLASS",$U45,$V45)))</f>
        <v/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IF($A45="","",SUMIFS(Compta!$F$1:$F$675,Compta!$A$1:$A$675,"GRP",Compta!$B$1:$B$675,"6236",Compta!$C$1:$C$675,$A45))</f>
        <v/>
      </c>
      <c r="AP45" t="str">
        <f>IF($A45="","",IF(ALLOC!$N$2="VOL_EFF",$Q45,IF(ALLOC!$N$2="VOL_CLASS",$R45,$S45)))</f>
        <v/>
      </c>
      <c r="AQ45" t="str">
        <f>IF($A45="","",IF(ALLOC!$N$2="VOL_EFF",$T45,IF(ALLOC!$N$2="VOL_CLASS",$U45,$V45)))</f>
        <v/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IF($A46="","",SUMIFS(Socle!$K$1:$K$175,Socle!$C$1:$C$175,$B46,Socle!$D$1:$D$175,$D46,Socle!$E$1:$E$175,$E46,Socle!$F$1:$F$175,$F46,Socle!$G$1:$G$175,$A46))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 t="str">
        <f>IF($A46="","",IF(ALLOC!$N$4="VOL_EFF",$G46,IF(ALLOC!$N$4="VOL_CLASS",$H46,$I46)))</f>
        <v/>
      </c>
      <c r="AD46" t="str">
        <f>IF($A46="","",IF(ALLOC!$N$4="VOL_EFF",$L46,IF(ALLOC!$N$4="VOL_CLASS",$M46,$N46)))</f>
        <v/>
      </c>
      <c r="AE46" t="str">
        <f>IF($A46="","",IF(ALLOC!$N$3="VOL_EFF",$L46,IF(ALLOC!$N$3="VOL_CLASS",$M46,$N46)))</f>
        <v/>
      </c>
      <c r="AF46" t="str">
        <f>IF($A46="","",IF(ALLOC!$N$3="VOL_EFF",$Q46,IF(ALLOC!$N$3="VOL_CLASS",$R46,$S46)))</f>
        <v/>
      </c>
      <c r="AG46" t="str">
        <f>IF($A46="","",IF(ALLOC!$N$1="VOL_EFF",$Q46,IF(ALLOC!$N$1="VOL_CLASS",$R46,$S46)))</f>
        <v/>
      </c>
      <c r="AH46" t="str">
        <f>IF($A46="","",IF(ALLOC!$N$1="VOL_EFF",$T46,IF(ALLOC!$N$1="VOL_CLASS",$U46,$V46)))</f>
        <v/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IF($A46="","",SUMIFS(Compta!$F$1:$F$675,Compta!$A$1:$A$675,"GRP",Compta!$B$1:$B$675,"6236",Compta!$C$1:$C$675,$A46))</f>
        <v/>
      </c>
      <c r="AP46" t="str">
        <f>IF($A46="","",IF(ALLOC!$N$2="VOL_EFF",$Q46,IF(ALLOC!$N$2="VOL_CLASS",$R46,$S46)))</f>
        <v/>
      </c>
      <c r="AQ46" t="str">
        <f>IF($A46="","",IF(ALLOC!$N$2="VOL_EFF",$T46,IF(ALLOC!$N$2="VOL_CLASS",$U46,$V46)))</f>
        <v/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IF($A47="","",SUMIFS(Socle!$K$1:$K$175,Socle!$C$1:$C$175,$B47,Socle!$D$1:$D$175,$D47,Socle!$E$1:$E$175,$E47,Socle!$F$1:$F$175,$F47,Socle!$G$1:$G$175,$A47))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 t="str">
        <f>IF($A47="","",IF(ALLOC!$N$4="VOL_EFF",$G47,IF(ALLOC!$N$4="VOL_CLASS",$H47,$I47)))</f>
        <v/>
      </c>
      <c r="AD47" t="str">
        <f>IF($A47="","",IF(ALLOC!$N$4="VOL_EFF",$L47,IF(ALLOC!$N$4="VOL_CLASS",$M47,$N47)))</f>
        <v/>
      </c>
      <c r="AE47" t="str">
        <f>IF($A47="","",IF(ALLOC!$N$3="VOL_EFF",$L47,IF(ALLOC!$N$3="VOL_CLASS",$M47,$N47)))</f>
        <v/>
      </c>
      <c r="AF47" t="str">
        <f>IF($A47="","",IF(ALLOC!$N$3="VOL_EFF",$Q47,IF(ALLOC!$N$3="VOL_CLASS",$R47,$S47)))</f>
        <v/>
      </c>
      <c r="AG47" t="str">
        <f>IF($A47="","",IF(ALLOC!$N$1="VOL_EFF",$Q47,IF(ALLOC!$N$1="VOL_CLASS",$R47,$S47)))</f>
        <v/>
      </c>
      <c r="AH47" t="str">
        <f>IF($A47="","",IF(ALLOC!$N$1="VOL_EFF",$T47,IF(ALLOC!$N$1="VOL_CLASS",$U47,$V47)))</f>
        <v/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IF($A47="","",SUMIFS(Compta!$F$1:$F$675,Compta!$A$1:$A$675,"GRP",Compta!$B$1:$B$675,"6236",Compta!$C$1:$C$675,$A47))</f>
        <v/>
      </c>
      <c r="AP47" t="str">
        <f>IF($A47="","",IF(ALLOC!$N$2="VOL_EFF",$Q47,IF(ALLOC!$N$2="VOL_CLASS",$R47,$S47)))</f>
        <v/>
      </c>
      <c r="AQ47" t="str">
        <f>IF($A47="","",IF(ALLOC!$N$2="VOL_EFF",$T47,IF(ALLOC!$N$2="VOL_CLASS",$U47,$V47)))</f>
        <v/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IF($A48="","",SUMIFS(Socle!$K$1:$K$175,Socle!$C$1:$C$175,$B48,Socle!$D$1:$D$175,$D48,Socle!$E$1:$E$175,$E48,Socle!$F$1:$F$175,$F48,Socle!$G$1:$G$175,$A48))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 t="str">
        <f>IF($A48="","",IF(ALLOC!$N$4="VOL_EFF",$G48,IF(ALLOC!$N$4="VOL_CLASS",$H48,$I48)))</f>
        <v/>
      </c>
      <c r="AD48" t="str">
        <f>IF($A48="","",IF(ALLOC!$N$4="VOL_EFF",$L48,IF(ALLOC!$N$4="VOL_CLASS",$M48,$N48)))</f>
        <v/>
      </c>
      <c r="AE48" t="str">
        <f>IF($A48="","",IF(ALLOC!$N$3="VOL_EFF",$L48,IF(ALLOC!$N$3="VOL_CLASS",$M48,$N48)))</f>
        <v/>
      </c>
      <c r="AF48" t="str">
        <f>IF($A48="","",IF(ALLOC!$N$3="VOL_EFF",$Q48,IF(ALLOC!$N$3="VOL_CLASS",$R48,$S48)))</f>
        <v/>
      </c>
      <c r="AG48" t="str">
        <f>IF($A48="","",IF(ALLOC!$N$1="VOL_EFF",$Q48,IF(ALLOC!$N$1="VOL_CLASS",$R48,$S48)))</f>
        <v/>
      </c>
      <c r="AH48" t="str">
        <f>IF($A48="","",IF(ALLOC!$N$1="VOL_EFF",$T48,IF(ALLOC!$N$1="VOL_CLASS",$U48,$V48)))</f>
        <v/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IF($A48="","",SUMIFS(Compta!$F$1:$F$675,Compta!$A$1:$A$675,"GRP",Compta!$B$1:$B$675,"6236",Compta!$C$1:$C$675,$A48))</f>
        <v/>
      </c>
      <c r="AP48" t="str">
        <f>IF($A48="","",IF(ALLOC!$N$2="VOL_EFF",$Q48,IF(ALLOC!$N$2="VOL_CLASS",$R48,$S48)))</f>
        <v/>
      </c>
      <c r="AQ48" t="str">
        <f>IF($A48="","",IF(ALLOC!$N$2="VOL_EFF",$T48,IF(ALLOC!$N$2="VOL_CLASS",$U48,$V48)))</f>
        <v/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IF($A49="","",SUMIFS(Socle!$K$1:$K$175,Socle!$C$1:$C$175,$B49,Socle!$D$1:$D$175,$D49,Socle!$E$1:$E$175,$E49,Socle!$F$1:$F$175,$F49,Socle!$G$1:$G$175,$A49))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 t="str">
        <f>IF($A49="","",IF(ALLOC!$N$4="VOL_EFF",$G49,IF(ALLOC!$N$4="VOL_CLASS",$H49,$I49)))</f>
        <v/>
      </c>
      <c r="AD49" t="str">
        <f>IF($A49="","",IF(ALLOC!$N$4="VOL_EFF",$L49,IF(ALLOC!$N$4="VOL_CLASS",$M49,$N49)))</f>
        <v/>
      </c>
      <c r="AE49" t="str">
        <f>IF($A49="","",IF(ALLOC!$N$3="VOL_EFF",$L49,IF(ALLOC!$N$3="VOL_CLASS",$M49,$N49)))</f>
        <v/>
      </c>
      <c r="AF49" t="str">
        <f>IF($A49="","",IF(ALLOC!$N$3="VOL_EFF",$Q49,IF(ALLOC!$N$3="VOL_CLASS",$R49,$S49)))</f>
        <v/>
      </c>
      <c r="AG49" t="str">
        <f>IF($A49="","",IF(ALLOC!$N$1="VOL_EFF",$Q49,IF(ALLOC!$N$1="VOL_CLASS",$R49,$S49)))</f>
        <v/>
      </c>
      <c r="AH49" t="str">
        <f>IF($A49="","",IF(ALLOC!$N$1="VOL_EFF",$T49,IF(ALLOC!$N$1="VOL_CLASS",$U49,$V49)))</f>
        <v/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IF($A49="","",SUMIFS(Compta!$F$1:$F$675,Compta!$A$1:$A$675,"GRP",Compta!$B$1:$B$675,"6236",Compta!$C$1:$C$675,$A49))</f>
        <v/>
      </c>
      <c r="AP49" t="str">
        <f>IF($A49="","",IF(ALLOC!$N$2="VOL_EFF",$Q49,IF(ALLOC!$N$2="VOL_CLASS",$R49,$S49)))</f>
        <v/>
      </c>
      <c r="AQ49" t="str">
        <f>IF($A49="","",IF(ALLOC!$N$2="VOL_EFF",$T49,IF(ALLOC!$N$2="VOL_CLASS",$U49,$V49)))</f>
        <v/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IF($A50="","",SUMIFS(Socle!$K$1:$K$175,Socle!$C$1:$C$175,$B50,Socle!$D$1:$D$175,$D50,Socle!$E$1:$E$175,$E50,Socle!$F$1:$F$175,$F50,Socle!$G$1:$G$175,$A50))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 t="str">
        <f>IF($A50="","",IF(ALLOC!$N$4="VOL_EFF",$G50,IF(ALLOC!$N$4="VOL_CLASS",$H50,$I50)))</f>
        <v/>
      </c>
      <c r="AD50" t="str">
        <f>IF($A50="","",IF(ALLOC!$N$4="VOL_EFF",$L50,IF(ALLOC!$N$4="VOL_CLASS",$M50,$N50)))</f>
        <v/>
      </c>
      <c r="AE50" t="str">
        <f>IF($A50="","",IF(ALLOC!$N$3="VOL_EFF",$L50,IF(ALLOC!$N$3="VOL_CLASS",$M50,$N50)))</f>
        <v/>
      </c>
      <c r="AF50" t="str">
        <f>IF($A50="","",IF(ALLOC!$N$3="VOL_EFF",$Q50,IF(ALLOC!$N$3="VOL_CLASS",$R50,$S50)))</f>
        <v/>
      </c>
      <c r="AG50" t="str">
        <f>IF($A50="","",IF(ALLOC!$N$1="VOL_EFF",$Q50,IF(ALLOC!$N$1="VOL_CLASS",$R50,$S50)))</f>
        <v/>
      </c>
      <c r="AH50" t="str">
        <f>IF($A50="","",IF(ALLOC!$N$1="VOL_EFF",$T50,IF(ALLOC!$N$1="VOL_CLASS",$U50,$V50)))</f>
        <v/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IF($A50="","",SUMIFS(Compta!$F$1:$F$675,Compta!$A$1:$A$675,"GRP",Compta!$B$1:$B$675,"6236",Compta!$C$1:$C$675,$A50))</f>
        <v/>
      </c>
      <c r="AP50" t="str">
        <f>IF($A50="","",IF(ALLOC!$N$2="VOL_EFF",$Q50,IF(ALLOC!$N$2="VOL_CLASS",$R50,$S50)))</f>
        <v/>
      </c>
      <c r="AQ50" t="str">
        <f>IF($A50="","",IF(ALLOC!$N$2="VOL_EFF",$T50,IF(ALLOC!$N$2="VOL_CLASS",$U50,$V50)))</f>
        <v/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IF($A51="","",SUMIFS(Socle!$K$1:$K$175,Socle!$C$1:$C$175,$B51,Socle!$D$1:$D$175,$D51,Socle!$E$1:$E$175,$E51,Socle!$F$1:$F$175,$F51,Socle!$G$1:$G$175,$A51))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 t="str">
        <f>IF($A51="","",IF(ALLOC!$N$4="VOL_EFF",$G51,IF(ALLOC!$N$4="VOL_CLASS",$H51,$I51)))</f>
        <v/>
      </c>
      <c r="AD51" t="str">
        <f>IF($A51="","",IF(ALLOC!$N$4="VOL_EFF",$L51,IF(ALLOC!$N$4="VOL_CLASS",$M51,$N51)))</f>
        <v/>
      </c>
      <c r="AE51" t="str">
        <f>IF($A51="","",IF(ALLOC!$N$3="VOL_EFF",$L51,IF(ALLOC!$N$3="VOL_CLASS",$M51,$N51)))</f>
        <v/>
      </c>
      <c r="AF51" t="str">
        <f>IF($A51="","",IF(ALLOC!$N$3="VOL_EFF",$Q51,IF(ALLOC!$N$3="VOL_CLASS",$R51,$S51)))</f>
        <v/>
      </c>
      <c r="AG51" t="str">
        <f>IF($A51="","",IF(ALLOC!$N$1="VOL_EFF",$Q51,IF(ALLOC!$N$1="VOL_CLASS",$R51,$S51)))</f>
        <v/>
      </c>
      <c r="AH51" t="str">
        <f>IF($A51="","",IF(ALLOC!$N$1="VOL_EFF",$T51,IF(ALLOC!$N$1="VOL_CLASS",$U51,$V51)))</f>
        <v/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IF($A51="","",SUMIFS(Compta!$F$1:$F$675,Compta!$A$1:$A$675,"GRP",Compta!$B$1:$B$675,"6236",Compta!$C$1:$C$675,$A51))</f>
        <v/>
      </c>
      <c r="AP51" t="str">
        <f>IF($A51="","",IF(ALLOC!$N$2="VOL_EFF",$Q51,IF(ALLOC!$N$2="VOL_CLASS",$R51,$S51)))</f>
        <v/>
      </c>
      <c r="AQ51" t="str">
        <f>IF($A51="","",IF(ALLOC!$N$2="VOL_EFF",$T51,IF(ALLOC!$N$2="VOL_CLASS",$U51,$V51)))</f>
        <v/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IF($A52="","",SUMIFS(Socle!$K$1:$K$175,Socle!$C$1:$C$175,$B52,Socle!$D$1:$D$175,$D52,Socle!$E$1:$E$175,$E52,Socle!$F$1:$F$175,$F52,Socle!$G$1:$G$175,$A52))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 t="str">
        <f>IF($A52="","",IF(ALLOC!$N$4="VOL_EFF",$G52,IF(ALLOC!$N$4="VOL_CLASS",$H52,$I52)))</f>
        <v/>
      </c>
      <c r="AD52" t="str">
        <f>IF($A52="","",IF(ALLOC!$N$4="VOL_EFF",$L52,IF(ALLOC!$N$4="VOL_CLASS",$M52,$N52)))</f>
        <v/>
      </c>
      <c r="AE52" t="str">
        <f>IF($A52="","",IF(ALLOC!$N$3="VOL_EFF",$L52,IF(ALLOC!$N$3="VOL_CLASS",$M52,$N52)))</f>
        <v/>
      </c>
      <c r="AF52" t="str">
        <f>IF($A52="","",IF(ALLOC!$N$3="VOL_EFF",$Q52,IF(ALLOC!$N$3="VOL_CLASS",$R52,$S52)))</f>
        <v/>
      </c>
      <c r="AG52" t="str">
        <f>IF($A52="","",IF(ALLOC!$N$1="VOL_EFF",$Q52,IF(ALLOC!$N$1="VOL_CLASS",$R52,$S52)))</f>
        <v/>
      </c>
      <c r="AH52" t="str">
        <f>IF($A52="","",IF(ALLOC!$N$1="VOL_EFF",$T52,IF(ALLOC!$N$1="VOL_CLASS",$U52,$V52)))</f>
        <v/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IF($A52="","",SUMIFS(Compta!$F$1:$F$675,Compta!$A$1:$A$675,"GRP",Compta!$B$1:$B$675,"6236",Compta!$C$1:$C$675,$A52))</f>
        <v/>
      </c>
      <c r="AP52" t="str">
        <f>IF($A52="","",IF(ALLOC!$N$2="VOL_EFF",$Q52,IF(ALLOC!$N$2="VOL_CLASS",$R52,$S52)))</f>
        <v/>
      </c>
      <c r="AQ52" t="str">
        <f>IF($A52="","",IF(ALLOC!$N$2="VOL_EFF",$T52,IF(ALLOC!$N$2="VOL_CLASS",$U52,$V52)))</f>
        <v/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IF($A53="","",SUMIFS(Socle!$K$1:$K$175,Socle!$C$1:$C$175,$B53,Socle!$D$1:$D$175,$D53,Socle!$E$1:$E$175,$E53,Socle!$F$1:$F$175,$F53,Socle!$G$1:$G$175,$A53))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 t="str">
        <f>IF($A53="","",IF(ALLOC!$N$4="VOL_EFF",$G53,IF(ALLOC!$N$4="VOL_CLASS",$H53,$I53)))</f>
        <v/>
      </c>
      <c r="AD53" t="str">
        <f>IF($A53="","",IF(ALLOC!$N$4="VOL_EFF",$L53,IF(ALLOC!$N$4="VOL_CLASS",$M53,$N53)))</f>
        <v/>
      </c>
      <c r="AE53" t="str">
        <f>IF($A53="","",IF(ALLOC!$N$3="VOL_EFF",$L53,IF(ALLOC!$N$3="VOL_CLASS",$M53,$N53)))</f>
        <v/>
      </c>
      <c r="AF53" t="str">
        <f>IF($A53="","",IF(ALLOC!$N$3="VOL_EFF",$Q53,IF(ALLOC!$N$3="VOL_CLASS",$R53,$S53)))</f>
        <v/>
      </c>
      <c r="AG53" t="str">
        <f>IF($A53="","",IF(ALLOC!$N$1="VOL_EFF",$Q53,IF(ALLOC!$N$1="VOL_CLASS",$R53,$S53)))</f>
        <v/>
      </c>
      <c r="AH53" t="str">
        <f>IF($A53="","",IF(ALLOC!$N$1="VOL_EFF",$T53,IF(ALLOC!$N$1="VOL_CLASS",$U53,$V53)))</f>
        <v/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IF($A53="","",SUMIFS(Compta!$F$1:$F$675,Compta!$A$1:$A$675,"GRP",Compta!$B$1:$B$675,"6236",Compta!$C$1:$C$675,$A53))</f>
        <v/>
      </c>
      <c r="AP53" t="str">
        <f>IF($A53="","",IF(ALLOC!$N$2="VOL_EFF",$Q53,IF(ALLOC!$N$2="VOL_CLASS",$R53,$S53)))</f>
        <v/>
      </c>
      <c r="AQ53" t="str">
        <f>IF($A53="","",IF(ALLOC!$N$2="VOL_EFF",$T53,IF(ALLOC!$N$2="VOL_CLASS",$U53,$V53)))</f>
        <v/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IF($A54="","",SUMIFS(Socle!$K$1:$K$175,Socle!$C$1:$C$175,$B54,Socle!$D$1:$D$175,$D54,Socle!$E$1:$E$175,$E54,Socle!$F$1:$F$175,$F54,Socle!$G$1:$G$175,$A54))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 t="str">
        <f>IF($A54="","",IF(ALLOC!$N$4="VOL_EFF",$G54,IF(ALLOC!$N$4="VOL_CLASS",$H54,$I54)))</f>
        <v/>
      </c>
      <c r="AD54" t="str">
        <f>IF($A54="","",IF(ALLOC!$N$4="VOL_EFF",$L54,IF(ALLOC!$N$4="VOL_CLASS",$M54,$N54)))</f>
        <v/>
      </c>
      <c r="AE54" t="str">
        <f>IF($A54="","",IF(ALLOC!$N$3="VOL_EFF",$L54,IF(ALLOC!$N$3="VOL_CLASS",$M54,$N54)))</f>
        <v/>
      </c>
      <c r="AF54" t="str">
        <f>IF($A54="","",IF(ALLOC!$N$3="VOL_EFF",$Q54,IF(ALLOC!$N$3="VOL_CLASS",$R54,$S54)))</f>
        <v/>
      </c>
      <c r="AG54" t="str">
        <f>IF($A54="","",IF(ALLOC!$N$1="VOL_EFF",$Q54,IF(ALLOC!$N$1="VOL_CLASS",$R54,$S54)))</f>
        <v/>
      </c>
      <c r="AH54" t="str">
        <f>IF($A54="","",IF(ALLOC!$N$1="VOL_EFF",$T54,IF(ALLOC!$N$1="VOL_CLASS",$U54,$V54)))</f>
        <v/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IF($A54="","",SUMIFS(Compta!$F$1:$F$675,Compta!$A$1:$A$675,"GRP",Compta!$B$1:$B$675,"6236",Compta!$C$1:$C$675,$A54))</f>
        <v/>
      </c>
      <c r="AP54" t="str">
        <f>IF($A54="","",IF(ALLOC!$N$2="VOL_EFF",$Q54,IF(ALLOC!$N$2="VOL_CLASS",$R54,$S54)))</f>
        <v/>
      </c>
      <c r="AQ54" t="str">
        <f>IF($A54="","",IF(ALLOC!$N$2="VOL_EFF",$T54,IF(ALLOC!$N$2="VOL_CLASS",$U54,$V54)))</f>
        <v/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IF($A55="","",SUMIFS(Socle!$K$1:$K$175,Socle!$C$1:$C$175,$B55,Socle!$D$1:$D$175,$D55,Socle!$E$1:$E$175,$E55,Socle!$F$1:$F$175,$F55,Socle!$G$1:$G$175,$A55))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 t="str">
        <f>IF($A55="","",IF(ALLOC!$N$4="VOL_EFF",$G55,IF(ALLOC!$N$4="VOL_CLASS",$H55,$I55)))</f>
        <v/>
      </c>
      <c r="AD55" t="str">
        <f>IF($A55="","",IF(ALLOC!$N$4="VOL_EFF",$L55,IF(ALLOC!$N$4="VOL_CLASS",$M55,$N55)))</f>
        <v/>
      </c>
      <c r="AE55" t="str">
        <f>IF($A55="","",IF(ALLOC!$N$3="VOL_EFF",$L55,IF(ALLOC!$N$3="VOL_CLASS",$M55,$N55)))</f>
        <v/>
      </c>
      <c r="AF55" t="str">
        <f>IF($A55="","",IF(ALLOC!$N$3="VOL_EFF",$Q55,IF(ALLOC!$N$3="VOL_CLASS",$R55,$S55)))</f>
        <v/>
      </c>
      <c r="AG55" t="str">
        <f>IF($A55="","",IF(ALLOC!$N$1="VOL_EFF",$Q55,IF(ALLOC!$N$1="VOL_CLASS",$R55,$S55)))</f>
        <v/>
      </c>
      <c r="AH55" t="str">
        <f>IF($A55="","",IF(ALLOC!$N$1="VOL_EFF",$T55,IF(ALLOC!$N$1="VOL_CLASS",$U55,$V55)))</f>
        <v/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IF($A55="","",SUMIFS(Compta!$F$1:$F$675,Compta!$A$1:$A$675,"GRP",Compta!$B$1:$B$675,"6236",Compta!$C$1:$C$675,$A55))</f>
        <v/>
      </c>
      <c r="AP55" t="str">
        <f>IF($A55="","",IF(ALLOC!$N$2="VOL_EFF",$Q55,IF(ALLOC!$N$2="VOL_CLASS",$R55,$S55)))</f>
        <v/>
      </c>
      <c r="AQ55" t="str">
        <f>IF($A55="","",IF(ALLOC!$N$2="VOL_EFF",$T55,IF(ALLOC!$N$2="VOL_CLASS",$U55,$V55)))</f>
        <v/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IF($A56="","",SUMIFS(Socle!$K$1:$K$175,Socle!$C$1:$C$175,$B56,Socle!$D$1:$D$175,$D56,Socle!$E$1:$E$175,$E56,Socle!$F$1:$F$175,$F56,Socle!$G$1:$G$175,$A56))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 t="str">
        <f>IF($A56="","",IF(ALLOC!$N$4="VOL_EFF",$G56,IF(ALLOC!$N$4="VOL_CLASS",$H56,$I56)))</f>
        <v/>
      </c>
      <c r="AD56" t="str">
        <f>IF($A56="","",IF(ALLOC!$N$4="VOL_EFF",$L56,IF(ALLOC!$N$4="VOL_CLASS",$M56,$N56)))</f>
        <v/>
      </c>
      <c r="AE56" t="str">
        <f>IF($A56="","",IF(ALLOC!$N$3="VOL_EFF",$L56,IF(ALLOC!$N$3="VOL_CLASS",$M56,$N56)))</f>
        <v/>
      </c>
      <c r="AF56" t="str">
        <f>IF($A56="","",IF(ALLOC!$N$3="VOL_EFF",$Q56,IF(ALLOC!$N$3="VOL_CLASS",$R56,$S56)))</f>
        <v/>
      </c>
      <c r="AG56" t="str">
        <f>IF($A56="","",IF(ALLOC!$N$1="VOL_EFF",$Q56,IF(ALLOC!$N$1="VOL_CLASS",$R56,$S56)))</f>
        <v/>
      </c>
      <c r="AH56" t="str">
        <f>IF($A56="","",IF(ALLOC!$N$1="VOL_EFF",$T56,IF(ALLOC!$N$1="VOL_CLASS",$U56,$V56)))</f>
        <v/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IF($A56="","",SUMIFS(Compta!$F$1:$F$675,Compta!$A$1:$A$675,"GRP",Compta!$B$1:$B$675,"6236",Compta!$C$1:$C$675,$A56))</f>
        <v/>
      </c>
      <c r="AP56" t="str">
        <f>IF($A56="","",IF(ALLOC!$N$2="VOL_EFF",$Q56,IF(ALLOC!$N$2="VOL_CLASS",$R56,$S56)))</f>
        <v/>
      </c>
      <c r="AQ56" t="str">
        <f>IF($A56="","",IF(ALLOC!$N$2="VOL_EFF",$T56,IF(ALLOC!$N$2="VOL_CLASS",$U56,$V56)))</f>
        <v/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IF($A57="","",SUMIFS(Socle!$K$1:$K$175,Socle!$C$1:$C$175,$B57,Socle!$D$1:$D$175,$D57,Socle!$E$1:$E$175,$E57,Socle!$F$1:$F$175,$F57,Socle!$G$1:$G$175,$A57))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 t="str">
        <f>IF($A57="","",IF(ALLOC!$N$4="VOL_EFF",$G57,IF(ALLOC!$N$4="VOL_CLASS",$H57,$I57)))</f>
        <v/>
      </c>
      <c r="AD57" t="str">
        <f>IF($A57="","",IF(ALLOC!$N$4="VOL_EFF",$L57,IF(ALLOC!$N$4="VOL_CLASS",$M57,$N57)))</f>
        <v/>
      </c>
      <c r="AE57" t="str">
        <f>IF($A57="","",IF(ALLOC!$N$3="VOL_EFF",$L57,IF(ALLOC!$N$3="VOL_CLASS",$M57,$N57)))</f>
        <v/>
      </c>
      <c r="AF57" t="str">
        <f>IF($A57="","",IF(ALLOC!$N$3="VOL_EFF",$Q57,IF(ALLOC!$N$3="VOL_CLASS",$R57,$S57)))</f>
        <v/>
      </c>
      <c r="AG57" t="str">
        <f>IF($A57="","",IF(ALLOC!$N$1="VOL_EFF",$Q57,IF(ALLOC!$N$1="VOL_CLASS",$R57,$S57)))</f>
        <v/>
      </c>
      <c r="AH57" t="str">
        <f>IF($A57="","",IF(ALLOC!$N$1="VOL_EFF",$T57,IF(ALLOC!$N$1="VOL_CLASS",$U57,$V57)))</f>
        <v/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IF($A57="","",SUMIFS(Compta!$F$1:$F$675,Compta!$A$1:$A$675,"GRP",Compta!$B$1:$B$675,"6236",Compta!$C$1:$C$675,$A57))</f>
        <v/>
      </c>
      <c r="AP57" t="str">
        <f>IF($A57="","",IF(ALLOC!$N$2="VOL_EFF",$Q57,IF(ALLOC!$N$2="VOL_CLASS",$R57,$S57)))</f>
        <v/>
      </c>
      <c r="AQ57" t="str">
        <f>IF($A57="","",IF(ALLOC!$N$2="VOL_EFF",$T57,IF(ALLOC!$N$2="VOL_CLASS",$U57,$V57)))</f>
        <v/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IF($A58="","",SUMIFS(Socle!$K$1:$K$175,Socle!$C$1:$C$175,$B58,Socle!$D$1:$D$175,$D58,Socle!$E$1:$E$175,$E58,Socle!$F$1:$F$175,$F58,Socle!$G$1:$G$175,$A58))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 t="str">
        <f>IF($A58="","",IF(ALLOC!$N$4="VOL_EFF",$G58,IF(ALLOC!$N$4="VOL_CLASS",$H58,$I58)))</f>
        <v/>
      </c>
      <c r="AD58" t="str">
        <f>IF($A58="","",IF(ALLOC!$N$4="VOL_EFF",$L58,IF(ALLOC!$N$4="VOL_CLASS",$M58,$N58)))</f>
        <v/>
      </c>
      <c r="AE58" t="str">
        <f>IF($A58="","",IF(ALLOC!$N$3="VOL_EFF",$L58,IF(ALLOC!$N$3="VOL_CLASS",$M58,$N58)))</f>
        <v/>
      </c>
      <c r="AF58" t="str">
        <f>IF($A58="","",IF(ALLOC!$N$3="VOL_EFF",$Q58,IF(ALLOC!$N$3="VOL_CLASS",$R58,$S58)))</f>
        <v/>
      </c>
      <c r="AG58" t="str">
        <f>IF($A58="","",IF(ALLOC!$N$1="VOL_EFF",$Q58,IF(ALLOC!$N$1="VOL_CLASS",$R58,$S58)))</f>
        <v/>
      </c>
      <c r="AH58" t="str">
        <f>IF($A58="","",IF(ALLOC!$N$1="VOL_EFF",$T58,IF(ALLOC!$N$1="VOL_CLASS",$U58,$V58)))</f>
        <v/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IF($A58="","",SUMIFS(Compta!$F$1:$F$675,Compta!$A$1:$A$675,"GRP",Compta!$B$1:$B$675,"6236",Compta!$C$1:$C$675,$A58))</f>
        <v/>
      </c>
      <c r="AP58" t="str">
        <f>IF($A58="","",IF(ALLOC!$N$2="VOL_EFF",$Q58,IF(ALLOC!$N$2="VOL_CLASS",$R58,$S58)))</f>
        <v/>
      </c>
      <c r="AQ58" t="str">
        <f>IF($A58="","",IF(ALLOC!$N$2="VOL_EFF",$T58,IF(ALLOC!$N$2="VOL_CLASS",$U58,$V58)))</f>
        <v/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IF($A59="","",SUMIFS(Socle!$K$1:$K$175,Socle!$C$1:$C$175,$B59,Socle!$D$1:$D$175,$D59,Socle!$E$1:$E$175,$E59,Socle!$F$1:$F$175,$F59,Socle!$G$1:$G$175,$A59))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 t="str">
        <f>IF($A59="","",IF(ALLOC!$N$4="VOL_EFF",$G59,IF(ALLOC!$N$4="VOL_CLASS",$H59,$I59)))</f>
        <v/>
      </c>
      <c r="AD59" t="str">
        <f>IF($A59="","",IF(ALLOC!$N$4="VOL_EFF",$L59,IF(ALLOC!$N$4="VOL_CLASS",$M59,$N59)))</f>
        <v/>
      </c>
      <c r="AE59" t="str">
        <f>IF($A59="","",IF(ALLOC!$N$3="VOL_EFF",$L59,IF(ALLOC!$N$3="VOL_CLASS",$M59,$N59)))</f>
        <v/>
      </c>
      <c r="AF59" t="str">
        <f>IF($A59="","",IF(ALLOC!$N$3="VOL_EFF",$Q59,IF(ALLOC!$N$3="VOL_CLASS",$R59,$S59)))</f>
        <v/>
      </c>
      <c r="AG59" t="str">
        <f>IF($A59="","",IF(ALLOC!$N$1="VOL_EFF",$Q59,IF(ALLOC!$N$1="VOL_CLASS",$R59,$S59)))</f>
        <v/>
      </c>
      <c r="AH59" t="str">
        <f>IF($A59="","",IF(ALLOC!$N$1="VOL_EFF",$T59,IF(ALLOC!$N$1="VOL_CLASS",$U59,$V59)))</f>
        <v/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IF($A59="","",SUMIFS(Compta!$F$1:$F$675,Compta!$A$1:$A$675,"GRP",Compta!$B$1:$B$675,"6236",Compta!$C$1:$C$675,$A59))</f>
        <v/>
      </c>
      <c r="AP59" t="str">
        <f>IF($A59="","",IF(ALLOC!$N$2="VOL_EFF",$Q59,IF(ALLOC!$N$2="VOL_CLASS",$R59,$S59)))</f>
        <v/>
      </c>
      <c r="AQ59" t="str">
        <f>IF($A59="","",IF(ALLOC!$N$2="VOL_EFF",$T59,IF(ALLOC!$N$2="VOL_CLASS",$U59,$V59)))</f>
        <v/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IF($A60="","",SUMIFS(Socle!$K$1:$K$175,Socle!$C$1:$C$175,$B60,Socle!$D$1:$D$175,$D60,Socle!$E$1:$E$175,$E60,Socle!$F$1:$F$175,$F60,Socle!$G$1:$G$175,$A60))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 t="str">
        <f>IF($A60="","",IF(ALLOC!$N$4="VOL_EFF",$G60,IF(ALLOC!$N$4="VOL_CLASS",$H60,$I60)))</f>
        <v/>
      </c>
      <c r="AD60" t="str">
        <f>IF($A60="","",IF(ALLOC!$N$4="VOL_EFF",$L60,IF(ALLOC!$N$4="VOL_CLASS",$M60,$N60)))</f>
        <v/>
      </c>
      <c r="AE60" t="str">
        <f>IF($A60="","",IF(ALLOC!$N$3="VOL_EFF",$L60,IF(ALLOC!$N$3="VOL_CLASS",$M60,$N60)))</f>
        <v/>
      </c>
      <c r="AF60" t="str">
        <f>IF($A60="","",IF(ALLOC!$N$3="VOL_EFF",$Q60,IF(ALLOC!$N$3="VOL_CLASS",$R60,$S60)))</f>
        <v/>
      </c>
      <c r="AG60" t="str">
        <f>IF($A60="","",IF(ALLOC!$N$1="VOL_EFF",$Q60,IF(ALLOC!$N$1="VOL_CLASS",$R60,$S60)))</f>
        <v/>
      </c>
      <c r="AH60" t="str">
        <f>IF($A60="","",IF(ALLOC!$N$1="VOL_EFF",$T60,IF(ALLOC!$N$1="VOL_CLASS",$U60,$V60)))</f>
        <v/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IF($A60="","",SUMIFS(Compta!$F$1:$F$675,Compta!$A$1:$A$675,"GRP",Compta!$B$1:$B$675,"6236",Compta!$C$1:$C$675,$A60))</f>
        <v/>
      </c>
      <c r="AP60" t="str">
        <f>IF($A60="","",IF(ALLOC!$N$2="VOL_EFF",$Q60,IF(ALLOC!$N$2="VOL_CLASS",$R60,$S60)))</f>
        <v/>
      </c>
      <c r="AQ60" t="str">
        <f>IF($A60="","",IF(ALLOC!$N$2="VOL_EFF",$T60,IF(ALLOC!$N$2="VOL_CLASS",$U60,$V60)))</f>
        <v/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IF($A61="","",SUMIFS(Socle!$K$1:$K$175,Socle!$C$1:$C$175,$B61,Socle!$D$1:$D$175,$D61,Socle!$E$1:$E$175,$E61,Socle!$F$1:$F$175,$F61,Socle!$G$1:$G$175,$A61))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 t="str">
        <f>IF($A61="","",IF(ALLOC!$N$4="VOL_EFF",$G61,IF(ALLOC!$N$4="VOL_CLASS",$H61,$I61)))</f>
        <v/>
      </c>
      <c r="AD61" t="str">
        <f>IF($A61="","",IF(ALLOC!$N$4="VOL_EFF",$L61,IF(ALLOC!$N$4="VOL_CLASS",$M61,$N61)))</f>
        <v/>
      </c>
      <c r="AE61" t="str">
        <f>IF($A61="","",IF(ALLOC!$N$3="VOL_EFF",$L61,IF(ALLOC!$N$3="VOL_CLASS",$M61,$N61)))</f>
        <v/>
      </c>
      <c r="AF61" t="str">
        <f>IF($A61="","",IF(ALLOC!$N$3="VOL_EFF",$Q61,IF(ALLOC!$N$3="VOL_CLASS",$R61,$S61)))</f>
        <v/>
      </c>
      <c r="AG61" t="str">
        <f>IF($A61="","",IF(ALLOC!$N$1="VOL_EFF",$Q61,IF(ALLOC!$N$1="VOL_CLASS",$R61,$S61)))</f>
        <v/>
      </c>
      <c r="AH61" t="str">
        <f>IF($A61="","",IF(ALLOC!$N$1="VOL_EFF",$T61,IF(ALLOC!$N$1="VOL_CLASS",$U61,$V61)))</f>
        <v/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IF($A61="","",SUMIFS(Compta!$F$1:$F$675,Compta!$A$1:$A$675,"GRP",Compta!$B$1:$B$675,"6236",Compta!$C$1:$C$675,$A61))</f>
        <v/>
      </c>
      <c r="AP61" t="str">
        <f>IF($A61="","",IF(ALLOC!$N$2="VOL_EFF",$Q61,IF(ALLOC!$N$2="VOL_CLASS",$R61,$S61)))</f>
        <v/>
      </c>
      <c r="AQ61" t="str">
        <f>IF($A61="","",IF(ALLOC!$N$2="VOL_EFF",$T61,IF(ALLOC!$N$2="VOL_CLASS",$U61,$V61)))</f>
        <v/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IF($A62="","",SUMIFS(Socle!$K$1:$K$175,Socle!$C$1:$C$175,$B62,Socle!$D$1:$D$175,$D62,Socle!$E$1:$E$175,$E62,Socle!$F$1:$F$175,$F62,Socle!$G$1:$G$175,$A62))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 t="str">
        <f>IF($A62="","",IF(ALLOC!$N$4="VOL_EFF",$G62,IF(ALLOC!$N$4="VOL_CLASS",$H62,$I62)))</f>
        <v/>
      </c>
      <c r="AD62" t="str">
        <f>IF($A62="","",IF(ALLOC!$N$4="VOL_EFF",$L62,IF(ALLOC!$N$4="VOL_CLASS",$M62,$N62)))</f>
        <v/>
      </c>
      <c r="AE62" t="str">
        <f>IF($A62="","",IF(ALLOC!$N$3="VOL_EFF",$L62,IF(ALLOC!$N$3="VOL_CLASS",$M62,$N62)))</f>
        <v/>
      </c>
      <c r="AF62" t="str">
        <f>IF($A62="","",IF(ALLOC!$N$3="VOL_EFF",$Q62,IF(ALLOC!$N$3="VOL_CLASS",$R62,$S62)))</f>
        <v/>
      </c>
      <c r="AG62" t="str">
        <f>IF($A62="","",IF(ALLOC!$N$1="VOL_EFF",$Q62,IF(ALLOC!$N$1="VOL_CLASS",$R62,$S62)))</f>
        <v/>
      </c>
      <c r="AH62" t="str">
        <f>IF($A62="","",IF(ALLOC!$N$1="VOL_EFF",$T62,IF(ALLOC!$N$1="VOL_CLASS",$U62,$V62)))</f>
        <v/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IF($A62="","",SUMIFS(Compta!$F$1:$F$675,Compta!$A$1:$A$675,"GRP",Compta!$B$1:$B$675,"6236",Compta!$C$1:$C$675,$A62))</f>
        <v/>
      </c>
      <c r="AP62" t="str">
        <f>IF($A62="","",IF(ALLOC!$N$2="VOL_EFF",$Q62,IF(ALLOC!$N$2="VOL_CLASS",$R62,$S62)))</f>
        <v/>
      </c>
      <c r="AQ62" t="str">
        <f>IF($A62="","",IF(ALLOC!$N$2="VOL_EFF",$T62,IF(ALLOC!$N$2="VOL_CLASS",$U62,$V62)))</f>
        <v/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IF($A63="","",SUMIFS(Socle!$K$1:$K$175,Socle!$C$1:$C$175,$B63,Socle!$D$1:$D$175,$D63,Socle!$E$1:$E$175,$E63,Socle!$F$1:$F$175,$F63,Socle!$G$1:$G$175,$A63))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 t="str">
        <f>IF($A63="","",IF(ALLOC!$N$4="VOL_EFF",$G63,IF(ALLOC!$N$4="VOL_CLASS",$H63,$I63)))</f>
        <v/>
      </c>
      <c r="AD63" t="str">
        <f>IF($A63="","",IF(ALLOC!$N$4="VOL_EFF",$L63,IF(ALLOC!$N$4="VOL_CLASS",$M63,$N63)))</f>
        <v/>
      </c>
      <c r="AE63" t="str">
        <f>IF($A63="","",IF(ALLOC!$N$3="VOL_EFF",$L63,IF(ALLOC!$N$3="VOL_CLASS",$M63,$N63)))</f>
        <v/>
      </c>
      <c r="AF63" t="str">
        <f>IF($A63="","",IF(ALLOC!$N$3="VOL_EFF",$Q63,IF(ALLOC!$N$3="VOL_CLASS",$R63,$S63)))</f>
        <v/>
      </c>
      <c r="AG63" t="str">
        <f>IF($A63="","",IF(ALLOC!$N$1="VOL_EFF",$Q63,IF(ALLOC!$N$1="VOL_CLASS",$R63,$S63)))</f>
        <v/>
      </c>
      <c r="AH63" t="str">
        <f>IF($A63="","",IF(ALLOC!$N$1="VOL_EFF",$T63,IF(ALLOC!$N$1="VOL_CLASS",$U63,$V63)))</f>
        <v/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IF($A63="","",SUMIFS(Compta!$F$1:$F$675,Compta!$A$1:$A$675,"GRP",Compta!$B$1:$B$675,"6236",Compta!$C$1:$C$675,$A63))</f>
        <v/>
      </c>
      <c r="AP63" t="str">
        <f>IF($A63="","",IF(ALLOC!$N$2="VOL_EFF",$Q63,IF(ALLOC!$N$2="VOL_CLASS",$R63,$S63)))</f>
        <v/>
      </c>
      <c r="AQ63" t="str">
        <f>IF($A63="","",IF(ALLOC!$N$2="VOL_EFF",$T63,IF(ALLOC!$N$2="VOL_CLASS",$U63,$V63)))</f>
        <v/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IF($A64="","",SUMIFS(Socle!$K$1:$K$175,Socle!$C$1:$C$175,$B64,Socle!$D$1:$D$175,$D64,Socle!$E$1:$E$175,$E64,Socle!$F$1:$F$175,$F64,Socle!$G$1:$G$175,$A64))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 t="str">
        <f>IF($A64="","",IF(ALLOC!$N$4="VOL_EFF",$G64,IF(ALLOC!$N$4="VOL_CLASS",$H64,$I64)))</f>
        <v/>
      </c>
      <c r="AD64" t="str">
        <f>IF($A64="","",IF(ALLOC!$N$4="VOL_EFF",$L64,IF(ALLOC!$N$4="VOL_CLASS",$M64,$N64)))</f>
        <v/>
      </c>
      <c r="AE64" t="str">
        <f>IF($A64="","",IF(ALLOC!$N$3="VOL_EFF",$L64,IF(ALLOC!$N$3="VOL_CLASS",$M64,$N64)))</f>
        <v/>
      </c>
      <c r="AF64" t="str">
        <f>IF($A64="","",IF(ALLOC!$N$3="VOL_EFF",$Q64,IF(ALLOC!$N$3="VOL_CLASS",$R64,$S64)))</f>
        <v/>
      </c>
      <c r="AG64" t="str">
        <f>IF($A64="","",IF(ALLOC!$N$1="VOL_EFF",$Q64,IF(ALLOC!$N$1="VOL_CLASS",$R64,$S64)))</f>
        <v/>
      </c>
      <c r="AH64" t="str">
        <f>IF($A64="","",IF(ALLOC!$N$1="VOL_EFF",$T64,IF(ALLOC!$N$1="VOL_CLASS",$U64,$V64)))</f>
        <v/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IF($A64="","",SUMIFS(Compta!$F$1:$F$675,Compta!$A$1:$A$675,"GRP",Compta!$B$1:$B$675,"6236",Compta!$C$1:$C$675,$A64))</f>
        <v/>
      </c>
      <c r="AP64" t="str">
        <f>IF($A64="","",IF(ALLOC!$N$2="VOL_EFF",$Q64,IF(ALLOC!$N$2="VOL_CLASS",$R64,$S64)))</f>
        <v/>
      </c>
      <c r="AQ64" t="str">
        <f>IF($A64="","",IF(ALLOC!$N$2="VOL_EFF",$T64,IF(ALLOC!$N$2="VOL_CLASS",$U64,$V64)))</f>
        <v/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IF($A65="","",SUMIFS(Socle!$K$1:$K$175,Socle!$C$1:$C$175,$B65,Socle!$D$1:$D$175,$D65,Socle!$E$1:$E$175,$E65,Socle!$F$1:$F$175,$F65,Socle!$G$1:$G$175,$A65))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 t="str">
        <f>IF($A65="","",IF(ALLOC!$N$4="VOL_EFF",$G65,IF(ALLOC!$N$4="VOL_CLASS",$H65,$I65)))</f>
        <v/>
      </c>
      <c r="AD65" t="str">
        <f>IF($A65="","",IF(ALLOC!$N$4="VOL_EFF",$L65,IF(ALLOC!$N$4="VOL_CLASS",$M65,$N65)))</f>
        <v/>
      </c>
      <c r="AE65" t="str">
        <f>IF($A65="","",IF(ALLOC!$N$3="VOL_EFF",$L65,IF(ALLOC!$N$3="VOL_CLASS",$M65,$N65)))</f>
        <v/>
      </c>
      <c r="AF65" t="str">
        <f>IF($A65="","",IF(ALLOC!$N$3="VOL_EFF",$Q65,IF(ALLOC!$N$3="VOL_CLASS",$R65,$S65)))</f>
        <v/>
      </c>
      <c r="AG65" t="str">
        <f>IF($A65="","",IF(ALLOC!$N$1="VOL_EFF",$Q65,IF(ALLOC!$N$1="VOL_CLASS",$R65,$S65)))</f>
        <v/>
      </c>
      <c r="AH65" t="str">
        <f>IF($A65="","",IF(ALLOC!$N$1="VOL_EFF",$T65,IF(ALLOC!$N$1="VOL_CLASS",$U65,$V65)))</f>
        <v/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IF($A65="","",SUMIFS(Compta!$F$1:$F$675,Compta!$A$1:$A$675,"GRP",Compta!$B$1:$B$675,"6236",Compta!$C$1:$C$675,$A65))</f>
        <v/>
      </c>
      <c r="AP65" t="str">
        <f>IF($A65="","",IF(ALLOC!$N$2="VOL_EFF",$Q65,IF(ALLOC!$N$2="VOL_CLASS",$R65,$S65)))</f>
        <v/>
      </c>
      <c r="AQ65" t="str">
        <f>IF($A65="","",IF(ALLOC!$N$2="VOL_EFF",$T65,IF(ALLOC!$N$2="VOL_CLASS",$U65,$V65)))</f>
        <v/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IF($A66="","",SUMIFS(Socle!$K$1:$K$175,Socle!$C$1:$C$175,$B66,Socle!$D$1:$D$175,$D66,Socle!$E$1:$E$175,$E66,Socle!$F$1:$F$175,$F66,Socle!$G$1:$G$175,$A66))</f>
        <v/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 t="str">
        <f>IF($A66="","",IF(ALLOC!$N$4="VOL_EFF",$G66,IF(ALLOC!$N$4="VOL_CLASS",$H66,$I66)))</f>
        <v/>
      </c>
      <c r="AD66" t="str">
        <f>IF($A66="","",IF(ALLOC!$N$4="VOL_EFF",$L66,IF(ALLOC!$N$4="VOL_CLASS",$M66,$N66)))</f>
        <v/>
      </c>
      <c r="AE66" t="str">
        <f>IF($A66="","",IF(ALLOC!$N$3="VOL_EFF",$L66,IF(ALLOC!$N$3="VOL_CLASS",$M66,$N66)))</f>
        <v/>
      </c>
      <c r="AF66" t="str">
        <f>IF($A66="","",IF(ALLOC!$N$3="VOL_EFF",$Q66,IF(ALLOC!$N$3="VOL_CLASS",$R66,$S66)))</f>
        <v/>
      </c>
      <c r="AG66" t="str">
        <f>IF($A66="","",IF(ALLOC!$N$1="VOL_EFF",$Q66,IF(ALLOC!$N$1="VOL_CLASS",$R66,$S66)))</f>
        <v/>
      </c>
      <c r="AH66" t="str">
        <f>IF($A66="","",IF(ALLOC!$N$1="VOL_EFF",$T66,IF(ALLOC!$N$1="VOL_CLASS",$U66,$V66)))</f>
        <v/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 t="str">
        <f>IF($A66="","",IF(ALLOC!$N$2="VOL_EFF",$Q66,IF(ALLOC!$N$2="VOL_CLASS",$R66,$S66)))</f>
        <v/>
      </c>
      <c r="AQ66" t="str">
        <f>IF($A66="","",IF(ALLOC!$N$2="VOL_EFF",$T66,IF(ALLOC!$N$2="VOL_CLASS",$U66,$V66)))</f>
        <v/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IF($A67="","",SUMIFS(Socle!$K$1:$K$175,Socle!$C$1:$C$175,$B67,Socle!$D$1:$D$175,$D67,Socle!$E$1:$E$175,$E67,Socle!$F$1:$F$175,$F67,Socle!$G$1:$G$175,$A67))</f>
        <v/>
      </c>
      <c r="K67" t="str">
        <f t="shared" si="10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1"/>
        <v/>
      </c>
      <c r="P67" t="str">
        <f t="shared" si="12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 t="str">
        <f>IF($A67="","",IF(ALLOC!$N$4="VOL_EFF",$G67,IF(ALLOC!$N$4="VOL_CLASS",$H67,$I67)))</f>
        <v/>
      </c>
      <c r="AD67" t="str">
        <f>IF($A67="","",IF(ALLOC!$N$4="VOL_EFF",$L67,IF(ALLOC!$N$4="VOL_CLASS",$M67,$N67)))</f>
        <v/>
      </c>
      <c r="AE67" t="str">
        <f>IF($A67="","",IF(ALLOC!$N$3="VOL_EFF",$L67,IF(ALLOC!$N$3="VOL_CLASS",$M67,$N67)))</f>
        <v/>
      </c>
      <c r="AF67" t="str">
        <f>IF($A67="","",IF(ALLOC!$N$3="VOL_EFF",$Q67,IF(ALLOC!$N$3="VOL_CLASS",$R67,$S67)))</f>
        <v/>
      </c>
      <c r="AG67" t="str">
        <f>IF($A67="","",IF(ALLOC!$N$1="VOL_EFF",$Q67,IF(ALLOC!$N$1="VOL_CLASS",$R67,$S67)))</f>
        <v/>
      </c>
      <c r="AH67" t="str">
        <f>IF($A67="","",IF(ALLOC!$N$1="VOL_EFF",$T67,IF(ALLOC!$N$1="VOL_CLASS",$U67,$V67)))</f>
        <v/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IF($A67="","",SUMIFS(Compta!$F$1:$F$675,Compta!$A$1:$A$675,"GRP",Compta!$B$1:$B$675,"6236",Compta!$C$1:$C$675,$A67))</f>
        <v/>
      </c>
      <c r="AP67" t="str">
        <f>IF($A67="","",IF(ALLOC!$N$2="VOL_EFF",$Q67,IF(ALLOC!$N$2="VOL_CLASS",$R67,$S67)))</f>
        <v/>
      </c>
      <c r="AQ67" t="str">
        <f>IF($A67="","",IF(ALLOC!$N$2="VOL_EFF",$T67,IF(ALLOC!$N$2="VOL_CLASS",$U67,$V67)))</f>
        <v/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IF($A68="","",SUMIFS(Socle!$K$1:$K$175,Socle!$C$1:$C$175,$B68,Socle!$D$1:$D$175,$D68,Socle!$E$1:$E$175,$E68,Socle!$F$1:$F$175,$F68,Socle!$G$1:$G$175,$A68))</f>
        <v/>
      </c>
      <c r="K68" t="str">
        <f t="shared" si="10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1"/>
        <v/>
      </c>
      <c r="P68" t="str">
        <f t="shared" si="12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 t="str">
        <f>IF($A68="","",IF(ALLOC!$N$4="VOL_EFF",$G68,IF(ALLOC!$N$4="VOL_CLASS",$H68,$I68)))</f>
        <v/>
      </c>
      <c r="AD68" t="str">
        <f>IF($A68="","",IF(ALLOC!$N$4="VOL_EFF",$L68,IF(ALLOC!$N$4="VOL_CLASS",$M68,$N68)))</f>
        <v/>
      </c>
      <c r="AE68" t="str">
        <f>IF($A68="","",IF(ALLOC!$N$3="VOL_EFF",$L68,IF(ALLOC!$N$3="VOL_CLASS",$M68,$N68)))</f>
        <v/>
      </c>
      <c r="AF68" t="str">
        <f>IF($A68="","",IF(ALLOC!$N$3="VOL_EFF",$Q68,IF(ALLOC!$N$3="VOL_CLASS",$R68,$S68)))</f>
        <v/>
      </c>
      <c r="AG68" t="str">
        <f>IF($A68="","",IF(ALLOC!$N$1="VOL_EFF",$Q68,IF(ALLOC!$N$1="VOL_CLASS",$R68,$S68)))</f>
        <v/>
      </c>
      <c r="AH68" t="str">
        <f>IF($A68="","",IF(ALLOC!$N$1="VOL_EFF",$T68,IF(ALLOC!$N$1="VOL_CLASS",$U68,$V68)))</f>
        <v/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IF($A68="","",SUMIFS(Compta!$F$1:$F$675,Compta!$A$1:$A$675,"GRP",Compta!$B$1:$B$675,"6236",Compta!$C$1:$C$675,$A68))</f>
        <v/>
      </c>
      <c r="AP68" t="str">
        <f>IF($A68="","",IF(ALLOC!$N$2="VOL_EFF",$Q68,IF(ALLOC!$N$2="VOL_CLASS",$R68,$S68)))</f>
        <v/>
      </c>
      <c r="AQ68" t="str">
        <f>IF($A68="","",IF(ALLOC!$N$2="VOL_EFF",$T68,IF(ALLOC!$N$2="VOL_CLASS",$U68,$V68)))</f>
        <v/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IF($A69="","",SUMIFS(Socle!$K$1:$K$175,Socle!$C$1:$C$175,$B69,Socle!$D$1:$D$175,$D69,Socle!$E$1:$E$175,$E69,Socle!$F$1:$F$175,$F69,Socle!$G$1:$G$175,$A69))</f>
        <v/>
      </c>
      <c r="K69" t="str">
        <f t="shared" si="10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1"/>
        <v/>
      </c>
      <c r="P69" t="str">
        <f t="shared" si="12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 t="str">
        <f>IF($A69="","",IF(ALLOC!$N$4="VOL_EFF",$G69,IF(ALLOC!$N$4="VOL_CLASS",$H69,$I69)))</f>
        <v/>
      </c>
      <c r="AD69" t="str">
        <f>IF($A69="","",IF(ALLOC!$N$4="VOL_EFF",$L69,IF(ALLOC!$N$4="VOL_CLASS",$M69,$N69)))</f>
        <v/>
      </c>
      <c r="AE69" t="str">
        <f>IF($A69="","",IF(ALLOC!$N$3="VOL_EFF",$L69,IF(ALLOC!$N$3="VOL_CLASS",$M69,$N69)))</f>
        <v/>
      </c>
      <c r="AF69" t="str">
        <f>IF($A69="","",IF(ALLOC!$N$3="VOL_EFF",$Q69,IF(ALLOC!$N$3="VOL_CLASS",$R69,$S69)))</f>
        <v/>
      </c>
      <c r="AG69" t="str">
        <f>IF($A69="","",IF(ALLOC!$N$1="VOL_EFF",$Q69,IF(ALLOC!$N$1="VOL_CLASS",$R69,$S69)))</f>
        <v/>
      </c>
      <c r="AH69" t="str">
        <f>IF($A69="","",IF(ALLOC!$N$1="VOL_EFF",$T69,IF(ALLOC!$N$1="VOL_CLASS",$U69,$V69)))</f>
        <v/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IF($A69="","",SUMIFS(Compta!$F$1:$F$675,Compta!$A$1:$A$675,"GRP",Compta!$B$1:$B$675,"6236",Compta!$C$1:$C$675,$A69))</f>
        <v/>
      </c>
      <c r="AP69" t="str">
        <f>IF($A69="","",IF(ALLOC!$N$2="VOL_EFF",$Q69,IF(ALLOC!$N$2="VOL_CLASS",$R69,$S69)))</f>
        <v/>
      </c>
      <c r="AQ69" t="str">
        <f>IF($A69="","",IF(ALLOC!$N$2="VOL_EFF",$T69,IF(ALLOC!$N$2="VOL_CLASS",$U69,$V69)))</f>
        <v/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IF($A70="","",SUMIFS(Socle!$K$1:$K$175,Socle!$C$1:$C$175,$B70,Socle!$D$1:$D$175,$D70,Socle!$E$1:$E$175,$E70,Socle!$F$1:$F$175,$F70,Socle!$G$1:$G$175,$A70))</f>
        <v/>
      </c>
      <c r="K70" t="str">
        <f t="shared" si="10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1"/>
        <v/>
      </c>
      <c r="P70" t="str">
        <f t="shared" si="12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 t="str">
        <f>IF($A70="","",IF(ALLOC!$N$4="VOL_EFF",$G70,IF(ALLOC!$N$4="VOL_CLASS",$H70,$I70)))</f>
        <v/>
      </c>
      <c r="AD70" t="str">
        <f>IF($A70="","",IF(ALLOC!$N$4="VOL_EFF",$L70,IF(ALLOC!$N$4="VOL_CLASS",$M70,$N70)))</f>
        <v/>
      </c>
      <c r="AE70" t="str">
        <f>IF($A70="","",IF(ALLOC!$N$3="VOL_EFF",$L70,IF(ALLOC!$N$3="VOL_CLASS",$M70,$N70)))</f>
        <v/>
      </c>
      <c r="AF70" t="str">
        <f>IF($A70="","",IF(ALLOC!$N$3="VOL_EFF",$Q70,IF(ALLOC!$N$3="VOL_CLASS",$R70,$S70)))</f>
        <v/>
      </c>
      <c r="AG70" t="str">
        <f>IF($A70="","",IF(ALLOC!$N$1="VOL_EFF",$Q70,IF(ALLOC!$N$1="VOL_CLASS",$R70,$S70)))</f>
        <v/>
      </c>
      <c r="AH70" t="str">
        <f>IF($A70="","",IF(ALLOC!$N$1="VOL_EFF",$T70,IF(ALLOC!$N$1="VOL_CLASS",$U70,$V70)))</f>
        <v/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IF($A70="","",SUMIFS(Compta!$F$1:$F$675,Compta!$A$1:$A$675,"GRP",Compta!$B$1:$B$675,"6236",Compta!$C$1:$C$675,$A70))</f>
        <v/>
      </c>
      <c r="AP70" t="str">
        <f>IF($A70="","",IF(ALLOC!$N$2="VOL_EFF",$Q70,IF(ALLOC!$N$2="VOL_CLASS",$R70,$S70)))</f>
        <v/>
      </c>
      <c r="AQ70" t="str">
        <f>IF($A70="","",IF(ALLOC!$N$2="VOL_EFF",$T70,IF(ALLOC!$N$2="VOL_CLASS",$U70,$V70)))</f>
        <v/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IF($A71="","",SUMIFS(Socle!$K$1:$K$175,Socle!$C$1:$C$175,$B71,Socle!$D$1:$D$175,$D71,Socle!$E$1:$E$175,$E71,Socle!$F$1:$F$175,$F71,Socle!$G$1:$G$175,$A71))</f>
        <v/>
      </c>
      <c r="K71" t="str">
        <f t="shared" si="10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1"/>
        <v/>
      </c>
      <c r="P71" t="str">
        <f t="shared" si="12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 t="str">
        <f>IF($A71="","",IF(ALLOC!$N$4="VOL_EFF",$G71,IF(ALLOC!$N$4="VOL_CLASS",$H71,$I71)))</f>
        <v/>
      </c>
      <c r="AD71" t="str">
        <f>IF($A71="","",IF(ALLOC!$N$4="VOL_EFF",$L71,IF(ALLOC!$N$4="VOL_CLASS",$M71,$N71)))</f>
        <v/>
      </c>
      <c r="AE71" t="str">
        <f>IF($A71="","",IF(ALLOC!$N$3="VOL_EFF",$L71,IF(ALLOC!$N$3="VOL_CLASS",$M71,$N71)))</f>
        <v/>
      </c>
      <c r="AF71" t="str">
        <f>IF($A71="","",IF(ALLOC!$N$3="VOL_EFF",$Q71,IF(ALLOC!$N$3="VOL_CLASS",$R71,$S71)))</f>
        <v/>
      </c>
      <c r="AG71" t="str">
        <f>IF($A71="","",IF(ALLOC!$N$1="VOL_EFF",$Q71,IF(ALLOC!$N$1="VOL_CLASS",$R71,$S71)))</f>
        <v/>
      </c>
      <c r="AH71" t="str">
        <f>IF($A71="","",IF(ALLOC!$N$1="VOL_EFF",$T71,IF(ALLOC!$N$1="VOL_CLASS",$U71,$V71)))</f>
        <v/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IF($A71="","",SUMIFS(Compta!$F$1:$F$675,Compta!$A$1:$A$675,"GRP",Compta!$B$1:$B$675,"6236",Compta!$C$1:$C$675,$A71))</f>
        <v/>
      </c>
      <c r="AP71" t="str">
        <f>IF($A71="","",IF(ALLOC!$N$2="VOL_EFF",$Q71,IF(ALLOC!$N$2="VOL_CLASS",$R71,$S71)))</f>
        <v/>
      </c>
      <c r="AQ71" t="str">
        <f>IF($A71="","",IF(ALLOC!$N$2="VOL_EFF",$T71,IF(ALLOC!$N$2="VOL_CLASS",$U71,$V71)))</f>
        <v/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IF($A72="","",SUMIFS(Socle!$K$1:$K$175,Socle!$C$1:$C$175,$B72,Socle!$D$1:$D$175,$D72,Socle!$E$1:$E$175,$E72,Socle!$F$1:$F$175,$F72,Socle!$G$1:$G$175,$A72))</f>
        <v/>
      </c>
      <c r="K72" t="str">
        <f t="shared" si="10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1"/>
        <v/>
      </c>
      <c r="P72" t="str">
        <f t="shared" si="12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 t="str">
        <f>IF($A72="","",IF(ALLOC!$N$4="VOL_EFF",$G72,IF(ALLOC!$N$4="VOL_CLASS",$H72,$I72)))</f>
        <v/>
      </c>
      <c r="AD72" t="str">
        <f>IF($A72="","",IF(ALLOC!$N$4="VOL_EFF",$L72,IF(ALLOC!$N$4="VOL_CLASS",$M72,$N72)))</f>
        <v/>
      </c>
      <c r="AE72" t="str">
        <f>IF($A72="","",IF(ALLOC!$N$3="VOL_EFF",$L72,IF(ALLOC!$N$3="VOL_CLASS",$M72,$N72)))</f>
        <v/>
      </c>
      <c r="AF72" t="str">
        <f>IF($A72="","",IF(ALLOC!$N$3="VOL_EFF",$Q72,IF(ALLOC!$N$3="VOL_CLASS",$R72,$S72)))</f>
        <v/>
      </c>
      <c r="AG72" t="str">
        <f>IF($A72="","",IF(ALLOC!$N$1="VOL_EFF",$Q72,IF(ALLOC!$N$1="VOL_CLASS",$R72,$S72)))</f>
        <v/>
      </c>
      <c r="AH72" t="str">
        <f>IF($A72="","",IF(ALLOC!$N$1="VOL_EFF",$T72,IF(ALLOC!$N$1="VOL_CLASS",$U72,$V72)))</f>
        <v/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IF($A72="","",SUMIFS(Compta!$F$1:$F$675,Compta!$A$1:$A$675,"GRP",Compta!$B$1:$B$675,"6236",Compta!$C$1:$C$675,$A72))</f>
        <v/>
      </c>
      <c r="AP72" t="str">
        <f>IF($A72="","",IF(ALLOC!$N$2="VOL_EFF",$Q72,IF(ALLOC!$N$2="VOL_CLASS",$R72,$S72)))</f>
        <v/>
      </c>
      <c r="AQ72" t="str">
        <f>IF($A72="","",IF(ALLOC!$N$2="VOL_EFF",$T72,IF(ALLOC!$N$2="VOL_CLASS",$U72,$V72)))</f>
        <v/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IF($A73="","",SUMIFS(Socle!$K$1:$K$175,Socle!$C$1:$C$175,$B73,Socle!$D$1:$D$175,$D73,Socle!$E$1:$E$175,$E73,Socle!$F$1:$F$175,$F73,Socle!$G$1:$G$175,$A73))</f>
        <v/>
      </c>
      <c r="K73" t="str">
        <f t="shared" si="10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1"/>
        <v/>
      </c>
      <c r="P73" t="str">
        <f t="shared" si="12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 t="str">
        <f>IF($A73="","",IF(ALLOC!$N$4="VOL_EFF",$G73,IF(ALLOC!$N$4="VOL_CLASS",$H73,$I73)))</f>
        <v/>
      </c>
      <c r="AD73" t="str">
        <f>IF($A73="","",IF(ALLOC!$N$4="VOL_EFF",$L73,IF(ALLOC!$N$4="VOL_CLASS",$M73,$N73)))</f>
        <v/>
      </c>
      <c r="AE73" t="str">
        <f>IF($A73="","",IF(ALLOC!$N$3="VOL_EFF",$L73,IF(ALLOC!$N$3="VOL_CLASS",$M73,$N73)))</f>
        <v/>
      </c>
      <c r="AF73" t="str">
        <f>IF($A73="","",IF(ALLOC!$N$3="VOL_EFF",$Q73,IF(ALLOC!$N$3="VOL_CLASS",$R73,$S73)))</f>
        <v/>
      </c>
      <c r="AG73" t="str">
        <f>IF($A73="","",IF(ALLOC!$N$1="VOL_EFF",$Q73,IF(ALLOC!$N$1="VOL_CLASS",$R73,$S73)))</f>
        <v/>
      </c>
      <c r="AH73" t="str">
        <f>IF($A73="","",IF(ALLOC!$N$1="VOL_EFF",$T73,IF(ALLOC!$N$1="VOL_CLASS",$U73,$V73)))</f>
        <v/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IF($A73="","",SUMIFS(Compta!$F$1:$F$675,Compta!$A$1:$A$675,"GRP",Compta!$B$1:$B$675,"6236",Compta!$C$1:$C$675,$A73))</f>
        <v/>
      </c>
      <c r="AP73" t="str">
        <f>IF($A73="","",IF(ALLOC!$N$2="VOL_EFF",$Q73,IF(ALLOC!$N$2="VOL_CLASS",$R73,$S73)))</f>
        <v/>
      </c>
      <c r="AQ73" t="str">
        <f>IF($A73="","",IF(ALLOC!$N$2="VOL_EFF",$T73,IF(ALLOC!$N$2="VOL_CLASS",$U73,$V73)))</f>
        <v/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IF($A74="","",SUMIFS(Socle!$K$1:$K$175,Socle!$C$1:$C$175,$B74,Socle!$D$1:$D$175,$D74,Socle!$E$1:$E$175,$E74,Socle!$F$1:$F$175,$F74,Socle!$G$1:$G$175,$A74))</f>
        <v/>
      </c>
      <c r="K74" t="str">
        <f t="shared" si="10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1"/>
        <v/>
      </c>
      <c r="P74" t="str">
        <f t="shared" si="12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 t="str">
        <f>IF($A74="","",IF(ALLOC!$N$4="VOL_EFF",$G74,IF(ALLOC!$N$4="VOL_CLASS",$H74,$I74)))</f>
        <v/>
      </c>
      <c r="AD74" t="str">
        <f>IF($A74="","",IF(ALLOC!$N$4="VOL_EFF",$L74,IF(ALLOC!$N$4="VOL_CLASS",$M74,$N74)))</f>
        <v/>
      </c>
      <c r="AE74" t="str">
        <f>IF($A74="","",IF(ALLOC!$N$3="VOL_EFF",$L74,IF(ALLOC!$N$3="VOL_CLASS",$M74,$N74)))</f>
        <v/>
      </c>
      <c r="AF74" t="str">
        <f>IF($A74="","",IF(ALLOC!$N$3="VOL_EFF",$Q74,IF(ALLOC!$N$3="VOL_CLASS",$R74,$S74)))</f>
        <v/>
      </c>
      <c r="AG74" t="str">
        <f>IF($A74="","",IF(ALLOC!$N$1="VOL_EFF",$Q74,IF(ALLOC!$N$1="VOL_CLASS",$R74,$S74)))</f>
        <v/>
      </c>
      <c r="AH74" t="str">
        <f>IF($A74="","",IF(ALLOC!$N$1="VOL_EFF",$T74,IF(ALLOC!$N$1="VOL_CLASS",$U74,$V74)))</f>
        <v/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IF($A74="","",SUMIFS(Compta!$F$1:$F$675,Compta!$A$1:$A$675,"GRP",Compta!$B$1:$B$675,"6236",Compta!$C$1:$C$675,$A74))</f>
        <v/>
      </c>
      <c r="AP74" t="str">
        <f>IF($A74="","",IF(ALLOC!$N$2="VOL_EFF",$Q74,IF(ALLOC!$N$2="VOL_CLASS",$R74,$S74)))</f>
        <v/>
      </c>
      <c r="AQ74" t="str">
        <f>IF($A74="","",IF(ALLOC!$N$2="VOL_EFF",$T74,IF(ALLOC!$N$2="VOL_CLASS",$U74,$V74)))</f>
        <v/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IF($A75="","",SUMIFS(Socle!$K$1:$K$175,Socle!$C$1:$C$175,$B75,Socle!$D$1:$D$175,$D75,Socle!$E$1:$E$175,$E75,Socle!$F$1:$F$175,$F75,Socle!$G$1:$G$175,$A75))</f>
        <v/>
      </c>
      <c r="K75" t="str">
        <f t="shared" si="10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1"/>
        <v/>
      </c>
      <c r="P75" t="str">
        <f t="shared" si="12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 t="str">
        <f>IF($A75="","",IF(ALLOC!$N$4="VOL_EFF",$G75,IF(ALLOC!$N$4="VOL_CLASS",$H75,$I75)))</f>
        <v/>
      </c>
      <c r="AD75" t="str">
        <f>IF($A75="","",IF(ALLOC!$N$4="VOL_EFF",$L75,IF(ALLOC!$N$4="VOL_CLASS",$M75,$N75)))</f>
        <v/>
      </c>
      <c r="AE75" t="str">
        <f>IF($A75="","",IF(ALLOC!$N$3="VOL_EFF",$L75,IF(ALLOC!$N$3="VOL_CLASS",$M75,$N75)))</f>
        <v/>
      </c>
      <c r="AF75" t="str">
        <f>IF($A75="","",IF(ALLOC!$N$3="VOL_EFF",$Q75,IF(ALLOC!$N$3="VOL_CLASS",$R75,$S75)))</f>
        <v/>
      </c>
      <c r="AG75" t="str">
        <f>IF($A75="","",IF(ALLOC!$N$1="VOL_EFF",$Q75,IF(ALLOC!$N$1="VOL_CLASS",$R75,$S75)))</f>
        <v/>
      </c>
      <c r="AH75" t="str">
        <f>IF($A75="","",IF(ALLOC!$N$1="VOL_EFF",$T75,IF(ALLOC!$N$1="VOL_CLASS",$U75,$V75)))</f>
        <v/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IF($A75="","",SUMIFS(Compta!$F$1:$F$675,Compta!$A$1:$A$675,"GRP",Compta!$B$1:$B$675,"6236",Compta!$C$1:$C$675,$A75))</f>
        <v/>
      </c>
      <c r="AP75" t="str">
        <f>IF($A75="","",IF(ALLOC!$N$2="VOL_EFF",$Q75,IF(ALLOC!$N$2="VOL_CLASS",$R75,$S75)))</f>
        <v/>
      </c>
      <c r="AQ75" t="str">
        <f>IF($A75="","",IF(ALLOC!$N$2="VOL_EFF",$T75,IF(ALLOC!$N$2="VOL_CLASS",$U75,$V75)))</f>
        <v/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IF($A76="","",SUMIFS(Socle!$K$1:$K$175,Socle!$C$1:$C$175,$B76,Socle!$D$1:$D$175,$D76,Socle!$E$1:$E$175,$E76,Socle!$F$1:$F$175,$F76,Socle!$G$1:$G$175,$A76))</f>
        <v/>
      </c>
      <c r="K76" t="str">
        <f t="shared" si="10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1"/>
        <v/>
      </c>
      <c r="P76" t="str">
        <f t="shared" si="12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 t="str">
        <f>IF($A76="","",IF(ALLOC!$N$4="VOL_EFF",$G76,IF(ALLOC!$N$4="VOL_CLASS",$H76,$I76)))</f>
        <v/>
      </c>
      <c r="AD76" t="str">
        <f>IF($A76="","",IF(ALLOC!$N$4="VOL_EFF",$L76,IF(ALLOC!$N$4="VOL_CLASS",$M76,$N76)))</f>
        <v/>
      </c>
      <c r="AE76" t="str">
        <f>IF($A76="","",IF(ALLOC!$N$3="VOL_EFF",$L76,IF(ALLOC!$N$3="VOL_CLASS",$M76,$N76)))</f>
        <v/>
      </c>
      <c r="AF76" t="str">
        <f>IF($A76="","",IF(ALLOC!$N$3="VOL_EFF",$Q76,IF(ALLOC!$N$3="VOL_CLASS",$R76,$S76)))</f>
        <v/>
      </c>
      <c r="AG76" t="str">
        <f>IF($A76="","",IF(ALLOC!$N$1="VOL_EFF",$Q76,IF(ALLOC!$N$1="VOL_CLASS",$R76,$S76)))</f>
        <v/>
      </c>
      <c r="AH76" t="str">
        <f>IF($A76="","",IF(ALLOC!$N$1="VOL_EFF",$T76,IF(ALLOC!$N$1="VOL_CLASS",$U76,$V76)))</f>
        <v/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IF($A76="","",SUMIFS(Compta!$F$1:$F$675,Compta!$A$1:$A$675,"GRP",Compta!$B$1:$B$675,"6236",Compta!$C$1:$C$675,$A76))</f>
        <v/>
      </c>
      <c r="AP76" t="str">
        <f>IF($A76="","",IF(ALLOC!$N$2="VOL_EFF",$Q76,IF(ALLOC!$N$2="VOL_CLASS",$R76,$S76)))</f>
        <v/>
      </c>
      <c r="AQ76" t="str">
        <f>IF($A76="","",IF(ALLOC!$N$2="VOL_EFF",$T76,IF(ALLOC!$N$2="VOL_CLASS",$U76,$V76)))</f>
        <v/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IF($A77="","",SUMIFS(Socle!$K$1:$K$175,Socle!$C$1:$C$175,$B77,Socle!$D$1:$D$175,$D77,Socle!$E$1:$E$175,$E77,Socle!$F$1:$F$175,$F77,Socle!$G$1:$G$175,$A77))</f>
        <v/>
      </c>
      <c r="K77" t="str">
        <f t="shared" si="10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1"/>
        <v/>
      </c>
      <c r="P77" t="str">
        <f t="shared" si="12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 t="str">
        <f>IF($A77="","",IF(ALLOC!$N$4="VOL_EFF",$G77,IF(ALLOC!$N$4="VOL_CLASS",$H77,$I77)))</f>
        <v/>
      </c>
      <c r="AD77" t="str">
        <f>IF($A77="","",IF(ALLOC!$N$4="VOL_EFF",$L77,IF(ALLOC!$N$4="VOL_CLASS",$M77,$N77)))</f>
        <v/>
      </c>
      <c r="AE77" t="str">
        <f>IF($A77="","",IF(ALLOC!$N$3="VOL_EFF",$L77,IF(ALLOC!$N$3="VOL_CLASS",$M77,$N77)))</f>
        <v/>
      </c>
      <c r="AF77" t="str">
        <f>IF($A77="","",IF(ALLOC!$N$3="VOL_EFF",$Q77,IF(ALLOC!$N$3="VOL_CLASS",$R77,$S77)))</f>
        <v/>
      </c>
      <c r="AG77" t="str">
        <f>IF($A77="","",IF(ALLOC!$N$1="VOL_EFF",$Q77,IF(ALLOC!$N$1="VOL_CLASS",$R77,$S77)))</f>
        <v/>
      </c>
      <c r="AH77" t="str">
        <f>IF($A77="","",IF(ALLOC!$N$1="VOL_EFF",$T77,IF(ALLOC!$N$1="VOL_CLASS",$U77,$V77)))</f>
        <v/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IF($A77="","",SUMIFS(Compta!$F$1:$F$675,Compta!$A$1:$A$675,"GRP",Compta!$B$1:$B$675,"6236",Compta!$C$1:$C$675,$A77))</f>
        <v/>
      </c>
      <c r="AP77" t="str">
        <f>IF($A77="","",IF(ALLOC!$N$2="VOL_EFF",$Q77,IF(ALLOC!$N$2="VOL_CLASS",$R77,$S77)))</f>
        <v/>
      </c>
      <c r="AQ77" t="str">
        <f>IF($A77="","",IF(ALLOC!$N$2="VOL_EFF",$T77,IF(ALLOC!$N$2="VOL_CLASS",$U77,$V77)))</f>
        <v/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IF($A78="","",SUMIFS(Socle!$K$1:$K$175,Socle!$C$1:$C$175,$B78,Socle!$D$1:$D$175,$D78,Socle!$E$1:$E$175,$E78,Socle!$F$1:$F$175,$F78,Socle!$G$1:$G$175,$A78))</f>
        <v/>
      </c>
      <c r="K78" t="str">
        <f t="shared" si="10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1"/>
        <v/>
      </c>
      <c r="P78" t="str">
        <f t="shared" si="12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 t="str">
        <f>IF($A78="","",IF(ALLOC!$N$4="VOL_EFF",$G78,IF(ALLOC!$N$4="VOL_CLASS",$H78,$I78)))</f>
        <v/>
      </c>
      <c r="AD78" t="str">
        <f>IF($A78="","",IF(ALLOC!$N$4="VOL_EFF",$L78,IF(ALLOC!$N$4="VOL_CLASS",$M78,$N78)))</f>
        <v/>
      </c>
      <c r="AE78" t="str">
        <f>IF($A78="","",IF(ALLOC!$N$3="VOL_EFF",$L78,IF(ALLOC!$N$3="VOL_CLASS",$M78,$N78)))</f>
        <v/>
      </c>
      <c r="AF78" t="str">
        <f>IF($A78="","",IF(ALLOC!$N$3="VOL_EFF",$Q78,IF(ALLOC!$N$3="VOL_CLASS",$R78,$S78)))</f>
        <v/>
      </c>
      <c r="AG78" t="str">
        <f>IF($A78="","",IF(ALLOC!$N$1="VOL_EFF",$Q78,IF(ALLOC!$N$1="VOL_CLASS",$R78,$S78)))</f>
        <v/>
      </c>
      <c r="AH78" t="str">
        <f>IF($A78="","",IF(ALLOC!$N$1="VOL_EFF",$T78,IF(ALLOC!$N$1="VOL_CLASS",$U78,$V78)))</f>
        <v/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IF($A78="","",SUMIFS(Compta!$F$1:$F$675,Compta!$A$1:$A$675,"GRP",Compta!$B$1:$B$675,"6236",Compta!$C$1:$C$675,$A78))</f>
        <v/>
      </c>
      <c r="AP78" t="str">
        <f>IF($A78="","",IF(ALLOC!$N$2="VOL_EFF",$Q78,IF(ALLOC!$N$2="VOL_CLASS",$R78,$S78)))</f>
        <v/>
      </c>
      <c r="AQ78" t="str">
        <f>IF($A78="","",IF(ALLOC!$N$2="VOL_EFF",$T78,IF(ALLOC!$N$2="VOL_CLASS",$U78,$V78)))</f>
        <v/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IF($A79="","",SUMIFS(Socle!$K$1:$K$175,Socle!$C$1:$C$175,$B79,Socle!$D$1:$D$175,$D79,Socle!$E$1:$E$175,$E79,Socle!$F$1:$F$175,$F79,Socle!$G$1:$G$175,$A79))</f>
        <v/>
      </c>
      <c r="K79" t="str">
        <f t="shared" si="10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1"/>
        <v/>
      </c>
      <c r="P79" t="str">
        <f t="shared" si="12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 t="str">
        <f>IF($A79="","",IF(ALLOC!$N$4="VOL_EFF",$G79,IF(ALLOC!$N$4="VOL_CLASS",$H79,$I79)))</f>
        <v/>
      </c>
      <c r="AD79" t="str">
        <f>IF($A79="","",IF(ALLOC!$N$4="VOL_EFF",$L79,IF(ALLOC!$N$4="VOL_CLASS",$M79,$N79)))</f>
        <v/>
      </c>
      <c r="AE79" t="str">
        <f>IF($A79="","",IF(ALLOC!$N$3="VOL_EFF",$L79,IF(ALLOC!$N$3="VOL_CLASS",$M79,$N79)))</f>
        <v/>
      </c>
      <c r="AF79" t="str">
        <f>IF($A79="","",IF(ALLOC!$N$3="VOL_EFF",$Q79,IF(ALLOC!$N$3="VOL_CLASS",$R79,$S79)))</f>
        <v/>
      </c>
      <c r="AG79" t="str">
        <f>IF($A79="","",IF(ALLOC!$N$1="VOL_EFF",$Q79,IF(ALLOC!$N$1="VOL_CLASS",$R79,$S79)))</f>
        <v/>
      </c>
      <c r="AH79" t="str">
        <f>IF($A79="","",IF(ALLOC!$N$1="VOL_EFF",$T79,IF(ALLOC!$N$1="VOL_CLASS",$U79,$V79)))</f>
        <v/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IF($A79="","",SUMIFS(Compta!$F$1:$F$675,Compta!$A$1:$A$675,"GRP",Compta!$B$1:$B$675,"6236",Compta!$C$1:$C$675,$A79))</f>
        <v/>
      </c>
      <c r="AP79" t="str">
        <f>IF($A79="","",IF(ALLOC!$N$2="VOL_EFF",$Q79,IF(ALLOC!$N$2="VOL_CLASS",$R79,$S79)))</f>
        <v/>
      </c>
      <c r="AQ79" t="str">
        <f>IF($A79="","",IF(ALLOC!$N$2="VOL_EFF",$T79,IF(ALLOC!$N$2="VOL_CLASS",$U79,$V79)))</f>
        <v/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IF($A80="","",SUMIFS(Socle!$K$1:$K$175,Socle!$C$1:$C$175,$B80,Socle!$D$1:$D$175,$D80,Socle!$E$1:$E$175,$E80,Socle!$F$1:$F$175,$F80,Socle!$G$1:$G$175,$A80))</f>
        <v/>
      </c>
      <c r="K80" t="str">
        <f t="shared" si="10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1"/>
        <v/>
      </c>
      <c r="P80" t="str">
        <f t="shared" si="12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 t="str">
        <f>IF($A80="","",IF(ALLOC!$N$4="VOL_EFF",$G80,IF(ALLOC!$N$4="VOL_CLASS",$H80,$I80)))</f>
        <v/>
      </c>
      <c r="AD80" t="str">
        <f>IF($A80="","",IF(ALLOC!$N$4="VOL_EFF",$L80,IF(ALLOC!$N$4="VOL_CLASS",$M80,$N80)))</f>
        <v/>
      </c>
      <c r="AE80" t="str">
        <f>IF($A80="","",IF(ALLOC!$N$3="VOL_EFF",$L80,IF(ALLOC!$N$3="VOL_CLASS",$M80,$N80)))</f>
        <v/>
      </c>
      <c r="AF80" t="str">
        <f>IF($A80="","",IF(ALLOC!$N$3="VOL_EFF",$Q80,IF(ALLOC!$N$3="VOL_CLASS",$R80,$S80)))</f>
        <v/>
      </c>
      <c r="AG80" t="str">
        <f>IF($A80="","",IF(ALLOC!$N$1="VOL_EFF",$Q80,IF(ALLOC!$N$1="VOL_CLASS",$R80,$S80)))</f>
        <v/>
      </c>
      <c r="AH80" t="str">
        <f>IF($A80="","",IF(ALLOC!$N$1="VOL_EFF",$T80,IF(ALLOC!$N$1="VOL_CLASS",$U80,$V80)))</f>
        <v/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IF($A80="","",SUMIFS(Compta!$F$1:$F$675,Compta!$A$1:$A$675,"GRP",Compta!$B$1:$B$675,"6236",Compta!$C$1:$C$675,$A80))</f>
        <v/>
      </c>
      <c r="AP80" t="str">
        <f>IF($A80="","",IF(ALLOC!$N$2="VOL_EFF",$Q80,IF(ALLOC!$N$2="VOL_CLASS",$R80,$S80)))</f>
        <v/>
      </c>
      <c r="AQ80" t="str">
        <f>IF($A80="","",IF(ALLOC!$N$2="VOL_EFF",$T80,IF(ALLOC!$N$2="VOL_CLASS",$U80,$V80)))</f>
        <v/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IF($A81="","",SUMIFS(Socle!$K$1:$K$175,Socle!$C$1:$C$175,$B81,Socle!$D$1:$D$175,$D81,Socle!$E$1:$E$175,$E81,Socle!$F$1:$F$175,$F81,Socle!$G$1:$G$175,$A81))</f>
        <v/>
      </c>
      <c r="K81" t="str">
        <f t="shared" si="10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1"/>
        <v/>
      </c>
      <c r="P81" t="str">
        <f t="shared" si="12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 t="str">
        <f>IF($A81="","",IF(ALLOC!$N$4="VOL_EFF",$G81,IF(ALLOC!$N$4="VOL_CLASS",$H81,$I81)))</f>
        <v/>
      </c>
      <c r="AD81" t="str">
        <f>IF($A81="","",IF(ALLOC!$N$4="VOL_EFF",$L81,IF(ALLOC!$N$4="VOL_CLASS",$M81,$N81)))</f>
        <v/>
      </c>
      <c r="AE81" t="str">
        <f>IF($A81="","",IF(ALLOC!$N$3="VOL_EFF",$L81,IF(ALLOC!$N$3="VOL_CLASS",$M81,$N81)))</f>
        <v/>
      </c>
      <c r="AF81" t="str">
        <f>IF($A81="","",IF(ALLOC!$N$3="VOL_EFF",$Q81,IF(ALLOC!$N$3="VOL_CLASS",$R81,$S81)))</f>
        <v/>
      </c>
      <c r="AG81" t="str">
        <f>IF($A81="","",IF(ALLOC!$N$1="VOL_EFF",$Q81,IF(ALLOC!$N$1="VOL_CLASS",$R81,$S81)))</f>
        <v/>
      </c>
      <c r="AH81" t="str">
        <f>IF($A81="","",IF(ALLOC!$N$1="VOL_EFF",$T81,IF(ALLOC!$N$1="VOL_CLASS",$U81,$V81)))</f>
        <v/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IF($A81="","",SUMIFS(Compta!$F$1:$F$675,Compta!$A$1:$A$675,"GRP",Compta!$B$1:$B$675,"6236",Compta!$C$1:$C$675,$A81))</f>
        <v/>
      </c>
      <c r="AP81" t="str">
        <f>IF($A81="","",IF(ALLOC!$N$2="VOL_EFF",$Q81,IF(ALLOC!$N$2="VOL_CLASS",$R81,$S81)))</f>
        <v/>
      </c>
      <c r="AQ81" t="str">
        <f>IF($A81="","",IF(ALLOC!$N$2="VOL_EFF",$T81,IF(ALLOC!$N$2="VOL_CLASS",$U81,$V81)))</f>
        <v/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IF($A82="","",SUMIFS(Socle!$K$1:$K$175,Socle!$C$1:$C$175,$B82,Socle!$D$1:$D$175,$D82,Socle!$E$1:$E$175,$E82,Socle!$F$1:$F$175,$F82,Socle!$G$1:$G$175,$A82))</f>
        <v/>
      </c>
      <c r="K82" t="str">
        <f t="shared" si="10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1"/>
        <v/>
      </c>
      <c r="P82" t="str">
        <f t="shared" si="12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 t="str">
        <f>IF($A82="","",IF(ALLOC!$N$4="VOL_EFF",$G82,IF(ALLOC!$N$4="VOL_CLASS",$H82,$I82)))</f>
        <v/>
      </c>
      <c r="AD82" t="str">
        <f>IF($A82="","",IF(ALLOC!$N$4="VOL_EFF",$L82,IF(ALLOC!$N$4="VOL_CLASS",$M82,$N82)))</f>
        <v/>
      </c>
      <c r="AE82" t="str">
        <f>IF($A82="","",IF(ALLOC!$N$3="VOL_EFF",$L82,IF(ALLOC!$N$3="VOL_CLASS",$M82,$N82)))</f>
        <v/>
      </c>
      <c r="AF82" t="str">
        <f>IF($A82="","",IF(ALLOC!$N$3="VOL_EFF",$Q82,IF(ALLOC!$N$3="VOL_CLASS",$R82,$S82)))</f>
        <v/>
      </c>
      <c r="AG82" t="str">
        <f>IF($A82="","",IF(ALLOC!$N$1="VOL_EFF",$Q82,IF(ALLOC!$N$1="VOL_CLASS",$R82,$S82)))</f>
        <v/>
      </c>
      <c r="AH82" t="str">
        <f>IF($A82="","",IF(ALLOC!$N$1="VOL_EFF",$T82,IF(ALLOC!$N$1="VOL_CLASS",$U82,$V82)))</f>
        <v/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IF($A82="","",SUMIFS(Compta!$F$1:$F$675,Compta!$A$1:$A$675,"GRP",Compta!$B$1:$B$675,"6236",Compta!$C$1:$C$675,$A82))</f>
        <v/>
      </c>
      <c r="AP82" t="str">
        <f>IF($A82="","",IF(ALLOC!$N$2="VOL_EFF",$Q82,IF(ALLOC!$N$2="VOL_CLASS",$R82,$S82)))</f>
        <v/>
      </c>
      <c r="AQ82" t="str">
        <f>IF($A82="","",IF(ALLOC!$N$2="VOL_EFF",$T82,IF(ALLOC!$N$2="VOL_CLASS",$U82,$V82)))</f>
        <v/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IF($A83="","",SUMIFS(Socle!$K$1:$K$175,Socle!$C$1:$C$175,$B83,Socle!$D$1:$D$175,$D83,Socle!$E$1:$E$175,$E83,Socle!$F$1:$F$175,$F83,Socle!$G$1:$G$175,$A83))</f>
        <v/>
      </c>
      <c r="K83" t="str">
        <f t="shared" si="10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1"/>
        <v/>
      </c>
      <c r="P83" t="str">
        <f t="shared" si="12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 t="str">
        <f>IF($A83="","",IF(ALLOC!$N$4="VOL_EFF",$G83,IF(ALLOC!$N$4="VOL_CLASS",$H83,$I83)))</f>
        <v/>
      </c>
      <c r="AD83" t="str">
        <f>IF($A83="","",IF(ALLOC!$N$4="VOL_EFF",$L83,IF(ALLOC!$N$4="VOL_CLASS",$M83,$N83)))</f>
        <v/>
      </c>
      <c r="AE83" t="str">
        <f>IF($A83="","",IF(ALLOC!$N$3="VOL_EFF",$L83,IF(ALLOC!$N$3="VOL_CLASS",$M83,$N83)))</f>
        <v/>
      </c>
      <c r="AF83" t="str">
        <f>IF($A83="","",IF(ALLOC!$N$3="VOL_EFF",$Q83,IF(ALLOC!$N$3="VOL_CLASS",$R83,$S83)))</f>
        <v/>
      </c>
      <c r="AG83" t="str">
        <f>IF($A83="","",IF(ALLOC!$N$1="VOL_EFF",$Q83,IF(ALLOC!$N$1="VOL_CLASS",$R83,$S83)))</f>
        <v/>
      </c>
      <c r="AH83" t="str">
        <f>IF($A83="","",IF(ALLOC!$N$1="VOL_EFF",$T83,IF(ALLOC!$N$1="VOL_CLASS",$U83,$V83)))</f>
        <v/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IF($A83="","",SUMIFS(Compta!$F$1:$F$675,Compta!$A$1:$A$675,"GRP",Compta!$B$1:$B$675,"6236",Compta!$C$1:$C$675,$A83))</f>
        <v/>
      </c>
      <c r="AP83" t="str">
        <f>IF($A83="","",IF(ALLOC!$N$2="VOL_EFF",$Q83,IF(ALLOC!$N$2="VOL_CLASS",$R83,$S83)))</f>
        <v/>
      </c>
      <c r="AQ83" t="str">
        <f>IF($A83="","",IF(ALLOC!$N$2="VOL_EFF",$T83,IF(ALLOC!$N$2="VOL_CLASS",$U83,$V83)))</f>
        <v/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IF($A84="","",SUMIFS(Socle!$K$1:$K$175,Socle!$C$1:$C$175,$B84,Socle!$D$1:$D$175,$D84,Socle!$E$1:$E$175,$E84,Socle!$F$1:$F$175,$F84,Socle!$G$1:$G$175,$A84))</f>
        <v/>
      </c>
      <c r="K84" t="str">
        <f t="shared" si="10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1"/>
        <v/>
      </c>
      <c r="P84" t="str">
        <f t="shared" si="12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 t="str">
        <f>IF($A84="","",IF(ALLOC!$N$4="VOL_EFF",$G84,IF(ALLOC!$N$4="VOL_CLASS",$H84,$I84)))</f>
        <v/>
      </c>
      <c r="AD84" t="str">
        <f>IF($A84="","",IF(ALLOC!$N$4="VOL_EFF",$L84,IF(ALLOC!$N$4="VOL_CLASS",$M84,$N84)))</f>
        <v/>
      </c>
      <c r="AE84" t="str">
        <f>IF($A84="","",IF(ALLOC!$N$3="VOL_EFF",$L84,IF(ALLOC!$N$3="VOL_CLASS",$M84,$N84)))</f>
        <v/>
      </c>
      <c r="AF84" t="str">
        <f>IF($A84="","",IF(ALLOC!$N$3="VOL_EFF",$Q84,IF(ALLOC!$N$3="VOL_CLASS",$R84,$S84)))</f>
        <v/>
      </c>
      <c r="AG84" t="str">
        <f>IF($A84="","",IF(ALLOC!$N$1="VOL_EFF",$Q84,IF(ALLOC!$N$1="VOL_CLASS",$R84,$S84)))</f>
        <v/>
      </c>
      <c r="AH84" t="str">
        <f>IF($A84="","",IF(ALLOC!$N$1="VOL_EFF",$T84,IF(ALLOC!$N$1="VOL_CLASS",$U84,$V84)))</f>
        <v/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IF($A84="","",SUMIFS(Compta!$F$1:$F$675,Compta!$A$1:$A$675,"GRP",Compta!$B$1:$B$675,"6236",Compta!$C$1:$C$675,$A84))</f>
        <v/>
      </c>
      <c r="AP84" t="str">
        <f>IF($A84="","",IF(ALLOC!$N$2="VOL_EFF",$Q84,IF(ALLOC!$N$2="VOL_CLASS",$R84,$S84)))</f>
        <v/>
      </c>
      <c r="AQ84" t="str">
        <f>IF($A84="","",IF(ALLOC!$N$2="VOL_EFF",$T84,IF(ALLOC!$N$2="VOL_CLASS",$U84,$V84)))</f>
        <v/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IF($A85="","",SUMIFS(Socle!$K$1:$K$175,Socle!$C$1:$C$175,$B85,Socle!$D$1:$D$175,$D85,Socle!$E$1:$E$175,$E85,Socle!$F$1:$F$175,$F85,Socle!$G$1:$G$175,$A85))</f>
        <v/>
      </c>
      <c r="K85" t="str">
        <f t="shared" si="10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1"/>
        <v/>
      </c>
      <c r="P85" t="str">
        <f t="shared" si="12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 t="str">
        <f>IF($A85="","",IF(ALLOC!$N$4="VOL_EFF",$G85,IF(ALLOC!$N$4="VOL_CLASS",$H85,$I85)))</f>
        <v/>
      </c>
      <c r="AD85" t="str">
        <f>IF($A85="","",IF(ALLOC!$N$4="VOL_EFF",$L85,IF(ALLOC!$N$4="VOL_CLASS",$M85,$N85)))</f>
        <v/>
      </c>
      <c r="AE85" t="str">
        <f>IF($A85="","",IF(ALLOC!$N$3="VOL_EFF",$L85,IF(ALLOC!$N$3="VOL_CLASS",$M85,$N85)))</f>
        <v/>
      </c>
      <c r="AF85" t="str">
        <f>IF($A85="","",IF(ALLOC!$N$3="VOL_EFF",$Q85,IF(ALLOC!$N$3="VOL_CLASS",$R85,$S85)))</f>
        <v/>
      </c>
      <c r="AG85" t="str">
        <f>IF($A85="","",IF(ALLOC!$N$1="VOL_EFF",$Q85,IF(ALLOC!$N$1="VOL_CLASS",$R85,$S85)))</f>
        <v/>
      </c>
      <c r="AH85" t="str">
        <f>IF($A85="","",IF(ALLOC!$N$1="VOL_EFF",$T85,IF(ALLOC!$N$1="VOL_CLASS",$U85,$V85)))</f>
        <v/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IF($A85="","",SUMIFS(Compta!$F$1:$F$675,Compta!$A$1:$A$675,"GRP",Compta!$B$1:$B$675,"6236",Compta!$C$1:$C$675,$A85))</f>
        <v/>
      </c>
      <c r="AP85" t="str">
        <f>IF($A85="","",IF(ALLOC!$N$2="VOL_EFF",$Q85,IF(ALLOC!$N$2="VOL_CLASS",$R85,$S85)))</f>
        <v/>
      </c>
      <c r="AQ85" t="str">
        <f>IF($A85="","",IF(ALLOC!$N$2="VOL_EFF",$T85,IF(ALLOC!$N$2="VOL_CLASS",$U85,$V85)))</f>
        <v/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IF($A86="","",SUMIFS(Socle!$K$1:$K$175,Socle!$C$1:$C$175,$B86,Socle!$D$1:$D$175,$D86,Socle!$E$1:$E$175,$E86,Socle!$F$1:$F$175,$F86,Socle!$G$1:$G$175,$A86))</f>
        <v/>
      </c>
      <c r="K86" t="str">
        <f t="shared" si="10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1"/>
        <v/>
      </c>
      <c r="P86" t="str">
        <f t="shared" si="12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 t="str">
        <f>IF($A86="","",IF(ALLOC!$N$4="VOL_EFF",$G86,IF(ALLOC!$N$4="VOL_CLASS",$H86,$I86)))</f>
        <v/>
      </c>
      <c r="AD86" t="str">
        <f>IF($A86="","",IF(ALLOC!$N$4="VOL_EFF",$L86,IF(ALLOC!$N$4="VOL_CLASS",$M86,$N86)))</f>
        <v/>
      </c>
      <c r="AE86" t="str">
        <f>IF($A86="","",IF(ALLOC!$N$3="VOL_EFF",$L86,IF(ALLOC!$N$3="VOL_CLASS",$M86,$N86)))</f>
        <v/>
      </c>
      <c r="AF86" t="str">
        <f>IF($A86="","",IF(ALLOC!$N$3="VOL_EFF",$Q86,IF(ALLOC!$N$3="VOL_CLASS",$R86,$S86)))</f>
        <v/>
      </c>
      <c r="AG86" t="str">
        <f>IF($A86="","",IF(ALLOC!$N$1="VOL_EFF",$Q86,IF(ALLOC!$N$1="VOL_CLASS",$R86,$S86)))</f>
        <v/>
      </c>
      <c r="AH86" t="str">
        <f>IF($A86="","",IF(ALLOC!$N$1="VOL_EFF",$T86,IF(ALLOC!$N$1="VOL_CLASS",$U86,$V86)))</f>
        <v/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IF($A86="","",SUMIFS(Compta!$F$1:$F$675,Compta!$A$1:$A$675,"GRP",Compta!$B$1:$B$675,"6236",Compta!$C$1:$C$675,$A86))</f>
        <v/>
      </c>
      <c r="AP86" t="str">
        <f>IF($A86="","",IF(ALLOC!$N$2="VOL_EFF",$Q86,IF(ALLOC!$N$2="VOL_CLASS",$R86,$S86)))</f>
        <v/>
      </c>
      <c r="AQ86" t="str">
        <f>IF($A86="","",IF(ALLOC!$N$2="VOL_EFF",$T86,IF(ALLOC!$N$2="VOL_CLASS",$U86,$V86)))</f>
        <v/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IF($A87="","",SUMIFS(Socle!$K$1:$K$175,Socle!$C$1:$C$175,$B87,Socle!$D$1:$D$175,$D87,Socle!$E$1:$E$175,$E87,Socle!$F$1:$F$175,$F87,Socle!$G$1:$G$175,$A87))</f>
        <v/>
      </c>
      <c r="K87" t="str">
        <f t="shared" si="10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1"/>
        <v/>
      </c>
      <c r="P87" t="str">
        <f t="shared" si="12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 t="str">
        <f>IF($A87="","",IF(ALLOC!$N$4="VOL_EFF",$G87,IF(ALLOC!$N$4="VOL_CLASS",$H87,$I87)))</f>
        <v/>
      </c>
      <c r="AD87" t="str">
        <f>IF($A87="","",IF(ALLOC!$N$4="VOL_EFF",$L87,IF(ALLOC!$N$4="VOL_CLASS",$M87,$N87)))</f>
        <v/>
      </c>
      <c r="AE87" t="str">
        <f>IF($A87="","",IF(ALLOC!$N$3="VOL_EFF",$L87,IF(ALLOC!$N$3="VOL_CLASS",$M87,$N87)))</f>
        <v/>
      </c>
      <c r="AF87" t="str">
        <f>IF($A87="","",IF(ALLOC!$N$3="VOL_EFF",$Q87,IF(ALLOC!$N$3="VOL_CLASS",$R87,$S87)))</f>
        <v/>
      </c>
      <c r="AG87" t="str">
        <f>IF($A87="","",IF(ALLOC!$N$1="VOL_EFF",$Q87,IF(ALLOC!$N$1="VOL_CLASS",$R87,$S87)))</f>
        <v/>
      </c>
      <c r="AH87" t="str">
        <f>IF($A87="","",IF(ALLOC!$N$1="VOL_EFF",$T87,IF(ALLOC!$N$1="VOL_CLASS",$U87,$V87)))</f>
        <v/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IF($A87="","",SUMIFS(Compta!$F$1:$F$675,Compta!$A$1:$A$675,"GRP",Compta!$B$1:$B$675,"6236",Compta!$C$1:$C$675,$A87))</f>
        <v/>
      </c>
      <c r="AP87" t="str">
        <f>IF($A87="","",IF(ALLOC!$N$2="VOL_EFF",$Q87,IF(ALLOC!$N$2="VOL_CLASS",$R87,$S87)))</f>
        <v/>
      </c>
      <c r="AQ87" t="str">
        <f>IF($A87="","",IF(ALLOC!$N$2="VOL_EFF",$T87,IF(ALLOC!$N$2="VOL_CLASS",$U87,$V87)))</f>
        <v/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IF($A88="","",SUMIFS(Socle!$K$1:$K$175,Socle!$C$1:$C$175,$B88,Socle!$D$1:$D$175,$D88,Socle!$E$1:$E$175,$E88,Socle!$F$1:$F$175,$F88,Socle!$G$1:$G$175,$A88))</f>
        <v/>
      </c>
      <c r="K88" t="str">
        <f t="shared" si="10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1"/>
        <v/>
      </c>
      <c r="P88" t="str">
        <f t="shared" si="12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 t="str">
        <f>IF($A88="","",IF(ALLOC!$N$4="VOL_EFF",$G88,IF(ALLOC!$N$4="VOL_CLASS",$H88,$I88)))</f>
        <v/>
      </c>
      <c r="AD88" t="str">
        <f>IF($A88="","",IF(ALLOC!$N$4="VOL_EFF",$L88,IF(ALLOC!$N$4="VOL_CLASS",$M88,$N88)))</f>
        <v/>
      </c>
      <c r="AE88" t="str">
        <f>IF($A88="","",IF(ALLOC!$N$3="VOL_EFF",$L88,IF(ALLOC!$N$3="VOL_CLASS",$M88,$N88)))</f>
        <v/>
      </c>
      <c r="AF88" t="str">
        <f>IF($A88="","",IF(ALLOC!$N$3="VOL_EFF",$Q88,IF(ALLOC!$N$3="VOL_CLASS",$R88,$S88)))</f>
        <v/>
      </c>
      <c r="AG88" t="str">
        <f>IF($A88="","",IF(ALLOC!$N$1="VOL_EFF",$Q88,IF(ALLOC!$N$1="VOL_CLASS",$R88,$S88)))</f>
        <v/>
      </c>
      <c r="AH88" t="str">
        <f>IF($A88="","",IF(ALLOC!$N$1="VOL_EFF",$T88,IF(ALLOC!$N$1="VOL_CLASS",$U88,$V88)))</f>
        <v/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IF($A88="","",SUMIFS(Compta!$F$1:$F$675,Compta!$A$1:$A$675,"GRP",Compta!$B$1:$B$675,"6236",Compta!$C$1:$C$675,$A88))</f>
        <v/>
      </c>
      <c r="AP88" t="str">
        <f>IF($A88="","",IF(ALLOC!$N$2="VOL_EFF",$Q88,IF(ALLOC!$N$2="VOL_CLASS",$R88,$S88)))</f>
        <v/>
      </c>
      <c r="AQ88" t="str">
        <f>IF($A88="","",IF(ALLOC!$N$2="VOL_EFF",$T88,IF(ALLOC!$N$2="VOL_CLASS",$U88,$V88)))</f>
        <v/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IF($A89="","",SUMIFS(Socle!$K$1:$K$175,Socle!$C$1:$C$175,$B89,Socle!$D$1:$D$175,$D89,Socle!$E$1:$E$175,$E89,Socle!$F$1:$F$175,$F89,Socle!$G$1:$G$175,$A89))</f>
        <v/>
      </c>
      <c r="K89" t="str">
        <f t="shared" si="10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1"/>
        <v/>
      </c>
      <c r="P89" t="str">
        <f t="shared" si="12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 t="str">
        <f>IF($A89="","",IF(ALLOC!$N$4="VOL_EFF",$G89,IF(ALLOC!$N$4="VOL_CLASS",$H89,$I89)))</f>
        <v/>
      </c>
      <c r="AD89" t="str">
        <f>IF($A89="","",IF(ALLOC!$N$4="VOL_EFF",$L89,IF(ALLOC!$N$4="VOL_CLASS",$M89,$N89)))</f>
        <v/>
      </c>
      <c r="AE89" t="str">
        <f>IF($A89="","",IF(ALLOC!$N$3="VOL_EFF",$L89,IF(ALLOC!$N$3="VOL_CLASS",$M89,$N89)))</f>
        <v/>
      </c>
      <c r="AF89" t="str">
        <f>IF($A89="","",IF(ALLOC!$N$3="VOL_EFF",$Q89,IF(ALLOC!$N$3="VOL_CLASS",$R89,$S89)))</f>
        <v/>
      </c>
      <c r="AG89" t="str">
        <f>IF($A89="","",IF(ALLOC!$N$1="VOL_EFF",$Q89,IF(ALLOC!$N$1="VOL_CLASS",$R89,$S89)))</f>
        <v/>
      </c>
      <c r="AH89" t="str">
        <f>IF($A89="","",IF(ALLOC!$N$1="VOL_EFF",$T89,IF(ALLOC!$N$1="VOL_CLASS",$U89,$V89)))</f>
        <v/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IF($A89="","",SUMIFS(Compta!$F$1:$F$675,Compta!$A$1:$A$675,"GRP",Compta!$B$1:$B$675,"6236",Compta!$C$1:$C$675,$A89))</f>
        <v/>
      </c>
      <c r="AP89" t="str">
        <f>IF($A89="","",IF(ALLOC!$N$2="VOL_EFF",$Q89,IF(ALLOC!$N$2="VOL_CLASS",$R89,$S89)))</f>
        <v/>
      </c>
      <c r="AQ89" t="str">
        <f>IF($A89="","",IF(ALLOC!$N$2="VOL_EFF",$T89,IF(ALLOC!$N$2="VOL_CLASS",$U89,$V89)))</f>
        <v/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IF($A90="","",SUMIFS(Socle!$K$1:$K$175,Socle!$C$1:$C$175,$B90,Socle!$D$1:$D$175,$D90,Socle!$E$1:$E$175,$E90,Socle!$F$1:$F$175,$F90,Socle!$G$1:$G$175,$A90))</f>
        <v/>
      </c>
      <c r="K90" t="str">
        <f t="shared" si="10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1"/>
        <v/>
      </c>
      <c r="P90" t="str">
        <f t="shared" si="12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 t="str">
        <f>IF($A90="","",IF(ALLOC!$N$4="VOL_EFF",$G90,IF(ALLOC!$N$4="VOL_CLASS",$H90,$I90)))</f>
        <v/>
      </c>
      <c r="AD90" t="str">
        <f>IF($A90="","",IF(ALLOC!$N$4="VOL_EFF",$L90,IF(ALLOC!$N$4="VOL_CLASS",$M90,$N90)))</f>
        <v/>
      </c>
      <c r="AE90" t="str">
        <f>IF($A90="","",IF(ALLOC!$N$3="VOL_EFF",$L90,IF(ALLOC!$N$3="VOL_CLASS",$M90,$N90)))</f>
        <v/>
      </c>
      <c r="AF90" t="str">
        <f>IF($A90="","",IF(ALLOC!$N$3="VOL_EFF",$Q90,IF(ALLOC!$N$3="VOL_CLASS",$R90,$S90)))</f>
        <v/>
      </c>
      <c r="AG90" t="str">
        <f>IF($A90="","",IF(ALLOC!$N$1="VOL_EFF",$Q90,IF(ALLOC!$N$1="VOL_CLASS",$R90,$S90)))</f>
        <v/>
      </c>
      <c r="AH90" t="str">
        <f>IF($A90="","",IF(ALLOC!$N$1="VOL_EFF",$T90,IF(ALLOC!$N$1="VOL_CLASS",$U90,$V90)))</f>
        <v/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IF($A90="","",SUMIFS(Compta!$F$1:$F$675,Compta!$A$1:$A$675,"GRP",Compta!$B$1:$B$675,"6236",Compta!$C$1:$C$675,$A90))</f>
        <v/>
      </c>
      <c r="AP90" t="str">
        <f>IF($A90="","",IF(ALLOC!$N$2="VOL_EFF",$Q90,IF(ALLOC!$N$2="VOL_CLASS",$R90,$S90)))</f>
        <v/>
      </c>
      <c r="AQ90" t="str">
        <f>IF($A90="","",IF(ALLOC!$N$2="VOL_EFF",$T90,IF(ALLOC!$N$2="VOL_CLASS",$U90,$V90)))</f>
        <v/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IF($A91="","",SUMIFS(Socle!$K$1:$K$175,Socle!$C$1:$C$175,$B91,Socle!$D$1:$D$175,$D91,Socle!$E$1:$E$175,$E91,Socle!$F$1:$F$175,$F91,Socle!$G$1:$G$175,$A91))</f>
        <v/>
      </c>
      <c r="K91" t="str">
        <f t="shared" si="10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1"/>
        <v/>
      </c>
      <c r="P91" t="str">
        <f t="shared" si="12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 t="str">
        <f>IF($A91="","",IF(ALLOC!$N$4="VOL_EFF",$G91,IF(ALLOC!$N$4="VOL_CLASS",$H91,$I91)))</f>
        <v/>
      </c>
      <c r="AD91" t="str">
        <f>IF($A91="","",IF(ALLOC!$N$4="VOL_EFF",$L91,IF(ALLOC!$N$4="VOL_CLASS",$M91,$N91)))</f>
        <v/>
      </c>
      <c r="AE91" t="str">
        <f>IF($A91="","",IF(ALLOC!$N$3="VOL_EFF",$L91,IF(ALLOC!$N$3="VOL_CLASS",$M91,$N91)))</f>
        <v/>
      </c>
      <c r="AF91" t="str">
        <f>IF($A91="","",IF(ALLOC!$N$3="VOL_EFF",$Q91,IF(ALLOC!$N$3="VOL_CLASS",$R91,$S91)))</f>
        <v/>
      </c>
      <c r="AG91" t="str">
        <f>IF($A91="","",IF(ALLOC!$N$1="VOL_EFF",$Q91,IF(ALLOC!$N$1="VOL_CLASS",$R91,$S91)))</f>
        <v/>
      </c>
      <c r="AH91" t="str">
        <f>IF($A91="","",IF(ALLOC!$N$1="VOL_EFF",$T91,IF(ALLOC!$N$1="VOL_CLASS",$U91,$V91)))</f>
        <v/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IF($A91="","",SUMIFS(Compta!$F$1:$F$675,Compta!$A$1:$A$675,"GRP",Compta!$B$1:$B$675,"6236",Compta!$C$1:$C$675,$A91))</f>
        <v/>
      </c>
      <c r="AP91" t="str">
        <f>IF($A91="","",IF(ALLOC!$N$2="VOL_EFF",$Q91,IF(ALLOC!$N$2="VOL_CLASS",$R91,$S91)))</f>
        <v/>
      </c>
      <c r="AQ91" t="str">
        <f>IF($A91="","",IF(ALLOC!$N$2="VOL_EFF",$T91,IF(ALLOC!$N$2="VOL_CLASS",$U91,$V91)))</f>
        <v/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IF($A92="","",SUMIFS(Socle!$K$1:$K$175,Socle!$C$1:$C$175,$B92,Socle!$D$1:$D$175,$D92,Socle!$E$1:$E$175,$E92,Socle!$F$1:$F$175,$F92,Socle!$G$1:$G$175,$A92))</f>
        <v/>
      </c>
      <c r="K92" t="str">
        <f t="shared" si="10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1"/>
        <v/>
      </c>
      <c r="P92" t="str">
        <f t="shared" si="12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 t="str">
        <f>IF($A92="","",IF(ALLOC!$N$4="VOL_EFF",$G92,IF(ALLOC!$N$4="VOL_CLASS",$H92,$I92)))</f>
        <v/>
      </c>
      <c r="AD92" t="str">
        <f>IF($A92="","",IF(ALLOC!$N$4="VOL_EFF",$L92,IF(ALLOC!$N$4="VOL_CLASS",$M92,$N92)))</f>
        <v/>
      </c>
      <c r="AE92" t="str">
        <f>IF($A92="","",IF(ALLOC!$N$3="VOL_EFF",$L92,IF(ALLOC!$N$3="VOL_CLASS",$M92,$N92)))</f>
        <v/>
      </c>
      <c r="AF92" t="str">
        <f>IF($A92="","",IF(ALLOC!$N$3="VOL_EFF",$Q92,IF(ALLOC!$N$3="VOL_CLASS",$R92,$S92)))</f>
        <v/>
      </c>
      <c r="AG92" t="str">
        <f>IF($A92="","",IF(ALLOC!$N$1="VOL_EFF",$Q92,IF(ALLOC!$N$1="VOL_CLASS",$R92,$S92)))</f>
        <v/>
      </c>
      <c r="AH92" t="str">
        <f>IF($A92="","",IF(ALLOC!$N$1="VOL_EFF",$T92,IF(ALLOC!$N$1="VOL_CLASS",$U92,$V92)))</f>
        <v/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IF($A92="","",SUMIFS(Compta!$F$1:$F$675,Compta!$A$1:$A$675,"GRP",Compta!$B$1:$B$675,"6236",Compta!$C$1:$C$675,$A92))</f>
        <v/>
      </c>
      <c r="AP92" t="str">
        <f>IF($A92="","",IF(ALLOC!$N$2="VOL_EFF",$Q92,IF(ALLOC!$N$2="VOL_CLASS",$R92,$S92)))</f>
        <v/>
      </c>
      <c r="AQ92" t="str">
        <f>IF($A92="","",IF(ALLOC!$N$2="VOL_EFF",$T92,IF(ALLOC!$N$2="VOL_CLASS",$U92,$V92)))</f>
        <v/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IF($A93="","",SUMIFS(Socle!$K$1:$K$175,Socle!$C$1:$C$175,$B93,Socle!$D$1:$D$175,$D93,Socle!$E$1:$E$175,$E93,Socle!$F$1:$F$175,$F93,Socle!$G$1:$G$175,$A93))</f>
        <v/>
      </c>
      <c r="K93" t="str">
        <f t="shared" si="10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1"/>
        <v/>
      </c>
      <c r="P93" t="str">
        <f t="shared" si="12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 t="str">
        <f>IF($A93="","",IF(ALLOC!$N$4="VOL_EFF",$G93,IF(ALLOC!$N$4="VOL_CLASS",$H93,$I93)))</f>
        <v/>
      </c>
      <c r="AD93" t="str">
        <f>IF($A93="","",IF(ALLOC!$N$4="VOL_EFF",$L93,IF(ALLOC!$N$4="VOL_CLASS",$M93,$N93)))</f>
        <v/>
      </c>
      <c r="AE93" t="str">
        <f>IF($A93="","",IF(ALLOC!$N$3="VOL_EFF",$L93,IF(ALLOC!$N$3="VOL_CLASS",$M93,$N93)))</f>
        <v/>
      </c>
      <c r="AF93" t="str">
        <f>IF($A93="","",IF(ALLOC!$N$3="VOL_EFF",$Q93,IF(ALLOC!$N$3="VOL_CLASS",$R93,$S93)))</f>
        <v/>
      </c>
      <c r="AG93" t="str">
        <f>IF($A93="","",IF(ALLOC!$N$1="VOL_EFF",$Q93,IF(ALLOC!$N$1="VOL_CLASS",$R93,$S93)))</f>
        <v/>
      </c>
      <c r="AH93" t="str">
        <f>IF($A93="","",IF(ALLOC!$N$1="VOL_EFF",$T93,IF(ALLOC!$N$1="VOL_CLASS",$U93,$V93)))</f>
        <v/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IF($A93="","",SUMIFS(Compta!$F$1:$F$675,Compta!$A$1:$A$675,"GRP",Compta!$B$1:$B$675,"6236",Compta!$C$1:$C$675,$A93))</f>
        <v/>
      </c>
      <c r="AP93" t="str">
        <f>IF($A93="","",IF(ALLOC!$N$2="VOL_EFF",$Q93,IF(ALLOC!$N$2="VOL_CLASS",$R93,$S93)))</f>
        <v/>
      </c>
      <c r="AQ93" t="str">
        <f>IF($A93="","",IF(ALLOC!$N$2="VOL_EFF",$T93,IF(ALLOC!$N$2="VOL_CLASS",$U93,$V93)))</f>
        <v/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IF($A94="","",SUMIFS(Socle!$K$1:$K$175,Socle!$C$1:$C$175,$B94,Socle!$D$1:$D$175,$D94,Socle!$E$1:$E$175,$E94,Socle!$F$1:$F$175,$F94,Socle!$G$1:$G$175,$A94))</f>
        <v/>
      </c>
      <c r="K94" t="str">
        <f t="shared" si="10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1"/>
        <v/>
      </c>
      <c r="P94" t="str">
        <f t="shared" si="12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 t="str">
        <f>IF($A94="","",IF(ALLOC!$N$4="VOL_EFF",$G94,IF(ALLOC!$N$4="VOL_CLASS",$H94,$I94)))</f>
        <v/>
      </c>
      <c r="AD94" t="str">
        <f>IF($A94="","",IF(ALLOC!$N$4="VOL_EFF",$L94,IF(ALLOC!$N$4="VOL_CLASS",$M94,$N94)))</f>
        <v/>
      </c>
      <c r="AE94" t="str">
        <f>IF($A94="","",IF(ALLOC!$N$3="VOL_EFF",$L94,IF(ALLOC!$N$3="VOL_CLASS",$M94,$N94)))</f>
        <v/>
      </c>
      <c r="AF94" t="str">
        <f>IF($A94="","",IF(ALLOC!$N$3="VOL_EFF",$Q94,IF(ALLOC!$N$3="VOL_CLASS",$R94,$S94)))</f>
        <v/>
      </c>
      <c r="AG94" t="str">
        <f>IF($A94="","",IF(ALLOC!$N$1="VOL_EFF",$Q94,IF(ALLOC!$N$1="VOL_CLASS",$R94,$S94)))</f>
        <v/>
      </c>
      <c r="AH94" t="str">
        <f>IF($A94="","",IF(ALLOC!$N$1="VOL_EFF",$T94,IF(ALLOC!$N$1="VOL_CLASS",$U94,$V94)))</f>
        <v/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IF($A94="","",SUMIFS(Compta!$F$1:$F$675,Compta!$A$1:$A$675,"GRP",Compta!$B$1:$B$675,"6236",Compta!$C$1:$C$675,$A94))</f>
        <v/>
      </c>
      <c r="AP94" t="str">
        <f>IF($A94="","",IF(ALLOC!$N$2="VOL_EFF",$Q94,IF(ALLOC!$N$2="VOL_CLASS",$R94,$S94)))</f>
        <v/>
      </c>
      <c r="AQ94" t="str">
        <f>IF($A94="","",IF(ALLOC!$N$2="VOL_EFF",$T94,IF(ALLOC!$N$2="VOL_CLASS",$U94,$V94)))</f>
        <v/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IF($A95="","",SUMIFS(Socle!$K$1:$K$175,Socle!$C$1:$C$175,$B95,Socle!$D$1:$D$175,$D95,Socle!$E$1:$E$175,$E95,Socle!$F$1:$F$175,$F95,Socle!$G$1:$G$175,$A95))</f>
        <v/>
      </c>
      <c r="K95" t="str">
        <f t="shared" si="10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1"/>
        <v/>
      </c>
      <c r="P95" t="str">
        <f t="shared" si="12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 t="str">
        <f>IF($A95="","",IF(ALLOC!$N$4="VOL_EFF",$G95,IF(ALLOC!$N$4="VOL_CLASS",$H95,$I95)))</f>
        <v/>
      </c>
      <c r="AD95" t="str">
        <f>IF($A95="","",IF(ALLOC!$N$4="VOL_EFF",$L95,IF(ALLOC!$N$4="VOL_CLASS",$M95,$N95)))</f>
        <v/>
      </c>
      <c r="AE95" t="str">
        <f>IF($A95="","",IF(ALLOC!$N$3="VOL_EFF",$L95,IF(ALLOC!$N$3="VOL_CLASS",$M95,$N95)))</f>
        <v/>
      </c>
      <c r="AF95" t="str">
        <f>IF($A95="","",IF(ALLOC!$N$3="VOL_EFF",$Q95,IF(ALLOC!$N$3="VOL_CLASS",$R95,$S95)))</f>
        <v/>
      </c>
      <c r="AG95" t="str">
        <f>IF($A95="","",IF(ALLOC!$N$1="VOL_EFF",$Q95,IF(ALLOC!$N$1="VOL_CLASS",$R95,$S95)))</f>
        <v/>
      </c>
      <c r="AH95" t="str">
        <f>IF($A95="","",IF(ALLOC!$N$1="VOL_EFF",$T95,IF(ALLOC!$N$1="VOL_CLASS",$U95,$V95)))</f>
        <v/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IF($A95="","",SUMIFS(Compta!$F$1:$F$675,Compta!$A$1:$A$675,"GRP",Compta!$B$1:$B$675,"6236",Compta!$C$1:$C$675,$A95))</f>
        <v/>
      </c>
      <c r="AP95" t="str">
        <f>IF($A95="","",IF(ALLOC!$N$2="VOL_EFF",$Q95,IF(ALLOC!$N$2="VOL_CLASS",$R95,$S95)))</f>
        <v/>
      </c>
      <c r="AQ95" t="str">
        <f>IF($A95="","",IF(ALLOC!$N$2="VOL_EFF",$T95,IF(ALLOC!$N$2="VOL_CLASS",$U95,$V95)))</f>
        <v/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IF($A96="","",SUMIFS(Socle!$K$1:$K$175,Socle!$C$1:$C$175,$B96,Socle!$D$1:$D$175,$D96,Socle!$E$1:$E$175,$E96,Socle!$F$1:$F$175,$F96,Socle!$G$1:$G$175,$A96))</f>
        <v/>
      </c>
      <c r="K96" t="str">
        <f t="shared" si="10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1"/>
        <v/>
      </c>
      <c r="P96" t="str">
        <f t="shared" si="12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 t="str">
        <f>IF($A96="","",IF(ALLOC!$N$4="VOL_EFF",$G96,IF(ALLOC!$N$4="VOL_CLASS",$H96,$I96)))</f>
        <v/>
      </c>
      <c r="AD96" t="str">
        <f>IF($A96="","",IF(ALLOC!$N$4="VOL_EFF",$L96,IF(ALLOC!$N$4="VOL_CLASS",$M96,$N96)))</f>
        <v/>
      </c>
      <c r="AE96" t="str">
        <f>IF($A96="","",IF(ALLOC!$N$3="VOL_EFF",$L96,IF(ALLOC!$N$3="VOL_CLASS",$M96,$N96)))</f>
        <v/>
      </c>
      <c r="AF96" t="str">
        <f>IF($A96="","",IF(ALLOC!$N$3="VOL_EFF",$Q96,IF(ALLOC!$N$3="VOL_CLASS",$R96,$S96)))</f>
        <v/>
      </c>
      <c r="AG96" t="str">
        <f>IF($A96="","",IF(ALLOC!$N$1="VOL_EFF",$Q96,IF(ALLOC!$N$1="VOL_CLASS",$R96,$S96)))</f>
        <v/>
      </c>
      <c r="AH96" t="str">
        <f>IF($A96="","",IF(ALLOC!$N$1="VOL_EFF",$T96,IF(ALLOC!$N$1="VOL_CLASS",$U96,$V96)))</f>
        <v/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IF($A96="","",SUMIFS(Compta!$F$1:$F$675,Compta!$A$1:$A$675,"GRP",Compta!$B$1:$B$675,"6236",Compta!$C$1:$C$675,$A96))</f>
        <v/>
      </c>
      <c r="AP96" t="str">
        <f>IF($A96="","",IF(ALLOC!$N$2="VOL_EFF",$Q96,IF(ALLOC!$N$2="VOL_CLASS",$R96,$S96)))</f>
        <v/>
      </c>
      <c r="AQ96" t="str">
        <f>IF($A96="","",IF(ALLOC!$N$2="VOL_EFF",$T96,IF(ALLOC!$N$2="VOL_CLASS",$U96,$V96)))</f>
        <v/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IF($A97="","",SUMIFS(Socle!$K$1:$K$175,Socle!$C$1:$C$175,$B97,Socle!$D$1:$D$175,$D97,Socle!$E$1:$E$175,$E97,Socle!$F$1:$F$175,$F97,Socle!$G$1:$G$175,$A97))</f>
        <v/>
      </c>
      <c r="K97" t="str">
        <f t="shared" si="10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1"/>
        <v/>
      </c>
      <c r="P97" t="str">
        <f t="shared" si="12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 t="str">
        <f>IF($A97="","",IF(ALLOC!$N$4="VOL_EFF",$G97,IF(ALLOC!$N$4="VOL_CLASS",$H97,$I97)))</f>
        <v/>
      </c>
      <c r="AD97" t="str">
        <f>IF($A97="","",IF(ALLOC!$N$4="VOL_EFF",$L97,IF(ALLOC!$N$4="VOL_CLASS",$M97,$N97)))</f>
        <v/>
      </c>
      <c r="AE97" t="str">
        <f>IF($A97="","",IF(ALLOC!$N$3="VOL_EFF",$L97,IF(ALLOC!$N$3="VOL_CLASS",$M97,$N97)))</f>
        <v/>
      </c>
      <c r="AF97" t="str">
        <f>IF($A97="","",IF(ALLOC!$N$3="VOL_EFF",$Q97,IF(ALLOC!$N$3="VOL_CLASS",$R97,$S97)))</f>
        <v/>
      </c>
      <c r="AG97" t="str">
        <f>IF($A97="","",IF(ALLOC!$N$1="VOL_EFF",$Q97,IF(ALLOC!$N$1="VOL_CLASS",$R97,$S97)))</f>
        <v/>
      </c>
      <c r="AH97" t="str">
        <f>IF($A97="","",IF(ALLOC!$N$1="VOL_EFF",$T97,IF(ALLOC!$N$1="VOL_CLASS",$U97,$V97)))</f>
        <v/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IF($A97="","",SUMIFS(Compta!$F$1:$F$675,Compta!$A$1:$A$675,"GRP",Compta!$B$1:$B$675,"6236",Compta!$C$1:$C$675,$A97))</f>
        <v/>
      </c>
      <c r="AP97" t="str">
        <f>IF($A97="","",IF(ALLOC!$N$2="VOL_EFF",$Q97,IF(ALLOC!$N$2="VOL_CLASS",$R97,$S97)))</f>
        <v/>
      </c>
      <c r="AQ97" t="str">
        <f>IF($A97="","",IF(ALLOC!$N$2="VOL_EFF",$T97,IF(ALLOC!$N$2="VOL_CLASS",$U97,$V97)))</f>
        <v/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IF($A98="","",SUMIFS(Socle!$K$1:$K$175,Socle!$C$1:$C$175,$B98,Socle!$D$1:$D$175,$D98,Socle!$E$1:$E$175,$E98,Socle!$F$1:$F$175,$F98,Socle!$G$1:$G$175,$A98))</f>
        <v/>
      </c>
      <c r="K98" t="str">
        <f t="shared" si="10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1"/>
        <v/>
      </c>
      <c r="P98" t="str">
        <f t="shared" si="12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 t="str">
        <f>IF($A98="","",IF(ALLOC!$N$4="VOL_EFF",$G98,IF(ALLOC!$N$4="VOL_CLASS",$H98,$I98)))</f>
        <v/>
      </c>
      <c r="AD98" t="str">
        <f>IF($A98="","",IF(ALLOC!$N$4="VOL_EFF",$L98,IF(ALLOC!$N$4="VOL_CLASS",$M98,$N98)))</f>
        <v/>
      </c>
      <c r="AE98" t="str">
        <f>IF($A98="","",IF(ALLOC!$N$3="VOL_EFF",$L98,IF(ALLOC!$N$3="VOL_CLASS",$M98,$N98)))</f>
        <v/>
      </c>
      <c r="AF98" t="str">
        <f>IF($A98="","",IF(ALLOC!$N$3="VOL_EFF",$Q98,IF(ALLOC!$N$3="VOL_CLASS",$R98,$S98)))</f>
        <v/>
      </c>
      <c r="AG98" t="str">
        <f>IF($A98="","",IF(ALLOC!$N$1="VOL_EFF",$Q98,IF(ALLOC!$N$1="VOL_CLASS",$R98,$S98)))</f>
        <v/>
      </c>
      <c r="AH98" t="str">
        <f>IF($A98="","",IF(ALLOC!$N$1="VOL_EFF",$T98,IF(ALLOC!$N$1="VOL_CLASS",$U98,$V98)))</f>
        <v/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IF($A98="","",SUMIFS(Compta!$F$1:$F$675,Compta!$A$1:$A$675,"GRP",Compta!$B$1:$B$675,"6236",Compta!$C$1:$C$675,$A98))</f>
        <v/>
      </c>
      <c r="AP98" t="str">
        <f>IF($A98="","",IF(ALLOC!$N$2="VOL_EFF",$Q98,IF(ALLOC!$N$2="VOL_CLASS",$R98,$S98)))</f>
        <v/>
      </c>
      <c r="AQ98" t="str">
        <f>IF($A98="","",IF(ALLOC!$N$2="VOL_EFF",$T98,IF(ALLOC!$N$2="VOL_CLASS",$U98,$V98)))</f>
        <v/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IF($A99="","",SUMIFS(Socle!$K$1:$K$175,Socle!$C$1:$C$175,$B99,Socle!$D$1:$D$175,$D99,Socle!$E$1:$E$175,$E99,Socle!$F$1:$F$175,$F99,Socle!$G$1:$G$175,$A99))</f>
        <v/>
      </c>
      <c r="K99" t="str">
        <f t="shared" si="10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1"/>
        <v/>
      </c>
      <c r="P99" t="str">
        <f t="shared" si="12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 t="str">
        <f>IF($A99="","",IF(ALLOC!$N$4="VOL_EFF",$G99,IF(ALLOC!$N$4="VOL_CLASS",$H99,$I99)))</f>
        <v/>
      </c>
      <c r="AD99" t="str">
        <f>IF($A99="","",IF(ALLOC!$N$4="VOL_EFF",$L99,IF(ALLOC!$N$4="VOL_CLASS",$M99,$N99)))</f>
        <v/>
      </c>
      <c r="AE99" t="str">
        <f>IF($A99="","",IF(ALLOC!$N$3="VOL_EFF",$L99,IF(ALLOC!$N$3="VOL_CLASS",$M99,$N99)))</f>
        <v/>
      </c>
      <c r="AF99" t="str">
        <f>IF($A99="","",IF(ALLOC!$N$3="VOL_EFF",$Q99,IF(ALLOC!$N$3="VOL_CLASS",$R99,$S99)))</f>
        <v/>
      </c>
      <c r="AG99" t="str">
        <f>IF($A99="","",IF(ALLOC!$N$1="VOL_EFF",$Q99,IF(ALLOC!$N$1="VOL_CLASS",$R99,$S99)))</f>
        <v/>
      </c>
      <c r="AH99" t="str">
        <f>IF($A99="","",IF(ALLOC!$N$1="VOL_EFF",$T99,IF(ALLOC!$N$1="VOL_CLASS",$U99,$V99)))</f>
        <v/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IF($A99="","",SUMIFS(Compta!$F$1:$F$675,Compta!$A$1:$A$675,"GRP",Compta!$B$1:$B$675,"6236",Compta!$C$1:$C$675,$A99))</f>
        <v/>
      </c>
      <c r="AP99" t="str">
        <f>IF($A99="","",IF(ALLOC!$N$2="VOL_EFF",$Q99,IF(ALLOC!$N$2="VOL_CLASS",$R99,$S99)))</f>
        <v/>
      </c>
      <c r="AQ99" t="str">
        <f>IF($A99="","",IF(ALLOC!$N$2="VOL_EFF",$T99,IF(ALLOC!$N$2="VOL_CLASS",$U99,$V99)))</f>
        <v/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IF($A100="","",SUMIFS(Socle!$K$1:$K$175,Socle!$C$1:$C$175,$B100,Socle!$D$1:$D$175,$D100,Socle!$E$1:$E$175,$E100,Socle!$F$1:$F$175,$F100,Socle!$G$1:$G$175,$A100))</f>
        <v/>
      </c>
      <c r="K100" t="str">
        <f t="shared" si="10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1"/>
        <v/>
      </c>
      <c r="P100" t="str">
        <f t="shared" si="12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 t="str">
        <f>IF($A100="","",IF(ALLOC!$N$4="VOL_EFF",$G100,IF(ALLOC!$N$4="VOL_CLASS",$H100,$I100)))</f>
        <v/>
      </c>
      <c r="AD100" t="str">
        <f>IF($A100="","",IF(ALLOC!$N$4="VOL_EFF",$L100,IF(ALLOC!$N$4="VOL_CLASS",$M100,$N100)))</f>
        <v/>
      </c>
      <c r="AE100" t="str">
        <f>IF($A100="","",IF(ALLOC!$N$3="VOL_EFF",$L100,IF(ALLOC!$N$3="VOL_CLASS",$M100,$N100)))</f>
        <v/>
      </c>
      <c r="AF100" t="str">
        <f>IF($A100="","",IF(ALLOC!$N$3="VOL_EFF",$Q100,IF(ALLOC!$N$3="VOL_CLASS",$R100,$S100)))</f>
        <v/>
      </c>
      <c r="AG100" t="str">
        <f>IF($A100="","",IF(ALLOC!$N$1="VOL_EFF",$Q100,IF(ALLOC!$N$1="VOL_CLASS",$R100,$S100)))</f>
        <v/>
      </c>
      <c r="AH100" t="str">
        <f>IF($A100="","",IF(ALLOC!$N$1="VOL_EFF",$T100,IF(ALLOC!$N$1="VOL_CLASS",$U100,$V100)))</f>
        <v/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IF($A100="","",SUMIFS(Compta!$F$1:$F$675,Compta!$A$1:$A$675,"GRP",Compta!$B$1:$B$675,"6236",Compta!$C$1:$C$675,$A100))</f>
        <v/>
      </c>
      <c r="AP100" t="str">
        <f>IF($A100="","",IF(ALLOC!$N$2="VOL_EFF",$Q100,IF(ALLOC!$N$2="VOL_CLASS",$R100,$S100)))</f>
        <v/>
      </c>
      <c r="AQ100" t="str">
        <f>IF($A100="","",IF(ALLOC!$N$2="VOL_EFF",$T100,IF(ALLOC!$N$2="VOL_CLASS",$U100,$V100)))</f>
        <v/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IF($A101="","",SUMIFS(Socle!$K$1:$K$175,Socle!$C$1:$C$175,$B101,Socle!$D$1:$D$175,$D101,Socle!$E$1:$E$175,$E101,Socle!$F$1:$F$175,$F101,Socle!$G$1:$G$175,$A101))</f>
        <v/>
      </c>
      <c r="K101" t="str">
        <f t="shared" si="10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1"/>
        <v/>
      </c>
      <c r="P101" t="str">
        <f t="shared" si="12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 t="str">
        <f>IF($A101="","",IF(ALLOC!$N$4="VOL_EFF",$G101,IF(ALLOC!$N$4="VOL_CLASS",$H101,$I101)))</f>
        <v/>
      </c>
      <c r="AD101" t="str">
        <f>IF($A101="","",IF(ALLOC!$N$4="VOL_EFF",$L101,IF(ALLOC!$N$4="VOL_CLASS",$M101,$N101)))</f>
        <v/>
      </c>
      <c r="AE101" t="str">
        <f>IF($A101="","",IF(ALLOC!$N$3="VOL_EFF",$L101,IF(ALLOC!$N$3="VOL_CLASS",$M101,$N101)))</f>
        <v/>
      </c>
      <c r="AF101" t="str">
        <f>IF($A101="","",IF(ALLOC!$N$3="VOL_EFF",$Q101,IF(ALLOC!$N$3="VOL_CLASS",$R101,$S101)))</f>
        <v/>
      </c>
      <c r="AG101" t="str">
        <f>IF($A101="","",IF(ALLOC!$N$1="VOL_EFF",$Q101,IF(ALLOC!$N$1="VOL_CLASS",$R101,$S101)))</f>
        <v/>
      </c>
      <c r="AH101" t="str">
        <f>IF($A101="","",IF(ALLOC!$N$1="VOL_EFF",$T101,IF(ALLOC!$N$1="VOL_CLASS",$U101,$V101)))</f>
        <v/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IF($A101="","",SUMIFS(Compta!$F$1:$F$675,Compta!$A$1:$A$675,"GRP",Compta!$B$1:$B$675,"6236",Compta!$C$1:$C$675,$A101))</f>
        <v/>
      </c>
      <c r="AP101" t="str">
        <f>IF($A101="","",IF(ALLOC!$N$2="VOL_EFF",$Q101,IF(ALLOC!$N$2="VOL_CLASS",$R101,$S101)))</f>
        <v/>
      </c>
      <c r="AQ101" t="str">
        <f>IF($A101="","",IF(ALLOC!$N$2="VOL_EFF",$T101,IF(ALLOC!$N$2="VOL_CLASS",$U101,$V101)))</f>
        <v/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IF($A102="","",SUMIFS(Socle!$K$1:$K$175,Socle!$C$1:$C$175,$B102,Socle!$D$1:$D$175,$D102,Socle!$E$1:$E$175,$E102,Socle!$F$1:$F$175,$F102,Socle!$G$1:$G$175,$A102))</f>
        <v/>
      </c>
      <c r="K102" t="str">
        <f t="shared" si="10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1"/>
        <v/>
      </c>
      <c r="P102" t="str">
        <f t="shared" si="12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 t="str">
        <f>IF($A102="","",IF(ALLOC!$N$4="VOL_EFF",$G102,IF(ALLOC!$N$4="VOL_CLASS",$H102,$I102)))</f>
        <v/>
      </c>
      <c r="AD102" t="str">
        <f>IF($A102="","",IF(ALLOC!$N$4="VOL_EFF",$L102,IF(ALLOC!$N$4="VOL_CLASS",$M102,$N102)))</f>
        <v/>
      </c>
      <c r="AE102" t="str">
        <f>IF($A102="","",IF(ALLOC!$N$3="VOL_EFF",$L102,IF(ALLOC!$N$3="VOL_CLASS",$M102,$N102)))</f>
        <v/>
      </c>
      <c r="AF102" t="str">
        <f>IF($A102="","",IF(ALLOC!$N$3="VOL_EFF",$Q102,IF(ALLOC!$N$3="VOL_CLASS",$R102,$S102)))</f>
        <v/>
      </c>
      <c r="AG102" t="str">
        <f>IF($A102="","",IF(ALLOC!$N$1="VOL_EFF",$Q102,IF(ALLOC!$N$1="VOL_CLASS",$R102,$S102)))</f>
        <v/>
      </c>
      <c r="AH102" t="str">
        <f>IF($A102="","",IF(ALLOC!$N$1="VOL_EFF",$T102,IF(ALLOC!$N$1="VOL_CLASS",$U102,$V102)))</f>
        <v/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IF($A102="","",SUMIFS(Compta!$F$1:$F$675,Compta!$A$1:$A$675,"GRP",Compta!$B$1:$B$675,"6236",Compta!$C$1:$C$675,$A102))</f>
        <v/>
      </c>
      <c r="AP102" t="str">
        <f>IF($A102="","",IF(ALLOC!$N$2="VOL_EFF",$Q102,IF(ALLOC!$N$2="VOL_CLASS",$R102,$S102)))</f>
        <v/>
      </c>
      <c r="AQ102" t="str">
        <f>IF($A102="","",IF(ALLOC!$N$2="VOL_EFF",$T102,IF(ALLOC!$N$2="VOL_CLASS",$U102,$V102)))</f>
        <v/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IF($A103="","",SUMIFS(Socle!$K$1:$K$175,Socle!$C$1:$C$175,$B103,Socle!$D$1:$D$175,$D103,Socle!$E$1:$E$175,$E103,Socle!$F$1:$F$175,$F103,Socle!$G$1:$G$175,$A103))</f>
        <v/>
      </c>
      <c r="K103" t="str">
        <f t="shared" si="10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1"/>
        <v/>
      </c>
      <c r="P103" t="str">
        <f t="shared" si="12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 t="str">
        <f>IF($A103="","",IF(ALLOC!$N$4="VOL_EFF",$G103,IF(ALLOC!$N$4="VOL_CLASS",$H103,$I103)))</f>
        <v/>
      </c>
      <c r="AD103" t="str">
        <f>IF($A103="","",IF(ALLOC!$N$4="VOL_EFF",$L103,IF(ALLOC!$N$4="VOL_CLASS",$M103,$N103)))</f>
        <v/>
      </c>
      <c r="AE103" t="str">
        <f>IF($A103="","",IF(ALLOC!$N$3="VOL_EFF",$L103,IF(ALLOC!$N$3="VOL_CLASS",$M103,$N103)))</f>
        <v/>
      </c>
      <c r="AF103" t="str">
        <f>IF($A103="","",IF(ALLOC!$N$3="VOL_EFF",$Q103,IF(ALLOC!$N$3="VOL_CLASS",$R103,$S103)))</f>
        <v/>
      </c>
      <c r="AG103" t="str">
        <f>IF($A103="","",IF(ALLOC!$N$1="VOL_EFF",$Q103,IF(ALLOC!$N$1="VOL_CLASS",$R103,$S103)))</f>
        <v/>
      </c>
      <c r="AH103" t="str">
        <f>IF($A103="","",IF(ALLOC!$N$1="VOL_EFF",$T103,IF(ALLOC!$N$1="VOL_CLASS",$U103,$V103)))</f>
        <v/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IF($A103="","",SUMIFS(Compta!$F$1:$F$675,Compta!$A$1:$A$675,"GRP",Compta!$B$1:$B$675,"6236",Compta!$C$1:$C$675,$A103))</f>
        <v/>
      </c>
      <c r="AP103" t="str">
        <f>IF($A103="","",IF(ALLOC!$N$2="VOL_EFF",$Q103,IF(ALLOC!$N$2="VOL_CLASS",$R103,$S103)))</f>
        <v/>
      </c>
      <c r="AQ103" t="str">
        <f>IF($A103="","",IF(ALLOC!$N$2="VOL_EFF",$T103,IF(ALLOC!$N$2="VOL_CLASS",$U103,$V103)))</f>
        <v/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IF($A104="","",SUMIFS(Socle!$K$1:$K$175,Socle!$C$1:$C$175,$B104,Socle!$D$1:$D$175,$D104,Socle!$E$1:$E$175,$E104,Socle!$F$1:$F$175,$F104,Socle!$G$1:$G$175,$A104))</f>
        <v/>
      </c>
      <c r="K104" t="str">
        <f t="shared" si="10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1"/>
        <v/>
      </c>
      <c r="P104" t="str">
        <f t="shared" si="12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 t="str">
        <f>IF($A104="","",IF(ALLOC!$N$4="VOL_EFF",$G104,IF(ALLOC!$N$4="VOL_CLASS",$H104,$I104)))</f>
        <v/>
      </c>
      <c r="AD104" t="str">
        <f>IF($A104="","",IF(ALLOC!$N$4="VOL_EFF",$L104,IF(ALLOC!$N$4="VOL_CLASS",$M104,$N104)))</f>
        <v/>
      </c>
      <c r="AE104" t="str">
        <f>IF($A104="","",IF(ALLOC!$N$3="VOL_EFF",$L104,IF(ALLOC!$N$3="VOL_CLASS",$M104,$N104)))</f>
        <v/>
      </c>
      <c r="AF104" t="str">
        <f>IF($A104="","",IF(ALLOC!$N$3="VOL_EFF",$Q104,IF(ALLOC!$N$3="VOL_CLASS",$R104,$S104)))</f>
        <v/>
      </c>
      <c r="AG104" t="str">
        <f>IF($A104="","",IF(ALLOC!$N$1="VOL_EFF",$Q104,IF(ALLOC!$N$1="VOL_CLASS",$R104,$S104)))</f>
        <v/>
      </c>
      <c r="AH104" t="str">
        <f>IF($A104="","",IF(ALLOC!$N$1="VOL_EFF",$T104,IF(ALLOC!$N$1="VOL_CLASS",$U104,$V104)))</f>
        <v/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IF($A104="","",SUMIFS(Compta!$F$1:$F$675,Compta!$A$1:$A$675,"GRP",Compta!$B$1:$B$675,"6236",Compta!$C$1:$C$675,$A104))</f>
        <v/>
      </c>
      <c r="AP104" t="str">
        <f>IF($A104="","",IF(ALLOC!$N$2="VOL_EFF",$Q104,IF(ALLOC!$N$2="VOL_CLASS",$R104,$S104)))</f>
        <v/>
      </c>
      <c r="AQ104" t="str">
        <f>IF($A104="","",IF(ALLOC!$N$2="VOL_EFF",$T104,IF(ALLOC!$N$2="VOL_CLASS",$U104,$V104)))</f>
        <v/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IF($A105="","",SUMIFS(Socle!$K$1:$K$175,Socle!$C$1:$C$175,$B105,Socle!$D$1:$D$175,$D105,Socle!$E$1:$E$175,$E105,Socle!$F$1:$F$175,$F105,Socle!$G$1:$G$175,$A105))</f>
        <v/>
      </c>
      <c r="K105" t="str">
        <f t="shared" si="10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1"/>
        <v/>
      </c>
      <c r="P105" t="str">
        <f t="shared" si="12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 t="str">
        <f>IF($A105="","",IF(ALLOC!$N$4="VOL_EFF",$G105,IF(ALLOC!$N$4="VOL_CLASS",$H105,$I105)))</f>
        <v/>
      </c>
      <c r="AD105" t="str">
        <f>IF($A105="","",IF(ALLOC!$N$4="VOL_EFF",$L105,IF(ALLOC!$N$4="VOL_CLASS",$M105,$N105)))</f>
        <v/>
      </c>
      <c r="AE105" t="str">
        <f>IF($A105="","",IF(ALLOC!$N$3="VOL_EFF",$L105,IF(ALLOC!$N$3="VOL_CLASS",$M105,$N105)))</f>
        <v/>
      </c>
      <c r="AF105" t="str">
        <f>IF($A105="","",IF(ALLOC!$N$3="VOL_EFF",$Q105,IF(ALLOC!$N$3="VOL_CLASS",$R105,$S105)))</f>
        <v/>
      </c>
      <c r="AG105" t="str">
        <f>IF($A105="","",IF(ALLOC!$N$1="VOL_EFF",$Q105,IF(ALLOC!$N$1="VOL_CLASS",$R105,$S105)))</f>
        <v/>
      </c>
      <c r="AH105" t="str">
        <f>IF($A105="","",IF(ALLOC!$N$1="VOL_EFF",$T105,IF(ALLOC!$N$1="VOL_CLASS",$U105,$V105)))</f>
        <v/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IF($A105="","",SUMIFS(Compta!$F$1:$F$675,Compta!$A$1:$A$675,"GRP",Compta!$B$1:$B$675,"6236",Compta!$C$1:$C$675,$A105))</f>
        <v/>
      </c>
      <c r="AP105" t="str">
        <f>IF($A105="","",IF(ALLOC!$N$2="VOL_EFF",$Q105,IF(ALLOC!$N$2="VOL_CLASS",$R105,$S105)))</f>
        <v/>
      </c>
      <c r="AQ105" t="str">
        <f>IF($A105="","",IF(ALLOC!$N$2="VOL_EFF",$T105,IF(ALLOC!$N$2="VOL_CLASS",$U105,$V105)))</f>
        <v/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IF($A106="","",SUMIFS(Socle!$K$1:$K$175,Socle!$C$1:$C$175,$B106,Socle!$D$1:$D$175,$D106,Socle!$E$1:$E$175,$E106,Socle!$F$1:$F$175,$F106,Socle!$G$1:$G$175,$A106))</f>
        <v/>
      </c>
      <c r="K106" t="str">
        <f t="shared" si="10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1"/>
        <v/>
      </c>
      <c r="P106" t="str">
        <f t="shared" si="12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 t="str">
        <f>IF($A106="","",IF(ALLOC!$N$4="VOL_EFF",$G106,IF(ALLOC!$N$4="VOL_CLASS",$H106,$I106)))</f>
        <v/>
      </c>
      <c r="AD106" t="str">
        <f>IF($A106="","",IF(ALLOC!$N$4="VOL_EFF",$L106,IF(ALLOC!$N$4="VOL_CLASS",$M106,$N106)))</f>
        <v/>
      </c>
      <c r="AE106" t="str">
        <f>IF($A106="","",IF(ALLOC!$N$3="VOL_EFF",$L106,IF(ALLOC!$N$3="VOL_CLASS",$M106,$N106)))</f>
        <v/>
      </c>
      <c r="AF106" t="str">
        <f>IF($A106="","",IF(ALLOC!$N$3="VOL_EFF",$Q106,IF(ALLOC!$N$3="VOL_CLASS",$R106,$S106)))</f>
        <v/>
      </c>
      <c r="AG106" t="str">
        <f>IF($A106="","",IF(ALLOC!$N$1="VOL_EFF",$Q106,IF(ALLOC!$N$1="VOL_CLASS",$R106,$S106)))</f>
        <v/>
      </c>
      <c r="AH106" t="str">
        <f>IF($A106="","",IF(ALLOC!$N$1="VOL_EFF",$T106,IF(ALLOC!$N$1="VOL_CLASS",$U106,$V106)))</f>
        <v/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IF($A106="","",SUMIFS(Compta!$F$1:$F$675,Compta!$A$1:$A$675,"GRP",Compta!$B$1:$B$675,"6236",Compta!$C$1:$C$675,$A106))</f>
        <v/>
      </c>
      <c r="AP106" t="str">
        <f>IF($A106="","",IF(ALLOC!$N$2="VOL_EFF",$Q106,IF(ALLOC!$N$2="VOL_CLASS",$R106,$S106)))</f>
        <v/>
      </c>
      <c r="AQ106" t="str">
        <f>IF($A106="","",IF(ALLOC!$N$2="VOL_EFF",$T106,IF(ALLOC!$N$2="VOL_CLASS",$U106,$V106)))</f>
        <v/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IF($A107="","",SUMIFS(Socle!$K$1:$K$175,Socle!$C$1:$C$175,$B107,Socle!$D$1:$D$175,$D107,Socle!$E$1:$E$175,$E107,Socle!$F$1:$F$175,$F107,Socle!$G$1:$G$175,$A107))</f>
        <v/>
      </c>
      <c r="K107" t="str">
        <f t="shared" si="10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1"/>
        <v/>
      </c>
      <c r="P107" t="str">
        <f t="shared" si="12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 t="str">
        <f>IF($A107="","",IF(ALLOC!$N$4="VOL_EFF",$G107,IF(ALLOC!$N$4="VOL_CLASS",$H107,$I107)))</f>
        <v/>
      </c>
      <c r="AD107" t="str">
        <f>IF($A107="","",IF(ALLOC!$N$4="VOL_EFF",$L107,IF(ALLOC!$N$4="VOL_CLASS",$M107,$N107)))</f>
        <v/>
      </c>
      <c r="AE107" t="str">
        <f>IF($A107="","",IF(ALLOC!$N$3="VOL_EFF",$L107,IF(ALLOC!$N$3="VOL_CLASS",$M107,$N107)))</f>
        <v/>
      </c>
      <c r="AF107" t="str">
        <f>IF($A107="","",IF(ALLOC!$N$3="VOL_EFF",$Q107,IF(ALLOC!$N$3="VOL_CLASS",$R107,$S107)))</f>
        <v/>
      </c>
      <c r="AG107" t="str">
        <f>IF($A107="","",IF(ALLOC!$N$1="VOL_EFF",$Q107,IF(ALLOC!$N$1="VOL_CLASS",$R107,$S107)))</f>
        <v/>
      </c>
      <c r="AH107" t="str">
        <f>IF($A107="","",IF(ALLOC!$N$1="VOL_EFF",$T107,IF(ALLOC!$N$1="VOL_CLASS",$U107,$V107)))</f>
        <v/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IF($A107="","",SUMIFS(Compta!$F$1:$F$675,Compta!$A$1:$A$675,"GRP",Compta!$B$1:$B$675,"6236",Compta!$C$1:$C$675,$A107))</f>
        <v/>
      </c>
      <c r="AP107" t="str">
        <f>IF($A107="","",IF(ALLOC!$N$2="VOL_EFF",$Q107,IF(ALLOC!$N$2="VOL_CLASS",$R107,$S107)))</f>
        <v/>
      </c>
      <c r="AQ107" t="str">
        <f>IF($A107="","",IF(ALLOC!$N$2="VOL_EFF",$T107,IF(ALLOC!$N$2="VOL_CLASS",$U107,$V107)))</f>
        <v/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IF($A108="","",SUMIFS(Socle!$K$1:$K$175,Socle!$C$1:$C$175,$B108,Socle!$D$1:$D$175,$D108,Socle!$E$1:$E$175,$E108,Socle!$F$1:$F$175,$F108,Socle!$G$1:$G$175,$A108))</f>
        <v/>
      </c>
      <c r="K108" t="str">
        <f t="shared" si="10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1"/>
        <v/>
      </c>
      <c r="P108" t="str">
        <f t="shared" si="12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 t="str">
        <f>IF($A108="","",IF(ALLOC!$N$4="VOL_EFF",$G108,IF(ALLOC!$N$4="VOL_CLASS",$H108,$I108)))</f>
        <v/>
      </c>
      <c r="AD108" t="str">
        <f>IF($A108="","",IF(ALLOC!$N$4="VOL_EFF",$L108,IF(ALLOC!$N$4="VOL_CLASS",$M108,$N108)))</f>
        <v/>
      </c>
      <c r="AE108" t="str">
        <f>IF($A108="","",IF(ALLOC!$N$3="VOL_EFF",$L108,IF(ALLOC!$N$3="VOL_CLASS",$M108,$N108)))</f>
        <v/>
      </c>
      <c r="AF108" t="str">
        <f>IF($A108="","",IF(ALLOC!$N$3="VOL_EFF",$Q108,IF(ALLOC!$N$3="VOL_CLASS",$R108,$S108)))</f>
        <v/>
      </c>
      <c r="AG108" t="str">
        <f>IF($A108="","",IF(ALLOC!$N$1="VOL_EFF",$Q108,IF(ALLOC!$N$1="VOL_CLASS",$R108,$S108)))</f>
        <v/>
      </c>
      <c r="AH108" t="str">
        <f>IF($A108="","",IF(ALLOC!$N$1="VOL_EFF",$T108,IF(ALLOC!$N$1="VOL_CLASS",$U108,$V108)))</f>
        <v/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IF($A108="","",SUMIFS(Compta!$F$1:$F$675,Compta!$A$1:$A$675,"GRP",Compta!$B$1:$B$675,"6236",Compta!$C$1:$C$675,$A108))</f>
        <v/>
      </c>
      <c r="AP108" t="str">
        <f>IF($A108="","",IF(ALLOC!$N$2="VOL_EFF",$Q108,IF(ALLOC!$N$2="VOL_CLASS",$R108,$S108)))</f>
        <v/>
      </c>
      <c r="AQ108" t="str">
        <f>IF($A108="","",IF(ALLOC!$N$2="VOL_EFF",$T108,IF(ALLOC!$N$2="VOL_CLASS",$U108,$V108)))</f>
        <v/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IF($A109="","",SUMIFS(Socle!$K$1:$K$175,Socle!$C$1:$C$175,$B109,Socle!$D$1:$D$175,$D109,Socle!$E$1:$E$175,$E109,Socle!$F$1:$F$175,$F109,Socle!$G$1:$G$175,$A109))</f>
        <v/>
      </c>
      <c r="K109" t="str">
        <f t="shared" si="10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1"/>
        <v/>
      </c>
      <c r="P109" t="str">
        <f t="shared" si="12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 t="str">
        <f>IF($A109="","",IF(ALLOC!$N$4="VOL_EFF",$G109,IF(ALLOC!$N$4="VOL_CLASS",$H109,$I109)))</f>
        <v/>
      </c>
      <c r="AD109" t="str">
        <f>IF($A109="","",IF(ALLOC!$N$4="VOL_EFF",$L109,IF(ALLOC!$N$4="VOL_CLASS",$M109,$N109)))</f>
        <v/>
      </c>
      <c r="AE109" t="str">
        <f>IF($A109="","",IF(ALLOC!$N$3="VOL_EFF",$L109,IF(ALLOC!$N$3="VOL_CLASS",$M109,$N109)))</f>
        <v/>
      </c>
      <c r="AF109" t="str">
        <f>IF($A109="","",IF(ALLOC!$N$3="VOL_EFF",$Q109,IF(ALLOC!$N$3="VOL_CLASS",$R109,$S109)))</f>
        <v/>
      </c>
      <c r="AG109" t="str">
        <f>IF($A109="","",IF(ALLOC!$N$1="VOL_EFF",$Q109,IF(ALLOC!$N$1="VOL_CLASS",$R109,$S109)))</f>
        <v/>
      </c>
      <c r="AH109" t="str">
        <f>IF($A109="","",IF(ALLOC!$N$1="VOL_EFF",$T109,IF(ALLOC!$N$1="VOL_CLASS",$U109,$V109)))</f>
        <v/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IF($A109="","",SUMIFS(Compta!$F$1:$F$675,Compta!$A$1:$A$675,"GRP",Compta!$B$1:$B$675,"6236",Compta!$C$1:$C$675,$A109))</f>
        <v/>
      </c>
      <c r="AP109" t="str">
        <f>IF($A109="","",IF(ALLOC!$N$2="VOL_EFF",$Q109,IF(ALLOC!$N$2="VOL_CLASS",$R109,$S109)))</f>
        <v/>
      </c>
      <c r="AQ109" t="str">
        <f>IF($A109="","",IF(ALLOC!$N$2="VOL_EFF",$T109,IF(ALLOC!$N$2="VOL_CLASS",$U109,$V109)))</f>
        <v/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IF($A110="","",SUMIFS(Socle!$K$1:$K$175,Socle!$C$1:$C$175,$B110,Socle!$D$1:$D$175,$D110,Socle!$E$1:$E$175,$E110,Socle!$F$1:$F$175,$F110,Socle!$G$1:$G$175,$A110))</f>
        <v/>
      </c>
      <c r="K110" t="str">
        <f t="shared" si="10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1"/>
        <v/>
      </c>
      <c r="P110" t="str">
        <f t="shared" si="12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 t="str">
        <f>IF($A110="","",IF(ALLOC!$N$4="VOL_EFF",$G110,IF(ALLOC!$N$4="VOL_CLASS",$H110,$I110)))</f>
        <v/>
      </c>
      <c r="AD110" t="str">
        <f>IF($A110="","",IF(ALLOC!$N$4="VOL_EFF",$L110,IF(ALLOC!$N$4="VOL_CLASS",$M110,$N110)))</f>
        <v/>
      </c>
      <c r="AE110" t="str">
        <f>IF($A110="","",IF(ALLOC!$N$3="VOL_EFF",$L110,IF(ALLOC!$N$3="VOL_CLASS",$M110,$N110)))</f>
        <v/>
      </c>
      <c r="AF110" t="str">
        <f>IF($A110="","",IF(ALLOC!$N$3="VOL_EFF",$Q110,IF(ALLOC!$N$3="VOL_CLASS",$R110,$S110)))</f>
        <v/>
      </c>
      <c r="AG110" t="str">
        <f>IF($A110="","",IF(ALLOC!$N$1="VOL_EFF",$Q110,IF(ALLOC!$N$1="VOL_CLASS",$R110,$S110)))</f>
        <v/>
      </c>
      <c r="AH110" t="str">
        <f>IF($A110="","",IF(ALLOC!$N$1="VOL_EFF",$T110,IF(ALLOC!$N$1="VOL_CLASS",$U110,$V110)))</f>
        <v/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IF($A110="","",SUMIFS(Compta!$F$1:$F$675,Compta!$A$1:$A$675,"GRP",Compta!$B$1:$B$675,"6236",Compta!$C$1:$C$675,$A110))</f>
        <v/>
      </c>
      <c r="AP110" t="str">
        <f>IF($A110="","",IF(ALLOC!$N$2="VOL_EFF",$Q110,IF(ALLOC!$N$2="VOL_CLASS",$R110,$S110)))</f>
        <v/>
      </c>
      <c r="AQ110" t="str">
        <f>IF($A110="","",IF(ALLOC!$N$2="VOL_EFF",$T110,IF(ALLOC!$N$2="VOL_CLASS",$U110,$V110)))</f>
        <v/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IF($A111="","",SUMIFS(Socle!$K$1:$K$175,Socle!$C$1:$C$175,$B111,Socle!$D$1:$D$175,$D111,Socle!$E$1:$E$175,$E111,Socle!$F$1:$F$175,$F111,Socle!$G$1:$G$175,$A111))</f>
        <v/>
      </c>
      <c r="K111" t="str">
        <f t="shared" si="10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1"/>
        <v/>
      </c>
      <c r="P111" t="str">
        <f t="shared" si="12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 t="str">
        <f>IF($A111="","",IF(ALLOC!$N$4="VOL_EFF",$G111,IF(ALLOC!$N$4="VOL_CLASS",$H111,$I111)))</f>
        <v/>
      </c>
      <c r="AD111" t="str">
        <f>IF($A111="","",IF(ALLOC!$N$4="VOL_EFF",$L111,IF(ALLOC!$N$4="VOL_CLASS",$M111,$N111)))</f>
        <v/>
      </c>
      <c r="AE111" t="str">
        <f>IF($A111="","",IF(ALLOC!$N$3="VOL_EFF",$L111,IF(ALLOC!$N$3="VOL_CLASS",$M111,$N111)))</f>
        <v/>
      </c>
      <c r="AF111" t="str">
        <f>IF($A111="","",IF(ALLOC!$N$3="VOL_EFF",$Q111,IF(ALLOC!$N$3="VOL_CLASS",$R111,$S111)))</f>
        <v/>
      </c>
      <c r="AG111" t="str">
        <f>IF($A111="","",IF(ALLOC!$N$1="VOL_EFF",$Q111,IF(ALLOC!$N$1="VOL_CLASS",$R111,$S111)))</f>
        <v/>
      </c>
      <c r="AH111" t="str">
        <f>IF($A111="","",IF(ALLOC!$N$1="VOL_EFF",$T111,IF(ALLOC!$N$1="VOL_CLASS",$U111,$V111)))</f>
        <v/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IF($A111="","",SUMIFS(Compta!$F$1:$F$675,Compta!$A$1:$A$675,"GRP",Compta!$B$1:$B$675,"6236",Compta!$C$1:$C$675,$A111))</f>
        <v/>
      </c>
      <c r="AP111" t="str">
        <f>IF($A111="","",IF(ALLOC!$N$2="VOL_EFF",$Q111,IF(ALLOC!$N$2="VOL_CLASS",$R111,$S111)))</f>
        <v/>
      </c>
      <c r="AQ111" t="str">
        <f>IF($A111="","",IF(ALLOC!$N$2="VOL_EFF",$T111,IF(ALLOC!$N$2="VOL_CLASS",$U111,$V111)))</f>
        <v/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IF($A112="","",SUMIFS(Socle!$K$1:$K$175,Socle!$C$1:$C$175,$B112,Socle!$D$1:$D$175,$D112,Socle!$E$1:$E$175,$E112,Socle!$F$1:$F$175,$F112,Socle!$G$1:$G$175,$A112))</f>
        <v/>
      </c>
      <c r="K112" t="str">
        <f t="shared" si="10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1"/>
        <v/>
      </c>
      <c r="P112" t="str">
        <f t="shared" si="12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 t="str">
        <f>IF($A112="","",IF(ALLOC!$N$4="VOL_EFF",$G112,IF(ALLOC!$N$4="VOL_CLASS",$H112,$I112)))</f>
        <v/>
      </c>
      <c r="AD112" t="str">
        <f>IF($A112="","",IF(ALLOC!$N$4="VOL_EFF",$L112,IF(ALLOC!$N$4="VOL_CLASS",$M112,$N112)))</f>
        <v/>
      </c>
      <c r="AE112" t="str">
        <f>IF($A112="","",IF(ALLOC!$N$3="VOL_EFF",$L112,IF(ALLOC!$N$3="VOL_CLASS",$M112,$N112)))</f>
        <v/>
      </c>
      <c r="AF112" t="str">
        <f>IF($A112="","",IF(ALLOC!$N$3="VOL_EFF",$Q112,IF(ALLOC!$N$3="VOL_CLASS",$R112,$S112)))</f>
        <v/>
      </c>
      <c r="AG112" t="str">
        <f>IF($A112="","",IF(ALLOC!$N$1="VOL_EFF",$Q112,IF(ALLOC!$N$1="VOL_CLASS",$R112,$S112)))</f>
        <v/>
      </c>
      <c r="AH112" t="str">
        <f>IF($A112="","",IF(ALLOC!$N$1="VOL_EFF",$T112,IF(ALLOC!$N$1="VOL_CLASS",$U112,$V112)))</f>
        <v/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IF($A112="","",SUMIFS(Compta!$F$1:$F$675,Compta!$A$1:$A$675,"GRP",Compta!$B$1:$B$675,"6236",Compta!$C$1:$C$675,$A112))</f>
        <v/>
      </c>
      <c r="AP112" t="str">
        <f>IF($A112="","",IF(ALLOC!$N$2="VOL_EFF",$Q112,IF(ALLOC!$N$2="VOL_CLASS",$R112,$S112)))</f>
        <v/>
      </c>
      <c r="AQ112" t="str">
        <f>IF($A112="","",IF(ALLOC!$N$2="VOL_EFF",$T112,IF(ALLOC!$N$2="VOL_CLASS",$U112,$V112)))</f>
        <v/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IF($A113="","",SUMIFS(Socle!$K$1:$K$175,Socle!$C$1:$C$175,$B113,Socle!$D$1:$D$175,$D113,Socle!$E$1:$E$175,$E113,Socle!$F$1:$F$175,$F113,Socle!$G$1:$G$175,$A113))</f>
        <v/>
      </c>
      <c r="K113" t="str">
        <f t="shared" si="10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1"/>
        <v/>
      </c>
      <c r="P113" t="str">
        <f t="shared" si="12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 t="str">
        <f>IF($A113="","",IF(ALLOC!$N$4="VOL_EFF",$G113,IF(ALLOC!$N$4="VOL_CLASS",$H113,$I113)))</f>
        <v/>
      </c>
      <c r="AD113" t="str">
        <f>IF($A113="","",IF(ALLOC!$N$4="VOL_EFF",$L113,IF(ALLOC!$N$4="VOL_CLASS",$M113,$N113)))</f>
        <v/>
      </c>
      <c r="AE113" t="str">
        <f>IF($A113="","",IF(ALLOC!$N$3="VOL_EFF",$L113,IF(ALLOC!$N$3="VOL_CLASS",$M113,$N113)))</f>
        <v/>
      </c>
      <c r="AF113" t="str">
        <f>IF($A113="","",IF(ALLOC!$N$3="VOL_EFF",$Q113,IF(ALLOC!$N$3="VOL_CLASS",$R113,$S113)))</f>
        <v/>
      </c>
      <c r="AG113" t="str">
        <f>IF($A113="","",IF(ALLOC!$N$1="VOL_EFF",$Q113,IF(ALLOC!$N$1="VOL_CLASS",$R113,$S113)))</f>
        <v/>
      </c>
      <c r="AH113" t="str">
        <f>IF($A113="","",IF(ALLOC!$N$1="VOL_EFF",$T113,IF(ALLOC!$N$1="VOL_CLASS",$U113,$V113)))</f>
        <v/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IF($A113="","",SUMIFS(Compta!$F$1:$F$675,Compta!$A$1:$A$675,"GRP",Compta!$B$1:$B$675,"6236",Compta!$C$1:$C$675,$A113))</f>
        <v/>
      </c>
      <c r="AP113" t="str">
        <f>IF($A113="","",IF(ALLOC!$N$2="VOL_EFF",$Q113,IF(ALLOC!$N$2="VOL_CLASS",$R113,$S113)))</f>
        <v/>
      </c>
      <c r="AQ113" t="str">
        <f>IF($A113="","",IF(ALLOC!$N$2="VOL_EFF",$T113,IF(ALLOC!$N$2="VOL_CLASS",$U113,$V113)))</f>
        <v/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IF($A114="","",SUMIFS(Socle!$K$1:$K$175,Socle!$C$1:$C$175,$B114,Socle!$D$1:$D$175,$D114,Socle!$E$1:$E$175,$E114,Socle!$F$1:$F$175,$F114,Socle!$G$1:$G$175,$A114))</f>
        <v/>
      </c>
      <c r="K114" t="str">
        <f t="shared" si="10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1"/>
        <v/>
      </c>
      <c r="P114" t="str">
        <f t="shared" si="12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 t="str">
        <f>IF($A114="","",IF(ALLOC!$N$4="VOL_EFF",$G114,IF(ALLOC!$N$4="VOL_CLASS",$H114,$I114)))</f>
        <v/>
      </c>
      <c r="AD114" t="str">
        <f>IF($A114="","",IF(ALLOC!$N$4="VOL_EFF",$L114,IF(ALLOC!$N$4="VOL_CLASS",$M114,$N114)))</f>
        <v/>
      </c>
      <c r="AE114" t="str">
        <f>IF($A114="","",IF(ALLOC!$N$3="VOL_EFF",$L114,IF(ALLOC!$N$3="VOL_CLASS",$M114,$N114)))</f>
        <v/>
      </c>
      <c r="AF114" t="str">
        <f>IF($A114="","",IF(ALLOC!$N$3="VOL_EFF",$Q114,IF(ALLOC!$N$3="VOL_CLASS",$R114,$S114)))</f>
        <v/>
      </c>
      <c r="AG114" t="str">
        <f>IF($A114="","",IF(ALLOC!$N$1="VOL_EFF",$Q114,IF(ALLOC!$N$1="VOL_CLASS",$R114,$S114)))</f>
        <v/>
      </c>
      <c r="AH114" t="str">
        <f>IF($A114="","",IF(ALLOC!$N$1="VOL_EFF",$T114,IF(ALLOC!$N$1="VOL_CLASS",$U114,$V114)))</f>
        <v/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IF($A114="","",SUMIFS(Compta!$F$1:$F$675,Compta!$A$1:$A$675,"GRP",Compta!$B$1:$B$675,"6236",Compta!$C$1:$C$675,$A114))</f>
        <v/>
      </c>
      <c r="AP114" t="str">
        <f>IF($A114="","",IF(ALLOC!$N$2="VOL_EFF",$Q114,IF(ALLOC!$N$2="VOL_CLASS",$R114,$S114)))</f>
        <v/>
      </c>
      <c r="AQ114" t="str">
        <f>IF($A114="","",IF(ALLOC!$N$2="VOL_EFF",$T114,IF(ALLOC!$N$2="VOL_CLASS",$U114,$V114)))</f>
        <v/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IF($A115="","",SUMIFS(Socle!$K$1:$K$175,Socle!$C$1:$C$175,$B115,Socle!$D$1:$D$175,$D115,Socle!$E$1:$E$175,$E115,Socle!$F$1:$F$175,$F115,Socle!$G$1:$G$175,$A115))</f>
        <v/>
      </c>
      <c r="K115" t="str">
        <f t="shared" si="10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1"/>
        <v/>
      </c>
      <c r="P115" t="str">
        <f t="shared" si="12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 t="str">
        <f>IF($A115="","",IF(ALLOC!$N$4="VOL_EFF",$G115,IF(ALLOC!$N$4="VOL_CLASS",$H115,$I115)))</f>
        <v/>
      </c>
      <c r="AD115" t="str">
        <f>IF($A115="","",IF(ALLOC!$N$4="VOL_EFF",$L115,IF(ALLOC!$N$4="VOL_CLASS",$M115,$N115)))</f>
        <v/>
      </c>
      <c r="AE115" t="str">
        <f>IF($A115="","",IF(ALLOC!$N$3="VOL_EFF",$L115,IF(ALLOC!$N$3="VOL_CLASS",$M115,$N115)))</f>
        <v/>
      </c>
      <c r="AF115" t="str">
        <f>IF($A115="","",IF(ALLOC!$N$3="VOL_EFF",$Q115,IF(ALLOC!$N$3="VOL_CLASS",$R115,$S115)))</f>
        <v/>
      </c>
      <c r="AG115" t="str">
        <f>IF($A115="","",IF(ALLOC!$N$1="VOL_EFF",$Q115,IF(ALLOC!$N$1="VOL_CLASS",$R115,$S115)))</f>
        <v/>
      </c>
      <c r="AH115" t="str">
        <f>IF($A115="","",IF(ALLOC!$N$1="VOL_EFF",$T115,IF(ALLOC!$N$1="VOL_CLASS",$U115,$V115)))</f>
        <v/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IF($A115="","",SUMIFS(Compta!$F$1:$F$675,Compta!$A$1:$A$675,"GRP",Compta!$B$1:$B$675,"6236",Compta!$C$1:$C$675,$A115))</f>
        <v/>
      </c>
      <c r="AP115" t="str">
        <f>IF($A115="","",IF(ALLOC!$N$2="VOL_EFF",$Q115,IF(ALLOC!$N$2="VOL_CLASS",$R115,$S115)))</f>
        <v/>
      </c>
      <c r="AQ115" t="str">
        <f>IF($A115="","",IF(ALLOC!$N$2="VOL_EFF",$T115,IF(ALLOC!$N$2="VOL_CLASS",$U115,$V115)))</f>
        <v/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IF($A116="","",SUMIFS(Socle!$K$1:$K$175,Socle!$C$1:$C$175,$B116,Socle!$D$1:$D$175,$D116,Socle!$E$1:$E$175,$E116,Socle!$F$1:$F$175,$F116,Socle!$G$1:$G$175,$A116))</f>
        <v/>
      </c>
      <c r="K116" t="str">
        <f t="shared" si="10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1"/>
        <v/>
      </c>
      <c r="P116" t="str">
        <f t="shared" si="12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 t="str">
        <f>IF($A116="","",IF(ALLOC!$N$4="VOL_EFF",$G116,IF(ALLOC!$N$4="VOL_CLASS",$H116,$I116)))</f>
        <v/>
      </c>
      <c r="AD116" t="str">
        <f>IF($A116="","",IF(ALLOC!$N$4="VOL_EFF",$L116,IF(ALLOC!$N$4="VOL_CLASS",$M116,$N116)))</f>
        <v/>
      </c>
      <c r="AE116" t="str">
        <f>IF($A116="","",IF(ALLOC!$N$3="VOL_EFF",$L116,IF(ALLOC!$N$3="VOL_CLASS",$M116,$N116)))</f>
        <v/>
      </c>
      <c r="AF116" t="str">
        <f>IF($A116="","",IF(ALLOC!$N$3="VOL_EFF",$Q116,IF(ALLOC!$N$3="VOL_CLASS",$R116,$S116)))</f>
        <v/>
      </c>
      <c r="AG116" t="str">
        <f>IF($A116="","",IF(ALLOC!$N$1="VOL_EFF",$Q116,IF(ALLOC!$N$1="VOL_CLASS",$R116,$S116)))</f>
        <v/>
      </c>
      <c r="AH116" t="str">
        <f>IF($A116="","",IF(ALLOC!$N$1="VOL_EFF",$T116,IF(ALLOC!$N$1="VOL_CLASS",$U116,$V116)))</f>
        <v/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IF($A116="","",SUMIFS(Compta!$F$1:$F$675,Compta!$A$1:$A$675,"GRP",Compta!$B$1:$B$675,"6236",Compta!$C$1:$C$675,$A116))</f>
        <v/>
      </c>
      <c r="AP116" t="str">
        <f>IF($A116="","",IF(ALLOC!$N$2="VOL_EFF",$Q116,IF(ALLOC!$N$2="VOL_CLASS",$R116,$S116)))</f>
        <v/>
      </c>
      <c r="AQ116" t="str">
        <f>IF($A116="","",IF(ALLOC!$N$2="VOL_EFF",$T116,IF(ALLOC!$N$2="VOL_CLASS",$U116,$V116)))</f>
        <v/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IF($A117="","",SUMIFS(Socle!$K$1:$K$175,Socle!$C$1:$C$175,$B117,Socle!$D$1:$D$175,$D117,Socle!$E$1:$E$175,$E117,Socle!$F$1:$F$175,$F117,Socle!$G$1:$G$175,$A117))</f>
        <v/>
      </c>
      <c r="K117" t="str">
        <f t="shared" si="10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1"/>
        <v/>
      </c>
      <c r="P117" t="str">
        <f t="shared" si="12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 t="str">
        <f>IF($A117="","",IF(ALLOC!$N$4="VOL_EFF",$G117,IF(ALLOC!$N$4="VOL_CLASS",$H117,$I117)))</f>
        <v/>
      </c>
      <c r="AD117" t="str">
        <f>IF($A117="","",IF(ALLOC!$N$4="VOL_EFF",$L117,IF(ALLOC!$N$4="VOL_CLASS",$M117,$N117)))</f>
        <v/>
      </c>
      <c r="AE117" t="str">
        <f>IF($A117="","",IF(ALLOC!$N$3="VOL_EFF",$L117,IF(ALLOC!$N$3="VOL_CLASS",$M117,$N117)))</f>
        <v/>
      </c>
      <c r="AF117" t="str">
        <f>IF($A117="","",IF(ALLOC!$N$3="VOL_EFF",$Q117,IF(ALLOC!$N$3="VOL_CLASS",$R117,$S117)))</f>
        <v/>
      </c>
      <c r="AG117" t="str">
        <f>IF($A117="","",IF(ALLOC!$N$1="VOL_EFF",$Q117,IF(ALLOC!$N$1="VOL_CLASS",$R117,$S117)))</f>
        <v/>
      </c>
      <c r="AH117" t="str">
        <f>IF($A117="","",IF(ALLOC!$N$1="VOL_EFF",$T117,IF(ALLOC!$N$1="VOL_CLASS",$U117,$V117)))</f>
        <v/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IF($A117="","",SUMIFS(Compta!$F$1:$F$675,Compta!$A$1:$A$675,"GRP",Compta!$B$1:$B$675,"6236",Compta!$C$1:$C$675,$A117))</f>
        <v/>
      </c>
      <c r="AP117" t="str">
        <f>IF($A117="","",IF(ALLOC!$N$2="VOL_EFF",$Q117,IF(ALLOC!$N$2="VOL_CLASS",$R117,$S117)))</f>
        <v/>
      </c>
      <c r="AQ117" t="str">
        <f>IF($A117="","",IF(ALLOC!$N$2="VOL_EFF",$T117,IF(ALLOC!$N$2="VOL_CLASS",$U117,$V117)))</f>
        <v/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IF($A118="","",SUMIFS(Socle!$K$1:$K$175,Socle!$C$1:$C$175,$B118,Socle!$D$1:$D$175,$D118,Socle!$E$1:$E$175,$E118,Socle!$F$1:$F$175,$F118,Socle!$G$1:$G$175,$A118))</f>
        <v/>
      </c>
      <c r="K118" t="str">
        <f t="shared" si="10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1"/>
        <v/>
      </c>
      <c r="P118" t="str">
        <f t="shared" si="12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 t="str">
        <f>IF($A118="","",IF(ALLOC!$N$4="VOL_EFF",$G118,IF(ALLOC!$N$4="VOL_CLASS",$H118,$I118)))</f>
        <v/>
      </c>
      <c r="AD118" t="str">
        <f>IF($A118="","",IF(ALLOC!$N$4="VOL_EFF",$L118,IF(ALLOC!$N$4="VOL_CLASS",$M118,$N118)))</f>
        <v/>
      </c>
      <c r="AE118" t="str">
        <f>IF($A118="","",IF(ALLOC!$N$3="VOL_EFF",$L118,IF(ALLOC!$N$3="VOL_CLASS",$M118,$N118)))</f>
        <v/>
      </c>
      <c r="AF118" t="str">
        <f>IF($A118="","",IF(ALLOC!$N$3="VOL_EFF",$Q118,IF(ALLOC!$N$3="VOL_CLASS",$R118,$S118)))</f>
        <v/>
      </c>
      <c r="AG118" t="str">
        <f>IF($A118="","",IF(ALLOC!$N$1="VOL_EFF",$Q118,IF(ALLOC!$N$1="VOL_CLASS",$R118,$S118)))</f>
        <v/>
      </c>
      <c r="AH118" t="str">
        <f>IF($A118="","",IF(ALLOC!$N$1="VOL_EFF",$T118,IF(ALLOC!$N$1="VOL_CLASS",$U118,$V118)))</f>
        <v/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IF($A118="","",SUMIFS(Compta!$F$1:$F$675,Compta!$A$1:$A$675,"GRP",Compta!$B$1:$B$675,"6236",Compta!$C$1:$C$675,$A118))</f>
        <v/>
      </c>
      <c r="AP118" t="str">
        <f>IF($A118="","",IF(ALLOC!$N$2="VOL_EFF",$Q118,IF(ALLOC!$N$2="VOL_CLASS",$R118,$S118)))</f>
        <v/>
      </c>
      <c r="AQ118" t="str">
        <f>IF($A118="","",IF(ALLOC!$N$2="VOL_EFF",$T118,IF(ALLOC!$N$2="VOL_CLASS",$U118,$V118)))</f>
        <v/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IF($A119="","",SUMIFS(Socle!$K$1:$K$175,Socle!$C$1:$C$175,$B119,Socle!$D$1:$D$175,$D119,Socle!$E$1:$E$175,$E119,Socle!$F$1:$F$175,$F119,Socle!$G$1:$G$175,$A119))</f>
        <v/>
      </c>
      <c r="K119" t="str">
        <f t="shared" si="10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1"/>
        <v/>
      </c>
      <c r="P119" t="str">
        <f t="shared" si="12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 t="str">
        <f>IF($A119="","",IF(ALLOC!$N$4="VOL_EFF",$G119,IF(ALLOC!$N$4="VOL_CLASS",$H119,$I119)))</f>
        <v/>
      </c>
      <c r="AD119" t="str">
        <f>IF($A119="","",IF(ALLOC!$N$4="VOL_EFF",$L119,IF(ALLOC!$N$4="VOL_CLASS",$M119,$N119)))</f>
        <v/>
      </c>
      <c r="AE119" t="str">
        <f>IF($A119="","",IF(ALLOC!$N$3="VOL_EFF",$L119,IF(ALLOC!$N$3="VOL_CLASS",$M119,$N119)))</f>
        <v/>
      </c>
      <c r="AF119" t="str">
        <f>IF($A119="","",IF(ALLOC!$N$3="VOL_EFF",$Q119,IF(ALLOC!$N$3="VOL_CLASS",$R119,$S119)))</f>
        <v/>
      </c>
      <c r="AG119" t="str">
        <f>IF($A119="","",IF(ALLOC!$N$1="VOL_EFF",$Q119,IF(ALLOC!$N$1="VOL_CLASS",$R119,$S119)))</f>
        <v/>
      </c>
      <c r="AH119" t="str">
        <f>IF($A119="","",IF(ALLOC!$N$1="VOL_EFF",$T119,IF(ALLOC!$N$1="VOL_CLASS",$U119,$V119)))</f>
        <v/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IF($A119="","",SUMIFS(Compta!$F$1:$F$675,Compta!$A$1:$A$675,"GRP",Compta!$B$1:$B$675,"6236",Compta!$C$1:$C$675,$A119))</f>
        <v/>
      </c>
      <c r="AP119" t="str">
        <f>IF($A119="","",IF(ALLOC!$N$2="VOL_EFF",$Q119,IF(ALLOC!$N$2="VOL_CLASS",$R119,$S119)))</f>
        <v/>
      </c>
      <c r="AQ119" t="str">
        <f>IF($A119="","",IF(ALLOC!$N$2="VOL_EFF",$T119,IF(ALLOC!$N$2="VOL_CLASS",$U119,$V119)))</f>
        <v/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IF($A120="","",SUMIFS(Socle!$K$1:$K$175,Socle!$C$1:$C$175,$B120,Socle!$D$1:$D$175,$D120,Socle!$E$1:$E$175,$E120,Socle!$F$1:$F$175,$F120,Socle!$G$1:$G$175,$A120))</f>
        <v/>
      </c>
      <c r="K120" t="str">
        <f t="shared" si="10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1"/>
        <v/>
      </c>
      <c r="P120" t="str">
        <f t="shared" si="12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 t="str">
        <f>IF($A120="","",IF(ALLOC!$N$4="VOL_EFF",$G120,IF(ALLOC!$N$4="VOL_CLASS",$H120,$I120)))</f>
        <v/>
      </c>
      <c r="AD120" t="str">
        <f>IF($A120="","",IF(ALLOC!$N$4="VOL_EFF",$L120,IF(ALLOC!$N$4="VOL_CLASS",$M120,$N120)))</f>
        <v/>
      </c>
      <c r="AE120" t="str">
        <f>IF($A120="","",IF(ALLOC!$N$3="VOL_EFF",$L120,IF(ALLOC!$N$3="VOL_CLASS",$M120,$N120)))</f>
        <v/>
      </c>
      <c r="AF120" t="str">
        <f>IF($A120="","",IF(ALLOC!$N$3="VOL_EFF",$Q120,IF(ALLOC!$N$3="VOL_CLASS",$R120,$S120)))</f>
        <v/>
      </c>
      <c r="AG120" t="str">
        <f>IF($A120="","",IF(ALLOC!$N$1="VOL_EFF",$Q120,IF(ALLOC!$N$1="VOL_CLASS",$R120,$S120)))</f>
        <v/>
      </c>
      <c r="AH120" t="str">
        <f>IF($A120="","",IF(ALLOC!$N$1="VOL_EFF",$T120,IF(ALLOC!$N$1="VOL_CLASS",$U120,$V120)))</f>
        <v/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IF($A120="","",SUMIFS(Compta!$F$1:$F$675,Compta!$A$1:$A$675,"GRP",Compta!$B$1:$B$675,"6236",Compta!$C$1:$C$675,$A120))</f>
        <v/>
      </c>
      <c r="AP120" t="str">
        <f>IF($A120="","",IF(ALLOC!$N$2="VOL_EFF",$Q120,IF(ALLOC!$N$2="VOL_CLASS",$R120,$S120)))</f>
        <v/>
      </c>
      <c r="AQ120" t="str">
        <f>IF($A120="","",IF(ALLOC!$N$2="VOL_EFF",$T120,IF(ALLOC!$N$2="VOL_CLASS",$U120,$V120)))</f>
        <v/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IF($A121="","",SUMIFS(Socle!$K$1:$K$175,Socle!$C$1:$C$175,$B121,Socle!$D$1:$D$175,$D121,Socle!$E$1:$E$175,$E121,Socle!$F$1:$F$175,$F121,Socle!$G$1:$G$175,$A121))</f>
        <v/>
      </c>
      <c r="K121" t="str">
        <f t="shared" si="10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1"/>
        <v/>
      </c>
      <c r="P121" t="str">
        <f t="shared" si="12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 t="str">
        <f>IF($A121="","",IF(ALLOC!$N$4="VOL_EFF",$G121,IF(ALLOC!$N$4="VOL_CLASS",$H121,$I121)))</f>
        <v/>
      </c>
      <c r="AD121" t="str">
        <f>IF($A121="","",IF(ALLOC!$N$4="VOL_EFF",$L121,IF(ALLOC!$N$4="VOL_CLASS",$M121,$N121)))</f>
        <v/>
      </c>
      <c r="AE121" t="str">
        <f>IF($A121="","",IF(ALLOC!$N$3="VOL_EFF",$L121,IF(ALLOC!$N$3="VOL_CLASS",$M121,$N121)))</f>
        <v/>
      </c>
      <c r="AF121" t="str">
        <f>IF($A121="","",IF(ALLOC!$N$3="VOL_EFF",$Q121,IF(ALLOC!$N$3="VOL_CLASS",$R121,$S121)))</f>
        <v/>
      </c>
      <c r="AG121" t="str">
        <f>IF($A121="","",IF(ALLOC!$N$1="VOL_EFF",$Q121,IF(ALLOC!$N$1="VOL_CLASS",$R121,$S121)))</f>
        <v/>
      </c>
      <c r="AH121" t="str">
        <f>IF($A121="","",IF(ALLOC!$N$1="VOL_EFF",$T121,IF(ALLOC!$N$1="VOL_CLASS",$U121,$V121)))</f>
        <v/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IF($A121="","",SUMIFS(Compta!$F$1:$F$675,Compta!$A$1:$A$675,"GRP",Compta!$B$1:$B$675,"6236",Compta!$C$1:$C$675,$A121))</f>
        <v/>
      </c>
      <c r="AP121" t="str">
        <f>IF($A121="","",IF(ALLOC!$N$2="VOL_EFF",$Q121,IF(ALLOC!$N$2="VOL_CLASS",$R121,$S121)))</f>
        <v/>
      </c>
      <c r="AQ121" t="str">
        <f>IF($A121="","",IF(ALLOC!$N$2="VOL_EFF",$T121,IF(ALLOC!$N$2="VOL_CLASS",$U121,$V121)))</f>
        <v/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IF($A122="","",SUMIFS(Socle!$K$1:$K$175,Socle!$C$1:$C$175,$B122,Socle!$D$1:$D$175,$D122,Socle!$E$1:$E$175,$E122,Socle!$F$1:$F$175,$F122,Socle!$G$1:$G$175,$A122))</f>
        <v/>
      </c>
      <c r="K122" t="str">
        <f t="shared" si="10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1"/>
        <v/>
      </c>
      <c r="P122" t="str">
        <f t="shared" si="12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 t="str">
        <f>IF($A122="","",IF(ALLOC!$N$4="VOL_EFF",$G122,IF(ALLOC!$N$4="VOL_CLASS",$H122,$I122)))</f>
        <v/>
      </c>
      <c r="AD122" t="str">
        <f>IF($A122="","",IF(ALLOC!$N$4="VOL_EFF",$L122,IF(ALLOC!$N$4="VOL_CLASS",$M122,$N122)))</f>
        <v/>
      </c>
      <c r="AE122" t="str">
        <f>IF($A122="","",IF(ALLOC!$N$3="VOL_EFF",$L122,IF(ALLOC!$N$3="VOL_CLASS",$M122,$N122)))</f>
        <v/>
      </c>
      <c r="AF122" t="str">
        <f>IF($A122="","",IF(ALLOC!$N$3="VOL_EFF",$Q122,IF(ALLOC!$N$3="VOL_CLASS",$R122,$S122)))</f>
        <v/>
      </c>
      <c r="AG122" t="str">
        <f>IF($A122="","",IF(ALLOC!$N$1="VOL_EFF",$Q122,IF(ALLOC!$N$1="VOL_CLASS",$R122,$S122)))</f>
        <v/>
      </c>
      <c r="AH122" t="str">
        <f>IF($A122="","",IF(ALLOC!$N$1="VOL_EFF",$T122,IF(ALLOC!$N$1="VOL_CLASS",$U122,$V122)))</f>
        <v/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IF($A122="","",SUMIFS(Compta!$F$1:$F$675,Compta!$A$1:$A$675,"GRP",Compta!$B$1:$B$675,"6236",Compta!$C$1:$C$675,$A122))</f>
        <v/>
      </c>
      <c r="AP122" t="str">
        <f>IF($A122="","",IF(ALLOC!$N$2="VOL_EFF",$Q122,IF(ALLOC!$N$2="VOL_CLASS",$R122,$S122)))</f>
        <v/>
      </c>
      <c r="AQ122" t="str">
        <f>IF($A122="","",IF(ALLOC!$N$2="VOL_EFF",$T122,IF(ALLOC!$N$2="VOL_CLASS",$U122,$V122)))</f>
        <v/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IF($A123="","",SUMIFS(Socle!$K$1:$K$175,Socle!$C$1:$C$175,$B123,Socle!$D$1:$D$175,$D123,Socle!$E$1:$E$175,$E123,Socle!$F$1:$F$175,$F123,Socle!$G$1:$G$175,$A123))</f>
        <v/>
      </c>
      <c r="K123" t="str">
        <f t="shared" si="10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1"/>
        <v/>
      </c>
      <c r="P123" t="str">
        <f t="shared" si="12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 t="str">
        <f>IF($A123="","",IF(ALLOC!$N$4="VOL_EFF",$G123,IF(ALLOC!$N$4="VOL_CLASS",$H123,$I123)))</f>
        <v/>
      </c>
      <c r="AD123" t="str">
        <f>IF($A123="","",IF(ALLOC!$N$4="VOL_EFF",$L123,IF(ALLOC!$N$4="VOL_CLASS",$M123,$N123)))</f>
        <v/>
      </c>
      <c r="AE123" t="str">
        <f>IF($A123="","",IF(ALLOC!$N$3="VOL_EFF",$L123,IF(ALLOC!$N$3="VOL_CLASS",$M123,$N123)))</f>
        <v/>
      </c>
      <c r="AF123" t="str">
        <f>IF($A123="","",IF(ALLOC!$N$3="VOL_EFF",$Q123,IF(ALLOC!$N$3="VOL_CLASS",$R123,$S123)))</f>
        <v/>
      </c>
      <c r="AG123" t="str">
        <f>IF($A123="","",IF(ALLOC!$N$1="VOL_EFF",$Q123,IF(ALLOC!$N$1="VOL_CLASS",$R123,$S123)))</f>
        <v/>
      </c>
      <c r="AH123" t="str">
        <f>IF($A123="","",IF(ALLOC!$N$1="VOL_EFF",$T123,IF(ALLOC!$N$1="VOL_CLASS",$U123,$V123)))</f>
        <v/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IF($A123="","",SUMIFS(Compta!$F$1:$F$675,Compta!$A$1:$A$675,"GRP",Compta!$B$1:$B$675,"6236",Compta!$C$1:$C$675,$A123))</f>
        <v/>
      </c>
      <c r="AP123" t="str">
        <f>IF($A123="","",IF(ALLOC!$N$2="VOL_EFF",$Q123,IF(ALLOC!$N$2="VOL_CLASS",$R123,$S123)))</f>
        <v/>
      </c>
      <c r="AQ123" t="str">
        <f>IF($A123="","",IF(ALLOC!$N$2="VOL_EFF",$T123,IF(ALLOC!$N$2="VOL_CLASS",$U123,$V123)))</f>
        <v/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IF($A124="","",SUMIFS(Socle!$K$1:$K$175,Socle!$C$1:$C$175,$B124,Socle!$D$1:$D$175,$D124,Socle!$E$1:$E$175,$E124,Socle!$F$1:$F$175,$F124,Socle!$G$1:$G$175,$A124))</f>
        <v/>
      </c>
      <c r="K124" t="str">
        <f t="shared" si="10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1"/>
        <v/>
      </c>
      <c r="P124" t="str">
        <f t="shared" si="12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 t="str">
        <f>IF($A124="","",IF(ALLOC!$N$4="VOL_EFF",$G124,IF(ALLOC!$N$4="VOL_CLASS",$H124,$I124)))</f>
        <v/>
      </c>
      <c r="AD124" t="str">
        <f>IF($A124="","",IF(ALLOC!$N$4="VOL_EFF",$L124,IF(ALLOC!$N$4="VOL_CLASS",$M124,$N124)))</f>
        <v/>
      </c>
      <c r="AE124" t="str">
        <f>IF($A124="","",IF(ALLOC!$N$3="VOL_EFF",$L124,IF(ALLOC!$N$3="VOL_CLASS",$M124,$N124)))</f>
        <v/>
      </c>
      <c r="AF124" t="str">
        <f>IF($A124="","",IF(ALLOC!$N$3="VOL_EFF",$Q124,IF(ALLOC!$N$3="VOL_CLASS",$R124,$S124)))</f>
        <v/>
      </c>
      <c r="AG124" t="str">
        <f>IF($A124="","",IF(ALLOC!$N$1="VOL_EFF",$Q124,IF(ALLOC!$N$1="VOL_CLASS",$R124,$S124)))</f>
        <v/>
      </c>
      <c r="AH124" t="str">
        <f>IF($A124="","",IF(ALLOC!$N$1="VOL_EFF",$T124,IF(ALLOC!$N$1="VOL_CLASS",$U124,$V124)))</f>
        <v/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IF($A124="","",SUMIFS(Compta!$F$1:$F$675,Compta!$A$1:$A$675,"GRP",Compta!$B$1:$B$675,"6236",Compta!$C$1:$C$675,$A124))</f>
        <v/>
      </c>
      <c r="AP124" t="str">
        <f>IF($A124="","",IF(ALLOC!$N$2="VOL_EFF",$Q124,IF(ALLOC!$N$2="VOL_CLASS",$R124,$S124)))</f>
        <v/>
      </c>
      <c r="AQ124" t="str">
        <f>IF($A124="","",IF(ALLOC!$N$2="VOL_EFF",$T124,IF(ALLOC!$N$2="VOL_CLASS",$U124,$V124)))</f>
        <v/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IF($A125="","",SUMIFS(Socle!$K$1:$K$175,Socle!$C$1:$C$175,$B125,Socle!$D$1:$D$175,$D125,Socle!$E$1:$E$175,$E125,Socle!$F$1:$F$175,$F125,Socle!$G$1:$G$175,$A125))</f>
        <v/>
      </c>
      <c r="K125" t="str">
        <f t="shared" si="10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1"/>
        <v/>
      </c>
      <c r="P125" t="str">
        <f t="shared" si="12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 t="str">
        <f>IF($A125="","",IF(ALLOC!$N$4="VOL_EFF",$G125,IF(ALLOC!$N$4="VOL_CLASS",$H125,$I125)))</f>
        <v/>
      </c>
      <c r="AD125" t="str">
        <f>IF($A125="","",IF(ALLOC!$N$4="VOL_EFF",$L125,IF(ALLOC!$N$4="VOL_CLASS",$M125,$N125)))</f>
        <v/>
      </c>
      <c r="AE125" t="str">
        <f>IF($A125="","",IF(ALLOC!$N$3="VOL_EFF",$L125,IF(ALLOC!$N$3="VOL_CLASS",$M125,$N125)))</f>
        <v/>
      </c>
      <c r="AF125" t="str">
        <f>IF($A125="","",IF(ALLOC!$N$3="VOL_EFF",$Q125,IF(ALLOC!$N$3="VOL_CLASS",$R125,$S125)))</f>
        <v/>
      </c>
      <c r="AG125" t="str">
        <f>IF($A125="","",IF(ALLOC!$N$1="VOL_EFF",$Q125,IF(ALLOC!$N$1="VOL_CLASS",$R125,$S125)))</f>
        <v/>
      </c>
      <c r="AH125" t="str">
        <f>IF($A125="","",IF(ALLOC!$N$1="VOL_EFF",$T125,IF(ALLOC!$N$1="VOL_CLASS",$U125,$V125)))</f>
        <v/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IF($A125="","",SUMIFS(Compta!$F$1:$F$675,Compta!$A$1:$A$675,"GRP",Compta!$B$1:$B$675,"6236",Compta!$C$1:$C$675,$A125))</f>
        <v/>
      </c>
      <c r="AP125" t="str">
        <f>IF($A125="","",IF(ALLOC!$N$2="VOL_EFF",$Q125,IF(ALLOC!$N$2="VOL_CLASS",$R125,$S125)))</f>
        <v/>
      </c>
      <c r="AQ125" t="str">
        <f>IF($A125="","",IF(ALLOC!$N$2="VOL_EFF",$T125,IF(ALLOC!$N$2="VOL_CLASS",$U125,$V125)))</f>
        <v/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IF($A126="","",SUMIFS(Socle!$K$1:$K$175,Socle!$C$1:$C$175,$B126,Socle!$D$1:$D$175,$D126,Socle!$E$1:$E$175,$E126,Socle!$F$1:$F$175,$F126,Socle!$G$1:$G$175,$A126))</f>
        <v/>
      </c>
      <c r="K126" t="str">
        <f t="shared" si="10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1"/>
        <v/>
      </c>
      <c r="P126" t="str">
        <f t="shared" si="12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 t="str">
        <f>IF($A126="","",IF(ALLOC!$N$4="VOL_EFF",$G126,IF(ALLOC!$N$4="VOL_CLASS",$H126,$I126)))</f>
        <v/>
      </c>
      <c r="AD126" t="str">
        <f>IF($A126="","",IF(ALLOC!$N$4="VOL_EFF",$L126,IF(ALLOC!$N$4="VOL_CLASS",$M126,$N126)))</f>
        <v/>
      </c>
      <c r="AE126" t="str">
        <f>IF($A126="","",IF(ALLOC!$N$3="VOL_EFF",$L126,IF(ALLOC!$N$3="VOL_CLASS",$M126,$N126)))</f>
        <v/>
      </c>
      <c r="AF126" t="str">
        <f>IF($A126="","",IF(ALLOC!$N$3="VOL_EFF",$Q126,IF(ALLOC!$N$3="VOL_CLASS",$R126,$S126)))</f>
        <v/>
      </c>
      <c r="AG126" t="str">
        <f>IF($A126="","",IF(ALLOC!$N$1="VOL_EFF",$Q126,IF(ALLOC!$N$1="VOL_CLASS",$R126,$S126)))</f>
        <v/>
      </c>
      <c r="AH126" t="str">
        <f>IF($A126="","",IF(ALLOC!$N$1="VOL_EFF",$T126,IF(ALLOC!$N$1="VOL_CLASS",$U126,$V126)))</f>
        <v/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IF($A126="","",SUMIFS(Compta!$F$1:$F$675,Compta!$A$1:$A$675,"GRP",Compta!$B$1:$B$675,"6236",Compta!$C$1:$C$675,$A126))</f>
        <v/>
      </c>
      <c r="AP126" t="str">
        <f>IF($A126="","",IF(ALLOC!$N$2="VOL_EFF",$Q126,IF(ALLOC!$N$2="VOL_CLASS",$R126,$S126)))</f>
        <v/>
      </c>
      <c r="AQ126" t="str">
        <f>IF($A126="","",IF(ALLOC!$N$2="VOL_EFF",$T126,IF(ALLOC!$N$2="VOL_CLASS",$U126,$V126)))</f>
        <v/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IF($A127="","",SUMIFS(Socle!$K$1:$K$175,Socle!$C$1:$C$175,$B127,Socle!$D$1:$D$175,$D127,Socle!$E$1:$E$175,$E127,Socle!$F$1:$F$175,$F127,Socle!$G$1:$G$175,$A127))</f>
        <v/>
      </c>
      <c r="K127" t="str">
        <f t="shared" si="10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1"/>
        <v/>
      </c>
      <c r="P127" t="str">
        <f t="shared" si="12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 t="str">
        <f>IF($A127="","",IF(ALLOC!$N$4="VOL_EFF",$G127,IF(ALLOC!$N$4="VOL_CLASS",$H127,$I127)))</f>
        <v/>
      </c>
      <c r="AD127" t="str">
        <f>IF($A127="","",IF(ALLOC!$N$4="VOL_EFF",$L127,IF(ALLOC!$N$4="VOL_CLASS",$M127,$N127)))</f>
        <v/>
      </c>
      <c r="AE127" t="str">
        <f>IF($A127="","",IF(ALLOC!$N$3="VOL_EFF",$L127,IF(ALLOC!$N$3="VOL_CLASS",$M127,$N127)))</f>
        <v/>
      </c>
      <c r="AF127" t="str">
        <f>IF($A127="","",IF(ALLOC!$N$3="VOL_EFF",$Q127,IF(ALLOC!$N$3="VOL_CLASS",$R127,$S127)))</f>
        <v/>
      </c>
      <c r="AG127" t="str">
        <f>IF($A127="","",IF(ALLOC!$N$1="VOL_EFF",$Q127,IF(ALLOC!$N$1="VOL_CLASS",$R127,$S127)))</f>
        <v/>
      </c>
      <c r="AH127" t="str">
        <f>IF($A127="","",IF(ALLOC!$N$1="VOL_EFF",$T127,IF(ALLOC!$N$1="VOL_CLASS",$U127,$V127)))</f>
        <v/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IF($A127="","",SUMIFS(Compta!$F$1:$F$675,Compta!$A$1:$A$675,"GRP",Compta!$B$1:$B$675,"6236",Compta!$C$1:$C$675,$A127))</f>
        <v/>
      </c>
      <c r="AP127" t="str">
        <f>IF($A127="","",IF(ALLOC!$N$2="VOL_EFF",$Q127,IF(ALLOC!$N$2="VOL_CLASS",$R127,$S127)))</f>
        <v/>
      </c>
      <c r="AQ127" t="str">
        <f>IF($A127="","",IF(ALLOC!$N$2="VOL_EFF",$T127,IF(ALLOC!$N$2="VOL_CLASS",$U127,$V127)))</f>
        <v/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IF($A128="","",SUMIFS(Socle!$K$1:$K$175,Socle!$C$1:$C$175,$B128,Socle!$D$1:$D$175,$D128,Socle!$E$1:$E$175,$E128,Socle!$F$1:$F$175,$F128,Socle!$G$1:$G$175,$A128))</f>
        <v/>
      </c>
      <c r="K128" t="str">
        <f t="shared" si="10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1"/>
        <v/>
      </c>
      <c r="P128" t="str">
        <f t="shared" si="12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 t="str">
        <f>IF($A128="","",IF(ALLOC!$N$4="VOL_EFF",$G128,IF(ALLOC!$N$4="VOL_CLASS",$H128,$I128)))</f>
        <v/>
      </c>
      <c r="AD128" t="str">
        <f>IF($A128="","",IF(ALLOC!$N$4="VOL_EFF",$L128,IF(ALLOC!$N$4="VOL_CLASS",$M128,$N128)))</f>
        <v/>
      </c>
      <c r="AE128" t="str">
        <f>IF($A128="","",IF(ALLOC!$N$3="VOL_EFF",$L128,IF(ALLOC!$N$3="VOL_CLASS",$M128,$N128)))</f>
        <v/>
      </c>
      <c r="AF128" t="str">
        <f>IF($A128="","",IF(ALLOC!$N$3="VOL_EFF",$Q128,IF(ALLOC!$N$3="VOL_CLASS",$R128,$S128)))</f>
        <v/>
      </c>
      <c r="AG128" t="str">
        <f>IF($A128="","",IF(ALLOC!$N$1="VOL_EFF",$Q128,IF(ALLOC!$N$1="VOL_CLASS",$R128,$S128)))</f>
        <v/>
      </c>
      <c r="AH128" t="str">
        <f>IF($A128="","",IF(ALLOC!$N$1="VOL_EFF",$T128,IF(ALLOC!$N$1="VOL_CLASS",$U128,$V128)))</f>
        <v/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IF($A128="","",SUMIFS(Compta!$F$1:$F$675,Compta!$A$1:$A$675,"GRP",Compta!$B$1:$B$675,"6236",Compta!$C$1:$C$675,$A128))</f>
        <v/>
      </c>
      <c r="AP128" t="str">
        <f>IF($A128="","",IF(ALLOC!$N$2="VOL_EFF",$Q128,IF(ALLOC!$N$2="VOL_CLASS",$R128,$S128)))</f>
        <v/>
      </c>
      <c r="AQ128" t="str">
        <f>IF($A128="","",IF(ALLOC!$N$2="VOL_EFF",$T128,IF(ALLOC!$N$2="VOL_CLASS",$U128,$V128)))</f>
        <v/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IF($A129="","",SUMIFS(Socle!$K$1:$K$175,Socle!$C$1:$C$175,$B129,Socle!$D$1:$D$175,$D129,Socle!$E$1:$E$175,$E129,Socle!$F$1:$F$175,$F129,Socle!$G$1:$G$175,$A129))</f>
        <v/>
      </c>
      <c r="K129" t="str">
        <f t="shared" si="10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1"/>
        <v/>
      </c>
      <c r="P129" t="str">
        <f t="shared" si="12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 t="str">
        <f>IF($A129="","",IF(ALLOC!$N$4="VOL_EFF",$G129,IF(ALLOC!$N$4="VOL_CLASS",$H129,$I129)))</f>
        <v/>
      </c>
      <c r="AD129" t="str">
        <f>IF($A129="","",IF(ALLOC!$N$4="VOL_EFF",$L129,IF(ALLOC!$N$4="VOL_CLASS",$M129,$N129)))</f>
        <v/>
      </c>
      <c r="AE129" t="str">
        <f>IF($A129="","",IF(ALLOC!$N$3="VOL_EFF",$L129,IF(ALLOC!$N$3="VOL_CLASS",$M129,$N129)))</f>
        <v/>
      </c>
      <c r="AF129" t="str">
        <f>IF($A129="","",IF(ALLOC!$N$3="VOL_EFF",$Q129,IF(ALLOC!$N$3="VOL_CLASS",$R129,$S129)))</f>
        <v/>
      </c>
      <c r="AG129" t="str">
        <f>IF($A129="","",IF(ALLOC!$N$1="VOL_EFF",$Q129,IF(ALLOC!$N$1="VOL_CLASS",$R129,$S129)))</f>
        <v/>
      </c>
      <c r="AH129" t="str">
        <f>IF($A129="","",IF(ALLOC!$N$1="VOL_EFF",$T129,IF(ALLOC!$N$1="VOL_CLASS",$U129,$V129)))</f>
        <v/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IF($A129="","",SUMIFS(Compta!$F$1:$F$675,Compta!$A$1:$A$675,"GRP",Compta!$B$1:$B$675,"6236",Compta!$C$1:$C$675,$A129))</f>
        <v/>
      </c>
      <c r="AP129" t="str">
        <f>IF($A129="","",IF(ALLOC!$N$2="VOL_EFF",$Q129,IF(ALLOC!$N$2="VOL_CLASS",$R129,$S129)))</f>
        <v/>
      </c>
      <c r="AQ129" t="str">
        <f>IF($A129="","",IF(ALLOC!$N$2="VOL_EFF",$T129,IF(ALLOC!$N$2="VOL_CLASS",$U129,$V129)))</f>
        <v/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IF($A130="","",SUMIFS(Socle!$K$1:$K$175,Socle!$C$1:$C$175,$B130,Socle!$D$1:$D$175,$D130,Socle!$E$1:$E$175,$E130,Socle!$F$1:$F$175,$F130,Socle!$G$1:$G$175,$A130))</f>
        <v/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 t="str">
        <f>IF($A130="","",IF(ALLOC!$N$4="VOL_EFF",$G130,IF(ALLOC!$N$4="VOL_CLASS",$H130,$I130)))</f>
        <v/>
      </c>
      <c r="AD130" t="str">
        <f>IF($A130="","",IF(ALLOC!$N$4="VOL_EFF",$L130,IF(ALLOC!$N$4="VOL_CLASS",$M130,$N130)))</f>
        <v/>
      </c>
      <c r="AE130" t="str">
        <f>IF($A130="","",IF(ALLOC!$N$3="VOL_EFF",$L130,IF(ALLOC!$N$3="VOL_CLASS",$M130,$N130)))</f>
        <v/>
      </c>
      <c r="AF130" t="str">
        <f>IF($A130="","",IF(ALLOC!$N$3="VOL_EFF",$Q130,IF(ALLOC!$N$3="VOL_CLASS",$R130,$S130)))</f>
        <v/>
      </c>
      <c r="AG130" t="str">
        <f>IF($A130="","",IF(ALLOC!$N$1="VOL_EFF",$Q130,IF(ALLOC!$N$1="VOL_CLASS",$R130,$S130)))</f>
        <v/>
      </c>
      <c r="AH130" t="str">
        <f>IF($A130="","",IF(ALLOC!$N$1="VOL_EFF",$T130,IF(ALLOC!$N$1="VOL_CLASS",$U130,$V130)))</f>
        <v/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 t="str">
        <f>IF($A130="","",IF(ALLOC!$N$2="VOL_EFF",$Q130,IF(ALLOC!$N$2="VOL_CLASS",$R130,$S130)))</f>
        <v/>
      </c>
      <c r="AQ130" t="str">
        <f>IF($A130="","",IF(ALLOC!$N$2="VOL_EFF",$T130,IF(ALLOC!$N$2="VOL_CLASS",$U130,$V130)))</f>
        <v/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IF($A131="","",SUMIFS(Socle!$K$1:$K$175,Socle!$C$1:$C$175,$B131,Socle!$D$1:$D$175,$D131,Socle!$E$1:$E$175,$E131,Socle!$F$1:$F$175,$F131,Socle!$G$1:$G$175,$A131))</f>
        <v/>
      </c>
      <c r="K131" t="str">
        <f t="shared" si="20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21"/>
        <v/>
      </c>
      <c r="P131" t="str">
        <f t="shared" si="22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 t="str">
        <f>IF($A131="","",IF(ALLOC!$N$4="VOL_EFF",$G131,IF(ALLOC!$N$4="VOL_CLASS",$H131,$I131)))</f>
        <v/>
      </c>
      <c r="AD131" t="str">
        <f>IF($A131="","",IF(ALLOC!$N$4="VOL_EFF",$L131,IF(ALLOC!$N$4="VOL_CLASS",$M131,$N131)))</f>
        <v/>
      </c>
      <c r="AE131" t="str">
        <f>IF($A131="","",IF(ALLOC!$N$3="VOL_EFF",$L131,IF(ALLOC!$N$3="VOL_CLASS",$M131,$N131)))</f>
        <v/>
      </c>
      <c r="AF131" t="str">
        <f>IF($A131="","",IF(ALLOC!$N$3="VOL_EFF",$Q131,IF(ALLOC!$N$3="VOL_CLASS",$R131,$S131)))</f>
        <v/>
      </c>
      <c r="AG131" t="str">
        <f>IF($A131="","",IF(ALLOC!$N$1="VOL_EFF",$Q131,IF(ALLOC!$N$1="VOL_CLASS",$R131,$S131)))</f>
        <v/>
      </c>
      <c r="AH131" t="str">
        <f>IF($A131="","",IF(ALLOC!$N$1="VOL_EFF",$T131,IF(ALLOC!$N$1="VOL_CLASS",$U131,$V131)))</f>
        <v/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IF($A131="","",SUMIFS(Compta!$F$1:$F$675,Compta!$A$1:$A$675,"GRP",Compta!$B$1:$B$675,"6236",Compta!$C$1:$C$675,$A131))</f>
        <v/>
      </c>
      <c r="AP131" t="str">
        <f>IF($A131="","",IF(ALLOC!$N$2="VOL_EFF",$Q131,IF(ALLOC!$N$2="VOL_CLASS",$R131,$S131)))</f>
        <v/>
      </c>
      <c r="AQ131" t="str">
        <f>IF($A131="","",IF(ALLOC!$N$2="VOL_EFF",$T131,IF(ALLOC!$N$2="VOL_CLASS",$U131,$V131)))</f>
        <v/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IF($A132="","",SUMIFS(Socle!$K$1:$K$175,Socle!$C$1:$C$175,$B132,Socle!$D$1:$D$175,$D132,Socle!$E$1:$E$175,$E132,Socle!$F$1:$F$175,$F132,Socle!$G$1:$G$175,$A132))</f>
        <v/>
      </c>
      <c r="K132" t="str">
        <f t="shared" si="20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21"/>
        <v/>
      </c>
      <c r="P132" t="str">
        <f t="shared" si="22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 t="str">
        <f>IF($A132="","",IF(ALLOC!$N$4="VOL_EFF",$G132,IF(ALLOC!$N$4="VOL_CLASS",$H132,$I132)))</f>
        <v/>
      </c>
      <c r="AD132" t="str">
        <f>IF($A132="","",IF(ALLOC!$N$4="VOL_EFF",$L132,IF(ALLOC!$N$4="VOL_CLASS",$M132,$N132)))</f>
        <v/>
      </c>
      <c r="AE132" t="str">
        <f>IF($A132="","",IF(ALLOC!$N$3="VOL_EFF",$L132,IF(ALLOC!$N$3="VOL_CLASS",$M132,$N132)))</f>
        <v/>
      </c>
      <c r="AF132" t="str">
        <f>IF($A132="","",IF(ALLOC!$N$3="VOL_EFF",$Q132,IF(ALLOC!$N$3="VOL_CLASS",$R132,$S132)))</f>
        <v/>
      </c>
      <c r="AG132" t="str">
        <f>IF($A132="","",IF(ALLOC!$N$1="VOL_EFF",$Q132,IF(ALLOC!$N$1="VOL_CLASS",$R132,$S132)))</f>
        <v/>
      </c>
      <c r="AH132" t="str">
        <f>IF($A132="","",IF(ALLOC!$N$1="VOL_EFF",$T132,IF(ALLOC!$N$1="VOL_CLASS",$U132,$V132)))</f>
        <v/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IF($A132="","",SUMIFS(Compta!$F$1:$F$675,Compta!$A$1:$A$675,"GRP",Compta!$B$1:$B$675,"6236",Compta!$C$1:$C$675,$A132))</f>
        <v/>
      </c>
      <c r="AP132" t="str">
        <f>IF($A132="","",IF(ALLOC!$N$2="VOL_EFF",$Q132,IF(ALLOC!$N$2="VOL_CLASS",$R132,$S132)))</f>
        <v/>
      </c>
      <c r="AQ132" t="str">
        <f>IF($A132="","",IF(ALLOC!$N$2="VOL_EFF",$T132,IF(ALLOC!$N$2="VOL_CLASS",$U132,$V132)))</f>
        <v/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IF($A133="","",SUMIFS(Socle!$K$1:$K$175,Socle!$C$1:$C$175,$B133,Socle!$D$1:$D$175,$D133,Socle!$E$1:$E$175,$E133,Socle!$F$1:$F$175,$F133,Socle!$G$1:$G$175,$A133))</f>
        <v/>
      </c>
      <c r="K133" t="str">
        <f t="shared" si="20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21"/>
        <v/>
      </c>
      <c r="P133" t="str">
        <f t="shared" si="22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 t="str">
        <f>IF($A133="","",IF(ALLOC!$N$4="VOL_EFF",$G133,IF(ALLOC!$N$4="VOL_CLASS",$H133,$I133)))</f>
        <v/>
      </c>
      <c r="AD133" t="str">
        <f>IF($A133="","",IF(ALLOC!$N$4="VOL_EFF",$L133,IF(ALLOC!$N$4="VOL_CLASS",$M133,$N133)))</f>
        <v/>
      </c>
      <c r="AE133" t="str">
        <f>IF($A133="","",IF(ALLOC!$N$3="VOL_EFF",$L133,IF(ALLOC!$N$3="VOL_CLASS",$M133,$N133)))</f>
        <v/>
      </c>
      <c r="AF133" t="str">
        <f>IF($A133="","",IF(ALLOC!$N$3="VOL_EFF",$Q133,IF(ALLOC!$N$3="VOL_CLASS",$R133,$S133)))</f>
        <v/>
      </c>
      <c r="AG133" t="str">
        <f>IF($A133="","",IF(ALLOC!$N$1="VOL_EFF",$Q133,IF(ALLOC!$N$1="VOL_CLASS",$R133,$S133)))</f>
        <v/>
      </c>
      <c r="AH133" t="str">
        <f>IF($A133="","",IF(ALLOC!$N$1="VOL_EFF",$T133,IF(ALLOC!$N$1="VOL_CLASS",$U133,$V133)))</f>
        <v/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IF($A133="","",SUMIFS(Compta!$F$1:$F$675,Compta!$A$1:$A$675,"GRP",Compta!$B$1:$B$675,"6236",Compta!$C$1:$C$675,$A133))</f>
        <v/>
      </c>
      <c r="AP133" t="str">
        <f>IF($A133="","",IF(ALLOC!$N$2="VOL_EFF",$Q133,IF(ALLOC!$N$2="VOL_CLASS",$R133,$S133)))</f>
        <v/>
      </c>
      <c r="AQ133" t="str">
        <f>IF($A133="","",IF(ALLOC!$N$2="VOL_EFF",$T133,IF(ALLOC!$N$2="VOL_CLASS",$U133,$V133)))</f>
        <v/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IF($A134="","",SUMIFS(Socle!$K$1:$K$175,Socle!$C$1:$C$175,$B134,Socle!$D$1:$D$175,$D134,Socle!$E$1:$E$175,$E134,Socle!$F$1:$F$175,$F134,Socle!$G$1:$G$175,$A134))</f>
        <v/>
      </c>
      <c r="K134" t="str">
        <f t="shared" si="20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21"/>
        <v/>
      </c>
      <c r="P134" t="str">
        <f t="shared" si="22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 t="str">
        <f>IF($A134="","",IF(ALLOC!$N$4="VOL_EFF",$G134,IF(ALLOC!$N$4="VOL_CLASS",$H134,$I134)))</f>
        <v/>
      </c>
      <c r="AD134" t="str">
        <f>IF($A134="","",IF(ALLOC!$N$4="VOL_EFF",$L134,IF(ALLOC!$N$4="VOL_CLASS",$M134,$N134)))</f>
        <v/>
      </c>
      <c r="AE134" t="str">
        <f>IF($A134="","",IF(ALLOC!$N$3="VOL_EFF",$L134,IF(ALLOC!$N$3="VOL_CLASS",$M134,$N134)))</f>
        <v/>
      </c>
      <c r="AF134" t="str">
        <f>IF($A134="","",IF(ALLOC!$N$3="VOL_EFF",$Q134,IF(ALLOC!$N$3="VOL_CLASS",$R134,$S134)))</f>
        <v/>
      </c>
      <c r="AG134" t="str">
        <f>IF($A134="","",IF(ALLOC!$N$1="VOL_EFF",$Q134,IF(ALLOC!$N$1="VOL_CLASS",$R134,$S134)))</f>
        <v/>
      </c>
      <c r="AH134" t="str">
        <f>IF($A134="","",IF(ALLOC!$N$1="VOL_EFF",$T134,IF(ALLOC!$N$1="VOL_CLASS",$U134,$V134)))</f>
        <v/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IF($A134="","",SUMIFS(Compta!$F$1:$F$675,Compta!$A$1:$A$675,"GRP",Compta!$B$1:$B$675,"6236",Compta!$C$1:$C$675,$A134))</f>
        <v/>
      </c>
      <c r="AP134" t="str">
        <f>IF($A134="","",IF(ALLOC!$N$2="VOL_EFF",$Q134,IF(ALLOC!$N$2="VOL_CLASS",$R134,$S134)))</f>
        <v/>
      </c>
      <c r="AQ134" t="str">
        <f>IF($A134="","",IF(ALLOC!$N$2="VOL_EFF",$T134,IF(ALLOC!$N$2="VOL_CLASS",$U134,$V134)))</f>
        <v/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IF($A135="","",SUMIFS(Socle!$K$1:$K$175,Socle!$C$1:$C$175,$B135,Socle!$D$1:$D$175,$D135,Socle!$E$1:$E$175,$E135,Socle!$F$1:$F$175,$F135,Socle!$G$1:$G$175,$A135))</f>
        <v/>
      </c>
      <c r="K135" t="str">
        <f t="shared" si="20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21"/>
        <v/>
      </c>
      <c r="P135" t="str">
        <f t="shared" si="22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 t="str">
        <f>IF($A135="","",IF(ALLOC!$N$4="VOL_EFF",$G135,IF(ALLOC!$N$4="VOL_CLASS",$H135,$I135)))</f>
        <v/>
      </c>
      <c r="AD135" t="str">
        <f>IF($A135="","",IF(ALLOC!$N$4="VOL_EFF",$L135,IF(ALLOC!$N$4="VOL_CLASS",$M135,$N135)))</f>
        <v/>
      </c>
      <c r="AE135" t="str">
        <f>IF($A135="","",IF(ALLOC!$N$3="VOL_EFF",$L135,IF(ALLOC!$N$3="VOL_CLASS",$M135,$N135)))</f>
        <v/>
      </c>
      <c r="AF135" t="str">
        <f>IF($A135="","",IF(ALLOC!$N$3="VOL_EFF",$Q135,IF(ALLOC!$N$3="VOL_CLASS",$R135,$S135)))</f>
        <v/>
      </c>
      <c r="AG135" t="str">
        <f>IF($A135="","",IF(ALLOC!$N$1="VOL_EFF",$Q135,IF(ALLOC!$N$1="VOL_CLASS",$R135,$S135)))</f>
        <v/>
      </c>
      <c r="AH135" t="str">
        <f>IF($A135="","",IF(ALLOC!$N$1="VOL_EFF",$T135,IF(ALLOC!$N$1="VOL_CLASS",$U135,$V135)))</f>
        <v/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IF($A135="","",SUMIFS(Compta!$F$1:$F$675,Compta!$A$1:$A$675,"GRP",Compta!$B$1:$B$675,"6236",Compta!$C$1:$C$675,$A135))</f>
        <v/>
      </c>
      <c r="AP135" t="str">
        <f>IF($A135="","",IF(ALLOC!$N$2="VOL_EFF",$Q135,IF(ALLOC!$N$2="VOL_CLASS",$R135,$S135)))</f>
        <v/>
      </c>
      <c r="AQ135" t="str">
        <f>IF($A135="","",IF(ALLOC!$N$2="VOL_EFF",$T135,IF(ALLOC!$N$2="VOL_CLASS",$U135,$V135)))</f>
        <v/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IF($A136="","",SUMIFS(Socle!$K$1:$K$175,Socle!$C$1:$C$175,$B136,Socle!$D$1:$D$175,$D136,Socle!$E$1:$E$175,$E136,Socle!$F$1:$F$175,$F136,Socle!$G$1:$G$175,$A136))</f>
        <v/>
      </c>
      <c r="K136" t="str">
        <f t="shared" si="20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21"/>
        <v/>
      </c>
      <c r="P136" t="str">
        <f t="shared" si="22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 t="str">
        <f>IF($A136="","",IF(ALLOC!$N$4="VOL_EFF",$G136,IF(ALLOC!$N$4="VOL_CLASS",$H136,$I136)))</f>
        <v/>
      </c>
      <c r="AD136" t="str">
        <f>IF($A136="","",IF(ALLOC!$N$4="VOL_EFF",$L136,IF(ALLOC!$N$4="VOL_CLASS",$M136,$N136)))</f>
        <v/>
      </c>
      <c r="AE136" t="str">
        <f>IF($A136="","",IF(ALLOC!$N$3="VOL_EFF",$L136,IF(ALLOC!$N$3="VOL_CLASS",$M136,$N136)))</f>
        <v/>
      </c>
      <c r="AF136" t="str">
        <f>IF($A136="","",IF(ALLOC!$N$3="VOL_EFF",$Q136,IF(ALLOC!$N$3="VOL_CLASS",$R136,$S136)))</f>
        <v/>
      </c>
      <c r="AG136" t="str">
        <f>IF($A136="","",IF(ALLOC!$N$1="VOL_EFF",$Q136,IF(ALLOC!$N$1="VOL_CLASS",$R136,$S136)))</f>
        <v/>
      </c>
      <c r="AH136" t="str">
        <f>IF($A136="","",IF(ALLOC!$N$1="VOL_EFF",$T136,IF(ALLOC!$N$1="VOL_CLASS",$U136,$V136)))</f>
        <v/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IF($A136="","",SUMIFS(Compta!$F$1:$F$675,Compta!$A$1:$A$675,"GRP",Compta!$B$1:$B$675,"6236",Compta!$C$1:$C$675,$A136))</f>
        <v/>
      </c>
      <c r="AP136" t="str">
        <f>IF($A136="","",IF(ALLOC!$N$2="VOL_EFF",$Q136,IF(ALLOC!$N$2="VOL_CLASS",$R136,$S136)))</f>
        <v/>
      </c>
      <c r="AQ136" t="str">
        <f>IF($A136="","",IF(ALLOC!$N$2="VOL_EFF",$T136,IF(ALLOC!$N$2="VOL_CLASS",$U136,$V136)))</f>
        <v/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IF($A137="","",SUMIFS(Socle!$K$1:$K$175,Socle!$C$1:$C$175,$B137,Socle!$D$1:$D$175,$D137,Socle!$E$1:$E$175,$E137,Socle!$F$1:$F$175,$F137,Socle!$G$1:$G$175,$A137))</f>
        <v/>
      </c>
      <c r="K137" t="str">
        <f t="shared" si="20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21"/>
        <v/>
      </c>
      <c r="P137" t="str">
        <f t="shared" si="22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 t="str">
        <f>IF($A137="","",IF(ALLOC!$N$4="VOL_EFF",$G137,IF(ALLOC!$N$4="VOL_CLASS",$H137,$I137)))</f>
        <v/>
      </c>
      <c r="AD137" t="str">
        <f>IF($A137="","",IF(ALLOC!$N$4="VOL_EFF",$L137,IF(ALLOC!$N$4="VOL_CLASS",$M137,$N137)))</f>
        <v/>
      </c>
      <c r="AE137" t="str">
        <f>IF($A137="","",IF(ALLOC!$N$3="VOL_EFF",$L137,IF(ALLOC!$N$3="VOL_CLASS",$M137,$N137)))</f>
        <v/>
      </c>
      <c r="AF137" t="str">
        <f>IF($A137="","",IF(ALLOC!$N$3="VOL_EFF",$Q137,IF(ALLOC!$N$3="VOL_CLASS",$R137,$S137)))</f>
        <v/>
      </c>
      <c r="AG137" t="str">
        <f>IF($A137="","",IF(ALLOC!$N$1="VOL_EFF",$Q137,IF(ALLOC!$N$1="VOL_CLASS",$R137,$S137)))</f>
        <v/>
      </c>
      <c r="AH137" t="str">
        <f>IF($A137="","",IF(ALLOC!$N$1="VOL_EFF",$T137,IF(ALLOC!$N$1="VOL_CLASS",$U137,$V137)))</f>
        <v/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IF($A137="","",SUMIFS(Compta!$F$1:$F$675,Compta!$A$1:$A$675,"GRP",Compta!$B$1:$B$675,"6236",Compta!$C$1:$C$675,$A137))</f>
        <v/>
      </c>
      <c r="AP137" t="str">
        <f>IF($A137="","",IF(ALLOC!$N$2="VOL_EFF",$Q137,IF(ALLOC!$N$2="VOL_CLASS",$R137,$S137)))</f>
        <v/>
      </c>
      <c r="AQ137" t="str">
        <f>IF($A137="","",IF(ALLOC!$N$2="VOL_EFF",$T137,IF(ALLOC!$N$2="VOL_CLASS",$U137,$V137)))</f>
        <v/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IF($A138="","",SUMIFS(Socle!$K$1:$K$175,Socle!$C$1:$C$175,$B138,Socle!$D$1:$D$175,$D138,Socle!$E$1:$E$175,$E138,Socle!$F$1:$F$175,$F138,Socle!$G$1:$G$175,$A138))</f>
        <v/>
      </c>
      <c r="K138" t="str">
        <f t="shared" si="20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21"/>
        <v/>
      </c>
      <c r="P138" t="str">
        <f t="shared" si="22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 t="str">
        <f>IF($A138="","",IF(ALLOC!$N$4="VOL_EFF",$G138,IF(ALLOC!$N$4="VOL_CLASS",$H138,$I138)))</f>
        <v/>
      </c>
      <c r="AD138" t="str">
        <f>IF($A138="","",IF(ALLOC!$N$4="VOL_EFF",$L138,IF(ALLOC!$N$4="VOL_CLASS",$M138,$N138)))</f>
        <v/>
      </c>
      <c r="AE138" t="str">
        <f>IF($A138="","",IF(ALLOC!$N$3="VOL_EFF",$L138,IF(ALLOC!$N$3="VOL_CLASS",$M138,$N138)))</f>
        <v/>
      </c>
      <c r="AF138" t="str">
        <f>IF($A138="","",IF(ALLOC!$N$3="VOL_EFF",$Q138,IF(ALLOC!$N$3="VOL_CLASS",$R138,$S138)))</f>
        <v/>
      </c>
      <c r="AG138" t="str">
        <f>IF($A138="","",IF(ALLOC!$N$1="VOL_EFF",$Q138,IF(ALLOC!$N$1="VOL_CLASS",$R138,$S138)))</f>
        <v/>
      </c>
      <c r="AH138" t="str">
        <f>IF($A138="","",IF(ALLOC!$N$1="VOL_EFF",$T138,IF(ALLOC!$N$1="VOL_CLASS",$U138,$V138)))</f>
        <v/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IF($A138="","",SUMIFS(Compta!$F$1:$F$675,Compta!$A$1:$A$675,"GRP",Compta!$B$1:$B$675,"6236",Compta!$C$1:$C$675,$A138))</f>
        <v/>
      </c>
      <c r="AP138" t="str">
        <f>IF($A138="","",IF(ALLOC!$N$2="VOL_EFF",$Q138,IF(ALLOC!$N$2="VOL_CLASS",$R138,$S138)))</f>
        <v/>
      </c>
      <c r="AQ138" t="str">
        <f>IF($A138="","",IF(ALLOC!$N$2="VOL_EFF",$T138,IF(ALLOC!$N$2="VOL_CLASS",$U138,$V138)))</f>
        <v/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IF($A139="","",SUMIFS(Socle!$K$1:$K$175,Socle!$C$1:$C$175,$B139,Socle!$D$1:$D$175,$D139,Socle!$E$1:$E$175,$E139,Socle!$F$1:$F$175,$F139,Socle!$G$1:$G$175,$A139))</f>
        <v/>
      </c>
      <c r="K139" t="str">
        <f t="shared" si="20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21"/>
        <v/>
      </c>
      <c r="P139" t="str">
        <f t="shared" si="22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 t="str">
        <f>IF($A139="","",IF(ALLOC!$N$4="VOL_EFF",$G139,IF(ALLOC!$N$4="VOL_CLASS",$H139,$I139)))</f>
        <v/>
      </c>
      <c r="AD139" t="str">
        <f>IF($A139="","",IF(ALLOC!$N$4="VOL_EFF",$L139,IF(ALLOC!$N$4="VOL_CLASS",$M139,$N139)))</f>
        <v/>
      </c>
      <c r="AE139" t="str">
        <f>IF($A139="","",IF(ALLOC!$N$3="VOL_EFF",$L139,IF(ALLOC!$N$3="VOL_CLASS",$M139,$N139)))</f>
        <v/>
      </c>
      <c r="AF139" t="str">
        <f>IF($A139="","",IF(ALLOC!$N$3="VOL_EFF",$Q139,IF(ALLOC!$N$3="VOL_CLASS",$R139,$S139)))</f>
        <v/>
      </c>
      <c r="AG139" t="str">
        <f>IF($A139="","",IF(ALLOC!$N$1="VOL_EFF",$Q139,IF(ALLOC!$N$1="VOL_CLASS",$R139,$S139)))</f>
        <v/>
      </c>
      <c r="AH139" t="str">
        <f>IF($A139="","",IF(ALLOC!$N$1="VOL_EFF",$T139,IF(ALLOC!$N$1="VOL_CLASS",$U139,$V139)))</f>
        <v/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IF($A139="","",SUMIFS(Compta!$F$1:$F$675,Compta!$A$1:$A$675,"GRP",Compta!$B$1:$B$675,"6236",Compta!$C$1:$C$675,$A139))</f>
        <v/>
      </c>
      <c r="AP139" t="str">
        <f>IF($A139="","",IF(ALLOC!$N$2="VOL_EFF",$Q139,IF(ALLOC!$N$2="VOL_CLASS",$R139,$S139)))</f>
        <v/>
      </c>
      <c r="AQ139" t="str">
        <f>IF($A139="","",IF(ALLOC!$N$2="VOL_EFF",$T139,IF(ALLOC!$N$2="VOL_CLASS",$U139,$V139)))</f>
        <v/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IF($A140="","",SUMIFS(Socle!$K$1:$K$175,Socle!$C$1:$C$175,$B140,Socle!$D$1:$D$175,$D140,Socle!$E$1:$E$175,$E140,Socle!$F$1:$F$175,$F140,Socle!$G$1:$G$175,$A140))</f>
        <v/>
      </c>
      <c r="K140" t="str">
        <f t="shared" si="20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21"/>
        <v/>
      </c>
      <c r="P140" t="str">
        <f t="shared" si="22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 t="str">
        <f>IF($A140="","",IF(ALLOC!$N$4="VOL_EFF",$G140,IF(ALLOC!$N$4="VOL_CLASS",$H140,$I140)))</f>
        <v/>
      </c>
      <c r="AD140" t="str">
        <f>IF($A140="","",IF(ALLOC!$N$4="VOL_EFF",$L140,IF(ALLOC!$N$4="VOL_CLASS",$M140,$N140)))</f>
        <v/>
      </c>
      <c r="AE140" t="str">
        <f>IF($A140="","",IF(ALLOC!$N$3="VOL_EFF",$L140,IF(ALLOC!$N$3="VOL_CLASS",$M140,$N140)))</f>
        <v/>
      </c>
      <c r="AF140" t="str">
        <f>IF($A140="","",IF(ALLOC!$N$3="VOL_EFF",$Q140,IF(ALLOC!$N$3="VOL_CLASS",$R140,$S140)))</f>
        <v/>
      </c>
      <c r="AG140" t="str">
        <f>IF($A140="","",IF(ALLOC!$N$1="VOL_EFF",$Q140,IF(ALLOC!$N$1="VOL_CLASS",$R140,$S140)))</f>
        <v/>
      </c>
      <c r="AH140" t="str">
        <f>IF($A140="","",IF(ALLOC!$N$1="VOL_EFF",$T140,IF(ALLOC!$N$1="VOL_CLASS",$U140,$V140)))</f>
        <v/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IF($A140="","",SUMIFS(Compta!$F$1:$F$675,Compta!$A$1:$A$675,"GRP",Compta!$B$1:$B$675,"6236",Compta!$C$1:$C$675,$A140))</f>
        <v/>
      </c>
      <c r="AP140" t="str">
        <f>IF($A140="","",IF(ALLOC!$N$2="VOL_EFF",$Q140,IF(ALLOC!$N$2="VOL_CLASS",$R140,$S140)))</f>
        <v/>
      </c>
      <c r="AQ140" t="str">
        <f>IF($A140="","",IF(ALLOC!$N$2="VOL_EFF",$T140,IF(ALLOC!$N$2="VOL_CLASS",$U140,$V140)))</f>
        <v/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IF($A141="","",SUMIFS(Socle!$K$1:$K$175,Socle!$C$1:$C$175,$B141,Socle!$D$1:$D$175,$D141,Socle!$E$1:$E$175,$E141,Socle!$F$1:$F$175,$F141,Socle!$G$1:$G$175,$A141))</f>
        <v/>
      </c>
      <c r="K141" t="str">
        <f t="shared" si="20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21"/>
        <v/>
      </c>
      <c r="P141" t="str">
        <f t="shared" si="22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 t="str">
        <f>IF($A141="","",IF(ALLOC!$N$4="VOL_EFF",$G141,IF(ALLOC!$N$4="VOL_CLASS",$H141,$I141)))</f>
        <v/>
      </c>
      <c r="AD141" t="str">
        <f>IF($A141="","",IF(ALLOC!$N$4="VOL_EFF",$L141,IF(ALLOC!$N$4="VOL_CLASS",$M141,$N141)))</f>
        <v/>
      </c>
      <c r="AE141" t="str">
        <f>IF($A141="","",IF(ALLOC!$N$3="VOL_EFF",$L141,IF(ALLOC!$N$3="VOL_CLASS",$M141,$N141)))</f>
        <v/>
      </c>
      <c r="AF141" t="str">
        <f>IF($A141="","",IF(ALLOC!$N$3="VOL_EFF",$Q141,IF(ALLOC!$N$3="VOL_CLASS",$R141,$S141)))</f>
        <v/>
      </c>
      <c r="AG141" t="str">
        <f>IF($A141="","",IF(ALLOC!$N$1="VOL_EFF",$Q141,IF(ALLOC!$N$1="VOL_CLASS",$R141,$S141)))</f>
        <v/>
      </c>
      <c r="AH141" t="str">
        <f>IF($A141="","",IF(ALLOC!$N$1="VOL_EFF",$T141,IF(ALLOC!$N$1="VOL_CLASS",$U141,$V141)))</f>
        <v/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IF($A141="","",SUMIFS(Compta!$F$1:$F$675,Compta!$A$1:$A$675,"GRP",Compta!$B$1:$B$675,"6236",Compta!$C$1:$C$675,$A141))</f>
        <v/>
      </c>
      <c r="AP141" t="str">
        <f>IF($A141="","",IF(ALLOC!$N$2="VOL_EFF",$Q141,IF(ALLOC!$N$2="VOL_CLASS",$R141,$S141)))</f>
        <v/>
      </c>
      <c r="AQ141" t="str">
        <f>IF($A141="","",IF(ALLOC!$N$2="VOL_EFF",$T141,IF(ALLOC!$N$2="VOL_CLASS",$U141,$V141)))</f>
        <v/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IF($A142="","",SUMIFS(Socle!$K$1:$K$175,Socle!$C$1:$C$175,$B142,Socle!$D$1:$D$175,$D142,Socle!$E$1:$E$175,$E142,Socle!$F$1:$F$175,$F142,Socle!$G$1:$G$175,$A142))</f>
        <v/>
      </c>
      <c r="K142" t="str">
        <f t="shared" si="20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21"/>
        <v/>
      </c>
      <c r="P142" t="str">
        <f t="shared" si="22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 t="str">
        <f>IF($A142="","",IF(ALLOC!$N$4="VOL_EFF",$G142,IF(ALLOC!$N$4="VOL_CLASS",$H142,$I142)))</f>
        <v/>
      </c>
      <c r="AD142" t="str">
        <f>IF($A142="","",IF(ALLOC!$N$4="VOL_EFF",$L142,IF(ALLOC!$N$4="VOL_CLASS",$M142,$N142)))</f>
        <v/>
      </c>
      <c r="AE142" t="str">
        <f>IF($A142="","",IF(ALLOC!$N$3="VOL_EFF",$L142,IF(ALLOC!$N$3="VOL_CLASS",$M142,$N142)))</f>
        <v/>
      </c>
      <c r="AF142" t="str">
        <f>IF($A142="","",IF(ALLOC!$N$3="VOL_EFF",$Q142,IF(ALLOC!$N$3="VOL_CLASS",$R142,$S142)))</f>
        <v/>
      </c>
      <c r="AG142" t="str">
        <f>IF($A142="","",IF(ALLOC!$N$1="VOL_EFF",$Q142,IF(ALLOC!$N$1="VOL_CLASS",$R142,$S142)))</f>
        <v/>
      </c>
      <c r="AH142" t="str">
        <f>IF($A142="","",IF(ALLOC!$N$1="VOL_EFF",$T142,IF(ALLOC!$N$1="VOL_CLASS",$U142,$V142)))</f>
        <v/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IF($A142="","",SUMIFS(Compta!$F$1:$F$675,Compta!$A$1:$A$675,"GRP",Compta!$B$1:$B$675,"6236",Compta!$C$1:$C$675,$A142))</f>
        <v/>
      </c>
      <c r="AP142" t="str">
        <f>IF($A142="","",IF(ALLOC!$N$2="VOL_EFF",$Q142,IF(ALLOC!$N$2="VOL_CLASS",$R142,$S142)))</f>
        <v/>
      </c>
      <c r="AQ142" t="str">
        <f>IF($A142="","",IF(ALLOC!$N$2="VOL_EFF",$T142,IF(ALLOC!$N$2="VOL_CLASS",$U142,$V142)))</f>
        <v/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IF($A143="","",SUMIFS(Socle!$K$1:$K$175,Socle!$C$1:$C$175,$B143,Socle!$D$1:$D$175,$D143,Socle!$E$1:$E$175,$E143,Socle!$F$1:$F$175,$F143,Socle!$G$1:$G$175,$A143))</f>
        <v/>
      </c>
      <c r="K143" t="str">
        <f t="shared" si="20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21"/>
        <v/>
      </c>
      <c r="P143" t="str">
        <f t="shared" si="22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 t="str">
        <f>IF($A143="","",IF(ALLOC!$N$4="VOL_EFF",$G143,IF(ALLOC!$N$4="VOL_CLASS",$H143,$I143)))</f>
        <v/>
      </c>
      <c r="AD143" t="str">
        <f>IF($A143="","",IF(ALLOC!$N$4="VOL_EFF",$L143,IF(ALLOC!$N$4="VOL_CLASS",$M143,$N143)))</f>
        <v/>
      </c>
      <c r="AE143" t="str">
        <f>IF($A143="","",IF(ALLOC!$N$3="VOL_EFF",$L143,IF(ALLOC!$N$3="VOL_CLASS",$M143,$N143)))</f>
        <v/>
      </c>
      <c r="AF143" t="str">
        <f>IF($A143="","",IF(ALLOC!$N$3="VOL_EFF",$Q143,IF(ALLOC!$N$3="VOL_CLASS",$R143,$S143)))</f>
        <v/>
      </c>
      <c r="AG143" t="str">
        <f>IF($A143="","",IF(ALLOC!$N$1="VOL_EFF",$Q143,IF(ALLOC!$N$1="VOL_CLASS",$R143,$S143)))</f>
        <v/>
      </c>
      <c r="AH143" t="str">
        <f>IF($A143="","",IF(ALLOC!$N$1="VOL_EFF",$T143,IF(ALLOC!$N$1="VOL_CLASS",$U143,$V143)))</f>
        <v/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IF($A143="","",SUMIFS(Compta!$F$1:$F$675,Compta!$A$1:$A$675,"GRP",Compta!$B$1:$B$675,"6236",Compta!$C$1:$C$675,$A143))</f>
        <v/>
      </c>
      <c r="AP143" t="str">
        <f>IF($A143="","",IF(ALLOC!$N$2="VOL_EFF",$Q143,IF(ALLOC!$N$2="VOL_CLASS",$R143,$S143)))</f>
        <v/>
      </c>
      <c r="AQ143" t="str">
        <f>IF($A143="","",IF(ALLOC!$N$2="VOL_EFF",$T143,IF(ALLOC!$N$2="VOL_CLASS",$U143,$V143)))</f>
        <v/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IF($A144="","",SUMIFS(Socle!$K$1:$K$175,Socle!$C$1:$C$175,$B144,Socle!$D$1:$D$175,$D144,Socle!$E$1:$E$175,$E144,Socle!$F$1:$F$175,$F144,Socle!$G$1:$G$175,$A144))</f>
        <v/>
      </c>
      <c r="K144" t="str">
        <f t="shared" si="20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21"/>
        <v/>
      </c>
      <c r="P144" t="str">
        <f t="shared" si="22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 t="str">
        <f>IF($A144="","",IF(ALLOC!$N$4="VOL_EFF",$G144,IF(ALLOC!$N$4="VOL_CLASS",$H144,$I144)))</f>
        <v/>
      </c>
      <c r="AD144" t="str">
        <f>IF($A144="","",IF(ALLOC!$N$4="VOL_EFF",$L144,IF(ALLOC!$N$4="VOL_CLASS",$M144,$N144)))</f>
        <v/>
      </c>
      <c r="AE144" t="str">
        <f>IF($A144="","",IF(ALLOC!$N$3="VOL_EFF",$L144,IF(ALLOC!$N$3="VOL_CLASS",$M144,$N144)))</f>
        <v/>
      </c>
      <c r="AF144" t="str">
        <f>IF($A144="","",IF(ALLOC!$N$3="VOL_EFF",$Q144,IF(ALLOC!$N$3="VOL_CLASS",$R144,$S144)))</f>
        <v/>
      </c>
      <c r="AG144" t="str">
        <f>IF($A144="","",IF(ALLOC!$N$1="VOL_EFF",$Q144,IF(ALLOC!$N$1="VOL_CLASS",$R144,$S144)))</f>
        <v/>
      </c>
      <c r="AH144" t="str">
        <f>IF($A144="","",IF(ALLOC!$N$1="VOL_EFF",$T144,IF(ALLOC!$N$1="VOL_CLASS",$U144,$V144)))</f>
        <v/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IF($A144="","",SUMIFS(Compta!$F$1:$F$675,Compta!$A$1:$A$675,"GRP",Compta!$B$1:$B$675,"6236",Compta!$C$1:$C$675,$A144))</f>
        <v/>
      </c>
      <c r="AP144" t="str">
        <f>IF($A144="","",IF(ALLOC!$N$2="VOL_EFF",$Q144,IF(ALLOC!$N$2="VOL_CLASS",$R144,$S144)))</f>
        <v/>
      </c>
      <c r="AQ144" t="str">
        <f>IF($A144="","",IF(ALLOC!$N$2="VOL_EFF",$T144,IF(ALLOC!$N$2="VOL_CLASS",$U144,$V144)))</f>
        <v/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IF($A145="","",SUMIFS(Socle!$K$1:$K$175,Socle!$C$1:$C$175,$B145,Socle!$D$1:$D$175,$D145,Socle!$E$1:$E$175,$E145,Socle!$F$1:$F$175,$F145,Socle!$G$1:$G$175,$A145))</f>
        <v/>
      </c>
      <c r="K145" t="str">
        <f t="shared" si="20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21"/>
        <v/>
      </c>
      <c r="P145" t="str">
        <f t="shared" si="22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 t="str">
        <f>IF($A145="","",IF(ALLOC!$N$4="VOL_EFF",$G145,IF(ALLOC!$N$4="VOL_CLASS",$H145,$I145)))</f>
        <v/>
      </c>
      <c r="AD145" t="str">
        <f>IF($A145="","",IF(ALLOC!$N$4="VOL_EFF",$L145,IF(ALLOC!$N$4="VOL_CLASS",$M145,$N145)))</f>
        <v/>
      </c>
      <c r="AE145" t="str">
        <f>IF($A145="","",IF(ALLOC!$N$3="VOL_EFF",$L145,IF(ALLOC!$N$3="VOL_CLASS",$M145,$N145)))</f>
        <v/>
      </c>
      <c r="AF145" t="str">
        <f>IF($A145="","",IF(ALLOC!$N$3="VOL_EFF",$Q145,IF(ALLOC!$N$3="VOL_CLASS",$R145,$S145)))</f>
        <v/>
      </c>
      <c r="AG145" t="str">
        <f>IF($A145="","",IF(ALLOC!$N$1="VOL_EFF",$Q145,IF(ALLOC!$N$1="VOL_CLASS",$R145,$S145)))</f>
        <v/>
      </c>
      <c r="AH145" t="str">
        <f>IF($A145="","",IF(ALLOC!$N$1="VOL_EFF",$T145,IF(ALLOC!$N$1="VOL_CLASS",$U145,$V145)))</f>
        <v/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IF($A145="","",SUMIFS(Compta!$F$1:$F$675,Compta!$A$1:$A$675,"GRP",Compta!$B$1:$B$675,"6236",Compta!$C$1:$C$675,$A145))</f>
        <v/>
      </c>
      <c r="AP145" t="str">
        <f>IF($A145="","",IF(ALLOC!$N$2="VOL_EFF",$Q145,IF(ALLOC!$N$2="VOL_CLASS",$R145,$S145)))</f>
        <v/>
      </c>
      <c r="AQ145" t="str">
        <f>IF($A145="","",IF(ALLOC!$N$2="VOL_EFF",$T145,IF(ALLOC!$N$2="VOL_CLASS",$U145,$V145)))</f>
        <v/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IF($A146="","",SUMIFS(Socle!$K$1:$K$175,Socle!$C$1:$C$175,$B146,Socle!$D$1:$D$175,$D146,Socle!$E$1:$E$175,$E146,Socle!$F$1:$F$175,$F146,Socle!$G$1:$G$175,$A146))</f>
        <v/>
      </c>
      <c r="K146" t="str">
        <f t="shared" si="20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21"/>
        <v/>
      </c>
      <c r="P146" t="str">
        <f t="shared" si="22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 t="str">
        <f>IF($A146="","",IF(ALLOC!$N$4="VOL_EFF",$G146,IF(ALLOC!$N$4="VOL_CLASS",$H146,$I146)))</f>
        <v/>
      </c>
      <c r="AD146" t="str">
        <f>IF($A146="","",IF(ALLOC!$N$4="VOL_EFF",$L146,IF(ALLOC!$N$4="VOL_CLASS",$M146,$N146)))</f>
        <v/>
      </c>
      <c r="AE146" t="str">
        <f>IF($A146="","",IF(ALLOC!$N$3="VOL_EFF",$L146,IF(ALLOC!$N$3="VOL_CLASS",$M146,$N146)))</f>
        <v/>
      </c>
      <c r="AF146" t="str">
        <f>IF($A146="","",IF(ALLOC!$N$3="VOL_EFF",$Q146,IF(ALLOC!$N$3="VOL_CLASS",$R146,$S146)))</f>
        <v/>
      </c>
      <c r="AG146" t="str">
        <f>IF($A146="","",IF(ALLOC!$N$1="VOL_EFF",$Q146,IF(ALLOC!$N$1="VOL_CLASS",$R146,$S146)))</f>
        <v/>
      </c>
      <c r="AH146" t="str">
        <f>IF($A146="","",IF(ALLOC!$N$1="VOL_EFF",$T146,IF(ALLOC!$N$1="VOL_CLASS",$U146,$V146)))</f>
        <v/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IF($A146="","",SUMIFS(Compta!$F$1:$F$675,Compta!$A$1:$A$675,"GRP",Compta!$B$1:$B$675,"6236",Compta!$C$1:$C$675,$A146))</f>
        <v/>
      </c>
      <c r="AP146" t="str">
        <f>IF($A146="","",IF(ALLOC!$N$2="VOL_EFF",$Q146,IF(ALLOC!$N$2="VOL_CLASS",$R146,$S146)))</f>
        <v/>
      </c>
      <c r="AQ146" t="str">
        <f>IF($A146="","",IF(ALLOC!$N$2="VOL_EFF",$T146,IF(ALLOC!$N$2="VOL_CLASS",$U146,$V146)))</f>
        <v/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IF($A147="","",SUMIFS(Socle!$K$1:$K$175,Socle!$C$1:$C$175,$B147,Socle!$D$1:$D$175,$D147,Socle!$E$1:$E$175,$E147,Socle!$F$1:$F$175,$F147,Socle!$G$1:$G$175,$A147))</f>
        <v/>
      </c>
      <c r="K147" t="str">
        <f t="shared" si="20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21"/>
        <v/>
      </c>
      <c r="P147" t="str">
        <f t="shared" si="22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 t="str">
        <f>IF($A147="","",IF(ALLOC!$N$4="VOL_EFF",$G147,IF(ALLOC!$N$4="VOL_CLASS",$H147,$I147)))</f>
        <v/>
      </c>
      <c r="AD147" t="str">
        <f>IF($A147="","",IF(ALLOC!$N$4="VOL_EFF",$L147,IF(ALLOC!$N$4="VOL_CLASS",$M147,$N147)))</f>
        <v/>
      </c>
      <c r="AE147" t="str">
        <f>IF($A147="","",IF(ALLOC!$N$3="VOL_EFF",$L147,IF(ALLOC!$N$3="VOL_CLASS",$M147,$N147)))</f>
        <v/>
      </c>
      <c r="AF147" t="str">
        <f>IF($A147="","",IF(ALLOC!$N$3="VOL_EFF",$Q147,IF(ALLOC!$N$3="VOL_CLASS",$R147,$S147)))</f>
        <v/>
      </c>
      <c r="AG147" t="str">
        <f>IF($A147="","",IF(ALLOC!$N$1="VOL_EFF",$Q147,IF(ALLOC!$N$1="VOL_CLASS",$R147,$S147)))</f>
        <v/>
      </c>
      <c r="AH147" t="str">
        <f>IF($A147="","",IF(ALLOC!$N$1="VOL_EFF",$T147,IF(ALLOC!$N$1="VOL_CLASS",$U147,$V147)))</f>
        <v/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IF($A147="","",SUMIFS(Compta!$F$1:$F$675,Compta!$A$1:$A$675,"GRP",Compta!$B$1:$B$675,"6236",Compta!$C$1:$C$675,$A147))</f>
        <v/>
      </c>
      <c r="AP147" t="str">
        <f>IF($A147="","",IF(ALLOC!$N$2="VOL_EFF",$Q147,IF(ALLOC!$N$2="VOL_CLASS",$R147,$S147)))</f>
        <v/>
      </c>
      <c r="AQ147" t="str">
        <f>IF($A147="","",IF(ALLOC!$N$2="VOL_EFF",$T147,IF(ALLOC!$N$2="VOL_CLASS",$U147,$V147)))</f>
        <v/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IF($A148="","",SUMIFS(Socle!$K$1:$K$175,Socle!$C$1:$C$175,$B148,Socle!$D$1:$D$175,$D148,Socle!$E$1:$E$175,$E148,Socle!$F$1:$F$175,$F148,Socle!$G$1:$G$175,$A148))</f>
        <v/>
      </c>
      <c r="K148" t="str">
        <f t="shared" si="20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21"/>
        <v/>
      </c>
      <c r="P148" t="str">
        <f t="shared" si="22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 t="str">
        <f>IF($A148="","",IF(ALLOC!$N$4="VOL_EFF",$G148,IF(ALLOC!$N$4="VOL_CLASS",$H148,$I148)))</f>
        <v/>
      </c>
      <c r="AD148" t="str">
        <f>IF($A148="","",IF(ALLOC!$N$4="VOL_EFF",$L148,IF(ALLOC!$N$4="VOL_CLASS",$M148,$N148)))</f>
        <v/>
      </c>
      <c r="AE148" t="str">
        <f>IF($A148="","",IF(ALLOC!$N$3="VOL_EFF",$L148,IF(ALLOC!$N$3="VOL_CLASS",$M148,$N148)))</f>
        <v/>
      </c>
      <c r="AF148" t="str">
        <f>IF($A148="","",IF(ALLOC!$N$3="VOL_EFF",$Q148,IF(ALLOC!$N$3="VOL_CLASS",$R148,$S148)))</f>
        <v/>
      </c>
      <c r="AG148" t="str">
        <f>IF($A148="","",IF(ALLOC!$N$1="VOL_EFF",$Q148,IF(ALLOC!$N$1="VOL_CLASS",$R148,$S148)))</f>
        <v/>
      </c>
      <c r="AH148" t="str">
        <f>IF($A148="","",IF(ALLOC!$N$1="VOL_EFF",$T148,IF(ALLOC!$N$1="VOL_CLASS",$U148,$V148)))</f>
        <v/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IF($A148="","",SUMIFS(Compta!$F$1:$F$675,Compta!$A$1:$A$675,"GRP",Compta!$B$1:$B$675,"6236",Compta!$C$1:$C$675,$A148))</f>
        <v/>
      </c>
      <c r="AP148" t="str">
        <f>IF($A148="","",IF(ALLOC!$N$2="VOL_EFF",$Q148,IF(ALLOC!$N$2="VOL_CLASS",$R148,$S148)))</f>
        <v/>
      </c>
      <c r="AQ148" t="str">
        <f>IF($A148="","",IF(ALLOC!$N$2="VOL_EFF",$T148,IF(ALLOC!$N$2="VOL_CLASS",$U148,$V148)))</f>
        <v/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IF($A149="","",SUMIFS(Socle!$K$1:$K$175,Socle!$C$1:$C$175,$B149,Socle!$D$1:$D$175,$D149,Socle!$E$1:$E$175,$E149,Socle!$F$1:$F$175,$F149,Socle!$G$1:$G$175,$A149))</f>
        <v/>
      </c>
      <c r="K149" t="str">
        <f t="shared" si="20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21"/>
        <v/>
      </c>
      <c r="P149" t="str">
        <f t="shared" si="22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 t="str">
        <f>IF($A149="","",IF(ALLOC!$N$4="VOL_EFF",$G149,IF(ALLOC!$N$4="VOL_CLASS",$H149,$I149)))</f>
        <v/>
      </c>
      <c r="AD149" t="str">
        <f>IF($A149="","",IF(ALLOC!$N$4="VOL_EFF",$L149,IF(ALLOC!$N$4="VOL_CLASS",$M149,$N149)))</f>
        <v/>
      </c>
      <c r="AE149" t="str">
        <f>IF($A149="","",IF(ALLOC!$N$3="VOL_EFF",$L149,IF(ALLOC!$N$3="VOL_CLASS",$M149,$N149)))</f>
        <v/>
      </c>
      <c r="AF149" t="str">
        <f>IF($A149="","",IF(ALLOC!$N$3="VOL_EFF",$Q149,IF(ALLOC!$N$3="VOL_CLASS",$R149,$S149)))</f>
        <v/>
      </c>
      <c r="AG149" t="str">
        <f>IF($A149="","",IF(ALLOC!$N$1="VOL_EFF",$Q149,IF(ALLOC!$N$1="VOL_CLASS",$R149,$S149)))</f>
        <v/>
      </c>
      <c r="AH149" t="str">
        <f>IF($A149="","",IF(ALLOC!$N$1="VOL_EFF",$T149,IF(ALLOC!$N$1="VOL_CLASS",$U149,$V149)))</f>
        <v/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IF($A149="","",SUMIFS(Compta!$F$1:$F$675,Compta!$A$1:$A$675,"GRP",Compta!$B$1:$B$675,"6236",Compta!$C$1:$C$675,$A149))</f>
        <v/>
      </c>
      <c r="AP149" t="str">
        <f>IF($A149="","",IF(ALLOC!$N$2="VOL_EFF",$Q149,IF(ALLOC!$N$2="VOL_CLASS",$R149,$S149)))</f>
        <v/>
      </c>
      <c r="AQ149" t="str">
        <f>IF($A149="","",IF(ALLOC!$N$2="VOL_EFF",$T149,IF(ALLOC!$N$2="VOL_CLASS",$U149,$V149)))</f>
        <v/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IF($A150="","",SUMIFS(Socle!$K$1:$K$175,Socle!$C$1:$C$175,$B150,Socle!$D$1:$D$175,$D150,Socle!$E$1:$E$175,$E150,Socle!$F$1:$F$175,$F150,Socle!$G$1:$G$175,$A150))</f>
        <v/>
      </c>
      <c r="K150" t="str">
        <f t="shared" si="20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21"/>
        <v/>
      </c>
      <c r="P150" t="str">
        <f t="shared" si="22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 t="str">
        <f>IF($A150="","",IF(ALLOC!$N$4="VOL_EFF",$G150,IF(ALLOC!$N$4="VOL_CLASS",$H150,$I150)))</f>
        <v/>
      </c>
      <c r="AD150" t="str">
        <f>IF($A150="","",IF(ALLOC!$N$4="VOL_EFF",$L150,IF(ALLOC!$N$4="VOL_CLASS",$M150,$N150)))</f>
        <v/>
      </c>
      <c r="AE150" t="str">
        <f>IF($A150="","",IF(ALLOC!$N$3="VOL_EFF",$L150,IF(ALLOC!$N$3="VOL_CLASS",$M150,$N150)))</f>
        <v/>
      </c>
      <c r="AF150" t="str">
        <f>IF($A150="","",IF(ALLOC!$N$3="VOL_EFF",$Q150,IF(ALLOC!$N$3="VOL_CLASS",$R150,$S150)))</f>
        <v/>
      </c>
      <c r="AG150" t="str">
        <f>IF($A150="","",IF(ALLOC!$N$1="VOL_EFF",$Q150,IF(ALLOC!$N$1="VOL_CLASS",$R150,$S150)))</f>
        <v/>
      </c>
      <c r="AH150" t="str">
        <f>IF($A150="","",IF(ALLOC!$N$1="VOL_EFF",$T150,IF(ALLOC!$N$1="VOL_CLASS",$U150,$V150)))</f>
        <v/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IF($A150="","",SUMIFS(Compta!$F$1:$F$675,Compta!$A$1:$A$675,"GRP",Compta!$B$1:$B$675,"6236",Compta!$C$1:$C$675,$A150))</f>
        <v/>
      </c>
      <c r="AP150" t="str">
        <f>IF($A150="","",IF(ALLOC!$N$2="VOL_EFF",$Q150,IF(ALLOC!$N$2="VOL_CLASS",$R150,$S150)))</f>
        <v/>
      </c>
      <c r="AQ150" t="str">
        <f>IF($A150="","",IF(ALLOC!$N$2="VOL_EFF",$T150,IF(ALLOC!$N$2="VOL_CLASS",$U150,$V150)))</f>
        <v/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IF($A151="","",SUMIFS(Socle!$K$1:$K$175,Socle!$C$1:$C$175,$B151,Socle!$D$1:$D$175,$D151,Socle!$E$1:$E$175,$E151,Socle!$F$1:$F$175,$F151,Socle!$G$1:$G$175,$A151))</f>
        <v/>
      </c>
      <c r="K151" t="str">
        <f t="shared" si="20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21"/>
        <v/>
      </c>
      <c r="P151" t="str">
        <f t="shared" si="22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 t="str">
        <f>IF($A151="","",IF(ALLOC!$N$4="VOL_EFF",$G151,IF(ALLOC!$N$4="VOL_CLASS",$H151,$I151)))</f>
        <v/>
      </c>
      <c r="AD151" t="str">
        <f>IF($A151="","",IF(ALLOC!$N$4="VOL_EFF",$L151,IF(ALLOC!$N$4="VOL_CLASS",$M151,$N151)))</f>
        <v/>
      </c>
      <c r="AE151" t="str">
        <f>IF($A151="","",IF(ALLOC!$N$3="VOL_EFF",$L151,IF(ALLOC!$N$3="VOL_CLASS",$M151,$N151)))</f>
        <v/>
      </c>
      <c r="AF151" t="str">
        <f>IF($A151="","",IF(ALLOC!$N$3="VOL_EFF",$Q151,IF(ALLOC!$N$3="VOL_CLASS",$R151,$S151)))</f>
        <v/>
      </c>
      <c r="AG151" t="str">
        <f>IF($A151="","",IF(ALLOC!$N$1="VOL_EFF",$Q151,IF(ALLOC!$N$1="VOL_CLASS",$R151,$S151)))</f>
        <v/>
      </c>
      <c r="AH151" t="str">
        <f>IF($A151="","",IF(ALLOC!$N$1="VOL_EFF",$T151,IF(ALLOC!$N$1="VOL_CLASS",$U151,$V151)))</f>
        <v/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IF($A151="","",SUMIFS(Compta!$F$1:$F$675,Compta!$A$1:$A$675,"GRP",Compta!$B$1:$B$675,"6236",Compta!$C$1:$C$675,$A151))</f>
        <v/>
      </c>
      <c r="AP151" t="str">
        <f>IF($A151="","",IF(ALLOC!$N$2="VOL_EFF",$Q151,IF(ALLOC!$N$2="VOL_CLASS",$R151,$S151)))</f>
        <v/>
      </c>
      <c r="AQ151" t="str">
        <f>IF($A151="","",IF(ALLOC!$N$2="VOL_EFF",$T151,IF(ALLOC!$N$2="VOL_CLASS",$U151,$V151)))</f>
        <v/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IF($A152="","",SUMIFS(Socle!$K$1:$K$175,Socle!$C$1:$C$175,$B152,Socle!$D$1:$D$175,$D152,Socle!$E$1:$E$175,$E152,Socle!$F$1:$F$175,$F152,Socle!$G$1:$G$175,$A152))</f>
        <v/>
      </c>
      <c r="K152" t="str">
        <f t="shared" si="20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21"/>
        <v/>
      </c>
      <c r="P152" t="str">
        <f t="shared" si="22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 t="str">
        <f>IF($A152="","",IF(ALLOC!$N$4="VOL_EFF",$G152,IF(ALLOC!$N$4="VOL_CLASS",$H152,$I152)))</f>
        <v/>
      </c>
      <c r="AD152" t="str">
        <f>IF($A152="","",IF(ALLOC!$N$4="VOL_EFF",$L152,IF(ALLOC!$N$4="VOL_CLASS",$M152,$N152)))</f>
        <v/>
      </c>
      <c r="AE152" t="str">
        <f>IF($A152="","",IF(ALLOC!$N$3="VOL_EFF",$L152,IF(ALLOC!$N$3="VOL_CLASS",$M152,$N152)))</f>
        <v/>
      </c>
      <c r="AF152" t="str">
        <f>IF($A152="","",IF(ALLOC!$N$3="VOL_EFF",$Q152,IF(ALLOC!$N$3="VOL_CLASS",$R152,$S152)))</f>
        <v/>
      </c>
      <c r="AG152" t="str">
        <f>IF($A152="","",IF(ALLOC!$N$1="VOL_EFF",$Q152,IF(ALLOC!$N$1="VOL_CLASS",$R152,$S152)))</f>
        <v/>
      </c>
      <c r="AH152" t="str">
        <f>IF($A152="","",IF(ALLOC!$N$1="VOL_EFF",$T152,IF(ALLOC!$N$1="VOL_CLASS",$U152,$V152)))</f>
        <v/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IF($A152="","",SUMIFS(Compta!$F$1:$F$675,Compta!$A$1:$A$675,"GRP",Compta!$B$1:$B$675,"6236",Compta!$C$1:$C$675,$A152))</f>
        <v/>
      </c>
      <c r="AP152" t="str">
        <f>IF($A152="","",IF(ALLOC!$N$2="VOL_EFF",$Q152,IF(ALLOC!$N$2="VOL_CLASS",$R152,$S152)))</f>
        <v/>
      </c>
      <c r="AQ152" t="str">
        <f>IF($A152="","",IF(ALLOC!$N$2="VOL_EFF",$T152,IF(ALLOC!$N$2="VOL_CLASS",$U152,$V152)))</f>
        <v/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IF($A153="","",SUMIFS(Socle!$K$1:$K$175,Socle!$C$1:$C$175,$B153,Socle!$D$1:$D$175,$D153,Socle!$E$1:$E$175,$E153,Socle!$F$1:$F$175,$F153,Socle!$G$1:$G$175,$A153))</f>
        <v/>
      </c>
      <c r="K153" t="str">
        <f t="shared" si="20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21"/>
        <v/>
      </c>
      <c r="P153" t="str">
        <f t="shared" si="22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 t="str">
        <f>IF($A153="","",IF(ALLOC!$N$4="VOL_EFF",$G153,IF(ALLOC!$N$4="VOL_CLASS",$H153,$I153)))</f>
        <v/>
      </c>
      <c r="AD153" t="str">
        <f>IF($A153="","",IF(ALLOC!$N$4="VOL_EFF",$L153,IF(ALLOC!$N$4="VOL_CLASS",$M153,$N153)))</f>
        <v/>
      </c>
      <c r="AE153" t="str">
        <f>IF($A153="","",IF(ALLOC!$N$3="VOL_EFF",$L153,IF(ALLOC!$N$3="VOL_CLASS",$M153,$N153)))</f>
        <v/>
      </c>
      <c r="AF153" t="str">
        <f>IF($A153="","",IF(ALLOC!$N$3="VOL_EFF",$Q153,IF(ALLOC!$N$3="VOL_CLASS",$R153,$S153)))</f>
        <v/>
      </c>
      <c r="AG153" t="str">
        <f>IF($A153="","",IF(ALLOC!$N$1="VOL_EFF",$Q153,IF(ALLOC!$N$1="VOL_CLASS",$R153,$S153)))</f>
        <v/>
      </c>
      <c r="AH153" t="str">
        <f>IF($A153="","",IF(ALLOC!$N$1="VOL_EFF",$T153,IF(ALLOC!$N$1="VOL_CLASS",$U153,$V153)))</f>
        <v/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IF($A153="","",SUMIFS(Compta!$F$1:$F$675,Compta!$A$1:$A$675,"GRP",Compta!$B$1:$B$675,"6236",Compta!$C$1:$C$675,$A153))</f>
        <v/>
      </c>
      <c r="AP153" t="str">
        <f>IF($A153="","",IF(ALLOC!$N$2="VOL_EFF",$Q153,IF(ALLOC!$N$2="VOL_CLASS",$R153,$S153)))</f>
        <v/>
      </c>
      <c r="AQ153" t="str">
        <f>IF($A153="","",IF(ALLOC!$N$2="VOL_EFF",$T153,IF(ALLOC!$N$2="VOL_CLASS",$U153,$V153)))</f>
        <v/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IF($A154="","",SUMIFS(Socle!$K$1:$K$175,Socle!$C$1:$C$175,$B154,Socle!$D$1:$D$175,$D154,Socle!$E$1:$E$175,$E154,Socle!$F$1:$F$175,$F154,Socle!$G$1:$G$175,$A154))</f>
        <v/>
      </c>
      <c r="K154" t="str">
        <f t="shared" si="20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21"/>
        <v/>
      </c>
      <c r="P154" t="str">
        <f t="shared" si="22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 t="str">
        <f>IF($A154="","",IF(ALLOC!$N$4="VOL_EFF",$G154,IF(ALLOC!$N$4="VOL_CLASS",$H154,$I154)))</f>
        <v/>
      </c>
      <c r="AD154" t="str">
        <f>IF($A154="","",IF(ALLOC!$N$4="VOL_EFF",$L154,IF(ALLOC!$N$4="VOL_CLASS",$M154,$N154)))</f>
        <v/>
      </c>
      <c r="AE154" t="str">
        <f>IF($A154="","",IF(ALLOC!$N$3="VOL_EFF",$L154,IF(ALLOC!$N$3="VOL_CLASS",$M154,$N154)))</f>
        <v/>
      </c>
      <c r="AF154" t="str">
        <f>IF($A154="","",IF(ALLOC!$N$3="VOL_EFF",$Q154,IF(ALLOC!$N$3="VOL_CLASS",$R154,$S154)))</f>
        <v/>
      </c>
      <c r="AG154" t="str">
        <f>IF($A154="","",IF(ALLOC!$N$1="VOL_EFF",$Q154,IF(ALLOC!$N$1="VOL_CLASS",$R154,$S154)))</f>
        <v/>
      </c>
      <c r="AH154" t="str">
        <f>IF($A154="","",IF(ALLOC!$N$1="VOL_EFF",$T154,IF(ALLOC!$N$1="VOL_CLASS",$U154,$V154)))</f>
        <v/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IF($A154="","",SUMIFS(Compta!$F$1:$F$675,Compta!$A$1:$A$675,"GRP",Compta!$B$1:$B$675,"6236",Compta!$C$1:$C$675,$A154))</f>
        <v/>
      </c>
      <c r="AP154" t="str">
        <f>IF($A154="","",IF(ALLOC!$N$2="VOL_EFF",$Q154,IF(ALLOC!$N$2="VOL_CLASS",$R154,$S154)))</f>
        <v/>
      </c>
      <c r="AQ154" t="str">
        <f>IF($A154="","",IF(ALLOC!$N$2="VOL_EFF",$T154,IF(ALLOC!$N$2="VOL_CLASS",$U154,$V154)))</f>
        <v/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IF($A155="","",SUMIFS(Socle!$K$1:$K$175,Socle!$C$1:$C$175,$B155,Socle!$D$1:$D$175,$D155,Socle!$E$1:$E$175,$E155,Socle!$F$1:$F$175,$F155,Socle!$G$1:$G$175,$A155))</f>
        <v/>
      </c>
      <c r="K155" t="str">
        <f t="shared" si="20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21"/>
        <v/>
      </c>
      <c r="P155" t="str">
        <f t="shared" si="22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 t="str">
        <f>IF($A155="","",IF(ALLOC!$N$4="VOL_EFF",$G155,IF(ALLOC!$N$4="VOL_CLASS",$H155,$I155)))</f>
        <v/>
      </c>
      <c r="AD155" t="str">
        <f>IF($A155="","",IF(ALLOC!$N$4="VOL_EFF",$L155,IF(ALLOC!$N$4="VOL_CLASS",$M155,$N155)))</f>
        <v/>
      </c>
      <c r="AE155" t="str">
        <f>IF($A155="","",IF(ALLOC!$N$3="VOL_EFF",$L155,IF(ALLOC!$N$3="VOL_CLASS",$M155,$N155)))</f>
        <v/>
      </c>
      <c r="AF155" t="str">
        <f>IF($A155="","",IF(ALLOC!$N$3="VOL_EFF",$Q155,IF(ALLOC!$N$3="VOL_CLASS",$R155,$S155)))</f>
        <v/>
      </c>
      <c r="AG155" t="str">
        <f>IF($A155="","",IF(ALLOC!$N$1="VOL_EFF",$Q155,IF(ALLOC!$N$1="VOL_CLASS",$R155,$S155)))</f>
        <v/>
      </c>
      <c r="AH155" t="str">
        <f>IF($A155="","",IF(ALLOC!$N$1="VOL_EFF",$T155,IF(ALLOC!$N$1="VOL_CLASS",$U155,$V155)))</f>
        <v/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IF($A155="","",SUMIFS(Compta!$F$1:$F$675,Compta!$A$1:$A$675,"GRP",Compta!$B$1:$B$675,"6236",Compta!$C$1:$C$675,$A155))</f>
        <v/>
      </c>
      <c r="AP155" t="str">
        <f>IF($A155="","",IF(ALLOC!$N$2="VOL_EFF",$Q155,IF(ALLOC!$N$2="VOL_CLASS",$R155,$S155)))</f>
        <v/>
      </c>
      <c r="AQ155" t="str">
        <f>IF($A155="","",IF(ALLOC!$N$2="VOL_EFF",$T155,IF(ALLOC!$N$2="VOL_CLASS",$U155,$V155)))</f>
        <v/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IF($A156="","",SUMIFS(Socle!$K$1:$K$175,Socle!$C$1:$C$175,$B156,Socle!$D$1:$D$175,$D156,Socle!$E$1:$E$175,$E156,Socle!$F$1:$F$175,$F156,Socle!$G$1:$G$175,$A156))</f>
        <v/>
      </c>
      <c r="K156" t="str">
        <f t="shared" si="20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21"/>
        <v/>
      </c>
      <c r="P156" t="str">
        <f t="shared" si="22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 t="str">
        <f>IF($A156="","",IF(ALLOC!$N$4="VOL_EFF",$G156,IF(ALLOC!$N$4="VOL_CLASS",$H156,$I156)))</f>
        <v/>
      </c>
      <c r="AD156" t="str">
        <f>IF($A156="","",IF(ALLOC!$N$4="VOL_EFF",$L156,IF(ALLOC!$N$4="VOL_CLASS",$M156,$N156)))</f>
        <v/>
      </c>
      <c r="AE156" t="str">
        <f>IF($A156="","",IF(ALLOC!$N$3="VOL_EFF",$L156,IF(ALLOC!$N$3="VOL_CLASS",$M156,$N156)))</f>
        <v/>
      </c>
      <c r="AF156" t="str">
        <f>IF($A156="","",IF(ALLOC!$N$3="VOL_EFF",$Q156,IF(ALLOC!$N$3="VOL_CLASS",$R156,$S156)))</f>
        <v/>
      </c>
      <c r="AG156" t="str">
        <f>IF($A156="","",IF(ALLOC!$N$1="VOL_EFF",$Q156,IF(ALLOC!$N$1="VOL_CLASS",$R156,$S156)))</f>
        <v/>
      </c>
      <c r="AH156" t="str">
        <f>IF($A156="","",IF(ALLOC!$N$1="VOL_EFF",$T156,IF(ALLOC!$N$1="VOL_CLASS",$U156,$V156)))</f>
        <v/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IF($A156="","",SUMIFS(Compta!$F$1:$F$675,Compta!$A$1:$A$675,"GRP",Compta!$B$1:$B$675,"6236",Compta!$C$1:$C$675,$A156))</f>
        <v/>
      </c>
      <c r="AP156" t="str">
        <f>IF($A156="","",IF(ALLOC!$N$2="VOL_EFF",$Q156,IF(ALLOC!$N$2="VOL_CLASS",$R156,$S156)))</f>
        <v/>
      </c>
      <c r="AQ156" t="str">
        <f>IF($A156="","",IF(ALLOC!$N$2="VOL_EFF",$T156,IF(ALLOC!$N$2="VOL_CLASS",$U156,$V156)))</f>
        <v/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IF($A157="","",SUMIFS(Socle!$K$1:$K$175,Socle!$C$1:$C$175,$B157,Socle!$D$1:$D$175,$D157,Socle!$E$1:$E$175,$E157,Socle!$F$1:$F$175,$F157,Socle!$G$1:$G$175,$A157))</f>
        <v/>
      </c>
      <c r="K157" t="str">
        <f t="shared" si="20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21"/>
        <v/>
      </c>
      <c r="P157" t="str">
        <f t="shared" si="22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 t="str">
        <f>IF($A157="","",IF(ALLOC!$N$4="VOL_EFF",$G157,IF(ALLOC!$N$4="VOL_CLASS",$H157,$I157)))</f>
        <v/>
      </c>
      <c r="AD157" t="str">
        <f>IF($A157="","",IF(ALLOC!$N$4="VOL_EFF",$L157,IF(ALLOC!$N$4="VOL_CLASS",$M157,$N157)))</f>
        <v/>
      </c>
      <c r="AE157" t="str">
        <f>IF($A157="","",IF(ALLOC!$N$3="VOL_EFF",$L157,IF(ALLOC!$N$3="VOL_CLASS",$M157,$N157)))</f>
        <v/>
      </c>
      <c r="AF157" t="str">
        <f>IF($A157="","",IF(ALLOC!$N$3="VOL_EFF",$Q157,IF(ALLOC!$N$3="VOL_CLASS",$R157,$S157)))</f>
        <v/>
      </c>
      <c r="AG157" t="str">
        <f>IF($A157="","",IF(ALLOC!$N$1="VOL_EFF",$Q157,IF(ALLOC!$N$1="VOL_CLASS",$R157,$S157)))</f>
        <v/>
      </c>
      <c r="AH157" t="str">
        <f>IF($A157="","",IF(ALLOC!$N$1="VOL_EFF",$T157,IF(ALLOC!$N$1="VOL_CLASS",$U157,$V157)))</f>
        <v/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IF($A157="","",SUMIFS(Compta!$F$1:$F$675,Compta!$A$1:$A$675,"GRP",Compta!$B$1:$B$675,"6236",Compta!$C$1:$C$675,$A157))</f>
        <v/>
      </c>
      <c r="AP157" t="str">
        <f>IF($A157="","",IF(ALLOC!$N$2="VOL_EFF",$Q157,IF(ALLOC!$N$2="VOL_CLASS",$R157,$S157)))</f>
        <v/>
      </c>
      <c r="AQ157" t="str">
        <f>IF($A157="","",IF(ALLOC!$N$2="VOL_EFF",$T157,IF(ALLOC!$N$2="VOL_CLASS",$U157,$V157)))</f>
        <v/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IF($A158="","",SUMIFS(Socle!$K$1:$K$175,Socle!$C$1:$C$175,$B158,Socle!$D$1:$D$175,$D158,Socle!$E$1:$E$175,$E158,Socle!$F$1:$F$175,$F158,Socle!$G$1:$G$175,$A158))</f>
        <v/>
      </c>
      <c r="K158" t="str">
        <f t="shared" si="20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21"/>
        <v/>
      </c>
      <c r="P158" t="str">
        <f t="shared" si="22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 t="str">
        <f>IF($A158="","",IF(ALLOC!$N$4="VOL_EFF",$G158,IF(ALLOC!$N$4="VOL_CLASS",$H158,$I158)))</f>
        <v/>
      </c>
      <c r="AD158" t="str">
        <f>IF($A158="","",IF(ALLOC!$N$4="VOL_EFF",$L158,IF(ALLOC!$N$4="VOL_CLASS",$M158,$N158)))</f>
        <v/>
      </c>
      <c r="AE158" t="str">
        <f>IF($A158="","",IF(ALLOC!$N$3="VOL_EFF",$L158,IF(ALLOC!$N$3="VOL_CLASS",$M158,$N158)))</f>
        <v/>
      </c>
      <c r="AF158" t="str">
        <f>IF($A158="","",IF(ALLOC!$N$3="VOL_EFF",$Q158,IF(ALLOC!$N$3="VOL_CLASS",$R158,$S158)))</f>
        <v/>
      </c>
      <c r="AG158" t="str">
        <f>IF($A158="","",IF(ALLOC!$N$1="VOL_EFF",$Q158,IF(ALLOC!$N$1="VOL_CLASS",$R158,$S158)))</f>
        <v/>
      </c>
      <c r="AH158" t="str">
        <f>IF($A158="","",IF(ALLOC!$N$1="VOL_EFF",$T158,IF(ALLOC!$N$1="VOL_CLASS",$U158,$V158)))</f>
        <v/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IF($A158="","",SUMIFS(Compta!$F$1:$F$675,Compta!$A$1:$A$675,"GRP",Compta!$B$1:$B$675,"6236",Compta!$C$1:$C$675,$A158))</f>
        <v/>
      </c>
      <c r="AP158" t="str">
        <f>IF($A158="","",IF(ALLOC!$N$2="VOL_EFF",$Q158,IF(ALLOC!$N$2="VOL_CLASS",$R158,$S158)))</f>
        <v/>
      </c>
      <c r="AQ158" t="str">
        <f>IF($A158="","",IF(ALLOC!$N$2="VOL_EFF",$T158,IF(ALLOC!$N$2="VOL_CLASS",$U158,$V158)))</f>
        <v/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IF($A159="","",SUMIFS(Socle!$K$1:$K$175,Socle!$C$1:$C$175,$B159,Socle!$D$1:$D$175,$D159,Socle!$E$1:$E$175,$E159,Socle!$F$1:$F$175,$F159,Socle!$G$1:$G$175,$A159))</f>
        <v/>
      </c>
      <c r="K159" t="str">
        <f t="shared" si="20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21"/>
        <v/>
      </c>
      <c r="P159" t="str">
        <f t="shared" si="22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 t="str">
        <f>IF($A159="","",IF(ALLOC!$N$4="VOL_EFF",$G159,IF(ALLOC!$N$4="VOL_CLASS",$H159,$I159)))</f>
        <v/>
      </c>
      <c r="AD159" t="str">
        <f>IF($A159="","",IF(ALLOC!$N$4="VOL_EFF",$L159,IF(ALLOC!$N$4="VOL_CLASS",$M159,$N159)))</f>
        <v/>
      </c>
      <c r="AE159" t="str">
        <f>IF($A159="","",IF(ALLOC!$N$3="VOL_EFF",$L159,IF(ALLOC!$N$3="VOL_CLASS",$M159,$N159)))</f>
        <v/>
      </c>
      <c r="AF159" t="str">
        <f>IF($A159="","",IF(ALLOC!$N$3="VOL_EFF",$Q159,IF(ALLOC!$N$3="VOL_CLASS",$R159,$S159)))</f>
        <v/>
      </c>
      <c r="AG159" t="str">
        <f>IF($A159="","",IF(ALLOC!$N$1="VOL_EFF",$Q159,IF(ALLOC!$N$1="VOL_CLASS",$R159,$S159)))</f>
        <v/>
      </c>
      <c r="AH159" t="str">
        <f>IF($A159="","",IF(ALLOC!$N$1="VOL_EFF",$T159,IF(ALLOC!$N$1="VOL_CLASS",$U159,$V159)))</f>
        <v/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IF($A159="","",SUMIFS(Compta!$F$1:$F$675,Compta!$A$1:$A$675,"GRP",Compta!$B$1:$B$675,"6236",Compta!$C$1:$C$675,$A159))</f>
        <v/>
      </c>
      <c r="AP159" t="str">
        <f>IF($A159="","",IF(ALLOC!$N$2="VOL_EFF",$Q159,IF(ALLOC!$N$2="VOL_CLASS",$R159,$S159)))</f>
        <v/>
      </c>
      <c r="AQ159" t="str">
        <f>IF($A159="","",IF(ALLOC!$N$2="VOL_EFF",$T159,IF(ALLOC!$N$2="VOL_CLASS",$U159,$V159)))</f>
        <v/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IF($A160="","",SUMIFS(Socle!$K$1:$K$175,Socle!$C$1:$C$175,$B160,Socle!$D$1:$D$175,$D160,Socle!$E$1:$E$175,$E160,Socle!$F$1:$F$175,$F160,Socle!$G$1:$G$175,$A160))</f>
        <v/>
      </c>
      <c r="K160" t="str">
        <f t="shared" si="20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21"/>
        <v/>
      </c>
      <c r="P160" t="str">
        <f t="shared" si="22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 t="str">
        <f>IF($A160="","",IF(ALLOC!$N$4="VOL_EFF",$G160,IF(ALLOC!$N$4="VOL_CLASS",$H160,$I160)))</f>
        <v/>
      </c>
      <c r="AD160" t="str">
        <f>IF($A160="","",IF(ALLOC!$N$4="VOL_EFF",$L160,IF(ALLOC!$N$4="VOL_CLASS",$M160,$N160)))</f>
        <v/>
      </c>
      <c r="AE160" t="str">
        <f>IF($A160="","",IF(ALLOC!$N$3="VOL_EFF",$L160,IF(ALLOC!$N$3="VOL_CLASS",$M160,$N160)))</f>
        <v/>
      </c>
      <c r="AF160" t="str">
        <f>IF($A160="","",IF(ALLOC!$N$3="VOL_EFF",$Q160,IF(ALLOC!$N$3="VOL_CLASS",$R160,$S160)))</f>
        <v/>
      </c>
      <c r="AG160" t="str">
        <f>IF($A160="","",IF(ALLOC!$N$1="VOL_EFF",$Q160,IF(ALLOC!$N$1="VOL_CLASS",$R160,$S160)))</f>
        <v/>
      </c>
      <c r="AH160" t="str">
        <f>IF($A160="","",IF(ALLOC!$N$1="VOL_EFF",$T160,IF(ALLOC!$N$1="VOL_CLASS",$U160,$V160)))</f>
        <v/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IF($A160="","",SUMIFS(Compta!$F$1:$F$675,Compta!$A$1:$A$675,"GRP",Compta!$B$1:$B$675,"6236",Compta!$C$1:$C$675,$A160))</f>
        <v/>
      </c>
      <c r="AP160" t="str">
        <f>IF($A160="","",IF(ALLOC!$N$2="VOL_EFF",$Q160,IF(ALLOC!$N$2="VOL_CLASS",$R160,$S160)))</f>
        <v/>
      </c>
      <c r="AQ160" t="str">
        <f>IF($A160="","",IF(ALLOC!$N$2="VOL_EFF",$T160,IF(ALLOC!$N$2="VOL_CLASS",$U160,$V160)))</f>
        <v/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IF($A161="","",SUMIFS(Socle!$K$1:$K$175,Socle!$C$1:$C$175,$B161,Socle!$D$1:$D$175,$D161,Socle!$E$1:$E$175,$E161,Socle!$F$1:$F$175,$F161,Socle!$G$1:$G$175,$A161))</f>
        <v/>
      </c>
      <c r="K161" t="str">
        <f t="shared" si="20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21"/>
        <v/>
      </c>
      <c r="P161" t="str">
        <f t="shared" si="22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 t="str">
        <f>IF($A161="","",IF(ALLOC!$N$4="VOL_EFF",$G161,IF(ALLOC!$N$4="VOL_CLASS",$H161,$I161)))</f>
        <v/>
      </c>
      <c r="AD161" t="str">
        <f>IF($A161="","",IF(ALLOC!$N$4="VOL_EFF",$L161,IF(ALLOC!$N$4="VOL_CLASS",$M161,$N161)))</f>
        <v/>
      </c>
      <c r="AE161" t="str">
        <f>IF($A161="","",IF(ALLOC!$N$3="VOL_EFF",$L161,IF(ALLOC!$N$3="VOL_CLASS",$M161,$N161)))</f>
        <v/>
      </c>
      <c r="AF161" t="str">
        <f>IF($A161="","",IF(ALLOC!$N$3="VOL_EFF",$Q161,IF(ALLOC!$N$3="VOL_CLASS",$R161,$S161)))</f>
        <v/>
      </c>
      <c r="AG161" t="str">
        <f>IF($A161="","",IF(ALLOC!$N$1="VOL_EFF",$Q161,IF(ALLOC!$N$1="VOL_CLASS",$R161,$S161)))</f>
        <v/>
      </c>
      <c r="AH161" t="str">
        <f>IF($A161="","",IF(ALLOC!$N$1="VOL_EFF",$T161,IF(ALLOC!$N$1="VOL_CLASS",$U161,$V161)))</f>
        <v/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IF($A161="","",SUMIFS(Compta!$F$1:$F$675,Compta!$A$1:$A$675,"GRP",Compta!$B$1:$B$675,"6236",Compta!$C$1:$C$675,$A161))</f>
        <v/>
      </c>
      <c r="AP161" t="str">
        <f>IF($A161="","",IF(ALLOC!$N$2="VOL_EFF",$Q161,IF(ALLOC!$N$2="VOL_CLASS",$R161,$S161)))</f>
        <v/>
      </c>
      <c r="AQ161" t="str">
        <f>IF($A161="","",IF(ALLOC!$N$2="VOL_EFF",$T161,IF(ALLOC!$N$2="VOL_CLASS",$U161,$V161)))</f>
        <v/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IF($A162="","",SUMIFS(Socle!$K$1:$K$175,Socle!$C$1:$C$175,$B162,Socle!$D$1:$D$175,$D162,Socle!$E$1:$E$175,$E162,Socle!$F$1:$F$175,$F162,Socle!$G$1:$G$175,$A162))</f>
        <v/>
      </c>
      <c r="K162" t="str">
        <f t="shared" si="20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21"/>
        <v/>
      </c>
      <c r="P162" t="str">
        <f t="shared" si="22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 t="str">
        <f>IF($A162="","",IF(ALLOC!$N$4="VOL_EFF",$G162,IF(ALLOC!$N$4="VOL_CLASS",$H162,$I162)))</f>
        <v/>
      </c>
      <c r="AD162" t="str">
        <f>IF($A162="","",IF(ALLOC!$N$4="VOL_EFF",$L162,IF(ALLOC!$N$4="VOL_CLASS",$M162,$N162)))</f>
        <v/>
      </c>
      <c r="AE162" t="str">
        <f>IF($A162="","",IF(ALLOC!$N$3="VOL_EFF",$L162,IF(ALLOC!$N$3="VOL_CLASS",$M162,$N162)))</f>
        <v/>
      </c>
      <c r="AF162" t="str">
        <f>IF($A162="","",IF(ALLOC!$N$3="VOL_EFF",$Q162,IF(ALLOC!$N$3="VOL_CLASS",$R162,$S162)))</f>
        <v/>
      </c>
      <c r="AG162" t="str">
        <f>IF($A162="","",IF(ALLOC!$N$1="VOL_EFF",$Q162,IF(ALLOC!$N$1="VOL_CLASS",$R162,$S162)))</f>
        <v/>
      </c>
      <c r="AH162" t="str">
        <f>IF($A162="","",IF(ALLOC!$N$1="VOL_EFF",$T162,IF(ALLOC!$N$1="VOL_CLASS",$U162,$V162)))</f>
        <v/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IF($A162="","",SUMIFS(Compta!$F$1:$F$675,Compta!$A$1:$A$675,"GRP",Compta!$B$1:$B$675,"6236",Compta!$C$1:$C$675,$A162))</f>
        <v/>
      </c>
      <c r="AP162" t="str">
        <f>IF($A162="","",IF(ALLOC!$N$2="VOL_EFF",$Q162,IF(ALLOC!$N$2="VOL_CLASS",$R162,$S162)))</f>
        <v/>
      </c>
      <c r="AQ162" t="str">
        <f>IF($A162="","",IF(ALLOC!$N$2="VOL_EFF",$T162,IF(ALLOC!$N$2="VOL_CLASS",$U162,$V162)))</f>
        <v/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IF($A163="","",SUMIFS(Socle!$K$1:$K$175,Socle!$C$1:$C$175,$B163,Socle!$D$1:$D$175,$D163,Socle!$E$1:$E$175,$E163,Socle!$F$1:$F$175,$F163,Socle!$G$1:$G$175,$A163))</f>
        <v/>
      </c>
      <c r="K163" t="str">
        <f t="shared" si="20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21"/>
        <v/>
      </c>
      <c r="P163" t="str">
        <f t="shared" si="22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 t="str">
        <f>IF($A163="","",IF(ALLOC!$N$4="VOL_EFF",$G163,IF(ALLOC!$N$4="VOL_CLASS",$H163,$I163)))</f>
        <v/>
      </c>
      <c r="AD163" t="str">
        <f>IF($A163="","",IF(ALLOC!$N$4="VOL_EFF",$L163,IF(ALLOC!$N$4="VOL_CLASS",$M163,$N163)))</f>
        <v/>
      </c>
      <c r="AE163" t="str">
        <f>IF($A163="","",IF(ALLOC!$N$3="VOL_EFF",$L163,IF(ALLOC!$N$3="VOL_CLASS",$M163,$N163)))</f>
        <v/>
      </c>
      <c r="AF163" t="str">
        <f>IF($A163="","",IF(ALLOC!$N$3="VOL_EFF",$Q163,IF(ALLOC!$N$3="VOL_CLASS",$R163,$S163)))</f>
        <v/>
      </c>
      <c r="AG163" t="str">
        <f>IF($A163="","",IF(ALLOC!$N$1="VOL_EFF",$Q163,IF(ALLOC!$N$1="VOL_CLASS",$R163,$S163)))</f>
        <v/>
      </c>
      <c r="AH163" t="str">
        <f>IF($A163="","",IF(ALLOC!$N$1="VOL_EFF",$T163,IF(ALLOC!$N$1="VOL_CLASS",$U163,$V163)))</f>
        <v/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IF($A163="","",SUMIFS(Compta!$F$1:$F$675,Compta!$A$1:$A$675,"GRP",Compta!$B$1:$B$675,"6236",Compta!$C$1:$C$675,$A163))</f>
        <v/>
      </c>
      <c r="AP163" t="str">
        <f>IF($A163="","",IF(ALLOC!$N$2="VOL_EFF",$Q163,IF(ALLOC!$N$2="VOL_CLASS",$R163,$S163)))</f>
        <v/>
      </c>
      <c r="AQ163" t="str">
        <f>IF($A163="","",IF(ALLOC!$N$2="VOL_EFF",$T163,IF(ALLOC!$N$2="VOL_CLASS",$U163,$V163)))</f>
        <v/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IF($A164="","",SUMIFS(Socle!$K$1:$K$175,Socle!$C$1:$C$175,$B164,Socle!$D$1:$D$175,$D164,Socle!$E$1:$E$175,$E164,Socle!$F$1:$F$175,$F164,Socle!$G$1:$G$175,$A164))</f>
        <v/>
      </c>
      <c r="K164" t="str">
        <f t="shared" si="20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21"/>
        <v/>
      </c>
      <c r="P164" t="str">
        <f t="shared" si="22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 t="str">
        <f>IF($A164="","",IF(ALLOC!$N$4="VOL_EFF",$G164,IF(ALLOC!$N$4="VOL_CLASS",$H164,$I164)))</f>
        <v/>
      </c>
      <c r="AD164" t="str">
        <f>IF($A164="","",IF(ALLOC!$N$4="VOL_EFF",$L164,IF(ALLOC!$N$4="VOL_CLASS",$M164,$N164)))</f>
        <v/>
      </c>
      <c r="AE164" t="str">
        <f>IF($A164="","",IF(ALLOC!$N$3="VOL_EFF",$L164,IF(ALLOC!$N$3="VOL_CLASS",$M164,$N164)))</f>
        <v/>
      </c>
      <c r="AF164" t="str">
        <f>IF($A164="","",IF(ALLOC!$N$3="VOL_EFF",$Q164,IF(ALLOC!$N$3="VOL_CLASS",$R164,$S164)))</f>
        <v/>
      </c>
      <c r="AG164" t="str">
        <f>IF($A164="","",IF(ALLOC!$N$1="VOL_EFF",$Q164,IF(ALLOC!$N$1="VOL_CLASS",$R164,$S164)))</f>
        <v/>
      </c>
      <c r="AH164" t="str">
        <f>IF($A164="","",IF(ALLOC!$N$1="VOL_EFF",$T164,IF(ALLOC!$N$1="VOL_CLASS",$U164,$V164)))</f>
        <v/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IF($A164="","",SUMIFS(Compta!$F$1:$F$675,Compta!$A$1:$A$675,"GRP",Compta!$B$1:$B$675,"6236",Compta!$C$1:$C$675,$A164))</f>
        <v/>
      </c>
      <c r="AP164" t="str">
        <f>IF($A164="","",IF(ALLOC!$N$2="VOL_EFF",$Q164,IF(ALLOC!$N$2="VOL_CLASS",$R164,$S164)))</f>
        <v/>
      </c>
      <c r="AQ164" t="str">
        <f>IF($A164="","",IF(ALLOC!$N$2="VOL_EFF",$T164,IF(ALLOC!$N$2="VOL_CLASS",$U164,$V164)))</f>
        <v/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IF($A165="","",SUMIFS(Socle!$K$1:$K$175,Socle!$C$1:$C$175,$B165,Socle!$D$1:$D$175,$D165,Socle!$E$1:$E$175,$E165,Socle!$F$1:$F$175,$F165,Socle!$G$1:$G$175,$A165))</f>
        <v/>
      </c>
      <c r="K165" t="str">
        <f t="shared" si="20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21"/>
        <v/>
      </c>
      <c r="P165" t="str">
        <f t="shared" si="22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 t="str">
        <f>IF($A165="","",IF(ALLOC!$N$4="VOL_EFF",$G165,IF(ALLOC!$N$4="VOL_CLASS",$H165,$I165)))</f>
        <v/>
      </c>
      <c r="AD165" t="str">
        <f>IF($A165="","",IF(ALLOC!$N$4="VOL_EFF",$L165,IF(ALLOC!$N$4="VOL_CLASS",$M165,$N165)))</f>
        <v/>
      </c>
      <c r="AE165" t="str">
        <f>IF($A165="","",IF(ALLOC!$N$3="VOL_EFF",$L165,IF(ALLOC!$N$3="VOL_CLASS",$M165,$N165)))</f>
        <v/>
      </c>
      <c r="AF165" t="str">
        <f>IF($A165="","",IF(ALLOC!$N$3="VOL_EFF",$Q165,IF(ALLOC!$N$3="VOL_CLASS",$R165,$S165)))</f>
        <v/>
      </c>
      <c r="AG165" t="str">
        <f>IF($A165="","",IF(ALLOC!$N$1="VOL_EFF",$Q165,IF(ALLOC!$N$1="VOL_CLASS",$R165,$S165)))</f>
        <v/>
      </c>
      <c r="AH165" t="str">
        <f>IF($A165="","",IF(ALLOC!$N$1="VOL_EFF",$T165,IF(ALLOC!$N$1="VOL_CLASS",$U165,$V165)))</f>
        <v/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IF($A165="","",SUMIFS(Compta!$F$1:$F$675,Compta!$A$1:$A$675,"GRP",Compta!$B$1:$B$675,"6236",Compta!$C$1:$C$675,$A165))</f>
        <v/>
      </c>
      <c r="AP165" t="str">
        <f>IF($A165="","",IF(ALLOC!$N$2="VOL_EFF",$Q165,IF(ALLOC!$N$2="VOL_CLASS",$R165,$S165)))</f>
        <v/>
      </c>
      <c r="AQ165" t="str">
        <f>IF($A165="","",IF(ALLOC!$N$2="VOL_EFF",$T165,IF(ALLOC!$N$2="VOL_CLASS",$U165,$V165)))</f>
        <v/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IF($A166="","",SUMIFS(Socle!$K$1:$K$175,Socle!$C$1:$C$175,$B166,Socle!$D$1:$D$175,$D166,Socle!$E$1:$E$175,$E166,Socle!$F$1:$F$175,$F166,Socle!$G$1:$G$175,$A166))</f>
        <v/>
      </c>
      <c r="K166" t="str">
        <f t="shared" si="20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21"/>
        <v/>
      </c>
      <c r="P166" t="str">
        <f t="shared" si="22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 t="str">
        <f>IF($A166="","",IF(ALLOC!$N$4="VOL_EFF",$G166,IF(ALLOC!$N$4="VOL_CLASS",$H166,$I166)))</f>
        <v/>
      </c>
      <c r="AD166" t="str">
        <f>IF($A166="","",IF(ALLOC!$N$4="VOL_EFF",$L166,IF(ALLOC!$N$4="VOL_CLASS",$M166,$N166)))</f>
        <v/>
      </c>
      <c r="AE166" t="str">
        <f>IF($A166="","",IF(ALLOC!$N$3="VOL_EFF",$L166,IF(ALLOC!$N$3="VOL_CLASS",$M166,$N166)))</f>
        <v/>
      </c>
      <c r="AF166" t="str">
        <f>IF($A166="","",IF(ALLOC!$N$3="VOL_EFF",$Q166,IF(ALLOC!$N$3="VOL_CLASS",$R166,$S166)))</f>
        <v/>
      </c>
      <c r="AG166" t="str">
        <f>IF($A166="","",IF(ALLOC!$N$1="VOL_EFF",$Q166,IF(ALLOC!$N$1="VOL_CLASS",$R166,$S166)))</f>
        <v/>
      </c>
      <c r="AH166" t="str">
        <f>IF($A166="","",IF(ALLOC!$N$1="VOL_EFF",$T166,IF(ALLOC!$N$1="VOL_CLASS",$U166,$V166)))</f>
        <v/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IF($A166="","",SUMIFS(Compta!$F$1:$F$675,Compta!$A$1:$A$675,"GRP",Compta!$B$1:$B$675,"6236",Compta!$C$1:$C$675,$A166))</f>
        <v/>
      </c>
      <c r="AP166" t="str">
        <f>IF($A166="","",IF(ALLOC!$N$2="VOL_EFF",$Q166,IF(ALLOC!$N$2="VOL_CLASS",$R166,$S166)))</f>
        <v/>
      </c>
      <c r="AQ166" t="str">
        <f>IF($A166="","",IF(ALLOC!$N$2="VOL_EFF",$T166,IF(ALLOC!$N$2="VOL_CLASS",$U166,$V166)))</f>
        <v/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IF($A167="","",SUMIFS(Socle!$K$1:$K$175,Socle!$C$1:$C$175,$B167,Socle!$D$1:$D$175,$D167,Socle!$E$1:$E$175,$E167,Socle!$F$1:$F$175,$F167,Socle!$G$1:$G$175,$A167))</f>
        <v/>
      </c>
      <c r="K167" t="str">
        <f t="shared" si="20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21"/>
        <v/>
      </c>
      <c r="P167" t="str">
        <f t="shared" si="22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 t="str">
        <f>IF($A167="","",IF(ALLOC!$N$4="VOL_EFF",$G167,IF(ALLOC!$N$4="VOL_CLASS",$H167,$I167)))</f>
        <v/>
      </c>
      <c r="AD167" t="str">
        <f>IF($A167="","",IF(ALLOC!$N$4="VOL_EFF",$L167,IF(ALLOC!$N$4="VOL_CLASS",$M167,$N167)))</f>
        <v/>
      </c>
      <c r="AE167" t="str">
        <f>IF($A167="","",IF(ALLOC!$N$3="VOL_EFF",$L167,IF(ALLOC!$N$3="VOL_CLASS",$M167,$N167)))</f>
        <v/>
      </c>
      <c r="AF167" t="str">
        <f>IF($A167="","",IF(ALLOC!$N$3="VOL_EFF",$Q167,IF(ALLOC!$N$3="VOL_CLASS",$R167,$S167)))</f>
        <v/>
      </c>
      <c r="AG167" t="str">
        <f>IF($A167="","",IF(ALLOC!$N$1="VOL_EFF",$Q167,IF(ALLOC!$N$1="VOL_CLASS",$R167,$S167)))</f>
        <v/>
      </c>
      <c r="AH167" t="str">
        <f>IF($A167="","",IF(ALLOC!$N$1="VOL_EFF",$T167,IF(ALLOC!$N$1="VOL_CLASS",$U167,$V167)))</f>
        <v/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IF($A167="","",SUMIFS(Compta!$F$1:$F$675,Compta!$A$1:$A$675,"GRP",Compta!$B$1:$B$675,"6236",Compta!$C$1:$C$675,$A167))</f>
        <v/>
      </c>
      <c r="AP167" t="str">
        <f>IF($A167="","",IF(ALLOC!$N$2="VOL_EFF",$Q167,IF(ALLOC!$N$2="VOL_CLASS",$R167,$S167)))</f>
        <v/>
      </c>
      <c r="AQ167" t="str">
        <f>IF($A167="","",IF(ALLOC!$N$2="VOL_EFF",$T167,IF(ALLOC!$N$2="VOL_CLASS",$U167,$V167)))</f>
        <v/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IF($A168="","",SUMIFS(Socle!$K$1:$K$175,Socle!$C$1:$C$175,$B168,Socle!$D$1:$D$175,$D168,Socle!$E$1:$E$175,$E168,Socle!$F$1:$F$175,$F168,Socle!$G$1:$G$175,$A168))</f>
        <v/>
      </c>
      <c r="K168" t="str">
        <f t="shared" si="20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21"/>
        <v/>
      </c>
      <c r="P168" t="str">
        <f t="shared" si="22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 t="str">
        <f>IF($A168="","",IF(ALLOC!$N$4="VOL_EFF",$G168,IF(ALLOC!$N$4="VOL_CLASS",$H168,$I168)))</f>
        <v/>
      </c>
      <c r="AD168" t="str">
        <f>IF($A168="","",IF(ALLOC!$N$4="VOL_EFF",$L168,IF(ALLOC!$N$4="VOL_CLASS",$M168,$N168)))</f>
        <v/>
      </c>
      <c r="AE168" t="str">
        <f>IF($A168="","",IF(ALLOC!$N$3="VOL_EFF",$L168,IF(ALLOC!$N$3="VOL_CLASS",$M168,$N168)))</f>
        <v/>
      </c>
      <c r="AF168" t="str">
        <f>IF($A168="","",IF(ALLOC!$N$3="VOL_EFF",$Q168,IF(ALLOC!$N$3="VOL_CLASS",$R168,$S168)))</f>
        <v/>
      </c>
      <c r="AG168" t="str">
        <f>IF($A168="","",IF(ALLOC!$N$1="VOL_EFF",$Q168,IF(ALLOC!$N$1="VOL_CLASS",$R168,$S168)))</f>
        <v/>
      </c>
      <c r="AH168" t="str">
        <f>IF($A168="","",IF(ALLOC!$N$1="VOL_EFF",$T168,IF(ALLOC!$N$1="VOL_CLASS",$U168,$V168)))</f>
        <v/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IF($A168="","",SUMIFS(Compta!$F$1:$F$675,Compta!$A$1:$A$675,"GRP",Compta!$B$1:$B$675,"6236",Compta!$C$1:$C$675,$A168))</f>
        <v/>
      </c>
      <c r="AP168" t="str">
        <f>IF($A168="","",IF(ALLOC!$N$2="VOL_EFF",$Q168,IF(ALLOC!$N$2="VOL_CLASS",$R168,$S168)))</f>
        <v/>
      </c>
      <c r="AQ168" t="str">
        <f>IF($A168="","",IF(ALLOC!$N$2="VOL_EFF",$T168,IF(ALLOC!$N$2="VOL_CLASS",$U168,$V168)))</f>
        <v/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IF($A169="","",SUMIFS(Socle!$K$1:$K$175,Socle!$C$1:$C$175,$B169,Socle!$D$1:$D$175,$D169,Socle!$E$1:$E$175,$E169,Socle!$F$1:$F$175,$F169,Socle!$G$1:$G$175,$A169))</f>
        <v/>
      </c>
      <c r="K169" t="str">
        <f t="shared" si="20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21"/>
        <v/>
      </c>
      <c r="P169" t="str">
        <f t="shared" si="22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 t="str">
        <f>IF($A169="","",IF(ALLOC!$N$4="VOL_EFF",$G169,IF(ALLOC!$N$4="VOL_CLASS",$H169,$I169)))</f>
        <v/>
      </c>
      <c r="AD169" t="str">
        <f>IF($A169="","",IF(ALLOC!$N$4="VOL_EFF",$L169,IF(ALLOC!$N$4="VOL_CLASS",$M169,$N169)))</f>
        <v/>
      </c>
      <c r="AE169" t="str">
        <f>IF($A169="","",IF(ALLOC!$N$3="VOL_EFF",$L169,IF(ALLOC!$N$3="VOL_CLASS",$M169,$N169)))</f>
        <v/>
      </c>
      <c r="AF169" t="str">
        <f>IF($A169="","",IF(ALLOC!$N$3="VOL_EFF",$Q169,IF(ALLOC!$N$3="VOL_CLASS",$R169,$S169)))</f>
        <v/>
      </c>
      <c r="AG169" t="str">
        <f>IF($A169="","",IF(ALLOC!$N$1="VOL_EFF",$Q169,IF(ALLOC!$N$1="VOL_CLASS",$R169,$S169)))</f>
        <v/>
      </c>
      <c r="AH169" t="str">
        <f>IF($A169="","",IF(ALLOC!$N$1="VOL_EFF",$T169,IF(ALLOC!$N$1="VOL_CLASS",$U169,$V169)))</f>
        <v/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IF($A169="","",SUMIFS(Compta!$F$1:$F$675,Compta!$A$1:$A$675,"GRP",Compta!$B$1:$B$675,"6236",Compta!$C$1:$C$675,$A169))</f>
        <v/>
      </c>
      <c r="AP169" t="str">
        <f>IF($A169="","",IF(ALLOC!$N$2="VOL_EFF",$Q169,IF(ALLOC!$N$2="VOL_CLASS",$R169,$S169)))</f>
        <v/>
      </c>
      <c r="AQ169" t="str">
        <f>IF($A169="","",IF(ALLOC!$N$2="VOL_EFF",$T169,IF(ALLOC!$N$2="VOL_CLASS",$U169,$V169)))</f>
        <v/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IF($A170="","",SUMIFS(Socle!$K$1:$K$175,Socle!$C$1:$C$175,$B170,Socle!$D$1:$D$175,$D170,Socle!$E$1:$E$175,$E170,Socle!$F$1:$F$175,$F170,Socle!$G$1:$G$175,$A170))</f>
        <v/>
      </c>
      <c r="K170" t="str">
        <f t="shared" si="20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21"/>
        <v/>
      </c>
      <c r="P170" t="str">
        <f t="shared" si="22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 t="str">
        <f>IF($A170="","",IF(ALLOC!$N$4="VOL_EFF",$G170,IF(ALLOC!$N$4="VOL_CLASS",$H170,$I170)))</f>
        <v/>
      </c>
      <c r="AD170" t="str">
        <f>IF($A170="","",IF(ALLOC!$N$4="VOL_EFF",$L170,IF(ALLOC!$N$4="VOL_CLASS",$M170,$N170)))</f>
        <v/>
      </c>
      <c r="AE170" t="str">
        <f>IF($A170="","",IF(ALLOC!$N$3="VOL_EFF",$L170,IF(ALLOC!$N$3="VOL_CLASS",$M170,$N170)))</f>
        <v/>
      </c>
      <c r="AF170" t="str">
        <f>IF($A170="","",IF(ALLOC!$N$3="VOL_EFF",$Q170,IF(ALLOC!$N$3="VOL_CLASS",$R170,$S170)))</f>
        <v/>
      </c>
      <c r="AG170" t="str">
        <f>IF($A170="","",IF(ALLOC!$N$1="VOL_EFF",$Q170,IF(ALLOC!$N$1="VOL_CLASS",$R170,$S170)))</f>
        <v/>
      </c>
      <c r="AH170" t="str">
        <f>IF($A170="","",IF(ALLOC!$N$1="VOL_EFF",$T170,IF(ALLOC!$N$1="VOL_CLASS",$U170,$V170)))</f>
        <v/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IF($A170="","",SUMIFS(Compta!$F$1:$F$675,Compta!$A$1:$A$675,"GRP",Compta!$B$1:$B$675,"6236",Compta!$C$1:$C$675,$A170))</f>
        <v/>
      </c>
      <c r="AP170" t="str">
        <f>IF($A170="","",IF(ALLOC!$N$2="VOL_EFF",$Q170,IF(ALLOC!$N$2="VOL_CLASS",$R170,$S170)))</f>
        <v/>
      </c>
      <c r="AQ170" t="str">
        <f>IF($A170="","",IF(ALLOC!$N$2="VOL_EFF",$T170,IF(ALLOC!$N$2="VOL_CLASS",$U170,$V170)))</f>
        <v/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IF($A171="","",SUMIFS(Socle!$K$1:$K$175,Socle!$C$1:$C$175,$B171,Socle!$D$1:$D$175,$D171,Socle!$E$1:$E$175,$E171,Socle!$F$1:$F$175,$F171,Socle!$G$1:$G$175,$A171))</f>
        <v/>
      </c>
      <c r="K171" t="str">
        <f t="shared" si="20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21"/>
        <v/>
      </c>
      <c r="P171" t="str">
        <f t="shared" si="22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 t="str">
        <f>IF($A171="","",IF(ALLOC!$N$4="VOL_EFF",$G171,IF(ALLOC!$N$4="VOL_CLASS",$H171,$I171)))</f>
        <v/>
      </c>
      <c r="AD171" t="str">
        <f>IF($A171="","",IF(ALLOC!$N$4="VOL_EFF",$L171,IF(ALLOC!$N$4="VOL_CLASS",$M171,$N171)))</f>
        <v/>
      </c>
      <c r="AE171" t="str">
        <f>IF($A171="","",IF(ALLOC!$N$3="VOL_EFF",$L171,IF(ALLOC!$N$3="VOL_CLASS",$M171,$N171)))</f>
        <v/>
      </c>
      <c r="AF171" t="str">
        <f>IF($A171="","",IF(ALLOC!$N$3="VOL_EFF",$Q171,IF(ALLOC!$N$3="VOL_CLASS",$R171,$S171)))</f>
        <v/>
      </c>
      <c r="AG171" t="str">
        <f>IF($A171="","",IF(ALLOC!$N$1="VOL_EFF",$Q171,IF(ALLOC!$N$1="VOL_CLASS",$R171,$S171)))</f>
        <v/>
      </c>
      <c r="AH171" t="str">
        <f>IF($A171="","",IF(ALLOC!$N$1="VOL_EFF",$T171,IF(ALLOC!$N$1="VOL_CLASS",$U171,$V171)))</f>
        <v/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IF($A171="","",SUMIFS(Compta!$F$1:$F$675,Compta!$A$1:$A$675,"GRP",Compta!$B$1:$B$675,"6236",Compta!$C$1:$C$675,$A171))</f>
        <v/>
      </c>
      <c r="AP171" t="str">
        <f>IF($A171="","",IF(ALLOC!$N$2="VOL_EFF",$Q171,IF(ALLOC!$N$2="VOL_CLASS",$R171,$S171)))</f>
        <v/>
      </c>
      <c r="AQ171" t="str">
        <f>IF($A171="","",IF(ALLOC!$N$2="VOL_EFF",$T171,IF(ALLOC!$N$2="VOL_CLASS",$U171,$V171)))</f>
        <v/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IF($A172="","",SUMIFS(Socle!$K$1:$K$175,Socle!$C$1:$C$175,$B172,Socle!$D$1:$D$175,$D172,Socle!$E$1:$E$175,$E172,Socle!$F$1:$F$175,$F172,Socle!$G$1:$G$175,$A172))</f>
        <v/>
      </c>
      <c r="K172" t="str">
        <f t="shared" si="20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21"/>
        <v/>
      </c>
      <c r="P172" t="str">
        <f t="shared" si="22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 t="str">
        <f>IF($A172="","",IF(ALLOC!$N$4="VOL_EFF",$G172,IF(ALLOC!$N$4="VOL_CLASS",$H172,$I172)))</f>
        <v/>
      </c>
      <c r="AD172" t="str">
        <f>IF($A172="","",IF(ALLOC!$N$4="VOL_EFF",$L172,IF(ALLOC!$N$4="VOL_CLASS",$M172,$N172)))</f>
        <v/>
      </c>
      <c r="AE172" t="str">
        <f>IF($A172="","",IF(ALLOC!$N$3="VOL_EFF",$L172,IF(ALLOC!$N$3="VOL_CLASS",$M172,$N172)))</f>
        <v/>
      </c>
      <c r="AF172" t="str">
        <f>IF($A172="","",IF(ALLOC!$N$3="VOL_EFF",$Q172,IF(ALLOC!$N$3="VOL_CLASS",$R172,$S172)))</f>
        <v/>
      </c>
      <c r="AG172" t="str">
        <f>IF($A172="","",IF(ALLOC!$N$1="VOL_EFF",$Q172,IF(ALLOC!$N$1="VOL_CLASS",$R172,$S172)))</f>
        <v/>
      </c>
      <c r="AH172" t="str">
        <f>IF($A172="","",IF(ALLOC!$N$1="VOL_EFF",$T172,IF(ALLOC!$N$1="VOL_CLASS",$U172,$V172)))</f>
        <v/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IF($A172="","",SUMIFS(Compta!$F$1:$F$675,Compta!$A$1:$A$675,"GRP",Compta!$B$1:$B$675,"6236",Compta!$C$1:$C$675,$A172))</f>
        <v/>
      </c>
      <c r="AP172" t="str">
        <f>IF($A172="","",IF(ALLOC!$N$2="VOL_EFF",$Q172,IF(ALLOC!$N$2="VOL_CLASS",$R172,$S172)))</f>
        <v/>
      </c>
      <c r="AQ172" t="str">
        <f>IF($A172="","",IF(ALLOC!$N$2="VOL_EFF",$T172,IF(ALLOC!$N$2="VOL_CLASS",$U172,$V172)))</f>
        <v/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IF($A173="","",SUMIFS(Socle!$K$1:$K$175,Socle!$C$1:$C$175,$B173,Socle!$D$1:$D$175,$D173,Socle!$E$1:$E$175,$E173,Socle!$F$1:$F$175,$F173,Socle!$G$1:$G$175,$A173))</f>
        <v/>
      </c>
      <c r="K173" t="str">
        <f t="shared" si="20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21"/>
        <v/>
      </c>
      <c r="P173" t="str">
        <f t="shared" si="22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 t="str">
        <f>IF($A173="","",IF(ALLOC!$N$4="VOL_EFF",$G173,IF(ALLOC!$N$4="VOL_CLASS",$H173,$I173)))</f>
        <v/>
      </c>
      <c r="AD173" t="str">
        <f>IF($A173="","",IF(ALLOC!$N$4="VOL_EFF",$L173,IF(ALLOC!$N$4="VOL_CLASS",$M173,$N173)))</f>
        <v/>
      </c>
      <c r="AE173" t="str">
        <f>IF($A173="","",IF(ALLOC!$N$3="VOL_EFF",$L173,IF(ALLOC!$N$3="VOL_CLASS",$M173,$N173)))</f>
        <v/>
      </c>
      <c r="AF173" t="str">
        <f>IF($A173="","",IF(ALLOC!$N$3="VOL_EFF",$Q173,IF(ALLOC!$N$3="VOL_CLASS",$R173,$S173)))</f>
        <v/>
      </c>
      <c r="AG173" t="str">
        <f>IF($A173="","",IF(ALLOC!$N$1="VOL_EFF",$Q173,IF(ALLOC!$N$1="VOL_CLASS",$R173,$S173)))</f>
        <v/>
      </c>
      <c r="AH173" t="str">
        <f>IF($A173="","",IF(ALLOC!$N$1="VOL_EFF",$T173,IF(ALLOC!$N$1="VOL_CLASS",$U173,$V173)))</f>
        <v/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IF($A173="","",SUMIFS(Compta!$F$1:$F$675,Compta!$A$1:$A$675,"GRP",Compta!$B$1:$B$675,"6236",Compta!$C$1:$C$675,$A173))</f>
        <v/>
      </c>
      <c r="AP173" t="str">
        <f>IF($A173="","",IF(ALLOC!$N$2="VOL_EFF",$Q173,IF(ALLOC!$N$2="VOL_CLASS",$R173,$S173)))</f>
        <v/>
      </c>
      <c r="AQ173" t="str">
        <f>IF($A173="","",IF(ALLOC!$N$2="VOL_EFF",$T173,IF(ALLOC!$N$2="VOL_CLASS",$U173,$V173)))</f>
        <v/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IF($A174="","",SUMIFS(Socle!$K$1:$K$175,Socle!$C$1:$C$175,$B174,Socle!$D$1:$D$175,$D174,Socle!$E$1:$E$175,$E174,Socle!$F$1:$F$175,$F174,Socle!$G$1:$G$175,$A174))</f>
        <v/>
      </c>
      <c r="K174" t="str">
        <f t="shared" si="20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21"/>
        <v/>
      </c>
      <c r="P174" t="str">
        <f t="shared" si="22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 t="str">
        <f>IF($A174="","",IF(ALLOC!$N$4="VOL_EFF",$G174,IF(ALLOC!$N$4="VOL_CLASS",$H174,$I174)))</f>
        <v/>
      </c>
      <c r="AD174" t="str">
        <f>IF($A174="","",IF(ALLOC!$N$4="VOL_EFF",$L174,IF(ALLOC!$N$4="VOL_CLASS",$M174,$N174)))</f>
        <v/>
      </c>
      <c r="AE174" t="str">
        <f>IF($A174="","",IF(ALLOC!$N$3="VOL_EFF",$L174,IF(ALLOC!$N$3="VOL_CLASS",$M174,$N174)))</f>
        <v/>
      </c>
      <c r="AF174" t="str">
        <f>IF($A174="","",IF(ALLOC!$N$3="VOL_EFF",$Q174,IF(ALLOC!$N$3="VOL_CLASS",$R174,$S174)))</f>
        <v/>
      </c>
      <c r="AG174" t="str">
        <f>IF($A174="","",IF(ALLOC!$N$1="VOL_EFF",$Q174,IF(ALLOC!$N$1="VOL_CLASS",$R174,$S174)))</f>
        <v/>
      </c>
      <c r="AH174" t="str">
        <f>IF($A174="","",IF(ALLOC!$N$1="VOL_EFF",$T174,IF(ALLOC!$N$1="VOL_CLASS",$U174,$V174)))</f>
        <v/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IF($A174="","",SUMIFS(Compta!$F$1:$F$675,Compta!$A$1:$A$675,"GRP",Compta!$B$1:$B$675,"6236",Compta!$C$1:$C$675,$A174))</f>
        <v/>
      </c>
      <c r="AP174" t="str">
        <f>IF($A174="","",IF(ALLOC!$N$2="VOL_EFF",$Q174,IF(ALLOC!$N$2="VOL_CLASS",$R174,$S174)))</f>
        <v/>
      </c>
      <c r="AQ174" t="str">
        <f>IF($A174="","",IF(ALLOC!$N$2="VOL_EFF",$T174,IF(ALLOC!$N$2="VOL_CLASS",$U174,$V174)))</f>
        <v/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IF($A175="","",SUMIFS(Socle!$K$1:$K$175,Socle!$C$1:$C$175,$B175,Socle!$D$1:$D$175,$D175,Socle!$E$1:$E$175,$E175,Socle!$F$1:$F$175,$F175,Socle!$G$1:$G$175,$A175))</f>
        <v/>
      </c>
      <c r="K175" t="str">
        <f t="shared" si="20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21"/>
        <v/>
      </c>
      <c r="P175" t="str">
        <f t="shared" si="22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 t="str">
        <f>IF($A175="","",IF(ALLOC!$N$4="VOL_EFF",$G175,IF(ALLOC!$N$4="VOL_CLASS",$H175,$I175)))</f>
        <v/>
      </c>
      <c r="AD175" t="str">
        <f>IF($A175="","",IF(ALLOC!$N$4="VOL_EFF",$L175,IF(ALLOC!$N$4="VOL_CLASS",$M175,$N175)))</f>
        <v/>
      </c>
      <c r="AE175" t="str">
        <f>IF($A175="","",IF(ALLOC!$N$3="VOL_EFF",$L175,IF(ALLOC!$N$3="VOL_CLASS",$M175,$N175)))</f>
        <v/>
      </c>
      <c r="AF175" t="str">
        <f>IF($A175="","",IF(ALLOC!$N$3="VOL_EFF",$Q175,IF(ALLOC!$N$3="VOL_CLASS",$R175,$S175)))</f>
        <v/>
      </c>
      <c r="AG175" t="str">
        <f>IF($A175="","",IF(ALLOC!$N$1="VOL_EFF",$Q175,IF(ALLOC!$N$1="VOL_CLASS",$R175,$S175)))</f>
        <v/>
      </c>
      <c r="AH175" t="str">
        <f>IF($A175="","",IF(ALLOC!$N$1="VOL_EFF",$T175,IF(ALLOC!$N$1="VOL_CLASS",$U175,$V175)))</f>
        <v/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IF($A175="","",SUMIFS(Compta!$F$1:$F$675,Compta!$A$1:$A$675,"GRP",Compta!$B$1:$B$675,"6236",Compta!$C$1:$C$675,$A175))</f>
        <v/>
      </c>
      <c r="AP175" t="str">
        <f>IF($A175="","",IF(ALLOC!$N$2="VOL_EFF",$Q175,IF(ALLOC!$N$2="VOL_CLASS",$R175,$S175)))</f>
        <v/>
      </c>
      <c r="AQ175" t="str">
        <f>IF($A175="","",IF(ALLOC!$N$2="VOL_EFF",$T175,IF(ALLOC!$N$2="VOL_CLASS",$U175,$V175)))</f>
        <v/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FA3308BB-E3A6-45E6-A42B-D5914900956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2026-08-26T08:49:14Z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6623061b-5f91-46b9-bc38-384157b053dc</vt:lpwstr>
  </op:property>
  <op:property fmtid="{D5CDD505-2E9C-101B-9397-08002B2CF9AE}" pid="5" name="TGK_STATUS">
    <vt:lpstr>ADH_TPL</vt:lpstr>
  </op:property>
  <op:property fmtid="{D5CDD505-2E9C-101B-9397-08002B2CF9AE}" pid="6" name="TGK_CUSTOM_XML">
    <vt:lpwstr>{FA3308BB-E3A6-45E6-A42B-D59149009564}</vt:lpwstr>
  </op:property>
</op:Properties>
</file>