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TUNON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97381</v>
      </c>
      <c r="AF7" s="1" t="n">
        <v>0</v>
      </c>
      <c r="AG7" s="1" t="n">
        <v>0</v>
      </c>
      <c r="AI7" s="1" t="inlineStr">
        <is>
          <t>Tunon Lyon</t>
        </is>
      </c>
      <c r="AJ7" s="1" t="n">
        <v>0.0589</v>
      </c>
      <c r="AK7" s="1" t="n">
        <v>0.0492</v>
      </c>
      <c r="AL7" s="1" t="n">
        <v>0.038</v>
      </c>
      <c r="AM7" s="1" t="n">
        <v>-2.09</v>
      </c>
      <c r="AN7" s="1" t="inlineStr">
        <is>
          <t>CAMPUS</t>
        </is>
      </c>
      <c r="AO7" s="1" t="inlineStr">
        <is>
          <t>TUNON_LYO</t>
        </is>
      </c>
      <c r="AP7" s="1" t="n">
        <v>774990</v>
      </c>
      <c r="AQ7" s="1" t="n">
        <v>45650</v>
      </c>
      <c r="AR7" s="1" t="n">
        <v>819270</v>
      </c>
      <c r="AS7" s="1" t="n">
        <v>40302</v>
      </c>
      <c r="AT7" t="n">
        <v>863550</v>
      </c>
      <c r="AU7" s="2" t="n">
        <v>32829</v>
      </c>
      <c r="AZ7" s="1" t="inlineStr">
        <is>
          <t>2024</t>
        </is>
      </c>
      <c r="BA7" s="1" t="n">
        <v>100</v>
      </c>
      <c r="BB7" s="1" t="n">
        <v>100</v>
      </c>
      <c r="BC7" s="1" t="n">
        <v>520</v>
      </c>
      <c r="BD7" s="1" t="n">
        <v>0</v>
      </c>
      <c r="BE7" s="1" t="n">
        <v>40570</v>
      </c>
      <c r="BF7" s="1" t="n">
        <v>78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97381</v>
      </c>
      <c r="AE8" t="n">
        <v>0</v>
      </c>
      <c r="AF8" t="n">
        <v>98051</v>
      </c>
      <c r="AG8" t="n">
        <v>0</v>
      </c>
      <c r="AI8" t="inlineStr">
        <is>
          <t>Tunon Paris</t>
        </is>
      </c>
      <c r="AJ8" t="n">
        <v>0.066</v>
      </c>
      <c r="AK8" t="n">
        <v>0.0562</v>
      </c>
      <c r="AL8" t="n">
        <v>0.045</v>
      </c>
      <c r="AM8" t="n">
        <v>-2.1</v>
      </c>
      <c r="AN8" t="inlineStr">
        <is>
          <t>CAMPUS</t>
        </is>
      </c>
      <c r="AO8" t="inlineStr">
        <is>
          <t>TUNON_PAR</t>
        </is>
      </c>
      <c r="AP8" t="n">
        <v>968100</v>
      </c>
      <c r="AQ8" t="n">
        <v>63906</v>
      </c>
      <c r="AR8" t="n">
        <v>1015320</v>
      </c>
      <c r="AS8" t="n">
        <v>57079</v>
      </c>
      <c r="AT8" t="n">
        <v>1086150</v>
      </c>
      <c r="AU8" t="n">
        <v>48896</v>
      </c>
      <c r="AZ8" t="inlineStr">
        <is>
          <t>2025</t>
        </is>
      </c>
      <c r="BA8" t="n">
        <v>110</v>
      </c>
      <c r="BB8" t="n">
        <v>105.1</v>
      </c>
      <c r="BC8" t="n">
        <v>544</v>
      </c>
      <c r="BD8" t="n">
        <v>4.9</v>
      </c>
      <c r="BE8" t="n">
        <v>44627</v>
      </c>
      <c r="BF8" t="n">
        <v>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195421</v>
      </c>
      <c r="AE9" t="n">
        <v>0</v>
      </c>
      <c r="AF9" t="n">
        <v>0</v>
      </c>
      <c r="AG9" t="n">
        <v>11</v>
      </c>
      <c r="AZ9" t="inlineStr">
        <is>
          <t>2026</t>
        </is>
      </c>
      <c r="BA9" t="n">
        <v>121</v>
      </c>
      <c r="BB9" t="n">
        <v>111.5</v>
      </c>
      <c r="BC9" t="n">
        <v>564</v>
      </c>
      <c r="BD9" t="n">
        <v>9.5</v>
      </c>
      <c r="BE9" t="n">
        <v>49090</v>
      </c>
      <c r="BF9" t="n">
        <v>87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81725</v>
      </c>
      <c r="AE10" t="n">
        <v>0</v>
      </c>
      <c r="AF10" t="n">
        <v>0</v>
      </c>
      <c r="AG10" t="n">
        <v>113696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81725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SUBTOTAL(9,D39:D41)</f>
        <v/>
      </c>
      <c r="E38" s="123">
        <f>IFERROR((D38-R38)/R38,"")</f>
        <v/>
      </c>
      <c r="F38" s="111">
        <f>SUBTOTAL(9,F39:F41)</f>
        <v/>
      </c>
      <c r="G38" s="123">
        <f>IFERROR((F38-Q38)/Q38,"")</f>
        <v/>
      </c>
      <c r="H38" s="113">
        <f>SUBTOTAL(9,H39:H41)</f>
        <v/>
      </c>
      <c r="I38" s="113">
        <f>IFERROR(F38/D38,"")</f>
        <v/>
      </c>
      <c r="J38" s="124">
        <f>IFERROR((I38-U38)*100,"")</f>
        <v/>
      </c>
      <c r="K38" s="111">
        <f>SUBTOTAL(9,K39:K41)</f>
        <v/>
      </c>
      <c r="L38" s="113">
        <f>IFERROR(N38/O38,"")</f>
        <v/>
      </c>
      <c r="M38" s="113">
        <f>IFERROR(P38/N38,"")</f>
        <v/>
      </c>
      <c r="N38" s="115">
        <f>SUBTOTAL(9,N39:N41)</f>
        <v/>
      </c>
      <c r="O38" s="115">
        <f>SUBTOTAL(9,O39:O41)</f>
        <v/>
      </c>
      <c r="P38" s="6">
        <f>SUBTOTAL(9,P39:P41)</f>
        <v/>
      </c>
      <c r="Q38" s="6">
        <f>SUBTOTAL(9,Q39:Q41)</f>
        <v/>
      </c>
      <c r="R38" s="6">
        <f>SUBTOTAL(9,R39:R41)</f>
        <v/>
      </c>
      <c r="S38" s="6">
        <f>SUBTOTAL(9,S39:S41)</f>
        <v/>
      </c>
      <c r="T38" s="6">
        <f>SUBTOTAL(9,T39:T41)</f>
        <v/>
      </c>
      <c r="U38" s="6">
        <f>IFERROR(Q38/R38,"")</f>
        <v/>
      </c>
      <c r="V38" s="6">
        <f>SUBTOTAL(9,V39:V41)</f>
        <v/>
      </c>
      <c r="W38" s="6">
        <f>SUBTOTAL(9,W39:W41)</f>
        <v/>
      </c>
      <c r="X38" s="6">
        <f>SUBTOTAL(9,X39:X41)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Tunon</t>
        </is>
      </c>
      <c r="D39" s="111">
        <f>SUBTOTAL(9,D40:D41)</f>
        <v/>
      </c>
      <c r="E39" s="123">
        <f>IFERROR((D39-R39)/R39,"")</f>
        <v/>
      </c>
      <c r="F39" s="111">
        <f>SUBTOTAL(9,F40:F41)</f>
        <v/>
      </c>
      <c r="G39" s="123">
        <f>IFERROR((F39-Q39)/Q39,"")</f>
        <v/>
      </c>
      <c r="H39" s="113">
        <f>SUBTOTAL(9,H40:H41)</f>
        <v/>
      </c>
      <c r="I39" s="113">
        <f>IFERROR(F39/D39,"")</f>
        <v/>
      </c>
      <c r="J39" s="124">
        <f>IFERROR((I39-U39)*100,"")</f>
        <v/>
      </c>
      <c r="K39" s="111">
        <f>SUBTOTAL(9,K40:K41)</f>
        <v/>
      </c>
      <c r="L39" s="113">
        <f>IFERROR(N39/O39,"")</f>
        <v/>
      </c>
      <c r="M39" s="113">
        <f>IFERROR(P39/N39,"")</f>
        <v/>
      </c>
      <c r="N39" s="111">
        <f>SUBTOTAL(9,N40:N41)</f>
        <v/>
      </c>
      <c r="O39" s="111">
        <f>SUBTOTAL(9,O40:O41)</f>
        <v/>
      </c>
      <c r="P39">
        <f>SUBTOTAL(9,P40:P41)</f>
        <v/>
      </c>
      <c r="Q39" s="6">
        <f>SUBTOTAL(9,Q40:Q41)</f>
        <v/>
      </c>
      <c r="R39" s="6">
        <f>SUBTOTAL(9,R40:R41)</f>
        <v/>
      </c>
      <c r="S39" s="6">
        <f>SUBTOTAL(9,S40:S41)</f>
        <v/>
      </c>
      <c r="T39" s="6">
        <f>SUBTOTAL(9,T40:T41)</f>
        <v/>
      </c>
      <c r="U39" s="6">
        <f>IFERROR(Q39/R39,"")</f>
        <v/>
      </c>
      <c r="V39" s="6">
        <f>SUBTOTAL(9,V40:V41)</f>
        <v/>
      </c>
      <c r="W39" s="6">
        <f>SUBTOTAL(9,W40:W41)</f>
        <v/>
      </c>
      <c r="X39" s="6">
        <f>SUBTOTAL(9,X40:X41)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Tunon Lyon</t>
        </is>
      </c>
      <c r="D40" s="111" t="n">
        <v>863550</v>
      </c>
      <c r="E40" s="123">
        <f>IFERROR((D40-R40)/R40,"")</f>
        <v/>
      </c>
      <c r="F40" s="111" t="n">
        <v>32829.34196884636</v>
      </c>
      <c r="G40" s="123">
        <f>IFERROR((F40-Q40)/Q40,"")</f>
        <v/>
      </c>
      <c r="H40" s="113" t="n">
        <v>0.008536436436592222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40301.88030074014</v>
      </c>
      <c r="R40" s="6" t="n">
        <v>819270</v>
      </c>
      <c r="S40" s="6" t="n">
        <v>18850</v>
      </c>
      <c r="T40" s="6" t="n">
        <v>17136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Tunon Paris</t>
        </is>
      </c>
      <c r="D41" s="111" t="n">
        <v>1086150</v>
      </c>
      <c r="E41" s="123">
        <f>IFERROR((D41-R41)/R41,"")</f>
        <v/>
      </c>
      <c r="F41" s="111" t="n">
        <v>48895.78642460998</v>
      </c>
      <c r="G41" s="123">
        <f>IFERROR((F41-Q41)/Q41,"")</f>
        <v/>
      </c>
      <c r="H41" s="113" t="n">
        <v>0.01271410719188227</v>
      </c>
      <c r="I41" s="113">
        <f>IFERROR(F41/D41,"")</f>
        <v/>
      </c>
      <c r="J41" s="124">
        <f>IFERROR((I41-U41)*100,"")</f>
        <v/>
      </c>
      <c r="K41" s="111" t="n">
        <v>47</v>
      </c>
      <c r="L41" s="113">
        <f>IFERROR(N41/O41,"")</f>
        <v/>
      </c>
      <c r="M41" s="113">
        <f>IFERROR(P41/N41,"")</f>
        <v/>
      </c>
      <c r="N41" s="111" t="n">
        <v>138</v>
      </c>
      <c r="O41" s="111" t="n">
        <v>192</v>
      </c>
      <c r="P41" t="n">
        <v>138</v>
      </c>
      <c r="Q41" s="6" t="n">
        <v>57079.30344296087</v>
      </c>
      <c r="R41" s="6" t="n">
        <v>1015320</v>
      </c>
      <c r="S41" s="6" t="n">
        <v>30240</v>
      </c>
      <c r="T41" s="6" t="n">
        <v>27491</v>
      </c>
      <c r="U41" s="6">
        <f>IFERROR(Q41/R41,"")</f>
        <v/>
      </c>
      <c r="V41" s="6" t="n">
        <v>192</v>
      </c>
      <c r="W41" s="6" t="n">
        <v>44</v>
      </c>
      <c r="X41" s="6" t="n">
        <v>129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2026-09-06T19:03:08Z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